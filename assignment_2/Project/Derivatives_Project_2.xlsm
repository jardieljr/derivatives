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mc:AlternateContent xmlns:mc="http://schemas.openxmlformats.org/markup-compatibility/2006">
    <mc:Choice Requires="x15">
      <x15ac:absPath xmlns:x15ac="http://schemas.microsoft.com/office/spreadsheetml/2010/11/ac" url="C:\Users\ilyes\Desktop\"/>
    </mc:Choice>
  </mc:AlternateContent>
  <xr:revisionPtr revIDLastSave="0" documentId="8_{399D79C1-0232-4493-AD40-256CDF93E22A}" xr6:coauthVersionLast="47" xr6:coauthVersionMax="47" xr10:uidLastSave="{00000000-0000-0000-0000-000000000000}"/>
  <bookViews>
    <workbookView xWindow="-108" yWindow="-108" windowWidth="23256" windowHeight="12576" firstSheet="2" activeTab="7" xr2:uid="{00000000-000D-0000-FFFF-FFFF00000000}"/>
  </bookViews>
  <sheets>
    <sheet name="ReadMe" sheetId="1" r:id="rId1"/>
    <sheet name="Inputs" sheetId="2" r:id="rId2"/>
    <sheet name="BinomialModel" sheetId="3" r:id="rId3"/>
    <sheet name="MC" sheetId="12" r:id="rId4"/>
    <sheet name="BinomialModel_VBA" sheetId="11" r:id="rId5"/>
    <sheet name="Black&amp;Scholes" sheetId="5" r:id="rId6"/>
    <sheet name="Airbus - Market Data" sheetId="8" r:id="rId7"/>
    <sheet name="Current Market Data" sheetId="10" r:id="rId8"/>
    <sheet name="BinomialModel (2)" sheetId="14" r:id="rId9"/>
    <sheet name="Aux" sheetId="7" state="hidden" r:id="rId10"/>
  </sheets>
  <functionGroups builtInGroupCount="19"/>
  <externalReferences>
    <externalReference r:id="rId11"/>
  </externalReferences>
  <definedNames>
    <definedName name="average_price">'Current Market Data'!$D$5</definedName>
    <definedName name="bs_option_type" localSheetId="1">Inputs!$B$4</definedName>
    <definedName name="bs_option_type" localSheetId="3">[1]Inputs!$B$4</definedName>
    <definedName name="bs_option_type">Inputs!$B$4</definedName>
    <definedName name="d_1" localSheetId="1">#REF!</definedName>
    <definedName name="d_1" localSheetId="3">'[1]Black&amp;Scholes'!$D$4</definedName>
    <definedName name="d_1">'Black&amp;Scholes'!$D$4</definedName>
    <definedName name="d_2" localSheetId="1">#REF!</definedName>
    <definedName name="d_2" localSheetId="3">'[1]Black&amp;Scholes'!$D$5</definedName>
    <definedName name="d_2">'Black&amp;Scholes'!$D$5</definedName>
    <definedName name="dividend_rate" localSheetId="3">[1]Inputs!$B$11</definedName>
    <definedName name="dividend_rate">Inputs!$B$11</definedName>
    <definedName name="DonnéesExternes_1" localSheetId="7" hidden="1">'Current Market Data'!$A$4:$B$2561</definedName>
    <definedName name="down_factor" localSheetId="8">'BinomialModel (2)'!$B$7</definedName>
    <definedName name="down_factor" localSheetId="3">[1]BinomialModel!$B$7</definedName>
    <definedName name="down_factor">BinomialModel!$B$7</definedName>
    <definedName name="Exercise" localSheetId="1">Inputs!$B$6</definedName>
    <definedName name="Exercise" localSheetId="3">[1]Inputs!$B$6</definedName>
    <definedName name="Exercise">Inputs!$B$6</definedName>
    <definedName name="expected_return" localSheetId="1">Inputs!$B$10</definedName>
    <definedName name="expected_return">Inputs!$B$10</definedName>
    <definedName name="hedge_ratio" localSheetId="8">'BinomialModel (2)'!$K$5</definedName>
    <definedName name="hedge_ratio">BinomialModel!$K$5</definedName>
    <definedName name="n_periods" localSheetId="3">[1]Inputs!$B$12</definedName>
    <definedName name="n_periods">Inputs!$B$12</definedName>
    <definedName name="Nd_1" localSheetId="1">#REF!</definedName>
    <definedName name="Nd_1" localSheetId="3">'[1]Black&amp;Scholes'!$D$6</definedName>
    <definedName name="Nd_1">'Black&amp;Scholes'!$D$6</definedName>
    <definedName name="Nd_2" localSheetId="1">#REF!</definedName>
    <definedName name="Nd_2" localSheetId="3">'[1]Black&amp;Scholes'!$D$7</definedName>
    <definedName name="Nd_2">'Black&amp;Scholes'!$D$7</definedName>
    <definedName name="Nminusd_1" localSheetId="1">#REF!</definedName>
    <definedName name="Nminusd_1" localSheetId="3">'[1]Black&amp;Scholes'!$D$8</definedName>
    <definedName name="Nminusd_1">'Black&amp;Scholes'!$D$8</definedName>
    <definedName name="Nminusd_2" localSheetId="1">#REF!</definedName>
    <definedName name="Nminusd_2" localSheetId="3">'[1]Black&amp;Scholes'!$D$9</definedName>
    <definedName name="Nminusd_2">'Black&amp;Scholes'!$D$9</definedName>
    <definedName name="option_cat">Inputs!$B$14</definedName>
    <definedName name="Rate" localSheetId="1">Inputs!$B$7</definedName>
    <definedName name="Rate" localSheetId="3">[1]Inputs!$B$7</definedName>
    <definedName name="Rate">Inputs!$B$7</definedName>
    <definedName name="RefSymbol">'Current Market Data'!$B$1</definedName>
    <definedName name="Risk_Neutral_Pb" localSheetId="8">'BinomialModel (2)'!$E$7</definedName>
    <definedName name="Risk_Neutral_Pb">BinomialModel!$E$7</definedName>
    <definedName name="Sigma" localSheetId="1">Inputs!$B$8</definedName>
    <definedName name="Sigma" localSheetId="3">[1]Inputs!$B$8</definedName>
    <definedName name="Sigma">Inputs!$B$8</definedName>
    <definedName name="Stock" localSheetId="1">Inputs!$B$5</definedName>
    <definedName name="Stock" localSheetId="3">[1]Inputs!$B$5</definedName>
    <definedName name="Stock">Inputs!$B$5</definedName>
    <definedName name="test_vba_bs" localSheetId="1">#REF!</definedName>
    <definedName name="Time" localSheetId="1">Inputs!$B$9</definedName>
    <definedName name="Time" localSheetId="3">[1]Inputs!$B$9</definedName>
    <definedName name="Time">Inputs!$B$9</definedName>
    <definedName name="trading_date">Inputs!$B$13</definedName>
    <definedName name="up_factor" localSheetId="8">'BinomialModel (2)'!$B$6</definedName>
    <definedName name="up_factor" localSheetId="3">[1]BinomialModel!$B$6</definedName>
    <definedName name="up_factor">BinomialModel!$B$6</definedName>
    <definedName name="vba_bs_result" localSheetId="3">'[1]Black&amp;Scholes'!$D$14</definedName>
    <definedName name="vba_bs_result">'Black&amp;Scholes'!$D$14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5" i="10" l="1"/>
  <c r="AE96" i="3" l="1"/>
  <c r="AD155" i="3"/>
  <c r="AD153" i="3"/>
  <c r="AD151" i="3"/>
  <c r="AD149" i="3"/>
  <c r="AD147" i="3"/>
  <c r="AD145" i="3"/>
  <c r="AD143" i="3"/>
  <c r="AD141" i="3"/>
  <c r="AD139" i="3"/>
  <c r="AD137" i="3"/>
  <c r="AD135" i="3"/>
  <c r="AD133" i="3"/>
  <c r="AD131" i="3"/>
  <c r="AD129" i="3"/>
  <c r="AD127" i="3"/>
  <c r="AD125" i="3"/>
  <c r="AD123" i="3"/>
  <c r="AD121" i="3"/>
  <c r="AD119" i="3"/>
  <c r="AD117" i="3"/>
  <c r="AD115" i="3"/>
  <c r="AD113" i="3"/>
  <c r="AD111" i="3"/>
  <c r="AD109" i="3"/>
  <c r="AD107" i="3"/>
  <c r="AD105" i="3"/>
  <c r="AD103" i="3"/>
  <c r="AD101" i="3"/>
  <c r="AD99" i="3"/>
  <c r="AC154" i="3"/>
  <c r="AC152" i="3"/>
  <c r="AC150" i="3"/>
  <c r="AC148" i="3"/>
  <c r="AC146" i="3"/>
  <c r="AC144" i="3"/>
  <c r="AC142" i="3"/>
  <c r="AC140" i="3"/>
  <c r="AC138" i="3"/>
  <c r="AC136" i="3"/>
  <c r="AC134" i="3"/>
  <c r="AC132" i="3"/>
  <c r="AC130" i="3"/>
  <c r="AC128" i="3"/>
  <c r="AC126" i="3"/>
  <c r="AC124" i="3"/>
  <c r="AC122" i="3"/>
  <c r="AC120" i="3"/>
  <c r="AC118" i="3"/>
  <c r="AC116" i="3"/>
  <c r="AC114" i="3"/>
  <c r="AC112" i="3"/>
  <c r="AC110" i="3"/>
  <c r="AC108" i="3"/>
  <c r="AC106" i="3"/>
  <c r="AC104" i="3"/>
  <c r="AC102" i="3"/>
  <c r="AC100" i="3"/>
  <c r="AB153" i="3"/>
  <c r="AB151" i="3"/>
  <c r="AB149" i="3"/>
  <c r="AB147" i="3"/>
  <c r="AB145" i="3"/>
  <c r="AB143" i="3"/>
  <c r="AB141" i="3"/>
  <c r="AB139" i="3"/>
  <c r="AB137" i="3"/>
  <c r="AB135" i="3"/>
  <c r="AB133" i="3"/>
  <c r="AB131" i="3"/>
  <c r="AB129" i="3"/>
  <c r="AB127" i="3"/>
  <c r="AB125" i="3"/>
  <c r="AB123" i="3"/>
  <c r="AB121" i="3"/>
  <c r="AB119" i="3"/>
  <c r="AB117" i="3"/>
  <c r="AB115" i="3"/>
  <c r="AB113" i="3"/>
  <c r="AB111" i="3"/>
  <c r="AB109" i="3"/>
  <c r="AB107" i="3"/>
  <c r="AB105" i="3"/>
  <c r="AB103" i="3"/>
  <c r="AB101" i="3"/>
  <c r="AA152" i="3"/>
  <c r="AA150" i="3"/>
  <c r="AA148" i="3"/>
  <c r="AA146" i="3"/>
  <c r="AA144" i="3"/>
  <c r="AA142" i="3"/>
  <c r="AA140" i="3"/>
  <c r="AA138" i="3"/>
  <c r="AA136" i="3"/>
  <c r="AA134" i="3"/>
  <c r="AA132" i="3"/>
  <c r="AA130" i="3"/>
  <c r="AA128" i="3"/>
  <c r="AA126" i="3"/>
  <c r="AA124" i="3"/>
  <c r="AA122" i="3"/>
  <c r="AA120" i="3"/>
  <c r="AA118" i="3"/>
  <c r="AA116" i="3"/>
  <c r="AA114" i="3"/>
  <c r="AA112" i="3"/>
  <c r="AA110" i="3"/>
  <c r="AA108" i="3"/>
  <c r="AA106" i="3"/>
  <c r="AA104" i="3"/>
  <c r="AA102" i="3"/>
  <c r="Z151" i="3"/>
  <c r="Z149" i="3"/>
  <c r="Z147" i="3"/>
  <c r="Z145" i="3"/>
  <c r="Z143" i="3"/>
  <c r="Z141" i="3"/>
  <c r="Z139" i="3"/>
  <c r="Z137" i="3"/>
  <c r="Z135" i="3"/>
  <c r="Z133" i="3"/>
  <c r="Z131" i="3"/>
  <c r="Z129" i="3"/>
  <c r="Z127" i="3"/>
  <c r="Z125" i="3"/>
  <c r="Z123" i="3"/>
  <c r="Z121" i="3"/>
  <c r="Z119" i="3"/>
  <c r="Z117" i="3"/>
  <c r="Z115" i="3"/>
  <c r="Z113" i="3"/>
  <c r="Z111" i="3"/>
  <c r="Z109" i="3"/>
  <c r="Z107" i="3"/>
  <c r="Z105" i="3"/>
  <c r="Z103" i="3"/>
  <c r="Y150" i="3"/>
  <c r="Y148" i="3"/>
  <c r="Y146" i="3"/>
  <c r="Y144" i="3"/>
  <c r="Y142" i="3"/>
  <c r="Y140" i="3"/>
  <c r="Y138" i="3"/>
  <c r="Y136" i="3"/>
  <c r="Y134" i="3"/>
  <c r="Y132" i="3"/>
  <c r="Y130" i="3"/>
  <c r="Y128" i="3"/>
  <c r="Y126" i="3"/>
  <c r="Y124" i="3"/>
  <c r="Y122" i="3"/>
  <c r="Y120" i="3"/>
  <c r="Y118" i="3"/>
  <c r="Y116" i="3"/>
  <c r="Y114" i="3"/>
  <c r="Y112" i="3"/>
  <c r="Y110" i="3"/>
  <c r="Y108" i="3"/>
  <c r="Y106" i="3"/>
  <c r="Y104" i="3"/>
  <c r="X149" i="3"/>
  <c r="X147" i="3"/>
  <c r="X145" i="3"/>
  <c r="X143" i="3"/>
  <c r="X141" i="3"/>
  <c r="X139" i="3"/>
  <c r="X137" i="3"/>
  <c r="X135" i="3"/>
  <c r="X133" i="3"/>
  <c r="X131" i="3"/>
  <c r="X129" i="3"/>
  <c r="X127" i="3"/>
  <c r="X125" i="3"/>
  <c r="X123" i="3"/>
  <c r="X121" i="3"/>
  <c r="X119" i="3"/>
  <c r="X117" i="3"/>
  <c r="X115" i="3"/>
  <c r="X113" i="3"/>
  <c r="X111" i="3"/>
  <c r="X109" i="3"/>
  <c r="X107" i="3"/>
  <c r="X105" i="3"/>
  <c r="W148" i="3"/>
  <c r="W146" i="3"/>
  <c r="W144" i="3"/>
  <c r="W142" i="3"/>
  <c r="W140" i="3"/>
  <c r="W138" i="3"/>
  <c r="W136" i="3"/>
  <c r="W134" i="3"/>
  <c r="W132" i="3"/>
  <c r="W130" i="3"/>
  <c r="W128" i="3"/>
  <c r="W126" i="3"/>
  <c r="W124" i="3"/>
  <c r="W122" i="3"/>
  <c r="W120" i="3"/>
  <c r="W118" i="3"/>
  <c r="W116" i="3"/>
  <c r="W114" i="3"/>
  <c r="W112" i="3"/>
  <c r="W110" i="3"/>
  <c r="W108" i="3"/>
  <c r="W106" i="3"/>
  <c r="V147" i="3"/>
  <c r="V145" i="3"/>
  <c r="V143" i="3"/>
  <c r="V141" i="3"/>
  <c r="V139" i="3"/>
  <c r="V137" i="3"/>
  <c r="V135" i="3"/>
  <c r="V133" i="3"/>
  <c r="V131" i="3"/>
  <c r="V129" i="3"/>
  <c r="V127" i="3"/>
  <c r="V125" i="3"/>
  <c r="V123" i="3"/>
  <c r="V121" i="3"/>
  <c r="V119" i="3"/>
  <c r="V117" i="3"/>
  <c r="V115" i="3"/>
  <c r="V113" i="3"/>
  <c r="V111" i="3"/>
  <c r="V109" i="3"/>
  <c r="V107" i="3"/>
  <c r="U146" i="3"/>
  <c r="U144" i="3"/>
  <c r="U142" i="3"/>
  <c r="U140" i="3"/>
  <c r="U138" i="3"/>
  <c r="U136" i="3"/>
  <c r="U134" i="3"/>
  <c r="U132" i="3"/>
  <c r="U130" i="3"/>
  <c r="U128" i="3"/>
  <c r="U126" i="3"/>
  <c r="U124" i="3"/>
  <c r="U122" i="3"/>
  <c r="U120" i="3"/>
  <c r="U118" i="3"/>
  <c r="U116" i="3"/>
  <c r="U114" i="3"/>
  <c r="U112" i="3"/>
  <c r="U110" i="3"/>
  <c r="U108" i="3"/>
  <c r="T145" i="3"/>
  <c r="T143" i="3"/>
  <c r="T141" i="3"/>
  <c r="T139" i="3"/>
  <c r="T137" i="3"/>
  <c r="T135" i="3"/>
  <c r="T133" i="3"/>
  <c r="T131" i="3"/>
  <c r="T129" i="3"/>
  <c r="T127" i="3"/>
  <c r="T125" i="3"/>
  <c r="T123" i="3"/>
  <c r="T121" i="3"/>
  <c r="T119" i="3"/>
  <c r="T117" i="3"/>
  <c r="T115" i="3"/>
  <c r="T113" i="3"/>
  <c r="T111" i="3"/>
  <c r="T109" i="3"/>
  <c r="S144" i="3"/>
  <c r="S142" i="3"/>
  <c r="S140" i="3"/>
  <c r="S138" i="3"/>
  <c r="S136" i="3"/>
  <c r="S134" i="3"/>
  <c r="S132" i="3"/>
  <c r="S130" i="3"/>
  <c r="S128" i="3"/>
  <c r="S126" i="3"/>
  <c r="S124" i="3"/>
  <c r="S122" i="3"/>
  <c r="S120" i="3"/>
  <c r="S118" i="3"/>
  <c r="S116" i="3"/>
  <c r="S114" i="3"/>
  <c r="S112" i="3"/>
  <c r="S110" i="3"/>
  <c r="R141" i="3"/>
  <c r="R139" i="3"/>
  <c r="R137" i="3"/>
  <c r="R135" i="3"/>
  <c r="R133" i="3"/>
  <c r="R131" i="3"/>
  <c r="R129" i="3"/>
  <c r="R127" i="3"/>
  <c r="R125" i="3"/>
  <c r="R123" i="3"/>
  <c r="R121" i="3"/>
  <c r="R119" i="3"/>
  <c r="R117" i="3"/>
  <c r="R115" i="3"/>
  <c r="R113" i="3"/>
  <c r="R111" i="3"/>
  <c r="Q142" i="3"/>
  <c r="Q140" i="3"/>
  <c r="Q138" i="3"/>
  <c r="Q136" i="3"/>
  <c r="Q134" i="3"/>
  <c r="Q132" i="3"/>
  <c r="Q130" i="3"/>
  <c r="Q128" i="3"/>
  <c r="Q126" i="3"/>
  <c r="Q124" i="3"/>
  <c r="Q122" i="3"/>
  <c r="Q120" i="3"/>
  <c r="Q118" i="3"/>
  <c r="Q116" i="3"/>
  <c r="Q114" i="3"/>
  <c r="Q112" i="3"/>
  <c r="P141" i="3"/>
  <c r="P139" i="3"/>
  <c r="P137" i="3"/>
  <c r="P135" i="3"/>
  <c r="P133" i="3"/>
  <c r="P131" i="3"/>
  <c r="P129" i="3"/>
  <c r="P127" i="3"/>
  <c r="P125" i="3"/>
  <c r="P123" i="3"/>
  <c r="P121" i="3"/>
  <c r="P119" i="3"/>
  <c r="P117" i="3"/>
  <c r="P115" i="3"/>
  <c r="P113" i="3"/>
  <c r="O140" i="3"/>
  <c r="O138" i="3"/>
  <c r="O136" i="3"/>
  <c r="O134" i="3"/>
  <c r="O132" i="3"/>
  <c r="O130" i="3"/>
  <c r="O128" i="3"/>
  <c r="O126" i="3"/>
  <c r="O124" i="3"/>
  <c r="O122" i="3"/>
  <c r="O120" i="3"/>
  <c r="O118" i="3"/>
  <c r="O116" i="3"/>
  <c r="O114" i="3"/>
  <c r="N139" i="3"/>
  <c r="N137" i="3"/>
  <c r="N135" i="3"/>
  <c r="N133" i="3"/>
  <c r="N131" i="3"/>
  <c r="N129" i="3"/>
  <c r="N127" i="3"/>
  <c r="N125" i="3"/>
  <c r="N123" i="3"/>
  <c r="N121" i="3"/>
  <c r="N119" i="3"/>
  <c r="N117" i="3"/>
  <c r="N115" i="3"/>
  <c r="M138" i="3"/>
  <c r="M136" i="3"/>
  <c r="M134" i="3"/>
  <c r="M132" i="3"/>
  <c r="M130" i="3"/>
  <c r="M128" i="3"/>
  <c r="M126" i="3"/>
  <c r="M124" i="3"/>
  <c r="M122" i="3"/>
  <c r="M120" i="3"/>
  <c r="M118" i="3"/>
  <c r="M116" i="3"/>
  <c r="N113" i="3"/>
  <c r="M114" i="3"/>
  <c r="O112" i="3"/>
  <c r="P111" i="3"/>
  <c r="Q110" i="3"/>
  <c r="R109" i="3"/>
  <c r="S108" i="3"/>
  <c r="T107" i="3"/>
  <c r="U106" i="3"/>
  <c r="V105" i="3"/>
  <c r="W104" i="3"/>
  <c r="X103" i="3"/>
  <c r="Y102" i="3"/>
  <c r="Z101" i="3"/>
  <c r="AA100" i="3"/>
  <c r="AB99" i="3"/>
  <c r="N92" i="14"/>
  <c r="O92" i="14" s="1"/>
  <c r="P92" i="14" s="1"/>
  <c r="Q92" i="14" s="1"/>
  <c r="R92" i="14" s="1"/>
  <c r="S92" i="14" s="1"/>
  <c r="T92" i="14" s="1"/>
  <c r="U92" i="14" s="1"/>
  <c r="V92" i="14" s="1"/>
  <c r="W92" i="14" s="1"/>
  <c r="X92" i="14" s="1"/>
  <c r="Y92" i="14" s="1"/>
  <c r="Z92" i="14" s="1"/>
  <c r="AA92" i="14" s="1"/>
  <c r="AB92" i="14" s="1"/>
  <c r="AC92" i="14" s="1"/>
  <c r="AD92" i="14" s="1"/>
  <c r="AE92" i="14" s="1"/>
  <c r="A44" i="14"/>
  <c r="O11" i="14"/>
  <c r="P11" i="14" s="1"/>
  <c r="Q11" i="14" s="1"/>
  <c r="R11" i="14" s="1"/>
  <c r="S11" i="14" s="1"/>
  <c r="T11" i="14" s="1"/>
  <c r="U11" i="14" s="1"/>
  <c r="V11" i="14" s="1"/>
  <c r="W11" i="14" s="1"/>
  <c r="X11" i="14" s="1"/>
  <c r="Y11" i="14" s="1"/>
  <c r="Z11" i="14" s="1"/>
  <c r="AA11" i="14" s="1"/>
  <c r="AB11" i="14" s="1"/>
  <c r="AC11" i="14" s="1"/>
  <c r="AD11" i="14" s="1"/>
  <c r="AE11" i="14" s="1"/>
  <c r="N11" i="14"/>
  <c r="B7" i="14"/>
  <c r="E7" i="14" s="1"/>
  <c r="E6" i="14"/>
  <c r="B6" i="14"/>
  <c r="B8" i="14" s="1"/>
  <c r="B45" i="14" l="1"/>
  <c r="C46" i="14" s="1"/>
  <c r="D47" i="14" s="1"/>
  <c r="E48" i="14" s="1"/>
  <c r="F49" i="14" s="1"/>
  <c r="G50" i="14" s="1"/>
  <c r="H51" i="14" s="1"/>
  <c r="I52" i="14" s="1"/>
  <c r="J53" i="14" s="1"/>
  <c r="K54" i="14" s="1"/>
  <c r="L55" i="14" s="1"/>
  <c r="M56" i="14" s="1"/>
  <c r="B43" i="14"/>
  <c r="C44" i="14" l="1"/>
  <c r="A43" i="14"/>
  <c r="C42" i="14"/>
  <c r="N57" i="14"/>
  <c r="M209" i="14"/>
  <c r="M138" i="14"/>
  <c r="N139" i="14" l="1"/>
  <c r="N210" i="14"/>
  <c r="O58" i="14"/>
  <c r="D41" i="14"/>
  <c r="D43" i="14"/>
  <c r="B42" i="14"/>
  <c r="D45" i="14"/>
  <c r="B44" i="14"/>
  <c r="E42" i="14" l="1"/>
  <c r="C41" i="14"/>
  <c r="E40" i="14"/>
  <c r="E46" i="14"/>
  <c r="C45" i="14"/>
  <c r="O211" i="14"/>
  <c r="O140" i="14"/>
  <c r="P59" i="14"/>
  <c r="E44" i="14"/>
  <c r="C43" i="14"/>
  <c r="P212" i="14" l="1"/>
  <c r="Q60" i="14"/>
  <c r="P141" i="14"/>
  <c r="F47" i="14"/>
  <c r="D46" i="14"/>
  <c r="F41" i="14"/>
  <c r="D40" i="14"/>
  <c r="F39" i="14"/>
  <c r="F45" i="14"/>
  <c r="D44" i="14"/>
  <c r="F43" i="14"/>
  <c r="D42" i="14"/>
  <c r="G40" i="14" l="1"/>
  <c r="E39" i="14"/>
  <c r="G38" i="14"/>
  <c r="G48" i="14"/>
  <c r="E47" i="14"/>
  <c r="G44" i="14"/>
  <c r="E43" i="14"/>
  <c r="G42" i="14"/>
  <c r="E41" i="14"/>
  <c r="R61" i="14"/>
  <c r="Q213" i="14"/>
  <c r="Q142" i="14"/>
  <c r="E45" i="14"/>
  <c r="G46" i="14"/>
  <c r="F42" i="14" l="1"/>
  <c r="H43" i="14"/>
  <c r="H49" i="14"/>
  <c r="F48" i="14"/>
  <c r="H39" i="14"/>
  <c r="H37" i="14"/>
  <c r="F38" i="14"/>
  <c r="F46" i="14"/>
  <c r="H47" i="14"/>
  <c r="R143" i="14"/>
  <c r="S62" i="14"/>
  <c r="R214" i="14"/>
  <c r="H45" i="14"/>
  <c r="F44" i="14"/>
  <c r="H41" i="14"/>
  <c r="F40" i="14"/>
  <c r="I42" i="14" l="1"/>
  <c r="G41" i="14"/>
  <c r="S215" i="14"/>
  <c r="S144" i="14"/>
  <c r="T63" i="14"/>
  <c r="G49" i="14"/>
  <c r="I50" i="14"/>
  <c r="I36" i="14"/>
  <c r="I38" i="14"/>
  <c r="G37" i="14"/>
  <c r="I44" i="14"/>
  <c r="J45" i="14" s="1"/>
  <c r="G43" i="14"/>
  <c r="I46" i="14"/>
  <c r="G45" i="14"/>
  <c r="I48" i="14"/>
  <c r="G47" i="14"/>
  <c r="I40" i="14"/>
  <c r="G39" i="14"/>
  <c r="J37" i="14" l="1"/>
  <c r="J35" i="14"/>
  <c r="H36" i="14"/>
  <c r="J49" i="14"/>
  <c r="H48" i="14"/>
  <c r="K46" i="14"/>
  <c r="J51" i="14"/>
  <c r="H50" i="14"/>
  <c r="J41" i="14"/>
  <c r="H40" i="14"/>
  <c r="J47" i="14"/>
  <c r="H46" i="14"/>
  <c r="H38" i="14"/>
  <c r="J39" i="14"/>
  <c r="T145" i="14"/>
  <c r="T216" i="14"/>
  <c r="U64" i="14"/>
  <c r="H44" i="14"/>
  <c r="J43" i="14"/>
  <c r="H42" i="14"/>
  <c r="K44" i="14" l="1"/>
  <c r="I43" i="14"/>
  <c r="I47" i="14"/>
  <c r="K48" i="14"/>
  <c r="I51" i="14"/>
  <c r="K52" i="14"/>
  <c r="I49" i="14"/>
  <c r="K50" i="14"/>
  <c r="K40" i="14"/>
  <c r="I39" i="14"/>
  <c r="L47" i="14"/>
  <c r="V65" i="14"/>
  <c r="U146" i="14"/>
  <c r="U217" i="14"/>
  <c r="K42" i="14"/>
  <c r="I41" i="14"/>
  <c r="I45" i="14"/>
  <c r="I35" i="14"/>
  <c r="K34" i="14"/>
  <c r="K36" i="14"/>
  <c r="I37" i="14"/>
  <c r="K38" i="14"/>
  <c r="L35" i="14" l="1"/>
  <c r="L33" i="14"/>
  <c r="J34" i="14"/>
  <c r="L43" i="14"/>
  <c r="J42" i="14"/>
  <c r="M48" i="14"/>
  <c r="J50" i="14"/>
  <c r="L51" i="14"/>
  <c r="J48" i="14"/>
  <c r="L49" i="14"/>
  <c r="L39" i="14"/>
  <c r="J38" i="14"/>
  <c r="J46" i="14"/>
  <c r="L53" i="14"/>
  <c r="J52" i="14"/>
  <c r="J36" i="14"/>
  <c r="L37" i="14"/>
  <c r="V147" i="14"/>
  <c r="W66" i="14"/>
  <c r="V218" i="14"/>
  <c r="J40" i="14"/>
  <c r="L41" i="14"/>
  <c r="L45" i="14"/>
  <c r="J44" i="14"/>
  <c r="K45" i="14" l="1"/>
  <c r="M46" i="14"/>
  <c r="W219" i="14"/>
  <c r="W148" i="14"/>
  <c r="X67" i="14"/>
  <c r="M40" i="14"/>
  <c r="K39" i="14"/>
  <c r="M44" i="14"/>
  <c r="K43" i="14"/>
  <c r="M42" i="14"/>
  <c r="K41" i="14"/>
  <c r="M54" i="14"/>
  <c r="K53" i="14"/>
  <c r="K49" i="14"/>
  <c r="M50" i="14"/>
  <c r="K47" i="14"/>
  <c r="M38" i="14"/>
  <c r="K37" i="14"/>
  <c r="N49" i="14"/>
  <c r="L48" i="14"/>
  <c r="M201" i="14"/>
  <c r="M130" i="14"/>
  <c r="M32" i="14"/>
  <c r="M34" i="14"/>
  <c r="K33" i="14"/>
  <c r="M52" i="14"/>
  <c r="K51" i="14"/>
  <c r="M36" i="14"/>
  <c r="K35" i="14"/>
  <c r="M189" i="14" l="1"/>
  <c r="N37" i="14"/>
  <c r="M118" i="14"/>
  <c r="L119" i="14" s="1"/>
  <c r="L36" i="14"/>
  <c r="M187" i="14"/>
  <c r="L188" i="14" s="1"/>
  <c r="M116" i="14"/>
  <c r="L34" i="14"/>
  <c r="N35" i="14"/>
  <c r="N55" i="14"/>
  <c r="M207" i="14"/>
  <c r="L208" i="14" s="1"/>
  <c r="M136" i="14"/>
  <c r="L137" i="14" s="1"/>
  <c r="L54" i="14"/>
  <c r="M126" i="14"/>
  <c r="N45" i="14"/>
  <c r="L44" i="14"/>
  <c r="M197" i="14"/>
  <c r="L198" i="14" s="1"/>
  <c r="K199" i="14" s="1"/>
  <c r="M185" i="14"/>
  <c r="L186" i="14" s="1"/>
  <c r="K187" i="14" s="1"/>
  <c r="M114" i="14"/>
  <c r="L115" i="14" s="1"/>
  <c r="L32" i="14"/>
  <c r="N33" i="14"/>
  <c r="N31" i="14"/>
  <c r="N202" i="14"/>
  <c r="N131" i="14"/>
  <c r="O50" i="14"/>
  <c r="M132" i="14"/>
  <c r="M203" i="14"/>
  <c r="L204" i="14" s="1"/>
  <c r="N51" i="14"/>
  <c r="L50" i="14"/>
  <c r="M134" i="14"/>
  <c r="N53" i="14"/>
  <c r="L52" i="14"/>
  <c r="M205" i="14"/>
  <c r="L131" i="14"/>
  <c r="M195" i="14"/>
  <c r="N43" i="14"/>
  <c r="M124" i="14"/>
  <c r="L125" i="14" s="1"/>
  <c r="L42" i="14"/>
  <c r="N41" i="14"/>
  <c r="M122" i="14"/>
  <c r="L123" i="14" s="1"/>
  <c r="K124" i="14" s="1"/>
  <c r="M193" i="14"/>
  <c r="L40" i="14"/>
  <c r="M199" i="14"/>
  <c r="L200" i="14" s="1"/>
  <c r="M128" i="14"/>
  <c r="L129" i="14" s="1"/>
  <c r="K130" i="14" s="1"/>
  <c r="N47" i="14"/>
  <c r="L46" i="14"/>
  <c r="L202" i="14"/>
  <c r="K203" i="14" s="1"/>
  <c r="M191" i="14"/>
  <c r="L192" i="14" s="1"/>
  <c r="M120" i="14"/>
  <c r="L38" i="14"/>
  <c r="N39" i="14"/>
  <c r="Y68" i="14"/>
  <c r="X149" i="14"/>
  <c r="X220" i="14"/>
  <c r="Y221" i="14" l="1"/>
  <c r="Z69" i="14"/>
  <c r="Y150" i="14"/>
  <c r="N196" i="14"/>
  <c r="N125" i="14"/>
  <c r="O44" i="14"/>
  <c r="M43" i="14"/>
  <c r="N204" i="14"/>
  <c r="N133" i="14"/>
  <c r="M51" i="14"/>
  <c r="O52" i="14"/>
  <c r="M49" i="14"/>
  <c r="N115" i="14"/>
  <c r="M33" i="14"/>
  <c r="N186" i="14"/>
  <c r="O34" i="14"/>
  <c r="J200" i="14"/>
  <c r="I201" i="14" s="1"/>
  <c r="M35" i="14"/>
  <c r="N188" i="14"/>
  <c r="O36" i="14"/>
  <c r="N117" i="14"/>
  <c r="N192" i="14"/>
  <c r="O40" i="14"/>
  <c r="M39" i="14"/>
  <c r="N121" i="14"/>
  <c r="K201" i="14"/>
  <c r="J202" i="14" s="1"/>
  <c r="N194" i="14"/>
  <c r="M41" i="14"/>
  <c r="N123" i="14"/>
  <c r="O42" i="14"/>
  <c r="L196" i="14"/>
  <c r="K197" i="14" s="1"/>
  <c r="J198" i="14" s="1"/>
  <c r="N206" i="14"/>
  <c r="N135" i="14"/>
  <c r="O54" i="14"/>
  <c r="M53" i="14"/>
  <c r="K205" i="14"/>
  <c r="J206" i="14" s="1"/>
  <c r="L135" i="14"/>
  <c r="K136" i="14" s="1"/>
  <c r="L133" i="14"/>
  <c r="K134" i="14" s="1"/>
  <c r="J135" i="14" s="1"/>
  <c r="N127" i="14"/>
  <c r="O46" i="14"/>
  <c r="N198" i="14"/>
  <c r="M45" i="14"/>
  <c r="L117" i="14"/>
  <c r="K118" i="14" s="1"/>
  <c r="M37" i="14"/>
  <c r="N119" i="14"/>
  <c r="O38" i="14"/>
  <c r="N190" i="14"/>
  <c r="L121" i="14"/>
  <c r="K122" i="14" s="1"/>
  <c r="J123" i="14" s="1"/>
  <c r="N200" i="14"/>
  <c r="M47" i="14"/>
  <c r="N129" i="14"/>
  <c r="O48" i="14"/>
  <c r="L194" i="14"/>
  <c r="K195" i="14" s="1"/>
  <c r="J196" i="14" s="1"/>
  <c r="I197" i="14" s="1"/>
  <c r="L206" i="14"/>
  <c r="K207" i="14" s="1"/>
  <c r="O203" i="14"/>
  <c r="N50" i="14"/>
  <c r="P51" i="14"/>
  <c r="O132" i="14"/>
  <c r="N184" i="14"/>
  <c r="M31" i="14"/>
  <c r="O30" i="14"/>
  <c r="O32" i="14"/>
  <c r="N113" i="14"/>
  <c r="L127" i="14"/>
  <c r="K128" i="14" s="1"/>
  <c r="J129" i="14" s="1"/>
  <c r="N208" i="14"/>
  <c r="N137" i="14"/>
  <c r="M55" i="14"/>
  <c r="O56" i="14"/>
  <c r="L190" i="14"/>
  <c r="K191" i="14" s="1"/>
  <c r="K193" i="14" l="1"/>
  <c r="J194" i="14" s="1"/>
  <c r="I195" i="14" s="1"/>
  <c r="H196" i="14" s="1"/>
  <c r="J192" i="14"/>
  <c r="I193" i="14" s="1"/>
  <c r="H194" i="14" s="1"/>
  <c r="G195" i="14" s="1"/>
  <c r="N48" i="14"/>
  <c r="O130" i="14"/>
  <c r="P49" i="14"/>
  <c r="O201" i="14"/>
  <c r="N46" i="14"/>
  <c r="O128" i="14"/>
  <c r="O199" i="14"/>
  <c r="P47" i="14"/>
  <c r="I199" i="14"/>
  <c r="H200" i="14" s="1"/>
  <c r="N36" i="14"/>
  <c r="P37" i="14"/>
  <c r="O189" i="14"/>
  <c r="O118" i="14"/>
  <c r="O116" i="14"/>
  <c r="P35" i="14"/>
  <c r="O187" i="14"/>
  <c r="N34" i="14"/>
  <c r="K189" i="14"/>
  <c r="N32" i="14"/>
  <c r="P33" i="14"/>
  <c r="O185" i="14"/>
  <c r="O114" i="14"/>
  <c r="J119" i="14"/>
  <c r="I120" i="14" s="1"/>
  <c r="H121" i="14" s="1"/>
  <c r="K132" i="14"/>
  <c r="O207" i="14"/>
  <c r="O136" i="14"/>
  <c r="N54" i="14"/>
  <c r="P55" i="14"/>
  <c r="O195" i="14"/>
  <c r="O124" i="14"/>
  <c r="P43" i="14"/>
  <c r="N42" i="14"/>
  <c r="O193" i="14"/>
  <c r="N40" i="14"/>
  <c r="O122" i="14"/>
  <c r="P41" i="14"/>
  <c r="O205" i="14"/>
  <c r="N52" i="14"/>
  <c r="O134" i="14"/>
  <c r="P53" i="14"/>
  <c r="Z222" i="14"/>
  <c r="Z151" i="14"/>
  <c r="AA70" i="14"/>
  <c r="O209" i="14"/>
  <c r="N56" i="14"/>
  <c r="O138" i="14"/>
  <c r="P57" i="14"/>
  <c r="O112" i="14"/>
  <c r="O183" i="14"/>
  <c r="P31" i="14"/>
  <c r="P29" i="14"/>
  <c r="N30" i="14"/>
  <c r="P204" i="14"/>
  <c r="P133" i="14"/>
  <c r="Q52" i="14"/>
  <c r="K126" i="14"/>
  <c r="O191" i="14"/>
  <c r="O120" i="14"/>
  <c r="P39" i="14"/>
  <c r="N38" i="14"/>
  <c r="K116" i="14"/>
  <c r="J117" i="14" s="1"/>
  <c r="K120" i="14"/>
  <c r="J121" i="14" s="1"/>
  <c r="I122" i="14" s="1"/>
  <c r="J204" i="14"/>
  <c r="I205" i="14" s="1"/>
  <c r="O197" i="14"/>
  <c r="P45" i="14"/>
  <c r="N44" i="14"/>
  <c r="O126" i="14"/>
  <c r="J127" i="14" l="1"/>
  <c r="I128" i="14" s="1"/>
  <c r="J125" i="14"/>
  <c r="P125" i="14"/>
  <c r="Q44" i="14"/>
  <c r="O43" i="14"/>
  <c r="P196" i="14"/>
  <c r="P117" i="14"/>
  <c r="P188" i="14"/>
  <c r="Q36" i="14"/>
  <c r="O35" i="14"/>
  <c r="P190" i="14"/>
  <c r="P119" i="14"/>
  <c r="Q38" i="14"/>
  <c r="O37" i="14"/>
  <c r="P192" i="14"/>
  <c r="P121" i="14"/>
  <c r="O39" i="14"/>
  <c r="Q40" i="14"/>
  <c r="Q205" i="14"/>
  <c r="Q134" i="14"/>
  <c r="R53" i="14"/>
  <c r="P52" i="14"/>
  <c r="J190" i="14"/>
  <c r="I191" i="14" s="1"/>
  <c r="H192" i="14" s="1"/>
  <c r="G193" i="14" s="1"/>
  <c r="F194" i="14" s="1"/>
  <c r="J188" i="14"/>
  <c r="I189" i="14" s="1"/>
  <c r="H190" i="14" s="1"/>
  <c r="G191" i="14" s="1"/>
  <c r="F192" i="14" s="1"/>
  <c r="E193" i="14" s="1"/>
  <c r="P202" i="14"/>
  <c r="P131" i="14"/>
  <c r="Q50" i="14"/>
  <c r="O49" i="14"/>
  <c r="P111" i="14"/>
  <c r="Q28" i="14"/>
  <c r="P182" i="14"/>
  <c r="Q30" i="14"/>
  <c r="O29" i="14"/>
  <c r="P206" i="14"/>
  <c r="P135" i="14"/>
  <c r="O53" i="14"/>
  <c r="Q54" i="14"/>
  <c r="P194" i="14"/>
  <c r="Q42" i="14"/>
  <c r="P123" i="14"/>
  <c r="O41" i="14"/>
  <c r="I203" i="14"/>
  <c r="P198" i="14"/>
  <c r="P127" i="14"/>
  <c r="O45" i="14"/>
  <c r="Q46" i="14"/>
  <c r="I118" i="14"/>
  <c r="H119" i="14" s="1"/>
  <c r="G120" i="14" s="1"/>
  <c r="O51" i="14"/>
  <c r="P184" i="14"/>
  <c r="Q32" i="14"/>
  <c r="P113" i="14"/>
  <c r="O31" i="14"/>
  <c r="P210" i="14"/>
  <c r="P139" i="14"/>
  <c r="Q58" i="14"/>
  <c r="O57" i="14"/>
  <c r="AA223" i="14"/>
  <c r="AA152" i="14"/>
  <c r="AB71" i="14"/>
  <c r="P208" i="14"/>
  <c r="P137" i="14"/>
  <c r="O55" i="14"/>
  <c r="Q56" i="14"/>
  <c r="J133" i="14"/>
  <c r="I134" i="14" s="1"/>
  <c r="J131" i="14"/>
  <c r="P186" i="14"/>
  <c r="P115" i="14"/>
  <c r="O33" i="14"/>
  <c r="Q34" i="14"/>
  <c r="P200" i="14"/>
  <c r="P129" i="14"/>
  <c r="O47" i="14"/>
  <c r="Q48" i="14"/>
  <c r="H198" i="14"/>
  <c r="G199" i="14" s="1"/>
  <c r="Q209" i="14" l="1"/>
  <c r="Q138" i="14"/>
  <c r="R57" i="14"/>
  <c r="P56" i="14"/>
  <c r="AB153" i="14"/>
  <c r="AB224" i="14"/>
  <c r="AC72" i="14"/>
  <c r="Q211" i="14"/>
  <c r="R59" i="14"/>
  <c r="P58" i="14"/>
  <c r="Q140" i="14"/>
  <c r="Q183" i="14"/>
  <c r="P30" i="14"/>
  <c r="Q112" i="14"/>
  <c r="R31" i="14"/>
  <c r="Q193" i="14"/>
  <c r="Q122" i="14"/>
  <c r="R41" i="14"/>
  <c r="P40" i="14"/>
  <c r="R45" i="14"/>
  <c r="P44" i="14"/>
  <c r="Q126" i="14"/>
  <c r="Q197" i="14"/>
  <c r="Q114" i="14"/>
  <c r="Q185" i="14"/>
  <c r="R33" i="14"/>
  <c r="P32" i="14"/>
  <c r="Q128" i="14"/>
  <c r="R47" i="14"/>
  <c r="Q199" i="14"/>
  <c r="P46" i="14"/>
  <c r="Q195" i="14"/>
  <c r="R43" i="14"/>
  <c r="P42" i="14"/>
  <c r="Q124" i="14"/>
  <c r="G197" i="14"/>
  <c r="R206" i="14"/>
  <c r="S54" i="14"/>
  <c r="R135" i="14"/>
  <c r="Q130" i="14"/>
  <c r="R49" i="14"/>
  <c r="P48" i="14"/>
  <c r="Q201" i="14"/>
  <c r="P34" i="14"/>
  <c r="Q116" i="14"/>
  <c r="Q187" i="14"/>
  <c r="R35" i="14"/>
  <c r="I132" i="14"/>
  <c r="H133" i="14" s="1"/>
  <c r="I130" i="14"/>
  <c r="H131" i="14" s="1"/>
  <c r="G132" i="14" s="1"/>
  <c r="H204" i="14"/>
  <c r="H202" i="14"/>
  <c r="Q110" i="14"/>
  <c r="Q181" i="14"/>
  <c r="R29" i="14"/>
  <c r="R27" i="14"/>
  <c r="P28" i="14"/>
  <c r="Q191" i="14"/>
  <c r="P38" i="14"/>
  <c r="R39" i="14"/>
  <c r="Q120" i="14"/>
  <c r="Q118" i="14"/>
  <c r="Q189" i="14"/>
  <c r="R37" i="14"/>
  <c r="P36" i="14"/>
  <c r="I126" i="14"/>
  <c r="H127" i="14" s="1"/>
  <c r="I124" i="14"/>
  <c r="Q136" i="14"/>
  <c r="R55" i="14"/>
  <c r="Q207" i="14"/>
  <c r="P54" i="14"/>
  <c r="R51" i="14"/>
  <c r="Q203" i="14"/>
  <c r="P50" i="14"/>
  <c r="Q132" i="14"/>
  <c r="H129" i="14"/>
  <c r="G130" i="14" s="1"/>
  <c r="F131" i="14" s="1"/>
  <c r="R208" i="14" l="1"/>
  <c r="S56" i="14"/>
  <c r="R137" i="14"/>
  <c r="Q55" i="14"/>
  <c r="R202" i="14"/>
  <c r="R131" i="14"/>
  <c r="S50" i="14"/>
  <c r="Q49" i="14"/>
  <c r="S207" i="14"/>
  <c r="R54" i="14"/>
  <c r="S136" i="14"/>
  <c r="T55" i="14"/>
  <c r="R186" i="14"/>
  <c r="Q33" i="14"/>
  <c r="S34" i="14"/>
  <c r="R115" i="14"/>
  <c r="Q31" i="14"/>
  <c r="R113" i="14"/>
  <c r="S32" i="14"/>
  <c r="R184" i="14"/>
  <c r="R204" i="14"/>
  <c r="R133" i="14"/>
  <c r="S52" i="14"/>
  <c r="Q51" i="14"/>
  <c r="R119" i="14"/>
  <c r="Q37" i="14"/>
  <c r="S38" i="14"/>
  <c r="R190" i="14"/>
  <c r="R192" i="14"/>
  <c r="S40" i="14"/>
  <c r="R121" i="14"/>
  <c r="Q39" i="14"/>
  <c r="R196" i="14"/>
  <c r="R125" i="14"/>
  <c r="S44" i="14"/>
  <c r="Q43" i="14"/>
  <c r="R200" i="14"/>
  <c r="R129" i="14"/>
  <c r="S48" i="14"/>
  <c r="Q47" i="14"/>
  <c r="R194" i="14"/>
  <c r="Q41" i="14"/>
  <c r="R123" i="14"/>
  <c r="S42" i="14"/>
  <c r="AD73" i="14"/>
  <c r="AC225" i="14"/>
  <c r="AC154" i="14"/>
  <c r="R210" i="14"/>
  <c r="Q57" i="14"/>
  <c r="S58" i="14"/>
  <c r="R139" i="14"/>
  <c r="H125" i="14"/>
  <c r="G126" i="14" s="1"/>
  <c r="F127" i="14" s="1"/>
  <c r="E128" i="14" s="1"/>
  <c r="D129" i="14" s="1"/>
  <c r="H123" i="14"/>
  <c r="Q27" i="14"/>
  <c r="S26" i="14"/>
  <c r="R180" i="14"/>
  <c r="R109" i="14"/>
  <c r="S28" i="14"/>
  <c r="G203" i="14"/>
  <c r="G201" i="14"/>
  <c r="Q35" i="14"/>
  <c r="R117" i="14"/>
  <c r="S36" i="14"/>
  <c r="R188" i="14"/>
  <c r="F198" i="14"/>
  <c r="F196" i="14"/>
  <c r="G128" i="14"/>
  <c r="F129" i="14" s="1"/>
  <c r="E130" i="14" s="1"/>
  <c r="Q29" i="14"/>
  <c r="R182" i="14"/>
  <c r="S30" i="14"/>
  <c r="R111" i="14"/>
  <c r="Q53" i="14"/>
  <c r="R198" i="14"/>
  <c r="R127" i="14"/>
  <c r="S46" i="14"/>
  <c r="Q45" i="14"/>
  <c r="R212" i="14"/>
  <c r="R141" i="14"/>
  <c r="S60" i="14"/>
  <c r="Q59" i="14"/>
  <c r="F202" i="14" l="1"/>
  <c r="F200" i="14"/>
  <c r="E201" i="14" s="1"/>
  <c r="S195" i="14"/>
  <c r="S124" i="14"/>
  <c r="R42" i="14"/>
  <c r="T43" i="14"/>
  <c r="T137" i="14"/>
  <c r="U56" i="14"/>
  <c r="T208" i="14"/>
  <c r="S55" i="14"/>
  <c r="S213" i="14"/>
  <c r="S142" i="14"/>
  <c r="T61" i="14"/>
  <c r="R60" i="14"/>
  <c r="S199" i="14"/>
  <c r="R46" i="14"/>
  <c r="S128" i="14"/>
  <c r="T47" i="14"/>
  <c r="S189" i="14"/>
  <c r="R36" i="14"/>
  <c r="S118" i="14"/>
  <c r="T37" i="14"/>
  <c r="S179" i="14"/>
  <c r="S108" i="14"/>
  <c r="T27" i="14"/>
  <c r="T25" i="14"/>
  <c r="R26" i="14"/>
  <c r="S201" i="14"/>
  <c r="S130" i="14"/>
  <c r="T49" i="14"/>
  <c r="R48" i="14"/>
  <c r="S197" i="14"/>
  <c r="S126" i="14"/>
  <c r="T45" i="14"/>
  <c r="R44" i="14"/>
  <c r="T39" i="14"/>
  <c r="S191" i="14"/>
  <c r="R38" i="14"/>
  <c r="S120" i="14"/>
  <c r="S134" i="14"/>
  <c r="S205" i="14"/>
  <c r="R52" i="14"/>
  <c r="T53" i="14"/>
  <c r="R32" i="14"/>
  <c r="S185" i="14"/>
  <c r="T33" i="14"/>
  <c r="S114" i="14"/>
  <c r="S187" i="14"/>
  <c r="T35" i="14"/>
  <c r="S116" i="14"/>
  <c r="R34" i="14"/>
  <c r="R50" i="14"/>
  <c r="T51" i="14"/>
  <c r="S132" i="14"/>
  <c r="S203" i="14"/>
  <c r="S183" i="14"/>
  <c r="S112" i="14"/>
  <c r="T31" i="14"/>
  <c r="R30" i="14"/>
  <c r="E197" i="14"/>
  <c r="D198" i="14" s="1"/>
  <c r="C199" i="14" s="1"/>
  <c r="E195" i="14"/>
  <c r="S181" i="14"/>
  <c r="R28" i="14"/>
  <c r="S110" i="14"/>
  <c r="T29" i="14"/>
  <c r="R58" i="14"/>
  <c r="S211" i="14"/>
  <c r="S140" i="14"/>
  <c r="T59" i="14"/>
  <c r="S193" i="14"/>
  <c r="S122" i="14"/>
  <c r="R40" i="14"/>
  <c r="T41" i="14"/>
  <c r="S209" i="14"/>
  <c r="S138" i="14"/>
  <c r="R56" i="14"/>
  <c r="T57" i="14"/>
  <c r="E199" i="14"/>
  <c r="D200" i="14" s="1"/>
  <c r="G124" i="14"/>
  <c r="F125" i="14" s="1"/>
  <c r="E126" i="14" s="1"/>
  <c r="D127" i="14" s="1"/>
  <c r="C128" i="14" s="1"/>
  <c r="G122" i="14"/>
  <c r="AD226" i="14"/>
  <c r="AD155" i="14"/>
  <c r="AE74" i="14"/>
  <c r="F123" i="14" l="1"/>
  <c r="E124" i="14" s="1"/>
  <c r="D125" i="14" s="1"/>
  <c r="C126" i="14" s="1"/>
  <c r="B127" i="14" s="1"/>
  <c r="F121" i="14"/>
  <c r="E122" i="14" s="1"/>
  <c r="D123" i="14" s="1"/>
  <c r="C124" i="14" s="1"/>
  <c r="B125" i="14" s="1"/>
  <c r="A126" i="14" s="1"/>
  <c r="T121" i="14"/>
  <c r="U40" i="14"/>
  <c r="T192" i="14"/>
  <c r="S39" i="14"/>
  <c r="V57" i="14"/>
  <c r="U138" i="14"/>
  <c r="U209" i="14"/>
  <c r="AE227" i="14"/>
  <c r="AE156" i="14"/>
  <c r="T206" i="14"/>
  <c r="S53" i="14"/>
  <c r="T135" i="14"/>
  <c r="U54" i="14"/>
  <c r="T184" i="14"/>
  <c r="T113" i="14"/>
  <c r="U32" i="14"/>
  <c r="S31" i="14"/>
  <c r="T115" i="14"/>
  <c r="U34" i="14"/>
  <c r="T186" i="14"/>
  <c r="S33" i="14"/>
  <c r="T198" i="14"/>
  <c r="T127" i="14"/>
  <c r="S45" i="14"/>
  <c r="U46" i="14"/>
  <c r="T202" i="14"/>
  <c r="T131" i="14"/>
  <c r="U50" i="14"/>
  <c r="S49" i="14"/>
  <c r="T178" i="14"/>
  <c r="T107" i="14"/>
  <c r="U24" i="14"/>
  <c r="U26" i="14"/>
  <c r="S25" i="14"/>
  <c r="T190" i="14"/>
  <c r="U38" i="14"/>
  <c r="S37" i="14"/>
  <c r="T119" i="14"/>
  <c r="T129" i="14"/>
  <c r="T200" i="14"/>
  <c r="S47" i="14"/>
  <c r="U48" i="14"/>
  <c r="T125" i="14"/>
  <c r="T196" i="14"/>
  <c r="U44" i="14"/>
  <c r="S43" i="14"/>
  <c r="T210" i="14"/>
  <c r="T139" i="14"/>
  <c r="U58" i="14"/>
  <c r="S57" i="14"/>
  <c r="T123" i="14"/>
  <c r="U42" i="14"/>
  <c r="S41" i="14"/>
  <c r="T194" i="14"/>
  <c r="T141" i="14"/>
  <c r="T212" i="14"/>
  <c r="U60" i="14"/>
  <c r="S59" i="14"/>
  <c r="T182" i="14"/>
  <c r="U30" i="14"/>
  <c r="S29" i="14"/>
  <c r="T111" i="14"/>
  <c r="D196" i="14"/>
  <c r="C197" i="14" s="1"/>
  <c r="B198" i="14" s="1"/>
  <c r="D194" i="14"/>
  <c r="C195" i="14" s="1"/>
  <c r="B196" i="14" s="1"/>
  <c r="A197" i="14" s="1"/>
  <c r="H5" i="14" s="1"/>
  <c r="T133" i="14"/>
  <c r="S51" i="14"/>
  <c r="T204" i="14"/>
  <c r="U52" i="14"/>
  <c r="T188" i="14"/>
  <c r="T117" i="14"/>
  <c r="U36" i="14"/>
  <c r="S35" i="14"/>
  <c r="T180" i="14"/>
  <c r="U28" i="14"/>
  <c r="T109" i="14"/>
  <c r="S27" i="14"/>
  <c r="T214" i="14"/>
  <c r="T143" i="14"/>
  <c r="U62" i="14"/>
  <c r="S61" i="14"/>
  <c r="U142" i="14" l="1"/>
  <c r="V61" i="14"/>
  <c r="T60" i="14"/>
  <c r="U213" i="14"/>
  <c r="U140" i="14"/>
  <c r="V59" i="14"/>
  <c r="U211" i="14"/>
  <c r="T58" i="14"/>
  <c r="U126" i="14"/>
  <c r="V45" i="14"/>
  <c r="T44" i="14"/>
  <c r="U197" i="14"/>
  <c r="T26" i="14"/>
  <c r="V27" i="14"/>
  <c r="U179" i="14"/>
  <c r="U108" i="14"/>
  <c r="U199" i="14"/>
  <c r="V47" i="14"/>
  <c r="T46" i="14"/>
  <c r="U128" i="14"/>
  <c r="U207" i="14"/>
  <c r="V55" i="14"/>
  <c r="T54" i="14"/>
  <c r="U136" i="14"/>
  <c r="T56" i="14"/>
  <c r="U193" i="14"/>
  <c r="V41" i="14"/>
  <c r="U122" i="14"/>
  <c r="T40" i="14"/>
  <c r="U134" i="14"/>
  <c r="U205" i="14"/>
  <c r="V53" i="14"/>
  <c r="T52" i="14"/>
  <c r="U183" i="14"/>
  <c r="T30" i="14"/>
  <c r="V31" i="14"/>
  <c r="U112" i="14"/>
  <c r="U195" i="14"/>
  <c r="V43" i="14"/>
  <c r="T42" i="14"/>
  <c r="U124" i="14"/>
  <c r="U191" i="14"/>
  <c r="V39" i="14"/>
  <c r="T38" i="14"/>
  <c r="U120" i="14"/>
  <c r="U177" i="14"/>
  <c r="U106" i="14"/>
  <c r="T24" i="14"/>
  <c r="V25" i="14"/>
  <c r="V23" i="14"/>
  <c r="U203" i="14"/>
  <c r="U132" i="14"/>
  <c r="V51" i="14"/>
  <c r="T50" i="14"/>
  <c r="U185" i="14"/>
  <c r="U114" i="14"/>
  <c r="T32" i="14"/>
  <c r="V33" i="14"/>
  <c r="V139" i="14"/>
  <c r="W58" i="14"/>
  <c r="V210" i="14"/>
  <c r="V63" i="14"/>
  <c r="T62" i="14"/>
  <c r="U144" i="14"/>
  <c r="U215" i="14"/>
  <c r="U189" i="14"/>
  <c r="U118" i="14"/>
  <c r="V37" i="14"/>
  <c r="T36" i="14"/>
  <c r="T34" i="14"/>
  <c r="U187" i="14"/>
  <c r="U116" i="14"/>
  <c r="V35" i="14"/>
  <c r="U181" i="14"/>
  <c r="U110" i="14"/>
  <c r="V29" i="14"/>
  <c r="T28" i="14"/>
  <c r="U201" i="14"/>
  <c r="U130" i="14"/>
  <c r="V49" i="14"/>
  <c r="T48" i="14"/>
  <c r="W211" i="14" l="1"/>
  <c r="W140" i="14"/>
  <c r="X59" i="14"/>
  <c r="V113" i="14"/>
  <c r="U31" i="14"/>
  <c r="W32" i="14"/>
  <c r="V184" i="14"/>
  <c r="V135" i="14"/>
  <c r="V206" i="14"/>
  <c r="W54" i="14"/>
  <c r="U53" i="14"/>
  <c r="V216" i="14"/>
  <c r="V145" i="14"/>
  <c r="W64" i="14"/>
  <c r="U63" i="14"/>
  <c r="W40" i="14"/>
  <c r="U39" i="14"/>
  <c r="V192" i="14"/>
  <c r="V121" i="14"/>
  <c r="V196" i="14"/>
  <c r="V125" i="14"/>
  <c r="W44" i="14"/>
  <c r="U43" i="14"/>
  <c r="V194" i="14"/>
  <c r="U41" i="14"/>
  <c r="V123" i="14"/>
  <c r="W42" i="14"/>
  <c r="V188" i="14"/>
  <c r="V117" i="14"/>
  <c r="U35" i="14"/>
  <c r="W36" i="14"/>
  <c r="V186" i="14"/>
  <c r="U33" i="14"/>
  <c r="V115" i="14"/>
  <c r="W34" i="14"/>
  <c r="V176" i="14"/>
  <c r="U23" i="14"/>
  <c r="V105" i="14"/>
  <c r="W22" i="14"/>
  <c r="W24" i="14"/>
  <c r="V208" i="14"/>
  <c r="U55" i="14"/>
  <c r="V137" i="14"/>
  <c r="W56" i="14"/>
  <c r="V200" i="14"/>
  <c r="W48" i="14"/>
  <c r="V129" i="14"/>
  <c r="U47" i="14"/>
  <c r="U27" i="14"/>
  <c r="V180" i="14"/>
  <c r="V109" i="14"/>
  <c r="W28" i="14"/>
  <c r="V127" i="14"/>
  <c r="V198" i="14"/>
  <c r="U45" i="14"/>
  <c r="W46" i="14"/>
  <c r="V212" i="14"/>
  <c r="V141" i="14"/>
  <c r="W60" i="14"/>
  <c r="U59" i="14"/>
  <c r="V143" i="14"/>
  <c r="U61" i="14"/>
  <c r="V214" i="14"/>
  <c r="W62" i="14"/>
  <c r="V131" i="14"/>
  <c r="V202" i="14"/>
  <c r="W50" i="14"/>
  <c r="U49" i="14"/>
  <c r="V182" i="14"/>
  <c r="U29" i="14"/>
  <c r="V111" i="14"/>
  <c r="W30" i="14"/>
  <c r="U37" i="14"/>
  <c r="V190" i="14"/>
  <c r="W38" i="14"/>
  <c r="V119" i="14"/>
  <c r="U57" i="14"/>
  <c r="V204" i="14"/>
  <c r="W52" i="14"/>
  <c r="V133" i="14"/>
  <c r="U51" i="14"/>
  <c r="V107" i="14"/>
  <c r="U25" i="14"/>
  <c r="V178" i="14"/>
  <c r="W26" i="14"/>
  <c r="W205" i="14" l="1"/>
  <c r="X53" i="14"/>
  <c r="W134" i="14"/>
  <c r="V52" i="14"/>
  <c r="W191" i="14"/>
  <c r="W120" i="14"/>
  <c r="X39" i="14"/>
  <c r="V38" i="14"/>
  <c r="W203" i="14"/>
  <c r="W132" i="14"/>
  <c r="V50" i="14"/>
  <c r="X51" i="14"/>
  <c r="W213" i="14"/>
  <c r="W142" i="14"/>
  <c r="X61" i="14"/>
  <c r="V60" i="14"/>
  <c r="W175" i="14"/>
  <c r="W104" i="14"/>
  <c r="X23" i="14"/>
  <c r="X21" i="14"/>
  <c r="V22" i="14"/>
  <c r="W187" i="14"/>
  <c r="W116" i="14"/>
  <c r="X35" i="14"/>
  <c r="V34" i="14"/>
  <c r="W189" i="14"/>
  <c r="V36" i="14"/>
  <c r="X37" i="14"/>
  <c r="W118" i="14"/>
  <c r="W124" i="14"/>
  <c r="V42" i="14"/>
  <c r="W195" i="14"/>
  <c r="X43" i="14"/>
  <c r="X141" i="14"/>
  <c r="Y60" i="14"/>
  <c r="W59" i="14"/>
  <c r="X212" i="14"/>
  <c r="W201" i="14"/>
  <c r="X49" i="14"/>
  <c r="V48" i="14"/>
  <c r="W130" i="14"/>
  <c r="W197" i="14"/>
  <c r="W126" i="14"/>
  <c r="X45" i="14"/>
  <c r="V44" i="14"/>
  <c r="W217" i="14"/>
  <c r="W146" i="14"/>
  <c r="X65" i="14"/>
  <c r="V64" i="14"/>
  <c r="V54" i="14"/>
  <c r="X55" i="14"/>
  <c r="W136" i="14"/>
  <c r="W207" i="14"/>
  <c r="W185" i="14"/>
  <c r="W114" i="14"/>
  <c r="V32" i="14"/>
  <c r="X33" i="14"/>
  <c r="W108" i="14"/>
  <c r="W179" i="14"/>
  <c r="X27" i="14"/>
  <c r="V26" i="14"/>
  <c r="V58" i="14"/>
  <c r="W112" i="14"/>
  <c r="X31" i="14"/>
  <c r="W183" i="14"/>
  <c r="V30" i="14"/>
  <c r="V62" i="14"/>
  <c r="W144" i="14"/>
  <c r="X63" i="14"/>
  <c r="W215" i="14"/>
  <c r="W199" i="14"/>
  <c r="W128" i="14"/>
  <c r="V46" i="14"/>
  <c r="X47" i="14"/>
  <c r="V28" i="14"/>
  <c r="W181" i="14"/>
  <c r="X29" i="14"/>
  <c r="W110" i="14"/>
  <c r="W209" i="14"/>
  <c r="X57" i="14"/>
  <c r="W138" i="14"/>
  <c r="V56" i="14"/>
  <c r="W177" i="14"/>
  <c r="W106" i="14"/>
  <c r="V24" i="14"/>
  <c r="X25" i="14"/>
  <c r="W193" i="14"/>
  <c r="W122" i="14"/>
  <c r="X41" i="14"/>
  <c r="V40" i="14"/>
  <c r="X210" i="14" l="1"/>
  <c r="W57" i="14"/>
  <c r="Y58" i="14"/>
  <c r="X139" i="14"/>
  <c r="X184" i="14"/>
  <c r="Y32" i="14"/>
  <c r="W31" i="14"/>
  <c r="X113" i="14"/>
  <c r="X180" i="14"/>
  <c r="X109" i="14"/>
  <c r="Y28" i="14"/>
  <c r="W27" i="14"/>
  <c r="X218" i="14"/>
  <c r="Y66" i="14"/>
  <c r="W65" i="14"/>
  <c r="X147" i="14"/>
  <c r="X198" i="14"/>
  <c r="Y46" i="14"/>
  <c r="W45" i="14"/>
  <c r="X127" i="14"/>
  <c r="X119" i="14"/>
  <c r="X190" i="14"/>
  <c r="Y38" i="14"/>
  <c r="W37" i="14"/>
  <c r="X117" i="14"/>
  <c r="Y36" i="14"/>
  <c r="X188" i="14"/>
  <c r="W35" i="14"/>
  <c r="X103" i="14"/>
  <c r="X174" i="14"/>
  <c r="W21" i="14"/>
  <c r="Y22" i="14"/>
  <c r="Y20" i="14"/>
  <c r="Y52" i="14"/>
  <c r="X204" i="14"/>
  <c r="X133" i="14"/>
  <c r="W51" i="14"/>
  <c r="X137" i="14"/>
  <c r="Y56" i="14"/>
  <c r="X208" i="14"/>
  <c r="W55" i="14"/>
  <c r="X202" i="14"/>
  <c r="Y50" i="14"/>
  <c r="X131" i="14"/>
  <c r="W49" i="14"/>
  <c r="Y213" i="14"/>
  <c r="Y142" i="14"/>
  <c r="Z61" i="14"/>
  <c r="X176" i="14"/>
  <c r="X105" i="14"/>
  <c r="Y24" i="14"/>
  <c r="W23" i="14"/>
  <c r="X214" i="14"/>
  <c r="X143" i="14"/>
  <c r="Y62" i="14"/>
  <c r="W61" i="14"/>
  <c r="X192" i="14"/>
  <c r="Y40" i="14"/>
  <c r="X121" i="14"/>
  <c r="W39" i="14"/>
  <c r="X178" i="14"/>
  <c r="X107" i="14"/>
  <c r="W25" i="14"/>
  <c r="Y26" i="14"/>
  <c r="Y48" i="14"/>
  <c r="W47" i="14"/>
  <c r="X200" i="14"/>
  <c r="X129" i="14"/>
  <c r="X206" i="14"/>
  <c r="X135" i="14"/>
  <c r="Y54" i="14"/>
  <c r="W53" i="14"/>
  <c r="X194" i="14"/>
  <c r="Y42" i="14"/>
  <c r="X123" i="14"/>
  <c r="W41" i="14"/>
  <c r="X182" i="14"/>
  <c r="X111" i="14"/>
  <c r="Y30" i="14"/>
  <c r="W29" i="14"/>
  <c r="X145" i="14"/>
  <c r="Y64" i="14"/>
  <c r="W63" i="14"/>
  <c r="X216" i="14"/>
  <c r="X186" i="14"/>
  <c r="X115" i="14"/>
  <c r="W33" i="14"/>
  <c r="Y34" i="14"/>
  <c r="X196" i="14"/>
  <c r="X125" i="14"/>
  <c r="Y44" i="14"/>
  <c r="W43" i="14"/>
  <c r="Y197" i="14" l="1"/>
  <c r="Z45" i="14"/>
  <c r="X44" i="14"/>
  <c r="Y126" i="14"/>
  <c r="X30" i="14"/>
  <c r="Y183" i="14"/>
  <c r="Z31" i="14"/>
  <c r="Y112" i="14"/>
  <c r="Y207" i="14"/>
  <c r="Y136" i="14"/>
  <c r="Z55" i="14"/>
  <c r="X54" i="14"/>
  <c r="Y144" i="14"/>
  <c r="Y215" i="14"/>
  <c r="Z63" i="14"/>
  <c r="X62" i="14"/>
  <c r="Y106" i="14"/>
  <c r="Y177" i="14"/>
  <c r="Z25" i="14"/>
  <c r="X24" i="14"/>
  <c r="Z214" i="14"/>
  <c r="AA62" i="14"/>
  <c r="Z143" i="14"/>
  <c r="Y104" i="14"/>
  <c r="X22" i="14"/>
  <c r="Y175" i="14"/>
  <c r="Z23" i="14"/>
  <c r="Y217" i="14"/>
  <c r="Y146" i="14"/>
  <c r="Z65" i="14"/>
  <c r="X64" i="14"/>
  <c r="Z43" i="14"/>
  <c r="Y195" i="14"/>
  <c r="Y124" i="14"/>
  <c r="X42" i="14"/>
  <c r="Y122" i="14"/>
  <c r="Z41" i="14"/>
  <c r="Y193" i="14"/>
  <c r="X40" i="14"/>
  <c r="Z51" i="14"/>
  <c r="Y132" i="14"/>
  <c r="Y203" i="14"/>
  <c r="X50" i="14"/>
  <c r="Y138" i="14"/>
  <c r="Z57" i="14"/>
  <c r="X56" i="14"/>
  <c r="Y209" i="14"/>
  <c r="Z39" i="14"/>
  <c r="Y120" i="14"/>
  <c r="X38" i="14"/>
  <c r="Y191" i="14"/>
  <c r="Y110" i="14"/>
  <c r="Y181" i="14"/>
  <c r="Z29" i="14"/>
  <c r="X28" i="14"/>
  <c r="Y211" i="14"/>
  <c r="Y140" i="14"/>
  <c r="Z59" i="14"/>
  <c r="X58" i="14"/>
  <c r="Y130" i="14"/>
  <c r="Z49" i="14"/>
  <c r="X48" i="14"/>
  <c r="Y201" i="14"/>
  <c r="Z53" i="14"/>
  <c r="X52" i="14"/>
  <c r="Y205" i="14"/>
  <c r="Y134" i="14"/>
  <c r="Y118" i="14"/>
  <c r="Z37" i="14"/>
  <c r="Y189" i="14"/>
  <c r="X36" i="14"/>
  <c r="Y128" i="14"/>
  <c r="Z47" i="14"/>
  <c r="Y199" i="14"/>
  <c r="X46" i="14"/>
  <c r="Y219" i="14"/>
  <c r="Z67" i="14"/>
  <c r="Y148" i="14"/>
  <c r="X66" i="14"/>
  <c r="Y114" i="14"/>
  <c r="Y185" i="14"/>
  <c r="Z33" i="14"/>
  <c r="X32" i="14"/>
  <c r="Y187" i="14"/>
  <c r="Y116" i="14"/>
  <c r="X34" i="14"/>
  <c r="Z35" i="14"/>
  <c r="Y179" i="14"/>
  <c r="X26" i="14"/>
  <c r="Y108" i="14"/>
  <c r="Z27" i="14"/>
  <c r="X60" i="14"/>
  <c r="Y102" i="14"/>
  <c r="Y173" i="14"/>
  <c r="Z21" i="14"/>
  <c r="X20" i="14"/>
  <c r="Z19" i="14"/>
  <c r="Z174" i="14" l="1"/>
  <c r="Y21" i="14"/>
  <c r="AA22" i="14"/>
  <c r="Z103" i="14"/>
  <c r="Z180" i="14"/>
  <c r="Z109" i="14"/>
  <c r="Y27" i="14"/>
  <c r="AA28" i="14"/>
  <c r="Y35" i="14"/>
  <c r="Z188" i="14"/>
  <c r="AA36" i="14"/>
  <c r="Z117" i="14"/>
  <c r="Y23" i="14"/>
  <c r="Z105" i="14"/>
  <c r="AA24" i="14"/>
  <c r="Z176" i="14"/>
  <c r="Y33" i="14"/>
  <c r="AA34" i="14"/>
  <c r="Z186" i="14"/>
  <c r="Z115" i="14"/>
  <c r="Z212" i="14"/>
  <c r="Z141" i="14"/>
  <c r="AA60" i="14"/>
  <c r="Y59" i="14"/>
  <c r="Z111" i="14"/>
  <c r="Y29" i="14"/>
  <c r="AA30" i="14"/>
  <c r="Z182" i="14"/>
  <c r="Z218" i="14"/>
  <c r="Z147" i="14"/>
  <c r="Y65" i="14"/>
  <c r="AA66" i="14"/>
  <c r="AA215" i="14"/>
  <c r="AB63" i="14"/>
  <c r="AA144" i="14"/>
  <c r="Z178" i="14"/>
  <c r="Y25" i="14"/>
  <c r="AA26" i="14"/>
  <c r="Z107" i="14"/>
  <c r="Z216" i="14"/>
  <c r="Z145" i="14"/>
  <c r="Y63" i="14"/>
  <c r="AA64" i="14"/>
  <c r="Z208" i="14"/>
  <c r="Z137" i="14"/>
  <c r="Y55" i="14"/>
  <c r="AA56" i="14"/>
  <c r="Y31" i="14"/>
  <c r="Z184" i="14"/>
  <c r="Z113" i="14"/>
  <c r="AA32" i="14"/>
  <c r="Z172" i="14"/>
  <c r="Y19" i="14"/>
  <c r="Z101" i="14"/>
  <c r="AA20" i="14"/>
  <c r="AA18" i="14"/>
  <c r="Z149" i="14"/>
  <c r="Y67" i="14"/>
  <c r="Z220" i="14"/>
  <c r="AA68" i="14"/>
  <c r="Z200" i="14"/>
  <c r="Z129" i="14"/>
  <c r="Y47" i="14"/>
  <c r="AA48" i="14"/>
  <c r="Z190" i="14"/>
  <c r="Y37" i="14"/>
  <c r="Z119" i="14"/>
  <c r="AA38" i="14"/>
  <c r="Z202" i="14"/>
  <c r="Z131" i="14"/>
  <c r="Y49" i="14"/>
  <c r="AA50" i="14"/>
  <c r="Z139" i="14"/>
  <c r="AA58" i="14"/>
  <c r="Z210" i="14"/>
  <c r="Y57" i="14"/>
  <c r="Z194" i="14"/>
  <c r="Z123" i="14"/>
  <c r="AA42" i="14"/>
  <c r="Y41" i="14"/>
  <c r="Y61" i="14"/>
  <c r="Y45" i="14"/>
  <c r="AA46" i="14"/>
  <c r="Z127" i="14"/>
  <c r="Z198" i="14"/>
  <c r="Z206" i="14"/>
  <c r="Z135" i="14"/>
  <c r="AA54" i="14"/>
  <c r="Y53" i="14"/>
  <c r="Z192" i="14"/>
  <c r="AA40" i="14"/>
  <c r="Z121" i="14"/>
  <c r="Y39" i="14"/>
  <c r="Z204" i="14"/>
  <c r="Z133" i="14"/>
  <c r="Y51" i="14"/>
  <c r="AA52" i="14"/>
  <c r="Z196" i="14"/>
  <c r="AA44" i="14"/>
  <c r="Y43" i="14"/>
  <c r="Z125" i="14"/>
  <c r="AA197" i="14" l="1"/>
  <c r="AA126" i="14"/>
  <c r="AB45" i="14"/>
  <c r="Z44" i="14"/>
  <c r="Z40" i="14"/>
  <c r="AB41" i="14"/>
  <c r="AA193" i="14"/>
  <c r="AA122" i="14"/>
  <c r="AA199" i="14"/>
  <c r="Z46" i="14"/>
  <c r="AB47" i="14"/>
  <c r="AA128" i="14"/>
  <c r="AA195" i="14"/>
  <c r="AB43" i="14"/>
  <c r="AA124" i="14"/>
  <c r="Z42" i="14"/>
  <c r="Z20" i="14"/>
  <c r="AB21" i="14"/>
  <c r="AA173" i="14"/>
  <c r="AA102" i="14"/>
  <c r="Z32" i="14"/>
  <c r="AB33" i="14"/>
  <c r="AA185" i="14"/>
  <c r="AA114" i="14"/>
  <c r="AA209" i="14"/>
  <c r="AB57" i="14"/>
  <c r="AA138" i="14"/>
  <c r="Z56" i="14"/>
  <c r="AA217" i="14"/>
  <c r="AA146" i="14"/>
  <c r="Z64" i="14"/>
  <c r="AB65" i="14"/>
  <c r="AA219" i="14"/>
  <c r="AA148" i="14"/>
  <c r="Z66" i="14"/>
  <c r="AB67" i="14"/>
  <c r="Z28" i="14"/>
  <c r="AB29" i="14"/>
  <c r="AA110" i="14"/>
  <c r="AA181" i="14"/>
  <c r="Z58" i="14"/>
  <c r="AA140" i="14"/>
  <c r="AB59" i="14"/>
  <c r="AA211" i="14"/>
  <c r="AA179" i="14"/>
  <c r="AA108" i="14"/>
  <c r="AB27" i="14"/>
  <c r="Z26" i="14"/>
  <c r="AB145" i="14"/>
  <c r="AB216" i="14"/>
  <c r="AC64" i="14"/>
  <c r="AA63" i="14"/>
  <c r="AA183" i="14"/>
  <c r="AA112" i="14"/>
  <c r="AB31" i="14"/>
  <c r="Z30" i="14"/>
  <c r="AA213" i="14"/>
  <c r="AB61" i="14"/>
  <c r="Z60" i="14"/>
  <c r="AA142" i="14"/>
  <c r="Z24" i="14"/>
  <c r="AB25" i="14"/>
  <c r="AA177" i="14"/>
  <c r="AA106" i="14"/>
  <c r="Z36" i="14"/>
  <c r="AB37" i="14"/>
  <c r="AA189" i="14"/>
  <c r="AA118" i="14"/>
  <c r="AA175" i="14"/>
  <c r="AB23" i="14"/>
  <c r="Z22" i="14"/>
  <c r="AA104" i="14"/>
  <c r="AA205" i="14"/>
  <c r="AA134" i="14"/>
  <c r="AB53" i="14"/>
  <c r="Z52" i="14"/>
  <c r="Z62" i="14"/>
  <c r="AA187" i="14"/>
  <c r="AB35" i="14"/>
  <c r="Z34" i="14"/>
  <c r="AA116" i="14"/>
  <c r="AA207" i="14"/>
  <c r="AA136" i="14"/>
  <c r="Z54" i="14"/>
  <c r="AB55" i="14"/>
  <c r="AA203" i="14"/>
  <c r="Z50" i="14"/>
  <c r="AA132" i="14"/>
  <c r="AB51" i="14"/>
  <c r="AA191" i="14"/>
  <c r="AB39" i="14"/>
  <c r="AA120" i="14"/>
  <c r="Z38" i="14"/>
  <c r="AA201" i="14"/>
  <c r="Z48" i="14"/>
  <c r="AB49" i="14"/>
  <c r="AA130" i="14"/>
  <c r="AA221" i="14"/>
  <c r="AB69" i="14"/>
  <c r="Z68" i="14"/>
  <c r="AA150" i="14"/>
  <c r="AA171" i="14"/>
  <c r="Z18" i="14"/>
  <c r="AA100" i="14"/>
  <c r="AB19" i="14"/>
  <c r="AB17" i="14"/>
  <c r="AC50" i="14" l="1"/>
  <c r="AB131" i="14"/>
  <c r="AA49" i="14"/>
  <c r="AB202" i="14"/>
  <c r="AB220" i="14"/>
  <c r="AB149" i="14"/>
  <c r="AC68" i="14"/>
  <c r="AA67" i="14"/>
  <c r="AB147" i="14"/>
  <c r="AB218" i="14"/>
  <c r="AC66" i="14"/>
  <c r="AA65" i="14"/>
  <c r="AB151" i="14"/>
  <c r="AC70" i="14"/>
  <c r="AB222" i="14"/>
  <c r="AA69" i="14"/>
  <c r="AB192" i="14"/>
  <c r="AB121" i="14"/>
  <c r="AA39" i="14"/>
  <c r="AC40" i="14"/>
  <c r="AB188" i="14"/>
  <c r="AC36" i="14"/>
  <c r="AA35" i="14"/>
  <c r="AB117" i="14"/>
  <c r="AB206" i="14"/>
  <c r="AC54" i="14"/>
  <c r="AB135" i="14"/>
  <c r="AA53" i="14"/>
  <c r="AB113" i="14"/>
  <c r="AB184" i="14"/>
  <c r="AC32" i="14"/>
  <c r="AA31" i="14"/>
  <c r="AD65" i="14"/>
  <c r="AC217" i="14"/>
  <c r="AC146" i="14"/>
  <c r="AB180" i="14"/>
  <c r="AC28" i="14"/>
  <c r="AA27" i="14"/>
  <c r="AB109" i="14"/>
  <c r="AB212" i="14"/>
  <c r="AB141" i="14"/>
  <c r="AC60" i="14"/>
  <c r="AA59" i="14"/>
  <c r="AB129" i="14"/>
  <c r="AC48" i="14"/>
  <c r="AB200" i="14"/>
  <c r="AA47" i="14"/>
  <c r="AA45" i="14"/>
  <c r="AB127" i="14"/>
  <c r="AC46" i="14"/>
  <c r="AB198" i="14"/>
  <c r="AB170" i="14"/>
  <c r="AB99" i="14"/>
  <c r="AC16" i="14"/>
  <c r="AC18" i="14"/>
  <c r="AA17" i="14"/>
  <c r="AB105" i="14"/>
  <c r="AC24" i="14"/>
  <c r="AB176" i="14"/>
  <c r="AA23" i="14"/>
  <c r="AB190" i="14"/>
  <c r="AB119" i="14"/>
  <c r="AC38" i="14"/>
  <c r="AA37" i="14"/>
  <c r="AB107" i="14"/>
  <c r="AC26" i="14"/>
  <c r="AB178" i="14"/>
  <c r="AA25" i="14"/>
  <c r="AB214" i="14"/>
  <c r="AA61" i="14"/>
  <c r="AC62" i="14"/>
  <c r="AB143" i="14"/>
  <c r="AB182" i="14"/>
  <c r="AC30" i="14"/>
  <c r="AB111" i="14"/>
  <c r="AA29" i="14"/>
  <c r="AB139" i="14"/>
  <c r="AB210" i="14"/>
  <c r="AA57" i="14"/>
  <c r="AC58" i="14"/>
  <c r="AB115" i="14"/>
  <c r="AB186" i="14"/>
  <c r="AC34" i="14"/>
  <c r="AA33" i="14"/>
  <c r="AB174" i="14"/>
  <c r="AB103" i="14"/>
  <c r="AC22" i="14"/>
  <c r="AA21" i="14"/>
  <c r="AB196" i="14"/>
  <c r="AB125" i="14"/>
  <c r="AC44" i="14"/>
  <c r="AA43" i="14"/>
  <c r="AB123" i="14"/>
  <c r="AC42" i="14"/>
  <c r="AB194" i="14"/>
  <c r="AA41" i="14"/>
  <c r="AB172" i="14"/>
  <c r="AB101" i="14"/>
  <c r="AA19" i="14"/>
  <c r="AC20" i="14"/>
  <c r="AB204" i="14"/>
  <c r="AB133" i="14"/>
  <c r="AC52" i="14"/>
  <c r="AA51" i="14"/>
  <c r="AB137" i="14"/>
  <c r="AB208" i="14"/>
  <c r="AA55" i="14"/>
  <c r="AC56" i="14"/>
  <c r="AC134" i="14" l="1"/>
  <c r="AD53" i="14"/>
  <c r="AB52" i="14"/>
  <c r="AC205" i="14"/>
  <c r="AC197" i="14"/>
  <c r="AC126" i="14"/>
  <c r="AD45" i="14"/>
  <c r="AB44" i="14"/>
  <c r="AB22" i="14"/>
  <c r="AC175" i="14"/>
  <c r="AC104" i="14"/>
  <c r="AD23" i="14"/>
  <c r="AB34" i="14"/>
  <c r="AD35" i="14"/>
  <c r="AC187" i="14"/>
  <c r="AC116" i="14"/>
  <c r="AC215" i="14"/>
  <c r="AC144" i="14"/>
  <c r="AD63" i="14"/>
  <c r="AB62" i="14"/>
  <c r="AC191" i="14"/>
  <c r="AD39" i="14"/>
  <c r="AB38" i="14"/>
  <c r="AC120" i="14"/>
  <c r="AB18" i="14"/>
  <c r="AC171" i="14"/>
  <c r="AC100" i="14"/>
  <c r="AD19" i="14"/>
  <c r="AC193" i="14"/>
  <c r="AD41" i="14"/>
  <c r="AC122" i="14"/>
  <c r="AB40" i="14"/>
  <c r="AC195" i="14"/>
  <c r="AD43" i="14"/>
  <c r="AC124" i="14"/>
  <c r="AB42" i="14"/>
  <c r="AC183" i="14"/>
  <c r="AC112" i="14"/>
  <c r="AB30" i="14"/>
  <c r="AD31" i="14"/>
  <c r="AC179" i="14"/>
  <c r="AC108" i="14"/>
  <c r="AB26" i="14"/>
  <c r="AD27" i="14"/>
  <c r="AC177" i="14"/>
  <c r="AB24" i="14"/>
  <c r="AC106" i="14"/>
  <c r="AD25" i="14"/>
  <c r="AC169" i="14"/>
  <c r="AD17" i="14"/>
  <c r="AB16" i="14"/>
  <c r="AD15" i="14"/>
  <c r="AD47" i="14"/>
  <c r="AC199" i="14"/>
  <c r="AC128" i="14"/>
  <c r="AB46" i="14"/>
  <c r="AC142" i="14"/>
  <c r="AD61" i="14"/>
  <c r="AB60" i="14"/>
  <c r="AC213" i="14"/>
  <c r="AC185" i="14"/>
  <c r="AB32" i="14"/>
  <c r="AC114" i="14"/>
  <c r="AD33" i="14"/>
  <c r="AC148" i="14"/>
  <c r="AD67" i="14"/>
  <c r="AC219" i="14"/>
  <c r="AB66" i="14"/>
  <c r="AC150" i="14"/>
  <c r="AD69" i="14"/>
  <c r="AB68" i="14"/>
  <c r="AC221" i="14"/>
  <c r="AD49" i="14"/>
  <c r="AB48" i="14"/>
  <c r="AC201" i="14"/>
  <c r="AC130" i="14"/>
  <c r="AC181" i="14"/>
  <c r="AC110" i="14"/>
  <c r="AD29" i="14"/>
  <c r="AB28" i="14"/>
  <c r="AB64" i="14"/>
  <c r="AD55" i="14"/>
  <c r="AC136" i="14"/>
  <c r="AC207" i="14"/>
  <c r="AB54" i="14"/>
  <c r="AC189" i="14"/>
  <c r="AC118" i="14"/>
  <c r="AD37" i="14"/>
  <c r="AB36" i="14"/>
  <c r="AD71" i="14"/>
  <c r="AC223" i="14"/>
  <c r="AC152" i="14"/>
  <c r="AB70" i="14"/>
  <c r="AC209" i="14"/>
  <c r="AC138" i="14"/>
  <c r="AD57" i="14"/>
  <c r="AB56" i="14"/>
  <c r="AC173" i="14"/>
  <c r="AC102" i="14"/>
  <c r="AD21" i="14"/>
  <c r="AB20" i="14"/>
  <c r="AC140" i="14"/>
  <c r="AC211" i="14"/>
  <c r="AD59" i="14"/>
  <c r="AB58" i="14"/>
  <c r="AD147" i="14"/>
  <c r="AD218" i="14"/>
  <c r="AE66" i="14"/>
  <c r="AC132" i="14"/>
  <c r="AD51" i="14"/>
  <c r="AB50" i="14"/>
  <c r="AC203" i="14"/>
  <c r="AD204" i="14" l="1"/>
  <c r="AD133" i="14"/>
  <c r="AC51" i="14"/>
  <c r="AE52" i="14"/>
  <c r="AC29" i="14"/>
  <c r="AE30" i="14"/>
  <c r="AD111" i="14"/>
  <c r="AD182" i="14"/>
  <c r="AD178" i="14"/>
  <c r="AC25" i="14"/>
  <c r="AD107" i="14"/>
  <c r="AE26" i="14"/>
  <c r="AC27" i="14"/>
  <c r="AE28" i="14"/>
  <c r="AD109" i="14"/>
  <c r="AD180" i="14"/>
  <c r="AD184" i="14"/>
  <c r="AC31" i="14"/>
  <c r="AD113" i="14"/>
  <c r="AE32" i="14"/>
  <c r="AD172" i="14"/>
  <c r="AC19" i="14"/>
  <c r="AE20" i="14"/>
  <c r="AD101" i="14"/>
  <c r="AC23" i="14"/>
  <c r="AD176" i="14"/>
  <c r="AD105" i="14"/>
  <c r="AE24" i="14"/>
  <c r="AD224" i="14"/>
  <c r="AD153" i="14"/>
  <c r="AE72" i="14"/>
  <c r="AC71" i="14"/>
  <c r="AD208" i="14"/>
  <c r="AE56" i="14"/>
  <c r="AD137" i="14"/>
  <c r="AC55" i="14"/>
  <c r="AD151" i="14"/>
  <c r="AD222" i="14"/>
  <c r="AE70" i="14"/>
  <c r="AC69" i="14"/>
  <c r="AD220" i="14"/>
  <c r="AD149" i="14"/>
  <c r="AC67" i="14"/>
  <c r="AE68" i="14"/>
  <c r="AD214" i="14"/>
  <c r="AD143" i="14"/>
  <c r="AE62" i="14"/>
  <c r="AC61" i="14"/>
  <c r="AD216" i="14"/>
  <c r="AC63" i="14"/>
  <c r="AD145" i="14"/>
  <c r="AE64" i="14"/>
  <c r="AD198" i="14"/>
  <c r="AD127" i="14"/>
  <c r="AE46" i="14"/>
  <c r="AC45" i="14"/>
  <c r="AE219" i="14"/>
  <c r="AE148" i="14"/>
  <c r="AD131" i="14"/>
  <c r="AC49" i="14"/>
  <c r="AD202" i="14"/>
  <c r="AE50" i="14"/>
  <c r="AD200" i="14"/>
  <c r="AC47" i="14"/>
  <c r="AD129" i="14"/>
  <c r="AE48" i="14"/>
  <c r="AD99" i="14"/>
  <c r="AC17" i="14"/>
  <c r="AE18" i="14"/>
  <c r="AD170" i="14"/>
  <c r="AD196" i="14"/>
  <c r="AD125" i="14"/>
  <c r="AE44" i="14"/>
  <c r="AC43" i="14"/>
  <c r="AD194" i="14"/>
  <c r="AC41" i="14"/>
  <c r="AE42" i="14"/>
  <c r="AD123" i="14"/>
  <c r="AD192" i="14"/>
  <c r="AE40" i="14"/>
  <c r="AD121" i="14"/>
  <c r="AC39" i="14"/>
  <c r="AD188" i="14"/>
  <c r="AC35" i="14"/>
  <c r="AD117" i="14"/>
  <c r="AE36" i="14"/>
  <c r="AD135" i="14"/>
  <c r="AE54" i="14"/>
  <c r="AC53" i="14"/>
  <c r="AD206" i="14"/>
  <c r="AC65" i="14"/>
  <c r="AD212" i="14"/>
  <c r="AD141" i="14"/>
  <c r="AE60" i="14"/>
  <c r="AC59" i="14"/>
  <c r="AC21" i="14"/>
  <c r="AD103" i="14"/>
  <c r="AE22" i="14"/>
  <c r="AD174" i="14"/>
  <c r="AD210" i="14"/>
  <c r="AD139" i="14"/>
  <c r="AC57" i="14"/>
  <c r="AE58" i="14"/>
  <c r="AC37" i="14"/>
  <c r="AE38" i="14"/>
  <c r="AD119" i="14"/>
  <c r="AD190" i="14"/>
  <c r="AD186" i="14"/>
  <c r="AC33" i="14"/>
  <c r="AE34" i="14"/>
  <c r="AD115" i="14"/>
  <c r="AC15" i="14"/>
  <c r="AD168" i="14"/>
  <c r="AE16" i="14"/>
  <c r="AE14" i="14"/>
  <c r="AE96" i="14" l="1"/>
  <c r="AD14" i="14"/>
  <c r="AE167" i="14"/>
  <c r="AC98" i="14"/>
  <c r="AE211" i="14"/>
  <c r="AD58" i="14"/>
  <c r="AE140" i="14"/>
  <c r="AE217" i="14"/>
  <c r="AD64" i="14"/>
  <c r="AE146" i="14"/>
  <c r="AE221" i="14"/>
  <c r="AD68" i="14"/>
  <c r="AE150" i="14"/>
  <c r="AD24" i="14"/>
  <c r="AE106" i="14"/>
  <c r="AE177" i="14"/>
  <c r="AD32" i="14"/>
  <c r="AE114" i="14"/>
  <c r="AE185" i="14"/>
  <c r="AE108" i="14"/>
  <c r="AE179" i="14"/>
  <c r="AD26" i="14"/>
  <c r="AE205" i="14"/>
  <c r="AD52" i="14"/>
  <c r="AE134" i="14"/>
  <c r="AE169" i="14"/>
  <c r="AD16" i="14"/>
  <c r="AE98" i="14"/>
  <c r="AE116" i="14"/>
  <c r="AE187" i="14"/>
  <c r="AD34" i="14"/>
  <c r="AE104" i="14"/>
  <c r="AE175" i="14"/>
  <c r="AD22" i="14"/>
  <c r="AE213" i="14"/>
  <c r="AD60" i="14"/>
  <c r="AE142" i="14"/>
  <c r="AE189" i="14"/>
  <c r="AE118" i="14"/>
  <c r="AD36" i="14"/>
  <c r="AE201" i="14"/>
  <c r="AE130" i="14"/>
  <c r="AD48" i="14"/>
  <c r="AE203" i="14"/>
  <c r="AD50" i="14"/>
  <c r="AE132" i="14"/>
  <c r="AD46" i="14"/>
  <c r="AE128" i="14"/>
  <c r="AE199" i="14"/>
  <c r="AD62" i="14"/>
  <c r="AE215" i="14"/>
  <c r="AE144" i="14"/>
  <c r="AE223" i="14"/>
  <c r="AE152" i="14"/>
  <c r="AD70" i="14"/>
  <c r="AE225" i="14"/>
  <c r="AD72" i="14"/>
  <c r="AE154" i="14"/>
  <c r="AE173" i="14"/>
  <c r="AE102" i="14"/>
  <c r="AD20" i="14"/>
  <c r="AE120" i="14"/>
  <c r="AE191" i="14"/>
  <c r="AD38" i="14"/>
  <c r="AE195" i="14"/>
  <c r="AE124" i="14"/>
  <c r="AD42" i="14"/>
  <c r="AE197" i="14"/>
  <c r="AE126" i="14"/>
  <c r="AD44" i="14"/>
  <c r="AE100" i="14"/>
  <c r="AE171" i="14"/>
  <c r="AD18" i="14"/>
  <c r="AD66" i="14"/>
  <c r="AD56" i="14"/>
  <c r="AE209" i="14"/>
  <c r="AE138" i="14"/>
  <c r="AE181" i="14"/>
  <c r="AE110" i="14"/>
  <c r="AD28" i="14"/>
  <c r="AE112" i="14"/>
  <c r="AE183" i="14"/>
  <c r="AD30" i="14"/>
  <c r="AD97" i="14"/>
  <c r="AD54" i="14"/>
  <c r="AE136" i="14"/>
  <c r="AE207" i="14"/>
  <c r="AE193" i="14"/>
  <c r="AE122" i="14"/>
  <c r="AD40" i="14"/>
  <c r="N92" i="3" l="1"/>
  <c r="O92" i="3" s="1"/>
  <c r="P92" i="3" s="1"/>
  <c r="Q92" i="3" s="1"/>
  <c r="R92" i="3" s="1"/>
  <c r="S92" i="3" s="1"/>
  <c r="T92" i="3" s="1"/>
  <c r="U92" i="3" s="1"/>
  <c r="V92" i="3" s="1"/>
  <c r="W92" i="3" s="1"/>
  <c r="X92" i="3" s="1"/>
  <c r="Y92" i="3" s="1"/>
  <c r="Z92" i="3" s="1"/>
  <c r="AA92" i="3" s="1"/>
  <c r="AB92" i="3" s="1"/>
  <c r="AC92" i="3" s="1"/>
  <c r="AD92" i="3" s="1"/>
  <c r="AE92" i="3" s="1"/>
  <c r="N11" i="3" l="1"/>
  <c r="O11" i="3" s="1"/>
  <c r="P11" i="3" s="1"/>
  <c r="Q11" i="3" s="1"/>
  <c r="R11" i="3" s="1"/>
  <c r="S11" i="3" s="1"/>
  <c r="T11" i="3" s="1"/>
  <c r="U11" i="3" s="1"/>
  <c r="V11" i="3" s="1"/>
  <c r="W11" i="3" s="1"/>
  <c r="X11" i="3" s="1"/>
  <c r="Y11" i="3" s="1"/>
  <c r="Z11" i="3" s="1"/>
  <c r="AA11" i="3" s="1"/>
  <c r="AB11" i="3" s="1"/>
  <c r="AC11" i="3" s="1"/>
  <c r="AD11" i="3" s="1"/>
  <c r="AE11" i="3" s="1"/>
  <c r="E6" i="3"/>
  <c r="B7" i="3"/>
  <c r="B6" i="3"/>
  <c r="C5" i="10"/>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 r="C274" i="10"/>
  <c r="C275" i="10"/>
  <c r="C276" i="10"/>
  <c r="C277" i="10"/>
  <c r="C278" i="10"/>
  <c r="C279" i="10"/>
  <c r="C280" i="10"/>
  <c r="C281" i="10"/>
  <c r="C282" i="10"/>
  <c r="C283" i="10"/>
  <c r="C284" i="10"/>
  <c r="C285" i="10"/>
  <c r="C286" i="10"/>
  <c r="C287" i="10"/>
  <c r="C288" i="10"/>
  <c r="C289" i="10"/>
  <c r="C290" i="10"/>
  <c r="C291" i="10"/>
  <c r="C292" i="10"/>
  <c r="C293" i="10"/>
  <c r="C294" i="10"/>
  <c r="C295" i="10"/>
  <c r="C296" i="10"/>
  <c r="C297" i="10"/>
  <c r="C298" i="10"/>
  <c r="C299" i="10"/>
  <c r="C300" i="10"/>
  <c r="C301" i="10"/>
  <c r="C302" i="10"/>
  <c r="C303" i="10"/>
  <c r="C304" i="10"/>
  <c r="C305" i="10"/>
  <c r="C306" i="10"/>
  <c r="C307" i="10"/>
  <c r="C308" i="10"/>
  <c r="C309" i="10"/>
  <c r="C310" i="10"/>
  <c r="C311" i="10"/>
  <c r="C312" i="10"/>
  <c r="C313" i="10"/>
  <c r="C314" i="10"/>
  <c r="C315" i="10"/>
  <c r="C316" i="10"/>
  <c r="C317" i="10"/>
  <c r="C318" i="10"/>
  <c r="C319" i="10"/>
  <c r="C320" i="10"/>
  <c r="C321" i="10"/>
  <c r="C322" i="10"/>
  <c r="C323" i="10"/>
  <c r="C324" i="10"/>
  <c r="C325" i="10"/>
  <c r="C326" i="10"/>
  <c r="C327" i="10"/>
  <c r="C328" i="10"/>
  <c r="C329" i="10"/>
  <c r="C330" i="10"/>
  <c r="C331" i="10"/>
  <c r="C332" i="10"/>
  <c r="C333" i="10"/>
  <c r="C334" i="10"/>
  <c r="C335" i="10"/>
  <c r="C336" i="10"/>
  <c r="C337" i="10"/>
  <c r="C338" i="10"/>
  <c r="C339" i="10"/>
  <c r="C340" i="10"/>
  <c r="C341" i="10"/>
  <c r="C342" i="10"/>
  <c r="C343" i="10"/>
  <c r="C344" i="10"/>
  <c r="C345" i="10"/>
  <c r="C346" i="10"/>
  <c r="C347" i="10"/>
  <c r="C348" i="10"/>
  <c r="C349" i="10"/>
  <c r="C350" i="10"/>
  <c r="C351" i="10"/>
  <c r="C352" i="10"/>
  <c r="C353" i="10"/>
  <c r="C354" i="10"/>
  <c r="C355" i="10"/>
  <c r="C356" i="10"/>
  <c r="C357" i="10"/>
  <c r="C358" i="10"/>
  <c r="C359" i="10"/>
  <c r="C360" i="10"/>
  <c r="C361" i="10"/>
  <c r="C362" i="10"/>
  <c r="C363" i="10"/>
  <c r="C364" i="10"/>
  <c r="C365" i="10"/>
  <c r="C366" i="10"/>
  <c r="C367" i="10"/>
  <c r="C368" i="10"/>
  <c r="C369" i="10"/>
  <c r="C370" i="10"/>
  <c r="C371" i="10"/>
  <c r="C372" i="10"/>
  <c r="C373" i="10"/>
  <c r="C374" i="10"/>
  <c r="C375" i="10"/>
  <c r="C376" i="10"/>
  <c r="C377" i="10"/>
  <c r="C378" i="10"/>
  <c r="C379" i="10"/>
  <c r="C380" i="10"/>
  <c r="C381" i="10"/>
  <c r="C382" i="10"/>
  <c r="C383" i="10"/>
  <c r="C384" i="10"/>
  <c r="C385" i="10"/>
  <c r="C386" i="10"/>
  <c r="C387" i="10"/>
  <c r="C388" i="10"/>
  <c r="C389" i="10"/>
  <c r="C390" i="10"/>
  <c r="C391" i="10"/>
  <c r="C392" i="10"/>
  <c r="C393" i="10"/>
  <c r="C394" i="10"/>
  <c r="C395" i="10"/>
  <c r="C396" i="10"/>
  <c r="C397" i="10"/>
  <c r="C398" i="10"/>
  <c r="C399" i="10"/>
  <c r="C400" i="10"/>
  <c r="C401" i="10"/>
  <c r="C402" i="10"/>
  <c r="C403" i="10"/>
  <c r="C404" i="10"/>
  <c r="C405" i="10"/>
  <c r="C406" i="10"/>
  <c r="C407" i="10"/>
  <c r="C408" i="10"/>
  <c r="C409" i="10"/>
  <c r="C410" i="10"/>
  <c r="C411" i="10"/>
  <c r="C412" i="10"/>
  <c r="C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42" i="10"/>
  <c r="C443" i="10"/>
  <c r="C444" i="10"/>
  <c r="C445" i="10"/>
  <c r="C446" i="10"/>
  <c r="C447" i="10"/>
  <c r="C448" i="10"/>
  <c r="C449" i="10"/>
  <c r="C450" i="10"/>
  <c r="C451" i="10"/>
  <c r="C452" i="10"/>
  <c r="C453" i="10"/>
  <c r="C454" i="10"/>
  <c r="C455" i="10"/>
  <c r="C456" i="10"/>
  <c r="C457" i="10"/>
  <c r="C458" i="10"/>
  <c r="C459" i="10"/>
  <c r="C460" i="10"/>
  <c r="C461" i="10"/>
  <c r="C462" i="10"/>
  <c r="C463" i="10"/>
  <c r="C464" i="10"/>
  <c r="C465" i="10"/>
  <c r="C466" i="10"/>
  <c r="C467" i="10"/>
  <c r="C468" i="10"/>
  <c r="C469" i="10"/>
  <c r="C470" i="10"/>
  <c r="C471" i="10"/>
  <c r="C472" i="10"/>
  <c r="C473" i="10"/>
  <c r="C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503" i="10"/>
  <c r="C504" i="10"/>
  <c r="C505" i="10"/>
  <c r="C506" i="10"/>
  <c r="C507" i="10"/>
  <c r="C508" i="10"/>
  <c r="C509" i="10"/>
  <c r="C510" i="10"/>
  <c r="C511" i="10"/>
  <c r="C512" i="10"/>
  <c r="C513" i="10"/>
  <c r="C514" i="10"/>
  <c r="C515" i="10"/>
  <c r="C516" i="10"/>
  <c r="C517" i="10"/>
  <c r="C518" i="10"/>
  <c r="C519" i="10"/>
  <c r="C520" i="10"/>
  <c r="C521" i="10"/>
  <c r="C522" i="10"/>
  <c r="C523" i="10"/>
  <c r="C524" i="10"/>
  <c r="C525" i="10"/>
  <c r="C526" i="10"/>
  <c r="C527" i="10"/>
  <c r="C528" i="10"/>
  <c r="C529" i="10"/>
  <c r="C530" i="10"/>
  <c r="C531" i="10"/>
  <c r="C532" i="10"/>
  <c r="C533" i="10"/>
  <c r="C534" i="10"/>
  <c r="C535" i="10"/>
  <c r="C536" i="10"/>
  <c r="C537" i="10"/>
  <c r="C538" i="10"/>
  <c r="C539" i="10"/>
  <c r="C540" i="10"/>
  <c r="C541" i="10"/>
  <c r="C542" i="10"/>
  <c r="C543" i="10"/>
  <c r="C544" i="10"/>
  <c r="C545" i="10"/>
  <c r="C546" i="10"/>
  <c r="C547" i="10"/>
  <c r="C548" i="10"/>
  <c r="C549" i="10"/>
  <c r="C550" i="10"/>
  <c r="C551" i="10"/>
  <c r="C552" i="10"/>
  <c r="C553" i="10"/>
  <c r="C554" i="10"/>
  <c r="C555" i="10"/>
  <c r="C556" i="10"/>
  <c r="C557" i="10"/>
  <c r="C558" i="10"/>
  <c r="C559" i="10"/>
  <c r="C560" i="10"/>
  <c r="C561" i="10"/>
  <c r="C562" i="10"/>
  <c r="C563" i="10"/>
  <c r="C564" i="10"/>
  <c r="C565" i="10"/>
  <c r="C566" i="10"/>
  <c r="C567" i="10"/>
  <c r="C568" i="10"/>
  <c r="C569" i="10"/>
  <c r="C570" i="10"/>
  <c r="C571" i="10"/>
  <c r="C572" i="10"/>
  <c r="C573" i="10"/>
  <c r="C574" i="10"/>
  <c r="C575" i="10"/>
  <c r="C576" i="10"/>
  <c r="C577" i="10"/>
  <c r="C578" i="10"/>
  <c r="C579" i="10"/>
  <c r="C580" i="10"/>
  <c r="C581" i="10"/>
  <c r="C582" i="10"/>
  <c r="C583" i="10"/>
  <c r="C584" i="10"/>
  <c r="C585" i="10"/>
  <c r="C586" i="10"/>
  <c r="C587" i="10"/>
  <c r="C588" i="10"/>
  <c r="C589" i="10"/>
  <c r="C590" i="10"/>
  <c r="C591" i="10"/>
  <c r="C592" i="10"/>
  <c r="C593" i="10"/>
  <c r="C594" i="10"/>
  <c r="C595" i="10"/>
  <c r="C596" i="10"/>
  <c r="C597" i="10"/>
  <c r="C598" i="10"/>
  <c r="C599" i="10"/>
  <c r="C600" i="10"/>
  <c r="C601" i="10"/>
  <c r="C602" i="10"/>
  <c r="C603" i="10"/>
  <c r="C604" i="10"/>
  <c r="C605" i="10"/>
  <c r="C606" i="10"/>
  <c r="C607" i="10"/>
  <c r="C608" i="10"/>
  <c r="C609" i="10"/>
  <c r="C610" i="10"/>
  <c r="C611" i="10"/>
  <c r="C612" i="10"/>
  <c r="C613" i="10"/>
  <c r="C614" i="10"/>
  <c r="C615" i="10"/>
  <c r="C616" i="10"/>
  <c r="C617" i="10"/>
  <c r="C618" i="10"/>
  <c r="C619" i="10"/>
  <c r="C620" i="10"/>
  <c r="C621" i="10"/>
  <c r="C622" i="10"/>
  <c r="C623" i="10"/>
  <c r="C624" i="10"/>
  <c r="C625" i="10"/>
  <c r="C626" i="10"/>
  <c r="C627" i="10"/>
  <c r="C628" i="10"/>
  <c r="C629" i="10"/>
  <c r="C630" i="10"/>
  <c r="C631" i="10"/>
  <c r="C632" i="10"/>
  <c r="C633" i="10"/>
  <c r="C634" i="10"/>
  <c r="C635" i="10"/>
  <c r="C636" i="10"/>
  <c r="C637" i="10"/>
  <c r="C638" i="10"/>
  <c r="C639" i="10"/>
  <c r="C640" i="10"/>
  <c r="C641" i="10"/>
  <c r="C642" i="10"/>
  <c r="C643" i="10"/>
  <c r="C644" i="10"/>
  <c r="C645" i="10"/>
  <c r="C646" i="10"/>
  <c r="C647" i="10"/>
  <c r="C648" i="10"/>
  <c r="C649" i="10"/>
  <c r="C650" i="10"/>
  <c r="C651" i="10"/>
  <c r="C652" i="10"/>
  <c r="C653" i="10"/>
  <c r="C654" i="10"/>
  <c r="C655" i="10"/>
  <c r="C656" i="10"/>
  <c r="C657" i="10"/>
  <c r="C658" i="10"/>
  <c r="C659" i="10"/>
  <c r="C660" i="10"/>
  <c r="C661" i="10"/>
  <c r="C662" i="10"/>
  <c r="C663" i="10"/>
  <c r="C664" i="10"/>
  <c r="C665" i="10"/>
  <c r="C666" i="10"/>
  <c r="C667" i="10"/>
  <c r="C668" i="10"/>
  <c r="C669" i="10"/>
  <c r="C670" i="10"/>
  <c r="C671" i="10"/>
  <c r="C672" i="10"/>
  <c r="C673" i="10"/>
  <c r="C674" i="10"/>
  <c r="C675" i="10"/>
  <c r="C676" i="10"/>
  <c r="C677" i="10"/>
  <c r="C678" i="10"/>
  <c r="C679" i="10"/>
  <c r="C680" i="10"/>
  <c r="C681" i="10"/>
  <c r="C682" i="10"/>
  <c r="C683" i="10"/>
  <c r="C684" i="10"/>
  <c r="C685" i="10"/>
  <c r="C686" i="10"/>
  <c r="C687" i="10"/>
  <c r="C688" i="10"/>
  <c r="C689" i="10"/>
  <c r="C690" i="10"/>
  <c r="C691" i="10"/>
  <c r="C692" i="10"/>
  <c r="C693" i="10"/>
  <c r="C694" i="10"/>
  <c r="C695" i="10"/>
  <c r="C696" i="10"/>
  <c r="C697" i="10"/>
  <c r="C698" i="10"/>
  <c r="C699" i="10"/>
  <c r="C700" i="10"/>
  <c r="C701" i="10"/>
  <c r="C702" i="10"/>
  <c r="C703" i="10"/>
  <c r="C704" i="10"/>
  <c r="C705" i="10"/>
  <c r="C706" i="10"/>
  <c r="C707" i="10"/>
  <c r="C708" i="10"/>
  <c r="C709" i="10"/>
  <c r="C710" i="10"/>
  <c r="C711" i="10"/>
  <c r="C712" i="10"/>
  <c r="C713" i="10"/>
  <c r="C714" i="10"/>
  <c r="C715" i="10"/>
  <c r="C716" i="10"/>
  <c r="C717" i="10"/>
  <c r="C718" i="10"/>
  <c r="C719" i="10"/>
  <c r="C720" i="10"/>
  <c r="C721" i="10"/>
  <c r="C722" i="10"/>
  <c r="C723" i="10"/>
  <c r="C724" i="10"/>
  <c r="C725" i="10"/>
  <c r="C726" i="10"/>
  <c r="C727" i="10"/>
  <c r="C728" i="10"/>
  <c r="C729" i="10"/>
  <c r="C730" i="10"/>
  <c r="C731" i="10"/>
  <c r="C732" i="10"/>
  <c r="C733" i="10"/>
  <c r="C734" i="10"/>
  <c r="C735" i="10"/>
  <c r="C736" i="10"/>
  <c r="C737" i="10"/>
  <c r="C738" i="10"/>
  <c r="C739" i="10"/>
  <c r="C740" i="10"/>
  <c r="C741" i="10"/>
  <c r="C742" i="10"/>
  <c r="C743" i="10"/>
  <c r="C744" i="10"/>
  <c r="C745" i="10"/>
  <c r="C746" i="10"/>
  <c r="C747" i="10"/>
  <c r="C748" i="10"/>
  <c r="C749" i="10"/>
  <c r="C750" i="10"/>
  <c r="C751" i="10"/>
  <c r="C752" i="10"/>
  <c r="C753" i="10"/>
  <c r="C754" i="10"/>
  <c r="C755" i="10"/>
  <c r="C756" i="10"/>
  <c r="C757" i="10"/>
  <c r="C758" i="10"/>
  <c r="C759" i="10"/>
  <c r="C760" i="10"/>
  <c r="C761" i="10"/>
  <c r="C762" i="10"/>
  <c r="C763" i="10"/>
  <c r="C764" i="10"/>
  <c r="C765" i="10"/>
  <c r="C766" i="10"/>
  <c r="C767" i="10"/>
  <c r="C768" i="10"/>
  <c r="C769" i="10"/>
  <c r="C770" i="10"/>
  <c r="C771" i="10"/>
  <c r="C772" i="10"/>
  <c r="C773" i="10"/>
  <c r="C774" i="10"/>
  <c r="C775" i="10"/>
  <c r="C776" i="10"/>
  <c r="C777" i="10"/>
  <c r="C778" i="10"/>
  <c r="C779" i="10"/>
  <c r="C780" i="10"/>
  <c r="C781" i="10"/>
  <c r="C782" i="10"/>
  <c r="C783" i="10"/>
  <c r="C784" i="10"/>
  <c r="C785" i="10"/>
  <c r="C786" i="10"/>
  <c r="C787" i="10"/>
  <c r="C788" i="10"/>
  <c r="C789" i="10"/>
  <c r="C790" i="10"/>
  <c r="C791" i="10"/>
  <c r="C792" i="10"/>
  <c r="C793" i="10"/>
  <c r="C794" i="10"/>
  <c r="C795" i="10"/>
  <c r="C796" i="10"/>
  <c r="C797" i="10"/>
  <c r="C798" i="10"/>
  <c r="C799" i="10"/>
  <c r="C800" i="10"/>
  <c r="C801" i="10"/>
  <c r="C802" i="10"/>
  <c r="C803" i="10"/>
  <c r="C804" i="10"/>
  <c r="C805" i="10"/>
  <c r="C806" i="10"/>
  <c r="C807" i="10"/>
  <c r="C808" i="10"/>
  <c r="C809" i="10"/>
  <c r="C810" i="10"/>
  <c r="C811" i="10"/>
  <c r="C812" i="10"/>
  <c r="C813" i="10"/>
  <c r="C814" i="10"/>
  <c r="C815" i="10"/>
  <c r="C816" i="10"/>
  <c r="C817" i="10"/>
  <c r="C818" i="10"/>
  <c r="C819" i="10"/>
  <c r="C820" i="10"/>
  <c r="C821" i="10"/>
  <c r="C822" i="10"/>
  <c r="C823" i="10"/>
  <c r="C824" i="10"/>
  <c r="C825" i="10"/>
  <c r="C826" i="10"/>
  <c r="C827" i="10"/>
  <c r="C828" i="10"/>
  <c r="C829" i="10"/>
  <c r="C830" i="10"/>
  <c r="C831" i="10"/>
  <c r="C832" i="10"/>
  <c r="C833" i="10"/>
  <c r="C834" i="10"/>
  <c r="C835" i="10"/>
  <c r="C836" i="10"/>
  <c r="C837" i="10"/>
  <c r="C838" i="10"/>
  <c r="C839" i="10"/>
  <c r="C840" i="10"/>
  <c r="C841" i="10"/>
  <c r="C842" i="10"/>
  <c r="C843" i="10"/>
  <c r="C844" i="10"/>
  <c r="C845" i="10"/>
  <c r="C846" i="10"/>
  <c r="C847" i="10"/>
  <c r="C848" i="10"/>
  <c r="C849" i="10"/>
  <c r="C850" i="10"/>
  <c r="C851" i="10"/>
  <c r="C852" i="10"/>
  <c r="C853" i="10"/>
  <c r="C854" i="10"/>
  <c r="C855" i="10"/>
  <c r="C856" i="10"/>
  <c r="C857" i="10"/>
  <c r="C858" i="10"/>
  <c r="C859" i="10"/>
  <c r="C860" i="10"/>
  <c r="C861" i="10"/>
  <c r="C862" i="10"/>
  <c r="C863" i="10"/>
  <c r="C864" i="10"/>
  <c r="C865" i="10"/>
  <c r="C866" i="10"/>
  <c r="C867" i="10"/>
  <c r="C868" i="10"/>
  <c r="C869" i="10"/>
  <c r="C870" i="10"/>
  <c r="C871" i="10"/>
  <c r="C872" i="10"/>
  <c r="C873" i="10"/>
  <c r="C874" i="10"/>
  <c r="C875" i="10"/>
  <c r="C876" i="10"/>
  <c r="C877" i="10"/>
  <c r="C878" i="10"/>
  <c r="C879" i="10"/>
  <c r="C880" i="10"/>
  <c r="C881" i="10"/>
  <c r="C882" i="10"/>
  <c r="C883" i="10"/>
  <c r="C884" i="10"/>
  <c r="C885" i="10"/>
  <c r="C886" i="10"/>
  <c r="C887" i="10"/>
  <c r="C888" i="10"/>
  <c r="C889" i="10"/>
  <c r="C890" i="10"/>
  <c r="C891" i="10"/>
  <c r="C892" i="10"/>
  <c r="C893" i="10"/>
  <c r="C894" i="10"/>
  <c r="C895" i="10"/>
  <c r="C896" i="10"/>
  <c r="C897" i="10"/>
  <c r="C898" i="10"/>
  <c r="C899" i="10"/>
  <c r="C900" i="10"/>
  <c r="C901" i="10"/>
  <c r="C902" i="10"/>
  <c r="C903" i="10"/>
  <c r="C904" i="10"/>
  <c r="C905" i="10"/>
  <c r="C906" i="10"/>
  <c r="C907" i="10"/>
  <c r="C908" i="10"/>
  <c r="C909" i="10"/>
  <c r="C910" i="10"/>
  <c r="C911" i="10"/>
  <c r="C912" i="10"/>
  <c r="C913" i="10"/>
  <c r="C914" i="10"/>
  <c r="C915" i="10"/>
  <c r="C916" i="10"/>
  <c r="C917" i="10"/>
  <c r="C918" i="10"/>
  <c r="C919" i="10"/>
  <c r="C920" i="10"/>
  <c r="C921" i="10"/>
  <c r="C922" i="10"/>
  <c r="C923" i="10"/>
  <c r="C924" i="10"/>
  <c r="C925" i="10"/>
  <c r="C926" i="10"/>
  <c r="C927" i="10"/>
  <c r="C928" i="10"/>
  <c r="C929" i="10"/>
  <c r="C930" i="10"/>
  <c r="C931" i="10"/>
  <c r="C932" i="10"/>
  <c r="C933" i="10"/>
  <c r="C934" i="10"/>
  <c r="C935" i="10"/>
  <c r="C936" i="10"/>
  <c r="C937" i="10"/>
  <c r="C938" i="10"/>
  <c r="C939" i="10"/>
  <c r="C940" i="10"/>
  <c r="C941" i="10"/>
  <c r="C942" i="10"/>
  <c r="C943" i="10"/>
  <c r="C944" i="10"/>
  <c r="C945" i="10"/>
  <c r="C946" i="10"/>
  <c r="C947" i="10"/>
  <c r="C948" i="10"/>
  <c r="C949" i="10"/>
  <c r="C950" i="10"/>
  <c r="C951" i="10"/>
  <c r="C952" i="10"/>
  <c r="C953" i="10"/>
  <c r="C954" i="10"/>
  <c r="C955" i="10"/>
  <c r="C956" i="10"/>
  <c r="C957" i="10"/>
  <c r="C958" i="10"/>
  <c r="C959" i="10"/>
  <c r="C960" i="10"/>
  <c r="C961" i="10"/>
  <c r="C962" i="10"/>
  <c r="C963" i="10"/>
  <c r="C964" i="10"/>
  <c r="C965" i="10"/>
  <c r="C966" i="10"/>
  <c r="C967" i="10"/>
  <c r="C968" i="10"/>
  <c r="C969" i="10"/>
  <c r="C970" i="10"/>
  <c r="C971" i="10"/>
  <c r="C972" i="10"/>
  <c r="C973" i="10"/>
  <c r="C974" i="10"/>
  <c r="C975" i="10"/>
  <c r="C976" i="10"/>
  <c r="C977" i="10"/>
  <c r="C978" i="10"/>
  <c r="C979" i="10"/>
  <c r="C980" i="10"/>
  <c r="C981" i="10"/>
  <c r="C982" i="10"/>
  <c r="C983" i="10"/>
  <c r="C984" i="10"/>
  <c r="C985" i="10"/>
  <c r="C986" i="10"/>
  <c r="C987" i="10"/>
  <c r="C988" i="10"/>
  <c r="C989" i="10"/>
  <c r="C990" i="10"/>
  <c r="C991" i="10"/>
  <c r="C992" i="10"/>
  <c r="C993" i="10"/>
  <c r="C994" i="10"/>
  <c r="C995" i="10"/>
  <c r="C996" i="10"/>
  <c r="C997" i="10"/>
  <c r="C998" i="10"/>
  <c r="C999" i="10"/>
  <c r="C1000" i="10"/>
  <c r="C1001" i="10"/>
  <c r="C1002" i="10"/>
  <c r="C1003" i="10"/>
  <c r="C1004" i="10"/>
  <c r="C1005" i="10"/>
  <c r="C1006" i="10"/>
  <c r="C1007" i="10"/>
  <c r="C1008" i="10"/>
  <c r="C1009" i="10"/>
  <c r="C1010" i="10"/>
  <c r="C1011" i="10"/>
  <c r="C1012" i="10"/>
  <c r="C1013" i="10"/>
  <c r="C1014" i="10"/>
  <c r="C1015" i="10"/>
  <c r="C1016" i="10"/>
  <c r="C1017" i="10"/>
  <c r="C1018" i="10"/>
  <c r="C1019" i="10"/>
  <c r="C1020" i="10"/>
  <c r="C1021" i="10"/>
  <c r="C1022" i="10"/>
  <c r="C1023" i="10"/>
  <c r="C1024" i="10"/>
  <c r="C1025" i="10"/>
  <c r="C1026" i="10"/>
  <c r="C1027" i="10"/>
  <c r="C1028" i="10"/>
  <c r="C1029" i="10"/>
  <c r="C1030" i="10"/>
  <c r="C1031" i="10"/>
  <c r="C1032" i="10"/>
  <c r="C1033" i="10"/>
  <c r="C1034" i="10"/>
  <c r="C1035" i="10"/>
  <c r="C1036" i="10"/>
  <c r="C1037" i="10"/>
  <c r="C1038" i="10"/>
  <c r="C1039" i="10"/>
  <c r="C1040" i="10"/>
  <c r="C1041" i="10"/>
  <c r="C1042" i="10"/>
  <c r="C1043" i="10"/>
  <c r="C1044" i="10"/>
  <c r="C1045" i="10"/>
  <c r="C1046" i="10"/>
  <c r="C1047" i="10"/>
  <c r="C1048" i="10"/>
  <c r="C1049" i="10"/>
  <c r="C1050" i="10"/>
  <c r="C1051" i="10"/>
  <c r="C1052" i="10"/>
  <c r="C1053" i="10"/>
  <c r="C1054" i="10"/>
  <c r="C1055" i="10"/>
  <c r="C1056" i="10"/>
  <c r="C1057" i="10"/>
  <c r="C1058" i="10"/>
  <c r="C1059" i="10"/>
  <c r="C1060" i="10"/>
  <c r="C1061" i="10"/>
  <c r="C1062" i="10"/>
  <c r="C1063" i="10"/>
  <c r="C1064" i="10"/>
  <c r="C1065" i="10"/>
  <c r="C1066" i="10"/>
  <c r="C1067" i="10"/>
  <c r="C1068" i="10"/>
  <c r="C1069" i="10"/>
  <c r="C1070" i="10"/>
  <c r="C1071" i="10"/>
  <c r="C1072" i="10"/>
  <c r="C1073" i="10"/>
  <c r="C1074" i="10"/>
  <c r="C1075" i="10"/>
  <c r="C1076" i="10"/>
  <c r="C1077" i="10"/>
  <c r="C1078" i="10"/>
  <c r="C1079" i="10"/>
  <c r="C1080" i="10"/>
  <c r="C1081" i="10"/>
  <c r="C1082" i="10"/>
  <c r="C1083" i="10"/>
  <c r="C1084" i="10"/>
  <c r="C1085" i="10"/>
  <c r="C1086" i="10"/>
  <c r="C1087" i="10"/>
  <c r="C1088" i="10"/>
  <c r="C1089" i="10"/>
  <c r="C1090" i="10"/>
  <c r="C1091" i="10"/>
  <c r="C1092" i="10"/>
  <c r="C1093" i="10"/>
  <c r="C1094" i="10"/>
  <c r="C1095" i="10"/>
  <c r="C1096" i="10"/>
  <c r="C1097" i="10"/>
  <c r="C1098" i="10"/>
  <c r="C1099" i="10"/>
  <c r="C1100" i="10"/>
  <c r="C1101" i="10"/>
  <c r="C1102" i="10"/>
  <c r="C1103" i="10"/>
  <c r="C1104" i="10"/>
  <c r="C1105" i="10"/>
  <c r="C1106" i="10"/>
  <c r="C1107" i="10"/>
  <c r="C1108" i="10"/>
  <c r="C1109" i="10"/>
  <c r="C1110" i="10"/>
  <c r="C1111" i="10"/>
  <c r="C1112" i="10"/>
  <c r="C1113" i="10"/>
  <c r="C1114" i="10"/>
  <c r="C1115" i="10"/>
  <c r="C1116" i="10"/>
  <c r="C1117" i="10"/>
  <c r="C1118" i="10"/>
  <c r="C1119" i="10"/>
  <c r="C1120" i="10"/>
  <c r="C1121" i="10"/>
  <c r="C1122" i="10"/>
  <c r="C1123" i="10"/>
  <c r="C1124" i="10"/>
  <c r="C1125" i="10"/>
  <c r="C1126" i="10"/>
  <c r="C1127" i="10"/>
  <c r="C1128" i="10"/>
  <c r="C1129" i="10"/>
  <c r="C1130" i="10"/>
  <c r="C1131" i="10"/>
  <c r="C1132" i="10"/>
  <c r="C1133" i="10"/>
  <c r="C1134" i="10"/>
  <c r="C1135" i="10"/>
  <c r="C1136" i="10"/>
  <c r="C1137" i="10"/>
  <c r="C1138" i="10"/>
  <c r="C1139" i="10"/>
  <c r="C1140" i="10"/>
  <c r="C1141" i="10"/>
  <c r="C1142" i="10"/>
  <c r="C1143" i="10"/>
  <c r="C1144" i="10"/>
  <c r="C1145" i="10"/>
  <c r="C1146" i="10"/>
  <c r="C1147" i="10"/>
  <c r="C1148" i="10"/>
  <c r="C1149" i="10"/>
  <c r="C1150" i="10"/>
  <c r="C1151" i="10"/>
  <c r="C1152" i="10"/>
  <c r="C1153" i="10"/>
  <c r="C1154" i="10"/>
  <c r="C1155" i="10"/>
  <c r="C1156" i="10"/>
  <c r="C1157" i="10"/>
  <c r="C1158" i="10"/>
  <c r="C1159" i="10"/>
  <c r="C1160" i="10"/>
  <c r="C1161" i="10"/>
  <c r="C1162" i="10"/>
  <c r="C1163" i="10"/>
  <c r="C1164" i="10"/>
  <c r="C1165" i="10"/>
  <c r="C1166" i="10"/>
  <c r="C1167" i="10"/>
  <c r="C1168" i="10"/>
  <c r="C1169" i="10"/>
  <c r="C1170" i="10"/>
  <c r="C1171" i="10"/>
  <c r="C1172" i="10"/>
  <c r="C1173" i="10"/>
  <c r="C1174" i="10"/>
  <c r="C1175" i="10"/>
  <c r="C1176" i="10"/>
  <c r="C1177" i="10"/>
  <c r="C1178" i="10"/>
  <c r="C1179" i="10"/>
  <c r="C1180" i="10"/>
  <c r="C1181" i="10"/>
  <c r="C1182" i="10"/>
  <c r="C1183" i="10"/>
  <c r="C1184" i="10"/>
  <c r="C1185" i="10"/>
  <c r="C1186" i="10"/>
  <c r="C1187" i="10"/>
  <c r="C1188" i="10"/>
  <c r="C1189" i="10"/>
  <c r="C1190" i="10"/>
  <c r="C1191" i="10"/>
  <c r="C1192" i="10"/>
  <c r="C1193" i="10"/>
  <c r="C1194" i="10"/>
  <c r="C1195" i="10"/>
  <c r="C1196" i="10"/>
  <c r="C1197" i="10"/>
  <c r="C1198" i="10"/>
  <c r="C1199" i="10"/>
  <c r="C1200" i="10"/>
  <c r="C1201" i="10"/>
  <c r="C1202" i="10"/>
  <c r="C1203" i="10"/>
  <c r="C1204" i="10"/>
  <c r="C1205" i="10"/>
  <c r="C1206" i="10"/>
  <c r="C1207" i="10"/>
  <c r="C1208" i="10"/>
  <c r="C1209" i="10"/>
  <c r="C1210" i="10"/>
  <c r="C1211" i="10"/>
  <c r="C1212" i="10"/>
  <c r="C1213" i="10"/>
  <c r="C1214" i="10"/>
  <c r="C1215" i="10"/>
  <c r="C1216" i="10"/>
  <c r="C1217" i="10"/>
  <c r="C1218" i="10"/>
  <c r="C1219" i="10"/>
  <c r="C1220" i="10"/>
  <c r="C1221" i="10"/>
  <c r="C1222" i="10"/>
  <c r="C1223" i="10"/>
  <c r="C1224" i="10"/>
  <c r="C1225" i="10"/>
  <c r="C1226" i="10"/>
  <c r="C1227" i="10"/>
  <c r="C1228" i="10"/>
  <c r="C1229" i="10"/>
  <c r="C1230" i="10"/>
  <c r="C1231" i="10"/>
  <c r="C1232" i="10"/>
  <c r="C1233" i="10"/>
  <c r="C1234" i="10"/>
  <c r="C1235" i="10"/>
  <c r="C1236" i="10"/>
  <c r="C1237" i="10"/>
  <c r="C1238" i="10"/>
  <c r="C1239" i="10"/>
  <c r="C1240" i="10"/>
  <c r="C1241" i="10"/>
  <c r="C1242" i="10"/>
  <c r="C1243" i="10"/>
  <c r="C1244" i="10"/>
  <c r="C1245" i="10"/>
  <c r="C1246" i="10"/>
  <c r="C1247" i="10"/>
  <c r="C1248" i="10"/>
  <c r="C1249" i="10"/>
  <c r="C1250" i="10"/>
  <c r="C1251" i="10"/>
  <c r="C1252" i="10"/>
  <c r="C1253" i="10"/>
  <c r="C1254" i="10"/>
  <c r="C1255" i="10"/>
  <c r="C1256" i="10"/>
  <c r="C1257" i="10"/>
  <c r="C1258" i="10"/>
  <c r="C1259" i="10"/>
  <c r="C1260" i="10"/>
  <c r="C1261" i="10"/>
  <c r="C1262" i="10"/>
  <c r="C1263" i="10"/>
  <c r="C1264" i="10"/>
  <c r="C1265" i="10"/>
  <c r="C1266" i="10"/>
  <c r="C1267" i="10"/>
  <c r="C1268" i="10"/>
  <c r="C1269" i="10"/>
  <c r="C1270" i="10"/>
  <c r="C1271" i="10"/>
  <c r="C1272" i="10"/>
  <c r="C1273" i="10"/>
  <c r="C1274" i="10"/>
  <c r="C1275" i="10"/>
  <c r="C1276" i="10"/>
  <c r="C1277" i="10"/>
  <c r="C1278" i="10"/>
  <c r="C1279" i="10"/>
  <c r="C1280" i="10"/>
  <c r="C1281" i="10"/>
  <c r="C1282" i="10"/>
  <c r="C1283" i="10"/>
  <c r="C1284" i="10"/>
  <c r="C1285" i="10"/>
  <c r="C1286" i="10"/>
  <c r="C1287" i="10"/>
  <c r="C1288" i="10"/>
  <c r="C1289" i="10"/>
  <c r="C1290" i="10"/>
  <c r="C1291" i="10"/>
  <c r="C1292" i="10"/>
  <c r="C1293" i="10"/>
  <c r="C1294" i="10"/>
  <c r="C1295" i="10"/>
  <c r="C1296" i="10"/>
  <c r="C1297" i="10"/>
  <c r="C1298" i="10"/>
  <c r="C1299" i="10"/>
  <c r="C1300" i="10"/>
  <c r="C1301" i="10"/>
  <c r="C1302" i="10"/>
  <c r="C1303" i="10"/>
  <c r="C1304" i="10"/>
  <c r="C1305" i="10"/>
  <c r="C1306" i="10"/>
  <c r="C1307" i="10"/>
  <c r="C1308" i="10"/>
  <c r="C1309" i="10"/>
  <c r="C1310" i="10"/>
  <c r="C1311" i="10"/>
  <c r="C1312" i="10"/>
  <c r="C1313" i="10"/>
  <c r="C1314" i="10"/>
  <c r="C1315" i="10"/>
  <c r="C1316" i="10"/>
  <c r="C1317" i="10"/>
  <c r="C1318" i="10"/>
  <c r="C1319" i="10"/>
  <c r="C1320" i="10"/>
  <c r="C1321" i="10"/>
  <c r="C1322" i="10"/>
  <c r="C1323" i="10"/>
  <c r="C1324" i="10"/>
  <c r="C1325" i="10"/>
  <c r="C1326" i="10"/>
  <c r="C1327" i="10"/>
  <c r="C1328" i="10"/>
  <c r="C1329" i="10"/>
  <c r="C1330" i="10"/>
  <c r="C1331" i="10"/>
  <c r="C1332" i="10"/>
  <c r="C1333" i="10"/>
  <c r="C1334" i="10"/>
  <c r="C1335" i="10"/>
  <c r="C1336" i="10"/>
  <c r="C1337" i="10"/>
  <c r="C1338" i="10"/>
  <c r="C1339" i="10"/>
  <c r="C1340" i="10"/>
  <c r="C1341" i="10"/>
  <c r="C1342" i="10"/>
  <c r="C1343" i="10"/>
  <c r="C1344" i="10"/>
  <c r="C1345" i="10"/>
  <c r="C1346" i="10"/>
  <c r="C1347" i="10"/>
  <c r="C1348" i="10"/>
  <c r="C1349" i="10"/>
  <c r="C1350" i="10"/>
  <c r="C1351" i="10"/>
  <c r="C1352" i="10"/>
  <c r="C1353" i="10"/>
  <c r="C1354" i="10"/>
  <c r="C1355" i="10"/>
  <c r="C1356" i="10"/>
  <c r="C1357" i="10"/>
  <c r="C1358" i="10"/>
  <c r="C1359" i="10"/>
  <c r="C1360" i="10"/>
  <c r="C1361" i="10"/>
  <c r="C1362" i="10"/>
  <c r="C1363" i="10"/>
  <c r="C1364" i="10"/>
  <c r="C1365" i="10"/>
  <c r="C1366" i="10"/>
  <c r="C1367" i="10"/>
  <c r="C1368" i="10"/>
  <c r="C1369" i="10"/>
  <c r="C1370" i="10"/>
  <c r="C1371" i="10"/>
  <c r="C1372" i="10"/>
  <c r="C1373" i="10"/>
  <c r="C1374" i="10"/>
  <c r="C1375" i="10"/>
  <c r="C1376" i="10"/>
  <c r="C1377" i="10"/>
  <c r="C1378" i="10"/>
  <c r="C1379" i="10"/>
  <c r="C1380" i="10"/>
  <c r="C1381" i="10"/>
  <c r="C1382" i="10"/>
  <c r="C1383" i="10"/>
  <c r="C1384" i="10"/>
  <c r="C1385" i="10"/>
  <c r="C1386" i="10"/>
  <c r="C1387" i="10"/>
  <c r="C1388" i="10"/>
  <c r="C1389" i="10"/>
  <c r="C1390" i="10"/>
  <c r="C1391" i="10"/>
  <c r="C1392" i="10"/>
  <c r="C1393" i="10"/>
  <c r="C1394" i="10"/>
  <c r="C1395" i="10"/>
  <c r="C1396" i="10"/>
  <c r="C1397" i="10"/>
  <c r="C1398" i="10"/>
  <c r="C1399" i="10"/>
  <c r="C1400" i="10"/>
  <c r="C1401" i="10"/>
  <c r="C1402" i="10"/>
  <c r="C1403" i="10"/>
  <c r="C1404" i="10"/>
  <c r="C1405" i="10"/>
  <c r="C1406" i="10"/>
  <c r="C1407" i="10"/>
  <c r="C1408" i="10"/>
  <c r="C1409" i="10"/>
  <c r="C1410" i="10"/>
  <c r="C1411" i="10"/>
  <c r="C1412" i="10"/>
  <c r="C1413" i="10"/>
  <c r="C1414" i="10"/>
  <c r="C1415" i="10"/>
  <c r="C1416" i="10"/>
  <c r="C1417" i="10"/>
  <c r="C1418" i="10"/>
  <c r="C1419" i="10"/>
  <c r="C1420" i="10"/>
  <c r="C1421" i="10"/>
  <c r="C1422" i="10"/>
  <c r="C1423" i="10"/>
  <c r="C1424" i="10"/>
  <c r="C1425" i="10"/>
  <c r="C1426" i="10"/>
  <c r="C1427" i="10"/>
  <c r="C1428" i="10"/>
  <c r="C1429" i="10"/>
  <c r="C1430" i="10"/>
  <c r="C1431" i="10"/>
  <c r="C1432" i="10"/>
  <c r="C1433" i="10"/>
  <c r="C1434" i="10"/>
  <c r="C1435" i="10"/>
  <c r="C1436" i="10"/>
  <c r="C1437" i="10"/>
  <c r="C1438" i="10"/>
  <c r="C1439" i="10"/>
  <c r="C1440" i="10"/>
  <c r="C1441" i="10"/>
  <c r="C1442" i="10"/>
  <c r="C1443" i="10"/>
  <c r="C1444" i="10"/>
  <c r="C1445" i="10"/>
  <c r="C1446" i="10"/>
  <c r="C1447" i="10"/>
  <c r="C1448" i="10"/>
  <c r="C1449" i="10"/>
  <c r="C1450" i="10"/>
  <c r="C1451" i="10"/>
  <c r="C1452" i="10"/>
  <c r="C1453" i="10"/>
  <c r="C1454" i="10"/>
  <c r="C1455" i="10"/>
  <c r="C1456" i="10"/>
  <c r="C1457" i="10"/>
  <c r="C1458" i="10"/>
  <c r="C1459" i="10"/>
  <c r="C1460" i="10"/>
  <c r="C1461" i="10"/>
  <c r="C1462" i="10"/>
  <c r="C1463" i="10"/>
  <c r="C1464" i="10"/>
  <c r="C1465" i="10"/>
  <c r="C1466" i="10"/>
  <c r="C1467" i="10"/>
  <c r="C1468" i="10"/>
  <c r="C1469" i="10"/>
  <c r="C1470" i="10"/>
  <c r="C1471" i="10"/>
  <c r="C1472" i="10"/>
  <c r="C1473" i="10"/>
  <c r="C1474" i="10"/>
  <c r="C1475" i="10"/>
  <c r="C1476" i="10"/>
  <c r="C1477" i="10"/>
  <c r="C1478" i="10"/>
  <c r="C1479" i="10"/>
  <c r="C1480" i="10"/>
  <c r="C1481" i="10"/>
  <c r="C1482" i="10"/>
  <c r="C1483" i="10"/>
  <c r="C1484" i="10"/>
  <c r="C1485" i="10"/>
  <c r="C1486" i="10"/>
  <c r="C1487" i="10"/>
  <c r="C1488" i="10"/>
  <c r="C1489" i="10"/>
  <c r="C1490" i="10"/>
  <c r="C1491" i="10"/>
  <c r="C1492" i="10"/>
  <c r="C1493" i="10"/>
  <c r="C1494" i="10"/>
  <c r="C1495" i="10"/>
  <c r="C1496" i="10"/>
  <c r="C1497" i="10"/>
  <c r="C1498" i="10"/>
  <c r="C1499" i="10"/>
  <c r="C1500" i="10"/>
  <c r="C1501" i="10"/>
  <c r="C1502" i="10"/>
  <c r="C1503" i="10"/>
  <c r="C1504" i="10"/>
  <c r="C1505" i="10"/>
  <c r="C1506" i="10"/>
  <c r="C1507" i="10"/>
  <c r="C1508" i="10"/>
  <c r="C1509" i="10"/>
  <c r="C1510" i="10"/>
  <c r="C1511" i="10"/>
  <c r="C1512" i="10"/>
  <c r="C1513" i="10"/>
  <c r="C1514" i="10"/>
  <c r="C1515" i="10"/>
  <c r="C1516" i="10"/>
  <c r="C1517" i="10"/>
  <c r="C1518" i="10"/>
  <c r="C1519" i="10"/>
  <c r="C1520" i="10"/>
  <c r="C1521" i="10"/>
  <c r="C1522" i="10"/>
  <c r="C1523" i="10"/>
  <c r="C1524" i="10"/>
  <c r="C1525" i="10"/>
  <c r="C1526" i="10"/>
  <c r="C1527" i="10"/>
  <c r="C1528" i="10"/>
  <c r="C1529" i="10"/>
  <c r="C1530" i="10"/>
  <c r="C1531" i="10"/>
  <c r="C1532" i="10"/>
  <c r="C1533" i="10"/>
  <c r="C1534" i="10"/>
  <c r="C1535" i="10"/>
  <c r="C1536" i="10"/>
  <c r="C1537" i="10"/>
  <c r="C1538" i="10"/>
  <c r="C1539" i="10"/>
  <c r="C1540" i="10"/>
  <c r="C1541" i="10"/>
  <c r="C1542" i="10"/>
  <c r="C1543" i="10"/>
  <c r="C1544" i="10"/>
  <c r="C1545" i="10"/>
  <c r="C1546" i="10"/>
  <c r="C1547" i="10"/>
  <c r="C1548" i="10"/>
  <c r="C1549" i="10"/>
  <c r="C1550" i="10"/>
  <c r="C1551" i="10"/>
  <c r="C1552" i="10"/>
  <c r="C1553" i="10"/>
  <c r="C1554" i="10"/>
  <c r="C1555" i="10"/>
  <c r="C1556" i="10"/>
  <c r="C1557" i="10"/>
  <c r="C1558" i="10"/>
  <c r="C1559" i="10"/>
  <c r="C1560" i="10"/>
  <c r="C1561" i="10"/>
  <c r="C1562" i="10"/>
  <c r="C1563" i="10"/>
  <c r="C1564" i="10"/>
  <c r="C1565" i="10"/>
  <c r="C1566" i="10"/>
  <c r="C1567" i="10"/>
  <c r="C1568" i="10"/>
  <c r="C1569" i="10"/>
  <c r="C1570" i="10"/>
  <c r="C1571" i="10"/>
  <c r="C1572" i="10"/>
  <c r="C1573" i="10"/>
  <c r="C1574" i="10"/>
  <c r="C1575" i="10"/>
  <c r="C1576" i="10"/>
  <c r="C1577" i="10"/>
  <c r="C1578" i="10"/>
  <c r="C1579" i="10"/>
  <c r="C1580" i="10"/>
  <c r="C1581" i="10"/>
  <c r="C1582" i="10"/>
  <c r="C1583" i="10"/>
  <c r="C1584" i="10"/>
  <c r="C1585" i="10"/>
  <c r="C1586" i="10"/>
  <c r="C1587" i="10"/>
  <c r="C1588" i="10"/>
  <c r="C1589" i="10"/>
  <c r="C1590" i="10"/>
  <c r="C1591" i="10"/>
  <c r="C1592" i="10"/>
  <c r="C1593" i="10"/>
  <c r="C1594" i="10"/>
  <c r="C1595" i="10"/>
  <c r="C1596" i="10"/>
  <c r="C1597" i="10"/>
  <c r="C1598" i="10"/>
  <c r="C1599" i="10"/>
  <c r="C1600" i="10"/>
  <c r="C1601" i="10"/>
  <c r="C1602" i="10"/>
  <c r="C1603" i="10"/>
  <c r="C1604" i="10"/>
  <c r="C1605" i="10"/>
  <c r="C1606" i="10"/>
  <c r="C1607" i="10"/>
  <c r="C1608" i="10"/>
  <c r="C1609" i="10"/>
  <c r="C1610" i="10"/>
  <c r="C1611" i="10"/>
  <c r="C1612" i="10"/>
  <c r="C1613" i="10"/>
  <c r="C1614" i="10"/>
  <c r="C1615" i="10"/>
  <c r="C1616" i="10"/>
  <c r="C1617" i="10"/>
  <c r="C1618" i="10"/>
  <c r="C1619" i="10"/>
  <c r="C1620" i="10"/>
  <c r="C1621" i="10"/>
  <c r="C1622" i="10"/>
  <c r="C1623" i="10"/>
  <c r="C1624" i="10"/>
  <c r="C1625" i="10"/>
  <c r="C1626" i="10"/>
  <c r="C1627" i="10"/>
  <c r="C1628" i="10"/>
  <c r="C1629" i="10"/>
  <c r="C1630" i="10"/>
  <c r="C1631" i="10"/>
  <c r="C1632" i="10"/>
  <c r="C1633" i="10"/>
  <c r="C1634" i="10"/>
  <c r="C1635" i="10"/>
  <c r="C1636" i="10"/>
  <c r="C1637" i="10"/>
  <c r="C1638" i="10"/>
  <c r="C1639" i="10"/>
  <c r="C1640" i="10"/>
  <c r="C1641" i="10"/>
  <c r="C1642" i="10"/>
  <c r="C1643" i="10"/>
  <c r="C1644" i="10"/>
  <c r="C1645" i="10"/>
  <c r="C1646" i="10"/>
  <c r="C1647" i="10"/>
  <c r="C1648" i="10"/>
  <c r="C1649" i="10"/>
  <c r="C1650" i="10"/>
  <c r="C1651" i="10"/>
  <c r="C1652" i="10"/>
  <c r="C1653" i="10"/>
  <c r="C1654" i="10"/>
  <c r="C1655" i="10"/>
  <c r="C1656" i="10"/>
  <c r="C1657" i="10"/>
  <c r="C1658" i="10"/>
  <c r="C1659" i="10"/>
  <c r="C1660" i="10"/>
  <c r="C1661" i="10"/>
  <c r="C1662" i="10"/>
  <c r="C1663" i="10"/>
  <c r="C1664" i="10"/>
  <c r="C1665" i="10"/>
  <c r="C1666" i="10"/>
  <c r="C1667" i="10"/>
  <c r="C1668" i="10"/>
  <c r="C1669" i="10"/>
  <c r="C1670" i="10"/>
  <c r="C1671" i="10"/>
  <c r="C1672" i="10"/>
  <c r="C1673" i="10"/>
  <c r="C1674" i="10"/>
  <c r="C1675" i="10"/>
  <c r="C1676" i="10"/>
  <c r="C1677" i="10"/>
  <c r="C1678" i="10"/>
  <c r="C1679" i="10"/>
  <c r="C1680" i="10"/>
  <c r="C1681" i="10"/>
  <c r="C1682" i="10"/>
  <c r="C1683" i="10"/>
  <c r="C1684" i="10"/>
  <c r="C1685" i="10"/>
  <c r="C1686" i="10"/>
  <c r="C1687" i="10"/>
  <c r="C1688" i="10"/>
  <c r="C1689" i="10"/>
  <c r="C1690" i="10"/>
  <c r="C1691" i="10"/>
  <c r="C1692" i="10"/>
  <c r="C1693" i="10"/>
  <c r="C1694" i="10"/>
  <c r="C1695" i="10"/>
  <c r="C1696" i="10"/>
  <c r="C1697" i="10"/>
  <c r="C1698" i="10"/>
  <c r="C1699" i="10"/>
  <c r="C1700" i="10"/>
  <c r="C1701" i="10"/>
  <c r="C1702" i="10"/>
  <c r="C1703" i="10"/>
  <c r="C1704" i="10"/>
  <c r="C1705" i="10"/>
  <c r="C1706" i="10"/>
  <c r="C1707" i="10"/>
  <c r="C1708" i="10"/>
  <c r="C1709" i="10"/>
  <c r="C1710" i="10"/>
  <c r="C1711" i="10"/>
  <c r="C1712" i="10"/>
  <c r="C1713" i="10"/>
  <c r="C1714" i="10"/>
  <c r="C1715" i="10"/>
  <c r="C1716" i="10"/>
  <c r="C1717" i="10"/>
  <c r="C1718" i="10"/>
  <c r="C1719" i="10"/>
  <c r="C1720" i="10"/>
  <c r="C1721" i="10"/>
  <c r="C1722" i="10"/>
  <c r="C1723" i="10"/>
  <c r="C1724" i="10"/>
  <c r="C1725" i="10"/>
  <c r="C1726" i="10"/>
  <c r="C1727" i="10"/>
  <c r="C1728" i="10"/>
  <c r="C1729" i="10"/>
  <c r="C1730" i="10"/>
  <c r="C1731" i="10"/>
  <c r="C1732" i="10"/>
  <c r="C1733" i="10"/>
  <c r="C1734" i="10"/>
  <c r="C1735" i="10"/>
  <c r="C1736" i="10"/>
  <c r="C1737" i="10"/>
  <c r="C1738" i="10"/>
  <c r="C1739" i="10"/>
  <c r="C1740" i="10"/>
  <c r="C1741" i="10"/>
  <c r="C1742" i="10"/>
  <c r="C1743" i="10"/>
  <c r="C1744" i="10"/>
  <c r="C1745" i="10"/>
  <c r="C1746" i="10"/>
  <c r="C1747" i="10"/>
  <c r="C1748" i="10"/>
  <c r="C1749" i="10"/>
  <c r="C1750" i="10"/>
  <c r="C1751" i="10"/>
  <c r="C1752" i="10"/>
  <c r="C1753" i="10"/>
  <c r="C1754" i="10"/>
  <c r="C1755" i="10"/>
  <c r="C1756" i="10"/>
  <c r="C1757" i="10"/>
  <c r="C1758" i="10"/>
  <c r="C1759" i="10"/>
  <c r="C1760" i="10"/>
  <c r="C1761" i="10"/>
  <c r="C1762" i="10"/>
  <c r="C1763" i="10"/>
  <c r="C1764" i="10"/>
  <c r="C1765" i="10"/>
  <c r="C1766" i="10"/>
  <c r="C1767" i="10"/>
  <c r="C1768" i="10"/>
  <c r="C1769" i="10"/>
  <c r="C1770" i="10"/>
  <c r="C1771" i="10"/>
  <c r="C1772" i="10"/>
  <c r="C1773" i="10"/>
  <c r="C1774" i="10"/>
  <c r="C1775" i="10"/>
  <c r="C1776" i="10"/>
  <c r="C1777" i="10"/>
  <c r="C1778" i="10"/>
  <c r="C1779" i="10"/>
  <c r="C1780" i="10"/>
  <c r="C1781" i="10"/>
  <c r="C1782" i="10"/>
  <c r="C1783" i="10"/>
  <c r="C1784" i="10"/>
  <c r="C1785" i="10"/>
  <c r="C1786" i="10"/>
  <c r="C1787" i="10"/>
  <c r="C1788" i="10"/>
  <c r="C1789" i="10"/>
  <c r="C1790" i="10"/>
  <c r="C1791" i="10"/>
  <c r="C1792" i="10"/>
  <c r="C1793" i="10"/>
  <c r="C1794" i="10"/>
  <c r="C1795" i="10"/>
  <c r="C1796" i="10"/>
  <c r="C1797" i="10"/>
  <c r="C1798" i="10"/>
  <c r="C1799" i="10"/>
  <c r="C1800" i="10"/>
  <c r="C1801" i="10"/>
  <c r="C1802" i="10"/>
  <c r="C1803" i="10"/>
  <c r="C1804" i="10"/>
  <c r="C1805" i="10"/>
  <c r="C1806" i="10"/>
  <c r="C1807" i="10"/>
  <c r="C1808" i="10"/>
  <c r="C1809" i="10"/>
  <c r="C1810" i="10"/>
  <c r="C1811" i="10"/>
  <c r="C1812" i="10"/>
  <c r="C1813" i="10"/>
  <c r="C1814" i="10"/>
  <c r="C1815" i="10"/>
  <c r="C1816" i="10"/>
  <c r="C1817" i="10"/>
  <c r="C1818" i="10"/>
  <c r="C1819" i="10"/>
  <c r="C1820" i="10"/>
  <c r="C1821" i="10"/>
  <c r="C1822" i="10"/>
  <c r="C1823" i="10"/>
  <c r="C1824" i="10"/>
  <c r="C1825" i="10"/>
  <c r="C1826" i="10"/>
  <c r="C1827" i="10"/>
  <c r="C1828" i="10"/>
  <c r="C1829" i="10"/>
  <c r="C1830" i="10"/>
  <c r="C1831" i="10"/>
  <c r="C1832" i="10"/>
  <c r="C1833" i="10"/>
  <c r="C1834" i="10"/>
  <c r="C1835" i="10"/>
  <c r="C1836" i="10"/>
  <c r="C1837" i="10"/>
  <c r="C1838" i="10"/>
  <c r="C1839" i="10"/>
  <c r="C1840" i="10"/>
  <c r="C1841" i="10"/>
  <c r="C1842" i="10"/>
  <c r="C1843" i="10"/>
  <c r="C1844" i="10"/>
  <c r="C1845" i="10"/>
  <c r="C1846" i="10"/>
  <c r="C1847" i="10"/>
  <c r="C1848" i="10"/>
  <c r="C1849" i="10"/>
  <c r="C1850" i="10"/>
  <c r="C1851" i="10"/>
  <c r="C1852" i="10"/>
  <c r="C1853" i="10"/>
  <c r="C1854" i="10"/>
  <c r="C1855" i="10"/>
  <c r="C1856" i="10"/>
  <c r="C1857" i="10"/>
  <c r="C1858" i="10"/>
  <c r="C1859" i="10"/>
  <c r="C1860" i="10"/>
  <c r="C1861" i="10"/>
  <c r="C1862" i="10"/>
  <c r="C1863" i="10"/>
  <c r="C1864" i="10"/>
  <c r="C1865" i="10"/>
  <c r="C1866" i="10"/>
  <c r="C1867" i="10"/>
  <c r="C1868" i="10"/>
  <c r="C1869" i="10"/>
  <c r="C1870" i="10"/>
  <c r="C1871" i="10"/>
  <c r="C1872" i="10"/>
  <c r="C1873" i="10"/>
  <c r="C1874" i="10"/>
  <c r="C1875" i="10"/>
  <c r="C1876" i="10"/>
  <c r="C1877" i="10"/>
  <c r="C1878" i="10"/>
  <c r="C1879" i="10"/>
  <c r="C1880" i="10"/>
  <c r="C1881" i="10"/>
  <c r="C1882" i="10"/>
  <c r="C1883" i="10"/>
  <c r="C1884" i="10"/>
  <c r="C1885" i="10"/>
  <c r="C1886" i="10"/>
  <c r="C1887" i="10"/>
  <c r="C1888" i="10"/>
  <c r="C1889" i="10"/>
  <c r="C1890" i="10"/>
  <c r="C1891" i="10"/>
  <c r="C1892" i="10"/>
  <c r="C1893" i="10"/>
  <c r="C1894" i="10"/>
  <c r="C1895" i="10"/>
  <c r="C1896" i="10"/>
  <c r="C1897" i="10"/>
  <c r="C1898" i="10"/>
  <c r="C1899" i="10"/>
  <c r="C1900" i="10"/>
  <c r="C1901" i="10"/>
  <c r="C1902" i="10"/>
  <c r="C1903" i="10"/>
  <c r="C1904" i="10"/>
  <c r="C1905" i="10"/>
  <c r="C1906" i="10"/>
  <c r="C1907" i="10"/>
  <c r="C1908" i="10"/>
  <c r="C1909" i="10"/>
  <c r="C1910" i="10"/>
  <c r="C1911" i="10"/>
  <c r="C1912" i="10"/>
  <c r="C1913" i="10"/>
  <c r="C1914" i="10"/>
  <c r="C1915" i="10"/>
  <c r="C1916" i="10"/>
  <c r="C1917" i="10"/>
  <c r="C1918" i="10"/>
  <c r="C1919" i="10"/>
  <c r="C1920" i="10"/>
  <c r="C1921" i="10"/>
  <c r="C1922" i="10"/>
  <c r="C1923" i="10"/>
  <c r="C1924" i="10"/>
  <c r="C1925" i="10"/>
  <c r="C1926" i="10"/>
  <c r="C1927" i="10"/>
  <c r="C1928" i="10"/>
  <c r="C1929" i="10"/>
  <c r="C1930" i="10"/>
  <c r="C1931" i="10"/>
  <c r="C1932" i="10"/>
  <c r="C1933" i="10"/>
  <c r="C1934" i="10"/>
  <c r="C1935" i="10"/>
  <c r="C1936" i="10"/>
  <c r="C1937" i="10"/>
  <c r="C1938" i="10"/>
  <c r="C1939" i="10"/>
  <c r="C1940" i="10"/>
  <c r="C1941" i="10"/>
  <c r="C1942" i="10"/>
  <c r="C1943" i="10"/>
  <c r="C1944" i="10"/>
  <c r="C1945" i="10"/>
  <c r="C1946" i="10"/>
  <c r="C1947" i="10"/>
  <c r="C1948" i="10"/>
  <c r="C1949" i="10"/>
  <c r="C1950" i="10"/>
  <c r="C1951" i="10"/>
  <c r="C1952" i="10"/>
  <c r="C1953" i="10"/>
  <c r="C1954" i="10"/>
  <c r="C1955" i="10"/>
  <c r="C1956" i="10"/>
  <c r="C1957" i="10"/>
  <c r="C1958" i="10"/>
  <c r="C1959" i="10"/>
  <c r="C1960" i="10"/>
  <c r="C1961" i="10"/>
  <c r="C1962" i="10"/>
  <c r="C1963" i="10"/>
  <c r="C1964" i="10"/>
  <c r="C1965" i="10"/>
  <c r="C1966" i="10"/>
  <c r="C1967" i="10"/>
  <c r="C1968" i="10"/>
  <c r="C1969" i="10"/>
  <c r="C1970" i="10"/>
  <c r="C1971" i="10"/>
  <c r="C1972" i="10"/>
  <c r="C1973" i="10"/>
  <c r="C1974" i="10"/>
  <c r="C1975" i="10"/>
  <c r="C1976" i="10"/>
  <c r="C1977" i="10"/>
  <c r="C1978" i="10"/>
  <c r="C1979" i="10"/>
  <c r="C1980" i="10"/>
  <c r="C1981" i="10"/>
  <c r="C1982" i="10"/>
  <c r="C1983" i="10"/>
  <c r="C1984" i="10"/>
  <c r="C1985" i="10"/>
  <c r="C1986" i="10"/>
  <c r="C1987" i="10"/>
  <c r="C1988" i="10"/>
  <c r="C1989" i="10"/>
  <c r="C1990" i="10"/>
  <c r="C1991" i="10"/>
  <c r="C1992" i="10"/>
  <c r="C1993" i="10"/>
  <c r="C1994" i="10"/>
  <c r="C1995" i="10"/>
  <c r="C1996" i="10"/>
  <c r="C1997" i="10"/>
  <c r="C1998" i="10"/>
  <c r="C1999" i="10"/>
  <c r="C2000" i="10"/>
  <c r="C2001" i="10"/>
  <c r="C2002" i="10"/>
  <c r="C2003" i="10"/>
  <c r="C2004" i="10"/>
  <c r="C2005" i="10"/>
  <c r="C2006" i="10"/>
  <c r="C2007" i="10"/>
  <c r="C2008" i="10"/>
  <c r="C2009" i="10"/>
  <c r="C2010" i="10"/>
  <c r="C2011" i="10"/>
  <c r="C2012" i="10"/>
  <c r="C2013" i="10"/>
  <c r="C2014" i="10"/>
  <c r="C2015" i="10"/>
  <c r="C2016" i="10"/>
  <c r="C2017" i="10"/>
  <c r="C2018" i="10"/>
  <c r="C2019" i="10"/>
  <c r="C2020" i="10"/>
  <c r="C2021" i="10"/>
  <c r="C2022" i="10"/>
  <c r="C2023" i="10"/>
  <c r="C2024" i="10"/>
  <c r="C2025" i="10"/>
  <c r="C2026" i="10"/>
  <c r="C2027" i="10"/>
  <c r="C2028" i="10"/>
  <c r="C2029" i="10"/>
  <c r="C2030" i="10"/>
  <c r="C2031" i="10"/>
  <c r="C2032" i="10"/>
  <c r="C2033" i="10"/>
  <c r="C2034" i="10"/>
  <c r="C2035" i="10"/>
  <c r="C2036" i="10"/>
  <c r="C2037" i="10"/>
  <c r="C2038" i="10"/>
  <c r="C2039" i="10"/>
  <c r="C2040" i="10"/>
  <c r="C2041" i="10"/>
  <c r="C2042" i="10"/>
  <c r="C2043" i="10"/>
  <c r="C2044" i="10"/>
  <c r="C2045" i="10"/>
  <c r="C2046" i="10"/>
  <c r="C2047" i="10"/>
  <c r="C2048" i="10"/>
  <c r="C2049" i="10"/>
  <c r="C2050" i="10"/>
  <c r="C2051" i="10"/>
  <c r="C2052" i="10"/>
  <c r="C2053" i="10"/>
  <c r="C2054" i="10"/>
  <c r="C2055" i="10"/>
  <c r="C2056" i="10"/>
  <c r="C2057" i="10"/>
  <c r="C2058" i="10"/>
  <c r="C2059" i="10"/>
  <c r="C2060" i="10"/>
  <c r="C2061" i="10"/>
  <c r="C2062" i="10"/>
  <c r="C2063" i="10"/>
  <c r="C2064" i="10"/>
  <c r="C2065" i="10"/>
  <c r="C2066" i="10"/>
  <c r="C2067" i="10"/>
  <c r="C2068" i="10"/>
  <c r="C2069" i="10"/>
  <c r="C2070" i="10"/>
  <c r="C2071" i="10"/>
  <c r="C2072" i="10"/>
  <c r="C2073" i="10"/>
  <c r="C2074" i="10"/>
  <c r="C2075" i="10"/>
  <c r="C2076" i="10"/>
  <c r="C2077" i="10"/>
  <c r="C2078" i="10"/>
  <c r="C2079" i="10"/>
  <c r="C2080" i="10"/>
  <c r="C2081" i="10"/>
  <c r="C2082" i="10"/>
  <c r="C2083" i="10"/>
  <c r="C2084" i="10"/>
  <c r="C2085" i="10"/>
  <c r="C2086" i="10"/>
  <c r="C2087" i="10"/>
  <c r="C2088" i="10"/>
  <c r="C2089" i="10"/>
  <c r="C2090" i="10"/>
  <c r="C2091" i="10"/>
  <c r="C2092" i="10"/>
  <c r="C2093" i="10"/>
  <c r="C2094" i="10"/>
  <c r="C2095" i="10"/>
  <c r="C2096" i="10"/>
  <c r="C2097" i="10"/>
  <c r="C2098" i="10"/>
  <c r="C2099" i="10"/>
  <c r="C2100" i="10"/>
  <c r="C2101" i="10"/>
  <c r="C2102" i="10"/>
  <c r="C2103" i="10"/>
  <c r="C2104" i="10"/>
  <c r="C2105" i="10"/>
  <c r="C2106" i="10"/>
  <c r="C2107" i="10"/>
  <c r="C2108" i="10"/>
  <c r="C2109" i="10"/>
  <c r="C2110" i="10"/>
  <c r="C2111" i="10"/>
  <c r="C2112" i="10"/>
  <c r="C2113" i="10"/>
  <c r="C2114" i="10"/>
  <c r="C2115" i="10"/>
  <c r="C2116" i="10"/>
  <c r="C2117" i="10"/>
  <c r="C2118" i="10"/>
  <c r="C2119" i="10"/>
  <c r="C2120" i="10"/>
  <c r="C2121" i="10"/>
  <c r="C2122" i="10"/>
  <c r="C2123" i="10"/>
  <c r="C2124" i="10"/>
  <c r="C2125" i="10"/>
  <c r="C2126" i="10"/>
  <c r="C2127" i="10"/>
  <c r="C2128" i="10"/>
  <c r="C2129" i="10"/>
  <c r="C2130" i="10"/>
  <c r="C2131" i="10"/>
  <c r="C2132" i="10"/>
  <c r="C2133" i="10"/>
  <c r="C2134" i="10"/>
  <c r="C2135" i="10"/>
  <c r="C2136" i="10"/>
  <c r="C2137" i="10"/>
  <c r="C2138" i="10"/>
  <c r="C2139" i="10"/>
  <c r="C2140" i="10"/>
  <c r="C2141" i="10"/>
  <c r="C2142" i="10"/>
  <c r="C2143" i="10"/>
  <c r="C2144" i="10"/>
  <c r="C2145" i="10"/>
  <c r="C2146" i="10"/>
  <c r="C2147" i="10"/>
  <c r="C2148" i="10"/>
  <c r="C2149" i="10"/>
  <c r="C2150" i="10"/>
  <c r="C2151" i="10"/>
  <c r="C2152" i="10"/>
  <c r="C2153" i="10"/>
  <c r="C2154" i="10"/>
  <c r="C2155" i="10"/>
  <c r="C2156" i="10"/>
  <c r="C2157" i="10"/>
  <c r="C2158" i="10"/>
  <c r="C2159" i="10"/>
  <c r="C2160" i="10"/>
  <c r="C2161" i="10"/>
  <c r="C2162" i="10"/>
  <c r="C2163" i="10"/>
  <c r="C2164" i="10"/>
  <c r="C2165" i="10"/>
  <c r="C2166" i="10"/>
  <c r="C2167" i="10"/>
  <c r="C2168" i="10"/>
  <c r="C2169" i="10"/>
  <c r="C2170" i="10"/>
  <c r="C2171" i="10"/>
  <c r="C2172" i="10"/>
  <c r="C2173" i="10"/>
  <c r="C2174" i="10"/>
  <c r="C2175" i="10"/>
  <c r="C2176" i="10"/>
  <c r="C2177" i="10"/>
  <c r="C2178" i="10"/>
  <c r="C2179" i="10"/>
  <c r="C2180" i="10"/>
  <c r="C2181" i="10"/>
  <c r="C2182" i="10"/>
  <c r="C2183" i="10"/>
  <c r="C2184" i="10"/>
  <c r="C2185" i="10"/>
  <c r="C2186" i="10"/>
  <c r="C2187" i="10"/>
  <c r="C2188" i="10"/>
  <c r="C2189" i="10"/>
  <c r="C2190" i="10"/>
  <c r="C2191" i="10"/>
  <c r="C2192" i="10"/>
  <c r="C2193" i="10"/>
  <c r="C2194" i="10"/>
  <c r="C2195" i="10"/>
  <c r="C2196" i="10"/>
  <c r="C2197" i="10"/>
  <c r="C2198" i="10"/>
  <c r="C2199" i="10"/>
  <c r="C2200" i="10"/>
  <c r="C2201" i="10"/>
  <c r="C2202" i="10"/>
  <c r="C2203" i="10"/>
  <c r="C2204" i="10"/>
  <c r="C2205" i="10"/>
  <c r="C2206" i="10"/>
  <c r="C2207" i="10"/>
  <c r="C2208" i="10"/>
  <c r="C2209" i="10"/>
  <c r="C2210" i="10"/>
  <c r="C2211" i="10"/>
  <c r="C2212" i="10"/>
  <c r="C2213" i="10"/>
  <c r="C2214" i="10"/>
  <c r="C2215" i="10"/>
  <c r="C2216" i="10"/>
  <c r="C2217" i="10"/>
  <c r="C2218" i="10"/>
  <c r="C2219" i="10"/>
  <c r="C2220" i="10"/>
  <c r="C2221" i="10"/>
  <c r="C2222" i="10"/>
  <c r="C2223" i="10"/>
  <c r="C2224" i="10"/>
  <c r="C2225" i="10"/>
  <c r="C2226" i="10"/>
  <c r="C2227" i="10"/>
  <c r="C2228" i="10"/>
  <c r="C2229" i="10"/>
  <c r="C2230" i="10"/>
  <c r="C2231" i="10"/>
  <c r="C2232" i="10"/>
  <c r="C2233" i="10"/>
  <c r="C2234" i="10"/>
  <c r="C2235" i="10"/>
  <c r="C2236" i="10"/>
  <c r="C2237" i="10"/>
  <c r="C2238" i="10"/>
  <c r="C2239" i="10"/>
  <c r="C2240" i="10"/>
  <c r="C2241" i="10"/>
  <c r="C2242" i="10"/>
  <c r="C2243" i="10"/>
  <c r="C2244" i="10"/>
  <c r="C2245" i="10"/>
  <c r="C2246" i="10"/>
  <c r="C2247" i="10"/>
  <c r="C2248" i="10"/>
  <c r="C2249" i="10"/>
  <c r="C2250" i="10"/>
  <c r="C2251" i="10"/>
  <c r="C2252" i="10"/>
  <c r="C2253" i="10"/>
  <c r="C2254" i="10"/>
  <c r="C2255" i="10"/>
  <c r="C2256" i="10"/>
  <c r="C2257" i="10"/>
  <c r="C2258" i="10"/>
  <c r="C2259" i="10"/>
  <c r="C2260" i="10"/>
  <c r="C2261" i="10"/>
  <c r="C2262" i="10"/>
  <c r="C2263" i="10"/>
  <c r="C2264" i="10"/>
  <c r="C2265" i="10"/>
  <c r="C2266" i="10"/>
  <c r="C2267" i="10"/>
  <c r="C2268" i="10"/>
  <c r="C2269" i="10"/>
  <c r="C2270" i="10"/>
  <c r="C2271" i="10"/>
  <c r="C2272" i="10"/>
  <c r="C2273" i="10"/>
  <c r="C2274" i="10"/>
  <c r="C2275" i="10"/>
  <c r="C2276" i="10"/>
  <c r="C2277" i="10"/>
  <c r="C2278" i="10"/>
  <c r="C2279" i="10"/>
  <c r="C2280" i="10"/>
  <c r="C2281" i="10"/>
  <c r="C2282" i="10"/>
  <c r="C2283" i="10"/>
  <c r="C2284" i="10"/>
  <c r="C2285" i="10"/>
  <c r="C2286" i="10"/>
  <c r="C2287" i="10"/>
  <c r="C2288" i="10"/>
  <c r="C2289" i="10"/>
  <c r="C2290" i="10"/>
  <c r="C2291" i="10"/>
  <c r="C2292" i="10"/>
  <c r="C2293" i="10"/>
  <c r="C2294" i="10"/>
  <c r="C2295" i="10"/>
  <c r="C2296" i="10"/>
  <c r="C2297" i="10"/>
  <c r="C2298" i="10"/>
  <c r="C2299" i="10"/>
  <c r="C2300" i="10"/>
  <c r="C2301" i="10"/>
  <c r="C2302" i="10"/>
  <c r="C2303" i="10"/>
  <c r="C2304" i="10"/>
  <c r="C2305" i="10"/>
  <c r="C2306" i="10"/>
  <c r="C2307" i="10"/>
  <c r="C2308" i="10"/>
  <c r="C2309" i="10"/>
  <c r="C2310" i="10"/>
  <c r="C2311" i="10"/>
  <c r="C2312" i="10"/>
  <c r="C2313" i="10"/>
  <c r="C2314" i="10"/>
  <c r="C2315" i="10"/>
  <c r="C2316" i="10"/>
  <c r="C2317" i="10"/>
  <c r="C2318" i="10"/>
  <c r="C2319" i="10"/>
  <c r="C2320" i="10"/>
  <c r="C2321" i="10"/>
  <c r="C2322" i="10"/>
  <c r="C2323" i="10"/>
  <c r="C2324" i="10"/>
  <c r="C2325" i="10"/>
  <c r="C2326" i="10"/>
  <c r="C2327" i="10"/>
  <c r="C2328" i="10"/>
  <c r="C2329" i="10"/>
  <c r="C2330" i="10"/>
  <c r="C2331" i="10"/>
  <c r="C2332" i="10"/>
  <c r="C2333" i="10"/>
  <c r="C2334" i="10"/>
  <c r="C2335" i="10"/>
  <c r="C2336" i="10"/>
  <c r="C2337" i="10"/>
  <c r="C2338" i="10"/>
  <c r="C2339" i="10"/>
  <c r="C2340" i="10"/>
  <c r="C2341" i="10"/>
  <c r="C2342" i="10"/>
  <c r="C2343" i="10"/>
  <c r="C2344" i="10"/>
  <c r="C2345" i="10"/>
  <c r="C2346" i="10"/>
  <c r="C2347" i="10"/>
  <c r="C2348" i="10"/>
  <c r="C2349" i="10"/>
  <c r="C2350" i="10"/>
  <c r="C2351" i="10"/>
  <c r="C2352" i="10"/>
  <c r="C2353" i="10"/>
  <c r="C2354" i="10"/>
  <c r="C2355" i="10"/>
  <c r="C2356" i="10"/>
  <c r="C2357" i="10"/>
  <c r="C2358" i="10"/>
  <c r="C2359" i="10"/>
  <c r="C2360" i="10"/>
  <c r="C2361" i="10"/>
  <c r="C2362" i="10"/>
  <c r="C2363" i="10"/>
  <c r="C2364" i="10"/>
  <c r="C2365" i="10"/>
  <c r="C2366" i="10"/>
  <c r="C2367" i="10"/>
  <c r="C2368" i="10"/>
  <c r="C2369" i="10"/>
  <c r="C2370" i="10"/>
  <c r="C2371" i="10"/>
  <c r="C2372" i="10"/>
  <c r="C2373" i="10"/>
  <c r="C2374" i="10"/>
  <c r="C2375" i="10"/>
  <c r="C2376" i="10"/>
  <c r="C2377" i="10"/>
  <c r="C2378" i="10"/>
  <c r="C2379" i="10"/>
  <c r="C2380" i="10"/>
  <c r="C2381" i="10"/>
  <c r="C2382" i="10"/>
  <c r="C2383" i="10"/>
  <c r="C2384" i="10"/>
  <c r="C2385" i="10"/>
  <c r="C2386" i="10"/>
  <c r="C2387" i="10"/>
  <c r="C2388" i="10"/>
  <c r="C2389" i="10"/>
  <c r="C2390" i="10"/>
  <c r="C2391" i="10"/>
  <c r="C2392" i="10"/>
  <c r="C2393" i="10"/>
  <c r="C2394" i="10"/>
  <c r="C2395" i="10"/>
  <c r="C2396" i="10"/>
  <c r="C2397" i="10"/>
  <c r="C2398" i="10"/>
  <c r="C2399" i="10"/>
  <c r="C2400" i="10"/>
  <c r="C2401" i="10"/>
  <c r="C2402" i="10"/>
  <c r="C2403" i="10"/>
  <c r="C2404" i="10"/>
  <c r="C2405" i="10"/>
  <c r="C2406" i="10"/>
  <c r="C2407" i="10"/>
  <c r="C2408" i="10"/>
  <c r="C2409" i="10"/>
  <c r="C2410" i="10"/>
  <c r="C2411" i="10"/>
  <c r="C2412" i="10"/>
  <c r="C2413" i="10"/>
  <c r="C2414" i="10"/>
  <c r="C2415" i="10"/>
  <c r="C2416" i="10"/>
  <c r="C2417" i="10"/>
  <c r="C2418" i="10"/>
  <c r="C2419" i="10"/>
  <c r="C2420" i="10"/>
  <c r="C2421" i="10"/>
  <c r="C2422" i="10"/>
  <c r="C2423" i="10"/>
  <c r="C2424" i="10"/>
  <c r="C2425" i="10"/>
  <c r="C2426" i="10"/>
  <c r="C2427" i="10"/>
  <c r="C2428" i="10"/>
  <c r="C2429" i="10"/>
  <c r="C2430" i="10"/>
  <c r="C2431" i="10"/>
  <c r="C2432" i="10"/>
  <c r="C2433" i="10"/>
  <c r="C2434" i="10"/>
  <c r="C2435" i="10"/>
  <c r="C2436" i="10"/>
  <c r="C2437" i="10"/>
  <c r="C2438" i="10"/>
  <c r="C2439" i="10"/>
  <c r="C2440" i="10"/>
  <c r="C2441" i="10"/>
  <c r="C2442" i="10"/>
  <c r="C2443" i="10"/>
  <c r="C2444" i="10"/>
  <c r="C2445" i="10"/>
  <c r="C2446" i="10"/>
  <c r="C2447" i="10"/>
  <c r="C2448" i="10"/>
  <c r="C2449" i="10"/>
  <c r="C2450" i="10"/>
  <c r="C2451" i="10"/>
  <c r="C2452" i="10"/>
  <c r="C2453" i="10"/>
  <c r="C2454" i="10"/>
  <c r="C2455" i="10"/>
  <c r="C2456" i="10"/>
  <c r="C2457" i="10"/>
  <c r="C2458" i="10"/>
  <c r="C2459" i="10"/>
  <c r="C2460" i="10"/>
  <c r="C2461" i="10"/>
  <c r="C2462" i="10"/>
  <c r="C2463" i="10"/>
  <c r="C2464" i="10"/>
  <c r="C2465" i="10"/>
  <c r="C2466" i="10"/>
  <c r="C2467" i="10"/>
  <c r="C2468" i="10"/>
  <c r="C2469" i="10"/>
  <c r="C2470" i="10"/>
  <c r="C2471" i="10"/>
  <c r="C2472" i="10"/>
  <c r="C2473" i="10"/>
  <c r="C2474" i="10"/>
  <c r="C2475" i="10"/>
  <c r="C2476" i="10"/>
  <c r="C2477" i="10"/>
  <c r="C2478" i="10"/>
  <c r="C2479" i="10"/>
  <c r="C2480" i="10"/>
  <c r="C2481" i="10"/>
  <c r="C2482" i="10"/>
  <c r="C2483" i="10"/>
  <c r="C2484" i="10"/>
  <c r="C2485" i="10"/>
  <c r="C2486" i="10"/>
  <c r="C2487" i="10"/>
  <c r="C2488" i="10"/>
  <c r="C2489" i="10"/>
  <c r="C2490" i="10"/>
  <c r="C2491" i="10"/>
  <c r="C2492" i="10"/>
  <c r="C2493" i="10"/>
  <c r="C2494" i="10"/>
  <c r="C2495" i="10"/>
  <c r="C2496" i="10"/>
  <c r="C2497" i="10"/>
  <c r="C2498" i="10"/>
  <c r="C2499" i="10"/>
  <c r="C2500" i="10"/>
  <c r="C2501" i="10"/>
  <c r="C2502" i="10"/>
  <c r="C2503" i="10"/>
  <c r="C2504" i="10"/>
  <c r="C2505" i="10"/>
  <c r="C2506" i="10"/>
  <c r="C2507" i="10"/>
  <c r="C2508" i="10"/>
  <c r="C2509" i="10"/>
  <c r="C2510" i="10"/>
  <c r="C2511" i="10"/>
  <c r="C2512" i="10"/>
  <c r="C2513" i="10"/>
  <c r="C2514" i="10"/>
  <c r="C2515" i="10"/>
  <c r="C2516" i="10"/>
  <c r="C2517" i="10"/>
  <c r="C2518" i="10"/>
  <c r="C2519" i="10"/>
  <c r="C2520" i="10"/>
  <c r="C2521" i="10"/>
  <c r="C2522" i="10"/>
  <c r="C2523" i="10"/>
  <c r="C2524" i="10"/>
  <c r="C2525" i="10"/>
  <c r="C2526" i="10"/>
  <c r="C2527" i="10"/>
  <c r="C2528" i="10"/>
  <c r="C2529" i="10"/>
  <c r="C2530" i="10"/>
  <c r="C2531" i="10"/>
  <c r="C2532" i="10"/>
  <c r="C2533" i="10"/>
  <c r="C2534" i="10"/>
  <c r="C2535" i="10"/>
  <c r="C2536" i="10"/>
  <c r="C2537" i="10"/>
  <c r="C2538" i="10"/>
  <c r="C2539" i="10"/>
  <c r="C2540" i="10"/>
  <c r="C2541" i="10"/>
  <c r="C2542" i="10"/>
  <c r="C2543" i="10"/>
  <c r="C2544" i="10"/>
  <c r="C2545" i="10"/>
  <c r="C2546" i="10"/>
  <c r="C2547" i="10"/>
  <c r="C2548" i="10"/>
  <c r="C2549" i="10"/>
  <c r="C2550" i="10"/>
  <c r="C2551" i="10"/>
  <c r="C2552" i="10"/>
  <c r="C2553" i="10"/>
  <c r="C2554" i="10"/>
  <c r="C2555" i="10"/>
  <c r="C2556" i="10"/>
  <c r="C2557" i="10"/>
  <c r="C2558" i="10"/>
  <c r="C2559" i="10"/>
  <c r="C2560" i="10"/>
  <c r="C2561" i="10"/>
  <c r="B8" i="3" l="1"/>
  <c r="E7" i="3"/>
  <c r="F1" i="10"/>
  <c r="E4" i="7"/>
  <c r="E5" i="7" s="1"/>
  <c r="F3" i="7"/>
  <c r="G3" i="7" s="1"/>
  <c r="A44" i="3"/>
  <c r="I9" i="5"/>
  <c r="I4" i="5"/>
  <c r="I10" i="5"/>
  <c r="I13" i="5"/>
  <c r="I11" i="5"/>
  <c r="I7" i="5"/>
  <c r="I12" i="5"/>
  <c r="I8" i="5"/>
  <c r="I6" i="5"/>
  <c r="I5" i="5"/>
  <c r="D5" i="5" l="1"/>
  <c r="D9" i="5" s="1"/>
  <c r="D4" i="5"/>
  <c r="D8" i="5" s="1"/>
  <c r="B43" i="3"/>
  <c r="B45" i="3"/>
  <c r="C46" i="3" s="1"/>
  <c r="D47" i="3" s="1"/>
  <c r="E48" i="3" s="1"/>
  <c r="F49" i="3" s="1"/>
  <c r="E6" i="7"/>
  <c r="F5" i="7"/>
  <c r="G5" i="7" s="1"/>
  <c r="F4" i="7"/>
  <c r="G4" i="7" s="1"/>
  <c r="A43" i="3" l="1"/>
  <c r="G50" i="3"/>
  <c r="H51" i="3" s="1"/>
  <c r="I52" i="3" s="1"/>
  <c r="J53" i="3" s="1"/>
  <c r="K54" i="3" s="1"/>
  <c r="L55" i="3" s="1"/>
  <c r="M56" i="3" s="1"/>
  <c r="N57" i="3" s="1"/>
  <c r="N210" i="3" s="1"/>
  <c r="D6" i="5"/>
  <c r="D7" i="5"/>
  <c r="C42" i="3"/>
  <c r="C44" i="3"/>
  <c r="E7" i="7"/>
  <c r="F6" i="7"/>
  <c r="G6" i="7" s="1"/>
  <c r="D11" i="5"/>
  <c r="O58" i="3" l="1"/>
  <c r="O211" i="3" s="1"/>
  <c r="B42" i="3"/>
  <c r="D45" i="3"/>
  <c r="B44" i="3"/>
  <c r="M209" i="3"/>
  <c r="D12" i="5"/>
  <c r="D16" i="5" s="1"/>
  <c r="D10" i="5"/>
  <c r="F7" i="7"/>
  <c r="G7" i="7" s="1"/>
  <c r="E8" i="7"/>
  <c r="D41" i="3"/>
  <c r="D43" i="3"/>
  <c r="P59" i="3" l="1"/>
  <c r="P212" i="3" s="1"/>
  <c r="E44" i="3"/>
  <c r="C43" i="3"/>
  <c r="C41" i="3"/>
  <c r="E46" i="3"/>
  <c r="C45" i="3"/>
  <c r="E42" i="3"/>
  <c r="E40" i="3"/>
  <c r="E9" i="7"/>
  <c r="F8" i="7"/>
  <c r="G8" i="7" s="1"/>
  <c r="Q60" i="3" l="1"/>
  <c r="Q213" i="3" s="1"/>
  <c r="D40" i="3"/>
  <c r="F47" i="3"/>
  <c r="D46" i="3"/>
  <c r="F43" i="3"/>
  <c r="D42" i="3"/>
  <c r="F45" i="3"/>
  <c r="D44" i="3"/>
  <c r="E10" i="7"/>
  <c r="F9" i="7"/>
  <c r="G9" i="7" s="1"/>
  <c r="F39" i="3"/>
  <c r="F41" i="3"/>
  <c r="R61" i="3" l="1"/>
  <c r="R214" i="3" s="1"/>
  <c r="E41" i="3"/>
  <c r="E43" i="3"/>
  <c r="G44" i="3"/>
  <c r="E39" i="3"/>
  <c r="E45" i="3"/>
  <c r="G46" i="3"/>
  <c r="E47" i="3"/>
  <c r="G48" i="3"/>
  <c r="G42" i="3"/>
  <c r="G40" i="3"/>
  <c r="G38" i="3"/>
  <c r="E11" i="7"/>
  <c r="F10" i="7"/>
  <c r="G10" i="7" s="1"/>
  <c r="S62" i="3" l="1"/>
  <c r="S215" i="3" s="1"/>
  <c r="R143" i="3"/>
  <c r="F44" i="3"/>
  <c r="H45" i="3"/>
  <c r="I46" i="3" s="1"/>
  <c r="F46" i="3"/>
  <c r="H47" i="3"/>
  <c r="H49" i="3"/>
  <c r="F48" i="3"/>
  <c r="F38" i="3"/>
  <c r="H41" i="3"/>
  <c r="F40" i="3"/>
  <c r="H43" i="3"/>
  <c r="F42" i="3"/>
  <c r="F11" i="7"/>
  <c r="G11" i="7" s="1"/>
  <c r="E12" i="7"/>
  <c r="H37" i="3"/>
  <c r="H39" i="3"/>
  <c r="T63" i="3" l="1"/>
  <c r="T216" i="3" s="1"/>
  <c r="G45" i="3"/>
  <c r="I50" i="3"/>
  <c r="G49" i="3"/>
  <c r="I48" i="3"/>
  <c r="H46" i="3" s="1"/>
  <c r="G47" i="3"/>
  <c r="I42" i="3"/>
  <c r="G41" i="3"/>
  <c r="G37" i="3"/>
  <c r="J47" i="3"/>
  <c r="I44" i="3"/>
  <c r="J45" i="3" s="1"/>
  <c r="G43" i="3"/>
  <c r="I40" i="3"/>
  <c r="G39" i="3"/>
  <c r="I36" i="3"/>
  <c r="I38" i="3"/>
  <c r="E13" i="7"/>
  <c r="F12" i="7"/>
  <c r="G12" i="7" s="1"/>
  <c r="U64" i="3" l="1"/>
  <c r="U217" i="3" s="1"/>
  <c r="H48" i="3"/>
  <c r="J49" i="3"/>
  <c r="I47" i="3" s="1"/>
  <c r="H50" i="3"/>
  <c r="J51" i="3"/>
  <c r="H36" i="3"/>
  <c r="J41" i="3"/>
  <c r="H40" i="3"/>
  <c r="K46" i="3"/>
  <c r="I45" i="3"/>
  <c r="J43" i="3"/>
  <c r="H42" i="3"/>
  <c r="H44" i="3"/>
  <c r="K48" i="3"/>
  <c r="J39" i="3"/>
  <c r="H38" i="3"/>
  <c r="E14" i="7"/>
  <c r="F13" i="7"/>
  <c r="G13" i="7" s="1"/>
  <c r="J35" i="3"/>
  <c r="J37" i="3"/>
  <c r="V65" i="3" l="1"/>
  <c r="V218" i="3" s="1"/>
  <c r="K50" i="3"/>
  <c r="J48" i="3" s="1"/>
  <c r="I49" i="3"/>
  <c r="K52" i="3"/>
  <c r="I51" i="3"/>
  <c r="I35" i="3"/>
  <c r="K40" i="3"/>
  <c r="I39" i="3"/>
  <c r="L47" i="3"/>
  <c r="J46" i="3"/>
  <c r="L49" i="3"/>
  <c r="K38" i="3"/>
  <c r="I37" i="3"/>
  <c r="K44" i="3"/>
  <c r="I43" i="3"/>
  <c r="K42" i="3"/>
  <c r="I41" i="3"/>
  <c r="K36" i="3"/>
  <c r="K34" i="3"/>
  <c r="E15" i="7"/>
  <c r="F14" i="7"/>
  <c r="G14" i="7" s="1"/>
  <c r="W66" i="3" l="1"/>
  <c r="W219" i="3" s="1"/>
  <c r="J34" i="3"/>
  <c r="L53" i="3"/>
  <c r="J52" i="3"/>
  <c r="L51" i="3"/>
  <c r="J50" i="3"/>
  <c r="L41" i="3"/>
  <c r="J40" i="3"/>
  <c r="L37" i="3"/>
  <c r="J36" i="3"/>
  <c r="L43" i="3"/>
  <c r="J42" i="3"/>
  <c r="L39" i="3"/>
  <c r="J38" i="3"/>
  <c r="M50" i="3"/>
  <c r="N51" i="3" s="1"/>
  <c r="L45" i="3"/>
  <c r="M46" i="3" s="1"/>
  <c r="N47" i="3" s="1"/>
  <c r="J44" i="3"/>
  <c r="F15" i="7"/>
  <c r="G15" i="7" s="1"/>
  <c r="E16" i="7"/>
  <c r="L33" i="3"/>
  <c r="L35" i="3"/>
  <c r="N204" i="3" l="1"/>
  <c r="N200" i="3"/>
  <c r="X67" i="3"/>
  <c r="X220" i="3" s="1"/>
  <c r="O48" i="3"/>
  <c r="O52" i="3"/>
  <c r="M34" i="3"/>
  <c r="N35" i="3" s="1"/>
  <c r="M32" i="3"/>
  <c r="M52" i="3"/>
  <c r="K51" i="3"/>
  <c r="K49" i="3"/>
  <c r="M54" i="3"/>
  <c r="N55" i="3" s="1"/>
  <c r="K53" i="3"/>
  <c r="M199" i="3"/>
  <c r="M40" i="3"/>
  <c r="N41" i="3" s="1"/>
  <c r="K39" i="3"/>
  <c r="M38" i="3"/>
  <c r="N39" i="3" s="1"/>
  <c r="K37" i="3"/>
  <c r="K33" i="3"/>
  <c r="M203" i="3"/>
  <c r="M44" i="3"/>
  <c r="N45" i="3" s="1"/>
  <c r="K43" i="3"/>
  <c r="M42" i="3"/>
  <c r="N43" i="3" s="1"/>
  <c r="K41" i="3"/>
  <c r="M36" i="3"/>
  <c r="K35" i="3"/>
  <c r="E17" i="7"/>
  <c r="F16" i="7"/>
  <c r="G16" i="7" s="1"/>
  <c r="N196" i="3" l="1"/>
  <c r="O201" i="3"/>
  <c r="O205" i="3"/>
  <c r="N194" i="3"/>
  <c r="N208" i="3"/>
  <c r="N192" i="3"/>
  <c r="N198" i="3"/>
  <c r="N188" i="3"/>
  <c r="Y68" i="3"/>
  <c r="Y221" i="3" s="1"/>
  <c r="O56" i="3"/>
  <c r="M55" i="3"/>
  <c r="O40" i="3"/>
  <c r="M39" i="3"/>
  <c r="O44" i="3"/>
  <c r="M43" i="3"/>
  <c r="P53" i="3"/>
  <c r="O42" i="3"/>
  <c r="M41" i="3"/>
  <c r="P57" i="3"/>
  <c r="O46" i="3"/>
  <c r="M45" i="3"/>
  <c r="O36" i="3"/>
  <c r="P49" i="3"/>
  <c r="L50" i="3"/>
  <c r="N53" i="3"/>
  <c r="M189" i="3"/>
  <c r="N37" i="3"/>
  <c r="N190" i="3" s="1"/>
  <c r="N31" i="3"/>
  <c r="N33" i="3"/>
  <c r="M207" i="3"/>
  <c r="L208" i="3" s="1"/>
  <c r="L137" i="3"/>
  <c r="L54" i="3"/>
  <c r="L52" i="3"/>
  <c r="M205" i="3"/>
  <c r="L34" i="3"/>
  <c r="L32" i="3"/>
  <c r="L42" i="3"/>
  <c r="M195" i="3"/>
  <c r="L38" i="3"/>
  <c r="M191" i="3"/>
  <c r="L36" i="3"/>
  <c r="L44" i="3"/>
  <c r="M197" i="3"/>
  <c r="L198" i="3" s="1"/>
  <c r="L127" i="3"/>
  <c r="L40" i="3"/>
  <c r="M193" i="3"/>
  <c r="M187" i="3"/>
  <c r="M185" i="3"/>
  <c r="E18" i="7"/>
  <c r="F17" i="7"/>
  <c r="G17" i="7" s="1"/>
  <c r="P202" i="3" l="1"/>
  <c r="P210" i="3"/>
  <c r="O189" i="3"/>
  <c r="O197" i="3"/>
  <c r="N56" i="3"/>
  <c r="O209" i="3"/>
  <c r="N186" i="3"/>
  <c r="N206" i="3"/>
  <c r="O195" i="3"/>
  <c r="N184" i="3"/>
  <c r="O199" i="3"/>
  <c r="P206" i="3"/>
  <c r="O193" i="3"/>
  <c r="Z69" i="3"/>
  <c r="Z222" i="3" s="1"/>
  <c r="M35" i="3"/>
  <c r="Q58" i="3"/>
  <c r="O57" i="3"/>
  <c r="Q50" i="3"/>
  <c r="P43" i="3"/>
  <c r="N42" i="3"/>
  <c r="P45" i="3"/>
  <c r="N44" i="3"/>
  <c r="O34" i="3"/>
  <c r="M33" i="3"/>
  <c r="Q54" i="3"/>
  <c r="O38" i="3"/>
  <c r="M37" i="3"/>
  <c r="P47" i="3"/>
  <c r="N46" i="3"/>
  <c r="O54" i="3"/>
  <c r="M53" i="3"/>
  <c r="M51" i="3"/>
  <c r="P37" i="3"/>
  <c r="N36" i="3"/>
  <c r="P41" i="3"/>
  <c r="N40" i="3"/>
  <c r="M31" i="3"/>
  <c r="L188" i="3"/>
  <c r="L206" i="3"/>
  <c r="K207" i="3" s="1"/>
  <c r="O32" i="3"/>
  <c r="O30" i="3"/>
  <c r="L135" i="3"/>
  <c r="K136" i="3" s="1"/>
  <c r="L119" i="3"/>
  <c r="L133" i="3"/>
  <c r="L117" i="3"/>
  <c r="L196" i="3"/>
  <c r="K197" i="3" s="1"/>
  <c r="L204" i="3"/>
  <c r="L192" i="3"/>
  <c r="L125" i="3"/>
  <c r="K126" i="3" s="1"/>
  <c r="L121" i="3"/>
  <c r="L194" i="3"/>
  <c r="L123" i="3"/>
  <c r="L190" i="3"/>
  <c r="L115" i="3"/>
  <c r="E19" i="7"/>
  <c r="F18" i="7"/>
  <c r="G18" i="7" s="1"/>
  <c r="L186" i="3"/>
  <c r="O183" i="3" l="1"/>
  <c r="P190" i="3"/>
  <c r="Q207" i="3"/>
  <c r="P198" i="3"/>
  <c r="N32" i="3"/>
  <c r="O185" i="3"/>
  <c r="P200" i="3"/>
  <c r="Q211" i="3"/>
  <c r="N54" i="3"/>
  <c r="O207" i="3"/>
  <c r="O191" i="3"/>
  <c r="Q203" i="3"/>
  <c r="P194" i="3"/>
  <c r="O187" i="3"/>
  <c r="P196" i="3"/>
  <c r="AA70" i="3"/>
  <c r="AA223" i="3" s="1"/>
  <c r="R59" i="3"/>
  <c r="P58" i="3"/>
  <c r="P33" i="3"/>
  <c r="Q48" i="3"/>
  <c r="O47" i="3"/>
  <c r="R55" i="3"/>
  <c r="Q46" i="3"/>
  <c r="O45" i="3"/>
  <c r="R51" i="3"/>
  <c r="Q42" i="3"/>
  <c r="O41" i="3"/>
  <c r="P55" i="3"/>
  <c r="N52" i="3"/>
  <c r="P39" i="3"/>
  <c r="P192" i="3" s="1"/>
  <c r="N38" i="3"/>
  <c r="P35" i="3"/>
  <c r="N34" i="3"/>
  <c r="Q44" i="3"/>
  <c r="O43" i="3"/>
  <c r="Q38" i="3"/>
  <c r="K187" i="3"/>
  <c r="N30" i="3"/>
  <c r="K205" i="3"/>
  <c r="J206" i="3" s="1"/>
  <c r="P31" i="3"/>
  <c r="P29" i="3"/>
  <c r="K118" i="3"/>
  <c r="K116" i="3"/>
  <c r="K134" i="3"/>
  <c r="J135" i="3" s="1"/>
  <c r="K120" i="3"/>
  <c r="K195" i="3"/>
  <c r="J196" i="3" s="1"/>
  <c r="K191" i="3"/>
  <c r="K124" i="3"/>
  <c r="J125" i="3" s="1"/>
  <c r="K189" i="3"/>
  <c r="K193" i="3"/>
  <c r="K122" i="3"/>
  <c r="F19" i="7"/>
  <c r="G19" i="7" s="1"/>
  <c r="E20" i="7"/>
  <c r="Q197" i="3" l="1"/>
  <c r="Q195" i="3"/>
  <c r="R208" i="3"/>
  <c r="P182" i="3"/>
  <c r="R204" i="3"/>
  <c r="R212" i="3"/>
  <c r="P184" i="3"/>
  <c r="Q191" i="3"/>
  <c r="P188" i="3"/>
  <c r="P208" i="3"/>
  <c r="Q201" i="3"/>
  <c r="Q199" i="3"/>
  <c r="P186" i="3"/>
  <c r="AB71" i="3"/>
  <c r="AB224" i="3" s="1"/>
  <c r="O37" i="3"/>
  <c r="S56" i="3"/>
  <c r="S60" i="3"/>
  <c r="Q59" i="3"/>
  <c r="R49" i="3"/>
  <c r="P48" i="3"/>
  <c r="Q32" i="3"/>
  <c r="O31" i="3"/>
  <c r="Q56" i="3"/>
  <c r="Q209" i="3" s="1"/>
  <c r="O55" i="3"/>
  <c r="O53" i="3"/>
  <c r="S52" i="3"/>
  <c r="Q34" i="3"/>
  <c r="O33" i="3"/>
  <c r="R45" i="3"/>
  <c r="P44" i="3"/>
  <c r="Q40" i="3"/>
  <c r="Q193" i="3" s="1"/>
  <c r="O39" i="3"/>
  <c r="R43" i="3"/>
  <c r="P42" i="3"/>
  <c r="R39" i="3"/>
  <c r="R47" i="3"/>
  <c r="P46" i="3"/>
  <c r="Q36" i="3"/>
  <c r="O35" i="3"/>
  <c r="O29" i="3"/>
  <c r="J194" i="3"/>
  <c r="I195" i="3" s="1"/>
  <c r="Q28" i="3"/>
  <c r="Q30" i="3"/>
  <c r="J119" i="3"/>
  <c r="J117" i="3"/>
  <c r="J123" i="3"/>
  <c r="I124" i="3" s="1"/>
  <c r="J190" i="3"/>
  <c r="J188" i="3"/>
  <c r="J192" i="3"/>
  <c r="I193" i="3" s="1"/>
  <c r="H194" i="3" s="1"/>
  <c r="J121" i="3"/>
  <c r="E21" i="7"/>
  <c r="F20" i="7"/>
  <c r="G20" i="7" s="1"/>
  <c r="Q181" i="3" l="1"/>
  <c r="R196" i="3"/>
  <c r="R198" i="3"/>
  <c r="Q185" i="3"/>
  <c r="S213" i="3"/>
  <c r="R200" i="3"/>
  <c r="S209" i="3"/>
  <c r="Q183" i="3"/>
  <c r="R192" i="3"/>
  <c r="Q187" i="3"/>
  <c r="R202" i="3"/>
  <c r="Q189" i="3"/>
  <c r="S205" i="3"/>
  <c r="P56" i="3"/>
  <c r="AC72" i="3"/>
  <c r="AC225" i="3" s="1"/>
  <c r="P38" i="3"/>
  <c r="T61" i="3"/>
  <c r="R60" i="3"/>
  <c r="T57" i="3"/>
  <c r="R33" i="3"/>
  <c r="P32" i="3"/>
  <c r="P28" i="3"/>
  <c r="R37" i="3"/>
  <c r="P36" i="3"/>
  <c r="R41" i="3"/>
  <c r="P40" i="3"/>
  <c r="R35" i="3"/>
  <c r="P34" i="3"/>
  <c r="R57" i="3"/>
  <c r="P54" i="3"/>
  <c r="S50" i="3"/>
  <c r="Q49" i="3"/>
  <c r="S48" i="3"/>
  <c r="Q47" i="3"/>
  <c r="S44" i="3"/>
  <c r="Q43" i="3"/>
  <c r="S46" i="3"/>
  <c r="Q45" i="3"/>
  <c r="T53" i="3"/>
  <c r="R31" i="3"/>
  <c r="P30" i="3"/>
  <c r="S40" i="3"/>
  <c r="R29" i="3"/>
  <c r="R27" i="3"/>
  <c r="R180" i="3" s="1"/>
  <c r="I118" i="3"/>
  <c r="I122" i="3"/>
  <c r="H123" i="3" s="1"/>
  <c r="I189" i="3"/>
  <c r="I120" i="3"/>
  <c r="I191" i="3"/>
  <c r="E22" i="7"/>
  <c r="F21" i="7"/>
  <c r="G21" i="7" s="1"/>
  <c r="R184" i="3" l="1"/>
  <c r="R182" i="3"/>
  <c r="T206" i="3"/>
  <c r="S197" i="3"/>
  <c r="S203" i="3"/>
  <c r="R188" i="3"/>
  <c r="R190" i="3"/>
  <c r="T210" i="3"/>
  <c r="R186" i="3"/>
  <c r="S193" i="3"/>
  <c r="S199" i="3"/>
  <c r="S201" i="3"/>
  <c r="R210" i="3"/>
  <c r="R194" i="3"/>
  <c r="T214" i="3"/>
  <c r="AD73" i="3"/>
  <c r="AD226" i="3" s="1"/>
  <c r="Q27" i="3"/>
  <c r="U54" i="3"/>
  <c r="S58" i="3"/>
  <c r="Q57" i="3"/>
  <c r="Q55" i="3"/>
  <c r="U58" i="3"/>
  <c r="U62" i="3"/>
  <c r="S61" i="3"/>
  <c r="T41" i="3"/>
  <c r="T45" i="3"/>
  <c r="R44" i="3"/>
  <c r="T51" i="3"/>
  <c r="R50" i="3"/>
  <c r="S36" i="3"/>
  <c r="Q35" i="3"/>
  <c r="S38" i="3"/>
  <c r="Q37" i="3"/>
  <c r="S30" i="3"/>
  <c r="Q29" i="3"/>
  <c r="S32" i="3"/>
  <c r="Q31" i="3"/>
  <c r="T47" i="3"/>
  <c r="R46" i="3"/>
  <c r="T49" i="3"/>
  <c r="R48" i="3"/>
  <c r="S42" i="3"/>
  <c r="Q41" i="3"/>
  <c r="Q39" i="3"/>
  <c r="S34" i="3"/>
  <c r="Q33" i="3"/>
  <c r="S26" i="3"/>
  <c r="S28" i="3"/>
  <c r="H121" i="3"/>
  <c r="G122" i="3" s="1"/>
  <c r="H119" i="3"/>
  <c r="H192" i="3"/>
  <c r="G193" i="3" s="1"/>
  <c r="H190" i="3"/>
  <c r="E23" i="7"/>
  <c r="F22" i="7"/>
  <c r="G22" i="7" s="1"/>
  <c r="S179" i="3" l="1"/>
  <c r="S195" i="3"/>
  <c r="T200" i="3"/>
  <c r="S183" i="3"/>
  <c r="S189" i="3"/>
  <c r="T198" i="3"/>
  <c r="U211" i="3"/>
  <c r="U207" i="3"/>
  <c r="S187" i="3"/>
  <c r="T194" i="3"/>
  <c r="U215" i="3"/>
  <c r="S211" i="3"/>
  <c r="S181" i="3"/>
  <c r="T202" i="3"/>
  <c r="S185" i="3"/>
  <c r="S191" i="3"/>
  <c r="T204" i="3"/>
  <c r="AE74" i="3"/>
  <c r="V63" i="3"/>
  <c r="T62" i="3"/>
  <c r="V59" i="3"/>
  <c r="T59" i="3"/>
  <c r="R58" i="3"/>
  <c r="R56" i="3"/>
  <c r="V55" i="3"/>
  <c r="T43" i="3"/>
  <c r="T196" i="3" s="1"/>
  <c r="R42" i="3"/>
  <c r="U48" i="3"/>
  <c r="S47" i="3"/>
  <c r="T31" i="3"/>
  <c r="R30" i="3"/>
  <c r="T37" i="3"/>
  <c r="R36" i="3"/>
  <c r="U46" i="3"/>
  <c r="S45" i="3"/>
  <c r="U50" i="3"/>
  <c r="S49" i="3"/>
  <c r="T33" i="3"/>
  <c r="R32" i="3"/>
  <c r="T39" i="3"/>
  <c r="R38" i="3"/>
  <c r="U52" i="3"/>
  <c r="S51" i="3"/>
  <c r="R26" i="3"/>
  <c r="T35" i="3"/>
  <c r="R34" i="3"/>
  <c r="R40" i="3"/>
  <c r="T29" i="3"/>
  <c r="R28" i="3"/>
  <c r="U42" i="3"/>
  <c r="T27" i="3"/>
  <c r="T25" i="3"/>
  <c r="G120" i="3"/>
  <c r="F121" i="3" s="1"/>
  <c r="G191" i="3"/>
  <c r="F192" i="3" s="1"/>
  <c r="F23" i="7"/>
  <c r="G23" i="7" s="1"/>
  <c r="E24" i="7"/>
  <c r="T188" i="3" l="1"/>
  <c r="V208" i="3"/>
  <c r="V212" i="3"/>
  <c r="AE156" i="3"/>
  <c r="AE227" i="3"/>
  <c r="U195" i="3"/>
  <c r="T186" i="3"/>
  <c r="T184" i="3"/>
  <c r="T212" i="3"/>
  <c r="T178" i="3"/>
  <c r="T182" i="3"/>
  <c r="T192" i="3"/>
  <c r="U203" i="3"/>
  <c r="T190" i="3"/>
  <c r="U201" i="3"/>
  <c r="U205" i="3"/>
  <c r="U199" i="3"/>
  <c r="T180" i="3"/>
  <c r="V216" i="3"/>
  <c r="S41" i="3"/>
  <c r="V53" i="3"/>
  <c r="T52" i="3"/>
  <c r="W56" i="3"/>
  <c r="U60" i="3"/>
  <c r="S59" i="3"/>
  <c r="S57" i="3"/>
  <c r="W60" i="3"/>
  <c r="W64" i="3"/>
  <c r="U63" i="3"/>
  <c r="U28" i="3"/>
  <c r="S27" i="3"/>
  <c r="U30" i="3"/>
  <c r="S29" i="3"/>
  <c r="U40" i="3"/>
  <c r="S39" i="3"/>
  <c r="V51" i="3"/>
  <c r="T50" i="3"/>
  <c r="S37" i="3"/>
  <c r="U38" i="3"/>
  <c r="V49" i="3"/>
  <c r="T48" i="3"/>
  <c r="V43" i="3"/>
  <c r="U34" i="3"/>
  <c r="S33" i="3"/>
  <c r="V47" i="3"/>
  <c r="T46" i="3"/>
  <c r="S25" i="3"/>
  <c r="U36" i="3"/>
  <c r="S35" i="3"/>
  <c r="U32" i="3"/>
  <c r="S31" i="3"/>
  <c r="U44" i="3"/>
  <c r="U197" i="3" s="1"/>
  <c r="S43" i="3"/>
  <c r="U24" i="3"/>
  <c r="U26" i="3"/>
  <c r="E25" i="7"/>
  <c r="F24" i="7"/>
  <c r="G24" i="7" s="1"/>
  <c r="U181" i="3" l="1"/>
  <c r="V200" i="3"/>
  <c r="V206" i="3"/>
  <c r="V196" i="3"/>
  <c r="U193" i="3"/>
  <c r="U189" i="3"/>
  <c r="V202" i="3"/>
  <c r="V204" i="3"/>
  <c r="U183" i="3"/>
  <c r="W217" i="3"/>
  <c r="U213" i="3"/>
  <c r="U177" i="3"/>
  <c r="U185" i="3"/>
  <c r="U179" i="3"/>
  <c r="U187" i="3"/>
  <c r="U191" i="3"/>
  <c r="W213" i="3"/>
  <c r="W209" i="3"/>
  <c r="T42" i="3"/>
  <c r="W52" i="3"/>
  <c r="U51" i="3"/>
  <c r="X65" i="3"/>
  <c r="V64" i="3"/>
  <c r="X61" i="3"/>
  <c r="V61" i="3"/>
  <c r="T60" i="3"/>
  <c r="T58" i="3"/>
  <c r="X57" i="3"/>
  <c r="W54" i="3"/>
  <c r="U53" i="3"/>
  <c r="T24" i="3"/>
  <c r="V45" i="3"/>
  <c r="V198" i="3" s="1"/>
  <c r="T44" i="3"/>
  <c r="V37" i="3"/>
  <c r="T36" i="3"/>
  <c r="V27" i="3"/>
  <c r="T26" i="3"/>
  <c r="V35" i="3"/>
  <c r="T34" i="3"/>
  <c r="W50" i="3"/>
  <c r="U49" i="3"/>
  <c r="V31" i="3"/>
  <c r="T30" i="3"/>
  <c r="V33" i="3"/>
  <c r="T32" i="3"/>
  <c r="T38" i="3"/>
  <c r="V39" i="3"/>
  <c r="W48" i="3"/>
  <c r="U47" i="3"/>
  <c r="W44" i="3"/>
  <c r="V41" i="3"/>
  <c r="T40" i="3"/>
  <c r="V29" i="3"/>
  <c r="T28" i="3"/>
  <c r="V25" i="3"/>
  <c r="V23" i="3"/>
  <c r="E26" i="7"/>
  <c r="F25" i="7"/>
  <c r="G25" i="7" s="1"/>
  <c r="W207" i="3" l="1"/>
  <c r="V214" i="3"/>
  <c r="V176" i="3"/>
  <c r="W201" i="3"/>
  <c r="V186" i="3"/>
  <c r="W203" i="3"/>
  <c r="V180" i="3"/>
  <c r="X210" i="3"/>
  <c r="X214" i="3"/>
  <c r="W205" i="3"/>
  <c r="V182" i="3"/>
  <c r="V178" i="3"/>
  <c r="V194" i="3"/>
  <c r="V192" i="3"/>
  <c r="W197" i="3"/>
  <c r="V184" i="3"/>
  <c r="V188" i="3"/>
  <c r="V190" i="3"/>
  <c r="X218" i="3"/>
  <c r="U43" i="3"/>
  <c r="X55" i="3"/>
  <c r="V54" i="3"/>
  <c r="Y58" i="3"/>
  <c r="X51" i="3"/>
  <c r="V50" i="3"/>
  <c r="W62" i="3"/>
  <c r="U61" i="3"/>
  <c r="U59" i="3"/>
  <c r="Y62" i="3"/>
  <c r="Y66" i="3"/>
  <c r="W65" i="3"/>
  <c r="X53" i="3"/>
  <c r="V52" i="3"/>
  <c r="U23" i="3"/>
  <c r="W40" i="3"/>
  <c r="U39" i="3"/>
  <c r="W30" i="3"/>
  <c r="U29" i="3"/>
  <c r="X45" i="3"/>
  <c r="W32" i="3"/>
  <c r="U31" i="3"/>
  <c r="W36" i="3"/>
  <c r="U35" i="3"/>
  <c r="W38" i="3"/>
  <c r="U37" i="3"/>
  <c r="W26" i="3"/>
  <c r="U25" i="3"/>
  <c r="W42" i="3"/>
  <c r="U41" i="3"/>
  <c r="X49" i="3"/>
  <c r="V48" i="3"/>
  <c r="W34" i="3"/>
  <c r="U33" i="3"/>
  <c r="W28" i="3"/>
  <c r="U27" i="3"/>
  <c r="W46" i="3"/>
  <c r="U45" i="3"/>
  <c r="W22" i="3"/>
  <c r="W24" i="3"/>
  <c r="E27" i="7"/>
  <c r="F26" i="7"/>
  <c r="G26" i="7" s="1"/>
  <c r="X204" i="3" l="1"/>
  <c r="X198" i="3"/>
  <c r="W193" i="3"/>
  <c r="Y211" i="3"/>
  <c r="W177" i="3"/>
  <c r="W175" i="3"/>
  <c r="W181" i="3"/>
  <c r="X202" i="3"/>
  <c r="W179" i="3"/>
  <c r="W189" i="3"/>
  <c r="Y219" i="3"/>
  <c r="W215" i="3"/>
  <c r="W199" i="3"/>
  <c r="W187" i="3"/>
  <c r="W195" i="3"/>
  <c r="W191" i="3"/>
  <c r="W185" i="3"/>
  <c r="X206" i="3"/>
  <c r="W183" i="3"/>
  <c r="Y215" i="3"/>
  <c r="X208" i="3"/>
  <c r="Y50" i="3"/>
  <c r="W49" i="3"/>
  <c r="Y54" i="3"/>
  <c r="W53" i="3"/>
  <c r="Z67" i="3"/>
  <c r="X66" i="3"/>
  <c r="Z63" i="3"/>
  <c r="X63" i="3"/>
  <c r="V62" i="3"/>
  <c r="V60" i="3"/>
  <c r="Y52" i="3"/>
  <c r="W51" i="3"/>
  <c r="Z59" i="3"/>
  <c r="Y56" i="3"/>
  <c r="W55" i="3"/>
  <c r="X31" i="3"/>
  <c r="V30" i="3"/>
  <c r="X47" i="3"/>
  <c r="X200" i="3" s="1"/>
  <c r="V46" i="3"/>
  <c r="X35" i="3"/>
  <c r="V34" i="3"/>
  <c r="X43" i="3"/>
  <c r="V42" i="3"/>
  <c r="X39" i="3"/>
  <c r="V38" i="3"/>
  <c r="X33" i="3"/>
  <c r="V32" i="3"/>
  <c r="X25" i="3"/>
  <c r="V24" i="3"/>
  <c r="V44" i="3"/>
  <c r="V22" i="3"/>
  <c r="X29" i="3"/>
  <c r="V28" i="3"/>
  <c r="X27" i="3"/>
  <c r="V26" i="3"/>
  <c r="X37" i="3"/>
  <c r="V36" i="3"/>
  <c r="Y46" i="3"/>
  <c r="X41" i="3"/>
  <c r="V40" i="3"/>
  <c r="X21" i="3"/>
  <c r="X23" i="3"/>
  <c r="F27" i="7"/>
  <c r="G27" i="7" s="1"/>
  <c r="E28" i="7"/>
  <c r="X176" i="3" l="1"/>
  <c r="X180" i="3"/>
  <c r="X174" i="3"/>
  <c r="Z212" i="3"/>
  <c r="Z220" i="3"/>
  <c r="Y203" i="3"/>
  <c r="Y199" i="3"/>
  <c r="X186" i="3"/>
  <c r="X196" i="3"/>
  <c r="Y209" i="3"/>
  <c r="X190" i="3"/>
  <c r="X182" i="3"/>
  <c r="X178" i="3"/>
  <c r="X192" i="3"/>
  <c r="X188" i="3"/>
  <c r="X184" i="3"/>
  <c r="X216" i="3"/>
  <c r="X194" i="3"/>
  <c r="Y205" i="3"/>
  <c r="Z216" i="3"/>
  <c r="Y207" i="3"/>
  <c r="W45" i="3"/>
  <c r="Z47" i="3"/>
  <c r="Z57" i="3"/>
  <c r="X56" i="3"/>
  <c r="AA60" i="3"/>
  <c r="Z53" i="3"/>
  <c r="X52" i="3"/>
  <c r="Y64" i="3"/>
  <c r="W63" i="3"/>
  <c r="W61" i="3"/>
  <c r="AA64" i="3"/>
  <c r="AA68" i="3"/>
  <c r="Y67" i="3"/>
  <c r="Z55" i="3"/>
  <c r="X54" i="3"/>
  <c r="Z51" i="3"/>
  <c r="X50" i="3"/>
  <c r="Y24" i="3"/>
  <c r="W23" i="3"/>
  <c r="W21" i="3"/>
  <c r="Y28" i="3"/>
  <c r="W27" i="3"/>
  <c r="Y34" i="3"/>
  <c r="W33" i="3"/>
  <c r="Y44" i="3"/>
  <c r="W43" i="3"/>
  <c r="Y48" i="3"/>
  <c r="Y201" i="3" s="1"/>
  <c r="W47" i="3"/>
  <c r="Y42" i="3"/>
  <c r="W41" i="3"/>
  <c r="Y38" i="3"/>
  <c r="W37" i="3"/>
  <c r="Y30" i="3"/>
  <c r="W29" i="3"/>
  <c r="Y26" i="3"/>
  <c r="W25" i="3"/>
  <c r="Y40" i="3"/>
  <c r="W39" i="3"/>
  <c r="Y36" i="3"/>
  <c r="W35" i="3"/>
  <c r="Y32" i="3"/>
  <c r="W31" i="3"/>
  <c r="Y20" i="3"/>
  <c r="Y22" i="3"/>
  <c r="E29" i="7"/>
  <c r="F28" i="7"/>
  <c r="G28" i="7" s="1"/>
  <c r="Y193" i="3" l="1"/>
  <c r="Y183" i="3"/>
  <c r="Y197" i="3"/>
  <c r="Y175" i="3"/>
  <c r="Z204" i="3"/>
  <c r="AA221" i="3"/>
  <c r="Y217" i="3"/>
  <c r="Y185" i="3"/>
  <c r="Y195" i="3"/>
  <c r="Y181" i="3"/>
  <c r="AA213" i="3"/>
  <c r="Y173" i="3"/>
  <c r="Y189" i="3"/>
  <c r="Y179" i="3"/>
  <c r="Y191" i="3"/>
  <c r="Y187" i="3"/>
  <c r="AA217" i="3"/>
  <c r="Z210" i="3"/>
  <c r="Y177" i="3"/>
  <c r="Z208" i="3"/>
  <c r="Z206" i="3"/>
  <c r="Z200" i="3"/>
  <c r="X46" i="3"/>
  <c r="AA52" i="3"/>
  <c r="Y51" i="3"/>
  <c r="AA56" i="3"/>
  <c r="Y55" i="3"/>
  <c r="AB69" i="3"/>
  <c r="Z68" i="3"/>
  <c r="AB65" i="3"/>
  <c r="Z49" i="3"/>
  <c r="Z202" i="3" s="1"/>
  <c r="X48" i="3"/>
  <c r="Z65" i="3"/>
  <c r="X64" i="3"/>
  <c r="X62" i="3"/>
  <c r="AA54" i="3"/>
  <c r="Y53" i="3"/>
  <c r="AB61" i="3"/>
  <c r="AA58" i="3"/>
  <c r="Y57" i="3"/>
  <c r="AA48" i="3"/>
  <c r="Z23" i="3"/>
  <c r="X22" i="3"/>
  <c r="Z33" i="3"/>
  <c r="X32" i="3"/>
  <c r="Z41" i="3"/>
  <c r="X40" i="3"/>
  <c r="Z31" i="3"/>
  <c r="X30" i="3"/>
  <c r="Z43" i="3"/>
  <c r="X42" i="3"/>
  <c r="Z45" i="3"/>
  <c r="X44" i="3"/>
  <c r="Z29" i="3"/>
  <c r="X28" i="3"/>
  <c r="X20" i="3"/>
  <c r="Z37" i="3"/>
  <c r="X36" i="3"/>
  <c r="Z27" i="3"/>
  <c r="X26" i="3"/>
  <c r="Z39" i="3"/>
  <c r="X38" i="3"/>
  <c r="Z35" i="3"/>
  <c r="X34" i="3"/>
  <c r="Z25" i="3"/>
  <c r="X24" i="3"/>
  <c r="Z21" i="3"/>
  <c r="Z19" i="3"/>
  <c r="E30" i="7"/>
  <c r="F29" i="7"/>
  <c r="G29" i="7" s="1"/>
  <c r="Z178" i="3" l="1"/>
  <c r="Z192" i="3"/>
  <c r="Z190" i="3"/>
  <c r="AA201" i="3"/>
  <c r="Z218" i="3"/>
  <c r="Z172" i="3"/>
  <c r="Z198" i="3"/>
  <c r="Z184" i="3"/>
  <c r="Z186" i="3"/>
  <c r="AA207" i="3"/>
  <c r="AB222" i="3"/>
  <c r="AA205" i="3"/>
  <c r="Z174" i="3"/>
  <c r="AA211" i="3"/>
  <c r="Z188" i="3"/>
  <c r="Z180" i="3"/>
  <c r="Z182" i="3"/>
  <c r="Z196" i="3"/>
  <c r="Z194" i="3"/>
  <c r="Z176" i="3"/>
  <c r="AB214" i="3"/>
  <c r="AB218" i="3"/>
  <c r="AA209" i="3"/>
  <c r="Y47" i="3"/>
  <c r="Y19" i="3"/>
  <c r="AA46" i="3"/>
  <c r="Y45" i="3"/>
  <c r="AB49" i="3"/>
  <c r="AB59" i="3"/>
  <c r="Z58" i="3"/>
  <c r="AC62" i="3"/>
  <c r="AB55" i="3"/>
  <c r="Z54" i="3"/>
  <c r="AA66" i="3"/>
  <c r="Y65" i="3"/>
  <c r="Y63" i="3"/>
  <c r="AA50" i="3"/>
  <c r="Y49" i="3"/>
  <c r="AC66" i="3"/>
  <c r="AC70" i="3"/>
  <c r="AA69" i="3"/>
  <c r="AB57" i="3"/>
  <c r="Z56" i="3"/>
  <c r="AB53" i="3"/>
  <c r="Z52" i="3"/>
  <c r="AA32" i="3"/>
  <c r="Y31" i="3"/>
  <c r="AA34" i="3"/>
  <c r="Y33" i="3"/>
  <c r="AA26" i="3"/>
  <c r="Y25" i="3"/>
  <c r="AA40" i="3"/>
  <c r="Y39" i="3"/>
  <c r="AA38" i="3"/>
  <c r="Y37" i="3"/>
  <c r="AA22" i="3"/>
  <c r="Y21" i="3"/>
  <c r="AA36" i="3"/>
  <c r="Y35" i="3"/>
  <c r="AA28" i="3"/>
  <c r="Y27" i="3"/>
  <c r="AA30" i="3"/>
  <c r="Y29" i="3"/>
  <c r="AA44" i="3"/>
  <c r="Y43" i="3"/>
  <c r="AA42" i="3"/>
  <c r="Y41" i="3"/>
  <c r="AA24" i="3"/>
  <c r="Y23" i="3"/>
  <c r="AA18" i="3"/>
  <c r="AA20" i="3"/>
  <c r="E31" i="7"/>
  <c r="F30" i="7"/>
  <c r="G30" i="7" s="1"/>
  <c r="AB202" i="3" l="1"/>
  <c r="AA173" i="3"/>
  <c r="AC215" i="3"/>
  <c r="AA177" i="3"/>
  <c r="AA197" i="3"/>
  <c r="AA181" i="3"/>
  <c r="AA175" i="3"/>
  <c r="AA193" i="3"/>
  <c r="AA187" i="3"/>
  <c r="AB206" i="3"/>
  <c r="AC223" i="3"/>
  <c r="AB208" i="3"/>
  <c r="AC219" i="3"/>
  <c r="AA171" i="3"/>
  <c r="AA195" i="3"/>
  <c r="AA183" i="3"/>
  <c r="AA189" i="3"/>
  <c r="AA191" i="3"/>
  <c r="AA179" i="3"/>
  <c r="AA185" i="3"/>
  <c r="AB210" i="3"/>
  <c r="AA219" i="3"/>
  <c r="AA199" i="3"/>
  <c r="AA203" i="3"/>
  <c r="AB212" i="3"/>
  <c r="AB45" i="3"/>
  <c r="Z44" i="3"/>
  <c r="AC54" i="3"/>
  <c r="AA53" i="3"/>
  <c r="AC58" i="3"/>
  <c r="AA57" i="3"/>
  <c r="AD71" i="3"/>
  <c r="AB70" i="3"/>
  <c r="AD67" i="3"/>
  <c r="AB51" i="3"/>
  <c r="Z50" i="3"/>
  <c r="Z48" i="3"/>
  <c r="AB67" i="3"/>
  <c r="Z66" i="3"/>
  <c r="Z64" i="3"/>
  <c r="AC56" i="3"/>
  <c r="AA55" i="3"/>
  <c r="AD63" i="3"/>
  <c r="AC60" i="3"/>
  <c r="AA59" i="3"/>
  <c r="AC50" i="3"/>
  <c r="AA49" i="3"/>
  <c r="AB47" i="3"/>
  <c r="Z46" i="3"/>
  <c r="AB25" i="3"/>
  <c r="Z24" i="3"/>
  <c r="AB29" i="3"/>
  <c r="Z28" i="3"/>
  <c r="AB23" i="3"/>
  <c r="Z22" i="3"/>
  <c r="AB41" i="3"/>
  <c r="Z40" i="3"/>
  <c r="AB35" i="3"/>
  <c r="Z34" i="3"/>
  <c r="AB21" i="3"/>
  <c r="Z20" i="3"/>
  <c r="Z18" i="3"/>
  <c r="AB43" i="3"/>
  <c r="Z42" i="3"/>
  <c r="AB31" i="3"/>
  <c r="Z30" i="3"/>
  <c r="AB37" i="3"/>
  <c r="Z36" i="3"/>
  <c r="AB39" i="3"/>
  <c r="Z38" i="3"/>
  <c r="AB27" i="3"/>
  <c r="Z26" i="3"/>
  <c r="AB33" i="3"/>
  <c r="Z32" i="3"/>
  <c r="AB19" i="3"/>
  <c r="AB17" i="3"/>
  <c r="F31" i="7"/>
  <c r="G31" i="7" s="1"/>
  <c r="E32" i="7"/>
  <c r="AB204" i="3" l="1"/>
  <c r="AB188" i="3"/>
  <c r="AB176" i="3"/>
  <c r="AB178" i="3"/>
  <c r="AC203" i="3"/>
  <c r="AB220" i="3"/>
  <c r="AD220" i="3"/>
  <c r="AC211" i="3"/>
  <c r="AB198" i="3"/>
  <c r="AB172" i="3"/>
  <c r="AB190" i="3"/>
  <c r="AD216" i="3"/>
  <c r="AB186" i="3"/>
  <c r="AB192" i="3"/>
  <c r="AB184" i="3"/>
  <c r="AC209" i="3"/>
  <c r="AB180" i="3"/>
  <c r="AB196" i="3"/>
  <c r="AB170" i="3"/>
  <c r="AB174" i="3"/>
  <c r="AB194" i="3"/>
  <c r="AB182" i="3"/>
  <c r="AB200" i="3"/>
  <c r="AC213" i="3"/>
  <c r="AD224" i="3"/>
  <c r="AC207" i="3"/>
  <c r="AC44" i="3"/>
  <c r="AA43" i="3"/>
  <c r="AC68" i="3"/>
  <c r="AA67" i="3"/>
  <c r="AA65" i="3"/>
  <c r="AC48" i="3"/>
  <c r="AA47" i="3"/>
  <c r="AD51" i="3"/>
  <c r="AD61" i="3"/>
  <c r="AB60" i="3"/>
  <c r="AE64" i="3"/>
  <c r="AD57" i="3"/>
  <c r="AB56" i="3"/>
  <c r="AC52" i="3"/>
  <c r="AC205" i="3" s="1"/>
  <c r="AA51" i="3"/>
  <c r="AE68" i="3"/>
  <c r="AE72" i="3"/>
  <c r="AE225" i="3" s="1"/>
  <c r="AC71" i="3"/>
  <c r="AD59" i="3"/>
  <c r="AB58" i="3"/>
  <c r="AD55" i="3"/>
  <c r="AB54" i="3"/>
  <c r="AC46" i="3"/>
  <c r="AA45" i="3"/>
  <c r="AC20" i="3"/>
  <c r="AA19" i="3"/>
  <c r="AC28" i="3"/>
  <c r="AA27" i="3"/>
  <c r="AC38" i="3"/>
  <c r="AA37" i="3"/>
  <c r="AC34" i="3"/>
  <c r="AA33" i="3"/>
  <c r="AC40" i="3"/>
  <c r="AA39" i="3"/>
  <c r="AC32" i="3"/>
  <c r="AA31" i="3"/>
  <c r="AA17" i="3"/>
  <c r="AC22" i="3"/>
  <c r="AA21" i="3"/>
  <c r="AC42" i="3"/>
  <c r="AA41" i="3"/>
  <c r="AC30" i="3"/>
  <c r="AA29" i="3"/>
  <c r="AC36" i="3"/>
  <c r="AA35" i="3"/>
  <c r="AC24" i="3"/>
  <c r="AA23" i="3"/>
  <c r="AC26" i="3"/>
  <c r="AA25" i="3"/>
  <c r="AC18" i="3"/>
  <c r="AC16" i="3"/>
  <c r="E33" i="7"/>
  <c r="F32" i="7"/>
  <c r="G32" i="7" s="1"/>
  <c r="AD204" i="3" l="1"/>
  <c r="AC169" i="3"/>
  <c r="AC185" i="3"/>
  <c r="AC187" i="3"/>
  <c r="AC181" i="3"/>
  <c r="AC199" i="3"/>
  <c r="AD212" i="3"/>
  <c r="AE146" i="3"/>
  <c r="AE217" i="3"/>
  <c r="AC221" i="3"/>
  <c r="AC179" i="3"/>
  <c r="AC195" i="3"/>
  <c r="AD210" i="3"/>
  <c r="AC183" i="3"/>
  <c r="AC175" i="3"/>
  <c r="AC201" i="3"/>
  <c r="AC189" i="3"/>
  <c r="AE150" i="3"/>
  <c r="AE221" i="3"/>
  <c r="AC171" i="3"/>
  <c r="AC177" i="3"/>
  <c r="AC193" i="3"/>
  <c r="AC191" i="3"/>
  <c r="AC173" i="3"/>
  <c r="AD208" i="3"/>
  <c r="AD214" i="3"/>
  <c r="AC197" i="3"/>
  <c r="AB50" i="3"/>
  <c r="AD72" i="3"/>
  <c r="AE154" i="3"/>
  <c r="AD43" i="3"/>
  <c r="AB42" i="3"/>
  <c r="AD47" i="3"/>
  <c r="AB46" i="3"/>
  <c r="AE56" i="3"/>
  <c r="AC55" i="3"/>
  <c r="AE60" i="3"/>
  <c r="AC59" i="3"/>
  <c r="AD53" i="3"/>
  <c r="AB52" i="3"/>
  <c r="AE58" i="3"/>
  <c r="AE211" i="3" s="1"/>
  <c r="AC57" i="3"/>
  <c r="AE62" i="3"/>
  <c r="AE215" i="3" s="1"/>
  <c r="AC61" i="3"/>
  <c r="AE52" i="3"/>
  <c r="AD49" i="3"/>
  <c r="AB48" i="3"/>
  <c r="AD69" i="3"/>
  <c r="AB68" i="3"/>
  <c r="AB66" i="3"/>
  <c r="AD45" i="3"/>
  <c r="AB44" i="3"/>
  <c r="AD19" i="3"/>
  <c r="AB18" i="3"/>
  <c r="AD31" i="3"/>
  <c r="AB30" i="3"/>
  <c r="AD27" i="3"/>
  <c r="AB26" i="3"/>
  <c r="AD37" i="3"/>
  <c r="AB36" i="3"/>
  <c r="AD25" i="3"/>
  <c r="AB24" i="3"/>
  <c r="AD23" i="3"/>
  <c r="AB22" i="3"/>
  <c r="AB16" i="3"/>
  <c r="AD33" i="3"/>
  <c r="AB32" i="3"/>
  <c r="AD35" i="3"/>
  <c r="AB34" i="3"/>
  <c r="AD29" i="3"/>
  <c r="AB28" i="3"/>
  <c r="AD41" i="3"/>
  <c r="AB40" i="3"/>
  <c r="AD39" i="3"/>
  <c r="AB38" i="3"/>
  <c r="AD21" i="3"/>
  <c r="AB20" i="3"/>
  <c r="AD15" i="3"/>
  <c r="AD17" i="3"/>
  <c r="E34" i="7"/>
  <c r="F33" i="7"/>
  <c r="G33" i="7" s="1"/>
  <c r="AD194" i="3" l="1"/>
  <c r="AD188" i="3"/>
  <c r="AD222" i="3"/>
  <c r="AD176" i="3"/>
  <c r="AD190" i="3"/>
  <c r="AD184" i="3"/>
  <c r="AD198" i="3"/>
  <c r="AD206" i="3"/>
  <c r="AE138" i="3"/>
  <c r="AE209" i="3"/>
  <c r="AD196" i="3"/>
  <c r="AD174" i="3"/>
  <c r="AD202" i="3"/>
  <c r="AD170" i="3"/>
  <c r="AD168" i="3"/>
  <c r="AD192" i="3"/>
  <c r="AD182" i="3"/>
  <c r="AD186" i="3"/>
  <c r="AD178" i="3"/>
  <c r="AD180" i="3"/>
  <c r="AD172" i="3"/>
  <c r="AE134" i="3"/>
  <c r="AE205" i="3"/>
  <c r="AE142" i="3"/>
  <c r="AE213" i="3"/>
  <c r="AD200" i="3"/>
  <c r="AC51" i="3"/>
  <c r="AD62" i="3"/>
  <c r="AE144" i="3"/>
  <c r="AD58" i="3"/>
  <c r="AE140" i="3"/>
  <c r="AE42" i="3"/>
  <c r="AC41" i="3"/>
  <c r="AE46" i="3"/>
  <c r="AC45" i="3"/>
  <c r="AE54" i="3"/>
  <c r="AC53" i="3"/>
  <c r="AE70" i="3"/>
  <c r="AC69" i="3"/>
  <c r="AC67" i="3"/>
  <c r="AE50" i="3"/>
  <c r="AE203" i="3" s="1"/>
  <c r="AC49" i="3"/>
  <c r="AD60" i="3"/>
  <c r="AD56" i="3"/>
  <c r="AE48" i="3"/>
  <c r="AC47" i="3"/>
  <c r="AE44" i="3"/>
  <c r="AE197" i="3" s="1"/>
  <c r="AC43" i="3"/>
  <c r="AE18" i="3"/>
  <c r="AC17" i="3"/>
  <c r="AE22" i="3"/>
  <c r="AC21" i="3"/>
  <c r="AE36" i="3"/>
  <c r="AC35" i="3"/>
  <c r="AE24" i="3"/>
  <c r="AC23" i="3"/>
  <c r="AE38" i="3"/>
  <c r="AC37" i="3"/>
  <c r="AE32" i="3"/>
  <c r="AC31" i="3"/>
  <c r="AC15" i="3"/>
  <c r="AE40" i="3"/>
  <c r="AE193" i="3" s="1"/>
  <c r="AC39" i="3"/>
  <c r="AE30" i="3"/>
  <c r="AC29" i="3"/>
  <c r="AE34" i="3"/>
  <c r="AE187" i="3" s="1"/>
  <c r="AC33" i="3"/>
  <c r="AE26" i="3"/>
  <c r="AC25" i="3"/>
  <c r="AE28" i="3"/>
  <c r="AE181" i="3" s="1"/>
  <c r="AC27" i="3"/>
  <c r="AE20" i="3"/>
  <c r="AC19" i="3"/>
  <c r="AE16" i="3"/>
  <c r="AE169" i="3" s="1"/>
  <c r="AE14" i="3"/>
  <c r="AD97" i="3" s="1"/>
  <c r="E35" i="7"/>
  <c r="F34" i="7"/>
  <c r="G34" i="7" s="1"/>
  <c r="AC98" i="3" l="1"/>
  <c r="AE114" i="3"/>
  <c r="AE185" i="3"/>
  <c r="AE106" i="3"/>
  <c r="AE177" i="3"/>
  <c r="AE104" i="3"/>
  <c r="AE175" i="3"/>
  <c r="AD52" i="3"/>
  <c r="AE207" i="3"/>
  <c r="AE124" i="3"/>
  <c r="AE195" i="3"/>
  <c r="AE167" i="3"/>
  <c r="AE152" i="3"/>
  <c r="AE223" i="3"/>
  <c r="AE128" i="3"/>
  <c r="AE199" i="3"/>
  <c r="AE102" i="3"/>
  <c r="AE173" i="3"/>
  <c r="AE108" i="3"/>
  <c r="AE179" i="3"/>
  <c r="AE112" i="3"/>
  <c r="AE183" i="3"/>
  <c r="AE120" i="3"/>
  <c r="AE191" i="3"/>
  <c r="AE118" i="3"/>
  <c r="AE189" i="3"/>
  <c r="AE100" i="3"/>
  <c r="AE171" i="3"/>
  <c r="AE130" i="3"/>
  <c r="AE201" i="3"/>
  <c r="AD34" i="3"/>
  <c r="AE116" i="3"/>
  <c r="AD44" i="3"/>
  <c r="AE126" i="3"/>
  <c r="AD54" i="3"/>
  <c r="AE136" i="3"/>
  <c r="AD40" i="3"/>
  <c r="AE122" i="3"/>
  <c r="AD50" i="3"/>
  <c r="AE132" i="3"/>
  <c r="AD28" i="3"/>
  <c r="AE110" i="3"/>
  <c r="AD16" i="3"/>
  <c r="AE98" i="3"/>
  <c r="AD48" i="3"/>
  <c r="AD70" i="3"/>
  <c r="AD68" i="3"/>
  <c r="AD46" i="3"/>
  <c r="AD42" i="3"/>
  <c r="AD20" i="3"/>
  <c r="AD30" i="3"/>
  <c r="AD26" i="3"/>
  <c r="AD14" i="3"/>
  <c r="AD32" i="3"/>
  <c r="AD24" i="3"/>
  <c r="AD22" i="3"/>
  <c r="AD38" i="3"/>
  <c r="AD36" i="3"/>
  <c r="AD18" i="3"/>
  <c r="F35" i="7"/>
  <c r="G35" i="7" s="1"/>
  <c r="E36" i="7"/>
  <c r="E37" i="7" l="1"/>
  <c r="F36" i="7"/>
  <c r="G36" i="7" s="1"/>
  <c r="E38" i="7" l="1"/>
  <c r="F37" i="7"/>
  <c r="G37" i="7" s="1"/>
  <c r="E39" i="7" l="1"/>
  <c r="F38" i="7"/>
  <c r="G38" i="7" s="1"/>
  <c r="F39" i="7" l="1"/>
  <c r="G39" i="7" s="1"/>
  <c r="E40" i="7"/>
  <c r="E41" i="7" l="1"/>
  <c r="F40" i="7"/>
  <c r="G40" i="7" s="1"/>
  <c r="E42" i="7" l="1"/>
  <c r="F41" i="7"/>
  <c r="G41" i="7" s="1"/>
  <c r="E43" i="7" l="1"/>
  <c r="F42" i="7"/>
  <c r="G42" i="7" s="1"/>
  <c r="F43" i="7" l="1"/>
  <c r="G43" i="7" s="1"/>
  <c r="E44" i="7"/>
  <c r="E45" i="7" l="1"/>
  <c r="F44" i="7"/>
  <c r="G44" i="7" s="1"/>
  <c r="E46" i="7" l="1"/>
  <c r="F45" i="7"/>
  <c r="G45" i="7" s="1"/>
  <c r="E47" i="7" l="1"/>
  <c r="F46" i="7"/>
  <c r="G46" i="7" s="1"/>
  <c r="F47" i="7" l="1"/>
  <c r="G47" i="7" s="1"/>
  <c r="E48" i="7"/>
  <c r="E49" i="7" l="1"/>
  <c r="F48" i="7"/>
  <c r="G48" i="7" s="1"/>
  <c r="E50" i="7" l="1"/>
  <c r="F49" i="7"/>
  <c r="G49" i="7" s="1"/>
  <c r="E51" i="7" l="1"/>
  <c r="F50" i="7"/>
  <c r="G50" i="7" s="1"/>
  <c r="F51" i="7" l="1"/>
  <c r="G51" i="7" s="1"/>
  <c r="E52" i="7"/>
  <c r="E53" i="7" l="1"/>
  <c r="F52" i="7"/>
  <c r="G52" i="7" s="1"/>
  <c r="E54" i="7" l="1"/>
  <c r="F53" i="7"/>
  <c r="G53" i="7" s="1"/>
  <c r="E55" i="7" l="1"/>
  <c r="F54" i="7"/>
  <c r="G54" i="7" s="1"/>
  <c r="F55" i="7" l="1"/>
  <c r="G55" i="7" s="1"/>
  <c r="E56" i="7"/>
  <c r="E57" i="7" l="1"/>
  <c r="F56" i="7"/>
  <c r="G56" i="7" s="1"/>
  <c r="E58" i="7" l="1"/>
  <c r="F57" i="7"/>
  <c r="G57" i="7" s="1"/>
  <c r="E59" i="7" l="1"/>
  <c r="F58" i="7"/>
  <c r="G58" i="7" s="1"/>
  <c r="F59" i="7" l="1"/>
  <c r="G59" i="7" s="1"/>
  <c r="E60" i="7"/>
  <c r="E61" i="7" l="1"/>
  <c r="F60" i="7"/>
  <c r="G60" i="7" s="1"/>
  <c r="E62" i="7" l="1"/>
  <c r="F61" i="7"/>
  <c r="G61" i="7" s="1"/>
  <c r="E63" i="7" l="1"/>
  <c r="F62" i="7"/>
  <c r="G62" i="7" s="1"/>
  <c r="F63" i="7" l="1"/>
  <c r="G63" i="7" s="1"/>
  <c r="E64" i="7"/>
  <c r="E65" i="7" l="1"/>
  <c r="F64" i="7"/>
  <c r="G64" i="7" s="1"/>
  <c r="E66" i="7" l="1"/>
  <c r="F65" i="7"/>
  <c r="G65" i="7" s="1"/>
  <c r="E67" i="7" l="1"/>
  <c r="F66" i="7"/>
  <c r="G66" i="7" s="1"/>
  <c r="F67" i="7" l="1"/>
  <c r="G67" i="7" s="1"/>
  <c r="E68" i="7"/>
  <c r="E69" i="7" l="1"/>
  <c r="F68" i="7"/>
  <c r="G68" i="7" s="1"/>
  <c r="E70" i="7" l="1"/>
  <c r="F69" i="7"/>
  <c r="G69" i="7" s="1"/>
  <c r="E71" i="7" l="1"/>
  <c r="F70" i="7"/>
  <c r="G70" i="7" s="1"/>
  <c r="F71" i="7" l="1"/>
  <c r="G71" i="7" s="1"/>
  <c r="E72" i="7"/>
  <c r="E73" i="7" l="1"/>
  <c r="F72" i="7"/>
  <c r="G72" i="7" s="1"/>
  <c r="E74" i="7" l="1"/>
  <c r="F73" i="7"/>
  <c r="G73" i="7" s="1"/>
  <c r="E75" i="7" l="1"/>
  <c r="F74" i="7"/>
  <c r="G74" i="7" s="1"/>
  <c r="F75" i="7" l="1"/>
  <c r="G75" i="7" s="1"/>
  <c r="E76" i="7"/>
  <c r="E77" i="7" l="1"/>
  <c r="F76" i="7"/>
  <c r="G76" i="7" s="1"/>
  <c r="E78" i="7" l="1"/>
  <c r="F77" i="7"/>
  <c r="G77" i="7" s="1"/>
  <c r="E79" i="7" l="1"/>
  <c r="F78" i="7"/>
  <c r="G78" i="7" s="1"/>
  <c r="F79" i="7" l="1"/>
  <c r="G79" i="7" s="1"/>
  <c r="E80" i="7"/>
  <c r="E81" i="7" l="1"/>
  <c r="F80" i="7"/>
  <c r="G80" i="7" s="1"/>
  <c r="E82" i="7" l="1"/>
  <c r="F81" i="7"/>
  <c r="G81" i="7" s="1"/>
  <c r="E83" i="7" l="1"/>
  <c r="F82" i="7"/>
  <c r="G82" i="7" s="1"/>
  <c r="F83" i="7" l="1"/>
  <c r="G83" i="7" s="1"/>
  <c r="E84" i="7"/>
  <c r="E85" i="7" l="1"/>
  <c r="F84" i="7"/>
  <c r="G84" i="7" s="1"/>
  <c r="E86" i="7" l="1"/>
  <c r="F85" i="7"/>
  <c r="G85" i="7" s="1"/>
  <c r="E87" i="7" l="1"/>
  <c r="F86" i="7"/>
  <c r="G86" i="7" s="1"/>
  <c r="F87" i="7" l="1"/>
  <c r="G87" i="7" s="1"/>
  <c r="E88" i="7"/>
  <c r="E89" i="7" l="1"/>
  <c r="F88" i="7"/>
  <c r="G88" i="7" s="1"/>
  <c r="E90" i="7" l="1"/>
  <c r="F89" i="7"/>
  <c r="G89" i="7" s="1"/>
  <c r="E91" i="7" l="1"/>
  <c r="F90" i="7"/>
  <c r="G90" i="7" s="1"/>
  <c r="F91" i="7" l="1"/>
  <c r="G91" i="7" s="1"/>
  <c r="E92" i="7"/>
  <c r="E93" i="7" l="1"/>
  <c r="F92" i="7"/>
  <c r="G92" i="7" s="1"/>
  <c r="E94" i="7" l="1"/>
  <c r="F93" i="7"/>
  <c r="G93" i="7" s="1"/>
  <c r="E95" i="7" l="1"/>
  <c r="F94" i="7"/>
  <c r="G94" i="7" s="1"/>
  <c r="F95" i="7" l="1"/>
  <c r="G95" i="7" s="1"/>
  <c r="E96" i="7"/>
  <c r="E97" i="7" l="1"/>
  <c r="F96" i="7"/>
  <c r="G96" i="7" s="1"/>
  <c r="E98" i="7" l="1"/>
  <c r="F97" i="7"/>
  <c r="G97" i="7" s="1"/>
  <c r="E99" i="7" l="1"/>
  <c r="F98" i="7"/>
  <c r="G98" i="7" s="1"/>
  <c r="F99" i="7" l="1"/>
  <c r="G99" i="7" s="1"/>
  <c r="E100" i="7"/>
  <c r="E101" i="7" l="1"/>
  <c r="F100" i="7"/>
  <c r="G100" i="7" s="1"/>
  <c r="E102" i="7" l="1"/>
  <c r="F101" i="7"/>
  <c r="G101" i="7" s="1"/>
  <c r="E103" i="7" l="1"/>
  <c r="F102" i="7"/>
  <c r="G102" i="7" s="1"/>
  <c r="F103" i="7" l="1"/>
  <c r="G103" i="7" s="1"/>
  <c r="E104" i="7"/>
  <c r="E105" i="7" l="1"/>
  <c r="F104" i="7"/>
  <c r="G104" i="7" s="1"/>
  <c r="E106" i="7" l="1"/>
  <c r="F105" i="7"/>
  <c r="G105" i="7" s="1"/>
  <c r="E107" i="7" l="1"/>
  <c r="F106" i="7"/>
  <c r="G106" i="7" s="1"/>
  <c r="F107" i="7" l="1"/>
  <c r="G107" i="7" s="1"/>
  <c r="E108" i="7"/>
  <c r="E109" i="7" l="1"/>
  <c r="F108" i="7"/>
  <c r="G108" i="7" s="1"/>
  <c r="E110" i="7" l="1"/>
  <c r="F109" i="7"/>
  <c r="G109" i="7" s="1"/>
  <c r="E111" i="7" l="1"/>
  <c r="F110" i="7"/>
  <c r="G110" i="7" s="1"/>
  <c r="F111" i="7" l="1"/>
  <c r="G111" i="7" s="1"/>
  <c r="E112" i="7"/>
  <c r="E113" i="7" l="1"/>
  <c r="F112" i="7"/>
  <c r="G112" i="7" s="1"/>
  <c r="E114" i="7" l="1"/>
  <c r="F113" i="7"/>
  <c r="G113" i="7" s="1"/>
  <c r="E115" i="7" l="1"/>
  <c r="F114" i="7"/>
  <c r="G114" i="7" s="1"/>
  <c r="F115" i="7" l="1"/>
  <c r="G115" i="7" s="1"/>
  <c r="E116" i="7"/>
  <c r="E117" i="7" l="1"/>
  <c r="F116" i="7"/>
  <c r="G116" i="7" s="1"/>
  <c r="E118" i="7" l="1"/>
  <c r="F117" i="7"/>
  <c r="G117" i="7" s="1"/>
  <c r="E119" i="7" l="1"/>
  <c r="F118" i="7"/>
  <c r="G118" i="7" s="1"/>
  <c r="F119" i="7" l="1"/>
  <c r="G119" i="7" s="1"/>
  <c r="E120" i="7"/>
  <c r="E121" i="7" l="1"/>
  <c r="F120" i="7"/>
  <c r="G120" i="7" s="1"/>
  <c r="E122" i="7" l="1"/>
  <c r="F121" i="7"/>
  <c r="G121" i="7" s="1"/>
  <c r="E123" i="7" l="1"/>
  <c r="F122" i="7"/>
  <c r="G122" i="7" s="1"/>
  <c r="F123" i="7" l="1"/>
  <c r="G123" i="7" s="1"/>
  <c r="E124" i="7"/>
  <c r="E125" i="7" l="1"/>
  <c r="F124" i="7"/>
  <c r="G124" i="7" s="1"/>
  <c r="E126" i="7" l="1"/>
  <c r="F125" i="7"/>
  <c r="G125" i="7" s="1"/>
  <c r="E127" i="7" l="1"/>
  <c r="F126" i="7"/>
  <c r="G126" i="7" s="1"/>
  <c r="F127" i="7" l="1"/>
  <c r="G127" i="7" s="1"/>
  <c r="E128" i="7"/>
  <c r="E129" i="7" l="1"/>
  <c r="F128" i="7"/>
  <c r="G128" i="7" s="1"/>
  <c r="E130" i="7" l="1"/>
  <c r="F129" i="7"/>
  <c r="G129" i="7" s="1"/>
  <c r="E131" i="7" l="1"/>
  <c r="F130" i="7"/>
  <c r="G130" i="7" s="1"/>
  <c r="F131" i="7" l="1"/>
  <c r="G131" i="7" s="1"/>
  <c r="E132" i="7"/>
  <c r="E133" i="7" l="1"/>
  <c r="F132" i="7"/>
  <c r="G132" i="7" s="1"/>
  <c r="E134" i="7" l="1"/>
  <c r="F133" i="7"/>
  <c r="G133" i="7" s="1"/>
  <c r="E135" i="7" l="1"/>
  <c r="F134" i="7"/>
  <c r="G134" i="7" s="1"/>
  <c r="F135" i="7" l="1"/>
  <c r="G135" i="7" s="1"/>
  <c r="E136" i="7"/>
  <c r="E137" i="7" l="1"/>
  <c r="F136" i="7"/>
  <c r="G136" i="7" s="1"/>
  <c r="E138" i="7" l="1"/>
  <c r="F137" i="7"/>
  <c r="G137" i="7" s="1"/>
  <c r="E139" i="7" l="1"/>
  <c r="F138" i="7"/>
  <c r="G138" i="7" s="1"/>
  <c r="F139" i="7" l="1"/>
  <c r="G139" i="7" s="1"/>
  <c r="E140" i="7"/>
  <c r="E141" i="7" l="1"/>
  <c r="F140" i="7"/>
  <c r="G140" i="7" s="1"/>
  <c r="E142" i="7" l="1"/>
  <c r="F141" i="7"/>
  <c r="G141" i="7" s="1"/>
  <c r="E143" i="7" l="1"/>
  <c r="F142" i="7"/>
  <c r="G142" i="7" s="1"/>
  <c r="F143" i="7" l="1"/>
  <c r="G143" i="7" s="1"/>
  <c r="E144" i="7"/>
  <c r="E145" i="7" l="1"/>
  <c r="F144" i="7"/>
  <c r="G144" i="7" s="1"/>
  <c r="E146" i="7" l="1"/>
  <c r="F145" i="7"/>
  <c r="G145" i="7" s="1"/>
  <c r="E147" i="7" l="1"/>
  <c r="F146" i="7"/>
  <c r="G146" i="7" s="1"/>
  <c r="F147" i="7" l="1"/>
  <c r="G147" i="7" s="1"/>
  <c r="E148" i="7"/>
  <c r="E149" i="7" l="1"/>
  <c r="F148" i="7"/>
  <c r="G148" i="7" s="1"/>
  <c r="E150" i="7" l="1"/>
  <c r="F149" i="7"/>
  <c r="G149" i="7" s="1"/>
  <c r="E151" i="7" l="1"/>
  <c r="F150" i="7"/>
  <c r="G150" i="7" s="1"/>
  <c r="F151" i="7" l="1"/>
  <c r="G151" i="7" s="1"/>
  <c r="E152" i="7"/>
  <c r="E153" i="7" l="1"/>
  <c r="F152" i="7"/>
  <c r="G152" i="7" s="1"/>
  <c r="E154" i="7" l="1"/>
  <c r="F153" i="7"/>
  <c r="G153" i="7" s="1"/>
  <c r="E155" i="7" l="1"/>
  <c r="F154" i="7"/>
  <c r="G154" i="7" s="1"/>
  <c r="F155" i="7" l="1"/>
  <c r="G155" i="7" s="1"/>
  <c r="E156" i="7"/>
  <c r="E157" i="7" l="1"/>
  <c r="F156" i="7"/>
  <c r="G156" i="7" s="1"/>
  <c r="E158" i="7" l="1"/>
  <c r="F157" i="7"/>
  <c r="G157" i="7" s="1"/>
  <c r="E159" i="7" l="1"/>
  <c r="F158" i="7"/>
  <c r="G158" i="7" s="1"/>
  <c r="F159" i="7" l="1"/>
  <c r="G159" i="7" s="1"/>
  <c r="E160" i="7"/>
  <c r="E161" i="7" l="1"/>
  <c r="F160" i="7"/>
  <c r="G160" i="7" s="1"/>
  <c r="E162" i="7" l="1"/>
  <c r="F161" i="7"/>
  <c r="G161" i="7" s="1"/>
  <c r="E163" i="7" l="1"/>
  <c r="F162" i="7"/>
  <c r="G162" i="7" s="1"/>
  <c r="F163" i="7" l="1"/>
  <c r="G163" i="7" s="1"/>
  <c r="E164" i="7"/>
  <c r="E165" i="7" l="1"/>
  <c r="F164" i="7"/>
  <c r="G164" i="7" s="1"/>
  <c r="E166" i="7" l="1"/>
  <c r="F165" i="7"/>
  <c r="G165" i="7" s="1"/>
  <c r="E167" i="7" l="1"/>
  <c r="F166" i="7"/>
  <c r="G166" i="7" s="1"/>
  <c r="F167" i="7" l="1"/>
  <c r="G167" i="7" s="1"/>
  <c r="E168" i="7"/>
  <c r="E169" i="7" l="1"/>
  <c r="F168" i="7"/>
  <c r="G168" i="7" s="1"/>
  <c r="E170" i="7" l="1"/>
  <c r="F169" i="7"/>
  <c r="G169" i="7" s="1"/>
  <c r="E171" i="7" l="1"/>
  <c r="F170" i="7"/>
  <c r="G170" i="7" s="1"/>
  <c r="F171" i="7" l="1"/>
  <c r="G171" i="7" s="1"/>
  <c r="E172" i="7"/>
  <c r="E173" i="7" l="1"/>
  <c r="F172" i="7"/>
  <c r="G172" i="7" s="1"/>
  <c r="E174" i="7" l="1"/>
  <c r="F173" i="7"/>
  <c r="G173" i="7" s="1"/>
  <c r="E175" i="7" l="1"/>
  <c r="F174" i="7"/>
  <c r="G174" i="7" s="1"/>
  <c r="F175" i="7" l="1"/>
  <c r="G175" i="7" s="1"/>
  <c r="E176" i="7"/>
  <c r="E177" i="7" l="1"/>
  <c r="F176" i="7"/>
  <c r="G176" i="7" s="1"/>
  <c r="E178" i="7" l="1"/>
  <c r="F177" i="7"/>
  <c r="G177" i="7" s="1"/>
  <c r="E179" i="7" l="1"/>
  <c r="F178" i="7"/>
  <c r="G178" i="7" s="1"/>
  <c r="F179" i="7" l="1"/>
  <c r="G179" i="7" s="1"/>
  <c r="E180" i="7"/>
  <c r="E181" i="7" l="1"/>
  <c r="F180" i="7"/>
  <c r="G180" i="7" s="1"/>
  <c r="E182" i="7" l="1"/>
  <c r="F181" i="7"/>
  <c r="G181" i="7" s="1"/>
  <c r="E183" i="7" l="1"/>
  <c r="F182" i="7"/>
  <c r="G182" i="7" s="1"/>
  <c r="F183" i="7" l="1"/>
  <c r="G183" i="7" s="1"/>
  <c r="E184" i="7"/>
  <c r="E185" i="7" l="1"/>
  <c r="F184" i="7"/>
  <c r="G184" i="7" s="1"/>
  <c r="E186" i="7" l="1"/>
  <c r="F185" i="7"/>
  <c r="G185" i="7" s="1"/>
  <c r="E187" i="7" l="1"/>
  <c r="F186" i="7"/>
  <c r="G186" i="7" s="1"/>
  <c r="F187" i="7" l="1"/>
  <c r="G187" i="7" s="1"/>
  <c r="E188" i="7"/>
  <c r="E189" i="7" l="1"/>
  <c r="F188" i="7"/>
  <c r="G188" i="7" s="1"/>
  <c r="E190" i="7" l="1"/>
  <c r="F189" i="7"/>
  <c r="G189" i="7" s="1"/>
  <c r="E191" i="7" l="1"/>
  <c r="F190" i="7"/>
  <c r="G190" i="7" s="1"/>
  <c r="F191" i="7" l="1"/>
  <c r="G191" i="7" s="1"/>
  <c r="E192" i="7"/>
  <c r="E193" i="7" l="1"/>
  <c r="F192" i="7"/>
  <c r="G192" i="7" s="1"/>
  <c r="E194" i="7" l="1"/>
  <c r="F193" i="7"/>
  <c r="G193" i="7" s="1"/>
  <c r="E195" i="7" l="1"/>
  <c r="F194" i="7"/>
  <c r="G194" i="7" s="1"/>
  <c r="F195" i="7" l="1"/>
  <c r="G195" i="7" s="1"/>
  <c r="E196" i="7"/>
  <c r="E197" i="7" l="1"/>
  <c r="F196" i="7"/>
  <c r="G196" i="7" s="1"/>
  <c r="E198" i="7" l="1"/>
  <c r="F197" i="7"/>
  <c r="G197" i="7" s="1"/>
  <c r="E199" i="7" l="1"/>
  <c r="F198" i="7"/>
  <c r="G198" i="7" s="1"/>
  <c r="F199" i="7" l="1"/>
  <c r="G199" i="7" s="1"/>
  <c r="E200" i="7"/>
  <c r="E201" i="7" l="1"/>
  <c r="F200" i="7"/>
  <c r="G200" i="7" s="1"/>
  <c r="E202" i="7" l="1"/>
  <c r="F201" i="7"/>
  <c r="G201" i="7" s="1"/>
  <c r="E203" i="7" l="1"/>
  <c r="F203" i="7" s="1"/>
  <c r="G203" i="7" s="1"/>
  <c r="F202" i="7"/>
  <c r="G202" i="7" s="1"/>
  <c r="K47" i="3" l="1"/>
  <c r="K45" i="3"/>
  <c r="M48" i="3"/>
  <c r="L48" i="3" l="1"/>
  <c r="N49" i="3"/>
  <c r="L46" i="3"/>
  <c r="L129" i="3"/>
  <c r="K128" i="3" s="1"/>
  <c r="M201" i="3"/>
  <c r="L202" i="3" s="1"/>
  <c r="K203" i="3" s="1"/>
  <c r="J204" i="3" s="1"/>
  <c r="I205" i="3" s="1"/>
  <c r="N202" i="3" l="1"/>
  <c r="O50" i="3"/>
  <c r="M49" i="3"/>
  <c r="M47" i="3"/>
  <c r="L131" i="3"/>
  <c r="K132" i="3" s="1"/>
  <c r="J133" i="3" s="1"/>
  <c r="I134" i="3" s="1"/>
  <c r="L200" i="3"/>
  <c r="K201" i="3" s="1"/>
  <c r="J202" i="3" s="1"/>
  <c r="I203" i="3" s="1"/>
  <c r="H204" i="3" s="1"/>
  <c r="J127" i="3"/>
  <c r="O203" i="3" l="1"/>
  <c r="P51" i="3"/>
  <c r="N50" i="3"/>
  <c r="N48" i="3"/>
  <c r="K199" i="3"/>
  <c r="J200" i="3" s="1"/>
  <c r="I201" i="3" s="1"/>
  <c r="H202" i="3" s="1"/>
  <c r="G203" i="3" s="1"/>
  <c r="K130" i="3"/>
  <c r="J131" i="3" s="1"/>
  <c r="I132" i="3" s="1"/>
  <c r="H133" i="3" s="1"/>
  <c r="I126" i="3"/>
  <c r="P204" i="3" l="1"/>
  <c r="Q52" i="3"/>
  <c r="O51" i="3"/>
  <c r="O49" i="3"/>
  <c r="J198" i="3"/>
  <c r="I197" i="3" s="1"/>
  <c r="J129" i="3"/>
  <c r="I130" i="3" s="1"/>
  <c r="H131" i="3" s="1"/>
  <c r="G132" i="3" s="1"/>
  <c r="H125" i="3"/>
  <c r="Q205" i="3" l="1"/>
  <c r="R53" i="3"/>
  <c r="P52" i="3"/>
  <c r="P50" i="3"/>
  <c r="I199" i="3"/>
  <c r="H200" i="3" s="1"/>
  <c r="G201" i="3" s="1"/>
  <c r="F202" i="3" s="1"/>
  <c r="I128" i="3"/>
  <c r="H129" i="3" s="1"/>
  <c r="G130" i="3" s="1"/>
  <c r="F131" i="3" s="1"/>
  <c r="G124" i="3"/>
  <c r="H196" i="3"/>
  <c r="R206" i="3" l="1"/>
  <c r="S54" i="3"/>
  <c r="S207" i="3" s="1"/>
  <c r="Q53" i="3"/>
  <c r="Q51" i="3"/>
  <c r="H198" i="3"/>
  <c r="G199" i="3" s="1"/>
  <c r="F200" i="3" s="1"/>
  <c r="E201" i="3" s="1"/>
  <c r="H127" i="3"/>
  <c r="G128" i="3" s="1"/>
  <c r="F129" i="3" s="1"/>
  <c r="E130" i="3" s="1"/>
  <c r="G195" i="3"/>
  <c r="F123" i="3"/>
  <c r="R54" i="3" l="1"/>
  <c r="T55" i="3"/>
  <c r="R52" i="3"/>
  <c r="G197" i="3"/>
  <c r="F198" i="3" s="1"/>
  <c r="E199" i="3" s="1"/>
  <c r="D200" i="3" s="1"/>
  <c r="G126" i="3"/>
  <c r="F127" i="3" s="1"/>
  <c r="E128" i="3" s="1"/>
  <c r="D129" i="3" s="1"/>
  <c r="E122" i="3"/>
  <c r="F194" i="3"/>
  <c r="T208" i="3" l="1"/>
  <c r="U56" i="3"/>
  <c r="S55" i="3"/>
  <c r="S53" i="3"/>
  <c r="F196" i="3"/>
  <c r="E197" i="3" s="1"/>
  <c r="D198" i="3" s="1"/>
  <c r="C199" i="3" s="1"/>
  <c r="F125" i="3"/>
  <c r="E126" i="3" s="1"/>
  <c r="D127" i="3" s="1"/>
  <c r="C128" i="3" s="1"/>
  <c r="E193" i="3"/>
  <c r="U209" i="3" l="1"/>
  <c r="V57" i="3"/>
  <c r="T56" i="3"/>
  <c r="T54" i="3"/>
  <c r="E195" i="3"/>
  <c r="D196" i="3" s="1"/>
  <c r="C197" i="3" s="1"/>
  <c r="B198" i="3" s="1"/>
  <c r="E124" i="3"/>
  <c r="D125" i="3" s="1"/>
  <c r="C126" i="3" s="1"/>
  <c r="B127" i="3" s="1"/>
  <c r="V210" i="3" l="1"/>
  <c r="W58" i="3"/>
  <c r="U57" i="3"/>
  <c r="U55" i="3"/>
  <c r="D194" i="3"/>
  <c r="C195" i="3" s="1"/>
  <c r="B196" i="3" s="1"/>
  <c r="A197" i="3" s="1"/>
  <c r="H5" i="3" s="1"/>
  <c r="D123" i="3"/>
  <c r="C124" i="3" s="1"/>
  <c r="B125" i="3" s="1"/>
  <c r="A126" i="3" s="1"/>
  <c r="W211" i="3" l="1"/>
  <c r="X59" i="3"/>
  <c r="V58" i="3"/>
  <c r="V56" i="3"/>
  <c r="X212" i="3" l="1"/>
  <c r="Y60" i="3"/>
  <c r="W59" i="3"/>
  <c r="W57" i="3"/>
  <c r="Y213" i="3" l="1"/>
  <c r="Z61" i="3"/>
  <c r="X60" i="3"/>
  <c r="X58" i="3"/>
  <c r="Z214" i="3" l="1"/>
  <c r="AA62" i="3"/>
  <c r="Y61" i="3"/>
  <c r="Y59" i="3"/>
  <c r="AA215" i="3" l="1"/>
  <c r="AB63" i="3"/>
  <c r="Z62" i="3"/>
  <c r="Z60" i="3"/>
  <c r="AB216" i="3" l="1"/>
  <c r="AC64" i="3"/>
  <c r="AA63" i="3"/>
  <c r="AA61" i="3"/>
  <c r="AC217" i="3" l="1"/>
  <c r="AD65" i="3"/>
  <c r="AB64" i="3"/>
  <c r="AB62" i="3"/>
  <c r="AD218" i="3" l="1"/>
  <c r="AE66" i="3"/>
  <c r="AC65" i="3"/>
  <c r="AC63" i="3"/>
  <c r="AE148" i="3" l="1"/>
  <c r="AE219" i="3"/>
  <c r="AD66" i="3"/>
  <c r="AD64"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EDE1023-2605-444C-9199-2520326E0A5B}" keepAlive="1" name="Requête - yf_data(1)" description="Connexion à la requête « yf_data » dans le classeur." type="5" refreshedVersion="7" background="1" saveData="1">
    <dbPr connection="Provider=Microsoft.Mashup.OleDb.1;Data Source=$Workbook$;Location=yf_data;Extended Properties=&quot;&quot;" command="SELECT * FROM [yf_data]"/>
  </connection>
</connections>
</file>

<file path=xl/sharedStrings.xml><?xml version="1.0" encoding="utf-8"?>
<sst xmlns="http://schemas.openxmlformats.org/spreadsheetml/2006/main" count="117" uniqueCount="91">
  <si>
    <t>User's Guide</t>
  </si>
  <si>
    <t>Group Components:</t>
  </si>
  <si>
    <t>BOUSSOUF Ilyès</t>
  </si>
  <si>
    <t>DA SILVA ARAUJO JUNIOR Jardiel</t>
  </si>
  <si>
    <t>BUDUREEA Nabiil</t>
  </si>
  <si>
    <t>CHEN Huifen</t>
  </si>
  <si>
    <t>https://github.com/jardieljr/derivatives</t>
  </si>
  <si>
    <t>This worksheet aims to calculate options prices and payoffs. The methods chosen in order to compute it were the following:</t>
  </si>
  <si>
    <t>- Binomial</t>
  </si>
  <si>
    <t>- Black &amp; Scholes</t>
  </si>
  <si>
    <t>Option Inputs</t>
  </si>
  <si>
    <t>Type</t>
  </si>
  <si>
    <t>Put</t>
  </si>
  <si>
    <t>Stock's Price</t>
  </si>
  <si>
    <t>Exercise</t>
  </si>
  <si>
    <t>Rate</t>
  </si>
  <si>
    <t>Volatility</t>
  </si>
  <si>
    <t>Time (year fraction)</t>
  </si>
  <si>
    <t>Stock Expected Return</t>
  </si>
  <si>
    <t>Dividend Rate</t>
  </si>
  <si>
    <t>Number of  Periods (Binomial Model)</t>
  </si>
  <si>
    <t>Parameters calculation</t>
  </si>
  <si>
    <t>Option Price</t>
  </si>
  <si>
    <t>Up-Factor (per step)</t>
  </si>
  <si>
    <t>Risk-free rate (per Step)</t>
  </si>
  <si>
    <t>Down-Factor (per step)</t>
  </si>
  <si>
    <t>Risk-neutral probability</t>
  </si>
  <si>
    <t>Share Price Evolution in Time</t>
  </si>
  <si>
    <t>Trading Price</t>
  </si>
  <si>
    <t>Option Premium Evolution in Time</t>
  </si>
  <si>
    <t>Option Price - Call</t>
  </si>
  <si>
    <t>Option Price - Put</t>
  </si>
  <si>
    <t>EUROPEAN OPTION - B&amp;S MODEL</t>
  </si>
  <si>
    <t>Results</t>
  </si>
  <si>
    <t>d_1</t>
  </si>
  <si>
    <t>d_2</t>
  </si>
  <si>
    <t>Nd_1</t>
  </si>
  <si>
    <t>Nd_2</t>
  </si>
  <si>
    <t>Nminusd_1</t>
  </si>
  <si>
    <t>Nminusd_2</t>
  </si>
  <si>
    <t>Call</t>
  </si>
  <si>
    <t>Options' Price</t>
  </si>
  <si>
    <t>VBA Black and Scholes Model</t>
  </si>
  <si>
    <t>Checking if the models (excel and VBA) have the same result</t>
  </si>
  <si>
    <t>Close</t>
  </si>
  <si>
    <t>type_options_list</t>
  </si>
  <si>
    <t>Price</t>
  </si>
  <si>
    <t>Payoff</t>
  </si>
  <si>
    <t>Check</t>
  </si>
  <si>
    <t>Hedge Ratio</t>
  </si>
  <si>
    <t>PRICES</t>
  </si>
  <si>
    <t>Volume</t>
  </si>
  <si>
    <t>dividend payment</t>
  </si>
  <si>
    <t>annual dividend yield</t>
  </si>
  <si>
    <t>average dividend yield</t>
  </si>
  <si>
    <t>annual volitality of 10 years</t>
  </si>
  <si>
    <t>annual volitality of past 10 years</t>
  </si>
  <si>
    <t>AIR.PA History     Daily     16-Sep-2009 - 18-Oct-2021</t>
  </si>
  <si>
    <t>Exchange Date</t>
  </si>
  <si>
    <t>AIRBUS - Market Data</t>
  </si>
  <si>
    <t>DIVIDEND</t>
  </si>
  <si>
    <t>continous dividend yield</t>
  </si>
  <si>
    <t>Daily return</t>
  </si>
  <si>
    <t>annual return of 10 years</t>
  </si>
  <si>
    <t>For detailed explanations and analysis of both our models, please access the following Github link created by our team :</t>
  </si>
  <si>
    <t>Ticker</t>
  </si>
  <si>
    <t>Date</t>
  </si>
  <si>
    <t>AIR.PA</t>
  </si>
  <si>
    <t>Close Price</t>
  </si>
  <si>
    <t>Pct Change</t>
  </si>
  <si>
    <t>Current Volatility</t>
  </si>
  <si>
    <t>Choose your ticker</t>
  </si>
  <si>
    <t>ASIAN OPTION - BINOMIAL MODEL</t>
  </si>
  <si>
    <t>Parameters</t>
  </si>
  <si>
    <t>Recap</t>
  </si>
  <si>
    <t xml:space="preserve">Simulated Price of the Call Option : </t>
  </si>
  <si>
    <t>Strike</t>
  </si>
  <si>
    <t>mu</t>
  </si>
  <si>
    <t>sigma</t>
  </si>
  <si>
    <t>T</t>
  </si>
  <si>
    <t>delta_T</t>
  </si>
  <si>
    <t>NbSimu</t>
  </si>
  <si>
    <t>Simulation</t>
  </si>
  <si>
    <t>Price at maturity</t>
  </si>
  <si>
    <t>Simulated Discounted Premium of the call option</t>
  </si>
  <si>
    <t>Trading Date</t>
  </si>
  <si>
    <t>Option Category</t>
  </si>
  <si>
    <t>American</t>
  </si>
  <si>
    <t>options</t>
  </si>
  <si>
    <t>Asian</t>
  </si>
  <si>
    <t>Colonne1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</si>
</sst>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_-[$$-409]* #,##0.00_ ;_-[$$-409]* \-#,##0.00\ ;_-[$$-409]* &quot;-&quot;??_ ;_-@_ "/>
    <numFmt numFmtId="165" formatCode="0.000%"/>
    <numFmt numFmtId="166" formatCode="_-[$$-409]* #,##0.0000_ ;_-[$$-409]* \-#,##0.0000\ ;_-[$$-409]* &quot;-&quot;????_ ;_-@_ "/>
    <numFmt numFmtId="167" formatCode="0.0000"/>
    <numFmt numFmtId="168" formatCode="0.000"/>
    <numFmt numFmtId="169" formatCode="#,##0.0000;\-#,##0.0000;#,##0.0000;&quot;--&quot;"/>
    <numFmt numFmtId="170" formatCode="#,##0;\-#,##0;#,##0;&quot;--&quot;"/>
    <numFmt numFmtId="171" formatCode="_ [$€-2]\ * #,##0.00_ ;_ [$€-2]\ * \-#,##0.00_ ;_ [$€-2]\ * &quot;-&quot;??_ ;_ @_ "/>
  </numFmts>
  <fonts count="39">
    <font>
      <sz val="11"/>
      <color theme="1"/>
      <name val="Arial"/>
    </font>
    <font>
      <sz val="48"/>
      <color theme="1"/>
      <name val="Calibri"/>
      <family val="2"/>
    </font>
    <font>
      <sz val="11"/>
      <name val="Arial"/>
      <family val="2"/>
    </font>
    <font>
      <sz val="12"/>
      <color theme="1"/>
      <name val="Calibri"/>
      <family val="2"/>
    </font>
    <font>
      <u/>
      <sz val="11"/>
      <color theme="10"/>
      <name val="Arial"/>
      <family val="2"/>
    </font>
    <font>
      <b/>
      <sz val="14"/>
      <color theme="1"/>
      <name val="Calibri"/>
      <family val="2"/>
    </font>
    <font>
      <sz val="14"/>
      <color theme="1"/>
      <name val="Calibri"/>
      <family val="2"/>
    </font>
    <font>
      <sz val="13"/>
      <color theme="1"/>
      <name val="Calibri"/>
      <family val="2"/>
    </font>
    <font>
      <i/>
      <sz val="11"/>
      <color theme="1"/>
      <name val="Arial"/>
      <family val="2"/>
    </font>
    <font>
      <b/>
      <sz val="11"/>
      <color theme="1"/>
      <name val="Calibri"/>
      <family val="2"/>
    </font>
    <font>
      <sz val="11"/>
      <color rgb="FF3F3F76"/>
      <name val="Calibri"/>
      <family val="2"/>
    </font>
    <font>
      <sz val="11"/>
      <color theme="1"/>
      <name val="Calibri"/>
      <family val="2"/>
    </font>
    <font>
      <b/>
      <sz val="40"/>
      <color theme="1"/>
      <name val="Calibri"/>
      <family val="2"/>
    </font>
    <font>
      <sz val="20"/>
      <color theme="1"/>
      <name val="Calibri"/>
      <family val="2"/>
    </font>
    <font>
      <b/>
      <i/>
      <sz val="11"/>
      <color theme="1"/>
      <name val="Calibri"/>
      <family val="2"/>
    </font>
    <font>
      <b/>
      <sz val="12"/>
      <color theme="1"/>
      <name val="Arial"/>
      <family val="2"/>
    </font>
    <font>
      <b/>
      <sz val="20"/>
      <color theme="1"/>
      <name val="Calibri"/>
      <family val="2"/>
    </font>
    <font>
      <b/>
      <i/>
      <sz val="11"/>
      <color theme="1"/>
      <name val="Arial"/>
      <family val="2"/>
    </font>
    <font>
      <b/>
      <sz val="11"/>
      <color theme="1"/>
      <name val="Arial"/>
      <family val="2"/>
    </font>
    <font>
      <sz val="11"/>
      <color rgb="FF375F91"/>
      <name val="Calibri"/>
      <family val="2"/>
    </font>
    <font>
      <b/>
      <sz val="11"/>
      <color rgb="FFFA7D00"/>
      <name val="Calibri"/>
      <family val="2"/>
    </font>
    <font>
      <sz val="11"/>
      <color theme="1"/>
      <name val="Arial"/>
      <family val="2"/>
    </font>
    <font>
      <sz val="11"/>
      <color rgb="FF000000"/>
      <name val="Arial"/>
      <family val="2"/>
    </font>
    <font>
      <sz val="16"/>
      <color theme="1"/>
      <name val="Arial"/>
      <family val="2"/>
    </font>
    <font>
      <sz val="12"/>
      <color rgb="FF000000"/>
      <name val="Calibri"/>
      <family val="2"/>
    </font>
    <font>
      <b/>
      <sz val="11"/>
      <color theme="1"/>
      <name val="Calibri"/>
      <family val="2"/>
      <scheme val="minor"/>
    </font>
    <font>
      <b/>
      <sz val="10"/>
      <color rgb="FF000000"/>
      <name val="Calibri"/>
      <family val="2"/>
    </font>
    <font>
      <sz val="10"/>
      <color rgb="FF000000"/>
      <name val="Calibri"/>
      <family val="2"/>
    </font>
    <font>
      <sz val="11"/>
      <color theme="1"/>
      <name val="Calibri"/>
      <family val="2"/>
      <charset val="134"/>
      <scheme val="minor"/>
    </font>
    <font>
      <b/>
      <sz val="30"/>
      <color theme="1"/>
      <name val="Arial"/>
      <family val="2"/>
    </font>
    <font>
      <sz val="12"/>
      <color theme="1"/>
      <name val="Times New Roman"/>
      <family val="1"/>
    </font>
    <font>
      <sz val="11"/>
      <color theme="1"/>
      <name val="Arial"/>
      <family val="2"/>
    </font>
    <font>
      <b/>
      <i/>
      <sz val="11"/>
      <color rgb="FF0070C0"/>
      <name val="Arial"/>
      <family val="2"/>
    </font>
    <font>
      <sz val="8"/>
      <name val="Arial"/>
      <family val="2"/>
    </font>
    <font>
      <b/>
      <i/>
      <u/>
      <sz val="14"/>
      <color rgb="FF000000"/>
      <name val="Calibri"/>
      <family val="2"/>
    </font>
    <font>
      <sz val="14"/>
      <color rgb="FF000000"/>
      <name val="Calibri"/>
      <family val="2"/>
    </font>
    <font>
      <b/>
      <i/>
      <u/>
      <sz val="24"/>
      <color theme="1"/>
      <name val="Calibri"/>
      <family val="2"/>
      <scheme val="major"/>
    </font>
    <font>
      <u/>
      <sz val="16"/>
      <color theme="10"/>
      <name val="Arial"/>
      <family val="2"/>
    </font>
    <font>
      <sz val="11"/>
      <color rgb="FFC80000"/>
      <name val="Arial"/>
      <family val="2"/>
    </font>
  </fonts>
  <fills count="17">
    <fill>
      <patternFill patternType="none"/>
    </fill>
    <fill>
      <patternFill patternType="gray125"/>
    </fill>
    <fill>
      <patternFill patternType="solid">
        <fgColor rgb="FFD6DCE4"/>
        <bgColor rgb="FFD6DCE4"/>
      </patternFill>
    </fill>
    <fill>
      <patternFill patternType="solid">
        <fgColor rgb="FFFFCC99"/>
        <bgColor rgb="FFFFCC99"/>
      </patternFill>
    </fill>
    <fill>
      <patternFill patternType="solid">
        <fgColor rgb="FFB4C6E7"/>
        <bgColor rgb="FFB4C6E7"/>
      </patternFill>
    </fill>
    <fill>
      <patternFill patternType="solid">
        <fgColor rgb="FFFFC000"/>
        <bgColor rgb="FFFFC000"/>
      </patternFill>
    </fill>
    <fill>
      <patternFill patternType="solid">
        <fgColor rgb="FFF2F2F2"/>
        <bgColor rgb="FFF2F2F2"/>
      </patternFill>
    </fill>
    <fill>
      <patternFill patternType="solid">
        <fgColor theme="0"/>
        <bgColor theme="0"/>
      </patternFill>
    </fill>
    <fill>
      <patternFill patternType="solid">
        <fgColor rgb="FFD0CECE"/>
        <bgColor rgb="FFD0CECE"/>
      </patternFill>
    </fill>
    <fill>
      <patternFill patternType="solid">
        <fgColor rgb="FFF4B083"/>
        <bgColor rgb="FFF4B083"/>
      </patternFill>
    </fill>
    <fill>
      <patternFill patternType="solid">
        <fgColor rgb="FFD8D8D8"/>
        <bgColor rgb="FFD8D8D8"/>
      </patternFill>
    </fill>
    <fill>
      <patternFill patternType="solid">
        <fgColor rgb="FF8EAADB"/>
        <bgColor rgb="FF8EAADB"/>
      </patternFill>
    </fill>
    <fill>
      <patternFill patternType="solid">
        <fgColor theme="2" tint="-0.14999847407452621"/>
        <bgColor indexed="64"/>
      </patternFill>
    </fill>
    <fill>
      <patternFill patternType="solid">
        <fgColor rgb="FFA6A6A6"/>
        <bgColor rgb="FFA6A6A6"/>
      </patternFill>
    </fill>
    <fill>
      <patternFill patternType="solid">
        <fgColor rgb="FFFFFF00"/>
        <bgColor indexed="64"/>
      </patternFill>
    </fill>
    <fill>
      <patternFill patternType="solid">
        <fgColor theme="0" tint="-0.34998626667073579"/>
        <bgColor indexed="64"/>
      </patternFill>
    </fill>
    <fill>
      <patternFill patternType="solid">
        <fgColor indexed="13"/>
        <bgColor indexed="64"/>
      </patternFill>
    </fill>
  </fills>
  <borders count="53">
    <border>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right/>
      <top style="medium">
        <color rgb="FF000000"/>
      </top>
      <bottom style="medium">
        <color rgb="FF000000"/>
      </bottom>
      <diagonal/>
    </border>
    <border>
      <left style="thin">
        <color rgb="FF375F91"/>
      </left>
      <right/>
      <top style="thin">
        <color rgb="FF375F91"/>
      </top>
      <bottom/>
      <diagonal/>
    </border>
    <border>
      <left/>
      <right/>
      <top style="thin">
        <color rgb="FF375F91"/>
      </top>
      <bottom/>
      <diagonal/>
    </border>
    <border>
      <left/>
      <right style="thin">
        <color rgb="FF375F91"/>
      </right>
      <top style="thin">
        <color rgb="FF375F91"/>
      </top>
      <bottom/>
      <diagonal/>
    </border>
    <border>
      <left/>
      <right/>
      <top/>
      <bottom/>
      <diagonal/>
    </border>
    <border>
      <left style="thin">
        <color rgb="FF375F91"/>
      </left>
      <right/>
      <top/>
      <bottom/>
      <diagonal/>
    </border>
    <border>
      <left/>
      <right style="thin">
        <color rgb="FF7F7F7F"/>
      </right>
      <top style="thin">
        <color rgb="FF7F7F7F"/>
      </top>
      <bottom style="thin">
        <color rgb="FF7F7F7F"/>
      </bottom>
      <diagonal/>
    </border>
    <border>
      <left/>
      <right style="thin">
        <color rgb="FF375F91"/>
      </right>
      <top/>
      <bottom/>
      <diagonal/>
    </border>
    <border>
      <left/>
      <right style="thin">
        <color rgb="FF7F7F7F"/>
      </right>
      <top style="thin">
        <color rgb="FF7F7F7F"/>
      </top>
      <bottom/>
      <diagonal/>
    </border>
    <border>
      <left style="thin">
        <color rgb="FF375F91"/>
      </left>
      <right/>
      <top/>
      <bottom style="thin">
        <color rgb="FF375F91"/>
      </bottom>
      <diagonal/>
    </border>
    <border>
      <left style="thin">
        <color rgb="FF000000"/>
      </left>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style="thin">
        <color rgb="FF375F91"/>
      </right>
      <top/>
      <bottom style="thin">
        <color rgb="FF375F91"/>
      </bottom>
      <diagonal/>
    </border>
    <border>
      <left style="thin">
        <color rgb="FF000000"/>
      </left>
      <right style="thin">
        <color rgb="FF000000"/>
      </right>
      <top style="thin">
        <color rgb="FF00000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rgb="FF000000"/>
      </bottom>
      <diagonal/>
    </border>
    <border>
      <left style="thin">
        <color rgb="FF000000"/>
      </left>
      <right/>
      <top style="medium">
        <color indexed="64"/>
      </top>
      <bottom style="thin">
        <color rgb="FF000000"/>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rgb="FF000000"/>
      </right>
      <top style="thin">
        <color rgb="FF000000"/>
      </top>
      <bottom style="thin">
        <color rgb="FF000000"/>
      </bottom>
      <diagonal/>
    </border>
    <border>
      <left style="thin">
        <color indexed="64"/>
      </left>
      <right style="medium">
        <color indexed="64"/>
      </right>
      <top style="thin">
        <color indexed="64"/>
      </top>
      <bottom style="thin">
        <color indexed="64"/>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s>
  <cellStyleXfs count="6">
    <xf numFmtId="0" fontId="0" fillId="0" borderId="0"/>
    <xf numFmtId="0" fontId="28" fillId="0" borderId="20">
      <alignment vertical="center"/>
    </xf>
    <xf numFmtId="9" fontId="28" fillId="0" borderId="20" applyFont="0" applyFill="0" applyBorder="0" applyAlignment="0" applyProtection="0"/>
    <xf numFmtId="9" fontId="31" fillId="0" borderId="0" applyFont="0" applyFill="0" applyBorder="0" applyAlignment="0" applyProtection="0"/>
    <xf numFmtId="0" fontId="4" fillId="0" borderId="0" applyNumberFormat="0" applyFill="0" applyBorder="0" applyAlignment="0" applyProtection="0"/>
    <xf numFmtId="0" fontId="21" fillId="0" borderId="20"/>
  </cellStyleXfs>
  <cellXfs count="172">
    <xf numFmtId="0" fontId="0" fillId="0" borderId="0" xfId="0" applyFont="1" applyAlignment="1"/>
    <xf numFmtId="0" fontId="3" fillId="0" borderId="0" xfId="0" applyFont="1"/>
    <xf numFmtId="0" fontId="5" fillId="0" borderId="0" xfId="0" applyFont="1"/>
    <xf numFmtId="0" fontId="6" fillId="0" borderId="0" xfId="0" applyFont="1"/>
    <xf numFmtId="0" fontId="7" fillId="0" borderId="0" xfId="0" applyFont="1"/>
    <xf numFmtId="0" fontId="0" fillId="0" borderId="0" xfId="0" applyFont="1"/>
    <xf numFmtId="0" fontId="9" fillId="2" borderId="11" xfId="0" applyFont="1" applyFill="1" applyBorder="1"/>
    <xf numFmtId="2" fontId="10" fillId="3" borderId="11" xfId="0" applyNumberFormat="1" applyFont="1" applyFill="1" applyBorder="1" applyAlignment="1">
      <alignment horizontal="center"/>
    </xf>
    <xf numFmtId="0" fontId="9" fillId="2" borderId="12" xfId="0" applyFont="1" applyFill="1" applyBorder="1"/>
    <xf numFmtId="164" fontId="10" fillId="3" borderId="12" xfId="0" applyNumberFormat="1" applyFont="1" applyFill="1" applyBorder="1" applyAlignment="1">
      <alignment horizontal="center"/>
    </xf>
    <xf numFmtId="10" fontId="10" fillId="3" borderId="12" xfId="0" applyNumberFormat="1" applyFont="1" applyFill="1" applyBorder="1" applyAlignment="1">
      <alignment horizontal="center"/>
    </xf>
    <xf numFmtId="4" fontId="10" fillId="3" borderId="12" xfId="0" applyNumberFormat="1" applyFont="1" applyFill="1" applyBorder="1" applyAlignment="1">
      <alignment horizontal="center"/>
    </xf>
    <xf numFmtId="0" fontId="11" fillId="0" borderId="0" xfId="0" applyFont="1"/>
    <xf numFmtId="165" fontId="10" fillId="3" borderId="12" xfId="0" applyNumberFormat="1" applyFont="1" applyFill="1" applyBorder="1" applyAlignment="1">
      <alignment horizontal="center"/>
    </xf>
    <xf numFmtId="3" fontId="10" fillId="3" borderId="13" xfId="0" applyNumberFormat="1" applyFont="1" applyFill="1" applyBorder="1" applyAlignment="1">
      <alignment horizontal="center"/>
    </xf>
    <xf numFmtId="0" fontId="11" fillId="0" borderId="0" xfId="0" applyFont="1" applyAlignment="1">
      <alignment horizontal="center"/>
    </xf>
    <xf numFmtId="0" fontId="12" fillId="0" borderId="0" xfId="0" applyFont="1"/>
    <xf numFmtId="0" fontId="13" fillId="0" borderId="0" xfId="0" applyFont="1"/>
    <xf numFmtId="0" fontId="14" fillId="4" borderId="12" xfId="0" applyFont="1" applyFill="1" applyBorder="1"/>
    <xf numFmtId="0" fontId="15" fillId="5" borderId="14" xfId="0" applyFont="1" applyFill="1" applyBorder="1"/>
    <xf numFmtId="166" fontId="15" fillId="6" borderId="15" xfId="0" applyNumberFormat="1" applyFont="1" applyFill="1" applyBorder="1"/>
    <xf numFmtId="0" fontId="9" fillId="6" borderId="12" xfId="0" applyFont="1" applyFill="1" applyBorder="1"/>
    <xf numFmtId="0" fontId="0" fillId="0" borderId="12" xfId="0" applyFont="1" applyBorder="1"/>
    <xf numFmtId="0" fontId="9" fillId="0" borderId="12" xfId="0" applyFont="1" applyBorder="1"/>
    <xf numFmtId="0" fontId="16" fillId="0" borderId="0" xfId="0" applyFont="1"/>
    <xf numFmtId="164" fontId="0" fillId="0" borderId="0" xfId="0" applyNumberFormat="1" applyFont="1"/>
    <xf numFmtId="164" fontId="0" fillId="0" borderId="12" xfId="0" applyNumberFormat="1" applyFont="1" applyBorder="1"/>
    <xf numFmtId="164" fontId="16" fillId="0" borderId="0" xfId="0" applyNumberFormat="1" applyFont="1"/>
    <xf numFmtId="164" fontId="17" fillId="0" borderId="0" xfId="0" applyNumberFormat="1" applyFont="1"/>
    <xf numFmtId="164" fontId="18" fillId="5" borderId="12" xfId="0" applyNumberFormat="1" applyFont="1" applyFill="1" applyBorder="1"/>
    <xf numFmtId="0" fontId="11" fillId="7" borderId="17" xfId="0" applyFont="1" applyFill="1" applyBorder="1"/>
    <xf numFmtId="0" fontId="11" fillId="7" borderId="18" xfId="0" applyFont="1" applyFill="1" applyBorder="1"/>
    <xf numFmtId="0" fontId="11" fillId="7" borderId="19" xfId="0" applyFont="1" applyFill="1" applyBorder="1"/>
    <xf numFmtId="0" fontId="19" fillId="7" borderId="20" xfId="0" applyFont="1" applyFill="1" applyBorder="1"/>
    <xf numFmtId="0" fontId="11" fillId="7" borderId="20" xfId="0" applyFont="1" applyFill="1" applyBorder="1"/>
    <xf numFmtId="0" fontId="11" fillId="7" borderId="21" xfId="0" applyFont="1" applyFill="1" applyBorder="1"/>
    <xf numFmtId="167" fontId="9" fillId="7" borderId="22" xfId="0" applyNumberFormat="1" applyFont="1" applyFill="1" applyBorder="1"/>
    <xf numFmtId="0" fontId="11" fillId="7" borderId="23" xfId="0" applyFont="1" applyFill="1" applyBorder="1"/>
    <xf numFmtId="0" fontId="11" fillId="8" borderId="12" xfId="0" applyFont="1" applyFill="1" applyBorder="1"/>
    <xf numFmtId="0" fontId="9" fillId="9" borderId="12" xfId="0" applyFont="1" applyFill="1" applyBorder="1"/>
    <xf numFmtId="168" fontId="20" fillId="6" borderId="22" xfId="0" applyNumberFormat="1" applyFont="1" applyFill="1" applyBorder="1"/>
    <xf numFmtId="168" fontId="20" fillId="6" borderId="24" xfId="0" applyNumberFormat="1" applyFont="1" applyFill="1" applyBorder="1"/>
    <xf numFmtId="0" fontId="11" fillId="7" borderId="25" xfId="0" applyFont="1" applyFill="1" applyBorder="1"/>
    <xf numFmtId="0" fontId="9" fillId="5" borderId="26" xfId="0" applyFont="1" applyFill="1" applyBorder="1"/>
    <xf numFmtId="168" fontId="9" fillId="10" borderId="27" xfId="0" applyNumberFormat="1" applyFont="1" applyFill="1" applyBorder="1"/>
    <xf numFmtId="0" fontId="11" fillId="7" borderId="28" xfId="0" applyFont="1" applyFill="1" applyBorder="1"/>
    <xf numFmtId="0" fontId="11" fillId="8" borderId="12" xfId="0" applyFont="1" applyFill="1" applyBorder="1" applyAlignment="1">
      <alignment vertical="center" wrapText="1"/>
    </xf>
    <xf numFmtId="0" fontId="9" fillId="11" borderId="26" xfId="0" applyFont="1" applyFill="1" applyBorder="1"/>
    <xf numFmtId="0" fontId="9" fillId="0" borderId="12" xfId="0" applyFont="1" applyBorder="1" applyAlignment="1">
      <alignment wrapText="1"/>
    </xf>
    <xf numFmtId="0" fontId="18" fillId="0" borderId="0" xfId="0" applyFont="1"/>
    <xf numFmtId="0" fontId="11" fillId="0" borderId="0" xfId="0" applyFont="1"/>
    <xf numFmtId="2" fontId="11" fillId="0" borderId="0" xfId="0" applyNumberFormat="1" applyFont="1"/>
    <xf numFmtId="164" fontId="11" fillId="0" borderId="0" xfId="0" applyNumberFormat="1" applyFont="1"/>
    <xf numFmtId="0" fontId="21" fillId="0" borderId="0" xfId="0" quotePrefix="1" applyFont="1"/>
    <xf numFmtId="0" fontId="0" fillId="0" borderId="0" xfId="0" applyFont="1" applyAlignment="1"/>
    <xf numFmtId="0" fontId="0" fillId="0" borderId="0" xfId="0" applyFont="1" applyAlignment="1"/>
    <xf numFmtId="164" fontId="0" fillId="0" borderId="20" xfId="0" applyNumberFormat="1" applyFont="1" applyBorder="1"/>
    <xf numFmtId="164" fontId="0" fillId="0" borderId="29" xfId="0" applyNumberFormat="1" applyFont="1" applyBorder="1"/>
    <xf numFmtId="0" fontId="9" fillId="6" borderId="26" xfId="0" applyFont="1" applyFill="1" applyBorder="1"/>
    <xf numFmtId="0" fontId="0" fillId="0" borderId="29" xfId="0" applyFont="1" applyBorder="1"/>
    <xf numFmtId="0" fontId="0" fillId="0" borderId="33" xfId="0" applyFont="1" applyBorder="1"/>
    <xf numFmtId="0" fontId="23" fillId="0" borderId="0" xfId="0" applyFont="1"/>
    <xf numFmtId="0" fontId="28" fillId="0" borderId="20" xfId="1">
      <alignment vertical="center"/>
    </xf>
    <xf numFmtId="0" fontId="27" fillId="0" borderId="20" xfId="1" applyFont="1" applyAlignment="1"/>
    <xf numFmtId="0" fontId="26" fillId="13" borderId="26" xfId="1" applyFont="1" applyFill="1" applyBorder="1" applyAlignment="1">
      <alignment horizontal="right"/>
    </xf>
    <xf numFmtId="169" fontId="27" fillId="0" borderId="12" xfId="1" applyNumberFormat="1" applyFont="1" applyBorder="1" applyAlignment="1"/>
    <xf numFmtId="14" fontId="26" fillId="0" borderId="20" xfId="1" applyNumberFormat="1" applyFont="1" applyAlignment="1"/>
    <xf numFmtId="14" fontId="26" fillId="13" borderId="26" xfId="1" applyNumberFormat="1" applyFont="1" applyFill="1" applyBorder="1" applyAlignment="1">
      <alignment horizontal="right"/>
    </xf>
    <xf numFmtId="14" fontId="27" fillId="0" borderId="12" xfId="1" applyNumberFormat="1" applyFont="1" applyBorder="1" applyAlignment="1"/>
    <xf numFmtId="10" fontId="28" fillId="0" borderId="20" xfId="2" applyNumberFormat="1" applyFont="1" applyAlignment="1">
      <alignment vertical="center"/>
    </xf>
    <xf numFmtId="10" fontId="28" fillId="0" borderId="20" xfId="1" applyNumberFormat="1">
      <alignment vertical="center"/>
    </xf>
    <xf numFmtId="14" fontId="27" fillId="14" borderId="12" xfId="1" applyNumberFormat="1" applyFont="1" applyFill="1" applyBorder="1" applyAlignment="1"/>
    <xf numFmtId="169" fontId="27" fillId="14" borderId="12" xfId="1" applyNumberFormat="1" applyFont="1" applyFill="1" applyBorder="1" applyAlignment="1"/>
    <xf numFmtId="10" fontId="28" fillId="14" borderId="20" xfId="2" applyNumberFormat="1" applyFont="1" applyFill="1" applyAlignment="1">
      <alignment vertical="center"/>
    </xf>
    <xf numFmtId="0" fontId="28" fillId="14" borderId="20" xfId="1" applyFill="1">
      <alignment vertical="center"/>
    </xf>
    <xf numFmtId="0" fontId="29" fillId="0" borderId="0" xfId="0" applyFont="1" applyAlignment="1"/>
    <xf numFmtId="10" fontId="28" fillId="0" borderId="36" xfId="2" applyNumberFormat="1" applyFont="1" applyBorder="1" applyAlignment="1">
      <alignment vertical="center"/>
    </xf>
    <xf numFmtId="0" fontId="26" fillId="13" borderId="26" xfId="1" applyFont="1" applyFill="1" applyBorder="1" applyAlignment="1">
      <alignment horizontal="right"/>
    </xf>
    <xf numFmtId="169" fontId="27" fillId="14" borderId="12" xfId="1" applyNumberFormat="1" applyFont="1" applyFill="1" applyBorder="1" applyAlignment="1"/>
    <xf numFmtId="0" fontId="25" fillId="15" borderId="33" xfId="1" applyFont="1" applyFill="1" applyBorder="1" applyAlignment="1">
      <alignment horizontal="right" vertical="center"/>
    </xf>
    <xf numFmtId="170" fontId="27" fillId="0" borderId="26" xfId="1" applyNumberFormat="1" applyFont="1" applyBorder="1" applyAlignment="1"/>
    <xf numFmtId="170" fontId="27" fillId="14" borderId="26" xfId="1" applyNumberFormat="1" applyFont="1" applyFill="1" applyBorder="1" applyAlignment="1"/>
    <xf numFmtId="0" fontId="0" fillId="0" borderId="20" xfId="0" applyFont="1" applyBorder="1" applyAlignment="1"/>
    <xf numFmtId="10" fontId="28" fillId="0" borderId="33" xfId="2" applyNumberFormat="1" applyFont="1" applyBorder="1" applyAlignment="1">
      <alignment vertical="center"/>
    </xf>
    <xf numFmtId="10" fontId="28" fillId="14" borderId="33" xfId="2" applyNumberFormat="1" applyFont="1" applyFill="1" applyBorder="1" applyAlignment="1">
      <alignment vertical="center"/>
    </xf>
    <xf numFmtId="171" fontId="27" fillId="14" borderId="33" xfId="1" applyNumberFormat="1" applyFont="1" applyFill="1" applyBorder="1" applyAlignment="1">
      <alignment horizontal="center"/>
    </xf>
    <xf numFmtId="0" fontId="28" fillId="14" borderId="33" xfId="1" applyFill="1" applyBorder="1">
      <alignment vertical="center"/>
    </xf>
    <xf numFmtId="10" fontId="28" fillId="14" borderId="33" xfId="2" applyNumberFormat="1" applyFont="1" applyFill="1" applyBorder="1" applyAlignment="1">
      <alignment horizontal="center" vertical="center"/>
    </xf>
    <xf numFmtId="10" fontId="28" fillId="14" borderId="33" xfId="1" applyNumberFormat="1" applyFill="1" applyBorder="1">
      <alignment vertical="center"/>
    </xf>
    <xf numFmtId="14" fontId="26" fillId="0" borderId="40" xfId="1" applyNumberFormat="1" applyFont="1" applyFill="1" applyBorder="1" applyAlignment="1">
      <alignment horizontal="right"/>
    </xf>
    <xf numFmtId="0" fontId="26" fillId="0" borderId="41" xfId="1" applyFont="1" applyFill="1" applyBorder="1" applyAlignment="1">
      <alignment horizontal="right"/>
    </xf>
    <xf numFmtId="0" fontId="26" fillId="0" borderId="42" xfId="1" applyFont="1" applyFill="1" applyBorder="1" applyAlignment="1">
      <alignment horizontal="center"/>
    </xf>
    <xf numFmtId="0" fontId="25" fillId="0" borderId="42" xfId="1" applyFont="1" applyFill="1" applyBorder="1" applyAlignment="1">
      <alignment horizontal="center" vertical="center"/>
    </xf>
    <xf numFmtId="0" fontId="25" fillId="0" borderId="42" xfId="1" applyFont="1" applyFill="1" applyBorder="1">
      <alignment vertical="center"/>
    </xf>
    <xf numFmtId="0" fontId="25" fillId="0" borderId="43" xfId="1" applyFont="1" applyFill="1" applyBorder="1" applyAlignment="1">
      <alignment horizontal="center" vertical="center"/>
    </xf>
    <xf numFmtId="14" fontId="27" fillId="14" borderId="44" xfId="1" applyNumberFormat="1" applyFont="1" applyFill="1" applyBorder="1" applyAlignment="1"/>
    <xf numFmtId="10" fontId="28" fillId="14" borderId="45" xfId="2" applyNumberFormat="1" applyFont="1" applyFill="1" applyBorder="1" applyAlignment="1">
      <alignment horizontal="center" vertical="center"/>
    </xf>
    <xf numFmtId="0" fontId="28" fillId="14" borderId="45" xfId="1" applyFill="1" applyBorder="1" applyAlignment="1">
      <alignment horizontal="center" vertical="center"/>
    </xf>
    <xf numFmtId="14" fontId="27" fillId="14" borderId="46" xfId="1" applyNumberFormat="1" applyFont="1" applyFill="1" applyBorder="1" applyAlignment="1"/>
    <xf numFmtId="169" fontId="27" fillId="14" borderId="47" xfId="1" applyNumberFormat="1" applyFont="1" applyFill="1" applyBorder="1" applyAlignment="1"/>
    <xf numFmtId="170" fontId="27" fillId="14" borderId="48" xfId="1" applyNumberFormat="1" applyFont="1" applyFill="1" applyBorder="1" applyAlignment="1"/>
    <xf numFmtId="171" fontId="27" fillId="14" borderId="49" xfId="1" applyNumberFormat="1" applyFont="1" applyFill="1" applyBorder="1" applyAlignment="1">
      <alignment horizontal="center"/>
    </xf>
    <xf numFmtId="10" fontId="28" fillId="14" borderId="49" xfId="2" applyNumberFormat="1" applyFont="1" applyFill="1" applyBorder="1" applyAlignment="1">
      <alignment horizontal="center" vertical="center"/>
    </xf>
    <xf numFmtId="0" fontId="28" fillId="14" borderId="49" xfId="1" applyFill="1" applyBorder="1">
      <alignment vertical="center"/>
    </xf>
    <xf numFmtId="0" fontId="28" fillId="14" borderId="50" xfId="1" applyFill="1" applyBorder="1" applyAlignment="1">
      <alignment horizontal="center" vertical="center"/>
    </xf>
    <xf numFmtId="0" fontId="25" fillId="0" borderId="34" xfId="1" applyFont="1" applyBorder="1">
      <alignment vertical="center"/>
    </xf>
    <xf numFmtId="0" fontId="25" fillId="0" borderId="35" xfId="1" applyFont="1" applyBorder="1">
      <alignment vertical="center"/>
    </xf>
    <xf numFmtId="0" fontId="30" fillId="0" borderId="0" xfId="0" applyFont="1" applyAlignment="1">
      <alignment horizontal="justify" vertical="center"/>
    </xf>
    <xf numFmtId="9" fontId="17" fillId="0" borderId="0" xfId="3" applyFont="1"/>
    <xf numFmtId="9" fontId="0" fillId="0" borderId="0" xfId="3" applyFont="1"/>
    <xf numFmtId="9" fontId="0" fillId="0" borderId="0" xfId="3" applyFont="1" applyFill="1"/>
    <xf numFmtId="9" fontId="0" fillId="0" borderId="12" xfId="3" applyFont="1" applyBorder="1"/>
    <xf numFmtId="164" fontId="32" fillId="0" borderId="0" xfId="0" applyNumberFormat="1" applyFont="1"/>
    <xf numFmtId="0" fontId="0" fillId="0" borderId="0" xfId="0" applyFont="1" applyAlignment="1"/>
    <xf numFmtId="10" fontId="28" fillId="0" borderId="35" xfId="2" applyNumberFormat="1" applyFont="1" applyBorder="1" applyAlignment="1">
      <alignment horizontal="center" vertical="center"/>
    </xf>
    <xf numFmtId="0" fontId="25" fillId="0" borderId="35" xfId="1" applyFont="1" applyBorder="1" applyAlignment="1">
      <alignment horizontal="center" vertical="center"/>
    </xf>
    <xf numFmtId="10" fontId="28" fillId="0" borderId="36" xfId="2" applyNumberFormat="1" applyFont="1" applyBorder="1" applyAlignment="1">
      <alignment horizontal="center" vertical="center"/>
    </xf>
    <xf numFmtId="0" fontId="21" fillId="0" borderId="0" xfId="0" applyFont="1" applyAlignment="1"/>
    <xf numFmtId="0" fontId="4" fillId="0" borderId="0" xfId="4"/>
    <xf numFmtId="14" fontId="21" fillId="0" borderId="0" xfId="0" applyNumberFormat="1" applyFont="1" applyAlignment="1"/>
    <xf numFmtId="10" fontId="0" fillId="0" borderId="0" xfId="3" applyNumberFormat="1" applyFont="1" applyAlignment="1"/>
    <xf numFmtId="2" fontId="21" fillId="0" borderId="0" xfId="0" applyNumberFormat="1" applyFont="1" applyAlignment="1"/>
    <xf numFmtId="0" fontId="18" fillId="0" borderId="33" xfId="0" applyFont="1" applyBorder="1" applyAlignment="1"/>
    <xf numFmtId="10" fontId="0" fillId="0" borderId="33" xfId="3" applyNumberFormat="1" applyFont="1" applyBorder="1" applyAlignment="1"/>
    <xf numFmtId="0" fontId="21" fillId="0" borderId="20" xfId="0" applyFont="1" applyBorder="1" applyAlignment="1"/>
    <xf numFmtId="0" fontId="18" fillId="0" borderId="20" xfId="0" applyFont="1" applyBorder="1" applyAlignment="1"/>
    <xf numFmtId="10" fontId="0" fillId="0" borderId="20" xfId="3" applyNumberFormat="1" applyFont="1" applyBorder="1" applyAlignment="1"/>
    <xf numFmtId="0" fontId="34" fillId="0" borderId="0" xfId="0" applyFont="1" applyAlignment="1">
      <alignment horizontal="left" vertical="center"/>
    </xf>
    <xf numFmtId="0" fontId="35" fillId="0" borderId="0" xfId="0" applyFont="1" applyAlignment="1">
      <alignment horizontal="left" vertical="center"/>
    </xf>
    <xf numFmtId="0" fontId="0" fillId="0" borderId="0" xfId="0" applyFont="1" applyAlignment="1"/>
    <xf numFmtId="0" fontId="36" fillId="0" borderId="0" xfId="0" applyFont="1" applyAlignment="1">
      <alignment horizontal="center" vertical="center" wrapText="1"/>
    </xf>
    <xf numFmtId="0" fontId="37" fillId="0" borderId="0" xfId="4" applyFont="1" applyAlignment="1">
      <alignment horizontal="left" vertical="center"/>
    </xf>
    <xf numFmtId="0" fontId="21" fillId="0" borderId="52" xfId="0" applyFont="1" applyBorder="1" applyAlignment="1"/>
    <xf numFmtId="0" fontId="21" fillId="0" borderId="51" xfId="0" applyFont="1" applyBorder="1" applyAlignment="1"/>
    <xf numFmtId="0" fontId="0" fillId="0" borderId="0" xfId="0" applyFont="1" applyAlignment="1"/>
    <xf numFmtId="0" fontId="9" fillId="0" borderId="20" xfId="0" applyFont="1" applyBorder="1"/>
    <xf numFmtId="164" fontId="9" fillId="0" borderId="20" xfId="0" applyNumberFormat="1" applyFont="1" applyBorder="1"/>
    <xf numFmtId="10" fontId="15" fillId="6" borderId="15" xfId="3" applyNumberFormat="1" applyFont="1" applyFill="1" applyBorder="1"/>
    <xf numFmtId="0" fontId="0" fillId="0" borderId="0" xfId="0" applyFont="1" applyAlignment="1"/>
    <xf numFmtId="0" fontId="0" fillId="0" borderId="0" xfId="0" applyFont="1" applyAlignment="1"/>
    <xf numFmtId="0" fontId="9" fillId="0" borderId="11" xfId="0" applyFont="1" applyBorder="1"/>
    <xf numFmtId="0" fontId="9" fillId="0" borderId="29" xfId="0" applyFont="1" applyBorder="1"/>
    <xf numFmtId="0" fontId="14" fillId="4" borderId="12" xfId="0" applyFont="1" applyFill="1" applyBorder="1" applyAlignment="1">
      <alignment vertical="center" wrapText="1"/>
    </xf>
    <xf numFmtId="0" fontId="0" fillId="0" borderId="0" xfId="0" applyFont="1" applyAlignment="1"/>
    <xf numFmtId="0" fontId="21" fillId="0" borderId="20" xfId="5"/>
    <xf numFmtId="0" fontId="38" fillId="0" borderId="20" xfId="5" applyFont="1"/>
    <xf numFmtId="0" fontId="21" fillId="16" borderId="30" xfId="5" applyFill="1" applyBorder="1"/>
    <xf numFmtId="0" fontId="21" fillId="16" borderId="32" xfId="5" applyFill="1" applyBorder="1"/>
    <xf numFmtId="14" fontId="10" fillId="3" borderId="12" xfId="0" applyNumberFormat="1" applyFont="1" applyFill="1" applyBorder="1" applyAlignment="1">
      <alignment horizontal="center"/>
    </xf>
    <xf numFmtId="0" fontId="1" fillId="0" borderId="1" xfId="0" applyFont="1" applyBorder="1" applyAlignment="1">
      <alignment horizontal="center" vertical="center" wrapText="1"/>
    </xf>
    <xf numFmtId="0" fontId="2" fillId="0" borderId="2" xfId="0" applyFont="1" applyBorder="1"/>
    <xf numFmtId="0" fontId="2" fillId="0" borderId="3" xfId="0" applyFont="1" applyBorder="1"/>
    <xf numFmtId="0" fontId="2" fillId="0" borderId="4" xfId="0" applyFont="1" applyBorder="1"/>
    <xf numFmtId="0" fontId="0" fillId="0" borderId="0" xfId="0" applyFont="1" applyAlignment="1"/>
    <xf numFmtId="0" fontId="2" fillId="0" borderId="5" xfId="0" applyFont="1" applyBorder="1"/>
    <xf numFmtId="0" fontId="2" fillId="0" borderId="6" xfId="0" applyFont="1" applyBorder="1"/>
    <xf numFmtId="0" fontId="2" fillId="0" borderId="7" xfId="0" applyFont="1" applyBorder="1"/>
    <xf numFmtId="0" fontId="2" fillId="0" borderId="8" xfId="0" applyFont="1" applyBorder="1"/>
    <xf numFmtId="0" fontId="36" fillId="0" borderId="0" xfId="0" applyFont="1" applyAlignment="1">
      <alignment horizontal="center" vertical="center" wrapText="1"/>
    </xf>
    <xf numFmtId="0" fontId="8" fillId="0" borderId="9" xfId="0" applyFont="1" applyBorder="1" applyAlignment="1">
      <alignment horizontal="center"/>
    </xf>
    <xf numFmtId="0" fontId="2" fillId="0" borderId="10" xfId="0" applyFont="1" applyBorder="1"/>
    <xf numFmtId="164" fontId="17" fillId="12" borderId="30" xfId="0" applyNumberFormat="1" applyFont="1" applyFill="1" applyBorder="1" applyAlignment="1">
      <alignment horizontal="center"/>
    </xf>
    <xf numFmtId="164" fontId="17" fillId="12" borderId="31" xfId="0" applyNumberFormat="1" applyFont="1" applyFill="1" applyBorder="1" applyAlignment="1">
      <alignment horizontal="center"/>
    </xf>
    <xf numFmtId="164" fontId="17" fillId="12" borderId="32" xfId="0" applyNumberFormat="1" applyFont="1" applyFill="1" applyBorder="1" applyAlignment="1">
      <alignment horizontal="center"/>
    </xf>
    <xf numFmtId="0" fontId="11" fillId="0" borderId="9" xfId="0" applyFont="1" applyBorder="1" applyAlignment="1">
      <alignment horizontal="center"/>
    </xf>
    <xf numFmtId="0" fontId="2" fillId="0" borderId="16" xfId="0" applyFont="1" applyBorder="1"/>
    <xf numFmtId="0" fontId="29" fillId="0" borderId="30" xfId="0" applyFont="1" applyBorder="1" applyAlignment="1">
      <alignment horizontal="center"/>
    </xf>
    <xf numFmtId="0" fontId="29" fillId="0" borderId="31" xfId="0" applyFont="1" applyBorder="1" applyAlignment="1">
      <alignment horizontal="center"/>
    </xf>
    <xf numFmtId="0" fontId="29" fillId="0" borderId="32" xfId="0" applyFont="1" applyBorder="1" applyAlignment="1">
      <alignment horizontal="center"/>
    </xf>
    <xf numFmtId="0" fontId="29" fillId="0" borderId="37" xfId="0" applyFont="1" applyBorder="1" applyAlignment="1">
      <alignment horizontal="center"/>
    </xf>
    <xf numFmtId="0" fontId="29" fillId="0" borderId="38" xfId="0" applyFont="1" applyBorder="1" applyAlignment="1">
      <alignment horizontal="center"/>
    </xf>
    <xf numFmtId="0" fontId="29" fillId="0" borderId="39" xfId="0" applyFont="1" applyBorder="1" applyAlignment="1">
      <alignment horizontal="center"/>
    </xf>
  </cellXfs>
  <cellStyles count="6">
    <cellStyle name="Lien hypertexte" xfId="4" builtinId="8"/>
    <cellStyle name="Normal" xfId="0" builtinId="0"/>
    <cellStyle name="Normal 2" xfId="1" xr:uid="{6FB657D7-018A-432D-876D-4DCF1F7C5884}"/>
    <cellStyle name="Normal 3" xfId="5" xr:uid="{AE272796-C039-064C-A3FF-D864F48B6E7D}"/>
    <cellStyle name="Pourcentage" xfId="3" builtinId="5"/>
    <cellStyle name="Pourcentage 2" xfId="2" xr:uid="{8A7A2D44-5211-420E-9F53-8B7F41CEFEA9}"/>
  </cellStyles>
  <dxfs count="16">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dxf>
    <dxf>
      <fill>
        <patternFill>
          <bgColor theme="9"/>
        </patternFill>
      </fill>
    </dxf>
    <dxf>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2" formatCode="0.00"/>
      <alignment horizontal="general"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9" formatCode="dd/mm/yyyy"/>
      <alignment horizontal="general" vertical="bottom" textRotation="0" wrapText="0" indent="0" justifyLastLine="0" shrinkToFit="0" readingOrder="0"/>
    </dxf>
    <dxf>
      <fill>
        <patternFill patternType="solid">
          <fgColor theme="9"/>
          <bgColor theme="9"/>
        </patternFill>
      </fill>
    </dxf>
    <dxf>
      <fill>
        <patternFill patternType="solid">
          <fgColor rgb="FFFF0000"/>
          <bgColor rgb="FFFF0000"/>
        </patternFill>
      </fill>
    </dxf>
    <dxf>
      <fill>
        <patternFill>
          <bgColor theme="9"/>
        </patternFill>
      </fill>
    </dxf>
    <dxf>
      <fill>
        <patternFill patternType="solid">
          <fgColor rgb="FFD9E2F3"/>
          <bgColor rgb="FFD9E2F3"/>
        </patternFill>
      </fill>
    </dxf>
    <dxf>
      <fill>
        <patternFill patternType="solid">
          <fgColor rgb="FFD9E2F3"/>
          <bgColor rgb="FFD9E2F3"/>
        </patternFill>
      </fill>
    </dxf>
    <dxf>
      <fill>
        <patternFill patternType="solid">
          <fgColor theme="4"/>
          <bgColor theme="4"/>
        </patternFill>
      </fill>
    </dxf>
    <dxf>
      <fill>
        <patternFill patternType="solid">
          <fgColor rgb="FFD9E2F3"/>
          <bgColor rgb="FFD9E2F3"/>
        </patternFill>
      </fill>
    </dxf>
    <dxf>
      <fill>
        <patternFill patternType="solid">
          <fgColor rgb="FFB4C6E7"/>
          <bgColor rgb="FFB4C6E7"/>
        </patternFill>
      </fill>
    </dxf>
    <dxf>
      <fill>
        <patternFill patternType="solid">
          <fgColor theme="6"/>
          <bgColor theme="6"/>
        </patternFill>
      </fill>
    </dxf>
  </dxfs>
  <tableStyles count="2">
    <tableStyle name="Market Data-style" pivot="0" count="3" xr9:uid="{00000000-0011-0000-FFFF-FFFF00000000}">
      <tableStyleElement type="headerRow" dxfId="15"/>
      <tableStyleElement type="firstRowStripe" dxfId="14"/>
      <tableStyleElement type="secondRowStripe" dxfId="13"/>
    </tableStyle>
    <tableStyle name="Aux-style" pivot="0" count="3" xr9:uid="{00000000-0011-0000-FFFF-FFFF01000000}">
      <tableStyleElement type="headerRow" dxfId="12"/>
      <tableStyleElement type="firstRowStripe" dxfId="11"/>
      <tableStyleElement type="secondRowStripe" dxfId="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c:style val="2"/>
  <c:chart>
    <c:title>
      <c:tx>
        <c:rich>
          <a:bodyPr/>
          <a:lstStyle/>
          <a:p>
            <a:pPr>
              <a:defRPr/>
            </a:pPr>
            <a:r>
              <a:rPr lang="en-US"/>
              <a:t>Payoff Profile</a:t>
            </a:r>
          </a:p>
        </c:rich>
      </c:tx>
      <c:overlay val="0"/>
    </c:title>
    <c:autoTitleDeleted val="0"/>
    <c:plotArea>
      <c:layout>
        <c:manualLayout>
          <c:xMode val="edge"/>
          <c:yMode val="edge"/>
          <c:x val="0.13007796247691258"/>
          <c:y val="8.8836527509533011E-2"/>
          <c:w val="0.82943183953857602"/>
          <c:h val="0.80206626058535135"/>
        </c:manualLayout>
      </c:layout>
      <c:lineChart>
        <c:grouping val="standard"/>
        <c:varyColors val="0"/>
        <c:ser>
          <c:idx val="0"/>
          <c:order val="0"/>
          <c:tx>
            <c:v>Payoff</c:v>
          </c:tx>
          <c:spPr>
            <a:ln w="28575" cmpd="sng">
              <a:solidFill>
                <a:schemeClr val="accent1"/>
              </a:solidFill>
            </a:ln>
          </c:spPr>
          <c:marker>
            <c:symbol val="none"/>
          </c:marker>
          <c:cat>
            <c:numRef>
              <c:f>Aux!$F$3:$F$203</c:f>
              <c:numCache>
                <c:formatCode>0.00</c:formatCode>
                <c:ptCount val="2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42.000000000000007</c:v>
                </c:pt>
                <c:pt idx="43">
                  <c:v>43.000000000000007</c:v>
                </c:pt>
                <c:pt idx="44">
                  <c:v>43.999999999999993</c:v>
                </c:pt>
                <c:pt idx="45">
                  <c:v>44.999999999999993</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numCache>
            </c:numRef>
          </c:cat>
          <c:val>
            <c:numRef>
              <c:f>Aux!$G$3:$G$203</c:f>
              <c:numCache>
                <c:formatCode>_-[$$-409]* #\ ##0.00_ ;_-[$$-409]* \-#\ ##0.00\ ;_-[$$-409]* "-"??_ ;_-@_ </c:formatCode>
                <c:ptCount val="201"/>
                <c:pt idx="0">
                  <c:v>99.98283010511409</c:v>
                </c:pt>
                <c:pt idx="1">
                  <c:v>98.98283010511409</c:v>
                </c:pt>
                <c:pt idx="2">
                  <c:v>97.98283010511409</c:v>
                </c:pt>
                <c:pt idx="3">
                  <c:v>96.98283010511409</c:v>
                </c:pt>
                <c:pt idx="4">
                  <c:v>95.98283010511409</c:v>
                </c:pt>
                <c:pt idx="5">
                  <c:v>94.98283010511409</c:v>
                </c:pt>
                <c:pt idx="6">
                  <c:v>93.98283010511409</c:v>
                </c:pt>
                <c:pt idx="7">
                  <c:v>92.98283010511409</c:v>
                </c:pt>
                <c:pt idx="8">
                  <c:v>91.98283010511409</c:v>
                </c:pt>
                <c:pt idx="9">
                  <c:v>90.98283010511409</c:v>
                </c:pt>
                <c:pt idx="10">
                  <c:v>89.98283010511409</c:v>
                </c:pt>
                <c:pt idx="11">
                  <c:v>88.98283010511409</c:v>
                </c:pt>
                <c:pt idx="12">
                  <c:v>87.98283010511409</c:v>
                </c:pt>
                <c:pt idx="13">
                  <c:v>86.98283010511409</c:v>
                </c:pt>
                <c:pt idx="14">
                  <c:v>85.98283010511409</c:v>
                </c:pt>
                <c:pt idx="15">
                  <c:v>84.98283010511409</c:v>
                </c:pt>
                <c:pt idx="16">
                  <c:v>83.98283010511409</c:v>
                </c:pt>
                <c:pt idx="17">
                  <c:v>82.98283010511409</c:v>
                </c:pt>
                <c:pt idx="18">
                  <c:v>81.98283010511409</c:v>
                </c:pt>
                <c:pt idx="19">
                  <c:v>80.98283010511409</c:v>
                </c:pt>
                <c:pt idx="20">
                  <c:v>79.98283010511409</c:v>
                </c:pt>
                <c:pt idx="21">
                  <c:v>78.98283010511409</c:v>
                </c:pt>
                <c:pt idx="22">
                  <c:v>77.98283010511409</c:v>
                </c:pt>
                <c:pt idx="23">
                  <c:v>76.98283010511409</c:v>
                </c:pt>
                <c:pt idx="24">
                  <c:v>75.98283010511409</c:v>
                </c:pt>
                <c:pt idx="25">
                  <c:v>74.98283010511409</c:v>
                </c:pt>
                <c:pt idx="26">
                  <c:v>73.98283010511409</c:v>
                </c:pt>
                <c:pt idx="27">
                  <c:v>72.98283010511409</c:v>
                </c:pt>
                <c:pt idx="28">
                  <c:v>71.98283010511409</c:v>
                </c:pt>
                <c:pt idx="29">
                  <c:v>70.98283010511409</c:v>
                </c:pt>
                <c:pt idx="30">
                  <c:v>69.98283010511409</c:v>
                </c:pt>
                <c:pt idx="31">
                  <c:v>68.98283010511409</c:v>
                </c:pt>
                <c:pt idx="32">
                  <c:v>67.98283010511409</c:v>
                </c:pt>
                <c:pt idx="33">
                  <c:v>66.98283010511409</c:v>
                </c:pt>
                <c:pt idx="34">
                  <c:v>65.98283010511409</c:v>
                </c:pt>
                <c:pt idx="35">
                  <c:v>64.98283010511409</c:v>
                </c:pt>
                <c:pt idx="36">
                  <c:v>63.98283010511409</c:v>
                </c:pt>
                <c:pt idx="37">
                  <c:v>62.98283010511409</c:v>
                </c:pt>
                <c:pt idx="38">
                  <c:v>61.98283010511409</c:v>
                </c:pt>
                <c:pt idx="39">
                  <c:v>60.98283010511409</c:v>
                </c:pt>
                <c:pt idx="40">
                  <c:v>59.98283010511409</c:v>
                </c:pt>
                <c:pt idx="41">
                  <c:v>58.98283010511409</c:v>
                </c:pt>
                <c:pt idx="42">
                  <c:v>57.982830105114083</c:v>
                </c:pt>
                <c:pt idx="43">
                  <c:v>56.982830105114083</c:v>
                </c:pt>
                <c:pt idx="44">
                  <c:v>55.982830105114097</c:v>
                </c:pt>
                <c:pt idx="45">
                  <c:v>54.982830105114097</c:v>
                </c:pt>
                <c:pt idx="46">
                  <c:v>53.98283010511409</c:v>
                </c:pt>
                <c:pt idx="47">
                  <c:v>52.98283010511409</c:v>
                </c:pt>
                <c:pt idx="48">
                  <c:v>51.98283010511409</c:v>
                </c:pt>
                <c:pt idx="49">
                  <c:v>50.98283010511409</c:v>
                </c:pt>
                <c:pt idx="50">
                  <c:v>49.98283010511409</c:v>
                </c:pt>
                <c:pt idx="51">
                  <c:v>48.98283010511409</c:v>
                </c:pt>
                <c:pt idx="52">
                  <c:v>47.98283010511409</c:v>
                </c:pt>
                <c:pt idx="53">
                  <c:v>46.98283010511409</c:v>
                </c:pt>
                <c:pt idx="54">
                  <c:v>45.98283010511409</c:v>
                </c:pt>
                <c:pt idx="55">
                  <c:v>44.98283010511409</c:v>
                </c:pt>
                <c:pt idx="56">
                  <c:v>43.98283010511409</c:v>
                </c:pt>
                <c:pt idx="57">
                  <c:v>42.98283010511409</c:v>
                </c:pt>
                <c:pt idx="58">
                  <c:v>41.98283010511409</c:v>
                </c:pt>
                <c:pt idx="59">
                  <c:v>40.98283010511409</c:v>
                </c:pt>
                <c:pt idx="60">
                  <c:v>39.98283010511409</c:v>
                </c:pt>
                <c:pt idx="61">
                  <c:v>38.98283010511409</c:v>
                </c:pt>
                <c:pt idx="62">
                  <c:v>37.98283010511409</c:v>
                </c:pt>
                <c:pt idx="63">
                  <c:v>36.98283010511409</c:v>
                </c:pt>
                <c:pt idx="64">
                  <c:v>35.98283010511409</c:v>
                </c:pt>
                <c:pt idx="65">
                  <c:v>34.98283010511409</c:v>
                </c:pt>
                <c:pt idx="66">
                  <c:v>33.98283010511409</c:v>
                </c:pt>
                <c:pt idx="67">
                  <c:v>32.98283010511409</c:v>
                </c:pt>
                <c:pt idx="68">
                  <c:v>31.98283010511409</c:v>
                </c:pt>
                <c:pt idx="69">
                  <c:v>30.98283010511409</c:v>
                </c:pt>
                <c:pt idx="70">
                  <c:v>29.98283010511409</c:v>
                </c:pt>
                <c:pt idx="71">
                  <c:v>28.98283010511409</c:v>
                </c:pt>
                <c:pt idx="72">
                  <c:v>27.98283010511409</c:v>
                </c:pt>
                <c:pt idx="73">
                  <c:v>26.98283010511409</c:v>
                </c:pt>
                <c:pt idx="74">
                  <c:v>25.98283010511409</c:v>
                </c:pt>
                <c:pt idx="75">
                  <c:v>24.98283010511409</c:v>
                </c:pt>
                <c:pt idx="76">
                  <c:v>23.98283010511409</c:v>
                </c:pt>
                <c:pt idx="77">
                  <c:v>22.98283010511409</c:v>
                </c:pt>
                <c:pt idx="78">
                  <c:v>21.98283010511409</c:v>
                </c:pt>
                <c:pt idx="79">
                  <c:v>20.98283010511409</c:v>
                </c:pt>
                <c:pt idx="80">
                  <c:v>19.98283010511409</c:v>
                </c:pt>
                <c:pt idx="81">
                  <c:v>18.98283010511409</c:v>
                </c:pt>
                <c:pt idx="82">
                  <c:v>17.98283010511409</c:v>
                </c:pt>
                <c:pt idx="83">
                  <c:v>16.98283010511409</c:v>
                </c:pt>
                <c:pt idx="84">
                  <c:v>15.98283010511409</c:v>
                </c:pt>
                <c:pt idx="85">
                  <c:v>14.98283010511409</c:v>
                </c:pt>
                <c:pt idx="86">
                  <c:v>13.98283010511409</c:v>
                </c:pt>
                <c:pt idx="87">
                  <c:v>12.98283010511409</c:v>
                </c:pt>
                <c:pt idx="88">
                  <c:v>11.98283010511409</c:v>
                </c:pt>
                <c:pt idx="89">
                  <c:v>10.98283010511409</c:v>
                </c:pt>
                <c:pt idx="90">
                  <c:v>9.9828301051140897</c:v>
                </c:pt>
                <c:pt idx="91">
                  <c:v>8.9828301051140897</c:v>
                </c:pt>
                <c:pt idx="92">
                  <c:v>7.9828301051140897</c:v>
                </c:pt>
                <c:pt idx="93">
                  <c:v>6.9828301051140897</c:v>
                </c:pt>
                <c:pt idx="94">
                  <c:v>5.9828301051140897</c:v>
                </c:pt>
                <c:pt idx="95">
                  <c:v>4.9828301051140897</c:v>
                </c:pt>
                <c:pt idx="96">
                  <c:v>3.9828301051140897</c:v>
                </c:pt>
                <c:pt idx="97">
                  <c:v>2.9828301051140897</c:v>
                </c:pt>
                <c:pt idx="98">
                  <c:v>1.9828301051140897</c:v>
                </c:pt>
                <c:pt idx="99">
                  <c:v>0.98283010511408975</c:v>
                </c:pt>
                <c:pt idx="100">
                  <c:v>-1.7169894885910253E-2</c:v>
                </c:pt>
                <c:pt idx="101">
                  <c:v>-1.0171698948859103</c:v>
                </c:pt>
                <c:pt idx="102">
                  <c:v>-2.0171698948859103</c:v>
                </c:pt>
                <c:pt idx="103">
                  <c:v>-3.0171698948859103</c:v>
                </c:pt>
                <c:pt idx="104">
                  <c:v>-4.0171698948859103</c:v>
                </c:pt>
                <c:pt idx="105">
                  <c:v>-5.0171698948859103</c:v>
                </c:pt>
                <c:pt idx="106">
                  <c:v>-5.0171698948859103</c:v>
                </c:pt>
                <c:pt idx="107">
                  <c:v>-5.0171698948859103</c:v>
                </c:pt>
                <c:pt idx="108">
                  <c:v>-5.0171698948859103</c:v>
                </c:pt>
                <c:pt idx="109">
                  <c:v>-5.0171698948859103</c:v>
                </c:pt>
                <c:pt idx="110">
                  <c:v>-5.0171698948859103</c:v>
                </c:pt>
                <c:pt idx="111">
                  <c:v>-5.0171698948859103</c:v>
                </c:pt>
                <c:pt idx="112">
                  <c:v>-5.0171698948859103</c:v>
                </c:pt>
                <c:pt idx="113">
                  <c:v>-5.0171698948859103</c:v>
                </c:pt>
                <c:pt idx="114">
                  <c:v>-5.0171698948859103</c:v>
                </c:pt>
                <c:pt idx="115">
                  <c:v>-5.0171698948859103</c:v>
                </c:pt>
                <c:pt idx="116">
                  <c:v>-5.0171698948859103</c:v>
                </c:pt>
                <c:pt idx="117">
                  <c:v>-5.0171698948859103</c:v>
                </c:pt>
                <c:pt idx="118">
                  <c:v>-5.0171698948859103</c:v>
                </c:pt>
                <c:pt idx="119">
                  <c:v>-5.0171698948859103</c:v>
                </c:pt>
                <c:pt idx="120">
                  <c:v>-5.0171698948859103</c:v>
                </c:pt>
                <c:pt idx="121">
                  <c:v>-5.0171698948859103</c:v>
                </c:pt>
                <c:pt idx="122">
                  <c:v>-5.0171698948859103</c:v>
                </c:pt>
                <c:pt idx="123">
                  <c:v>-5.0171698948859103</c:v>
                </c:pt>
                <c:pt idx="124">
                  <c:v>-5.0171698948859103</c:v>
                </c:pt>
                <c:pt idx="125">
                  <c:v>-5.0171698948859103</c:v>
                </c:pt>
                <c:pt idx="126">
                  <c:v>-5.0171698948859103</c:v>
                </c:pt>
                <c:pt idx="127">
                  <c:v>-5.0171698948859103</c:v>
                </c:pt>
                <c:pt idx="128">
                  <c:v>-5.0171698948859103</c:v>
                </c:pt>
                <c:pt idx="129">
                  <c:v>-5.0171698948859103</c:v>
                </c:pt>
                <c:pt idx="130">
                  <c:v>-5.0171698948859103</c:v>
                </c:pt>
                <c:pt idx="131">
                  <c:v>-5.0171698948859103</c:v>
                </c:pt>
                <c:pt idx="132">
                  <c:v>-5.0171698948859103</c:v>
                </c:pt>
                <c:pt idx="133">
                  <c:v>-5.0171698948859103</c:v>
                </c:pt>
                <c:pt idx="134">
                  <c:v>-5.0171698948859103</c:v>
                </c:pt>
                <c:pt idx="135">
                  <c:v>-5.0171698948859103</c:v>
                </c:pt>
                <c:pt idx="136">
                  <c:v>-5.0171698948859103</c:v>
                </c:pt>
                <c:pt idx="137">
                  <c:v>-5.0171698948859103</c:v>
                </c:pt>
                <c:pt idx="138">
                  <c:v>-5.0171698948859103</c:v>
                </c:pt>
                <c:pt idx="139">
                  <c:v>-5.0171698948859103</c:v>
                </c:pt>
                <c:pt idx="140">
                  <c:v>-5.0171698948859103</c:v>
                </c:pt>
                <c:pt idx="141">
                  <c:v>-5.0171698948859103</c:v>
                </c:pt>
                <c:pt idx="142">
                  <c:v>-5.0171698948859103</c:v>
                </c:pt>
                <c:pt idx="143">
                  <c:v>-5.0171698948859103</c:v>
                </c:pt>
                <c:pt idx="144">
                  <c:v>-5.0171698948859103</c:v>
                </c:pt>
                <c:pt idx="145">
                  <c:v>-5.0171698948859103</c:v>
                </c:pt>
                <c:pt idx="146">
                  <c:v>-5.0171698948859103</c:v>
                </c:pt>
                <c:pt idx="147">
                  <c:v>-5.0171698948859103</c:v>
                </c:pt>
                <c:pt idx="148">
                  <c:v>-5.0171698948859103</c:v>
                </c:pt>
                <c:pt idx="149">
                  <c:v>-5.0171698948859103</c:v>
                </c:pt>
                <c:pt idx="150">
                  <c:v>-5.0171698948859103</c:v>
                </c:pt>
                <c:pt idx="151">
                  <c:v>-5.0171698948859103</c:v>
                </c:pt>
                <c:pt idx="152">
                  <c:v>-5.0171698948859103</c:v>
                </c:pt>
                <c:pt idx="153">
                  <c:v>-5.0171698948859103</c:v>
                </c:pt>
                <c:pt idx="154">
                  <c:v>-5.0171698948859103</c:v>
                </c:pt>
                <c:pt idx="155">
                  <c:v>-5.0171698948859103</c:v>
                </c:pt>
                <c:pt idx="156">
                  <c:v>-5.0171698948859103</c:v>
                </c:pt>
                <c:pt idx="157">
                  <c:v>-5.0171698948859103</c:v>
                </c:pt>
                <c:pt idx="158">
                  <c:v>-5.0171698948859103</c:v>
                </c:pt>
                <c:pt idx="159">
                  <c:v>-5.0171698948859103</c:v>
                </c:pt>
                <c:pt idx="160">
                  <c:v>-5.0171698948859103</c:v>
                </c:pt>
                <c:pt idx="161">
                  <c:v>-5.0171698948859103</c:v>
                </c:pt>
                <c:pt idx="162">
                  <c:v>-5.0171698948859103</c:v>
                </c:pt>
                <c:pt idx="163">
                  <c:v>-5.0171698948859103</c:v>
                </c:pt>
                <c:pt idx="164">
                  <c:v>-5.0171698948859103</c:v>
                </c:pt>
                <c:pt idx="165">
                  <c:v>-5.0171698948859103</c:v>
                </c:pt>
                <c:pt idx="166">
                  <c:v>-5.0171698948859103</c:v>
                </c:pt>
                <c:pt idx="167">
                  <c:v>-5.0171698948859103</c:v>
                </c:pt>
                <c:pt idx="168">
                  <c:v>-5.0171698948859103</c:v>
                </c:pt>
                <c:pt idx="169">
                  <c:v>-5.0171698948859103</c:v>
                </c:pt>
                <c:pt idx="170">
                  <c:v>-5.0171698948859103</c:v>
                </c:pt>
                <c:pt idx="171">
                  <c:v>-5.0171698948859103</c:v>
                </c:pt>
                <c:pt idx="172">
                  <c:v>-5.0171698948859103</c:v>
                </c:pt>
                <c:pt idx="173">
                  <c:v>-5.0171698948859103</c:v>
                </c:pt>
                <c:pt idx="174">
                  <c:v>-5.0171698948859103</c:v>
                </c:pt>
                <c:pt idx="175">
                  <c:v>-5.0171698948859103</c:v>
                </c:pt>
                <c:pt idx="176">
                  <c:v>-5.0171698948859103</c:v>
                </c:pt>
                <c:pt idx="177">
                  <c:v>-5.0171698948859103</c:v>
                </c:pt>
                <c:pt idx="178">
                  <c:v>-5.0171698948859103</c:v>
                </c:pt>
                <c:pt idx="179">
                  <c:v>-5.0171698948859103</c:v>
                </c:pt>
                <c:pt idx="180">
                  <c:v>-5.0171698948859103</c:v>
                </c:pt>
                <c:pt idx="181">
                  <c:v>-5.0171698948859103</c:v>
                </c:pt>
                <c:pt idx="182">
                  <c:v>-5.0171698948859103</c:v>
                </c:pt>
                <c:pt idx="183">
                  <c:v>-5.0171698948859103</c:v>
                </c:pt>
                <c:pt idx="184">
                  <c:v>-5.0171698948859103</c:v>
                </c:pt>
                <c:pt idx="185">
                  <c:v>-5.0171698948859103</c:v>
                </c:pt>
                <c:pt idx="186">
                  <c:v>-5.0171698948859103</c:v>
                </c:pt>
                <c:pt idx="187">
                  <c:v>-5.0171698948859103</c:v>
                </c:pt>
                <c:pt idx="188">
                  <c:v>-5.0171698948859103</c:v>
                </c:pt>
                <c:pt idx="189">
                  <c:v>-5.0171698948859103</c:v>
                </c:pt>
                <c:pt idx="190">
                  <c:v>-5.0171698948859103</c:v>
                </c:pt>
                <c:pt idx="191">
                  <c:v>-5.0171698948859103</c:v>
                </c:pt>
                <c:pt idx="192">
                  <c:v>-5.0171698948859103</c:v>
                </c:pt>
                <c:pt idx="193">
                  <c:v>-5.0171698948859103</c:v>
                </c:pt>
                <c:pt idx="194">
                  <c:v>-5.0171698948859103</c:v>
                </c:pt>
                <c:pt idx="195">
                  <c:v>-5.0171698948859103</c:v>
                </c:pt>
                <c:pt idx="196">
                  <c:v>-5.0171698948859103</c:v>
                </c:pt>
                <c:pt idx="197">
                  <c:v>-5.0171698948859103</c:v>
                </c:pt>
                <c:pt idx="198">
                  <c:v>-5.0171698948859103</c:v>
                </c:pt>
                <c:pt idx="199">
                  <c:v>-5.0171698948859103</c:v>
                </c:pt>
                <c:pt idx="200">
                  <c:v>-5.0171698948859103</c:v>
                </c:pt>
              </c:numCache>
            </c:numRef>
          </c:val>
          <c:smooth val="0"/>
          <c:extLst>
            <c:ext xmlns:c16="http://schemas.microsoft.com/office/drawing/2014/chart" uri="{C3380CC4-5D6E-409C-BE32-E72D297353CC}">
              <c16:uniqueId val="{00000000-A6F7-4BFF-9661-E8E524C3A64E}"/>
            </c:ext>
          </c:extLst>
        </c:ser>
        <c:dLbls>
          <c:showLegendKey val="0"/>
          <c:showVal val="0"/>
          <c:showCatName val="0"/>
          <c:showSerName val="0"/>
          <c:showPercent val="0"/>
          <c:showBubbleSize val="0"/>
        </c:dLbls>
        <c:smooth val="0"/>
        <c:axId val="196813200"/>
        <c:axId val="1064248935"/>
      </c:lineChart>
      <c:catAx>
        <c:axId val="196813200"/>
        <c:scaling>
          <c:orientation val="minMax"/>
        </c:scaling>
        <c:delete val="0"/>
        <c:axPos val="b"/>
        <c:title>
          <c:tx>
            <c:rich>
              <a:bodyPr/>
              <a:lstStyle/>
              <a:p>
                <a:pPr>
                  <a:defRPr/>
                </a:pPr>
                <a:r>
                  <a:rPr lang="en-US"/>
                  <a:t>Underlying Price</a:t>
                </a:r>
              </a:p>
            </c:rich>
          </c:tx>
          <c:layout>
            <c:manualLayout>
              <c:xMode val="edge"/>
              <c:yMode val="edge"/>
              <c:x val="0.46289866294414028"/>
              <c:y val="0.90926302941949266"/>
            </c:manualLayout>
          </c:layout>
          <c:overlay val="0"/>
        </c:title>
        <c:numFmt formatCode="#,##0" sourceLinked="0"/>
        <c:majorTickMark val="none"/>
        <c:minorTickMark val="none"/>
        <c:tickLblPos val="nextTo"/>
        <c:crossAx val="1064248935"/>
        <c:crosses val="autoZero"/>
        <c:auto val="1"/>
        <c:lblAlgn val="ctr"/>
        <c:lblOffset val="100"/>
        <c:noMultiLvlLbl val="1"/>
      </c:catAx>
      <c:valAx>
        <c:axId val="1064248935"/>
        <c:scaling>
          <c:orientation val="minMax"/>
        </c:scaling>
        <c:delete val="0"/>
        <c:axPos val="l"/>
        <c:majorGridlines>
          <c:spPr>
            <a:ln>
              <a:solidFill>
                <a:srgbClr val="B7B7B7"/>
              </a:solidFill>
            </a:ln>
          </c:spPr>
        </c:majorGridlines>
        <c:title>
          <c:tx>
            <c:rich>
              <a:bodyPr/>
              <a:lstStyle/>
              <a:p>
                <a:pPr>
                  <a:defRPr/>
                </a:pPr>
                <a:r>
                  <a:rPr lang="en-US"/>
                  <a:t>Option's P&amp;L</a:t>
                </a:r>
              </a:p>
            </c:rich>
          </c:tx>
          <c:overlay val="0"/>
        </c:title>
        <c:numFmt formatCode="_([$$-409]* #,##0_);_([$$-409]* \(#,##0\);_([$$-409]* &quot;-&quot;_);_(@_)" sourceLinked="0"/>
        <c:majorTickMark val="none"/>
        <c:minorTickMark val="none"/>
        <c:tickLblPos val="nextTo"/>
        <c:spPr>
          <a:ln/>
        </c:spPr>
        <c:crossAx val="196813200"/>
        <c:crosses val="autoZero"/>
        <c:crossBetween val="between"/>
      </c:valAx>
    </c:plotArea>
    <c:plotVisOnly val="1"/>
    <c:dispBlanksAs val="zero"/>
    <c:showDLblsOverMax val="1"/>
  </c:chart>
  <c:txPr>
    <a:bodyPr/>
    <a:lstStyle/>
    <a:p>
      <a:pPr>
        <a:defRPr sz="1100"/>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40" b="1"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scatterChart>
        <c:scatterStyle val="lineMarker"/>
        <c:varyColors val="0"/>
        <c:ser>
          <c:idx val="0"/>
          <c:order val="0"/>
          <c:tx>
            <c:v>Historical Price</c:v>
          </c:tx>
          <c:spPr>
            <a:ln w="19050" cap="rnd">
              <a:solidFill>
                <a:schemeClr val="accent1"/>
              </a:solidFill>
              <a:round/>
            </a:ln>
            <a:effectLst/>
          </c:spPr>
          <c:marker>
            <c:symbol val="none"/>
          </c:marker>
          <c:xVal>
            <c:numRef>
              <c:f>'Current Market Data'!$A$5:$A$2561</c:f>
              <c:numCache>
                <c:formatCode>m/d/yyyy</c:formatCode>
                <c:ptCount val="2557"/>
                <c:pt idx="0">
                  <c:v>40840</c:v>
                </c:pt>
                <c:pt idx="1">
                  <c:v>40841</c:v>
                </c:pt>
                <c:pt idx="2">
                  <c:v>40842</c:v>
                </c:pt>
                <c:pt idx="3">
                  <c:v>40843</c:v>
                </c:pt>
                <c:pt idx="4">
                  <c:v>40844</c:v>
                </c:pt>
                <c:pt idx="5">
                  <c:v>40847</c:v>
                </c:pt>
                <c:pt idx="6">
                  <c:v>40848</c:v>
                </c:pt>
                <c:pt idx="7">
                  <c:v>40849</c:v>
                </c:pt>
                <c:pt idx="8">
                  <c:v>40850</c:v>
                </c:pt>
                <c:pt idx="9">
                  <c:v>40851</c:v>
                </c:pt>
                <c:pt idx="10">
                  <c:v>40854</c:v>
                </c:pt>
                <c:pt idx="11">
                  <c:v>40855</c:v>
                </c:pt>
                <c:pt idx="12">
                  <c:v>40856</c:v>
                </c:pt>
                <c:pt idx="13">
                  <c:v>40857</c:v>
                </c:pt>
                <c:pt idx="14">
                  <c:v>40858</c:v>
                </c:pt>
                <c:pt idx="15">
                  <c:v>40861</c:v>
                </c:pt>
                <c:pt idx="16">
                  <c:v>40862</c:v>
                </c:pt>
                <c:pt idx="17">
                  <c:v>40863</c:v>
                </c:pt>
                <c:pt idx="18">
                  <c:v>40864</c:v>
                </c:pt>
                <c:pt idx="19">
                  <c:v>40865</c:v>
                </c:pt>
                <c:pt idx="20">
                  <c:v>40868</c:v>
                </c:pt>
                <c:pt idx="21">
                  <c:v>40869</c:v>
                </c:pt>
                <c:pt idx="22">
                  <c:v>40870</c:v>
                </c:pt>
                <c:pt idx="23">
                  <c:v>40871</c:v>
                </c:pt>
                <c:pt idx="24">
                  <c:v>40872</c:v>
                </c:pt>
                <c:pt idx="25">
                  <c:v>40875</c:v>
                </c:pt>
                <c:pt idx="26">
                  <c:v>40876</c:v>
                </c:pt>
                <c:pt idx="27">
                  <c:v>40877</c:v>
                </c:pt>
                <c:pt idx="28">
                  <c:v>40878</c:v>
                </c:pt>
                <c:pt idx="29">
                  <c:v>40879</c:v>
                </c:pt>
                <c:pt idx="30">
                  <c:v>40882</c:v>
                </c:pt>
                <c:pt idx="31">
                  <c:v>40883</c:v>
                </c:pt>
                <c:pt idx="32">
                  <c:v>40884</c:v>
                </c:pt>
                <c:pt idx="33">
                  <c:v>40885</c:v>
                </c:pt>
                <c:pt idx="34">
                  <c:v>40886</c:v>
                </c:pt>
                <c:pt idx="35">
                  <c:v>40889</c:v>
                </c:pt>
                <c:pt idx="36">
                  <c:v>40890</c:v>
                </c:pt>
                <c:pt idx="37">
                  <c:v>40891</c:v>
                </c:pt>
                <c:pt idx="38">
                  <c:v>40892</c:v>
                </c:pt>
                <c:pt idx="39">
                  <c:v>40893</c:v>
                </c:pt>
                <c:pt idx="40">
                  <c:v>40896</c:v>
                </c:pt>
                <c:pt idx="41">
                  <c:v>40897</c:v>
                </c:pt>
                <c:pt idx="42">
                  <c:v>40898</c:v>
                </c:pt>
                <c:pt idx="43">
                  <c:v>40899</c:v>
                </c:pt>
                <c:pt idx="44">
                  <c:v>40900</c:v>
                </c:pt>
                <c:pt idx="45">
                  <c:v>40904</c:v>
                </c:pt>
                <c:pt idx="46">
                  <c:v>40905</c:v>
                </c:pt>
                <c:pt idx="47">
                  <c:v>40906</c:v>
                </c:pt>
                <c:pt idx="48">
                  <c:v>40907</c:v>
                </c:pt>
                <c:pt idx="49">
                  <c:v>40910</c:v>
                </c:pt>
                <c:pt idx="50">
                  <c:v>40911</c:v>
                </c:pt>
                <c:pt idx="51">
                  <c:v>40912</c:v>
                </c:pt>
                <c:pt idx="52">
                  <c:v>40913</c:v>
                </c:pt>
                <c:pt idx="53">
                  <c:v>40914</c:v>
                </c:pt>
                <c:pt idx="54">
                  <c:v>40917</c:v>
                </c:pt>
                <c:pt idx="55">
                  <c:v>40918</c:v>
                </c:pt>
                <c:pt idx="56">
                  <c:v>40919</c:v>
                </c:pt>
                <c:pt idx="57">
                  <c:v>40920</c:v>
                </c:pt>
                <c:pt idx="58">
                  <c:v>40921</c:v>
                </c:pt>
                <c:pt idx="59">
                  <c:v>40924</c:v>
                </c:pt>
                <c:pt idx="60">
                  <c:v>40925</c:v>
                </c:pt>
                <c:pt idx="61">
                  <c:v>40926</c:v>
                </c:pt>
                <c:pt idx="62">
                  <c:v>40927</c:v>
                </c:pt>
                <c:pt idx="63">
                  <c:v>40928</c:v>
                </c:pt>
                <c:pt idx="64">
                  <c:v>40931</c:v>
                </c:pt>
                <c:pt idx="65">
                  <c:v>40932</c:v>
                </c:pt>
                <c:pt idx="66">
                  <c:v>40933</c:v>
                </c:pt>
                <c:pt idx="67">
                  <c:v>40934</c:v>
                </c:pt>
                <c:pt idx="68">
                  <c:v>40935</c:v>
                </c:pt>
                <c:pt idx="69">
                  <c:v>40938</c:v>
                </c:pt>
                <c:pt idx="70">
                  <c:v>40939</c:v>
                </c:pt>
                <c:pt idx="71">
                  <c:v>40940</c:v>
                </c:pt>
                <c:pt idx="72">
                  <c:v>40941</c:v>
                </c:pt>
                <c:pt idx="73">
                  <c:v>40942</c:v>
                </c:pt>
                <c:pt idx="74">
                  <c:v>40945</c:v>
                </c:pt>
                <c:pt idx="75">
                  <c:v>40946</c:v>
                </c:pt>
                <c:pt idx="76">
                  <c:v>40947</c:v>
                </c:pt>
                <c:pt idx="77">
                  <c:v>40948</c:v>
                </c:pt>
                <c:pt idx="78">
                  <c:v>40949</c:v>
                </c:pt>
                <c:pt idx="79">
                  <c:v>40952</c:v>
                </c:pt>
                <c:pt idx="80">
                  <c:v>40953</c:v>
                </c:pt>
                <c:pt idx="81">
                  <c:v>40954</c:v>
                </c:pt>
                <c:pt idx="82">
                  <c:v>40955</c:v>
                </c:pt>
                <c:pt idx="83">
                  <c:v>40956</c:v>
                </c:pt>
                <c:pt idx="84">
                  <c:v>40959</c:v>
                </c:pt>
                <c:pt idx="85">
                  <c:v>40960</c:v>
                </c:pt>
                <c:pt idx="86">
                  <c:v>40961</c:v>
                </c:pt>
                <c:pt idx="87">
                  <c:v>40962</c:v>
                </c:pt>
                <c:pt idx="88">
                  <c:v>40963</c:v>
                </c:pt>
                <c:pt idx="89">
                  <c:v>40966</c:v>
                </c:pt>
                <c:pt idx="90">
                  <c:v>40967</c:v>
                </c:pt>
                <c:pt idx="91">
                  <c:v>40968</c:v>
                </c:pt>
                <c:pt idx="92">
                  <c:v>40969</c:v>
                </c:pt>
                <c:pt idx="93">
                  <c:v>40970</c:v>
                </c:pt>
                <c:pt idx="94">
                  <c:v>40973</c:v>
                </c:pt>
                <c:pt idx="95">
                  <c:v>40974</c:v>
                </c:pt>
                <c:pt idx="96">
                  <c:v>40975</c:v>
                </c:pt>
                <c:pt idx="97">
                  <c:v>40976</c:v>
                </c:pt>
                <c:pt idx="98">
                  <c:v>40977</c:v>
                </c:pt>
                <c:pt idx="99">
                  <c:v>40980</c:v>
                </c:pt>
                <c:pt idx="100">
                  <c:v>40981</c:v>
                </c:pt>
                <c:pt idx="101">
                  <c:v>40982</c:v>
                </c:pt>
                <c:pt idx="102">
                  <c:v>40983</c:v>
                </c:pt>
                <c:pt idx="103">
                  <c:v>40984</c:v>
                </c:pt>
                <c:pt idx="104">
                  <c:v>40987</c:v>
                </c:pt>
                <c:pt idx="105">
                  <c:v>40988</c:v>
                </c:pt>
                <c:pt idx="106">
                  <c:v>40989</c:v>
                </c:pt>
                <c:pt idx="107">
                  <c:v>40990</c:v>
                </c:pt>
                <c:pt idx="108">
                  <c:v>40991</c:v>
                </c:pt>
                <c:pt idx="109">
                  <c:v>40994</c:v>
                </c:pt>
                <c:pt idx="110">
                  <c:v>40995</c:v>
                </c:pt>
                <c:pt idx="111">
                  <c:v>40996</c:v>
                </c:pt>
                <c:pt idx="112">
                  <c:v>40997</c:v>
                </c:pt>
                <c:pt idx="113">
                  <c:v>40998</c:v>
                </c:pt>
                <c:pt idx="114">
                  <c:v>41001</c:v>
                </c:pt>
                <c:pt idx="115">
                  <c:v>41002</c:v>
                </c:pt>
                <c:pt idx="116">
                  <c:v>41003</c:v>
                </c:pt>
                <c:pt idx="117">
                  <c:v>41004</c:v>
                </c:pt>
                <c:pt idx="118">
                  <c:v>41009</c:v>
                </c:pt>
                <c:pt idx="119">
                  <c:v>41010</c:v>
                </c:pt>
                <c:pt idx="120">
                  <c:v>41011</c:v>
                </c:pt>
                <c:pt idx="121">
                  <c:v>41012</c:v>
                </c:pt>
                <c:pt idx="122">
                  <c:v>41015</c:v>
                </c:pt>
                <c:pt idx="123">
                  <c:v>41016</c:v>
                </c:pt>
                <c:pt idx="124">
                  <c:v>41017</c:v>
                </c:pt>
                <c:pt idx="125">
                  <c:v>41018</c:v>
                </c:pt>
                <c:pt idx="126">
                  <c:v>41019</c:v>
                </c:pt>
                <c:pt idx="127">
                  <c:v>41022</c:v>
                </c:pt>
                <c:pt idx="128">
                  <c:v>41023</c:v>
                </c:pt>
                <c:pt idx="129">
                  <c:v>41024</c:v>
                </c:pt>
                <c:pt idx="130">
                  <c:v>41025</c:v>
                </c:pt>
                <c:pt idx="131">
                  <c:v>41026</c:v>
                </c:pt>
                <c:pt idx="132">
                  <c:v>41029</c:v>
                </c:pt>
                <c:pt idx="133">
                  <c:v>41031</c:v>
                </c:pt>
                <c:pt idx="134">
                  <c:v>41032</c:v>
                </c:pt>
                <c:pt idx="135">
                  <c:v>41033</c:v>
                </c:pt>
                <c:pt idx="136">
                  <c:v>41036</c:v>
                </c:pt>
                <c:pt idx="137">
                  <c:v>41037</c:v>
                </c:pt>
                <c:pt idx="138">
                  <c:v>41038</c:v>
                </c:pt>
                <c:pt idx="139">
                  <c:v>41039</c:v>
                </c:pt>
                <c:pt idx="140">
                  <c:v>41040</c:v>
                </c:pt>
                <c:pt idx="141">
                  <c:v>41043</c:v>
                </c:pt>
                <c:pt idx="142">
                  <c:v>41044</c:v>
                </c:pt>
                <c:pt idx="143">
                  <c:v>41045</c:v>
                </c:pt>
                <c:pt idx="144">
                  <c:v>41046</c:v>
                </c:pt>
                <c:pt idx="145">
                  <c:v>41047</c:v>
                </c:pt>
                <c:pt idx="146">
                  <c:v>41050</c:v>
                </c:pt>
                <c:pt idx="147">
                  <c:v>41051</c:v>
                </c:pt>
                <c:pt idx="148">
                  <c:v>41052</c:v>
                </c:pt>
                <c:pt idx="149">
                  <c:v>41053</c:v>
                </c:pt>
                <c:pt idx="150">
                  <c:v>41054</c:v>
                </c:pt>
                <c:pt idx="151">
                  <c:v>41057</c:v>
                </c:pt>
                <c:pt idx="152">
                  <c:v>41058</c:v>
                </c:pt>
                <c:pt idx="153">
                  <c:v>41059</c:v>
                </c:pt>
                <c:pt idx="154">
                  <c:v>41060</c:v>
                </c:pt>
                <c:pt idx="155">
                  <c:v>41061</c:v>
                </c:pt>
                <c:pt idx="156">
                  <c:v>41064</c:v>
                </c:pt>
                <c:pt idx="157">
                  <c:v>41065</c:v>
                </c:pt>
                <c:pt idx="158">
                  <c:v>41066</c:v>
                </c:pt>
                <c:pt idx="159">
                  <c:v>41067</c:v>
                </c:pt>
                <c:pt idx="160">
                  <c:v>41068</c:v>
                </c:pt>
                <c:pt idx="161">
                  <c:v>41071</c:v>
                </c:pt>
                <c:pt idx="162">
                  <c:v>41072</c:v>
                </c:pt>
                <c:pt idx="163">
                  <c:v>41073</c:v>
                </c:pt>
                <c:pt idx="164">
                  <c:v>41074</c:v>
                </c:pt>
                <c:pt idx="165">
                  <c:v>41075</c:v>
                </c:pt>
                <c:pt idx="166">
                  <c:v>41078</c:v>
                </c:pt>
                <c:pt idx="167">
                  <c:v>41079</c:v>
                </c:pt>
                <c:pt idx="168">
                  <c:v>41080</c:v>
                </c:pt>
                <c:pt idx="169">
                  <c:v>41081</c:v>
                </c:pt>
                <c:pt idx="170">
                  <c:v>41082</c:v>
                </c:pt>
                <c:pt idx="171">
                  <c:v>41085</c:v>
                </c:pt>
                <c:pt idx="172">
                  <c:v>41086</c:v>
                </c:pt>
                <c:pt idx="173">
                  <c:v>41087</c:v>
                </c:pt>
                <c:pt idx="174">
                  <c:v>41088</c:v>
                </c:pt>
                <c:pt idx="175">
                  <c:v>41089</c:v>
                </c:pt>
                <c:pt idx="176">
                  <c:v>41092</c:v>
                </c:pt>
                <c:pt idx="177">
                  <c:v>41093</c:v>
                </c:pt>
                <c:pt idx="178">
                  <c:v>41094</c:v>
                </c:pt>
                <c:pt idx="179">
                  <c:v>41095</c:v>
                </c:pt>
                <c:pt idx="180">
                  <c:v>41096</c:v>
                </c:pt>
                <c:pt idx="181">
                  <c:v>41099</c:v>
                </c:pt>
                <c:pt idx="182">
                  <c:v>41100</c:v>
                </c:pt>
                <c:pt idx="183">
                  <c:v>41101</c:v>
                </c:pt>
                <c:pt idx="184">
                  <c:v>41102</c:v>
                </c:pt>
                <c:pt idx="185">
                  <c:v>41103</c:v>
                </c:pt>
                <c:pt idx="186">
                  <c:v>41106</c:v>
                </c:pt>
                <c:pt idx="187">
                  <c:v>41107</c:v>
                </c:pt>
                <c:pt idx="188">
                  <c:v>41108</c:v>
                </c:pt>
                <c:pt idx="189">
                  <c:v>41109</c:v>
                </c:pt>
                <c:pt idx="190">
                  <c:v>41110</c:v>
                </c:pt>
                <c:pt idx="191">
                  <c:v>41113</c:v>
                </c:pt>
                <c:pt idx="192">
                  <c:v>41114</c:v>
                </c:pt>
                <c:pt idx="193">
                  <c:v>41115</c:v>
                </c:pt>
                <c:pt idx="194">
                  <c:v>41116</c:v>
                </c:pt>
                <c:pt idx="195">
                  <c:v>41117</c:v>
                </c:pt>
                <c:pt idx="196">
                  <c:v>41120</c:v>
                </c:pt>
                <c:pt idx="197">
                  <c:v>41121</c:v>
                </c:pt>
                <c:pt idx="198">
                  <c:v>41122</c:v>
                </c:pt>
                <c:pt idx="199">
                  <c:v>41123</c:v>
                </c:pt>
                <c:pt idx="200">
                  <c:v>41124</c:v>
                </c:pt>
                <c:pt idx="201">
                  <c:v>41127</c:v>
                </c:pt>
                <c:pt idx="202">
                  <c:v>41128</c:v>
                </c:pt>
                <c:pt idx="203">
                  <c:v>41129</c:v>
                </c:pt>
                <c:pt idx="204">
                  <c:v>41130</c:v>
                </c:pt>
                <c:pt idx="205">
                  <c:v>41131</c:v>
                </c:pt>
                <c:pt idx="206">
                  <c:v>41134</c:v>
                </c:pt>
                <c:pt idx="207">
                  <c:v>41135</c:v>
                </c:pt>
                <c:pt idx="208">
                  <c:v>41136</c:v>
                </c:pt>
                <c:pt idx="209">
                  <c:v>41137</c:v>
                </c:pt>
                <c:pt idx="210">
                  <c:v>41138</c:v>
                </c:pt>
                <c:pt idx="211">
                  <c:v>41141</c:v>
                </c:pt>
                <c:pt idx="212">
                  <c:v>41142</c:v>
                </c:pt>
                <c:pt idx="213">
                  <c:v>41143</c:v>
                </c:pt>
                <c:pt idx="214">
                  <c:v>41144</c:v>
                </c:pt>
                <c:pt idx="215">
                  <c:v>41145</c:v>
                </c:pt>
                <c:pt idx="216">
                  <c:v>41148</c:v>
                </c:pt>
                <c:pt idx="217">
                  <c:v>41149</c:v>
                </c:pt>
                <c:pt idx="218">
                  <c:v>41150</c:v>
                </c:pt>
                <c:pt idx="219">
                  <c:v>41151</c:v>
                </c:pt>
                <c:pt idx="220">
                  <c:v>41152</c:v>
                </c:pt>
                <c:pt idx="221">
                  <c:v>41155</c:v>
                </c:pt>
                <c:pt idx="222">
                  <c:v>41156</c:v>
                </c:pt>
                <c:pt idx="223">
                  <c:v>41157</c:v>
                </c:pt>
                <c:pt idx="224">
                  <c:v>41158</c:v>
                </c:pt>
                <c:pt idx="225">
                  <c:v>41159</c:v>
                </c:pt>
                <c:pt idx="226">
                  <c:v>41162</c:v>
                </c:pt>
                <c:pt idx="227">
                  <c:v>41163</c:v>
                </c:pt>
                <c:pt idx="228">
                  <c:v>41164</c:v>
                </c:pt>
                <c:pt idx="229">
                  <c:v>41165</c:v>
                </c:pt>
                <c:pt idx="230">
                  <c:v>41166</c:v>
                </c:pt>
                <c:pt idx="231">
                  <c:v>41169</c:v>
                </c:pt>
                <c:pt idx="232">
                  <c:v>41170</c:v>
                </c:pt>
                <c:pt idx="233">
                  <c:v>41171</c:v>
                </c:pt>
                <c:pt idx="234">
                  <c:v>41172</c:v>
                </c:pt>
                <c:pt idx="235">
                  <c:v>41173</c:v>
                </c:pt>
                <c:pt idx="236">
                  <c:v>41176</c:v>
                </c:pt>
                <c:pt idx="237">
                  <c:v>41177</c:v>
                </c:pt>
                <c:pt idx="238">
                  <c:v>41178</c:v>
                </c:pt>
                <c:pt idx="239">
                  <c:v>41179</c:v>
                </c:pt>
                <c:pt idx="240">
                  <c:v>41180</c:v>
                </c:pt>
                <c:pt idx="241">
                  <c:v>41183</c:v>
                </c:pt>
                <c:pt idx="242">
                  <c:v>41184</c:v>
                </c:pt>
                <c:pt idx="243">
                  <c:v>41185</c:v>
                </c:pt>
                <c:pt idx="244">
                  <c:v>41186</c:v>
                </c:pt>
                <c:pt idx="245">
                  <c:v>41187</c:v>
                </c:pt>
                <c:pt idx="246">
                  <c:v>41190</c:v>
                </c:pt>
                <c:pt idx="247">
                  <c:v>41191</c:v>
                </c:pt>
                <c:pt idx="248">
                  <c:v>41192</c:v>
                </c:pt>
                <c:pt idx="249">
                  <c:v>41193</c:v>
                </c:pt>
                <c:pt idx="250">
                  <c:v>41194</c:v>
                </c:pt>
                <c:pt idx="251">
                  <c:v>41197</c:v>
                </c:pt>
                <c:pt idx="252">
                  <c:v>41198</c:v>
                </c:pt>
                <c:pt idx="253">
                  <c:v>41199</c:v>
                </c:pt>
                <c:pt idx="254">
                  <c:v>41200</c:v>
                </c:pt>
                <c:pt idx="255">
                  <c:v>41201</c:v>
                </c:pt>
                <c:pt idx="256">
                  <c:v>41204</c:v>
                </c:pt>
                <c:pt idx="257">
                  <c:v>41205</c:v>
                </c:pt>
                <c:pt idx="258">
                  <c:v>41206</c:v>
                </c:pt>
                <c:pt idx="259">
                  <c:v>41207</c:v>
                </c:pt>
                <c:pt idx="260">
                  <c:v>41208</c:v>
                </c:pt>
                <c:pt idx="261">
                  <c:v>41211</c:v>
                </c:pt>
                <c:pt idx="262">
                  <c:v>41212</c:v>
                </c:pt>
                <c:pt idx="263">
                  <c:v>41213</c:v>
                </c:pt>
                <c:pt idx="264">
                  <c:v>41214</c:v>
                </c:pt>
                <c:pt idx="265">
                  <c:v>41215</c:v>
                </c:pt>
                <c:pt idx="266">
                  <c:v>41218</c:v>
                </c:pt>
                <c:pt idx="267">
                  <c:v>41219</c:v>
                </c:pt>
                <c:pt idx="268">
                  <c:v>41220</c:v>
                </c:pt>
                <c:pt idx="269">
                  <c:v>41221</c:v>
                </c:pt>
                <c:pt idx="270">
                  <c:v>41222</c:v>
                </c:pt>
                <c:pt idx="271">
                  <c:v>41225</c:v>
                </c:pt>
                <c:pt idx="272">
                  <c:v>41226</c:v>
                </c:pt>
                <c:pt idx="273">
                  <c:v>41227</c:v>
                </c:pt>
                <c:pt idx="274">
                  <c:v>41228</c:v>
                </c:pt>
                <c:pt idx="275">
                  <c:v>41229</c:v>
                </c:pt>
                <c:pt idx="276">
                  <c:v>41232</c:v>
                </c:pt>
                <c:pt idx="277">
                  <c:v>41233</c:v>
                </c:pt>
                <c:pt idx="278">
                  <c:v>41234</c:v>
                </c:pt>
                <c:pt idx="279">
                  <c:v>41235</c:v>
                </c:pt>
                <c:pt idx="280">
                  <c:v>41236</c:v>
                </c:pt>
                <c:pt idx="281">
                  <c:v>41239</c:v>
                </c:pt>
                <c:pt idx="282">
                  <c:v>41240</c:v>
                </c:pt>
                <c:pt idx="283">
                  <c:v>41241</c:v>
                </c:pt>
                <c:pt idx="284">
                  <c:v>41242</c:v>
                </c:pt>
                <c:pt idx="285">
                  <c:v>41243</c:v>
                </c:pt>
                <c:pt idx="286">
                  <c:v>41246</c:v>
                </c:pt>
                <c:pt idx="287">
                  <c:v>41247</c:v>
                </c:pt>
                <c:pt idx="288">
                  <c:v>41248</c:v>
                </c:pt>
                <c:pt idx="289">
                  <c:v>41249</c:v>
                </c:pt>
                <c:pt idx="290">
                  <c:v>41250</c:v>
                </c:pt>
                <c:pt idx="291">
                  <c:v>41253</c:v>
                </c:pt>
                <c:pt idx="292">
                  <c:v>41254</c:v>
                </c:pt>
                <c:pt idx="293">
                  <c:v>41255</c:v>
                </c:pt>
                <c:pt idx="294">
                  <c:v>41256</c:v>
                </c:pt>
                <c:pt idx="295">
                  <c:v>41257</c:v>
                </c:pt>
                <c:pt idx="296">
                  <c:v>41260</c:v>
                </c:pt>
                <c:pt idx="297">
                  <c:v>41261</c:v>
                </c:pt>
                <c:pt idx="298">
                  <c:v>41262</c:v>
                </c:pt>
                <c:pt idx="299">
                  <c:v>41263</c:v>
                </c:pt>
                <c:pt idx="300">
                  <c:v>41264</c:v>
                </c:pt>
                <c:pt idx="301">
                  <c:v>41270</c:v>
                </c:pt>
                <c:pt idx="302">
                  <c:v>41271</c:v>
                </c:pt>
                <c:pt idx="303">
                  <c:v>41276</c:v>
                </c:pt>
                <c:pt idx="304">
                  <c:v>41277</c:v>
                </c:pt>
                <c:pt idx="305">
                  <c:v>41278</c:v>
                </c:pt>
                <c:pt idx="306">
                  <c:v>41281</c:v>
                </c:pt>
                <c:pt idx="307">
                  <c:v>41282</c:v>
                </c:pt>
                <c:pt idx="308">
                  <c:v>41283</c:v>
                </c:pt>
                <c:pt idx="309">
                  <c:v>41284</c:v>
                </c:pt>
                <c:pt idx="310">
                  <c:v>41285</c:v>
                </c:pt>
                <c:pt idx="311">
                  <c:v>41288</c:v>
                </c:pt>
                <c:pt idx="312">
                  <c:v>41289</c:v>
                </c:pt>
                <c:pt idx="313">
                  <c:v>41290</c:v>
                </c:pt>
                <c:pt idx="314">
                  <c:v>41291</c:v>
                </c:pt>
                <c:pt idx="315">
                  <c:v>41292</c:v>
                </c:pt>
                <c:pt idx="316">
                  <c:v>41295</c:v>
                </c:pt>
                <c:pt idx="317">
                  <c:v>41296</c:v>
                </c:pt>
                <c:pt idx="318">
                  <c:v>41297</c:v>
                </c:pt>
                <c:pt idx="319">
                  <c:v>41298</c:v>
                </c:pt>
                <c:pt idx="320">
                  <c:v>41299</c:v>
                </c:pt>
                <c:pt idx="321">
                  <c:v>41302</c:v>
                </c:pt>
                <c:pt idx="322">
                  <c:v>41303</c:v>
                </c:pt>
                <c:pt idx="323">
                  <c:v>41304</c:v>
                </c:pt>
                <c:pt idx="324">
                  <c:v>41305</c:v>
                </c:pt>
                <c:pt idx="325">
                  <c:v>41306</c:v>
                </c:pt>
                <c:pt idx="326">
                  <c:v>41309</c:v>
                </c:pt>
                <c:pt idx="327">
                  <c:v>41310</c:v>
                </c:pt>
                <c:pt idx="328">
                  <c:v>41311</c:v>
                </c:pt>
                <c:pt idx="329">
                  <c:v>41312</c:v>
                </c:pt>
                <c:pt idx="330">
                  <c:v>41313</c:v>
                </c:pt>
                <c:pt idx="331">
                  <c:v>41316</c:v>
                </c:pt>
                <c:pt idx="332">
                  <c:v>41317</c:v>
                </c:pt>
                <c:pt idx="333">
                  <c:v>41318</c:v>
                </c:pt>
                <c:pt idx="334">
                  <c:v>41319</c:v>
                </c:pt>
                <c:pt idx="335">
                  <c:v>41320</c:v>
                </c:pt>
                <c:pt idx="336">
                  <c:v>41323</c:v>
                </c:pt>
                <c:pt idx="337">
                  <c:v>41324</c:v>
                </c:pt>
                <c:pt idx="338">
                  <c:v>41325</c:v>
                </c:pt>
                <c:pt idx="339">
                  <c:v>41326</c:v>
                </c:pt>
                <c:pt idx="340">
                  <c:v>41327</c:v>
                </c:pt>
                <c:pt idx="341">
                  <c:v>41330</c:v>
                </c:pt>
                <c:pt idx="342">
                  <c:v>41331</c:v>
                </c:pt>
                <c:pt idx="343">
                  <c:v>41332</c:v>
                </c:pt>
                <c:pt idx="344">
                  <c:v>41333</c:v>
                </c:pt>
                <c:pt idx="345">
                  <c:v>41334</c:v>
                </c:pt>
                <c:pt idx="346">
                  <c:v>41337</c:v>
                </c:pt>
                <c:pt idx="347">
                  <c:v>41338</c:v>
                </c:pt>
                <c:pt idx="348">
                  <c:v>41339</c:v>
                </c:pt>
                <c:pt idx="349">
                  <c:v>41340</c:v>
                </c:pt>
                <c:pt idx="350">
                  <c:v>41341</c:v>
                </c:pt>
                <c:pt idx="351">
                  <c:v>41344</c:v>
                </c:pt>
                <c:pt idx="352">
                  <c:v>41345</c:v>
                </c:pt>
                <c:pt idx="353">
                  <c:v>41346</c:v>
                </c:pt>
                <c:pt idx="354">
                  <c:v>41347</c:v>
                </c:pt>
                <c:pt idx="355">
                  <c:v>41348</c:v>
                </c:pt>
                <c:pt idx="356">
                  <c:v>41351</c:v>
                </c:pt>
                <c:pt idx="357">
                  <c:v>41352</c:v>
                </c:pt>
                <c:pt idx="358">
                  <c:v>41353</c:v>
                </c:pt>
                <c:pt idx="359">
                  <c:v>41354</c:v>
                </c:pt>
                <c:pt idx="360">
                  <c:v>41355</c:v>
                </c:pt>
                <c:pt idx="361">
                  <c:v>41358</c:v>
                </c:pt>
                <c:pt idx="362">
                  <c:v>41359</c:v>
                </c:pt>
                <c:pt idx="363">
                  <c:v>41360</c:v>
                </c:pt>
                <c:pt idx="364">
                  <c:v>41361</c:v>
                </c:pt>
                <c:pt idx="365">
                  <c:v>41366</c:v>
                </c:pt>
                <c:pt idx="366">
                  <c:v>41367</c:v>
                </c:pt>
                <c:pt idx="367">
                  <c:v>41368</c:v>
                </c:pt>
                <c:pt idx="368">
                  <c:v>41369</c:v>
                </c:pt>
                <c:pt idx="369">
                  <c:v>41372</c:v>
                </c:pt>
                <c:pt idx="370">
                  <c:v>41373</c:v>
                </c:pt>
                <c:pt idx="371">
                  <c:v>41374</c:v>
                </c:pt>
                <c:pt idx="372">
                  <c:v>41375</c:v>
                </c:pt>
                <c:pt idx="373">
                  <c:v>41376</c:v>
                </c:pt>
                <c:pt idx="374">
                  <c:v>41379</c:v>
                </c:pt>
                <c:pt idx="375">
                  <c:v>41380</c:v>
                </c:pt>
                <c:pt idx="376">
                  <c:v>41381</c:v>
                </c:pt>
                <c:pt idx="377">
                  <c:v>41382</c:v>
                </c:pt>
                <c:pt idx="378">
                  <c:v>41383</c:v>
                </c:pt>
                <c:pt idx="379">
                  <c:v>41386</c:v>
                </c:pt>
                <c:pt idx="380">
                  <c:v>41387</c:v>
                </c:pt>
                <c:pt idx="381">
                  <c:v>41388</c:v>
                </c:pt>
                <c:pt idx="382">
                  <c:v>41389</c:v>
                </c:pt>
                <c:pt idx="383">
                  <c:v>41390</c:v>
                </c:pt>
                <c:pt idx="384">
                  <c:v>41393</c:v>
                </c:pt>
                <c:pt idx="385">
                  <c:v>41394</c:v>
                </c:pt>
                <c:pt idx="386">
                  <c:v>41396</c:v>
                </c:pt>
                <c:pt idx="387">
                  <c:v>41397</c:v>
                </c:pt>
                <c:pt idx="388">
                  <c:v>41400</c:v>
                </c:pt>
                <c:pt idx="389">
                  <c:v>41401</c:v>
                </c:pt>
                <c:pt idx="390">
                  <c:v>41402</c:v>
                </c:pt>
                <c:pt idx="391">
                  <c:v>41403</c:v>
                </c:pt>
                <c:pt idx="392">
                  <c:v>41404</c:v>
                </c:pt>
                <c:pt idx="393">
                  <c:v>41407</c:v>
                </c:pt>
                <c:pt idx="394">
                  <c:v>41408</c:v>
                </c:pt>
                <c:pt idx="395">
                  <c:v>41409</c:v>
                </c:pt>
                <c:pt idx="396">
                  <c:v>41410</c:v>
                </c:pt>
                <c:pt idx="397">
                  <c:v>41411</c:v>
                </c:pt>
                <c:pt idx="398">
                  <c:v>41414</c:v>
                </c:pt>
                <c:pt idx="399">
                  <c:v>41415</c:v>
                </c:pt>
                <c:pt idx="400">
                  <c:v>41416</c:v>
                </c:pt>
                <c:pt idx="401">
                  <c:v>41417</c:v>
                </c:pt>
                <c:pt idx="402">
                  <c:v>41418</c:v>
                </c:pt>
                <c:pt idx="403">
                  <c:v>41421</c:v>
                </c:pt>
                <c:pt idx="404">
                  <c:v>41422</c:v>
                </c:pt>
                <c:pt idx="405">
                  <c:v>41423</c:v>
                </c:pt>
                <c:pt idx="406">
                  <c:v>41424</c:v>
                </c:pt>
                <c:pt idx="407">
                  <c:v>41425</c:v>
                </c:pt>
                <c:pt idx="408">
                  <c:v>41428</c:v>
                </c:pt>
                <c:pt idx="409">
                  <c:v>41429</c:v>
                </c:pt>
                <c:pt idx="410">
                  <c:v>41430</c:v>
                </c:pt>
                <c:pt idx="411">
                  <c:v>41431</c:v>
                </c:pt>
                <c:pt idx="412">
                  <c:v>41432</c:v>
                </c:pt>
                <c:pt idx="413">
                  <c:v>41435</c:v>
                </c:pt>
                <c:pt idx="414">
                  <c:v>41436</c:v>
                </c:pt>
                <c:pt idx="415">
                  <c:v>41437</c:v>
                </c:pt>
                <c:pt idx="416">
                  <c:v>41438</c:v>
                </c:pt>
                <c:pt idx="417">
                  <c:v>41439</c:v>
                </c:pt>
                <c:pt idx="418">
                  <c:v>41442</c:v>
                </c:pt>
                <c:pt idx="419">
                  <c:v>41443</c:v>
                </c:pt>
                <c:pt idx="420">
                  <c:v>41444</c:v>
                </c:pt>
                <c:pt idx="421">
                  <c:v>41445</c:v>
                </c:pt>
                <c:pt idx="422">
                  <c:v>41446</c:v>
                </c:pt>
                <c:pt idx="423">
                  <c:v>41449</c:v>
                </c:pt>
                <c:pt idx="424">
                  <c:v>41450</c:v>
                </c:pt>
                <c:pt idx="425">
                  <c:v>41451</c:v>
                </c:pt>
                <c:pt idx="426">
                  <c:v>41452</c:v>
                </c:pt>
                <c:pt idx="427">
                  <c:v>41453</c:v>
                </c:pt>
                <c:pt idx="428">
                  <c:v>41456</c:v>
                </c:pt>
                <c:pt idx="429">
                  <c:v>41457</c:v>
                </c:pt>
                <c:pt idx="430">
                  <c:v>41458</c:v>
                </c:pt>
                <c:pt idx="431">
                  <c:v>41459</c:v>
                </c:pt>
                <c:pt idx="432">
                  <c:v>41460</c:v>
                </c:pt>
                <c:pt idx="433">
                  <c:v>41463</c:v>
                </c:pt>
                <c:pt idx="434">
                  <c:v>41464</c:v>
                </c:pt>
                <c:pt idx="435">
                  <c:v>41465</c:v>
                </c:pt>
                <c:pt idx="436">
                  <c:v>41466</c:v>
                </c:pt>
                <c:pt idx="437">
                  <c:v>41467</c:v>
                </c:pt>
                <c:pt idx="438">
                  <c:v>41470</c:v>
                </c:pt>
                <c:pt idx="439">
                  <c:v>41471</c:v>
                </c:pt>
                <c:pt idx="440">
                  <c:v>41472</c:v>
                </c:pt>
                <c:pt idx="441">
                  <c:v>41473</c:v>
                </c:pt>
                <c:pt idx="442">
                  <c:v>41474</c:v>
                </c:pt>
                <c:pt idx="443">
                  <c:v>41477</c:v>
                </c:pt>
                <c:pt idx="444">
                  <c:v>41478</c:v>
                </c:pt>
                <c:pt idx="445">
                  <c:v>41479</c:v>
                </c:pt>
                <c:pt idx="446">
                  <c:v>41480</c:v>
                </c:pt>
                <c:pt idx="447">
                  <c:v>41481</c:v>
                </c:pt>
                <c:pt idx="448">
                  <c:v>41484</c:v>
                </c:pt>
                <c:pt idx="449">
                  <c:v>41485</c:v>
                </c:pt>
                <c:pt idx="450">
                  <c:v>41486</c:v>
                </c:pt>
                <c:pt idx="451">
                  <c:v>41487</c:v>
                </c:pt>
                <c:pt idx="452">
                  <c:v>41488</c:v>
                </c:pt>
                <c:pt idx="453">
                  <c:v>41491</c:v>
                </c:pt>
                <c:pt idx="454">
                  <c:v>41492</c:v>
                </c:pt>
                <c:pt idx="455">
                  <c:v>41493</c:v>
                </c:pt>
                <c:pt idx="456">
                  <c:v>41494</c:v>
                </c:pt>
                <c:pt idx="457">
                  <c:v>41495</c:v>
                </c:pt>
                <c:pt idx="458">
                  <c:v>41498</c:v>
                </c:pt>
                <c:pt idx="459">
                  <c:v>41499</c:v>
                </c:pt>
                <c:pt idx="460">
                  <c:v>41500</c:v>
                </c:pt>
                <c:pt idx="461">
                  <c:v>41501</c:v>
                </c:pt>
                <c:pt idx="462">
                  <c:v>41502</c:v>
                </c:pt>
                <c:pt idx="463">
                  <c:v>41505</c:v>
                </c:pt>
                <c:pt idx="464">
                  <c:v>41506</c:v>
                </c:pt>
                <c:pt idx="465">
                  <c:v>41507</c:v>
                </c:pt>
                <c:pt idx="466">
                  <c:v>41508</c:v>
                </c:pt>
                <c:pt idx="467">
                  <c:v>41509</c:v>
                </c:pt>
                <c:pt idx="468">
                  <c:v>41512</c:v>
                </c:pt>
                <c:pt idx="469">
                  <c:v>41513</c:v>
                </c:pt>
                <c:pt idx="470">
                  <c:v>41514</c:v>
                </c:pt>
                <c:pt idx="471">
                  <c:v>41515</c:v>
                </c:pt>
                <c:pt idx="472">
                  <c:v>41516</c:v>
                </c:pt>
                <c:pt idx="473">
                  <c:v>41519</c:v>
                </c:pt>
                <c:pt idx="474">
                  <c:v>41520</c:v>
                </c:pt>
                <c:pt idx="475">
                  <c:v>41521</c:v>
                </c:pt>
                <c:pt idx="476">
                  <c:v>41522</c:v>
                </c:pt>
                <c:pt idx="477">
                  <c:v>41523</c:v>
                </c:pt>
                <c:pt idx="478">
                  <c:v>41526</c:v>
                </c:pt>
                <c:pt idx="479">
                  <c:v>41527</c:v>
                </c:pt>
                <c:pt idx="480">
                  <c:v>41528</c:v>
                </c:pt>
                <c:pt idx="481">
                  <c:v>41529</c:v>
                </c:pt>
                <c:pt idx="482">
                  <c:v>41530</c:v>
                </c:pt>
                <c:pt idx="483">
                  <c:v>41533</c:v>
                </c:pt>
                <c:pt idx="484">
                  <c:v>41534</c:v>
                </c:pt>
                <c:pt idx="485">
                  <c:v>41535</c:v>
                </c:pt>
                <c:pt idx="486">
                  <c:v>41536</c:v>
                </c:pt>
                <c:pt idx="487">
                  <c:v>41537</c:v>
                </c:pt>
                <c:pt idx="488">
                  <c:v>41540</c:v>
                </c:pt>
                <c:pt idx="489">
                  <c:v>41541</c:v>
                </c:pt>
                <c:pt idx="490">
                  <c:v>41542</c:v>
                </c:pt>
                <c:pt idx="491">
                  <c:v>41543</c:v>
                </c:pt>
                <c:pt idx="492">
                  <c:v>41544</c:v>
                </c:pt>
                <c:pt idx="493">
                  <c:v>41547</c:v>
                </c:pt>
                <c:pt idx="494">
                  <c:v>41548</c:v>
                </c:pt>
                <c:pt idx="495">
                  <c:v>41549</c:v>
                </c:pt>
                <c:pt idx="496">
                  <c:v>41550</c:v>
                </c:pt>
                <c:pt idx="497">
                  <c:v>41551</c:v>
                </c:pt>
                <c:pt idx="498">
                  <c:v>41554</c:v>
                </c:pt>
                <c:pt idx="499">
                  <c:v>41555</c:v>
                </c:pt>
                <c:pt idx="500">
                  <c:v>41556</c:v>
                </c:pt>
                <c:pt idx="501">
                  <c:v>41557</c:v>
                </c:pt>
                <c:pt idx="502">
                  <c:v>41558</c:v>
                </c:pt>
                <c:pt idx="503">
                  <c:v>41561</c:v>
                </c:pt>
                <c:pt idx="504">
                  <c:v>41562</c:v>
                </c:pt>
                <c:pt idx="505">
                  <c:v>41563</c:v>
                </c:pt>
                <c:pt idx="506">
                  <c:v>41564</c:v>
                </c:pt>
                <c:pt idx="507">
                  <c:v>41565</c:v>
                </c:pt>
                <c:pt idx="508">
                  <c:v>41568</c:v>
                </c:pt>
                <c:pt idx="509">
                  <c:v>41569</c:v>
                </c:pt>
                <c:pt idx="510">
                  <c:v>41570</c:v>
                </c:pt>
                <c:pt idx="511">
                  <c:v>41571</c:v>
                </c:pt>
                <c:pt idx="512">
                  <c:v>41572</c:v>
                </c:pt>
                <c:pt idx="513">
                  <c:v>41575</c:v>
                </c:pt>
                <c:pt idx="514">
                  <c:v>41576</c:v>
                </c:pt>
                <c:pt idx="515">
                  <c:v>41577</c:v>
                </c:pt>
                <c:pt idx="516">
                  <c:v>41578</c:v>
                </c:pt>
                <c:pt idx="517">
                  <c:v>41579</c:v>
                </c:pt>
                <c:pt idx="518">
                  <c:v>41582</c:v>
                </c:pt>
                <c:pt idx="519">
                  <c:v>41583</c:v>
                </c:pt>
                <c:pt idx="520">
                  <c:v>41584</c:v>
                </c:pt>
                <c:pt idx="521">
                  <c:v>41585</c:v>
                </c:pt>
                <c:pt idx="522">
                  <c:v>41586</c:v>
                </c:pt>
                <c:pt idx="523">
                  <c:v>41589</c:v>
                </c:pt>
                <c:pt idx="524">
                  <c:v>41590</c:v>
                </c:pt>
                <c:pt idx="525">
                  <c:v>41591</c:v>
                </c:pt>
                <c:pt idx="526">
                  <c:v>41592</c:v>
                </c:pt>
                <c:pt idx="527">
                  <c:v>41593</c:v>
                </c:pt>
                <c:pt idx="528">
                  <c:v>41596</c:v>
                </c:pt>
                <c:pt idx="529">
                  <c:v>41597</c:v>
                </c:pt>
                <c:pt idx="530">
                  <c:v>41598</c:v>
                </c:pt>
                <c:pt idx="531">
                  <c:v>41599</c:v>
                </c:pt>
                <c:pt idx="532">
                  <c:v>41600</c:v>
                </c:pt>
                <c:pt idx="533">
                  <c:v>41603</c:v>
                </c:pt>
                <c:pt idx="534">
                  <c:v>41604</c:v>
                </c:pt>
                <c:pt idx="535">
                  <c:v>41605</c:v>
                </c:pt>
                <c:pt idx="536">
                  <c:v>41606</c:v>
                </c:pt>
                <c:pt idx="537">
                  <c:v>41607</c:v>
                </c:pt>
                <c:pt idx="538">
                  <c:v>41610</c:v>
                </c:pt>
                <c:pt idx="539">
                  <c:v>41611</c:v>
                </c:pt>
                <c:pt idx="540">
                  <c:v>41612</c:v>
                </c:pt>
                <c:pt idx="541">
                  <c:v>41613</c:v>
                </c:pt>
                <c:pt idx="542">
                  <c:v>41614</c:v>
                </c:pt>
                <c:pt idx="543">
                  <c:v>41617</c:v>
                </c:pt>
                <c:pt idx="544">
                  <c:v>41618</c:v>
                </c:pt>
                <c:pt idx="545">
                  <c:v>41619</c:v>
                </c:pt>
                <c:pt idx="546">
                  <c:v>41620</c:v>
                </c:pt>
                <c:pt idx="547">
                  <c:v>41621</c:v>
                </c:pt>
                <c:pt idx="548">
                  <c:v>41624</c:v>
                </c:pt>
                <c:pt idx="549">
                  <c:v>41625</c:v>
                </c:pt>
                <c:pt idx="550">
                  <c:v>41626</c:v>
                </c:pt>
                <c:pt idx="551">
                  <c:v>41627</c:v>
                </c:pt>
                <c:pt idx="552">
                  <c:v>41628</c:v>
                </c:pt>
                <c:pt idx="553">
                  <c:v>41631</c:v>
                </c:pt>
                <c:pt idx="554">
                  <c:v>41632</c:v>
                </c:pt>
                <c:pt idx="555">
                  <c:v>41635</c:v>
                </c:pt>
                <c:pt idx="556">
                  <c:v>41638</c:v>
                </c:pt>
                <c:pt idx="557">
                  <c:v>41639</c:v>
                </c:pt>
                <c:pt idx="558">
                  <c:v>41641</c:v>
                </c:pt>
                <c:pt idx="559">
                  <c:v>41642</c:v>
                </c:pt>
                <c:pt idx="560">
                  <c:v>41645</c:v>
                </c:pt>
                <c:pt idx="561">
                  <c:v>41646</c:v>
                </c:pt>
                <c:pt idx="562">
                  <c:v>41647</c:v>
                </c:pt>
                <c:pt idx="563">
                  <c:v>41648</c:v>
                </c:pt>
                <c:pt idx="564">
                  <c:v>41649</c:v>
                </c:pt>
                <c:pt idx="565">
                  <c:v>41652</c:v>
                </c:pt>
                <c:pt idx="566">
                  <c:v>41653</c:v>
                </c:pt>
                <c:pt idx="567">
                  <c:v>41654</c:v>
                </c:pt>
                <c:pt idx="568">
                  <c:v>41655</c:v>
                </c:pt>
                <c:pt idx="569">
                  <c:v>41656</c:v>
                </c:pt>
                <c:pt idx="570">
                  <c:v>41659</c:v>
                </c:pt>
                <c:pt idx="571">
                  <c:v>41660</c:v>
                </c:pt>
                <c:pt idx="572">
                  <c:v>41661</c:v>
                </c:pt>
                <c:pt idx="573">
                  <c:v>41662</c:v>
                </c:pt>
                <c:pt idx="574">
                  <c:v>41663</c:v>
                </c:pt>
                <c:pt idx="575">
                  <c:v>41666</c:v>
                </c:pt>
                <c:pt idx="576">
                  <c:v>41667</c:v>
                </c:pt>
                <c:pt idx="577">
                  <c:v>41668</c:v>
                </c:pt>
                <c:pt idx="578">
                  <c:v>41669</c:v>
                </c:pt>
                <c:pt idx="579">
                  <c:v>41670</c:v>
                </c:pt>
                <c:pt idx="580">
                  <c:v>41673</c:v>
                </c:pt>
                <c:pt idx="581">
                  <c:v>41674</c:v>
                </c:pt>
                <c:pt idx="582">
                  <c:v>41675</c:v>
                </c:pt>
                <c:pt idx="583">
                  <c:v>41676</c:v>
                </c:pt>
                <c:pt idx="584">
                  <c:v>41677</c:v>
                </c:pt>
                <c:pt idx="585">
                  <c:v>41680</c:v>
                </c:pt>
                <c:pt idx="586">
                  <c:v>41681</c:v>
                </c:pt>
                <c:pt idx="587">
                  <c:v>41682</c:v>
                </c:pt>
                <c:pt idx="588">
                  <c:v>41683</c:v>
                </c:pt>
                <c:pt idx="589">
                  <c:v>41684</c:v>
                </c:pt>
                <c:pt idx="590">
                  <c:v>41687</c:v>
                </c:pt>
                <c:pt idx="591">
                  <c:v>41688</c:v>
                </c:pt>
                <c:pt idx="592">
                  <c:v>41689</c:v>
                </c:pt>
                <c:pt idx="593">
                  <c:v>41690</c:v>
                </c:pt>
                <c:pt idx="594">
                  <c:v>41691</c:v>
                </c:pt>
                <c:pt idx="595">
                  <c:v>41694</c:v>
                </c:pt>
                <c:pt idx="596">
                  <c:v>41695</c:v>
                </c:pt>
                <c:pt idx="597">
                  <c:v>41696</c:v>
                </c:pt>
                <c:pt idx="598">
                  <c:v>41697</c:v>
                </c:pt>
                <c:pt idx="599">
                  <c:v>41698</c:v>
                </c:pt>
                <c:pt idx="600">
                  <c:v>41701</c:v>
                </c:pt>
                <c:pt idx="601">
                  <c:v>41702</c:v>
                </c:pt>
                <c:pt idx="602">
                  <c:v>41703</c:v>
                </c:pt>
                <c:pt idx="603">
                  <c:v>41704</c:v>
                </c:pt>
                <c:pt idx="604">
                  <c:v>41705</c:v>
                </c:pt>
                <c:pt idx="605">
                  <c:v>41708</c:v>
                </c:pt>
                <c:pt idx="606">
                  <c:v>41709</c:v>
                </c:pt>
                <c:pt idx="607">
                  <c:v>41710</c:v>
                </c:pt>
                <c:pt idx="608">
                  <c:v>41711</c:v>
                </c:pt>
                <c:pt idx="609">
                  <c:v>41712</c:v>
                </c:pt>
                <c:pt idx="610">
                  <c:v>41715</c:v>
                </c:pt>
                <c:pt idx="611">
                  <c:v>41716</c:v>
                </c:pt>
                <c:pt idx="612">
                  <c:v>41717</c:v>
                </c:pt>
                <c:pt idx="613">
                  <c:v>41718</c:v>
                </c:pt>
                <c:pt idx="614">
                  <c:v>41719</c:v>
                </c:pt>
                <c:pt idx="615">
                  <c:v>41722</c:v>
                </c:pt>
                <c:pt idx="616">
                  <c:v>41723</c:v>
                </c:pt>
                <c:pt idx="617">
                  <c:v>41724</c:v>
                </c:pt>
                <c:pt idx="618">
                  <c:v>41725</c:v>
                </c:pt>
                <c:pt idx="619">
                  <c:v>41726</c:v>
                </c:pt>
                <c:pt idx="620">
                  <c:v>41729</c:v>
                </c:pt>
                <c:pt idx="621">
                  <c:v>41730</c:v>
                </c:pt>
                <c:pt idx="622">
                  <c:v>41731</c:v>
                </c:pt>
                <c:pt idx="623">
                  <c:v>41732</c:v>
                </c:pt>
                <c:pt idx="624">
                  <c:v>41733</c:v>
                </c:pt>
                <c:pt idx="625">
                  <c:v>41736</c:v>
                </c:pt>
                <c:pt idx="626">
                  <c:v>41737</c:v>
                </c:pt>
                <c:pt idx="627">
                  <c:v>41738</c:v>
                </c:pt>
                <c:pt idx="628">
                  <c:v>41739</c:v>
                </c:pt>
                <c:pt idx="629">
                  <c:v>41740</c:v>
                </c:pt>
                <c:pt idx="630">
                  <c:v>41743</c:v>
                </c:pt>
                <c:pt idx="631">
                  <c:v>41744</c:v>
                </c:pt>
                <c:pt idx="632">
                  <c:v>41745</c:v>
                </c:pt>
                <c:pt idx="633">
                  <c:v>41746</c:v>
                </c:pt>
                <c:pt idx="634">
                  <c:v>41751</c:v>
                </c:pt>
                <c:pt idx="635">
                  <c:v>41752</c:v>
                </c:pt>
                <c:pt idx="636">
                  <c:v>41753</c:v>
                </c:pt>
                <c:pt idx="637">
                  <c:v>41754</c:v>
                </c:pt>
                <c:pt idx="638">
                  <c:v>41757</c:v>
                </c:pt>
                <c:pt idx="639">
                  <c:v>41758</c:v>
                </c:pt>
                <c:pt idx="640">
                  <c:v>41759</c:v>
                </c:pt>
                <c:pt idx="641">
                  <c:v>41760</c:v>
                </c:pt>
                <c:pt idx="642">
                  <c:v>41761</c:v>
                </c:pt>
                <c:pt idx="643">
                  <c:v>41764</c:v>
                </c:pt>
                <c:pt idx="644">
                  <c:v>41765</c:v>
                </c:pt>
                <c:pt idx="645">
                  <c:v>41766</c:v>
                </c:pt>
                <c:pt idx="646">
                  <c:v>41767</c:v>
                </c:pt>
                <c:pt idx="647">
                  <c:v>41768</c:v>
                </c:pt>
                <c:pt idx="648">
                  <c:v>41771</c:v>
                </c:pt>
                <c:pt idx="649">
                  <c:v>41772</c:v>
                </c:pt>
                <c:pt idx="650">
                  <c:v>41773</c:v>
                </c:pt>
                <c:pt idx="651">
                  <c:v>41774</c:v>
                </c:pt>
                <c:pt idx="652">
                  <c:v>41775</c:v>
                </c:pt>
                <c:pt idx="653">
                  <c:v>41778</c:v>
                </c:pt>
                <c:pt idx="654">
                  <c:v>41779</c:v>
                </c:pt>
                <c:pt idx="655">
                  <c:v>41780</c:v>
                </c:pt>
                <c:pt idx="656">
                  <c:v>41781</c:v>
                </c:pt>
                <c:pt idx="657">
                  <c:v>41782</c:v>
                </c:pt>
                <c:pt idx="658">
                  <c:v>41785</c:v>
                </c:pt>
                <c:pt idx="659">
                  <c:v>41786</c:v>
                </c:pt>
                <c:pt idx="660">
                  <c:v>41787</c:v>
                </c:pt>
                <c:pt idx="661">
                  <c:v>41788</c:v>
                </c:pt>
                <c:pt idx="662">
                  <c:v>41789</c:v>
                </c:pt>
                <c:pt idx="663">
                  <c:v>41792</c:v>
                </c:pt>
                <c:pt idx="664">
                  <c:v>41793</c:v>
                </c:pt>
                <c:pt idx="665">
                  <c:v>41794</c:v>
                </c:pt>
                <c:pt idx="666">
                  <c:v>41795</c:v>
                </c:pt>
                <c:pt idx="667">
                  <c:v>41796</c:v>
                </c:pt>
                <c:pt idx="668">
                  <c:v>41799</c:v>
                </c:pt>
                <c:pt idx="669">
                  <c:v>41800</c:v>
                </c:pt>
                <c:pt idx="670">
                  <c:v>41801</c:v>
                </c:pt>
                <c:pt idx="671">
                  <c:v>41802</c:v>
                </c:pt>
                <c:pt idx="672">
                  <c:v>41803</c:v>
                </c:pt>
                <c:pt idx="673">
                  <c:v>41806</c:v>
                </c:pt>
                <c:pt idx="674">
                  <c:v>41807</c:v>
                </c:pt>
                <c:pt idx="675">
                  <c:v>41808</c:v>
                </c:pt>
                <c:pt idx="676">
                  <c:v>41809</c:v>
                </c:pt>
                <c:pt idx="677">
                  <c:v>41810</c:v>
                </c:pt>
                <c:pt idx="678">
                  <c:v>41813</c:v>
                </c:pt>
                <c:pt idx="679">
                  <c:v>41814</c:v>
                </c:pt>
                <c:pt idx="680">
                  <c:v>41815</c:v>
                </c:pt>
                <c:pt idx="681">
                  <c:v>41816</c:v>
                </c:pt>
                <c:pt idx="682">
                  <c:v>41817</c:v>
                </c:pt>
                <c:pt idx="683">
                  <c:v>41820</c:v>
                </c:pt>
                <c:pt idx="684">
                  <c:v>41821</c:v>
                </c:pt>
                <c:pt idx="685">
                  <c:v>41822</c:v>
                </c:pt>
                <c:pt idx="686">
                  <c:v>41823</c:v>
                </c:pt>
                <c:pt idx="687">
                  <c:v>41824</c:v>
                </c:pt>
                <c:pt idx="688">
                  <c:v>41827</c:v>
                </c:pt>
                <c:pt idx="689">
                  <c:v>41828</c:v>
                </c:pt>
                <c:pt idx="690">
                  <c:v>41829</c:v>
                </c:pt>
                <c:pt idx="691">
                  <c:v>41830</c:v>
                </c:pt>
                <c:pt idx="692">
                  <c:v>41831</c:v>
                </c:pt>
                <c:pt idx="693">
                  <c:v>41834</c:v>
                </c:pt>
                <c:pt idx="694">
                  <c:v>41835</c:v>
                </c:pt>
                <c:pt idx="695">
                  <c:v>41836</c:v>
                </c:pt>
                <c:pt idx="696">
                  <c:v>41837</c:v>
                </c:pt>
                <c:pt idx="697">
                  <c:v>41838</c:v>
                </c:pt>
                <c:pt idx="698">
                  <c:v>41841</c:v>
                </c:pt>
                <c:pt idx="699">
                  <c:v>41842</c:v>
                </c:pt>
                <c:pt idx="700">
                  <c:v>41843</c:v>
                </c:pt>
                <c:pt idx="701">
                  <c:v>41844</c:v>
                </c:pt>
                <c:pt idx="702">
                  <c:v>41845</c:v>
                </c:pt>
                <c:pt idx="703">
                  <c:v>41848</c:v>
                </c:pt>
                <c:pt idx="704">
                  <c:v>41849</c:v>
                </c:pt>
                <c:pt idx="705">
                  <c:v>41850</c:v>
                </c:pt>
                <c:pt idx="706">
                  <c:v>41851</c:v>
                </c:pt>
                <c:pt idx="707">
                  <c:v>41852</c:v>
                </c:pt>
                <c:pt idx="708">
                  <c:v>41855</c:v>
                </c:pt>
                <c:pt idx="709">
                  <c:v>41856</c:v>
                </c:pt>
                <c:pt idx="710">
                  <c:v>41857</c:v>
                </c:pt>
                <c:pt idx="711">
                  <c:v>41858</c:v>
                </c:pt>
                <c:pt idx="712">
                  <c:v>41859</c:v>
                </c:pt>
                <c:pt idx="713">
                  <c:v>41862</c:v>
                </c:pt>
                <c:pt idx="714">
                  <c:v>41863</c:v>
                </c:pt>
                <c:pt idx="715">
                  <c:v>41864</c:v>
                </c:pt>
                <c:pt idx="716">
                  <c:v>41865</c:v>
                </c:pt>
                <c:pt idx="717">
                  <c:v>41866</c:v>
                </c:pt>
                <c:pt idx="718">
                  <c:v>41869</c:v>
                </c:pt>
                <c:pt idx="719">
                  <c:v>41870</c:v>
                </c:pt>
                <c:pt idx="720">
                  <c:v>41871</c:v>
                </c:pt>
                <c:pt idx="721">
                  <c:v>41872</c:v>
                </c:pt>
                <c:pt idx="722">
                  <c:v>41873</c:v>
                </c:pt>
                <c:pt idx="723">
                  <c:v>41876</c:v>
                </c:pt>
                <c:pt idx="724">
                  <c:v>41877</c:v>
                </c:pt>
                <c:pt idx="725">
                  <c:v>41878</c:v>
                </c:pt>
                <c:pt idx="726">
                  <c:v>41879</c:v>
                </c:pt>
                <c:pt idx="727">
                  <c:v>41880</c:v>
                </c:pt>
                <c:pt idx="728">
                  <c:v>41883</c:v>
                </c:pt>
                <c:pt idx="729">
                  <c:v>41884</c:v>
                </c:pt>
                <c:pt idx="730">
                  <c:v>41885</c:v>
                </c:pt>
                <c:pt idx="731">
                  <c:v>41886</c:v>
                </c:pt>
                <c:pt idx="732">
                  <c:v>41887</c:v>
                </c:pt>
                <c:pt idx="733">
                  <c:v>41890</c:v>
                </c:pt>
                <c:pt idx="734">
                  <c:v>41891</c:v>
                </c:pt>
                <c:pt idx="735">
                  <c:v>41892</c:v>
                </c:pt>
                <c:pt idx="736">
                  <c:v>41893</c:v>
                </c:pt>
                <c:pt idx="737">
                  <c:v>41894</c:v>
                </c:pt>
                <c:pt idx="738">
                  <c:v>41897</c:v>
                </c:pt>
                <c:pt idx="739">
                  <c:v>41898</c:v>
                </c:pt>
                <c:pt idx="740">
                  <c:v>41899</c:v>
                </c:pt>
                <c:pt idx="741">
                  <c:v>41900</c:v>
                </c:pt>
                <c:pt idx="742">
                  <c:v>41901</c:v>
                </c:pt>
                <c:pt idx="743">
                  <c:v>41904</c:v>
                </c:pt>
                <c:pt idx="744">
                  <c:v>41905</c:v>
                </c:pt>
                <c:pt idx="745">
                  <c:v>41906</c:v>
                </c:pt>
                <c:pt idx="746">
                  <c:v>41907</c:v>
                </c:pt>
                <c:pt idx="747">
                  <c:v>41908</c:v>
                </c:pt>
                <c:pt idx="748">
                  <c:v>41911</c:v>
                </c:pt>
                <c:pt idx="749">
                  <c:v>41912</c:v>
                </c:pt>
                <c:pt idx="750">
                  <c:v>41913</c:v>
                </c:pt>
                <c:pt idx="751">
                  <c:v>41914</c:v>
                </c:pt>
                <c:pt idx="752">
                  <c:v>41915</c:v>
                </c:pt>
                <c:pt idx="753">
                  <c:v>41918</c:v>
                </c:pt>
                <c:pt idx="754">
                  <c:v>41919</c:v>
                </c:pt>
                <c:pt idx="755">
                  <c:v>41920</c:v>
                </c:pt>
                <c:pt idx="756">
                  <c:v>41921</c:v>
                </c:pt>
                <c:pt idx="757">
                  <c:v>41922</c:v>
                </c:pt>
                <c:pt idx="758">
                  <c:v>41925</c:v>
                </c:pt>
                <c:pt idx="759">
                  <c:v>41926</c:v>
                </c:pt>
                <c:pt idx="760">
                  <c:v>41927</c:v>
                </c:pt>
                <c:pt idx="761">
                  <c:v>41928</c:v>
                </c:pt>
                <c:pt idx="762">
                  <c:v>41929</c:v>
                </c:pt>
                <c:pt idx="763">
                  <c:v>41932</c:v>
                </c:pt>
                <c:pt idx="764">
                  <c:v>41933</c:v>
                </c:pt>
                <c:pt idx="765">
                  <c:v>41934</c:v>
                </c:pt>
                <c:pt idx="766">
                  <c:v>41935</c:v>
                </c:pt>
                <c:pt idx="767">
                  <c:v>41936</c:v>
                </c:pt>
                <c:pt idx="768">
                  <c:v>41939</c:v>
                </c:pt>
                <c:pt idx="769">
                  <c:v>41940</c:v>
                </c:pt>
                <c:pt idx="770">
                  <c:v>41941</c:v>
                </c:pt>
                <c:pt idx="771">
                  <c:v>41942</c:v>
                </c:pt>
                <c:pt idx="772">
                  <c:v>41943</c:v>
                </c:pt>
                <c:pt idx="773">
                  <c:v>41946</c:v>
                </c:pt>
                <c:pt idx="774">
                  <c:v>41947</c:v>
                </c:pt>
                <c:pt idx="775">
                  <c:v>41948</c:v>
                </c:pt>
                <c:pt idx="776">
                  <c:v>41949</c:v>
                </c:pt>
                <c:pt idx="777">
                  <c:v>41950</c:v>
                </c:pt>
                <c:pt idx="778">
                  <c:v>41953</c:v>
                </c:pt>
                <c:pt idx="779">
                  <c:v>41954</c:v>
                </c:pt>
                <c:pt idx="780">
                  <c:v>41955</c:v>
                </c:pt>
                <c:pt idx="781">
                  <c:v>41956</c:v>
                </c:pt>
                <c:pt idx="782">
                  <c:v>41957</c:v>
                </c:pt>
                <c:pt idx="783">
                  <c:v>41960</c:v>
                </c:pt>
                <c:pt idx="784">
                  <c:v>41961</c:v>
                </c:pt>
                <c:pt idx="785">
                  <c:v>41962</c:v>
                </c:pt>
                <c:pt idx="786">
                  <c:v>41963</c:v>
                </c:pt>
                <c:pt idx="787">
                  <c:v>41964</c:v>
                </c:pt>
                <c:pt idx="788">
                  <c:v>41967</c:v>
                </c:pt>
                <c:pt idx="789">
                  <c:v>41968</c:v>
                </c:pt>
                <c:pt idx="790">
                  <c:v>41969</c:v>
                </c:pt>
                <c:pt idx="791">
                  <c:v>41970</c:v>
                </c:pt>
                <c:pt idx="792">
                  <c:v>41971</c:v>
                </c:pt>
                <c:pt idx="793">
                  <c:v>41974</c:v>
                </c:pt>
                <c:pt idx="794">
                  <c:v>41975</c:v>
                </c:pt>
                <c:pt idx="795">
                  <c:v>41976</c:v>
                </c:pt>
                <c:pt idx="796">
                  <c:v>41977</c:v>
                </c:pt>
                <c:pt idx="797">
                  <c:v>41978</c:v>
                </c:pt>
                <c:pt idx="798">
                  <c:v>41981</c:v>
                </c:pt>
                <c:pt idx="799">
                  <c:v>41982</c:v>
                </c:pt>
                <c:pt idx="800">
                  <c:v>41983</c:v>
                </c:pt>
                <c:pt idx="801">
                  <c:v>41984</c:v>
                </c:pt>
                <c:pt idx="802">
                  <c:v>41985</c:v>
                </c:pt>
                <c:pt idx="803">
                  <c:v>41988</c:v>
                </c:pt>
                <c:pt idx="804">
                  <c:v>41989</c:v>
                </c:pt>
                <c:pt idx="805">
                  <c:v>41990</c:v>
                </c:pt>
                <c:pt idx="806">
                  <c:v>41991</c:v>
                </c:pt>
                <c:pt idx="807">
                  <c:v>41992</c:v>
                </c:pt>
                <c:pt idx="808">
                  <c:v>41995</c:v>
                </c:pt>
                <c:pt idx="809">
                  <c:v>41996</c:v>
                </c:pt>
                <c:pt idx="810">
                  <c:v>41997</c:v>
                </c:pt>
                <c:pt idx="811">
                  <c:v>42002</c:v>
                </c:pt>
                <c:pt idx="812">
                  <c:v>42003</c:v>
                </c:pt>
                <c:pt idx="813">
                  <c:v>42004</c:v>
                </c:pt>
                <c:pt idx="814">
                  <c:v>42006</c:v>
                </c:pt>
                <c:pt idx="815">
                  <c:v>42009</c:v>
                </c:pt>
                <c:pt idx="816">
                  <c:v>42010</c:v>
                </c:pt>
                <c:pt idx="817">
                  <c:v>42011</c:v>
                </c:pt>
                <c:pt idx="818">
                  <c:v>42012</c:v>
                </c:pt>
                <c:pt idx="819">
                  <c:v>42013</c:v>
                </c:pt>
                <c:pt idx="820">
                  <c:v>42016</c:v>
                </c:pt>
                <c:pt idx="821">
                  <c:v>42017</c:v>
                </c:pt>
                <c:pt idx="822">
                  <c:v>42018</c:v>
                </c:pt>
                <c:pt idx="823">
                  <c:v>42019</c:v>
                </c:pt>
                <c:pt idx="824">
                  <c:v>42020</c:v>
                </c:pt>
                <c:pt idx="825">
                  <c:v>42023</c:v>
                </c:pt>
                <c:pt idx="826">
                  <c:v>42024</c:v>
                </c:pt>
                <c:pt idx="827">
                  <c:v>42025</c:v>
                </c:pt>
                <c:pt idx="828">
                  <c:v>42026</c:v>
                </c:pt>
                <c:pt idx="829">
                  <c:v>42027</c:v>
                </c:pt>
                <c:pt idx="830">
                  <c:v>42030</c:v>
                </c:pt>
                <c:pt idx="831">
                  <c:v>42031</c:v>
                </c:pt>
                <c:pt idx="832">
                  <c:v>42032</c:v>
                </c:pt>
                <c:pt idx="833">
                  <c:v>42033</c:v>
                </c:pt>
                <c:pt idx="834">
                  <c:v>42034</c:v>
                </c:pt>
                <c:pt idx="835">
                  <c:v>42037</c:v>
                </c:pt>
                <c:pt idx="836">
                  <c:v>42038</c:v>
                </c:pt>
                <c:pt idx="837">
                  <c:v>42039</c:v>
                </c:pt>
                <c:pt idx="838">
                  <c:v>42040</c:v>
                </c:pt>
                <c:pt idx="839">
                  <c:v>42041</c:v>
                </c:pt>
                <c:pt idx="840">
                  <c:v>42044</c:v>
                </c:pt>
                <c:pt idx="841">
                  <c:v>42045</c:v>
                </c:pt>
                <c:pt idx="842">
                  <c:v>42046</c:v>
                </c:pt>
                <c:pt idx="843">
                  <c:v>42047</c:v>
                </c:pt>
                <c:pt idx="844">
                  <c:v>42048</c:v>
                </c:pt>
                <c:pt idx="845">
                  <c:v>42051</c:v>
                </c:pt>
                <c:pt idx="846">
                  <c:v>42052</c:v>
                </c:pt>
                <c:pt idx="847">
                  <c:v>42053</c:v>
                </c:pt>
                <c:pt idx="848">
                  <c:v>42054</c:v>
                </c:pt>
                <c:pt idx="849">
                  <c:v>42055</c:v>
                </c:pt>
                <c:pt idx="850">
                  <c:v>42058</c:v>
                </c:pt>
                <c:pt idx="851">
                  <c:v>42059</c:v>
                </c:pt>
                <c:pt idx="852">
                  <c:v>42060</c:v>
                </c:pt>
                <c:pt idx="853">
                  <c:v>42061</c:v>
                </c:pt>
                <c:pt idx="854">
                  <c:v>42062</c:v>
                </c:pt>
                <c:pt idx="855">
                  <c:v>42065</c:v>
                </c:pt>
                <c:pt idx="856">
                  <c:v>42066</c:v>
                </c:pt>
                <c:pt idx="857">
                  <c:v>42067</c:v>
                </c:pt>
                <c:pt idx="858">
                  <c:v>42068</c:v>
                </c:pt>
                <c:pt idx="859">
                  <c:v>42069</c:v>
                </c:pt>
                <c:pt idx="860">
                  <c:v>42072</c:v>
                </c:pt>
                <c:pt idx="861">
                  <c:v>42073</c:v>
                </c:pt>
                <c:pt idx="862">
                  <c:v>42074</c:v>
                </c:pt>
                <c:pt idx="863">
                  <c:v>42075</c:v>
                </c:pt>
                <c:pt idx="864">
                  <c:v>42076</c:v>
                </c:pt>
                <c:pt idx="865">
                  <c:v>42079</c:v>
                </c:pt>
                <c:pt idx="866">
                  <c:v>42080</c:v>
                </c:pt>
                <c:pt idx="867">
                  <c:v>42081</c:v>
                </c:pt>
                <c:pt idx="868">
                  <c:v>42082</c:v>
                </c:pt>
                <c:pt idx="869">
                  <c:v>42083</c:v>
                </c:pt>
                <c:pt idx="870">
                  <c:v>42086</c:v>
                </c:pt>
                <c:pt idx="871">
                  <c:v>42087</c:v>
                </c:pt>
                <c:pt idx="872">
                  <c:v>42088</c:v>
                </c:pt>
                <c:pt idx="873">
                  <c:v>42089</c:v>
                </c:pt>
                <c:pt idx="874">
                  <c:v>42090</c:v>
                </c:pt>
                <c:pt idx="875">
                  <c:v>42093</c:v>
                </c:pt>
                <c:pt idx="876">
                  <c:v>42094</c:v>
                </c:pt>
                <c:pt idx="877">
                  <c:v>42095</c:v>
                </c:pt>
                <c:pt idx="878">
                  <c:v>42096</c:v>
                </c:pt>
                <c:pt idx="879">
                  <c:v>42101</c:v>
                </c:pt>
                <c:pt idx="880">
                  <c:v>42102</c:v>
                </c:pt>
                <c:pt idx="881">
                  <c:v>42103</c:v>
                </c:pt>
                <c:pt idx="882">
                  <c:v>42104</c:v>
                </c:pt>
                <c:pt idx="883">
                  <c:v>42107</c:v>
                </c:pt>
                <c:pt idx="884">
                  <c:v>42108</c:v>
                </c:pt>
                <c:pt idx="885">
                  <c:v>42109</c:v>
                </c:pt>
                <c:pt idx="886">
                  <c:v>42110</c:v>
                </c:pt>
                <c:pt idx="887">
                  <c:v>42111</c:v>
                </c:pt>
                <c:pt idx="888">
                  <c:v>42114</c:v>
                </c:pt>
                <c:pt idx="889">
                  <c:v>42115</c:v>
                </c:pt>
                <c:pt idx="890">
                  <c:v>42116</c:v>
                </c:pt>
                <c:pt idx="891">
                  <c:v>42117</c:v>
                </c:pt>
                <c:pt idx="892">
                  <c:v>42118</c:v>
                </c:pt>
                <c:pt idx="893">
                  <c:v>42121</c:v>
                </c:pt>
                <c:pt idx="894">
                  <c:v>42122</c:v>
                </c:pt>
                <c:pt idx="895">
                  <c:v>42123</c:v>
                </c:pt>
                <c:pt idx="896">
                  <c:v>42124</c:v>
                </c:pt>
                <c:pt idx="897">
                  <c:v>42128</c:v>
                </c:pt>
                <c:pt idx="898">
                  <c:v>42129</c:v>
                </c:pt>
                <c:pt idx="899">
                  <c:v>42130</c:v>
                </c:pt>
                <c:pt idx="900">
                  <c:v>42131</c:v>
                </c:pt>
                <c:pt idx="901">
                  <c:v>42132</c:v>
                </c:pt>
                <c:pt idx="902">
                  <c:v>42135</c:v>
                </c:pt>
                <c:pt idx="903">
                  <c:v>42136</c:v>
                </c:pt>
                <c:pt idx="904">
                  <c:v>42137</c:v>
                </c:pt>
                <c:pt idx="905">
                  <c:v>42138</c:v>
                </c:pt>
                <c:pt idx="906">
                  <c:v>42139</c:v>
                </c:pt>
                <c:pt idx="907">
                  <c:v>42142</c:v>
                </c:pt>
                <c:pt idx="908">
                  <c:v>42143</c:v>
                </c:pt>
                <c:pt idx="909">
                  <c:v>42144</c:v>
                </c:pt>
                <c:pt idx="910">
                  <c:v>42145</c:v>
                </c:pt>
                <c:pt idx="911">
                  <c:v>42146</c:v>
                </c:pt>
                <c:pt idx="912">
                  <c:v>42149</c:v>
                </c:pt>
                <c:pt idx="913">
                  <c:v>42150</c:v>
                </c:pt>
                <c:pt idx="914">
                  <c:v>42151</c:v>
                </c:pt>
                <c:pt idx="915">
                  <c:v>42152</c:v>
                </c:pt>
                <c:pt idx="916">
                  <c:v>42153</c:v>
                </c:pt>
                <c:pt idx="917">
                  <c:v>42156</c:v>
                </c:pt>
                <c:pt idx="918">
                  <c:v>42157</c:v>
                </c:pt>
                <c:pt idx="919">
                  <c:v>42158</c:v>
                </c:pt>
                <c:pt idx="920">
                  <c:v>42159</c:v>
                </c:pt>
                <c:pt idx="921">
                  <c:v>42160</c:v>
                </c:pt>
                <c:pt idx="922">
                  <c:v>42163</c:v>
                </c:pt>
                <c:pt idx="923">
                  <c:v>42164</c:v>
                </c:pt>
                <c:pt idx="924">
                  <c:v>42165</c:v>
                </c:pt>
                <c:pt idx="925">
                  <c:v>42166</c:v>
                </c:pt>
                <c:pt idx="926">
                  <c:v>42167</c:v>
                </c:pt>
                <c:pt idx="927">
                  <c:v>42170</c:v>
                </c:pt>
                <c:pt idx="928">
                  <c:v>42171</c:v>
                </c:pt>
                <c:pt idx="929">
                  <c:v>42172</c:v>
                </c:pt>
                <c:pt idx="930">
                  <c:v>42173</c:v>
                </c:pt>
                <c:pt idx="931">
                  <c:v>42174</c:v>
                </c:pt>
                <c:pt idx="932">
                  <c:v>42177</c:v>
                </c:pt>
                <c:pt idx="933">
                  <c:v>42178</c:v>
                </c:pt>
                <c:pt idx="934">
                  <c:v>42179</c:v>
                </c:pt>
                <c:pt idx="935">
                  <c:v>42180</c:v>
                </c:pt>
                <c:pt idx="936">
                  <c:v>42181</c:v>
                </c:pt>
                <c:pt idx="937">
                  <c:v>42184</c:v>
                </c:pt>
                <c:pt idx="938">
                  <c:v>42185</c:v>
                </c:pt>
                <c:pt idx="939">
                  <c:v>42186</c:v>
                </c:pt>
                <c:pt idx="940">
                  <c:v>42187</c:v>
                </c:pt>
                <c:pt idx="941">
                  <c:v>42188</c:v>
                </c:pt>
                <c:pt idx="942">
                  <c:v>42191</c:v>
                </c:pt>
                <c:pt idx="943">
                  <c:v>42192</c:v>
                </c:pt>
                <c:pt idx="944">
                  <c:v>42193</c:v>
                </c:pt>
                <c:pt idx="945">
                  <c:v>42194</c:v>
                </c:pt>
                <c:pt idx="946">
                  <c:v>42195</c:v>
                </c:pt>
                <c:pt idx="947">
                  <c:v>42198</c:v>
                </c:pt>
                <c:pt idx="948">
                  <c:v>42199</c:v>
                </c:pt>
                <c:pt idx="949">
                  <c:v>42200</c:v>
                </c:pt>
                <c:pt idx="950">
                  <c:v>42201</c:v>
                </c:pt>
                <c:pt idx="951">
                  <c:v>42202</c:v>
                </c:pt>
                <c:pt idx="952">
                  <c:v>42205</c:v>
                </c:pt>
                <c:pt idx="953">
                  <c:v>42206</c:v>
                </c:pt>
                <c:pt idx="954">
                  <c:v>42207</c:v>
                </c:pt>
                <c:pt idx="955">
                  <c:v>42208</c:v>
                </c:pt>
                <c:pt idx="956">
                  <c:v>42209</c:v>
                </c:pt>
                <c:pt idx="957">
                  <c:v>42212</c:v>
                </c:pt>
                <c:pt idx="958">
                  <c:v>42213</c:v>
                </c:pt>
                <c:pt idx="959">
                  <c:v>42214</c:v>
                </c:pt>
                <c:pt idx="960">
                  <c:v>42215</c:v>
                </c:pt>
                <c:pt idx="961">
                  <c:v>42216</c:v>
                </c:pt>
                <c:pt idx="962">
                  <c:v>42219</c:v>
                </c:pt>
                <c:pt idx="963">
                  <c:v>42220</c:v>
                </c:pt>
                <c:pt idx="964">
                  <c:v>42221</c:v>
                </c:pt>
                <c:pt idx="965">
                  <c:v>42222</c:v>
                </c:pt>
                <c:pt idx="966">
                  <c:v>42223</c:v>
                </c:pt>
                <c:pt idx="967">
                  <c:v>42226</c:v>
                </c:pt>
                <c:pt idx="968">
                  <c:v>42227</c:v>
                </c:pt>
                <c:pt idx="969">
                  <c:v>42228</c:v>
                </c:pt>
                <c:pt idx="970">
                  <c:v>42229</c:v>
                </c:pt>
                <c:pt idx="971">
                  <c:v>42230</c:v>
                </c:pt>
                <c:pt idx="972">
                  <c:v>42233</c:v>
                </c:pt>
                <c:pt idx="973">
                  <c:v>42234</c:v>
                </c:pt>
                <c:pt idx="974">
                  <c:v>42235</c:v>
                </c:pt>
                <c:pt idx="975">
                  <c:v>42236</c:v>
                </c:pt>
                <c:pt idx="976">
                  <c:v>42237</c:v>
                </c:pt>
                <c:pt idx="977">
                  <c:v>42240</c:v>
                </c:pt>
                <c:pt idx="978">
                  <c:v>42241</c:v>
                </c:pt>
                <c:pt idx="979">
                  <c:v>42242</c:v>
                </c:pt>
                <c:pt idx="980">
                  <c:v>42243</c:v>
                </c:pt>
                <c:pt idx="981">
                  <c:v>42244</c:v>
                </c:pt>
                <c:pt idx="982">
                  <c:v>42247</c:v>
                </c:pt>
                <c:pt idx="983">
                  <c:v>42248</c:v>
                </c:pt>
                <c:pt idx="984">
                  <c:v>42249</c:v>
                </c:pt>
                <c:pt idx="985">
                  <c:v>42250</c:v>
                </c:pt>
                <c:pt idx="986">
                  <c:v>42251</c:v>
                </c:pt>
                <c:pt idx="987">
                  <c:v>42254</c:v>
                </c:pt>
                <c:pt idx="988">
                  <c:v>42255</c:v>
                </c:pt>
                <c:pt idx="989">
                  <c:v>42256</c:v>
                </c:pt>
                <c:pt idx="990">
                  <c:v>42257</c:v>
                </c:pt>
                <c:pt idx="991">
                  <c:v>42258</c:v>
                </c:pt>
                <c:pt idx="992">
                  <c:v>42261</c:v>
                </c:pt>
                <c:pt idx="993">
                  <c:v>42262</c:v>
                </c:pt>
                <c:pt idx="994">
                  <c:v>42263</c:v>
                </c:pt>
                <c:pt idx="995">
                  <c:v>42264</c:v>
                </c:pt>
                <c:pt idx="996">
                  <c:v>42265</c:v>
                </c:pt>
                <c:pt idx="997">
                  <c:v>42268</c:v>
                </c:pt>
                <c:pt idx="998">
                  <c:v>42269</c:v>
                </c:pt>
                <c:pt idx="999">
                  <c:v>42270</c:v>
                </c:pt>
                <c:pt idx="1000">
                  <c:v>42271</c:v>
                </c:pt>
                <c:pt idx="1001">
                  <c:v>42272</c:v>
                </c:pt>
                <c:pt idx="1002">
                  <c:v>42275</c:v>
                </c:pt>
                <c:pt idx="1003">
                  <c:v>42276</c:v>
                </c:pt>
                <c:pt idx="1004">
                  <c:v>42277</c:v>
                </c:pt>
                <c:pt idx="1005">
                  <c:v>42278</c:v>
                </c:pt>
                <c:pt idx="1006">
                  <c:v>42279</c:v>
                </c:pt>
                <c:pt idx="1007">
                  <c:v>42282</c:v>
                </c:pt>
                <c:pt idx="1008">
                  <c:v>42283</c:v>
                </c:pt>
                <c:pt idx="1009">
                  <c:v>42284</c:v>
                </c:pt>
                <c:pt idx="1010">
                  <c:v>42285</c:v>
                </c:pt>
                <c:pt idx="1011">
                  <c:v>42286</c:v>
                </c:pt>
                <c:pt idx="1012">
                  <c:v>42289</c:v>
                </c:pt>
                <c:pt idx="1013">
                  <c:v>42290</c:v>
                </c:pt>
                <c:pt idx="1014">
                  <c:v>42291</c:v>
                </c:pt>
                <c:pt idx="1015">
                  <c:v>42292</c:v>
                </c:pt>
                <c:pt idx="1016">
                  <c:v>42293</c:v>
                </c:pt>
                <c:pt idx="1017">
                  <c:v>42296</c:v>
                </c:pt>
                <c:pt idx="1018">
                  <c:v>42297</c:v>
                </c:pt>
                <c:pt idx="1019">
                  <c:v>42298</c:v>
                </c:pt>
                <c:pt idx="1020">
                  <c:v>42299</c:v>
                </c:pt>
                <c:pt idx="1021">
                  <c:v>42300</c:v>
                </c:pt>
                <c:pt idx="1022">
                  <c:v>42303</c:v>
                </c:pt>
                <c:pt idx="1023">
                  <c:v>42304</c:v>
                </c:pt>
                <c:pt idx="1024">
                  <c:v>42305</c:v>
                </c:pt>
                <c:pt idx="1025">
                  <c:v>42306</c:v>
                </c:pt>
                <c:pt idx="1026">
                  <c:v>42307</c:v>
                </c:pt>
                <c:pt idx="1027">
                  <c:v>42310</c:v>
                </c:pt>
                <c:pt idx="1028">
                  <c:v>42311</c:v>
                </c:pt>
                <c:pt idx="1029">
                  <c:v>42312</c:v>
                </c:pt>
                <c:pt idx="1030">
                  <c:v>42313</c:v>
                </c:pt>
                <c:pt idx="1031">
                  <c:v>42314</c:v>
                </c:pt>
                <c:pt idx="1032">
                  <c:v>42317</c:v>
                </c:pt>
                <c:pt idx="1033">
                  <c:v>42318</c:v>
                </c:pt>
                <c:pt idx="1034">
                  <c:v>42319</c:v>
                </c:pt>
                <c:pt idx="1035">
                  <c:v>42320</c:v>
                </c:pt>
                <c:pt idx="1036">
                  <c:v>42321</c:v>
                </c:pt>
                <c:pt idx="1037">
                  <c:v>42324</c:v>
                </c:pt>
                <c:pt idx="1038">
                  <c:v>42325</c:v>
                </c:pt>
                <c:pt idx="1039">
                  <c:v>42326</c:v>
                </c:pt>
                <c:pt idx="1040">
                  <c:v>42327</c:v>
                </c:pt>
                <c:pt idx="1041">
                  <c:v>42328</c:v>
                </c:pt>
                <c:pt idx="1042">
                  <c:v>42331</c:v>
                </c:pt>
                <c:pt idx="1043">
                  <c:v>42332</c:v>
                </c:pt>
                <c:pt idx="1044">
                  <c:v>42333</c:v>
                </c:pt>
                <c:pt idx="1045">
                  <c:v>42334</c:v>
                </c:pt>
                <c:pt idx="1046">
                  <c:v>42335</c:v>
                </c:pt>
                <c:pt idx="1047">
                  <c:v>42338</c:v>
                </c:pt>
                <c:pt idx="1048">
                  <c:v>42339</c:v>
                </c:pt>
                <c:pt idx="1049">
                  <c:v>42340</c:v>
                </c:pt>
                <c:pt idx="1050">
                  <c:v>42341</c:v>
                </c:pt>
                <c:pt idx="1051">
                  <c:v>42342</c:v>
                </c:pt>
                <c:pt idx="1052">
                  <c:v>42345</c:v>
                </c:pt>
                <c:pt idx="1053">
                  <c:v>42346</c:v>
                </c:pt>
                <c:pt idx="1054">
                  <c:v>42347</c:v>
                </c:pt>
                <c:pt idx="1055">
                  <c:v>42348</c:v>
                </c:pt>
                <c:pt idx="1056">
                  <c:v>42349</c:v>
                </c:pt>
                <c:pt idx="1057">
                  <c:v>42352</c:v>
                </c:pt>
                <c:pt idx="1058">
                  <c:v>42353</c:v>
                </c:pt>
                <c:pt idx="1059">
                  <c:v>42354</c:v>
                </c:pt>
                <c:pt idx="1060">
                  <c:v>42355</c:v>
                </c:pt>
                <c:pt idx="1061">
                  <c:v>42356</c:v>
                </c:pt>
                <c:pt idx="1062">
                  <c:v>42359</c:v>
                </c:pt>
                <c:pt idx="1063">
                  <c:v>42360</c:v>
                </c:pt>
                <c:pt idx="1064">
                  <c:v>42361</c:v>
                </c:pt>
                <c:pt idx="1065">
                  <c:v>42362</c:v>
                </c:pt>
                <c:pt idx="1066">
                  <c:v>42366</c:v>
                </c:pt>
                <c:pt idx="1067">
                  <c:v>42367</c:v>
                </c:pt>
                <c:pt idx="1068">
                  <c:v>42368</c:v>
                </c:pt>
                <c:pt idx="1069">
                  <c:v>42373</c:v>
                </c:pt>
                <c:pt idx="1070">
                  <c:v>42374</c:v>
                </c:pt>
                <c:pt idx="1071">
                  <c:v>42375</c:v>
                </c:pt>
                <c:pt idx="1072">
                  <c:v>42376</c:v>
                </c:pt>
                <c:pt idx="1073">
                  <c:v>42377</c:v>
                </c:pt>
                <c:pt idx="1074">
                  <c:v>42380</c:v>
                </c:pt>
                <c:pt idx="1075">
                  <c:v>42381</c:v>
                </c:pt>
                <c:pt idx="1076">
                  <c:v>42382</c:v>
                </c:pt>
                <c:pt idx="1077">
                  <c:v>42383</c:v>
                </c:pt>
                <c:pt idx="1078">
                  <c:v>42384</c:v>
                </c:pt>
                <c:pt idx="1079">
                  <c:v>42387</c:v>
                </c:pt>
                <c:pt idx="1080">
                  <c:v>42388</c:v>
                </c:pt>
                <c:pt idx="1081">
                  <c:v>42389</c:v>
                </c:pt>
                <c:pt idx="1082">
                  <c:v>42390</c:v>
                </c:pt>
                <c:pt idx="1083">
                  <c:v>42391</c:v>
                </c:pt>
                <c:pt idx="1084">
                  <c:v>42394</c:v>
                </c:pt>
                <c:pt idx="1085">
                  <c:v>42395</c:v>
                </c:pt>
                <c:pt idx="1086">
                  <c:v>42396</c:v>
                </c:pt>
                <c:pt idx="1087">
                  <c:v>42397</c:v>
                </c:pt>
                <c:pt idx="1088">
                  <c:v>42398</c:v>
                </c:pt>
                <c:pt idx="1089">
                  <c:v>42401</c:v>
                </c:pt>
                <c:pt idx="1090">
                  <c:v>42402</c:v>
                </c:pt>
                <c:pt idx="1091">
                  <c:v>42403</c:v>
                </c:pt>
                <c:pt idx="1092">
                  <c:v>42404</c:v>
                </c:pt>
                <c:pt idx="1093">
                  <c:v>42405</c:v>
                </c:pt>
                <c:pt idx="1094">
                  <c:v>42408</c:v>
                </c:pt>
                <c:pt idx="1095">
                  <c:v>42409</c:v>
                </c:pt>
                <c:pt idx="1096">
                  <c:v>42410</c:v>
                </c:pt>
                <c:pt idx="1097">
                  <c:v>42411</c:v>
                </c:pt>
                <c:pt idx="1098">
                  <c:v>42412</c:v>
                </c:pt>
                <c:pt idx="1099">
                  <c:v>42415</c:v>
                </c:pt>
                <c:pt idx="1100">
                  <c:v>42416</c:v>
                </c:pt>
                <c:pt idx="1101">
                  <c:v>42417</c:v>
                </c:pt>
                <c:pt idx="1102">
                  <c:v>42418</c:v>
                </c:pt>
                <c:pt idx="1103">
                  <c:v>42419</c:v>
                </c:pt>
                <c:pt idx="1104">
                  <c:v>42422</c:v>
                </c:pt>
                <c:pt idx="1105">
                  <c:v>42423</c:v>
                </c:pt>
                <c:pt idx="1106">
                  <c:v>42424</c:v>
                </c:pt>
                <c:pt idx="1107">
                  <c:v>42425</c:v>
                </c:pt>
                <c:pt idx="1108">
                  <c:v>42426</c:v>
                </c:pt>
                <c:pt idx="1109">
                  <c:v>42429</c:v>
                </c:pt>
                <c:pt idx="1110">
                  <c:v>42430</c:v>
                </c:pt>
                <c:pt idx="1111">
                  <c:v>42431</c:v>
                </c:pt>
                <c:pt idx="1112">
                  <c:v>42432</c:v>
                </c:pt>
                <c:pt idx="1113">
                  <c:v>42433</c:v>
                </c:pt>
                <c:pt idx="1114">
                  <c:v>42436</c:v>
                </c:pt>
                <c:pt idx="1115">
                  <c:v>42437</c:v>
                </c:pt>
                <c:pt idx="1116">
                  <c:v>42438</c:v>
                </c:pt>
                <c:pt idx="1117">
                  <c:v>42439</c:v>
                </c:pt>
                <c:pt idx="1118">
                  <c:v>42440</c:v>
                </c:pt>
                <c:pt idx="1119">
                  <c:v>42443</c:v>
                </c:pt>
                <c:pt idx="1120">
                  <c:v>42444</c:v>
                </c:pt>
                <c:pt idx="1121">
                  <c:v>42445</c:v>
                </c:pt>
                <c:pt idx="1122">
                  <c:v>42446</c:v>
                </c:pt>
                <c:pt idx="1123">
                  <c:v>42447</c:v>
                </c:pt>
                <c:pt idx="1124">
                  <c:v>42450</c:v>
                </c:pt>
                <c:pt idx="1125">
                  <c:v>42451</c:v>
                </c:pt>
                <c:pt idx="1126">
                  <c:v>42452</c:v>
                </c:pt>
                <c:pt idx="1127">
                  <c:v>42453</c:v>
                </c:pt>
                <c:pt idx="1128">
                  <c:v>42458</c:v>
                </c:pt>
                <c:pt idx="1129">
                  <c:v>42459</c:v>
                </c:pt>
                <c:pt idx="1130">
                  <c:v>42460</c:v>
                </c:pt>
                <c:pt idx="1131">
                  <c:v>42461</c:v>
                </c:pt>
                <c:pt idx="1132">
                  <c:v>42464</c:v>
                </c:pt>
                <c:pt idx="1133">
                  <c:v>42465</c:v>
                </c:pt>
                <c:pt idx="1134">
                  <c:v>42466</c:v>
                </c:pt>
                <c:pt idx="1135">
                  <c:v>42467</c:v>
                </c:pt>
                <c:pt idx="1136">
                  <c:v>42468</c:v>
                </c:pt>
                <c:pt idx="1137">
                  <c:v>42471</c:v>
                </c:pt>
                <c:pt idx="1138">
                  <c:v>42472</c:v>
                </c:pt>
                <c:pt idx="1139">
                  <c:v>42473</c:v>
                </c:pt>
                <c:pt idx="1140">
                  <c:v>42474</c:v>
                </c:pt>
                <c:pt idx="1141">
                  <c:v>42475</c:v>
                </c:pt>
                <c:pt idx="1142">
                  <c:v>42478</c:v>
                </c:pt>
                <c:pt idx="1143">
                  <c:v>42479</c:v>
                </c:pt>
                <c:pt idx="1144">
                  <c:v>42480</c:v>
                </c:pt>
                <c:pt idx="1145">
                  <c:v>42481</c:v>
                </c:pt>
                <c:pt idx="1146">
                  <c:v>42482</c:v>
                </c:pt>
                <c:pt idx="1147">
                  <c:v>42485</c:v>
                </c:pt>
                <c:pt idx="1148">
                  <c:v>42486</c:v>
                </c:pt>
                <c:pt idx="1149">
                  <c:v>42487</c:v>
                </c:pt>
                <c:pt idx="1150">
                  <c:v>42488</c:v>
                </c:pt>
                <c:pt idx="1151">
                  <c:v>42489</c:v>
                </c:pt>
                <c:pt idx="1152">
                  <c:v>42492</c:v>
                </c:pt>
                <c:pt idx="1153">
                  <c:v>42493</c:v>
                </c:pt>
                <c:pt idx="1154">
                  <c:v>42494</c:v>
                </c:pt>
                <c:pt idx="1155">
                  <c:v>42495</c:v>
                </c:pt>
                <c:pt idx="1156">
                  <c:v>42496</c:v>
                </c:pt>
                <c:pt idx="1157">
                  <c:v>42499</c:v>
                </c:pt>
                <c:pt idx="1158">
                  <c:v>42500</c:v>
                </c:pt>
                <c:pt idx="1159">
                  <c:v>42501</c:v>
                </c:pt>
                <c:pt idx="1160">
                  <c:v>42502</c:v>
                </c:pt>
                <c:pt idx="1161">
                  <c:v>42503</c:v>
                </c:pt>
                <c:pt idx="1162">
                  <c:v>42506</c:v>
                </c:pt>
                <c:pt idx="1163">
                  <c:v>42507</c:v>
                </c:pt>
                <c:pt idx="1164">
                  <c:v>42508</c:v>
                </c:pt>
                <c:pt idx="1165">
                  <c:v>42509</c:v>
                </c:pt>
                <c:pt idx="1166">
                  <c:v>42510</c:v>
                </c:pt>
                <c:pt idx="1167">
                  <c:v>42513</c:v>
                </c:pt>
                <c:pt idx="1168">
                  <c:v>42514</c:v>
                </c:pt>
                <c:pt idx="1169">
                  <c:v>42515</c:v>
                </c:pt>
                <c:pt idx="1170">
                  <c:v>42516</c:v>
                </c:pt>
                <c:pt idx="1171">
                  <c:v>42517</c:v>
                </c:pt>
                <c:pt idx="1172">
                  <c:v>42520</c:v>
                </c:pt>
                <c:pt idx="1173">
                  <c:v>42521</c:v>
                </c:pt>
                <c:pt idx="1174">
                  <c:v>42522</c:v>
                </c:pt>
                <c:pt idx="1175">
                  <c:v>42523</c:v>
                </c:pt>
                <c:pt idx="1176">
                  <c:v>42524</c:v>
                </c:pt>
                <c:pt idx="1177">
                  <c:v>42527</c:v>
                </c:pt>
                <c:pt idx="1178">
                  <c:v>42528</c:v>
                </c:pt>
                <c:pt idx="1179">
                  <c:v>42529</c:v>
                </c:pt>
                <c:pt idx="1180">
                  <c:v>42530</c:v>
                </c:pt>
                <c:pt idx="1181">
                  <c:v>42531</c:v>
                </c:pt>
                <c:pt idx="1182">
                  <c:v>42534</c:v>
                </c:pt>
                <c:pt idx="1183">
                  <c:v>42535</c:v>
                </c:pt>
                <c:pt idx="1184">
                  <c:v>42536</c:v>
                </c:pt>
                <c:pt idx="1185">
                  <c:v>42537</c:v>
                </c:pt>
                <c:pt idx="1186">
                  <c:v>42538</c:v>
                </c:pt>
                <c:pt idx="1187">
                  <c:v>42541</c:v>
                </c:pt>
                <c:pt idx="1188">
                  <c:v>42542</c:v>
                </c:pt>
                <c:pt idx="1189">
                  <c:v>42543</c:v>
                </c:pt>
                <c:pt idx="1190">
                  <c:v>42544</c:v>
                </c:pt>
                <c:pt idx="1191">
                  <c:v>42545</c:v>
                </c:pt>
                <c:pt idx="1192">
                  <c:v>42548</c:v>
                </c:pt>
                <c:pt idx="1193">
                  <c:v>42549</c:v>
                </c:pt>
                <c:pt idx="1194">
                  <c:v>42550</c:v>
                </c:pt>
                <c:pt idx="1195">
                  <c:v>42551</c:v>
                </c:pt>
                <c:pt idx="1196">
                  <c:v>42552</c:v>
                </c:pt>
                <c:pt idx="1197">
                  <c:v>42555</c:v>
                </c:pt>
                <c:pt idx="1198">
                  <c:v>42556</c:v>
                </c:pt>
                <c:pt idx="1199">
                  <c:v>42557</c:v>
                </c:pt>
                <c:pt idx="1200">
                  <c:v>42558</c:v>
                </c:pt>
                <c:pt idx="1201">
                  <c:v>42559</c:v>
                </c:pt>
                <c:pt idx="1202">
                  <c:v>42562</c:v>
                </c:pt>
                <c:pt idx="1203">
                  <c:v>42563</c:v>
                </c:pt>
                <c:pt idx="1204">
                  <c:v>42564</c:v>
                </c:pt>
                <c:pt idx="1205">
                  <c:v>42565</c:v>
                </c:pt>
                <c:pt idx="1206">
                  <c:v>42566</c:v>
                </c:pt>
                <c:pt idx="1207">
                  <c:v>42569</c:v>
                </c:pt>
                <c:pt idx="1208">
                  <c:v>42570</c:v>
                </c:pt>
                <c:pt idx="1209">
                  <c:v>42571</c:v>
                </c:pt>
                <c:pt idx="1210">
                  <c:v>42572</c:v>
                </c:pt>
                <c:pt idx="1211">
                  <c:v>42573</c:v>
                </c:pt>
                <c:pt idx="1212">
                  <c:v>42576</c:v>
                </c:pt>
                <c:pt idx="1213">
                  <c:v>42577</c:v>
                </c:pt>
                <c:pt idx="1214">
                  <c:v>42578</c:v>
                </c:pt>
                <c:pt idx="1215">
                  <c:v>42579</c:v>
                </c:pt>
                <c:pt idx="1216">
                  <c:v>42580</c:v>
                </c:pt>
                <c:pt idx="1217">
                  <c:v>42583</c:v>
                </c:pt>
                <c:pt idx="1218">
                  <c:v>42584</c:v>
                </c:pt>
                <c:pt idx="1219">
                  <c:v>42585</c:v>
                </c:pt>
                <c:pt idx="1220">
                  <c:v>42586</c:v>
                </c:pt>
                <c:pt idx="1221">
                  <c:v>42587</c:v>
                </c:pt>
                <c:pt idx="1222">
                  <c:v>42590</c:v>
                </c:pt>
                <c:pt idx="1223">
                  <c:v>42591</c:v>
                </c:pt>
                <c:pt idx="1224">
                  <c:v>42592</c:v>
                </c:pt>
                <c:pt idx="1225">
                  <c:v>42593</c:v>
                </c:pt>
                <c:pt idx="1226">
                  <c:v>42594</c:v>
                </c:pt>
                <c:pt idx="1227">
                  <c:v>42597</c:v>
                </c:pt>
                <c:pt idx="1228">
                  <c:v>42598</c:v>
                </c:pt>
                <c:pt idx="1229">
                  <c:v>42599</c:v>
                </c:pt>
                <c:pt idx="1230">
                  <c:v>42600</c:v>
                </c:pt>
                <c:pt idx="1231">
                  <c:v>42601</c:v>
                </c:pt>
                <c:pt idx="1232">
                  <c:v>42604</c:v>
                </c:pt>
                <c:pt idx="1233">
                  <c:v>42605</c:v>
                </c:pt>
                <c:pt idx="1234">
                  <c:v>42606</c:v>
                </c:pt>
                <c:pt idx="1235">
                  <c:v>42607</c:v>
                </c:pt>
                <c:pt idx="1236">
                  <c:v>42608</c:v>
                </c:pt>
                <c:pt idx="1237">
                  <c:v>42611</c:v>
                </c:pt>
                <c:pt idx="1238">
                  <c:v>42612</c:v>
                </c:pt>
                <c:pt idx="1239">
                  <c:v>42613</c:v>
                </c:pt>
                <c:pt idx="1240">
                  <c:v>42614</c:v>
                </c:pt>
                <c:pt idx="1241">
                  <c:v>42615</c:v>
                </c:pt>
                <c:pt idx="1242">
                  <c:v>42618</c:v>
                </c:pt>
                <c:pt idx="1243">
                  <c:v>42619</c:v>
                </c:pt>
                <c:pt idx="1244">
                  <c:v>42620</c:v>
                </c:pt>
                <c:pt idx="1245">
                  <c:v>42621</c:v>
                </c:pt>
                <c:pt idx="1246">
                  <c:v>42622</c:v>
                </c:pt>
                <c:pt idx="1247">
                  <c:v>42625</c:v>
                </c:pt>
                <c:pt idx="1248">
                  <c:v>42626</c:v>
                </c:pt>
                <c:pt idx="1249">
                  <c:v>42627</c:v>
                </c:pt>
                <c:pt idx="1250">
                  <c:v>42628</c:v>
                </c:pt>
                <c:pt idx="1251">
                  <c:v>42629</c:v>
                </c:pt>
                <c:pt idx="1252">
                  <c:v>42632</c:v>
                </c:pt>
                <c:pt idx="1253">
                  <c:v>42633</c:v>
                </c:pt>
                <c:pt idx="1254">
                  <c:v>42634</c:v>
                </c:pt>
                <c:pt idx="1255">
                  <c:v>42635</c:v>
                </c:pt>
                <c:pt idx="1256">
                  <c:v>42636</c:v>
                </c:pt>
                <c:pt idx="1257">
                  <c:v>42639</c:v>
                </c:pt>
                <c:pt idx="1258">
                  <c:v>42640</c:v>
                </c:pt>
                <c:pt idx="1259">
                  <c:v>42641</c:v>
                </c:pt>
                <c:pt idx="1260">
                  <c:v>42642</c:v>
                </c:pt>
                <c:pt idx="1261">
                  <c:v>42643</c:v>
                </c:pt>
                <c:pt idx="1262">
                  <c:v>42646</c:v>
                </c:pt>
                <c:pt idx="1263">
                  <c:v>42647</c:v>
                </c:pt>
                <c:pt idx="1264">
                  <c:v>42648</c:v>
                </c:pt>
                <c:pt idx="1265">
                  <c:v>42649</c:v>
                </c:pt>
                <c:pt idx="1266">
                  <c:v>42650</c:v>
                </c:pt>
                <c:pt idx="1267">
                  <c:v>42653</c:v>
                </c:pt>
                <c:pt idx="1268">
                  <c:v>42654</c:v>
                </c:pt>
                <c:pt idx="1269">
                  <c:v>42655</c:v>
                </c:pt>
                <c:pt idx="1270">
                  <c:v>42656</c:v>
                </c:pt>
                <c:pt idx="1271">
                  <c:v>42657</c:v>
                </c:pt>
                <c:pt idx="1272">
                  <c:v>42660</c:v>
                </c:pt>
                <c:pt idx="1273">
                  <c:v>42661</c:v>
                </c:pt>
                <c:pt idx="1274">
                  <c:v>42662</c:v>
                </c:pt>
                <c:pt idx="1275">
                  <c:v>42663</c:v>
                </c:pt>
                <c:pt idx="1276">
                  <c:v>42664</c:v>
                </c:pt>
                <c:pt idx="1277">
                  <c:v>42667</c:v>
                </c:pt>
                <c:pt idx="1278">
                  <c:v>42668</c:v>
                </c:pt>
                <c:pt idx="1279">
                  <c:v>42669</c:v>
                </c:pt>
                <c:pt idx="1280">
                  <c:v>42670</c:v>
                </c:pt>
                <c:pt idx="1281">
                  <c:v>42671</c:v>
                </c:pt>
                <c:pt idx="1282">
                  <c:v>42674</c:v>
                </c:pt>
                <c:pt idx="1283">
                  <c:v>42675</c:v>
                </c:pt>
                <c:pt idx="1284">
                  <c:v>42676</c:v>
                </c:pt>
                <c:pt idx="1285">
                  <c:v>42677</c:v>
                </c:pt>
                <c:pt idx="1286">
                  <c:v>42678</c:v>
                </c:pt>
                <c:pt idx="1287">
                  <c:v>42681</c:v>
                </c:pt>
                <c:pt idx="1288">
                  <c:v>42682</c:v>
                </c:pt>
                <c:pt idx="1289">
                  <c:v>42683</c:v>
                </c:pt>
                <c:pt idx="1290">
                  <c:v>42684</c:v>
                </c:pt>
                <c:pt idx="1291">
                  <c:v>42685</c:v>
                </c:pt>
                <c:pt idx="1292">
                  <c:v>42688</c:v>
                </c:pt>
                <c:pt idx="1293">
                  <c:v>42689</c:v>
                </c:pt>
                <c:pt idx="1294">
                  <c:v>42690</c:v>
                </c:pt>
                <c:pt idx="1295">
                  <c:v>42691</c:v>
                </c:pt>
                <c:pt idx="1296">
                  <c:v>42692</c:v>
                </c:pt>
                <c:pt idx="1297">
                  <c:v>42695</c:v>
                </c:pt>
                <c:pt idx="1298">
                  <c:v>42696</c:v>
                </c:pt>
                <c:pt idx="1299">
                  <c:v>42697</c:v>
                </c:pt>
                <c:pt idx="1300">
                  <c:v>42698</c:v>
                </c:pt>
                <c:pt idx="1301">
                  <c:v>42699</c:v>
                </c:pt>
                <c:pt idx="1302">
                  <c:v>42702</c:v>
                </c:pt>
                <c:pt idx="1303">
                  <c:v>42703</c:v>
                </c:pt>
                <c:pt idx="1304">
                  <c:v>42704</c:v>
                </c:pt>
                <c:pt idx="1305">
                  <c:v>42705</c:v>
                </c:pt>
                <c:pt idx="1306">
                  <c:v>42706</c:v>
                </c:pt>
                <c:pt idx="1307">
                  <c:v>42709</c:v>
                </c:pt>
                <c:pt idx="1308">
                  <c:v>42710</c:v>
                </c:pt>
                <c:pt idx="1309">
                  <c:v>42711</c:v>
                </c:pt>
                <c:pt idx="1310">
                  <c:v>42712</c:v>
                </c:pt>
                <c:pt idx="1311">
                  <c:v>42713</c:v>
                </c:pt>
                <c:pt idx="1312">
                  <c:v>42716</c:v>
                </c:pt>
                <c:pt idx="1313">
                  <c:v>42717</c:v>
                </c:pt>
                <c:pt idx="1314">
                  <c:v>42718</c:v>
                </c:pt>
                <c:pt idx="1315">
                  <c:v>42719</c:v>
                </c:pt>
                <c:pt idx="1316">
                  <c:v>42720</c:v>
                </c:pt>
                <c:pt idx="1317">
                  <c:v>42723</c:v>
                </c:pt>
                <c:pt idx="1318">
                  <c:v>42724</c:v>
                </c:pt>
                <c:pt idx="1319">
                  <c:v>42725</c:v>
                </c:pt>
                <c:pt idx="1320">
                  <c:v>42726</c:v>
                </c:pt>
                <c:pt idx="1321">
                  <c:v>42727</c:v>
                </c:pt>
                <c:pt idx="1322">
                  <c:v>42731</c:v>
                </c:pt>
                <c:pt idx="1323">
                  <c:v>42732</c:v>
                </c:pt>
                <c:pt idx="1324">
                  <c:v>42733</c:v>
                </c:pt>
                <c:pt idx="1325">
                  <c:v>42734</c:v>
                </c:pt>
                <c:pt idx="1326">
                  <c:v>42737</c:v>
                </c:pt>
                <c:pt idx="1327">
                  <c:v>42738</c:v>
                </c:pt>
                <c:pt idx="1328">
                  <c:v>42739</c:v>
                </c:pt>
                <c:pt idx="1329">
                  <c:v>42740</c:v>
                </c:pt>
                <c:pt idx="1330">
                  <c:v>42741</c:v>
                </c:pt>
                <c:pt idx="1331">
                  <c:v>42744</c:v>
                </c:pt>
                <c:pt idx="1332">
                  <c:v>42745</c:v>
                </c:pt>
                <c:pt idx="1333">
                  <c:v>42746</c:v>
                </c:pt>
                <c:pt idx="1334">
                  <c:v>42747</c:v>
                </c:pt>
                <c:pt idx="1335">
                  <c:v>42748</c:v>
                </c:pt>
                <c:pt idx="1336">
                  <c:v>42751</c:v>
                </c:pt>
                <c:pt idx="1337">
                  <c:v>42752</c:v>
                </c:pt>
                <c:pt idx="1338">
                  <c:v>42753</c:v>
                </c:pt>
                <c:pt idx="1339">
                  <c:v>42754</c:v>
                </c:pt>
                <c:pt idx="1340">
                  <c:v>42755</c:v>
                </c:pt>
                <c:pt idx="1341">
                  <c:v>42758</c:v>
                </c:pt>
                <c:pt idx="1342">
                  <c:v>42759</c:v>
                </c:pt>
                <c:pt idx="1343">
                  <c:v>42760</c:v>
                </c:pt>
                <c:pt idx="1344">
                  <c:v>42761</c:v>
                </c:pt>
                <c:pt idx="1345">
                  <c:v>42762</c:v>
                </c:pt>
                <c:pt idx="1346">
                  <c:v>42765</c:v>
                </c:pt>
                <c:pt idx="1347">
                  <c:v>42766</c:v>
                </c:pt>
                <c:pt idx="1348">
                  <c:v>42767</c:v>
                </c:pt>
                <c:pt idx="1349">
                  <c:v>42768</c:v>
                </c:pt>
                <c:pt idx="1350">
                  <c:v>42769</c:v>
                </c:pt>
                <c:pt idx="1351">
                  <c:v>42772</c:v>
                </c:pt>
                <c:pt idx="1352">
                  <c:v>42773</c:v>
                </c:pt>
                <c:pt idx="1353">
                  <c:v>42774</c:v>
                </c:pt>
                <c:pt idx="1354">
                  <c:v>42775</c:v>
                </c:pt>
                <c:pt idx="1355">
                  <c:v>42776</c:v>
                </c:pt>
                <c:pt idx="1356">
                  <c:v>42779</c:v>
                </c:pt>
                <c:pt idx="1357">
                  <c:v>42780</c:v>
                </c:pt>
                <c:pt idx="1358">
                  <c:v>42781</c:v>
                </c:pt>
                <c:pt idx="1359">
                  <c:v>42782</c:v>
                </c:pt>
                <c:pt idx="1360">
                  <c:v>42783</c:v>
                </c:pt>
                <c:pt idx="1361">
                  <c:v>42786</c:v>
                </c:pt>
                <c:pt idx="1362">
                  <c:v>42787</c:v>
                </c:pt>
                <c:pt idx="1363">
                  <c:v>42788</c:v>
                </c:pt>
                <c:pt idx="1364">
                  <c:v>42789</c:v>
                </c:pt>
                <c:pt idx="1365">
                  <c:v>42790</c:v>
                </c:pt>
                <c:pt idx="1366">
                  <c:v>42793</c:v>
                </c:pt>
                <c:pt idx="1367">
                  <c:v>42794</c:v>
                </c:pt>
                <c:pt idx="1368">
                  <c:v>42795</c:v>
                </c:pt>
                <c:pt idx="1369">
                  <c:v>42796</c:v>
                </c:pt>
                <c:pt idx="1370">
                  <c:v>42797</c:v>
                </c:pt>
                <c:pt idx="1371">
                  <c:v>42800</c:v>
                </c:pt>
                <c:pt idx="1372">
                  <c:v>42801</c:v>
                </c:pt>
                <c:pt idx="1373">
                  <c:v>42802</c:v>
                </c:pt>
                <c:pt idx="1374">
                  <c:v>42803</c:v>
                </c:pt>
                <c:pt idx="1375">
                  <c:v>42804</c:v>
                </c:pt>
                <c:pt idx="1376">
                  <c:v>42807</c:v>
                </c:pt>
                <c:pt idx="1377">
                  <c:v>42808</c:v>
                </c:pt>
                <c:pt idx="1378">
                  <c:v>42809</c:v>
                </c:pt>
                <c:pt idx="1379">
                  <c:v>42810</c:v>
                </c:pt>
                <c:pt idx="1380">
                  <c:v>42811</c:v>
                </c:pt>
                <c:pt idx="1381">
                  <c:v>42814</c:v>
                </c:pt>
                <c:pt idx="1382">
                  <c:v>42815</c:v>
                </c:pt>
                <c:pt idx="1383">
                  <c:v>42816</c:v>
                </c:pt>
                <c:pt idx="1384">
                  <c:v>42817</c:v>
                </c:pt>
                <c:pt idx="1385">
                  <c:v>42818</c:v>
                </c:pt>
                <c:pt idx="1386">
                  <c:v>42821</c:v>
                </c:pt>
                <c:pt idx="1387">
                  <c:v>42822</c:v>
                </c:pt>
                <c:pt idx="1388">
                  <c:v>42823</c:v>
                </c:pt>
                <c:pt idx="1389">
                  <c:v>42824</c:v>
                </c:pt>
                <c:pt idx="1390">
                  <c:v>42825</c:v>
                </c:pt>
                <c:pt idx="1391">
                  <c:v>42828</c:v>
                </c:pt>
                <c:pt idx="1392">
                  <c:v>42829</c:v>
                </c:pt>
                <c:pt idx="1393">
                  <c:v>42830</c:v>
                </c:pt>
                <c:pt idx="1394">
                  <c:v>42831</c:v>
                </c:pt>
                <c:pt idx="1395">
                  <c:v>42832</c:v>
                </c:pt>
                <c:pt idx="1396">
                  <c:v>42835</c:v>
                </c:pt>
                <c:pt idx="1397">
                  <c:v>42836</c:v>
                </c:pt>
                <c:pt idx="1398">
                  <c:v>42837</c:v>
                </c:pt>
                <c:pt idx="1399">
                  <c:v>42838</c:v>
                </c:pt>
                <c:pt idx="1400">
                  <c:v>42843</c:v>
                </c:pt>
                <c:pt idx="1401">
                  <c:v>42844</c:v>
                </c:pt>
                <c:pt idx="1402">
                  <c:v>42845</c:v>
                </c:pt>
                <c:pt idx="1403">
                  <c:v>42846</c:v>
                </c:pt>
                <c:pt idx="1404">
                  <c:v>42849</c:v>
                </c:pt>
                <c:pt idx="1405">
                  <c:v>42850</c:v>
                </c:pt>
                <c:pt idx="1406">
                  <c:v>42851</c:v>
                </c:pt>
                <c:pt idx="1407">
                  <c:v>42852</c:v>
                </c:pt>
                <c:pt idx="1408">
                  <c:v>42853</c:v>
                </c:pt>
                <c:pt idx="1409">
                  <c:v>42857</c:v>
                </c:pt>
                <c:pt idx="1410">
                  <c:v>42858</c:v>
                </c:pt>
                <c:pt idx="1411">
                  <c:v>42859</c:v>
                </c:pt>
                <c:pt idx="1412">
                  <c:v>42860</c:v>
                </c:pt>
                <c:pt idx="1413">
                  <c:v>42863</c:v>
                </c:pt>
                <c:pt idx="1414">
                  <c:v>42864</c:v>
                </c:pt>
                <c:pt idx="1415">
                  <c:v>42865</c:v>
                </c:pt>
                <c:pt idx="1416">
                  <c:v>42866</c:v>
                </c:pt>
                <c:pt idx="1417">
                  <c:v>42867</c:v>
                </c:pt>
                <c:pt idx="1418">
                  <c:v>42870</c:v>
                </c:pt>
                <c:pt idx="1419">
                  <c:v>42871</c:v>
                </c:pt>
                <c:pt idx="1420">
                  <c:v>42872</c:v>
                </c:pt>
                <c:pt idx="1421">
                  <c:v>42873</c:v>
                </c:pt>
                <c:pt idx="1422">
                  <c:v>42874</c:v>
                </c:pt>
                <c:pt idx="1423">
                  <c:v>42877</c:v>
                </c:pt>
                <c:pt idx="1424">
                  <c:v>42878</c:v>
                </c:pt>
                <c:pt idx="1425">
                  <c:v>42879</c:v>
                </c:pt>
                <c:pt idx="1426">
                  <c:v>42880</c:v>
                </c:pt>
                <c:pt idx="1427">
                  <c:v>42881</c:v>
                </c:pt>
                <c:pt idx="1428">
                  <c:v>42884</c:v>
                </c:pt>
                <c:pt idx="1429">
                  <c:v>42885</c:v>
                </c:pt>
                <c:pt idx="1430">
                  <c:v>42886</c:v>
                </c:pt>
                <c:pt idx="1431">
                  <c:v>42887</c:v>
                </c:pt>
                <c:pt idx="1432">
                  <c:v>42888</c:v>
                </c:pt>
                <c:pt idx="1433">
                  <c:v>42891</c:v>
                </c:pt>
                <c:pt idx="1434">
                  <c:v>42892</c:v>
                </c:pt>
                <c:pt idx="1435">
                  <c:v>42893</c:v>
                </c:pt>
                <c:pt idx="1436">
                  <c:v>42894</c:v>
                </c:pt>
                <c:pt idx="1437">
                  <c:v>42895</c:v>
                </c:pt>
                <c:pt idx="1438">
                  <c:v>42898</c:v>
                </c:pt>
                <c:pt idx="1439">
                  <c:v>42899</c:v>
                </c:pt>
                <c:pt idx="1440">
                  <c:v>42900</c:v>
                </c:pt>
                <c:pt idx="1441">
                  <c:v>42901</c:v>
                </c:pt>
                <c:pt idx="1442">
                  <c:v>42902</c:v>
                </c:pt>
                <c:pt idx="1443">
                  <c:v>42905</c:v>
                </c:pt>
                <c:pt idx="1444">
                  <c:v>42906</c:v>
                </c:pt>
                <c:pt idx="1445">
                  <c:v>42907</c:v>
                </c:pt>
                <c:pt idx="1446">
                  <c:v>42908</c:v>
                </c:pt>
                <c:pt idx="1447">
                  <c:v>42909</c:v>
                </c:pt>
                <c:pt idx="1448">
                  <c:v>42912</c:v>
                </c:pt>
                <c:pt idx="1449">
                  <c:v>42913</c:v>
                </c:pt>
                <c:pt idx="1450">
                  <c:v>42914</c:v>
                </c:pt>
                <c:pt idx="1451">
                  <c:v>42915</c:v>
                </c:pt>
                <c:pt idx="1452">
                  <c:v>42916</c:v>
                </c:pt>
                <c:pt idx="1453">
                  <c:v>42919</c:v>
                </c:pt>
                <c:pt idx="1454">
                  <c:v>42920</c:v>
                </c:pt>
                <c:pt idx="1455">
                  <c:v>42921</c:v>
                </c:pt>
                <c:pt idx="1456">
                  <c:v>42922</c:v>
                </c:pt>
                <c:pt idx="1457">
                  <c:v>42923</c:v>
                </c:pt>
                <c:pt idx="1458">
                  <c:v>42926</c:v>
                </c:pt>
                <c:pt idx="1459">
                  <c:v>42927</c:v>
                </c:pt>
                <c:pt idx="1460">
                  <c:v>42928</c:v>
                </c:pt>
                <c:pt idx="1461">
                  <c:v>42929</c:v>
                </c:pt>
                <c:pt idx="1462">
                  <c:v>42930</c:v>
                </c:pt>
                <c:pt idx="1463">
                  <c:v>42933</c:v>
                </c:pt>
                <c:pt idx="1464">
                  <c:v>42934</c:v>
                </c:pt>
                <c:pt idx="1465">
                  <c:v>42935</c:v>
                </c:pt>
                <c:pt idx="1466">
                  <c:v>42936</c:v>
                </c:pt>
                <c:pt idx="1467">
                  <c:v>42937</c:v>
                </c:pt>
                <c:pt idx="1468">
                  <c:v>42940</c:v>
                </c:pt>
                <c:pt idx="1469">
                  <c:v>42941</c:v>
                </c:pt>
                <c:pt idx="1470">
                  <c:v>42942</c:v>
                </c:pt>
                <c:pt idx="1471">
                  <c:v>42943</c:v>
                </c:pt>
                <c:pt idx="1472">
                  <c:v>42944</c:v>
                </c:pt>
                <c:pt idx="1473">
                  <c:v>42947</c:v>
                </c:pt>
                <c:pt idx="1474">
                  <c:v>42948</c:v>
                </c:pt>
                <c:pt idx="1475">
                  <c:v>42949</c:v>
                </c:pt>
                <c:pt idx="1476">
                  <c:v>42950</c:v>
                </c:pt>
                <c:pt idx="1477">
                  <c:v>42951</c:v>
                </c:pt>
                <c:pt idx="1478">
                  <c:v>42954</c:v>
                </c:pt>
                <c:pt idx="1479">
                  <c:v>42955</c:v>
                </c:pt>
                <c:pt idx="1480">
                  <c:v>42956</c:v>
                </c:pt>
                <c:pt idx="1481">
                  <c:v>42957</c:v>
                </c:pt>
                <c:pt idx="1482">
                  <c:v>42958</c:v>
                </c:pt>
                <c:pt idx="1483">
                  <c:v>42961</c:v>
                </c:pt>
                <c:pt idx="1484">
                  <c:v>42962</c:v>
                </c:pt>
                <c:pt idx="1485">
                  <c:v>42963</c:v>
                </c:pt>
                <c:pt idx="1486">
                  <c:v>42964</c:v>
                </c:pt>
                <c:pt idx="1487">
                  <c:v>42965</c:v>
                </c:pt>
                <c:pt idx="1488">
                  <c:v>42968</c:v>
                </c:pt>
                <c:pt idx="1489">
                  <c:v>42969</c:v>
                </c:pt>
                <c:pt idx="1490">
                  <c:v>42970</c:v>
                </c:pt>
                <c:pt idx="1491">
                  <c:v>42971</c:v>
                </c:pt>
                <c:pt idx="1492">
                  <c:v>42972</c:v>
                </c:pt>
                <c:pt idx="1493">
                  <c:v>42975</c:v>
                </c:pt>
                <c:pt idx="1494">
                  <c:v>42976</c:v>
                </c:pt>
                <c:pt idx="1495">
                  <c:v>42977</c:v>
                </c:pt>
                <c:pt idx="1496">
                  <c:v>42978</c:v>
                </c:pt>
                <c:pt idx="1497">
                  <c:v>42979</c:v>
                </c:pt>
                <c:pt idx="1498">
                  <c:v>42982</c:v>
                </c:pt>
                <c:pt idx="1499">
                  <c:v>42983</c:v>
                </c:pt>
                <c:pt idx="1500">
                  <c:v>42984</c:v>
                </c:pt>
                <c:pt idx="1501">
                  <c:v>42985</c:v>
                </c:pt>
                <c:pt idx="1502">
                  <c:v>42986</c:v>
                </c:pt>
                <c:pt idx="1503">
                  <c:v>42989</c:v>
                </c:pt>
                <c:pt idx="1504">
                  <c:v>42990</c:v>
                </c:pt>
                <c:pt idx="1505">
                  <c:v>42991</c:v>
                </c:pt>
                <c:pt idx="1506">
                  <c:v>42992</c:v>
                </c:pt>
                <c:pt idx="1507">
                  <c:v>42993</c:v>
                </c:pt>
                <c:pt idx="1508">
                  <c:v>42996</c:v>
                </c:pt>
                <c:pt idx="1509">
                  <c:v>42997</c:v>
                </c:pt>
                <c:pt idx="1510">
                  <c:v>42998</c:v>
                </c:pt>
                <c:pt idx="1511">
                  <c:v>42999</c:v>
                </c:pt>
                <c:pt idx="1512">
                  <c:v>43000</c:v>
                </c:pt>
                <c:pt idx="1513">
                  <c:v>43003</c:v>
                </c:pt>
                <c:pt idx="1514">
                  <c:v>43004</c:v>
                </c:pt>
                <c:pt idx="1515">
                  <c:v>43005</c:v>
                </c:pt>
                <c:pt idx="1516">
                  <c:v>43006</c:v>
                </c:pt>
                <c:pt idx="1517">
                  <c:v>43007</c:v>
                </c:pt>
                <c:pt idx="1518">
                  <c:v>43010</c:v>
                </c:pt>
                <c:pt idx="1519">
                  <c:v>43011</c:v>
                </c:pt>
                <c:pt idx="1520">
                  <c:v>43012</c:v>
                </c:pt>
                <c:pt idx="1521">
                  <c:v>43013</c:v>
                </c:pt>
                <c:pt idx="1522">
                  <c:v>43014</c:v>
                </c:pt>
                <c:pt idx="1523">
                  <c:v>43017</c:v>
                </c:pt>
                <c:pt idx="1524">
                  <c:v>43018</c:v>
                </c:pt>
                <c:pt idx="1525">
                  <c:v>43019</c:v>
                </c:pt>
                <c:pt idx="1526">
                  <c:v>43020</c:v>
                </c:pt>
                <c:pt idx="1527">
                  <c:v>43021</c:v>
                </c:pt>
                <c:pt idx="1528">
                  <c:v>43024</c:v>
                </c:pt>
                <c:pt idx="1529">
                  <c:v>43025</c:v>
                </c:pt>
                <c:pt idx="1530">
                  <c:v>43026</c:v>
                </c:pt>
                <c:pt idx="1531">
                  <c:v>43027</c:v>
                </c:pt>
                <c:pt idx="1532">
                  <c:v>43028</c:v>
                </c:pt>
                <c:pt idx="1533">
                  <c:v>43031</c:v>
                </c:pt>
                <c:pt idx="1534">
                  <c:v>43032</c:v>
                </c:pt>
                <c:pt idx="1535">
                  <c:v>43033</c:v>
                </c:pt>
                <c:pt idx="1536">
                  <c:v>43034</c:v>
                </c:pt>
                <c:pt idx="1537">
                  <c:v>43035</c:v>
                </c:pt>
                <c:pt idx="1538">
                  <c:v>43038</c:v>
                </c:pt>
                <c:pt idx="1539">
                  <c:v>43039</c:v>
                </c:pt>
                <c:pt idx="1540">
                  <c:v>43040</c:v>
                </c:pt>
                <c:pt idx="1541">
                  <c:v>43041</c:v>
                </c:pt>
                <c:pt idx="1542">
                  <c:v>43042</c:v>
                </c:pt>
                <c:pt idx="1543">
                  <c:v>43045</c:v>
                </c:pt>
                <c:pt idx="1544">
                  <c:v>43046</c:v>
                </c:pt>
                <c:pt idx="1545">
                  <c:v>43047</c:v>
                </c:pt>
                <c:pt idx="1546">
                  <c:v>43048</c:v>
                </c:pt>
                <c:pt idx="1547">
                  <c:v>43049</c:v>
                </c:pt>
                <c:pt idx="1548">
                  <c:v>43052</c:v>
                </c:pt>
                <c:pt idx="1549">
                  <c:v>43053</c:v>
                </c:pt>
                <c:pt idx="1550">
                  <c:v>43054</c:v>
                </c:pt>
                <c:pt idx="1551">
                  <c:v>43055</c:v>
                </c:pt>
                <c:pt idx="1552">
                  <c:v>43056</c:v>
                </c:pt>
                <c:pt idx="1553">
                  <c:v>43059</c:v>
                </c:pt>
                <c:pt idx="1554">
                  <c:v>43060</c:v>
                </c:pt>
                <c:pt idx="1555">
                  <c:v>43061</c:v>
                </c:pt>
                <c:pt idx="1556">
                  <c:v>43062</c:v>
                </c:pt>
                <c:pt idx="1557">
                  <c:v>43063</c:v>
                </c:pt>
                <c:pt idx="1558">
                  <c:v>43066</c:v>
                </c:pt>
                <c:pt idx="1559">
                  <c:v>43067</c:v>
                </c:pt>
                <c:pt idx="1560">
                  <c:v>43068</c:v>
                </c:pt>
                <c:pt idx="1561">
                  <c:v>43069</c:v>
                </c:pt>
                <c:pt idx="1562">
                  <c:v>43070</c:v>
                </c:pt>
                <c:pt idx="1563">
                  <c:v>43073</c:v>
                </c:pt>
                <c:pt idx="1564">
                  <c:v>43074</c:v>
                </c:pt>
                <c:pt idx="1565">
                  <c:v>43075</c:v>
                </c:pt>
                <c:pt idx="1566">
                  <c:v>43076</c:v>
                </c:pt>
                <c:pt idx="1567">
                  <c:v>43077</c:v>
                </c:pt>
                <c:pt idx="1568">
                  <c:v>43080</c:v>
                </c:pt>
                <c:pt idx="1569">
                  <c:v>43081</c:v>
                </c:pt>
                <c:pt idx="1570">
                  <c:v>43082</c:v>
                </c:pt>
                <c:pt idx="1571">
                  <c:v>43083</c:v>
                </c:pt>
                <c:pt idx="1572">
                  <c:v>43084</c:v>
                </c:pt>
                <c:pt idx="1573">
                  <c:v>43087</c:v>
                </c:pt>
                <c:pt idx="1574">
                  <c:v>43088</c:v>
                </c:pt>
                <c:pt idx="1575">
                  <c:v>43089</c:v>
                </c:pt>
                <c:pt idx="1576">
                  <c:v>43090</c:v>
                </c:pt>
                <c:pt idx="1577">
                  <c:v>43091</c:v>
                </c:pt>
                <c:pt idx="1578">
                  <c:v>43096</c:v>
                </c:pt>
                <c:pt idx="1579">
                  <c:v>43097</c:v>
                </c:pt>
                <c:pt idx="1580">
                  <c:v>43098</c:v>
                </c:pt>
                <c:pt idx="1581">
                  <c:v>43102</c:v>
                </c:pt>
                <c:pt idx="1582">
                  <c:v>43103</c:v>
                </c:pt>
                <c:pt idx="1583">
                  <c:v>43104</c:v>
                </c:pt>
                <c:pt idx="1584">
                  <c:v>43105</c:v>
                </c:pt>
                <c:pt idx="1585">
                  <c:v>43108</c:v>
                </c:pt>
                <c:pt idx="1586">
                  <c:v>43109</c:v>
                </c:pt>
                <c:pt idx="1587">
                  <c:v>43110</c:v>
                </c:pt>
                <c:pt idx="1588">
                  <c:v>43111</c:v>
                </c:pt>
                <c:pt idx="1589">
                  <c:v>43112</c:v>
                </c:pt>
                <c:pt idx="1590">
                  <c:v>43115</c:v>
                </c:pt>
                <c:pt idx="1591">
                  <c:v>43116</c:v>
                </c:pt>
                <c:pt idx="1592">
                  <c:v>43117</c:v>
                </c:pt>
                <c:pt idx="1593">
                  <c:v>43118</c:v>
                </c:pt>
                <c:pt idx="1594">
                  <c:v>43119</c:v>
                </c:pt>
                <c:pt idx="1595">
                  <c:v>43122</c:v>
                </c:pt>
                <c:pt idx="1596">
                  <c:v>43123</c:v>
                </c:pt>
                <c:pt idx="1597">
                  <c:v>43124</c:v>
                </c:pt>
                <c:pt idx="1598">
                  <c:v>43125</c:v>
                </c:pt>
                <c:pt idx="1599">
                  <c:v>43126</c:v>
                </c:pt>
                <c:pt idx="1600">
                  <c:v>43129</c:v>
                </c:pt>
                <c:pt idx="1601">
                  <c:v>43130</c:v>
                </c:pt>
                <c:pt idx="1602">
                  <c:v>43131</c:v>
                </c:pt>
                <c:pt idx="1603">
                  <c:v>43132</c:v>
                </c:pt>
                <c:pt idx="1604">
                  <c:v>43133</c:v>
                </c:pt>
                <c:pt idx="1605">
                  <c:v>43136</c:v>
                </c:pt>
                <c:pt idx="1606">
                  <c:v>43137</c:v>
                </c:pt>
                <c:pt idx="1607">
                  <c:v>43138</c:v>
                </c:pt>
                <c:pt idx="1608">
                  <c:v>43139</c:v>
                </c:pt>
                <c:pt idx="1609">
                  <c:v>43140</c:v>
                </c:pt>
                <c:pt idx="1610">
                  <c:v>43143</c:v>
                </c:pt>
                <c:pt idx="1611">
                  <c:v>43144</c:v>
                </c:pt>
                <c:pt idx="1612">
                  <c:v>43145</c:v>
                </c:pt>
                <c:pt idx="1613">
                  <c:v>43146</c:v>
                </c:pt>
                <c:pt idx="1614">
                  <c:v>43147</c:v>
                </c:pt>
                <c:pt idx="1615">
                  <c:v>43150</c:v>
                </c:pt>
                <c:pt idx="1616">
                  <c:v>43151</c:v>
                </c:pt>
                <c:pt idx="1617">
                  <c:v>43152</c:v>
                </c:pt>
                <c:pt idx="1618">
                  <c:v>43153</c:v>
                </c:pt>
                <c:pt idx="1619">
                  <c:v>43154</c:v>
                </c:pt>
                <c:pt idx="1620">
                  <c:v>43157</c:v>
                </c:pt>
                <c:pt idx="1621">
                  <c:v>43158</c:v>
                </c:pt>
                <c:pt idx="1622">
                  <c:v>43159</c:v>
                </c:pt>
                <c:pt idx="1623">
                  <c:v>43160</c:v>
                </c:pt>
                <c:pt idx="1624">
                  <c:v>43161</c:v>
                </c:pt>
                <c:pt idx="1625">
                  <c:v>43164</c:v>
                </c:pt>
                <c:pt idx="1626">
                  <c:v>43165</c:v>
                </c:pt>
                <c:pt idx="1627">
                  <c:v>43166</c:v>
                </c:pt>
                <c:pt idx="1628">
                  <c:v>43167</c:v>
                </c:pt>
                <c:pt idx="1629">
                  <c:v>43168</c:v>
                </c:pt>
                <c:pt idx="1630">
                  <c:v>43171</c:v>
                </c:pt>
                <c:pt idx="1631">
                  <c:v>43172</c:v>
                </c:pt>
                <c:pt idx="1632">
                  <c:v>43173</c:v>
                </c:pt>
                <c:pt idx="1633">
                  <c:v>43174</c:v>
                </c:pt>
                <c:pt idx="1634">
                  <c:v>43175</c:v>
                </c:pt>
                <c:pt idx="1635">
                  <c:v>43178</c:v>
                </c:pt>
                <c:pt idx="1636">
                  <c:v>43179</c:v>
                </c:pt>
                <c:pt idx="1637">
                  <c:v>43180</c:v>
                </c:pt>
                <c:pt idx="1638">
                  <c:v>43181</c:v>
                </c:pt>
                <c:pt idx="1639">
                  <c:v>43182</c:v>
                </c:pt>
                <c:pt idx="1640">
                  <c:v>43185</c:v>
                </c:pt>
                <c:pt idx="1641">
                  <c:v>43186</c:v>
                </c:pt>
                <c:pt idx="1642">
                  <c:v>43187</c:v>
                </c:pt>
                <c:pt idx="1643">
                  <c:v>43188</c:v>
                </c:pt>
                <c:pt idx="1644">
                  <c:v>43193</c:v>
                </c:pt>
                <c:pt idx="1645">
                  <c:v>43194</c:v>
                </c:pt>
                <c:pt idx="1646">
                  <c:v>43195</c:v>
                </c:pt>
                <c:pt idx="1647">
                  <c:v>43196</c:v>
                </c:pt>
                <c:pt idx="1648">
                  <c:v>43199</c:v>
                </c:pt>
                <c:pt idx="1649">
                  <c:v>43200</c:v>
                </c:pt>
                <c:pt idx="1650">
                  <c:v>43201</c:v>
                </c:pt>
                <c:pt idx="1651">
                  <c:v>43202</c:v>
                </c:pt>
                <c:pt idx="1652">
                  <c:v>43203</c:v>
                </c:pt>
                <c:pt idx="1653">
                  <c:v>43206</c:v>
                </c:pt>
                <c:pt idx="1654">
                  <c:v>43207</c:v>
                </c:pt>
                <c:pt idx="1655">
                  <c:v>43208</c:v>
                </c:pt>
                <c:pt idx="1656">
                  <c:v>43209</c:v>
                </c:pt>
                <c:pt idx="1657">
                  <c:v>43210</c:v>
                </c:pt>
                <c:pt idx="1658">
                  <c:v>43213</c:v>
                </c:pt>
                <c:pt idx="1659">
                  <c:v>43214</c:v>
                </c:pt>
                <c:pt idx="1660">
                  <c:v>43215</c:v>
                </c:pt>
                <c:pt idx="1661">
                  <c:v>43216</c:v>
                </c:pt>
                <c:pt idx="1662">
                  <c:v>43217</c:v>
                </c:pt>
                <c:pt idx="1663">
                  <c:v>43220</c:v>
                </c:pt>
                <c:pt idx="1664">
                  <c:v>43222</c:v>
                </c:pt>
                <c:pt idx="1665">
                  <c:v>43223</c:v>
                </c:pt>
                <c:pt idx="1666">
                  <c:v>43224</c:v>
                </c:pt>
                <c:pt idx="1667">
                  <c:v>43227</c:v>
                </c:pt>
                <c:pt idx="1668">
                  <c:v>43228</c:v>
                </c:pt>
                <c:pt idx="1669">
                  <c:v>43229</c:v>
                </c:pt>
                <c:pt idx="1670">
                  <c:v>43230</c:v>
                </c:pt>
                <c:pt idx="1671">
                  <c:v>43231</c:v>
                </c:pt>
                <c:pt idx="1672">
                  <c:v>43234</c:v>
                </c:pt>
                <c:pt idx="1673">
                  <c:v>43235</c:v>
                </c:pt>
                <c:pt idx="1674">
                  <c:v>43236</c:v>
                </c:pt>
                <c:pt idx="1675">
                  <c:v>43237</c:v>
                </c:pt>
                <c:pt idx="1676">
                  <c:v>43238</c:v>
                </c:pt>
                <c:pt idx="1677">
                  <c:v>43241</c:v>
                </c:pt>
                <c:pt idx="1678">
                  <c:v>43242</c:v>
                </c:pt>
                <c:pt idx="1679">
                  <c:v>43243</c:v>
                </c:pt>
                <c:pt idx="1680">
                  <c:v>43244</c:v>
                </c:pt>
                <c:pt idx="1681">
                  <c:v>43245</c:v>
                </c:pt>
                <c:pt idx="1682">
                  <c:v>43248</c:v>
                </c:pt>
                <c:pt idx="1683">
                  <c:v>43249</c:v>
                </c:pt>
                <c:pt idx="1684">
                  <c:v>43250</c:v>
                </c:pt>
                <c:pt idx="1685">
                  <c:v>43251</c:v>
                </c:pt>
                <c:pt idx="1686">
                  <c:v>43252</c:v>
                </c:pt>
                <c:pt idx="1687">
                  <c:v>43255</c:v>
                </c:pt>
                <c:pt idx="1688">
                  <c:v>43256</c:v>
                </c:pt>
                <c:pt idx="1689">
                  <c:v>43257</c:v>
                </c:pt>
                <c:pt idx="1690">
                  <c:v>43258</c:v>
                </c:pt>
                <c:pt idx="1691">
                  <c:v>43259</c:v>
                </c:pt>
                <c:pt idx="1692">
                  <c:v>43262</c:v>
                </c:pt>
                <c:pt idx="1693">
                  <c:v>43263</c:v>
                </c:pt>
                <c:pt idx="1694">
                  <c:v>43264</c:v>
                </c:pt>
                <c:pt idx="1695">
                  <c:v>43265</c:v>
                </c:pt>
                <c:pt idx="1696">
                  <c:v>43266</c:v>
                </c:pt>
                <c:pt idx="1697">
                  <c:v>43269</c:v>
                </c:pt>
                <c:pt idx="1698">
                  <c:v>43270</c:v>
                </c:pt>
                <c:pt idx="1699">
                  <c:v>43271</c:v>
                </c:pt>
                <c:pt idx="1700">
                  <c:v>43272</c:v>
                </c:pt>
                <c:pt idx="1701">
                  <c:v>43273</c:v>
                </c:pt>
                <c:pt idx="1702">
                  <c:v>43276</c:v>
                </c:pt>
                <c:pt idx="1703">
                  <c:v>43277</c:v>
                </c:pt>
                <c:pt idx="1704">
                  <c:v>43278</c:v>
                </c:pt>
                <c:pt idx="1705">
                  <c:v>43279</c:v>
                </c:pt>
                <c:pt idx="1706">
                  <c:v>43280</c:v>
                </c:pt>
                <c:pt idx="1707">
                  <c:v>43283</c:v>
                </c:pt>
                <c:pt idx="1708">
                  <c:v>43284</c:v>
                </c:pt>
                <c:pt idx="1709">
                  <c:v>43285</c:v>
                </c:pt>
                <c:pt idx="1710">
                  <c:v>43286</c:v>
                </c:pt>
                <c:pt idx="1711">
                  <c:v>43287</c:v>
                </c:pt>
                <c:pt idx="1712">
                  <c:v>43290</c:v>
                </c:pt>
                <c:pt idx="1713">
                  <c:v>43291</c:v>
                </c:pt>
                <c:pt idx="1714">
                  <c:v>43292</c:v>
                </c:pt>
                <c:pt idx="1715">
                  <c:v>43293</c:v>
                </c:pt>
                <c:pt idx="1716">
                  <c:v>43294</c:v>
                </c:pt>
                <c:pt idx="1717">
                  <c:v>43297</c:v>
                </c:pt>
                <c:pt idx="1718">
                  <c:v>43298</c:v>
                </c:pt>
                <c:pt idx="1719">
                  <c:v>43299</c:v>
                </c:pt>
                <c:pt idx="1720">
                  <c:v>43300</c:v>
                </c:pt>
                <c:pt idx="1721">
                  <c:v>43301</c:v>
                </c:pt>
                <c:pt idx="1722">
                  <c:v>43304</c:v>
                </c:pt>
                <c:pt idx="1723">
                  <c:v>43305</c:v>
                </c:pt>
                <c:pt idx="1724">
                  <c:v>43306</c:v>
                </c:pt>
                <c:pt idx="1725">
                  <c:v>43307</c:v>
                </c:pt>
                <c:pt idx="1726">
                  <c:v>43308</c:v>
                </c:pt>
                <c:pt idx="1727">
                  <c:v>43311</c:v>
                </c:pt>
                <c:pt idx="1728">
                  <c:v>43312</c:v>
                </c:pt>
                <c:pt idx="1729">
                  <c:v>43313</c:v>
                </c:pt>
                <c:pt idx="1730">
                  <c:v>43314</c:v>
                </c:pt>
                <c:pt idx="1731">
                  <c:v>43315</c:v>
                </c:pt>
                <c:pt idx="1732">
                  <c:v>43318</c:v>
                </c:pt>
                <c:pt idx="1733">
                  <c:v>43319</c:v>
                </c:pt>
                <c:pt idx="1734">
                  <c:v>43320</c:v>
                </c:pt>
                <c:pt idx="1735">
                  <c:v>43321</c:v>
                </c:pt>
                <c:pt idx="1736">
                  <c:v>43322</c:v>
                </c:pt>
                <c:pt idx="1737">
                  <c:v>43325</c:v>
                </c:pt>
                <c:pt idx="1738">
                  <c:v>43326</c:v>
                </c:pt>
                <c:pt idx="1739">
                  <c:v>43327</c:v>
                </c:pt>
                <c:pt idx="1740">
                  <c:v>43328</c:v>
                </c:pt>
                <c:pt idx="1741">
                  <c:v>43329</c:v>
                </c:pt>
                <c:pt idx="1742">
                  <c:v>43332</c:v>
                </c:pt>
                <c:pt idx="1743">
                  <c:v>43333</c:v>
                </c:pt>
                <c:pt idx="1744">
                  <c:v>43334</c:v>
                </c:pt>
                <c:pt idx="1745">
                  <c:v>43335</c:v>
                </c:pt>
                <c:pt idx="1746">
                  <c:v>43336</c:v>
                </c:pt>
                <c:pt idx="1747">
                  <c:v>43339</c:v>
                </c:pt>
                <c:pt idx="1748">
                  <c:v>43340</c:v>
                </c:pt>
                <c:pt idx="1749">
                  <c:v>43341</c:v>
                </c:pt>
                <c:pt idx="1750">
                  <c:v>43342</c:v>
                </c:pt>
                <c:pt idx="1751">
                  <c:v>43343</c:v>
                </c:pt>
                <c:pt idx="1752">
                  <c:v>43346</c:v>
                </c:pt>
                <c:pt idx="1753">
                  <c:v>43347</c:v>
                </c:pt>
                <c:pt idx="1754">
                  <c:v>43348</c:v>
                </c:pt>
                <c:pt idx="1755">
                  <c:v>43349</c:v>
                </c:pt>
                <c:pt idx="1756">
                  <c:v>43350</c:v>
                </c:pt>
                <c:pt idx="1757">
                  <c:v>43353</c:v>
                </c:pt>
                <c:pt idx="1758">
                  <c:v>43354</c:v>
                </c:pt>
                <c:pt idx="1759">
                  <c:v>43355</c:v>
                </c:pt>
                <c:pt idx="1760">
                  <c:v>43356</c:v>
                </c:pt>
                <c:pt idx="1761">
                  <c:v>43357</c:v>
                </c:pt>
                <c:pt idx="1762">
                  <c:v>43360</c:v>
                </c:pt>
                <c:pt idx="1763">
                  <c:v>43361</c:v>
                </c:pt>
                <c:pt idx="1764">
                  <c:v>43362</c:v>
                </c:pt>
                <c:pt idx="1765">
                  <c:v>43363</c:v>
                </c:pt>
                <c:pt idx="1766">
                  <c:v>43364</c:v>
                </c:pt>
                <c:pt idx="1767">
                  <c:v>43367</c:v>
                </c:pt>
                <c:pt idx="1768">
                  <c:v>43368</c:v>
                </c:pt>
                <c:pt idx="1769">
                  <c:v>43369</c:v>
                </c:pt>
                <c:pt idx="1770">
                  <c:v>43370</c:v>
                </c:pt>
                <c:pt idx="1771">
                  <c:v>43371</c:v>
                </c:pt>
                <c:pt idx="1772">
                  <c:v>43374</c:v>
                </c:pt>
                <c:pt idx="1773">
                  <c:v>43375</c:v>
                </c:pt>
                <c:pt idx="1774">
                  <c:v>43376</c:v>
                </c:pt>
                <c:pt idx="1775">
                  <c:v>43377</c:v>
                </c:pt>
                <c:pt idx="1776">
                  <c:v>43378</c:v>
                </c:pt>
                <c:pt idx="1777">
                  <c:v>43381</c:v>
                </c:pt>
                <c:pt idx="1778">
                  <c:v>43382</c:v>
                </c:pt>
                <c:pt idx="1779">
                  <c:v>43383</c:v>
                </c:pt>
                <c:pt idx="1780">
                  <c:v>43384</c:v>
                </c:pt>
                <c:pt idx="1781">
                  <c:v>43385</c:v>
                </c:pt>
                <c:pt idx="1782">
                  <c:v>43388</c:v>
                </c:pt>
                <c:pt idx="1783">
                  <c:v>43389</c:v>
                </c:pt>
                <c:pt idx="1784">
                  <c:v>43390</c:v>
                </c:pt>
                <c:pt idx="1785">
                  <c:v>43391</c:v>
                </c:pt>
                <c:pt idx="1786">
                  <c:v>43392</c:v>
                </c:pt>
                <c:pt idx="1787">
                  <c:v>43395</c:v>
                </c:pt>
                <c:pt idx="1788">
                  <c:v>43396</c:v>
                </c:pt>
                <c:pt idx="1789">
                  <c:v>43397</c:v>
                </c:pt>
                <c:pt idx="1790">
                  <c:v>43398</c:v>
                </c:pt>
                <c:pt idx="1791">
                  <c:v>43399</c:v>
                </c:pt>
                <c:pt idx="1792">
                  <c:v>43402</c:v>
                </c:pt>
                <c:pt idx="1793">
                  <c:v>43403</c:v>
                </c:pt>
                <c:pt idx="1794">
                  <c:v>43404</c:v>
                </c:pt>
                <c:pt idx="1795">
                  <c:v>43405</c:v>
                </c:pt>
                <c:pt idx="1796">
                  <c:v>43406</c:v>
                </c:pt>
                <c:pt idx="1797">
                  <c:v>43409</c:v>
                </c:pt>
                <c:pt idx="1798">
                  <c:v>43410</c:v>
                </c:pt>
                <c:pt idx="1799">
                  <c:v>43411</c:v>
                </c:pt>
                <c:pt idx="1800">
                  <c:v>43412</c:v>
                </c:pt>
                <c:pt idx="1801">
                  <c:v>43413</c:v>
                </c:pt>
                <c:pt idx="1802">
                  <c:v>43416</c:v>
                </c:pt>
                <c:pt idx="1803">
                  <c:v>43417</c:v>
                </c:pt>
                <c:pt idx="1804">
                  <c:v>43418</c:v>
                </c:pt>
                <c:pt idx="1805">
                  <c:v>43419</c:v>
                </c:pt>
                <c:pt idx="1806">
                  <c:v>43420</c:v>
                </c:pt>
                <c:pt idx="1807">
                  <c:v>43423</c:v>
                </c:pt>
                <c:pt idx="1808">
                  <c:v>43424</c:v>
                </c:pt>
                <c:pt idx="1809">
                  <c:v>43425</c:v>
                </c:pt>
                <c:pt idx="1810">
                  <c:v>43426</c:v>
                </c:pt>
                <c:pt idx="1811">
                  <c:v>43427</c:v>
                </c:pt>
                <c:pt idx="1812">
                  <c:v>43430</c:v>
                </c:pt>
                <c:pt idx="1813">
                  <c:v>43431</c:v>
                </c:pt>
                <c:pt idx="1814">
                  <c:v>43432</c:v>
                </c:pt>
                <c:pt idx="1815">
                  <c:v>43433</c:v>
                </c:pt>
                <c:pt idx="1816">
                  <c:v>43434</c:v>
                </c:pt>
                <c:pt idx="1817">
                  <c:v>43437</c:v>
                </c:pt>
                <c:pt idx="1818">
                  <c:v>43438</c:v>
                </c:pt>
                <c:pt idx="1819">
                  <c:v>43439</c:v>
                </c:pt>
                <c:pt idx="1820">
                  <c:v>43440</c:v>
                </c:pt>
                <c:pt idx="1821">
                  <c:v>43441</c:v>
                </c:pt>
                <c:pt idx="1822">
                  <c:v>43444</c:v>
                </c:pt>
                <c:pt idx="1823">
                  <c:v>43445</c:v>
                </c:pt>
                <c:pt idx="1824">
                  <c:v>43446</c:v>
                </c:pt>
                <c:pt idx="1825">
                  <c:v>43447</c:v>
                </c:pt>
                <c:pt idx="1826">
                  <c:v>43448</c:v>
                </c:pt>
                <c:pt idx="1827">
                  <c:v>43451</c:v>
                </c:pt>
                <c:pt idx="1828">
                  <c:v>43452</c:v>
                </c:pt>
                <c:pt idx="1829">
                  <c:v>43453</c:v>
                </c:pt>
                <c:pt idx="1830">
                  <c:v>43454</c:v>
                </c:pt>
                <c:pt idx="1831">
                  <c:v>43455</c:v>
                </c:pt>
                <c:pt idx="1832">
                  <c:v>43458</c:v>
                </c:pt>
                <c:pt idx="1833">
                  <c:v>43461</c:v>
                </c:pt>
                <c:pt idx="1834">
                  <c:v>43462</c:v>
                </c:pt>
                <c:pt idx="1835">
                  <c:v>43465</c:v>
                </c:pt>
                <c:pt idx="1836">
                  <c:v>43467</c:v>
                </c:pt>
                <c:pt idx="1837">
                  <c:v>43468</c:v>
                </c:pt>
                <c:pt idx="1838">
                  <c:v>43469</c:v>
                </c:pt>
                <c:pt idx="1839">
                  <c:v>43472</c:v>
                </c:pt>
                <c:pt idx="1840">
                  <c:v>43473</c:v>
                </c:pt>
                <c:pt idx="1841">
                  <c:v>43474</c:v>
                </c:pt>
                <c:pt idx="1842">
                  <c:v>43475</c:v>
                </c:pt>
                <c:pt idx="1843">
                  <c:v>43476</c:v>
                </c:pt>
                <c:pt idx="1844">
                  <c:v>43479</c:v>
                </c:pt>
                <c:pt idx="1845">
                  <c:v>43480</c:v>
                </c:pt>
                <c:pt idx="1846">
                  <c:v>43481</c:v>
                </c:pt>
                <c:pt idx="1847">
                  <c:v>43482</c:v>
                </c:pt>
                <c:pt idx="1848">
                  <c:v>43483</c:v>
                </c:pt>
                <c:pt idx="1849">
                  <c:v>43486</c:v>
                </c:pt>
                <c:pt idx="1850">
                  <c:v>43487</c:v>
                </c:pt>
                <c:pt idx="1851">
                  <c:v>43488</c:v>
                </c:pt>
                <c:pt idx="1852">
                  <c:v>43489</c:v>
                </c:pt>
                <c:pt idx="1853">
                  <c:v>43490</c:v>
                </c:pt>
                <c:pt idx="1854">
                  <c:v>43493</c:v>
                </c:pt>
                <c:pt idx="1855">
                  <c:v>43494</c:v>
                </c:pt>
                <c:pt idx="1856">
                  <c:v>43495</c:v>
                </c:pt>
                <c:pt idx="1857">
                  <c:v>43496</c:v>
                </c:pt>
                <c:pt idx="1858">
                  <c:v>43497</c:v>
                </c:pt>
                <c:pt idx="1859">
                  <c:v>43500</c:v>
                </c:pt>
                <c:pt idx="1860">
                  <c:v>43501</c:v>
                </c:pt>
                <c:pt idx="1861">
                  <c:v>43502</c:v>
                </c:pt>
                <c:pt idx="1862">
                  <c:v>43503</c:v>
                </c:pt>
                <c:pt idx="1863">
                  <c:v>43504</c:v>
                </c:pt>
                <c:pt idx="1864">
                  <c:v>43507</c:v>
                </c:pt>
                <c:pt idx="1865">
                  <c:v>43508</c:v>
                </c:pt>
                <c:pt idx="1866">
                  <c:v>43509</c:v>
                </c:pt>
                <c:pt idx="1867">
                  <c:v>43510</c:v>
                </c:pt>
                <c:pt idx="1868">
                  <c:v>43511</c:v>
                </c:pt>
                <c:pt idx="1869">
                  <c:v>43514</c:v>
                </c:pt>
                <c:pt idx="1870">
                  <c:v>43515</c:v>
                </c:pt>
                <c:pt idx="1871">
                  <c:v>43516</c:v>
                </c:pt>
                <c:pt idx="1872">
                  <c:v>43517</c:v>
                </c:pt>
                <c:pt idx="1873">
                  <c:v>43518</c:v>
                </c:pt>
                <c:pt idx="1874">
                  <c:v>43521</c:v>
                </c:pt>
                <c:pt idx="1875">
                  <c:v>43522</c:v>
                </c:pt>
                <c:pt idx="1876">
                  <c:v>43523</c:v>
                </c:pt>
                <c:pt idx="1877">
                  <c:v>43524</c:v>
                </c:pt>
                <c:pt idx="1878">
                  <c:v>43525</c:v>
                </c:pt>
                <c:pt idx="1879">
                  <c:v>43528</c:v>
                </c:pt>
                <c:pt idx="1880">
                  <c:v>43529</c:v>
                </c:pt>
                <c:pt idx="1881">
                  <c:v>43530</c:v>
                </c:pt>
                <c:pt idx="1882">
                  <c:v>43531</c:v>
                </c:pt>
                <c:pt idx="1883">
                  <c:v>43532</c:v>
                </c:pt>
                <c:pt idx="1884">
                  <c:v>43535</c:v>
                </c:pt>
                <c:pt idx="1885">
                  <c:v>43536</c:v>
                </c:pt>
                <c:pt idx="1886">
                  <c:v>43537</c:v>
                </c:pt>
                <c:pt idx="1887">
                  <c:v>43538</c:v>
                </c:pt>
                <c:pt idx="1888">
                  <c:v>43539</c:v>
                </c:pt>
                <c:pt idx="1889">
                  <c:v>43542</c:v>
                </c:pt>
                <c:pt idx="1890">
                  <c:v>43543</c:v>
                </c:pt>
                <c:pt idx="1891">
                  <c:v>43544</c:v>
                </c:pt>
                <c:pt idx="1892">
                  <c:v>43545</c:v>
                </c:pt>
                <c:pt idx="1893">
                  <c:v>43546</c:v>
                </c:pt>
                <c:pt idx="1894">
                  <c:v>43549</c:v>
                </c:pt>
                <c:pt idx="1895">
                  <c:v>43550</c:v>
                </c:pt>
                <c:pt idx="1896">
                  <c:v>43551</c:v>
                </c:pt>
                <c:pt idx="1897">
                  <c:v>43552</c:v>
                </c:pt>
                <c:pt idx="1898">
                  <c:v>43553</c:v>
                </c:pt>
                <c:pt idx="1899">
                  <c:v>43556</c:v>
                </c:pt>
                <c:pt idx="1900">
                  <c:v>43557</c:v>
                </c:pt>
                <c:pt idx="1901">
                  <c:v>43558</c:v>
                </c:pt>
                <c:pt idx="1902">
                  <c:v>43559</c:v>
                </c:pt>
                <c:pt idx="1903">
                  <c:v>43560</c:v>
                </c:pt>
                <c:pt idx="1904">
                  <c:v>43563</c:v>
                </c:pt>
                <c:pt idx="1905">
                  <c:v>43564</c:v>
                </c:pt>
                <c:pt idx="1906">
                  <c:v>43565</c:v>
                </c:pt>
                <c:pt idx="1907">
                  <c:v>43566</c:v>
                </c:pt>
                <c:pt idx="1908">
                  <c:v>43567</c:v>
                </c:pt>
                <c:pt idx="1909">
                  <c:v>43570</c:v>
                </c:pt>
                <c:pt idx="1910">
                  <c:v>43571</c:v>
                </c:pt>
                <c:pt idx="1911">
                  <c:v>43572</c:v>
                </c:pt>
                <c:pt idx="1912">
                  <c:v>43573</c:v>
                </c:pt>
                <c:pt idx="1913">
                  <c:v>43578</c:v>
                </c:pt>
                <c:pt idx="1914">
                  <c:v>43579</c:v>
                </c:pt>
                <c:pt idx="1915">
                  <c:v>43580</c:v>
                </c:pt>
                <c:pt idx="1916">
                  <c:v>43581</c:v>
                </c:pt>
                <c:pt idx="1917">
                  <c:v>43584</c:v>
                </c:pt>
                <c:pt idx="1918">
                  <c:v>43585</c:v>
                </c:pt>
                <c:pt idx="1919">
                  <c:v>43587</c:v>
                </c:pt>
                <c:pt idx="1920">
                  <c:v>43588</c:v>
                </c:pt>
                <c:pt idx="1921">
                  <c:v>43591</c:v>
                </c:pt>
                <c:pt idx="1922">
                  <c:v>43592</c:v>
                </c:pt>
                <c:pt idx="1923">
                  <c:v>43593</c:v>
                </c:pt>
                <c:pt idx="1924">
                  <c:v>43594</c:v>
                </c:pt>
                <c:pt idx="1925">
                  <c:v>43595</c:v>
                </c:pt>
                <c:pt idx="1926">
                  <c:v>43598</c:v>
                </c:pt>
                <c:pt idx="1927">
                  <c:v>43599</c:v>
                </c:pt>
                <c:pt idx="1928">
                  <c:v>43600</c:v>
                </c:pt>
                <c:pt idx="1929">
                  <c:v>43601</c:v>
                </c:pt>
                <c:pt idx="1930">
                  <c:v>43602</c:v>
                </c:pt>
                <c:pt idx="1931">
                  <c:v>43605</c:v>
                </c:pt>
                <c:pt idx="1932">
                  <c:v>43606</c:v>
                </c:pt>
                <c:pt idx="1933">
                  <c:v>43607</c:v>
                </c:pt>
                <c:pt idx="1934">
                  <c:v>43608</c:v>
                </c:pt>
                <c:pt idx="1935">
                  <c:v>43609</c:v>
                </c:pt>
                <c:pt idx="1936">
                  <c:v>43612</c:v>
                </c:pt>
                <c:pt idx="1937">
                  <c:v>43613</c:v>
                </c:pt>
                <c:pt idx="1938">
                  <c:v>43614</c:v>
                </c:pt>
                <c:pt idx="1939">
                  <c:v>43615</c:v>
                </c:pt>
                <c:pt idx="1940">
                  <c:v>43616</c:v>
                </c:pt>
                <c:pt idx="1941">
                  <c:v>43619</c:v>
                </c:pt>
                <c:pt idx="1942">
                  <c:v>43620</c:v>
                </c:pt>
                <c:pt idx="1943">
                  <c:v>43621</c:v>
                </c:pt>
                <c:pt idx="1944">
                  <c:v>43622</c:v>
                </c:pt>
                <c:pt idx="1945">
                  <c:v>43623</c:v>
                </c:pt>
                <c:pt idx="1946">
                  <c:v>43626</c:v>
                </c:pt>
                <c:pt idx="1947">
                  <c:v>43627</c:v>
                </c:pt>
                <c:pt idx="1948">
                  <c:v>43628</c:v>
                </c:pt>
                <c:pt idx="1949">
                  <c:v>43629</c:v>
                </c:pt>
                <c:pt idx="1950">
                  <c:v>43630</c:v>
                </c:pt>
                <c:pt idx="1951">
                  <c:v>43633</c:v>
                </c:pt>
                <c:pt idx="1952">
                  <c:v>43634</c:v>
                </c:pt>
                <c:pt idx="1953">
                  <c:v>43635</c:v>
                </c:pt>
                <c:pt idx="1954">
                  <c:v>43636</c:v>
                </c:pt>
                <c:pt idx="1955">
                  <c:v>43637</c:v>
                </c:pt>
                <c:pt idx="1956">
                  <c:v>43640</c:v>
                </c:pt>
                <c:pt idx="1957">
                  <c:v>43641</c:v>
                </c:pt>
                <c:pt idx="1958">
                  <c:v>43642</c:v>
                </c:pt>
                <c:pt idx="1959">
                  <c:v>43643</c:v>
                </c:pt>
                <c:pt idx="1960">
                  <c:v>43644</c:v>
                </c:pt>
                <c:pt idx="1961">
                  <c:v>43647</c:v>
                </c:pt>
                <c:pt idx="1962">
                  <c:v>43648</c:v>
                </c:pt>
                <c:pt idx="1963">
                  <c:v>43649</c:v>
                </c:pt>
                <c:pt idx="1964">
                  <c:v>43650</c:v>
                </c:pt>
                <c:pt idx="1965">
                  <c:v>43651</c:v>
                </c:pt>
                <c:pt idx="1966">
                  <c:v>43654</c:v>
                </c:pt>
                <c:pt idx="1967">
                  <c:v>43655</c:v>
                </c:pt>
                <c:pt idx="1968">
                  <c:v>43656</c:v>
                </c:pt>
                <c:pt idx="1969">
                  <c:v>43657</c:v>
                </c:pt>
                <c:pt idx="1970">
                  <c:v>43658</c:v>
                </c:pt>
                <c:pt idx="1971">
                  <c:v>43661</c:v>
                </c:pt>
                <c:pt idx="1972">
                  <c:v>43662</c:v>
                </c:pt>
                <c:pt idx="1973">
                  <c:v>43663</c:v>
                </c:pt>
                <c:pt idx="1974">
                  <c:v>43664</c:v>
                </c:pt>
                <c:pt idx="1975">
                  <c:v>43665</c:v>
                </c:pt>
                <c:pt idx="1976">
                  <c:v>43668</c:v>
                </c:pt>
                <c:pt idx="1977">
                  <c:v>43669</c:v>
                </c:pt>
                <c:pt idx="1978">
                  <c:v>43670</c:v>
                </c:pt>
                <c:pt idx="1979">
                  <c:v>43671</c:v>
                </c:pt>
                <c:pt idx="1980">
                  <c:v>43672</c:v>
                </c:pt>
                <c:pt idx="1981">
                  <c:v>43675</c:v>
                </c:pt>
                <c:pt idx="1982">
                  <c:v>43676</c:v>
                </c:pt>
                <c:pt idx="1983">
                  <c:v>43677</c:v>
                </c:pt>
                <c:pt idx="1984">
                  <c:v>43678</c:v>
                </c:pt>
                <c:pt idx="1985">
                  <c:v>43679</c:v>
                </c:pt>
                <c:pt idx="1986">
                  <c:v>43682</c:v>
                </c:pt>
                <c:pt idx="1987">
                  <c:v>43683</c:v>
                </c:pt>
                <c:pt idx="1988">
                  <c:v>43684</c:v>
                </c:pt>
                <c:pt idx="1989">
                  <c:v>43685</c:v>
                </c:pt>
                <c:pt idx="1990">
                  <c:v>43686</c:v>
                </c:pt>
                <c:pt idx="1991">
                  <c:v>43689</c:v>
                </c:pt>
                <c:pt idx="1992">
                  <c:v>43690</c:v>
                </c:pt>
                <c:pt idx="1993">
                  <c:v>43691</c:v>
                </c:pt>
                <c:pt idx="1994">
                  <c:v>43692</c:v>
                </c:pt>
                <c:pt idx="1995">
                  <c:v>43693</c:v>
                </c:pt>
                <c:pt idx="1996">
                  <c:v>43696</c:v>
                </c:pt>
                <c:pt idx="1997">
                  <c:v>43697</c:v>
                </c:pt>
                <c:pt idx="1998">
                  <c:v>43698</c:v>
                </c:pt>
                <c:pt idx="1999">
                  <c:v>43699</c:v>
                </c:pt>
                <c:pt idx="2000">
                  <c:v>43700</c:v>
                </c:pt>
                <c:pt idx="2001">
                  <c:v>43703</c:v>
                </c:pt>
                <c:pt idx="2002">
                  <c:v>43704</c:v>
                </c:pt>
                <c:pt idx="2003">
                  <c:v>43705</c:v>
                </c:pt>
                <c:pt idx="2004">
                  <c:v>43706</c:v>
                </c:pt>
                <c:pt idx="2005">
                  <c:v>43707</c:v>
                </c:pt>
                <c:pt idx="2006">
                  <c:v>43710</c:v>
                </c:pt>
                <c:pt idx="2007">
                  <c:v>43711</c:v>
                </c:pt>
                <c:pt idx="2008">
                  <c:v>43712</c:v>
                </c:pt>
                <c:pt idx="2009">
                  <c:v>43713</c:v>
                </c:pt>
                <c:pt idx="2010">
                  <c:v>43714</c:v>
                </c:pt>
                <c:pt idx="2011">
                  <c:v>43717</c:v>
                </c:pt>
                <c:pt idx="2012">
                  <c:v>43718</c:v>
                </c:pt>
                <c:pt idx="2013">
                  <c:v>43719</c:v>
                </c:pt>
                <c:pt idx="2014">
                  <c:v>43720</c:v>
                </c:pt>
                <c:pt idx="2015">
                  <c:v>43721</c:v>
                </c:pt>
                <c:pt idx="2016">
                  <c:v>43724</c:v>
                </c:pt>
                <c:pt idx="2017">
                  <c:v>43725</c:v>
                </c:pt>
                <c:pt idx="2018">
                  <c:v>43726</c:v>
                </c:pt>
                <c:pt idx="2019">
                  <c:v>43727</c:v>
                </c:pt>
                <c:pt idx="2020">
                  <c:v>43728</c:v>
                </c:pt>
                <c:pt idx="2021">
                  <c:v>43731</c:v>
                </c:pt>
                <c:pt idx="2022">
                  <c:v>43732</c:v>
                </c:pt>
                <c:pt idx="2023">
                  <c:v>43733</c:v>
                </c:pt>
                <c:pt idx="2024">
                  <c:v>43734</c:v>
                </c:pt>
                <c:pt idx="2025">
                  <c:v>43735</c:v>
                </c:pt>
                <c:pt idx="2026">
                  <c:v>43738</c:v>
                </c:pt>
                <c:pt idx="2027">
                  <c:v>43739</c:v>
                </c:pt>
                <c:pt idx="2028">
                  <c:v>43740</c:v>
                </c:pt>
                <c:pt idx="2029">
                  <c:v>43741</c:v>
                </c:pt>
                <c:pt idx="2030">
                  <c:v>43742</c:v>
                </c:pt>
                <c:pt idx="2031">
                  <c:v>43745</c:v>
                </c:pt>
                <c:pt idx="2032">
                  <c:v>43746</c:v>
                </c:pt>
                <c:pt idx="2033">
                  <c:v>43747</c:v>
                </c:pt>
                <c:pt idx="2034">
                  <c:v>43748</c:v>
                </c:pt>
                <c:pt idx="2035">
                  <c:v>43749</c:v>
                </c:pt>
                <c:pt idx="2036">
                  <c:v>43752</c:v>
                </c:pt>
                <c:pt idx="2037">
                  <c:v>43753</c:v>
                </c:pt>
                <c:pt idx="2038">
                  <c:v>43754</c:v>
                </c:pt>
                <c:pt idx="2039">
                  <c:v>43755</c:v>
                </c:pt>
                <c:pt idx="2040">
                  <c:v>43756</c:v>
                </c:pt>
                <c:pt idx="2041">
                  <c:v>43759</c:v>
                </c:pt>
                <c:pt idx="2042">
                  <c:v>43760</c:v>
                </c:pt>
                <c:pt idx="2043">
                  <c:v>43761</c:v>
                </c:pt>
                <c:pt idx="2044">
                  <c:v>43762</c:v>
                </c:pt>
                <c:pt idx="2045">
                  <c:v>43763</c:v>
                </c:pt>
                <c:pt idx="2046">
                  <c:v>43766</c:v>
                </c:pt>
                <c:pt idx="2047">
                  <c:v>43767</c:v>
                </c:pt>
                <c:pt idx="2048">
                  <c:v>43768</c:v>
                </c:pt>
                <c:pt idx="2049">
                  <c:v>43769</c:v>
                </c:pt>
                <c:pt idx="2050">
                  <c:v>43770</c:v>
                </c:pt>
                <c:pt idx="2051">
                  <c:v>43773</c:v>
                </c:pt>
                <c:pt idx="2052">
                  <c:v>43774</c:v>
                </c:pt>
                <c:pt idx="2053">
                  <c:v>43775</c:v>
                </c:pt>
                <c:pt idx="2054">
                  <c:v>43776</c:v>
                </c:pt>
                <c:pt idx="2055">
                  <c:v>43777</c:v>
                </c:pt>
                <c:pt idx="2056">
                  <c:v>43780</c:v>
                </c:pt>
                <c:pt idx="2057">
                  <c:v>43781</c:v>
                </c:pt>
                <c:pt idx="2058">
                  <c:v>43782</c:v>
                </c:pt>
                <c:pt idx="2059">
                  <c:v>43783</c:v>
                </c:pt>
                <c:pt idx="2060">
                  <c:v>43784</c:v>
                </c:pt>
                <c:pt idx="2061">
                  <c:v>43787</c:v>
                </c:pt>
                <c:pt idx="2062">
                  <c:v>43788</c:v>
                </c:pt>
                <c:pt idx="2063">
                  <c:v>43789</c:v>
                </c:pt>
                <c:pt idx="2064">
                  <c:v>43790</c:v>
                </c:pt>
                <c:pt idx="2065">
                  <c:v>43791</c:v>
                </c:pt>
                <c:pt idx="2066">
                  <c:v>43794</c:v>
                </c:pt>
                <c:pt idx="2067">
                  <c:v>43795</c:v>
                </c:pt>
                <c:pt idx="2068">
                  <c:v>43796</c:v>
                </c:pt>
                <c:pt idx="2069">
                  <c:v>43797</c:v>
                </c:pt>
                <c:pt idx="2070">
                  <c:v>43798</c:v>
                </c:pt>
                <c:pt idx="2071">
                  <c:v>43801</c:v>
                </c:pt>
                <c:pt idx="2072">
                  <c:v>43802</c:v>
                </c:pt>
                <c:pt idx="2073">
                  <c:v>43803</c:v>
                </c:pt>
                <c:pt idx="2074">
                  <c:v>43804</c:v>
                </c:pt>
                <c:pt idx="2075">
                  <c:v>43805</c:v>
                </c:pt>
                <c:pt idx="2076">
                  <c:v>43808</c:v>
                </c:pt>
                <c:pt idx="2077">
                  <c:v>43809</c:v>
                </c:pt>
                <c:pt idx="2078">
                  <c:v>43810</c:v>
                </c:pt>
                <c:pt idx="2079">
                  <c:v>43811</c:v>
                </c:pt>
                <c:pt idx="2080">
                  <c:v>43812</c:v>
                </c:pt>
                <c:pt idx="2081">
                  <c:v>43815</c:v>
                </c:pt>
                <c:pt idx="2082">
                  <c:v>43816</c:v>
                </c:pt>
                <c:pt idx="2083">
                  <c:v>43817</c:v>
                </c:pt>
                <c:pt idx="2084">
                  <c:v>43818</c:v>
                </c:pt>
                <c:pt idx="2085">
                  <c:v>43819</c:v>
                </c:pt>
                <c:pt idx="2086">
                  <c:v>43822</c:v>
                </c:pt>
                <c:pt idx="2087">
                  <c:v>43823</c:v>
                </c:pt>
                <c:pt idx="2088">
                  <c:v>43824</c:v>
                </c:pt>
                <c:pt idx="2089">
                  <c:v>43826</c:v>
                </c:pt>
                <c:pt idx="2090">
                  <c:v>43829</c:v>
                </c:pt>
                <c:pt idx="2091">
                  <c:v>43830</c:v>
                </c:pt>
                <c:pt idx="2092">
                  <c:v>43832</c:v>
                </c:pt>
                <c:pt idx="2093">
                  <c:v>43833</c:v>
                </c:pt>
                <c:pt idx="2094">
                  <c:v>43836</c:v>
                </c:pt>
                <c:pt idx="2095">
                  <c:v>43837</c:v>
                </c:pt>
                <c:pt idx="2096">
                  <c:v>43838</c:v>
                </c:pt>
                <c:pt idx="2097">
                  <c:v>43839</c:v>
                </c:pt>
                <c:pt idx="2098">
                  <c:v>43840</c:v>
                </c:pt>
                <c:pt idx="2099">
                  <c:v>43843</c:v>
                </c:pt>
                <c:pt idx="2100">
                  <c:v>43844</c:v>
                </c:pt>
                <c:pt idx="2101">
                  <c:v>43845</c:v>
                </c:pt>
                <c:pt idx="2102">
                  <c:v>43846</c:v>
                </c:pt>
                <c:pt idx="2103">
                  <c:v>43847</c:v>
                </c:pt>
                <c:pt idx="2104">
                  <c:v>43850</c:v>
                </c:pt>
                <c:pt idx="2105">
                  <c:v>43851</c:v>
                </c:pt>
                <c:pt idx="2106">
                  <c:v>43852</c:v>
                </c:pt>
                <c:pt idx="2107">
                  <c:v>43853</c:v>
                </c:pt>
                <c:pt idx="2108">
                  <c:v>43854</c:v>
                </c:pt>
                <c:pt idx="2109">
                  <c:v>43857</c:v>
                </c:pt>
                <c:pt idx="2110">
                  <c:v>43858</c:v>
                </c:pt>
                <c:pt idx="2111">
                  <c:v>43859</c:v>
                </c:pt>
                <c:pt idx="2112">
                  <c:v>43860</c:v>
                </c:pt>
                <c:pt idx="2113">
                  <c:v>43861</c:v>
                </c:pt>
                <c:pt idx="2114">
                  <c:v>43864</c:v>
                </c:pt>
                <c:pt idx="2115">
                  <c:v>43865</c:v>
                </c:pt>
                <c:pt idx="2116">
                  <c:v>43866</c:v>
                </c:pt>
                <c:pt idx="2117">
                  <c:v>43867</c:v>
                </c:pt>
                <c:pt idx="2118">
                  <c:v>43868</c:v>
                </c:pt>
                <c:pt idx="2119">
                  <c:v>43871</c:v>
                </c:pt>
                <c:pt idx="2120">
                  <c:v>43872</c:v>
                </c:pt>
                <c:pt idx="2121">
                  <c:v>43873</c:v>
                </c:pt>
                <c:pt idx="2122">
                  <c:v>43874</c:v>
                </c:pt>
                <c:pt idx="2123">
                  <c:v>43875</c:v>
                </c:pt>
                <c:pt idx="2124">
                  <c:v>43878</c:v>
                </c:pt>
                <c:pt idx="2125">
                  <c:v>43879</c:v>
                </c:pt>
                <c:pt idx="2126">
                  <c:v>43880</c:v>
                </c:pt>
                <c:pt idx="2127">
                  <c:v>43881</c:v>
                </c:pt>
                <c:pt idx="2128">
                  <c:v>43882</c:v>
                </c:pt>
                <c:pt idx="2129">
                  <c:v>43885</c:v>
                </c:pt>
                <c:pt idx="2130">
                  <c:v>43886</c:v>
                </c:pt>
                <c:pt idx="2131">
                  <c:v>43887</c:v>
                </c:pt>
                <c:pt idx="2132">
                  <c:v>43888</c:v>
                </c:pt>
                <c:pt idx="2133">
                  <c:v>43889</c:v>
                </c:pt>
                <c:pt idx="2134">
                  <c:v>43892</c:v>
                </c:pt>
                <c:pt idx="2135">
                  <c:v>43893</c:v>
                </c:pt>
                <c:pt idx="2136">
                  <c:v>43894</c:v>
                </c:pt>
                <c:pt idx="2137">
                  <c:v>43895</c:v>
                </c:pt>
                <c:pt idx="2138">
                  <c:v>43896</c:v>
                </c:pt>
                <c:pt idx="2139">
                  <c:v>43899</c:v>
                </c:pt>
                <c:pt idx="2140">
                  <c:v>43900</c:v>
                </c:pt>
                <c:pt idx="2141">
                  <c:v>43901</c:v>
                </c:pt>
                <c:pt idx="2142">
                  <c:v>43902</c:v>
                </c:pt>
                <c:pt idx="2143">
                  <c:v>43903</c:v>
                </c:pt>
                <c:pt idx="2144">
                  <c:v>43906</c:v>
                </c:pt>
                <c:pt idx="2145">
                  <c:v>43907</c:v>
                </c:pt>
                <c:pt idx="2146">
                  <c:v>43908</c:v>
                </c:pt>
                <c:pt idx="2147">
                  <c:v>43909</c:v>
                </c:pt>
                <c:pt idx="2148">
                  <c:v>43910</c:v>
                </c:pt>
                <c:pt idx="2149">
                  <c:v>43913</c:v>
                </c:pt>
                <c:pt idx="2150">
                  <c:v>43914</c:v>
                </c:pt>
                <c:pt idx="2151">
                  <c:v>43915</c:v>
                </c:pt>
                <c:pt idx="2152">
                  <c:v>43916</c:v>
                </c:pt>
                <c:pt idx="2153">
                  <c:v>43917</c:v>
                </c:pt>
                <c:pt idx="2154">
                  <c:v>43920</c:v>
                </c:pt>
                <c:pt idx="2155">
                  <c:v>43921</c:v>
                </c:pt>
                <c:pt idx="2156">
                  <c:v>43922</c:v>
                </c:pt>
                <c:pt idx="2157">
                  <c:v>43923</c:v>
                </c:pt>
                <c:pt idx="2158">
                  <c:v>43924</c:v>
                </c:pt>
                <c:pt idx="2159">
                  <c:v>43927</c:v>
                </c:pt>
                <c:pt idx="2160">
                  <c:v>43928</c:v>
                </c:pt>
                <c:pt idx="2161">
                  <c:v>43929</c:v>
                </c:pt>
                <c:pt idx="2162">
                  <c:v>43930</c:v>
                </c:pt>
                <c:pt idx="2163">
                  <c:v>43935</c:v>
                </c:pt>
                <c:pt idx="2164">
                  <c:v>43936</c:v>
                </c:pt>
                <c:pt idx="2165">
                  <c:v>43937</c:v>
                </c:pt>
                <c:pt idx="2166">
                  <c:v>43938</c:v>
                </c:pt>
                <c:pt idx="2167">
                  <c:v>43941</c:v>
                </c:pt>
                <c:pt idx="2168">
                  <c:v>43942</c:v>
                </c:pt>
                <c:pt idx="2169">
                  <c:v>43943</c:v>
                </c:pt>
                <c:pt idx="2170">
                  <c:v>43944</c:v>
                </c:pt>
                <c:pt idx="2171">
                  <c:v>43945</c:v>
                </c:pt>
                <c:pt idx="2172">
                  <c:v>43948</c:v>
                </c:pt>
                <c:pt idx="2173">
                  <c:v>43949</c:v>
                </c:pt>
                <c:pt idx="2174">
                  <c:v>43950</c:v>
                </c:pt>
                <c:pt idx="2175">
                  <c:v>43951</c:v>
                </c:pt>
                <c:pt idx="2176">
                  <c:v>43955</c:v>
                </c:pt>
                <c:pt idx="2177">
                  <c:v>43956</c:v>
                </c:pt>
                <c:pt idx="2178">
                  <c:v>43957</c:v>
                </c:pt>
                <c:pt idx="2179">
                  <c:v>43958</c:v>
                </c:pt>
                <c:pt idx="2180">
                  <c:v>43959</c:v>
                </c:pt>
                <c:pt idx="2181">
                  <c:v>43962</c:v>
                </c:pt>
                <c:pt idx="2182">
                  <c:v>43963</c:v>
                </c:pt>
                <c:pt idx="2183">
                  <c:v>43964</c:v>
                </c:pt>
                <c:pt idx="2184">
                  <c:v>43965</c:v>
                </c:pt>
                <c:pt idx="2185">
                  <c:v>43966</c:v>
                </c:pt>
                <c:pt idx="2186">
                  <c:v>43969</c:v>
                </c:pt>
                <c:pt idx="2187">
                  <c:v>43970</c:v>
                </c:pt>
                <c:pt idx="2188">
                  <c:v>43971</c:v>
                </c:pt>
                <c:pt idx="2189">
                  <c:v>43972</c:v>
                </c:pt>
                <c:pt idx="2190">
                  <c:v>43973</c:v>
                </c:pt>
                <c:pt idx="2191">
                  <c:v>43976</c:v>
                </c:pt>
                <c:pt idx="2192">
                  <c:v>43977</c:v>
                </c:pt>
                <c:pt idx="2193">
                  <c:v>43978</c:v>
                </c:pt>
                <c:pt idx="2194">
                  <c:v>43979</c:v>
                </c:pt>
                <c:pt idx="2195">
                  <c:v>43980</c:v>
                </c:pt>
                <c:pt idx="2196">
                  <c:v>43983</c:v>
                </c:pt>
                <c:pt idx="2197">
                  <c:v>43984</c:v>
                </c:pt>
                <c:pt idx="2198">
                  <c:v>43985</c:v>
                </c:pt>
                <c:pt idx="2199">
                  <c:v>43986</c:v>
                </c:pt>
                <c:pt idx="2200">
                  <c:v>43987</c:v>
                </c:pt>
                <c:pt idx="2201">
                  <c:v>43990</c:v>
                </c:pt>
                <c:pt idx="2202">
                  <c:v>43991</c:v>
                </c:pt>
                <c:pt idx="2203">
                  <c:v>43992</c:v>
                </c:pt>
                <c:pt idx="2204">
                  <c:v>43993</c:v>
                </c:pt>
                <c:pt idx="2205">
                  <c:v>43994</c:v>
                </c:pt>
                <c:pt idx="2206">
                  <c:v>43997</c:v>
                </c:pt>
                <c:pt idx="2207">
                  <c:v>43998</c:v>
                </c:pt>
                <c:pt idx="2208">
                  <c:v>43999</c:v>
                </c:pt>
                <c:pt idx="2209">
                  <c:v>44000</c:v>
                </c:pt>
                <c:pt idx="2210">
                  <c:v>44001</c:v>
                </c:pt>
                <c:pt idx="2211">
                  <c:v>44004</c:v>
                </c:pt>
                <c:pt idx="2212">
                  <c:v>44005</c:v>
                </c:pt>
                <c:pt idx="2213">
                  <c:v>44006</c:v>
                </c:pt>
                <c:pt idx="2214">
                  <c:v>44007</c:v>
                </c:pt>
                <c:pt idx="2215">
                  <c:v>44008</c:v>
                </c:pt>
                <c:pt idx="2216">
                  <c:v>44011</c:v>
                </c:pt>
                <c:pt idx="2217">
                  <c:v>44012</c:v>
                </c:pt>
                <c:pt idx="2218">
                  <c:v>44013</c:v>
                </c:pt>
                <c:pt idx="2219">
                  <c:v>44014</c:v>
                </c:pt>
                <c:pt idx="2220">
                  <c:v>44015</c:v>
                </c:pt>
                <c:pt idx="2221">
                  <c:v>44018</c:v>
                </c:pt>
                <c:pt idx="2222">
                  <c:v>44019</c:v>
                </c:pt>
                <c:pt idx="2223">
                  <c:v>44020</c:v>
                </c:pt>
                <c:pt idx="2224">
                  <c:v>44021</c:v>
                </c:pt>
                <c:pt idx="2225">
                  <c:v>44022</c:v>
                </c:pt>
                <c:pt idx="2226">
                  <c:v>44025</c:v>
                </c:pt>
                <c:pt idx="2227">
                  <c:v>44026</c:v>
                </c:pt>
                <c:pt idx="2228">
                  <c:v>44027</c:v>
                </c:pt>
                <c:pt idx="2229">
                  <c:v>44028</c:v>
                </c:pt>
                <c:pt idx="2230">
                  <c:v>44029</c:v>
                </c:pt>
                <c:pt idx="2231">
                  <c:v>44032</c:v>
                </c:pt>
                <c:pt idx="2232">
                  <c:v>44033</c:v>
                </c:pt>
                <c:pt idx="2233">
                  <c:v>44034</c:v>
                </c:pt>
                <c:pt idx="2234">
                  <c:v>44035</c:v>
                </c:pt>
                <c:pt idx="2235">
                  <c:v>44036</c:v>
                </c:pt>
                <c:pt idx="2236">
                  <c:v>44039</c:v>
                </c:pt>
                <c:pt idx="2237">
                  <c:v>44040</c:v>
                </c:pt>
                <c:pt idx="2238">
                  <c:v>44041</c:v>
                </c:pt>
                <c:pt idx="2239">
                  <c:v>44042</c:v>
                </c:pt>
                <c:pt idx="2240">
                  <c:v>44043</c:v>
                </c:pt>
                <c:pt idx="2241">
                  <c:v>44046</c:v>
                </c:pt>
                <c:pt idx="2242">
                  <c:v>44047</c:v>
                </c:pt>
                <c:pt idx="2243">
                  <c:v>44048</c:v>
                </c:pt>
                <c:pt idx="2244">
                  <c:v>44049</c:v>
                </c:pt>
                <c:pt idx="2245">
                  <c:v>44050</c:v>
                </c:pt>
                <c:pt idx="2246">
                  <c:v>44053</c:v>
                </c:pt>
                <c:pt idx="2247">
                  <c:v>44054</c:v>
                </c:pt>
                <c:pt idx="2248">
                  <c:v>44055</c:v>
                </c:pt>
                <c:pt idx="2249">
                  <c:v>44056</c:v>
                </c:pt>
                <c:pt idx="2250">
                  <c:v>44057</c:v>
                </c:pt>
                <c:pt idx="2251">
                  <c:v>44060</c:v>
                </c:pt>
                <c:pt idx="2252">
                  <c:v>44061</c:v>
                </c:pt>
                <c:pt idx="2253">
                  <c:v>44062</c:v>
                </c:pt>
                <c:pt idx="2254">
                  <c:v>44063</c:v>
                </c:pt>
                <c:pt idx="2255">
                  <c:v>44064</c:v>
                </c:pt>
                <c:pt idx="2256">
                  <c:v>44067</c:v>
                </c:pt>
                <c:pt idx="2257">
                  <c:v>44068</c:v>
                </c:pt>
                <c:pt idx="2258">
                  <c:v>44069</c:v>
                </c:pt>
                <c:pt idx="2259">
                  <c:v>44070</c:v>
                </c:pt>
                <c:pt idx="2260">
                  <c:v>44071</c:v>
                </c:pt>
                <c:pt idx="2261">
                  <c:v>44074</c:v>
                </c:pt>
                <c:pt idx="2262">
                  <c:v>44075</c:v>
                </c:pt>
                <c:pt idx="2263">
                  <c:v>44076</c:v>
                </c:pt>
                <c:pt idx="2264">
                  <c:v>44077</c:v>
                </c:pt>
                <c:pt idx="2265">
                  <c:v>44078</c:v>
                </c:pt>
                <c:pt idx="2266">
                  <c:v>44081</c:v>
                </c:pt>
                <c:pt idx="2267">
                  <c:v>44082</c:v>
                </c:pt>
                <c:pt idx="2268">
                  <c:v>44083</c:v>
                </c:pt>
                <c:pt idx="2269">
                  <c:v>44084</c:v>
                </c:pt>
                <c:pt idx="2270">
                  <c:v>44085</c:v>
                </c:pt>
                <c:pt idx="2271">
                  <c:v>44088</c:v>
                </c:pt>
                <c:pt idx="2272">
                  <c:v>44089</c:v>
                </c:pt>
                <c:pt idx="2273">
                  <c:v>44090</c:v>
                </c:pt>
                <c:pt idx="2274">
                  <c:v>44091</c:v>
                </c:pt>
                <c:pt idx="2275">
                  <c:v>44092</c:v>
                </c:pt>
                <c:pt idx="2276">
                  <c:v>44095</c:v>
                </c:pt>
                <c:pt idx="2277">
                  <c:v>44096</c:v>
                </c:pt>
                <c:pt idx="2278">
                  <c:v>44097</c:v>
                </c:pt>
                <c:pt idx="2279">
                  <c:v>44098</c:v>
                </c:pt>
                <c:pt idx="2280">
                  <c:v>44099</c:v>
                </c:pt>
                <c:pt idx="2281">
                  <c:v>44102</c:v>
                </c:pt>
                <c:pt idx="2282">
                  <c:v>44103</c:v>
                </c:pt>
                <c:pt idx="2283">
                  <c:v>44104</c:v>
                </c:pt>
                <c:pt idx="2284">
                  <c:v>44105</c:v>
                </c:pt>
                <c:pt idx="2285">
                  <c:v>44106</c:v>
                </c:pt>
                <c:pt idx="2286">
                  <c:v>44109</c:v>
                </c:pt>
                <c:pt idx="2287">
                  <c:v>44110</c:v>
                </c:pt>
                <c:pt idx="2288">
                  <c:v>44111</c:v>
                </c:pt>
                <c:pt idx="2289">
                  <c:v>44112</c:v>
                </c:pt>
                <c:pt idx="2290">
                  <c:v>44113</c:v>
                </c:pt>
                <c:pt idx="2291">
                  <c:v>44116</c:v>
                </c:pt>
                <c:pt idx="2292">
                  <c:v>44117</c:v>
                </c:pt>
                <c:pt idx="2293">
                  <c:v>44118</c:v>
                </c:pt>
                <c:pt idx="2294">
                  <c:v>44119</c:v>
                </c:pt>
                <c:pt idx="2295">
                  <c:v>44120</c:v>
                </c:pt>
                <c:pt idx="2296">
                  <c:v>44123</c:v>
                </c:pt>
                <c:pt idx="2297">
                  <c:v>44124</c:v>
                </c:pt>
                <c:pt idx="2298">
                  <c:v>44125</c:v>
                </c:pt>
                <c:pt idx="2299">
                  <c:v>44126</c:v>
                </c:pt>
                <c:pt idx="2300">
                  <c:v>44127</c:v>
                </c:pt>
                <c:pt idx="2301">
                  <c:v>44130</c:v>
                </c:pt>
                <c:pt idx="2302">
                  <c:v>44131</c:v>
                </c:pt>
                <c:pt idx="2303">
                  <c:v>44132</c:v>
                </c:pt>
                <c:pt idx="2304">
                  <c:v>44133</c:v>
                </c:pt>
                <c:pt idx="2305">
                  <c:v>44134</c:v>
                </c:pt>
                <c:pt idx="2306">
                  <c:v>44137</c:v>
                </c:pt>
                <c:pt idx="2307">
                  <c:v>44138</c:v>
                </c:pt>
                <c:pt idx="2308">
                  <c:v>44139</c:v>
                </c:pt>
                <c:pt idx="2309">
                  <c:v>44140</c:v>
                </c:pt>
                <c:pt idx="2310">
                  <c:v>44141</c:v>
                </c:pt>
                <c:pt idx="2311">
                  <c:v>44144</c:v>
                </c:pt>
                <c:pt idx="2312">
                  <c:v>44145</c:v>
                </c:pt>
                <c:pt idx="2313">
                  <c:v>44146</c:v>
                </c:pt>
                <c:pt idx="2314">
                  <c:v>44147</c:v>
                </c:pt>
                <c:pt idx="2315">
                  <c:v>44148</c:v>
                </c:pt>
                <c:pt idx="2316">
                  <c:v>44151</c:v>
                </c:pt>
                <c:pt idx="2317">
                  <c:v>44152</c:v>
                </c:pt>
                <c:pt idx="2318">
                  <c:v>44153</c:v>
                </c:pt>
                <c:pt idx="2319">
                  <c:v>44154</c:v>
                </c:pt>
                <c:pt idx="2320">
                  <c:v>44155</c:v>
                </c:pt>
                <c:pt idx="2321">
                  <c:v>44158</c:v>
                </c:pt>
                <c:pt idx="2322">
                  <c:v>44159</c:v>
                </c:pt>
                <c:pt idx="2323">
                  <c:v>44160</c:v>
                </c:pt>
                <c:pt idx="2324">
                  <c:v>44161</c:v>
                </c:pt>
                <c:pt idx="2325">
                  <c:v>44162</c:v>
                </c:pt>
                <c:pt idx="2326">
                  <c:v>44165</c:v>
                </c:pt>
                <c:pt idx="2327">
                  <c:v>44166</c:v>
                </c:pt>
                <c:pt idx="2328">
                  <c:v>44167</c:v>
                </c:pt>
                <c:pt idx="2329">
                  <c:v>44168</c:v>
                </c:pt>
                <c:pt idx="2330">
                  <c:v>44169</c:v>
                </c:pt>
                <c:pt idx="2331">
                  <c:v>44172</c:v>
                </c:pt>
                <c:pt idx="2332">
                  <c:v>44173</c:v>
                </c:pt>
                <c:pt idx="2333">
                  <c:v>44174</c:v>
                </c:pt>
                <c:pt idx="2334">
                  <c:v>44175</c:v>
                </c:pt>
                <c:pt idx="2335">
                  <c:v>44176</c:v>
                </c:pt>
                <c:pt idx="2336">
                  <c:v>44179</c:v>
                </c:pt>
                <c:pt idx="2337">
                  <c:v>44180</c:v>
                </c:pt>
                <c:pt idx="2338">
                  <c:v>44181</c:v>
                </c:pt>
                <c:pt idx="2339">
                  <c:v>44182</c:v>
                </c:pt>
                <c:pt idx="2340">
                  <c:v>44183</c:v>
                </c:pt>
                <c:pt idx="2341">
                  <c:v>44186</c:v>
                </c:pt>
                <c:pt idx="2342">
                  <c:v>44187</c:v>
                </c:pt>
                <c:pt idx="2343">
                  <c:v>44188</c:v>
                </c:pt>
                <c:pt idx="2344">
                  <c:v>44189</c:v>
                </c:pt>
                <c:pt idx="2345">
                  <c:v>44193</c:v>
                </c:pt>
                <c:pt idx="2346">
                  <c:v>44194</c:v>
                </c:pt>
                <c:pt idx="2347">
                  <c:v>44195</c:v>
                </c:pt>
                <c:pt idx="2348">
                  <c:v>44196</c:v>
                </c:pt>
                <c:pt idx="2349">
                  <c:v>44200</c:v>
                </c:pt>
                <c:pt idx="2350">
                  <c:v>44201</c:v>
                </c:pt>
                <c:pt idx="2351">
                  <c:v>44202</c:v>
                </c:pt>
                <c:pt idx="2352">
                  <c:v>44203</c:v>
                </c:pt>
                <c:pt idx="2353">
                  <c:v>44204</c:v>
                </c:pt>
                <c:pt idx="2354">
                  <c:v>44207</c:v>
                </c:pt>
                <c:pt idx="2355">
                  <c:v>44208</c:v>
                </c:pt>
                <c:pt idx="2356">
                  <c:v>44209</c:v>
                </c:pt>
                <c:pt idx="2357">
                  <c:v>44210</c:v>
                </c:pt>
                <c:pt idx="2358">
                  <c:v>44211</c:v>
                </c:pt>
                <c:pt idx="2359">
                  <c:v>44214</c:v>
                </c:pt>
                <c:pt idx="2360">
                  <c:v>44215</c:v>
                </c:pt>
                <c:pt idx="2361">
                  <c:v>44216</c:v>
                </c:pt>
                <c:pt idx="2362">
                  <c:v>44217</c:v>
                </c:pt>
                <c:pt idx="2363">
                  <c:v>44218</c:v>
                </c:pt>
                <c:pt idx="2364">
                  <c:v>44221</c:v>
                </c:pt>
                <c:pt idx="2365">
                  <c:v>44222</c:v>
                </c:pt>
                <c:pt idx="2366">
                  <c:v>44223</c:v>
                </c:pt>
                <c:pt idx="2367">
                  <c:v>44224</c:v>
                </c:pt>
                <c:pt idx="2368">
                  <c:v>44225</c:v>
                </c:pt>
                <c:pt idx="2369">
                  <c:v>44228</c:v>
                </c:pt>
                <c:pt idx="2370">
                  <c:v>44229</c:v>
                </c:pt>
                <c:pt idx="2371">
                  <c:v>44230</c:v>
                </c:pt>
                <c:pt idx="2372">
                  <c:v>44231</c:v>
                </c:pt>
                <c:pt idx="2373">
                  <c:v>44232</c:v>
                </c:pt>
                <c:pt idx="2374">
                  <c:v>44235</c:v>
                </c:pt>
                <c:pt idx="2375">
                  <c:v>44236</c:v>
                </c:pt>
                <c:pt idx="2376">
                  <c:v>44237</c:v>
                </c:pt>
                <c:pt idx="2377">
                  <c:v>44238</c:v>
                </c:pt>
                <c:pt idx="2378">
                  <c:v>44239</c:v>
                </c:pt>
                <c:pt idx="2379">
                  <c:v>44242</c:v>
                </c:pt>
                <c:pt idx="2380">
                  <c:v>44243</c:v>
                </c:pt>
                <c:pt idx="2381">
                  <c:v>44244</c:v>
                </c:pt>
                <c:pt idx="2382">
                  <c:v>44245</c:v>
                </c:pt>
                <c:pt idx="2383">
                  <c:v>44246</c:v>
                </c:pt>
                <c:pt idx="2384">
                  <c:v>44249</c:v>
                </c:pt>
                <c:pt idx="2385">
                  <c:v>44250</c:v>
                </c:pt>
                <c:pt idx="2386">
                  <c:v>44251</c:v>
                </c:pt>
                <c:pt idx="2387">
                  <c:v>44252</c:v>
                </c:pt>
                <c:pt idx="2388">
                  <c:v>44253</c:v>
                </c:pt>
                <c:pt idx="2389">
                  <c:v>44256</c:v>
                </c:pt>
                <c:pt idx="2390">
                  <c:v>44257</c:v>
                </c:pt>
                <c:pt idx="2391">
                  <c:v>44258</c:v>
                </c:pt>
                <c:pt idx="2392">
                  <c:v>44259</c:v>
                </c:pt>
                <c:pt idx="2393">
                  <c:v>44260</c:v>
                </c:pt>
                <c:pt idx="2394">
                  <c:v>44263</c:v>
                </c:pt>
                <c:pt idx="2395">
                  <c:v>44264</c:v>
                </c:pt>
                <c:pt idx="2396">
                  <c:v>44265</c:v>
                </c:pt>
                <c:pt idx="2397">
                  <c:v>44266</c:v>
                </c:pt>
                <c:pt idx="2398">
                  <c:v>44267</c:v>
                </c:pt>
                <c:pt idx="2399">
                  <c:v>44270</c:v>
                </c:pt>
                <c:pt idx="2400">
                  <c:v>44271</c:v>
                </c:pt>
                <c:pt idx="2401">
                  <c:v>44272</c:v>
                </c:pt>
                <c:pt idx="2402">
                  <c:v>44273</c:v>
                </c:pt>
                <c:pt idx="2403">
                  <c:v>44274</c:v>
                </c:pt>
                <c:pt idx="2404">
                  <c:v>44277</c:v>
                </c:pt>
                <c:pt idx="2405">
                  <c:v>44278</c:v>
                </c:pt>
                <c:pt idx="2406">
                  <c:v>44279</c:v>
                </c:pt>
                <c:pt idx="2407">
                  <c:v>44280</c:v>
                </c:pt>
                <c:pt idx="2408">
                  <c:v>44281</c:v>
                </c:pt>
                <c:pt idx="2409">
                  <c:v>44284</c:v>
                </c:pt>
                <c:pt idx="2410">
                  <c:v>44285</c:v>
                </c:pt>
                <c:pt idx="2411">
                  <c:v>44286</c:v>
                </c:pt>
                <c:pt idx="2412">
                  <c:v>44287</c:v>
                </c:pt>
                <c:pt idx="2413">
                  <c:v>44292</c:v>
                </c:pt>
                <c:pt idx="2414">
                  <c:v>44293</c:v>
                </c:pt>
                <c:pt idx="2415">
                  <c:v>44294</c:v>
                </c:pt>
                <c:pt idx="2416">
                  <c:v>44295</c:v>
                </c:pt>
                <c:pt idx="2417">
                  <c:v>44298</c:v>
                </c:pt>
                <c:pt idx="2418">
                  <c:v>44299</c:v>
                </c:pt>
                <c:pt idx="2419">
                  <c:v>44300</c:v>
                </c:pt>
                <c:pt idx="2420">
                  <c:v>44301</c:v>
                </c:pt>
                <c:pt idx="2421">
                  <c:v>44302</c:v>
                </c:pt>
                <c:pt idx="2422">
                  <c:v>44305</c:v>
                </c:pt>
                <c:pt idx="2423">
                  <c:v>44306</c:v>
                </c:pt>
                <c:pt idx="2424">
                  <c:v>44307</c:v>
                </c:pt>
                <c:pt idx="2425">
                  <c:v>44308</c:v>
                </c:pt>
                <c:pt idx="2426">
                  <c:v>44309</c:v>
                </c:pt>
                <c:pt idx="2427">
                  <c:v>44312</c:v>
                </c:pt>
                <c:pt idx="2428">
                  <c:v>44313</c:v>
                </c:pt>
                <c:pt idx="2429">
                  <c:v>44314</c:v>
                </c:pt>
                <c:pt idx="2430">
                  <c:v>44315</c:v>
                </c:pt>
                <c:pt idx="2431">
                  <c:v>44316</c:v>
                </c:pt>
                <c:pt idx="2432">
                  <c:v>44319</c:v>
                </c:pt>
                <c:pt idx="2433">
                  <c:v>44320</c:v>
                </c:pt>
                <c:pt idx="2434">
                  <c:v>44321</c:v>
                </c:pt>
                <c:pt idx="2435">
                  <c:v>44322</c:v>
                </c:pt>
                <c:pt idx="2436">
                  <c:v>44323</c:v>
                </c:pt>
                <c:pt idx="2437">
                  <c:v>44326</c:v>
                </c:pt>
                <c:pt idx="2438">
                  <c:v>44327</c:v>
                </c:pt>
                <c:pt idx="2439">
                  <c:v>44328</c:v>
                </c:pt>
                <c:pt idx="2440">
                  <c:v>44329</c:v>
                </c:pt>
                <c:pt idx="2441">
                  <c:v>44330</c:v>
                </c:pt>
                <c:pt idx="2442">
                  <c:v>44333</c:v>
                </c:pt>
                <c:pt idx="2443">
                  <c:v>44334</c:v>
                </c:pt>
                <c:pt idx="2444">
                  <c:v>44335</c:v>
                </c:pt>
                <c:pt idx="2445">
                  <c:v>44336</c:v>
                </c:pt>
                <c:pt idx="2446">
                  <c:v>44337</c:v>
                </c:pt>
                <c:pt idx="2447">
                  <c:v>44340</c:v>
                </c:pt>
                <c:pt idx="2448">
                  <c:v>44341</c:v>
                </c:pt>
                <c:pt idx="2449">
                  <c:v>44342</c:v>
                </c:pt>
                <c:pt idx="2450">
                  <c:v>44343</c:v>
                </c:pt>
                <c:pt idx="2451">
                  <c:v>44344</c:v>
                </c:pt>
                <c:pt idx="2452">
                  <c:v>44347</c:v>
                </c:pt>
                <c:pt idx="2453">
                  <c:v>44348</c:v>
                </c:pt>
                <c:pt idx="2454">
                  <c:v>44349</c:v>
                </c:pt>
                <c:pt idx="2455">
                  <c:v>44350</c:v>
                </c:pt>
                <c:pt idx="2456">
                  <c:v>44351</c:v>
                </c:pt>
                <c:pt idx="2457">
                  <c:v>44354</c:v>
                </c:pt>
                <c:pt idx="2458">
                  <c:v>44355</c:v>
                </c:pt>
                <c:pt idx="2459">
                  <c:v>44356</c:v>
                </c:pt>
                <c:pt idx="2460">
                  <c:v>44357</c:v>
                </c:pt>
                <c:pt idx="2461">
                  <c:v>44358</c:v>
                </c:pt>
                <c:pt idx="2462">
                  <c:v>44361</c:v>
                </c:pt>
                <c:pt idx="2463">
                  <c:v>44362</c:v>
                </c:pt>
                <c:pt idx="2464">
                  <c:v>44363</c:v>
                </c:pt>
                <c:pt idx="2465">
                  <c:v>44364</c:v>
                </c:pt>
                <c:pt idx="2466">
                  <c:v>44365</c:v>
                </c:pt>
                <c:pt idx="2467">
                  <c:v>44368</c:v>
                </c:pt>
                <c:pt idx="2468">
                  <c:v>44369</c:v>
                </c:pt>
                <c:pt idx="2469">
                  <c:v>44370</c:v>
                </c:pt>
                <c:pt idx="2470">
                  <c:v>44371</c:v>
                </c:pt>
                <c:pt idx="2471">
                  <c:v>44372</c:v>
                </c:pt>
                <c:pt idx="2472">
                  <c:v>44375</c:v>
                </c:pt>
                <c:pt idx="2473">
                  <c:v>44376</c:v>
                </c:pt>
                <c:pt idx="2474">
                  <c:v>44377</c:v>
                </c:pt>
                <c:pt idx="2475">
                  <c:v>44378</c:v>
                </c:pt>
                <c:pt idx="2476">
                  <c:v>44379</c:v>
                </c:pt>
                <c:pt idx="2477">
                  <c:v>44382</c:v>
                </c:pt>
                <c:pt idx="2478">
                  <c:v>44383</c:v>
                </c:pt>
                <c:pt idx="2479">
                  <c:v>44384</c:v>
                </c:pt>
                <c:pt idx="2480">
                  <c:v>44385</c:v>
                </c:pt>
                <c:pt idx="2481">
                  <c:v>44386</c:v>
                </c:pt>
                <c:pt idx="2482">
                  <c:v>44389</c:v>
                </c:pt>
                <c:pt idx="2483">
                  <c:v>44390</c:v>
                </c:pt>
                <c:pt idx="2484">
                  <c:v>44391</c:v>
                </c:pt>
                <c:pt idx="2485">
                  <c:v>44392</c:v>
                </c:pt>
                <c:pt idx="2486">
                  <c:v>44393</c:v>
                </c:pt>
                <c:pt idx="2487">
                  <c:v>44396</c:v>
                </c:pt>
                <c:pt idx="2488">
                  <c:v>44397</c:v>
                </c:pt>
                <c:pt idx="2489">
                  <c:v>44398</c:v>
                </c:pt>
                <c:pt idx="2490">
                  <c:v>44399</c:v>
                </c:pt>
                <c:pt idx="2491">
                  <c:v>44400</c:v>
                </c:pt>
                <c:pt idx="2492">
                  <c:v>44403</c:v>
                </c:pt>
                <c:pt idx="2493">
                  <c:v>44404</c:v>
                </c:pt>
                <c:pt idx="2494">
                  <c:v>44405</c:v>
                </c:pt>
                <c:pt idx="2495">
                  <c:v>44406</c:v>
                </c:pt>
                <c:pt idx="2496">
                  <c:v>44407</c:v>
                </c:pt>
                <c:pt idx="2497">
                  <c:v>44410</c:v>
                </c:pt>
                <c:pt idx="2498">
                  <c:v>44411</c:v>
                </c:pt>
                <c:pt idx="2499">
                  <c:v>44412</c:v>
                </c:pt>
                <c:pt idx="2500">
                  <c:v>44413</c:v>
                </c:pt>
                <c:pt idx="2501">
                  <c:v>44414</c:v>
                </c:pt>
                <c:pt idx="2502">
                  <c:v>44417</c:v>
                </c:pt>
                <c:pt idx="2503">
                  <c:v>44418</c:v>
                </c:pt>
                <c:pt idx="2504">
                  <c:v>44419</c:v>
                </c:pt>
                <c:pt idx="2505">
                  <c:v>44420</c:v>
                </c:pt>
                <c:pt idx="2506">
                  <c:v>44421</c:v>
                </c:pt>
                <c:pt idx="2507">
                  <c:v>44424</c:v>
                </c:pt>
                <c:pt idx="2508">
                  <c:v>44425</c:v>
                </c:pt>
                <c:pt idx="2509">
                  <c:v>44426</c:v>
                </c:pt>
                <c:pt idx="2510">
                  <c:v>44427</c:v>
                </c:pt>
                <c:pt idx="2511">
                  <c:v>44428</c:v>
                </c:pt>
                <c:pt idx="2512">
                  <c:v>44431</c:v>
                </c:pt>
                <c:pt idx="2513">
                  <c:v>44432</c:v>
                </c:pt>
                <c:pt idx="2514">
                  <c:v>44433</c:v>
                </c:pt>
                <c:pt idx="2515">
                  <c:v>44434</c:v>
                </c:pt>
                <c:pt idx="2516">
                  <c:v>44435</c:v>
                </c:pt>
                <c:pt idx="2517">
                  <c:v>44438</c:v>
                </c:pt>
                <c:pt idx="2518">
                  <c:v>44439</c:v>
                </c:pt>
                <c:pt idx="2519">
                  <c:v>44440</c:v>
                </c:pt>
                <c:pt idx="2520">
                  <c:v>44441</c:v>
                </c:pt>
                <c:pt idx="2521">
                  <c:v>44442</c:v>
                </c:pt>
                <c:pt idx="2522">
                  <c:v>44445</c:v>
                </c:pt>
                <c:pt idx="2523">
                  <c:v>44446</c:v>
                </c:pt>
                <c:pt idx="2524">
                  <c:v>44447</c:v>
                </c:pt>
                <c:pt idx="2525">
                  <c:v>44448</c:v>
                </c:pt>
                <c:pt idx="2526">
                  <c:v>44449</c:v>
                </c:pt>
                <c:pt idx="2527">
                  <c:v>44452</c:v>
                </c:pt>
                <c:pt idx="2528">
                  <c:v>44453</c:v>
                </c:pt>
                <c:pt idx="2529">
                  <c:v>44454</c:v>
                </c:pt>
                <c:pt idx="2530">
                  <c:v>44455</c:v>
                </c:pt>
                <c:pt idx="2531">
                  <c:v>44456</c:v>
                </c:pt>
                <c:pt idx="2532">
                  <c:v>44459</c:v>
                </c:pt>
                <c:pt idx="2533">
                  <c:v>44460</c:v>
                </c:pt>
                <c:pt idx="2534">
                  <c:v>44461</c:v>
                </c:pt>
                <c:pt idx="2535">
                  <c:v>44462</c:v>
                </c:pt>
                <c:pt idx="2536">
                  <c:v>44463</c:v>
                </c:pt>
                <c:pt idx="2537">
                  <c:v>44466</c:v>
                </c:pt>
                <c:pt idx="2538">
                  <c:v>44467</c:v>
                </c:pt>
                <c:pt idx="2539">
                  <c:v>44468</c:v>
                </c:pt>
                <c:pt idx="2540">
                  <c:v>44469</c:v>
                </c:pt>
                <c:pt idx="2541">
                  <c:v>44470</c:v>
                </c:pt>
                <c:pt idx="2542">
                  <c:v>44473</c:v>
                </c:pt>
                <c:pt idx="2543">
                  <c:v>44474</c:v>
                </c:pt>
                <c:pt idx="2544">
                  <c:v>44475</c:v>
                </c:pt>
                <c:pt idx="2545">
                  <c:v>44476</c:v>
                </c:pt>
                <c:pt idx="2546">
                  <c:v>44477</c:v>
                </c:pt>
                <c:pt idx="2547">
                  <c:v>44480</c:v>
                </c:pt>
                <c:pt idx="2548">
                  <c:v>44481</c:v>
                </c:pt>
                <c:pt idx="2549">
                  <c:v>44482</c:v>
                </c:pt>
                <c:pt idx="2550">
                  <c:v>44483</c:v>
                </c:pt>
                <c:pt idx="2551">
                  <c:v>44484</c:v>
                </c:pt>
                <c:pt idx="2552">
                  <c:v>44487</c:v>
                </c:pt>
                <c:pt idx="2553">
                  <c:v>44488</c:v>
                </c:pt>
                <c:pt idx="2554">
                  <c:v>44489</c:v>
                </c:pt>
                <c:pt idx="2555">
                  <c:v>44490</c:v>
                </c:pt>
                <c:pt idx="2556">
                  <c:v>44491</c:v>
                </c:pt>
              </c:numCache>
            </c:numRef>
          </c:xVal>
          <c:yVal>
            <c:numRef>
              <c:f>'Current Market Data'!$B$5:$B$2561</c:f>
              <c:numCache>
                <c:formatCode>0.00</c:formatCode>
                <c:ptCount val="2557"/>
                <c:pt idx="0">
                  <c:v>17.036848068237305</c:v>
                </c:pt>
                <c:pt idx="1">
                  <c:v>17.409919738769531</c:v>
                </c:pt>
                <c:pt idx="2">
                  <c:v>16.837879180908203</c:v>
                </c:pt>
                <c:pt idx="3">
                  <c:v>17.882472991943359</c:v>
                </c:pt>
                <c:pt idx="4">
                  <c:v>17.700088500976563</c:v>
                </c:pt>
                <c:pt idx="5">
                  <c:v>17.716667175292969</c:v>
                </c:pt>
                <c:pt idx="6">
                  <c:v>17.484533309936523</c:v>
                </c:pt>
                <c:pt idx="7">
                  <c:v>17.646196365356445</c:v>
                </c:pt>
                <c:pt idx="8">
                  <c:v>17.944652557373047</c:v>
                </c:pt>
                <c:pt idx="9">
                  <c:v>17.683507919311523</c:v>
                </c:pt>
                <c:pt idx="10">
                  <c:v>17.588163375854492</c:v>
                </c:pt>
                <c:pt idx="11">
                  <c:v>17.302143096923828</c:v>
                </c:pt>
                <c:pt idx="12">
                  <c:v>16.551860809326172</c:v>
                </c:pt>
                <c:pt idx="13">
                  <c:v>17.385049819946289</c:v>
                </c:pt>
                <c:pt idx="14">
                  <c:v>18.458658218383789</c:v>
                </c:pt>
                <c:pt idx="15">
                  <c:v>18.280416488647461</c:v>
                </c:pt>
                <c:pt idx="16">
                  <c:v>18.230674743652344</c:v>
                </c:pt>
                <c:pt idx="17">
                  <c:v>18.23896598815918</c:v>
                </c:pt>
                <c:pt idx="18">
                  <c:v>17.579872131347656</c:v>
                </c:pt>
                <c:pt idx="19">
                  <c:v>17.66278076171875</c:v>
                </c:pt>
                <c:pt idx="20">
                  <c:v>17.244112014770508</c:v>
                </c:pt>
                <c:pt idx="21">
                  <c:v>17.057575225830078</c:v>
                </c:pt>
                <c:pt idx="22">
                  <c:v>16.738393783569336</c:v>
                </c:pt>
                <c:pt idx="23">
                  <c:v>17.194372177124023</c:v>
                </c:pt>
                <c:pt idx="24">
                  <c:v>17.198513031005859</c:v>
                </c:pt>
                <c:pt idx="25">
                  <c:v>17.7125244140625</c:v>
                </c:pt>
                <c:pt idx="26">
                  <c:v>17.741539001464844</c:v>
                </c:pt>
                <c:pt idx="27">
                  <c:v>18.400627136230469</c:v>
                </c:pt>
                <c:pt idx="28">
                  <c:v>18.048288345336911</c:v>
                </c:pt>
                <c:pt idx="29">
                  <c:v>18.180929183959961</c:v>
                </c:pt>
                <c:pt idx="30">
                  <c:v>18.284563064575195</c:v>
                </c:pt>
                <c:pt idx="31">
                  <c:v>18.176786422729492</c:v>
                </c:pt>
                <c:pt idx="32">
                  <c:v>18.089738845825195</c:v>
                </c:pt>
                <c:pt idx="33">
                  <c:v>18.089738845825195</c:v>
                </c:pt>
                <c:pt idx="34">
                  <c:v>18.574728012084961</c:v>
                </c:pt>
                <c:pt idx="35">
                  <c:v>18.267978668212891</c:v>
                </c:pt>
                <c:pt idx="36">
                  <c:v>18.757116317749023</c:v>
                </c:pt>
                <c:pt idx="37">
                  <c:v>18.363321304321289</c:v>
                </c:pt>
                <c:pt idx="38">
                  <c:v>18.869039535522461</c:v>
                </c:pt>
                <c:pt idx="39">
                  <c:v>18.777843475341797</c:v>
                </c:pt>
                <c:pt idx="40">
                  <c:v>18.902202606201172</c:v>
                </c:pt>
                <c:pt idx="41">
                  <c:v>19.565435409545898</c:v>
                </c:pt>
                <c:pt idx="42">
                  <c:v>19.635900497436523</c:v>
                </c:pt>
                <c:pt idx="43">
                  <c:v>19.602741241455082</c:v>
                </c:pt>
                <c:pt idx="44">
                  <c:v>19.565435409545898</c:v>
                </c:pt>
                <c:pt idx="45">
                  <c:v>19.557144165039063</c:v>
                </c:pt>
                <c:pt idx="46">
                  <c:v>19.565435409545898</c:v>
                </c:pt>
                <c:pt idx="47">
                  <c:v>19.963375091552734</c:v>
                </c:pt>
                <c:pt idx="48">
                  <c:v>20.02140998840332</c:v>
                </c:pt>
                <c:pt idx="49">
                  <c:v>20.311573028564453</c:v>
                </c:pt>
                <c:pt idx="50">
                  <c:v>20.311573028564453</c:v>
                </c:pt>
                <c:pt idx="51">
                  <c:v>20.365461349487305</c:v>
                </c:pt>
                <c:pt idx="52">
                  <c:v>20.634899139404297</c:v>
                </c:pt>
                <c:pt idx="53">
                  <c:v>20.531269073486328</c:v>
                </c:pt>
                <c:pt idx="54">
                  <c:v>20.614171981811523</c:v>
                </c:pt>
                <c:pt idx="55">
                  <c:v>20.750968933105469</c:v>
                </c:pt>
                <c:pt idx="56">
                  <c:v>20.867031097412109</c:v>
                </c:pt>
                <c:pt idx="57">
                  <c:v>20.755109786987305</c:v>
                </c:pt>
                <c:pt idx="58">
                  <c:v>20.85045051574707</c:v>
                </c:pt>
                <c:pt idx="59">
                  <c:v>21.285699844360352</c:v>
                </c:pt>
                <c:pt idx="60">
                  <c:v>21.38104248046875</c:v>
                </c:pt>
                <c:pt idx="61">
                  <c:v>21.443216323852539</c:v>
                </c:pt>
                <c:pt idx="62">
                  <c:v>21.161346435546875</c:v>
                </c:pt>
                <c:pt idx="63">
                  <c:v>21.264974594116211</c:v>
                </c:pt>
                <c:pt idx="64">
                  <c:v>21.260829925537109</c:v>
                </c:pt>
                <c:pt idx="65">
                  <c:v>21.530263900756836</c:v>
                </c:pt>
                <c:pt idx="66">
                  <c:v>21.397623062133789</c:v>
                </c:pt>
                <c:pt idx="67">
                  <c:v>21.095020294189453</c:v>
                </c:pt>
                <c:pt idx="68">
                  <c:v>21.231813430786133</c:v>
                </c:pt>
                <c:pt idx="69">
                  <c:v>21.041130065917969</c:v>
                </c:pt>
                <c:pt idx="70">
                  <c:v>21.289844512939453</c:v>
                </c:pt>
                <c:pt idx="71">
                  <c:v>21.517831802368164</c:v>
                </c:pt>
                <c:pt idx="72">
                  <c:v>21.521980285644531</c:v>
                </c:pt>
                <c:pt idx="73">
                  <c:v>22.831863403320313</c:v>
                </c:pt>
                <c:pt idx="74">
                  <c:v>22.574863433837891</c:v>
                </c:pt>
                <c:pt idx="75">
                  <c:v>22.346878051757813</c:v>
                </c:pt>
                <c:pt idx="76">
                  <c:v>21.932355880737305</c:v>
                </c:pt>
                <c:pt idx="77">
                  <c:v>22.243246078491211</c:v>
                </c:pt>
                <c:pt idx="78">
                  <c:v>22.176919937133789</c:v>
                </c:pt>
                <c:pt idx="79">
                  <c:v>22.425632476806641</c:v>
                </c:pt>
                <c:pt idx="80">
                  <c:v>22.375896453857425</c:v>
                </c:pt>
                <c:pt idx="81">
                  <c:v>22.413198471069336</c:v>
                </c:pt>
                <c:pt idx="82">
                  <c:v>22.292987823486328</c:v>
                </c:pt>
                <c:pt idx="83">
                  <c:v>22.483667373657227</c:v>
                </c:pt>
                <c:pt idx="84">
                  <c:v>22.442214965820313</c:v>
                </c:pt>
                <c:pt idx="85">
                  <c:v>22.384180068969727</c:v>
                </c:pt>
                <c:pt idx="86">
                  <c:v>22.520977020263672</c:v>
                </c:pt>
                <c:pt idx="87">
                  <c:v>22.628751754760746</c:v>
                </c:pt>
                <c:pt idx="88">
                  <c:v>22.433927536010746</c:v>
                </c:pt>
                <c:pt idx="89">
                  <c:v>22.520977020263672</c:v>
                </c:pt>
                <c:pt idx="90">
                  <c:v>22.54170036315918</c:v>
                </c:pt>
                <c:pt idx="91">
                  <c:v>22.603878021240231</c:v>
                </c:pt>
                <c:pt idx="92">
                  <c:v>23.254680633544918</c:v>
                </c:pt>
                <c:pt idx="93">
                  <c:v>22.923061370849609</c:v>
                </c:pt>
                <c:pt idx="94">
                  <c:v>22.773832321166992</c:v>
                </c:pt>
                <c:pt idx="95">
                  <c:v>21.928211212158203</c:v>
                </c:pt>
                <c:pt idx="96">
                  <c:v>22.255681991577148</c:v>
                </c:pt>
                <c:pt idx="97">
                  <c:v>24.65576171875</c:v>
                </c:pt>
                <c:pt idx="98">
                  <c:v>24.921056747436523</c:v>
                </c:pt>
                <c:pt idx="99">
                  <c:v>24.622602462768555</c:v>
                </c:pt>
                <c:pt idx="100">
                  <c:v>25.078573226928711</c:v>
                </c:pt>
                <c:pt idx="101">
                  <c:v>25.33143424987793</c:v>
                </c:pt>
                <c:pt idx="102">
                  <c:v>25.546987533569336</c:v>
                </c:pt>
                <c:pt idx="103">
                  <c:v>25.78326416015625</c:v>
                </c:pt>
                <c:pt idx="104">
                  <c:v>25.140756607055664</c:v>
                </c:pt>
                <c:pt idx="105">
                  <c:v>25.236095428466797</c:v>
                </c:pt>
                <c:pt idx="106">
                  <c:v>25.497243881225582</c:v>
                </c:pt>
                <c:pt idx="107">
                  <c:v>25.070285797119141</c:v>
                </c:pt>
                <c:pt idx="108">
                  <c:v>25.252674102783203</c:v>
                </c:pt>
                <c:pt idx="109">
                  <c:v>25.580146789550781</c:v>
                </c:pt>
                <c:pt idx="110">
                  <c:v>25.534549713134769</c:v>
                </c:pt>
                <c:pt idx="111">
                  <c:v>25.447500228881836</c:v>
                </c:pt>
                <c:pt idx="112">
                  <c:v>25.140756607055664</c:v>
                </c:pt>
                <c:pt idx="113">
                  <c:v>25.455791473388672</c:v>
                </c:pt>
                <c:pt idx="114">
                  <c:v>25.658910751342773</c:v>
                </c:pt>
                <c:pt idx="115">
                  <c:v>25.841297149658203</c:v>
                </c:pt>
                <c:pt idx="116">
                  <c:v>25.178062438964844</c:v>
                </c:pt>
                <c:pt idx="117">
                  <c:v>25.439207077026367</c:v>
                </c:pt>
                <c:pt idx="118">
                  <c:v>24.643329620361328</c:v>
                </c:pt>
                <c:pt idx="119">
                  <c:v>24.900333404541016</c:v>
                </c:pt>
                <c:pt idx="120">
                  <c:v>25.617454528808594</c:v>
                </c:pt>
                <c:pt idx="121">
                  <c:v>25.053703308105469</c:v>
                </c:pt>
                <c:pt idx="122">
                  <c:v>25.426773071289063</c:v>
                </c:pt>
                <c:pt idx="123">
                  <c:v>25.671344757080082</c:v>
                </c:pt>
                <c:pt idx="124">
                  <c:v>25.40190315246582</c:v>
                </c:pt>
                <c:pt idx="125">
                  <c:v>25.57600212097168</c:v>
                </c:pt>
                <c:pt idx="126">
                  <c:v>25.356306076049805</c:v>
                </c:pt>
                <c:pt idx="127">
                  <c:v>24.249532699584961</c:v>
                </c:pt>
                <c:pt idx="128">
                  <c:v>24.659912109375</c:v>
                </c:pt>
                <c:pt idx="129">
                  <c:v>25.236095428466797</c:v>
                </c:pt>
                <c:pt idx="130">
                  <c:v>25.107593536376953</c:v>
                </c:pt>
                <c:pt idx="131">
                  <c:v>25.248529434204102</c:v>
                </c:pt>
                <c:pt idx="132">
                  <c:v>24.726234436035156</c:v>
                </c:pt>
                <c:pt idx="133">
                  <c:v>25.003961563110352</c:v>
                </c:pt>
                <c:pt idx="134">
                  <c:v>25.327285766601559</c:v>
                </c:pt>
                <c:pt idx="135">
                  <c:v>24.481666564941406</c:v>
                </c:pt>
                <c:pt idx="136">
                  <c:v>24.630889892578125</c:v>
                </c:pt>
                <c:pt idx="137">
                  <c:v>23.826717376708984</c:v>
                </c:pt>
                <c:pt idx="138">
                  <c:v>24.116886138916016</c:v>
                </c:pt>
                <c:pt idx="139">
                  <c:v>23.909624099731445</c:v>
                </c:pt>
                <c:pt idx="140">
                  <c:v>23.710651397705082</c:v>
                </c:pt>
                <c:pt idx="141">
                  <c:v>23.81428337097168</c:v>
                </c:pt>
                <c:pt idx="142">
                  <c:v>24.067140579223633</c:v>
                </c:pt>
                <c:pt idx="143">
                  <c:v>24.357309341430664</c:v>
                </c:pt>
                <c:pt idx="144">
                  <c:v>23.839155197143555</c:v>
                </c:pt>
                <c:pt idx="145">
                  <c:v>23.055706024169918</c:v>
                </c:pt>
                <c:pt idx="146">
                  <c:v>23.163488388061523</c:v>
                </c:pt>
                <c:pt idx="147">
                  <c:v>23.631891250610352</c:v>
                </c:pt>
                <c:pt idx="148">
                  <c:v>23.146903991699219</c:v>
                </c:pt>
                <c:pt idx="149">
                  <c:v>23.20079231262207</c:v>
                </c:pt>
                <c:pt idx="150">
                  <c:v>22.616317749023441</c:v>
                </c:pt>
                <c:pt idx="151">
                  <c:v>22.898193359375</c:v>
                </c:pt>
                <c:pt idx="152">
                  <c:v>23.068143844604492</c:v>
                </c:pt>
                <c:pt idx="153">
                  <c:v>22.442214965820313</c:v>
                </c:pt>
                <c:pt idx="154">
                  <c:v>22.442214965820313</c:v>
                </c:pt>
                <c:pt idx="155">
                  <c:v>22.045978546142575</c:v>
                </c:pt>
                <c:pt idx="156">
                  <c:v>21.964485168457031</c:v>
                </c:pt>
                <c:pt idx="157">
                  <c:v>22.097448348999023</c:v>
                </c:pt>
                <c:pt idx="158">
                  <c:v>22.620718002319336</c:v>
                </c:pt>
                <c:pt idx="159">
                  <c:v>23.44422721862793</c:v>
                </c:pt>
                <c:pt idx="160">
                  <c:v>23.058204650878903</c:v>
                </c:pt>
                <c:pt idx="161">
                  <c:v>22.98529052734375</c:v>
                </c:pt>
                <c:pt idx="162">
                  <c:v>22.972423553466797</c:v>
                </c:pt>
                <c:pt idx="163">
                  <c:v>22.809438705444336</c:v>
                </c:pt>
                <c:pt idx="164">
                  <c:v>22.427711486816406</c:v>
                </c:pt>
                <c:pt idx="165">
                  <c:v>22.329061508178711</c:v>
                </c:pt>
                <c:pt idx="166">
                  <c:v>22.972423553466797</c:v>
                </c:pt>
                <c:pt idx="167">
                  <c:v>23.011024475097656</c:v>
                </c:pt>
                <c:pt idx="168">
                  <c:v>22.805152893066406</c:v>
                </c:pt>
                <c:pt idx="169">
                  <c:v>23.075359344482425</c:v>
                </c:pt>
                <c:pt idx="170">
                  <c:v>22.080289840698239</c:v>
                </c:pt>
                <c:pt idx="171">
                  <c:v>22.526357650756836</c:v>
                </c:pt>
                <c:pt idx="172">
                  <c:v>22.269014358520508</c:v>
                </c:pt>
                <c:pt idx="173">
                  <c:v>22.83946418762207</c:v>
                </c:pt>
                <c:pt idx="174">
                  <c:v>22.946687698364254</c:v>
                </c:pt>
                <c:pt idx="175">
                  <c:v>23.967498779296875</c:v>
                </c:pt>
                <c:pt idx="176">
                  <c:v>24.443588256835938</c:v>
                </c:pt>
                <c:pt idx="177">
                  <c:v>24.383537292480469</c:v>
                </c:pt>
                <c:pt idx="178">
                  <c:v>24.876787185668945</c:v>
                </c:pt>
                <c:pt idx="179">
                  <c:v>24.4478759765625</c:v>
                </c:pt>
                <c:pt idx="180">
                  <c:v>24.079013824462891</c:v>
                </c:pt>
                <c:pt idx="181">
                  <c:v>24.460742950439453</c:v>
                </c:pt>
                <c:pt idx="182">
                  <c:v>24.220550537109375</c:v>
                </c:pt>
                <c:pt idx="183">
                  <c:v>23.092517852783203</c:v>
                </c:pt>
                <c:pt idx="184">
                  <c:v>22.981002807617188</c:v>
                </c:pt>
                <c:pt idx="185">
                  <c:v>23.345577239990231</c:v>
                </c:pt>
                <c:pt idx="186">
                  <c:v>23.615789413452148</c:v>
                </c:pt>
                <c:pt idx="187">
                  <c:v>23.212614059448239</c:v>
                </c:pt>
                <c:pt idx="188">
                  <c:v>23.478538513183594</c:v>
                </c:pt>
                <c:pt idx="189">
                  <c:v>23.710149765014648</c:v>
                </c:pt>
                <c:pt idx="190">
                  <c:v>24.628013610839844</c:v>
                </c:pt>
                <c:pt idx="191">
                  <c:v>23.958915710449219</c:v>
                </c:pt>
                <c:pt idx="192">
                  <c:v>24.400693893432617</c:v>
                </c:pt>
                <c:pt idx="193">
                  <c:v>23.928892135620117</c:v>
                </c:pt>
                <c:pt idx="194">
                  <c:v>24.199106216430664</c:v>
                </c:pt>
                <c:pt idx="195">
                  <c:v>25.567329406738281</c:v>
                </c:pt>
                <c:pt idx="196">
                  <c:v>25.490127563476559</c:v>
                </c:pt>
                <c:pt idx="197">
                  <c:v>25.099821090698239</c:v>
                </c:pt>
                <c:pt idx="198">
                  <c:v>26.596714019775391</c:v>
                </c:pt>
                <c:pt idx="199">
                  <c:v>25.974794387817383</c:v>
                </c:pt>
                <c:pt idx="200">
                  <c:v>26.76399040222168</c:v>
                </c:pt>
                <c:pt idx="201">
                  <c:v>26.420862197875977</c:v>
                </c:pt>
                <c:pt idx="202">
                  <c:v>26.335079193115231</c:v>
                </c:pt>
                <c:pt idx="203">
                  <c:v>25.949058532714844</c:v>
                </c:pt>
                <c:pt idx="204">
                  <c:v>26.262165069580082</c:v>
                </c:pt>
                <c:pt idx="205">
                  <c:v>26.330789566040039</c:v>
                </c:pt>
                <c:pt idx="206">
                  <c:v>26.047708511352539</c:v>
                </c:pt>
                <c:pt idx="207">
                  <c:v>25.966217041015625</c:v>
                </c:pt>
                <c:pt idx="208">
                  <c:v>26.082021713256836</c:v>
                </c:pt>
                <c:pt idx="209">
                  <c:v>25.82896614074707</c:v>
                </c:pt>
                <c:pt idx="210">
                  <c:v>25.949058532714844</c:v>
                </c:pt>
                <c:pt idx="211">
                  <c:v>26.00910758972168</c:v>
                </c:pt>
                <c:pt idx="212">
                  <c:v>26.347946166992188</c:v>
                </c:pt>
                <c:pt idx="213">
                  <c:v>26.283611297607425</c:v>
                </c:pt>
                <c:pt idx="214">
                  <c:v>25.665981292724609</c:v>
                </c:pt>
                <c:pt idx="215">
                  <c:v>25.391475677490231</c:v>
                </c:pt>
                <c:pt idx="216">
                  <c:v>25.417211532592773</c:v>
                </c:pt>
                <c:pt idx="217">
                  <c:v>25.541593551635746</c:v>
                </c:pt>
                <c:pt idx="218">
                  <c:v>26.030553817749023</c:v>
                </c:pt>
                <c:pt idx="219">
                  <c:v>25.889011383056641</c:v>
                </c:pt>
                <c:pt idx="220">
                  <c:v>26.00910758972168</c:v>
                </c:pt>
                <c:pt idx="221">
                  <c:v>26.429437637329102</c:v>
                </c:pt>
                <c:pt idx="222">
                  <c:v>25.721736907958984</c:v>
                </c:pt>
                <c:pt idx="223">
                  <c:v>25.67884635925293</c:v>
                </c:pt>
                <c:pt idx="224">
                  <c:v>26.167804718017575</c:v>
                </c:pt>
                <c:pt idx="225">
                  <c:v>25.949058532714844</c:v>
                </c:pt>
                <c:pt idx="226">
                  <c:v>25.35716438293457</c:v>
                </c:pt>
                <c:pt idx="227">
                  <c:v>25.45152473449707</c:v>
                </c:pt>
                <c:pt idx="228">
                  <c:v>24.018962860107425</c:v>
                </c:pt>
                <c:pt idx="229">
                  <c:v>21.569887161254883</c:v>
                </c:pt>
                <c:pt idx="230">
                  <c:v>21.70713996887207</c:v>
                </c:pt>
                <c:pt idx="231">
                  <c:v>22.045976638793945</c:v>
                </c:pt>
                <c:pt idx="232">
                  <c:v>22.080289840698239</c:v>
                </c:pt>
                <c:pt idx="233">
                  <c:v>21.99022102355957</c:v>
                </c:pt>
                <c:pt idx="234">
                  <c:v>22.247566223144531</c:v>
                </c:pt>
                <c:pt idx="235">
                  <c:v>22.045976638793945</c:v>
                </c:pt>
                <c:pt idx="236">
                  <c:v>21.445503234863281</c:v>
                </c:pt>
                <c:pt idx="237">
                  <c:v>21.61277961730957</c:v>
                </c:pt>
                <c:pt idx="238">
                  <c:v>20.973703384399418</c:v>
                </c:pt>
                <c:pt idx="239">
                  <c:v>21.31683349609375</c:v>
                </c:pt>
                <c:pt idx="240">
                  <c:v>21.158134460449219</c:v>
                </c:pt>
                <c:pt idx="241">
                  <c:v>21.372591018676761</c:v>
                </c:pt>
                <c:pt idx="242">
                  <c:v>21.930170059204102</c:v>
                </c:pt>
                <c:pt idx="243">
                  <c:v>21.985929489135746</c:v>
                </c:pt>
                <c:pt idx="244">
                  <c:v>22.217540740966797</c:v>
                </c:pt>
                <c:pt idx="245">
                  <c:v>22.715076446533203</c:v>
                </c:pt>
                <c:pt idx="246">
                  <c:v>22.517782211303711</c:v>
                </c:pt>
                <c:pt idx="247">
                  <c:v>22.389106750488281</c:v>
                </c:pt>
                <c:pt idx="248">
                  <c:v>23.572900772094727</c:v>
                </c:pt>
                <c:pt idx="249">
                  <c:v>23.31126594543457</c:v>
                </c:pt>
                <c:pt idx="250">
                  <c:v>22.59498405456543</c:v>
                </c:pt>
                <c:pt idx="251">
                  <c:v>22.848041534423828</c:v>
                </c:pt>
                <c:pt idx="252">
                  <c:v>22.860906600952148</c:v>
                </c:pt>
                <c:pt idx="253">
                  <c:v>23.161142349243164</c:v>
                </c:pt>
                <c:pt idx="254">
                  <c:v>23.156858444213867</c:v>
                </c:pt>
                <c:pt idx="255">
                  <c:v>22.98529052734375</c:v>
                </c:pt>
                <c:pt idx="256">
                  <c:v>22.779415130615231</c:v>
                </c:pt>
                <c:pt idx="257">
                  <c:v>22.191806793212891</c:v>
                </c:pt>
                <c:pt idx="258">
                  <c:v>22.818017959594727</c:v>
                </c:pt>
                <c:pt idx="259">
                  <c:v>22.942401885986328</c:v>
                </c:pt>
                <c:pt idx="260">
                  <c:v>23.264081954956055</c:v>
                </c:pt>
                <c:pt idx="261">
                  <c:v>23.268373489379883</c:v>
                </c:pt>
                <c:pt idx="262">
                  <c:v>23.508560180664063</c:v>
                </c:pt>
                <c:pt idx="263">
                  <c:v>23.512851715087891</c:v>
                </c:pt>
                <c:pt idx="264">
                  <c:v>23.590055465698239</c:v>
                </c:pt>
                <c:pt idx="265">
                  <c:v>23.547164916992188</c:v>
                </c:pt>
                <c:pt idx="266">
                  <c:v>23.349863052368164</c:v>
                </c:pt>
                <c:pt idx="267">
                  <c:v>23.534297943115231</c:v>
                </c:pt>
                <c:pt idx="268">
                  <c:v>23.358442306518555</c:v>
                </c:pt>
                <c:pt idx="269">
                  <c:v>22.389106750488281</c:v>
                </c:pt>
                <c:pt idx="270">
                  <c:v>22.577827453613281</c:v>
                </c:pt>
                <c:pt idx="271">
                  <c:v>22.401975631713867</c:v>
                </c:pt>
                <c:pt idx="272">
                  <c:v>22.462020874023441</c:v>
                </c:pt>
                <c:pt idx="273">
                  <c:v>22.174650192260746</c:v>
                </c:pt>
                <c:pt idx="274">
                  <c:v>21.522708892822266</c:v>
                </c:pt>
                <c:pt idx="275">
                  <c:v>21.591331481933594</c:v>
                </c:pt>
                <c:pt idx="276">
                  <c:v>21.94304084777832</c:v>
                </c:pt>
                <c:pt idx="277">
                  <c:v>21.861549377441406</c:v>
                </c:pt>
                <c:pt idx="278">
                  <c:v>21.792922973632813</c:v>
                </c:pt>
                <c:pt idx="279">
                  <c:v>21.651382446289063</c:v>
                </c:pt>
                <c:pt idx="280">
                  <c:v>21.355436325073239</c:v>
                </c:pt>
                <c:pt idx="281">
                  <c:v>21.072353363037109</c:v>
                </c:pt>
                <c:pt idx="282">
                  <c:v>20.917942047119141</c:v>
                </c:pt>
                <c:pt idx="283">
                  <c:v>21.278226852416992</c:v>
                </c:pt>
                <c:pt idx="284">
                  <c:v>21.69856071472168</c:v>
                </c:pt>
                <c:pt idx="285">
                  <c:v>22.208963394165039</c:v>
                </c:pt>
                <c:pt idx="286">
                  <c:v>22.685050964355469</c:v>
                </c:pt>
                <c:pt idx="287">
                  <c:v>22.796573638916016</c:v>
                </c:pt>
                <c:pt idx="288">
                  <c:v>23.358442306518555</c:v>
                </c:pt>
                <c:pt idx="289">
                  <c:v>25.219911575317383</c:v>
                </c:pt>
                <c:pt idx="290">
                  <c:v>25.558750152587891</c:v>
                </c:pt>
                <c:pt idx="291">
                  <c:v>25.44294548034668</c:v>
                </c:pt>
                <c:pt idx="292">
                  <c:v>25.189889907836911</c:v>
                </c:pt>
                <c:pt idx="293">
                  <c:v>25.228492736816406</c:v>
                </c:pt>
                <c:pt idx="294">
                  <c:v>25.082662582397461</c:v>
                </c:pt>
                <c:pt idx="295">
                  <c:v>24.808158874511719</c:v>
                </c:pt>
                <c:pt idx="296">
                  <c:v>24.97114372253418</c:v>
                </c:pt>
                <c:pt idx="297">
                  <c:v>25.618801116943359</c:v>
                </c:pt>
                <c:pt idx="298">
                  <c:v>25.734607696533203</c:v>
                </c:pt>
                <c:pt idx="299">
                  <c:v>25.623088836669918</c:v>
                </c:pt>
                <c:pt idx="300">
                  <c:v>25.730316162109375</c:v>
                </c:pt>
                <c:pt idx="301">
                  <c:v>25.421501159667969</c:v>
                </c:pt>
                <c:pt idx="302">
                  <c:v>25.215625762939453</c:v>
                </c:pt>
                <c:pt idx="303">
                  <c:v>25.790361404418945</c:v>
                </c:pt>
                <c:pt idx="304">
                  <c:v>25.906167984008789</c:v>
                </c:pt>
                <c:pt idx="305">
                  <c:v>26.420862197875977</c:v>
                </c:pt>
                <c:pt idx="306">
                  <c:v>26.377969741821289</c:v>
                </c:pt>
                <c:pt idx="307">
                  <c:v>26.528091430664063</c:v>
                </c:pt>
                <c:pt idx="308">
                  <c:v>27.557472229003903</c:v>
                </c:pt>
                <c:pt idx="309">
                  <c:v>27.48455810546875</c:v>
                </c:pt>
                <c:pt idx="310">
                  <c:v>27.703302383422852</c:v>
                </c:pt>
                <c:pt idx="311">
                  <c:v>27.57891845703125</c:v>
                </c:pt>
                <c:pt idx="312">
                  <c:v>27.57463264465332</c:v>
                </c:pt>
                <c:pt idx="313">
                  <c:v>27.823398590087891</c:v>
                </c:pt>
                <c:pt idx="314">
                  <c:v>28.908542633056641</c:v>
                </c:pt>
                <c:pt idx="315">
                  <c:v>29.680576324462891</c:v>
                </c:pt>
                <c:pt idx="316">
                  <c:v>29.431812286376953</c:v>
                </c:pt>
                <c:pt idx="317">
                  <c:v>30.023702621459961</c:v>
                </c:pt>
                <c:pt idx="318">
                  <c:v>29.81353759765625</c:v>
                </c:pt>
                <c:pt idx="319">
                  <c:v>29.75349235534668</c:v>
                </c:pt>
                <c:pt idx="320">
                  <c:v>29.839277267456055</c:v>
                </c:pt>
                <c:pt idx="321">
                  <c:v>30.654207229614254</c:v>
                </c:pt>
                <c:pt idx="322">
                  <c:v>30.28105354309082</c:v>
                </c:pt>
                <c:pt idx="323">
                  <c:v>29.500436782836911</c:v>
                </c:pt>
                <c:pt idx="324">
                  <c:v>29.684867858886719</c:v>
                </c:pt>
                <c:pt idx="325">
                  <c:v>30.18669319152832</c:v>
                </c:pt>
                <c:pt idx="326">
                  <c:v>29.869295120239254</c:v>
                </c:pt>
                <c:pt idx="327">
                  <c:v>29.967950820922852</c:v>
                </c:pt>
                <c:pt idx="328">
                  <c:v>29.873586654663089</c:v>
                </c:pt>
                <c:pt idx="329">
                  <c:v>30.285335540771484</c:v>
                </c:pt>
                <c:pt idx="330">
                  <c:v>30.06230354309082</c:v>
                </c:pt>
                <c:pt idx="331">
                  <c:v>29.822114944458008</c:v>
                </c:pt>
                <c:pt idx="332">
                  <c:v>29.99797248840332</c:v>
                </c:pt>
                <c:pt idx="333">
                  <c:v>30.173824310302734</c:v>
                </c:pt>
                <c:pt idx="334">
                  <c:v>29.925058364868164</c:v>
                </c:pt>
                <c:pt idx="335">
                  <c:v>29.933635711669918</c:v>
                </c:pt>
                <c:pt idx="336">
                  <c:v>30.195270538330082</c:v>
                </c:pt>
                <c:pt idx="337">
                  <c:v>30.675649642944336</c:v>
                </c:pt>
                <c:pt idx="338">
                  <c:v>31.095979690551761</c:v>
                </c:pt>
                <c:pt idx="339">
                  <c:v>30.28105354309082</c:v>
                </c:pt>
                <c:pt idx="340">
                  <c:v>30.787164688110352</c:v>
                </c:pt>
                <c:pt idx="341">
                  <c:v>30.486928939819336</c:v>
                </c:pt>
                <c:pt idx="342">
                  <c:v>29.907901763916016</c:v>
                </c:pt>
                <c:pt idx="343">
                  <c:v>31.859443664550781</c:v>
                </c:pt>
                <c:pt idx="344">
                  <c:v>33.609397888183594</c:v>
                </c:pt>
                <c:pt idx="345">
                  <c:v>33.412094116210938</c:v>
                </c:pt>
                <c:pt idx="346">
                  <c:v>34.227020263671875</c:v>
                </c:pt>
                <c:pt idx="347">
                  <c:v>33.798114776611328</c:v>
                </c:pt>
                <c:pt idx="348">
                  <c:v>33.828144073486328</c:v>
                </c:pt>
                <c:pt idx="349">
                  <c:v>34.304233551025391</c:v>
                </c:pt>
                <c:pt idx="350">
                  <c:v>34.31280517578125</c:v>
                </c:pt>
                <c:pt idx="351">
                  <c:v>34.758876800537109</c:v>
                </c:pt>
                <c:pt idx="352">
                  <c:v>35.269279479980469</c:v>
                </c:pt>
                <c:pt idx="353">
                  <c:v>35.856880187988281</c:v>
                </c:pt>
                <c:pt idx="354">
                  <c:v>35.981266021728516</c:v>
                </c:pt>
                <c:pt idx="355">
                  <c:v>36.530269622802734</c:v>
                </c:pt>
                <c:pt idx="356">
                  <c:v>36.071342468261719</c:v>
                </c:pt>
                <c:pt idx="357">
                  <c:v>35.76251220703125</c:v>
                </c:pt>
                <c:pt idx="358">
                  <c:v>35.475151062011719</c:v>
                </c:pt>
                <c:pt idx="359">
                  <c:v>34.861812591552734</c:v>
                </c:pt>
                <c:pt idx="360">
                  <c:v>35.470859527587891</c:v>
                </c:pt>
                <c:pt idx="361">
                  <c:v>35.560935974121094</c:v>
                </c:pt>
                <c:pt idx="362">
                  <c:v>35.106292724609375</c:v>
                </c:pt>
                <c:pt idx="363">
                  <c:v>34.025436401367188</c:v>
                </c:pt>
                <c:pt idx="364">
                  <c:v>34.055461883544922</c:v>
                </c:pt>
                <c:pt idx="365">
                  <c:v>35.269279479980469</c:v>
                </c:pt>
                <c:pt idx="366">
                  <c:v>34.600173950195313</c:v>
                </c:pt>
                <c:pt idx="367">
                  <c:v>33.669437408447266</c:v>
                </c:pt>
                <c:pt idx="368">
                  <c:v>32.837356567382813</c:v>
                </c:pt>
                <c:pt idx="369">
                  <c:v>33.206214904785156</c:v>
                </c:pt>
                <c:pt idx="370">
                  <c:v>32.254039764404297</c:v>
                </c:pt>
                <c:pt idx="371">
                  <c:v>33.004627227783203</c:v>
                </c:pt>
                <c:pt idx="372">
                  <c:v>32.923133850097656</c:v>
                </c:pt>
                <c:pt idx="373">
                  <c:v>32.301219940185547</c:v>
                </c:pt>
                <c:pt idx="374">
                  <c:v>32.172550201416016</c:v>
                </c:pt>
                <c:pt idx="375">
                  <c:v>31.9066162109375</c:v>
                </c:pt>
                <c:pt idx="376">
                  <c:v>33.454986572265625</c:v>
                </c:pt>
                <c:pt idx="377">
                  <c:v>33.279136657714844</c:v>
                </c:pt>
                <c:pt idx="378">
                  <c:v>34.252761840820313</c:v>
                </c:pt>
                <c:pt idx="379">
                  <c:v>33.7938232421875</c:v>
                </c:pt>
                <c:pt idx="380">
                  <c:v>34.840370178222656</c:v>
                </c:pt>
                <c:pt idx="381">
                  <c:v>35.093429565429688</c:v>
                </c:pt>
                <c:pt idx="382">
                  <c:v>34.870391845703125</c:v>
                </c:pt>
                <c:pt idx="383">
                  <c:v>34.31280517578125</c:v>
                </c:pt>
                <c:pt idx="384">
                  <c:v>34.196998596191406</c:v>
                </c:pt>
                <c:pt idx="385">
                  <c:v>34.402870178222656</c:v>
                </c:pt>
                <c:pt idx="386">
                  <c:v>34.617332458496094</c:v>
                </c:pt>
                <c:pt idx="387">
                  <c:v>35.041950225830078</c:v>
                </c:pt>
                <c:pt idx="388">
                  <c:v>34.934722900390625</c:v>
                </c:pt>
                <c:pt idx="389">
                  <c:v>34.934722900390625</c:v>
                </c:pt>
                <c:pt idx="390">
                  <c:v>35.385078430175781</c:v>
                </c:pt>
                <c:pt idx="391">
                  <c:v>35.457996368408203</c:v>
                </c:pt>
                <c:pt idx="392">
                  <c:v>35.608119964599609</c:v>
                </c:pt>
                <c:pt idx="393">
                  <c:v>35.342185974121094</c:v>
                </c:pt>
                <c:pt idx="394">
                  <c:v>36.405887603759766</c:v>
                </c:pt>
                <c:pt idx="395">
                  <c:v>36.984916687011719</c:v>
                </c:pt>
                <c:pt idx="396">
                  <c:v>37.143619537353523</c:v>
                </c:pt>
                <c:pt idx="397">
                  <c:v>37.143619537353523</c:v>
                </c:pt>
                <c:pt idx="398">
                  <c:v>37.027809143066406</c:v>
                </c:pt>
                <c:pt idx="399">
                  <c:v>36.950599670410163</c:v>
                </c:pt>
                <c:pt idx="400">
                  <c:v>36.9720458984375</c:v>
                </c:pt>
                <c:pt idx="401">
                  <c:v>36.045608520507813</c:v>
                </c:pt>
                <c:pt idx="402">
                  <c:v>36.478805541992188</c:v>
                </c:pt>
                <c:pt idx="403">
                  <c:v>36.538852691650391</c:v>
                </c:pt>
                <c:pt idx="404">
                  <c:v>37.572521209716797</c:v>
                </c:pt>
                <c:pt idx="405">
                  <c:v>37.915653228759766</c:v>
                </c:pt>
                <c:pt idx="406">
                  <c:v>37.954254150390625</c:v>
                </c:pt>
                <c:pt idx="407">
                  <c:v>38.654296875</c:v>
                </c:pt>
                <c:pt idx="408">
                  <c:v>37.728153228759766</c:v>
                </c:pt>
                <c:pt idx="409">
                  <c:v>37.675975799560547</c:v>
                </c:pt>
                <c:pt idx="410">
                  <c:v>36.910720825195313</c:v>
                </c:pt>
                <c:pt idx="411">
                  <c:v>36.454166412353523</c:v>
                </c:pt>
                <c:pt idx="412">
                  <c:v>37.762935638427734</c:v>
                </c:pt>
                <c:pt idx="413">
                  <c:v>37.402046203613281</c:v>
                </c:pt>
                <c:pt idx="414">
                  <c:v>36.815059661865234</c:v>
                </c:pt>
                <c:pt idx="415">
                  <c:v>37.389003753662109</c:v>
                </c:pt>
                <c:pt idx="416">
                  <c:v>37.397697448730469</c:v>
                </c:pt>
                <c:pt idx="417">
                  <c:v>37.254215240478509</c:v>
                </c:pt>
                <c:pt idx="418">
                  <c:v>37.393356323242188</c:v>
                </c:pt>
                <c:pt idx="419">
                  <c:v>37.523796081542969</c:v>
                </c:pt>
                <c:pt idx="420">
                  <c:v>36.788970947265625</c:v>
                </c:pt>
                <c:pt idx="421">
                  <c:v>35.884574890136719</c:v>
                </c:pt>
                <c:pt idx="422">
                  <c:v>35.436721801757813</c:v>
                </c:pt>
                <c:pt idx="423">
                  <c:v>34.445365905761719</c:v>
                </c:pt>
                <c:pt idx="424">
                  <c:v>35.432373046875</c:v>
                </c:pt>
                <c:pt idx="425">
                  <c:v>35.975883483886719</c:v>
                </c:pt>
                <c:pt idx="426">
                  <c:v>36.141109466552734</c:v>
                </c:pt>
                <c:pt idx="427">
                  <c:v>35.710647583007813</c:v>
                </c:pt>
                <c:pt idx="428">
                  <c:v>35.836746215820313</c:v>
                </c:pt>
                <c:pt idx="429">
                  <c:v>35.471511840820313</c:v>
                </c:pt>
                <c:pt idx="430">
                  <c:v>34.988876342773438</c:v>
                </c:pt>
                <c:pt idx="431">
                  <c:v>36.262855529785149</c:v>
                </c:pt>
                <c:pt idx="432">
                  <c:v>35.828048706054688</c:v>
                </c:pt>
                <c:pt idx="433">
                  <c:v>36.228069305419922</c:v>
                </c:pt>
                <c:pt idx="434">
                  <c:v>36.284595489501953</c:v>
                </c:pt>
                <c:pt idx="435">
                  <c:v>36.097629547119141</c:v>
                </c:pt>
                <c:pt idx="436">
                  <c:v>35.967185974121094</c:v>
                </c:pt>
                <c:pt idx="437">
                  <c:v>35.888923645019531</c:v>
                </c:pt>
                <c:pt idx="438">
                  <c:v>36.384601593017578</c:v>
                </c:pt>
                <c:pt idx="439">
                  <c:v>36.1976318359375</c:v>
                </c:pt>
                <c:pt idx="440">
                  <c:v>36.228069305419922</c:v>
                </c:pt>
                <c:pt idx="441">
                  <c:v>36.710708618164063</c:v>
                </c:pt>
                <c:pt idx="442">
                  <c:v>37.080291748046875</c:v>
                </c:pt>
                <c:pt idx="443">
                  <c:v>37.019412994384766</c:v>
                </c:pt>
                <c:pt idx="444">
                  <c:v>36.723751068115234</c:v>
                </c:pt>
                <c:pt idx="445">
                  <c:v>36.802017211914063</c:v>
                </c:pt>
                <c:pt idx="446">
                  <c:v>37.784679412841797</c:v>
                </c:pt>
                <c:pt idx="447">
                  <c:v>38.410793304443359</c:v>
                </c:pt>
                <c:pt idx="448">
                  <c:v>38.562980651855469</c:v>
                </c:pt>
                <c:pt idx="449">
                  <c:v>38.497760772705078</c:v>
                </c:pt>
                <c:pt idx="450">
                  <c:v>39.032569885253906</c:v>
                </c:pt>
                <c:pt idx="451">
                  <c:v>39.371719360351563</c:v>
                </c:pt>
                <c:pt idx="452">
                  <c:v>39.180404663085938</c:v>
                </c:pt>
                <c:pt idx="453">
                  <c:v>38.949962615966797</c:v>
                </c:pt>
                <c:pt idx="454">
                  <c:v>39.484767913818359</c:v>
                </c:pt>
                <c:pt idx="455">
                  <c:v>39.671741485595703</c:v>
                </c:pt>
                <c:pt idx="456">
                  <c:v>39.854354858398438</c:v>
                </c:pt>
                <c:pt idx="457">
                  <c:v>39.963062286376953</c:v>
                </c:pt>
                <c:pt idx="458">
                  <c:v>39.080398559570313</c:v>
                </c:pt>
                <c:pt idx="459">
                  <c:v>38.736900329589837</c:v>
                </c:pt>
                <c:pt idx="460">
                  <c:v>39.176059722900391</c:v>
                </c:pt>
                <c:pt idx="461">
                  <c:v>39.228237152099609</c:v>
                </c:pt>
                <c:pt idx="462">
                  <c:v>39.310844421386719</c:v>
                </c:pt>
                <c:pt idx="463">
                  <c:v>39.028224945068359</c:v>
                </c:pt>
                <c:pt idx="464">
                  <c:v>38.210788726806641</c:v>
                </c:pt>
                <c:pt idx="465">
                  <c:v>37.797718048095703</c:v>
                </c:pt>
                <c:pt idx="466">
                  <c:v>38.258617401123047</c:v>
                </c:pt>
                <c:pt idx="467">
                  <c:v>38.654296875</c:v>
                </c:pt>
                <c:pt idx="468">
                  <c:v>38.702125549316406</c:v>
                </c:pt>
                <c:pt idx="469">
                  <c:v>38.067306518554688</c:v>
                </c:pt>
                <c:pt idx="470">
                  <c:v>37.123775482177734</c:v>
                </c:pt>
                <c:pt idx="471">
                  <c:v>37.74554443359375</c:v>
                </c:pt>
                <c:pt idx="472">
                  <c:v>37.919467926025391</c:v>
                </c:pt>
                <c:pt idx="473">
                  <c:v>38.828212738037109</c:v>
                </c:pt>
                <c:pt idx="474">
                  <c:v>38.532546997070313</c:v>
                </c:pt>
                <c:pt idx="475">
                  <c:v>38.806472778320313</c:v>
                </c:pt>
                <c:pt idx="476">
                  <c:v>39.210842132568359</c:v>
                </c:pt>
                <c:pt idx="477">
                  <c:v>39.471725463867188</c:v>
                </c:pt>
                <c:pt idx="478">
                  <c:v>39.549991607666016</c:v>
                </c:pt>
                <c:pt idx="479">
                  <c:v>40.302207946777344</c:v>
                </c:pt>
                <c:pt idx="480">
                  <c:v>40.006542205810547</c:v>
                </c:pt>
                <c:pt idx="481">
                  <c:v>39.349983215332031</c:v>
                </c:pt>
                <c:pt idx="482">
                  <c:v>38.963008880615234</c:v>
                </c:pt>
                <c:pt idx="483">
                  <c:v>39.202152252197266</c:v>
                </c:pt>
                <c:pt idx="484">
                  <c:v>39.219539642333984</c:v>
                </c:pt>
                <c:pt idx="485">
                  <c:v>40.389167785644531</c:v>
                </c:pt>
                <c:pt idx="486">
                  <c:v>41.089202880859375</c:v>
                </c:pt>
                <c:pt idx="487">
                  <c:v>40.841365814208984</c:v>
                </c:pt>
                <c:pt idx="488">
                  <c:v>40.006542205810547</c:v>
                </c:pt>
                <c:pt idx="489">
                  <c:v>40.089149475097656</c:v>
                </c:pt>
                <c:pt idx="490">
                  <c:v>40.532657623291016</c:v>
                </c:pt>
                <c:pt idx="491">
                  <c:v>40.889194488525391</c:v>
                </c:pt>
                <c:pt idx="492">
                  <c:v>41.263134002685547</c:v>
                </c:pt>
                <c:pt idx="493">
                  <c:v>40.954421997070313</c:v>
                </c:pt>
                <c:pt idx="494">
                  <c:v>42.032737731933594</c:v>
                </c:pt>
                <c:pt idx="495">
                  <c:v>42.241447448730469</c:v>
                </c:pt>
                <c:pt idx="496">
                  <c:v>42.254486083984375</c:v>
                </c:pt>
                <c:pt idx="497">
                  <c:v>42.793647766113281</c:v>
                </c:pt>
                <c:pt idx="498">
                  <c:v>43.741519927978509</c:v>
                </c:pt>
                <c:pt idx="499">
                  <c:v>42.606685638427734</c:v>
                </c:pt>
                <c:pt idx="500">
                  <c:v>41.684894561767578</c:v>
                </c:pt>
                <c:pt idx="501">
                  <c:v>42.002304077148438</c:v>
                </c:pt>
                <c:pt idx="502">
                  <c:v>42.411018371582031</c:v>
                </c:pt>
                <c:pt idx="503">
                  <c:v>42.541458129882813</c:v>
                </c:pt>
                <c:pt idx="504">
                  <c:v>42.211006164550781</c:v>
                </c:pt>
                <c:pt idx="505">
                  <c:v>42.015346527099609</c:v>
                </c:pt>
                <c:pt idx="506">
                  <c:v>42.145790100097656</c:v>
                </c:pt>
                <c:pt idx="507">
                  <c:v>42.576244354248047</c:v>
                </c:pt>
                <c:pt idx="508">
                  <c:v>41.763156890869141</c:v>
                </c:pt>
                <c:pt idx="509">
                  <c:v>41.471839904785149</c:v>
                </c:pt>
                <c:pt idx="510">
                  <c:v>41.132686614990234</c:v>
                </c:pt>
                <c:pt idx="511">
                  <c:v>42.089263916015625</c:v>
                </c:pt>
                <c:pt idx="512">
                  <c:v>42.645816802978509</c:v>
                </c:pt>
                <c:pt idx="513">
                  <c:v>42.297969818115234</c:v>
                </c:pt>
                <c:pt idx="514">
                  <c:v>42.898002624511719</c:v>
                </c:pt>
                <c:pt idx="515">
                  <c:v>43.724136352539063</c:v>
                </c:pt>
                <c:pt idx="516">
                  <c:v>44.0111083984375</c:v>
                </c:pt>
                <c:pt idx="517">
                  <c:v>44.0111083984375</c:v>
                </c:pt>
                <c:pt idx="518">
                  <c:v>45.228561401367188</c:v>
                </c:pt>
                <c:pt idx="519">
                  <c:v>45.793807983398438</c:v>
                </c:pt>
                <c:pt idx="520">
                  <c:v>46.532981872558594</c:v>
                </c:pt>
                <c:pt idx="521">
                  <c:v>46.646030426025391</c:v>
                </c:pt>
                <c:pt idx="522">
                  <c:v>46.472110748291016</c:v>
                </c:pt>
                <c:pt idx="523">
                  <c:v>46.785167694091797</c:v>
                </c:pt>
                <c:pt idx="524">
                  <c:v>45.524227142333984</c:v>
                </c:pt>
                <c:pt idx="525">
                  <c:v>45.011161804199219</c:v>
                </c:pt>
                <c:pt idx="526">
                  <c:v>45.863380432128906</c:v>
                </c:pt>
                <c:pt idx="527">
                  <c:v>45.176387786865234</c:v>
                </c:pt>
                <c:pt idx="528">
                  <c:v>46.272102355957031</c:v>
                </c:pt>
                <c:pt idx="529">
                  <c:v>45.532928466796875</c:v>
                </c:pt>
                <c:pt idx="530">
                  <c:v>45.376399993896477</c:v>
                </c:pt>
                <c:pt idx="531">
                  <c:v>44.706798553466797</c:v>
                </c:pt>
                <c:pt idx="532">
                  <c:v>44.993766784667969</c:v>
                </c:pt>
                <c:pt idx="533">
                  <c:v>45.419879913330078</c:v>
                </c:pt>
                <c:pt idx="534">
                  <c:v>44.811149597167969</c:v>
                </c:pt>
                <c:pt idx="535">
                  <c:v>45.5416259765625</c:v>
                </c:pt>
                <c:pt idx="536">
                  <c:v>45.802509307861328</c:v>
                </c:pt>
                <c:pt idx="537">
                  <c:v>45.445968627929688</c:v>
                </c:pt>
                <c:pt idx="538">
                  <c:v>46.176445007324219</c:v>
                </c:pt>
                <c:pt idx="539">
                  <c:v>44.463302612304688</c:v>
                </c:pt>
                <c:pt idx="540">
                  <c:v>44.037193298339837</c:v>
                </c:pt>
                <c:pt idx="541">
                  <c:v>43.389331817626953</c:v>
                </c:pt>
                <c:pt idx="542">
                  <c:v>43.550216674804688</c:v>
                </c:pt>
                <c:pt idx="543">
                  <c:v>43.906753540039063</c:v>
                </c:pt>
                <c:pt idx="544">
                  <c:v>42.767562866210938</c:v>
                </c:pt>
                <c:pt idx="545">
                  <c:v>45.967739105224609</c:v>
                </c:pt>
                <c:pt idx="546">
                  <c:v>46.541683197021491</c:v>
                </c:pt>
                <c:pt idx="547">
                  <c:v>46.898220062255859</c:v>
                </c:pt>
                <c:pt idx="548">
                  <c:v>48.193939208984375</c:v>
                </c:pt>
                <c:pt idx="549">
                  <c:v>47.341716766357422</c:v>
                </c:pt>
                <c:pt idx="550">
                  <c:v>47.828704833984375</c:v>
                </c:pt>
                <c:pt idx="551">
                  <c:v>48.559185028076172</c:v>
                </c:pt>
                <c:pt idx="552">
                  <c:v>48.611358642578125</c:v>
                </c:pt>
                <c:pt idx="553">
                  <c:v>48.620052337646477</c:v>
                </c:pt>
                <c:pt idx="554">
                  <c:v>48.828765869140625</c:v>
                </c:pt>
                <c:pt idx="555">
                  <c:v>48.907024383544922</c:v>
                </c:pt>
                <c:pt idx="556">
                  <c:v>48.463520050048828</c:v>
                </c:pt>
                <c:pt idx="557">
                  <c:v>48.533092498779297</c:v>
                </c:pt>
                <c:pt idx="558">
                  <c:v>49.176605224609375</c:v>
                </c:pt>
                <c:pt idx="559">
                  <c:v>49.046165466308594</c:v>
                </c:pt>
                <c:pt idx="560">
                  <c:v>48.202640533447266</c:v>
                </c:pt>
                <c:pt idx="561">
                  <c:v>48.620052337646477</c:v>
                </c:pt>
                <c:pt idx="562">
                  <c:v>48.133064270019531</c:v>
                </c:pt>
                <c:pt idx="563">
                  <c:v>47.576515197753906</c:v>
                </c:pt>
                <c:pt idx="564">
                  <c:v>48.072200775146477</c:v>
                </c:pt>
                <c:pt idx="565">
                  <c:v>48.507003784179688</c:v>
                </c:pt>
                <c:pt idx="566">
                  <c:v>48.785282135009766</c:v>
                </c:pt>
                <c:pt idx="567">
                  <c:v>49.254867553710938</c:v>
                </c:pt>
                <c:pt idx="568">
                  <c:v>49.559238433837891</c:v>
                </c:pt>
                <c:pt idx="569">
                  <c:v>49.594020843505859</c:v>
                </c:pt>
                <c:pt idx="570">
                  <c:v>49.576629638671875</c:v>
                </c:pt>
                <c:pt idx="571">
                  <c:v>49.56793212890625</c:v>
                </c:pt>
                <c:pt idx="572">
                  <c:v>49.654891967773438</c:v>
                </c:pt>
                <c:pt idx="573">
                  <c:v>47.741744995117188</c:v>
                </c:pt>
                <c:pt idx="574">
                  <c:v>45.898162841796875</c:v>
                </c:pt>
                <c:pt idx="575">
                  <c:v>45.880771636962891</c:v>
                </c:pt>
                <c:pt idx="576">
                  <c:v>47.680870056152344</c:v>
                </c:pt>
                <c:pt idx="577">
                  <c:v>46.576461791992188</c:v>
                </c:pt>
                <c:pt idx="578">
                  <c:v>46.263404846191406</c:v>
                </c:pt>
                <c:pt idx="579">
                  <c:v>45.750328063964851</c:v>
                </c:pt>
                <c:pt idx="580">
                  <c:v>45.202476501464851</c:v>
                </c:pt>
                <c:pt idx="581">
                  <c:v>45.359004974365234</c:v>
                </c:pt>
                <c:pt idx="582">
                  <c:v>44.454608917236328</c:v>
                </c:pt>
                <c:pt idx="583">
                  <c:v>45.393791198730469</c:v>
                </c:pt>
                <c:pt idx="584">
                  <c:v>45.663364410400391</c:v>
                </c:pt>
                <c:pt idx="585">
                  <c:v>45.611194610595703</c:v>
                </c:pt>
                <c:pt idx="586">
                  <c:v>46.611244201660163</c:v>
                </c:pt>
                <c:pt idx="587">
                  <c:v>46.298187255859375</c:v>
                </c:pt>
                <c:pt idx="588">
                  <c:v>45.332916259765625</c:v>
                </c:pt>
                <c:pt idx="589">
                  <c:v>46.263404846191406</c:v>
                </c:pt>
                <c:pt idx="590">
                  <c:v>45.828598022460938</c:v>
                </c:pt>
                <c:pt idx="591">
                  <c:v>46.072090148925781</c:v>
                </c:pt>
                <c:pt idx="592">
                  <c:v>45.950344085693359</c:v>
                </c:pt>
                <c:pt idx="593">
                  <c:v>45.715549468994141</c:v>
                </c:pt>
                <c:pt idx="594">
                  <c:v>45.550319671630859</c:v>
                </c:pt>
                <c:pt idx="595">
                  <c:v>46.150348663330078</c:v>
                </c:pt>
                <c:pt idx="596">
                  <c:v>46.185142517089837</c:v>
                </c:pt>
                <c:pt idx="597">
                  <c:v>46.933006286621094</c:v>
                </c:pt>
                <c:pt idx="598">
                  <c:v>46.767776489257813</c:v>
                </c:pt>
                <c:pt idx="599">
                  <c:v>46.428627014160163</c:v>
                </c:pt>
                <c:pt idx="600">
                  <c:v>44.958988189697266</c:v>
                </c:pt>
                <c:pt idx="601">
                  <c:v>46.402542114257813</c:v>
                </c:pt>
                <c:pt idx="602">
                  <c:v>45.872077941894531</c:v>
                </c:pt>
                <c:pt idx="603">
                  <c:v>46.054695129394531</c:v>
                </c:pt>
                <c:pt idx="604">
                  <c:v>44.619838714599609</c:v>
                </c:pt>
                <c:pt idx="605">
                  <c:v>43.906753540039063</c:v>
                </c:pt>
                <c:pt idx="606">
                  <c:v>43.793701171875</c:v>
                </c:pt>
                <c:pt idx="607">
                  <c:v>43.567604064941406</c:v>
                </c:pt>
                <c:pt idx="608">
                  <c:v>43.576301574707031</c:v>
                </c:pt>
                <c:pt idx="609">
                  <c:v>43.445858001708984</c:v>
                </c:pt>
                <c:pt idx="610">
                  <c:v>43.793701171875</c:v>
                </c:pt>
                <c:pt idx="611">
                  <c:v>43.958927154541016</c:v>
                </c:pt>
                <c:pt idx="612">
                  <c:v>44.637226104736328</c:v>
                </c:pt>
                <c:pt idx="613">
                  <c:v>45.654678344726563</c:v>
                </c:pt>
                <c:pt idx="614">
                  <c:v>45.132904052734375</c:v>
                </c:pt>
                <c:pt idx="615">
                  <c:v>44.506782531738281</c:v>
                </c:pt>
                <c:pt idx="616">
                  <c:v>45.228561401367188</c:v>
                </c:pt>
                <c:pt idx="617">
                  <c:v>45.967739105224609</c:v>
                </c:pt>
                <c:pt idx="618">
                  <c:v>45.393791198730469</c:v>
                </c:pt>
                <c:pt idx="619">
                  <c:v>45.74163818359375</c:v>
                </c:pt>
                <c:pt idx="620">
                  <c:v>45.211174011230469</c:v>
                </c:pt>
                <c:pt idx="621">
                  <c:v>45.976432800292969</c:v>
                </c:pt>
                <c:pt idx="622">
                  <c:v>45.645984649658203</c:v>
                </c:pt>
                <c:pt idx="623">
                  <c:v>46.193828582763672</c:v>
                </c:pt>
                <c:pt idx="624">
                  <c:v>46.959091186523438</c:v>
                </c:pt>
                <c:pt idx="625">
                  <c:v>46.367755889892578</c:v>
                </c:pt>
                <c:pt idx="626">
                  <c:v>44.654621124267578</c:v>
                </c:pt>
                <c:pt idx="627">
                  <c:v>44.367645263671875</c:v>
                </c:pt>
                <c:pt idx="628">
                  <c:v>43.541511535644531</c:v>
                </c:pt>
                <c:pt idx="629">
                  <c:v>43.31976318359375</c:v>
                </c:pt>
                <c:pt idx="630">
                  <c:v>42.615375518798828</c:v>
                </c:pt>
                <c:pt idx="631">
                  <c:v>42.6632080078125</c:v>
                </c:pt>
                <c:pt idx="632">
                  <c:v>43.99371337890625</c:v>
                </c:pt>
                <c:pt idx="633">
                  <c:v>44.637226104736328</c:v>
                </c:pt>
                <c:pt idx="634">
                  <c:v>44.672008514404297</c:v>
                </c:pt>
                <c:pt idx="635">
                  <c:v>44.298080444335938</c:v>
                </c:pt>
                <c:pt idx="636">
                  <c:v>44.245903015136719</c:v>
                </c:pt>
                <c:pt idx="637">
                  <c:v>43.8284912109375</c:v>
                </c:pt>
                <c:pt idx="638">
                  <c:v>43.8284912109375</c:v>
                </c:pt>
                <c:pt idx="639">
                  <c:v>43.558906555175781</c:v>
                </c:pt>
                <c:pt idx="640">
                  <c:v>43.037139892578125</c:v>
                </c:pt>
                <c:pt idx="641">
                  <c:v>43.037139892578125</c:v>
                </c:pt>
                <c:pt idx="642">
                  <c:v>42.828437805175781</c:v>
                </c:pt>
                <c:pt idx="643">
                  <c:v>42.728420257568359</c:v>
                </c:pt>
                <c:pt idx="644">
                  <c:v>42.476242065429688</c:v>
                </c:pt>
                <c:pt idx="645">
                  <c:v>42.224048614501953</c:v>
                </c:pt>
                <c:pt idx="646">
                  <c:v>42.258834838867188</c:v>
                </c:pt>
                <c:pt idx="647">
                  <c:v>42.315361022949219</c:v>
                </c:pt>
                <c:pt idx="648">
                  <c:v>43.037139892578125</c:v>
                </c:pt>
                <c:pt idx="649">
                  <c:v>45.689464569091797</c:v>
                </c:pt>
                <c:pt idx="650">
                  <c:v>45.193778991699219</c:v>
                </c:pt>
                <c:pt idx="651">
                  <c:v>44.219814300537109</c:v>
                </c:pt>
                <c:pt idx="652">
                  <c:v>43.802398681640625</c:v>
                </c:pt>
                <c:pt idx="653">
                  <c:v>44.628532409667969</c:v>
                </c:pt>
                <c:pt idx="654">
                  <c:v>44.002407073974609</c:v>
                </c:pt>
                <c:pt idx="655">
                  <c:v>43.811100006103523</c:v>
                </c:pt>
                <c:pt idx="656">
                  <c:v>44.39373779296875</c:v>
                </c:pt>
                <c:pt idx="657">
                  <c:v>44.863327026367188</c:v>
                </c:pt>
                <c:pt idx="658">
                  <c:v>45.002464294433594</c:v>
                </c:pt>
                <c:pt idx="659">
                  <c:v>45.863380432128906</c:v>
                </c:pt>
                <c:pt idx="660">
                  <c:v>46.193828582763672</c:v>
                </c:pt>
                <c:pt idx="661">
                  <c:v>46.440814971923828</c:v>
                </c:pt>
                <c:pt idx="662">
                  <c:v>46.405529022216797</c:v>
                </c:pt>
                <c:pt idx="663">
                  <c:v>47.005336761474609</c:v>
                </c:pt>
                <c:pt idx="664">
                  <c:v>46.467277526855469</c:v>
                </c:pt>
                <c:pt idx="665">
                  <c:v>46.352603912353523</c:v>
                </c:pt>
                <c:pt idx="666">
                  <c:v>47.172931671142578</c:v>
                </c:pt>
                <c:pt idx="667">
                  <c:v>47.358158111572266</c:v>
                </c:pt>
                <c:pt idx="668">
                  <c:v>46.943592071533203</c:v>
                </c:pt>
                <c:pt idx="669">
                  <c:v>47.516933441162109</c:v>
                </c:pt>
                <c:pt idx="670">
                  <c:v>46.052703857421875</c:v>
                </c:pt>
                <c:pt idx="671">
                  <c:v>45.726337432861328</c:v>
                </c:pt>
                <c:pt idx="672">
                  <c:v>45.232379913330078</c:v>
                </c:pt>
                <c:pt idx="673">
                  <c:v>44.579654693603523</c:v>
                </c:pt>
                <c:pt idx="674">
                  <c:v>44.756065368652344</c:v>
                </c:pt>
                <c:pt idx="675">
                  <c:v>44.209186553955078</c:v>
                </c:pt>
                <c:pt idx="676">
                  <c:v>44.632572174072266</c:v>
                </c:pt>
                <c:pt idx="677">
                  <c:v>44.270927429199219</c:v>
                </c:pt>
                <c:pt idx="678">
                  <c:v>43.534400939941406</c:v>
                </c:pt>
                <c:pt idx="679">
                  <c:v>43.221271514892578</c:v>
                </c:pt>
                <c:pt idx="680">
                  <c:v>43.265373229980469</c:v>
                </c:pt>
                <c:pt idx="681">
                  <c:v>42.811111450195313</c:v>
                </c:pt>
                <c:pt idx="682">
                  <c:v>43.477069854736328</c:v>
                </c:pt>
                <c:pt idx="683">
                  <c:v>43.168350219726563</c:v>
                </c:pt>
                <c:pt idx="684">
                  <c:v>42.290687561035149</c:v>
                </c:pt>
                <c:pt idx="685">
                  <c:v>41.712936401367188</c:v>
                </c:pt>
                <c:pt idx="686">
                  <c:v>42.131916046142578</c:v>
                </c:pt>
                <c:pt idx="687">
                  <c:v>42.317146301269531</c:v>
                </c:pt>
                <c:pt idx="688">
                  <c:v>41.682064056396477</c:v>
                </c:pt>
                <c:pt idx="689">
                  <c:v>41.329231262207031</c:v>
                </c:pt>
                <c:pt idx="690">
                  <c:v>41.4615478515625</c:v>
                </c:pt>
                <c:pt idx="691">
                  <c:v>41.293952941894531</c:v>
                </c:pt>
                <c:pt idx="692">
                  <c:v>41.554161071777344</c:v>
                </c:pt>
                <c:pt idx="693">
                  <c:v>41.576213836669922</c:v>
                </c:pt>
                <c:pt idx="694">
                  <c:v>41.020511627197266</c:v>
                </c:pt>
                <c:pt idx="695">
                  <c:v>40.010547637939453</c:v>
                </c:pt>
                <c:pt idx="696">
                  <c:v>39.675361633300781</c:v>
                </c:pt>
                <c:pt idx="697">
                  <c:v>39.234329223632813</c:v>
                </c:pt>
                <c:pt idx="698">
                  <c:v>38.184665679931641</c:v>
                </c:pt>
                <c:pt idx="699">
                  <c:v>39.168170928955078</c:v>
                </c:pt>
                <c:pt idx="700">
                  <c:v>39.626846313476563</c:v>
                </c:pt>
                <c:pt idx="701">
                  <c:v>40.010547637939453</c:v>
                </c:pt>
                <c:pt idx="702">
                  <c:v>39.251964569091797</c:v>
                </c:pt>
                <c:pt idx="703">
                  <c:v>38.828578948974609</c:v>
                </c:pt>
                <c:pt idx="704">
                  <c:v>38.533084869384766</c:v>
                </c:pt>
                <c:pt idx="705">
                  <c:v>39.693000793457031</c:v>
                </c:pt>
                <c:pt idx="706">
                  <c:v>38.246406555175781</c:v>
                </c:pt>
                <c:pt idx="707">
                  <c:v>37.642196655273438</c:v>
                </c:pt>
                <c:pt idx="708">
                  <c:v>37.567218780517578</c:v>
                </c:pt>
                <c:pt idx="709">
                  <c:v>37.443729400634766</c:v>
                </c:pt>
                <c:pt idx="710">
                  <c:v>37.915637969970703</c:v>
                </c:pt>
                <c:pt idx="711">
                  <c:v>37.540760040283203</c:v>
                </c:pt>
                <c:pt idx="712">
                  <c:v>37.236446380615234</c:v>
                </c:pt>
                <c:pt idx="713">
                  <c:v>38.233180999755859</c:v>
                </c:pt>
                <c:pt idx="714">
                  <c:v>37.977382659912109</c:v>
                </c:pt>
                <c:pt idx="715">
                  <c:v>38.012664794921875</c:v>
                </c:pt>
                <c:pt idx="716">
                  <c:v>38.462516784667969</c:v>
                </c:pt>
                <c:pt idx="717">
                  <c:v>38.343441009521491</c:v>
                </c:pt>
                <c:pt idx="718">
                  <c:v>38.925601959228509</c:v>
                </c:pt>
                <c:pt idx="719">
                  <c:v>39.388687133789063</c:v>
                </c:pt>
                <c:pt idx="720">
                  <c:v>39.251964569091797</c:v>
                </c:pt>
                <c:pt idx="721">
                  <c:v>39.415149688720703</c:v>
                </c:pt>
                <c:pt idx="722">
                  <c:v>39.454845428466797</c:v>
                </c:pt>
                <c:pt idx="723">
                  <c:v>40.526554107666016</c:v>
                </c:pt>
                <c:pt idx="724">
                  <c:v>41.055789947509766</c:v>
                </c:pt>
                <c:pt idx="725">
                  <c:v>41.249847412109375</c:v>
                </c:pt>
                <c:pt idx="726">
                  <c:v>41.10430908203125</c:v>
                </c:pt>
                <c:pt idx="727">
                  <c:v>41.285129547119141</c:v>
                </c:pt>
                <c:pt idx="728">
                  <c:v>41.280723571777344</c:v>
                </c:pt>
                <c:pt idx="729">
                  <c:v>41.457138061523438</c:v>
                </c:pt>
                <c:pt idx="730">
                  <c:v>41.752628326416016</c:v>
                </c:pt>
                <c:pt idx="731">
                  <c:v>43.111011505126953</c:v>
                </c:pt>
                <c:pt idx="732">
                  <c:v>43.388858795166016</c:v>
                </c:pt>
                <c:pt idx="733">
                  <c:v>43.124237060546875</c:v>
                </c:pt>
                <c:pt idx="734">
                  <c:v>42.859619140625</c:v>
                </c:pt>
                <c:pt idx="735">
                  <c:v>42.692024230957031</c:v>
                </c:pt>
                <c:pt idx="736">
                  <c:v>42.520027160644531</c:v>
                </c:pt>
                <c:pt idx="737">
                  <c:v>42.780235290527344</c:v>
                </c:pt>
                <c:pt idx="738">
                  <c:v>43.150699615478509</c:v>
                </c:pt>
                <c:pt idx="739">
                  <c:v>43.283012390136719</c:v>
                </c:pt>
                <c:pt idx="740">
                  <c:v>43.044853210449219</c:v>
                </c:pt>
                <c:pt idx="741">
                  <c:v>43.706409454345703</c:v>
                </c:pt>
                <c:pt idx="742">
                  <c:v>43.55645751953125</c:v>
                </c:pt>
                <c:pt idx="743">
                  <c:v>43.366809844970703</c:v>
                </c:pt>
                <c:pt idx="744">
                  <c:v>41.898166656494141</c:v>
                </c:pt>
                <c:pt idx="745">
                  <c:v>41.933448791503906</c:v>
                </c:pt>
                <c:pt idx="746">
                  <c:v>42.850799560546875</c:v>
                </c:pt>
                <c:pt idx="747">
                  <c:v>43.521175384521491</c:v>
                </c:pt>
                <c:pt idx="748">
                  <c:v>42.828746795654297</c:v>
                </c:pt>
                <c:pt idx="749">
                  <c:v>43.944561004638672</c:v>
                </c:pt>
                <c:pt idx="750">
                  <c:v>43.300655364990234</c:v>
                </c:pt>
                <c:pt idx="751">
                  <c:v>42.224536895751953</c:v>
                </c:pt>
                <c:pt idx="752">
                  <c:v>43.732868194580078</c:v>
                </c:pt>
                <c:pt idx="753">
                  <c:v>44.037178039550781</c:v>
                </c:pt>
                <c:pt idx="754">
                  <c:v>42.877262115478509</c:v>
                </c:pt>
                <c:pt idx="755">
                  <c:v>41.968734741210938</c:v>
                </c:pt>
                <c:pt idx="756">
                  <c:v>40.266345977783203</c:v>
                </c:pt>
                <c:pt idx="757">
                  <c:v>40.081111907958984</c:v>
                </c:pt>
                <c:pt idx="758">
                  <c:v>40.094348907470703</c:v>
                </c:pt>
                <c:pt idx="759">
                  <c:v>40.49127197265625</c:v>
                </c:pt>
                <c:pt idx="760">
                  <c:v>38.546310424804688</c:v>
                </c:pt>
                <c:pt idx="761">
                  <c:v>37.708351135253906</c:v>
                </c:pt>
                <c:pt idx="762">
                  <c:v>38.775650024414063</c:v>
                </c:pt>
                <c:pt idx="763">
                  <c:v>38.519847869873047</c:v>
                </c:pt>
                <c:pt idx="764">
                  <c:v>39.573921203613281</c:v>
                </c:pt>
                <c:pt idx="765">
                  <c:v>39.878238677978509</c:v>
                </c:pt>
                <c:pt idx="766">
                  <c:v>40.164909362792969</c:v>
                </c:pt>
                <c:pt idx="767">
                  <c:v>39.948802947998047</c:v>
                </c:pt>
                <c:pt idx="768">
                  <c:v>39.481304168701172</c:v>
                </c:pt>
                <c:pt idx="769">
                  <c:v>40.059062957763672</c:v>
                </c:pt>
                <c:pt idx="770">
                  <c:v>40.398654937744141</c:v>
                </c:pt>
                <c:pt idx="771">
                  <c:v>40.49127197265625</c:v>
                </c:pt>
                <c:pt idx="772">
                  <c:v>41.986373901367188</c:v>
                </c:pt>
                <c:pt idx="773">
                  <c:v>41.942276000976563</c:v>
                </c:pt>
                <c:pt idx="774">
                  <c:v>41.351291656494141</c:v>
                </c:pt>
                <c:pt idx="775">
                  <c:v>42.180427551269531</c:v>
                </c:pt>
                <c:pt idx="776">
                  <c:v>42.696437835693359</c:v>
                </c:pt>
                <c:pt idx="777">
                  <c:v>42.550899505615234</c:v>
                </c:pt>
                <c:pt idx="778">
                  <c:v>42.669975280761719</c:v>
                </c:pt>
                <c:pt idx="779">
                  <c:v>42.912548065185547</c:v>
                </c:pt>
                <c:pt idx="780">
                  <c:v>42.383304595947266</c:v>
                </c:pt>
                <c:pt idx="781">
                  <c:v>42.0745849609375</c:v>
                </c:pt>
                <c:pt idx="782">
                  <c:v>42.740543365478509</c:v>
                </c:pt>
                <c:pt idx="783">
                  <c:v>42.290687561035149</c:v>
                </c:pt>
                <c:pt idx="784">
                  <c:v>41.227802276611328</c:v>
                </c:pt>
                <c:pt idx="785">
                  <c:v>41.457138061523438</c:v>
                </c:pt>
                <c:pt idx="786">
                  <c:v>41.333648681640625</c:v>
                </c:pt>
                <c:pt idx="787">
                  <c:v>42.581771850585938</c:v>
                </c:pt>
                <c:pt idx="788">
                  <c:v>43.225681304931641</c:v>
                </c:pt>
                <c:pt idx="789">
                  <c:v>43.728458404541016</c:v>
                </c:pt>
                <c:pt idx="790">
                  <c:v>43.560863494873047</c:v>
                </c:pt>
                <c:pt idx="791">
                  <c:v>43.918102264404297</c:v>
                </c:pt>
                <c:pt idx="792">
                  <c:v>43.216861724853523</c:v>
                </c:pt>
                <c:pt idx="793">
                  <c:v>42.996345520019531</c:v>
                </c:pt>
                <c:pt idx="794">
                  <c:v>42.930183410644531</c:v>
                </c:pt>
                <c:pt idx="795">
                  <c:v>42.714080810546875</c:v>
                </c:pt>
                <c:pt idx="796">
                  <c:v>42.489151000976563</c:v>
                </c:pt>
                <c:pt idx="797">
                  <c:v>43.953388214111328</c:v>
                </c:pt>
                <c:pt idx="798">
                  <c:v>43.384456634521491</c:v>
                </c:pt>
                <c:pt idx="799">
                  <c:v>42.511211395263672</c:v>
                </c:pt>
                <c:pt idx="800">
                  <c:v>38.083229064941406</c:v>
                </c:pt>
                <c:pt idx="801">
                  <c:v>36.446998596191406</c:v>
                </c:pt>
                <c:pt idx="802">
                  <c:v>35.908939361572266</c:v>
                </c:pt>
                <c:pt idx="803">
                  <c:v>35.763397216796875</c:v>
                </c:pt>
                <c:pt idx="804">
                  <c:v>36.133861541748047</c:v>
                </c:pt>
                <c:pt idx="805">
                  <c:v>36.120632171630859</c:v>
                </c:pt>
                <c:pt idx="806">
                  <c:v>36.91448974609375</c:v>
                </c:pt>
                <c:pt idx="807">
                  <c:v>36.773361206054688</c:v>
                </c:pt>
                <c:pt idx="808">
                  <c:v>36.579311370849609</c:v>
                </c:pt>
                <c:pt idx="809">
                  <c:v>36.817470550537109</c:v>
                </c:pt>
                <c:pt idx="810">
                  <c:v>36.632228851318359</c:v>
                </c:pt>
                <c:pt idx="811">
                  <c:v>36.627822875976563</c:v>
                </c:pt>
                <c:pt idx="812">
                  <c:v>36.111812591552734</c:v>
                </c:pt>
                <c:pt idx="813">
                  <c:v>36.473457336425781</c:v>
                </c:pt>
                <c:pt idx="814">
                  <c:v>36.627822875976563</c:v>
                </c:pt>
                <c:pt idx="815">
                  <c:v>36.738079071044922</c:v>
                </c:pt>
                <c:pt idx="816">
                  <c:v>37.589271545410163</c:v>
                </c:pt>
                <c:pt idx="817">
                  <c:v>38.568367004394531</c:v>
                </c:pt>
                <c:pt idx="818">
                  <c:v>39.882644653320313</c:v>
                </c:pt>
                <c:pt idx="819">
                  <c:v>39.296070098876953</c:v>
                </c:pt>
                <c:pt idx="820">
                  <c:v>39.648899078369141</c:v>
                </c:pt>
                <c:pt idx="821">
                  <c:v>40.191368103027344</c:v>
                </c:pt>
                <c:pt idx="822">
                  <c:v>39.816490173339837</c:v>
                </c:pt>
                <c:pt idx="823">
                  <c:v>40.813228607177734</c:v>
                </c:pt>
                <c:pt idx="824">
                  <c:v>40.923480987548828</c:v>
                </c:pt>
                <c:pt idx="825">
                  <c:v>41.148414611816406</c:v>
                </c:pt>
                <c:pt idx="826">
                  <c:v>41.527702331542969</c:v>
                </c:pt>
                <c:pt idx="827">
                  <c:v>41.298362731933594</c:v>
                </c:pt>
                <c:pt idx="828">
                  <c:v>41.748218536376953</c:v>
                </c:pt>
                <c:pt idx="829">
                  <c:v>43.468250274658203</c:v>
                </c:pt>
                <c:pt idx="830">
                  <c:v>44.226821899414063</c:v>
                </c:pt>
                <c:pt idx="831">
                  <c:v>43.283012390136719</c:v>
                </c:pt>
                <c:pt idx="832">
                  <c:v>43.18157958984375</c:v>
                </c:pt>
                <c:pt idx="833">
                  <c:v>42.581771850585938</c:v>
                </c:pt>
                <c:pt idx="834">
                  <c:v>41.633548736572266</c:v>
                </c:pt>
                <c:pt idx="835">
                  <c:v>41.34246826171875</c:v>
                </c:pt>
                <c:pt idx="836">
                  <c:v>41.673244476318359</c:v>
                </c:pt>
                <c:pt idx="837">
                  <c:v>42.017242431640625</c:v>
                </c:pt>
                <c:pt idx="838">
                  <c:v>42.700847625732422</c:v>
                </c:pt>
                <c:pt idx="839">
                  <c:v>42.643516540527344</c:v>
                </c:pt>
                <c:pt idx="840">
                  <c:v>42.546489715576172</c:v>
                </c:pt>
                <c:pt idx="841">
                  <c:v>43.869586944580078</c:v>
                </c:pt>
                <c:pt idx="842">
                  <c:v>43.59173583984375</c:v>
                </c:pt>
                <c:pt idx="843">
                  <c:v>43.904872894287109</c:v>
                </c:pt>
                <c:pt idx="844">
                  <c:v>43.882816314697266</c:v>
                </c:pt>
                <c:pt idx="845">
                  <c:v>44.500263214111328</c:v>
                </c:pt>
                <c:pt idx="846">
                  <c:v>44.694316864013672</c:v>
                </c:pt>
                <c:pt idx="847">
                  <c:v>45.329410552978509</c:v>
                </c:pt>
                <c:pt idx="848">
                  <c:v>45.858654022216797</c:v>
                </c:pt>
                <c:pt idx="849">
                  <c:v>46.273220062255859</c:v>
                </c:pt>
                <c:pt idx="850">
                  <c:v>46.608402252197266</c:v>
                </c:pt>
                <c:pt idx="851">
                  <c:v>45.735160827636719</c:v>
                </c:pt>
                <c:pt idx="852">
                  <c:v>45.338230133056641</c:v>
                </c:pt>
                <c:pt idx="853">
                  <c:v>45.541103363037109</c:v>
                </c:pt>
                <c:pt idx="854">
                  <c:v>48.804756164550781</c:v>
                </c:pt>
                <c:pt idx="855">
                  <c:v>49.475120544433594</c:v>
                </c:pt>
                <c:pt idx="856">
                  <c:v>48.866497039794922</c:v>
                </c:pt>
                <c:pt idx="857">
                  <c:v>49.854408264160163</c:v>
                </c:pt>
                <c:pt idx="858">
                  <c:v>52.2271728515625</c:v>
                </c:pt>
                <c:pt idx="859">
                  <c:v>52.412406921386719</c:v>
                </c:pt>
                <c:pt idx="860">
                  <c:v>51.936084747314453</c:v>
                </c:pt>
                <c:pt idx="861">
                  <c:v>51.936084747314453</c:v>
                </c:pt>
                <c:pt idx="862">
                  <c:v>54.185359954833984</c:v>
                </c:pt>
                <c:pt idx="863">
                  <c:v>54.758701324462891</c:v>
                </c:pt>
                <c:pt idx="864">
                  <c:v>56.064159393310547</c:v>
                </c:pt>
                <c:pt idx="865">
                  <c:v>56.328781127929688</c:v>
                </c:pt>
                <c:pt idx="866">
                  <c:v>53.788429260253906</c:v>
                </c:pt>
                <c:pt idx="867">
                  <c:v>53.973659515380859</c:v>
                </c:pt>
                <c:pt idx="868">
                  <c:v>53.876636505126953</c:v>
                </c:pt>
                <c:pt idx="869">
                  <c:v>54.158897399902344</c:v>
                </c:pt>
                <c:pt idx="870">
                  <c:v>52.924003601074219</c:v>
                </c:pt>
                <c:pt idx="871">
                  <c:v>53.197444915771491</c:v>
                </c:pt>
                <c:pt idx="872">
                  <c:v>51.944908142089837</c:v>
                </c:pt>
                <c:pt idx="873">
                  <c:v>53.047489166259766</c:v>
                </c:pt>
                <c:pt idx="874">
                  <c:v>53.285652160644531</c:v>
                </c:pt>
                <c:pt idx="875">
                  <c:v>53.973659515380859</c:v>
                </c:pt>
                <c:pt idx="876">
                  <c:v>53.312110900878906</c:v>
                </c:pt>
                <c:pt idx="877">
                  <c:v>53.7266845703125</c:v>
                </c:pt>
                <c:pt idx="878">
                  <c:v>53.594371795654297</c:v>
                </c:pt>
                <c:pt idx="879">
                  <c:v>53.276828765869141</c:v>
                </c:pt>
                <c:pt idx="880">
                  <c:v>52.959281921386719</c:v>
                </c:pt>
                <c:pt idx="881">
                  <c:v>54.044227600097656</c:v>
                </c:pt>
                <c:pt idx="882">
                  <c:v>54.608749389648438</c:v>
                </c:pt>
                <c:pt idx="883">
                  <c:v>55.384967803955078</c:v>
                </c:pt>
                <c:pt idx="884">
                  <c:v>53.920738220214851</c:v>
                </c:pt>
                <c:pt idx="885">
                  <c:v>55.332046508789063</c:v>
                </c:pt>
                <c:pt idx="886">
                  <c:v>56.425811767578125</c:v>
                </c:pt>
                <c:pt idx="887">
                  <c:v>54.846912384033203</c:v>
                </c:pt>
                <c:pt idx="888">
                  <c:v>55.667232513427734</c:v>
                </c:pt>
                <c:pt idx="889">
                  <c:v>56.928585052490234</c:v>
                </c:pt>
                <c:pt idx="890">
                  <c:v>58.039997100830078</c:v>
                </c:pt>
                <c:pt idx="891">
                  <c:v>57.89886474609375</c:v>
                </c:pt>
                <c:pt idx="892">
                  <c:v>57.45782470703125</c:v>
                </c:pt>
                <c:pt idx="893">
                  <c:v>57.995883941650391</c:v>
                </c:pt>
                <c:pt idx="894">
                  <c:v>55.481998443603523</c:v>
                </c:pt>
                <c:pt idx="895">
                  <c:v>53.435600280761719</c:v>
                </c:pt>
                <c:pt idx="896">
                  <c:v>54.688137054443359</c:v>
                </c:pt>
                <c:pt idx="897">
                  <c:v>54.335311889648438</c:v>
                </c:pt>
                <c:pt idx="898">
                  <c:v>52.835800170898438</c:v>
                </c:pt>
                <c:pt idx="899">
                  <c:v>53.170982360839837</c:v>
                </c:pt>
                <c:pt idx="900">
                  <c:v>53.241546630859375</c:v>
                </c:pt>
                <c:pt idx="901">
                  <c:v>55.923030853271491</c:v>
                </c:pt>
                <c:pt idx="902">
                  <c:v>54.767524719238281</c:v>
                </c:pt>
                <c:pt idx="903">
                  <c:v>53.550270080566406</c:v>
                </c:pt>
                <c:pt idx="904">
                  <c:v>53.100418090820313</c:v>
                </c:pt>
                <c:pt idx="905">
                  <c:v>53.691398620605469</c:v>
                </c:pt>
                <c:pt idx="906">
                  <c:v>53.682582855224609</c:v>
                </c:pt>
                <c:pt idx="907">
                  <c:v>54.247104644775391</c:v>
                </c:pt>
                <c:pt idx="908">
                  <c:v>55.402610778808594</c:v>
                </c:pt>
                <c:pt idx="909">
                  <c:v>55.870105743408203</c:v>
                </c:pt>
                <c:pt idx="910">
                  <c:v>56.399345397949219</c:v>
                </c:pt>
                <c:pt idx="911">
                  <c:v>56.214111328125</c:v>
                </c:pt>
                <c:pt idx="912">
                  <c:v>55.887744903564453</c:v>
                </c:pt>
                <c:pt idx="913">
                  <c:v>56.002414703369141</c:v>
                </c:pt>
                <c:pt idx="914">
                  <c:v>57.563674926757813</c:v>
                </c:pt>
                <c:pt idx="915">
                  <c:v>57.016796112060547</c:v>
                </c:pt>
                <c:pt idx="916">
                  <c:v>54.688137054443359</c:v>
                </c:pt>
                <c:pt idx="917">
                  <c:v>55.605602264404297</c:v>
                </c:pt>
                <c:pt idx="918">
                  <c:v>55.326763153076172</c:v>
                </c:pt>
                <c:pt idx="919">
                  <c:v>55.254806518554688</c:v>
                </c:pt>
                <c:pt idx="920">
                  <c:v>54.661151885986328</c:v>
                </c:pt>
                <c:pt idx="921">
                  <c:v>53.662731170654297</c:v>
                </c:pt>
                <c:pt idx="922">
                  <c:v>53.204002380371094</c:v>
                </c:pt>
                <c:pt idx="923">
                  <c:v>53.024105072021491</c:v>
                </c:pt>
                <c:pt idx="924">
                  <c:v>54.445274353027344</c:v>
                </c:pt>
                <c:pt idx="925">
                  <c:v>55.272796630859375</c:v>
                </c:pt>
                <c:pt idx="926">
                  <c:v>54.364326477050781</c:v>
                </c:pt>
                <c:pt idx="927">
                  <c:v>53.329929351806641</c:v>
                </c:pt>
                <c:pt idx="928">
                  <c:v>53.401885986328125</c:v>
                </c:pt>
                <c:pt idx="929">
                  <c:v>52.133621215820313</c:v>
                </c:pt>
                <c:pt idx="930">
                  <c:v>51.890766143798828</c:v>
                </c:pt>
                <c:pt idx="931">
                  <c:v>53.015110015869141</c:v>
                </c:pt>
                <c:pt idx="932">
                  <c:v>54.544216156005859</c:v>
                </c:pt>
                <c:pt idx="933">
                  <c:v>55.758514404296875</c:v>
                </c:pt>
                <c:pt idx="934">
                  <c:v>55.488670349121094</c:v>
                </c:pt>
                <c:pt idx="935">
                  <c:v>55.614597320556641</c:v>
                </c:pt>
                <c:pt idx="936">
                  <c:v>55.326763153076172</c:v>
                </c:pt>
                <c:pt idx="937">
                  <c:v>53.338916778564453</c:v>
                </c:pt>
                <c:pt idx="938">
                  <c:v>52.349498748779297</c:v>
                </c:pt>
                <c:pt idx="939">
                  <c:v>54.301361083984375</c:v>
                </c:pt>
                <c:pt idx="940">
                  <c:v>53.536808013916016</c:v>
                </c:pt>
                <c:pt idx="941">
                  <c:v>53.257968902587891</c:v>
                </c:pt>
                <c:pt idx="942">
                  <c:v>52.511402130126953</c:v>
                </c:pt>
                <c:pt idx="943">
                  <c:v>50.928321838378906</c:v>
                </c:pt>
                <c:pt idx="944">
                  <c:v>51.414043426513672</c:v>
                </c:pt>
                <c:pt idx="945">
                  <c:v>52.70928955078125</c:v>
                </c:pt>
                <c:pt idx="946">
                  <c:v>54.328342437744141</c:v>
                </c:pt>
                <c:pt idx="947">
                  <c:v>56.019363403320313</c:v>
                </c:pt>
                <c:pt idx="948">
                  <c:v>56.559051513671875</c:v>
                </c:pt>
                <c:pt idx="949">
                  <c:v>57.287620544433594</c:v>
                </c:pt>
                <c:pt idx="950">
                  <c:v>58.573871612548828</c:v>
                </c:pt>
                <c:pt idx="951">
                  <c:v>58.151119232177734</c:v>
                </c:pt>
                <c:pt idx="952">
                  <c:v>58.232070922851563</c:v>
                </c:pt>
                <c:pt idx="953">
                  <c:v>57.638416290283203</c:v>
                </c:pt>
                <c:pt idx="954">
                  <c:v>56.990791320800781</c:v>
                </c:pt>
                <c:pt idx="955">
                  <c:v>56.702960968017578</c:v>
                </c:pt>
                <c:pt idx="956">
                  <c:v>56.720954895019531</c:v>
                </c:pt>
                <c:pt idx="957">
                  <c:v>54.238395690917969</c:v>
                </c:pt>
                <c:pt idx="958">
                  <c:v>55.074909210205078</c:v>
                </c:pt>
                <c:pt idx="959">
                  <c:v>55.875438690185547</c:v>
                </c:pt>
                <c:pt idx="960">
                  <c:v>56.136299133300781</c:v>
                </c:pt>
                <c:pt idx="961">
                  <c:v>58.106143951416016</c:v>
                </c:pt>
                <c:pt idx="962">
                  <c:v>59.122554779052734</c:v>
                </c:pt>
                <c:pt idx="963">
                  <c:v>58.366989135742188</c:v>
                </c:pt>
                <c:pt idx="964">
                  <c:v>60.02203369140625</c:v>
                </c:pt>
                <c:pt idx="965">
                  <c:v>60.426792144775391</c:v>
                </c:pt>
                <c:pt idx="966">
                  <c:v>59.815147399902344</c:v>
                </c:pt>
                <c:pt idx="967">
                  <c:v>59.482337951660163</c:v>
                </c:pt>
                <c:pt idx="968">
                  <c:v>57.818309783935547</c:v>
                </c:pt>
                <c:pt idx="969">
                  <c:v>54.823055267333984</c:v>
                </c:pt>
                <c:pt idx="970">
                  <c:v>56.172267913818359</c:v>
                </c:pt>
                <c:pt idx="971">
                  <c:v>56.127296447753906</c:v>
                </c:pt>
                <c:pt idx="972">
                  <c:v>56.675975799560547</c:v>
                </c:pt>
                <c:pt idx="973">
                  <c:v>56.631004333496094</c:v>
                </c:pt>
                <c:pt idx="974">
                  <c:v>55.641578674316406</c:v>
                </c:pt>
                <c:pt idx="975">
                  <c:v>54.058498382568359</c:v>
                </c:pt>
                <c:pt idx="976">
                  <c:v>51.620922088623047</c:v>
                </c:pt>
                <c:pt idx="977">
                  <c:v>49.201335906982422</c:v>
                </c:pt>
                <c:pt idx="978">
                  <c:v>50.550544738769531</c:v>
                </c:pt>
                <c:pt idx="979">
                  <c:v>50.298694610595703</c:v>
                </c:pt>
                <c:pt idx="980">
                  <c:v>52.088649749755859</c:v>
                </c:pt>
                <c:pt idx="981">
                  <c:v>52.421455383300781</c:v>
                </c:pt>
                <c:pt idx="982">
                  <c:v>52.250556945800781</c:v>
                </c:pt>
                <c:pt idx="983">
                  <c:v>50.829387664794922</c:v>
                </c:pt>
                <c:pt idx="984">
                  <c:v>50.154777526855469</c:v>
                </c:pt>
                <c:pt idx="985">
                  <c:v>51.6658935546875</c:v>
                </c:pt>
                <c:pt idx="986">
                  <c:v>49.759010314941406</c:v>
                </c:pt>
                <c:pt idx="987">
                  <c:v>49.76800537109375</c:v>
                </c:pt>
                <c:pt idx="988">
                  <c:v>50.271705627441406</c:v>
                </c:pt>
                <c:pt idx="989">
                  <c:v>51.557960510253906</c:v>
                </c:pt>
                <c:pt idx="990">
                  <c:v>50.820388793945313</c:v>
                </c:pt>
                <c:pt idx="991">
                  <c:v>49.983875274658203</c:v>
                </c:pt>
                <c:pt idx="992">
                  <c:v>49.030433654785149</c:v>
                </c:pt>
                <c:pt idx="993">
                  <c:v>49.525146484375</c:v>
                </c:pt>
                <c:pt idx="994">
                  <c:v>50.091815948486328</c:v>
                </c:pt>
                <c:pt idx="995">
                  <c:v>50.658485412597656</c:v>
                </c:pt>
                <c:pt idx="996">
                  <c:v>48.949478149414063</c:v>
                </c:pt>
                <c:pt idx="997">
                  <c:v>49.471172332763672</c:v>
                </c:pt>
                <c:pt idx="998">
                  <c:v>47.762172698974609</c:v>
                </c:pt>
                <c:pt idx="999">
                  <c:v>47.933071136474609</c:v>
                </c:pt>
                <c:pt idx="1000">
                  <c:v>46.655811309814453</c:v>
                </c:pt>
                <c:pt idx="1001">
                  <c:v>48.715614318847656</c:v>
                </c:pt>
                <c:pt idx="1002">
                  <c:v>47.213493347167969</c:v>
                </c:pt>
                <c:pt idx="1003">
                  <c:v>47.006610870361328</c:v>
                </c:pt>
                <c:pt idx="1004">
                  <c:v>47.591270446777344</c:v>
                </c:pt>
                <c:pt idx="1005">
                  <c:v>48.166934967041016</c:v>
                </c:pt>
                <c:pt idx="1006">
                  <c:v>49.183345794677734</c:v>
                </c:pt>
                <c:pt idx="1007">
                  <c:v>50.919334411621094</c:v>
                </c:pt>
                <c:pt idx="1008">
                  <c:v>51.234146118164063</c:v>
                </c:pt>
                <c:pt idx="1009">
                  <c:v>51.180179595947266</c:v>
                </c:pt>
                <c:pt idx="1010">
                  <c:v>51.351078033447266</c:v>
                </c:pt>
                <c:pt idx="1011">
                  <c:v>51.818805694580078</c:v>
                </c:pt>
                <c:pt idx="1012">
                  <c:v>50.550544738769531</c:v>
                </c:pt>
                <c:pt idx="1013">
                  <c:v>50.901344299316406</c:v>
                </c:pt>
                <c:pt idx="1014">
                  <c:v>50.478584289550781</c:v>
                </c:pt>
                <c:pt idx="1015">
                  <c:v>49.048416137695313</c:v>
                </c:pt>
                <c:pt idx="1016">
                  <c:v>49.947895050048828</c:v>
                </c:pt>
                <c:pt idx="1017">
                  <c:v>49.839958190917969</c:v>
                </c:pt>
                <c:pt idx="1018">
                  <c:v>49.498161315917969</c:v>
                </c:pt>
                <c:pt idx="1019">
                  <c:v>50.622505187988281</c:v>
                </c:pt>
                <c:pt idx="1020">
                  <c:v>51.737857818603523</c:v>
                </c:pt>
                <c:pt idx="1021">
                  <c:v>54.1214599609375</c:v>
                </c:pt>
                <c:pt idx="1022">
                  <c:v>53.923580169677734</c:v>
                </c:pt>
                <c:pt idx="1023">
                  <c:v>53.177017211914063</c:v>
                </c:pt>
                <c:pt idx="1024">
                  <c:v>53.626754760742188</c:v>
                </c:pt>
                <c:pt idx="1025">
                  <c:v>54.589191436767578</c:v>
                </c:pt>
                <c:pt idx="1026">
                  <c:v>56.990791320800781</c:v>
                </c:pt>
                <c:pt idx="1027">
                  <c:v>57.197677612304688</c:v>
                </c:pt>
                <c:pt idx="1028">
                  <c:v>56.873863220214851</c:v>
                </c:pt>
                <c:pt idx="1029">
                  <c:v>57.575458526611328</c:v>
                </c:pt>
                <c:pt idx="1030">
                  <c:v>58.106143951416016</c:v>
                </c:pt>
                <c:pt idx="1031">
                  <c:v>59.455360412597656</c:v>
                </c:pt>
                <c:pt idx="1032">
                  <c:v>58.825725555419922</c:v>
                </c:pt>
                <c:pt idx="1033">
                  <c:v>59.383396148681641</c:v>
                </c:pt>
                <c:pt idx="1034">
                  <c:v>59.860126495361328</c:v>
                </c:pt>
                <c:pt idx="1035">
                  <c:v>57.620426177978509</c:v>
                </c:pt>
                <c:pt idx="1036">
                  <c:v>57.143703460693359</c:v>
                </c:pt>
                <c:pt idx="1037">
                  <c:v>57.080741882324219</c:v>
                </c:pt>
                <c:pt idx="1038">
                  <c:v>59.518321990966797</c:v>
                </c:pt>
                <c:pt idx="1039">
                  <c:v>59.167522430419922</c:v>
                </c:pt>
                <c:pt idx="1040">
                  <c:v>59.248481750488281</c:v>
                </c:pt>
                <c:pt idx="1041">
                  <c:v>59.743186950683594</c:v>
                </c:pt>
                <c:pt idx="1042">
                  <c:v>59.842136383056641</c:v>
                </c:pt>
                <c:pt idx="1043">
                  <c:v>58.996623992919922</c:v>
                </c:pt>
                <c:pt idx="1044">
                  <c:v>60.309860229492188</c:v>
                </c:pt>
                <c:pt idx="1045">
                  <c:v>61.299282073974609</c:v>
                </c:pt>
                <c:pt idx="1046">
                  <c:v>61.119380950927734</c:v>
                </c:pt>
                <c:pt idx="1047">
                  <c:v>61.560138702392578</c:v>
                </c:pt>
                <c:pt idx="1048">
                  <c:v>60.489761352539063</c:v>
                </c:pt>
                <c:pt idx="1049">
                  <c:v>60.444782257080078</c:v>
                </c:pt>
                <c:pt idx="1050">
                  <c:v>57.260639190673828</c:v>
                </c:pt>
                <c:pt idx="1051">
                  <c:v>57.575458526611328</c:v>
                </c:pt>
                <c:pt idx="1052">
                  <c:v>59.266471862792969</c:v>
                </c:pt>
                <c:pt idx="1053">
                  <c:v>58.205085754394531</c:v>
                </c:pt>
                <c:pt idx="1054">
                  <c:v>57.107723236083984</c:v>
                </c:pt>
                <c:pt idx="1055">
                  <c:v>57.728366851806641</c:v>
                </c:pt>
                <c:pt idx="1056">
                  <c:v>56.019363403320313</c:v>
                </c:pt>
                <c:pt idx="1057">
                  <c:v>55.137870788574219</c:v>
                </c:pt>
                <c:pt idx="1058">
                  <c:v>56.792911529541016</c:v>
                </c:pt>
                <c:pt idx="1059">
                  <c:v>57.917251586914063</c:v>
                </c:pt>
                <c:pt idx="1060">
                  <c:v>58.582862854003906</c:v>
                </c:pt>
                <c:pt idx="1061">
                  <c:v>56.900840759277344</c:v>
                </c:pt>
                <c:pt idx="1062">
                  <c:v>55.695549011230469</c:v>
                </c:pt>
                <c:pt idx="1063">
                  <c:v>55.677558898925781</c:v>
                </c:pt>
                <c:pt idx="1064">
                  <c:v>56.289203643798828</c:v>
                </c:pt>
                <c:pt idx="1065">
                  <c:v>55.902431488037109</c:v>
                </c:pt>
                <c:pt idx="1066">
                  <c:v>55.506656646728509</c:v>
                </c:pt>
                <c:pt idx="1067">
                  <c:v>56.711956024169922</c:v>
                </c:pt>
                <c:pt idx="1068">
                  <c:v>56.289203643798828</c:v>
                </c:pt>
                <c:pt idx="1069">
                  <c:v>54.742107391357422</c:v>
                </c:pt>
                <c:pt idx="1070">
                  <c:v>55.848461151123047</c:v>
                </c:pt>
                <c:pt idx="1071">
                  <c:v>55.110893249511719</c:v>
                </c:pt>
                <c:pt idx="1072">
                  <c:v>54.004531860351563</c:v>
                </c:pt>
                <c:pt idx="1073">
                  <c:v>52.853202819824219</c:v>
                </c:pt>
                <c:pt idx="1074">
                  <c:v>52.268547058105469</c:v>
                </c:pt>
                <c:pt idx="1075">
                  <c:v>53.069084167480469</c:v>
                </c:pt>
                <c:pt idx="1076">
                  <c:v>53.509822845458984</c:v>
                </c:pt>
                <c:pt idx="1077">
                  <c:v>52.178596496582031</c:v>
                </c:pt>
                <c:pt idx="1078">
                  <c:v>50.505573272705078</c:v>
                </c:pt>
                <c:pt idx="1079">
                  <c:v>50.235729217529297</c:v>
                </c:pt>
                <c:pt idx="1080">
                  <c:v>51.018276214599609</c:v>
                </c:pt>
                <c:pt idx="1081">
                  <c:v>48.895511627197266</c:v>
                </c:pt>
                <c:pt idx="1082">
                  <c:v>49.947895050048828</c:v>
                </c:pt>
                <c:pt idx="1083">
                  <c:v>51.225151062011719</c:v>
                </c:pt>
                <c:pt idx="1084">
                  <c:v>51.557960510253906</c:v>
                </c:pt>
                <c:pt idx="1085">
                  <c:v>51.647907257080078</c:v>
                </c:pt>
                <c:pt idx="1086">
                  <c:v>49.884937286376953</c:v>
                </c:pt>
                <c:pt idx="1087">
                  <c:v>49.489162445068359</c:v>
                </c:pt>
                <c:pt idx="1088">
                  <c:v>52.007698059082031</c:v>
                </c:pt>
                <c:pt idx="1089">
                  <c:v>52.034675598144531</c:v>
                </c:pt>
                <c:pt idx="1090">
                  <c:v>49.785987854003906</c:v>
                </c:pt>
                <c:pt idx="1091">
                  <c:v>48.481754302978509</c:v>
                </c:pt>
                <c:pt idx="1092">
                  <c:v>48.400794982910163</c:v>
                </c:pt>
                <c:pt idx="1093">
                  <c:v>48.625667572021491</c:v>
                </c:pt>
                <c:pt idx="1094">
                  <c:v>45.990203857421875</c:v>
                </c:pt>
                <c:pt idx="1095">
                  <c:v>46.071155548095703</c:v>
                </c:pt>
                <c:pt idx="1096">
                  <c:v>47.105552673339837</c:v>
                </c:pt>
                <c:pt idx="1097">
                  <c:v>44.937816619873047</c:v>
                </c:pt>
                <c:pt idx="1098">
                  <c:v>46.152107238769531</c:v>
                </c:pt>
                <c:pt idx="1099">
                  <c:v>48.014026641845703</c:v>
                </c:pt>
                <c:pt idx="1100">
                  <c:v>48.373813629150391</c:v>
                </c:pt>
                <c:pt idx="1101">
                  <c:v>49.516147613525391</c:v>
                </c:pt>
                <c:pt idx="1102">
                  <c:v>50.235729217529297</c:v>
                </c:pt>
                <c:pt idx="1103">
                  <c:v>49.696044921875</c:v>
                </c:pt>
                <c:pt idx="1104">
                  <c:v>50.505573272705078</c:v>
                </c:pt>
                <c:pt idx="1105">
                  <c:v>49.839958190917969</c:v>
                </c:pt>
                <c:pt idx="1106">
                  <c:v>49.426200866699219</c:v>
                </c:pt>
                <c:pt idx="1107">
                  <c:v>51.602931976318359</c:v>
                </c:pt>
                <c:pt idx="1108">
                  <c:v>51.728855133056641</c:v>
                </c:pt>
                <c:pt idx="1109">
                  <c:v>53.770671844482422</c:v>
                </c:pt>
                <c:pt idx="1110">
                  <c:v>54.688133239746094</c:v>
                </c:pt>
                <c:pt idx="1111">
                  <c:v>54.454269409179688</c:v>
                </c:pt>
                <c:pt idx="1112">
                  <c:v>54.661151885986328</c:v>
                </c:pt>
                <c:pt idx="1113">
                  <c:v>55.857452392578125</c:v>
                </c:pt>
                <c:pt idx="1114">
                  <c:v>55.299777984619141</c:v>
                </c:pt>
                <c:pt idx="1115">
                  <c:v>54.517234802246094</c:v>
                </c:pt>
                <c:pt idx="1116">
                  <c:v>54.544216156005859</c:v>
                </c:pt>
                <c:pt idx="1117">
                  <c:v>52.385482788085938</c:v>
                </c:pt>
                <c:pt idx="1118">
                  <c:v>54.085491180419922</c:v>
                </c:pt>
                <c:pt idx="1119">
                  <c:v>54.33734130859375</c:v>
                </c:pt>
                <c:pt idx="1120">
                  <c:v>54.229400634765625</c:v>
                </c:pt>
                <c:pt idx="1121">
                  <c:v>54.670146942138672</c:v>
                </c:pt>
                <c:pt idx="1122">
                  <c:v>53.545795440673828</c:v>
                </c:pt>
                <c:pt idx="1123">
                  <c:v>54.508243560791016</c:v>
                </c:pt>
                <c:pt idx="1124">
                  <c:v>54.760093688964851</c:v>
                </c:pt>
                <c:pt idx="1125">
                  <c:v>55.092899322509766</c:v>
                </c:pt>
                <c:pt idx="1126">
                  <c:v>55.164863586425781</c:v>
                </c:pt>
                <c:pt idx="1127">
                  <c:v>53.761676788330078</c:v>
                </c:pt>
                <c:pt idx="1128">
                  <c:v>54.013526916503906</c:v>
                </c:pt>
                <c:pt idx="1129">
                  <c:v>53.932575225830078</c:v>
                </c:pt>
                <c:pt idx="1130">
                  <c:v>52.484416961669922</c:v>
                </c:pt>
                <c:pt idx="1131">
                  <c:v>51.252140045166016</c:v>
                </c:pt>
                <c:pt idx="1132">
                  <c:v>51.557960510253906</c:v>
                </c:pt>
                <c:pt idx="1133">
                  <c:v>50.757427215576172</c:v>
                </c:pt>
                <c:pt idx="1134">
                  <c:v>50.784408569335938</c:v>
                </c:pt>
                <c:pt idx="1135">
                  <c:v>51.036266326904297</c:v>
                </c:pt>
                <c:pt idx="1136">
                  <c:v>51.728855133056641</c:v>
                </c:pt>
                <c:pt idx="1137">
                  <c:v>50.685470581054688</c:v>
                </c:pt>
                <c:pt idx="1138">
                  <c:v>50.433612823486328</c:v>
                </c:pt>
                <c:pt idx="1139">
                  <c:v>51.818805694580078</c:v>
                </c:pt>
                <c:pt idx="1140">
                  <c:v>51.1531982421875</c:v>
                </c:pt>
                <c:pt idx="1141">
                  <c:v>50.892349243164063</c:v>
                </c:pt>
                <c:pt idx="1142">
                  <c:v>51.126209259033203</c:v>
                </c:pt>
                <c:pt idx="1143">
                  <c:v>51.611927032470703</c:v>
                </c:pt>
                <c:pt idx="1144">
                  <c:v>51.683883666992188</c:v>
                </c:pt>
                <c:pt idx="1145">
                  <c:v>52.331512451171875</c:v>
                </c:pt>
                <c:pt idx="1146">
                  <c:v>52.322509765625</c:v>
                </c:pt>
                <c:pt idx="1147">
                  <c:v>52.745265960693359</c:v>
                </c:pt>
                <c:pt idx="1148">
                  <c:v>52.376483917236328</c:v>
                </c:pt>
                <c:pt idx="1149">
                  <c:v>52.583362579345703</c:v>
                </c:pt>
                <c:pt idx="1150">
                  <c:v>50.163772583007813</c:v>
                </c:pt>
                <c:pt idx="1151">
                  <c:v>49.120380401611328</c:v>
                </c:pt>
                <c:pt idx="1152">
                  <c:v>49.986499786376953</c:v>
                </c:pt>
                <c:pt idx="1153">
                  <c:v>49.350734710693359</c:v>
                </c:pt>
                <c:pt idx="1154">
                  <c:v>49.065093994140625</c:v>
                </c:pt>
                <c:pt idx="1155">
                  <c:v>49.774581909179688</c:v>
                </c:pt>
                <c:pt idx="1156">
                  <c:v>49.783790588378906</c:v>
                </c:pt>
                <c:pt idx="1157">
                  <c:v>50.106288909912109</c:v>
                </c:pt>
                <c:pt idx="1158">
                  <c:v>51.184341430664063</c:v>
                </c:pt>
                <c:pt idx="1159">
                  <c:v>51.129051208496094</c:v>
                </c:pt>
                <c:pt idx="1160">
                  <c:v>50.889484405517578</c:v>
                </c:pt>
                <c:pt idx="1161">
                  <c:v>50.806560516357422</c:v>
                </c:pt>
                <c:pt idx="1162">
                  <c:v>50.557777404785149</c:v>
                </c:pt>
                <c:pt idx="1163">
                  <c:v>49.922004699707031</c:v>
                </c:pt>
                <c:pt idx="1164">
                  <c:v>49.028232574462891</c:v>
                </c:pt>
                <c:pt idx="1165">
                  <c:v>49.138809204101563</c:v>
                </c:pt>
                <c:pt idx="1166">
                  <c:v>50.133930206298828</c:v>
                </c:pt>
                <c:pt idx="1167">
                  <c:v>50.253715515136719</c:v>
                </c:pt>
                <c:pt idx="1168">
                  <c:v>51.598972320556641</c:v>
                </c:pt>
                <c:pt idx="1169">
                  <c:v>51.663471221923828</c:v>
                </c:pt>
                <c:pt idx="1170">
                  <c:v>51.598972320556641</c:v>
                </c:pt>
                <c:pt idx="1171">
                  <c:v>51.617401123046875</c:v>
                </c:pt>
                <c:pt idx="1172">
                  <c:v>51.875396728515625</c:v>
                </c:pt>
                <c:pt idx="1173">
                  <c:v>51.617401123046875</c:v>
                </c:pt>
                <c:pt idx="1174">
                  <c:v>51.543685913085938</c:v>
                </c:pt>
                <c:pt idx="1175">
                  <c:v>50.953983306884766</c:v>
                </c:pt>
                <c:pt idx="1176">
                  <c:v>49.157234191894531</c:v>
                </c:pt>
                <c:pt idx="1177">
                  <c:v>48.862380981445313</c:v>
                </c:pt>
                <c:pt idx="1178">
                  <c:v>49.304660797119141</c:v>
                </c:pt>
                <c:pt idx="1179">
                  <c:v>49.396800994873047</c:v>
                </c:pt>
                <c:pt idx="1180">
                  <c:v>49.203304290771491</c:v>
                </c:pt>
                <c:pt idx="1181">
                  <c:v>48.521461486816406</c:v>
                </c:pt>
                <c:pt idx="1182">
                  <c:v>47.240703582763672</c:v>
                </c:pt>
                <c:pt idx="1183">
                  <c:v>46.973491668701172</c:v>
                </c:pt>
                <c:pt idx="1184">
                  <c:v>47.609264373779297</c:v>
                </c:pt>
                <c:pt idx="1185">
                  <c:v>46.521999359130859</c:v>
                </c:pt>
                <c:pt idx="1186">
                  <c:v>46.835281372070313</c:v>
                </c:pt>
                <c:pt idx="1187">
                  <c:v>49.120376586914063</c:v>
                </c:pt>
                <c:pt idx="1188">
                  <c:v>50.087863922119141</c:v>
                </c:pt>
                <c:pt idx="1189">
                  <c:v>50.170787811279297</c:v>
                </c:pt>
                <c:pt idx="1190">
                  <c:v>51.165908813476563</c:v>
                </c:pt>
                <c:pt idx="1191">
                  <c:v>48.014686584472656</c:v>
                </c:pt>
                <c:pt idx="1192">
                  <c:v>45.996795654296875</c:v>
                </c:pt>
                <c:pt idx="1193">
                  <c:v>47.093276977539063</c:v>
                </c:pt>
                <c:pt idx="1194">
                  <c:v>47.848834991455078</c:v>
                </c:pt>
                <c:pt idx="1195">
                  <c:v>47.66455078125</c:v>
                </c:pt>
                <c:pt idx="1196">
                  <c:v>47.434196472167969</c:v>
                </c:pt>
                <c:pt idx="1197">
                  <c:v>47.259132385253906</c:v>
                </c:pt>
                <c:pt idx="1198">
                  <c:v>45.858589172363281</c:v>
                </c:pt>
                <c:pt idx="1199">
                  <c:v>44.660755157470703</c:v>
                </c:pt>
                <c:pt idx="1200">
                  <c:v>45.195171356201172</c:v>
                </c:pt>
                <c:pt idx="1201">
                  <c:v>45.176738739013672</c:v>
                </c:pt>
                <c:pt idx="1202">
                  <c:v>46.254791259765625</c:v>
                </c:pt>
                <c:pt idx="1203">
                  <c:v>48.106826782226563</c:v>
                </c:pt>
                <c:pt idx="1204">
                  <c:v>48.945308685302734</c:v>
                </c:pt>
                <c:pt idx="1205">
                  <c:v>49.184879302978509</c:v>
                </c:pt>
                <c:pt idx="1206">
                  <c:v>48.475391387939453</c:v>
                </c:pt>
                <c:pt idx="1207">
                  <c:v>48.097610473632813</c:v>
                </c:pt>
                <c:pt idx="1208">
                  <c:v>48.162113189697266</c:v>
                </c:pt>
                <c:pt idx="1209">
                  <c:v>48.761028289794922</c:v>
                </c:pt>
                <c:pt idx="1210">
                  <c:v>47.922542572021491</c:v>
                </c:pt>
                <c:pt idx="1211">
                  <c:v>47.360481262207031</c:v>
                </c:pt>
                <c:pt idx="1212">
                  <c:v>47.065635681152344</c:v>
                </c:pt>
                <c:pt idx="1213">
                  <c:v>47.636909484863281</c:v>
                </c:pt>
                <c:pt idx="1214">
                  <c:v>49.756153106689453</c:v>
                </c:pt>
                <c:pt idx="1215">
                  <c:v>49.359947204589837</c:v>
                </c:pt>
                <c:pt idx="1216">
                  <c:v>48.493820190429688</c:v>
                </c:pt>
                <c:pt idx="1217">
                  <c:v>48.143680572509766</c:v>
                </c:pt>
                <c:pt idx="1218">
                  <c:v>47.231483459472656</c:v>
                </c:pt>
                <c:pt idx="1219">
                  <c:v>46.494358062744141</c:v>
                </c:pt>
                <c:pt idx="1220">
                  <c:v>46.62335205078125</c:v>
                </c:pt>
                <c:pt idx="1221">
                  <c:v>46.991920471191406</c:v>
                </c:pt>
                <c:pt idx="1222">
                  <c:v>46.3837890625</c:v>
                </c:pt>
                <c:pt idx="1223">
                  <c:v>47.084060668945313</c:v>
                </c:pt>
                <c:pt idx="1224">
                  <c:v>47.176204681396477</c:v>
                </c:pt>
                <c:pt idx="1225">
                  <c:v>47.765903472900391</c:v>
                </c:pt>
                <c:pt idx="1226">
                  <c:v>47.940971374511719</c:v>
                </c:pt>
                <c:pt idx="1227">
                  <c:v>48.17132568359375</c:v>
                </c:pt>
                <c:pt idx="1228">
                  <c:v>47.443412780761719</c:v>
                </c:pt>
                <c:pt idx="1229">
                  <c:v>46.706283569335938</c:v>
                </c:pt>
                <c:pt idx="1230">
                  <c:v>46.070510864257813</c:v>
                </c:pt>
                <c:pt idx="1231">
                  <c:v>45.941516876220703</c:v>
                </c:pt>
                <c:pt idx="1232">
                  <c:v>46.047473907470703</c:v>
                </c:pt>
                <c:pt idx="1233">
                  <c:v>46.62335205078125</c:v>
                </c:pt>
                <c:pt idx="1234">
                  <c:v>47.185413360595703</c:v>
                </c:pt>
                <c:pt idx="1235">
                  <c:v>46.577285766601563</c:v>
                </c:pt>
                <c:pt idx="1236">
                  <c:v>47.028778076171875</c:v>
                </c:pt>
                <c:pt idx="1237">
                  <c:v>47.268341064453125</c:v>
                </c:pt>
                <c:pt idx="1238">
                  <c:v>47.3973388671875</c:v>
                </c:pt>
                <c:pt idx="1239">
                  <c:v>48.1805419921875</c:v>
                </c:pt>
                <c:pt idx="1240">
                  <c:v>47.775115966796875</c:v>
                </c:pt>
                <c:pt idx="1241">
                  <c:v>49.009803771972656</c:v>
                </c:pt>
                <c:pt idx="1242">
                  <c:v>49.627155303955078</c:v>
                </c:pt>
                <c:pt idx="1243">
                  <c:v>50.124713897705078</c:v>
                </c:pt>
                <c:pt idx="1244">
                  <c:v>50.447212219238281</c:v>
                </c:pt>
                <c:pt idx="1245">
                  <c:v>51.138271331787109</c:v>
                </c:pt>
                <c:pt idx="1246">
                  <c:v>51.258049011230469</c:v>
                </c:pt>
                <c:pt idx="1247">
                  <c:v>50.21685791015625</c:v>
                </c:pt>
                <c:pt idx="1248">
                  <c:v>49.590297698974609</c:v>
                </c:pt>
                <c:pt idx="1249">
                  <c:v>48.890026092529297</c:v>
                </c:pt>
                <c:pt idx="1250">
                  <c:v>48.659671783447266</c:v>
                </c:pt>
                <c:pt idx="1251">
                  <c:v>48.447750091552734</c:v>
                </c:pt>
                <c:pt idx="1252">
                  <c:v>48.668888092041016</c:v>
                </c:pt>
                <c:pt idx="1253">
                  <c:v>48.346397399902344</c:v>
                </c:pt>
                <c:pt idx="1254">
                  <c:v>48.512248992919922</c:v>
                </c:pt>
                <c:pt idx="1255">
                  <c:v>49.498157501220703</c:v>
                </c:pt>
                <c:pt idx="1256">
                  <c:v>49.581081390380859</c:v>
                </c:pt>
                <c:pt idx="1257">
                  <c:v>48.364822387695313</c:v>
                </c:pt>
                <c:pt idx="1258">
                  <c:v>48.042331695556641</c:v>
                </c:pt>
                <c:pt idx="1259">
                  <c:v>48.567531585693359</c:v>
                </c:pt>
                <c:pt idx="1260">
                  <c:v>49.111164093017578</c:v>
                </c:pt>
                <c:pt idx="1261">
                  <c:v>49.608726501464851</c:v>
                </c:pt>
                <c:pt idx="1262">
                  <c:v>49.516590118408203</c:v>
                </c:pt>
                <c:pt idx="1263">
                  <c:v>50.539348602294922</c:v>
                </c:pt>
                <c:pt idx="1264">
                  <c:v>50.751274108886719</c:v>
                </c:pt>
                <c:pt idx="1265">
                  <c:v>50.152355194091797</c:v>
                </c:pt>
                <c:pt idx="1266">
                  <c:v>49.599514007568359</c:v>
                </c:pt>
                <c:pt idx="1267">
                  <c:v>50.060218811035149</c:v>
                </c:pt>
                <c:pt idx="1268">
                  <c:v>48.862380981445313</c:v>
                </c:pt>
                <c:pt idx="1269">
                  <c:v>48.355606079101563</c:v>
                </c:pt>
                <c:pt idx="1270">
                  <c:v>48.300323486328125</c:v>
                </c:pt>
                <c:pt idx="1271">
                  <c:v>48.466175079345703</c:v>
                </c:pt>
                <c:pt idx="1272">
                  <c:v>48.567531585693359</c:v>
                </c:pt>
                <c:pt idx="1273">
                  <c:v>49.415225982666016</c:v>
                </c:pt>
                <c:pt idx="1274">
                  <c:v>49.875934600830078</c:v>
                </c:pt>
                <c:pt idx="1275">
                  <c:v>50.004932403564453</c:v>
                </c:pt>
                <c:pt idx="1276">
                  <c:v>49.995716094970703</c:v>
                </c:pt>
                <c:pt idx="1277">
                  <c:v>50.520923614501953</c:v>
                </c:pt>
                <c:pt idx="1278">
                  <c:v>49.194087982177734</c:v>
                </c:pt>
                <c:pt idx="1279">
                  <c:v>51.046123504638672</c:v>
                </c:pt>
                <c:pt idx="1280">
                  <c:v>51.092201232910163</c:v>
                </c:pt>
                <c:pt idx="1281">
                  <c:v>50.677558898925781</c:v>
                </c:pt>
                <c:pt idx="1282">
                  <c:v>49.894367218017578</c:v>
                </c:pt>
                <c:pt idx="1283">
                  <c:v>49.129592895507813</c:v>
                </c:pt>
                <c:pt idx="1284">
                  <c:v>48.456962585449219</c:v>
                </c:pt>
                <c:pt idx="1285">
                  <c:v>47.987045288085938</c:v>
                </c:pt>
                <c:pt idx="1286">
                  <c:v>47.839614868164063</c:v>
                </c:pt>
                <c:pt idx="1287">
                  <c:v>48.972957611083984</c:v>
                </c:pt>
                <c:pt idx="1288">
                  <c:v>48.668888092041016</c:v>
                </c:pt>
                <c:pt idx="1289">
                  <c:v>49.995716094970703</c:v>
                </c:pt>
                <c:pt idx="1290">
                  <c:v>51.000053405761719</c:v>
                </c:pt>
                <c:pt idx="1291">
                  <c:v>50.4564208984375</c:v>
                </c:pt>
                <c:pt idx="1292">
                  <c:v>51.939895629882813</c:v>
                </c:pt>
                <c:pt idx="1293">
                  <c:v>52.032035827636719</c:v>
                </c:pt>
                <c:pt idx="1294">
                  <c:v>50.511707305908203</c:v>
                </c:pt>
                <c:pt idx="1295">
                  <c:v>51.165908813476563</c:v>
                </c:pt>
                <c:pt idx="1296">
                  <c:v>50.898704528808594</c:v>
                </c:pt>
                <c:pt idx="1297">
                  <c:v>53.146942138671875</c:v>
                </c:pt>
                <c:pt idx="1298">
                  <c:v>53.810356140136719</c:v>
                </c:pt>
                <c:pt idx="1299">
                  <c:v>55.081901550292969</c:v>
                </c:pt>
                <c:pt idx="1300">
                  <c:v>55.321468353271491</c:v>
                </c:pt>
                <c:pt idx="1301">
                  <c:v>55.570247650146477</c:v>
                </c:pt>
                <c:pt idx="1302">
                  <c:v>55.330680847167969</c:v>
                </c:pt>
                <c:pt idx="1303">
                  <c:v>55.680816650390625</c:v>
                </c:pt>
                <c:pt idx="1304">
                  <c:v>55.533397674560547</c:v>
                </c:pt>
                <c:pt idx="1305">
                  <c:v>55.330680847167969</c:v>
                </c:pt>
                <c:pt idx="1306">
                  <c:v>54.353984832763672</c:v>
                </c:pt>
                <c:pt idx="1307">
                  <c:v>55.174045562744141</c:v>
                </c:pt>
                <c:pt idx="1308">
                  <c:v>54.731765747070313</c:v>
                </c:pt>
                <c:pt idx="1309">
                  <c:v>53.976211547851563</c:v>
                </c:pt>
                <c:pt idx="1310">
                  <c:v>54.658054351806641</c:v>
                </c:pt>
                <c:pt idx="1311">
                  <c:v>54.897617340087891</c:v>
                </c:pt>
                <c:pt idx="1312">
                  <c:v>55.699245452880859</c:v>
                </c:pt>
                <c:pt idx="1313">
                  <c:v>57.910629272460938</c:v>
                </c:pt>
                <c:pt idx="1314">
                  <c:v>57.495994567871094</c:v>
                </c:pt>
                <c:pt idx="1315">
                  <c:v>59.062397003173828</c:v>
                </c:pt>
                <c:pt idx="1316">
                  <c:v>59.1361083984375</c:v>
                </c:pt>
                <c:pt idx="1317">
                  <c:v>58.279193878173828</c:v>
                </c:pt>
                <c:pt idx="1318">
                  <c:v>58.822830200195313</c:v>
                </c:pt>
                <c:pt idx="1319">
                  <c:v>58.048843383789063</c:v>
                </c:pt>
                <c:pt idx="1320">
                  <c:v>57.790851593017578</c:v>
                </c:pt>
                <c:pt idx="1321">
                  <c:v>57.956707000732422</c:v>
                </c:pt>
                <c:pt idx="1322">
                  <c:v>57.975128173828125</c:v>
                </c:pt>
                <c:pt idx="1323">
                  <c:v>57.790851593017578</c:v>
                </c:pt>
                <c:pt idx="1324">
                  <c:v>57.459144592285149</c:v>
                </c:pt>
                <c:pt idx="1325">
                  <c:v>57.901416778564453</c:v>
                </c:pt>
                <c:pt idx="1326">
                  <c:v>57.882987976074219</c:v>
                </c:pt>
                <c:pt idx="1327">
                  <c:v>58.509552001953125</c:v>
                </c:pt>
                <c:pt idx="1328">
                  <c:v>58.417407989501953</c:v>
                </c:pt>
                <c:pt idx="1329">
                  <c:v>59.523097991943359</c:v>
                </c:pt>
                <c:pt idx="1330">
                  <c:v>60.020664215087891</c:v>
                </c:pt>
                <c:pt idx="1331">
                  <c:v>60.149662017822266</c:v>
                </c:pt>
                <c:pt idx="1332">
                  <c:v>60.075939178466797</c:v>
                </c:pt>
                <c:pt idx="1333">
                  <c:v>60.315509796142578</c:v>
                </c:pt>
                <c:pt idx="1334">
                  <c:v>59.606033325195313</c:v>
                </c:pt>
                <c:pt idx="1335">
                  <c:v>60.481369018554688</c:v>
                </c:pt>
                <c:pt idx="1336">
                  <c:v>60.057518005371094</c:v>
                </c:pt>
                <c:pt idx="1337">
                  <c:v>60.214157104492188</c:v>
                </c:pt>
                <c:pt idx="1338">
                  <c:v>59.744232177734375</c:v>
                </c:pt>
                <c:pt idx="1339">
                  <c:v>60.333946228027344</c:v>
                </c:pt>
                <c:pt idx="1340">
                  <c:v>60.204940795898438</c:v>
                </c:pt>
                <c:pt idx="1341">
                  <c:v>60.306293487548828</c:v>
                </c:pt>
                <c:pt idx="1342">
                  <c:v>60.407649993896477</c:v>
                </c:pt>
                <c:pt idx="1343">
                  <c:v>60.251010894775391</c:v>
                </c:pt>
                <c:pt idx="1344">
                  <c:v>59.808742523193359</c:v>
                </c:pt>
                <c:pt idx="1345">
                  <c:v>59.587596893310547</c:v>
                </c:pt>
                <c:pt idx="1346">
                  <c:v>58.316055297851563</c:v>
                </c:pt>
                <c:pt idx="1347">
                  <c:v>57.827705383300781</c:v>
                </c:pt>
                <c:pt idx="1348">
                  <c:v>58.140983581542969</c:v>
                </c:pt>
                <c:pt idx="1349">
                  <c:v>57.901416778564453</c:v>
                </c:pt>
                <c:pt idx="1350">
                  <c:v>58.104129791259766</c:v>
                </c:pt>
                <c:pt idx="1351">
                  <c:v>58.150199890136719</c:v>
                </c:pt>
                <c:pt idx="1352">
                  <c:v>57.938278198242188</c:v>
                </c:pt>
                <c:pt idx="1353">
                  <c:v>57.836917877197266</c:v>
                </c:pt>
                <c:pt idx="1354">
                  <c:v>58.970252990722656</c:v>
                </c:pt>
                <c:pt idx="1355">
                  <c:v>59.329601287841797</c:v>
                </c:pt>
                <c:pt idx="1356">
                  <c:v>60.674861907958984</c:v>
                </c:pt>
                <c:pt idx="1357">
                  <c:v>61.006568908691406</c:v>
                </c:pt>
                <c:pt idx="1358">
                  <c:v>61.107925415039063</c:v>
                </c:pt>
                <c:pt idx="1359">
                  <c:v>60.601142883300781</c:v>
                </c:pt>
                <c:pt idx="1360">
                  <c:v>60.260227203369141</c:v>
                </c:pt>
                <c:pt idx="1361">
                  <c:v>61.301425933837891</c:v>
                </c:pt>
                <c:pt idx="1362">
                  <c:v>61.955619812011719</c:v>
                </c:pt>
                <c:pt idx="1363">
                  <c:v>61.458053588867188</c:v>
                </c:pt>
                <c:pt idx="1364">
                  <c:v>63.623378753662109</c:v>
                </c:pt>
                <c:pt idx="1365">
                  <c:v>62.978389739990234</c:v>
                </c:pt>
                <c:pt idx="1366">
                  <c:v>62.978389739990234</c:v>
                </c:pt>
                <c:pt idx="1367">
                  <c:v>63.872158050537109</c:v>
                </c:pt>
                <c:pt idx="1368">
                  <c:v>65.530693054199219</c:v>
                </c:pt>
                <c:pt idx="1369">
                  <c:v>66.065109252929688</c:v>
                </c:pt>
                <c:pt idx="1370">
                  <c:v>65.576759338378906</c:v>
                </c:pt>
                <c:pt idx="1371">
                  <c:v>65.466194152832031</c:v>
                </c:pt>
                <c:pt idx="1372">
                  <c:v>64.673789978027344</c:v>
                </c:pt>
                <c:pt idx="1373">
                  <c:v>64.931777954101563</c:v>
                </c:pt>
                <c:pt idx="1374">
                  <c:v>64.553993225097656</c:v>
                </c:pt>
                <c:pt idx="1375">
                  <c:v>64.553993225097656</c:v>
                </c:pt>
                <c:pt idx="1376">
                  <c:v>64.45263671875</c:v>
                </c:pt>
                <c:pt idx="1377">
                  <c:v>64.682998657226563</c:v>
                </c:pt>
                <c:pt idx="1378">
                  <c:v>64.894912719726563</c:v>
                </c:pt>
                <c:pt idx="1379">
                  <c:v>64.830429077148438</c:v>
                </c:pt>
                <c:pt idx="1380">
                  <c:v>64.5079345703125</c:v>
                </c:pt>
                <c:pt idx="1381">
                  <c:v>65.051551818847656</c:v>
                </c:pt>
                <c:pt idx="1382">
                  <c:v>64.139358520507813</c:v>
                </c:pt>
                <c:pt idx="1383">
                  <c:v>63.485172271728509</c:v>
                </c:pt>
                <c:pt idx="1384">
                  <c:v>64.360504150390625</c:v>
                </c:pt>
                <c:pt idx="1385">
                  <c:v>64.517143249511719</c:v>
                </c:pt>
                <c:pt idx="1386">
                  <c:v>63.881370544433594</c:v>
                </c:pt>
                <c:pt idx="1387">
                  <c:v>65.26348876953125</c:v>
                </c:pt>
                <c:pt idx="1388">
                  <c:v>65.991409301757813</c:v>
                </c:pt>
                <c:pt idx="1389">
                  <c:v>66.00982666015625</c:v>
                </c:pt>
                <c:pt idx="1390">
                  <c:v>65.724197387695313</c:v>
                </c:pt>
                <c:pt idx="1391">
                  <c:v>65.7518310546875</c:v>
                </c:pt>
                <c:pt idx="1392">
                  <c:v>66.175682067871094</c:v>
                </c:pt>
                <c:pt idx="1393">
                  <c:v>65.945327758789063</c:v>
                </c:pt>
                <c:pt idx="1394">
                  <c:v>66.820663452148438</c:v>
                </c:pt>
                <c:pt idx="1395">
                  <c:v>66.802238464355469</c:v>
                </c:pt>
                <c:pt idx="1396">
                  <c:v>65.5030517578125</c:v>
                </c:pt>
                <c:pt idx="1397">
                  <c:v>65.696548461914063</c:v>
                </c:pt>
                <c:pt idx="1398">
                  <c:v>66.277030944824219</c:v>
                </c:pt>
                <c:pt idx="1399">
                  <c:v>65.724197387695313</c:v>
                </c:pt>
                <c:pt idx="1400">
                  <c:v>65.301559448242188</c:v>
                </c:pt>
                <c:pt idx="1401">
                  <c:v>65.686622619628906</c:v>
                </c:pt>
                <c:pt idx="1402">
                  <c:v>67.874931335449219</c:v>
                </c:pt>
                <c:pt idx="1403">
                  <c:v>67.217498779296875</c:v>
                </c:pt>
                <c:pt idx="1404">
                  <c:v>69.462150573730469</c:v>
                </c:pt>
                <c:pt idx="1405">
                  <c:v>69.5936279296875</c:v>
                </c:pt>
                <c:pt idx="1406">
                  <c:v>69.584243774414063</c:v>
                </c:pt>
                <c:pt idx="1407">
                  <c:v>70.438896179199219</c:v>
                </c:pt>
                <c:pt idx="1408">
                  <c:v>69.715736389160156</c:v>
                </c:pt>
                <c:pt idx="1409">
                  <c:v>70.110191345214844</c:v>
                </c:pt>
                <c:pt idx="1410">
                  <c:v>69.424575805664063</c:v>
                </c:pt>
                <c:pt idx="1411">
                  <c:v>70.467086791992188</c:v>
                </c:pt>
                <c:pt idx="1412">
                  <c:v>71.265388488769531</c:v>
                </c:pt>
                <c:pt idx="1413">
                  <c:v>70.823974609375</c:v>
                </c:pt>
                <c:pt idx="1414">
                  <c:v>70.908500671386719</c:v>
                </c:pt>
                <c:pt idx="1415">
                  <c:v>70.664314270019531</c:v>
                </c:pt>
                <c:pt idx="1416">
                  <c:v>69.499717712402344</c:v>
                </c:pt>
                <c:pt idx="1417">
                  <c:v>69.931739807128906</c:v>
                </c:pt>
                <c:pt idx="1418">
                  <c:v>69.7532958984375</c:v>
                </c:pt>
                <c:pt idx="1419">
                  <c:v>69.67816162109375</c:v>
                </c:pt>
                <c:pt idx="1420">
                  <c:v>68.306961059570313</c:v>
                </c:pt>
                <c:pt idx="1421">
                  <c:v>68.767158508300781</c:v>
                </c:pt>
                <c:pt idx="1422">
                  <c:v>69.274307250976563</c:v>
                </c:pt>
                <c:pt idx="1423">
                  <c:v>68.213035583496094</c:v>
                </c:pt>
                <c:pt idx="1424">
                  <c:v>68.006416320800781</c:v>
                </c:pt>
                <c:pt idx="1425">
                  <c:v>68.01580810546875</c:v>
                </c:pt>
                <c:pt idx="1426">
                  <c:v>68.654449462890625</c:v>
                </c:pt>
                <c:pt idx="1427">
                  <c:v>69.405799865722656</c:v>
                </c:pt>
                <c:pt idx="1428">
                  <c:v>69.236740112304688</c:v>
                </c:pt>
                <c:pt idx="1429">
                  <c:v>68.814109802246094</c:v>
                </c:pt>
                <c:pt idx="1430">
                  <c:v>68.626274108886719</c:v>
                </c:pt>
                <c:pt idx="1431">
                  <c:v>70.654922485351563</c:v>
                </c:pt>
                <c:pt idx="1432">
                  <c:v>71.002410888671875</c:v>
                </c:pt>
                <c:pt idx="1433">
                  <c:v>70.2135009765625</c:v>
                </c:pt>
                <c:pt idx="1434">
                  <c:v>70.157142639160156</c:v>
                </c:pt>
                <c:pt idx="1435">
                  <c:v>69.001945495605469</c:v>
                </c:pt>
                <c:pt idx="1436">
                  <c:v>69.264923095703125</c:v>
                </c:pt>
                <c:pt idx="1437">
                  <c:v>70.823974609375</c:v>
                </c:pt>
                <c:pt idx="1438">
                  <c:v>69.7532958984375</c:v>
                </c:pt>
                <c:pt idx="1439">
                  <c:v>70.063232421875</c:v>
                </c:pt>
                <c:pt idx="1440">
                  <c:v>70.560997009277344</c:v>
                </c:pt>
                <c:pt idx="1441">
                  <c:v>68.823501586914063</c:v>
                </c:pt>
                <c:pt idx="1442">
                  <c:v>70.373153686523438</c:v>
                </c:pt>
                <c:pt idx="1443">
                  <c:v>71.753761291503906</c:v>
                </c:pt>
                <c:pt idx="1444">
                  <c:v>71.331123352050781</c:v>
                </c:pt>
                <c:pt idx="1445">
                  <c:v>70.673690795898438</c:v>
                </c:pt>
                <c:pt idx="1446">
                  <c:v>70.476463317871094</c:v>
                </c:pt>
                <c:pt idx="1447">
                  <c:v>71.096328735351563</c:v>
                </c:pt>
                <c:pt idx="1448">
                  <c:v>71.331123352050781</c:v>
                </c:pt>
                <c:pt idx="1449">
                  <c:v>69.950531005859375</c:v>
                </c:pt>
                <c:pt idx="1450">
                  <c:v>69.3118896484375</c:v>
                </c:pt>
                <c:pt idx="1451">
                  <c:v>67.827964782714844</c:v>
                </c:pt>
                <c:pt idx="1452">
                  <c:v>67.621353149414063</c:v>
                </c:pt>
                <c:pt idx="1453">
                  <c:v>68.654449462890625</c:v>
                </c:pt>
                <c:pt idx="1454">
                  <c:v>68.654449462890625</c:v>
                </c:pt>
                <c:pt idx="1455">
                  <c:v>69.415199279785156</c:v>
                </c:pt>
                <c:pt idx="1456">
                  <c:v>69.621803283691406</c:v>
                </c:pt>
                <c:pt idx="1457">
                  <c:v>69.5936279296875</c:v>
                </c:pt>
                <c:pt idx="1458">
                  <c:v>69.837821960449219</c:v>
                </c:pt>
                <c:pt idx="1459">
                  <c:v>69.9129638671875</c:v>
                </c:pt>
                <c:pt idx="1460">
                  <c:v>70.100799560546875</c:v>
                </c:pt>
                <c:pt idx="1461">
                  <c:v>70.438896179199219</c:v>
                </c:pt>
                <c:pt idx="1462">
                  <c:v>70.025657653808594</c:v>
                </c:pt>
                <c:pt idx="1463">
                  <c:v>69.161613464355469</c:v>
                </c:pt>
                <c:pt idx="1464">
                  <c:v>68.053367614746094</c:v>
                </c:pt>
                <c:pt idx="1465">
                  <c:v>69.208572387695313</c:v>
                </c:pt>
                <c:pt idx="1466">
                  <c:v>67.959449768066406</c:v>
                </c:pt>
                <c:pt idx="1467">
                  <c:v>67.0296630859375</c:v>
                </c:pt>
                <c:pt idx="1468">
                  <c:v>67.273849487304688</c:v>
                </c:pt>
                <c:pt idx="1469">
                  <c:v>68.213035583496094</c:v>
                </c:pt>
                <c:pt idx="1470">
                  <c:v>70.110191345214844</c:v>
                </c:pt>
                <c:pt idx="1471">
                  <c:v>67.874931335449219</c:v>
                </c:pt>
                <c:pt idx="1472">
                  <c:v>67.978233337402344</c:v>
                </c:pt>
                <c:pt idx="1473">
                  <c:v>66.306488037109375</c:v>
                </c:pt>
                <c:pt idx="1474">
                  <c:v>67.649520874023438</c:v>
                </c:pt>
                <c:pt idx="1475">
                  <c:v>66.691551208496094</c:v>
                </c:pt>
                <c:pt idx="1476">
                  <c:v>66.94512939453125</c:v>
                </c:pt>
                <c:pt idx="1477">
                  <c:v>68.861076354980469</c:v>
                </c:pt>
                <c:pt idx="1478">
                  <c:v>68.025192260742188</c:v>
                </c:pt>
                <c:pt idx="1479">
                  <c:v>67.724662780761719</c:v>
                </c:pt>
                <c:pt idx="1480">
                  <c:v>67.142356872558594</c:v>
                </c:pt>
                <c:pt idx="1481">
                  <c:v>66.682151794433594</c:v>
                </c:pt>
                <c:pt idx="1482">
                  <c:v>66.447364807128906</c:v>
                </c:pt>
                <c:pt idx="1483">
                  <c:v>67.358375549316406</c:v>
                </c:pt>
                <c:pt idx="1484">
                  <c:v>67.940666198730469</c:v>
                </c:pt>
                <c:pt idx="1485">
                  <c:v>68.447822570800781</c:v>
                </c:pt>
                <c:pt idx="1486">
                  <c:v>67.799789428710938</c:v>
                </c:pt>
                <c:pt idx="1487">
                  <c:v>67.151756286621094</c:v>
                </c:pt>
                <c:pt idx="1488">
                  <c:v>66.531883239746094</c:v>
                </c:pt>
                <c:pt idx="1489">
                  <c:v>66.916961669921875</c:v>
                </c:pt>
                <c:pt idx="1490">
                  <c:v>66.503715515136719</c:v>
                </c:pt>
                <c:pt idx="1491">
                  <c:v>66.090476989746094</c:v>
                </c:pt>
                <c:pt idx="1492">
                  <c:v>66.550674438476563</c:v>
                </c:pt>
                <c:pt idx="1493">
                  <c:v>65.902633666992188</c:v>
                </c:pt>
                <c:pt idx="1494">
                  <c:v>64.540817260742188</c:v>
                </c:pt>
                <c:pt idx="1495">
                  <c:v>65.564529418945313</c:v>
                </c:pt>
                <c:pt idx="1496">
                  <c:v>66.315887451171875</c:v>
                </c:pt>
                <c:pt idx="1497">
                  <c:v>66.963920593261719</c:v>
                </c:pt>
                <c:pt idx="1498">
                  <c:v>66.766685485839844</c:v>
                </c:pt>
                <c:pt idx="1499">
                  <c:v>66.907569885253906</c:v>
                </c:pt>
                <c:pt idx="1500">
                  <c:v>67.067237854003906</c:v>
                </c:pt>
                <c:pt idx="1501">
                  <c:v>66.146827697753906</c:v>
                </c:pt>
                <c:pt idx="1502">
                  <c:v>66.212570190429688</c:v>
                </c:pt>
                <c:pt idx="1503">
                  <c:v>66.513114929199219</c:v>
                </c:pt>
                <c:pt idx="1504">
                  <c:v>66.372230529785156</c:v>
                </c:pt>
                <c:pt idx="1505">
                  <c:v>66.635200500488281</c:v>
                </c:pt>
                <c:pt idx="1506">
                  <c:v>66.757301330566406</c:v>
                </c:pt>
                <c:pt idx="1507">
                  <c:v>67.621353149414063</c:v>
                </c:pt>
                <c:pt idx="1508">
                  <c:v>69.124038696289063</c:v>
                </c:pt>
                <c:pt idx="1509">
                  <c:v>69.499717712402344</c:v>
                </c:pt>
                <c:pt idx="1510">
                  <c:v>70.0538330078125</c:v>
                </c:pt>
                <c:pt idx="1511">
                  <c:v>72.843215942382813</c:v>
                </c:pt>
                <c:pt idx="1512">
                  <c:v>72.636589050292969</c:v>
                </c:pt>
                <c:pt idx="1513">
                  <c:v>73.106193542480469</c:v>
                </c:pt>
                <c:pt idx="1514">
                  <c:v>73.989021301269531</c:v>
                </c:pt>
                <c:pt idx="1515">
                  <c:v>75.482330322265625</c:v>
                </c:pt>
                <c:pt idx="1516">
                  <c:v>75.134834289550781</c:v>
                </c:pt>
                <c:pt idx="1517">
                  <c:v>75.5198974609375</c:v>
                </c:pt>
                <c:pt idx="1518">
                  <c:v>75.698341369628906</c:v>
                </c:pt>
                <c:pt idx="1519">
                  <c:v>76.675094604492188</c:v>
                </c:pt>
                <c:pt idx="1520">
                  <c:v>77.144683837890625</c:v>
                </c:pt>
                <c:pt idx="1521">
                  <c:v>76.825363159179688</c:v>
                </c:pt>
                <c:pt idx="1522">
                  <c:v>76.327590942382813</c:v>
                </c:pt>
                <c:pt idx="1523">
                  <c:v>74.608894348144531</c:v>
                </c:pt>
                <c:pt idx="1524">
                  <c:v>74.045372009277344</c:v>
                </c:pt>
                <c:pt idx="1525">
                  <c:v>73.247062683105469</c:v>
                </c:pt>
                <c:pt idx="1526">
                  <c:v>73.40673828125</c:v>
                </c:pt>
                <c:pt idx="1527">
                  <c:v>72.505111694335938</c:v>
                </c:pt>
                <c:pt idx="1528">
                  <c:v>72.383018493652344</c:v>
                </c:pt>
                <c:pt idx="1529">
                  <c:v>75.876785278320313</c:v>
                </c:pt>
                <c:pt idx="1530">
                  <c:v>76.20550537109375</c:v>
                </c:pt>
                <c:pt idx="1531">
                  <c:v>75.811042785644531</c:v>
                </c:pt>
                <c:pt idx="1532">
                  <c:v>75.811042785644531</c:v>
                </c:pt>
                <c:pt idx="1533">
                  <c:v>76.346382141113281</c:v>
                </c:pt>
                <c:pt idx="1534">
                  <c:v>78.187179565429688</c:v>
                </c:pt>
                <c:pt idx="1535">
                  <c:v>78.393806457519531</c:v>
                </c:pt>
                <c:pt idx="1536">
                  <c:v>80.591499328613281</c:v>
                </c:pt>
                <c:pt idx="1537">
                  <c:v>81.295883178710938</c:v>
                </c:pt>
                <c:pt idx="1538">
                  <c:v>79.558387756347656</c:v>
                </c:pt>
                <c:pt idx="1539">
                  <c:v>82.413520812988281</c:v>
                </c:pt>
                <c:pt idx="1540">
                  <c:v>82.066009521484375</c:v>
                </c:pt>
                <c:pt idx="1541">
                  <c:v>81.155006408691406</c:v>
                </c:pt>
                <c:pt idx="1542">
                  <c:v>81.868789672851563</c:v>
                </c:pt>
                <c:pt idx="1543">
                  <c:v>81.35223388671875</c:v>
                </c:pt>
                <c:pt idx="1544">
                  <c:v>81.145622253417969</c:v>
                </c:pt>
                <c:pt idx="1545">
                  <c:v>80.262779235839844</c:v>
                </c:pt>
                <c:pt idx="1546">
                  <c:v>78.957313537597656</c:v>
                </c:pt>
                <c:pt idx="1547">
                  <c:v>78.62860107421875</c:v>
                </c:pt>
                <c:pt idx="1548">
                  <c:v>78.187179565429688</c:v>
                </c:pt>
                <c:pt idx="1549">
                  <c:v>78.459548950195313</c:v>
                </c:pt>
                <c:pt idx="1550">
                  <c:v>80.300346374511719</c:v>
                </c:pt>
                <c:pt idx="1551">
                  <c:v>80.290962219238281</c:v>
                </c:pt>
                <c:pt idx="1552">
                  <c:v>79.718048095703125</c:v>
                </c:pt>
                <c:pt idx="1553">
                  <c:v>80.018585205078125</c:v>
                </c:pt>
                <c:pt idx="1554">
                  <c:v>80.788726806640625</c:v>
                </c:pt>
                <c:pt idx="1555">
                  <c:v>80.14068603515625</c:v>
                </c:pt>
                <c:pt idx="1556">
                  <c:v>80.6666259765625</c:v>
                </c:pt>
                <c:pt idx="1557">
                  <c:v>80.582107543945313</c:v>
                </c:pt>
                <c:pt idx="1558">
                  <c:v>80.478797912597656</c:v>
                </c:pt>
                <c:pt idx="1559">
                  <c:v>81.549461364746094</c:v>
                </c:pt>
                <c:pt idx="1560">
                  <c:v>81.981491088867188</c:v>
                </c:pt>
                <c:pt idx="1561">
                  <c:v>81.981491088867188</c:v>
                </c:pt>
                <c:pt idx="1562">
                  <c:v>80.121902465820313</c:v>
                </c:pt>
                <c:pt idx="1563">
                  <c:v>82.526222229003906</c:v>
                </c:pt>
                <c:pt idx="1564">
                  <c:v>83.183647155761719</c:v>
                </c:pt>
                <c:pt idx="1565">
                  <c:v>83.456008911132813</c:v>
                </c:pt>
                <c:pt idx="1566">
                  <c:v>82.667091369628906</c:v>
                </c:pt>
                <c:pt idx="1567">
                  <c:v>82.432296752929688</c:v>
                </c:pt>
                <c:pt idx="1568">
                  <c:v>80.704193115234375</c:v>
                </c:pt>
                <c:pt idx="1569">
                  <c:v>81.925148010253906</c:v>
                </c:pt>
                <c:pt idx="1570">
                  <c:v>81.004737854003906</c:v>
                </c:pt>
                <c:pt idx="1571">
                  <c:v>80.150070190429688</c:v>
                </c:pt>
                <c:pt idx="1572">
                  <c:v>80.0655517578125</c:v>
                </c:pt>
                <c:pt idx="1573">
                  <c:v>81.267707824707031</c:v>
                </c:pt>
                <c:pt idx="1574">
                  <c:v>80.460006713867188</c:v>
                </c:pt>
                <c:pt idx="1575">
                  <c:v>79.642929077148438</c:v>
                </c:pt>
                <c:pt idx="1576">
                  <c:v>79.755615234375</c:v>
                </c:pt>
                <c:pt idx="1577">
                  <c:v>79.408126831054688</c:v>
                </c:pt>
                <c:pt idx="1578">
                  <c:v>80.056159973144531</c:v>
                </c:pt>
                <c:pt idx="1579">
                  <c:v>78.797660827636719</c:v>
                </c:pt>
                <c:pt idx="1580">
                  <c:v>77.952384948730469</c:v>
                </c:pt>
                <c:pt idx="1581">
                  <c:v>77.71759033203125</c:v>
                </c:pt>
                <c:pt idx="1582">
                  <c:v>79.0042724609375</c:v>
                </c:pt>
                <c:pt idx="1583">
                  <c:v>80.600883483886719</c:v>
                </c:pt>
                <c:pt idx="1584">
                  <c:v>80.394271850585938</c:v>
                </c:pt>
                <c:pt idx="1585">
                  <c:v>81.35223388671875</c:v>
                </c:pt>
                <c:pt idx="1586">
                  <c:v>81.596420288085938</c:v>
                </c:pt>
                <c:pt idx="1587">
                  <c:v>84.780258178710938</c:v>
                </c:pt>
                <c:pt idx="1588">
                  <c:v>84.545463562011719</c:v>
                </c:pt>
                <c:pt idx="1589">
                  <c:v>84.902359008789063</c:v>
                </c:pt>
                <c:pt idx="1590">
                  <c:v>84.526687622070313</c:v>
                </c:pt>
                <c:pt idx="1591">
                  <c:v>84.498504638671875</c:v>
                </c:pt>
                <c:pt idx="1592">
                  <c:v>84.282501220703125</c:v>
                </c:pt>
                <c:pt idx="1593">
                  <c:v>84.902359008789063</c:v>
                </c:pt>
                <c:pt idx="1594">
                  <c:v>87.147010803222656</c:v>
                </c:pt>
                <c:pt idx="1595">
                  <c:v>87.57904052734375</c:v>
                </c:pt>
                <c:pt idx="1596">
                  <c:v>86.498970031738281</c:v>
                </c:pt>
                <c:pt idx="1597">
                  <c:v>84.99627685546875</c:v>
                </c:pt>
                <c:pt idx="1598">
                  <c:v>82.6483154296875</c:v>
                </c:pt>
                <c:pt idx="1599">
                  <c:v>84.113441467285156</c:v>
                </c:pt>
                <c:pt idx="1600">
                  <c:v>84.921142578125</c:v>
                </c:pt>
                <c:pt idx="1601">
                  <c:v>84.338851928710938</c:v>
                </c:pt>
                <c:pt idx="1602">
                  <c:v>86.874649047851563</c:v>
                </c:pt>
                <c:pt idx="1603">
                  <c:v>85.625526428222656</c:v>
                </c:pt>
                <c:pt idx="1604">
                  <c:v>82.620132446289063</c:v>
                </c:pt>
                <c:pt idx="1605">
                  <c:v>81.333457946777344</c:v>
                </c:pt>
                <c:pt idx="1606">
                  <c:v>79.840156555175781</c:v>
                </c:pt>
                <c:pt idx="1607">
                  <c:v>83.02398681640625</c:v>
                </c:pt>
                <c:pt idx="1608">
                  <c:v>80.309738159179688</c:v>
                </c:pt>
                <c:pt idx="1609">
                  <c:v>78.459548950195313</c:v>
                </c:pt>
                <c:pt idx="1610">
                  <c:v>77.501571655273438</c:v>
                </c:pt>
                <c:pt idx="1611">
                  <c:v>78.093269348144531</c:v>
                </c:pt>
                <c:pt idx="1612">
                  <c:v>79.051231384277344</c:v>
                </c:pt>
                <c:pt idx="1613">
                  <c:v>87.175186157226563</c:v>
                </c:pt>
                <c:pt idx="1614">
                  <c:v>89.720382690429688</c:v>
                </c:pt>
                <c:pt idx="1615">
                  <c:v>89.119300842285156</c:v>
                </c:pt>
                <c:pt idx="1616">
                  <c:v>91.091583251953125</c:v>
                </c:pt>
                <c:pt idx="1617">
                  <c:v>91.720848083496094</c:v>
                </c:pt>
                <c:pt idx="1618">
                  <c:v>91.758415222167955</c:v>
                </c:pt>
                <c:pt idx="1619">
                  <c:v>92.321914672851563</c:v>
                </c:pt>
                <c:pt idx="1620">
                  <c:v>92.922996520996094</c:v>
                </c:pt>
                <c:pt idx="1621">
                  <c:v>92.706993103027344</c:v>
                </c:pt>
                <c:pt idx="1622">
                  <c:v>92.359481811523438</c:v>
                </c:pt>
                <c:pt idx="1623">
                  <c:v>91.194900512695327</c:v>
                </c:pt>
                <c:pt idx="1624">
                  <c:v>88.236465454101563</c:v>
                </c:pt>
                <c:pt idx="1625">
                  <c:v>89.927001953125</c:v>
                </c:pt>
                <c:pt idx="1626">
                  <c:v>90.274505615234375</c:v>
                </c:pt>
                <c:pt idx="1627">
                  <c:v>89.898826599121094</c:v>
                </c:pt>
                <c:pt idx="1628">
                  <c:v>91.185501098632798</c:v>
                </c:pt>
                <c:pt idx="1629">
                  <c:v>92.350105285644517</c:v>
                </c:pt>
                <c:pt idx="1630">
                  <c:v>90.039703369140625</c:v>
                </c:pt>
                <c:pt idx="1631">
                  <c:v>89.84246826171875</c:v>
                </c:pt>
                <c:pt idx="1632">
                  <c:v>89.457405090332031</c:v>
                </c:pt>
                <c:pt idx="1633">
                  <c:v>90.950706481933594</c:v>
                </c:pt>
                <c:pt idx="1634">
                  <c:v>90.161796569824219</c:v>
                </c:pt>
                <c:pt idx="1635">
                  <c:v>88.687271118164063</c:v>
                </c:pt>
                <c:pt idx="1636">
                  <c:v>90.565643310546875</c:v>
                </c:pt>
                <c:pt idx="1637">
                  <c:v>89.70159912109375</c:v>
                </c:pt>
                <c:pt idx="1638">
                  <c:v>88.875114440917969</c:v>
                </c:pt>
                <c:pt idx="1639">
                  <c:v>87.26910400390625</c:v>
                </c:pt>
                <c:pt idx="1640">
                  <c:v>87.231536865234375</c:v>
                </c:pt>
                <c:pt idx="1641">
                  <c:v>89.3165283203125</c:v>
                </c:pt>
                <c:pt idx="1642">
                  <c:v>88.2646484375</c:v>
                </c:pt>
                <c:pt idx="1643">
                  <c:v>88.095588684082031</c:v>
                </c:pt>
                <c:pt idx="1644">
                  <c:v>87.907752990722656</c:v>
                </c:pt>
                <c:pt idx="1645">
                  <c:v>87.165794372558594</c:v>
                </c:pt>
                <c:pt idx="1646">
                  <c:v>89.100517272949219</c:v>
                </c:pt>
                <c:pt idx="1647">
                  <c:v>88.659103393554688</c:v>
                </c:pt>
                <c:pt idx="1648">
                  <c:v>88.659103393554688</c:v>
                </c:pt>
                <c:pt idx="1649">
                  <c:v>89.6170654296875</c:v>
                </c:pt>
                <c:pt idx="1650">
                  <c:v>86.80889892578125</c:v>
                </c:pt>
                <c:pt idx="1651">
                  <c:v>87.306671142578125</c:v>
                </c:pt>
                <c:pt idx="1652">
                  <c:v>85.935462951660156</c:v>
                </c:pt>
                <c:pt idx="1653">
                  <c:v>86.298301696777344</c:v>
                </c:pt>
                <c:pt idx="1654">
                  <c:v>88.876365661621094</c:v>
                </c:pt>
                <c:pt idx="1655">
                  <c:v>90.327713012695327</c:v>
                </c:pt>
                <c:pt idx="1656">
                  <c:v>89.983970642089844</c:v>
                </c:pt>
                <c:pt idx="1657">
                  <c:v>89.917137145996094</c:v>
                </c:pt>
                <c:pt idx="1658">
                  <c:v>91.817268371582045</c:v>
                </c:pt>
                <c:pt idx="1659">
                  <c:v>92.342430114746094</c:v>
                </c:pt>
                <c:pt idx="1660">
                  <c:v>90.681007385253906</c:v>
                </c:pt>
                <c:pt idx="1661">
                  <c:v>91.187072753906236</c:v>
                </c:pt>
                <c:pt idx="1662">
                  <c:v>92.552490234375</c:v>
                </c:pt>
                <c:pt idx="1663">
                  <c:v>93.001266479492202</c:v>
                </c:pt>
                <c:pt idx="1664">
                  <c:v>93.641006469726563</c:v>
                </c:pt>
                <c:pt idx="1665">
                  <c:v>93.631454467773438</c:v>
                </c:pt>
                <c:pt idx="1666">
                  <c:v>94.233009338378906</c:v>
                </c:pt>
                <c:pt idx="1667">
                  <c:v>95.884880065917955</c:v>
                </c:pt>
                <c:pt idx="1668">
                  <c:v>95.713005065917955</c:v>
                </c:pt>
                <c:pt idx="1669">
                  <c:v>94.681785583496094</c:v>
                </c:pt>
                <c:pt idx="1670">
                  <c:v>95.130546569824219</c:v>
                </c:pt>
                <c:pt idx="1671">
                  <c:v>94.958679199218764</c:v>
                </c:pt>
                <c:pt idx="1672">
                  <c:v>92.695716857910156</c:v>
                </c:pt>
                <c:pt idx="1673">
                  <c:v>91.903205871582045</c:v>
                </c:pt>
                <c:pt idx="1674">
                  <c:v>92.036872863769517</c:v>
                </c:pt>
                <c:pt idx="1675">
                  <c:v>93.555076599121094</c:v>
                </c:pt>
                <c:pt idx="1676">
                  <c:v>93.42138671875</c:v>
                </c:pt>
                <c:pt idx="1677">
                  <c:v>96.266807556152344</c:v>
                </c:pt>
                <c:pt idx="1678">
                  <c:v>96.114044189453125</c:v>
                </c:pt>
                <c:pt idx="1679">
                  <c:v>94.490814208984375</c:v>
                </c:pt>
                <c:pt idx="1680">
                  <c:v>93.908355712890625</c:v>
                </c:pt>
                <c:pt idx="1681">
                  <c:v>93.774688720703125</c:v>
                </c:pt>
                <c:pt idx="1682">
                  <c:v>92.810295104980483</c:v>
                </c:pt>
                <c:pt idx="1683">
                  <c:v>92.924873352050781</c:v>
                </c:pt>
                <c:pt idx="1684">
                  <c:v>92.361526489257798</c:v>
                </c:pt>
                <c:pt idx="1685">
                  <c:v>92.915328979492202</c:v>
                </c:pt>
                <c:pt idx="1686">
                  <c:v>94.901390075683594</c:v>
                </c:pt>
                <c:pt idx="1687">
                  <c:v>95.063713073730483</c:v>
                </c:pt>
                <c:pt idx="1688">
                  <c:v>94.509910583496094</c:v>
                </c:pt>
                <c:pt idx="1689">
                  <c:v>95.483840942382798</c:v>
                </c:pt>
                <c:pt idx="1690">
                  <c:v>95.149658203125</c:v>
                </c:pt>
                <c:pt idx="1691">
                  <c:v>96.343200683593764</c:v>
                </c:pt>
                <c:pt idx="1692">
                  <c:v>96.343200683593764</c:v>
                </c:pt>
                <c:pt idx="1693">
                  <c:v>95.942169189453125</c:v>
                </c:pt>
                <c:pt idx="1694">
                  <c:v>95.655715942382798</c:v>
                </c:pt>
                <c:pt idx="1695">
                  <c:v>99.837905883789063</c:v>
                </c:pt>
                <c:pt idx="1696">
                  <c:v>98.9212646484375</c:v>
                </c:pt>
                <c:pt idx="1697">
                  <c:v>97.298042297363281</c:v>
                </c:pt>
                <c:pt idx="1698">
                  <c:v>95.808479309082045</c:v>
                </c:pt>
                <c:pt idx="1699">
                  <c:v>95.3692626953125</c:v>
                </c:pt>
                <c:pt idx="1700">
                  <c:v>94.137519836425781</c:v>
                </c:pt>
                <c:pt idx="1701">
                  <c:v>96.094940185546875</c:v>
                </c:pt>
                <c:pt idx="1702">
                  <c:v>92.485649108886719</c:v>
                </c:pt>
                <c:pt idx="1703">
                  <c:v>92.122817993164063</c:v>
                </c:pt>
                <c:pt idx="1704">
                  <c:v>94.624488830566406</c:v>
                </c:pt>
                <c:pt idx="1705">
                  <c:v>93.688751220703125</c:v>
                </c:pt>
                <c:pt idx="1706">
                  <c:v>95.732101440429673</c:v>
                </c:pt>
                <c:pt idx="1707">
                  <c:v>93.297264099121094</c:v>
                </c:pt>
                <c:pt idx="1708">
                  <c:v>93.345008850097656</c:v>
                </c:pt>
                <c:pt idx="1709">
                  <c:v>93.574165344238281</c:v>
                </c:pt>
                <c:pt idx="1710">
                  <c:v>93.325912475585938</c:v>
                </c:pt>
                <c:pt idx="1711">
                  <c:v>94.051589965820327</c:v>
                </c:pt>
                <c:pt idx="1712">
                  <c:v>94.910949707031236</c:v>
                </c:pt>
                <c:pt idx="1713">
                  <c:v>98.673004150390625</c:v>
                </c:pt>
                <c:pt idx="1714">
                  <c:v>98.482040405273438</c:v>
                </c:pt>
                <c:pt idx="1715">
                  <c:v>100.39171600341795</c:v>
                </c:pt>
                <c:pt idx="1716">
                  <c:v>102.54964447021484</c:v>
                </c:pt>
                <c:pt idx="1717">
                  <c:v>102.11042022705078</c:v>
                </c:pt>
                <c:pt idx="1718">
                  <c:v>102.79790496826172</c:v>
                </c:pt>
                <c:pt idx="1719">
                  <c:v>102.35868072509766</c:v>
                </c:pt>
                <c:pt idx="1720">
                  <c:v>102.24410247802734</c:v>
                </c:pt>
                <c:pt idx="1721">
                  <c:v>100.98371887207033</c:v>
                </c:pt>
                <c:pt idx="1722">
                  <c:v>100.65906524658205</c:v>
                </c:pt>
                <c:pt idx="1723">
                  <c:v>101.19377899169922</c:v>
                </c:pt>
                <c:pt idx="1724">
                  <c:v>100.1625518798828</c:v>
                </c:pt>
                <c:pt idx="1725">
                  <c:v>104.6693878173828</c:v>
                </c:pt>
                <c:pt idx="1726">
                  <c:v>104.2683563232422</c:v>
                </c:pt>
                <c:pt idx="1727">
                  <c:v>102.24410247802734</c:v>
                </c:pt>
                <c:pt idx="1728">
                  <c:v>101.21287536621094</c:v>
                </c:pt>
                <c:pt idx="1729">
                  <c:v>101.78577423095705</c:v>
                </c:pt>
                <c:pt idx="1730">
                  <c:v>101.67120361328124</c:v>
                </c:pt>
                <c:pt idx="1731">
                  <c:v>102.89339447021484</c:v>
                </c:pt>
                <c:pt idx="1732">
                  <c:v>102.95068359375</c:v>
                </c:pt>
                <c:pt idx="1733">
                  <c:v>104.077392578125</c:v>
                </c:pt>
                <c:pt idx="1734">
                  <c:v>103.02706909179688</c:v>
                </c:pt>
                <c:pt idx="1735">
                  <c:v>103.75274658203124</c:v>
                </c:pt>
                <c:pt idx="1736">
                  <c:v>102.66423034667967</c:v>
                </c:pt>
                <c:pt idx="1737">
                  <c:v>103.21803283691406</c:v>
                </c:pt>
                <c:pt idx="1738">
                  <c:v>103.12255096435548</c:v>
                </c:pt>
                <c:pt idx="1739">
                  <c:v>100.46810150146484</c:v>
                </c:pt>
                <c:pt idx="1740">
                  <c:v>102.70242309570313</c:v>
                </c:pt>
                <c:pt idx="1741">
                  <c:v>102.85520172119141</c:v>
                </c:pt>
                <c:pt idx="1742">
                  <c:v>103.00796508789063</c:v>
                </c:pt>
                <c:pt idx="1743">
                  <c:v>102.60694122314452</c:v>
                </c:pt>
                <c:pt idx="1744">
                  <c:v>102.47325897216795</c:v>
                </c:pt>
                <c:pt idx="1745">
                  <c:v>102.87429046630859</c:v>
                </c:pt>
                <c:pt idx="1746">
                  <c:v>102.64513397216795</c:v>
                </c:pt>
                <c:pt idx="1747">
                  <c:v>103.12255096435548</c:v>
                </c:pt>
                <c:pt idx="1748">
                  <c:v>104.03919982910156</c:v>
                </c:pt>
                <c:pt idx="1749">
                  <c:v>105.08951568603516</c:v>
                </c:pt>
                <c:pt idx="1750">
                  <c:v>104.05829620361328</c:v>
                </c:pt>
                <c:pt idx="1751">
                  <c:v>101.4611358642578</c:v>
                </c:pt>
                <c:pt idx="1752">
                  <c:v>102.64513397216795</c:v>
                </c:pt>
                <c:pt idx="1753">
                  <c:v>100.41081237792967</c:v>
                </c:pt>
                <c:pt idx="1754">
                  <c:v>98.348358154296875</c:v>
                </c:pt>
                <c:pt idx="1755">
                  <c:v>99.570556640625</c:v>
                </c:pt>
                <c:pt idx="1756">
                  <c:v>100.10526275634766</c:v>
                </c:pt>
                <c:pt idx="1757">
                  <c:v>100.06707763671876</c:v>
                </c:pt>
                <c:pt idx="1758">
                  <c:v>101.93855285644533</c:v>
                </c:pt>
                <c:pt idx="1759">
                  <c:v>101.88125610351563</c:v>
                </c:pt>
                <c:pt idx="1760">
                  <c:v>100.86913299560548</c:v>
                </c:pt>
                <c:pt idx="1761">
                  <c:v>101.40383911132813</c:v>
                </c:pt>
                <c:pt idx="1762">
                  <c:v>101.49932861328124</c:v>
                </c:pt>
                <c:pt idx="1763">
                  <c:v>100.20074462890624</c:v>
                </c:pt>
                <c:pt idx="1764">
                  <c:v>101.55661773681641</c:v>
                </c:pt>
                <c:pt idx="1765">
                  <c:v>101.652099609375</c:v>
                </c:pt>
                <c:pt idx="1766">
                  <c:v>101.97675323486328</c:v>
                </c:pt>
                <c:pt idx="1767">
                  <c:v>101.19377899169922</c:v>
                </c:pt>
                <c:pt idx="1768">
                  <c:v>100.3344268798828</c:v>
                </c:pt>
                <c:pt idx="1769">
                  <c:v>103.58087921142578</c:v>
                </c:pt>
                <c:pt idx="1770">
                  <c:v>103.98190307617188</c:v>
                </c:pt>
                <c:pt idx="1771">
                  <c:v>103.29442596435548</c:v>
                </c:pt>
                <c:pt idx="1772">
                  <c:v>102.54964447021484</c:v>
                </c:pt>
                <c:pt idx="1773">
                  <c:v>100.90732574462891</c:v>
                </c:pt>
                <c:pt idx="1774">
                  <c:v>102.22499847412109</c:v>
                </c:pt>
                <c:pt idx="1775">
                  <c:v>100.5063018798828</c:v>
                </c:pt>
                <c:pt idx="1776">
                  <c:v>99.303192138671875</c:v>
                </c:pt>
                <c:pt idx="1777">
                  <c:v>98.940361022949219</c:v>
                </c:pt>
                <c:pt idx="1778">
                  <c:v>97.870941162109375</c:v>
                </c:pt>
                <c:pt idx="1779">
                  <c:v>94.519454956054673</c:v>
                </c:pt>
                <c:pt idx="1780">
                  <c:v>92.934425354003906</c:v>
                </c:pt>
                <c:pt idx="1781">
                  <c:v>95.732101440429673</c:v>
                </c:pt>
                <c:pt idx="1782">
                  <c:v>93.392745971679673</c:v>
                </c:pt>
                <c:pt idx="1783">
                  <c:v>97.126167297363281</c:v>
                </c:pt>
                <c:pt idx="1784">
                  <c:v>96.305007934570327</c:v>
                </c:pt>
                <c:pt idx="1785">
                  <c:v>94.825004577636719</c:v>
                </c:pt>
                <c:pt idx="1786">
                  <c:v>93.526428222656236</c:v>
                </c:pt>
                <c:pt idx="1787">
                  <c:v>91.960487365722656</c:v>
                </c:pt>
                <c:pt idx="1788">
                  <c:v>89.88848876953125</c:v>
                </c:pt>
                <c:pt idx="1789">
                  <c:v>91.005653381347656</c:v>
                </c:pt>
                <c:pt idx="1790">
                  <c:v>93.516883850097656</c:v>
                </c:pt>
                <c:pt idx="1791">
                  <c:v>91.807716369628906</c:v>
                </c:pt>
                <c:pt idx="1792">
                  <c:v>91.502166748046875</c:v>
                </c:pt>
                <c:pt idx="1793">
                  <c:v>89.659332275390625</c:v>
                </c:pt>
                <c:pt idx="1794">
                  <c:v>93.297264099121094</c:v>
                </c:pt>
                <c:pt idx="1795">
                  <c:v>92.141914367675781</c:v>
                </c:pt>
                <c:pt idx="1796">
                  <c:v>91.292106628417955</c:v>
                </c:pt>
                <c:pt idx="1797">
                  <c:v>91.072486877441406</c:v>
                </c:pt>
                <c:pt idx="1798">
                  <c:v>91.521263122558594</c:v>
                </c:pt>
                <c:pt idx="1799">
                  <c:v>91.750419616699219</c:v>
                </c:pt>
                <c:pt idx="1800">
                  <c:v>91.330299377441406</c:v>
                </c:pt>
                <c:pt idx="1801">
                  <c:v>90.404106140136719</c:v>
                </c:pt>
                <c:pt idx="1802">
                  <c:v>90.127197265625</c:v>
                </c:pt>
                <c:pt idx="1803">
                  <c:v>92.065521240234375</c:v>
                </c:pt>
                <c:pt idx="1804">
                  <c:v>91.215721130371094</c:v>
                </c:pt>
                <c:pt idx="1805">
                  <c:v>89.621139526367188</c:v>
                </c:pt>
                <c:pt idx="1806">
                  <c:v>88.6949462890625</c:v>
                </c:pt>
                <c:pt idx="1807">
                  <c:v>88.389396667480469</c:v>
                </c:pt>
                <c:pt idx="1808">
                  <c:v>86.957130432128906</c:v>
                </c:pt>
                <c:pt idx="1809">
                  <c:v>88.962295532226563</c:v>
                </c:pt>
                <c:pt idx="1810">
                  <c:v>88.160240173339844</c:v>
                </c:pt>
                <c:pt idx="1811">
                  <c:v>89.191459655761719</c:v>
                </c:pt>
                <c:pt idx="1812">
                  <c:v>89.353782653808594</c:v>
                </c:pt>
                <c:pt idx="1813">
                  <c:v>89.468360900878906</c:v>
                </c:pt>
                <c:pt idx="1814">
                  <c:v>89.277389526367188</c:v>
                </c:pt>
                <c:pt idx="1815">
                  <c:v>90.575973510742202</c:v>
                </c:pt>
                <c:pt idx="1816">
                  <c:v>90.346817016601563</c:v>
                </c:pt>
                <c:pt idx="1817">
                  <c:v>91.378036499023438</c:v>
                </c:pt>
                <c:pt idx="1818">
                  <c:v>90.012619018554688</c:v>
                </c:pt>
                <c:pt idx="1819">
                  <c:v>88.141128540039063</c:v>
                </c:pt>
                <c:pt idx="1820">
                  <c:v>84.636878967285156</c:v>
                </c:pt>
                <c:pt idx="1821">
                  <c:v>85.047454833984375</c:v>
                </c:pt>
                <c:pt idx="1822">
                  <c:v>83.538818359375</c:v>
                </c:pt>
                <c:pt idx="1823">
                  <c:v>84.598686218261719</c:v>
                </c:pt>
                <c:pt idx="1824">
                  <c:v>87.348625183105469</c:v>
                </c:pt>
                <c:pt idx="1825">
                  <c:v>85.906814575195313</c:v>
                </c:pt>
                <c:pt idx="1826">
                  <c:v>84.66552734375</c:v>
                </c:pt>
                <c:pt idx="1827">
                  <c:v>83.69158935546875</c:v>
                </c:pt>
                <c:pt idx="1828">
                  <c:v>84.64642333984375</c:v>
                </c:pt>
                <c:pt idx="1829">
                  <c:v>83.261909484863281</c:v>
                </c:pt>
                <c:pt idx="1830">
                  <c:v>79.566688537597656</c:v>
                </c:pt>
                <c:pt idx="1831">
                  <c:v>79.347076416015625</c:v>
                </c:pt>
                <c:pt idx="1832">
                  <c:v>77.943458557128906</c:v>
                </c:pt>
                <c:pt idx="1833">
                  <c:v>78.392234802246094</c:v>
                </c:pt>
                <c:pt idx="1834">
                  <c:v>79.977264404296875</c:v>
                </c:pt>
                <c:pt idx="1835">
                  <c:v>80.168235778808594</c:v>
                </c:pt>
                <c:pt idx="1836">
                  <c:v>80.368751525878906</c:v>
                </c:pt>
                <c:pt idx="1837">
                  <c:v>77.542427062988281</c:v>
                </c:pt>
                <c:pt idx="1838">
                  <c:v>81.275848388671875</c:v>
                </c:pt>
                <c:pt idx="1839">
                  <c:v>79.786300659179688</c:v>
                </c:pt>
                <c:pt idx="1840">
                  <c:v>82.736747741699219</c:v>
                </c:pt>
                <c:pt idx="1841">
                  <c:v>85.629913330078125</c:v>
                </c:pt>
                <c:pt idx="1842">
                  <c:v>85.563072204589844</c:v>
                </c:pt>
                <c:pt idx="1843">
                  <c:v>84.388618469238281</c:v>
                </c:pt>
                <c:pt idx="1844">
                  <c:v>85.849533081054688</c:v>
                </c:pt>
                <c:pt idx="1845">
                  <c:v>88.141128540039063</c:v>
                </c:pt>
                <c:pt idx="1846">
                  <c:v>88.360748291015625</c:v>
                </c:pt>
                <c:pt idx="1847">
                  <c:v>87.615974426269531</c:v>
                </c:pt>
                <c:pt idx="1848">
                  <c:v>89.43017578125</c:v>
                </c:pt>
                <c:pt idx="1849">
                  <c:v>90.232231140136719</c:v>
                </c:pt>
                <c:pt idx="1850">
                  <c:v>90.470939636230483</c:v>
                </c:pt>
                <c:pt idx="1851">
                  <c:v>89.573394775390625</c:v>
                </c:pt>
                <c:pt idx="1852">
                  <c:v>91.588096618652344</c:v>
                </c:pt>
                <c:pt idx="1853">
                  <c:v>92.151466369628906</c:v>
                </c:pt>
                <c:pt idx="1854">
                  <c:v>91.110679626464844</c:v>
                </c:pt>
                <c:pt idx="1855">
                  <c:v>91.712234497070327</c:v>
                </c:pt>
                <c:pt idx="1856">
                  <c:v>94.529006958007798</c:v>
                </c:pt>
                <c:pt idx="1857">
                  <c:v>95.693908691406236</c:v>
                </c:pt>
                <c:pt idx="1858">
                  <c:v>96.553268432617202</c:v>
                </c:pt>
                <c:pt idx="1859">
                  <c:v>96.820625305175781</c:v>
                </c:pt>
                <c:pt idx="1860">
                  <c:v>97.393516540527344</c:v>
                </c:pt>
                <c:pt idx="1861">
                  <c:v>97.469909667968764</c:v>
                </c:pt>
                <c:pt idx="1862">
                  <c:v>95.321517944335938</c:v>
                </c:pt>
                <c:pt idx="1863">
                  <c:v>95.426559448242202</c:v>
                </c:pt>
                <c:pt idx="1864">
                  <c:v>97.393516540527344</c:v>
                </c:pt>
                <c:pt idx="1865">
                  <c:v>98.138290405273438</c:v>
                </c:pt>
                <c:pt idx="1866">
                  <c:v>99.666030883789063</c:v>
                </c:pt>
                <c:pt idx="1867">
                  <c:v>102.33958435058594</c:v>
                </c:pt>
                <c:pt idx="1868">
                  <c:v>105.9679718017578</c:v>
                </c:pt>
                <c:pt idx="1869">
                  <c:v>106.23532867431641</c:v>
                </c:pt>
                <c:pt idx="1870">
                  <c:v>106.12074279785156</c:v>
                </c:pt>
                <c:pt idx="1871">
                  <c:v>106.10165405273438</c:v>
                </c:pt>
                <c:pt idx="1872">
                  <c:v>106.330810546875</c:v>
                </c:pt>
                <c:pt idx="1873">
                  <c:v>108.56512451171876</c:v>
                </c:pt>
                <c:pt idx="1874">
                  <c:v>108.2213897705078</c:v>
                </c:pt>
                <c:pt idx="1875">
                  <c:v>108.01132965087891</c:v>
                </c:pt>
                <c:pt idx="1876">
                  <c:v>108.33596801757813</c:v>
                </c:pt>
                <c:pt idx="1877">
                  <c:v>108.46965026855467</c:v>
                </c:pt>
                <c:pt idx="1878">
                  <c:v>108.756103515625</c:v>
                </c:pt>
                <c:pt idx="1879">
                  <c:v>108.87067413330078</c:v>
                </c:pt>
                <c:pt idx="1880">
                  <c:v>108.12590026855467</c:v>
                </c:pt>
                <c:pt idx="1881">
                  <c:v>108.584228515625</c:v>
                </c:pt>
                <c:pt idx="1882">
                  <c:v>107.6484832763672</c:v>
                </c:pt>
                <c:pt idx="1883">
                  <c:v>106.48358154296876</c:v>
                </c:pt>
                <c:pt idx="1884">
                  <c:v>107.85855102539063</c:v>
                </c:pt>
                <c:pt idx="1885">
                  <c:v>109.4053955078125</c:v>
                </c:pt>
                <c:pt idx="1886">
                  <c:v>111.60150909423828</c:v>
                </c:pt>
                <c:pt idx="1887">
                  <c:v>111.71610260009766</c:v>
                </c:pt>
                <c:pt idx="1888">
                  <c:v>112.36538696289063</c:v>
                </c:pt>
                <c:pt idx="1889">
                  <c:v>112.67093658447266</c:v>
                </c:pt>
                <c:pt idx="1890">
                  <c:v>113.6257781982422</c:v>
                </c:pt>
                <c:pt idx="1891">
                  <c:v>112.53725433349609</c:v>
                </c:pt>
                <c:pt idx="1892">
                  <c:v>113.20564270019533</c:v>
                </c:pt>
                <c:pt idx="1893">
                  <c:v>109.42448425292967</c:v>
                </c:pt>
                <c:pt idx="1894">
                  <c:v>108.88977813720705</c:v>
                </c:pt>
                <c:pt idx="1895">
                  <c:v>111.08589935302734</c:v>
                </c:pt>
                <c:pt idx="1896">
                  <c:v>110.26473999023438</c:v>
                </c:pt>
                <c:pt idx="1897">
                  <c:v>111.009521484375</c:v>
                </c:pt>
                <c:pt idx="1898">
                  <c:v>112.57545471191406</c:v>
                </c:pt>
                <c:pt idx="1899">
                  <c:v>112.44178009033205</c:v>
                </c:pt>
                <c:pt idx="1900">
                  <c:v>111.92616271972656</c:v>
                </c:pt>
                <c:pt idx="1901">
                  <c:v>113.18654632568359</c:v>
                </c:pt>
                <c:pt idx="1902">
                  <c:v>112.49906158447266</c:v>
                </c:pt>
                <c:pt idx="1903">
                  <c:v>113.32022857666016</c:v>
                </c:pt>
                <c:pt idx="1904">
                  <c:v>115.28719329833984</c:v>
                </c:pt>
                <c:pt idx="1905">
                  <c:v>113.14835357666016</c:v>
                </c:pt>
                <c:pt idx="1906">
                  <c:v>111.23867797851563</c:v>
                </c:pt>
                <c:pt idx="1907">
                  <c:v>112.19351959228516</c:v>
                </c:pt>
                <c:pt idx="1908">
                  <c:v>113.24383544921876</c:v>
                </c:pt>
                <c:pt idx="1909">
                  <c:v>113.52465057373048</c:v>
                </c:pt>
                <c:pt idx="1910">
                  <c:v>114.18309783935548</c:v>
                </c:pt>
                <c:pt idx="1911">
                  <c:v>115.26760864257813</c:v>
                </c:pt>
                <c:pt idx="1912">
                  <c:v>116.42958068847656</c:v>
                </c:pt>
                <c:pt idx="1913">
                  <c:v>118.90845489501952</c:v>
                </c:pt>
                <c:pt idx="1914">
                  <c:v>118.32746124267578</c:v>
                </c:pt>
                <c:pt idx="1915">
                  <c:v>118.03697204589844</c:v>
                </c:pt>
                <c:pt idx="1916">
                  <c:v>117.9982452392578</c:v>
                </c:pt>
                <c:pt idx="1917">
                  <c:v>119.12147521972656</c:v>
                </c:pt>
                <c:pt idx="1918">
                  <c:v>118.01760864257813</c:v>
                </c:pt>
                <c:pt idx="1919">
                  <c:v>116.17782592773438</c:v>
                </c:pt>
                <c:pt idx="1920">
                  <c:v>115.77112579345705</c:v>
                </c:pt>
                <c:pt idx="1921">
                  <c:v>115.9066925048828</c:v>
                </c:pt>
                <c:pt idx="1922">
                  <c:v>113.81514739990234</c:v>
                </c:pt>
                <c:pt idx="1923">
                  <c:v>115.03521728515624</c:v>
                </c:pt>
                <c:pt idx="1924">
                  <c:v>113.09859466552734</c:v>
                </c:pt>
                <c:pt idx="1925">
                  <c:v>113.7764129638672</c:v>
                </c:pt>
                <c:pt idx="1926">
                  <c:v>111.85915374755859</c:v>
                </c:pt>
                <c:pt idx="1927">
                  <c:v>115.22887420654295</c:v>
                </c:pt>
                <c:pt idx="1928">
                  <c:v>117.04929351806641</c:v>
                </c:pt>
                <c:pt idx="1929">
                  <c:v>118.61795806884766</c:v>
                </c:pt>
                <c:pt idx="1930">
                  <c:v>117.16549682617188</c:v>
                </c:pt>
                <c:pt idx="1931">
                  <c:v>115.30634307861328</c:v>
                </c:pt>
                <c:pt idx="1932">
                  <c:v>114.5123291015625</c:v>
                </c:pt>
                <c:pt idx="1933">
                  <c:v>114.47359466552734</c:v>
                </c:pt>
                <c:pt idx="1934">
                  <c:v>111.23943328857422</c:v>
                </c:pt>
                <c:pt idx="1935">
                  <c:v>112.84683227539063</c:v>
                </c:pt>
                <c:pt idx="1936">
                  <c:v>113.13732147216795</c:v>
                </c:pt>
                <c:pt idx="1937">
                  <c:v>112.63380432128906</c:v>
                </c:pt>
                <c:pt idx="1938">
                  <c:v>110.75527954101563</c:v>
                </c:pt>
                <c:pt idx="1939">
                  <c:v>111.58802795410156</c:v>
                </c:pt>
                <c:pt idx="1940">
                  <c:v>111.22006988525391</c:v>
                </c:pt>
                <c:pt idx="1941">
                  <c:v>113.44718933105467</c:v>
                </c:pt>
                <c:pt idx="1942">
                  <c:v>114.72535705566406</c:v>
                </c:pt>
                <c:pt idx="1943">
                  <c:v>114.93837738037109</c:v>
                </c:pt>
                <c:pt idx="1944">
                  <c:v>114.22183227539063</c:v>
                </c:pt>
                <c:pt idx="1945">
                  <c:v>117.08802795410156</c:v>
                </c:pt>
                <c:pt idx="1946">
                  <c:v>117.22359466552734</c:v>
                </c:pt>
                <c:pt idx="1947">
                  <c:v>119.48944091796876</c:v>
                </c:pt>
                <c:pt idx="1948">
                  <c:v>118.40493011474609</c:v>
                </c:pt>
                <c:pt idx="1949">
                  <c:v>118.77289581298828</c:v>
                </c:pt>
                <c:pt idx="1950">
                  <c:v>118.54049682617188</c:v>
                </c:pt>
                <c:pt idx="1951">
                  <c:v>121.03873443603516</c:v>
                </c:pt>
                <c:pt idx="1952">
                  <c:v>121.48415374755859</c:v>
                </c:pt>
                <c:pt idx="1953">
                  <c:v>119.10211181640624</c:v>
                </c:pt>
                <c:pt idx="1954">
                  <c:v>119.54753875732422</c:v>
                </c:pt>
                <c:pt idx="1955">
                  <c:v>118.88908386230467</c:v>
                </c:pt>
                <c:pt idx="1956">
                  <c:v>119.35387420654295</c:v>
                </c:pt>
                <c:pt idx="1957">
                  <c:v>121.21302795410156</c:v>
                </c:pt>
                <c:pt idx="1958">
                  <c:v>121.56162261962891</c:v>
                </c:pt>
                <c:pt idx="1959">
                  <c:v>119.9542236328125</c:v>
                </c:pt>
                <c:pt idx="1960">
                  <c:v>120.72887420654295</c:v>
                </c:pt>
                <c:pt idx="1961">
                  <c:v>120.36092376708984</c:v>
                </c:pt>
                <c:pt idx="1962">
                  <c:v>120.0316925048828</c:v>
                </c:pt>
                <c:pt idx="1963">
                  <c:v>121.65845489501952</c:v>
                </c:pt>
                <c:pt idx="1964">
                  <c:v>121.4066925048828</c:v>
                </c:pt>
                <c:pt idx="1965">
                  <c:v>120.63204956054688</c:v>
                </c:pt>
                <c:pt idx="1966">
                  <c:v>119.99295806884766</c:v>
                </c:pt>
                <c:pt idx="1967">
                  <c:v>120.16725158691406</c:v>
                </c:pt>
                <c:pt idx="1968">
                  <c:v>121.85211181640624</c:v>
                </c:pt>
                <c:pt idx="1969">
                  <c:v>121.98767852783205</c:v>
                </c:pt>
                <c:pt idx="1970">
                  <c:v>123.63380432128906</c:v>
                </c:pt>
                <c:pt idx="1971">
                  <c:v>125.10563659667967</c:v>
                </c:pt>
                <c:pt idx="1972">
                  <c:v>126.98415374755859</c:v>
                </c:pt>
                <c:pt idx="1973">
                  <c:v>127.77817535400391</c:v>
                </c:pt>
                <c:pt idx="1974">
                  <c:v>127.91374206542967</c:v>
                </c:pt>
                <c:pt idx="1975">
                  <c:v>127.33274841308594</c:v>
                </c:pt>
                <c:pt idx="1976">
                  <c:v>126.61619567871094</c:v>
                </c:pt>
                <c:pt idx="1977">
                  <c:v>128.41725158691406</c:v>
                </c:pt>
                <c:pt idx="1978">
                  <c:v>127.77817535400391</c:v>
                </c:pt>
                <c:pt idx="1979">
                  <c:v>126.36444091796876</c:v>
                </c:pt>
                <c:pt idx="1980">
                  <c:v>126.84859466552734</c:v>
                </c:pt>
                <c:pt idx="1981">
                  <c:v>125.95774841308594</c:v>
                </c:pt>
                <c:pt idx="1982">
                  <c:v>123.67253875732422</c:v>
                </c:pt>
                <c:pt idx="1983">
                  <c:v>124.00176239013672</c:v>
                </c:pt>
                <c:pt idx="1984">
                  <c:v>125.31866455078124</c:v>
                </c:pt>
                <c:pt idx="1985">
                  <c:v>119.43133544921876</c:v>
                </c:pt>
                <c:pt idx="1986">
                  <c:v>116.875</c:v>
                </c:pt>
                <c:pt idx="1987">
                  <c:v>116.11972045898438</c:v>
                </c:pt>
                <c:pt idx="1988">
                  <c:v>118.13380432128906</c:v>
                </c:pt>
                <c:pt idx="1989">
                  <c:v>123.13028717041016</c:v>
                </c:pt>
                <c:pt idx="1990">
                  <c:v>121.15493774414063</c:v>
                </c:pt>
                <c:pt idx="1991">
                  <c:v>121.23239135742188</c:v>
                </c:pt>
                <c:pt idx="1992">
                  <c:v>122.56866455078124</c:v>
                </c:pt>
                <c:pt idx="1993">
                  <c:v>117.97887420654295</c:v>
                </c:pt>
                <c:pt idx="1994">
                  <c:v>118.52113342285156</c:v>
                </c:pt>
                <c:pt idx="1995">
                  <c:v>119.12147521972656</c:v>
                </c:pt>
                <c:pt idx="1996">
                  <c:v>120.82570648193359</c:v>
                </c:pt>
                <c:pt idx="1997">
                  <c:v>122.20070648193359</c:v>
                </c:pt>
                <c:pt idx="1998">
                  <c:v>123.94366455078124</c:v>
                </c:pt>
                <c:pt idx="1999">
                  <c:v>120.47711181640624</c:v>
                </c:pt>
                <c:pt idx="2000">
                  <c:v>118.73416137695313</c:v>
                </c:pt>
                <c:pt idx="2001">
                  <c:v>118.94718170166016</c:v>
                </c:pt>
                <c:pt idx="2002">
                  <c:v>118.67605590820313</c:v>
                </c:pt>
                <c:pt idx="2003">
                  <c:v>117.74648284912109</c:v>
                </c:pt>
                <c:pt idx="2004">
                  <c:v>121.3098602294922</c:v>
                </c:pt>
                <c:pt idx="2005">
                  <c:v>121.36795806884766</c:v>
                </c:pt>
                <c:pt idx="2006">
                  <c:v>122.00704193115234</c:v>
                </c:pt>
                <c:pt idx="2007">
                  <c:v>120.6707763671875</c:v>
                </c:pt>
                <c:pt idx="2008">
                  <c:v>122.20070648193359</c:v>
                </c:pt>
                <c:pt idx="2009">
                  <c:v>123.28521728515624</c:v>
                </c:pt>
                <c:pt idx="2010">
                  <c:v>122.58802795410156</c:v>
                </c:pt>
                <c:pt idx="2011">
                  <c:v>122.82041931152344</c:v>
                </c:pt>
                <c:pt idx="2012">
                  <c:v>118.42430114746094</c:v>
                </c:pt>
                <c:pt idx="2013">
                  <c:v>119.58627319335938</c:v>
                </c:pt>
                <c:pt idx="2014">
                  <c:v>120.86444091796876</c:v>
                </c:pt>
                <c:pt idx="2015">
                  <c:v>121.52288818359376</c:v>
                </c:pt>
                <c:pt idx="2016">
                  <c:v>117.39788818359376</c:v>
                </c:pt>
                <c:pt idx="2017">
                  <c:v>118.09506988525391</c:v>
                </c:pt>
                <c:pt idx="2018">
                  <c:v>118.92781829833984</c:v>
                </c:pt>
                <c:pt idx="2019">
                  <c:v>120.14788818359376</c:v>
                </c:pt>
                <c:pt idx="2020">
                  <c:v>116.29401397705078</c:v>
                </c:pt>
                <c:pt idx="2021">
                  <c:v>116.00352478027344</c:v>
                </c:pt>
                <c:pt idx="2022">
                  <c:v>115.03521728515624</c:v>
                </c:pt>
                <c:pt idx="2023">
                  <c:v>117.12676239013672</c:v>
                </c:pt>
                <c:pt idx="2024">
                  <c:v>115.75176239013672</c:v>
                </c:pt>
                <c:pt idx="2025">
                  <c:v>115.22887420654295</c:v>
                </c:pt>
                <c:pt idx="2026">
                  <c:v>115.42253112792967</c:v>
                </c:pt>
                <c:pt idx="2027">
                  <c:v>113.04049682617188</c:v>
                </c:pt>
                <c:pt idx="2028">
                  <c:v>110.73591613769533</c:v>
                </c:pt>
                <c:pt idx="2029">
                  <c:v>115.44190216064452</c:v>
                </c:pt>
                <c:pt idx="2030">
                  <c:v>114.04753875732422</c:v>
                </c:pt>
                <c:pt idx="2031">
                  <c:v>113.50528717041016</c:v>
                </c:pt>
                <c:pt idx="2032">
                  <c:v>113.97006988525391</c:v>
                </c:pt>
                <c:pt idx="2033">
                  <c:v>113.66020965576172</c:v>
                </c:pt>
                <c:pt idx="2034">
                  <c:v>114.18309783935548</c:v>
                </c:pt>
                <c:pt idx="2035">
                  <c:v>115.11267852783205</c:v>
                </c:pt>
                <c:pt idx="2036">
                  <c:v>114.55106353759766</c:v>
                </c:pt>
                <c:pt idx="2037">
                  <c:v>115.65493774414063</c:v>
                </c:pt>
                <c:pt idx="2038">
                  <c:v>115.53873443603516</c:v>
                </c:pt>
                <c:pt idx="2039">
                  <c:v>116.04225158691406</c:v>
                </c:pt>
                <c:pt idx="2040">
                  <c:v>116.58451080322266</c:v>
                </c:pt>
                <c:pt idx="2041">
                  <c:v>118.13380432128906</c:v>
                </c:pt>
                <c:pt idx="2042">
                  <c:v>117.9982452392578</c:v>
                </c:pt>
                <c:pt idx="2043">
                  <c:v>116.35211944580078</c:v>
                </c:pt>
                <c:pt idx="2044">
                  <c:v>118.38556671142578</c:v>
                </c:pt>
                <c:pt idx="2045">
                  <c:v>119.60563659667967</c:v>
                </c:pt>
                <c:pt idx="2046">
                  <c:v>120.72887420654295</c:v>
                </c:pt>
                <c:pt idx="2047">
                  <c:v>121.77465057373048</c:v>
                </c:pt>
                <c:pt idx="2048">
                  <c:v>125.86091613769533</c:v>
                </c:pt>
                <c:pt idx="2049">
                  <c:v>124.35034942626952</c:v>
                </c:pt>
                <c:pt idx="2050">
                  <c:v>125.86091613769533</c:v>
                </c:pt>
                <c:pt idx="2051">
                  <c:v>126.69366455078124</c:v>
                </c:pt>
                <c:pt idx="2052">
                  <c:v>125.99647521972656</c:v>
                </c:pt>
                <c:pt idx="2053">
                  <c:v>126.88732147216795</c:v>
                </c:pt>
                <c:pt idx="2054">
                  <c:v>128.08802795410156</c:v>
                </c:pt>
                <c:pt idx="2055">
                  <c:v>128.74649047851563</c:v>
                </c:pt>
                <c:pt idx="2056">
                  <c:v>128.649658203125</c:v>
                </c:pt>
                <c:pt idx="2057">
                  <c:v>130.41197204589844</c:v>
                </c:pt>
                <c:pt idx="2058">
                  <c:v>131.20599365234375</c:v>
                </c:pt>
                <c:pt idx="2059">
                  <c:v>131.55458068847656</c:v>
                </c:pt>
                <c:pt idx="2060">
                  <c:v>132.07746887207031</c:v>
                </c:pt>
                <c:pt idx="2061">
                  <c:v>130.14083862304688</c:v>
                </c:pt>
                <c:pt idx="2062">
                  <c:v>131.0123291015625</c:v>
                </c:pt>
                <c:pt idx="2063">
                  <c:v>130.81866455078125</c:v>
                </c:pt>
                <c:pt idx="2064">
                  <c:v>129.79225158691406</c:v>
                </c:pt>
                <c:pt idx="2065">
                  <c:v>129.46302795410156</c:v>
                </c:pt>
                <c:pt idx="2066">
                  <c:v>130.31513977050781</c:v>
                </c:pt>
                <c:pt idx="2067">
                  <c:v>131.38027954101563</c:v>
                </c:pt>
                <c:pt idx="2068">
                  <c:v>129.6954345703125</c:v>
                </c:pt>
                <c:pt idx="2069">
                  <c:v>129.38555908203125</c:v>
                </c:pt>
                <c:pt idx="2070">
                  <c:v>129.17253112792969</c:v>
                </c:pt>
                <c:pt idx="2071">
                  <c:v>125.66725158691406</c:v>
                </c:pt>
                <c:pt idx="2072">
                  <c:v>120.12852478027344</c:v>
                </c:pt>
                <c:pt idx="2073">
                  <c:v>123.92430114746094</c:v>
                </c:pt>
                <c:pt idx="2074">
                  <c:v>122.97535705566406</c:v>
                </c:pt>
                <c:pt idx="2075">
                  <c:v>123.01409149169922</c:v>
                </c:pt>
                <c:pt idx="2076">
                  <c:v>120.98063659667967</c:v>
                </c:pt>
                <c:pt idx="2077">
                  <c:v>120.28345489501952</c:v>
                </c:pt>
                <c:pt idx="2078">
                  <c:v>120.07042694091795</c:v>
                </c:pt>
                <c:pt idx="2079">
                  <c:v>120.22535705566406</c:v>
                </c:pt>
                <c:pt idx="2080">
                  <c:v>121.91021728515624</c:v>
                </c:pt>
                <c:pt idx="2081">
                  <c:v>125.125</c:v>
                </c:pt>
                <c:pt idx="2082">
                  <c:v>127.33274841308594</c:v>
                </c:pt>
                <c:pt idx="2083">
                  <c:v>126.57746887207033</c:v>
                </c:pt>
                <c:pt idx="2084">
                  <c:v>126.67430877685548</c:v>
                </c:pt>
                <c:pt idx="2085">
                  <c:v>127.70071411132813</c:v>
                </c:pt>
                <c:pt idx="2086">
                  <c:v>128.57218933105469</c:v>
                </c:pt>
                <c:pt idx="2087">
                  <c:v>128.9207763671875</c:v>
                </c:pt>
                <c:pt idx="2088">
                  <c:v>128.9207763671875</c:v>
                </c:pt>
                <c:pt idx="2089">
                  <c:v>129.05633544921875</c:v>
                </c:pt>
                <c:pt idx="2090">
                  <c:v>125.88028717041016</c:v>
                </c:pt>
                <c:pt idx="2091">
                  <c:v>126.34506988525391</c:v>
                </c:pt>
                <c:pt idx="2092">
                  <c:v>129.28874206542969</c:v>
                </c:pt>
                <c:pt idx="2093">
                  <c:v>129.79225158691406</c:v>
                </c:pt>
                <c:pt idx="2094">
                  <c:v>129.23063659667969</c:v>
                </c:pt>
                <c:pt idx="2095">
                  <c:v>127.81690216064452</c:v>
                </c:pt>
                <c:pt idx="2096">
                  <c:v>130.12149047851563</c:v>
                </c:pt>
                <c:pt idx="2097">
                  <c:v>130.64436340332031</c:v>
                </c:pt>
                <c:pt idx="2098">
                  <c:v>130.16021728515625</c:v>
                </c:pt>
                <c:pt idx="2099">
                  <c:v>130.83802795410156</c:v>
                </c:pt>
                <c:pt idx="2100">
                  <c:v>130.81866455078125</c:v>
                </c:pt>
                <c:pt idx="2101">
                  <c:v>130.00527954101563</c:v>
                </c:pt>
                <c:pt idx="2102">
                  <c:v>129.17253112792969</c:v>
                </c:pt>
                <c:pt idx="2103">
                  <c:v>132.44541931152344</c:v>
                </c:pt>
                <c:pt idx="2104">
                  <c:v>133.52992248535156</c:v>
                </c:pt>
                <c:pt idx="2105">
                  <c:v>132.07746887207031</c:v>
                </c:pt>
                <c:pt idx="2106">
                  <c:v>133.60739135742188</c:v>
                </c:pt>
                <c:pt idx="2107">
                  <c:v>131.49649047851563</c:v>
                </c:pt>
                <c:pt idx="2108">
                  <c:v>134.59507751464844</c:v>
                </c:pt>
                <c:pt idx="2109">
                  <c:v>128.68836975097656</c:v>
                </c:pt>
                <c:pt idx="2110">
                  <c:v>129.98591613769531</c:v>
                </c:pt>
                <c:pt idx="2111">
                  <c:v>132.23239135742188</c:v>
                </c:pt>
                <c:pt idx="2112">
                  <c:v>130.23768615722656</c:v>
                </c:pt>
                <c:pt idx="2113">
                  <c:v>129.01760864257813</c:v>
                </c:pt>
                <c:pt idx="2114">
                  <c:v>129.44366455078125</c:v>
                </c:pt>
                <c:pt idx="2115">
                  <c:v>133.62677001953125</c:v>
                </c:pt>
                <c:pt idx="2116">
                  <c:v>132.54226684570313</c:v>
                </c:pt>
                <c:pt idx="2117">
                  <c:v>132.658447265625</c:v>
                </c:pt>
                <c:pt idx="2118">
                  <c:v>132.44541931152344</c:v>
                </c:pt>
                <c:pt idx="2119">
                  <c:v>132.29049682617188</c:v>
                </c:pt>
                <c:pt idx="2120">
                  <c:v>133.62677001953125</c:v>
                </c:pt>
                <c:pt idx="2121">
                  <c:v>132.27113342285156</c:v>
                </c:pt>
                <c:pt idx="2122">
                  <c:v>128.591552734375</c:v>
                </c:pt>
                <c:pt idx="2123">
                  <c:v>125.74472045898438</c:v>
                </c:pt>
                <c:pt idx="2124">
                  <c:v>126.8292236328125</c:v>
                </c:pt>
                <c:pt idx="2125">
                  <c:v>126.13204193115234</c:v>
                </c:pt>
                <c:pt idx="2126">
                  <c:v>127.6232452392578</c:v>
                </c:pt>
                <c:pt idx="2127">
                  <c:v>127.60387420654295</c:v>
                </c:pt>
                <c:pt idx="2128">
                  <c:v>126.69366455078124</c:v>
                </c:pt>
                <c:pt idx="2129">
                  <c:v>120.43837738037109</c:v>
                </c:pt>
                <c:pt idx="2130">
                  <c:v>119.625</c:v>
                </c:pt>
                <c:pt idx="2131">
                  <c:v>116.73943328857422</c:v>
                </c:pt>
                <c:pt idx="2132">
                  <c:v>111.35563659667967</c:v>
                </c:pt>
                <c:pt idx="2133">
                  <c:v>104.67429351806641</c:v>
                </c:pt>
                <c:pt idx="2134">
                  <c:v>104.20951080322266</c:v>
                </c:pt>
                <c:pt idx="2135">
                  <c:v>108.56690979003906</c:v>
                </c:pt>
                <c:pt idx="2136">
                  <c:v>107.44366455078124</c:v>
                </c:pt>
                <c:pt idx="2137">
                  <c:v>104.30634307861328</c:v>
                </c:pt>
                <c:pt idx="2138">
                  <c:v>96.346832275390625</c:v>
                </c:pt>
                <c:pt idx="2139">
                  <c:v>87.138206481933594</c:v>
                </c:pt>
                <c:pt idx="2140">
                  <c:v>86.779937744140625</c:v>
                </c:pt>
                <c:pt idx="2141">
                  <c:v>82.984153747558594</c:v>
                </c:pt>
                <c:pt idx="2142">
                  <c:v>69.098594665527344</c:v>
                </c:pt>
                <c:pt idx="2143">
                  <c:v>71.974472045898438</c:v>
                </c:pt>
                <c:pt idx="2144">
                  <c:v>66.813385009765625</c:v>
                </c:pt>
                <c:pt idx="2145">
                  <c:v>61.042255401611328</c:v>
                </c:pt>
                <c:pt idx="2146">
                  <c:v>47.510124206542969</c:v>
                </c:pt>
                <c:pt idx="2147">
                  <c:v>52.027290344238281</c:v>
                </c:pt>
                <c:pt idx="2148">
                  <c:v>61.758804321289063</c:v>
                </c:pt>
                <c:pt idx="2149">
                  <c:v>53.257041931152344</c:v>
                </c:pt>
                <c:pt idx="2150">
                  <c:v>54.205986022949219</c:v>
                </c:pt>
                <c:pt idx="2151">
                  <c:v>58.108272552490234</c:v>
                </c:pt>
                <c:pt idx="2152">
                  <c:v>69.999122619628906</c:v>
                </c:pt>
                <c:pt idx="2153">
                  <c:v>66.009681701660156</c:v>
                </c:pt>
                <c:pt idx="2154">
                  <c:v>58.999122619628906</c:v>
                </c:pt>
                <c:pt idx="2155">
                  <c:v>57.459506988525391</c:v>
                </c:pt>
                <c:pt idx="2156">
                  <c:v>50.5457763671875</c:v>
                </c:pt>
                <c:pt idx="2157">
                  <c:v>48.676937103271491</c:v>
                </c:pt>
                <c:pt idx="2158">
                  <c:v>47.936180114746094</c:v>
                </c:pt>
                <c:pt idx="2159">
                  <c:v>51.833625793457031</c:v>
                </c:pt>
                <c:pt idx="2160">
                  <c:v>55.232395172119141</c:v>
                </c:pt>
                <c:pt idx="2161">
                  <c:v>57.914615631103523</c:v>
                </c:pt>
                <c:pt idx="2162">
                  <c:v>59.066902160644531</c:v>
                </c:pt>
                <c:pt idx="2163">
                  <c:v>58.098594665527344</c:v>
                </c:pt>
                <c:pt idx="2164">
                  <c:v>53.063381195068359</c:v>
                </c:pt>
                <c:pt idx="2165">
                  <c:v>51.514087677001953</c:v>
                </c:pt>
                <c:pt idx="2166">
                  <c:v>55</c:v>
                </c:pt>
                <c:pt idx="2167">
                  <c:v>55.619998931884766</c:v>
                </c:pt>
                <c:pt idx="2168">
                  <c:v>51.959999084472656</c:v>
                </c:pt>
                <c:pt idx="2169">
                  <c:v>53.529998779296875</c:v>
                </c:pt>
                <c:pt idx="2170">
                  <c:v>54.25</c:v>
                </c:pt>
                <c:pt idx="2171">
                  <c:v>52.340000152587891</c:v>
                </c:pt>
                <c:pt idx="2172">
                  <c:v>51.069999694824219</c:v>
                </c:pt>
                <c:pt idx="2173">
                  <c:v>52.880001068115234</c:v>
                </c:pt>
                <c:pt idx="2174">
                  <c:v>58.389999389648438</c:v>
                </c:pt>
                <c:pt idx="2175">
                  <c:v>57.880001068115234</c:v>
                </c:pt>
                <c:pt idx="2176">
                  <c:v>55</c:v>
                </c:pt>
                <c:pt idx="2177">
                  <c:v>56.439998626708984</c:v>
                </c:pt>
                <c:pt idx="2178">
                  <c:v>53.700000762939453</c:v>
                </c:pt>
                <c:pt idx="2179">
                  <c:v>55.75</c:v>
                </c:pt>
                <c:pt idx="2180">
                  <c:v>56.069999694824219</c:v>
                </c:pt>
                <c:pt idx="2181">
                  <c:v>54.5</c:v>
                </c:pt>
                <c:pt idx="2182">
                  <c:v>51.220001220703125</c:v>
                </c:pt>
                <c:pt idx="2183">
                  <c:v>49.599998474121094</c:v>
                </c:pt>
                <c:pt idx="2184">
                  <c:v>49.880001068115234</c:v>
                </c:pt>
                <c:pt idx="2185">
                  <c:v>49.310001373291016</c:v>
                </c:pt>
                <c:pt idx="2186">
                  <c:v>55.340000152587891</c:v>
                </c:pt>
                <c:pt idx="2187">
                  <c:v>54.229999542236328</c:v>
                </c:pt>
                <c:pt idx="2188">
                  <c:v>55.049999237060547</c:v>
                </c:pt>
                <c:pt idx="2189">
                  <c:v>54.650001525878906</c:v>
                </c:pt>
                <c:pt idx="2190">
                  <c:v>54.040000915527344</c:v>
                </c:pt>
                <c:pt idx="2191">
                  <c:v>58.639999389648438</c:v>
                </c:pt>
                <c:pt idx="2192">
                  <c:v>62.810001373291016</c:v>
                </c:pt>
                <c:pt idx="2193">
                  <c:v>61.130001068115234</c:v>
                </c:pt>
                <c:pt idx="2194">
                  <c:v>60.119998931884766</c:v>
                </c:pt>
                <c:pt idx="2195">
                  <c:v>56.700000762939453</c:v>
                </c:pt>
                <c:pt idx="2196">
                  <c:v>59.439998626708984</c:v>
                </c:pt>
                <c:pt idx="2197">
                  <c:v>63.700000762939453</c:v>
                </c:pt>
                <c:pt idx="2198">
                  <c:v>68.410003662109375</c:v>
                </c:pt>
                <c:pt idx="2199">
                  <c:v>71.980003356933594</c:v>
                </c:pt>
                <c:pt idx="2200">
                  <c:v>80.980003356933594</c:v>
                </c:pt>
                <c:pt idx="2201">
                  <c:v>81.910003662109375</c:v>
                </c:pt>
                <c:pt idx="2202">
                  <c:v>75.669998168945313</c:v>
                </c:pt>
                <c:pt idx="2203">
                  <c:v>74.959999084472656</c:v>
                </c:pt>
                <c:pt idx="2204">
                  <c:v>67.05999755859375</c:v>
                </c:pt>
                <c:pt idx="2205">
                  <c:v>66.949996948242188</c:v>
                </c:pt>
                <c:pt idx="2206">
                  <c:v>68</c:v>
                </c:pt>
                <c:pt idx="2207">
                  <c:v>69.830001831054688</c:v>
                </c:pt>
                <c:pt idx="2208">
                  <c:v>69.75</c:v>
                </c:pt>
                <c:pt idx="2209">
                  <c:v>67.819999694824219</c:v>
                </c:pt>
                <c:pt idx="2210">
                  <c:v>68.860000610351563</c:v>
                </c:pt>
                <c:pt idx="2211">
                  <c:v>67.260002136230469</c:v>
                </c:pt>
                <c:pt idx="2212">
                  <c:v>66.760002136230469</c:v>
                </c:pt>
                <c:pt idx="2213">
                  <c:v>62.970001220703125</c:v>
                </c:pt>
                <c:pt idx="2214">
                  <c:v>63.919998168945313</c:v>
                </c:pt>
                <c:pt idx="2215">
                  <c:v>61.880001068115234</c:v>
                </c:pt>
                <c:pt idx="2216">
                  <c:v>63.349998474121094</c:v>
                </c:pt>
                <c:pt idx="2217">
                  <c:v>63.520000457763672</c:v>
                </c:pt>
                <c:pt idx="2218">
                  <c:v>64.19000244140625</c:v>
                </c:pt>
                <c:pt idx="2219">
                  <c:v>66.410003662109375</c:v>
                </c:pt>
                <c:pt idx="2220">
                  <c:v>65.629997253417969</c:v>
                </c:pt>
                <c:pt idx="2221">
                  <c:v>67.720001220703125</c:v>
                </c:pt>
                <c:pt idx="2222">
                  <c:v>67.300003051757813</c:v>
                </c:pt>
                <c:pt idx="2223">
                  <c:v>65.830001831054688</c:v>
                </c:pt>
                <c:pt idx="2224">
                  <c:v>63.220001220703125</c:v>
                </c:pt>
                <c:pt idx="2225">
                  <c:v>65.449996948242188</c:v>
                </c:pt>
                <c:pt idx="2226">
                  <c:v>67.849998474121094</c:v>
                </c:pt>
                <c:pt idx="2227">
                  <c:v>66.160003662109375</c:v>
                </c:pt>
                <c:pt idx="2228">
                  <c:v>69.220001220703125</c:v>
                </c:pt>
                <c:pt idx="2229">
                  <c:v>67</c:v>
                </c:pt>
                <c:pt idx="2230">
                  <c:v>65.900001525878906</c:v>
                </c:pt>
                <c:pt idx="2231">
                  <c:v>65.709999084472656</c:v>
                </c:pt>
                <c:pt idx="2232">
                  <c:v>68.050003051757813</c:v>
                </c:pt>
                <c:pt idx="2233">
                  <c:v>67.110000610351563</c:v>
                </c:pt>
                <c:pt idx="2234">
                  <c:v>65.279998779296875</c:v>
                </c:pt>
                <c:pt idx="2235">
                  <c:v>63.930000305175781</c:v>
                </c:pt>
                <c:pt idx="2236">
                  <c:v>61.919998168945313</c:v>
                </c:pt>
                <c:pt idx="2237">
                  <c:v>63.849998474121094</c:v>
                </c:pt>
                <c:pt idx="2238">
                  <c:v>62.180000305175781</c:v>
                </c:pt>
                <c:pt idx="2239">
                  <c:v>63.340000152587891</c:v>
                </c:pt>
                <c:pt idx="2240">
                  <c:v>62.009998321533203</c:v>
                </c:pt>
                <c:pt idx="2241">
                  <c:v>63.729999542236328</c:v>
                </c:pt>
                <c:pt idx="2242">
                  <c:v>65.680000305175781</c:v>
                </c:pt>
                <c:pt idx="2243">
                  <c:v>67.970001220703125</c:v>
                </c:pt>
                <c:pt idx="2244">
                  <c:v>68.330001831054688</c:v>
                </c:pt>
                <c:pt idx="2245">
                  <c:v>69.300003051757813</c:v>
                </c:pt>
                <c:pt idx="2246">
                  <c:v>72.05999755859375</c:v>
                </c:pt>
                <c:pt idx="2247">
                  <c:v>76.180000305175781</c:v>
                </c:pt>
                <c:pt idx="2248">
                  <c:v>74.919998168945313</c:v>
                </c:pt>
                <c:pt idx="2249">
                  <c:v>73.300003051757813</c:v>
                </c:pt>
                <c:pt idx="2250">
                  <c:v>72.110000610351563</c:v>
                </c:pt>
                <c:pt idx="2251">
                  <c:v>71.44000244140625</c:v>
                </c:pt>
                <c:pt idx="2252">
                  <c:v>69.230003356933594</c:v>
                </c:pt>
                <c:pt idx="2253">
                  <c:v>70.25</c:v>
                </c:pt>
                <c:pt idx="2254">
                  <c:v>69.169998168945313</c:v>
                </c:pt>
                <c:pt idx="2255">
                  <c:v>69.080001831054688</c:v>
                </c:pt>
                <c:pt idx="2256">
                  <c:v>72.099998474121094</c:v>
                </c:pt>
                <c:pt idx="2257">
                  <c:v>71.55999755859375</c:v>
                </c:pt>
                <c:pt idx="2258">
                  <c:v>70.239997863769531</c:v>
                </c:pt>
                <c:pt idx="2259">
                  <c:v>72.110000610351563</c:v>
                </c:pt>
                <c:pt idx="2260">
                  <c:v>71.44000244140625</c:v>
                </c:pt>
                <c:pt idx="2261">
                  <c:v>68.839996337890625</c:v>
                </c:pt>
                <c:pt idx="2262">
                  <c:v>69.569999694824219</c:v>
                </c:pt>
                <c:pt idx="2263">
                  <c:v>72.080001831054688</c:v>
                </c:pt>
                <c:pt idx="2264">
                  <c:v>71.5</c:v>
                </c:pt>
                <c:pt idx="2265">
                  <c:v>69.779998779296875</c:v>
                </c:pt>
                <c:pt idx="2266">
                  <c:v>73.769996643066406</c:v>
                </c:pt>
                <c:pt idx="2267">
                  <c:v>70.779998779296875</c:v>
                </c:pt>
                <c:pt idx="2268">
                  <c:v>69.389999389648438</c:v>
                </c:pt>
                <c:pt idx="2269">
                  <c:v>69.44000244140625</c:v>
                </c:pt>
                <c:pt idx="2270">
                  <c:v>68.819999694824219</c:v>
                </c:pt>
                <c:pt idx="2271">
                  <c:v>71.319999694824219</c:v>
                </c:pt>
                <c:pt idx="2272">
                  <c:v>69.480003356933594</c:v>
                </c:pt>
                <c:pt idx="2273">
                  <c:v>70.790000915527344</c:v>
                </c:pt>
                <c:pt idx="2274">
                  <c:v>71.120002746582031</c:v>
                </c:pt>
                <c:pt idx="2275">
                  <c:v>68.599998474121094</c:v>
                </c:pt>
                <c:pt idx="2276">
                  <c:v>64.089996337890625</c:v>
                </c:pt>
                <c:pt idx="2277">
                  <c:v>62.369998931884766</c:v>
                </c:pt>
                <c:pt idx="2278">
                  <c:v>61.790000915527344</c:v>
                </c:pt>
                <c:pt idx="2279">
                  <c:v>59.650001525878906</c:v>
                </c:pt>
                <c:pt idx="2280">
                  <c:v>60.020000457763672</c:v>
                </c:pt>
                <c:pt idx="2281">
                  <c:v>62.310001373291016</c:v>
                </c:pt>
                <c:pt idx="2282">
                  <c:v>62.590000152587891</c:v>
                </c:pt>
                <c:pt idx="2283">
                  <c:v>62.069999694824219</c:v>
                </c:pt>
                <c:pt idx="2284">
                  <c:v>64.900001525878906</c:v>
                </c:pt>
                <c:pt idx="2285">
                  <c:v>64.620002746582031</c:v>
                </c:pt>
                <c:pt idx="2286">
                  <c:v>65.800003051757813</c:v>
                </c:pt>
                <c:pt idx="2287">
                  <c:v>67.769996643066406</c:v>
                </c:pt>
                <c:pt idx="2288">
                  <c:v>66.699996948242188</c:v>
                </c:pt>
                <c:pt idx="2289">
                  <c:v>66.919998168945313</c:v>
                </c:pt>
                <c:pt idx="2290">
                  <c:v>66.779998779296875</c:v>
                </c:pt>
                <c:pt idx="2291">
                  <c:v>65.989997863769531</c:v>
                </c:pt>
                <c:pt idx="2292">
                  <c:v>63.680000305175781</c:v>
                </c:pt>
                <c:pt idx="2293">
                  <c:v>62.150001525878906</c:v>
                </c:pt>
                <c:pt idx="2294">
                  <c:v>61.790000915527344</c:v>
                </c:pt>
                <c:pt idx="2295">
                  <c:v>64.339996337890625</c:v>
                </c:pt>
                <c:pt idx="2296">
                  <c:v>65.720001220703125</c:v>
                </c:pt>
                <c:pt idx="2297">
                  <c:v>66.94000244140625</c:v>
                </c:pt>
                <c:pt idx="2298">
                  <c:v>64.05999755859375</c:v>
                </c:pt>
                <c:pt idx="2299">
                  <c:v>64.449996948242188</c:v>
                </c:pt>
                <c:pt idx="2300">
                  <c:v>68.029998779296875</c:v>
                </c:pt>
                <c:pt idx="2301">
                  <c:v>65.849998474121094</c:v>
                </c:pt>
                <c:pt idx="2302">
                  <c:v>64</c:v>
                </c:pt>
                <c:pt idx="2303">
                  <c:v>61.770000457763672</c:v>
                </c:pt>
                <c:pt idx="2304">
                  <c:v>61.5</c:v>
                </c:pt>
                <c:pt idx="2305">
                  <c:v>62.590000152587891</c:v>
                </c:pt>
                <c:pt idx="2306">
                  <c:v>63.090000152587891</c:v>
                </c:pt>
                <c:pt idx="2307">
                  <c:v>66.279998779296875</c:v>
                </c:pt>
                <c:pt idx="2308">
                  <c:v>68.580001831054688</c:v>
                </c:pt>
                <c:pt idx="2309">
                  <c:v>70.379997253417969</c:v>
                </c:pt>
                <c:pt idx="2310">
                  <c:v>70</c:v>
                </c:pt>
                <c:pt idx="2311">
                  <c:v>83</c:v>
                </c:pt>
                <c:pt idx="2312">
                  <c:v>87.919998168945313</c:v>
                </c:pt>
                <c:pt idx="2313">
                  <c:v>87</c:v>
                </c:pt>
                <c:pt idx="2314">
                  <c:v>84.610000610351563</c:v>
                </c:pt>
                <c:pt idx="2315">
                  <c:v>85.55999755859375</c:v>
                </c:pt>
                <c:pt idx="2316">
                  <c:v>90</c:v>
                </c:pt>
                <c:pt idx="2317">
                  <c:v>90.089996337890625</c:v>
                </c:pt>
                <c:pt idx="2318">
                  <c:v>90</c:v>
                </c:pt>
                <c:pt idx="2319">
                  <c:v>89.330001831054688</c:v>
                </c:pt>
                <c:pt idx="2320">
                  <c:v>88.639999389648438</c:v>
                </c:pt>
                <c:pt idx="2321">
                  <c:v>90.139999389648438</c:v>
                </c:pt>
                <c:pt idx="2322">
                  <c:v>93.5</c:v>
                </c:pt>
                <c:pt idx="2323">
                  <c:v>91.5</c:v>
                </c:pt>
                <c:pt idx="2324">
                  <c:v>89.800003051757813</c:v>
                </c:pt>
                <c:pt idx="2325">
                  <c:v>90</c:v>
                </c:pt>
                <c:pt idx="2326">
                  <c:v>87.730003356933594</c:v>
                </c:pt>
                <c:pt idx="2327">
                  <c:v>89.400001525878906</c:v>
                </c:pt>
                <c:pt idx="2328">
                  <c:v>91.319999694824219</c:v>
                </c:pt>
                <c:pt idx="2329">
                  <c:v>95</c:v>
                </c:pt>
                <c:pt idx="2330">
                  <c:v>96.239997863769517</c:v>
                </c:pt>
                <c:pt idx="2331">
                  <c:v>95.209999084472656</c:v>
                </c:pt>
                <c:pt idx="2332">
                  <c:v>94.730003356933594</c:v>
                </c:pt>
                <c:pt idx="2333">
                  <c:v>93.589996337890625</c:v>
                </c:pt>
                <c:pt idx="2334">
                  <c:v>93.720001220703125</c:v>
                </c:pt>
                <c:pt idx="2335">
                  <c:v>92.190002441406236</c:v>
                </c:pt>
                <c:pt idx="2336">
                  <c:v>92.050003051757798</c:v>
                </c:pt>
                <c:pt idx="2337">
                  <c:v>91.370002746582045</c:v>
                </c:pt>
                <c:pt idx="2338">
                  <c:v>90.709999084472656</c:v>
                </c:pt>
                <c:pt idx="2339">
                  <c:v>90.379997253417955</c:v>
                </c:pt>
                <c:pt idx="2340">
                  <c:v>89</c:v>
                </c:pt>
                <c:pt idx="2341">
                  <c:v>86.540000915527344</c:v>
                </c:pt>
                <c:pt idx="2342">
                  <c:v>87.94000244140625</c:v>
                </c:pt>
                <c:pt idx="2343">
                  <c:v>91.949996948242202</c:v>
                </c:pt>
                <c:pt idx="2344">
                  <c:v>92.040000915527344</c:v>
                </c:pt>
                <c:pt idx="2345">
                  <c:v>91.980003356933594</c:v>
                </c:pt>
                <c:pt idx="2346">
                  <c:v>93.069999694824219</c:v>
                </c:pt>
                <c:pt idx="2347">
                  <c:v>91.25</c:v>
                </c:pt>
                <c:pt idx="2348">
                  <c:v>89.779998779296875</c:v>
                </c:pt>
                <c:pt idx="2349">
                  <c:v>89.889999389648438</c:v>
                </c:pt>
                <c:pt idx="2350">
                  <c:v>89.830001831054688</c:v>
                </c:pt>
                <c:pt idx="2351">
                  <c:v>90.169998168945327</c:v>
                </c:pt>
                <c:pt idx="2352">
                  <c:v>89.620002746582031</c:v>
                </c:pt>
                <c:pt idx="2353">
                  <c:v>90.099998474121094</c:v>
                </c:pt>
                <c:pt idx="2354">
                  <c:v>89.779998779296875</c:v>
                </c:pt>
                <c:pt idx="2355">
                  <c:v>89.959999084472656</c:v>
                </c:pt>
                <c:pt idx="2356">
                  <c:v>89.110000610351563</c:v>
                </c:pt>
                <c:pt idx="2357">
                  <c:v>93.25</c:v>
                </c:pt>
                <c:pt idx="2358">
                  <c:v>92.550003051757798</c:v>
                </c:pt>
                <c:pt idx="2359">
                  <c:v>91.190002441406236</c:v>
                </c:pt>
                <c:pt idx="2360">
                  <c:v>91.300003051757798</c:v>
                </c:pt>
                <c:pt idx="2361">
                  <c:v>92.410003662109375</c:v>
                </c:pt>
                <c:pt idx="2362">
                  <c:v>89.360000610351563</c:v>
                </c:pt>
                <c:pt idx="2363">
                  <c:v>88.830001831054688</c:v>
                </c:pt>
                <c:pt idx="2364">
                  <c:v>84.870002746582031</c:v>
                </c:pt>
                <c:pt idx="2365">
                  <c:v>85.290000915527344</c:v>
                </c:pt>
                <c:pt idx="2366">
                  <c:v>84.360000610351563</c:v>
                </c:pt>
                <c:pt idx="2367">
                  <c:v>85.150001525878906</c:v>
                </c:pt>
                <c:pt idx="2368">
                  <c:v>83.199996948242188</c:v>
                </c:pt>
                <c:pt idx="2369">
                  <c:v>83.110000610351563</c:v>
                </c:pt>
                <c:pt idx="2370">
                  <c:v>88.589996337890625</c:v>
                </c:pt>
                <c:pt idx="2371">
                  <c:v>89.80999755859375</c:v>
                </c:pt>
                <c:pt idx="2372">
                  <c:v>93.099998474121094</c:v>
                </c:pt>
                <c:pt idx="2373">
                  <c:v>93.419998168945327</c:v>
                </c:pt>
                <c:pt idx="2374">
                  <c:v>93.870002746582045</c:v>
                </c:pt>
                <c:pt idx="2375">
                  <c:v>92.470001220703125</c:v>
                </c:pt>
                <c:pt idx="2376">
                  <c:v>91.690002441406236</c:v>
                </c:pt>
                <c:pt idx="2377">
                  <c:v>91.220001220703125</c:v>
                </c:pt>
                <c:pt idx="2378">
                  <c:v>92.209999084472656</c:v>
                </c:pt>
                <c:pt idx="2379">
                  <c:v>93.669998168945327</c:v>
                </c:pt>
                <c:pt idx="2380">
                  <c:v>93.800003051757798</c:v>
                </c:pt>
                <c:pt idx="2381">
                  <c:v>93.900001525878906</c:v>
                </c:pt>
                <c:pt idx="2382">
                  <c:v>91.290000915527344</c:v>
                </c:pt>
                <c:pt idx="2383">
                  <c:v>91.769996643066406</c:v>
                </c:pt>
                <c:pt idx="2384">
                  <c:v>95.800003051757798</c:v>
                </c:pt>
                <c:pt idx="2385">
                  <c:v>98.949996948242202</c:v>
                </c:pt>
                <c:pt idx="2386">
                  <c:v>102.72000122070313</c:v>
                </c:pt>
                <c:pt idx="2387">
                  <c:v>98.930000305175781</c:v>
                </c:pt>
                <c:pt idx="2388">
                  <c:v>95.910003662109375</c:v>
                </c:pt>
                <c:pt idx="2389">
                  <c:v>100.68000030517578</c:v>
                </c:pt>
                <c:pt idx="2390">
                  <c:v>99.099998474121094</c:v>
                </c:pt>
                <c:pt idx="2391">
                  <c:v>100.45999908447266</c:v>
                </c:pt>
                <c:pt idx="2392">
                  <c:v>100.3000030517578</c:v>
                </c:pt>
                <c:pt idx="2393">
                  <c:v>95.419998168945327</c:v>
                </c:pt>
                <c:pt idx="2394">
                  <c:v>100.51999664306641</c:v>
                </c:pt>
                <c:pt idx="2395">
                  <c:v>100.26000213623048</c:v>
                </c:pt>
                <c:pt idx="2396">
                  <c:v>98.989997863769517</c:v>
                </c:pt>
                <c:pt idx="2397">
                  <c:v>99.129997253417955</c:v>
                </c:pt>
                <c:pt idx="2398">
                  <c:v>100</c:v>
                </c:pt>
                <c:pt idx="2399">
                  <c:v>100</c:v>
                </c:pt>
                <c:pt idx="2400">
                  <c:v>101.77999877929688</c:v>
                </c:pt>
                <c:pt idx="2401">
                  <c:v>101</c:v>
                </c:pt>
                <c:pt idx="2402">
                  <c:v>101.09999847412109</c:v>
                </c:pt>
                <c:pt idx="2403">
                  <c:v>97.339996337890625</c:v>
                </c:pt>
                <c:pt idx="2404">
                  <c:v>97.069999694824219</c:v>
                </c:pt>
                <c:pt idx="2405">
                  <c:v>95.209999084472656</c:v>
                </c:pt>
                <c:pt idx="2406">
                  <c:v>95.970001220703125</c:v>
                </c:pt>
                <c:pt idx="2407">
                  <c:v>96.489997863769517</c:v>
                </c:pt>
                <c:pt idx="2408">
                  <c:v>97.680000305175781</c:v>
                </c:pt>
                <c:pt idx="2409">
                  <c:v>97.400001525878906</c:v>
                </c:pt>
                <c:pt idx="2410">
                  <c:v>97.699996948242202</c:v>
                </c:pt>
                <c:pt idx="2411">
                  <c:v>96.540000915527344</c:v>
                </c:pt>
                <c:pt idx="2412">
                  <c:v>100.41999816894533</c:v>
                </c:pt>
                <c:pt idx="2413">
                  <c:v>100.6999969482422</c:v>
                </c:pt>
                <c:pt idx="2414">
                  <c:v>100.54000091552734</c:v>
                </c:pt>
                <c:pt idx="2415">
                  <c:v>100.8000030517578</c:v>
                </c:pt>
                <c:pt idx="2416">
                  <c:v>101.09999847412109</c:v>
                </c:pt>
                <c:pt idx="2417">
                  <c:v>99.900001525878906</c:v>
                </c:pt>
                <c:pt idx="2418">
                  <c:v>98.400001525878906</c:v>
                </c:pt>
                <c:pt idx="2419">
                  <c:v>100.22000122070313</c:v>
                </c:pt>
                <c:pt idx="2420">
                  <c:v>102.83999633789063</c:v>
                </c:pt>
                <c:pt idx="2421">
                  <c:v>103.68000030517578</c:v>
                </c:pt>
                <c:pt idx="2422">
                  <c:v>102.6999969482422</c:v>
                </c:pt>
                <c:pt idx="2423">
                  <c:v>97.940002441406236</c:v>
                </c:pt>
                <c:pt idx="2424">
                  <c:v>97.730003356933594</c:v>
                </c:pt>
                <c:pt idx="2425">
                  <c:v>99.709999084472656</c:v>
                </c:pt>
                <c:pt idx="2426">
                  <c:v>98.459999084472656</c:v>
                </c:pt>
                <c:pt idx="2427">
                  <c:v>101.23999786376952</c:v>
                </c:pt>
                <c:pt idx="2428">
                  <c:v>99.790000915527344</c:v>
                </c:pt>
                <c:pt idx="2429">
                  <c:v>99.300003051757798</c:v>
                </c:pt>
                <c:pt idx="2430">
                  <c:v>100</c:v>
                </c:pt>
                <c:pt idx="2431">
                  <c:v>99.940002441406236</c:v>
                </c:pt>
                <c:pt idx="2432">
                  <c:v>99.910003662109375</c:v>
                </c:pt>
                <c:pt idx="2433">
                  <c:v>96.730003356933594</c:v>
                </c:pt>
                <c:pt idx="2434">
                  <c:v>96.569999694824219</c:v>
                </c:pt>
                <c:pt idx="2435">
                  <c:v>96.75</c:v>
                </c:pt>
                <c:pt idx="2436">
                  <c:v>98.370002746582045</c:v>
                </c:pt>
                <c:pt idx="2437">
                  <c:v>98.360000610351563</c:v>
                </c:pt>
                <c:pt idx="2438">
                  <c:v>95.900001525878906</c:v>
                </c:pt>
                <c:pt idx="2439">
                  <c:v>96.559997558593764</c:v>
                </c:pt>
                <c:pt idx="2440">
                  <c:v>96</c:v>
                </c:pt>
                <c:pt idx="2441">
                  <c:v>99.569999694824219</c:v>
                </c:pt>
                <c:pt idx="2442">
                  <c:v>96.900001525878906</c:v>
                </c:pt>
                <c:pt idx="2443">
                  <c:v>97.139999389648438</c:v>
                </c:pt>
                <c:pt idx="2444">
                  <c:v>95.059997558593764</c:v>
                </c:pt>
                <c:pt idx="2445">
                  <c:v>96.510002136230483</c:v>
                </c:pt>
                <c:pt idx="2446">
                  <c:v>97.910003662109375</c:v>
                </c:pt>
                <c:pt idx="2447">
                  <c:v>98.260002136230483</c:v>
                </c:pt>
                <c:pt idx="2448">
                  <c:v>97.139999389648438</c:v>
                </c:pt>
                <c:pt idx="2449">
                  <c:v>97.669998168945327</c:v>
                </c:pt>
                <c:pt idx="2450">
                  <c:v>106.68000030517578</c:v>
                </c:pt>
                <c:pt idx="2451">
                  <c:v>108</c:v>
                </c:pt>
                <c:pt idx="2452">
                  <c:v>106.66000366210938</c:v>
                </c:pt>
                <c:pt idx="2453">
                  <c:v>108.76000213623048</c:v>
                </c:pt>
                <c:pt idx="2454">
                  <c:v>110.6999969482422</c:v>
                </c:pt>
                <c:pt idx="2455">
                  <c:v>109.77999877929688</c:v>
                </c:pt>
                <c:pt idx="2456">
                  <c:v>109.91999816894533</c:v>
                </c:pt>
                <c:pt idx="2457">
                  <c:v>111.31999969482422</c:v>
                </c:pt>
                <c:pt idx="2458">
                  <c:v>110.5</c:v>
                </c:pt>
                <c:pt idx="2459">
                  <c:v>110.59999847412109</c:v>
                </c:pt>
                <c:pt idx="2460">
                  <c:v>110.51999664306641</c:v>
                </c:pt>
                <c:pt idx="2461">
                  <c:v>112.36000061035156</c:v>
                </c:pt>
                <c:pt idx="2462">
                  <c:v>112.40000152587891</c:v>
                </c:pt>
                <c:pt idx="2463">
                  <c:v>113.18000030517578</c:v>
                </c:pt>
                <c:pt idx="2464">
                  <c:v>114.08000183105467</c:v>
                </c:pt>
                <c:pt idx="2465">
                  <c:v>114.59999847412109</c:v>
                </c:pt>
                <c:pt idx="2466">
                  <c:v>112.72000122070313</c:v>
                </c:pt>
                <c:pt idx="2467">
                  <c:v>112.91999816894533</c:v>
                </c:pt>
                <c:pt idx="2468">
                  <c:v>112.63999938964844</c:v>
                </c:pt>
                <c:pt idx="2469">
                  <c:v>111.3000030517578</c:v>
                </c:pt>
                <c:pt idx="2470">
                  <c:v>111.91999816894533</c:v>
                </c:pt>
                <c:pt idx="2471">
                  <c:v>110.31999969482422</c:v>
                </c:pt>
                <c:pt idx="2472">
                  <c:v>107.09999847412109</c:v>
                </c:pt>
                <c:pt idx="2473">
                  <c:v>106.48000335693359</c:v>
                </c:pt>
                <c:pt idx="2474">
                  <c:v>108.44000244140624</c:v>
                </c:pt>
                <c:pt idx="2475">
                  <c:v>109.90000152587891</c:v>
                </c:pt>
                <c:pt idx="2476">
                  <c:v>112.22000122070313</c:v>
                </c:pt>
                <c:pt idx="2477">
                  <c:v>113.08000183105467</c:v>
                </c:pt>
                <c:pt idx="2478">
                  <c:v>110.87999725341795</c:v>
                </c:pt>
                <c:pt idx="2479">
                  <c:v>109.81999969482422</c:v>
                </c:pt>
                <c:pt idx="2480">
                  <c:v>109.01999664306641</c:v>
                </c:pt>
                <c:pt idx="2481">
                  <c:v>112.76000213623048</c:v>
                </c:pt>
                <c:pt idx="2482">
                  <c:v>112.1999969482422</c:v>
                </c:pt>
                <c:pt idx="2483">
                  <c:v>111.23999786376952</c:v>
                </c:pt>
                <c:pt idx="2484">
                  <c:v>110.98000335693359</c:v>
                </c:pt>
                <c:pt idx="2485">
                  <c:v>110.40000152587891</c:v>
                </c:pt>
                <c:pt idx="2486">
                  <c:v>110.63999938964844</c:v>
                </c:pt>
                <c:pt idx="2487">
                  <c:v>103.58000183105467</c:v>
                </c:pt>
                <c:pt idx="2488">
                  <c:v>106</c:v>
                </c:pt>
                <c:pt idx="2489">
                  <c:v>110.63999938964844</c:v>
                </c:pt>
                <c:pt idx="2490">
                  <c:v>109.51999664306641</c:v>
                </c:pt>
                <c:pt idx="2491">
                  <c:v>111.5</c:v>
                </c:pt>
                <c:pt idx="2492">
                  <c:v>112</c:v>
                </c:pt>
                <c:pt idx="2493">
                  <c:v>112.31999969482422</c:v>
                </c:pt>
                <c:pt idx="2494">
                  <c:v>115.3000030517578</c:v>
                </c:pt>
                <c:pt idx="2495">
                  <c:v>116</c:v>
                </c:pt>
                <c:pt idx="2496">
                  <c:v>115.6999969482422</c:v>
                </c:pt>
                <c:pt idx="2497">
                  <c:v>116.77999877929688</c:v>
                </c:pt>
                <c:pt idx="2498">
                  <c:v>114.77999877929688</c:v>
                </c:pt>
                <c:pt idx="2499">
                  <c:v>114.44000244140624</c:v>
                </c:pt>
                <c:pt idx="2500">
                  <c:v>116.63999938964844</c:v>
                </c:pt>
                <c:pt idx="2501">
                  <c:v>116.90000152587891</c:v>
                </c:pt>
                <c:pt idx="2502">
                  <c:v>114.76000213623048</c:v>
                </c:pt>
                <c:pt idx="2503">
                  <c:v>115.16000366210938</c:v>
                </c:pt>
                <c:pt idx="2504">
                  <c:v>115.72000122070313</c:v>
                </c:pt>
                <c:pt idx="2505">
                  <c:v>115.3000030517578</c:v>
                </c:pt>
                <c:pt idx="2506">
                  <c:v>115.44000244140624</c:v>
                </c:pt>
                <c:pt idx="2507">
                  <c:v>114.62000274658205</c:v>
                </c:pt>
                <c:pt idx="2508">
                  <c:v>113.54000091552734</c:v>
                </c:pt>
                <c:pt idx="2509">
                  <c:v>113.62000274658205</c:v>
                </c:pt>
                <c:pt idx="2510">
                  <c:v>110.04000091552734</c:v>
                </c:pt>
                <c:pt idx="2511">
                  <c:v>110.48000335693359</c:v>
                </c:pt>
                <c:pt idx="2512">
                  <c:v>111.72000122070313</c:v>
                </c:pt>
                <c:pt idx="2513">
                  <c:v>113.45999908447266</c:v>
                </c:pt>
                <c:pt idx="2514">
                  <c:v>115.91999816894533</c:v>
                </c:pt>
                <c:pt idx="2515">
                  <c:v>115</c:v>
                </c:pt>
                <c:pt idx="2516">
                  <c:v>115.01999664306641</c:v>
                </c:pt>
                <c:pt idx="2517">
                  <c:v>114.86000061035156</c:v>
                </c:pt>
                <c:pt idx="2518">
                  <c:v>115.6999969482422</c:v>
                </c:pt>
                <c:pt idx="2519">
                  <c:v>118</c:v>
                </c:pt>
                <c:pt idx="2520">
                  <c:v>116.77999877929688</c:v>
                </c:pt>
                <c:pt idx="2521">
                  <c:v>114.48000335693359</c:v>
                </c:pt>
                <c:pt idx="2522">
                  <c:v>115.87999725341795</c:v>
                </c:pt>
                <c:pt idx="2523">
                  <c:v>114.09999847412109</c:v>
                </c:pt>
                <c:pt idx="2524">
                  <c:v>113.72000122070313</c:v>
                </c:pt>
                <c:pt idx="2525">
                  <c:v>115.1999969482422</c:v>
                </c:pt>
                <c:pt idx="2526">
                  <c:v>114.36000061035156</c:v>
                </c:pt>
                <c:pt idx="2527">
                  <c:v>115.08000183105467</c:v>
                </c:pt>
                <c:pt idx="2528">
                  <c:v>112.76000213623048</c:v>
                </c:pt>
                <c:pt idx="2529">
                  <c:v>112.36000061035156</c:v>
                </c:pt>
                <c:pt idx="2530">
                  <c:v>114.87999725341795</c:v>
                </c:pt>
                <c:pt idx="2531">
                  <c:v>113.04000091552734</c:v>
                </c:pt>
                <c:pt idx="2532">
                  <c:v>111.94000244140624</c:v>
                </c:pt>
                <c:pt idx="2533">
                  <c:v>113.27999877929688</c:v>
                </c:pt>
                <c:pt idx="2534">
                  <c:v>115.83999633789063</c:v>
                </c:pt>
                <c:pt idx="2535">
                  <c:v>116.68000030517578</c:v>
                </c:pt>
                <c:pt idx="2536">
                  <c:v>115.40000152587891</c:v>
                </c:pt>
                <c:pt idx="2537">
                  <c:v>117.23999786376952</c:v>
                </c:pt>
                <c:pt idx="2538">
                  <c:v>113.36000061035156</c:v>
                </c:pt>
                <c:pt idx="2539">
                  <c:v>117.3000030517578</c:v>
                </c:pt>
                <c:pt idx="2540">
                  <c:v>115.09999847412109</c:v>
                </c:pt>
                <c:pt idx="2541">
                  <c:v>116.58000183105467</c:v>
                </c:pt>
                <c:pt idx="2542">
                  <c:v>113.66000366210938</c:v>
                </c:pt>
                <c:pt idx="2543">
                  <c:v>115.08000183105467</c:v>
                </c:pt>
                <c:pt idx="2544">
                  <c:v>113.41999816894533</c:v>
                </c:pt>
                <c:pt idx="2545">
                  <c:v>114.1999969482422</c:v>
                </c:pt>
                <c:pt idx="2546">
                  <c:v>113.22000122070313</c:v>
                </c:pt>
                <c:pt idx="2547">
                  <c:v>113.81999969482422</c:v>
                </c:pt>
                <c:pt idx="2548">
                  <c:v>113.23999786376952</c:v>
                </c:pt>
                <c:pt idx="2549">
                  <c:v>112.33999633789063</c:v>
                </c:pt>
                <c:pt idx="2550">
                  <c:v>113.36000061035156</c:v>
                </c:pt>
                <c:pt idx="2551">
                  <c:v>114.90000152587891</c:v>
                </c:pt>
                <c:pt idx="2552">
                  <c:v>113.3000030517578</c:v>
                </c:pt>
                <c:pt idx="2553">
                  <c:v>112.31999969482422</c:v>
                </c:pt>
                <c:pt idx="2554">
                  <c:v>112.16000366210938</c:v>
                </c:pt>
                <c:pt idx="2555">
                  <c:v>111.37999725341795</c:v>
                </c:pt>
                <c:pt idx="2556">
                  <c:v>109.77999877929688</c:v>
                </c:pt>
              </c:numCache>
            </c:numRef>
          </c:yVal>
          <c:smooth val="0"/>
          <c:extLst>
            <c:ext xmlns:c16="http://schemas.microsoft.com/office/drawing/2014/chart" uri="{C3380CC4-5D6E-409C-BE32-E72D297353CC}">
              <c16:uniqueId val="{00000000-3E15-4753-80D4-5C3F1C09C608}"/>
            </c:ext>
          </c:extLst>
        </c:ser>
        <c:dLbls>
          <c:showLegendKey val="0"/>
          <c:showVal val="0"/>
          <c:showCatName val="0"/>
          <c:showSerName val="0"/>
          <c:showPercent val="0"/>
          <c:showBubbleSize val="0"/>
        </c:dLbls>
        <c:axId val="692223184"/>
        <c:axId val="719447952"/>
      </c:scatterChart>
      <c:valAx>
        <c:axId val="6922231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s-ES"/>
          </a:p>
        </c:txPr>
        <c:crossAx val="719447952"/>
        <c:crosses val="autoZero"/>
        <c:crossBetween val="midCat"/>
        <c:majorUnit val="1000"/>
      </c:valAx>
      <c:valAx>
        <c:axId val="719447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s-ES"/>
          </a:p>
        </c:txPr>
        <c:crossAx val="692223184"/>
        <c:crosses val="autoZero"/>
        <c:crossBetween val="midCat"/>
      </c:valAx>
      <c:spPr>
        <a:noFill/>
        <a:ln w="19050">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b="1"/>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1390650" cy="1600200"/>
    <xdr:pic>
      <xdr:nvPicPr>
        <xdr:cNvPr id="2" name="image1.png" descr="TSM Alumni">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11</xdr:col>
      <xdr:colOff>163830</xdr:colOff>
      <xdr:row>6</xdr:row>
      <xdr:rowOff>0</xdr:rowOff>
    </xdr:from>
    <xdr:ext cx="346710" cy="335280"/>
    <xdr:pic>
      <xdr:nvPicPr>
        <xdr:cNvPr id="11" name="image3.png">
          <a:extLst>
            <a:ext uri="{FF2B5EF4-FFF2-40B4-BE49-F238E27FC236}">
              <a16:creationId xmlns:a16="http://schemas.microsoft.com/office/drawing/2014/main" id="{00000000-0008-0000-0000-00000B000000}"/>
            </a:ext>
          </a:extLst>
        </xdr:cNvPr>
        <xdr:cNvPicPr preferRelativeResize="0"/>
      </xdr:nvPicPr>
      <xdr:blipFill>
        <a:blip xmlns:r="http://schemas.openxmlformats.org/officeDocument/2006/relationships" r:embed="rId2" cstate="print"/>
        <a:stretch>
          <a:fillRect/>
        </a:stretch>
      </xdr:blipFill>
      <xdr:spPr>
        <a:xfrm>
          <a:off x="6617970" y="1165860"/>
          <a:ext cx="346710" cy="335280"/>
        </a:xfrm>
        <a:prstGeom prst="rect">
          <a:avLst/>
        </a:prstGeom>
        <a:noFill/>
      </xdr:spPr>
    </xdr:pic>
    <xdr:clientData fLocksWithSheet="0"/>
  </xdr:oneCellAnchor>
  <mc:AlternateContent xmlns:mc="http://schemas.openxmlformats.org/markup-compatibility/2006">
    <mc:Choice xmlns:a14="http://schemas.microsoft.com/office/drawing/2010/main" Requires="a14">
      <xdr:twoCellAnchor>
        <xdr:from>
          <xdr:col>19</xdr:col>
          <xdr:colOff>129540</xdr:colOff>
          <xdr:row>0</xdr:row>
          <xdr:rowOff>114300</xdr:rowOff>
        </xdr:from>
        <xdr:to>
          <xdr:col>21</xdr:col>
          <xdr:colOff>434340</xdr:colOff>
          <xdr:row>3</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Inputs Sheet</a:t>
              </a:r>
            </a:p>
          </xdr:txBody>
        </xdr:sp>
        <xdr:clientData fPrintsWithSheet="0"/>
      </xdr:twoCellAnchor>
    </mc:Choice>
    <mc:Fallback/>
  </mc:AlternateContent>
  <xdr:twoCellAnchor>
    <xdr:from>
      <xdr:col>0</xdr:col>
      <xdr:colOff>53340</xdr:colOff>
      <xdr:row>20</xdr:row>
      <xdr:rowOff>0</xdr:rowOff>
    </xdr:from>
    <xdr:to>
      <xdr:col>23</xdr:col>
      <xdr:colOff>449580</xdr:colOff>
      <xdr:row>22</xdr:row>
      <xdr:rowOff>160020</xdr:rowOff>
    </xdr:to>
    <xdr:sp macro="" textlink="">
      <xdr:nvSpPr>
        <xdr:cNvPr id="15" name="ZoneTexte 14">
          <a:extLst>
            <a:ext uri="{FF2B5EF4-FFF2-40B4-BE49-F238E27FC236}">
              <a16:creationId xmlns:a16="http://schemas.microsoft.com/office/drawing/2014/main" id="{00000000-0008-0000-0000-00000F000000}"/>
            </a:ext>
          </a:extLst>
        </xdr:cNvPr>
        <xdr:cNvSpPr txBox="1"/>
      </xdr:nvSpPr>
      <xdr:spPr>
        <a:xfrm>
          <a:off x="53340" y="2933700"/>
          <a:ext cx="13891260" cy="6324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400" b="1">
              <a:solidFill>
                <a:schemeClr val="dk1"/>
              </a:solidFill>
              <a:effectLst/>
              <a:latin typeface="+mn-lt"/>
              <a:ea typeface="+mn-ea"/>
              <a:cs typeface="+mn-cs"/>
            </a:rPr>
            <a:t>In this section, the model is presented with its functioning with a stepwise procedure to generate outputs of the Binomial and Black and Scholes models . The end-user will enter the data and the display of the final outputs generated from excel. </a:t>
          </a:r>
          <a:endParaRPr lang="es-ES" sz="1400" b="1">
            <a:solidFill>
              <a:schemeClr val="dk1"/>
            </a:solidFill>
            <a:effectLst/>
            <a:latin typeface="+mn-lt"/>
            <a:ea typeface="+mn-ea"/>
            <a:cs typeface="+mn-cs"/>
          </a:endParaRPr>
        </a:p>
        <a:p>
          <a:endParaRPr lang="es-ES" sz="1100"/>
        </a:p>
      </xdr:txBody>
    </xdr:sp>
    <xdr:clientData/>
  </xdr:twoCellAnchor>
  <xdr:twoCellAnchor>
    <xdr:from>
      <xdr:col>0</xdr:col>
      <xdr:colOff>60960</xdr:colOff>
      <xdr:row>23</xdr:row>
      <xdr:rowOff>121920</xdr:rowOff>
    </xdr:from>
    <xdr:to>
      <xdr:col>23</xdr:col>
      <xdr:colOff>457200</xdr:colOff>
      <xdr:row>37</xdr:row>
      <xdr:rowOff>76200</xdr:rowOff>
    </xdr:to>
    <xdr:sp macro="" textlink="">
      <xdr:nvSpPr>
        <xdr:cNvPr id="6" name="ZoneTexte 5">
          <a:extLst>
            <a:ext uri="{FF2B5EF4-FFF2-40B4-BE49-F238E27FC236}">
              <a16:creationId xmlns:a16="http://schemas.microsoft.com/office/drawing/2014/main" id="{00000000-0008-0000-0000-000006000000}"/>
            </a:ext>
          </a:extLst>
        </xdr:cNvPr>
        <xdr:cNvSpPr txBox="1"/>
      </xdr:nvSpPr>
      <xdr:spPr>
        <a:xfrm>
          <a:off x="60960" y="3749040"/>
          <a:ext cx="13891260" cy="27965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1400" b="1" i="1" u="sng">
              <a:solidFill>
                <a:schemeClr val="dk1"/>
              </a:solidFill>
              <a:effectLst/>
              <a:latin typeface="+mn-lt"/>
              <a:ea typeface="+mn-ea"/>
              <a:cs typeface="+mn-cs"/>
            </a:rPr>
            <a:t>Getting started :</a:t>
          </a:r>
        </a:p>
        <a:p>
          <a:pPr marL="0" marR="0" lvl="0" indent="0" defTabSz="914400" eaLnBrk="1" fontAlgn="auto" latinLnBrk="0" hangingPunct="1">
            <a:lnSpc>
              <a:spcPct val="100000"/>
            </a:lnSpc>
            <a:spcBef>
              <a:spcPts val="0"/>
            </a:spcBef>
            <a:spcAft>
              <a:spcPts val="0"/>
            </a:spcAft>
            <a:buClrTx/>
            <a:buSzTx/>
            <a:buFontTx/>
            <a:buNone/>
            <a:tabLst/>
            <a:defRPr/>
          </a:pPr>
          <a:endParaRPr lang="fr-FR" sz="1400" b="1">
            <a:solidFill>
              <a:schemeClr val="dk1"/>
            </a:solidFill>
            <a:effectLst/>
            <a:latin typeface="+mn-lt"/>
            <a:ea typeface="+mn-ea"/>
            <a:cs typeface="+mn-cs"/>
          </a:endParaRPr>
        </a:p>
        <a:p>
          <a:r>
            <a:rPr lang="en-GB" sz="1400">
              <a:solidFill>
                <a:schemeClr val="dk1"/>
              </a:solidFill>
              <a:effectLst/>
              <a:latin typeface="+mn-lt"/>
              <a:ea typeface="+mn-ea"/>
              <a:cs typeface="+mn-cs"/>
            </a:rPr>
            <a:t>Note that it is important to enable the content for editing and for the macros to for better fluidity of the sheet. </a:t>
          </a:r>
          <a:endParaRPr lang="es-ES" sz="1400">
            <a:solidFill>
              <a:schemeClr val="dk1"/>
            </a:solidFill>
            <a:effectLst/>
            <a:latin typeface="+mn-lt"/>
            <a:ea typeface="+mn-ea"/>
            <a:cs typeface="+mn-cs"/>
          </a:endParaRPr>
        </a:p>
        <a:p>
          <a:r>
            <a:rPr lang="en-GB" sz="1400">
              <a:solidFill>
                <a:schemeClr val="dk1"/>
              </a:solidFill>
              <a:effectLst/>
              <a:latin typeface="+mn-lt"/>
              <a:ea typeface="+mn-ea"/>
              <a:cs typeface="+mn-cs"/>
            </a:rPr>
            <a:t>Following that, click on the button, “Go to Input Sheet” as shown in </a:t>
          </a:r>
          <a:r>
            <a:rPr lang="en-GB" sz="1400" i="1">
              <a:solidFill>
                <a:schemeClr val="dk1"/>
              </a:solidFill>
              <a:effectLst/>
              <a:latin typeface="+mn-lt"/>
              <a:ea typeface="+mn-ea"/>
              <a:cs typeface="+mn-cs"/>
            </a:rPr>
            <a:t>Figure 1</a:t>
          </a:r>
          <a:r>
            <a:rPr lang="en-GB" sz="1400">
              <a:solidFill>
                <a:schemeClr val="dk1"/>
              </a:solidFill>
              <a:effectLst/>
              <a:latin typeface="+mn-lt"/>
              <a:ea typeface="+mn-ea"/>
              <a:cs typeface="+mn-cs"/>
            </a:rPr>
            <a:t>.</a:t>
          </a:r>
        </a:p>
        <a:p>
          <a:endParaRPr lang="en-GB" sz="1400">
            <a:solidFill>
              <a:schemeClr val="dk1"/>
            </a:solidFill>
            <a:effectLst/>
            <a:latin typeface="+mn-lt"/>
            <a:ea typeface="+mn-ea"/>
            <a:cs typeface="+mn-cs"/>
          </a:endParaRPr>
        </a:p>
        <a:p>
          <a:endParaRPr lang="en-GB" sz="1400">
            <a:solidFill>
              <a:schemeClr val="dk1"/>
            </a:solidFill>
            <a:effectLst/>
            <a:latin typeface="+mn-lt"/>
            <a:ea typeface="+mn-ea"/>
            <a:cs typeface="+mn-cs"/>
          </a:endParaRPr>
        </a:p>
        <a:p>
          <a:endParaRPr lang="es-ES" sz="14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s-ES" sz="1400" b="1">
            <a:solidFill>
              <a:schemeClr val="dk1"/>
            </a:solidFill>
            <a:effectLst/>
            <a:latin typeface="+mn-lt"/>
            <a:ea typeface="+mn-ea"/>
            <a:cs typeface="+mn-cs"/>
          </a:endParaRPr>
        </a:p>
        <a:p>
          <a:endParaRPr lang="es-ES" sz="1100"/>
        </a:p>
        <a:p>
          <a:endParaRPr lang="es-ES" sz="1100"/>
        </a:p>
        <a:p>
          <a:endParaRPr lang="es-ES" sz="1100"/>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n-GB" sz="1400">
              <a:solidFill>
                <a:schemeClr val="dk1"/>
              </a:solidFill>
              <a:effectLst/>
              <a:latin typeface="+mn-lt"/>
              <a:ea typeface="+mn-ea"/>
              <a:cs typeface="+mn-cs"/>
            </a:rPr>
            <a:t>Another point to note is to ensure that the excel file is in “Automatic Calculation” mode. This can be achieved by: Go to File → More → Options → Formulas → Check the Calculation Options. </a:t>
          </a:r>
          <a:endParaRPr lang="es-ES" sz="1400">
            <a:solidFill>
              <a:schemeClr val="dk1"/>
            </a:solidFill>
            <a:effectLst/>
            <a:latin typeface="+mn-lt"/>
            <a:ea typeface="+mn-ea"/>
            <a:cs typeface="+mn-cs"/>
          </a:endParaRPr>
        </a:p>
        <a:p>
          <a:endParaRPr lang="es-ES" sz="1100"/>
        </a:p>
        <a:p>
          <a:endParaRPr lang="es-ES" sz="1100"/>
        </a:p>
      </xdr:txBody>
    </xdr:sp>
    <xdr:clientData/>
  </xdr:twoCellAnchor>
  <xdr:twoCellAnchor editAs="oneCell">
    <xdr:from>
      <xdr:col>4</xdr:col>
      <xdr:colOff>320041</xdr:colOff>
      <xdr:row>28</xdr:row>
      <xdr:rowOff>137160</xdr:rowOff>
    </xdr:from>
    <xdr:to>
      <xdr:col>7</xdr:col>
      <xdr:colOff>327661</xdr:colOff>
      <xdr:row>34</xdr:row>
      <xdr:rowOff>113506</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667001" y="4831080"/>
          <a:ext cx="1767840" cy="1157446"/>
        </a:xfrm>
        <a:prstGeom prst="rect">
          <a:avLst/>
        </a:prstGeom>
      </xdr:spPr>
    </xdr:pic>
    <xdr:clientData/>
  </xdr:twoCellAnchor>
  <xdr:twoCellAnchor>
    <xdr:from>
      <xdr:col>0</xdr:col>
      <xdr:colOff>60960</xdr:colOff>
      <xdr:row>37</xdr:row>
      <xdr:rowOff>167640</xdr:rowOff>
    </xdr:from>
    <xdr:to>
      <xdr:col>23</xdr:col>
      <xdr:colOff>457200</xdr:colOff>
      <xdr:row>151</xdr:row>
      <xdr:rowOff>45720</xdr:rowOff>
    </xdr:to>
    <xdr:sp macro="" textlink="">
      <xdr:nvSpPr>
        <xdr:cNvPr id="8" name="ZoneTexte 7">
          <a:extLst>
            <a:ext uri="{FF2B5EF4-FFF2-40B4-BE49-F238E27FC236}">
              <a16:creationId xmlns:a16="http://schemas.microsoft.com/office/drawing/2014/main" id="{00000000-0008-0000-0000-000008000000}"/>
            </a:ext>
          </a:extLst>
        </xdr:cNvPr>
        <xdr:cNvSpPr txBox="1"/>
      </xdr:nvSpPr>
      <xdr:spPr>
        <a:xfrm>
          <a:off x="60960" y="9616440"/>
          <a:ext cx="14119860" cy="22463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i="1" u="sng">
              <a:solidFill>
                <a:schemeClr val="dk1"/>
              </a:solidFill>
              <a:effectLst/>
              <a:latin typeface="+mn-lt"/>
              <a:ea typeface="+mn-ea"/>
              <a:cs typeface="+mn-cs"/>
            </a:rPr>
            <a:t>Input Sheet :</a:t>
          </a:r>
        </a:p>
        <a:p>
          <a:endParaRPr lang="es-ES" sz="1400">
            <a:solidFill>
              <a:schemeClr val="dk1"/>
            </a:solidFill>
            <a:effectLst/>
            <a:latin typeface="+mn-lt"/>
            <a:ea typeface="+mn-ea"/>
            <a:cs typeface="+mn-cs"/>
          </a:endParaRPr>
        </a:p>
        <a:p>
          <a:r>
            <a:rPr lang="en-GB" sz="1400">
              <a:solidFill>
                <a:schemeClr val="dk1"/>
              </a:solidFill>
              <a:effectLst/>
              <a:latin typeface="+mn-lt"/>
              <a:ea typeface="+mn-ea"/>
              <a:cs typeface="+mn-cs"/>
            </a:rPr>
            <a:t>Once you click on “Go to Input Sheet”, you are directed to the second sheet “Inputs” as shown in </a:t>
          </a:r>
          <a:r>
            <a:rPr lang="en-GB" sz="1400" i="1">
              <a:solidFill>
                <a:schemeClr val="dk1"/>
              </a:solidFill>
              <a:effectLst/>
              <a:latin typeface="+mn-lt"/>
              <a:ea typeface="+mn-ea"/>
              <a:cs typeface="+mn-cs"/>
            </a:rPr>
            <a:t>Figure 2</a:t>
          </a:r>
          <a:r>
            <a:rPr lang="en-GB" sz="1400" i="0" baseline="0">
              <a:solidFill>
                <a:schemeClr val="dk1"/>
              </a:solidFill>
              <a:effectLst/>
              <a:latin typeface="+mn-lt"/>
              <a:ea typeface="+mn-ea"/>
              <a:cs typeface="+mn-cs"/>
            </a:rPr>
            <a:t>.</a:t>
          </a:r>
        </a:p>
        <a:p>
          <a:endParaRPr lang="en-GB" sz="1400" i="0" baseline="0">
            <a:solidFill>
              <a:schemeClr val="dk1"/>
            </a:solidFill>
            <a:effectLst/>
            <a:latin typeface="+mn-lt"/>
            <a:ea typeface="+mn-ea"/>
            <a:cs typeface="+mn-cs"/>
          </a:endParaRPr>
        </a:p>
        <a:p>
          <a:endParaRPr lang="es-ES" sz="1400">
            <a:solidFill>
              <a:schemeClr val="dk1"/>
            </a:solidFill>
            <a:effectLst/>
            <a:latin typeface="+mn-lt"/>
            <a:ea typeface="+mn-ea"/>
            <a:cs typeface="+mn-cs"/>
          </a:endParaRPr>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r>
            <a:rPr lang="en-GB" sz="1400" b="1" i="1" u="sng">
              <a:solidFill>
                <a:schemeClr val="dk1"/>
              </a:solidFill>
              <a:effectLst/>
              <a:latin typeface="+mn-lt"/>
              <a:ea typeface="+mn-ea"/>
              <a:cs typeface="+mn-cs"/>
            </a:rPr>
            <a:t>First Step:</a:t>
          </a:r>
        </a:p>
        <a:p>
          <a:endParaRPr lang="es-ES" sz="1400">
            <a:solidFill>
              <a:schemeClr val="dk1"/>
            </a:solidFill>
            <a:effectLst/>
            <a:latin typeface="+mn-lt"/>
            <a:ea typeface="+mn-ea"/>
            <a:cs typeface="+mn-cs"/>
          </a:endParaRPr>
        </a:p>
        <a:p>
          <a:r>
            <a:rPr lang="en-GB" sz="1400">
              <a:solidFill>
                <a:schemeClr val="dk1"/>
              </a:solidFill>
              <a:effectLst/>
              <a:latin typeface="+mn-lt"/>
              <a:ea typeface="+mn-ea"/>
              <a:cs typeface="+mn-cs"/>
            </a:rPr>
            <a:t>You will need to choose the option you want to price, that is either a Call Option or a Put Option. The two choices are shown in the drop-down list as shown in </a:t>
          </a:r>
          <a:r>
            <a:rPr lang="en-GB" sz="1400" i="1">
              <a:solidFill>
                <a:schemeClr val="dk1"/>
              </a:solidFill>
              <a:effectLst/>
              <a:latin typeface="+mn-lt"/>
              <a:ea typeface="+mn-ea"/>
              <a:cs typeface="+mn-cs"/>
            </a:rPr>
            <a:t>Figure 3</a:t>
          </a:r>
          <a:r>
            <a:rPr lang="en-GB" sz="1400">
              <a:solidFill>
                <a:schemeClr val="dk1"/>
              </a:solidFill>
              <a:effectLst/>
              <a:latin typeface="+mn-lt"/>
              <a:ea typeface="+mn-ea"/>
              <a:cs typeface="+mn-cs"/>
            </a:rPr>
            <a:t>.</a:t>
          </a:r>
        </a:p>
        <a:p>
          <a:endParaRPr lang="en-GB" sz="1400">
            <a:solidFill>
              <a:schemeClr val="dk1"/>
            </a:solidFill>
            <a:effectLst/>
            <a:latin typeface="+mn-lt"/>
            <a:ea typeface="+mn-ea"/>
            <a:cs typeface="+mn-cs"/>
          </a:endParaRPr>
        </a:p>
        <a:p>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endParaRPr lang="es-ES" sz="1100">
            <a:solidFill>
              <a:schemeClr val="dk1"/>
            </a:solidFill>
            <a:effectLst/>
            <a:latin typeface="+mn-lt"/>
            <a:ea typeface="+mn-ea"/>
            <a:cs typeface="+mn-cs"/>
          </a:endParaRPr>
        </a:p>
        <a:p>
          <a:endParaRPr lang="es-ES" sz="1100"/>
        </a:p>
        <a:p>
          <a:endParaRPr lang="es-ES" sz="1100"/>
        </a:p>
        <a:p>
          <a:endParaRPr lang="es-ES" sz="1100"/>
        </a:p>
        <a:p>
          <a:pPr algn="l"/>
          <a:r>
            <a:rPr lang="en-GB" sz="1400" b="1" i="1" u="sng">
              <a:solidFill>
                <a:schemeClr val="dk1"/>
              </a:solidFill>
              <a:effectLst/>
              <a:latin typeface="+mn-lt"/>
              <a:ea typeface="+mn-ea"/>
              <a:cs typeface="+mn-cs"/>
            </a:rPr>
            <a:t>Second Step:</a:t>
          </a:r>
        </a:p>
        <a:p>
          <a:pPr algn="l"/>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You need to enter the values of the variables as given in the question of the assignment. S_0 = $100, r = 1% (continuously compounded), σ = 20%, δ = 3% (continuously compounded), T = 1.</a:t>
          </a:r>
        </a:p>
        <a:p>
          <a:pPr algn="l"/>
          <a:r>
            <a:rPr lang="en-GB" sz="1400">
              <a:solidFill>
                <a:schemeClr val="dk1"/>
              </a:solidFill>
              <a:effectLst/>
              <a:latin typeface="+mn-lt"/>
              <a:ea typeface="+mn-ea"/>
              <a:cs typeface="+mn-cs"/>
            </a:rPr>
            <a:t>You suppose that the true expected return on the stock is μ = 10%. The number of periods in the binomial model is set to n = 12. See </a:t>
          </a:r>
          <a:r>
            <a:rPr lang="en-GB" sz="1400" i="1">
              <a:solidFill>
                <a:schemeClr val="dk1"/>
              </a:solidFill>
              <a:effectLst/>
              <a:latin typeface="+mn-lt"/>
              <a:ea typeface="+mn-ea"/>
              <a:cs typeface="+mn-cs"/>
            </a:rPr>
            <a:t>Figure 2</a:t>
          </a:r>
          <a:r>
            <a:rPr lang="en-GB" sz="1400">
              <a:solidFill>
                <a:schemeClr val="dk1"/>
              </a:solidFill>
              <a:effectLst/>
              <a:latin typeface="+mn-lt"/>
              <a:ea typeface="+mn-ea"/>
              <a:cs typeface="+mn-cs"/>
            </a:rPr>
            <a:t>.</a:t>
          </a:r>
        </a:p>
        <a:p>
          <a:pPr algn="l"/>
          <a:endParaRPr lang="en-GB" sz="1400">
            <a:solidFill>
              <a:schemeClr val="dk1"/>
            </a:solidFill>
            <a:effectLst/>
            <a:latin typeface="+mn-lt"/>
            <a:ea typeface="+mn-ea"/>
            <a:cs typeface="+mn-cs"/>
          </a:endParaRPr>
        </a:p>
        <a:p>
          <a:pPr algn="l"/>
          <a:r>
            <a:rPr lang="en-GB" sz="1400" b="1" i="1" u="sng">
              <a:solidFill>
                <a:schemeClr val="dk1"/>
              </a:solidFill>
              <a:effectLst/>
              <a:latin typeface="+mn-lt"/>
              <a:ea typeface="+mn-ea"/>
              <a:cs typeface="+mn-cs"/>
            </a:rPr>
            <a:t>Third Step: </a:t>
          </a:r>
        </a:p>
        <a:p>
          <a:pPr algn="l"/>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After the variables are entered, you can also see that the payoff profile depending on if it is a Call or a Put will be auto-generated. The payoff profile is flexible depending on the data or values we input. </a:t>
          </a:r>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 </a:t>
          </a:r>
          <a:endParaRPr lang="es-ES" sz="1400">
            <a:solidFill>
              <a:schemeClr val="dk1"/>
            </a:solidFill>
            <a:effectLst/>
            <a:latin typeface="+mn-lt"/>
            <a:ea typeface="+mn-ea"/>
            <a:cs typeface="+mn-cs"/>
          </a:endParaRPr>
        </a:p>
        <a:p>
          <a:pPr algn="l"/>
          <a:r>
            <a:rPr lang="en-GB" sz="1400" b="1" i="1" u="sng">
              <a:solidFill>
                <a:schemeClr val="dk1"/>
              </a:solidFill>
              <a:effectLst/>
              <a:latin typeface="+mn-lt"/>
              <a:ea typeface="+mn-ea"/>
              <a:cs typeface="+mn-cs"/>
            </a:rPr>
            <a:t>Fourth Step:</a:t>
          </a:r>
        </a:p>
        <a:p>
          <a:pPr algn="l"/>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After ensuring that all the data and input are on board, you can click to one of the three buttons as shown in </a:t>
          </a:r>
          <a:r>
            <a:rPr lang="en-GB" sz="1400" i="1">
              <a:solidFill>
                <a:schemeClr val="dk1"/>
              </a:solidFill>
              <a:effectLst/>
              <a:latin typeface="+mn-lt"/>
              <a:ea typeface="+mn-ea"/>
              <a:cs typeface="+mn-cs"/>
            </a:rPr>
            <a:t>Figure 6</a:t>
          </a:r>
          <a:r>
            <a:rPr lang="en-GB" sz="1400">
              <a:solidFill>
                <a:schemeClr val="dk1"/>
              </a:solidFill>
              <a:effectLst/>
              <a:latin typeface="+mn-lt"/>
              <a:ea typeface="+mn-ea"/>
              <a:cs typeface="+mn-cs"/>
            </a:rPr>
            <a:t>. The first two buttons will run the binomial model and Black and Scholes model respectively. The outputs will be shown in the “Binomial Model” sheet and the “Black&amp;Scholes” sheets. Note that for the Black and Scholes model, both the Excel and VBA were computed to see if the same result was found. If there is any misunderstanding, stay assured as you can go back to the summarised theories and the formula computations with the “Go to ReadMe Sheet” button.  </a:t>
          </a:r>
          <a:endParaRPr lang="es-ES" sz="1400">
            <a:solidFill>
              <a:schemeClr val="dk1"/>
            </a:solidFill>
            <a:effectLst/>
            <a:latin typeface="+mn-lt"/>
            <a:ea typeface="+mn-ea"/>
            <a:cs typeface="+mn-cs"/>
          </a:endParaRPr>
        </a:p>
        <a:p>
          <a:endParaRPr lang="es-ES" sz="1100">
            <a:solidFill>
              <a:schemeClr val="dk1"/>
            </a:solidFill>
            <a:effectLst/>
            <a:latin typeface="+mn-lt"/>
            <a:ea typeface="+mn-ea"/>
            <a:cs typeface="+mn-cs"/>
          </a:endParaRPr>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400"/>
        </a:p>
        <a:p>
          <a:r>
            <a:rPr lang="es-ES" sz="1400"/>
            <a:t>Note</a:t>
          </a:r>
          <a:r>
            <a:rPr lang="es-ES" sz="1400" baseline="0"/>
            <a:t> : Using the binomial model, one can observe the hedge ratio evolution along the binomial tree. However, we provide to the user the option to calculate manually the hedging ratio at each node pressing the following button :</a:t>
          </a:r>
        </a:p>
        <a:p>
          <a:endParaRPr lang="es-ES" sz="1400" baseline="0"/>
        </a:p>
        <a:p>
          <a:endParaRPr lang="es-ES" sz="1400" baseline="0"/>
        </a:p>
        <a:p>
          <a:endParaRPr lang="es-ES" sz="1400" baseline="0"/>
        </a:p>
        <a:p>
          <a:endParaRPr lang="es-ES" sz="1400" baseline="0"/>
        </a:p>
        <a:p>
          <a:endParaRPr lang="es-ES" sz="1400" baseline="0"/>
        </a:p>
        <a:p>
          <a:endParaRPr lang="es-ES" sz="1400" b="1" i="1" u="sng" baseline="0">
            <a:latin typeface="+mj-lt"/>
          </a:endParaRPr>
        </a:p>
        <a:p>
          <a:endParaRPr lang="es-ES" sz="1400" b="1" i="1" u="sng" baseline="0">
            <a:latin typeface="+mj-lt"/>
          </a:endParaRPr>
        </a:p>
        <a:p>
          <a:r>
            <a:rPr lang="es-ES" sz="1400" b="1" i="1" u="sng" baseline="0">
              <a:latin typeface="+mj-lt"/>
            </a:rPr>
            <a:t>EXTRA (For Windows Users*) :</a:t>
          </a:r>
        </a:p>
        <a:p>
          <a:endParaRPr lang="es-ES" sz="1400" baseline="0"/>
        </a:p>
        <a:p>
          <a:r>
            <a:rPr lang="es-ES" sz="1400" baseline="0"/>
            <a:t>If the user wants to access current market data and have the volatility including recent data, you can go to the Current Market Data sheet. There you can have access to the market data updated in real-time (we connected the Excel file to </a:t>
          </a:r>
          <a:r>
            <a:rPr lang="es-ES" sz="1400" i="1" baseline="0"/>
            <a:t>Yahoo Finance </a:t>
          </a:r>
          <a:r>
            <a:rPr lang="es-ES" sz="1400" baseline="0"/>
            <a:t>throught a Power Query request). The user must have access to the internet to have access to such data.</a:t>
          </a:r>
        </a:p>
        <a:p>
          <a:r>
            <a:rPr lang="es-ES" sz="1400" baseline="0"/>
            <a:t>The user can chose whenever underlying he wants just by entering the underlying stock ticker in the following right cell :</a:t>
          </a:r>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r>
            <a:rPr lang="es-ES" sz="1400" baseline="0"/>
            <a:t>Then, by pushing the following button, updated market data can be generated :</a:t>
          </a:r>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r>
            <a:rPr lang="es-ES" sz="1400" baseline="0"/>
            <a:t>If it's the first time you are using Power Query, this window (below), might appear. You just need to check the "Ignore Privacy..." option.</a:t>
          </a:r>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pPr marL="0" marR="0" lvl="0" indent="0" defTabSz="914400" eaLnBrk="1" fontAlgn="auto" latinLnBrk="0" hangingPunct="1">
            <a:lnSpc>
              <a:spcPct val="100000"/>
            </a:lnSpc>
            <a:spcBef>
              <a:spcPts val="0"/>
            </a:spcBef>
            <a:spcAft>
              <a:spcPts val="0"/>
            </a:spcAft>
            <a:buClrTx/>
            <a:buSzTx/>
            <a:buFontTx/>
            <a:buNone/>
            <a:tabLst/>
            <a:defRPr/>
          </a:pPr>
          <a:r>
            <a:rPr lang="es-ES" sz="1400" baseline="0">
              <a:solidFill>
                <a:schemeClr val="dk1"/>
              </a:solidFill>
              <a:effectLst/>
              <a:latin typeface="+mn-lt"/>
              <a:ea typeface="+mn-ea"/>
              <a:cs typeface="+mn-cs"/>
            </a:rPr>
            <a:t>* We used power query to develop this part of our work. This excel feature is not yet available on Macbook.</a:t>
          </a:r>
          <a:endParaRPr lang="es-ES" sz="1400">
            <a:effectLst/>
          </a:endParaRPr>
        </a:p>
        <a:p>
          <a:endParaRPr lang="es-ES" sz="1400" baseline="0"/>
        </a:p>
        <a:p>
          <a:endParaRPr lang="es-ES" sz="1400" baseline="0"/>
        </a:p>
        <a:p>
          <a:endParaRPr lang="es-ES" sz="1400" baseline="0"/>
        </a:p>
      </xdr:txBody>
    </xdr:sp>
    <xdr:clientData/>
  </xdr:twoCellAnchor>
  <xdr:twoCellAnchor editAs="oneCell">
    <xdr:from>
      <xdr:col>3</xdr:col>
      <xdr:colOff>350520</xdr:colOff>
      <xdr:row>43</xdr:row>
      <xdr:rowOff>7620</xdr:rowOff>
    </xdr:from>
    <xdr:to>
      <xdr:col>9</xdr:col>
      <xdr:colOff>304800</xdr:colOff>
      <xdr:row>55</xdr:row>
      <xdr:rowOff>38402</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4"/>
        <a:stretch>
          <a:fillRect/>
        </a:stretch>
      </xdr:blipFill>
      <xdr:spPr>
        <a:xfrm>
          <a:off x="2110740" y="10645140"/>
          <a:ext cx="3474720" cy="2408222"/>
        </a:xfrm>
        <a:prstGeom prst="rect">
          <a:avLst/>
        </a:prstGeom>
      </xdr:spPr>
    </xdr:pic>
    <xdr:clientData/>
  </xdr:twoCellAnchor>
  <xdr:twoCellAnchor editAs="oneCell">
    <xdr:from>
      <xdr:col>3</xdr:col>
      <xdr:colOff>137161</xdr:colOff>
      <xdr:row>60</xdr:row>
      <xdr:rowOff>187961</xdr:rowOff>
    </xdr:from>
    <xdr:to>
      <xdr:col>9</xdr:col>
      <xdr:colOff>358141</xdr:colOff>
      <xdr:row>65</xdr:row>
      <xdr:rowOff>25329</xdr:rowOff>
    </xdr:to>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1897381" y="14193521"/>
          <a:ext cx="3741420" cy="827968"/>
        </a:xfrm>
        <a:prstGeom prst="rect">
          <a:avLst/>
        </a:prstGeom>
      </xdr:spPr>
    </xdr:pic>
    <xdr:clientData/>
  </xdr:twoCellAnchor>
  <xdr:twoCellAnchor editAs="oneCell">
    <xdr:from>
      <xdr:col>4</xdr:col>
      <xdr:colOff>297180</xdr:colOff>
      <xdr:row>83</xdr:row>
      <xdr:rowOff>53340</xdr:rowOff>
    </xdr:from>
    <xdr:to>
      <xdr:col>8</xdr:col>
      <xdr:colOff>45720</xdr:colOff>
      <xdr:row>95</xdr:row>
      <xdr:rowOff>144152</xdr:rowOff>
    </xdr:to>
    <xdr:pic>
      <xdr:nvPicPr>
        <xdr:cNvPr id="14" name="Imag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6"/>
        <a:stretch>
          <a:fillRect/>
        </a:stretch>
      </xdr:blipFill>
      <xdr:spPr>
        <a:xfrm>
          <a:off x="2644140" y="18615660"/>
          <a:ext cx="2095500" cy="2468252"/>
        </a:xfrm>
        <a:prstGeom prst="rect">
          <a:avLst/>
        </a:prstGeom>
      </xdr:spPr>
    </xdr:pic>
    <xdr:clientData/>
  </xdr:twoCellAnchor>
  <xdr:twoCellAnchor editAs="oneCell">
    <xdr:from>
      <xdr:col>4</xdr:col>
      <xdr:colOff>419100</xdr:colOff>
      <xdr:row>100</xdr:row>
      <xdr:rowOff>109220</xdr:rowOff>
    </xdr:from>
    <xdr:to>
      <xdr:col>7</xdr:col>
      <xdr:colOff>401737</xdr:colOff>
      <xdr:row>104</xdr:row>
      <xdr:rowOff>50073</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2766060" y="22039580"/>
          <a:ext cx="1742857" cy="733333"/>
        </a:xfrm>
        <a:prstGeom prst="rect">
          <a:avLst/>
        </a:prstGeom>
      </xdr:spPr>
    </xdr:pic>
    <xdr:clientData/>
  </xdr:twoCellAnchor>
  <xdr:oneCellAnchor>
    <xdr:from>
      <xdr:col>6</xdr:col>
      <xdr:colOff>510540</xdr:colOff>
      <xdr:row>18</xdr:row>
      <xdr:rowOff>340360</xdr:rowOff>
    </xdr:from>
    <xdr:ext cx="454660" cy="408940"/>
    <xdr:pic>
      <xdr:nvPicPr>
        <xdr:cNvPr id="13" name="image3.png">
          <a:extLst>
            <a:ext uri="{FF2B5EF4-FFF2-40B4-BE49-F238E27FC236}">
              <a16:creationId xmlns:a16="http://schemas.microsoft.com/office/drawing/2014/main" id="{00000000-0008-0000-0000-00000D000000}"/>
            </a:ext>
          </a:extLst>
        </xdr:cNvPr>
        <xdr:cNvPicPr preferRelativeResize="0"/>
      </xdr:nvPicPr>
      <xdr:blipFill>
        <a:blip xmlns:r="http://schemas.openxmlformats.org/officeDocument/2006/relationships" r:embed="rId2" cstate="print"/>
        <a:stretch>
          <a:fillRect/>
        </a:stretch>
      </xdr:blipFill>
      <xdr:spPr>
        <a:xfrm>
          <a:off x="4015740" y="4912360"/>
          <a:ext cx="454660" cy="408940"/>
        </a:xfrm>
        <a:prstGeom prst="rect">
          <a:avLst/>
        </a:prstGeom>
        <a:noFill/>
      </xdr:spPr>
    </xdr:pic>
    <xdr:clientData fLocksWithSheet="0"/>
  </xdr:oneCellAnchor>
  <xdr:twoCellAnchor editAs="oneCell">
    <xdr:from>
      <xdr:col>4</xdr:col>
      <xdr:colOff>312420</xdr:colOff>
      <xdr:row>114</xdr:row>
      <xdr:rowOff>142240</xdr:rowOff>
    </xdr:from>
    <xdr:to>
      <xdr:col>7</xdr:col>
      <xdr:colOff>561724</xdr:colOff>
      <xdr:row>116</xdr:row>
      <xdr:rowOff>136476</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659380" y="24846280"/>
          <a:ext cx="2009524" cy="390476"/>
        </a:xfrm>
        <a:prstGeom prst="rect">
          <a:avLst/>
        </a:prstGeom>
      </xdr:spPr>
    </xdr:pic>
    <xdr:clientData/>
  </xdr:twoCellAnchor>
  <xdr:twoCellAnchor editAs="oneCell">
    <xdr:from>
      <xdr:col>4</xdr:col>
      <xdr:colOff>325120</xdr:colOff>
      <xdr:row>123</xdr:row>
      <xdr:rowOff>71120</xdr:rowOff>
    </xdr:from>
    <xdr:to>
      <xdr:col>7</xdr:col>
      <xdr:colOff>479186</xdr:colOff>
      <xdr:row>126</xdr:row>
      <xdr:rowOff>126283</xdr:rowOff>
    </xdr:to>
    <xdr:pic>
      <xdr:nvPicPr>
        <xdr:cNvPr id="9" name="Imag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672080" y="26558240"/>
          <a:ext cx="1914286" cy="649523"/>
        </a:xfrm>
        <a:prstGeom prst="rect">
          <a:avLst/>
        </a:prstGeom>
      </xdr:spPr>
    </xdr:pic>
    <xdr:clientData/>
  </xdr:twoCellAnchor>
  <xdr:twoCellAnchor>
    <xdr:from>
      <xdr:col>6</xdr:col>
      <xdr:colOff>355600</xdr:colOff>
      <xdr:row>18</xdr:row>
      <xdr:rowOff>292100</xdr:rowOff>
    </xdr:from>
    <xdr:to>
      <xdr:col>14</xdr:col>
      <xdr:colOff>50800</xdr:colOff>
      <xdr:row>18</xdr:row>
      <xdr:rowOff>850900</xdr:rowOff>
    </xdr:to>
    <xdr:sp macro="" textlink="">
      <xdr:nvSpPr>
        <xdr:cNvPr id="10" name="Rectangle 9">
          <a:extLst>
            <a:ext uri="{FF2B5EF4-FFF2-40B4-BE49-F238E27FC236}">
              <a16:creationId xmlns:a16="http://schemas.microsoft.com/office/drawing/2014/main" id="{00000000-0008-0000-0000-00000A000000}"/>
            </a:ext>
          </a:extLst>
        </xdr:cNvPr>
        <xdr:cNvSpPr/>
      </xdr:nvSpPr>
      <xdr:spPr>
        <a:xfrm>
          <a:off x="3860800" y="4864100"/>
          <a:ext cx="4368800" cy="558800"/>
        </a:xfrm>
        <a:prstGeom prst="rect">
          <a:avLst/>
        </a:prstGeom>
        <a:noFill/>
        <a:ln w="762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388620</xdr:colOff>
      <xdr:row>132</xdr:row>
      <xdr:rowOff>160837</xdr:rowOff>
    </xdr:from>
    <xdr:to>
      <xdr:col>9</xdr:col>
      <xdr:colOff>312420</xdr:colOff>
      <xdr:row>142</xdr:row>
      <xdr:rowOff>137159</xdr:rowOff>
    </xdr:to>
    <xdr:pic>
      <xdr:nvPicPr>
        <xdr:cNvPr id="18" name="Image 17" descr="Ignore Privacy Levels - Excel Off The Grid">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562100" y="28431037"/>
          <a:ext cx="4030980" cy="1957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3</xdr:col>
      <xdr:colOff>1762125</xdr:colOff>
      <xdr:row>0</xdr:row>
      <xdr:rowOff>53975</xdr:rowOff>
    </xdr:from>
    <xdr:ext cx="9144000" cy="6191250"/>
    <xdr:graphicFrame macro="">
      <xdr:nvGraphicFramePr>
        <xdr:cNvPr id="90120729" name="Chart 1">
          <a:extLst>
            <a:ext uri="{FF2B5EF4-FFF2-40B4-BE49-F238E27FC236}">
              <a16:creationId xmlns:a16="http://schemas.microsoft.com/office/drawing/2014/main" id="{00000000-0008-0000-0100-000019225F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mc:AlternateContent xmlns:mc="http://schemas.openxmlformats.org/markup-compatibility/2006">
    <mc:Choice xmlns:a14="http://schemas.microsoft.com/office/drawing/2010/main" Requires="a14">
      <xdr:twoCellAnchor>
        <xdr:from>
          <xdr:col>2</xdr:col>
          <xdr:colOff>518160</xdr:colOff>
          <xdr:row>2</xdr:row>
          <xdr:rowOff>167640</xdr:rowOff>
        </xdr:from>
        <xdr:to>
          <xdr:col>3</xdr:col>
          <xdr:colOff>1386840</xdr:colOff>
          <xdr:row>5</xdr:row>
          <xdr:rowOff>22860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Run Binomial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6</xdr:row>
          <xdr:rowOff>114300</xdr:rowOff>
        </xdr:from>
        <xdr:to>
          <xdr:col>3</xdr:col>
          <xdr:colOff>1371600</xdr:colOff>
          <xdr:row>8</xdr:row>
          <xdr:rowOff>137160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Run B&amp;S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510540</xdr:colOff>
          <xdr:row>10</xdr:row>
          <xdr:rowOff>91440</xdr:rowOff>
        </xdr:from>
        <xdr:to>
          <xdr:col>3</xdr:col>
          <xdr:colOff>1348740</xdr:colOff>
          <xdr:row>12</xdr:row>
          <xdr:rowOff>152400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ReadMe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14</xdr:row>
          <xdr:rowOff>76200</xdr:rowOff>
        </xdr:from>
        <xdr:to>
          <xdr:col>3</xdr:col>
          <xdr:colOff>1333500</xdr:colOff>
          <xdr:row>16</xdr:row>
          <xdr:rowOff>137160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0" i="0" u="none" strike="noStrike" baseline="0">
                  <a:solidFill>
                    <a:srgbClr val="000000"/>
                  </a:solidFill>
                  <a:latin typeface="Calibri"/>
                  <a:cs typeface="Calibri"/>
                </a:rPr>
                <a:t>Go to Airbus - Market Data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18</xdr:row>
          <xdr:rowOff>91440</xdr:rowOff>
        </xdr:from>
        <xdr:to>
          <xdr:col>3</xdr:col>
          <xdr:colOff>1333500</xdr:colOff>
          <xdr:row>20</xdr:row>
          <xdr:rowOff>152400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0" i="0" u="none" strike="noStrike" baseline="0">
                  <a:solidFill>
                    <a:srgbClr val="000000"/>
                  </a:solidFill>
                  <a:latin typeface="Calibri"/>
                  <a:cs typeface="Calibri"/>
                </a:rPr>
                <a:t>Current Market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472440</xdr:colOff>
          <xdr:row>22</xdr:row>
          <xdr:rowOff>129540</xdr:rowOff>
        </xdr:from>
        <xdr:to>
          <xdr:col>3</xdr:col>
          <xdr:colOff>1333500</xdr:colOff>
          <xdr:row>24</xdr:row>
          <xdr:rowOff>167640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Run Binomial Model VBA</a:t>
              </a:r>
            </a:p>
            <a:p>
              <a:pPr algn="ctr" rtl="0">
                <a:defRPr sz="1000"/>
              </a:pPr>
              <a:endParaRPr lang="es-ES" sz="1100" b="0" i="0" u="none" strike="noStrike" baseline="0">
                <a:solidFill>
                  <a:srgbClr val="000000"/>
                </a:solidFill>
                <a:latin typeface="Arial"/>
                <a:cs typeface="Arial"/>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861060</xdr:colOff>
          <xdr:row>6</xdr:row>
          <xdr:rowOff>175260</xdr:rowOff>
        </xdr:from>
        <xdr:to>
          <xdr:col>8</xdr:col>
          <xdr:colOff>441960</xdr:colOff>
          <xdr:row>8</xdr:row>
          <xdr:rowOff>175260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ReadMe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289560</xdr:colOff>
          <xdr:row>6</xdr:row>
          <xdr:rowOff>152400</xdr:rowOff>
        </xdr:from>
        <xdr:to>
          <xdr:col>11</xdr:col>
          <xdr:colOff>60960</xdr:colOff>
          <xdr:row>8</xdr:row>
          <xdr:rowOff>175260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Inputs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822960</xdr:colOff>
          <xdr:row>1</xdr:row>
          <xdr:rowOff>457200</xdr:rowOff>
        </xdr:from>
        <xdr:to>
          <xdr:col>11</xdr:col>
          <xdr:colOff>0</xdr:colOff>
          <xdr:row>3</xdr:row>
          <xdr:rowOff>137160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0" i="0" u="none" strike="noStrike" baseline="0">
                  <a:solidFill>
                    <a:srgbClr val="000000"/>
                  </a:solidFill>
                  <a:latin typeface="Calibri"/>
                  <a:cs typeface="Calibri"/>
                </a:rPr>
                <a:t>Calculate Hedge Ratio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167640</xdr:colOff>
          <xdr:row>5</xdr:row>
          <xdr:rowOff>99060</xdr:rowOff>
        </xdr:from>
        <xdr:to>
          <xdr:col>8</xdr:col>
          <xdr:colOff>670560</xdr:colOff>
          <xdr:row>8</xdr:row>
          <xdr:rowOff>129540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259080</xdr:colOff>
          <xdr:row>10</xdr:row>
          <xdr:rowOff>7620</xdr:rowOff>
        </xdr:from>
        <xdr:to>
          <xdr:col>8</xdr:col>
          <xdr:colOff>777240</xdr:colOff>
          <xdr:row>13</xdr:row>
          <xdr:rowOff>22860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100" b="0" i="0" u="none" strike="noStrike" baseline="0">
                  <a:solidFill>
                    <a:srgbClr val="000000"/>
                  </a:solidFill>
                  <a:latin typeface="Arial"/>
                  <a:cs typeface="Arial"/>
                </a:rPr>
                <a:t>Bouton 2</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205740</xdr:colOff>
          <xdr:row>2</xdr:row>
          <xdr:rowOff>99060</xdr:rowOff>
        </xdr:from>
        <xdr:to>
          <xdr:col>7</xdr:col>
          <xdr:colOff>518160</xdr:colOff>
          <xdr:row>5</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ReadMe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190500</xdr:colOff>
          <xdr:row>6</xdr:row>
          <xdr:rowOff>137160</xdr:rowOff>
        </xdr:from>
        <xdr:to>
          <xdr:col>7</xdr:col>
          <xdr:colOff>495300</xdr:colOff>
          <xdr:row>11</xdr:row>
          <xdr:rowOff>60960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Inputs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175260</xdr:colOff>
          <xdr:row>1</xdr:row>
          <xdr:rowOff>0</xdr:rowOff>
        </xdr:from>
        <xdr:to>
          <xdr:col>2</xdr:col>
          <xdr:colOff>22860</xdr:colOff>
          <xdr:row>2</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Inputs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480060</xdr:colOff>
          <xdr:row>1</xdr:row>
          <xdr:rowOff>15240</xdr:rowOff>
        </xdr:from>
        <xdr:to>
          <xdr:col>4</xdr:col>
          <xdr:colOff>289560</xdr:colOff>
          <xdr:row>2</xdr:row>
          <xdr:rowOff>38100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600-000003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ReadMe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291629</xdr:colOff>
      <xdr:row>3</xdr:row>
      <xdr:rowOff>84666</xdr:rowOff>
    </xdr:from>
    <xdr:to>
      <xdr:col>15</xdr:col>
      <xdr:colOff>470369</xdr:colOff>
      <xdr:row>22</xdr:row>
      <xdr:rowOff>150517</xdr:rowOff>
    </xdr:to>
    <xdr:graphicFrame macro="">
      <xdr:nvGraphicFramePr>
        <xdr:cNvPr id="3" name="Graphique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152400</xdr:colOff>
          <xdr:row>3</xdr:row>
          <xdr:rowOff>53340</xdr:rowOff>
        </xdr:from>
        <xdr:to>
          <xdr:col>5</xdr:col>
          <xdr:colOff>15240</xdr:colOff>
          <xdr:row>6</xdr:row>
          <xdr:rowOff>137160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Update Historical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8</xdr:row>
          <xdr:rowOff>53340</xdr:rowOff>
        </xdr:from>
        <xdr:to>
          <xdr:col>5</xdr:col>
          <xdr:colOff>15240</xdr:colOff>
          <xdr:row>11</xdr:row>
          <xdr:rowOff>53340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Inputs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12</xdr:row>
          <xdr:rowOff>152400</xdr:rowOff>
        </xdr:from>
        <xdr:to>
          <xdr:col>5</xdr:col>
          <xdr:colOff>15240</xdr:colOff>
          <xdr:row>15</xdr:row>
          <xdr:rowOff>152400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700-000003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ReadMe Sheet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861060</xdr:colOff>
          <xdr:row>6</xdr:row>
          <xdr:rowOff>175260</xdr:rowOff>
        </xdr:from>
        <xdr:to>
          <xdr:col>8</xdr:col>
          <xdr:colOff>441960</xdr:colOff>
          <xdr:row>8</xdr:row>
          <xdr:rowOff>175260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800-000001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ReadMe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289560</xdr:colOff>
          <xdr:row>6</xdr:row>
          <xdr:rowOff>152400</xdr:rowOff>
        </xdr:from>
        <xdr:to>
          <xdr:col>11</xdr:col>
          <xdr:colOff>60960</xdr:colOff>
          <xdr:row>8</xdr:row>
          <xdr:rowOff>175260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800-000002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Inputs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822960</xdr:colOff>
          <xdr:row>1</xdr:row>
          <xdr:rowOff>457200</xdr:rowOff>
        </xdr:from>
        <xdr:to>
          <xdr:col>11</xdr:col>
          <xdr:colOff>0</xdr:colOff>
          <xdr:row>3</xdr:row>
          <xdr:rowOff>137160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8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0" i="0" u="none" strike="noStrike" baseline="0">
                  <a:solidFill>
                    <a:srgbClr val="000000"/>
                  </a:solidFill>
                  <a:latin typeface="Calibri"/>
                  <a:cs typeface="Calibri"/>
                </a:rPr>
                <a:t>Calculate Hedge Ratio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jardieljunior\Downloads\Project_2_Derivativ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Black&amp;Scholes"/>
      <sheetName val="BinomialModel"/>
      <sheetName val="Project_2_Derivatives"/>
    </sheetNames>
    <definedNames>
      <definedName name="Run_MC"/>
    </definedNames>
    <sheetDataSet>
      <sheetData sheetId="0" refreshError="1"/>
      <sheetData sheetId="1" refreshError="1"/>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13E114A5-B860-43DF-89DB-7452637287CB}" autoFormatId="16" applyNumberFormats="0" applyBorderFormats="0" applyFontFormats="0" applyPatternFormats="0" applyAlignmentFormats="0" applyWidthHeightFormats="0">
  <queryTableRefresh nextId="6" unboundColumnsRight="2">
    <queryTableFields count="4">
      <queryTableField id="1" name="Date" tableColumnId="1"/>
      <queryTableField id="2" name="Close Price" tableColumnId="2"/>
      <queryTableField id="4" dataBound="0" tableColumnId="4"/>
      <queryTableField id="5" dataBound="0"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93C795E-2D72-4D62-9A7C-EF2ADADBA2FA}" name="yf_data" displayName="yf_data" ref="A4:D2561" tableType="queryTable" totalsRowShown="0">
  <autoFilter ref="A4:D2561" xr:uid="{793C795E-2D72-4D62-9A7C-EF2ADADBA2FA}"/>
  <tableColumns count="4">
    <tableColumn id="1" xr3:uid="{56A48F4E-B66D-4323-A0DD-358F20BE366B}" uniqueName="1" name="Date" queryTableFieldId="1" dataDxfId="6"/>
    <tableColumn id="2" xr3:uid="{92521D32-FC74-4242-BB6F-84370CE1F295}" uniqueName="2" name="Close Price" queryTableFieldId="2" dataDxfId="5"/>
    <tableColumn id="4" xr3:uid="{F5D6669B-E925-4183-8998-A81E36B6B973}" uniqueName="4" name="Pct Change" queryTableFieldId="4" dataDxfId="4">
      <calculatedColumnFormula>IFERROR(yf_data[[#This Row],[Close Price]]/B4-1,0)</calculatedColumnFormula>
    </tableColumn>
    <tableColumn id="3" xr3:uid="{FA26FEED-F036-4A2B-B59A-C5A21B9C2D98}" uniqueName="3" name="Colonne1" queryTableFieldId="5">
      <calculatedColumnFormula>AVERAGE(yf_data[Close Price])</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2" displayName="Table_2" ref="A2:A4">
  <tableColumns count="1">
    <tableColumn id="1" xr3:uid="{00000000-0010-0000-0100-000001000000}" name="type_options_list"/>
  </tableColumns>
  <tableStyleInfo name="Aux-style" showFirstColumn="1" showLastColumn="1"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04B040-38E5-0641-A31E-4627F91F6057}" name="Tableau3" displayName="Tableau3" ref="C2:C4" totalsRowShown="0" headerRowDxfId="2" dataDxfId="1">
  <autoFilter ref="C2:C4" xr:uid="{7104B040-38E5-0641-A31E-4627F91F6057}"/>
  <tableColumns count="1">
    <tableColumn id="1" xr3:uid="{3590F68F-BDEC-F547-B2C0-C08AAE5F73D1}" name="options" dataDxfId="0"/>
  </tableColumns>
  <tableStyleInfo name="Aux-style"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github.com/jardieljr/derivatives" TargetMode="External"/><Relationship Id="rId1" Type="http://schemas.openxmlformats.org/officeDocument/2006/relationships/hyperlink" Target="https://github.com/jardieljr/derivative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table" Target="../tables/table1.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4.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09"/>
  <sheetViews>
    <sheetView showGridLines="0" topLeftCell="A28" workbookViewId="0">
      <selection activeCell="D17" sqref="D17"/>
    </sheetView>
  </sheetViews>
  <sheetFormatPr baseColWidth="10" defaultColWidth="12.69921875" defaultRowHeight="15" customHeight="1"/>
  <cols>
    <col min="1" max="16" width="7.69921875" customWidth="1"/>
    <col min="17" max="17" width="10.69921875" customWidth="1"/>
    <col min="18" max="26" width="7.69921875" customWidth="1"/>
  </cols>
  <sheetData>
    <row r="1" spans="1:14" ht="15.6">
      <c r="C1" s="149" t="s">
        <v>0</v>
      </c>
      <c r="D1" s="150"/>
      <c r="E1" s="150"/>
      <c r="F1" s="150"/>
      <c r="G1" s="150"/>
      <c r="H1" s="150"/>
      <c r="I1" s="150"/>
      <c r="J1" s="150"/>
      <c r="K1" s="151"/>
      <c r="M1" s="1" t="s">
        <v>1</v>
      </c>
      <c r="N1" s="1"/>
    </row>
    <row r="2" spans="1:14" ht="15.6">
      <c r="C2" s="152"/>
      <c r="D2" s="153"/>
      <c r="E2" s="153"/>
      <c r="F2" s="153"/>
      <c r="G2" s="153"/>
      <c r="H2" s="153"/>
      <c r="I2" s="153"/>
      <c r="J2" s="153"/>
      <c r="K2" s="154"/>
      <c r="M2" s="1"/>
      <c r="N2" s="1" t="s">
        <v>2</v>
      </c>
    </row>
    <row r="3" spans="1:14" ht="15.6">
      <c r="C3" s="152"/>
      <c r="D3" s="153"/>
      <c r="E3" s="153"/>
      <c r="F3" s="153"/>
      <c r="G3" s="153"/>
      <c r="H3" s="153"/>
      <c r="I3" s="153"/>
      <c r="J3" s="153"/>
      <c r="K3" s="154"/>
      <c r="N3" s="1" t="s">
        <v>3</v>
      </c>
    </row>
    <row r="4" spans="1:14" ht="15.6">
      <c r="C4" s="152"/>
      <c r="D4" s="153"/>
      <c r="E4" s="153"/>
      <c r="F4" s="153"/>
      <c r="G4" s="153"/>
      <c r="H4" s="153"/>
      <c r="I4" s="153"/>
      <c r="J4" s="153"/>
      <c r="K4" s="154"/>
      <c r="N4" s="1" t="s">
        <v>4</v>
      </c>
    </row>
    <row r="5" spans="1:14" ht="15.6">
      <c r="C5" s="152"/>
      <c r="D5" s="153"/>
      <c r="E5" s="153"/>
      <c r="F5" s="153"/>
      <c r="G5" s="153"/>
      <c r="H5" s="153"/>
      <c r="I5" s="153"/>
      <c r="J5" s="153"/>
      <c r="K5" s="154"/>
      <c r="N5" s="1" t="s">
        <v>5</v>
      </c>
    </row>
    <row r="6" spans="1:14" ht="13.8">
      <c r="C6" s="152"/>
      <c r="D6" s="153"/>
      <c r="E6" s="153"/>
      <c r="F6" s="153"/>
      <c r="G6" s="153"/>
      <c r="H6" s="153"/>
      <c r="I6" s="153"/>
      <c r="J6" s="153"/>
      <c r="K6" s="154"/>
    </row>
    <row r="7" spans="1:14" ht="13.8">
      <c r="C7" s="152"/>
      <c r="D7" s="153"/>
      <c r="E7" s="153"/>
      <c r="F7" s="153"/>
      <c r="G7" s="153"/>
      <c r="H7" s="153"/>
      <c r="I7" s="153"/>
      <c r="J7" s="153"/>
      <c r="K7" s="154"/>
    </row>
    <row r="8" spans="1:14" ht="13.8">
      <c r="C8" s="155"/>
      <c r="D8" s="156"/>
      <c r="E8" s="156"/>
      <c r="F8" s="156"/>
      <c r="G8" s="156"/>
      <c r="H8" s="156"/>
      <c r="I8" s="156"/>
      <c r="J8" s="156"/>
      <c r="K8" s="157"/>
      <c r="M8" s="118" t="s">
        <v>6</v>
      </c>
    </row>
    <row r="11" spans="1:14" s="113" customFormat="1" ht="15" customHeight="1">
      <c r="E11" s="117"/>
    </row>
    <row r="12" spans="1:14" s="113" customFormat="1" ht="15" customHeight="1"/>
    <row r="14" spans="1:14" ht="18">
      <c r="A14" s="2" t="s">
        <v>7</v>
      </c>
    </row>
    <row r="15" spans="1:14" ht="18">
      <c r="B15" s="3" t="s">
        <v>8</v>
      </c>
    </row>
    <row r="16" spans="1:14" ht="18">
      <c r="B16" s="3" t="s">
        <v>9</v>
      </c>
    </row>
    <row r="17" spans="1:27" s="113" customFormat="1" ht="18">
      <c r="B17" s="3"/>
    </row>
    <row r="18" spans="1:27" s="113" customFormat="1" ht="87" customHeight="1">
      <c r="A18" s="158" t="s">
        <v>64</v>
      </c>
      <c r="B18" s="158"/>
      <c r="C18" s="158"/>
      <c r="D18" s="158"/>
      <c r="E18" s="158"/>
      <c r="F18" s="158"/>
      <c r="G18" s="158"/>
      <c r="H18" s="158"/>
      <c r="I18" s="158"/>
      <c r="J18" s="158"/>
      <c r="K18" s="158"/>
      <c r="L18" s="158"/>
      <c r="M18" s="158"/>
      <c r="N18" s="158"/>
      <c r="O18" s="158"/>
      <c r="P18" s="158"/>
      <c r="Q18" s="158"/>
      <c r="R18" s="158"/>
      <c r="S18" s="158"/>
      <c r="T18" s="158"/>
      <c r="U18" s="158"/>
      <c r="V18" s="158"/>
      <c r="W18" s="158"/>
      <c r="X18" s="158"/>
      <c r="Y18" s="158"/>
      <c r="Z18" s="158"/>
      <c r="AA18" s="158"/>
    </row>
    <row r="19" spans="1:27" s="129" customFormat="1" ht="87" customHeight="1">
      <c r="A19" s="130"/>
      <c r="B19" s="130"/>
      <c r="C19" s="130"/>
      <c r="D19" s="130"/>
      <c r="E19" s="130"/>
      <c r="F19" s="130"/>
      <c r="G19" s="130"/>
      <c r="H19" s="130"/>
      <c r="I19" s="131" t="s">
        <v>6</v>
      </c>
      <c r="J19" s="130"/>
      <c r="K19" s="130"/>
      <c r="L19" s="130"/>
      <c r="M19" s="130"/>
      <c r="N19" s="130"/>
      <c r="O19" s="130"/>
      <c r="P19" s="130"/>
      <c r="Q19" s="130"/>
      <c r="R19" s="130"/>
      <c r="S19" s="130"/>
      <c r="T19" s="130"/>
      <c r="U19" s="130"/>
      <c r="V19" s="130"/>
      <c r="W19" s="130"/>
      <c r="X19" s="130"/>
      <c r="Y19" s="130"/>
      <c r="Z19" s="130"/>
      <c r="AA19" s="130"/>
    </row>
    <row r="20" spans="1:27" s="113" customFormat="1" ht="28.05" customHeight="1">
      <c r="B20" s="3"/>
    </row>
    <row r="21" spans="1:27" ht="17.399999999999999">
      <c r="A21" s="4"/>
      <c r="B21" s="107"/>
    </row>
    <row r="22" spans="1:27" ht="17.399999999999999">
      <c r="A22" s="4"/>
      <c r="B22" s="5"/>
      <c r="C22" s="5"/>
      <c r="D22" s="5"/>
      <c r="E22" s="5"/>
      <c r="F22" s="5"/>
      <c r="G22" s="5"/>
      <c r="H22" s="5"/>
      <c r="I22" s="5"/>
      <c r="J22" s="5"/>
      <c r="K22" s="5"/>
      <c r="L22" s="5"/>
      <c r="M22" s="5"/>
      <c r="N22" s="5"/>
      <c r="O22" s="5"/>
      <c r="P22" s="5"/>
      <c r="Q22" s="5"/>
      <c r="R22" s="5"/>
      <c r="S22" s="5"/>
      <c r="T22" s="5"/>
      <c r="U22" s="5"/>
      <c r="V22" s="5"/>
      <c r="W22" s="5"/>
      <c r="X22" s="5"/>
      <c r="Y22" s="5"/>
      <c r="Z22" s="5"/>
    </row>
    <row r="23" spans="1:27" ht="17.399999999999999">
      <c r="A23" s="4"/>
      <c r="B23" s="5"/>
      <c r="C23" s="5"/>
      <c r="D23" s="5"/>
      <c r="E23" s="5"/>
      <c r="F23" s="5"/>
      <c r="G23" s="5"/>
      <c r="H23" s="5"/>
      <c r="I23" s="5"/>
      <c r="J23" s="5"/>
      <c r="K23" s="5"/>
      <c r="L23" s="5"/>
      <c r="M23" s="5"/>
      <c r="N23" s="5"/>
      <c r="O23" s="5"/>
      <c r="P23" s="5"/>
      <c r="Q23" s="5"/>
      <c r="R23" s="5"/>
      <c r="S23" s="5"/>
      <c r="T23" s="5"/>
      <c r="U23" s="5"/>
      <c r="V23" s="5"/>
      <c r="W23" s="5"/>
      <c r="X23" s="5"/>
      <c r="Y23" s="5"/>
      <c r="Z23" s="5"/>
    </row>
    <row r="24" spans="1:27" ht="18">
      <c r="A24" s="3"/>
      <c r="B24" s="5"/>
      <c r="C24" s="5"/>
      <c r="D24" s="5"/>
      <c r="E24" s="5"/>
      <c r="F24" s="5"/>
      <c r="G24" s="5"/>
      <c r="H24" s="5"/>
      <c r="I24" s="5"/>
      <c r="J24" s="5"/>
      <c r="K24" s="5"/>
      <c r="L24" s="5"/>
      <c r="M24" s="5"/>
      <c r="N24" s="5"/>
      <c r="O24" s="5"/>
      <c r="P24" s="5"/>
      <c r="Q24" s="5"/>
      <c r="R24" s="5"/>
      <c r="S24" s="5"/>
      <c r="T24" s="5"/>
      <c r="U24" s="5"/>
      <c r="V24" s="5"/>
      <c r="W24" s="5"/>
      <c r="X24" s="5"/>
      <c r="Y24" s="5"/>
      <c r="Z24" s="5"/>
    </row>
    <row r="25" spans="1:27" ht="18">
      <c r="A25" s="3"/>
      <c r="B25" s="5"/>
      <c r="C25" s="5"/>
      <c r="D25" s="5"/>
      <c r="E25" s="5"/>
      <c r="F25" s="5"/>
      <c r="G25" s="5"/>
      <c r="H25" s="5"/>
      <c r="I25" s="5"/>
      <c r="J25" s="5"/>
      <c r="K25" s="5"/>
      <c r="L25" s="5"/>
      <c r="M25" s="5"/>
      <c r="N25" s="5"/>
      <c r="O25" s="5"/>
      <c r="P25" s="5"/>
      <c r="Q25" s="5"/>
      <c r="R25" s="5"/>
      <c r="S25" s="5"/>
      <c r="T25" s="5"/>
      <c r="U25" s="5"/>
      <c r="V25" s="5"/>
      <c r="W25" s="5"/>
      <c r="X25" s="5"/>
      <c r="Y25" s="5"/>
      <c r="Z25" s="5"/>
    </row>
    <row r="28" spans="1:27" ht="18">
      <c r="A28" s="3"/>
    </row>
    <row r="30" spans="1:27" ht="15.75" customHeight="1"/>
    <row r="31" spans="1:27" ht="15.75" customHeight="1"/>
    <row r="32" spans="1:27"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spans="1:1" ht="15.75" customHeight="1"/>
    <row r="98" spans="1:1" ht="15.75" customHeight="1"/>
    <row r="99" spans="1:1" ht="15.75" customHeight="1"/>
    <row r="100" spans="1:1" ht="15.75" customHeight="1"/>
    <row r="101" spans="1:1" ht="15.75" customHeight="1"/>
    <row r="102" spans="1:1" ht="15.75" customHeight="1"/>
    <row r="103" spans="1:1" ht="15.75" customHeight="1"/>
    <row r="104" spans="1:1" ht="15.75" customHeight="1"/>
    <row r="105" spans="1:1" ht="15.75" customHeight="1"/>
    <row r="106" spans="1:1" ht="15.75" customHeight="1"/>
    <row r="107" spans="1:1" ht="15.75" customHeight="1">
      <c r="A107" s="127"/>
    </row>
    <row r="108" spans="1:1" ht="15.75" customHeight="1">
      <c r="A108" s="128"/>
    </row>
    <row r="109" spans="1:1" ht="15.75" customHeight="1">
      <c r="A109" s="117"/>
    </row>
    <row r="110" spans="1:1" ht="15.75" customHeight="1"/>
    <row r="111" spans="1:1" ht="15.75" customHeight="1"/>
    <row r="112" spans="1:1"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sheetData>
  <mergeCells count="2">
    <mergeCell ref="C1:K8"/>
    <mergeCell ref="A18:AA18"/>
  </mergeCells>
  <hyperlinks>
    <hyperlink ref="M8" r:id="rId1" xr:uid="{00000000-0004-0000-0000-000000000000}"/>
    <hyperlink ref="I19" r:id="rId2" xr:uid="{3FB0352F-C390-584F-8502-2362D8E987C1}"/>
  </hyperlinks>
  <pageMargins left="0.7" right="0.7" top="0.75" bottom="0.75" header="0" footer="0"/>
  <pageSetup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putsSheet">
                <anchor moveWithCells="1" sizeWithCells="1">
                  <from>
                    <xdr:col>19</xdr:col>
                    <xdr:colOff>129540</xdr:colOff>
                    <xdr:row>0</xdr:row>
                    <xdr:rowOff>114300</xdr:rowOff>
                  </from>
                  <to>
                    <xdr:col>21</xdr:col>
                    <xdr:colOff>434340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3:E1001"/>
  <sheetViews>
    <sheetView showGridLines="0" topLeftCell="A3" zoomScaleNormal="100" workbookViewId="0">
      <selection activeCell="B4" sqref="B4"/>
    </sheetView>
  </sheetViews>
  <sheetFormatPr baseColWidth="10" defaultColWidth="12.69921875" defaultRowHeight="15" customHeight="1"/>
  <cols>
    <col min="1" max="1" width="35.796875" customWidth="1"/>
    <col min="2" max="2" width="9.796875" customWidth="1"/>
    <col min="3" max="3" width="7.69921875" customWidth="1"/>
    <col min="4" max="4" width="29.5" customWidth="1"/>
    <col min="5" max="23" width="7.69921875" customWidth="1"/>
  </cols>
  <sheetData>
    <row r="3" spans="1:4" ht="14.4">
      <c r="A3" s="159" t="s">
        <v>10</v>
      </c>
      <c r="B3" s="160"/>
    </row>
    <row r="4" spans="1:4" ht="14.4">
      <c r="A4" s="6" t="s">
        <v>11</v>
      </c>
      <c r="B4" s="7" t="s">
        <v>12</v>
      </c>
    </row>
    <row r="5" spans="1:4" ht="14.4">
      <c r="A5" s="8" t="s">
        <v>13</v>
      </c>
      <c r="B5" s="9">
        <v>100</v>
      </c>
    </row>
    <row r="6" spans="1:4" ht="14.4">
      <c r="A6" s="8" t="s">
        <v>14</v>
      </c>
      <c r="B6" s="9">
        <v>105</v>
      </c>
    </row>
    <row r="7" spans="1:4" ht="14.4">
      <c r="A7" s="8" t="s">
        <v>15</v>
      </c>
      <c r="B7" s="10">
        <v>0.01</v>
      </c>
    </row>
    <row r="8" spans="1:4" ht="14.4">
      <c r="A8" s="8" t="s">
        <v>16</v>
      </c>
      <c r="B8" s="10">
        <v>0.2</v>
      </c>
    </row>
    <row r="9" spans="1:4" ht="14.4">
      <c r="A9" s="8" t="s">
        <v>17</v>
      </c>
      <c r="B9" s="11">
        <v>0.5</v>
      </c>
      <c r="D9" s="12"/>
    </row>
    <row r="10" spans="1:4" ht="14.4">
      <c r="A10" s="8" t="s">
        <v>18</v>
      </c>
      <c r="B10" s="13">
        <v>0.1</v>
      </c>
    </row>
    <row r="11" spans="1:4" ht="14.4">
      <c r="A11" s="8" t="s">
        <v>19</v>
      </c>
      <c r="B11" s="13">
        <v>0.03</v>
      </c>
    </row>
    <row r="12" spans="1:4" ht="14.4">
      <c r="A12" s="8" t="s">
        <v>20</v>
      </c>
      <c r="B12" s="14">
        <v>30</v>
      </c>
    </row>
    <row r="13" spans="1:4" ht="14.4">
      <c r="A13" s="8" t="s">
        <v>85</v>
      </c>
      <c r="B13" s="148">
        <v>44297</v>
      </c>
    </row>
    <row r="14" spans="1:4" ht="14.4">
      <c r="A14" s="8" t="s">
        <v>86</v>
      </c>
      <c r="B14" s="7" t="s">
        <v>89</v>
      </c>
    </row>
    <row r="15" spans="1:4" ht="14.4">
      <c r="B15" s="15"/>
    </row>
    <row r="16" spans="1:4" ht="14.4">
      <c r="B16" s="15"/>
    </row>
    <row r="17" spans="2:2" ht="14.4">
      <c r="B17" s="15"/>
    </row>
    <row r="18" spans="2:2" ht="14.4">
      <c r="B18" s="15"/>
    </row>
    <row r="19" spans="2:2" ht="14.4">
      <c r="B19" s="15"/>
    </row>
    <row r="20" spans="2:2" ht="14.4">
      <c r="B20" s="15"/>
    </row>
    <row r="21" spans="2:2" ht="14.4">
      <c r="B21" s="15"/>
    </row>
    <row r="22" spans="2:2" ht="15.75" customHeight="1">
      <c r="B22" s="15"/>
    </row>
    <row r="23" spans="2:2" ht="15.75" customHeight="1">
      <c r="B23" s="15"/>
    </row>
    <row r="24" spans="2:2" ht="15.75" customHeight="1">
      <c r="B24" s="15"/>
    </row>
    <row r="25" spans="2:2" ht="15.75" customHeight="1">
      <c r="B25" s="15"/>
    </row>
    <row r="26" spans="2:2" ht="15.75" customHeight="1">
      <c r="B26" s="15"/>
    </row>
    <row r="27" spans="2:2" ht="15.75" customHeight="1">
      <c r="B27" s="15"/>
    </row>
    <row r="28" spans="2:2" ht="15.75" customHeight="1">
      <c r="B28" s="15"/>
    </row>
    <row r="29" spans="2:2" ht="15.75" customHeight="1">
      <c r="B29" s="15"/>
    </row>
    <row r="30" spans="2:2" ht="15.75" customHeight="1">
      <c r="B30" s="15"/>
    </row>
    <row r="31" spans="2:2" ht="15.75" customHeight="1">
      <c r="B31" s="15"/>
    </row>
    <row r="32" spans="2:2" ht="15.75" customHeight="1">
      <c r="B32" s="15"/>
    </row>
    <row r="33" spans="2:5" ht="15.75" customHeight="1">
      <c r="B33" s="15"/>
    </row>
    <row r="34" spans="2:5" ht="15.75" customHeight="1">
      <c r="B34" s="15"/>
    </row>
    <row r="35" spans="2:5" ht="15.75" customHeight="1">
      <c r="B35" s="15"/>
      <c r="E35" s="54"/>
    </row>
    <row r="36" spans="2:5" ht="15.75" customHeight="1">
      <c r="B36" s="15"/>
    </row>
    <row r="37" spans="2:5" ht="15.75" customHeight="1">
      <c r="B37" s="15"/>
    </row>
    <row r="38" spans="2:5" ht="15.75" customHeight="1">
      <c r="B38" s="15"/>
    </row>
    <row r="39" spans="2:5" ht="15.75" customHeight="1">
      <c r="B39" s="15"/>
    </row>
    <row r="40" spans="2:5" ht="15.75" customHeight="1">
      <c r="B40" s="15"/>
    </row>
    <row r="41" spans="2:5" ht="15.75" customHeight="1">
      <c r="B41" s="15"/>
    </row>
    <row r="42" spans="2:5" ht="15.75" customHeight="1">
      <c r="B42" s="15"/>
    </row>
    <row r="43" spans="2:5" ht="15.75" customHeight="1">
      <c r="B43" s="15"/>
    </row>
    <row r="44" spans="2:5" ht="15.75" customHeight="1">
      <c r="B44" s="15"/>
    </row>
    <row r="45" spans="2:5" ht="15.75" customHeight="1">
      <c r="B45" s="15"/>
    </row>
    <row r="46" spans="2:5" ht="15.75" customHeight="1">
      <c r="B46" s="15"/>
    </row>
    <row r="47" spans="2:5" ht="15.75" customHeight="1">
      <c r="B47" s="15"/>
    </row>
    <row r="48" spans="2:5" ht="15.75" customHeight="1">
      <c r="B48" s="15"/>
    </row>
    <row r="49" spans="2:2" ht="15.75" customHeight="1">
      <c r="B49" s="15"/>
    </row>
    <row r="50" spans="2:2" ht="15.75" customHeight="1">
      <c r="B50" s="15"/>
    </row>
    <row r="51" spans="2:2" ht="15.75" customHeight="1">
      <c r="B51" s="15"/>
    </row>
    <row r="52" spans="2:2" ht="15.75" customHeight="1">
      <c r="B52" s="15"/>
    </row>
    <row r="53" spans="2:2" ht="15.75" customHeight="1">
      <c r="B53" s="15"/>
    </row>
    <row r="54" spans="2:2" ht="15.75" customHeight="1">
      <c r="B54" s="15"/>
    </row>
    <row r="55" spans="2:2" ht="15.75" customHeight="1">
      <c r="B55" s="15"/>
    </row>
    <row r="56" spans="2:2" ht="15.75" customHeight="1">
      <c r="B56" s="15"/>
    </row>
    <row r="57" spans="2:2" ht="15.75" customHeight="1">
      <c r="B57" s="15"/>
    </row>
    <row r="58" spans="2:2" ht="15.75" customHeight="1">
      <c r="B58" s="15"/>
    </row>
    <row r="59" spans="2:2" ht="15.75" customHeight="1">
      <c r="B59" s="15"/>
    </row>
    <row r="60" spans="2:2" ht="15.75" customHeight="1">
      <c r="B60" s="15"/>
    </row>
    <row r="61" spans="2:2" ht="15.75" customHeight="1">
      <c r="B61" s="15"/>
    </row>
    <row r="62" spans="2:2" ht="15.75" customHeight="1">
      <c r="B62" s="15"/>
    </row>
    <row r="63" spans="2:2" ht="15.75" customHeight="1">
      <c r="B63" s="15"/>
    </row>
    <row r="64" spans="2:2" ht="15.75" customHeight="1">
      <c r="B64" s="15"/>
    </row>
    <row r="65" spans="2:2" ht="15.75" customHeight="1">
      <c r="B65" s="15"/>
    </row>
    <row r="66" spans="2:2" ht="15.75" customHeight="1">
      <c r="B66" s="15"/>
    </row>
    <row r="67" spans="2:2" ht="15.75" customHeight="1">
      <c r="B67" s="15"/>
    </row>
    <row r="68" spans="2:2" ht="15.75" customHeight="1">
      <c r="B68" s="15"/>
    </row>
    <row r="69" spans="2:2" ht="15.75" customHeight="1">
      <c r="B69" s="15"/>
    </row>
    <row r="70" spans="2:2" ht="15.75" customHeight="1">
      <c r="B70" s="15"/>
    </row>
    <row r="71" spans="2:2" ht="15.75" customHeight="1">
      <c r="B71" s="15"/>
    </row>
    <row r="72" spans="2:2" ht="15.75" customHeight="1">
      <c r="B72" s="15"/>
    </row>
    <row r="73" spans="2:2" ht="15.75" customHeight="1">
      <c r="B73" s="15"/>
    </row>
    <row r="74" spans="2:2" ht="15.75" customHeight="1">
      <c r="B74" s="15"/>
    </row>
    <row r="75" spans="2:2" ht="15.75" customHeight="1">
      <c r="B75" s="15"/>
    </row>
    <row r="76" spans="2:2" ht="15.75" customHeight="1">
      <c r="B76" s="15"/>
    </row>
    <row r="77" spans="2:2" ht="15.75" customHeight="1">
      <c r="B77" s="15"/>
    </row>
    <row r="78" spans="2:2" ht="15.75" customHeight="1">
      <c r="B78" s="15"/>
    </row>
    <row r="79" spans="2:2" ht="15.75" customHeight="1">
      <c r="B79" s="15"/>
    </row>
    <row r="80" spans="2:2" ht="15.75" customHeight="1">
      <c r="B80" s="15"/>
    </row>
    <row r="81" spans="2:2" ht="15.75" customHeight="1">
      <c r="B81" s="15"/>
    </row>
    <row r="82" spans="2:2" ht="15.75" customHeight="1">
      <c r="B82" s="15"/>
    </row>
    <row r="83" spans="2:2" ht="15.75" customHeight="1">
      <c r="B83" s="15"/>
    </row>
    <row r="84" spans="2:2" ht="15.75" customHeight="1">
      <c r="B84" s="15"/>
    </row>
    <row r="85" spans="2:2" ht="15.75" customHeight="1">
      <c r="B85" s="15"/>
    </row>
    <row r="86" spans="2:2" ht="15.75" customHeight="1">
      <c r="B86" s="15"/>
    </row>
    <row r="87" spans="2:2" ht="15.75" customHeight="1">
      <c r="B87" s="15"/>
    </row>
    <row r="88" spans="2:2" ht="15.75" customHeight="1">
      <c r="B88" s="15"/>
    </row>
    <row r="89" spans="2:2" ht="15.75" customHeight="1">
      <c r="B89" s="15"/>
    </row>
    <row r="90" spans="2:2" ht="15.75" customHeight="1">
      <c r="B90" s="15"/>
    </row>
    <row r="91" spans="2:2" ht="15.75" customHeight="1">
      <c r="B91" s="15"/>
    </row>
    <row r="92" spans="2:2" ht="15.75" customHeight="1">
      <c r="B92" s="15"/>
    </row>
    <row r="93" spans="2:2" ht="15.75" customHeight="1">
      <c r="B93" s="15"/>
    </row>
    <row r="94" spans="2:2" ht="15.75" customHeight="1">
      <c r="B94" s="15"/>
    </row>
    <row r="95" spans="2:2" ht="15.75" customHeight="1">
      <c r="B95" s="15"/>
    </row>
    <row r="96" spans="2:2" ht="15.75" customHeight="1">
      <c r="B96" s="15"/>
    </row>
    <row r="97" spans="2:2" ht="15.75" customHeight="1">
      <c r="B97" s="15"/>
    </row>
    <row r="98" spans="2:2" ht="15.75" customHeight="1">
      <c r="B98" s="15"/>
    </row>
    <row r="99" spans="2:2" ht="15.75" customHeight="1">
      <c r="B99" s="15"/>
    </row>
    <row r="100" spans="2:2" ht="15.75" customHeight="1">
      <c r="B100" s="15"/>
    </row>
    <row r="101" spans="2:2" ht="15.75" customHeight="1">
      <c r="B101" s="15"/>
    </row>
    <row r="102" spans="2:2" ht="15.75" customHeight="1">
      <c r="B102" s="15"/>
    </row>
    <row r="103" spans="2:2" ht="15.75" customHeight="1">
      <c r="B103" s="15"/>
    </row>
    <row r="104" spans="2:2" ht="15.75" customHeight="1">
      <c r="B104" s="15"/>
    </row>
    <row r="105" spans="2:2" ht="15.75" customHeight="1">
      <c r="B105" s="15"/>
    </row>
    <row r="106" spans="2:2" ht="15.75" customHeight="1">
      <c r="B106" s="15"/>
    </row>
    <row r="107" spans="2:2" ht="15.75" customHeight="1">
      <c r="B107" s="15"/>
    </row>
    <row r="108" spans="2:2" ht="15.75" customHeight="1">
      <c r="B108" s="15"/>
    </row>
    <row r="109" spans="2:2" ht="15.75" customHeight="1">
      <c r="B109" s="15"/>
    </row>
    <row r="110" spans="2:2" ht="15.75" customHeight="1">
      <c r="B110" s="15"/>
    </row>
    <row r="111" spans="2:2" ht="15.75" customHeight="1">
      <c r="B111" s="15"/>
    </row>
    <row r="112" spans="2:2" ht="15.75" customHeight="1">
      <c r="B112" s="15"/>
    </row>
    <row r="113" spans="2:2" ht="15.75" customHeight="1">
      <c r="B113" s="15"/>
    </row>
    <row r="114" spans="2:2" ht="15.75" customHeight="1">
      <c r="B114" s="15"/>
    </row>
    <row r="115" spans="2:2" ht="15.75" customHeight="1">
      <c r="B115" s="15"/>
    </row>
    <row r="116" spans="2:2" ht="15.75" customHeight="1">
      <c r="B116" s="15"/>
    </row>
    <row r="117" spans="2:2" ht="15.75" customHeight="1">
      <c r="B117" s="15"/>
    </row>
    <row r="118" spans="2:2" ht="15.75" customHeight="1">
      <c r="B118" s="15"/>
    </row>
    <row r="119" spans="2:2" ht="15.75" customHeight="1">
      <c r="B119" s="15"/>
    </row>
    <row r="120" spans="2:2" ht="15.75" customHeight="1">
      <c r="B120" s="15"/>
    </row>
    <row r="121" spans="2:2" ht="15.75" customHeight="1">
      <c r="B121" s="15"/>
    </row>
    <row r="122" spans="2:2" ht="15.75" customHeight="1">
      <c r="B122" s="15"/>
    </row>
    <row r="123" spans="2:2" ht="15.75" customHeight="1">
      <c r="B123" s="15"/>
    </row>
    <row r="124" spans="2:2" ht="15.75" customHeight="1">
      <c r="B124" s="15"/>
    </row>
    <row r="125" spans="2:2" ht="15.75" customHeight="1">
      <c r="B125" s="15"/>
    </row>
    <row r="126" spans="2:2" ht="15.75" customHeight="1">
      <c r="B126" s="15"/>
    </row>
    <row r="127" spans="2:2" ht="15.75" customHeight="1">
      <c r="B127" s="15"/>
    </row>
    <row r="128" spans="2:2" ht="15.75" customHeight="1">
      <c r="B128" s="15"/>
    </row>
    <row r="129" spans="2:2" ht="15.75" customHeight="1">
      <c r="B129" s="15"/>
    </row>
    <row r="130" spans="2:2" ht="15.75" customHeight="1">
      <c r="B130" s="15"/>
    </row>
    <row r="131" spans="2:2" ht="15.75" customHeight="1">
      <c r="B131" s="15"/>
    </row>
    <row r="132" spans="2:2" ht="15.75" customHeight="1">
      <c r="B132" s="15"/>
    </row>
    <row r="133" spans="2:2" ht="15.75" customHeight="1">
      <c r="B133" s="15"/>
    </row>
    <row r="134" spans="2:2" ht="15.75" customHeight="1">
      <c r="B134" s="15"/>
    </row>
    <row r="135" spans="2:2" ht="15.75" customHeight="1">
      <c r="B135" s="15"/>
    </row>
    <row r="136" spans="2:2" ht="15.75" customHeight="1">
      <c r="B136" s="15"/>
    </row>
    <row r="137" spans="2:2" ht="15.75" customHeight="1">
      <c r="B137" s="15"/>
    </row>
    <row r="138" spans="2:2" ht="15.75" customHeight="1">
      <c r="B138" s="15"/>
    </row>
    <row r="139" spans="2:2" ht="15.75" customHeight="1">
      <c r="B139" s="15"/>
    </row>
    <row r="140" spans="2:2" ht="15.75" customHeight="1">
      <c r="B140" s="15"/>
    </row>
    <row r="141" spans="2:2" ht="15.75" customHeight="1">
      <c r="B141" s="15"/>
    </row>
    <row r="142" spans="2:2" ht="15.75" customHeight="1">
      <c r="B142" s="15"/>
    </row>
    <row r="143" spans="2:2" ht="15.75" customHeight="1">
      <c r="B143" s="15"/>
    </row>
    <row r="144" spans="2:2" ht="15.75" customHeight="1">
      <c r="B144" s="15"/>
    </row>
    <row r="145" spans="2:2" ht="15.75" customHeight="1">
      <c r="B145" s="15"/>
    </row>
    <row r="146" spans="2:2" ht="15.75" customHeight="1">
      <c r="B146" s="15"/>
    </row>
    <row r="147" spans="2:2" ht="15.75" customHeight="1">
      <c r="B147" s="15"/>
    </row>
    <row r="148" spans="2:2" ht="15.75" customHeight="1">
      <c r="B148" s="15"/>
    </row>
    <row r="149" spans="2:2" ht="15.75" customHeight="1">
      <c r="B149" s="15"/>
    </row>
    <row r="150" spans="2:2" ht="15.75" customHeight="1">
      <c r="B150" s="15"/>
    </row>
    <row r="151" spans="2:2" ht="15.75" customHeight="1">
      <c r="B151" s="15"/>
    </row>
    <row r="152" spans="2:2" ht="15.75" customHeight="1">
      <c r="B152" s="15"/>
    </row>
    <row r="153" spans="2:2" ht="15.75" customHeight="1">
      <c r="B153" s="15"/>
    </row>
    <row r="154" spans="2:2" ht="15.75" customHeight="1">
      <c r="B154" s="15"/>
    </row>
    <row r="155" spans="2:2" ht="15.75" customHeight="1">
      <c r="B155" s="15"/>
    </row>
    <row r="156" spans="2:2" ht="15.75" customHeight="1">
      <c r="B156" s="15"/>
    </row>
    <row r="157" spans="2:2" ht="15.75" customHeight="1">
      <c r="B157" s="15"/>
    </row>
    <row r="158" spans="2:2" ht="15.75" customHeight="1">
      <c r="B158" s="15"/>
    </row>
    <row r="159" spans="2:2" ht="15.75" customHeight="1">
      <c r="B159" s="15"/>
    </row>
    <row r="160" spans="2:2" ht="15.75" customHeight="1">
      <c r="B160" s="15"/>
    </row>
    <row r="161" spans="2:2" ht="15.75" customHeight="1">
      <c r="B161" s="15"/>
    </row>
    <row r="162" spans="2:2" ht="15.75" customHeight="1">
      <c r="B162" s="15"/>
    </row>
    <row r="163" spans="2:2" ht="15.75" customHeight="1">
      <c r="B163" s="15"/>
    </row>
    <row r="164" spans="2:2" ht="15.75" customHeight="1">
      <c r="B164" s="15"/>
    </row>
    <row r="165" spans="2:2" ht="15.75" customHeight="1">
      <c r="B165" s="15"/>
    </row>
    <row r="166" spans="2:2" ht="15.75" customHeight="1">
      <c r="B166" s="15"/>
    </row>
    <row r="167" spans="2:2" ht="15.75" customHeight="1">
      <c r="B167" s="15"/>
    </row>
    <row r="168" spans="2:2" ht="15.75" customHeight="1">
      <c r="B168" s="15"/>
    </row>
    <row r="169" spans="2:2" ht="15.75" customHeight="1">
      <c r="B169" s="15"/>
    </row>
    <row r="170" spans="2:2" ht="15.75" customHeight="1">
      <c r="B170" s="15"/>
    </row>
    <row r="171" spans="2:2" ht="15.75" customHeight="1">
      <c r="B171" s="15"/>
    </row>
    <row r="172" spans="2:2" ht="15.75" customHeight="1">
      <c r="B172" s="15"/>
    </row>
    <row r="173" spans="2:2" ht="15.75" customHeight="1">
      <c r="B173" s="15"/>
    </row>
    <row r="174" spans="2:2" ht="15.75" customHeight="1">
      <c r="B174" s="15"/>
    </row>
    <row r="175" spans="2:2" ht="15.75" customHeight="1">
      <c r="B175" s="15"/>
    </row>
    <row r="176" spans="2:2" ht="15.75" customHeight="1">
      <c r="B176" s="15"/>
    </row>
    <row r="177" spans="2:2" ht="15.75" customHeight="1">
      <c r="B177" s="15"/>
    </row>
    <row r="178" spans="2:2" ht="15.75" customHeight="1">
      <c r="B178" s="15"/>
    </row>
    <row r="179" spans="2:2" ht="15.75" customHeight="1">
      <c r="B179" s="15"/>
    </row>
    <row r="180" spans="2:2" ht="15.75" customHeight="1">
      <c r="B180" s="15"/>
    </row>
    <row r="181" spans="2:2" ht="15.75" customHeight="1">
      <c r="B181" s="15"/>
    </row>
    <row r="182" spans="2:2" ht="15.75" customHeight="1">
      <c r="B182" s="15"/>
    </row>
    <row r="183" spans="2:2" ht="15.75" customHeight="1">
      <c r="B183" s="15"/>
    </row>
    <row r="184" spans="2:2" ht="15.75" customHeight="1">
      <c r="B184" s="15"/>
    </row>
    <row r="185" spans="2:2" ht="15.75" customHeight="1">
      <c r="B185" s="15"/>
    </row>
    <row r="186" spans="2:2" ht="15.75" customHeight="1">
      <c r="B186" s="15"/>
    </row>
    <row r="187" spans="2:2" ht="15.75" customHeight="1">
      <c r="B187" s="15"/>
    </row>
    <row r="188" spans="2:2" ht="15.75" customHeight="1">
      <c r="B188" s="15"/>
    </row>
    <row r="189" spans="2:2" ht="15.75" customHeight="1">
      <c r="B189" s="15"/>
    </row>
    <row r="190" spans="2:2" ht="15.75" customHeight="1">
      <c r="B190" s="15"/>
    </row>
    <row r="191" spans="2:2" ht="15.75" customHeight="1">
      <c r="B191" s="15"/>
    </row>
    <row r="192" spans="2:2" ht="15.75" customHeight="1">
      <c r="B192" s="15"/>
    </row>
    <row r="193" spans="2:2" ht="15.75" customHeight="1">
      <c r="B193" s="15"/>
    </row>
    <row r="194" spans="2:2" ht="15.75" customHeight="1">
      <c r="B194" s="15"/>
    </row>
    <row r="195" spans="2:2" ht="15.75" customHeight="1">
      <c r="B195" s="15"/>
    </row>
    <row r="196" spans="2:2" ht="15.75" customHeight="1">
      <c r="B196" s="15"/>
    </row>
    <row r="197" spans="2:2" ht="15.75" customHeight="1">
      <c r="B197" s="15"/>
    </row>
    <row r="198" spans="2:2" ht="15.75" customHeight="1">
      <c r="B198" s="15"/>
    </row>
    <row r="199" spans="2:2" ht="15.75" customHeight="1">
      <c r="B199" s="15"/>
    </row>
    <row r="200" spans="2:2" ht="15.75" customHeight="1">
      <c r="B200" s="15"/>
    </row>
    <row r="201" spans="2:2" ht="15.75" customHeight="1">
      <c r="B201" s="15"/>
    </row>
    <row r="202" spans="2:2" ht="15.75" customHeight="1">
      <c r="B202" s="15"/>
    </row>
    <row r="203" spans="2:2" ht="15.75" customHeight="1">
      <c r="B203" s="15"/>
    </row>
    <row r="204" spans="2:2" ht="15.75" customHeight="1">
      <c r="B204" s="15"/>
    </row>
    <row r="205" spans="2:2" ht="15.75" customHeight="1">
      <c r="B205" s="15"/>
    </row>
    <row r="206" spans="2:2" ht="15.75" customHeight="1">
      <c r="B206" s="15"/>
    </row>
    <row r="207" spans="2:2" ht="15.75" customHeight="1">
      <c r="B207" s="15"/>
    </row>
    <row r="208" spans="2:2" ht="15.75" customHeight="1">
      <c r="B208" s="15"/>
    </row>
    <row r="209" spans="2:2" ht="15.75" customHeight="1">
      <c r="B209" s="15"/>
    </row>
    <row r="210" spans="2:2" ht="15.75" customHeight="1">
      <c r="B210" s="15"/>
    </row>
    <row r="211" spans="2:2" ht="15.75" customHeight="1">
      <c r="B211" s="15"/>
    </row>
    <row r="212" spans="2:2" ht="15.75" customHeight="1">
      <c r="B212" s="15"/>
    </row>
    <row r="213" spans="2:2" ht="15.75" customHeight="1">
      <c r="B213" s="15"/>
    </row>
    <row r="214" spans="2:2" ht="15.75" customHeight="1">
      <c r="B214" s="15"/>
    </row>
    <row r="215" spans="2:2" ht="15.75" customHeight="1">
      <c r="B215" s="15"/>
    </row>
    <row r="216" spans="2:2" ht="15.75" customHeight="1">
      <c r="B216" s="15"/>
    </row>
    <row r="217" spans="2:2" ht="15.75" customHeight="1">
      <c r="B217" s="15"/>
    </row>
    <row r="218" spans="2:2" ht="15.75" customHeight="1">
      <c r="B218" s="15"/>
    </row>
    <row r="219" spans="2:2" ht="15.75" customHeight="1">
      <c r="B219" s="15"/>
    </row>
    <row r="220" spans="2:2" ht="15.75" customHeight="1">
      <c r="B220" s="15"/>
    </row>
    <row r="221" spans="2:2" ht="15.75" customHeight="1">
      <c r="B221" s="15"/>
    </row>
    <row r="222" spans="2:2" ht="15.75" customHeight="1">
      <c r="B222" s="15"/>
    </row>
    <row r="223" spans="2:2" ht="15.75" customHeight="1">
      <c r="B223" s="15"/>
    </row>
    <row r="224" spans="2:2" ht="15.75" customHeight="1">
      <c r="B224" s="15"/>
    </row>
    <row r="225" spans="2:2" ht="15.75" customHeight="1">
      <c r="B225" s="15"/>
    </row>
    <row r="226" spans="2:2" ht="15.75" customHeight="1">
      <c r="B226" s="15"/>
    </row>
    <row r="227" spans="2:2" ht="15.75" customHeight="1">
      <c r="B227" s="15"/>
    </row>
    <row r="228" spans="2:2" ht="15.75" customHeight="1">
      <c r="B228" s="15"/>
    </row>
    <row r="229" spans="2:2" ht="15.75" customHeight="1">
      <c r="B229" s="15"/>
    </row>
    <row r="230" spans="2:2" ht="15.75" customHeight="1">
      <c r="B230" s="15"/>
    </row>
    <row r="231" spans="2:2" ht="15.75" customHeight="1">
      <c r="B231" s="15"/>
    </row>
    <row r="232" spans="2:2" ht="15.75" customHeight="1">
      <c r="B232" s="15"/>
    </row>
    <row r="233" spans="2:2" ht="15.75" customHeight="1">
      <c r="B233" s="15"/>
    </row>
    <row r="234" spans="2:2" ht="15.75" customHeight="1">
      <c r="B234" s="15"/>
    </row>
    <row r="235" spans="2:2" ht="15.75" customHeight="1">
      <c r="B235" s="15"/>
    </row>
    <row r="236" spans="2:2" ht="15.75" customHeight="1">
      <c r="B236" s="15"/>
    </row>
    <row r="237" spans="2:2" ht="15.75" customHeight="1">
      <c r="B237" s="15"/>
    </row>
    <row r="238" spans="2:2" ht="15.75" customHeight="1">
      <c r="B238" s="15"/>
    </row>
    <row r="239" spans="2:2" ht="15.75" customHeight="1">
      <c r="B239" s="15"/>
    </row>
    <row r="240" spans="2:2" ht="15.75" customHeight="1">
      <c r="B240" s="15"/>
    </row>
    <row r="241" spans="2:2" ht="15.75" customHeight="1">
      <c r="B241" s="15"/>
    </row>
    <row r="242" spans="2:2" ht="15.75" customHeight="1">
      <c r="B242" s="15"/>
    </row>
    <row r="243" spans="2:2" ht="15.75" customHeight="1">
      <c r="B243" s="15"/>
    </row>
    <row r="244" spans="2:2" ht="15.75" customHeight="1">
      <c r="B244" s="15"/>
    </row>
    <row r="245" spans="2:2" ht="15.75" customHeight="1">
      <c r="B245" s="15"/>
    </row>
    <row r="246" spans="2:2" ht="15.75" customHeight="1">
      <c r="B246" s="15"/>
    </row>
    <row r="247" spans="2:2" ht="15.75" customHeight="1">
      <c r="B247" s="15"/>
    </row>
    <row r="248" spans="2:2" ht="15.75" customHeight="1">
      <c r="B248" s="15"/>
    </row>
    <row r="249" spans="2:2" ht="15.75" customHeight="1">
      <c r="B249" s="15"/>
    </row>
    <row r="250" spans="2:2" ht="15.75" customHeight="1">
      <c r="B250" s="15"/>
    </row>
    <row r="251" spans="2:2" ht="15.75" customHeight="1">
      <c r="B251" s="15"/>
    </row>
    <row r="252" spans="2:2" ht="15.75" customHeight="1">
      <c r="B252" s="15"/>
    </row>
    <row r="253" spans="2:2" ht="15.75" customHeight="1">
      <c r="B253" s="15"/>
    </row>
    <row r="254" spans="2:2" ht="15.75" customHeight="1">
      <c r="B254" s="15"/>
    </row>
    <row r="255" spans="2:2" ht="15.75" customHeight="1">
      <c r="B255" s="15"/>
    </row>
    <row r="256" spans="2:2" ht="15.75" customHeight="1">
      <c r="B256" s="15"/>
    </row>
    <row r="257" spans="2:2" ht="15.75" customHeight="1">
      <c r="B257" s="15"/>
    </row>
    <row r="258" spans="2:2" ht="15.75" customHeight="1">
      <c r="B258" s="15"/>
    </row>
    <row r="259" spans="2:2" ht="15.75" customHeight="1">
      <c r="B259" s="15"/>
    </row>
    <row r="260" spans="2:2" ht="15.75" customHeight="1">
      <c r="B260" s="15"/>
    </row>
    <row r="261" spans="2:2" ht="15.75" customHeight="1">
      <c r="B261" s="15"/>
    </row>
    <row r="262" spans="2:2" ht="15.75" customHeight="1">
      <c r="B262" s="15"/>
    </row>
    <row r="263" spans="2:2" ht="15.75" customHeight="1">
      <c r="B263" s="15"/>
    </row>
    <row r="264" spans="2:2" ht="15.75" customHeight="1">
      <c r="B264" s="15"/>
    </row>
    <row r="265" spans="2:2" ht="15.75" customHeight="1">
      <c r="B265" s="15"/>
    </row>
    <row r="266" spans="2:2" ht="15.75" customHeight="1">
      <c r="B266" s="15"/>
    </row>
    <row r="267" spans="2:2" ht="15.75" customHeight="1">
      <c r="B267" s="15"/>
    </row>
    <row r="268" spans="2:2" ht="15.75" customHeight="1">
      <c r="B268" s="15"/>
    </row>
    <row r="269" spans="2:2" ht="15.75" customHeight="1">
      <c r="B269" s="15"/>
    </row>
    <row r="270" spans="2:2" ht="15.75" customHeight="1">
      <c r="B270" s="15"/>
    </row>
    <row r="271" spans="2:2" ht="15.75" customHeight="1">
      <c r="B271" s="15"/>
    </row>
    <row r="272" spans="2:2" ht="15.75" customHeight="1">
      <c r="B272" s="15"/>
    </row>
    <row r="273" spans="2:2" ht="15.75" customHeight="1">
      <c r="B273" s="15"/>
    </row>
    <row r="274" spans="2:2" ht="15.75" customHeight="1">
      <c r="B274" s="15"/>
    </row>
    <row r="275" spans="2:2" ht="15.75" customHeight="1">
      <c r="B275" s="15"/>
    </row>
    <row r="276" spans="2:2" ht="15.75" customHeight="1">
      <c r="B276" s="15"/>
    </row>
    <row r="277" spans="2:2" ht="15.75" customHeight="1">
      <c r="B277" s="15"/>
    </row>
    <row r="278" spans="2:2" ht="15.75" customHeight="1">
      <c r="B278" s="15"/>
    </row>
    <row r="279" spans="2:2" ht="15.75" customHeight="1">
      <c r="B279" s="15"/>
    </row>
    <row r="280" spans="2:2" ht="15.75" customHeight="1">
      <c r="B280" s="15"/>
    </row>
    <row r="281" spans="2:2" ht="15.75" customHeight="1">
      <c r="B281" s="15"/>
    </row>
    <row r="282" spans="2:2" ht="15.75" customHeight="1">
      <c r="B282" s="15"/>
    </row>
    <row r="283" spans="2:2" ht="15.75" customHeight="1">
      <c r="B283" s="15"/>
    </row>
    <row r="284" spans="2:2" ht="15.75" customHeight="1">
      <c r="B284" s="15"/>
    </row>
    <row r="285" spans="2:2" ht="15.75" customHeight="1">
      <c r="B285" s="15"/>
    </row>
    <row r="286" spans="2:2" ht="15.75" customHeight="1">
      <c r="B286" s="15"/>
    </row>
    <row r="287" spans="2:2" ht="15.75" customHeight="1">
      <c r="B287" s="15"/>
    </row>
    <row r="288" spans="2:2" ht="15.75" customHeight="1">
      <c r="B288" s="15"/>
    </row>
    <row r="289" spans="2:2" ht="15.75" customHeight="1">
      <c r="B289" s="15"/>
    </row>
    <row r="290" spans="2:2" ht="15.75" customHeight="1">
      <c r="B290" s="15"/>
    </row>
    <row r="291" spans="2:2" ht="15.75" customHeight="1">
      <c r="B291" s="15"/>
    </row>
    <row r="292" spans="2:2" ht="15.75" customHeight="1">
      <c r="B292" s="15"/>
    </row>
    <row r="293" spans="2:2" ht="15.75" customHeight="1">
      <c r="B293" s="15"/>
    </row>
    <row r="294" spans="2:2" ht="15.75" customHeight="1">
      <c r="B294" s="15"/>
    </row>
    <row r="295" spans="2:2" ht="15.75" customHeight="1">
      <c r="B295" s="15"/>
    </row>
    <row r="296" spans="2:2" ht="15.75" customHeight="1">
      <c r="B296" s="15"/>
    </row>
    <row r="297" spans="2:2" ht="15.75" customHeight="1">
      <c r="B297" s="15"/>
    </row>
    <row r="298" spans="2:2" ht="15.75" customHeight="1">
      <c r="B298" s="15"/>
    </row>
    <row r="299" spans="2:2" ht="15.75" customHeight="1">
      <c r="B299" s="15"/>
    </row>
    <row r="300" spans="2:2" ht="15.75" customHeight="1">
      <c r="B300" s="15"/>
    </row>
    <row r="301" spans="2:2" ht="15.75" customHeight="1">
      <c r="B301" s="15"/>
    </row>
    <row r="302" spans="2:2" ht="15.75" customHeight="1">
      <c r="B302" s="15"/>
    </row>
    <row r="303" spans="2:2" ht="15.75" customHeight="1">
      <c r="B303" s="15"/>
    </row>
    <row r="304" spans="2:2" ht="15.75" customHeight="1">
      <c r="B304" s="15"/>
    </row>
    <row r="305" spans="2:2" ht="15.75" customHeight="1">
      <c r="B305" s="15"/>
    </row>
    <row r="306" spans="2:2" ht="15.75" customHeight="1">
      <c r="B306" s="15"/>
    </row>
    <row r="307" spans="2:2" ht="15.75" customHeight="1">
      <c r="B307" s="15"/>
    </row>
    <row r="308" spans="2:2" ht="15.75" customHeight="1">
      <c r="B308" s="15"/>
    </row>
    <row r="309" spans="2:2" ht="15.75" customHeight="1">
      <c r="B309" s="15"/>
    </row>
    <row r="310" spans="2:2" ht="15.75" customHeight="1">
      <c r="B310" s="15"/>
    </row>
    <row r="311" spans="2:2" ht="15.75" customHeight="1">
      <c r="B311" s="15"/>
    </row>
    <row r="312" spans="2:2" ht="15.75" customHeight="1">
      <c r="B312" s="15"/>
    </row>
    <row r="313" spans="2:2" ht="15.75" customHeight="1">
      <c r="B313" s="15"/>
    </row>
    <row r="314" spans="2:2" ht="15.75" customHeight="1">
      <c r="B314" s="15"/>
    </row>
    <row r="315" spans="2:2" ht="15.75" customHeight="1">
      <c r="B315" s="15"/>
    </row>
    <row r="316" spans="2:2" ht="15.75" customHeight="1">
      <c r="B316" s="15"/>
    </row>
    <row r="317" spans="2:2" ht="15.75" customHeight="1">
      <c r="B317" s="15"/>
    </row>
    <row r="318" spans="2:2" ht="15.75" customHeight="1">
      <c r="B318" s="15"/>
    </row>
    <row r="319" spans="2:2" ht="15.75" customHeight="1">
      <c r="B319" s="15"/>
    </row>
    <row r="320" spans="2:2" ht="15.75" customHeight="1">
      <c r="B320" s="15"/>
    </row>
    <row r="321" spans="2:2" ht="15.75" customHeight="1">
      <c r="B321" s="15"/>
    </row>
    <row r="322" spans="2:2" ht="15.75" customHeight="1">
      <c r="B322" s="15"/>
    </row>
    <row r="323" spans="2:2" ht="15.75" customHeight="1">
      <c r="B323" s="15"/>
    </row>
    <row r="324" spans="2:2" ht="15.75" customHeight="1">
      <c r="B324" s="15"/>
    </row>
    <row r="325" spans="2:2" ht="15.75" customHeight="1">
      <c r="B325" s="15"/>
    </row>
    <row r="326" spans="2:2" ht="15.75" customHeight="1">
      <c r="B326" s="15"/>
    </row>
    <row r="327" spans="2:2" ht="15.75" customHeight="1">
      <c r="B327" s="15"/>
    </row>
    <row r="328" spans="2:2" ht="15.75" customHeight="1">
      <c r="B328" s="15"/>
    </row>
    <row r="329" spans="2:2" ht="15.75" customHeight="1">
      <c r="B329" s="15"/>
    </row>
    <row r="330" spans="2:2" ht="15.75" customHeight="1">
      <c r="B330" s="15"/>
    </row>
    <row r="331" spans="2:2" ht="15.75" customHeight="1">
      <c r="B331" s="15"/>
    </row>
    <row r="332" spans="2:2" ht="15.75" customHeight="1">
      <c r="B332" s="15"/>
    </row>
    <row r="333" spans="2:2" ht="15.75" customHeight="1">
      <c r="B333" s="15"/>
    </row>
    <row r="334" spans="2:2" ht="15.75" customHeight="1">
      <c r="B334" s="15"/>
    </row>
    <row r="335" spans="2:2" ht="15.75" customHeight="1">
      <c r="B335" s="15"/>
    </row>
    <row r="336" spans="2:2" ht="15.75" customHeight="1">
      <c r="B336" s="15"/>
    </row>
    <row r="337" spans="2:2" ht="15.75" customHeight="1">
      <c r="B337" s="15"/>
    </row>
    <row r="338" spans="2:2" ht="15.75" customHeight="1">
      <c r="B338" s="15"/>
    </row>
    <row r="339" spans="2:2" ht="15.75" customHeight="1">
      <c r="B339" s="15"/>
    </row>
    <row r="340" spans="2:2" ht="15.75" customHeight="1">
      <c r="B340" s="15"/>
    </row>
    <row r="341" spans="2:2" ht="15.75" customHeight="1">
      <c r="B341" s="15"/>
    </row>
    <row r="342" spans="2:2" ht="15.75" customHeight="1">
      <c r="B342" s="15"/>
    </row>
    <row r="343" spans="2:2" ht="15.75" customHeight="1">
      <c r="B343" s="15"/>
    </row>
    <row r="344" spans="2:2" ht="15.75" customHeight="1">
      <c r="B344" s="15"/>
    </row>
    <row r="345" spans="2:2" ht="15.75" customHeight="1">
      <c r="B345" s="15"/>
    </row>
    <row r="346" spans="2:2" ht="15.75" customHeight="1">
      <c r="B346" s="15"/>
    </row>
    <row r="347" spans="2:2" ht="15.75" customHeight="1">
      <c r="B347" s="15"/>
    </row>
    <row r="348" spans="2:2" ht="15.75" customHeight="1">
      <c r="B348" s="15"/>
    </row>
    <row r="349" spans="2:2" ht="15.75" customHeight="1">
      <c r="B349" s="15"/>
    </row>
    <row r="350" spans="2:2" ht="15.75" customHeight="1">
      <c r="B350" s="15"/>
    </row>
    <row r="351" spans="2:2" ht="15.75" customHeight="1">
      <c r="B351" s="15"/>
    </row>
    <row r="352" spans="2:2" ht="15.75" customHeight="1">
      <c r="B352" s="15"/>
    </row>
    <row r="353" spans="2:2" ht="15.75" customHeight="1">
      <c r="B353" s="15"/>
    </row>
    <row r="354" spans="2:2" ht="15.75" customHeight="1">
      <c r="B354" s="15"/>
    </row>
    <row r="355" spans="2:2" ht="15.75" customHeight="1">
      <c r="B355" s="15"/>
    </row>
    <row r="356" spans="2:2" ht="15.75" customHeight="1">
      <c r="B356" s="15"/>
    </row>
    <row r="357" spans="2:2" ht="15.75" customHeight="1">
      <c r="B357" s="15"/>
    </row>
    <row r="358" spans="2:2" ht="15.75" customHeight="1">
      <c r="B358" s="15"/>
    </row>
    <row r="359" spans="2:2" ht="15.75" customHeight="1">
      <c r="B359" s="15"/>
    </row>
    <row r="360" spans="2:2" ht="15.75" customHeight="1">
      <c r="B360" s="15"/>
    </row>
    <row r="361" spans="2:2" ht="15.75" customHeight="1">
      <c r="B361" s="15"/>
    </row>
    <row r="362" spans="2:2" ht="15.75" customHeight="1">
      <c r="B362" s="15"/>
    </row>
    <row r="363" spans="2:2" ht="15.75" customHeight="1">
      <c r="B363" s="15"/>
    </row>
    <row r="364" spans="2:2" ht="15.75" customHeight="1">
      <c r="B364" s="15"/>
    </row>
    <row r="365" spans="2:2" ht="15.75" customHeight="1">
      <c r="B365" s="15"/>
    </row>
    <row r="366" spans="2:2" ht="15.75" customHeight="1">
      <c r="B366" s="15"/>
    </row>
    <row r="367" spans="2:2" ht="15.75" customHeight="1">
      <c r="B367" s="15"/>
    </row>
    <row r="368" spans="2:2" ht="15.75" customHeight="1">
      <c r="B368" s="15"/>
    </row>
    <row r="369" spans="2:2" ht="15.75" customHeight="1">
      <c r="B369" s="15"/>
    </row>
    <row r="370" spans="2:2" ht="15.75" customHeight="1">
      <c r="B370" s="15"/>
    </row>
    <row r="371" spans="2:2" ht="15.75" customHeight="1">
      <c r="B371" s="15"/>
    </row>
    <row r="372" spans="2:2" ht="15.75" customHeight="1">
      <c r="B372" s="15"/>
    </row>
    <row r="373" spans="2:2" ht="15.75" customHeight="1">
      <c r="B373" s="15"/>
    </row>
    <row r="374" spans="2:2" ht="15.75" customHeight="1">
      <c r="B374" s="15"/>
    </row>
    <row r="375" spans="2:2" ht="15.75" customHeight="1">
      <c r="B375" s="15"/>
    </row>
    <row r="376" spans="2:2" ht="15.75" customHeight="1">
      <c r="B376" s="15"/>
    </row>
    <row r="377" spans="2:2" ht="15.75" customHeight="1">
      <c r="B377" s="15"/>
    </row>
    <row r="378" spans="2:2" ht="15.75" customHeight="1">
      <c r="B378" s="15"/>
    </row>
    <row r="379" spans="2:2" ht="15.75" customHeight="1">
      <c r="B379" s="15"/>
    </row>
    <row r="380" spans="2:2" ht="15.75" customHeight="1">
      <c r="B380" s="15"/>
    </row>
    <row r="381" spans="2:2" ht="15.75" customHeight="1">
      <c r="B381" s="15"/>
    </row>
    <row r="382" spans="2:2" ht="15.75" customHeight="1">
      <c r="B382" s="15"/>
    </row>
    <row r="383" spans="2:2" ht="15.75" customHeight="1">
      <c r="B383" s="15"/>
    </row>
    <row r="384" spans="2:2" ht="15.75" customHeight="1">
      <c r="B384" s="15"/>
    </row>
    <row r="385" spans="2:2" ht="15.75" customHeight="1">
      <c r="B385" s="15"/>
    </row>
    <row r="386" spans="2:2" ht="15.75" customHeight="1">
      <c r="B386" s="15"/>
    </row>
    <row r="387" spans="2:2" ht="15.75" customHeight="1">
      <c r="B387" s="15"/>
    </row>
    <row r="388" spans="2:2" ht="15.75" customHeight="1">
      <c r="B388" s="15"/>
    </row>
    <row r="389" spans="2:2" ht="15.75" customHeight="1">
      <c r="B389" s="15"/>
    </row>
    <row r="390" spans="2:2" ht="15.75" customHeight="1">
      <c r="B390" s="15"/>
    </row>
    <row r="391" spans="2:2" ht="15.75" customHeight="1">
      <c r="B391" s="15"/>
    </row>
    <row r="392" spans="2:2" ht="15.75" customHeight="1">
      <c r="B392" s="15"/>
    </row>
    <row r="393" spans="2:2" ht="15.75" customHeight="1">
      <c r="B393" s="15"/>
    </row>
    <row r="394" spans="2:2" ht="15.75" customHeight="1">
      <c r="B394" s="15"/>
    </row>
    <row r="395" spans="2:2" ht="15.75" customHeight="1">
      <c r="B395" s="15"/>
    </row>
    <row r="396" spans="2:2" ht="15.75" customHeight="1">
      <c r="B396" s="15"/>
    </row>
    <row r="397" spans="2:2" ht="15.75" customHeight="1">
      <c r="B397" s="15"/>
    </row>
    <row r="398" spans="2:2" ht="15.75" customHeight="1">
      <c r="B398" s="15"/>
    </row>
    <row r="399" spans="2:2" ht="15.75" customHeight="1">
      <c r="B399" s="15"/>
    </row>
    <row r="400" spans="2:2" ht="15.75" customHeight="1">
      <c r="B400" s="15"/>
    </row>
    <row r="401" spans="2:2" ht="15.75" customHeight="1">
      <c r="B401" s="15"/>
    </row>
    <row r="402" spans="2:2" ht="15.75" customHeight="1">
      <c r="B402" s="15"/>
    </row>
    <row r="403" spans="2:2" ht="15.75" customHeight="1">
      <c r="B403" s="15"/>
    </row>
    <row r="404" spans="2:2" ht="15.75" customHeight="1">
      <c r="B404" s="15"/>
    </row>
    <row r="405" spans="2:2" ht="15.75" customHeight="1">
      <c r="B405" s="15"/>
    </row>
    <row r="406" spans="2:2" ht="15.75" customHeight="1">
      <c r="B406" s="15"/>
    </row>
    <row r="407" spans="2:2" ht="15.75" customHeight="1">
      <c r="B407" s="15"/>
    </row>
    <row r="408" spans="2:2" ht="15.75" customHeight="1">
      <c r="B408" s="15"/>
    </row>
    <row r="409" spans="2:2" ht="15.75" customHeight="1">
      <c r="B409" s="15"/>
    </row>
    <row r="410" spans="2:2" ht="15.75" customHeight="1">
      <c r="B410" s="15"/>
    </row>
    <row r="411" spans="2:2" ht="15.75" customHeight="1">
      <c r="B411" s="15"/>
    </row>
    <row r="412" spans="2:2" ht="15.75" customHeight="1">
      <c r="B412" s="15"/>
    </row>
    <row r="413" spans="2:2" ht="15.75" customHeight="1">
      <c r="B413" s="15"/>
    </row>
    <row r="414" spans="2:2" ht="15.75" customHeight="1">
      <c r="B414" s="15"/>
    </row>
    <row r="415" spans="2:2" ht="15.75" customHeight="1">
      <c r="B415" s="15"/>
    </row>
    <row r="416" spans="2:2" ht="15.75" customHeight="1">
      <c r="B416" s="15"/>
    </row>
    <row r="417" spans="2:2" ht="15.75" customHeight="1">
      <c r="B417" s="15"/>
    </row>
    <row r="418" spans="2:2" ht="15.75" customHeight="1">
      <c r="B418" s="15"/>
    </row>
    <row r="419" spans="2:2" ht="15.75" customHeight="1">
      <c r="B419" s="15"/>
    </row>
    <row r="420" spans="2:2" ht="15.75" customHeight="1">
      <c r="B420" s="15"/>
    </row>
    <row r="421" spans="2:2" ht="15.75" customHeight="1">
      <c r="B421" s="15"/>
    </row>
    <row r="422" spans="2:2" ht="15.75" customHeight="1">
      <c r="B422" s="15"/>
    </row>
    <row r="423" spans="2:2" ht="15.75" customHeight="1">
      <c r="B423" s="15"/>
    </row>
    <row r="424" spans="2:2" ht="15.75" customHeight="1">
      <c r="B424" s="15"/>
    </row>
    <row r="425" spans="2:2" ht="15.75" customHeight="1">
      <c r="B425" s="15"/>
    </row>
    <row r="426" spans="2:2" ht="15.75" customHeight="1">
      <c r="B426" s="15"/>
    </row>
    <row r="427" spans="2:2" ht="15.75" customHeight="1">
      <c r="B427" s="15"/>
    </row>
    <row r="428" spans="2:2" ht="15.75" customHeight="1">
      <c r="B428" s="15"/>
    </row>
    <row r="429" spans="2:2" ht="15.75" customHeight="1">
      <c r="B429" s="15"/>
    </row>
    <row r="430" spans="2:2" ht="15.75" customHeight="1">
      <c r="B430" s="15"/>
    </row>
    <row r="431" spans="2:2" ht="15.75" customHeight="1">
      <c r="B431" s="15"/>
    </row>
    <row r="432" spans="2:2" ht="15.75" customHeight="1">
      <c r="B432" s="15"/>
    </row>
    <row r="433" spans="2:2" ht="15.75" customHeight="1">
      <c r="B433" s="15"/>
    </row>
    <row r="434" spans="2:2" ht="15.75" customHeight="1">
      <c r="B434" s="15"/>
    </row>
    <row r="435" spans="2:2" ht="15.75" customHeight="1">
      <c r="B435" s="15"/>
    </row>
    <row r="436" spans="2:2" ht="15.75" customHeight="1">
      <c r="B436" s="15"/>
    </row>
    <row r="437" spans="2:2" ht="15.75" customHeight="1">
      <c r="B437" s="15"/>
    </row>
    <row r="438" spans="2:2" ht="15.75" customHeight="1">
      <c r="B438" s="15"/>
    </row>
    <row r="439" spans="2:2" ht="15.75" customHeight="1">
      <c r="B439" s="15"/>
    </row>
    <row r="440" spans="2:2" ht="15.75" customHeight="1">
      <c r="B440" s="15"/>
    </row>
    <row r="441" spans="2:2" ht="15.75" customHeight="1">
      <c r="B441" s="15"/>
    </row>
    <row r="442" spans="2:2" ht="15.75" customHeight="1">
      <c r="B442" s="15"/>
    </row>
    <row r="443" spans="2:2" ht="15.75" customHeight="1">
      <c r="B443" s="15"/>
    </row>
    <row r="444" spans="2:2" ht="15.75" customHeight="1">
      <c r="B444" s="15"/>
    </row>
    <row r="445" spans="2:2" ht="15.75" customHeight="1">
      <c r="B445" s="15"/>
    </row>
    <row r="446" spans="2:2" ht="15.75" customHeight="1">
      <c r="B446" s="15"/>
    </row>
    <row r="447" spans="2:2" ht="15.75" customHeight="1">
      <c r="B447" s="15"/>
    </row>
    <row r="448" spans="2:2" ht="15.75" customHeight="1">
      <c r="B448" s="15"/>
    </row>
    <row r="449" spans="2:2" ht="15.75" customHeight="1">
      <c r="B449" s="15"/>
    </row>
    <row r="450" spans="2:2" ht="15.75" customHeight="1">
      <c r="B450" s="15"/>
    </row>
    <row r="451" spans="2:2" ht="15.75" customHeight="1">
      <c r="B451" s="15"/>
    </row>
    <row r="452" spans="2:2" ht="15.75" customHeight="1">
      <c r="B452" s="15"/>
    </row>
    <row r="453" spans="2:2" ht="15.75" customHeight="1">
      <c r="B453" s="15"/>
    </row>
    <row r="454" spans="2:2" ht="15.75" customHeight="1">
      <c r="B454" s="15"/>
    </row>
    <row r="455" spans="2:2" ht="15.75" customHeight="1">
      <c r="B455" s="15"/>
    </row>
    <row r="456" spans="2:2" ht="15.75" customHeight="1">
      <c r="B456" s="15"/>
    </row>
    <row r="457" spans="2:2" ht="15.75" customHeight="1">
      <c r="B457" s="15"/>
    </row>
    <row r="458" spans="2:2" ht="15.75" customHeight="1">
      <c r="B458" s="15"/>
    </row>
    <row r="459" spans="2:2" ht="15.75" customHeight="1">
      <c r="B459" s="15"/>
    </row>
    <row r="460" spans="2:2" ht="15.75" customHeight="1">
      <c r="B460" s="15"/>
    </row>
    <row r="461" spans="2:2" ht="15.75" customHeight="1">
      <c r="B461" s="15"/>
    </row>
    <row r="462" spans="2:2" ht="15.75" customHeight="1">
      <c r="B462" s="15"/>
    </row>
    <row r="463" spans="2:2" ht="15.75" customHeight="1">
      <c r="B463" s="15"/>
    </row>
    <row r="464" spans="2:2" ht="15.75" customHeight="1">
      <c r="B464" s="15"/>
    </row>
    <row r="465" spans="2:2" ht="15.75" customHeight="1">
      <c r="B465" s="15"/>
    </row>
    <row r="466" spans="2:2" ht="15.75" customHeight="1">
      <c r="B466" s="15"/>
    </row>
    <row r="467" spans="2:2" ht="15.75" customHeight="1">
      <c r="B467" s="15"/>
    </row>
    <row r="468" spans="2:2" ht="15.75" customHeight="1">
      <c r="B468" s="15"/>
    </row>
    <row r="469" spans="2:2" ht="15.75" customHeight="1">
      <c r="B469" s="15"/>
    </row>
    <row r="470" spans="2:2" ht="15.75" customHeight="1">
      <c r="B470" s="15"/>
    </row>
    <row r="471" spans="2:2" ht="15.75" customHeight="1">
      <c r="B471" s="15"/>
    </row>
    <row r="472" spans="2:2" ht="15.75" customHeight="1">
      <c r="B472" s="15"/>
    </row>
    <row r="473" spans="2:2" ht="15.75" customHeight="1">
      <c r="B473" s="15"/>
    </row>
    <row r="474" spans="2:2" ht="15.75" customHeight="1">
      <c r="B474" s="15"/>
    </row>
    <row r="475" spans="2:2" ht="15.75" customHeight="1">
      <c r="B475" s="15"/>
    </row>
    <row r="476" spans="2:2" ht="15.75" customHeight="1">
      <c r="B476" s="15"/>
    </row>
    <row r="477" spans="2:2" ht="15.75" customHeight="1">
      <c r="B477" s="15"/>
    </row>
    <row r="478" spans="2:2" ht="15.75" customHeight="1">
      <c r="B478" s="15"/>
    </row>
    <row r="479" spans="2:2" ht="15.75" customHeight="1">
      <c r="B479" s="15"/>
    </row>
    <row r="480" spans="2:2" ht="15.75" customHeight="1">
      <c r="B480" s="15"/>
    </row>
    <row r="481" spans="2:2" ht="15.75" customHeight="1">
      <c r="B481" s="15"/>
    </row>
    <row r="482" spans="2:2" ht="15.75" customHeight="1">
      <c r="B482" s="15"/>
    </row>
    <row r="483" spans="2:2" ht="15.75" customHeight="1">
      <c r="B483" s="15"/>
    </row>
    <row r="484" spans="2:2" ht="15.75" customHeight="1">
      <c r="B484" s="15"/>
    </row>
    <row r="485" spans="2:2" ht="15.75" customHeight="1">
      <c r="B485" s="15"/>
    </row>
    <row r="486" spans="2:2" ht="15.75" customHeight="1">
      <c r="B486" s="15"/>
    </row>
    <row r="487" spans="2:2" ht="15.75" customHeight="1">
      <c r="B487" s="15"/>
    </row>
    <row r="488" spans="2:2" ht="15.75" customHeight="1">
      <c r="B488" s="15"/>
    </row>
    <row r="489" spans="2:2" ht="15.75" customHeight="1">
      <c r="B489" s="15"/>
    </row>
    <row r="490" spans="2:2" ht="15.75" customHeight="1">
      <c r="B490" s="15"/>
    </row>
    <row r="491" spans="2:2" ht="15.75" customHeight="1">
      <c r="B491" s="15"/>
    </row>
    <row r="492" spans="2:2" ht="15.75" customHeight="1">
      <c r="B492" s="15"/>
    </row>
    <row r="493" spans="2:2" ht="15.75" customHeight="1">
      <c r="B493" s="15"/>
    </row>
    <row r="494" spans="2:2" ht="15.75" customHeight="1">
      <c r="B494" s="15"/>
    </row>
    <row r="495" spans="2:2" ht="15.75" customHeight="1">
      <c r="B495" s="15"/>
    </row>
    <row r="496" spans="2:2" ht="15.75" customHeight="1">
      <c r="B496" s="15"/>
    </row>
    <row r="497" spans="2:2" ht="15.75" customHeight="1">
      <c r="B497" s="15"/>
    </row>
    <row r="498" spans="2:2" ht="15.75" customHeight="1">
      <c r="B498" s="15"/>
    </row>
    <row r="499" spans="2:2" ht="15.75" customHeight="1">
      <c r="B499" s="15"/>
    </row>
    <row r="500" spans="2:2" ht="15.75" customHeight="1">
      <c r="B500" s="15"/>
    </row>
    <row r="501" spans="2:2" ht="15.75" customHeight="1">
      <c r="B501" s="15"/>
    </row>
    <row r="502" spans="2:2" ht="15.75" customHeight="1">
      <c r="B502" s="15"/>
    </row>
    <row r="503" spans="2:2" ht="15.75" customHeight="1">
      <c r="B503" s="15"/>
    </row>
    <row r="504" spans="2:2" ht="15.75" customHeight="1">
      <c r="B504" s="15"/>
    </row>
    <row r="505" spans="2:2" ht="15.75" customHeight="1">
      <c r="B505" s="15"/>
    </row>
    <row r="506" spans="2:2" ht="15.75" customHeight="1">
      <c r="B506" s="15"/>
    </row>
    <row r="507" spans="2:2" ht="15.75" customHeight="1">
      <c r="B507" s="15"/>
    </row>
    <row r="508" spans="2:2" ht="15.75" customHeight="1">
      <c r="B508" s="15"/>
    </row>
    <row r="509" spans="2:2" ht="15.75" customHeight="1">
      <c r="B509" s="15"/>
    </row>
    <row r="510" spans="2:2" ht="15.75" customHeight="1">
      <c r="B510" s="15"/>
    </row>
    <row r="511" spans="2:2" ht="15.75" customHeight="1">
      <c r="B511" s="15"/>
    </row>
    <row r="512" spans="2:2" ht="15.75" customHeight="1">
      <c r="B512" s="15"/>
    </row>
    <row r="513" spans="2:2" ht="15.75" customHeight="1">
      <c r="B513" s="15"/>
    </row>
    <row r="514" spans="2:2" ht="15.75" customHeight="1">
      <c r="B514" s="15"/>
    </row>
    <row r="515" spans="2:2" ht="15.75" customHeight="1">
      <c r="B515" s="15"/>
    </row>
    <row r="516" spans="2:2" ht="15.75" customHeight="1">
      <c r="B516" s="15"/>
    </row>
    <row r="517" spans="2:2" ht="15.75" customHeight="1">
      <c r="B517" s="15"/>
    </row>
    <row r="518" spans="2:2" ht="15.75" customHeight="1">
      <c r="B518" s="15"/>
    </row>
    <row r="519" spans="2:2" ht="15.75" customHeight="1">
      <c r="B519" s="15"/>
    </row>
    <row r="520" spans="2:2" ht="15.75" customHeight="1">
      <c r="B520" s="15"/>
    </row>
    <row r="521" spans="2:2" ht="15.75" customHeight="1">
      <c r="B521" s="15"/>
    </row>
    <row r="522" spans="2:2" ht="15.75" customHeight="1">
      <c r="B522" s="15"/>
    </row>
    <row r="523" spans="2:2" ht="15.75" customHeight="1">
      <c r="B523" s="15"/>
    </row>
    <row r="524" spans="2:2" ht="15.75" customHeight="1">
      <c r="B524" s="15"/>
    </row>
    <row r="525" spans="2:2" ht="15.75" customHeight="1">
      <c r="B525" s="15"/>
    </row>
    <row r="526" spans="2:2" ht="15.75" customHeight="1">
      <c r="B526" s="15"/>
    </row>
    <row r="527" spans="2:2" ht="15.75" customHeight="1">
      <c r="B527" s="15"/>
    </row>
    <row r="528" spans="2:2" ht="15.75" customHeight="1">
      <c r="B528" s="15"/>
    </row>
    <row r="529" spans="2:2" ht="15.75" customHeight="1">
      <c r="B529" s="15"/>
    </row>
    <row r="530" spans="2:2" ht="15.75" customHeight="1">
      <c r="B530" s="15"/>
    </row>
    <row r="531" spans="2:2" ht="15.75" customHeight="1">
      <c r="B531" s="15"/>
    </row>
    <row r="532" spans="2:2" ht="15.75" customHeight="1">
      <c r="B532" s="15"/>
    </row>
    <row r="533" spans="2:2" ht="15.75" customHeight="1">
      <c r="B533" s="15"/>
    </row>
    <row r="534" spans="2:2" ht="15.75" customHeight="1">
      <c r="B534" s="15"/>
    </row>
    <row r="535" spans="2:2" ht="15.75" customHeight="1">
      <c r="B535" s="15"/>
    </row>
    <row r="536" spans="2:2" ht="15.75" customHeight="1">
      <c r="B536" s="15"/>
    </row>
    <row r="537" spans="2:2" ht="15.75" customHeight="1">
      <c r="B537" s="15"/>
    </row>
    <row r="538" spans="2:2" ht="15.75" customHeight="1">
      <c r="B538" s="15"/>
    </row>
    <row r="539" spans="2:2" ht="15.75" customHeight="1">
      <c r="B539" s="15"/>
    </row>
    <row r="540" spans="2:2" ht="15.75" customHeight="1">
      <c r="B540" s="15"/>
    </row>
    <row r="541" spans="2:2" ht="15.75" customHeight="1">
      <c r="B541" s="15"/>
    </row>
    <row r="542" spans="2:2" ht="15.75" customHeight="1">
      <c r="B542" s="15"/>
    </row>
    <row r="543" spans="2:2" ht="15.75" customHeight="1">
      <c r="B543" s="15"/>
    </row>
    <row r="544" spans="2:2" ht="15.75" customHeight="1">
      <c r="B544" s="15"/>
    </row>
    <row r="545" spans="2:2" ht="15.75" customHeight="1">
      <c r="B545" s="15"/>
    </row>
    <row r="546" spans="2:2" ht="15.75" customHeight="1">
      <c r="B546" s="15"/>
    </row>
    <row r="547" spans="2:2" ht="15.75" customHeight="1">
      <c r="B547" s="15"/>
    </row>
    <row r="548" spans="2:2" ht="15.75" customHeight="1">
      <c r="B548" s="15"/>
    </row>
    <row r="549" spans="2:2" ht="15.75" customHeight="1">
      <c r="B549" s="15"/>
    </row>
    <row r="550" spans="2:2" ht="15.75" customHeight="1">
      <c r="B550" s="15"/>
    </row>
    <row r="551" spans="2:2" ht="15.75" customHeight="1">
      <c r="B551" s="15"/>
    </row>
    <row r="552" spans="2:2" ht="15.75" customHeight="1">
      <c r="B552" s="15"/>
    </row>
    <row r="553" spans="2:2" ht="15.75" customHeight="1">
      <c r="B553" s="15"/>
    </row>
    <row r="554" spans="2:2" ht="15.75" customHeight="1">
      <c r="B554" s="15"/>
    </row>
    <row r="555" spans="2:2" ht="15.75" customHeight="1">
      <c r="B555" s="15"/>
    </row>
    <row r="556" spans="2:2" ht="15.75" customHeight="1">
      <c r="B556" s="15"/>
    </row>
    <row r="557" spans="2:2" ht="15.75" customHeight="1">
      <c r="B557" s="15"/>
    </row>
    <row r="558" spans="2:2" ht="15.75" customHeight="1">
      <c r="B558" s="15"/>
    </row>
    <row r="559" spans="2:2" ht="15.75" customHeight="1">
      <c r="B559" s="15"/>
    </row>
    <row r="560" spans="2:2" ht="15.75" customHeight="1">
      <c r="B560" s="15"/>
    </row>
    <row r="561" spans="2:2" ht="15.75" customHeight="1">
      <c r="B561" s="15"/>
    </row>
    <row r="562" spans="2:2" ht="15.75" customHeight="1">
      <c r="B562" s="15"/>
    </row>
    <row r="563" spans="2:2" ht="15.75" customHeight="1">
      <c r="B563" s="15"/>
    </row>
    <row r="564" spans="2:2" ht="15.75" customHeight="1">
      <c r="B564" s="15"/>
    </row>
    <row r="565" spans="2:2" ht="15.75" customHeight="1">
      <c r="B565" s="15"/>
    </row>
    <row r="566" spans="2:2" ht="15.75" customHeight="1">
      <c r="B566" s="15"/>
    </row>
    <row r="567" spans="2:2" ht="15.75" customHeight="1">
      <c r="B567" s="15"/>
    </row>
    <row r="568" spans="2:2" ht="15.75" customHeight="1">
      <c r="B568" s="15"/>
    </row>
    <row r="569" spans="2:2" ht="15.75" customHeight="1">
      <c r="B569" s="15"/>
    </row>
    <row r="570" spans="2:2" ht="15.75" customHeight="1">
      <c r="B570" s="15"/>
    </row>
    <row r="571" spans="2:2" ht="15.75" customHeight="1">
      <c r="B571" s="15"/>
    </row>
    <row r="572" spans="2:2" ht="15.75" customHeight="1">
      <c r="B572" s="15"/>
    </row>
    <row r="573" spans="2:2" ht="15.75" customHeight="1">
      <c r="B573" s="15"/>
    </row>
    <row r="574" spans="2:2" ht="15.75" customHeight="1">
      <c r="B574" s="15"/>
    </row>
    <row r="575" spans="2:2" ht="15.75" customHeight="1">
      <c r="B575" s="15"/>
    </row>
    <row r="576" spans="2:2" ht="15.75" customHeight="1">
      <c r="B576" s="15"/>
    </row>
    <row r="577" spans="2:2" ht="15.75" customHeight="1">
      <c r="B577" s="15"/>
    </row>
    <row r="578" spans="2:2" ht="15.75" customHeight="1">
      <c r="B578" s="15"/>
    </row>
    <row r="579" spans="2:2" ht="15.75" customHeight="1">
      <c r="B579" s="15"/>
    </row>
    <row r="580" spans="2:2" ht="15.75" customHeight="1">
      <c r="B580" s="15"/>
    </row>
    <row r="581" spans="2:2" ht="15.75" customHeight="1">
      <c r="B581" s="15"/>
    </row>
    <row r="582" spans="2:2" ht="15.75" customHeight="1">
      <c r="B582" s="15"/>
    </row>
    <row r="583" spans="2:2" ht="15.75" customHeight="1">
      <c r="B583" s="15"/>
    </row>
    <row r="584" spans="2:2" ht="15.75" customHeight="1">
      <c r="B584" s="15"/>
    </row>
    <row r="585" spans="2:2" ht="15.75" customHeight="1">
      <c r="B585" s="15"/>
    </row>
    <row r="586" spans="2:2" ht="15.75" customHeight="1">
      <c r="B586" s="15"/>
    </row>
    <row r="587" spans="2:2" ht="15.75" customHeight="1">
      <c r="B587" s="15"/>
    </row>
    <row r="588" spans="2:2" ht="15.75" customHeight="1">
      <c r="B588" s="15"/>
    </row>
    <row r="589" spans="2:2" ht="15.75" customHeight="1">
      <c r="B589" s="15"/>
    </row>
    <row r="590" spans="2:2" ht="15.75" customHeight="1">
      <c r="B590" s="15"/>
    </row>
    <row r="591" spans="2:2" ht="15.75" customHeight="1">
      <c r="B591" s="15"/>
    </row>
    <row r="592" spans="2:2" ht="15.75" customHeight="1">
      <c r="B592" s="15"/>
    </row>
    <row r="593" spans="2:2" ht="15.75" customHeight="1">
      <c r="B593" s="15"/>
    </row>
    <row r="594" spans="2:2" ht="15.75" customHeight="1">
      <c r="B594" s="15"/>
    </row>
    <row r="595" spans="2:2" ht="15.75" customHeight="1">
      <c r="B595" s="15"/>
    </row>
    <row r="596" spans="2:2" ht="15.75" customHeight="1">
      <c r="B596" s="15"/>
    </row>
    <row r="597" spans="2:2" ht="15.75" customHeight="1">
      <c r="B597" s="15"/>
    </row>
    <row r="598" spans="2:2" ht="15.75" customHeight="1">
      <c r="B598" s="15"/>
    </row>
    <row r="599" spans="2:2" ht="15.75" customHeight="1">
      <c r="B599" s="15"/>
    </row>
    <row r="600" spans="2:2" ht="15.75" customHeight="1">
      <c r="B600" s="15"/>
    </row>
    <row r="601" spans="2:2" ht="15.75" customHeight="1">
      <c r="B601" s="15"/>
    </row>
    <row r="602" spans="2:2" ht="15.75" customHeight="1">
      <c r="B602" s="15"/>
    </row>
    <row r="603" spans="2:2" ht="15.75" customHeight="1">
      <c r="B603" s="15"/>
    </row>
    <row r="604" spans="2:2" ht="15.75" customHeight="1">
      <c r="B604" s="15"/>
    </row>
    <row r="605" spans="2:2" ht="15.75" customHeight="1">
      <c r="B605" s="15"/>
    </row>
    <row r="606" spans="2:2" ht="15.75" customHeight="1">
      <c r="B606" s="15"/>
    </row>
    <row r="607" spans="2:2" ht="15.75" customHeight="1">
      <c r="B607" s="15"/>
    </row>
    <row r="608" spans="2:2" ht="15.75" customHeight="1">
      <c r="B608" s="15"/>
    </row>
    <row r="609" spans="2:2" ht="15.75" customHeight="1">
      <c r="B609" s="15"/>
    </row>
    <row r="610" spans="2:2" ht="15.75" customHeight="1">
      <c r="B610" s="15"/>
    </row>
    <row r="611" spans="2:2" ht="15.75" customHeight="1">
      <c r="B611" s="15"/>
    </row>
    <row r="612" spans="2:2" ht="15.75" customHeight="1">
      <c r="B612" s="15"/>
    </row>
    <row r="613" spans="2:2" ht="15.75" customHeight="1">
      <c r="B613" s="15"/>
    </row>
    <row r="614" spans="2:2" ht="15.75" customHeight="1">
      <c r="B614" s="15"/>
    </row>
    <row r="615" spans="2:2" ht="15.75" customHeight="1">
      <c r="B615" s="15"/>
    </row>
    <row r="616" spans="2:2" ht="15.75" customHeight="1">
      <c r="B616" s="15"/>
    </row>
    <row r="617" spans="2:2" ht="15.75" customHeight="1">
      <c r="B617" s="15"/>
    </row>
    <row r="618" spans="2:2" ht="15.75" customHeight="1">
      <c r="B618" s="15"/>
    </row>
    <row r="619" spans="2:2" ht="15.75" customHeight="1">
      <c r="B619" s="15"/>
    </row>
    <row r="620" spans="2:2" ht="15.75" customHeight="1">
      <c r="B620" s="15"/>
    </row>
    <row r="621" spans="2:2" ht="15.75" customHeight="1">
      <c r="B621" s="15"/>
    </row>
    <row r="622" spans="2:2" ht="15.75" customHeight="1">
      <c r="B622" s="15"/>
    </row>
    <row r="623" spans="2:2" ht="15.75" customHeight="1">
      <c r="B623" s="15"/>
    </row>
    <row r="624" spans="2:2" ht="15.75" customHeight="1">
      <c r="B624" s="15"/>
    </row>
    <row r="625" spans="2:2" ht="15.75" customHeight="1">
      <c r="B625" s="15"/>
    </row>
    <row r="626" spans="2:2" ht="15.75" customHeight="1">
      <c r="B626" s="15"/>
    </row>
    <row r="627" spans="2:2" ht="15.75" customHeight="1">
      <c r="B627" s="15"/>
    </row>
    <row r="628" spans="2:2" ht="15.75" customHeight="1">
      <c r="B628" s="15"/>
    </row>
    <row r="629" spans="2:2" ht="15.75" customHeight="1">
      <c r="B629" s="15"/>
    </row>
    <row r="630" spans="2:2" ht="15.75" customHeight="1">
      <c r="B630" s="15"/>
    </row>
    <row r="631" spans="2:2" ht="15.75" customHeight="1">
      <c r="B631" s="15"/>
    </row>
    <row r="632" spans="2:2" ht="15.75" customHeight="1">
      <c r="B632" s="15"/>
    </row>
    <row r="633" spans="2:2" ht="15.75" customHeight="1">
      <c r="B633" s="15"/>
    </row>
    <row r="634" spans="2:2" ht="15.75" customHeight="1">
      <c r="B634" s="15"/>
    </row>
    <row r="635" spans="2:2" ht="15.75" customHeight="1">
      <c r="B635" s="15"/>
    </row>
    <row r="636" spans="2:2" ht="15.75" customHeight="1">
      <c r="B636" s="15"/>
    </row>
    <row r="637" spans="2:2" ht="15.75" customHeight="1">
      <c r="B637" s="15"/>
    </row>
    <row r="638" spans="2:2" ht="15.75" customHeight="1">
      <c r="B638" s="15"/>
    </row>
    <row r="639" spans="2:2" ht="15.75" customHeight="1">
      <c r="B639" s="15"/>
    </row>
    <row r="640" spans="2:2" ht="15.75" customHeight="1">
      <c r="B640" s="15"/>
    </row>
    <row r="641" spans="2:2" ht="15.75" customHeight="1">
      <c r="B641" s="15"/>
    </row>
    <row r="642" spans="2:2" ht="15.75" customHeight="1">
      <c r="B642" s="15"/>
    </row>
    <row r="643" spans="2:2" ht="15.75" customHeight="1">
      <c r="B643" s="15"/>
    </row>
    <row r="644" spans="2:2" ht="15.75" customHeight="1">
      <c r="B644" s="15"/>
    </row>
    <row r="645" spans="2:2" ht="15.75" customHeight="1">
      <c r="B645" s="15"/>
    </row>
    <row r="646" spans="2:2" ht="15.75" customHeight="1">
      <c r="B646" s="15"/>
    </row>
    <row r="647" spans="2:2" ht="15.75" customHeight="1">
      <c r="B647" s="15"/>
    </row>
    <row r="648" spans="2:2" ht="15.75" customHeight="1">
      <c r="B648" s="15"/>
    </row>
    <row r="649" spans="2:2" ht="15.75" customHeight="1">
      <c r="B649" s="15"/>
    </row>
    <row r="650" spans="2:2" ht="15.75" customHeight="1">
      <c r="B650" s="15"/>
    </row>
    <row r="651" spans="2:2" ht="15.75" customHeight="1">
      <c r="B651" s="15"/>
    </row>
    <row r="652" spans="2:2" ht="15.75" customHeight="1">
      <c r="B652" s="15"/>
    </row>
    <row r="653" spans="2:2" ht="15.75" customHeight="1">
      <c r="B653" s="15"/>
    </row>
    <row r="654" spans="2:2" ht="15.75" customHeight="1">
      <c r="B654" s="15"/>
    </row>
    <row r="655" spans="2:2" ht="15.75" customHeight="1">
      <c r="B655" s="15"/>
    </row>
    <row r="656" spans="2:2" ht="15.75" customHeight="1">
      <c r="B656" s="15"/>
    </row>
    <row r="657" spans="2:2" ht="15.75" customHeight="1">
      <c r="B657" s="15"/>
    </row>
    <row r="658" spans="2:2" ht="15.75" customHeight="1">
      <c r="B658" s="15"/>
    </row>
    <row r="659" spans="2:2" ht="15.75" customHeight="1">
      <c r="B659" s="15"/>
    </row>
    <row r="660" spans="2:2" ht="15.75" customHeight="1">
      <c r="B660" s="15"/>
    </row>
    <row r="661" spans="2:2" ht="15.75" customHeight="1">
      <c r="B661" s="15"/>
    </row>
    <row r="662" spans="2:2" ht="15.75" customHeight="1">
      <c r="B662" s="15"/>
    </row>
    <row r="663" spans="2:2" ht="15.75" customHeight="1">
      <c r="B663" s="15"/>
    </row>
    <row r="664" spans="2:2" ht="15.75" customHeight="1">
      <c r="B664" s="15"/>
    </row>
    <row r="665" spans="2:2" ht="15.75" customHeight="1">
      <c r="B665" s="15"/>
    </row>
    <row r="666" spans="2:2" ht="15.75" customHeight="1">
      <c r="B666" s="15"/>
    </row>
    <row r="667" spans="2:2" ht="15.75" customHeight="1">
      <c r="B667" s="15"/>
    </row>
    <row r="668" spans="2:2" ht="15.75" customHeight="1">
      <c r="B668" s="15"/>
    </row>
    <row r="669" spans="2:2" ht="15.75" customHeight="1">
      <c r="B669" s="15"/>
    </row>
    <row r="670" spans="2:2" ht="15.75" customHeight="1">
      <c r="B670" s="15"/>
    </row>
    <row r="671" spans="2:2" ht="15.75" customHeight="1">
      <c r="B671" s="15"/>
    </row>
    <row r="672" spans="2:2" ht="15.75" customHeight="1">
      <c r="B672" s="15"/>
    </row>
    <row r="673" spans="2:2" ht="15.75" customHeight="1">
      <c r="B673" s="15"/>
    </row>
    <row r="674" spans="2:2" ht="15.75" customHeight="1">
      <c r="B674" s="15"/>
    </row>
    <row r="675" spans="2:2" ht="15.75" customHeight="1">
      <c r="B675" s="15"/>
    </row>
    <row r="676" spans="2:2" ht="15.75" customHeight="1">
      <c r="B676" s="15"/>
    </row>
    <row r="677" spans="2:2" ht="15.75" customHeight="1">
      <c r="B677" s="15"/>
    </row>
    <row r="678" spans="2:2" ht="15.75" customHeight="1">
      <c r="B678" s="15"/>
    </row>
    <row r="679" spans="2:2" ht="15.75" customHeight="1">
      <c r="B679" s="15"/>
    </row>
    <row r="680" spans="2:2" ht="15.75" customHeight="1">
      <c r="B680" s="15"/>
    </row>
    <row r="681" spans="2:2" ht="15.75" customHeight="1">
      <c r="B681" s="15"/>
    </row>
    <row r="682" spans="2:2" ht="15.75" customHeight="1">
      <c r="B682" s="15"/>
    </row>
    <row r="683" spans="2:2" ht="15.75" customHeight="1">
      <c r="B683" s="15"/>
    </row>
    <row r="684" spans="2:2" ht="15.75" customHeight="1">
      <c r="B684" s="15"/>
    </row>
    <row r="685" spans="2:2" ht="15.75" customHeight="1">
      <c r="B685" s="15"/>
    </row>
    <row r="686" spans="2:2" ht="15.75" customHeight="1">
      <c r="B686" s="15"/>
    </row>
    <row r="687" spans="2:2" ht="15.75" customHeight="1">
      <c r="B687" s="15"/>
    </row>
    <row r="688" spans="2:2" ht="15.75" customHeight="1">
      <c r="B688" s="15"/>
    </row>
    <row r="689" spans="2:2" ht="15.75" customHeight="1">
      <c r="B689" s="15"/>
    </row>
    <row r="690" spans="2:2" ht="15.75" customHeight="1">
      <c r="B690" s="15"/>
    </row>
    <row r="691" spans="2:2" ht="15.75" customHeight="1">
      <c r="B691" s="15"/>
    </row>
    <row r="692" spans="2:2" ht="15.75" customHeight="1">
      <c r="B692" s="15"/>
    </row>
    <row r="693" spans="2:2" ht="15.75" customHeight="1">
      <c r="B693" s="15"/>
    </row>
    <row r="694" spans="2:2" ht="15.75" customHeight="1">
      <c r="B694" s="15"/>
    </row>
    <row r="695" spans="2:2" ht="15.75" customHeight="1">
      <c r="B695" s="15"/>
    </row>
    <row r="696" spans="2:2" ht="15.75" customHeight="1">
      <c r="B696" s="15"/>
    </row>
    <row r="697" spans="2:2" ht="15.75" customHeight="1">
      <c r="B697" s="15"/>
    </row>
    <row r="698" spans="2:2" ht="15.75" customHeight="1">
      <c r="B698" s="15"/>
    </row>
    <row r="699" spans="2:2" ht="15.75" customHeight="1">
      <c r="B699" s="15"/>
    </row>
    <row r="700" spans="2:2" ht="15.75" customHeight="1">
      <c r="B700" s="15"/>
    </row>
    <row r="701" spans="2:2" ht="15.75" customHeight="1">
      <c r="B701" s="15"/>
    </row>
    <row r="702" spans="2:2" ht="15.75" customHeight="1">
      <c r="B702" s="15"/>
    </row>
    <row r="703" spans="2:2" ht="15.75" customHeight="1">
      <c r="B703" s="15"/>
    </row>
    <row r="704" spans="2:2" ht="15.75" customHeight="1">
      <c r="B704" s="15"/>
    </row>
    <row r="705" spans="2:2" ht="15.75" customHeight="1">
      <c r="B705" s="15"/>
    </row>
    <row r="706" spans="2:2" ht="15.75" customHeight="1">
      <c r="B706" s="15"/>
    </row>
    <row r="707" spans="2:2" ht="15.75" customHeight="1">
      <c r="B707" s="15"/>
    </row>
    <row r="708" spans="2:2" ht="15.75" customHeight="1">
      <c r="B708" s="15"/>
    </row>
    <row r="709" spans="2:2" ht="15.75" customHeight="1">
      <c r="B709" s="15"/>
    </row>
    <row r="710" spans="2:2" ht="15.75" customHeight="1">
      <c r="B710" s="15"/>
    </row>
    <row r="711" spans="2:2" ht="15.75" customHeight="1">
      <c r="B711" s="15"/>
    </row>
    <row r="712" spans="2:2" ht="15.75" customHeight="1">
      <c r="B712" s="15"/>
    </row>
    <row r="713" spans="2:2" ht="15.75" customHeight="1">
      <c r="B713" s="15"/>
    </row>
    <row r="714" spans="2:2" ht="15.75" customHeight="1">
      <c r="B714" s="15"/>
    </row>
    <row r="715" spans="2:2" ht="15.75" customHeight="1">
      <c r="B715" s="15"/>
    </row>
    <row r="716" spans="2:2" ht="15.75" customHeight="1">
      <c r="B716" s="15"/>
    </row>
    <row r="717" spans="2:2" ht="15.75" customHeight="1">
      <c r="B717" s="15"/>
    </row>
    <row r="718" spans="2:2" ht="15.75" customHeight="1">
      <c r="B718" s="15"/>
    </row>
    <row r="719" spans="2:2" ht="15.75" customHeight="1">
      <c r="B719" s="15"/>
    </row>
    <row r="720" spans="2:2" ht="15.75" customHeight="1">
      <c r="B720" s="15"/>
    </row>
    <row r="721" spans="2:2" ht="15.75" customHeight="1">
      <c r="B721" s="15"/>
    </row>
    <row r="722" spans="2:2" ht="15.75" customHeight="1">
      <c r="B722" s="15"/>
    </row>
    <row r="723" spans="2:2" ht="15.75" customHeight="1">
      <c r="B723" s="15"/>
    </row>
    <row r="724" spans="2:2" ht="15.75" customHeight="1">
      <c r="B724" s="15"/>
    </row>
    <row r="725" spans="2:2" ht="15.75" customHeight="1">
      <c r="B725" s="15"/>
    </row>
    <row r="726" spans="2:2" ht="15.75" customHeight="1">
      <c r="B726" s="15"/>
    </row>
    <row r="727" spans="2:2" ht="15.75" customHeight="1">
      <c r="B727" s="15"/>
    </row>
    <row r="728" spans="2:2" ht="15.75" customHeight="1">
      <c r="B728" s="15"/>
    </row>
    <row r="729" spans="2:2" ht="15.75" customHeight="1">
      <c r="B729" s="15"/>
    </row>
    <row r="730" spans="2:2" ht="15.75" customHeight="1">
      <c r="B730" s="15"/>
    </row>
    <row r="731" spans="2:2" ht="15.75" customHeight="1">
      <c r="B731" s="15"/>
    </row>
    <row r="732" spans="2:2" ht="15.75" customHeight="1">
      <c r="B732" s="15"/>
    </row>
    <row r="733" spans="2:2" ht="15.75" customHeight="1">
      <c r="B733" s="15"/>
    </row>
    <row r="734" spans="2:2" ht="15.75" customHeight="1">
      <c r="B734" s="15"/>
    </row>
    <row r="735" spans="2:2" ht="15.75" customHeight="1">
      <c r="B735" s="15"/>
    </row>
    <row r="736" spans="2:2" ht="15.75" customHeight="1">
      <c r="B736" s="15"/>
    </row>
    <row r="737" spans="2:2" ht="15.75" customHeight="1">
      <c r="B737" s="15"/>
    </row>
    <row r="738" spans="2:2" ht="15.75" customHeight="1">
      <c r="B738" s="15"/>
    </row>
    <row r="739" spans="2:2" ht="15.75" customHeight="1">
      <c r="B739" s="15"/>
    </row>
    <row r="740" spans="2:2" ht="15.75" customHeight="1">
      <c r="B740" s="15"/>
    </row>
    <row r="741" spans="2:2" ht="15.75" customHeight="1">
      <c r="B741" s="15"/>
    </row>
    <row r="742" spans="2:2" ht="15.75" customHeight="1">
      <c r="B742" s="15"/>
    </row>
    <row r="743" spans="2:2" ht="15.75" customHeight="1">
      <c r="B743" s="15"/>
    </row>
    <row r="744" spans="2:2" ht="15.75" customHeight="1">
      <c r="B744" s="15"/>
    </row>
    <row r="745" spans="2:2" ht="15.75" customHeight="1">
      <c r="B745" s="15"/>
    </row>
    <row r="746" spans="2:2" ht="15.75" customHeight="1">
      <c r="B746" s="15"/>
    </row>
    <row r="747" spans="2:2" ht="15.75" customHeight="1">
      <c r="B747" s="15"/>
    </row>
    <row r="748" spans="2:2" ht="15.75" customHeight="1">
      <c r="B748" s="15"/>
    </row>
    <row r="749" spans="2:2" ht="15.75" customHeight="1">
      <c r="B749" s="15"/>
    </row>
    <row r="750" spans="2:2" ht="15.75" customHeight="1">
      <c r="B750" s="15"/>
    </row>
    <row r="751" spans="2:2" ht="15.75" customHeight="1">
      <c r="B751" s="15"/>
    </row>
    <row r="752" spans="2:2" ht="15.75" customHeight="1">
      <c r="B752" s="15"/>
    </row>
    <row r="753" spans="2:2" ht="15.75" customHeight="1">
      <c r="B753" s="15"/>
    </row>
    <row r="754" spans="2:2" ht="15.75" customHeight="1">
      <c r="B754" s="15"/>
    </row>
    <row r="755" spans="2:2" ht="15.75" customHeight="1">
      <c r="B755" s="15"/>
    </row>
    <row r="756" spans="2:2" ht="15.75" customHeight="1">
      <c r="B756" s="15"/>
    </row>
    <row r="757" spans="2:2" ht="15.75" customHeight="1">
      <c r="B757" s="15"/>
    </row>
    <row r="758" spans="2:2" ht="15.75" customHeight="1">
      <c r="B758" s="15"/>
    </row>
    <row r="759" spans="2:2" ht="15.75" customHeight="1">
      <c r="B759" s="15"/>
    </row>
    <row r="760" spans="2:2" ht="15.75" customHeight="1">
      <c r="B760" s="15"/>
    </row>
    <row r="761" spans="2:2" ht="15.75" customHeight="1">
      <c r="B761" s="15"/>
    </row>
    <row r="762" spans="2:2" ht="15.75" customHeight="1">
      <c r="B762" s="15"/>
    </row>
    <row r="763" spans="2:2" ht="15.75" customHeight="1">
      <c r="B763" s="15"/>
    </row>
    <row r="764" spans="2:2" ht="15.75" customHeight="1">
      <c r="B764" s="15"/>
    </row>
    <row r="765" spans="2:2" ht="15.75" customHeight="1">
      <c r="B765" s="15"/>
    </row>
    <row r="766" spans="2:2" ht="15.75" customHeight="1">
      <c r="B766" s="15"/>
    </row>
    <row r="767" spans="2:2" ht="15.75" customHeight="1">
      <c r="B767" s="15"/>
    </row>
    <row r="768" spans="2:2" ht="15.75" customHeight="1">
      <c r="B768" s="15"/>
    </row>
    <row r="769" spans="2:2" ht="15.75" customHeight="1">
      <c r="B769" s="15"/>
    </row>
    <row r="770" spans="2:2" ht="15.75" customHeight="1">
      <c r="B770" s="15"/>
    </row>
    <row r="771" spans="2:2" ht="15.75" customHeight="1">
      <c r="B771" s="15"/>
    </row>
    <row r="772" spans="2:2" ht="15.75" customHeight="1">
      <c r="B772" s="15"/>
    </row>
    <row r="773" spans="2:2" ht="15.75" customHeight="1">
      <c r="B773" s="15"/>
    </row>
    <row r="774" spans="2:2" ht="15.75" customHeight="1">
      <c r="B774" s="15"/>
    </row>
    <row r="775" spans="2:2" ht="15.75" customHeight="1">
      <c r="B775" s="15"/>
    </row>
    <row r="776" spans="2:2" ht="15.75" customHeight="1">
      <c r="B776" s="15"/>
    </row>
    <row r="777" spans="2:2" ht="15.75" customHeight="1">
      <c r="B777" s="15"/>
    </row>
    <row r="778" spans="2:2" ht="15.75" customHeight="1">
      <c r="B778" s="15"/>
    </row>
    <row r="779" spans="2:2" ht="15.75" customHeight="1">
      <c r="B779" s="15"/>
    </row>
    <row r="780" spans="2:2" ht="15.75" customHeight="1">
      <c r="B780" s="15"/>
    </row>
    <row r="781" spans="2:2" ht="15.75" customHeight="1">
      <c r="B781" s="15"/>
    </row>
    <row r="782" spans="2:2" ht="15.75" customHeight="1">
      <c r="B782" s="15"/>
    </row>
    <row r="783" spans="2:2" ht="15.75" customHeight="1">
      <c r="B783" s="15"/>
    </row>
    <row r="784" spans="2:2" ht="15.75" customHeight="1">
      <c r="B784" s="15"/>
    </row>
    <row r="785" spans="2:2" ht="15.75" customHeight="1">
      <c r="B785" s="15"/>
    </row>
    <row r="786" spans="2:2" ht="15.75" customHeight="1">
      <c r="B786" s="15"/>
    </row>
    <row r="787" spans="2:2" ht="15.75" customHeight="1">
      <c r="B787" s="15"/>
    </row>
    <row r="788" spans="2:2" ht="15.75" customHeight="1">
      <c r="B788" s="15"/>
    </row>
    <row r="789" spans="2:2" ht="15.75" customHeight="1">
      <c r="B789" s="15"/>
    </row>
    <row r="790" spans="2:2" ht="15.75" customHeight="1">
      <c r="B790" s="15"/>
    </row>
    <row r="791" spans="2:2" ht="15.75" customHeight="1">
      <c r="B791" s="15"/>
    </row>
    <row r="792" spans="2:2" ht="15.75" customHeight="1">
      <c r="B792" s="15"/>
    </row>
    <row r="793" spans="2:2" ht="15.75" customHeight="1">
      <c r="B793" s="15"/>
    </row>
    <row r="794" spans="2:2" ht="15.75" customHeight="1">
      <c r="B794" s="15"/>
    </row>
    <row r="795" spans="2:2" ht="15.75" customHeight="1">
      <c r="B795" s="15"/>
    </row>
    <row r="796" spans="2:2" ht="15.75" customHeight="1">
      <c r="B796" s="15"/>
    </row>
    <row r="797" spans="2:2" ht="15.75" customHeight="1">
      <c r="B797" s="15"/>
    </row>
    <row r="798" spans="2:2" ht="15.75" customHeight="1">
      <c r="B798" s="15"/>
    </row>
    <row r="799" spans="2:2" ht="15.75" customHeight="1">
      <c r="B799" s="15"/>
    </row>
    <row r="800" spans="2:2" ht="15.75" customHeight="1">
      <c r="B800" s="15"/>
    </row>
    <row r="801" spans="2:2" ht="15.75" customHeight="1">
      <c r="B801" s="15"/>
    </row>
    <row r="802" spans="2:2" ht="15.75" customHeight="1">
      <c r="B802" s="15"/>
    </row>
    <row r="803" spans="2:2" ht="15.75" customHeight="1">
      <c r="B803" s="15"/>
    </row>
    <row r="804" spans="2:2" ht="15.75" customHeight="1">
      <c r="B804" s="15"/>
    </row>
    <row r="805" spans="2:2" ht="15.75" customHeight="1">
      <c r="B805" s="15"/>
    </row>
    <row r="806" spans="2:2" ht="15.75" customHeight="1">
      <c r="B806" s="15"/>
    </row>
    <row r="807" spans="2:2" ht="15.75" customHeight="1">
      <c r="B807" s="15"/>
    </row>
    <row r="808" spans="2:2" ht="15.75" customHeight="1">
      <c r="B808" s="15"/>
    </row>
    <row r="809" spans="2:2" ht="15.75" customHeight="1">
      <c r="B809" s="15"/>
    </row>
    <row r="810" spans="2:2" ht="15.75" customHeight="1">
      <c r="B810" s="15"/>
    </row>
    <row r="811" spans="2:2" ht="15.75" customHeight="1">
      <c r="B811" s="15"/>
    </row>
    <row r="812" spans="2:2" ht="15.75" customHeight="1">
      <c r="B812" s="15"/>
    </row>
    <row r="813" spans="2:2" ht="15.75" customHeight="1">
      <c r="B813" s="15"/>
    </row>
    <row r="814" spans="2:2" ht="15.75" customHeight="1">
      <c r="B814" s="15"/>
    </row>
    <row r="815" spans="2:2" ht="15.75" customHeight="1">
      <c r="B815" s="15"/>
    </row>
    <row r="816" spans="2:2" ht="15.75" customHeight="1">
      <c r="B816" s="15"/>
    </row>
    <row r="817" spans="2:2" ht="15.75" customHeight="1">
      <c r="B817" s="15"/>
    </row>
    <row r="818" spans="2:2" ht="15.75" customHeight="1">
      <c r="B818" s="15"/>
    </row>
    <row r="819" spans="2:2" ht="15.75" customHeight="1">
      <c r="B819" s="15"/>
    </row>
    <row r="820" spans="2:2" ht="15.75" customHeight="1">
      <c r="B820" s="15"/>
    </row>
    <row r="821" spans="2:2" ht="15.75" customHeight="1">
      <c r="B821" s="15"/>
    </row>
    <row r="822" spans="2:2" ht="15.75" customHeight="1">
      <c r="B822" s="15"/>
    </row>
    <row r="823" spans="2:2" ht="15.75" customHeight="1">
      <c r="B823" s="15"/>
    </row>
    <row r="824" spans="2:2" ht="15.75" customHeight="1">
      <c r="B824" s="15"/>
    </row>
    <row r="825" spans="2:2" ht="15.75" customHeight="1">
      <c r="B825" s="15"/>
    </row>
    <row r="826" spans="2:2" ht="15.75" customHeight="1">
      <c r="B826" s="15"/>
    </row>
    <row r="827" spans="2:2" ht="15.75" customHeight="1">
      <c r="B827" s="15"/>
    </row>
    <row r="828" spans="2:2" ht="15.75" customHeight="1">
      <c r="B828" s="15"/>
    </row>
    <row r="829" spans="2:2" ht="15.75" customHeight="1">
      <c r="B829" s="15"/>
    </row>
    <row r="830" spans="2:2" ht="15.75" customHeight="1">
      <c r="B830" s="15"/>
    </row>
    <row r="831" spans="2:2" ht="15.75" customHeight="1">
      <c r="B831" s="15"/>
    </row>
    <row r="832" spans="2:2" ht="15.75" customHeight="1">
      <c r="B832" s="15"/>
    </row>
    <row r="833" spans="2:2" ht="15.75" customHeight="1">
      <c r="B833" s="15"/>
    </row>
    <row r="834" spans="2:2" ht="15.75" customHeight="1">
      <c r="B834" s="15"/>
    </row>
    <row r="835" spans="2:2" ht="15.75" customHeight="1">
      <c r="B835" s="15"/>
    </row>
    <row r="836" spans="2:2" ht="15.75" customHeight="1">
      <c r="B836" s="15"/>
    </row>
    <row r="837" spans="2:2" ht="15.75" customHeight="1">
      <c r="B837" s="15"/>
    </row>
    <row r="838" spans="2:2" ht="15.75" customHeight="1">
      <c r="B838" s="15"/>
    </row>
    <row r="839" spans="2:2" ht="15.75" customHeight="1">
      <c r="B839" s="15"/>
    </row>
    <row r="840" spans="2:2" ht="15.75" customHeight="1">
      <c r="B840" s="15"/>
    </row>
    <row r="841" spans="2:2" ht="15.75" customHeight="1">
      <c r="B841" s="15"/>
    </row>
    <row r="842" spans="2:2" ht="15.75" customHeight="1">
      <c r="B842" s="15"/>
    </row>
    <row r="843" spans="2:2" ht="15.75" customHeight="1">
      <c r="B843" s="15"/>
    </row>
    <row r="844" spans="2:2" ht="15.75" customHeight="1">
      <c r="B844" s="15"/>
    </row>
    <row r="845" spans="2:2" ht="15.75" customHeight="1">
      <c r="B845" s="15"/>
    </row>
    <row r="846" spans="2:2" ht="15.75" customHeight="1">
      <c r="B846" s="15"/>
    </row>
    <row r="847" spans="2:2" ht="15.75" customHeight="1">
      <c r="B847" s="15"/>
    </row>
    <row r="848" spans="2:2" ht="15.75" customHeight="1">
      <c r="B848" s="15"/>
    </row>
    <row r="849" spans="2:2" ht="15.75" customHeight="1">
      <c r="B849" s="15"/>
    </row>
    <row r="850" spans="2:2" ht="15.75" customHeight="1">
      <c r="B850" s="15"/>
    </row>
    <row r="851" spans="2:2" ht="15.75" customHeight="1">
      <c r="B851" s="15"/>
    </row>
    <row r="852" spans="2:2" ht="15.75" customHeight="1">
      <c r="B852" s="15"/>
    </row>
    <row r="853" spans="2:2" ht="15.75" customHeight="1">
      <c r="B853" s="15"/>
    </row>
    <row r="854" spans="2:2" ht="15.75" customHeight="1">
      <c r="B854" s="15"/>
    </row>
    <row r="855" spans="2:2" ht="15.75" customHeight="1">
      <c r="B855" s="15"/>
    </row>
    <row r="856" spans="2:2" ht="15.75" customHeight="1">
      <c r="B856" s="15"/>
    </row>
    <row r="857" spans="2:2" ht="15.75" customHeight="1">
      <c r="B857" s="15"/>
    </row>
    <row r="858" spans="2:2" ht="15.75" customHeight="1">
      <c r="B858" s="15"/>
    </row>
    <row r="859" spans="2:2" ht="15.75" customHeight="1">
      <c r="B859" s="15"/>
    </row>
    <row r="860" spans="2:2" ht="15.75" customHeight="1">
      <c r="B860" s="15"/>
    </row>
    <row r="861" spans="2:2" ht="15.75" customHeight="1">
      <c r="B861" s="15"/>
    </row>
    <row r="862" spans="2:2" ht="15.75" customHeight="1">
      <c r="B862" s="15"/>
    </row>
    <row r="863" spans="2:2" ht="15.75" customHeight="1">
      <c r="B863" s="15"/>
    </row>
    <row r="864" spans="2:2" ht="15.75" customHeight="1">
      <c r="B864" s="15"/>
    </row>
    <row r="865" spans="2:2" ht="15.75" customHeight="1">
      <c r="B865" s="15"/>
    </row>
    <row r="866" spans="2:2" ht="15.75" customHeight="1">
      <c r="B866" s="15"/>
    </row>
    <row r="867" spans="2:2" ht="15.75" customHeight="1">
      <c r="B867" s="15"/>
    </row>
    <row r="868" spans="2:2" ht="15.75" customHeight="1">
      <c r="B868" s="15"/>
    </row>
    <row r="869" spans="2:2" ht="15.75" customHeight="1">
      <c r="B869" s="15"/>
    </row>
    <row r="870" spans="2:2" ht="15.75" customHeight="1">
      <c r="B870" s="15"/>
    </row>
    <row r="871" spans="2:2" ht="15.75" customHeight="1">
      <c r="B871" s="15"/>
    </row>
    <row r="872" spans="2:2" ht="15.75" customHeight="1">
      <c r="B872" s="15"/>
    </row>
    <row r="873" spans="2:2" ht="15.75" customHeight="1">
      <c r="B873" s="15"/>
    </row>
    <row r="874" spans="2:2" ht="15.75" customHeight="1">
      <c r="B874" s="15"/>
    </row>
    <row r="875" spans="2:2" ht="15.75" customHeight="1">
      <c r="B875" s="15"/>
    </row>
    <row r="876" spans="2:2" ht="15.75" customHeight="1">
      <c r="B876" s="15"/>
    </row>
    <row r="877" spans="2:2" ht="15.75" customHeight="1">
      <c r="B877" s="15"/>
    </row>
    <row r="878" spans="2:2" ht="15.75" customHeight="1">
      <c r="B878" s="15"/>
    </row>
    <row r="879" spans="2:2" ht="15.75" customHeight="1">
      <c r="B879" s="15"/>
    </row>
    <row r="880" spans="2:2" ht="15.75" customHeight="1">
      <c r="B880" s="15"/>
    </row>
    <row r="881" spans="2:2" ht="15.75" customHeight="1">
      <c r="B881" s="15"/>
    </row>
    <row r="882" spans="2:2" ht="15.75" customHeight="1">
      <c r="B882" s="15"/>
    </row>
    <row r="883" spans="2:2" ht="15.75" customHeight="1">
      <c r="B883" s="15"/>
    </row>
    <row r="884" spans="2:2" ht="15.75" customHeight="1">
      <c r="B884" s="15"/>
    </row>
    <row r="885" spans="2:2" ht="15.75" customHeight="1">
      <c r="B885" s="15"/>
    </row>
    <row r="886" spans="2:2" ht="15.75" customHeight="1">
      <c r="B886" s="15"/>
    </row>
    <row r="887" spans="2:2" ht="15.75" customHeight="1">
      <c r="B887" s="15"/>
    </row>
    <row r="888" spans="2:2" ht="15.75" customHeight="1">
      <c r="B888" s="15"/>
    </row>
    <row r="889" spans="2:2" ht="15.75" customHeight="1">
      <c r="B889" s="15"/>
    </row>
    <row r="890" spans="2:2" ht="15.75" customHeight="1">
      <c r="B890" s="15"/>
    </row>
    <row r="891" spans="2:2" ht="15.75" customHeight="1">
      <c r="B891" s="15"/>
    </row>
    <row r="892" spans="2:2" ht="15.75" customHeight="1">
      <c r="B892" s="15"/>
    </row>
    <row r="893" spans="2:2" ht="15.75" customHeight="1">
      <c r="B893" s="15"/>
    </row>
    <row r="894" spans="2:2" ht="15.75" customHeight="1">
      <c r="B894" s="15"/>
    </row>
    <row r="895" spans="2:2" ht="15.75" customHeight="1">
      <c r="B895" s="15"/>
    </row>
    <row r="896" spans="2:2" ht="15.75" customHeight="1">
      <c r="B896" s="15"/>
    </row>
    <row r="897" spans="2:2" ht="15.75" customHeight="1">
      <c r="B897" s="15"/>
    </row>
    <row r="898" spans="2:2" ht="15.75" customHeight="1">
      <c r="B898" s="15"/>
    </row>
    <row r="899" spans="2:2" ht="15.75" customHeight="1">
      <c r="B899" s="15"/>
    </row>
    <row r="900" spans="2:2" ht="15.75" customHeight="1">
      <c r="B900" s="15"/>
    </row>
    <row r="901" spans="2:2" ht="15.75" customHeight="1">
      <c r="B901" s="15"/>
    </row>
    <row r="902" spans="2:2" ht="15.75" customHeight="1">
      <c r="B902" s="15"/>
    </row>
    <row r="903" spans="2:2" ht="15.75" customHeight="1">
      <c r="B903" s="15"/>
    </row>
    <row r="904" spans="2:2" ht="15.75" customHeight="1">
      <c r="B904" s="15"/>
    </row>
    <row r="905" spans="2:2" ht="15.75" customHeight="1">
      <c r="B905" s="15"/>
    </row>
    <row r="906" spans="2:2" ht="15.75" customHeight="1">
      <c r="B906" s="15"/>
    </row>
    <row r="907" spans="2:2" ht="15.75" customHeight="1">
      <c r="B907" s="15"/>
    </row>
    <row r="908" spans="2:2" ht="15.75" customHeight="1">
      <c r="B908" s="15"/>
    </row>
    <row r="909" spans="2:2" ht="15.75" customHeight="1">
      <c r="B909" s="15"/>
    </row>
    <row r="910" spans="2:2" ht="15.75" customHeight="1">
      <c r="B910" s="15"/>
    </row>
    <row r="911" spans="2:2" ht="15.75" customHeight="1">
      <c r="B911" s="15"/>
    </row>
    <row r="912" spans="2:2" ht="15.75" customHeight="1">
      <c r="B912" s="15"/>
    </row>
    <row r="913" spans="2:2" ht="15.75" customHeight="1">
      <c r="B913" s="15"/>
    </row>
    <row r="914" spans="2:2" ht="15.75" customHeight="1">
      <c r="B914" s="15"/>
    </row>
    <row r="915" spans="2:2" ht="15.75" customHeight="1">
      <c r="B915" s="15"/>
    </row>
    <row r="916" spans="2:2" ht="15.75" customHeight="1">
      <c r="B916" s="15"/>
    </row>
    <row r="917" spans="2:2" ht="15.75" customHeight="1">
      <c r="B917" s="15"/>
    </row>
    <row r="918" spans="2:2" ht="15.75" customHeight="1">
      <c r="B918" s="15"/>
    </row>
    <row r="919" spans="2:2" ht="15.75" customHeight="1">
      <c r="B919" s="15"/>
    </row>
    <row r="920" spans="2:2" ht="15.75" customHeight="1">
      <c r="B920" s="15"/>
    </row>
    <row r="921" spans="2:2" ht="15.75" customHeight="1">
      <c r="B921" s="15"/>
    </row>
    <row r="922" spans="2:2" ht="15.75" customHeight="1">
      <c r="B922" s="15"/>
    </row>
    <row r="923" spans="2:2" ht="15.75" customHeight="1">
      <c r="B923" s="15"/>
    </row>
    <row r="924" spans="2:2" ht="15.75" customHeight="1">
      <c r="B924" s="15"/>
    </row>
    <row r="925" spans="2:2" ht="15.75" customHeight="1">
      <c r="B925" s="15"/>
    </row>
    <row r="926" spans="2:2" ht="15.75" customHeight="1">
      <c r="B926" s="15"/>
    </row>
    <row r="927" spans="2:2" ht="15.75" customHeight="1">
      <c r="B927" s="15"/>
    </row>
    <row r="928" spans="2:2" ht="15.75" customHeight="1">
      <c r="B928" s="15"/>
    </row>
    <row r="929" spans="2:2" ht="15.75" customHeight="1">
      <c r="B929" s="15"/>
    </row>
    <row r="930" spans="2:2" ht="15.75" customHeight="1">
      <c r="B930" s="15"/>
    </row>
    <row r="931" spans="2:2" ht="15.75" customHeight="1">
      <c r="B931" s="15"/>
    </row>
    <row r="932" spans="2:2" ht="15.75" customHeight="1">
      <c r="B932" s="15"/>
    </row>
    <row r="933" spans="2:2" ht="15.75" customHeight="1">
      <c r="B933" s="15"/>
    </row>
    <row r="934" spans="2:2" ht="15.75" customHeight="1">
      <c r="B934" s="15"/>
    </row>
    <row r="935" spans="2:2" ht="15.75" customHeight="1">
      <c r="B935" s="15"/>
    </row>
    <row r="936" spans="2:2" ht="15.75" customHeight="1">
      <c r="B936" s="15"/>
    </row>
    <row r="937" spans="2:2" ht="15.75" customHeight="1">
      <c r="B937" s="15"/>
    </row>
    <row r="938" spans="2:2" ht="15.75" customHeight="1">
      <c r="B938" s="15"/>
    </row>
    <row r="939" spans="2:2" ht="15.75" customHeight="1">
      <c r="B939" s="15"/>
    </row>
    <row r="940" spans="2:2" ht="15.75" customHeight="1">
      <c r="B940" s="15"/>
    </row>
    <row r="941" spans="2:2" ht="15.75" customHeight="1">
      <c r="B941" s="15"/>
    </row>
    <row r="942" spans="2:2" ht="15.75" customHeight="1">
      <c r="B942" s="15"/>
    </row>
    <row r="943" spans="2:2" ht="15.75" customHeight="1">
      <c r="B943" s="15"/>
    </row>
    <row r="944" spans="2:2" ht="15.75" customHeight="1">
      <c r="B944" s="15"/>
    </row>
    <row r="945" spans="2:2" ht="15.75" customHeight="1">
      <c r="B945" s="15"/>
    </row>
    <row r="946" spans="2:2" ht="15.75" customHeight="1">
      <c r="B946" s="15"/>
    </row>
    <row r="947" spans="2:2" ht="15.75" customHeight="1">
      <c r="B947" s="15"/>
    </row>
    <row r="948" spans="2:2" ht="15.75" customHeight="1">
      <c r="B948" s="15"/>
    </row>
    <row r="949" spans="2:2" ht="15.75" customHeight="1">
      <c r="B949" s="15"/>
    </row>
    <row r="950" spans="2:2" ht="15.75" customHeight="1">
      <c r="B950" s="15"/>
    </row>
    <row r="951" spans="2:2" ht="15.75" customHeight="1">
      <c r="B951" s="15"/>
    </row>
    <row r="952" spans="2:2" ht="15.75" customHeight="1">
      <c r="B952" s="15"/>
    </row>
    <row r="953" spans="2:2" ht="15.75" customHeight="1">
      <c r="B953" s="15"/>
    </row>
    <row r="954" spans="2:2" ht="15.75" customHeight="1">
      <c r="B954" s="15"/>
    </row>
    <row r="955" spans="2:2" ht="15.75" customHeight="1">
      <c r="B955" s="15"/>
    </row>
    <row r="956" spans="2:2" ht="15.75" customHeight="1">
      <c r="B956" s="15"/>
    </row>
    <row r="957" spans="2:2" ht="15.75" customHeight="1">
      <c r="B957" s="15"/>
    </row>
    <row r="958" spans="2:2" ht="15.75" customHeight="1">
      <c r="B958" s="15"/>
    </row>
    <row r="959" spans="2:2" ht="15.75" customHeight="1">
      <c r="B959" s="15"/>
    </row>
    <row r="960" spans="2:2" ht="15.75" customHeight="1">
      <c r="B960" s="15"/>
    </row>
    <row r="961" spans="2:2" ht="15.75" customHeight="1">
      <c r="B961" s="15"/>
    </row>
    <row r="962" spans="2:2" ht="15.75" customHeight="1">
      <c r="B962" s="15"/>
    </row>
    <row r="963" spans="2:2" ht="15.75" customHeight="1">
      <c r="B963" s="15"/>
    </row>
    <row r="964" spans="2:2" ht="15.75" customHeight="1">
      <c r="B964" s="15"/>
    </row>
    <row r="965" spans="2:2" ht="15.75" customHeight="1">
      <c r="B965" s="15"/>
    </row>
    <row r="966" spans="2:2" ht="15.75" customHeight="1">
      <c r="B966" s="15"/>
    </row>
    <row r="967" spans="2:2" ht="15.75" customHeight="1">
      <c r="B967" s="15"/>
    </row>
    <row r="968" spans="2:2" ht="15.75" customHeight="1">
      <c r="B968" s="15"/>
    </row>
    <row r="969" spans="2:2" ht="15.75" customHeight="1">
      <c r="B969" s="15"/>
    </row>
    <row r="970" spans="2:2" ht="15.75" customHeight="1">
      <c r="B970" s="15"/>
    </row>
    <row r="971" spans="2:2" ht="15.75" customHeight="1">
      <c r="B971" s="15"/>
    </row>
    <row r="972" spans="2:2" ht="15.75" customHeight="1">
      <c r="B972" s="15"/>
    </row>
    <row r="973" spans="2:2" ht="15.75" customHeight="1">
      <c r="B973" s="15"/>
    </row>
    <row r="974" spans="2:2" ht="15.75" customHeight="1">
      <c r="B974" s="15"/>
    </row>
    <row r="975" spans="2:2" ht="15.75" customHeight="1">
      <c r="B975" s="15"/>
    </row>
    <row r="976" spans="2:2" ht="15.75" customHeight="1">
      <c r="B976" s="15"/>
    </row>
    <row r="977" spans="2:2" ht="15.75" customHeight="1">
      <c r="B977" s="15"/>
    </row>
    <row r="978" spans="2:2" ht="15.75" customHeight="1">
      <c r="B978" s="15"/>
    </row>
    <row r="979" spans="2:2" ht="15.75" customHeight="1">
      <c r="B979" s="15"/>
    </row>
    <row r="980" spans="2:2" ht="15.75" customHeight="1">
      <c r="B980" s="15"/>
    </row>
    <row r="981" spans="2:2" ht="15.75" customHeight="1">
      <c r="B981" s="15"/>
    </row>
    <row r="982" spans="2:2" ht="15.75" customHeight="1">
      <c r="B982" s="15"/>
    </row>
    <row r="983" spans="2:2" ht="15.75" customHeight="1">
      <c r="B983" s="15"/>
    </row>
    <row r="984" spans="2:2" ht="15.75" customHeight="1">
      <c r="B984" s="15"/>
    </row>
    <row r="985" spans="2:2" ht="15.75" customHeight="1">
      <c r="B985" s="15"/>
    </row>
    <row r="986" spans="2:2" ht="15.75" customHeight="1">
      <c r="B986" s="15"/>
    </row>
    <row r="987" spans="2:2" ht="15.75" customHeight="1">
      <c r="B987" s="15"/>
    </row>
    <row r="988" spans="2:2" ht="15.75" customHeight="1">
      <c r="B988" s="15"/>
    </row>
    <row r="989" spans="2:2" ht="15.75" customHeight="1">
      <c r="B989" s="15"/>
    </row>
    <row r="990" spans="2:2" ht="15.75" customHeight="1">
      <c r="B990" s="15"/>
    </row>
    <row r="991" spans="2:2" ht="15.75" customHeight="1">
      <c r="B991" s="15"/>
    </row>
    <row r="992" spans="2:2" ht="15.75" customHeight="1">
      <c r="B992" s="15"/>
    </row>
    <row r="993" spans="2:2" ht="15.75" customHeight="1">
      <c r="B993" s="15"/>
    </row>
    <row r="994" spans="2:2" ht="15.75" customHeight="1">
      <c r="B994" s="15"/>
    </row>
    <row r="995" spans="2:2" ht="15.75" customHeight="1">
      <c r="B995" s="15"/>
    </row>
    <row r="996" spans="2:2" ht="15.75" customHeight="1">
      <c r="B996" s="15"/>
    </row>
    <row r="997" spans="2:2" ht="15.75" customHeight="1">
      <c r="B997" s="15"/>
    </row>
    <row r="998" spans="2:2" ht="15.75" customHeight="1">
      <c r="B998" s="15"/>
    </row>
    <row r="999" spans="2:2" ht="15.75" customHeight="1">
      <c r="B999" s="15"/>
    </row>
    <row r="1000" spans="2:2" ht="15.75" customHeight="1">
      <c r="B1000" s="15"/>
    </row>
    <row r="1001" spans="2:2" ht="15.75" customHeight="1">
      <c r="B1001" s="15"/>
    </row>
  </sheetData>
  <mergeCells count="1">
    <mergeCell ref="A3:B3"/>
  </mergeCells>
  <pageMargins left="0.7" right="0.7" top="0.75" bottom="0.75" header="0" footer="0"/>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inomialSheet">
                <anchor moveWithCells="1" sizeWithCells="1">
                  <from>
                    <xdr:col>2</xdr:col>
                    <xdr:colOff>518160</xdr:colOff>
                    <xdr:row>2</xdr:row>
                    <xdr:rowOff>167640</xdr:rowOff>
                  </from>
                  <to>
                    <xdr:col>3</xdr:col>
                    <xdr:colOff>1386840</xdr:colOff>
                    <xdr:row>5</xdr:row>
                    <xdr:rowOff>22860</xdr:rowOff>
                  </to>
                </anchor>
              </controlPr>
            </control>
          </mc:Choice>
        </mc:AlternateContent>
        <mc:AlternateContent xmlns:mc="http://schemas.openxmlformats.org/markup-compatibility/2006">
          <mc:Choice Requires="x14">
            <control shapeId="2050" r:id="rId5" name="Button 2">
              <controlPr defaultSize="0" print="0" autoFill="0" autoPict="0" macro="[0]!BlackScholes">
                <anchor moveWithCells="1" sizeWithCells="1">
                  <from>
                    <xdr:col>2</xdr:col>
                    <xdr:colOff>495300</xdr:colOff>
                    <xdr:row>6</xdr:row>
                    <xdr:rowOff>114300</xdr:rowOff>
                  </from>
                  <to>
                    <xdr:col>3</xdr:col>
                    <xdr:colOff>1371600</xdr:colOff>
                    <xdr:row>8</xdr:row>
                    <xdr:rowOff>137160</xdr:rowOff>
                  </to>
                </anchor>
              </controlPr>
            </control>
          </mc:Choice>
        </mc:AlternateContent>
        <mc:AlternateContent xmlns:mc="http://schemas.openxmlformats.org/markup-compatibility/2006">
          <mc:Choice Requires="x14">
            <control shapeId="2051" r:id="rId6" name="Button 3">
              <controlPr defaultSize="0" print="0" autoFill="0" autoPict="0" macro="[0]!ReadMeSheet">
                <anchor moveWithCells="1" sizeWithCells="1">
                  <from>
                    <xdr:col>2</xdr:col>
                    <xdr:colOff>510540</xdr:colOff>
                    <xdr:row>10</xdr:row>
                    <xdr:rowOff>91440</xdr:rowOff>
                  </from>
                  <to>
                    <xdr:col>3</xdr:col>
                    <xdr:colOff>1348740</xdr:colOff>
                    <xdr:row>12</xdr:row>
                    <xdr:rowOff>152400</xdr:rowOff>
                  </to>
                </anchor>
              </controlPr>
            </control>
          </mc:Choice>
        </mc:AlternateContent>
        <mc:AlternateContent xmlns:mc="http://schemas.openxmlformats.org/markup-compatibility/2006">
          <mc:Choice Requires="x14">
            <control shapeId="2052" r:id="rId7" name="Button 4">
              <controlPr defaultSize="0" print="0" autoFill="0" autoPict="0" macro="[0]!AirBusMarketData">
                <anchor moveWithCells="1" sizeWithCells="1">
                  <from>
                    <xdr:col>2</xdr:col>
                    <xdr:colOff>495300</xdr:colOff>
                    <xdr:row>14</xdr:row>
                    <xdr:rowOff>76200</xdr:rowOff>
                  </from>
                  <to>
                    <xdr:col>3</xdr:col>
                    <xdr:colOff>1333500</xdr:colOff>
                    <xdr:row>16</xdr:row>
                    <xdr:rowOff>137160</xdr:rowOff>
                  </to>
                </anchor>
              </controlPr>
            </control>
          </mc:Choice>
        </mc:AlternateContent>
        <mc:AlternateContent xmlns:mc="http://schemas.openxmlformats.org/markup-compatibility/2006">
          <mc:Choice Requires="x14">
            <control shapeId="2053" r:id="rId8" name="Button 5">
              <controlPr defaultSize="0" print="0" autoFill="0" autoPict="0" macro="[0]!CurrentMarketData">
                <anchor moveWithCells="1" sizeWithCells="1">
                  <from>
                    <xdr:col>2</xdr:col>
                    <xdr:colOff>495300</xdr:colOff>
                    <xdr:row>18</xdr:row>
                    <xdr:rowOff>91440</xdr:rowOff>
                  </from>
                  <to>
                    <xdr:col>3</xdr:col>
                    <xdr:colOff>1333500</xdr:colOff>
                    <xdr:row>20</xdr:row>
                    <xdr:rowOff>152400</xdr:rowOff>
                  </to>
                </anchor>
              </controlPr>
            </control>
          </mc:Choice>
        </mc:AlternateContent>
        <mc:AlternateContent xmlns:mc="http://schemas.openxmlformats.org/markup-compatibility/2006">
          <mc:Choice Requires="x14">
            <control shapeId="2056" r:id="rId9" name="Button 8">
              <controlPr defaultSize="0" print="0" autoFill="0" autoPict="0" macro="[0]!Binomial_VBA_Sheet">
                <anchor moveWithCells="1" sizeWithCells="1">
                  <from>
                    <xdr:col>2</xdr:col>
                    <xdr:colOff>472440</xdr:colOff>
                    <xdr:row>22</xdr:row>
                    <xdr:rowOff>129540</xdr:rowOff>
                  </from>
                  <to>
                    <xdr:col>3</xdr:col>
                    <xdr:colOff>1333500</xdr:colOff>
                    <xdr:row>24</xdr:row>
                    <xdr:rowOff>167640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ErrorMessage="1" xr:uid="{00000000-0002-0000-0100-000000000000}">
          <x14:formula1>
            <xm:f>Aux!$A$3:$A$4</xm:f>
          </x14:formula1>
          <xm:sqref>B4</xm:sqref>
        </x14:dataValidation>
        <x14:dataValidation type="list" allowBlank="1" showInputMessage="1" showErrorMessage="1" xr:uid="{415A1C61-0A54-CB46-91A1-0569299DF952}">
          <x14:formula1>
            <xm:f>Aux!$C$3:$C$4</xm:f>
          </x14:formula1>
          <xm:sqref>B14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N1117"/>
  <sheetViews>
    <sheetView showGridLines="0" zoomScale="64" zoomScaleNormal="55" workbookViewId="0">
      <selection activeCell="E7" sqref="E7"/>
    </sheetView>
  </sheetViews>
  <sheetFormatPr baseColWidth="10" defaultColWidth="12.69921875" defaultRowHeight="15" customHeight="1"/>
  <cols>
    <col min="1" max="1" width="18.5" customWidth="1"/>
    <col min="2" max="2" width="15.69921875" customWidth="1"/>
    <col min="3" max="3" width="11.19921875" customWidth="1"/>
    <col min="4" max="4" width="19" customWidth="1"/>
    <col min="5" max="5" width="14" customWidth="1"/>
    <col min="6" max="6" width="11.19921875" customWidth="1"/>
    <col min="7" max="7" width="13.19921875" customWidth="1"/>
    <col min="8" max="8" width="12.69921875" bestFit="1" customWidth="1"/>
    <col min="9" max="9" width="11.19921875" customWidth="1"/>
    <col min="10" max="10" width="13" customWidth="1"/>
    <col min="11" max="11" width="11.19921875" customWidth="1"/>
    <col min="12" max="12" width="12" customWidth="1"/>
    <col min="13" max="13" width="13.19921875" customWidth="1"/>
    <col min="14" max="14" width="16.296875" customWidth="1"/>
    <col min="15" max="22" width="11.19921875" customWidth="1"/>
    <col min="23" max="24" width="11.19921875" style="5" customWidth="1"/>
    <col min="25" max="40" width="11.19921875" customWidth="1"/>
  </cols>
  <sheetData>
    <row r="1" spans="1:40" ht="18.75" customHeight="1">
      <c r="A1" s="5"/>
      <c r="B1" s="5"/>
      <c r="C1" s="5"/>
      <c r="D1" s="5"/>
      <c r="E1" s="5"/>
      <c r="F1" s="5"/>
      <c r="G1" s="5"/>
      <c r="H1" s="5"/>
      <c r="I1" s="5"/>
      <c r="J1" s="5"/>
      <c r="K1" s="5"/>
      <c r="L1" s="5"/>
      <c r="M1" s="5"/>
      <c r="N1" s="5"/>
      <c r="O1" s="5"/>
      <c r="P1" s="5"/>
      <c r="Q1" s="5"/>
      <c r="R1" s="5"/>
      <c r="S1" s="5"/>
      <c r="T1" s="5"/>
      <c r="U1" s="5"/>
      <c r="V1" s="5"/>
      <c r="Y1" s="5"/>
      <c r="Z1" s="5"/>
      <c r="AA1" s="5"/>
      <c r="AB1" s="5"/>
      <c r="AC1" s="5"/>
      <c r="AD1" s="5"/>
      <c r="AE1" s="5"/>
      <c r="AF1" s="5"/>
      <c r="AG1" s="5"/>
      <c r="AH1" s="5"/>
      <c r="AI1" s="5"/>
      <c r="AJ1" s="5"/>
      <c r="AK1" s="5"/>
      <c r="AL1" s="5"/>
      <c r="AM1" s="5"/>
      <c r="AN1" s="5"/>
    </row>
    <row r="2" spans="1:40" ht="39.75" customHeight="1">
      <c r="A2" s="5"/>
      <c r="B2" s="5"/>
      <c r="C2" s="5"/>
      <c r="D2" s="16" t="s">
        <v>72</v>
      </c>
      <c r="E2" s="16"/>
      <c r="F2" s="5"/>
      <c r="G2" s="17"/>
      <c r="H2" s="5"/>
      <c r="I2" s="5"/>
      <c r="J2" s="5"/>
      <c r="K2" s="5"/>
      <c r="L2" s="5"/>
      <c r="M2" s="5"/>
      <c r="N2" s="5"/>
      <c r="O2" s="61"/>
      <c r="P2" s="5"/>
      <c r="Q2" s="5"/>
      <c r="R2" s="5"/>
      <c r="S2" s="5"/>
      <c r="T2" s="5"/>
      <c r="U2" s="5"/>
      <c r="V2" s="5"/>
      <c r="Y2" s="5"/>
      <c r="Z2" s="5"/>
      <c r="AA2" s="5"/>
      <c r="AB2" s="5"/>
      <c r="AC2" s="5"/>
      <c r="AD2" s="5"/>
      <c r="AE2" s="5"/>
      <c r="AF2" s="5"/>
      <c r="AG2" s="5"/>
      <c r="AH2" s="5"/>
      <c r="AI2" s="5"/>
      <c r="AJ2" s="5"/>
      <c r="AK2" s="5"/>
      <c r="AL2" s="5"/>
      <c r="AM2" s="5"/>
      <c r="AN2" s="5"/>
    </row>
    <row r="3" spans="1:40" ht="18.75" customHeight="1">
      <c r="A3" s="5"/>
      <c r="B3" s="53"/>
      <c r="C3" s="5"/>
      <c r="D3" s="5"/>
      <c r="E3" s="5"/>
      <c r="F3" s="5"/>
      <c r="G3" s="5"/>
      <c r="H3" s="5"/>
      <c r="I3" s="5"/>
      <c r="J3" s="5"/>
      <c r="K3" s="5"/>
      <c r="L3" s="5"/>
      <c r="M3" s="5"/>
      <c r="N3" s="5"/>
      <c r="O3" s="5"/>
      <c r="P3" s="5"/>
      <c r="Q3" s="5"/>
      <c r="R3" s="5"/>
      <c r="S3" s="5"/>
      <c r="T3" s="5"/>
      <c r="U3" s="5"/>
      <c r="V3" s="5"/>
      <c r="Y3" s="5"/>
      <c r="Z3" s="5"/>
      <c r="AA3" s="5"/>
      <c r="AB3" s="5"/>
      <c r="AC3" s="5"/>
      <c r="AD3" s="5"/>
      <c r="AE3" s="5"/>
      <c r="AF3" s="5"/>
      <c r="AG3" s="5"/>
      <c r="AH3" s="5"/>
      <c r="AI3" s="5"/>
      <c r="AJ3" s="5"/>
      <c r="AK3" s="5"/>
      <c r="AL3" s="5"/>
      <c r="AM3" s="5"/>
      <c r="AN3" s="5"/>
    </row>
    <row r="4" spans="1:40" ht="18.75" customHeight="1" thickBot="1">
      <c r="A4" s="5"/>
      <c r="B4" s="53"/>
      <c r="C4" s="5"/>
      <c r="D4" s="5"/>
      <c r="E4" s="5"/>
      <c r="F4" s="5"/>
      <c r="G4" s="5"/>
      <c r="H4" s="5"/>
      <c r="I4" s="5"/>
      <c r="J4" s="5"/>
      <c r="K4" s="5"/>
      <c r="L4" s="5"/>
      <c r="M4" s="5"/>
      <c r="N4" s="5"/>
      <c r="O4" s="5"/>
      <c r="P4" s="5"/>
      <c r="Q4" s="5"/>
      <c r="R4" s="5"/>
      <c r="S4" s="5"/>
      <c r="T4" s="5"/>
      <c r="U4" s="5"/>
      <c r="V4" s="5"/>
      <c r="Y4" s="5"/>
      <c r="Z4" s="5"/>
      <c r="AA4" s="5"/>
      <c r="AB4" s="5"/>
      <c r="AC4" s="5"/>
      <c r="AD4" s="5"/>
      <c r="AE4" s="5"/>
      <c r="AF4" s="5"/>
      <c r="AG4" s="5"/>
      <c r="AH4" s="5"/>
      <c r="AI4" s="5"/>
      <c r="AJ4" s="5"/>
      <c r="AK4" s="5"/>
      <c r="AL4" s="5"/>
      <c r="AM4" s="5"/>
      <c r="AN4" s="5"/>
    </row>
    <row r="5" spans="1:40" ht="35.25" customHeight="1" thickBot="1">
      <c r="A5" s="5"/>
      <c r="B5" s="18" t="s">
        <v>73</v>
      </c>
      <c r="C5" s="5"/>
      <c r="D5" s="5"/>
      <c r="E5" s="142" t="s">
        <v>21</v>
      </c>
      <c r="F5" s="5"/>
      <c r="G5" s="19" t="s">
        <v>22</v>
      </c>
      <c r="H5" s="20">
        <f>IF(Inputs!bs_option_type="Call",BinomialModel!A126,BinomialModel!A197)</f>
        <v>8.6399276564687071</v>
      </c>
      <c r="I5" s="5"/>
      <c r="J5" s="19" t="s">
        <v>49</v>
      </c>
      <c r="K5" s="137">
        <v>1.2526229117081313</v>
      </c>
      <c r="L5" s="5"/>
      <c r="M5" s="5"/>
      <c r="N5" s="5"/>
      <c r="O5" s="5"/>
      <c r="P5" s="5"/>
      <c r="Q5" s="5"/>
      <c r="R5" s="5"/>
      <c r="S5" s="5"/>
      <c r="T5" s="5"/>
      <c r="U5" s="5"/>
      <c r="V5" s="5"/>
      <c r="Y5" s="5"/>
      <c r="Z5" s="5"/>
      <c r="AA5" s="5"/>
      <c r="AB5" s="5"/>
      <c r="AC5" s="5"/>
      <c r="AD5" s="5"/>
      <c r="AE5" s="5"/>
      <c r="AF5" s="5"/>
      <c r="AG5" s="5"/>
      <c r="AH5" s="5"/>
      <c r="AI5" s="5"/>
      <c r="AJ5" s="5"/>
      <c r="AK5" s="5"/>
      <c r="AL5" s="5"/>
      <c r="AM5" s="5"/>
      <c r="AN5" s="5"/>
    </row>
    <row r="6" spans="1:40" ht="18.75" customHeight="1">
      <c r="A6" s="21" t="s">
        <v>23</v>
      </c>
      <c r="B6" s="22">
        <f>EXP(Inputs!Sigma*SQRT(Inputs!Time/n_periods))</f>
        <v>1.0261561097991629</v>
      </c>
      <c r="C6" s="5"/>
      <c r="D6" s="21" t="s">
        <v>24</v>
      </c>
      <c r="E6" s="22">
        <f>((1+Rate)^(1/(Time*12))-1)</f>
        <v>1.6597643621756308E-3</v>
      </c>
      <c r="F6" s="5"/>
      <c r="G6" s="5"/>
      <c r="H6" s="5"/>
      <c r="I6" s="5"/>
      <c r="J6" s="5"/>
      <c r="K6" s="5"/>
      <c r="L6" s="5"/>
      <c r="M6" s="5"/>
      <c r="N6" s="5"/>
      <c r="O6" s="5"/>
      <c r="P6" s="5"/>
      <c r="Q6" s="5"/>
      <c r="R6" s="5"/>
      <c r="S6" s="5"/>
      <c r="T6" s="5"/>
      <c r="U6" s="5"/>
      <c r="V6" s="5"/>
      <c r="Y6" s="5"/>
      <c r="Z6" s="5"/>
      <c r="AA6" s="5"/>
      <c r="AB6" s="5"/>
      <c r="AC6" s="5"/>
      <c r="AD6" s="5"/>
      <c r="AE6" s="5"/>
      <c r="AF6" s="5"/>
      <c r="AG6" s="5"/>
      <c r="AH6" s="5"/>
      <c r="AI6" s="5"/>
      <c r="AJ6" s="5"/>
      <c r="AK6" s="5"/>
      <c r="AL6" s="5"/>
      <c r="AM6" s="5"/>
      <c r="AN6" s="5"/>
    </row>
    <row r="7" spans="1:40" ht="18.75" customHeight="1">
      <c r="A7" s="21" t="s">
        <v>25</v>
      </c>
      <c r="B7" s="59">
        <f>EXP(-Inputs!Sigma*SQRT(Inputs!Time/n_periods))</f>
        <v>0.97451059390536376</v>
      </c>
      <c r="C7" s="5"/>
      <c r="D7" s="21" t="s">
        <v>26</v>
      </c>
      <c r="E7" s="22">
        <f>(EXP(Rate*(((Time*12)/12)/n_periods))-down_factor)/(up_factor-down_factor)</f>
        <v>0.49677278282438103</v>
      </c>
      <c r="F7" s="5"/>
      <c r="G7" s="5"/>
      <c r="H7" s="5"/>
      <c r="I7" s="5"/>
      <c r="J7" s="5"/>
      <c r="K7" s="5"/>
      <c r="L7" s="5"/>
      <c r="M7" s="5"/>
      <c r="N7" s="5"/>
      <c r="O7" s="5"/>
      <c r="P7" s="5"/>
      <c r="Q7" s="5"/>
      <c r="R7" s="5"/>
      <c r="S7" s="5"/>
      <c r="T7" s="5"/>
      <c r="U7" s="5"/>
      <c r="V7" s="5"/>
      <c r="Y7" s="5"/>
      <c r="Z7" s="5"/>
      <c r="AA7" s="5"/>
      <c r="AB7" s="5"/>
      <c r="AC7" s="5"/>
      <c r="AD7" s="5"/>
      <c r="AE7" s="5"/>
      <c r="AF7" s="5"/>
      <c r="AG7" s="5"/>
      <c r="AH7" s="5"/>
      <c r="AI7" s="5"/>
      <c r="AJ7" s="5"/>
      <c r="AK7" s="5"/>
      <c r="AL7" s="5"/>
      <c r="AM7" s="5"/>
      <c r="AN7" s="5"/>
    </row>
    <row r="8" spans="1:40" ht="18.75" customHeight="1">
      <c r="A8" s="58" t="s">
        <v>48</v>
      </c>
      <c r="B8" s="60" t="b">
        <f>(B6*B7)=1</f>
        <v>1</v>
      </c>
      <c r="C8" s="5"/>
      <c r="D8" s="5"/>
      <c r="E8" s="5"/>
      <c r="F8" s="5"/>
      <c r="G8" s="5"/>
      <c r="H8" s="5"/>
      <c r="I8" s="5"/>
      <c r="J8" s="5"/>
      <c r="K8" s="5"/>
      <c r="L8" s="5"/>
      <c r="M8" s="5"/>
      <c r="N8" s="5"/>
      <c r="O8" s="5"/>
      <c r="P8" s="5"/>
      <c r="Q8" s="5"/>
      <c r="R8" s="5"/>
      <c r="S8" s="5"/>
      <c r="T8" s="5"/>
      <c r="U8" s="5"/>
      <c r="V8" s="5"/>
      <c r="Y8" s="5"/>
      <c r="Z8" s="5"/>
      <c r="AA8" s="5"/>
      <c r="AB8" s="5"/>
      <c r="AC8" s="5"/>
      <c r="AD8" s="5"/>
      <c r="AE8" s="5"/>
      <c r="AF8" s="5"/>
      <c r="AG8" s="5"/>
      <c r="AH8" s="5"/>
      <c r="AI8" s="5"/>
      <c r="AJ8" s="5"/>
      <c r="AK8" s="5"/>
      <c r="AL8" s="5"/>
      <c r="AM8" s="5"/>
      <c r="AN8" s="5"/>
    </row>
    <row r="9" spans="1:40" ht="18.75" customHeight="1">
      <c r="A9" s="5"/>
      <c r="B9" s="5"/>
      <c r="C9" s="5"/>
      <c r="D9" s="5"/>
      <c r="E9" s="5"/>
      <c r="F9" s="5"/>
      <c r="G9" s="5"/>
      <c r="H9" s="5"/>
      <c r="I9" s="5"/>
      <c r="J9" s="5"/>
      <c r="K9" s="5"/>
      <c r="L9" s="5"/>
      <c r="M9" s="5"/>
      <c r="N9" s="5"/>
      <c r="O9" s="5"/>
      <c r="P9" s="5"/>
      <c r="Q9" s="5"/>
      <c r="R9" s="5"/>
      <c r="S9" s="5"/>
      <c r="T9" s="5"/>
      <c r="U9" s="5"/>
      <c r="V9" s="5"/>
      <c r="Y9" s="5"/>
      <c r="Z9" s="5"/>
      <c r="AA9" s="5"/>
      <c r="AB9" s="5"/>
      <c r="AC9" s="5"/>
      <c r="AD9" s="5"/>
      <c r="AE9" s="5"/>
      <c r="AF9" s="5"/>
      <c r="AG9" s="5"/>
      <c r="AH9" s="5"/>
      <c r="AI9" s="5"/>
      <c r="AJ9" s="5"/>
      <c r="AK9" s="5"/>
      <c r="AL9" s="5"/>
      <c r="AM9" s="5"/>
      <c r="AN9" s="5"/>
    </row>
    <row r="10" spans="1:40" ht="18.75" customHeight="1">
      <c r="A10" s="5"/>
      <c r="B10" s="5"/>
      <c r="C10" s="5"/>
      <c r="D10" s="5"/>
      <c r="E10" s="5"/>
      <c r="F10" s="5"/>
      <c r="G10" s="5"/>
      <c r="H10" s="5"/>
      <c r="I10" s="5"/>
      <c r="J10" s="5"/>
      <c r="K10" s="5"/>
      <c r="L10" s="5"/>
      <c r="M10" s="5"/>
      <c r="N10" s="5"/>
      <c r="O10" s="5"/>
      <c r="P10" s="5"/>
      <c r="Q10" s="5"/>
      <c r="R10" s="5"/>
      <c r="S10" s="5"/>
      <c r="T10" s="5"/>
      <c r="U10" s="5"/>
      <c r="V10" s="5"/>
      <c r="Y10" s="5"/>
      <c r="Z10" s="5"/>
      <c r="AA10" s="5"/>
      <c r="AB10" s="5"/>
      <c r="AC10" s="5"/>
      <c r="AD10" s="5"/>
      <c r="AE10" s="5"/>
      <c r="AF10" s="5"/>
      <c r="AG10" s="5"/>
      <c r="AH10" s="5"/>
      <c r="AI10" s="5"/>
      <c r="AJ10" s="5"/>
      <c r="AK10" s="5"/>
      <c r="AL10" s="5"/>
      <c r="AM10" s="5"/>
      <c r="AN10" s="5"/>
    </row>
    <row r="11" spans="1:40" ht="18.75" customHeight="1" thickBot="1">
      <c r="A11" s="141">
        <v>0</v>
      </c>
      <c r="B11" s="141">
        <v>1</v>
      </c>
      <c r="C11" s="141">
        <v>2</v>
      </c>
      <c r="D11" s="141">
        <v>3</v>
      </c>
      <c r="E11" s="141">
        <v>4</v>
      </c>
      <c r="F11" s="141">
        <v>5</v>
      </c>
      <c r="G11" s="141">
        <v>6</v>
      </c>
      <c r="H11" s="141">
        <v>7</v>
      </c>
      <c r="I11" s="141">
        <v>8</v>
      </c>
      <c r="J11" s="141">
        <v>9</v>
      </c>
      <c r="K11" s="141">
        <v>10</v>
      </c>
      <c r="L11" s="141">
        <v>11</v>
      </c>
      <c r="M11" s="141">
        <v>12</v>
      </c>
      <c r="N11" s="141">
        <f>M11+1</f>
        <v>13</v>
      </c>
      <c r="O11" s="141">
        <f t="shared" ref="O11:AE11" si="0">N11+1</f>
        <v>14</v>
      </c>
      <c r="P11" s="141">
        <f t="shared" si="0"/>
        <v>15</v>
      </c>
      <c r="Q11" s="141">
        <f t="shared" si="0"/>
        <v>16</v>
      </c>
      <c r="R11" s="141">
        <f t="shared" si="0"/>
        <v>17</v>
      </c>
      <c r="S11" s="141">
        <f t="shared" si="0"/>
        <v>18</v>
      </c>
      <c r="T11" s="141">
        <f t="shared" si="0"/>
        <v>19</v>
      </c>
      <c r="U11" s="141">
        <f t="shared" si="0"/>
        <v>20</v>
      </c>
      <c r="V11" s="141">
        <f t="shared" si="0"/>
        <v>21</v>
      </c>
      <c r="W11" s="141">
        <f t="shared" si="0"/>
        <v>22</v>
      </c>
      <c r="X11" s="141">
        <f t="shared" si="0"/>
        <v>23</v>
      </c>
      <c r="Y11" s="141">
        <f t="shared" si="0"/>
        <v>24</v>
      </c>
      <c r="Z11" s="141">
        <f t="shared" si="0"/>
        <v>25</v>
      </c>
      <c r="AA11" s="141">
        <f t="shared" si="0"/>
        <v>26</v>
      </c>
      <c r="AB11" s="141">
        <f t="shared" si="0"/>
        <v>27</v>
      </c>
      <c r="AC11" s="141">
        <f t="shared" si="0"/>
        <v>28</v>
      </c>
      <c r="AD11" s="141">
        <f t="shared" si="0"/>
        <v>29</v>
      </c>
      <c r="AE11" s="141">
        <f t="shared" si="0"/>
        <v>30</v>
      </c>
      <c r="AF11" s="5"/>
      <c r="AG11" s="5"/>
      <c r="AH11" s="5"/>
      <c r="AI11" s="5"/>
      <c r="AJ11" s="5"/>
      <c r="AK11" s="5"/>
      <c r="AL11" s="5"/>
      <c r="AM11" s="5"/>
    </row>
    <row r="12" spans="1:40" s="134" customFormat="1" ht="18.75" customHeight="1" thickBot="1">
      <c r="A12" s="161" t="s">
        <v>27</v>
      </c>
      <c r="B12" s="162"/>
      <c r="C12" s="162"/>
      <c r="D12" s="162"/>
      <c r="E12" s="162"/>
      <c r="F12" s="162"/>
      <c r="G12" s="162"/>
      <c r="H12" s="162"/>
      <c r="I12" s="162"/>
      <c r="J12" s="162"/>
      <c r="K12" s="162"/>
      <c r="L12" s="162"/>
      <c r="M12" s="162"/>
      <c r="N12" s="162"/>
      <c r="O12" s="162"/>
      <c r="P12" s="162"/>
      <c r="Q12" s="162"/>
      <c r="R12" s="162"/>
      <c r="S12" s="162"/>
      <c r="T12" s="162"/>
      <c r="U12" s="162"/>
      <c r="V12" s="162"/>
      <c r="W12" s="162"/>
      <c r="X12" s="162"/>
      <c r="Y12" s="162"/>
      <c r="Z12" s="162"/>
      <c r="AA12" s="162"/>
      <c r="AB12" s="162"/>
      <c r="AC12" s="162"/>
      <c r="AD12" s="162"/>
      <c r="AE12" s="163"/>
      <c r="AF12" s="5"/>
      <c r="AG12" s="5"/>
      <c r="AH12" s="5"/>
      <c r="AI12" s="5"/>
      <c r="AJ12" s="5"/>
      <c r="AK12" s="5"/>
      <c r="AL12" s="5"/>
      <c r="AM12" s="5"/>
    </row>
    <row r="13" spans="1:40" s="134" customFormat="1" ht="18.75" customHeight="1">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109"/>
      <c r="AF13" s="5"/>
      <c r="AG13" s="5"/>
      <c r="AH13" s="5"/>
      <c r="AI13" s="5"/>
      <c r="AJ13" s="5"/>
      <c r="AK13" s="5"/>
      <c r="AL13" s="5"/>
      <c r="AM13" s="5"/>
    </row>
    <row r="14" spans="1:40" s="134" customFormat="1" ht="18.75" customHeight="1">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109">
        <f>EXP(-dividend_rate/12)*((BinomialModel!AE14-BinomialModel!AE16)/(Inputs!Stock*(up_factor-down_factor)))</f>
        <v>2.045858637030646</v>
      </c>
      <c r="AE14" s="26">
        <f>AD15*$B$6</f>
        <v>210.46253320276597</v>
      </c>
      <c r="AF14" s="5"/>
      <c r="AG14" s="5"/>
      <c r="AH14" s="5"/>
      <c r="AI14" s="5"/>
      <c r="AJ14" s="5"/>
      <c r="AK14" s="5"/>
      <c r="AL14" s="5"/>
      <c r="AM14" s="5"/>
    </row>
    <row r="15" spans="1:40" s="134" customFormat="1" ht="18.75" customHeight="1">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109">
        <f>EXP(-dividend_rate/12)*((BinomialModel!AD15-BinomialModel!AD17)/(Inputs!Stock*(up_factor-down_factor)))</f>
        <v>1.9937109154191461</v>
      </c>
      <c r="AD15" s="26">
        <f>AC16*$B$6</f>
        <v>205.09796822625481</v>
      </c>
      <c r="AE15" s="26"/>
      <c r="AF15" s="5"/>
      <c r="AG15" s="5"/>
      <c r="AH15" s="5"/>
      <c r="AI15" s="5"/>
      <c r="AJ15" s="5"/>
      <c r="AK15" s="5"/>
      <c r="AL15" s="5"/>
      <c r="AM15" s="5"/>
    </row>
    <row r="16" spans="1:40" s="134" customFormat="1" ht="18.75" customHeight="1">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109">
        <f>EXP(-dividend_rate/12)*((BinomialModel!AC16-BinomialModel!AC18)/(Inputs!Stock*(up_factor-down_factor)))</f>
        <v>1.9428924082607246</v>
      </c>
      <c r="AC16" s="26">
        <f>AB17*$B$6</f>
        <v>199.87014282495102</v>
      </c>
      <c r="AD16" s="109">
        <f>EXP(-dividend_rate/12)*((BinomialModel!AE16-BinomialModel!AE18)/(Inputs!Stock*(up_factor-down_factor)))</f>
        <v>1.9428924082607191</v>
      </c>
      <c r="AE16" s="26">
        <f>AD15*down_factor</f>
        <v>199.87014282495099</v>
      </c>
      <c r="AF16" s="5"/>
      <c r="AG16" s="5"/>
      <c r="AH16" s="5"/>
      <c r="AI16" s="5"/>
      <c r="AJ16" s="5"/>
      <c r="AK16" s="5"/>
      <c r="AL16" s="5"/>
      <c r="AM16" s="5"/>
    </row>
    <row r="17" spans="1:39" s="134" customFormat="1" ht="18.75" customHeight="1">
      <c r="A17" s="135"/>
      <c r="B17" s="135"/>
      <c r="C17" s="135"/>
      <c r="D17" s="135"/>
      <c r="E17" s="135"/>
      <c r="F17" s="135"/>
      <c r="G17" s="135"/>
      <c r="H17" s="135"/>
      <c r="I17" s="135"/>
      <c r="J17" s="135"/>
      <c r="K17" s="135"/>
      <c r="L17" s="135"/>
      <c r="M17" s="135"/>
      <c r="N17" s="5"/>
      <c r="O17" s="5"/>
      <c r="P17" s="5"/>
      <c r="Q17" s="5"/>
      <c r="R17" s="5"/>
      <c r="S17" s="5"/>
      <c r="T17" s="5"/>
      <c r="U17" s="5"/>
      <c r="V17" s="5"/>
      <c r="W17" s="5"/>
      <c r="X17" s="5"/>
      <c r="Y17" s="5"/>
      <c r="Z17" s="5"/>
      <c r="AA17" s="109">
        <f>EXP(-dividend_rate/12)*((BinomialModel!AB17-BinomialModel!AB19)/(Inputs!Stock*(up_factor-down_factor)))</f>
        <v>1.8933692346683768</v>
      </c>
      <c r="AB17" s="26">
        <f>AA18*$B$6</f>
        <v>194.77557158829291</v>
      </c>
      <c r="AC17" s="109">
        <f>EXP(-dividend_rate/12)*((BinomialModel!AD17-BinomialModel!AD19)/(Inputs!Stock*(up_factor-down_factor)))</f>
        <v>1.8933692346683821</v>
      </c>
      <c r="AD17" s="26">
        <f>AC16*down_factor</f>
        <v>194.77557158829291</v>
      </c>
      <c r="AE17" s="26"/>
      <c r="AF17" s="5"/>
      <c r="AG17" s="5"/>
      <c r="AH17" s="5"/>
      <c r="AI17" s="5"/>
      <c r="AJ17" s="5"/>
      <c r="AK17" s="5"/>
      <c r="AL17" s="5"/>
      <c r="AM17" s="5"/>
    </row>
    <row r="18" spans="1:39" s="134" customFormat="1" ht="18.75" customHeight="1">
      <c r="A18" s="135"/>
      <c r="B18" s="135"/>
      <c r="C18" s="135"/>
      <c r="D18" s="135"/>
      <c r="E18" s="135"/>
      <c r="F18" s="135"/>
      <c r="G18" s="135"/>
      <c r="H18" s="135"/>
      <c r="I18" s="135"/>
      <c r="J18" s="135"/>
      <c r="K18" s="135"/>
      <c r="L18" s="135"/>
      <c r="M18" s="135"/>
      <c r="N18" s="5"/>
      <c r="O18" s="5"/>
      <c r="P18" s="5"/>
      <c r="Q18" s="5"/>
      <c r="R18" s="5"/>
      <c r="S18" s="5"/>
      <c r="T18" s="5"/>
      <c r="U18" s="5"/>
      <c r="V18" s="5"/>
      <c r="W18" s="5"/>
      <c r="X18" s="5"/>
      <c r="Y18" s="5"/>
      <c r="Z18" s="109">
        <f>EXP(-dividend_rate/12)*((BinomialModel!AA18-BinomialModel!AA20)/(Inputs!Stock*(up_factor-down_factor)))</f>
        <v>1.8451083773588279</v>
      </c>
      <c r="AA18" s="26">
        <f>Z19*$B$6</f>
        <v>189.81085794676403</v>
      </c>
      <c r="AB18" s="109">
        <f>EXP(-dividend_rate/12)*((BinomialModel!AC18-BinomialModel!AC20)/(Inputs!Stock*(up_factor-down_factor)))</f>
        <v>1.8451083773588226</v>
      </c>
      <c r="AC18" s="26">
        <f>AB17*down_factor</f>
        <v>189.810857946764</v>
      </c>
      <c r="AD18" s="109">
        <f>EXP(-dividend_rate/12)*((BinomialModel!AE18-BinomialModel!AE20)/(Inputs!Stock*(up_factor-down_factor)))</f>
        <v>1.8451083773588279</v>
      </c>
      <c r="AE18" s="26">
        <f>AD17*down_factor</f>
        <v>189.810857946764</v>
      </c>
      <c r="AF18" s="5"/>
      <c r="AG18" s="5"/>
      <c r="AH18" s="5"/>
      <c r="AI18" s="5"/>
      <c r="AJ18" s="5"/>
      <c r="AK18" s="5"/>
      <c r="AL18" s="5"/>
      <c r="AM18" s="5"/>
    </row>
    <row r="19" spans="1:39" s="134" customFormat="1" ht="18.75" customHeight="1">
      <c r="A19" s="135"/>
      <c r="B19" s="135"/>
      <c r="C19" s="135"/>
      <c r="D19" s="135"/>
      <c r="E19" s="135"/>
      <c r="F19" s="135"/>
      <c r="G19" s="135"/>
      <c r="H19" s="135"/>
      <c r="I19" s="135"/>
      <c r="J19" s="135"/>
      <c r="K19" s="135"/>
      <c r="L19" s="135"/>
      <c r="M19" s="135"/>
      <c r="N19" s="5"/>
      <c r="O19" s="5"/>
      <c r="P19" s="5"/>
      <c r="Q19" s="5"/>
      <c r="R19" s="5"/>
      <c r="S19" s="5"/>
      <c r="T19" s="5"/>
      <c r="U19" s="5"/>
      <c r="V19" s="5"/>
      <c r="W19" s="5"/>
      <c r="X19" s="5"/>
      <c r="Y19" s="109">
        <f>EXP(-dividend_rate/12)*((BinomialModel!Z19-BinomialModel!Z21)/(Inputs!Stock*(up_factor-down_factor)))</f>
        <v>1.7980776606397091</v>
      </c>
      <c r="Z19" s="26">
        <f>Y20*$B$6</f>
        <v>184.97269190738766</v>
      </c>
      <c r="AA19" s="109">
        <f>EXP(-dividend_rate/12)*((BinomialModel!AB19-BinomialModel!AB21)/(Inputs!Stock*(up_factor-down_factor)))</f>
        <v>1.7980776606397146</v>
      </c>
      <c r="AB19" s="26">
        <f>AA18*down_factor</f>
        <v>184.97269190738766</v>
      </c>
      <c r="AC19" s="109">
        <f>EXP(-dividend_rate/12)*((BinomialModel!AD19-BinomialModel!AD21)/(Inputs!Stock*(up_factor-down_factor)))</f>
        <v>1.7980776606397091</v>
      </c>
      <c r="AD19" s="26">
        <f>AC18*down_factor</f>
        <v>184.97269190738763</v>
      </c>
      <c r="AE19" s="26"/>
      <c r="AF19" s="5"/>
      <c r="AG19" s="5"/>
      <c r="AH19" s="5"/>
      <c r="AI19" s="5"/>
      <c r="AJ19" s="5"/>
      <c r="AK19" s="5"/>
      <c r="AL19" s="5"/>
      <c r="AM19" s="5"/>
    </row>
    <row r="20" spans="1:39" s="134" customFormat="1" ht="18.75" customHeight="1">
      <c r="A20" s="135"/>
      <c r="B20" s="135"/>
      <c r="C20" s="135"/>
      <c r="D20" s="135"/>
      <c r="E20" s="135"/>
      <c r="F20" s="135"/>
      <c r="G20" s="135"/>
      <c r="H20" s="135"/>
      <c r="I20" s="135"/>
      <c r="J20" s="135"/>
      <c r="K20" s="135"/>
      <c r="L20" s="135"/>
      <c r="M20" s="135"/>
      <c r="N20" s="5"/>
      <c r="O20" s="5"/>
      <c r="P20" s="5"/>
      <c r="Q20" s="5"/>
      <c r="R20" s="5"/>
      <c r="S20" s="5"/>
      <c r="T20" s="5"/>
      <c r="U20" s="5"/>
      <c r="V20" s="5"/>
      <c r="W20" s="5"/>
      <c r="X20" s="109">
        <f>EXP(-dividend_rate/12)*((BinomialModel!Y20-BinomialModel!Y22)/(Inputs!Stock*(up_factor-down_factor)))</f>
        <v>1.7522457289579769</v>
      </c>
      <c r="Y20" s="26">
        <f>X21*$B$6</f>
        <v>180.25784784694224</v>
      </c>
      <c r="Z20" s="109">
        <f>EXP(-dividend_rate/12)*((BinomialModel!AA20-BinomialModel!AA22)/(Inputs!Stock*(up_factor-down_factor)))</f>
        <v>1.7522457289579714</v>
      </c>
      <c r="AA20" s="26">
        <f>Z19*down_factor</f>
        <v>180.25784784694221</v>
      </c>
      <c r="AB20" s="109">
        <f>EXP(-dividend_rate/12)*((BinomialModel!AC20-BinomialModel!AC22)/(Inputs!Stock*(up_factor-down_factor)))</f>
        <v>1.7522457289579769</v>
      </c>
      <c r="AC20" s="26">
        <f>AB19*down_factor</f>
        <v>180.25784784694221</v>
      </c>
      <c r="AD20" s="109">
        <f>EXP(-dividend_rate/12)*((BinomialModel!AE20-BinomialModel!AE22)/(Inputs!Stock*(up_factor-down_factor)))</f>
        <v>1.7522457289579714</v>
      </c>
      <c r="AE20" s="26">
        <f>AD19*$B$7</f>
        <v>180.25784784694218</v>
      </c>
      <c r="AF20" s="5"/>
      <c r="AG20" s="5"/>
      <c r="AH20" s="5"/>
      <c r="AI20" s="5"/>
      <c r="AJ20" s="5"/>
      <c r="AK20" s="5"/>
      <c r="AL20" s="5"/>
      <c r="AM20" s="5"/>
    </row>
    <row r="21" spans="1:39" s="134" customFormat="1" ht="18.75" customHeight="1">
      <c r="A21" s="135"/>
      <c r="B21" s="135"/>
      <c r="C21" s="135"/>
      <c r="D21" s="135"/>
      <c r="E21" s="135"/>
      <c r="F21" s="135"/>
      <c r="G21" s="135"/>
      <c r="H21" s="135"/>
      <c r="I21" s="135"/>
      <c r="J21" s="135"/>
      <c r="K21" s="135"/>
      <c r="L21" s="135"/>
      <c r="M21" s="135"/>
      <c r="N21" s="5"/>
      <c r="O21" s="5"/>
      <c r="P21" s="5"/>
      <c r="Q21" s="5"/>
      <c r="R21" s="5"/>
      <c r="S21" s="5"/>
      <c r="T21" s="5"/>
      <c r="U21" s="5"/>
      <c r="V21" s="5"/>
      <c r="W21" s="109">
        <f>EXP(-dividend_rate/12)*((BinomialModel!X21-BinomialModel!X23)/(Inputs!Stock*(up_factor-down_factor)))</f>
        <v>1.7075820259949712</v>
      </c>
      <c r="X21" s="26">
        <f>W22*$B$6</f>
        <v>175.66318236142638</v>
      </c>
      <c r="Y21" s="109">
        <f>EXP(-dividend_rate/12)*((BinomialModel!Z21-BinomialModel!Z23)/(Inputs!Stock*(up_factor-down_factor)))</f>
        <v>1.7075820259949765</v>
      </c>
      <c r="Z21" s="26">
        <f>Y20*down_factor</f>
        <v>175.66318236142638</v>
      </c>
      <c r="AA21" s="109">
        <f>EXP(-dividend_rate/12)*((BinomialModel!AB21-BinomialModel!AB23)/(Inputs!Stock*(up_factor-down_factor)))</f>
        <v>1.7075820259949712</v>
      </c>
      <c r="AB21" s="26">
        <f>AA20*down_factor</f>
        <v>175.66318236142635</v>
      </c>
      <c r="AC21" s="109">
        <f>EXP(-dividend_rate/12)*((BinomialModel!AD21-BinomialModel!AD23)/(Inputs!Stock*(up_factor-down_factor)))</f>
        <v>1.7075820259949765</v>
      </c>
      <c r="AD21" s="26">
        <f>AC20*$B$7</f>
        <v>175.66318236142635</v>
      </c>
      <c r="AE21" s="26"/>
      <c r="AF21" s="5"/>
      <c r="AG21" s="5"/>
      <c r="AH21" s="5"/>
      <c r="AI21" s="5"/>
      <c r="AJ21" s="5"/>
      <c r="AK21" s="5"/>
      <c r="AL21" s="5"/>
      <c r="AM21" s="5"/>
    </row>
    <row r="22" spans="1:39" s="134" customFormat="1" ht="18.75" customHeight="1">
      <c r="A22" s="135"/>
      <c r="B22" s="135"/>
      <c r="C22" s="135"/>
      <c r="D22" s="135"/>
      <c r="E22" s="135"/>
      <c r="F22" s="135"/>
      <c r="G22" s="135"/>
      <c r="H22" s="135"/>
      <c r="I22" s="135"/>
      <c r="J22" s="135"/>
      <c r="K22" s="135"/>
      <c r="L22" s="135"/>
      <c r="M22" s="135"/>
      <c r="N22" s="5"/>
      <c r="O22" s="5"/>
      <c r="P22" s="5"/>
      <c r="Q22" s="5"/>
      <c r="R22" s="5"/>
      <c r="S22" s="5"/>
      <c r="T22" s="5"/>
      <c r="U22" s="5"/>
      <c r="V22" s="109">
        <f>EXP(-dividend_rate/12)*((BinomialModel!W22-BinomialModel!W24)/(Inputs!Stock*(up_factor-down_factor)))</f>
        <v>1.6640567742944821</v>
      </c>
      <c r="W22" s="26">
        <f>V23*$B$6</f>
        <v>171.18563217033986</v>
      </c>
      <c r="X22" s="109">
        <f>EXP(-dividend_rate/12)*((BinomialModel!Y22-BinomialModel!Y24)/(Inputs!Stock*(up_factor-down_factor)))</f>
        <v>1.6640567742944821</v>
      </c>
      <c r="Y22" s="26">
        <f>X21*down_factor</f>
        <v>171.18563217033983</v>
      </c>
      <c r="Z22" s="109">
        <f>EXP(-dividend_rate/12)*((BinomialModel!AA22-BinomialModel!AA24)/(Inputs!Stock*(up_factor-down_factor)))</f>
        <v>1.6640567742944876</v>
      </c>
      <c r="AA22" s="26">
        <f>Z21*down_factor</f>
        <v>171.18563217033983</v>
      </c>
      <c r="AB22" s="109">
        <f>EXP(-dividend_rate/12)*((BinomialModel!AC22-BinomialModel!AC24)/(Inputs!Stock*(up_factor-down_factor)))</f>
        <v>1.6640567742944821</v>
      </c>
      <c r="AC22" s="26">
        <f>AB21*$B$7</f>
        <v>171.1856321703398</v>
      </c>
      <c r="AD22" s="109">
        <f>EXP(-dividend_rate/12)*((BinomialModel!AE22-BinomialModel!AE24)/(Inputs!Stock*(up_factor-down_factor)))</f>
        <v>1.6640567742944876</v>
      </c>
      <c r="AE22" s="26">
        <f>AD21*$B$7</f>
        <v>171.1856321703398</v>
      </c>
      <c r="AF22" s="5"/>
      <c r="AG22" s="5"/>
      <c r="AH22" s="5"/>
      <c r="AI22" s="5"/>
      <c r="AJ22" s="5"/>
      <c r="AK22" s="5"/>
      <c r="AL22" s="5"/>
      <c r="AM22" s="5"/>
    </row>
    <row r="23" spans="1:39" s="134" customFormat="1" ht="18.75" customHeight="1">
      <c r="A23" s="135"/>
      <c r="B23" s="135"/>
      <c r="C23" s="135"/>
      <c r="D23" s="135"/>
      <c r="E23" s="135"/>
      <c r="F23" s="135"/>
      <c r="G23" s="135"/>
      <c r="H23" s="135"/>
      <c r="I23" s="135"/>
      <c r="J23" s="135"/>
      <c r="K23" s="135"/>
      <c r="L23" s="135"/>
      <c r="M23" s="135"/>
      <c r="N23" s="5"/>
      <c r="O23" s="5"/>
      <c r="P23" s="5"/>
      <c r="Q23" s="5"/>
      <c r="R23" s="5"/>
      <c r="S23" s="5"/>
      <c r="T23" s="5"/>
      <c r="U23" s="109">
        <f>EXP(-dividend_rate/12)*((BinomialModel!V23-BinomialModel!V25)/(Inputs!Stock*(up_factor-down_factor)))</f>
        <v>1.6216409554099658</v>
      </c>
      <c r="V23" s="26">
        <f>U24*$B$6</f>
        <v>166.82221207438306</v>
      </c>
      <c r="W23" s="109">
        <f>EXP(-dividend_rate/12)*((BinomialModel!X23-BinomialModel!X25)/(Inputs!Stock*(up_factor-down_factor)))</f>
        <v>1.6216409554099602</v>
      </c>
      <c r="X23" s="26">
        <f>W22*down_factor</f>
        <v>166.82221207438303</v>
      </c>
      <c r="Y23" s="109">
        <f>EXP(-dividend_rate/12)*((BinomialModel!Z23-BinomialModel!Z25)/(Inputs!Stock*(up_factor-down_factor)))</f>
        <v>1.6216409554099602</v>
      </c>
      <c r="Z23" s="26">
        <f>Y22*down_factor</f>
        <v>166.822212074383</v>
      </c>
      <c r="AA23" s="109">
        <f>EXP(-dividend_rate/12)*((BinomialModel!AB23-BinomialModel!AB25)/(Inputs!Stock*(up_factor-down_factor)))</f>
        <v>1.6216409554099658</v>
      </c>
      <c r="AB23" s="26">
        <f>AA22*$B$7</f>
        <v>166.822212074383</v>
      </c>
      <c r="AC23" s="109">
        <f>EXP(-dividend_rate/12)*((BinomialModel!AD23-BinomialModel!AD25)/(Inputs!Stock*(up_factor-down_factor)))</f>
        <v>1.6216409554099602</v>
      </c>
      <c r="AD23" s="26">
        <f>AC22*$B$7</f>
        <v>166.82221207438297</v>
      </c>
      <c r="AE23" s="26"/>
      <c r="AF23" s="5"/>
      <c r="AG23" s="5"/>
      <c r="AH23" s="5"/>
      <c r="AI23" s="5"/>
      <c r="AJ23" s="5"/>
      <c r="AK23" s="5"/>
      <c r="AL23" s="5"/>
      <c r="AM23" s="5"/>
    </row>
    <row r="24" spans="1:39" s="134" customFormat="1" ht="18.75" customHeight="1">
      <c r="A24" s="135"/>
      <c r="B24" s="135"/>
      <c r="C24" s="135"/>
      <c r="D24" s="135"/>
      <c r="E24" s="135"/>
      <c r="F24" s="135"/>
      <c r="G24" s="135"/>
      <c r="H24" s="135"/>
      <c r="I24" s="135"/>
      <c r="J24" s="135"/>
      <c r="K24" s="135"/>
      <c r="L24" s="135"/>
      <c r="M24" s="135"/>
      <c r="N24" s="5"/>
      <c r="O24" s="5"/>
      <c r="P24" s="5"/>
      <c r="Q24" s="5"/>
      <c r="R24" s="5"/>
      <c r="S24" s="5"/>
      <c r="T24" s="109">
        <f>EXP(-dividend_rate/12)*((BinomialModel!U24-BinomialModel!U26)/(Inputs!Stock*(up_factor-down_factor)))</f>
        <v>1.580306290557822</v>
      </c>
      <c r="U24" s="26">
        <f>T25*$B$6</f>
        <v>162.57001296521358</v>
      </c>
      <c r="V24" s="109">
        <f>EXP(-dividend_rate/12)*((BinomialModel!W24-BinomialModel!W26)/(Inputs!Stock*(up_factor-down_factor)))</f>
        <v>1.5803062905578276</v>
      </c>
      <c r="W24" s="26">
        <f>V23*down_factor</f>
        <v>162.57001296521358</v>
      </c>
      <c r="X24" s="109">
        <f>EXP(-dividend_rate/12)*((BinomialModel!Y24-BinomialModel!Y26)/(Inputs!Stock*(up_factor-down_factor)))</f>
        <v>1.580306290557822</v>
      </c>
      <c r="Y24" s="26">
        <f>X23*down_factor</f>
        <v>162.57001296521355</v>
      </c>
      <c r="Z24" s="109">
        <f>EXP(-dividend_rate/12)*((BinomialModel!AA24-BinomialModel!AA26)/(Inputs!Stock*(up_factor-down_factor)))</f>
        <v>1.580306290557822</v>
      </c>
      <c r="AA24" s="26">
        <f>Z23*$B$7</f>
        <v>162.57001296521352</v>
      </c>
      <c r="AB24" s="109">
        <f>EXP(-dividend_rate/12)*((BinomialModel!AC24-BinomialModel!AC26)/(Inputs!Stock*(up_factor-down_factor)))</f>
        <v>1.5803062905578276</v>
      </c>
      <c r="AC24" s="26">
        <f>AB23*$B$7</f>
        <v>162.57001296521352</v>
      </c>
      <c r="AD24" s="109">
        <f>EXP(-dividend_rate/12)*((BinomialModel!AE24-BinomialModel!AE26)/(Inputs!Stock*(up_factor-down_factor)))</f>
        <v>1.580306290557822</v>
      </c>
      <c r="AE24" s="26">
        <f>AD23*$B$7</f>
        <v>162.57001296521349</v>
      </c>
      <c r="AF24" s="5"/>
      <c r="AG24" s="5"/>
      <c r="AH24" s="5"/>
      <c r="AI24" s="5"/>
      <c r="AJ24" s="5"/>
      <c r="AK24" s="5"/>
      <c r="AL24" s="5"/>
      <c r="AM24" s="5"/>
    </row>
    <row r="25" spans="1:39" s="134" customFormat="1" ht="18.75" customHeight="1">
      <c r="A25" s="135"/>
      <c r="B25" s="135"/>
      <c r="C25" s="135"/>
      <c r="D25" s="135"/>
      <c r="E25" s="135"/>
      <c r="F25" s="135"/>
      <c r="G25" s="135"/>
      <c r="H25" s="135"/>
      <c r="I25" s="135"/>
      <c r="J25" s="135"/>
      <c r="K25" s="135"/>
      <c r="L25" s="135"/>
      <c r="M25" s="135"/>
      <c r="N25" s="5"/>
      <c r="O25" s="5"/>
      <c r="P25" s="5"/>
      <c r="Q25" s="5"/>
      <c r="R25" s="5"/>
      <c r="S25" s="109">
        <f>EXP(-dividend_rate/12)*((BinomialModel!T25-BinomialModel!T27)/(Inputs!Stock*(up_factor-down_factor)))</f>
        <v>1.5400252217638897</v>
      </c>
      <c r="T25" s="26">
        <f>S26*$B$6</f>
        <v>158.42619988593299</v>
      </c>
      <c r="U25" s="109">
        <f>EXP(-dividend_rate/12)*((BinomialModel!V25-BinomialModel!V27)/(Inputs!Stock*(up_factor-down_factor)))</f>
        <v>1.5400252217638841</v>
      </c>
      <c r="V25" s="26">
        <f>U24*down_factor</f>
        <v>158.42619988593296</v>
      </c>
      <c r="W25" s="109">
        <f>EXP(-dividend_rate/12)*((BinomialModel!X25-BinomialModel!X27)/(Inputs!Stock*(up_factor-down_factor)))</f>
        <v>1.5400252217638897</v>
      </c>
      <c r="X25" s="26">
        <f>W24*down_factor</f>
        <v>158.42619988593296</v>
      </c>
      <c r="Y25" s="109">
        <f>EXP(-dividend_rate/12)*((BinomialModel!Z25-BinomialModel!Z27)/(Inputs!Stock*(up_factor-down_factor)))</f>
        <v>1.5400252217638841</v>
      </c>
      <c r="Z25" s="26">
        <f>Y24*$B$7</f>
        <v>158.42619988593293</v>
      </c>
      <c r="AA25" s="109">
        <f>EXP(-dividend_rate/12)*((BinomialModel!AB25-BinomialModel!AB27)/(Inputs!Stock*(up_factor-down_factor)))</f>
        <v>1.5400252217638841</v>
      </c>
      <c r="AB25" s="26">
        <f>AA24*$B$7</f>
        <v>158.4261998859329</v>
      </c>
      <c r="AC25" s="109">
        <f>EXP(-dividend_rate/12)*((BinomialModel!AD25-BinomialModel!AD27)/(Inputs!Stock*(up_factor-down_factor)))</f>
        <v>1.5400252217638897</v>
      </c>
      <c r="AD25" s="26">
        <f>AC24*$B$7</f>
        <v>158.4261998859329</v>
      </c>
      <c r="AE25" s="26"/>
      <c r="AF25" s="5"/>
      <c r="AG25" s="5"/>
      <c r="AH25" s="5"/>
      <c r="AI25" s="5"/>
      <c r="AJ25" s="5"/>
      <c r="AK25" s="5"/>
      <c r="AL25" s="5"/>
      <c r="AM25" s="5"/>
    </row>
    <row r="26" spans="1:39" s="134" customFormat="1" ht="18.75" customHeight="1">
      <c r="A26" s="135"/>
      <c r="B26" s="135"/>
      <c r="C26" s="135"/>
      <c r="D26" s="135"/>
      <c r="E26" s="135"/>
      <c r="F26" s="135"/>
      <c r="G26" s="135"/>
      <c r="H26" s="135"/>
      <c r="I26" s="135"/>
      <c r="J26" s="135"/>
      <c r="K26" s="135"/>
      <c r="L26" s="135"/>
      <c r="M26" s="135"/>
      <c r="N26" s="5"/>
      <c r="O26" s="5"/>
      <c r="P26" s="5"/>
      <c r="Q26" s="5"/>
      <c r="R26" s="109">
        <f>EXP(-dividend_rate/12)*((BinomialModel!S26-BinomialModel!S28)/(Inputs!Stock*(up_factor-down_factor)))</f>
        <v>1.500770893490367</v>
      </c>
      <c r="S26" s="26">
        <f>R27*$B$6</f>
        <v>154.38801014101043</v>
      </c>
      <c r="T26" s="109">
        <f>EXP(-dividend_rate/12)*((BinomialModel!U26-BinomialModel!U28)/(Inputs!Stock*(up_factor-down_factor)))</f>
        <v>1.500770893490367</v>
      </c>
      <c r="U26" s="26">
        <f>T25*down_factor</f>
        <v>154.38801014101043</v>
      </c>
      <c r="V26" s="109">
        <f>EXP(-dividend_rate/12)*((BinomialModel!W26-BinomialModel!W28)/(Inputs!Stock*(up_factor-down_factor)))</f>
        <v>1.5007708934903614</v>
      </c>
      <c r="W26" s="26">
        <f>V25*down_factor</f>
        <v>154.3880101410104</v>
      </c>
      <c r="X26" s="109">
        <f>EXP(-dividend_rate/12)*((BinomialModel!Y26-BinomialModel!Y28)/(Inputs!Stock*(up_factor-down_factor)))</f>
        <v>1.500770893490367</v>
      </c>
      <c r="Y26" s="26">
        <f>X25*$B$7</f>
        <v>154.3880101410104</v>
      </c>
      <c r="Z26" s="109">
        <f>EXP(-dividend_rate/12)*((BinomialModel!AA26-BinomialModel!AA28)/(Inputs!Stock*(up_factor-down_factor)))</f>
        <v>1.5007708934903614</v>
      </c>
      <c r="AA26" s="26">
        <f>Z25*$B$7</f>
        <v>154.38801014101037</v>
      </c>
      <c r="AB26" s="109">
        <f>EXP(-dividend_rate/12)*((BinomialModel!AC26-BinomialModel!AC28)/(Inputs!Stock*(up_factor-down_factor)))</f>
        <v>1.5007708934903614</v>
      </c>
      <c r="AC26" s="26">
        <f>AB25*$B$7</f>
        <v>154.38801014101034</v>
      </c>
      <c r="AD26" s="109">
        <f>EXP(-dividend_rate/12)*((BinomialModel!AE26-BinomialModel!AE28)/(Inputs!Stock*(up_factor-down_factor)))</f>
        <v>1.500770893490367</v>
      </c>
      <c r="AE26" s="26">
        <f>AD25*$B$7</f>
        <v>154.38801014101034</v>
      </c>
      <c r="AF26" s="5"/>
      <c r="AG26" s="5"/>
      <c r="AH26" s="5"/>
      <c r="AI26" s="5"/>
      <c r="AJ26" s="5"/>
      <c r="AK26" s="5"/>
      <c r="AL26" s="5"/>
      <c r="AM26" s="5"/>
    </row>
    <row r="27" spans="1:39" s="134" customFormat="1" ht="18.75" customHeight="1">
      <c r="A27" s="135"/>
      <c r="B27" s="135"/>
      <c r="C27" s="135"/>
      <c r="D27" s="135"/>
      <c r="E27" s="135"/>
      <c r="F27" s="135"/>
      <c r="G27" s="135"/>
      <c r="H27" s="135"/>
      <c r="I27" s="135"/>
      <c r="J27" s="135"/>
      <c r="K27" s="135"/>
      <c r="L27" s="135"/>
      <c r="M27" s="135"/>
      <c r="N27" s="5"/>
      <c r="P27" s="5"/>
      <c r="Q27" s="109">
        <f>EXP(-dividend_rate/12)*((BinomialModel!R27-BinomialModel!R29)/(Inputs!Stock*(up_factor-down_factor)))</f>
        <v>1.4625171347311772</v>
      </c>
      <c r="R27" s="26">
        <f>Q28*$B$6</f>
        <v>150.45275145438339</v>
      </c>
      <c r="S27" s="109">
        <f>EXP(-dividend_rate/12)*((BinomialModel!T27-BinomialModel!T29)/(Inputs!Stock*(up_factor-down_factor)))</f>
        <v>1.4625171347311772</v>
      </c>
      <c r="T27" s="26">
        <f>S26*down_factor</f>
        <v>150.45275145438339</v>
      </c>
      <c r="U27" s="109">
        <f>EXP(-dividend_rate/12)*((BinomialModel!V27-BinomialModel!V29)/(Inputs!Stock*(up_factor-down_factor)))</f>
        <v>1.4625171347311772</v>
      </c>
      <c r="V27" s="26">
        <f>U26*down_factor</f>
        <v>150.45275145438339</v>
      </c>
      <c r="W27" s="109">
        <f>EXP(-dividend_rate/12)*((BinomialModel!X27-BinomialModel!X29)/(Inputs!Stock*(up_factor-down_factor)))</f>
        <v>1.4625171347311716</v>
      </c>
      <c r="X27" s="26">
        <f>W26*$B$7</f>
        <v>150.45275145438336</v>
      </c>
      <c r="Y27" s="109">
        <f>EXP(-dividend_rate/12)*((BinomialModel!Z27-BinomialModel!Z29)/(Inputs!Stock*(up_factor-down_factor)))</f>
        <v>1.4625171347311772</v>
      </c>
      <c r="Z27" s="26">
        <f>Y26*$B$7</f>
        <v>150.45275145438336</v>
      </c>
      <c r="AA27" s="109">
        <f>EXP(-dividend_rate/12)*((BinomialModel!AB27-BinomialModel!AB29)/(Inputs!Stock*(up_factor-down_factor)))</f>
        <v>1.4625171347311716</v>
      </c>
      <c r="AB27" s="26">
        <f>AA26*$B$7</f>
        <v>150.45275145438333</v>
      </c>
      <c r="AC27" s="109">
        <f>EXP(-dividend_rate/12)*((BinomialModel!AD27-BinomialModel!AD29)/(Inputs!Stock*(up_factor-down_factor)))</f>
        <v>1.4625171347311716</v>
      </c>
      <c r="AD27" s="26">
        <f>AC26*$B$7</f>
        <v>150.4527514543833</v>
      </c>
      <c r="AE27" s="26"/>
      <c r="AF27" s="5"/>
      <c r="AG27" s="5"/>
      <c r="AH27" s="5"/>
      <c r="AI27" s="5"/>
      <c r="AJ27" s="5"/>
      <c r="AK27" s="5"/>
      <c r="AL27" s="5"/>
      <c r="AM27" s="5"/>
    </row>
    <row r="28" spans="1:39" s="134" customFormat="1" ht="18.75" customHeight="1">
      <c r="A28" s="135"/>
      <c r="B28" s="135"/>
      <c r="C28" s="135"/>
      <c r="D28" s="135"/>
      <c r="E28" s="135"/>
      <c r="F28" s="135"/>
      <c r="G28" s="135"/>
      <c r="H28" s="135"/>
      <c r="I28" s="135"/>
      <c r="J28" s="135"/>
      <c r="K28" s="135"/>
      <c r="L28" s="135"/>
      <c r="M28" s="135"/>
      <c r="N28" s="135"/>
      <c r="O28" s="56"/>
      <c r="P28" s="109">
        <f>EXP(-dividend_rate/12)*((BinomialModel!Q28-BinomialModel!Q30)/(Inputs!Stock*(up_factor-down_factor)))</f>
        <v>1.4252384415636521</v>
      </c>
      <c r="Q28" s="26">
        <f>P29*$B$6</f>
        <v>146.61780017450724</v>
      </c>
      <c r="R28" s="109">
        <f>EXP(-dividend_rate/12)*((BinomialModel!S28-BinomialModel!S30)/(Inputs!Stock*(up_factor-down_factor)))</f>
        <v>1.4252384415636521</v>
      </c>
      <c r="S28" s="26">
        <f>R27*down_factor</f>
        <v>146.61780017450724</v>
      </c>
      <c r="T28" s="109">
        <f>EXP(-dividend_rate/12)*((BinomialModel!U28-BinomialModel!U30)/(Inputs!Stock*(up_factor-down_factor)))</f>
        <v>1.4252384415636521</v>
      </c>
      <c r="U28" s="26">
        <f>T27*down_factor</f>
        <v>146.61780017450724</v>
      </c>
      <c r="V28" s="109">
        <f>EXP(-dividend_rate/12)*((BinomialModel!W28-BinomialModel!W30)/(Inputs!Stock*(up_factor-down_factor)))</f>
        <v>1.4252384415636521</v>
      </c>
      <c r="W28" s="26">
        <f>V27*$B$7</f>
        <v>146.61780017450724</v>
      </c>
      <c r="X28" s="109">
        <f>EXP(-dividend_rate/12)*((BinomialModel!Y28-BinomialModel!Y30)/(Inputs!Stock*(up_factor-down_factor)))</f>
        <v>1.4252384415636468</v>
      </c>
      <c r="Y28" s="26">
        <f>X27*$B$7</f>
        <v>146.61780017450721</v>
      </c>
      <c r="Z28" s="109">
        <f>EXP(-dividend_rate/12)*((BinomialModel!AA28-BinomialModel!AA30)/(Inputs!Stock*(up_factor-down_factor)))</f>
        <v>1.4252384415636521</v>
      </c>
      <c r="AA28" s="26">
        <f>Z27*$B$7</f>
        <v>146.61780017450721</v>
      </c>
      <c r="AB28" s="109">
        <f>EXP(-dividend_rate/12)*((BinomialModel!AC28-BinomialModel!AC30)/(Inputs!Stock*(up_factor-down_factor)))</f>
        <v>1.4252384415636468</v>
      </c>
      <c r="AC28" s="26">
        <f>AB27*$B$7</f>
        <v>146.61780017450718</v>
      </c>
      <c r="AD28" s="109">
        <f>EXP(-dividend_rate/12)*((BinomialModel!AE28-BinomialModel!AE30)/(Inputs!Stock*(up_factor-down_factor)))</f>
        <v>1.4252384415636468</v>
      </c>
      <c r="AE28" s="26">
        <f>AD27*$B$7</f>
        <v>146.61780017450715</v>
      </c>
      <c r="AF28" s="5"/>
      <c r="AG28" s="5"/>
      <c r="AH28" s="5"/>
      <c r="AI28" s="5"/>
      <c r="AJ28" s="5"/>
      <c r="AK28" s="5"/>
      <c r="AL28" s="5"/>
      <c r="AM28" s="5"/>
    </row>
    <row r="29" spans="1:39" s="134" customFormat="1" ht="18.75" customHeight="1">
      <c r="A29" s="135"/>
      <c r="B29" s="135"/>
      <c r="C29" s="135"/>
      <c r="D29" s="135"/>
      <c r="E29" s="135"/>
      <c r="F29" s="135"/>
      <c r="G29" s="135"/>
      <c r="H29" s="135"/>
      <c r="I29" s="135"/>
      <c r="J29" s="135"/>
      <c r="K29" s="135"/>
      <c r="L29" s="135"/>
      <c r="M29" s="135"/>
      <c r="N29" s="135"/>
      <c r="O29" s="109">
        <f>EXP(-dividend_rate/12)*((BinomialModel!P29-BinomialModel!P31)/(Inputs!Stock*(up_factor-down_factor)))</f>
        <v>1.3889099601449477</v>
      </c>
      <c r="P29" s="26">
        <f>O30*$B$6</f>
        <v>142.88059952515701</v>
      </c>
      <c r="Q29" s="109">
        <f>EXP(-dividend_rate/12)*((BinomialModel!R29-BinomialModel!R31)/(Inputs!Stock*(up_factor-down_factor)))</f>
        <v>1.3889099601449533</v>
      </c>
      <c r="R29" s="26">
        <f>Q28*down_factor</f>
        <v>142.88059952515701</v>
      </c>
      <c r="S29" s="109">
        <f>EXP(-dividend_rate/12)*((BinomialModel!T29-BinomialModel!T31)/(Inputs!Stock*(up_factor-down_factor)))</f>
        <v>1.3889099601449533</v>
      </c>
      <c r="T29" s="26">
        <f>S28*down_factor</f>
        <v>142.88059952515701</v>
      </c>
      <c r="U29" s="109">
        <f>EXP(-dividend_rate/12)*((BinomialModel!V29-BinomialModel!V31)/(Inputs!Stock*(up_factor-down_factor)))</f>
        <v>1.3889099601449533</v>
      </c>
      <c r="V29" s="26">
        <f>U28*$B$7</f>
        <v>142.88059952515701</v>
      </c>
      <c r="W29" s="109">
        <f>EXP(-dividend_rate/12)*((BinomialModel!X29-BinomialModel!X31)/(Inputs!Stock*(up_factor-down_factor)))</f>
        <v>1.3889099601449533</v>
      </c>
      <c r="X29" s="26">
        <f>W28*$B$7</f>
        <v>142.88059952515701</v>
      </c>
      <c r="Y29" s="109">
        <f>EXP(-dividend_rate/12)*((BinomialModel!Z29-BinomialModel!Z31)/(Inputs!Stock*(up_factor-down_factor)))</f>
        <v>1.3889099601449477</v>
      </c>
      <c r="Z29" s="26">
        <f>Y28*$B$7</f>
        <v>142.88059952515698</v>
      </c>
      <c r="AA29" s="109">
        <f>EXP(-dividend_rate/12)*((BinomialModel!AB29-BinomialModel!AB31)/(Inputs!Stock*(up_factor-down_factor)))</f>
        <v>1.3889099601449533</v>
      </c>
      <c r="AB29" s="26">
        <f>AA28*$B$7</f>
        <v>142.88059952515698</v>
      </c>
      <c r="AC29" s="109">
        <f>EXP(-dividend_rate/12)*((BinomialModel!AD29-BinomialModel!AD31)/(Inputs!Stock*(up_factor-down_factor)))</f>
        <v>1.3889099601449477</v>
      </c>
      <c r="AD29" s="26">
        <f>AC28*$B$7</f>
        <v>142.88059952515695</v>
      </c>
      <c r="AE29" s="26"/>
      <c r="AF29" s="5"/>
      <c r="AG29" s="5"/>
      <c r="AH29" s="5"/>
      <c r="AI29" s="5"/>
      <c r="AJ29" s="5"/>
      <c r="AK29" s="5"/>
      <c r="AL29" s="5"/>
      <c r="AM29" s="5"/>
    </row>
    <row r="30" spans="1:39" s="134" customFormat="1" ht="18.75" customHeight="1">
      <c r="A30" s="135"/>
      <c r="B30" s="135"/>
      <c r="C30" s="135"/>
      <c r="D30" s="135"/>
      <c r="E30" s="135"/>
      <c r="F30" s="135"/>
      <c r="G30" s="135"/>
      <c r="H30" s="135"/>
      <c r="I30" s="135"/>
      <c r="J30" s="135"/>
      <c r="K30" s="135"/>
      <c r="L30" s="135"/>
      <c r="M30" s="135"/>
      <c r="N30" s="109">
        <f>EXP(-dividend_rate/12)*((BinomialModel!O30-BinomialModel!O32)/(Inputs!Stock*(up_factor-down_factor)))</f>
        <v>1.3535074701419316</v>
      </c>
      <c r="O30" s="26">
        <f>N31*up_factor</f>
        <v>139.23865790081521</v>
      </c>
      <c r="P30" s="109">
        <f>EXP(-dividend_rate/12)*((BinomialModel!Q30-BinomialModel!Q32)/(Inputs!Stock*(up_factor-down_factor)))</f>
        <v>1.3535074701419261</v>
      </c>
      <c r="Q30" s="26">
        <f>P29*down_factor</f>
        <v>139.23865790081518</v>
      </c>
      <c r="R30" s="109">
        <f>EXP(-dividend_rate/12)*((BinomialModel!S30-BinomialModel!S32)/(Inputs!Stock*(up_factor-down_factor)))</f>
        <v>1.3535074701419316</v>
      </c>
      <c r="S30" s="26">
        <f>R29*down_factor</f>
        <v>139.23865790081518</v>
      </c>
      <c r="T30" s="109">
        <f>EXP(-dividend_rate/12)*((BinomialModel!U30-BinomialModel!U32)/(Inputs!Stock*(up_factor-down_factor)))</f>
        <v>1.3535074701419316</v>
      </c>
      <c r="U30" s="26">
        <f>T29*$B$7</f>
        <v>139.23865790081518</v>
      </c>
      <c r="V30" s="109">
        <f>EXP(-dividend_rate/12)*((BinomialModel!W30-BinomialModel!W32)/(Inputs!Stock*(up_factor-down_factor)))</f>
        <v>1.3535074701419316</v>
      </c>
      <c r="W30" s="26">
        <f>V29*$B$7</f>
        <v>139.23865790081518</v>
      </c>
      <c r="X30" s="109">
        <f>EXP(-dividend_rate/12)*((BinomialModel!Y30-BinomialModel!Y32)/(Inputs!Stock*(up_factor-down_factor)))</f>
        <v>1.3535074701419316</v>
      </c>
      <c r="Y30" s="26">
        <f>X29*$B$7</f>
        <v>139.23865790081518</v>
      </c>
      <c r="Z30" s="109">
        <f>EXP(-dividend_rate/12)*((BinomialModel!AA30-BinomialModel!AA32)/(Inputs!Stock*(up_factor-down_factor)))</f>
        <v>1.3535074701419261</v>
      </c>
      <c r="AA30" s="26">
        <f>Z29*$B$7</f>
        <v>139.23865790081516</v>
      </c>
      <c r="AB30" s="109">
        <f>EXP(-dividend_rate/12)*((BinomialModel!AC30-BinomialModel!AC32)/(Inputs!Stock*(up_factor-down_factor)))</f>
        <v>1.3535074701419316</v>
      </c>
      <c r="AC30" s="26">
        <f>AB29*$B$7</f>
        <v>139.23865790081516</v>
      </c>
      <c r="AD30" s="109">
        <f>EXP(-dividend_rate/12)*((BinomialModel!AE30-BinomialModel!AE32)/(Inputs!Stock*(up_factor-down_factor)))</f>
        <v>1.3535074701419261</v>
      </c>
      <c r="AE30" s="26">
        <f>AD29*$B$7</f>
        <v>139.23865790081513</v>
      </c>
      <c r="AF30" s="5"/>
      <c r="AG30" s="5"/>
      <c r="AH30" s="5"/>
      <c r="AI30" s="5"/>
      <c r="AJ30" s="5"/>
      <c r="AK30" s="5"/>
      <c r="AL30" s="5"/>
      <c r="AM30" s="5"/>
    </row>
    <row r="31" spans="1:39" ht="19.95" customHeight="1">
      <c r="M31" s="109">
        <f>EXP(-dividend_rate/12)*((BinomialModel!N31-BinomialModel!N33)/(Inputs!Stock*(up_factor-down_factor)))</f>
        <v>1.3190073685833592</v>
      </c>
      <c r="N31" s="26">
        <f>M32*up_factor</f>
        <v>135.6895472055092</v>
      </c>
      <c r="O31" s="109">
        <f>EXP(-dividend_rate/12)*((BinomialModel!P31-BinomialModel!P33)/(Inputs!Stock*(up_factor-down_factor)))</f>
        <v>1.3190073685833592</v>
      </c>
      <c r="P31" s="26">
        <f>O30*down_factor</f>
        <v>135.6895472055092</v>
      </c>
      <c r="Q31" s="109">
        <f>EXP(-dividend_rate/12)*((BinomialModel!R31-BinomialModel!R33)/(Inputs!Stock*(up_factor-down_factor)))</f>
        <v>1.3190073685833539</v>
      </c>
      <c r="R31" s="26">
        <f>Q30*down_factor</f>
        <v>135.68954720550917</v>
      </c>
      <c r="S31" s="109">
        <f>EXP(-dividend_rate/12)*((BinomialModel!T31-BinomialModel!T33)/(Inputs!Stock*(up_factor-down_factor)))</f>
        <v>1.3190073685833592</v>
      </c>
      <c r="T31" s="26">
        <f>S30*$B$7</f>
        <v>135.68954720550917</v>
      </c>
      <c r="U31" s="109">
        <f>EXP(-dividend_rate/12)*((BinomialModel!V31-BinomialModel!V33)/(Inputs!Stock*(up_factor-down_factor)))</f>
        <v>1.3190073685833592</v>
      </c>
      <c r="V31" s="26">
        <f>U30*$B$7</f>
        <v>135.68954720550917</v>
      </c>
      <c r="W31" s="109">
        <f>EXP(-dividend_rate/12)*((BinomialModel!X31-BinomialModel!X33)/(Inputs!Stock*(up_factor-down_factor)))</f>
        <v>1.3190073685833592</v>
      </c>
      <c r="X31" s="26">
        <f>W30*$B$7</f>
        <v>135.68954720550917</v>
      </c>
      <c r="Y31" s="109">
        <f>EXP(-dividend_rate/12)*((BinomialModel!Z31-BinomialModel!Z33)/(Inputs!Stock*(up_factor-down_factor)))</f>
        <v>1.3190073685833592</v>
      </c>
      <c r="Z31" s="26">
        <f>Y30*$B$7</f>
        <v>135.68954720550917</v>
      </c>
      <c r="AA31" s="109">
        <f>EXP(-dividend_rate/12)*((BinomialModel!AB31-BinomialModel!AB33)/(Inputs!Stock*(up_factor-down_factor)))</f>
        <v>1.3190073685833539</v>
      </c>
      <c r="AB31" s="26">
        <f>AA30*$B$7</f>
        <v>135.68954720550914</v>
      </c>
      <c r="AC31" s="109">
        <f>EXP(-dividend_rate/12)*((BinomialModel!AD31-BinomialModel!AD33)/(Inputs!Stock*(up_factor-down_factor)))</f>
        <v>1.3190073685833592</v>
      </c>
      <c r="AD31" s="26">
        <f>AC30*$B$7</f>
        <v>135.68954720550914</v>
      </c>
      <c r="AE31" s="26"/>
      <c r="AF31" s="5"/>
      <c r="AG31" s="5"/>
      <c r="AH31" s="5"/>
      <c r="AI31" s="5"/>
      <c r="AJ31" s="5"/>
      <c r="AK31" s="5"/>
      <c r="AL31" s="5"/>
      <c r="AM31" s="5"/>
    </row>
    <row r="32" spans="1:39" ht="18" customHeight="1">
      <c r="A32" s="25"/>
      <c r="B32" s="25"/>
      <c r="C32" s="25"/>
      <c r="D32" s="25"/>
      <c r="E32" s="25"/>
      <c r="F32" s="25"/>
      <c r="G32" s="25"/>
      <c r="H32" s="25"/>
      <c r="I32" s="25"/>
      <c r="J32" s="25"/>
      <c r="K32" s="25"/>
      <c r="L32" s="109">
        <f>EXP(-dividend_rate/12)*((BinomialModel!M32-BinomialModel!M34)/(Inputs!Stock*(up_factor-down_factor)))</f>
        <v>1.28538665412372</v>
      </c>
      <c r="M32" s="26">
        <f>L33*up_factor</f>
        <v>132.23090123399066</v>
      </c>
      <c r="N32" s="109">
        <f>EXP(-dividend_rate/12)*((BinomialModel!O32-BinomialModel!O34)/(Inputs!Stock*(up_factor-down_factor)))</f>
        <v>1.28538665412372</v>
      </c>
      <c r="O32" s="26">
        <f>N31*down_factor</f>
        <v>132.23090123399066</v>
      </c>
      <c r="P32" s="109">
        <f>EXP(-dividend_rate/12)*((BinomialModel!Q32-BinomialModel!Q34)/(Inputs!Stock*(up_factor-down_factor)))</f>
        <v>1.28538665412372</v>
      </c>
      <c r="Q32" s="26">
        <f>P31*down_factor</f>
        <v>132.23090123399066</v>
      </c>
      <c r="R32" s="109">
        <f>EXP(-dividend_rate/12)*((BinomialModel!S32-BinomialModel!S34)/(Inputs!Stock*(up_factor-down_factor)))</f>
        <v>1.2853866541237144</v>
      </c>
      <c r="S32" s="26">
        <f>R31*$B$7</f>
        <v>132.23090123399064</v>
      </c>
      <c r="T32" s="109">
        <f>EXP(-dividend_rate/12)*((BinomialModel!U32-BinomialModel!U34)/(Inputs!Stock*(up_factor-down_factor)))</f>
        <v>1.28538665412372</v>
      </c>
      <c r="U32" s="26">
        <f>T31*$B$7</f>
        <v>132.23090123399064</v>
      </c>
      <c r="V32" s="109">
        <f>EXP(-dividend_rate/12)*((BinomialModel!W32-BinomialModel!W34)/(Inputs!Stock*(up_factor-down_factor)))</f>
        <v>1.28538665412372</v>
      </c>
      <c r="W32" s="26">
        <f>V31*$B$7</f>
        <v>132.23090123399064</v>
      </c>
      <c r="X32" s="109">
        <f>EXP(-dividend_rate/12)*((BinomialModel!Y32-BinomialModel!Y34)/(Inputs!Stock*(up_factor-down_factor)))</f>
        <v>1.28538665412372</v>
      </c>
      <c r="Y32" s="26">
        <f>X31*$B$7</f>
        <v>132.23090123399064</v>
      </c>
      <c r="Z32" s="109">
        <f>EXP(-dividend_rate/12)*((BinomialModel!AA32-BinomialModel!AA34)/(Inputs!Stock*(up_factor-down_factor)))</f>
        <v>1.28538665412372</v>
      </c>
      <c r="AA32" s="26">
        <f>Z31*$B$7</f>
        <v>132.23090123399064</v>
      </c>
      <c r="AB32" s="109">
        <f>EXP(-dividend_rate/12)*((BinomialModel!AC32-BinomialModel!AC34)/(Inputs!Stock*(up_factor-down_factor)))</f>
        <v>1.2853866541237144</v>
      </c>
      <c r="AC32" s="26">
        <f>AB31*$B$7</f>
        <v>132.23090123399061</v>
      </c>
      <c r="AD32" s="109">
        <f>EXP(-dividend_rate/12)*((BinomialModel!AE32-BinomialModel!AE34)/(Inputs!Stock*(up_factor-down_factor)))</f>
        <v>1.28538665412372</v>
      </c>
      <c r="AE32" s="26">
        <f>AD31*$B$7</f>
        <v>132.23090123399061</v>
      </c>
      <c r="AF32" s="5"/>
      <c r="AG32" s="5"/>
      <c r="AH32" s="5"/>
      <c r="AI32" s="5"/>
      <c r="AJ32" s="5"/>
      <c r="AK32" s="5"/>
      <c r="AL32" s="5"/>
      <c r="AM32" s="5"/>
    </row>
    <row r="33" spans="1:39" ht="18.75" customHeight="1">
      <c r="A33" s="25"/>
      <c r="B33" s="25"/>
      <c r="C33" s="25"/>
      <c r="D33" s="25"/>
      <c r="E33" s="25"/>
      <c r="F33" s="25"/>
      <c r="G33" s="25"/>
      <c r="H33" s="25"/>
      <c r="I33" s="109"/>
      <c r="J33" s="25"/>
      <c r="K33" s="109">
        <f>EXP(-dividend_rate/12)*((BinomialModel!L33-BinomialModel!L35)/(Inputs!Stock*(up_factor-down_factor)))</f>
        <v>1.2526229117081313</v>
      </c>
      <c r="L33" s="26">
        <f>K34*$B$6</f>
        <v>128.86041409417774</v>
      </c>
      <c r="M33" s="109">
        <f>EXP(-dividend_rate/12)*((BinomialModel!N33-BinomialModel!N35)/(Inputs!Stock*(up_factor-down_factor)))</f>
        <v>1.252622911708134</v>
      </c>
      <c r="N33" s="26">
        <f>M32*down_factor</f>
        <v>128.86041409417774</v>
      </c>
      <c r="O33" s="109">
        <f>EXP(-dividend_rate/12)*((BinomialModel!P33-BinomialModel!P35)/(Inputs!Stock*(up_factor-down_factor)))</f>
        <v>1.252622911708134</v>
      </c>
      <c r="P33" s="26">
        <f>O32*down_factor</f>
        <v>128.86041409417774</v>
      </c>
      <c r="Q33" s="109">
        <f>EXP(-dividend_rate/12)*((BinomialModel!R33-BinomialModel!R35)/(Inputs!Stock*(up_factor-down_factor)))</f>
        <v>1.252622911708134</v>
      </c>
      <c r="R33" s="26">
        <f>Q32*$B$7</f>
        <v>128.86041409417774</v>
      </c>
      <c r="S33" s="109">
        <f>EXP(-dividend_rate/12)*((BinomialModel!T33-BinomialModel!T35)/(Inputs!Stock*(up_factor-down_factor)))</f>
        <v>1.2526229117081285</v>
      </c>
      <c r="T33" s="26">
        <f>S32*$B$7</f>
        <v>128.86041409417771</v>
      </c>
      <c r="U33" s="109">
        <f>EXP(-dividend_rate/12)*((BinomialModel!V33-BinomialModel!V35)/(Inputs!Stock*(up_factor-down_factor)))</f>
        <v>1.252622911708134</v>
      </c>
      <c r="V33" s="26">
        <f>U32*$B$7</f>
        <v>128.86041409417771</v>
      </c>
      <c r="W33" s="109">
        <f>EXP(-dividend_rate/12)*((BinomialModel!X33-BinomialModel!X35)/(Inputs!Stock*(up_factor-down_factor)))</f>
        <v>1.252622911708134</v>
      </c>
      <c r="X33" s="26">
        <f>W32*$B$7</f>
        <v>128.86041409417771</v>
      </c>
      <c r="Y33" s="109">
        <f>EXP(-dividend_rate/12)*((BinomialModel!Z33-BinomialModel!Z35)/(Inputs!Stock*(up_factor-down_factor)))</f>
        <v>1.252622911708134</v>
      </c>
      <c r="Z33" s="26">
        <f>Y32*$B$7</f>
        <v>128.86041409417771</v>
      </c>
      <c r="AA33" s="109">
        <f>EXP(-dividend_rate/12)*((BinomialModel!AB33-BinomialModel!AB35)/(Inputs!Stock*(up_factor-down_factor)))</f>
        <v>1.252622911708134</v>
      </c>
      <c r="AB33" s="26">
        <f>AA32*$B$7</f>
        <v>128.86041409417771</v>
      </c>
      <c r="AC33" s="109">
        <f>EXP(-dividend_rate/12)*((BinomialModel!AD33-BinomialModel!AD35)/(Inputs!Stock*(up_factor-down_factor)))</f>
        <v>1.2526229117081285</v>
      </c>
      <c r="AD33" s="26">
        <f>AC32*$B$7</f>
        <v>128.86041409417768</v>
      </c>
      <c r="AE33" s="26"/>
      <c r="AF33" s="5"/>
      <c r="AG33" s="5"/>
      <c r="AH33" s="5"/>
      <c r="AI33" s="5"/>
      <c r="AJ33" s="5"/>
      <c r="AK33" s="5"/>
      <c r="AL33" s="5"/>
      <c r="AM33" s="5"/>
    </row>
    <row r="34" spans="1:39" ht="18.75" customHeight="1">
      <c r="A34" s="25"/>
      <c r="B34" s="25"/>
      <c r="C34" s="25"/>
      <c r="D34" s="25"/>
      <c r="E34" s="25"/>
      <c r="F34" s="25"/>
      <c r="G34" s="25"/>
      <c r="H34" s="25"/>
      <c r="I34" s="25"/>
      <c r="J34" s="109">
        <f>EXP(-dividend_rate/12)*((BinomialModel!K34-BinomialModel!K36)/(Inputs!Stock*(up_factor-down_factor)))</f>
        <v>1.2206942976281616</v>
      </c>
      <c r="K34" s="26">
        <f>J35*$B$6</f>
        <v>125.57583866980828</v>
      </c>
      <c r="L34" s="109">
        <f>EXP(-dividend_rate/12)*((BinomialModel!M34-BinomialModel!M36)/(Inputs!Stock*(up_factor-down_factor)))</f>
        <v>1.220694297628159</v>
      </c>
      <c r="M34" s="26">
        <f>L33*down_factor</f>
        <v>125.57583866980826</v>
      </c>
      <c r="N34" s="109">
        <f>EXP(-dividend_rate/12)*((BinomialModel!O34-BinomialModel!O36)/(Inputs!Stock*(up_factor-down_factor)))</f>
        <v>1.2206942976281616</v>
      </c>
      <c r="O34" s="26">
        <f>N33*down_factor</f>
        <v>125.57583866980826</v>
      </c>
      <c r="P34" s="109">
        <f>EXP(-dividend_rate/12)*((BinomialModel!Q34-BinomialModel!Q36)/(Inputs!Stock*(up_factor-down_factor)))</f>
        <v>1.2206942976281616</v>
      </c>
      <c r="Q34" s="26">
        <f>P33*$B$7</f>
        <v>125.57583866980826</v>
      </c>
      <c r="R34" s="109">
        <f>EXP(-dividend_rate/12)*((BinomialModel!S34-BinomialModel!S36)/(Inputs!Stock*(up_factor-down_factor)))</f>
        <v>1.2206942976281616</v>
      </c>
      <c r="S34" s="26">
        <f>R33*$B$7</f>
        <v>125.57583866980826</v>
      </c>
      <c r="T34" s="109">
        <f>EXP(-dividend_rate/12)*((BinomialModel!U34-BinomialModel!U36)/(Inputs!Stock*(up_factor-down_factor)))</f>
        <v>1.2206942976281561</v>
      </c>
      <c r="U34" s="26">
        <f>T33*$B$7</f>
        <v>125.57583866980823</v>
      </c>
      <c r="V34" s="109">
        <f>EXP(-dividend_rate/12)*((BinomialModel!W34-BinomialModel!W36)/(Inputs!Stock*(up_factor-down_factor)))</f>
        <v>1.2206942976281616</v>
      </c>
      <c r="W34" s="26">
        <f>V33*$B$7</f>
        <v>125.57583866980823</v>
      </c>
      <c r="X34" s="109">
        <f>EXP(-dividend_rate/12)*((BinomialModel!Y34-BinomialModel!Y36)/(Inputs!Stock*(up_factor-down_factor)))</f>
        <v>1.2206942976281616</v>
      </c>
      <c r="Y34" s="26">
        <f>X33*$B$7</f>
        <v>125.57583866980823</v>
      </c>
      <c r="Z34" s="109">
        <f>EXP(-dividend_rate/12)*((BinomialModel!AA34-BinomialModel!AA36)/(Inputs!Stock*(up_factor-down_factor)))</f>
        <v>1.2206942976281616</v>
      </c>
      <c r="AA34" s="26">
        <f>Z33*$B$7</f>
        <v>125.57583866980823</v>
      </c>
      <c r="AB34" s="109">
        <f>EXP(-dividend_rate/12)*((BinomialModel!AC34-BinomialModel!AC36)/(Inputs!Stock*(up_factor-down_factor)))</f>
        <v>1.2206942976281616</v>
      </c>
      <c r="AC34" s="26">
        <f>AB33*$B$7</f>
        <v>125.57583866980823</v>
      </c>
      <c r="AD34" s="109">
        <f>EXP(-dividend_rate/12)*((BinomialModel!AE34-BinomialModel!AE36)/(Inputs!Stock*(up_factor-down_factor)))</f>
        <v>1.2206942976281561</v>
      </c>
      <c r="AE34" s="26">
        <f>AD33*$B$7</f>
        <v>125.57583866980821</v>
      </c>
      <c r="AF34" s="5"/>
      <c r="AG34" s="5"/>
      <c r="AH34" s="5"/>
      <c r="AI34" s="5"/>
      <c r="AJ34" s="5"/>
      <c r="AK34" s="5"/>
      <c r="AL34" s="5"/>
      <c r="AM34" s="5"/>
    </row>
    <row r="35" spans="1:39" ht="18.75" customHeight="1">
      <c r="A35" s="25"/>
      <c r="B35" s="27"/>
      <c r="C35" s="25"/>
      <c r="D35" s="25"/>
      <c r="E35" s="25"/>
      <c r="F35" s="25"/>
      <c r="G35" s="25"/>
      <c r="H35" s="25"/>
      <c r="I35" s="109">
        <f>EXP(-dividend_rate/12)*((BinomialModel!J35-BinomialModel!J37)/(Inputs!Stock*(up_factor-down_factor)))</f>
        <v>1.1895795249585084</v>
      </c>
      <c r="J35" s="26">
        <f>I36*$B$6</f>
        <v>122.37498512227901</v>
      </c>
      <c r="K35" s="109">
        <f>EXP(-dividend_rate/12)*((BinomialModel!L35-BinomialModel!L37)/(Inputs!Stock*(up_factor-down_factor)))</f>
        <v>1.189579524958511</v>
      </c>
      <c r="L35" s="26">
        <f>K34*$B$7</f>
        <v>122.37498512227901</v>
      </c>
      <c r="M35" s="109">
        <f>EXP(-dividend_rate/12)*((BinomialModel!N35-BinomialModel!N37)/(Inputs!Stock*(up_factor-down_factor)))</f>
        <v>1.1895795249585084</v>
      </c>
      <c r="N35" s="26">
        <f>M34*down_factor</f>
        <v>122.374985122279</v>
      </c>
      <c r="O35" s="109">
        <f>EXP(-dividend_rate/12)*((BinomialModel!P35-BinomialModel!P37)/(Inputs!Stock*(up_factor-down_factor)))</f>
        <v>1.189579524958511</v>
      </c>
      <c r="P35" s="26">
        <f>O34*$B$7</f>
        <v>122.374985122279</v>
      </c>
      <c r="Q35" s="109">
        <f>EXP(-dividend_rate/12)*((BinomialModel!R35-BinomialModel!R37)/(Inputs!Stock*(up_factor-down_factor)))</f>
        <v>1.189579524958511</v>
      </c>
      <c r="R35" s="26">
        <f>Q34*$B$7</f>
        <v>122.374985122279</v>
      </c>
      <c r="S35" s="109">
        <f>EXP(-dividend_rate/12)*((BinomialModel!T35-BinomialModel!T37)/(Inputs!Stock*(up_factor-down_factor)))</f>
        <v>1.189579524958511</v>
      </c>
      <c r="T35" s="26">
        <f>S34*$B$7</f>
        <v>122.374985122279</v>
      </c>
      <c r="U35" s="109">
        <f>EXP(-dividend_rate/12)*((BinomialModel!V35-BinomialModel!V37)/(Inputs!Stock*(up_factor-down_factor)))</f>
        <v>1.1895795249585057</v>
      </c>
      <c r="V35" s="26">
        <f>U34*$B$7</f>
        <v>122.37498512227897</v>
      </c>
      <c r="W35" s="109">
        <f>EXP(-dividend_rate/12)*((BinomialModel!X35-BinomialModel!X37)/(Inputs!Stock*(up_factor-down_factor)))</f>
        <v>1.189579524958511</v>
      </c>
      <c r="X35" s="26">
        <f>W34*$B$7</f>
        <v>122.37498512227897</v>
      </c>
      <c r="Y35" s="109">
        <f>EXP(-dividend_rate/12)*((BinomialModel!Z35-BinomialModel!Z37)/(Inputs!Stock*(up_factor-down_factor)))</f>
        <v>1.189579524958511</v>
      </c>
      <c r="Z35" s="26">
        <f>Y34*$B$7</f>
        <v>122.37498512227897</v>
      </c>
      <c r="AA35" s="109">
        <f>EXP(-dividend_rate/12)*((BinomialModel!AB35-BinomialModel!AB37)/(Inputs!Stock*(up_factor-down_factor)))</f>
        <v>1.189579524958511</v>
      </c>
      <c r="AB35" s="26">
        <f>AA34*$B$7</f>
        <v>122.37498512227897</v>
      </c>
      <c r="AC35" s="109">
        <f>EXP(-dividend_rate/12)*((BinomialModel!AD35-BinomialModel!AD37)/(Inputs!Stock*(up_factor-down_factor)))</f>
        <v>1.189579524958511</v>
      </c>
      <c r="AD35" s="26">
        <f>AC34*$B$7</f>
        <v>122.37498512227897</v>
      </c>
      <c r="AE35" s="26"/>
      <c r="AF35" s="5"/>
      <c r="AG35" s="5"/>
      <c r="AH35" s="5"/>
      <c r="AI35" s="5"/>
      <c r="AJ35" s="5"/>
      <c r="AK35" s="5"/>
      <c r="AL35" s="5"/>
      <c r="AM35" s="5"/>
    </row>
    <row r="36" spans="1:39" ht="18.75" customHeight="1">
      <c r="A36" s="25"/>
      <c r="B36" s="25"/>
      <c r="C36" s="25"/>
      <c r="D36" s="25"/>
      <c r="E36" s="25"/>
      <c r="F36" s="25"/>
      <c r="G36" s="25"/>
      <c r="H36" s="109">
        <f>EXP(-dividend_rate/12)*((BinomialModel!I36-BinomialModel!I38)/(Inputs!Stock*(up_factor-down_factor)))</f>
        <v>1.1592578493649788</v>
      </c>
      <c r="I36" s="26">
        <f>H37*$B$6</f>
        <v>119.25571943067219</v>
      </c>
      <c r="J36" s="109">
        <f>EXP(-dividend_rate/12)*((BinomialModel!K36-BinomialModel!K38)/(Inputs!Stock*(up_factor-down_factor)))</f>
        <v>1.1592578493649761</v>
      </c>
      <c r="K36" s="26">
        <f>J35*$B$7</f>
        <v>119.25571943067217</v>
      </c>
      <c r="L36" s="109">
        <f>EXP(-dividend_rate/12)*((BinomialModel!M36-BinomialModel!M38)/(Inputs!Stock*(up_factor-down_factor)))</f>
        <v>1.1592578493649788</v>
      </c>
      <c r="M36" s="26">
        <f>L35*$B$7</f>
        <v>119.25571943067217</v>
      </c>
      <c r="N36" s="109">
        <f>EXP(-dividend_rate/12)*((BinomialModel!O36-BinomialModel!O38)/(Inputs!Stock*(up_factor-down_factor)))</f>
        <v>1.1592578493649761</v>
      </c>
      <c r="O36" s="26">
        <f>N35*$B$7</f>
        <v>119.25571943067216</v>
      </c>
      <c r="P36" s="109">
        <f>EXP(-dividend_rate/12)*((BinomialModel!Q36-BinomialModel!Q38)/(Inputs!Stock*(up_factor-down_factor)))</f>
        <v>1.1592578493649788</v>
      </c>
      <c r="Q36" s="26">
        <f>P35*$B$7</f>
        <v>119.25571943067216</v>
      </c>
      <c r="R36" s="109">
        <f>EXP(-dividend_rate/12)*((BinomialModel!S36-BinomialModel!S38)/(Inputs!Stock*(up_factor-down_factor)))</f>
        <v>1.1592578493649788</v>
      </c>
      <c r="S36" s="26">
        <f>R35*$B$7</f>
        <v>119.25571943067216</v>
      </c>
      <c r="T36" s="109">
        <f>EXP(-dividend_rate/12)*((BinomialModel!U36-BinomialModel!U38)/(Inputs!Stock*(up_factor-down_factor)))</f>
        <v>1.1592578493649788</v>
      </c>
      <c r="U36" s="26">
        <f>T35*$B$7</f>
        <v>119.25571943067216</v>
      </c>
      <c r="V36" s="109">
        <f>EXP(-dividend_rate/12)*((BinomialModel!W36-BinomialModel!W38)/(Inputs!Stock*(up_factor-down_factor)))</f>
        <v>1.1592578493649734</v>
      </c>
      <c r="W36" s="26">
        <f>V35*$B$7</f>
        <v>119.25571943067213</v>
      </c>
      <c r="X36" s="109">
        <f>EXP(-dividend_rate/12)*((BinomialModel!Y36-BinomialModel!Y38)/(Inputs!Stock*(up_factor-down_factor)))</f>
        <v>1.1592578493649788</v>
      </c>
      <c r="Y36" s="26">
        <f>X35*$B$7</f>
        <v>119.25571943067213</v>
      </c>
      <c r="Z36" s="109">
        <f>EXP(-dividend_rate/12)*((BinomialModel!AA36-BinomialModel!AA38)/(Inputs!Stock*(up_factor-down_factor)))</f>
        <v>1.1592578493649788</v>
      </c>
      <c r="AA36" s="26">
        <f>Z35*$B$7</f>
        <v>119.25571943067213</v>
      </c>
      <c r="AB36" s="109">
        <f>EXP(-dividend_rate/12)*((BinomialModel!AC36-BinomialModel!AC38)/(Inputs!Stock*(up_factor-down_factor)))</f>
        <v>1.1592578493649788</v>
      </c>
      <c r="AC36" s="26">
        <f>AB35*$B$7</f>
        <v>119.25571943067213</v>
      </c>
      <c r="AD36" s="109">
        <f>EXP(-dividend_rate/12)*((BinomialModel!AE36-BinomialModel!AE38)/(Inputs!Stock*(up_factor-down_factor)))</f>
        <v>1.1592578493649788</v>
      </c>
      <c r="AE36" s="26">
        <f>AD35*$B$7</f>
        <v>119.25571943067213</v>
      </c>
      <c r="AF36" s="5"/>
      <c r="AG36" s="5"/>
      <c r="AH36" s="5"/>
      <c r="AI36" s="5"/>
      <c r="AJ36" s="5"/>
      <c r="AK36" s="5"/>
      <c r="AL36" s="5"/>
      <c r="AM36" s="5"/>
    </row>
    <row r="37" spans="1:39" ht="18.75" customHeight="1">
      <c r="A37" s="25"/>
      <c r="B37" s="27"/>
      <c r="C37" s="25"/>
      <c r="D37" s="25"/>
      <c r="E37" s="25"/>
      <c r="F37" s="25"/>
      <c r="G37" s="109">
        <f>EXP(-dividend_rate/12)*((BinomialModel!H37-BinomialModel!H39)/(Inputs!Stock*(up_factor-down_factor)))</f>
        <v>1.1297090552741174</v>
      </c>
      <c r="H37" s="26">
        <f>G38*$B$6</f>
        <v>116.21596196899579</v>
      </c>
      <c r="I37" s="109">
        <f>EXP(-dividend_rate/12)*((BinomialModel!J37-BinomialModel!J39)/(Inputs!Stock*(up_factor-down_factor)))</f>
        <v>1.1297090552741202</v>
      </c>
      <c r="J37" s="26">
        <f>I36*$B$7</f>
        <v>116.21596196899579</v>
      </c>
      <c r="K37" s="109">
        <f>EXP(-dividend_rate/12)*((BinomialModel!L37-BinomialModel!L39)/(Inputs!Stock*(up_factor-down_factor)))</f>
        <v>1.1297090552741174</v>
      </c>
      <c r="L37" s="26">
        <f>K36*$B$7</f>
        <v>116.21596196899577</v>
      </c>
      <c r="M37" s="109">
        <f>EXP(-dividend_rate/12)*((BinomialModel!N37-BinomialModel!N39)/(Inputs!Stock*(up_factor-down_factor)))</f>
        <v>1.1297090552741202</v>
      </c>
      <c r="N37" s="26">
        <f>M36*$B$7</f>
        <v>116.21596196899577</v>
      </c>
      <c r="O37" s="109">
        <f>EXP(-dividend_rate/12)*((BinomialModel!P37-BinomialModel!P39)/(Inputs!Stock*(up_factor-down_factor)))</f>
        <v>1.1297090552741174</v>
      </c>
      <c r="P37" s="26">
        <f>O36*$B$7</f>
        <v>116.21596196899576</v>
      </c>
      <c r="Q37" s="109">
        <f>EXP(-dividend_rate/12)*((BinomialModel!R37-BinomialModel!R39)/(Inputs!Stock*(up_factor-down_factor)))</f>
        <v>1.1297090552741202</v>
      </c>
      <c r="R37" s="26">
        <f>Q36*$B$7</f>
        <v>116.21596196899576</v>
      </c>
      <c r="S37" s="109">
        <f>EXP(-dividend_rate/12)*((BinomialModel!T37-BinomialModel!T39)/(Inputs!Stock*(up_factor-down_factor)))</f>
        <v>1.1297090552741202</v>
      </c>
      <c r="T37" s="26">
        <f>S36*$B$7</f>
        <v>116.21596196899576</v>
      </c>
      <c r="U37" s="109">
        <f>EXP(-dividend_rate/12)*((BinomialModel!V37-BinomialModel!V39)/(Inputs!Stock*(up_factor-down_factor)))</f>
        <v>1.1297090552741202</v>
      </c>
      <c r="V37" s="26">
        <f>U36*$B$7</f>
        <v>116.21596196899576</v>
      </c>
      <c r="W37" s="109">
        <f>EXP(-dividend_rate/12)*((BinomialModel!X37-BinomialModel!X39)/(Inputs!Stock*(up_factor-down_factor)))</f>
        <v>1.1297090552741147</v>
      </c>
      <c r="X37" s="26">
        <f>W36*$B$7</f>
        <v>116.21596196899573</v>
      </c>
      <c r="Y37" s="109">
        <f>EXP(-dividend_rate/12)*((BinomialModel!Z37-BinomialModel!Z39)/(Inputs!Stock*(up_factor-down_factor)))</f>
        <v>1.1297090552741202</v>
      </c>
      <c r="Z37" s="26">
        <f>Y36*$B$7</f>
        <v>116.21596196899573</v>
      </c>
      <c r="AA37" s="109">
        <f>EXP(-dividend_rate/12)*((BinomialModel!AB37-BinomialModel!AB39)/(Inputs!Stock*(up_factor-down_factor)))</f>
        <v>1.1297090552741202</v>
      </c>
      <c r="AB37" s="26">
        <f>AA36*$B$7</f>
        <v>116.21596196899573</v>
      </c>
      <c r="AC37" s="109">
        <f>EXP(-dividend_rate/12)*((BinomialModel!AD37-BinomialModel!AD39)/(Inputs!Stock*(up_factor-down_factor)))</f>
        <v>1.1297090552741202</v>
      </c>
      <c r="AD37" s="26">
        <f>AC36*$B$7</f>
        <v>116.21596196899573</v>
      </c>
      <c r="AE37" s="26"/>
      <c r="AF37" s="5"/>
      <c r="AG37" s="5"/>
      <c r="AH37" s="5"/>
      <c r="AI37" s="5"/>
      <c r="AJ37" s="5"/>
      <c r="AK37" s="5"/>
      <c r="AL37" s="5"/>
      <c r="AM37" s="5"/>
    </row>
    <row r="38" spans="1:39" ht="18.75" customHeight="1">
      <c r="A38" s="25"/>
      <c r="B38" s="25"/>
      <c r="C38" s="25"/>
      <c r="D38" s="25"/>
      <c r="E38" s="25"/>
      <c r="F38" s="109">
        <f>EXP(-dividend_rate/12)*((BinomialModel!G38-BinomialModel!G40)/(Inputs!Stock*(up_factor-down_factor)))</f>
        <v>1.1009134423954503</v>
      </c>
      <c r="G38" s="26">
        <f>F39*$B$6*(1-dividend_rate)</f>
        <v>113.25368611968926</v>
      </c>
      <c r="H38" s="109">
        <f>EXP(-dividend_rate/12)*((BinomialModel!I38-BinomialModel!I40)/(Inputs!Stock*(up_factor-down_factor)))</f>
        <v>1.1009134423954476</v>
      </c>
      <c r="I38" s="26">
        <f>H37*$B$7</f>
        <v>113.25368611968925</v>
      </c>
      <c r="J38" s="109">
        <f>EXP(-dividend_rate/12)*((BinomialModel!K38-BinomialModel!K40)/(Inputs!Stock*(up_factor-down_factor)))</f>
        <v>1.1009134423954503</v>
      </c>
      <c r="K38" s="26">
        <f>J37*$B$7</f>
        <v>113.25368611968925</v>
      </c>
      <c r="L38" s="109">
        <f>EXP(-dividend_rate/12)*((BinomialModel!M38-BinomialModel!M40)/(Inputs!Stock*(up_factor-down_factor)))</f>
        <v>1.1009134423954476</v>
      </c>
      <c r="M38" s="26">
        <f>L37*$B$7</f>
        <v>113.25368611968923</v>
      </c>
      <c r="N38" s="109">
        <f>EXP(-dividend_rate/12)*((BinomialModel!O38-BinomialModel!O40)/(Inputs!Stock*(up_factor-down_factor)))</f>
        <v>1.1009134423954503</v>
      </c>
      <c r="O38" s="26">
        <f>N37*$B$7</f>
        <v>113.25368611968923</v>
      </c>
      <c r="P38" s="109">
        <f>EXP(-dividend_rate/12)*((BinomialModel!Q38-BinomialModel!Q40)/(Inputs!Stock*(up_factor-down_factor)))</f>
        <v>1.1009134423954476</v>
      </c>
      <c r="Q38" s="26">
        <f>P37*$B$7</f>
        <v>113.25368611968922</v>
      </c>
      <c r="R38" s="109">
        <f>EXP(-dividend_rate/12)*((BinomialModel!S38-BinomialModel!S40)/(Inputs!Stock*(up_factor-down_factor)))</f>
        <v>1.1009134423954503</v>
      </c>
      <c r="S38" s="26">
        <f>R37*$B$7</f>
        <v>113.25368611968922</v>
      </c>
      <c r="T38" s="109">
        <f>EXP(-dividend_rate/12)*((BinomialModel!U38-BinomialModel!U40)/(Inputs!Stock*(up_factor-down_factor)))</f>
        <v>1.1009134423954503</v>
      </c>
      <c r="U38" s="26">
        <f>T37*$B$7</f>
        <v>113.25368611968922</v>
      </c>
      <c r="V38" s="109">
        <f>EXP(-dividend_rate/12)*((BinomialModel!W38-BinomialModel!W40)/(Inputs!Stock*(up_factor-down_factor)))</f>
        <v>1.1009134423954503</v>
      </c>
      <c r="W38" s="26">
        <f>V37*$B$7</f>
        <v>113.25368611968922</v>
      </c>
      <c r="X38" s="109">
        <f>EXP(-dividend_rate/12)*((BinomialModel!Y38-BinomialModel!Y40)/(Inputs!Stock*(up_factor-down_factor)))</f>
        <v>1.100913442395445</v>
      </c>
      <c r="Y38" s="26">
        <f>X37*$B$7</f>
        <v>113.25368611968919</v>
      </c>
      <c r="Z38" s="109">
        <f>EXP(-dividend_rate/12)*((BinomialModel!AA38-BinomialModel!AA40)/(Inputs!Stock*(up_factor-down_factor)))</f>
        <v>1.1009134423954503</v>
      </c>
      <c r="AA38" s="26">
        <f>Z37*$B$7</f>
        <v>113.25368611968919</v>
      </c>
      <c r="AB38" s="109">
        <f>EXP(-dividend_rate/12)*((BinomialModel!AC38-BinomialModel!AC40)/(Inputs!Stock*(up_factor-down_factor)))</f>
        <v>1.1009134423954503</v>
      </c>
      <c r="AC38" s="26">
        <f>AB37*$B$7</f>
        <v>113.25368611968919</v>
      </c>
      <c r="AD38" s="109">
        <f>EXP(-dividend_rate/12)*((BinomialModel!AE38-BinomialModel!AE40)/(Inputs!Stock*(up_factor-down_factor)))</f>
        <v>1.1009134423954503</v>
      </c>
      <c r="AE38" s="26">
        <f>AD37*$B$7</f>
        <v>113.25368611968919</v>
      </c>
      <c r="AF38" s="5"/>
      <c r="AG38" s="5"/>
      <c r="AH38" s="5"/>
      <c r="AI38" s="5"/>
      <c r="AJ38" s="5"/>
      <c r="AK38" s="5"/>
      <c r="AL38" s="5"/>
      <c r="AM38" s="5"/>
    </row>
    <row r="39" spans="1:39" ht="18.75" customHeight="1">
      <c r="A39" s="25"/>
      <c r="B39" s="27"/>
      <c r="C39" s="25"/>
      <c r="D39" s="25"/>
      <c r="E39" s="110">
        <f>EXP(-dividend_rate/12)*((BinomialModel!F39-BinomialModel!F41)/(Inputs!Stock*(up_factor-down_factor)))</f>
        <v>1.1060327964816374</v>
      </c>
      <c r="F39" s="26">
        <f>E40*$B$6</f>
        <v>113.78032672419592</v>
      </c>
      <c r="G39" s="109">
        <f>EXP(-dividend_rate/12)*((BinomialModel!H39-BinomialModel!H41)/(Inputs!Stock*(up_factor-down_factor)))</f>
        <v>1.0728518125871891</v>
      </c>
      <c r="H39" s="26">
        <f>G38*$B$7</f>
        <v>110.36691692247004</v>
      </c>
      <c r="I39" s="109">
        <f>EXP(-dividend_rate/12)*((BinomialModel!J39-BinomialModel!J41)/(Inputs!Stock*(up_factor-down_factor)))</f>
        <v>1.0728518125871864</v>
      </c>
      <c r="J39" s="26">
        <f>I38*$B$7</f>
        <v>110.36691692247003</v>
      </c>
      <c r="K39" s="109">
        <f>EXP(-dividend_rate/12)*((BinomialModel!L39-BinomialModel!L41)/(Inputs!Stock*(up_factor-down_factor)))</f>
        <v>1.0728518125871891</v>
      </c>
      <c r="L39" s="26">
        <f>K38*$B$7</f>
        <v>110.36691692247003</v>
      </c>
      <c r="M39" s="109">
        <f>EXP(-dividend_rate/12)*((BinomialModel!N39-BinomialModel!N41)/(Inputs!Stock*(up_factor-down_factor)))</f>
        <v>1.0728518125871864</v>
      </c>
      <c r="N39" s="26">
        <f>M38*$B$7</f>
        <v>110.36691692247001</v>
      </c>
      <c r="O39" s="109">
        <f>EXP(-dividend_rate/12)*((BinomialModel!P39-BinomialModel!P41)/(Inputs!Stock*(up_factor-down_factor)))</f>
        <v>1.0728518125871891</v>
      </c>
      <c r="P39" s="26">
        <f>O38*$B$7</f>
        <v>110.36691692247001</v>
      </c>
      <c r="Q39" s="109">
        <f>EXP(-dividend_rate/12)*((BinomialModel!R39-BinomialModel!R41)/(Inputs!Stock*(up_factor-down_factor)))</f>
        <v>1.0728518125871864</v>
      </c>
      <c r="R39" s="26">
        <f>Q38*$B$7</f>
        <v>110.36691692247</v>
      </c>
      <c r="S39" s="109">
        <f>EXP(-dividend_rate/12)*((BinomialModel!T39-BinomialModel!T41)/(Inputs!Stock*(up_factor-down_factor)))</f>
        <v>1.0728518125871891</v>
      </c>
      <c r="T39" s="26">
        <f>S38*$B$7</f>
        <v>110.36691692247</v>
      </c>
      <c r="U39" s="109">
        <f>EXP(-dividend_rate/12)*((BinomialModel!V39-BinomialModel!V41)/(Inputs!Stock*(up_factor-down_factor)))</f>
        <v>1.0728518125871891</v>
      </c>
      <c r="V39" s="26">
        <f>U38*$B$7</f>
        <v>110.36691692247</v>
      </c>
      <c r="W39" s="109">
        <f>EXP(-dividend_rate/12)*((BinomialModel!X39-BinomialModel!X41)/(Inputs!Stock*(up_factor-down_factor)))</f>
        <v>1.0728518125871891</v>
      </c>
      <c r="X39" s="26">
        <f>W38*$B$7</f>
        <v>110.36691692247</v>
      </c>
      <c r="Y39" s="109">
        <f>EXP(-dividend_rate/12)*((BinomialModel!Z39-BinomialModel!Z41)/(Inputs!Stock*(up_factor-down_factor)))</f>
        <v>1.0728518125871835</v>
      </c>
      <c r="Z39" s="26">
        <f>Y38*$B$7</f>
        <v>110.36691692246997</v>
      </c>
      <c r="AA39" s="109">
        <f>EXP(-dividend_rate/12)*((BinomialModel!AB39-BinomialModel!AB41)/(Inputs!Stock*(up_factor-down_factor)))</f>
        <v>1.0728518125871891</v>
      </c>
      <c r="AB39" s="26">
        <f>AA38*$B$7</f>
        <v>110.36691692246997</v>
      </c>
      <c r="AC39" s="109">
        <f>EXP(-dividend_rate/12)*((BinomialModel!AD39-BinomialModel!AD41)/(Inputs!Stock*(up_factor-down_factor)))</f>
        <v>1.0728518125871891</v>
      </c>
      <c r="AD39" s="26">
        <f>AC38*$B$7</f>
        <v>110.36691692246997</v>
      </c>
      <c r="AE39" s="26"/>
      <c r="AF39" s="5"/>
      <c r="AG39" s="5"/>
      <c r="AH39" s="5"/>
      <c r="AI39" s="5"/>
      <c r="AJ39" s="5"/>
      <c r="AK39" s="5"/>
      <c r="AL39" s="5"/>
      <c r="AM39" s="5"/>
    </row>
    <row r="40" spans="1:39" ht="18.75" customHeight="1">
      <c r="A40" s="25"/>
      <c r="B40" s="25"/>
      <c r="C40" s="25"/>
      <c r="D40" s="110">
        <f>EXP(-dividend_rate/12)*((BinomialModel!E40-BinomialModel!E42)/(Inputs!Stock*(up_factor-down_factor)))</f>
        <v>1.0778406773781297</v>
      </c>
      <c r="E40" s="26">
        <f>D41*$B$6</f>
        <v>110.8801337707425</v>
      </c>
      <c r="F40" s="109">
        <f>EXP(-dividend_rate/12)*((BinomialModel!G40-BinomialModel!G42)/(Inputs!Stock*(up_factor-down_factor)))</f>
        <v>1.0455054570567879</v>
      </c>
      <c r="G40" s="26">
        <f>F39*$B$7*(1-dividend_rate)</f>
        <v>107.55372975762022</v>
      </c>
      <c r="H40" s="109">
        <f>EXP(-dividend_rate/12)*((BinomialModel!I40-BinomialModel!I42)/(Inputs!Stock*(up_factor-down_factor)))</f>
        <v>1.0455054570567879</v>
      </c>
      <c r="I40" s="26">
        <f>H39*$B$7</f>
        <v>107.55372975762022</v>
      </c>
      <c r="J40" s="109">
        <f>EXP(-dividend_rate/12)*((BinomialModel!K40-BinomialModel!K42)/(Inputs!Stock*(up_factor-down_factor)))</f>
        <v>1.0455054570567852</v>
      </c>
      <c r="K40" s="26">
        <f>J39*$B$7</f>
        <v>107.5537297576202</v>
      </c>
      <c r="L40" s="109">
        <f>EXP(-dividend_rate/12)*((BinomialModel!M40-BinomialModel!M42)/(Inputs!Stock*(up_factor-down_factor)))</f>
        <v>1.0455054570567879</v>
      </c>
      <c r="M40" s="26">
        <f>L39*$B$7</f>
        <v>107.5537297576202</v>
      </c>
      <c r="N40" s="109">
        <f>EXP(-dividend_rate/12)*((BinomialModel!O40-BinomialModel!O42)/(Inputs!Stock*(up_factor-down_factor)))</f>
        <v>1.0455054570567852</v>
      </c>
      <c r="O40" s="26">
        <f>N39*$B$7</f>
        <v>107.55372975762019</v>
      </c>
      <c r="P40" s="109">
        <f>EXP(-dividend_rate/12)*((BinomialModel!Q40-BinomialModel!Q42)/(Inputs!Stock*(up_factor-down_factor)))</f>
        <v>1.0455054570567879</v>
      </c>
      <c r="Q40" s="26">
        <f>P39*$B$7</f>
        <v>107.55372975762019</v>
      </c>
      <c r="R40" s="109">
        <f>EXP(-dividend_rate/12)*((BinomialModel!S40-BinomialModel!S42)/(Inputs!Stock*(up_factor-down_factor)))</f>
        <v>1.0455054570567852</v>
      </c>
      <c r="S40" s="26">
        <f>R39*$B$7</f>
        <v>107.55372975762018</v>
      </c>
      <c r="T40" s="109">
        <f>EXP(-dividend_rate/12)*((BinomialModel!U40-BinomialModel!U42)/(Inputs!Stock*(up_factor-down_factor)))</f>
        <v>1.0455054570567879</v>
      </c>
      <c r="U40" s="26">
        <f>T39*$B$7</f>
        <v>107.55372975762018</v>
      </c>
      <c r="V40" s="109">
        <f>EXP(-dividend_rate/12)*((BinomialModel!W40-BinomialModel!W42)/(Inputs!Stock*(up_factor-down_factor)))</f>
        <v>1.0455054570567879</v>
      </c>
      <c r="W40" s="26">
        <f>V39*$B$7</f>
        <v>107.55372975762018</v>
      </c>
      <c r="X40" s="109">
        <f>EXP(-dividend_rate/12)*((BinomialModel!Y40-BinomialModel!Y42)/(Inputs!Stock*(up_factor-down_factor)))</f>
        <v>1.0455054570567879</v>
      </c>
      <c r="Y40" s="26">
        <f>X39*$B$7</f>
        <v>107.55372975762018</v>
      </c>
      <c r="Z40" s="109">
        <f>EXP(-dividend_rate/12)*((BinomialModel!AA40-BinomialModel!AA42)/(Inputs!Stock*(up_factor-down_factor)))</f>
        <v>1.0455054570567826</v>
      </c>
      <c r="AA40" s="26">
        <f>Z39*$B$7</f>
        <v>107.55372975762015</v>
      </c>
      <c r="AB40" s="109">
        <f>EXP(-dividend_rate/12)*((BinomialModel!AC40-BinomialModel!AC42)/(Inputs!Stock*(up_factor-down_factor)))</f>
        <v>1.0455054570567879</v>
      </c>
      <c r="AC40" s="26">
        <f>AB39*$B$7</f>
        <v>107.55372975762015</v>
      </c>
      <c r="AD40" s="109">
        <f>EXP(-dividend_rate/12)*((BinomialModel!AE40-BinomialModel!AE42)/(Inputs!Stock*(up_factor-down_factor)))</f>
        <v>1.0455054570567879</v>
      </c>
      <c r="AE40" s="26">
        <f>AD39*$B$7</f>
        <v>107.55372975762015</v>
      </c>
      <c r="AF40" s="5"/>
      <c r="AG40" s="5"/>
      <c r="AH40" s="5"/>
      <c r="AI40" s="5"/>
      <c r="AJ40" s="5"/>
      <c r="AK40" s="5"/>
      <c r="AL40" s="5"/>
      <c r="AM40" s="5"/>
    </row>
    <row r="41" spans="1:39" ht="18.75" customHeight="1">
      <c r="A41" s="25"/>
      <c r="B41" s="25"/>
      <c r="C41" s="110">
        <f>EXP(-dividend_rate/12)*((BinomialModel!D41-BinomialModel!D43)/(Inputs!Stock*(up_factor-down_factor)))</f>
        <v>1.0503671586471217</v>
      </c>
      <c r="D41" s="26">
        <f>C42*$B$6</f>
        <v>108.05386501323247</v>
      </c>
      <c r="E41" s="110">
        <f>EXP(-dividend_rate/12)*((BinomialModel!F41-BinomialModel!F43)/(Inputs!Stock*(up_factor-down_factor)))</f>
        <v>1.050367158647119</v>
      </c>
      <c r="F41" s="26">
        <f>E40*$B$7</f>
        <v>108.05386501323245</v>
      </c>
      <c r="G41" s="109">
        <f>EXP(-dividend_rate/12)*((BinomialModel!H41-BinomialModel!H43)/(Inputs!Stock*(up_factor-down_factor)))</f>
        <v>1.0188561438877088</v>
      </c>
      <c r="H41" s="26">
        <f>G40*$B$7</f>
        <v>104.81224906283548</v>
      </c>
      <c r="I41" s="109">
        <f>EXP(-dividend_rate/12)*((BinomialModel!J41-BinomialModel!J43)/(Inputs!Stock*(up_factor-down_factor)))</f>
        <v>1.0188561438877088</v>
      </c>
      <c r="J41" s="26">
        <f>I40*$B$7</f>
        <v>104.81224906283548</v>
      </c>
      <c r="K41" s="109">
        <f>EXP(-dividend_rate/12)*((BinomialModel!L41-BinomialModel!L43)/(Inputs!Stock*(up_factor-down_factor)))</f>
        <v>1.018856143887706</v>
      </c>
      <c r="L41" s="26">
        <f>K40*$B$7</f>
        <v>104.81224906283546</v>
      </c>
      <c r="M41" s="109">
        <f>EXP(-dividend_rate/12)*((BinomialModel!N41-BinomialModel!N43)/(Inputs!Stock*(up_factor-down_factor)))</f>
        <v>1.0188561438877088</v>
      </c>
      <c r="N41" s="26">
        <f>M40*$B$7</f>
        <v>104.81224906283546</v>
      </c>
      <c r="O41" s="109">
        <f>EXP(-dividend_rate/12)*((BinomialModel!P41-BinomialModel!P43)/(Inputs!Stock*(up_factor-down_factor)))</f>
        <v>1.018856143887706</v>
      </c>
      <c r="P41" s="26">
        <f>O40*$B$7</f>
        <v>104.81224906283545</v>
      </c>
      <c r="Q41" s="109">
        <f>EXP(-dividend_rate/12)*((BinomialModel!R41-BinomialModel!R43)/(Inputs!Stock*(up_factor-down_factor)))</f>
        <v>1.0188561438877088</v>
      </c>
      <c r="R41" s="26">
        <f>Q40*$B$7</f>
        <v>104.81224906283545</v>
      </c>
      <c r="S41" s="109">
        <f>EXP(-dividend_rate/12)*((BinomialModel!T41-BinomialModel!T43)/(Inputs!Stock*(up_factor-down_factor)))</f>
        <v>1.018856143887706</v>
      </c>
      <c r="T41" s="26">
        <f>S40*$B$7</f>
        <v>104.81224906283543</v>
      </c>
      <c r="U41" s="109">
        <f>EXP(-dividend_rate/12)*((BinomialModel!V41-BinomialModel!V43)/(Inputs!Stock*(up_factor-down_factor)))</f>
        <v>1.0188561438877088</v>
      </c>
      <c r="V41" s="26">
        <f>U40*$B$7</f>
        <v>104.81224906283543</v>
      </c>
      <c r="W41" s="109">
        <f>EXP(-dividend_rate/12)*((BinomialModel!X41-BinomialModel!X43)/(Inputs!Stock*(up_factor-down_factor)))</f>
        <v>1.0188561438877088</v>
      </c>
      <c r="X41" s="26">
        <f>W40*$B$7</f>
        <v>104.81224906283543</v>
      </c>
      <c r="Y41" s="109">
        <f>EXP(-dividend_rate/12)*((BinomialModel!Z41-BinomialModel!Z43)/(Inputs!Stock*(up_factor-down_factor)))</f>
        <v>1.0188561438877088</v>
      </c>
      <c r="Z41" s="26">
        <f>Y40*$B$7</f>
        <v>104.81224906283543</v>
      </c>
      <c r="AA41" s="109">
        <f>EXP(-dividend_rate/12)*((BinomialModel!AB41-BinomialModel!AB43)/(Inputs!Stock*(up_factor-down_factor)))</f>
        <v>1.0188561438877033</v>
      </c>
      <c r="AB41" s="26">
        <f>AA40*$B$7</f>
        <v>104.81224906283541</v>
      </c>
      <c r="AC41" s="109">
        <f>EXP(-dividend_rate/12)*((BinomialModel!AD41-BinomialModel!AD43)/(Inputs!Stock*(up_factor-down_factor)))</f>
        <v>1.0188561438877088</v>
      </c>
      <c r="AD41" s="26">
        <f>AC40*$B$7</f>
        <v>104.81224906283541</v>
      </c>
      <c r="AE41" s="26"/>
      <c r="AF41" s="5"/>
      <c r="AG41" s="5"/>
      <c r="AH41" s="5"/>
      <c r="AI41" s="5"/>
      <c r="AJ41" s="5"/>
      <c r="AK41" s="5"/>
      <c r="AL41" s="5"/>
      <c r="AM41" s="5"/>
    </row>
    <row r="42" spans="1:39" ht="18.75" customHeight="1">
      <c r="A42" s="112" t="s">
        <v>49</v>
      </c>
      <c r="B42" s="110">
        <f>EXP(-dividend_rate/12)*((BinomialModel!C42-BinomialModel!C44)/(Inputs!Stock*(up_factor-down_factor)))</f>
        <v>1.0235939235918958</v>
      </c>
      <c r="C42" s="26">
        <f>B43*$B$6</f>
        <v>105.29963616781518</v>
      </c>
      <c r="D42" s="110">
        <f>EXP(-dividend_rate/12)*((BinomialModel!E42-BinomialModel!E44)/(Inputs!Stock*(up_factor-down_factor)))</f>
        <v>1.0235939235918958</v>
      </c>
      <c r="E42" s="26">
        <f>D41*$B$7</f>
        <v>105.29963616781518</v>
      </c>
      <c r="F42" s="109">
        <f>EXP(-dividend_rate/12)*((BinomialModel!G42-BinomialModel!G44)/(Inputs!Stock*(up_factor-down_factor)))</f>
        <v>0.99288610588413473</v>
      </c>
      <c r="G42" s="26">
        <f>F41*$B$7*(1-dividend_rate)</f>
        <v>102.1406470827807</v>
      </c>
      <c r="H42" s="109">
        <f>EXP(-dividend_rate/12)*((BinomialModel!I42-BinomialModel!I44)/(Inputs!Stock*(up_factor-down_factor)))</f>
        <v>0.99288610588414028</v>
      </c>
      <c r="I42" s="26">
        <f>H41*$B$7</f>
        <v>102.1406470827807</v>
      </c>
      <c r="J42" s="109">
        <f>EXP(-dividend_rate/12)*((BinomialModel!K42-BinomialModel!K44)/(Inputs!Stock*(up_factor-down_factor)))</f>
        <v>0.99288610588414028</v>
      </c>
      <c r="K42" s="26">
        <f>J41*$B$7</f>
        <v>102.1406470827807</v>
      </c>
      <c r="L42" s="109">
        <f>EXP(-dividend_rate/12)*((BinomialModel!M42-BinomialModel!M44)/(Inputs!Stock*(up_factor-down_factor)))</f>
        <v>0.9928861058841375</v>
      </c>
      <c r="M42" s="26">
        <f>L41*$B$7</f>
        <v>102.14064708278069</v>
      </c>
      <c r="N42" s="109">
        <f>EXP(-dividend_rate/12)*((BinomialModel!O42-BinomialModel!O44)/(Inputs!Stock*(up_factor-down_factor)))</f>
        <v>0.9928861058841375</v>
      </c>
      <c r="O42" s="26">
        <f>N41*$B$7</f>
        <v>102.14064708278069</v>
      </c>
      <c r="P42" s="109">
        <f>EXP(-dividend_rate/12)*((BinomialModel!Q42-BinomialModel!Q44)/(Inputs!Stock*(up_factor-down_factor)))</f>
        <v>0.99288610588413473</v>
      </c>
      <c r="Q42" s="26">
        <f>P41*$B$7</f>
        <v>102.14064708278067</v>
      </c>
      <c r="R42" s="109">
        <f>EXP(-dividend_rate/12)*((BinomialModel!S42-BinomialModel!S44)/(Inputs!Stock*(up_factor-down_factor)))</f>
        <v>0.9928861058841375</v>
      </c>
      <c r="S42" s="26">
        <f>R41*$B$7</f>
        <v>102.14064708278067</v>
      </c>
      <c r="T42" s="109">
        <f>EXP(-dividend_rate/12)*((BinomialModel!U42-BinomialModel!U44)/(Inputs!Stock*(up_factor-down_factor)))</f>
        <v>0.99288610588413473</v>
      </c>
      <c r="U42" s="26">
        <f>T41*$B$7</f>
        <v>102.14064708278066</v>
      </c>
      <c r="V42" s="109">
        <f>EXP(-dividend_rate/12)*((BinomialModel!W42-BinomialModel!W44)/(Inputs!Stock*(up_factor-down_factor)))</f>
        <v>0.9928861058841375</v>
      </c>
      <c r="W42" s="26">
        <f>V41*$B$7</f>
        <v>102.14064708278066</v>
      </c>
      <c r="X42" s="109">
        <f>EXP(-dividend_rate/12)*((BinomialModel!Y42-BinomialModel!Y44)/(Inputs!Stock*(up_factor-down_factor)))</f>
        <v>0.9928861058841375</v>
      </c>
      <c r="Y42" s="26">
        <f>X41*$B$7</f>
        <v>102.14064708278066</v>
      </c>
      <c r="Z42" s="109">
        <f>EXP(-dividend_rate/12)*((BinomialModel!AA42-BinomialModel!AA44)/(Inputs!Stock*(up_factor-down_factor)))</f>
        <v>0.9928861058841375</v>
      </c>
      <c r="AA42" s="26">
        <f>Z41*$B$7</f>
        <v>102.14064708278066</v>
      </c>
      <c r="AB42" s="109">
        <f>EXP(-dividend_rate/12)*((BinomialModel!AC42-BinomialModel!AC44)/(Inputs!Stock*(up_factor-down_factor)))</f>
        <v>0.99288610588413206</v>
      </c>
      <c r="AC42" s="26">
        <f>AB41*$B$7</f>
        <v>102.14064708278063</v>
      </c>
      <c r="AD42" s="109">
        <f>EXP(-dividend_rate/12)*((BinomialModel!AE42-BinomialModel!AE44)/(Inputs!Stock*(up_factor-down_factor)))</f>
        <v>0.9928861058841375</v>
      </c>
      <c r="AE42" s="26">
        <f>AD41*$B$7</f>
        <v>102.14064708278063</v>
      </c>
      <c r="AF42" s="5"/>
      <c r="AG42" s="5"/>
      <c r="AH42" s="5"/>
      <c r="AI42" s="5"/>
      <c r="AJ42" s="5"/>
      <c r="AK42" s="5"/>
      <c r="AL42" s="5"/>
      <c r="AM42" s="5"/>
    </row>
    <row r="43" spans="1:39" ht="18.75" customHeight="1">
      <c r="A43" s="108">
        <f>EXP(-dividend_rate/12)*((BinomialModel!B43-BinomialModel!B45)/(Inputs!Stock*(up_factor-down_factor)))</f>
        <v>0.99750312239746164</v>
      </c>
      <c r="B43" s="26">
        <f>A44*$B$6</f>
        <v>102.6156109799163</v>
      </c>
      <c r="C43" s="110">
        <f>EXP(-dividend_rate/12)*((BinomialModel!D43-BinomialModel!D45)/(Inputs!Stock*(up_factor-down_factor)))</f>
        <v>0.99750312239746164</v>
      </c>
      <c r="D43" s="26">
        <f>C42*$B$7</f>
        <v>102.6156109799163</v>
      </c>
      <c r="E43" s="110">
        <f>EXP(-dividend_rate/12)*((BinomialModel!F43-BinomialModel!F45)/(Inputs!Stock*(up_factor-down_factor)))</f>
        <v>0.99750312239746164</v>
      </c>
      <c r="F43" s="26">
        <f>E42*$B$7</f>
        <v>102.6156109799163</v>
      </c>
      <c r="G43" s="109">
        <f>EXP(-dividend_rate/12)*((BinomialModel!H43-BinomialModel!H45)/(Inputs!Stock*(up_factor-down_factor)))</f>
        <v>0.96757802872553422</v>
      </c>
      <c r="H43" s="26">
        <f>G42*$B$7</f>
        <v>99.537142650518788</v>
      </c>
      <c r="I43" s="109">
        <f>EXP(-dividend_rate/12)*((BinomialModel!J43-BinomialModel!J45)/(Inputs!Stock*(up_factor-down_factor)))</f>
        <v>0.967578028725537</v>
      </c>
      <c r="J43" s="26">
        <f>I42*$B$7</f>
        <v>99.537142650518788</v>
      </c>
      <c r="K43" s="109">
        <f>EXP(-dividend_rate/12)*((BinomialModel!L43-BinomialModel!L45)/(Inputs!Stock*(up_factor-down_factor)))</f>
        <v>0.967578028725537</v>
      </c>
      <c r="L43" s="26">
        <f>K42*$B$7</f>
        <v>99.537142650518788</v>
      </c>
      <c r="M43" s="109">
        <f>EXP(-dividend_rate/12)*((BinomialModel!N43-BinomialModel!N45)/(Inputs!Stock*(up_factor-down_factor)))</f>
        <v>0.96757802872553422</v>
      </c>
      <c r="N43" s="26">
        <f>M42*$B$7</f>
        <v>99.537142650518774</v>
      </c>
      <c r="O43" s="109">
        <f>EXP(-dividend_rate/12)*((BinomialModel!P43-BinomialModel!P45)/(Inputs!Stock*(up_factor-down_factor)))</f>
        <v>0.96757802872553422</v>
      </c>
      <c r="P43" s="26">
        <f>O42*$B$7</f>
        <v>99.537142650518774</v>
      </c>
      <c r="Q43" s="109">
        <f>EXP(-dividend_rate/12)*((BinomialModel!R43-BinomialModel!R45)/(Inputs!Stock*(up_factor-down_factor)))</f>
        <v>0.96757802872553145</v>
      </c>
      <c r="R43" s="26">
        <f>Q42*$B$7</f>
        <v>99.53714265051876</v>
      </c>
      <c r="S43" s="109">
        <f>EXP(-dividend_rate/12)*((BinomialModel!T43-BinomialModel!T45)/(Inputs!Stock*(up_factor-down_factor)))</f>
        <v>0.96757802872553422</v>
      </c>
      <c r="T43" s="26">
        <f>S42*$B$7</f>
        <v>99.53714265051876</v>
      </c>
      <c r="U43" s="109">
        <f>EXP(-dividend_rate/12)*((BinomialModel!V43-BinomialModel!V45)/(Inputs!Stock*(up_factor-down_factor)))</f>
        <v>0.96757802872553145</v>
      </c>
      <c r="V43" s="26">
        <f>U42*$B$7</f>
        <v>99.537142650518746</v>
      </c>
      <c r="W43" s="109">
        <f>EXP(-dividend_rate/12)*((BinomialModel!X43-BinomialModel!X45)/(Inputs!Stock*(up_factor-down_factor)))</f>
        <v>0.96757802872553422</v>
      </c>
      <c r="X43" s="26">
        <f>W42*$B$7</f>
        <v>99.537142650518746</v>
      </c>
      <c r="Y43" s="109">
        <f>EXP(-dividend_rate/12)*((BinomialModel!Z43-BinomialModel!Z45)/(Inputs!Stock*(up_factor-down_factor)))</f>
        <v>0.96757802872553422</v>
      </c>
      <c r="Z43" s="26">
        <f>Y42*$B$7</f>
        <v>99.537142650518746</v>
      </c>
      <c r="AA43" s="109">
        <f>EXP(-dividend_rate/12)*((BinomialModel!AB43-BinomialModel!AB45)/(Inputs!Stock*(up_factor-down_factor)))</f>
        <v>0.96757802872553422</v>
      </c>
      <c r="AB43" s="26">
        <f>AA42*$B$7</f>
        <v>99.537142650518746</v>
      </c>
      <c r="AC43" s="109">
        <f>EXP(-dividend_rate/12)*((BinomialModel!AD43-BinomialModel!AD45)/(Inputs!Stock*(up_factor-down_factor)))</f>
        <v>0.96757802872552867</v>
      </c>
      <c r="AD43" s="26">
        <f>AC42*$B$7</f>
        <v>99.537142650518717</v>
      </c>
      <c r="AE43" s="26"/>
      <c r="AF43" s="5"/>
      <c r="AG43" s="5"/>
      <c r="AH43" s="5"/>
      <c r="AI43" s="5"/>
      <c r="AJ43" s="5"/>
      <c r="AK43" s="5"/>
      <c r="AL43" s="5"/>
      <c r="AM43" s="5"/>
    </row>
    <row r="44" spans="1:39" ht="18.75" customHeight="1">
      <c r="A44" s="26">
        <f>Inputs!Stock</f>
        <v>100</v>
      </c>
      <c r="B44" s="110">
        <f>EXP(-dividend_rate/12)*((BinomialModel!C44-BinomialModel!C46)/(Inputs!Stock*(up_factor-down_factor)))</f>
        <v>0.97207736023000435</v>
      </c>
      <c r="C44" s="26">
        <f>B43*$B$7</f>
        <v>100</v>
      </c>
      <c r="D44" s="110">
        <f>EXP(-dividend_rate/12)*((BinomialModel!E44-BinomialModel!E46)/(Inputs!Stock*(up_factor-down_factor)))</f>
        <v>0.97207736023000435</v>
      </c>
      <c r="E44" s="26">
        <f>D43*$B$7</f>
        <v>100</v>
      </c>
      <c r="F44" s="109">
        <f>EXP(-dividend_rate/12)*((BinomialModel!G44-BinomialModel!G46)/(Inputs!Stock*(up_factor-down_factor)))</f>
        <v>0.94291503942310428</v>
      </c>
      <c r="G44" s="26">
        <f>F43*$B$7*(1-dividend_rate)</f>
        <v>97</v>
      </c>
      <c r="H44" s="111">
        <f>EXP(-dividend_rate/12)*((BinomialModel!I42-BinomialModel!I44)/(Inputs!Stock*(up_factor-down_factor)))</f>
        <v>0.99288610588414028</v>
      </c>
      <c r="I44" s="26">
        <f>H43*$B$7</f>
        <v>96.999999999999972</v>
      </c>
      <c r="J44" s="109">
        <f>EXP(-dividend_rate/12)*((BinomialModel!K44-BinomialModel!K46)/(Inputs!Stock*(up_factor-down_factor)))</f>
        <v>0.94291503942310428</v>
      </c>
      <c r="K44" s="26">
        <f>J43*$B$7</f>
        <v>96.999999999999972</v>
      </c>
      <c r="L44" s="109">
        <f>EXP(-dividend_rate/12)*((BinomialModel!M44-BinomialModel!M46)/(Inputs!Stock*(up_factor-down_factor)))</f>
        <v>0.94291503942310428</v>
      </c>
      <c r="M44" s="26">
        <f>L43*$B$7</f>
        <v>96.999999999999972</v>
      </c>
      <c r="N44" s="109">
        <f>EXP(-dividend_rate/12)*((BinomialModel!O44-BinomialModel!O46)/(Inputs!Stock*(up_factor-down_factor)))</f>
        <v>0.94291503942310428</v>
      </c>
      <c r="O44" s="26">
        <f>N43*$B$7</f>
        <v>96.999999999999972</v>
      </c>
      <c r="P44" s="109">
        <f>EXP(-dividend_rate/12)*((BinomialModel!Q44-BinomialModel!Q46)/(Inputs!Stock*(up_factor-down_factor)))</f>
        <v>0.94291503942310428</v>
      </c>
      <c r="Q44" s="26">
        <f>P43*$B$7</f>
        <v>96.999999999999972</v>
      </c>
      <c r="R44" s="109">
        <f>EXP(-dividend_rate/12)*((BinomialModel!S44-BinomialModel!S46)/(Inputs!Stock*(up_factor-down_factor)))</f>
        <v>0.94291503942310151</v>
      </c>
      <c r="S44" s="26">
        <f>R43*$B$7</f>
        <v>96.999999999999957</v>
      </c>
      <c r="T44" s="109">
        <f>EXP(-dividend_rate/12)*((BinomialModel!U44-BinomialModel!U46)/(Inputs!Stock*(up_factor-down_factor)))</f>
        <v>0.94291503942310151</v>
      </c>
      <c r="U44" s="26">
        <f>T43*$B$7</f>
        <v>96.999999999999957</v>
      </c>
      <c r="V44" s="109">
        <f>EXP(-dividend_rate/12)*((BinomialModel!W44-BinomialModel!W46)/(Inputs!Stock*(up_factor-down_factor)))</f>
        <v>0.94291503942309873</v>
      </c>
      <c r="W44" s="26">
        <f>V43*$B$7</f>
        <v>96.999999999999943</v>
      </c>
      <c r="X44" s="109">
        <f>EXP(-dividend_rate/12)*((BinomialModel!Y44-BinomialModel!Y46)/(Inputs!Stock*(up_factor-down_factor)))</f>
        <v>0.94291503942310151</v>
      </c>
      <c r="Y44" s="26">
        <f>X43*$B$7</f>
        <v>96.999999999999943</v>
      </c>
      <c r="Z44" s="109">
        <f>EXP(-dividend_rate/12)*((BinomialModel!AA44-BinomialModel!AA46)/(Inputs!Stock*(up_factor-down_factor)))</f>
        <v>0.94291503942310151</v>
      </c>
      <c r="AA44" s="26">
        <f>Z43*$B$7</f>
        <v>96.999999999999943</v>
      </c>
      <c r="AB44" s="109">
        <f>EXP(-dividend_rate/12)*((BinomialModel!AC44-BinomialModel!AC46)/(Inputs!Stock*(up_factor-down_factor)))</f>
        <v>0.94291503942310151</v>
      </c>
      <c r="AC44" s="26">
        <f>AB43*$B$7</f>
        <v>96.999999999999943</v>
      </c>
      <c r="AD44" s="109">
        <f>EXP(-dividend_rate/12)*((BinomialModel!AE44-BinomialModel!AE46)/(Inputs!Stock*(up_factor-down_factor)))</f>
        <v>0.94291503942309596</v>
      </c>
      <c r="AE44" s="26">
        <f>AD43*$B$7</f>
        <v>96.999999999999915</v>
      </c>
      <c r="AF44" s="5"/>
      <c r="AG44" s="5"/>
      <c r="AH44" s="5"/>
      <c r="AI44" s="5"/>
      <c r="AJ44" s="5"/>
      <c r="AK44" s="5"/>
      <c r="AL44" s="5"/>
      <c r="AM44" s="5"/>
    </row>
    <row r="45" spans="1:39" ht="18.75" customHeight="1">
      <c r="A45" s="28" t="s">
        <v>28</v>
      </c>
      <c r="B45" s="26">
        <f>A44*$B$7</f>
        <v>97.451059390536372</v>
      </c>
      <c r="C45" s="110">
        <f>EXP(-dividend_rate/12)*((BinomialModel!D45-BinomialModel!D47)/(Inputs!Stock*(up_factor-down_factor)))</f>
        <v>0.94729968563970002</v>
      </c>
      <c r="D45" s="26">
        <f>C44*$B$7</f>
        <v>97.451059390536372</v>
      </c>
      <c r="E45" s="110">
        <f>EXP(-dividend_rate/12)*((BinomialModel!F45-BinomialModel!F47)/(Inputs!Stock*(up_factor-down_factor)))</f>
        <v>0.94729968563970002</v>
      </c>
      <c r="F45" s="26">
        <f>E44*$B$7</f>
        <v>97.451059390536372</v>
      </c>
      <c r="G45" s="109">
        <f>EXP(-dividend_rate/12)*((BinomialModel!H45-BinomialModel!H47)/(Inputs!Stock*(up_factor-down_factor)))</f>
        <v>0.91888069507050851</v>
      </c>
      <c r="H45" s="26">
        <f>G44*$B$7</f>
        <v>94.527527608820279</v>
      </c>
      <c r="I45" s="109">
        <f>EXP(-dividend_rate/12)*((BinomialModel!J45-BinomialModel!J47)/(Inputs!Stock*(up_factor-down_factor)))</f>
        <v>0.91888069507050851</v>
      </c>
      <c r="J45" s="26">
        <f>I44*$B$7</f>
        <v>94.527527608820265</v>
      </c>
      <c r="K45" s="109">
        <f>EXP(-dividend_rate/12)*((BinomialModel!L45-BinomialModel!L47)/(Inputs!Stock*(up_factor-down_factor)))</f>
        <v>0.91888069507051129</v>
      </c>
      <c r="L45" s="26">
        <f>K44*$B$7</f>
        <v>94.527527608820265</v>
      </c>
      <c r="M45" s="109">
        <f>EXP(-dividend_rate/12)*((BinomialModel!N45-BinomialModel!N47)/(Inputs!Stock*(up_factor-down_factor)))</f>
        <v>0.91888069507051129</v>
      </c>
      <c r="N45" s="26">
        <f>M44*$B$7</f>
        <v>94.527527608820265</v>
      </c>
      <c r="O45" s="109">
        <f>EXP(-dividend_rate/12)*((BinomialModel!P45-BinomialModel!P47)/(Inputs!Stock*(up_factor-down_factor)))</f>
        <v>0.91888069507051129</v>
      </c>
      <c r="P45" s="26">
        <f>O44*$B$7</f>
        <v>94.527527608820265</v>
      </c>
      <c r="Q45" s="109">
        <f>EXP(-dividend_rate/12)*((BinomialModel!R45-BinomialModel!R47)/(Inputs!Stock*(up_factor-down_factor)))</f>
        <v>0.91888069507051129</v>
      </c>
      <c r="R45" s="26">
        <f>Q44*$B$7</f>
        <v>94.527527608820265</v>
      </c>
      <c r="S45" s="109">
        <f>EXP(-dividend_rate/12)*((BinomialModel!T45-BinomialModel!T47)/(Inputs!Stock*(up_factor-down_factor)))</f>
        <v>0.91888069507050851</v>
      </c>
      <c r="T45" s="26">
        <f>S44*$B$7</f>
        <v>94.52752760882025</v>
      </c>
      <c r="U45" s="109">
        <f>EXP(-dividend_rate/12)*((BinomialModel!V45-BinomialModel!V47)/(Inputs!Stock*(up_factor-down_factor)))</f>
        <v>0.91888069507050851</v>
      </c>
      <c r="V45" s="26">
        <f>U44*$B$7</f>
        <v>94.52752760882025</v>
      </c>
      <c r="W45" s="109">
        <f>EXP(-dividend_rate/12)*((BinomialModel!X45-BinomialModel!X47)/(Inputs!Stock*(up_factor-down_factor)))</f>
        <v>0.91888069507050585</v>
      </c>
      <c r="X45" s="26">
        <f>W44*$B$7</f>
        <v>94.527527608820236</v>
      </c>
      <c r="Y45" s="109">
        <f>EXP(-dividend_rate/12)*((BinomialModel!Z45-BinomialModel!Z47)/(Inputs!Stock*(up_factor-down_factor)))</f>
        <v>0.91888069507050851</v>
      </c>
      <c r="Z45" s="26">
        <f>Y44*$B$7</f>
        <v>94.527527608820236</v>
      </c>
      <c r="AA45" s="109">
        <f>EXP(-dividend_rate/12)*((BinomialModel!AB45-BinomialModel!AB47)/(Inputs!Stock*(up_factor-down_factor)))</f>
        <v>0.91888069507050851</v>
      </c>
      <c r="AB45" s="26">
        <f>AA44*$B$7</f>
        <v>94.527527608820236</v>
      </c>
      <c r="AC45" s="109">
        <f>EXP(-dividend_rate/12)*((BinomialModel!AD45-BinomialModel!AD47)/(Inputs!Stock*(up_factor-down_factor)))</f>
        <v>0.91888069507050851</v>
      </c>
      <c r="AD45" s="26">
        <f>AC44*$B$7</f>
        <v>94.527527608820236</v>
      </c>
      <c r="AE45" s="26"/>
      <c r="AF45" s="5"/>
      <c r="AG45" s="5"/>
      <c r="AH45" s="5"/>
      <c r="AI45" s="5"/>
      <c r="AJ45" s="5"/>
      <c r="AK45" s="5"/>
      <c r="AL45" s="5"/>
      <c r="AM45" s="5"/>
    </row>
    <row r="46" spans="1:39" ht="18.75" customHeight="1">
      <c r="A46" s="25"/>
      <c r="B46" s="25"/>
      <c r="C46" s="26">
        <f>B45*$B$7</f>
        <v>94.967089763378482</v>
      </c>
      <c r="D46" s="110">
        <f>EXP(-dividend_rate/12)*((BinomialModel!E46-BinomialModel!E48)/(Inputs!Stock*(up_factor-down_factor)))</f>
        <v>0.92315357925911024</v>
      </c>
      <c r="E46" s="26">
        <f>D45*$B$7</f>
        <v>94.967089763378482</v>
      </c>
      <c r="F46" s="109">
        <f>EXP(-dividend_rate/12)*((BinomialModel!G46-BinomialModel!G48)/(Inputs!Stock*(up_factor-down_factor)))</f>
        <v>0.89545897188133738</v>
      </c>
      <c r="G46" s="26">
        <f>F45*$B$7*(1-dividend_rate)</f>
        <v>92.118077070477128</v>
      </c>
      <c r="H46" s="109">
        <f>EXP(-dividend_rate/12)*((BinomialModel!I46-BinomialModel!I48)/(Inputs!Stock*(up_factor-down_factor)))</f>
        <v>0.89545897188133472</v>
      </c>
      <c r="I46" s="26">
        <f>H45*$B$7</f>
        <v>92.118077070477113</v>
      </c>
      <c r="J46" s="109">
        <f>EXP(-dividend_rate/12)*((BinomialModel!K46-BinomialModel!K48)/(Inputs!Stock*(up_factor-down_factor)))</f>
        <v>0.89545897188133472</v>
      </c>
      <c r="K46" s="26">
        <f>J45*$B$7</f>
        <v>92.118077070477099</v>
      </c>
      <c r="L46" s="109">
        <f>EXP(-dividend_rate/12)*((BinomialModel!M46-BinomialModel!M48)/(Inputs!Stock*(up_factor-down_factor)))</f>
        <v>0.89545897188133472</v>
      </c>
      <c r="M46" s="26">
        <f>L45*$B$7</f>
        <v>92.118077070477099</v>
      </c>
      <c r="N46" s="109">
        <f>EXP(-dividend_rate/12)*((BinomialModel!O46-BinomialModel!O48)/(Inputs!Stock*(up_factor-down_factor)))</f>
        <v>0.89545897188133472</v>
      </c>
      <c r="O46" s="26">
        <f>N45*$B$7</f>
        <v>92.118077070477099</v>
      </c>
      <c r="P46" s="109">
        <f>EXP(-dividend_rate/12)*((BinomialModel!Q46-BinomialModel!Q48)/(Inputs!Stock*(up_factor-down_factor)))</f>
        <v>0.89545897188133472</v>
      </c>
      <c r="Q46" s="26">
        <f>P45*$B$7</f>
        <v>92.118077070477099</v>
      </c>
      <c r="R46" s="109">
        <f>EXP(-dividend_rate/12)*((BinomialModel!S46-BinomialModel!S48)/(Inputs!Stock*(up_factor-down_factor)))</f>
        <v>0.89545897188133472</v>
      </c>
      <c r="S46" s="26">
        <f>R45*$B$7</f>
        <v>92.118077070477099</v>
      </c>
      <c r="T46" s="109">
        <f>EXP(-dividend_rate/12)*((BinomialModel!U46-BinomialModel!U48)/(Inputs!Stock*(up_factor-down_factor)))</f>
        <v>0.89545897188133472</v>
      </c>
      <c r="U46" s="26">
        <f>T45*$B$7</f>
        <v>92.118077070477099</v>
      </c>
      <c r="V46" s="109">
        <f>EXP(-dividend_rate/12)*((BinomialModel!W46-BinomialModel!W48)/(Inputs!Stock*(up_factor-down_factor)))</f>
        <v>0.89545897188133472</v>
      </c>
      <c r="W46" s="26">
        <f>V45*$B$7</f>
        <v>92.118077070477099</v>
      </c>
      <c r="X46" s="109">
        <f>EXP(-dividend_rate/12)*((BinomialModel!Y46-BinomialModel!Y48)/(Inputs!Stock*(up_factor-down_factor)))</f>
        <v>0.89545897188133206</v>
      </c>
      <c r="Y46" s="26">
        <f>X45*$B$7</f>
        <v>92.118077070477085</v>
      </c>
      <c r="Z46" s="109">
        <f>EXP(-dividend_rate/12)*((BinomialModel!AA46-BinomialModel!AA48)/(Inputs!Stock*(up_factor-down_factor)))</f>
        <v>0.89545897188133472</v>
      </c>
      <c r="AA46" s="26">
        <f>Z45*$B$7</f>
        <v>92.118077070477085</v>
      </c>
      <c r="AB46" s="109">
        <f>EXP(-dividend_rate/12)*((BinomialModel!AC46-BinomialModel!AC48)/(Inputs!Stock*(up_factor-down_factor)))</f>
        <v>0.89545897188133472</v>
      </c>
      <c r="AC46" s="26">
        <f>AB45*$B$7</f>
        <v>92.118077070477085</v>
      </c>
      <c r="AD46" s="109">
        <f>EXP(-dividend_rate/12)*((BinomialModel!AE46-BinomialModel!AE48)/(Inputs!Stock*(up_factor-down_factor)))</f>
        <v>0.89545897188133472</v>
      </c>
      <c r="AE46" s="26">
        <f>AD45*$B$7</f>
        <v>92.118077070477085</v>
      </c>
      <c r="AF46" s="5"/>
      <c r="AG46" s="5"/>
      <c r="AH46" s="5"/>
      <c r="AI46" s="5"/>
      <c r="AJ46" s="5"/>
      <c r="AK46" s="5"/>
      <c r="AL46" s="5"/>
      <c r="AM46" s="5"/>
    </row>
    <row r="47" spans="1:39" ht="18.75" customHeight="1">
      <c r="A47" s="25"/>
      <c r="B47" s="25"/>
      <c r="C47" s="25"/>
      <c r="D47" s="26">
        <f>C46*$B$7</f>
        <v>92.546435046773951</v>
      </c>
      <c r="E47" s="110">
        <f>EXP(-dividend_rate/12)*((BinomialModel!F47-BinomialModel!F49)/(Inputs!Stock*(up_factor-down_factor)))</f>
        <v>0.8996229427896566</v>
      </c>
      <c r="F47" s="26">
        <f>E46*$B$7</f>
        <v>92.546435046773951</v>
      </c>
      <c r="G47" s="109">
        <f>EXP(-dividend_rate/12)*((BinomialModel!H47-BinomialModel!H49)/(Inputs!Stock*(up_factor-down_factor)))</f>
        <v>0.87263425450596865</v>
      </c>
      <c r="H47" s="26">
        <f>G46*$B$7</f>
        <v>89.770041995370732</v>
      </c>
      <c r="I47" s="109">
        <f>EXP(-dividend_rate/12)*((BinomialModel!J47-BinomialModel!J49)/(Inputs!Stock*(up_factor-down_factor)))</f>
        <v>0.87263425450596588</v>
      </c>
      <c r="J47" s="26">
        <f>I46*$B$7</f>
        <v>89.770041995370718</v>
      </c>
      <c r="K47" s="109">
        <f>EXP(-dividend_rate/12)*((BinomialModel!L47-BinomialModel!L49)/(Inputs!Stock*(up_factor-down_factor)))</f>
        <v>0.87263425450596588</v>
      </c>
      <c r="L47" s="26">
        <f>K46*$B$7</f>
        <v>89.770041995370704</v>
      </c>
      <c r="M47" s="109">
        <f>EXP(-dividend_rate/12)*((BinomialModel!N47-BinomialModel!N49)/(Inputs!Stock*(up_factor-down_factor)))</f>
        <v>0.87263425450596588</v>
      </c>
      <c r="N47" s="26">
        <f>M46*$B$7</f>
        <v>89.770041995370704</v>
      </c>
      <c r="O47" s="109">
        <f>EXP(-dividend_rate/12)*((BinomialModel!P47-BinomialModel!P49)/(Inputs!Stock*(up_factor-down_factor)))</f>
        <v>0.87263425450596588</v>
      </c>
      <c r="P47" s="26">
        <f>O46*$B$7</f>
        <v>89.770041995370704</v>
      </c>
      <c r="Q47" s="109">
        <f>EXP(-dividend_rate/12)*((BinomialModel!R47-BinomialModel!R49)/(Inputs!Stock*(up_factor-down_factor)))</f>
        <v>0.87263425450596588</v>
      </c>
      <c r="R47" s="26">
        <f>Q46*$B$7</f>
        <v>89.770041995370704</v>
      </c>
      <c r="S47" s="109">
        <f>EXP(-dividend_rate/12)*((BinomialModel!T47-BinomialModel!T49)/(Inputs!Stock*(up_factor-down_factor)))</f>
        <v>0.87263425450596588</v>
      </c>
      <c r="T47" s="26">
        <f>S46*$B$7</f>
        <v>89.770041995370704</v>
      </c>
      <c r="U47" s="109">
        <f>EXP(-dividend_rate/12)*((BinomialModel!V47-BinomialModel!V49)/(Inputs!Stock*(up_factor-down_factor)))</f>
        <v>0.87263425450596588</v>
      </c>
      <c r="V47" s="26">
        <f>U46*$B$7</f>
        <v>89.770041995370704</v>
      </c>
      <c r="W47" s="109">
        <f>EXP(-dividend_rate/12)*((BinomialModel!X47-BinomialModel!X49)/(Inputs!Stock*(up_factor-down_factor)))</f>
        <v>0.87263425450596588</v>
      </c>
      <c r="X47" s="26">
        <f>W46*$B$7</f>
        <v>89.770041995370704</v>
      </c>
      <c r="Y47" s="109">
        <f>EXP(-dividend_rate/12)*((BinomialModel!Z47-BinomialModel!Z49)/(Inputs!Stock*(up_factor-down_factor)))</f>
        <v>0.8726342545059631</v>
      </c>
      <c r="Z47" s="26">
        <f>Y46*$B$7</f>
        <v>89.77004199537069</v>
      </c>
      <c r="AA47" s="109">
        <f>EXP(-dividend_rate/12)*((BinomialModel!AB47-BinomialModel!AB49)/(Inputs!Stock*(up_factor-down_factor)))</f>
        <v>0.87263425450596588</v>
      </c>
      <c r="AB47" s="26">
        <f>AA46*$B$7</f>
        <v>89.77004199537069</v>
      </c>
      <c r="AC47" s="109">
        <f>EXP(-dividend_rate/12)*((BinomialModel!AD47-BinomialModel!AD49)/(Inputs!Stock*(up_factor-down_factor)))</f>
        <v>0.87263425450596588</v>
      </c>
      <c r="AD47" s="26">
        <f>AC46*$B$7</f>
        <v>89.77004199537069</v>
      </c>
      <c r="AE47" s="26"/>
      <c r="AF47" s="5"/>
      <c r="AG47" s="5"/>
      <c r="AH47" s="5"/>
      <c r="AI47" s="5"/>
      <c r="AJ47" s="5"/>
      <c r="AK47" s="5"/>
      <c r="AL47" s="5"/>
      <c r="AM47" s="5"/>
    </row>
    <row r="48" spans="1:39" ht="18.75" customHeight="1">
      <c r="A48" s="25"/>
      <c r="B48" s="25"/>
      <c r="C48" s="25"/>
      <c r="D48" s="25"/>
      <c r="E48" s="26">
        <f>D47*$B$7</f>
        <v>90.18748138125585</v>
      </c>
      <c r="F48" s="109">
        <f>EXP(-dividend_rate/12)*((BinomialModel!G48-BinomialModel!G50)/(Inputs!Stock*(up_factor-down_factor)))</f>
        <v>0.8503913256207748</v>
      </c>
      <c r="G48" s="26">
        <f>F47*$B$7*(1-dividend_rate)</f>
        <v>87.481856939818172</v>
      </c>
      <c r="H48" s="26">
        <f>EXP(-dividend_rate/12)*((BinomialModel!I48-BinomialModel!I50)/(Inputs!Stock*(up_factor-down_factor)))</f>
        <v>0.8503913256207748</v>
      </c>
      <c r="I48" s="26">
        <f>H47*$B$7</f>
        <v>87.481856939818172</v>
      </c>
      <c r="J48" s="109">
        <f>EXP(-dividend_rate/12)*((BinomialModel!K48-BinomialModel!K50)/(Inputs!Stock*(up_factor-down_factor)))</f>
        <v>0.85039132562077202</v>
      </c>
      <c r="K48" s="26">
        <f>J47*$B$7</f>
        <v>87.481856939818158</v>
      </c>
      <c r="L48" s="109">
        <f>EXP(-dividend_rate/12)*((BinomialModel!M48-BinomialModel!M50)/(Inputs!Stock*(up_factor-down_factor)))</f>
        <v>0.8503913256207748</v>
      </c>
      <c r="M48" s="26">
        <f>L47*$B$7</f>
        <v>87.481856939818158</v>
      </c>
      <c r="N48" s="109">
        <f>EXP(-dividend_rate/12)*((BinomialModel!O48-BinomialModel!O50)/(Inputs!Stock*(up_factor-down_factor)))</f>
        <v>0.8503913256207748</v>
      </c>
      <c r="O48" s="26">
        <f>N47*$B$7</f>
        <v>87.481856939818158</v>
      </c>
      <c r="P48" s="109">
        <f>EXP(-dividend_rate/12)*((BinomialModel!Q48-BinomialModel!Q50)/(Inputs!Stock*(up_factor-down_factor)))</f>
        <v>0.8503913256207748</v>
      </c>
      <c r="Q48" s="26">
        <f>P47*$B$7</f>
        <v>87.481856939818158</v>
      </c>
      <c r="R48" s="109">
        <f>EXP(-dividend_rate/12)*((BinomialModel!S48-BinomialModel!S50)/(Inputs!Stock*(up_factor-down_factor)))</f>
        <v>0.8503913256207748</v>
      </c>
      <c r="S48" s="26">
        <f>R47*$B$7</f>
        <v>87.481856939818158</v>
      </c>
      <c r="T48" s="109">
        <f>EXP(-dividend_rate/12)*((BinomialModel!U48-BinomialModel!U50)/(Inputs!Stock*(up_factor-down_factor)))</f>
        <v>0.8503913256207748</v>
      </c>
      <c r="U48" s="26">
        <f>T47*$B$7</f>
        <v>87.481856939818158</v>
      </c>
      <c r="V48" s="109">
        <f>EXP(-dividend_rate/12)*((BinomialModel!W48-BinomialModel!W50)/(Inputs!Stock*(up_factor-down_factor)))</f>
        <v>0.8503913256207748</v>
      </c>
      <c r="W48" s="26">
        <f>V47*$B$7</f>
        <v>87.481856939818158</v>
      </c>
      <c r="X48" s="109">
        <f>EXP(-dividend_rate/12)*((BinomialModel!Y48-BinomialModel!Y50)/(Inputs!Stock*(up_factor-down_factor)))</f>
        <v>0.8503913256207748</v>
      </c>
      <c r="Y48" s="26">
        <f>X47*$B$7</f>
        <v>87.481856939818158</v>
      </c>
      <c r="Z48" s="109">
        <f>EXP(-dividend_rate/12)*((BinomialModel!AA48-BinomialModel!AA50)/(Inputs!Stock*(up_factor-down_factor)))</f>
        <v>0.85039132562077202</v>
      </c>
      <c r="AA48" s="26">
        <f>Z47*$B$7</f>
        <v>87.481856939818144</v>
      </c>
      <c r="AB48" s="109">
        <f>EXP(-dividend_rate/12)*((BinomialModel!AC48-BinomialModel!AC50)/(Inputs!Stock*(up_factor-down_factor)))</f>
        <v>0.8503913256207748</v>
      </c>
      <c r="AC48" s="26">
        <f>AB47*$B$7</f>
        <v>87.481856939818144</v>
      </c>
      <c r="AD48" s="109">
        <f>EXP(-dividend_rate/12)*((BinomialModel!AE48-BinomialModel!AE50)/(Inputs!Stock*(up_factor-down_factor)))</f>
        <v>0.8503913256207748</v>
      </c>
      <c r="AE48" s="26">
        <f>AD47*$B$7</f>
        <v>87.481856939818144</v>
      </c>
      <c r="AF48" s="5"/>
      <c r="AG48" s="5"/>
      <c r="AH48" s="5"/>
      <c r="AI48" s="5"/>
      <c r="AJ48" s="5"/>
      <c r="AK48" s="5"/>
      <c r="AL48" s="5"/>
      <c r="AM48" s="5"/>
    </row>
    <row r="49" spans="1:39" ht="18.75" customHeight="1">
      <c r="A49" s="25"/>
      <c r="B49" s="25"/>
      <c r="C49" s="25"/>
      <c r="D49" s="25"/>
      <c r="E49" s="25"/>
      <c r="F49" s="26">
        <f>E48*$B$7</f>
        <v>87.888656043676576</v>
      </c>
      <c r="G49" s="109">
        <f>EXP(-dividend_rate/12)*((BinomialModel!H49-BinomialModel!H51)/(Inputs!Stock*(up_factor-down_factor)))</f>
        <v>0.82871535578266908</v>
      </c>
      <c r="H49" s="26">
        <f>G48*$B$7</f>
        <v>85.25199636236627</v>
      </c>
      <c r="I49" s="109">
        <f>EXP(-dividend_rate/12)*((BinomialModel!J49-BinomialModel!J51)/(Inputs!Stock*(up_factor-down_factor)))</f>
        <v>0.82871535578266908</v>
      </c>
      <c r="J49" s="26">
        <f>I48*$B$7</f>
        <v>85.25199636236627</v>
      </c>
      <c r="K49" s="109">
        <f>EXP(-dividend_rate/12)*((BinomialModel!L49-BinomialModel!L51)/(Inputs!Stock*(up_factor-down_factor)))</f>
        <v>0.82871535578266631</v>
      </c>
      <c r="L49" s="26">
        <f>K48*$B$7</f>
        <v>85.251996362366256</v>
      </c>
      <c r="M49" s="109">
        <f>EXP(-dividend_rate/12)*((BinomialModel!N49-BinomialModel!N51)/(Inputs!Stock*(up_factor-down_factor)))</f>
        <v>0.82871535578266908</v>
      </c>
      <c r="N49" s="26">
        <f>M48*$B$7</f>
        <v>85.251996362366256</v>
      </c>
      <c r="O49" s="109">
        <f>EXP(-dividend_rate/12)*((BinomialModel!P49-BinomialModel!P51)/(Inputs!Stock*(up_factor-down_factor)))</f>
        <v>0.82871535578266908</v>
      </c>
      <c r="P49" s="26">
        <f>O48*$B$7</f>
        <v>85.251996362366256</v>
      </c>
      <c r="Q49" s="109">
        <f>EXP(-dividend_rate/12)*((BinomialModel!R49-BinomialModel!R51)/(Inputs!Stock*(up_factor-down_factor)))</f>
        <v>0.82871535578266908</v>
      </c>
      <c r="R49" s="26">
        <f>Q48*$B$7</f>
        <v>85.251996362366256</v>
      </c>
      <c r="S49" s="109">
        <f>EXP(-dividend_rate/12)*((BinomialModel!T49-BinomialModel!T51)/(Inputs!Stock*(up_factor-down_factor)))</f>
        <v>0.82871535578266908</v>
      </c>
      <c r="T49" s="26">
        <f>S48*$B$7</f>
        <v>85.251996362366256</v>
      </c>
      <c r="U49" s="109">
        <f>EXP(-dividend_rate/12)*((BinomialModel!V49-BinomialModel!V51)/(Inputs!Stock*(up_factor-down_factor)))</f>
        <v>0.82871535578266908</v>
      </c>
      <c r="V49" s="26">
        <f>U48*$B$7</f>
        <v>85.251996362366256</v>
      </c>
      <c r="W49" s="109">
        <f>EXP(-dividend_rate/12)*((BinomialModel!X49-BinomialModel!X51)/(Inputs!Stock*(up_factor-down_factor)))</f>
        <v>0.82871535578266908</v>
      </c>
      <c r="X49" s="26">
        <f>W48*$B$7</f>
        <v>85.251996362366256</v>
      </c>
      <c r="Y49" s="109">
        <f>EXP(-dividend_rate/12)*((BinomialModel!Z49-BinomialModel!Z51)/(Inputs!Stock*(up_factor-down_factor)))</f>
        <v>0.82871535578266908</v>
      </c>
      <c r="Z49" s="26">
        <f>Y48*$B$7</f>
        <v>85.251996362366256</v>
      </c>
      <c r="AA49" s="109">
        <f>EXP(-dividend_rate/12)*((BinomialModel!AB49-BinomialModel!AB51)/(Inputs!Stock*(up_factor-down_factor)))</f>
        <v>0.82871535578266631</v>
      </c>
      <c r="AB49" s="26">
        <f>AA48*$B$7</f>
        <v>85.251996362366242</v>
      </c>
      <c r="AC49" s="109">
        <f>EXP(-dividend_rate/12)*((BinomialModel!AD49-BinomialModel!AD51)/(Inputs!Stock*(up_factor-down_factor)))</f>
        <v>0.82871535578266908</v>
      </c>
      <c r="AD49" s="26">
        <f>AC48*$B$7</f>
        <v>85.251996362366242</v>
      </c>
      <c r="AE49" s="26"/>
      <c r="AF49" s="5"/>
      <c r="AG49" s="5"/>
      <c r="AH49" s="5"/>
      <c r="AI49" s="5"/>
      <c r="AJ49" s="5"/>
      <c r="AK49" s="5"/>
      <c r="AL49" s="5"/>
      <c r="AM49" s="5"/>
    </row>
    <row r="50" spans="1:39" ht="18.75" customHeight="1">
      <c r="A50" s="25"/>
      <c r="B50" s="25"/>
      <c r="C50" s="25"/>
      <c r="D50" s="25"/>
      <c r="E50" s="25"/>
      <c r="F50" s="25"/>
      <c r="G50" s="26">
        <f>F49*$B$7*(1-dividend_rate)</f>
        <v>83.078973606707464</v>
      </c>
      <c r="H50" s="109">
        <f>EXP(-dividend_rate/12)*((BinomialModel!I50-BinomialModel!I52)/(Inputs!Stock*(up_factor-down_factor)))</f>
        <v>0.80759189354226257</v>
      </c>
      <c r="I50" s="26">
        <f>H49*$B$7</f>
        <v>83.078973606707464</v>
      </c>
      <c r="J50" s="109">
        <f>EXP(-dividend_rate/12)*((BinomialModel!K50-BinomialModel!K52)/(Inputs!Stock*(up_factor-down_factor)))</f>
        <v>0.80759189354226257</v>
      </c>
      <c r="K50" s="26">
        <f>J49*$B$7</f>
        <v>83.078973606707464</v>
      </c>
      <c r="L50" s="109">
        <f>EXP(-dividend_rate/12)*((BinomialModel!M50-BinomialModel!M52)/(Inputs!Stock*(up_factor-down_factor)))</f>
        <v>0.8075918935422598</v>
      </c>
      <c r="M50" s="26">
        <f>L49*$B$7</f>
        <v>83.07897360670745</v>
      </c>
      <c r="N50" s="109">
        <f>EXP(-dividend_rate/12)*((BinomialModel!O50-BinomialModel!O52)/(Inputs!Stock*(up_factor-down_factor)))</f>
        <v>0.80759189354226257</v>
      </c>
      <c r="O50" s="26">
        <f>N49*$B$7</f>
        <v>83.07897360670745</v>
      </c>
      <c r="P50" s="109">
        <f>EXP(-dividend_rate/12)*((BinomialModel!Q50-BinomialModel!Q52)/(Inputs!Stock*(up_factor-down_factor)))</f>
        <v>0.80759189354226257</v>
      </c>
      <c r="Q50" s="26">
        <f>P49*$B$7</f>
        <v>83.07897360670745</v>
      </c>
      <c r="R50" s="109">
        <f>EXP(-dividend_rate/12)*((BinomialModel!S50-BinomialModel!S52)/(Inputs!Stock*(up_factor-down_factor)))</f>
        <v>0.80759189354226257</v>
      </c>
      <c r="S50" s="26">
        <f>R49*$B$7</f>
        <v>83.07897360670745</v>
      </c>
      <c r="T50" s="109">
        <f>EXP(-dividend_rate/12)*((BinomialModel!U50-BinomialModel!U52)/(Inputs!Stock*(up_factor-down_factor)))</f>
        <v>0.80759189354226257</v>
      </c>
      <c r="U50" s="26">
        <f>T49*$B$7</f>
        <v>83.07897360670745</v>
      </c>
      <c r="V50" s="109">
        <f>EXP(-dividend_rate/12)*((BinomialModel!W50-BinomialModel!W52)/(Inputs!Stock*(up_factor-down_factor)))</f>
        <v>0.80759189354226257</v>
      </c>
      <c r="W50" s="26">
        <f>V49*$B$7</f>
        <v>83.07897360670745</v>
      </c>
      <c r="X50" s="109">
        <f>EXP(-dividend_rate/12)*((BinomialModel!Y50-BinomialModel!Y52)/(Inputs!Stock*(up_factor-down_factor)))</f>
        <v>0.80759189354226257</v>
      </c>
      <c r="Y50" s="26">
        <f>X49*$B$7</f>
        <v>83.07897360670745</v>
      </c>
      <c r="Z50" s="109">
        <f>EXP(-dividend_rate/12)*((BinomialModel!AA50-BinomialModel!AA52)/(Inputs!Stock*(up_factor-down_factor)))</f>
        <v>0.80759189354226257</v>
      </c>
      <c r="AA50" s="26">
        <f>Z49*$B$7</f>
        <v>83.07897360670745</v>
      </c>
      <c r="AB50" s="109">
        <f>EXP(-dividend_rate/12)*((BinomialModel!AC50-BinomialModel!AC52)/(Inputs!Stock*(up_factor-down_factor)))</f>
        <v>0.8075918935422598</v>
      </c>
      <c r="AC50" s="26">
        <f>AB49*$B$7</f>
        <v>83.078973606707436</v>
      </c>
      <c r="AD50" s="109">
        <f>EXP(-dividend_rate/12)*((BinomialModel!AE50-BinomialModel!AE52)/(Inputs!Stock*(up_factor-down_factor)))</f>
        <v>0.80759189354226257</v>
      </c>
      <c r="AE50" s="26">
        <f>AD49*$B$7</f>
        <v>83.078973606707436</v>
      </c>
      <c r="AF50" s="5"/>
      <c r="AG50" s="5"/>
      <c r="AH50" s="5"/>
      <c r="AI50" s="5"/>
      <c r="AJ50" s="5"/>
      <c r="AK50" s="5"/>
      <c r="AL50" s="5"/>
      <c r="AM50" s="5"/>
    </row>
    <row r="51" spans="1:39" ht="18.75" customHeight="1">
      <c r="A51" s="25"/>
      <c r="B51" s="25"/>
      <c r="C51" s="25"/>
      <c r="D51" s="25"/>
      <c r="E51" s="25"/>
      <c r="F51" s="25"/>
      <c r="G51" s="25"/>
      <c r="H51" s="26">
        <f>G50*$B$7</f>
        <v>80.961339910520536</v>
      </c>
      <c r="I51" s="109">
        <f>EXP(-dividend_rate/12)*((BinomialModel!J51-BinomialModel!J53)/(Inputs!Stock*(up_factor-down_factor)))</f>
        <v>0.78700685580902796</v>
      </c>
      <c r="J51" s="26">
        <f>I50*$B$7</f>
        <v>80.961339910520536</v>
      </c>
      <c r="K51" s="109">
        <f>EXP(-dividend_rate/12)*((BinomialModel!L51-BinomialModel!L53)/(Inputs!Stock*(up_factor-down_factor)))</f>
        <v>0.78700685580902796</v>
      </c>
      <c r="L51" s="26">
        <f>K50*$B$7</f>
        <v>80.961339910520536</v>
      </c>
      <c r="M51" s="109">
        <f>EXP(-dividend_rate/12)*((BinomialModel!N51-BinomialModel!N53)/(Inputs!Stock*(up_factor-down_factor)))</f>
        <v>0.7870068558090253</v>
      </c>
      <c r="N51" s="26">
        <f>M50*$B$7</f>
        <v>80.961339910520522</v>
      </c>
      <c r="O51" s="109">
        <f>EXP(-dividend_rate/12)*((BinomialModel!P51-BinomialModel!P53)/(Inputs!Stock*(up_factor-down_factor)))</f>
        <v>0.78700685580902796</v>
      </c>
      <c r="P51" s="26">
        <f>O50*$B$7</f>
        <v>80.961339910520522</v>
      </c>
      <c r="Q51" s="109">
        <f>EXP(-dividend_rate/12)*((BinomialModel!R51-BinomialModel!R53)/(Inputs!Stock*(up_factor-down_factor)))</f>
        <v>0.78700685580902796</v>
      </c>
      <c r="R51" s="26">
        <f>Q50*$B$7</f>
        <v>80.961339910520522</v>
      </c>
      <c r="S51" s="109">
        <f>EXP(-dividend_rate/12)*((BinomialModel!T51-BinomialModel!T53)/(Inputs!Stock*(up_factor-down_factor)))</f>
        <v>0.78700685580902796</v>
      </c>
      <c r="T51" s="26">
        <f>S50*$B$7</f>
        <v>80.961339910520522</v>
      </c>
      <c r="U51" s="109">
        <f>EXP(-dividend_rate/12)*((BinomialModel!V51-BinomialModel!V53)/(Inputs!Stock*(up_factor-down_factor)))</f>
        <v>0.78700685580902796</v>
      </c>
      <c r="V51" s="26">
        <f>U50*$B$7</f>
        <v>80.961339910520522</v>
      </c>
      <c r="W51" s="109">
        <f>EXP(-dividend_rate/12)*((BinomialModel!X51-BinomialModel!X53)/(Inputs!Stock*(up_factor-down_factor)))</f>
        <v>0.78700685580902796</v>
      </c>
      <c r="X51" s="26">
        <f>W50*$B$7</f>
        <v>80.961339910520522</v>
      </c>
      <c r="Y51" s="109">
        <f>EXP(-dividend_rate/12)*((BinomialModel!Z51-BinomialModel!Z53)/(Inputs!Stock*(up_factor-down_factor)))</f>
        <v>0.78700685580902796</v>
      </c>
      <c r="Z51" s="26">
        <f>Y50*$B$7</f>
        <v>80.961339910520522</v>
      </c>
      <c r="AA51" s="109">
        <f>EXP(-dividend_rate/12)*((BinomialModel!AB51-BinomialModel!AB53)/(Inputs!Stock*(up_factor-down_factor)))</f>
        <v>0.78700685580902796</v>
      </c>
      <c r="AB51" s="26">
        <f>AA50*$B$7</f>
        <v>80.961339910520522</v>
      </c>
      <c r="AC51" s="109">
        <f>EXP(-dividend_rate/12)*((BinomialModel!AD51-BinomialModel!AD53)/(Inputs!Stock*(up_factor-down_factor)))</f>
        <v>0.7870068558090253</v>
      </c>
      <c r="AD51" s="26">
        <f>AC50*$B$7</f>
        <v>80.961339910520508</v>
      </c>
      <c r="AE51" s="26"/>
      <c r="AF51" s="5"/>
      <c r="AG51" s="5"/>
      <c r="AH51" s="5"/>
      <c r="AI51" s="5"/>
      <c r="AJ51" s="5"/>
      <c r="AK51" s="5"/>
      <c r="AL51" s="5"/>
      <c r="AM51" s="5"/>
    </row>
    <row r="52" spans="1:39" ht="18.75" customHeight="1">
      <c r="A52" s="25"/>
      <c r="B52" s="25"/>
      <c r="C52" s="25"/>
      <c r="D52" s="25"/>
      <c r="E52" s="25"/>
      <c r="F52" s="25"/>
      <c r="G52" s="25"/>
      <c r="H52" s="25"/>
      <c r="I52" s="26">
        <f>H51*$B$7</f>
        <v>78.897683439575403</v>
      </c>
      <c r="J52" s="109">
        <f>EXP(-dividend_rate/12)*((BinomialModel!K52-BinomialModel!K54)/(Inputs!Stock*(up_factor-down_factor)))</f>
        <v>0.76694651846204931</v>
      </c>
      <c r="K52" s="26">
        <f>J51*$B$7</f>
        <v>78.897683439575403</v>
      </c>
      <c r="L52" s="109">
        <f>EXP(-dividend_rate/12)*((BinomialModel!M52-BinomialModel!M54)/(Inputs!Stock*(up_factor-down_factor)))</f>
        <v>0.76694651846204931</v>
      </c>
      <c r="M52" s="26">
        <f>L51*$B$7</f>
        <v>78.897683439575403</v>
      </c>
      <c r="N52" s="109">
        <f>EXP(-dividend_rate/12)*((BinomialModel!O52-BinomialModel!O54)/(Inputs!Stock*(up_factor-down_factor)))</f>
        <v>0.76694651846204664</v>
      </c>
      <c r="O52" s="26">
        <f>N51*$B$7</f>
        <v>78.897683439575388</v>
      </c>
      <c r="P52" s="109">
        <f>EXP(-dividend_rate/12)*((BinomialModel!Q52-BinomialModel!Q54)/(Inputs!Stock*(up_factor-down_factor)))</f>
        <v>0.76694651846204931</v>
      </c>
      <c r="Q52" s="26">
        <f>P51*$B$7</f>
        <v>78.897683439575388</v>
      </c>
      <c r="R52" s="109">
        <f>EXP(-dividend_rate/12)*((BinomialModel!S52-BinomialModel!S54)/(Inputs!Stock*(up_factor-down_factor)))</f>
        <v>0.76694651846204931</v>
      </c>
      <c r="S52" s="26">
        <f>R51*$B$7</f>
        <v>78.897683439575388</v>
      </c>
      <c r="T52" s="109">
        <f>EXP(-dividend_rate/12)*((BinomialModel!U52-BinomialModel!U54)/(Inputs!Stock*(up_factor-down_factor)))</f>
        <v>0.76694651846204931</v>
      </c>
      <c r="U52" s="26">
        <f>T51*$B$7</f>
        <v>78.897683439575388</v>
      </c>
      <c r="V52" s="109">
        <f>EXP(-dividend_rate/12)*((BinomialModel!W52-BinomialModel!W54)/(Inputs!Stock*(up_factor-down_factor)))</f>
        <v>0.76694651846204931</v>
      </c>
      <c r="W52" s="26">
        <f>V51*$B$7</f>
        <v>78.897683439575388</v>
      </c>
      <c r="X52" s="109">
        <f>EXP(-dividend_rate/12)*((BinomialModel!Y52-BinomialModel!Y54)/(Inputs!Stock*(up_factor-down_factor)))</f>
        <v>0.76694651846204931</v>
      </c>
      <c r="Y52" s="26">
        <f>X51*$B$7</f>
        <v>78.897683439575388</v>
      </c>
      <c r="Z52" s="109">
        <f>EXP(-dividend_rate/12)*((BinomialModel!AA52-BinomialModel!AA54)/(Inputs!Stock*(up_factor-down_factor)))</f>
        <v>0.76694651846204931</v>
      </c>
      <c r="AA52" s="26">
        <f>Z51*$B$7</f>
        <v>78.897683439575388</v>
      </c>
      <c r="AB52" s="109">
        <f>EXP(-dividend_rate/12)*((BinomialModel!AC52-BinomialModel!AC54)/(Inputs!Stock*(up_factor-down_factor)))</f>
        <v>0.76694651846204931</v>
      </c>
      <c r="AC52" s="26">
        <f>AB51*$B$7</f>
        <v>78.897683439575388</v>
      </c>
      <c r="AD52" s="109">
        <f>EXP(-dividend_rate/12)*((BinomialModel!AE52-BinomialModel!AE54)/(Inputs!Stock*(up_factor-down_factor)))</f>
        <v>0.76694651846204664</v>
      </c>
      <c r="AE52" s="26">
        <f>AD51*$B$7</f>
        <v>78.897683439575374</v>
      </c>
      <c r="AF52" s="5"/>
      <c r="AG52" s="5"/>
      <c r="AH52" s="5"/>
      <c r="AI52" s="5"/>
      <c r="AJ52" s="5"/>
      <c r="AK52" s="5"/>
      <c r="AL52" s="5"/>
      <c r="AM52" s="5"/>
    </row>
    <row r="53" spans="1:39" ht="18.75" customHeight="1">
      <c r="A53" s="25"/>
      <c r="B53" s="25"/>
      <c r="C53" s="25"/>
      <c r="D53" s="25"/>
      <c r="E53" s="25"/>
      <c r="F53" s="25"/>
      <c r="G53" s="25"/>
      <c r="H53" s="25"/>
      <c r="I53" s="25"/>
      <c r="J53" s="26">
        <f>I52*$B$7</f>
        <v>76.886628346458011</v>
      </c>
      <c r="K53" s="109">
        <f>EXP(-dividend_rate/12)*((BinomialModel!L53-BinomialModel!L55)/(Inputs!Stock*(up_factor-down_factor)))</f>
        <v>0.7473975072001019</v>
      </c>
      <c r="L53" s="26">
        <f>K52*$B$7</f>
        <v>76.886628346458011</v>
      </c>
      <c r="M53" s="109">
        <f>EXP(-dividend_rate/12)*((BinomialModel!N53-BinomialModel!N55)/(Inputs!Stock*(up_factor-down_factor)))</f>
        <v>0.7473975072001019</v>
      </c>
      <c r="N53" s="26">
        <f>M52*$B$7</f>
        <v>76.886628346458011</v>
      </c>
      <c r="O53" s="109">
        <f>EXP(-dividend_rate/12)*((BinomialModel!P53-BinomialModel!P55)/(Inputs!Stock*(up_factor-down_factor)))</f>
        <v>0.74739750720009912</v>
      </c>
      <c r="P53" s="26">
        <f>O52*$B$7</f>
        <v>76.886628346457996</v>
      </c>
      <c r="Q53" s="109">
        <f>EXP(-dividend_rate/12)*((BinomialModel!R53-BinomialModel!R55)/(Inputs!Stock*(up_factor-down_factor)))</f>
        <v>0.7473975072001019</v>
      </c>
      <c r="R53" s="26">
        <f>Q52*$B$7</f>
        <v>76.886628346457996</v>
      </c>
      <c r="S53" s="109">
        <f>EXP(-dividend_rate/12)*((BinomialModel!T53-BinomialModel!T55)/(Inputs!Stock*(up_factor-down_factor)))</f>
        <v>0.7473975072001019</v>
      </c>
      <c r="T53" s="26">
        <f>S52*$B$7</f>
        <v>76.886628346457996</v>
      </c>
      <c r="U53" s="109">
        <f>EXP(-dividend_rate/12)*((BinomialModel!V53-BinomialModel!V55)/(Inputs!Stock*(up_factor-down_factor)))</f>
        <v>0.7473975072001019</v>
      </c>
      <c r="V53" s="26">
        <f>U52*$B$7</f>
        <v>76.886628346457996</v>
      </c>
      <c r="W53" s="109">
        <f>EXP(-dividend_rate/12)*((BinomialModel!X53-BinomialModel!X55)/(Inputs!Stock*(up_factor-down_factor)))</f>
        <v>0.7473975072001019</v>
      </c>
      <c r="X53" s="26">
        <f>W52*$B$7</f>
        <v>76.886628346457996</v>
      </c>
      <c r="Y53" s="109">
        <f>EXP(-dividend_rate/12)*((BinomialModel!Z53-BinomialModel!Z55)/(Inputs!Stock*(up_factor-down_factor)))</f>
        <v>0.7473975072001019</v>
      </c>
      <c r="Z53" s="26">
        <f>Y52*$B$7</f>
        <v>76.886628346457996</v>
      </c>
      <c r="AA53" s="109">
        <f>EXP(-dividend_rate/12)*((BinomialModel!AB53-BinomialModel!AB55)/(Inputs!Stock*(up_factor-down_factor)))</f>
        <v>0.7473975072001019</v>
      </c>
      <c r="AB53" s="26">
        <f>AA52*$B$7</f>
        <v>76.886628346457996</v>
      </c>
      <c r="AC53" s="109">
        <f>EXP(-dividend_rate/12)*((BinomialModel!AD53-BinomialModel!AD55)/(Inputs!Stock*(up_factor-down_factor)))</f>
        <v>0.7473975072001019</v>
      </c>
      <c r="AD53" s="26">
        <f>AC52*$B$7</f>
        <v>76.886628346457996</v>
      </c>
      <c r="AE53" s="26"/>
      <c r="AF53" s="5"/>
      <c r="AG53" s="5"/>
      <c r="AH53" s="5"/>
      <c r="AI53" s="5"/>
      <c r="AJ53" s="5"/>
      <c r="AK53" s="5"/>
      <c r="AL53" s="5"/>
      <c r="AM53" s="5"/>
    </row>
    <row r="54" spans="1:39" ht="18.75" customHeight="1">
      <c r="A54" s="25"/>
      <c r="B54" s="25"/>
      <c r="C54" s="25"/>
      <c r="D54" s="25"/>
      <c r="E54" s="25"/>
      <c r="F54" s="25"/>
      <c r="G54" s="25"/>
      <c r="H54" s="25"/>
      <c r="I54" s="25"/>
      <c r="J54" s="25"/>
      <c r="K54" s="26">
        <f>J53*$B$7</f>
        <v>74.926833853287775</v>
      </c>
      <c r="L54" s="109">
        <f>EXP(-dividend_rate/12)*((BinomialModel!M54-BinomialModel!M56)/(Inputs!Stock*(up_factor-down_factor)))</f>
        <v>0.72834678862495894</v>
      </c>
      <c r="M54" s="26">
        <f>L53*$B$7</f>
        <v>74.926833853287775</v>
      </c>
      <c r="N54" s="109">
        <f>EXP(-dividend_rate/12)*((BinomialModel!O54-BinomialModel!O56)/(Inputs!Stock*(up_factor-down_factor)))</f>
        <v>0.72834678862495894</v>
      </c>
      <c r="O54" s="26">
        <f>N53*$B$7</f>
        <v>74.926833853287775</v>
      </c>
      <c r="P54" s="109">
        <f>EXP(-dividend_rate/12)*((BinomialModel!Q54-BinomialModel!Q56)/(Inputs!Stock*(up_factor-down_factor)))</f>
        <v>0.72834678862495617</v>
      </c>
      <c r="Q54" s="26">
        <f>P53*$B$7</f>
        <v>74.926833853287761</v>
      </c>
      <c r="R54" s="109">
        <f>EXP(-dividend_rate/12)*((BinomialModel!S54-BinomialModel!S56)/(Inputs!Stock*(up_factor-down_factor)))</f>
        <v>0.72834678862495894</v>
      </c>
      <c r="S54" s="26">
        <f>R53*$B$7</f>
        <v>74.926833853287761</v>
      </c>
      <c r="T54" s="109">
        <f>EXP(-dividend_rate/12)*((BinomialModel!U54-BinomialModel!U56)/(Inputs!Stock*(up_factor-down_factor)))</f>
        <v>0.72834678862495894</v>
      </c>
      <c r="U54" s="26">
        <f>T53*$B$7</f>
        <v>74.926833853287761</v>
      </c>
      <c r="V54" s="109">
        <f>EXP(-dividend_rate/12)*((BinomialModel!W54-BinomialModel!W56)/(Inputs!Stock*(up_factor-down_factor)))</f>
        <v>0.72834678862495894</v>
      </c>
      <c r="W54" s="26">
        <f>V53*$B$7</f>
        <v>74.926833853287761</v>
      </c>
      <c r="X54" s="109">
        <f>EXP(-dividend_rate/12)*((BinomialModel!Y54-BinomialModel!Y56)/(Inputs!Stock*(up_factor-down_factor)))</f>
        <v>0.72834678862495894</v>
      </c>
      <c r="Y54" s="26">
        <f>X53*$B$7</f>
        <v>74.926833853287761</v>
      </c>
      <c r="Z54" s="109">
        <f>EXP(-dividend_rate/12)*((BinomialModel!AA54-BinomialModel!AA56)/(Inputs!Stock*(up_factor-down_factor)))</f>
        <v>0.72834678862495894</v>
      </c>
      <c r="AA54" s="26">
        <f>Z53*$B$7</f>
        <v>74.926833853287761</v>
      </c>
      <c r="AB54" s="109">
        <f>EXP(-dividend_rate/12)*((BinomialModel!AC54-BinomialModel!AC56)/(Inputs!Stock*(up_factor-down_factor)))</f>
        <v>0.72834678862495894</v>
      </c>
      <c r="AC54" s="26">
        <f>AB53*$B$7</f>
        <v>74.926833853287761</v>
      </c>
      <c r="AD54" s="109">
        <f>EXP(-dividend_rate/12)*((BinomialModel!AE54-BinomialModel!AE56)/(Inputs!Stock*(up_factor-down_factor)))</f>
        <v>0.72834678862495894</v>
      </c>
      <c r="AE54" s="26">
        <f>AD53*$B$7</f>
        <v>74.926833853287761</v>
      </c>
      <c r="AF54" s="5"/>
      <c r="AG54" s="5"/>
      <c r="AH54" s="5"/>
      <c r="AI54" s="5"/>
      <c r="AJ54" s="5"/>
      <c r="AK54" s="5"/>
      <c r="AL54" s="5"/>
      <c r="AM54" s="5"/>
    </row>
    <row r="55" spans="1:39" ht="18.75" customHeight="1">
      <c r="A55" s="25"/>
      <c r="B55" s="25"/>
      <c r="C55" s="25"/>
      <c r="D55" s="25"/>
      <c r="E55" s="25"/>
      <c r="F55" s="25"/>
      <c r="G55" s="25"/>
      <c r="H55" s="25"/>
      <c r="I55" s="25"/>
      <c r="J55" s="25"/>
      <c r="K55" s="25"/>
      <c r="L55" s="26">
        <f>K54*$B$7</f>
        <v>73.016993357815991</v>
      </c>
      <c r="M55" s="109">
        <f>EXP(-dividend_rate/12)*((BinomialModel!N55-BinomialModel!N57)/(Inputs!Stock*(up_factor-down_factor)))</f>
        <v>0.70978166155197431</v>
      </c>
      <c r="N55" s="26">
        <f>M54*$B$7</f>
        <v>73.016993357815991</v>
      </c>
      <c r="O55" s="109">
        <f>EXP(-dividend_rate/12)*((BinomialModel!P55-BinomialModel!P57)/(Inputs!Stock*(up_factor-down_factor)))</f>
        <v>0.70978166155197431</v>
      </c>
      <c r="P55" s="26">
        <f>O54*$B$7</f>
        <v>73.016993357815991</v>
      </c>
      <c r="Q55" s="109">
        <f>EXP(-dividend_rate/12)*((BinomialModel!R55-BinomialModel!R57)/(Inputs!Stock*(up_factor-down_factor)))</f>
        <v>0.70978166155197153</v>
      </c>
      <c r="R55" s="26">
        <f>Q54*$B$7</f>
        <v>73.016993357815977</v>
      </c>
      <c r="S55" s="109">
        <f>EXP(-dividend_rate/12)*((BinomialModel!T55-BinomialModel!T57)/(Inputs!Stock*(up_factor-down_factor)))</f>
        <v>0.70978166155197431</v>
      </c>
      <c r="T55" s="26">
        <f>S54*$B$7</f>
        <v>73.016993357815977</v>
      </c>
      <c r="U55" s="109">
        <f>EXP(-dividend_rate/12)*((BinomialModel!V55-BinomialModel!V57)/(Inputs!Stock*(up_factor-down_factor)))</f>
        <v>0.70978166155197431</v>
      </c>
      <c r="V55" s="26">
        <f>U54*$B$7</f>
        <v>73.016993357815977</v>
      </c>
      <c r="W55" s="109">
        <f>EXP(-dividend_rate/12)*((BinomialModel!X55-BinomialModel!X57)/(Inputs!Stock*(up_factor-down_factor)))</f>
        <v>0.70978166155197431</v>
      </c>
      <c r="X55" s="26">
        <f>W54*$B$7</f>
        <v>73.016993357815977</v>
      </c>
      <c r="Y55" s="109">
        <f>EXP(-dividend_rate/12)*((BinomialModel!Z55-BinomialModel!Z57)/(Inputs!Stock*(up_factor-down_factor)))</f>
        <v>0.70978166155197431</v>
      </c>
      <c r="Z55" s="26">
        <f>Y54*$B$7</f>
        <v>73.016993357815977</v>
      </c>
      <c r="AA55" s="109">
        <f>EXP(-dividend_rate/12)*((BinomialModel!AB55-BinomialModel!AB57)/(Inputs!Stock*(up_factor-down_factor)))</f>
        <v>0.70978166155197431</v>
      </c>
      <c r="AB55" s="26">
        <f>AA54*$B$7</f>
        <v>73.016993357815977</v>
      </c>
      <c r="AC55" s="109">
        <f>EXP(-dividend_rate/12)*((BinomialModel!AD55-BinomialModel!AD57)/(Inputs!Stock*(up_factor-down_factor)))</f>
        <v>0.70978166155197431</v>
      </c>
      <c r="AD55" s="26">
        <f>AC54*$B$7</f>
        <v>73.016993357815977</v>
      </c>
      <c r="AE55" s="26"/>
      <c r="AF55" s="5"/>
      <c r="AG55" s="5"/>
      <c r="AH55" s="5"/>
      <c r="AI55" s="5"/>
      <c r="AJ55" s="5"/>
      <c r="AK55" s="5"/>
      <c r="AL55" s="5"/>
      <c r="AM55" s="5"/>
    </row>
    <row r="56" spans="1:39" ht="18.75" customHeight="1">
      <c r="A56" s="25"/>
      <c r="B56" s="25"/>
      <c r="C56" s="25"/>
      <c r="D56" s="25"/>
      <c r="E56" s="25"/>
      <c r="F56" s="25"/>
      <c r="G56" s="25"/>
      <c r="H56" s="25"/>
      <c r="I56" s="25"/>
      <c r="J56" s="25"/>
      <c r="K56" s="25"/>
      <c r="L56" s="25"/>
      <c r="M56" s="26">
        <f>L55*$B$7</f>
        <v>71.155833562309269</v>
      </c>
      <c r="N56" s="109">
        <f>EXP(-dividend_rate/12)*((BinomialModel!O56-BinomialModel!O58)/(Inputs!Stock*(up_factor-down_factor)))</f>
        <v>0.69168974854215215</v>
      </c>
      <c r="O56" s="26">
        <f>N55*$B$7</f>
        <v>71.155833562309269</v>
      </c>
      <c r="P56" s="109">
        <f>EXP(-dividend_rate/12)*((BinomialModel!Q56-BinomialModel!Q58)/(Inputs!Stock*(up_factor-down_factor)))</f>
        <v>0.69168974854215215</v>
      </c>
      <c r="Q56" s="26">
        <f>P55*$B$7</f>
        <v>71.155833562309269</v>
      </c>
      <c r="R56" s="109">
        <f>EXP(-dividend_rate/12)*((BinomialModel!S56-BinomialModel!S58)/(Inputs!Stock*(up_factor-down_factor)))</f>
        <v>0.69168974854214937</v>
      </c>
      <c r="S56" s="26">
        <f>R55*$B$7</f>
        <v>71.155833562309255</v>
      </c>
      <c r="T56" s="109">
        <f>EXP(-dividend_rate/12)*((BinomialModel!U56-BinomialModel!U58)/(Inputs!Stock*(up_factor-down_factor)))</f>
        <v>0.69168974854215215</v>
      </c>
      <c r="U56" s="26">
        <f>T55*$B$7</f>
        <v>71.155833562309255</v>
      </c>
      <c r="V56" s="109">
        <f>EXP(-dividend_rate/12)*((BinomialModel!W56-BinomialModel!W58)/(Inputs!Stock*(up_factor-down_factor)))</f>
        <v>0.69168974854215215</v>
      </c>
      <c r="W56" s="26">
        <f>V55*$B$7</f>
        <v>71.155833562309255</v>
      </c>
      <c r="X56" s="109">
        <f>EXP(-dividend_rate/12)*((BinomialModel!Y56-BinomialModel!Y58)/(Inputs!Stock*(up_factor-down_factor)))</f>
        <v>0.69168974854215215</v>
      </c>
      <c r="Y56" s="26">
        <f>X55*$B$7</f>
        <v>71.155833562309255</v>
      </c>
      <c r="Z56" s="109">
        <f>EXP(-dividend_rate/12)*((BinomialModel!AA56-BinomialModel!AA58)/(Inputs!Stock*(up_factor-down_factor)))</f>
        <v>0.69168974854215215</v>
      </c>
      <c r="AA56" s="26">
        <f>Z55*$B$7</f>
        <v>71.155833562309255</v>
      </c>
      <c r="AB56" s="109">
        <f>EXP(-dividend_rate/12)*((BinomialModel!AC56-BinomialModel!AC58)/(Inputs!Stock*(up_factor-down_factor)))</f>
        <v>0.69168974854215215</v>
      </c>
      <c r="AC56" s="26">
        <f>AB55*$B$7</f>
        <v>71.155833562309255</v>
      </c>
      <c r="AD56" s="109">
        <f>EXP(-dividend_rate/12)*((BinomialModel!AE56-BinomialModel!AE58)/(Inputs!Stock*(up_factor-down_factor)))</f>
        <v>0.69168974854215215</v>
      </c>
      <c r="AE56" s="26">
        <f>AD55*$B$7</f>
        <v>71.155833562309255</v>
      </c>
      <c r="AF56" s="5"/>
      <c r="AG56" s="5"/>
      <c r="AH56" s="5"/>
      <c r="AI56" s="5"/>
      <c r="AJ56" s="5"/>
      <c r="AK56" s="5"/>
      <c r="AL56" s="5"/>
      <c r="AM56" s="5"/>
    </row>
    <row r="57" spans="1:39" s="134" customFormat="1" ht="18.75" customHeight="1">
      <c r="A57" s="25"/>
      <c r="B57" s="25"/>
      <c r="C57" s="25"/>
      <c r="D57" s="25"/>
      <c r="E57" s="25"/>
      <c r="F57" s="25"/>
      <c r="G57" s="25"/>
      <c r="H57" s="25"/>
      <c r="I57" s="25"/>
      <c r="J57" s="25"/>
      <c r="K57" s="25"/>
      <c r="L57" s="25"/>
      <c r="M57" s="136"/>
      <c r="N57" s="26">
        <f>M56*$B$7</f>
        <v>69.342113624637221</v>
      </c>
      <c r="O57" s="109">
        <f>EXP(-dividend_rate/12)*((BinomialModel!P57-BinomialModel!P59)/(Inputs!Stock*(up_factor-down_factor)))</f>
        <v>0.674058987650065</v>
      </c>
      <c r="P57" s="26">
        <f>O56*$B$7</f>
        <v>69.342113624637221</v>
      </c>
      <c r="Q57" s="109">
        <f>EXP(-dividend_rate/12)*((BinomialModel!R57-BinomialModel!R59)/(Inputs!Stock*(up_factor-down_factor)))</f>
        <v>0.674058987650065</v>
      </c>
      <c r="R57" s="26">
        <f>Q56*$B$7</f>
        <v>69.342113624637221</v>
      </c>
      <c r="S57" s="109">
        <f>EXP(-dividend_rate/12)*((BinomialModel!T57-BinomialModel!T59)/(Inputs!Stock*(up_factor-down_factor)))</f>
        <v>0.67405898765006222</v>
      </c>
      <c r="T57" s="26">
        <f>S56*$B$7</f>
        <v>69.342113624637207</v>
      </c>
      <c r="U57" s="109">
        <f>EXP(-dividend_rate/12)*((BinomialModel!V57-BinomialModel!V59)/(Inputs!Stock*(up_factor-down_factor)))</f>
        <v>0.674058987650065</v>
      </c>
      <c r="V57" s="26">
        <f>U56*$B$7</f>
        <v>69.342113624637207</v>
      </c>
      <c r="W57" s="109">
        <f>EXP(-dividend_rate/12)*((BinomialModel!X57-BinomialModel!X59)/(Inputs!Stock*(up_factor-down_factor)))</f>
        <v>0.674058987650065</v>
      </c>
      <c r="X57" s="26">
        <f>W56*$B$7</f>
        <v>69.342113624637207</v>
      </c>
      <c r="Y57" s="109">
        <f>EXP(-dividend_rate/12)*((BinomialModel!Z57-BinomialModel!Z59)/(Inputs!Stock*(up_factor-down_factor)))</f>
        <v>0.674058987650065</v>
      </c>
      <c r="Z57" s="26">
        <f>Y56*$B$7</f>
        <v>69.342113624637207</v>
      </c>
      <c r="AA57" s="109">
        <f>EXP(-dividend_rate/12)*((BinomialModel!AB57-BinomialModel!AB59)/(Inputs!Stock*(up_factor-down_factor)))</f>
        <v>0.674058987650065</v>
      </c>
      <c r="AB57" s="26">
        <f>AA56*$B$7</f>
        <v>69.342113624637207</v>
      </c>
      <c r="AC57" s="109">
        <f>EXP(-dividend_rate/12)*((BinomialModel!AD57-BinomialModel!AD59)/(Inputs!Stock*(up_factor-down_factor)))</f>
        <v>0.674058987650065</v>
      </c>
      <c r="AD57" s="26">
        <f>AC56*$B$7</f>
        <v>69.342113624637207</v>
      </c>
      <c r="AE57" s="26"/>
      <c r="AF57" s="5"/>
      <c r="AG57" s="5"/>
      <c r="AH57" s="5"/>
      <c r="AI57" s="5"/>
      <c r="AJ57" s="5"/>
      <c r="AK57" s="5"/>
      <c r="AL57" s="5"/>
      <c r="AM57" s="5"/>
    </row>
    <row r="58" spans="1:39" s="134" customFormat="1" ht="18.75" customHeight="1">
      <c r="A58" s="25"/>
      <c r="B58" s="25"/>
      <c r="C58" s="25"/>
      <c r="D58" s="25"/>
      <c r="E58" s="25"/>
      <c r="F58" s="25"/>
      <c r="G58" s="25"/>
      <c r="H58" s="25"/>
      <c r="I58" s="25"/>
      <c r="J58" s="25"/>
      <c r="K58" s="25"/>
      <c r="L58" s="25"/>
      <c r="M58" s="136"/>
      <c r="N58" s="56"/>
      <c r="O58" s="26">
        <f>N57*$B$7</f>
        <v>67.574624330998432</v>
      </c>
      <c r="P58" s="109">
        <f>EXP(-dividend_rate/12)*((BinomialModel!Q58-BinomialModel!Q60)/(Inputs!Stock*(up_factor-down_factor)))</f>
        <v>0.65687762438211184</v>
      </c>
      <c r="Q58" s="26">
        <f>P57*$B$7</f>
        <v>67.574624330998432</v>
      </c>
      <c r="R58" s="109">
        <f>EXP(-dividend_rate/12)*((BinomialModel!S58-BinomialModel!S60)/(Inputs!Stock*(up_factor-down_factor)))</f>
        <v>0.65687762438211184</v>
      </c>
      <c r="S58" s="26">
        <f>R57*$B$7</f>
        <v>67.574624330998432</v>
      </c>
      <c r="T58" s="109">
        <f>EXP(-dividend_rate/12)*((BinomialModel!U58-BinomialModel!U60)/(Inputs!Stock*(up_factor-down_factor)))</f>
        <v>0.65687762438210906</v>
      </c>
      <c r="U58" s="26">
        <f>T57*$B$7</f>
        <v>67.574624330998418</v>
      </c>
      <c r="V58" s="109">
        <f>EXP(-dividend_rate/12)*((BinomialModel!W58-BinomialModel!W60)/(Inputs!Stock*(up_factor-down_factor)))</f>
        <v>0.65687762438211184</v>
      </c>
      <c r="W58" s="26">
        <f>V57*$B$7</f>
        <v>67.574624330998418</v>
      </c>
      <c r="X58" s="109">
        <f>EXP(-dividend_rate/12)*((BinomialModel!Y58-BinomialModel!Y60)/(Inputs!Stock*(up_factor-down_factor)))</f>
        <v>0.65687762438211184</v>
      </c>
      <c r="Y58" s="26">
        <f>X57*$B$7</f>
        <v>67.574624330998418</v>
      </c>
      <c r="Z58" s="109">
        <f>EXP(-dividend_rate/12)*((BinomialModel!AA58-BinomialModel!AA60)/(Inputs!Stock*(up_factor-down_factor)))</f>
        <v>0.65687762438211184</v>
      </c>
      <c r="AA58" s="26">
        <f>Z57*$B$7</f>
        <v>67.574624330998418</v>
      </c>
      <c r="AB58" s="109">
        <f>EXP(-dividend_rate/12)*((BinomialModel!AC58-BinomialModel!AC60)/(Inputs!Stock*(up_factor-down_factor)))</f>
        <v>0.65687762438211184</v>
      </c>
      <c r="AC58" s="26">
        <f>AB57*$B$7</f>
        <v>67.574624330998418</v>
      </c>
      <c r="AD58" s="109">
        <f>EXP(-dividend_rate/12)*((BinomialModel!AE58-BinomialModel!AE60)/(Inputs!Stock*(up_factor-down_factor)))</f>
        <v>0.65687762438211184</v>
      </c>
      <c r="AE58" s="26">
        <f>AD57*$B$7</f>
        <v>67.574624330998418</v>
      </c>
      <c r="AF58" s="5"/>
      <c r="AG58" s="5"/>
      <c r="AH58" s="5"/>
      <c r="AI58" s="5"/>
      <c r="AJ58" s="5"/>
      <c r="AK58" s="5"/>
      <c r="AL58" s="5"/>
      <c r="AM58" s="5"/>
    </row>
    <row r="59" spans="1:39" s="134" customFormat="1" ht="18.75" customHeight="1">
      <c r="A59" s="25"/>
      <c r="B59" s="25"/>
      <c r="C59" s="25"/>
      <c r="D59" s="25"/>
      <c r="E59" s="25"/>
      <c r="F59" s="25"/>
      <c r="G59" s="25"/>
      <c r="H59" s="25"/>
      <c r="I59" s="25"/>
      <c r="J59" s="25"/>
      <c r="K59" s="25"/>
      <c r="L59" s="25"/>
      <c r="M59" s="136"/>
      <c r="N59" s="25"/>
      <c r="O59" s="25"/>
      <c r="P59" s="26">
        <f>O58*$B$7</f>
        <v>65.852187289733124</v>
      </c>
      <c r="Q59" s="109">
        <f>EXP(-dividend_rate/12)*((BinomialModel!R59-BinomialModel!R61)/(Inputs!Stock*(up_factor-down_factor)))</f>
        <v>0.6401342038597555</v>
      </c>
      <c r="R59" s="26">
        <f>Q58*$B$7</f>
        <v>65.852187289733124</v>
      </c>
      <c r="S59" s="109">
        <f>EXP(-dividend_rate/12)*((BinomialModel!T59-BinomialModel!T61)/(Inputs!Stock*(up_factor-down_factor)))</f>
        <v>0.6401342038597555</v>
      </c>
      <c r="T59" s="26">
        <f>S58*$B$7</f>
        <v>65.852187289733124</v>
      </c>
      <c r="U59" s="109">
        <f>EXP(-dividend_rate/12)*((BinomialModel!V59-BinomialModel!V61)/(Inputs!Stock*(up_factor-down_factor)))</f>
        <v>0.64013420385975284</v>
      </c>
      <c r="V59" s="26">
        <f>U58*$B$7</f>
        <v>65.852187289733109</v>
      </c>
      <c r="W59" s="109">
        <f>EXP(-dividend_rate/12)*((BinomialModel!X59-BinomialModel!X61)/(Inputs!Stock*(up_factor-down_factor)))</f>
        <v>0.6401342038597555</v>
      </c>
      <c r="X59" s="26">
        <f>W58*$B$7</f>
        <v>65.852187289733109</v>
      </c>
      <c r="Y59" s="109">
        <f>EXP(-dividend_rate/12)*((BinomialModel!Z59-BinomialModel!Z61)/(Inputs!Stock*(up_factor-down_factor)))</f>
        <v>0.6401342038597555</v>
      </c>
      <c r="Z59" s="26">
        <f>Y58*$B$7</f>
        <v>65.852187289733109</v>
      </c>
      <c r="AA59" s="109">
        <f>EXP(-dividend_rate/12)*((BinomialModel!AB59-BinomialModel!AB61)/(Inputs!Stock*(up_factor-down_factor)))</f>
        <v>0.6401342038597555</v>
      </c>
      <c r="AB59" s="26">
        <f>AA58*$B$7</f>
        <v>65.852187289733109</v>
      </c>
      <c r="AC59" s="109">
        <f>EXP(-dividend_rate/12)*((BinomialModel!AD59-BinomialModel!AD61)/(Inputs!Stock*(up_factor-down_factor)))</f>
        <v>0.6401342038597555</v>
      </c>
      <c r="AD59" s="26">
        <f>AC58*$B$7</f>
        <v>65.852187289733109</v>
      </c>
      <c r="AE59" s="26"/>
      <c r="AF59" s="5"/>
      <c r="AG59" s="5"/>
      <c r="AH59" s="5"/>
      <c r="AI59" s="5"/>
      <c r="AJ59" s="5"/>
      <c r="AK59" s="5"/>
      <c r="AL59" s="5"/>
      <c r="AM59" s="5"/>
    </row>
    <row r="60" spans="1:39" s="134" customFormat="1" ht="18.75" customHeight="1">
      <c r="A60" s="25"/>
      <c r="B60" s="25"/>
      <c r="C60" s="25"/>
      <c r="D60" s="25"/>
      <c r="E60" s="25"/>
      <c r="F60" s="25"/>
      <c r="G60" s="25"/>
      <c r="H60" s="25"/>
      <c r="I60" s="25"/>
      <c r="J60" s="25"/>
      <c r="K60" s="25"/>
      <c r="L60" s="25"/>
      <c r="M60" s="136"/>
      <c r="N60" s="25"/>
      <c r="O60" s="25"/>
      <c r="P60" s="5"/>
      <c r="Q60" s="26">
        <f>P59*$B$7</f>
        <v>64.173654145685077</v>
      </c>
      <c r="R60" s="109">
        <f>EXP(-dividend_rate/12)*((BinomialModel!S60-BinomialModel!S62)/(Inputs!Stock*(up_factor-down_factor)))</f>
        <v>0.62381756318250836</v>
      </c>
      <c r="S60" s="26">
        <f>R59*$B$7</f>
        <v>64.173654145685077</v>
      </c>
      <c r="T60" s="109">
        <f>EXP(-dividend_rate/12)*((BinomialModel!U60-BinomialModel!U62)/(Inputs!Stock*(up_factor-down_factor)))</f>
        <v>0.62381756318250836</v>
      </c>
      <c r="U60" s="26">
        <f>T59*$B$7</f>
        <v>64.173654145685077</v>
      </c>
      <c r="V60" s="109">
        <f>EXP(-dividend_rate/12)*((BinomialModel!W60-BinomialModel!W62)/(Inputs!Stock*(up_factor-down_factor)))</f>
        <v>0.6238175631825057</v>
      </c>
      <c r="W60" s="26">
        <f>V59*$B$7</f>
        <v>64.173654145685063</v>
      </c>
      <c r="X60" s="109">
        <f>EXP(-dividend_rate/12)*((BinomialModel!Y60-BinomialModel!Y62)/(Inputs!Stock*(up_factor-down_factor)))</f>
        <v>0.62381756318250836</v>
      </c>
      <c r="Y60" s="26">
        <f>X59*$B$7</f>
        <v>64.173654145685063</v>
      </c>
      <c r="Z60" s="109">
        <f>EXP(-dividend_rate/12)*((BinomialModel!AA60-BinomialModel!AA62)/(Inputs!Stock*(up_factor-down_factor)))</f>
        <v>0.62381756318250836</v>
      </c>
      <c r="AA60" s="26">
        <f>Z59*$B$7</f>
        <v>64.173654145685063</v>
      </c>
      <c r="AB60" s="109">
        <f>EXP(-dividend_rate/12)*((BinomialModel!AC60-BinomialModel!AC62)/(Inputs!Stock*(up_factor-down_factor)))</f>
        <v>0.62381756318250836</v>
      </c>
      <c r="AC60" s="26">
        <f>AB59*$B$7</f>
        <v>64.173654145685063</v>
      </c>
      <c r="AD60" s="109">
        <f>EXP(-dividend_rate/12)*((BinomialModel!AE60-BinomialModel!AE62)/(Inputs!Stock*(up_factor-down_factor)))</f>
        <v>0.62381756318250836</v>
      </c>
      <c r="AE60" s="26">
        <f>AD59*$B$7</f>
        <v>64.173654145685063</v>
      </c>
      <c r="AF60" s="5"/>
      <c r="AG60" s="5"/>
      <c r="AH60" s="5"/>
      <c r="AI60" s="5"/>
      <c r="AJ60" s="5"/>
      <c r="AK60" s="5"/>
      <c r="AL60" s="5"/>
      <c r="AM60" s="5"/>
    </row>
    <row r="61" spans="1:39" s="134" customFormat="1" ht="18.75" customHeight="1">
      <c r="A61" s="25"/>
      <c r="B61" s="25"/>
      <c r="C61" s="25"/>
      <c r="D61" s="25"/>
      <c r="E61" s="25"/>
      <c r="F61" s="25"/>
      <c r="G61" s="25"/>
      <c r="H61" s="25"/>
      <c r="I61" s="25"/>
      <c r="J61" s="25"/>
      <c r="K61" s="25"/>
      <c r="L61" s="25"/>
      <c r="M61" s="136"/>
      <c r="N61" s="25"/>
      <c r="O61" s="25"/>
      <c r="P61" s="56"/>
      <c r="Q61" s="56"/>
      <c r="R61" s="26">
        <f>Q60*$B$7</f>
        <v>62.537905814588974</v>
      </c>
      <c r="S61" s="109">
        <f>EXP(-dividend_rate/12)*((BinomialModel!T61-BinomialModel!T63)/(Inputs!Stock*(up_factor-down_factor)))</f>
        <v>0.60791682398558256</v>
      </c>
      <c r="T61" s="26">
        <f>S60*$B$7</f>
        <v>62.537905814588974</v>
      </c>
      <c r="U61" s="109">
        <f>EXP(-dividend_rate/12)*((BinomialModel!V61-BinomialModel!V63)/(Inputs!Stock*(up_factor-down_factor)))</f>
        <v>0.60791682398558256</v>
      </c>
      <c r="V61" s="26">
        <f>U60*$B$7</f>
        <v>62.537905814588974</v>
      </c>
      <c r="W61" s="109">
        <f>EXP(-dividend_rate/12)*((BinomialModel!X61-BinomialModel!X63)/(Inputs!Stock*(up_factor-down_factor)))</f>
        <v>0.60791682398557989</v>
      </c>
      <c r="X61" s="26">
        <f>W60*$B$7</f>
        <v>62.53790581458896</v>
      </c>
      <c r="Y61" s="109">
        <f>EXP(-dividend_rate/12)*((BinomialModel!Z61-BinomialModel!Z63)/(Inputs!Stock*(up_factor-down_factor)))</f>
        <v>0.60791682398558256</v>
      </c>
      <c r="Z61" s="26">
        <f>Y60*$B$7</f>
        <v>62.53790581458896</v>
      </c>
      <c r="AA61" s="109">
        <f>EXP(-dividend_rate/12)*((BinomialModel!AB61-BinomialModel!AB63)/(Inputs!Stock*(up_factor-down_factor)))</f>
        <v>0.60791682398558256</v>
      </c>
      <c r="AB61" s="26">
        <f>AA60*$B$7</f>
        <v>62.53790581458896</v>
      </c>
      <c r="AC61" s="109">
        <f>EXP(-dividend_rate/12)*((BinomialModel!AD61-BinomialModel!AD63)/(Inputs!Stock*(up_factor-down_factor)))</f>
        <v>0.60791682398558256</v>
      </c>
      <c r="AD61" s="26">
        <f>AC60*$B$7</f>
        <v>62.53790581458896</v>
      </c>
      <c r="AE61" s="26"/>
      <c r="AF61" s="5"/>
      <c r="AG61" s="5"/>
      <c r="AH61" s="5"/>
      <c r="AI61" s="5"/>
      <c r="AJ61" s="5"/>
      <c r="AK61" s="5"/>
      <c r="AL61" s="5"/>
      <c r="AM61" s="5"/>
    </row>
    <row r="62" spans="1:39" s="134" customFormat="1" ht="18.75" customHeight="1">
      <c r="A62" s="25"/>
      <c r="B62" s="25"/>
      <c r="C62" s="25"/>
      <c r="D62" s="25"/>
      <c r="E62" s="25"/>
      <c r="F62" s="25"/>
      <c r="G62" s="25"/>
      <c r="H62" s="25"/>
      <c r="I62" s="25"/>
      <c r="J62" s="25"/>
      <c r="K62" s="25"/>
      <c r="L62" s="25"/>
      <c r="M62" s="136"/>
      <c r="N62" s="25"/>
      <c r="O62" s="25"/>
      <c r="P62" s="5"/>
      <c r="Q62" s="5"/>
      <c r="R62" s="56"/>
      <c r="S62" s="26">
        <f>R61*$B$7</f>
        <v>60.943851736972803</v>
      </c>
      <c r="T62" s="109">
        <f>EXP(-dividend_rate/12)*((BinomialModel!U62-BinomialModel!U64)/(Inputs!Stock*(up_factor-down_factor)))</f>
        <v>0.59242138518725218</v>
      </c>
      <c r="U62" s="26">
        <f>T61*$B$7</f>
        <v>60.943851736972803</v>
      </c>
      <c r="V62" s="109">
        <f>EXP(-dividend_rate/12)*((BinomialModel!W62-BinomialModel!W64)/(Inputs!Stock*(up_factor-down_factor)))</f>
        <v>0.59242138518725218</v>
      </c>
      <c r="W62" s="26">
        <f>V61*$B$7</f>
        <v>60.943851736972803</v>
      </c>
      <c r="X62" s="109">
        <f>EXP(-dividend_rate/12)*((BinomialModel!Y62-BinomialModel!Y64)/(Inputs!Stock*(up_factor-down_factor)))</f>
        <v>0.59242138518724941</v>
      </c>
      <c r="Y62" s="26">
        <f>X61*$B$7</f>
        <v>60.943851736972789</v>
      </c>
      <c r="Z62" s="109">
        <f>EXP(-dividend_rate/12)*((BinomialModel!AA62-BinomialModel!AA64)/(Inputs!Stock*(up_factor-down_factor)))</f>
        <v>0.59242138518725218</v>
      </c>
      <c r="AA62" s="26">
        <f>Z61*$B$7</f>
        <v>60.943851736972789</v>
      </c>
      <c r="AB62" s="109">
        <f>EXP(-dividend_rate/12)*((BinomialModel!AC62-BinomialModel!AC64)/(Inputs!Stock*(up_factor-down_factor)))</f>
        <v>0.59242138518725218</v>
      </c>
      <c r="AC62" s="26">
        <f>AB61*$B$7</f>
        <v>60.943851736972789</v>
      </c>
      <c r="AD62" s="109">
        <f>EXP(-dividend_rate/12)*((BinomialModel!AE62-BinomialModel!AE64)/(Inputs!Stock*(up_factor-down_factor)))</f>
        <v>0.59242138518725218</v>
      </c>
      <c r="AE62" s="26">
        <f>AD61*$B$7</f>
        <v>60.943851736972789</v>
      </c>
      <c r="AF62" s="5"/>
      <c r="AG62" s="5"/>
      <c r="AH62" s="5"/>
      <c r="AI62" s="5"/>
      <c r="AJ62" s="5"/>
      <c r="AK62" s="5"/>
      <c r="AL62" s="5"/>
      <c r="AM62" s="5"/>
    </row>
    <row r="63" spans="1:39" s="134" customFormat="1" ht="18.75" customHeight="1">
      <c r="A63" s="25"/>
      <c r="B63" s="25"/>
      <c r="C63" s="25"/>
      <c r="D63" s="25"/>
      <c r="E63" s="25"/>
      <c r="F63" s="25"/>
      <c r="G63" s="25"/>
      <c r="H63" s="25"/>
      <c r="I63" s="25"/>
      <c r="J63" s="25"/>
      <c r="K63" s="25"/>
      <c r="L63" s="25"/>
      <c r="M63" s="136"/>
      <c r="N63" s="25"/>
      <c r="O63" s="25"/>
      <c r="P63" s="5"/>
      <c r="Q63" s="5"/>
      <c r="R63" s="56"/>
      <c r="S63" s="56"/>
      <c r="T63" s="26">
        <f>S62*$B$7</f>
        <v>59.390429151077804</v>
      </c>
      <c r="U63" s="109">
        <f>EXP(-dividend_rate/12)*((BinomialModel!V63-BinomialModel!V65)/(Inputs!Stock*(up_factor-down_factor)))</f>
        <v>0.57732091592106782</v>
      </c>
      <c r="V63" s="26">
        <f>U62*$B$7</f>
        <v>59.390429151077804</v>
      </c>
      <c r="W63" s="109">
        <f>EXP(-dividend_rate/12)*((BinomialModel!X63-BinomialModel!X65)/(Inputs!Stock*(up_factor-down_factor)))</f>
        <v>0.57732091592106782</v>
      </c>
      <c r="X63" s="26">
        <f>W62*$B$7</f>
        <v>59.390429151077804</v>
      </c>
      <c r="Y63" s="109">
        <f>EXP(-dividend_rate/12)*((BinomialModel!Z63-BinomialModel!Z65)/(Inputs!Stock*(up_factor-down_factor)))</f>
        <v>0.57732091592106505</v>
      </c>
      <c r="Z63" s="26">
        <f>Y62*$B$7</f>
        <v>59.39042915107779</v>
      </c>
      <c r="AA63" s="109">
        <f>EXP(-dividend_rate/12)*((BinomialModel!AB63-BinomialModel!AB65)/(Inputs!Stock*(up_factor-down_factor)))</f>
        <v>0.57732091592106782</v>
      </c>
      <c r="AB63" s="26">
        <f>AA62*$B$7</f>
        <v>59.39042915107779</v>
      </c>
      <c r="AC63" s="109">
        <f>EXP(-dividend_rate/12)*((BinomialModel!AD63-BinomialModel!AD65)/(Inputs!Stock*(up_factor-down_factor)))</f>
        <v>0.57732091592106782</v>
      </c>
      <c r="AD63" s="26">
        <f>AC62*$B$7</f>
        <v>59.39042915107779</v>
      </c>
      <c r="AE63" s="26"/>
      <c r="AF63" s="5"/>
      <c r="AG63" s="5"/>
      <c r="AH63" s="5"/>
      <c r="AI63" s="5"/>
      <c r="AJ63" s="5"/>
      <c r="AK63" s="5"/>
      <c r="AL63" s="5"/>
      <c r="AM63" s="5"/>
    </row>
    <row r="64" spans="1:39" s="134" customFormat="1" ht="18.75" customHeight="1">
      <c r="A64" s="25"/>
      <c r="B64" s="25"/>
      <c r="C64" s="25"/>
      <c r="D64" s="25"/>
      <c r="E64" s="25"/>
      <c r="F64" s="25"/>
      <c r="G64" s="25"/>
      <c r="H64" s="25"/>
      <c r="I64" s="25"/>
      <c r="J64" s="25"/>
      <c r="K64" s="25"/>
      <c r="L64" s="25"/>
      <c r="M64" s="136"/>
      <c r="N64" s="25"/>
      <c r="O64" s="25"/>
      <c r="P64" s="5"/>
      <c r="Q64" s="5"/>
      <c r="R64" s="5"/>
      <c r="S64" s="5"/>
      <c r="T64" s="56"/>
      <c r="U64" s="26">
        <f>T63*$B$7</f>
        <v>57.876602384311262</v>
      </c>
      <c r="V64" s="109">
        <f>EXP(-dividend_rate/12)*((BinomialModel!W64-BinomialModel!W66)/(Inputs!Stock*(up_factor-down_factor)))</f>
        <v>0.56260534864822875</v>
      </c>
      <c r="W64" s="26">
        <f>V63*$B$7</f>
        <v>57.876602384311262</v>
      </c>
      <c r="X64" s="109">
        <f>EXP(-dividend_rate/12)*((BinomialModel!Y64-BinomialModel!Y66)/(Inputs!Stock*(up_factor-down_factor)))</f>
        <v>0.56260534864822875</v>
      </c>
      <c r="Y64" s="26">
        <f>X63*$B$7</f>
        <v>57.876602384311262</v>
      </c>
      <c r="Z64" s="109">
        <f>EXP(-dividend_rate/12)*((BinomialModel!AA64-BinomialModel!AA66)/(Inputs!Stock*(up_factor-down_factor)))</f>
        <v>0.56260534864822598</v>
      </c>
      <c r="AA64" s="26">
        <f>Z63*$B$7</f>
        <v>57.876602384311248</v>
      </c>
      <c r="AB64" s="109">
        <f>EXP(-dividend_rate/12)*((BinomialModel!AC64-BinomialModel!AC66)/(Inputs!Stock*(up_factor-down_factor)))</f>
        <v>0.56260534864822875</v>
      </c>
      <c r="AC64" s="26">
        <f>AB63*$B$7</f>
        <v>57.876602384311248</v>
      </c>
      <c r="AD64" s="109">
        <f>EXP(-dividend_rate/12)*((BinomialModel!AE64-BinomialModel!AE66)/(Inputs!Stock*(up_factor-down_factor)))</f>
        <v>0.56260534864822875</v>
      </c>
      <c r="AE64" s="26">
        <f>AD63*$B$7</f>
        <v>57.876602384311248</v>
      </c>
      <c r="AF64" s="5"/>
      <c r="AG64" s="5"/>
      <c r="AH64" s="5"/>
      <c r="AI64" s="5"/>
      <c r="AJ64" s="5"/>
      <c r="AK64" s="5"/>
      <c r="AL64" s="5"/>
      <c r="AM64" s="5"/>
    </row>
    <row r="65" spans="1:40" s="134" customFormat="1" ht="18.75" customHeight="1">
      <c r="A65" s="25"/>
      <c r="B65" s="25"/>
      <c r="C65" s="25"/>
      <c r="D65" s="25"/>
      <c r="E65" s="25"/>
      <c r="F65" s="25"/>
      <c r="G65" s="25"/>
      <c r="H65" s="25"/>
      <c r="I65" s="25"/>
      <c r="J65" s="25"/>
      <c r="K65" s="25"/>
      <c r="L65" s="25"/>
      <c r="M65" s="136"/>
      <c r="N65" s="25"/>
      <c r="O65" s="25"/>
      <c r="P65" s="5"/>
      <c r="Q65" s="5"/>
      <c r="R65" s="5"/>
      <c r="S65" s="56"/>
      <c r="T65" s="56"/>
      <c r="U65" s="56"/>
      <c r="V65" s="26">
        <f>U64*$B$7</f>
        <v>56.40136216275976</v>
      </c>
      <c r="W65" s="109">
        <f>EXP(-dividend_rate/12)*((BinomialModel!X65-BinomialModel!X67)/(Inputs!Stock*(up_factor-down_factor)))</f>
        <v>0.54826487244551925</v>
      </c>
      <c r="X65" s="26">
        <f>W64*$B$7</f>
        <v>56.40136216275976</v>
      </c>
      <c r="Y65" s="109">
        <f>EXP(-dividend_rate/12)*((BinomialModel!Z65-BinomialModel!Z67)/(Inputs!Stock*(up_factor-down_factor)))</f>
        <v>0.54826487244551925</v>
      </c>
      <c r="Z65" s="26">
        <f>Y64*$B$7</f>
        <v>56.40136216275976</v>
      </c>
      <c r="AA65" s="109">
        <f>EXP(-dividend_rate/12)*((BinomialModel!AB65-BinomialModel!AB67)/(Inputs!Stock*(up_factor-down_factor)))</f>
        <v>0.54826487244551647</v>
      </c>
      <c r="AB65" s="26">
        <f>AA64*$B$7</f>
        <v>56.401362162759746</v>
      </c>
      <c r="AC65" s="109">
        <f>EXP(-dividend_rate/12)*((BinomialModel!AD65-BinomialModel!AD67)/(Inputs!Stock*(up_factor-down_factor)))</f>
        <v>0.54826487244551925</v>
      </c>
      <c r="AD65" s="26">
        <f>AC64*$B$7</f>
        <v>56.401362162759746</v>
      </c>
      <c r="AE65" s="26"/>
      <c r="AF65" s="5"/>
      <c r="AG65" s="5"/>
      <c r="AH65" s="5"/>
      <c r="AI65" s="5"/>
      <c r="AJ65" s="5"/>
      <c r="AK65" s="5"/>
      <c r="AL65" s="5"/>
      <c r="AM65" s="5"/>
    </row>
    <row r="66" spans="1:40" s="134" customFormat="1" ht="18.75" customHeight="1">
      <c r="A66" s="25"/>
      <c r="B66" s="25"/>
      <c r="C66" s="25"/>
      <c r="D66" s="25"/>
      <c r="E66" s="25"/>
      <c r="F66" s="25"/>
      <c r="G66" s="25"/>
      <c r="H66" s="25"/>
      <c r="I66" s="25"/>
      <c r="J66" s="25"/>
      <c r="K66" s="25"/>
      <c r="L66" s="25"/>
      <c r="M66" s="136"/>
      <c r="N66" s="25"/>
      <c r="O66" s="25"/>
      <c r="P66" s="5"/>
      <c r="Q66" s="5"/>
      <c r="R66" s="5"/>
      <c r="S66" s="5"/>
      <c r="T66" s="56"/>
      <c r="U66" s="56"/>
      <c r="V66" s="56"/>
      <c r="W66" s="26">
        <f>V65*$B$7</f>
        <v>54.963724938302526</v>
      </c>
      <c r="X66" s="109">
        <f>EXP(-dividend_rate/12)*((BinomialModel!Y66-BinomialModel!Y68)/(Inputs!Stock*(up_factor-down_factor)))</f>
        <v>0.53428992646433127</v>
      </c>
      <c r="Y66" s="26">
        <f>X65*$B$7</f>
        <v>54.963724938302526</v>
      </c>
      <c r="Z66" s="109">
        <f>EXP(-dividend_rate/12)*((BinomialModel!AA66-BinomialModel!AA68)/(Inputs!Stock*(up_factor-down_factor)))</f>
        <v>0.53428992646433127</v>
      </c>
      <c r="AA66" s="26">
        <f>Z65*$B$7</f>
        <v>54.963724938302526</v>
      </c>
      <c r="AB66" s="109">
        <f>EXP(-dividend_rate/12)*((BinomialModel!AC66-BinomialModel!AC68)/(Inputs!Stock*(up_factor-down_factor)))</f>
        <v>0.53428992646432849</v>
      </c>
      <c r="AC66" s="26">
        <f>AB65*$B$7</f>
        <v>54.963724938302512</v>
      </c>
      <c r="AD66" s="109">
        <f>EXP(-dividend_rate/12)*((BinomialModel!AE66-BinomialModel!AE68)/(Inputs!Stock*(up_factor-down_factor)))</f>
        <v>0.53428992646433127</v>
      </c>
      <c r="AE66" s="26">
        <f>AD65*$B$7</f>
        <v>54.963724938302512</v>
      </c>
      <c r="AF66" s="5"/>
      <c r="AG66" s="5"/>
      <c r="AH66" s="5"/>
      <c r="AI66" s="5"/>
      <c r="AJ66" s="5"/>
      <c r="AK66" s="5"/>
      <c r="AL66" s="5"/>
      <c r="AM66" s="5"/>
    </row>
    <row r="67" spans="1:40" s="134" customFormat="1" ht="18.75" customHeight="1">
      <c r="A67" s="25"/>
      <c r="B67" s="25"/>
      <c r="C67" s="25"/>
      <c r="D67" s="25"/>
      <c r="E67" s="25"/>
      <c r="F67" s="25"/>
      <c r="G67" s="25"/>
      <c r="H67" s="25"/>
      <c r="I67" s="25"/>
      <c r="J67" s="25"/>
      <c r="K67" s="25"/>
      <c r="L67" s="25"/>
      <c r="M67" s="136"/>
      <c r="N67" s="25"/>
      <c r="O67" s="25"/>
      <c r="P67" s="5"/>
      <c r="Q67" s="5"/>
      <c r="R67" s="5"/>
      <c r="S67" s="5"/>
      <c r="T67" s="56"/>
      <c r="U67" s="56"/>
      <c r="V67" s="56"/>
      <c r="W67" s="56"/>
      <c r="X67" s="26">
        <f>W66*$B$7</f>
        <v>53.56273223287625</v>
      </c>
      <c r="Y67" s="109">
        <f>EXP(-dividend_rate/12)*((BinomialModel!Z67-BinomialModel!Z69)/(Inputs!Stock*(up_factor-down_factor)))</f>
        <v>0.52067119355640856</v>
      </c>
      <c r="Z67" s="26">
        <f>Y66*$B$7</f>
        <v>53.56273223287625</v>
      </c>
      <c r="AA67" s="109">
        <f>EXP(-dividend_rate/12)*((BinomialModel!AB67-BinomialModel!AB69)/(Inputs!Stock*(up_factor-down_factor)))</f>
        <v>0.52067119355640856</v>
      </c>
      <c r="AB67" s="26">
        <f>AA66*$B$7</f>
        <v>53.56273223287625</v>
      </c>
      <c r="AC67" s="109">
        <f>EXP(-dividend_rate/12)*((BinomialModel!AD67-BinomialModel!AD69)/(Inputs!Stock*(up_factor-down_factor)))</f>
        <v>0.52067119355640579</v>
      </c>
      <c r="AD67" s="26">
        <f>AC66*$B$7</f>
        <v>53.562732232876236</v>
      </c>
      <c r="AE67" s="26"/>
      <c r="AF67" s="5"/>
      <c r="AG67" s="5"/>
      <c r="AH67" s="5"/>
      <c r="AI67" s="5"/>
      <c r="AJ67" s="5"/>
      <c r="AK67" s="5"/>
      <c r="AL67" s="5"/>
      <c r="AM67" s="5"/>
    </row>
    <row r="68" spans="1:40" s="134" customFormat="1" ht="18.75" customHeight="1">
      <c r="A68" s="25"/>
      <c r="B68" s="25"/>
      <c r="C68" s="25"/>
      <c r="D68" s="25"/>
      <c r="E68" s="25"/>
      <c r="F68" s="25"/>
      <c r="G68" s="25"/>
      <c r="H68" s="25"/>
      <c r="I68" s="25"/>
      <c r="J68" s="25"/>
      <c r="K68" s="25"/>
      <c r="L68" s="25"/>
      <c r="M68" s="136"/>
      <c r="N68" s="25"/>
      <c r="O68" s="25"/>
      <c r="P68" s="5"/>
      <c r="Q68" s="5"/>
      <c r="R68" s="5"/>
      <c r="S68" s="5"/>
      <c r="T68" s="56"/>
      <c r="U68" s="56"/>
      <c r="V68" s="56"/>
      <c r="W68" s="56"/>
      <c r="X68" s="56"/>
      <c r="Y68" s="26">
        <f>X67*$B$7</f>
        <v>52.197449999454207</v>
      </c>
      <c r="Z68" s="109">
        <f>EXP(-dividend_rate/12)*((BinomialModel!AA68-BinomialModel!AA70)/(Inputs!Stock*(up_factor-down_factor)))</f>
        <v>0.50739959406207069</v>
      </c>
      <c r="AA68" s="26">
        <f>Z67*$B$7</f>
        <v>52.197449999454207</v>
      </c>
      <c r="AB68" s="109">
        <f>EXP(-dividend_rate/12)*((BinomialModel!AC68-BinomialModel!AC70)/(Inputs!Stock*(up_factor-down_factor)))</f>
        <v>0.50739959406207069</v>
      </c>
      <c r="AC68" s="26">
        <f>AB67*$B$7</f>
        <v>52.197449999454207</v>
      </c>
      <c r="AD68" s="109">
        <f>EXP(-dividend_rate/12)*((BinomialModel!AE68-BinomialModel!AE70)/(Inputs!Stock*(up_factor-down_factor)))</f>
        <v>0.50739959406206792</v>
      </c>
      <c r="AE68" s="26">
        <f>AD67*$B$7</f>
        <v>52.197449999454193</v>
      </c>
      <c r="AF68" s="5"/>
      <c r="AG68" s="5"/>
      <c r="AH68" s="5"/>
      <c r="AI68" s="5"/>
      <c r="AJ68" s="5"/>
      <c r="AK68" s="5"/>
      <c r="AL68" s="5"/>
      <c r="AM68" s="5"/>
    </row>
    <row r="69" spans="1:40" s="134" customFormat="1" ht="18.75" customHeight="1">
      <c r="A69" s="25"/>
      <c r="B69" s="25"/>
      <c r="C69" s="25"/>
      <c r="D69" s="25"/>
      <c r="E69" s="25"/>
      <c r="F69" s="25"/>
      <c r="G69" s="25"/>
      <c r="H69" s="25"/>
      <c r="I69" s="25"/>
      <c r="J69" s="25"/>
      <c r="K69" s="25"/>
      <c r="L69" s="25"/>
      <c r="M69" s="136"/>
      <c r="N69" s="25"/>
      <c r="O69" s="25"/>
      <c r="P69" s="5"/>
      <c r="Q69" s="5"/>
      <c r="R69" s="5"/>
      <c r="S69" s="5"/>
      <c r="T69" s="5"/>
      <c r="U69" s="5"/>
      <c r="V69" s="5"/>
      <c r="W69" s="5"/>
      <c r="X69" s="5"/>
      <c r="Y69" s="5"/>
      <c r="Z69" s="26">
        <f>Y68*$B$7</f>
        <v>50.866967999313651</v>
      </c>
      <c r="AA69" s="109">
        <f>EXP(-dividend_rate/12)*((BinomialModel!AB69-BinomialModel!AB71)/(Inputs!Stock*(up_factor-down_factor)))</f>
        <v>0.49446627975676977</v>
      </c>
      <c r="AB69" s="26">
        <f>AA68*$B$7</f>
        <v>50.866967999313651</v>
      </c>
      <c r="AC69" s="109">
        <f>EXP(-dividend_rate/12)*((BinomialModel!AD69-BinomialModel!AD71)/(Inputs!Stock*(up_factor-down_factor)))</f>
        <v>0.49446627975676977</v>
      </c>
      <c r="AD69" s="26">
        <f>AC68*$B$7</f>
        <v>50.866967999313651</v>
      </c>
      <c r="AE69" s="26"/>
      <c r="AF69" s="5"/>
      <c r="AG69" s="5"/>
      <c r="AH69" s="5"/>
      <c r="AI69" s="5"/>
      <c r="AJ69" s="5"/>
      <c r="AK69" s="5"/>
      <c r="AL69" s="5"/>
      <c r="AM69" s="5"/>
    </row>
    <row r="70" spans="1:40" s="134" customFormat="1" ht="18.75" customHeight="1">
      <c r="A70" s="25"/>
      <c r="B70" s="25"/>
      <c r="C70" s="25"/>
      <c r="D70" s="25"/>
      <c r="E70" s="25"/>
      <c r="F70" s="25"/>
      <c r="G70" s="25"/>
      <c r="H70" s="25"/>
      <c r="I70" s="25"/>
      <c r="J70" s="25"/>
      <c r="K70" s="25"/>
      <c r="L70" s="25"/>
      <c r="M70" s="136"/>
      <c r="N70" s="25"/>
      <c r="O70" s="25"/>
      <c r="P70" s="5"/>
      <c r="Q70" s="5"/>
      <c r="R70" s="5"/>
      <c r="S70" s="5"/>
      <c r="T70" s="5"/>
      <c r="U70" s="5"/>
      <c r="V70" s="5"/>
      <c r="W70" s="5"/>
      <c r="X70" s="5"/>
      <c r="Y70" s="5"/>
      <c r="Z70" s="56"/>
      <c r="AA70" s="26">
        <f>Z69*$B$7</f>
        <v>49.570399195176279</v>
      </c>
      <c r="AB70" s="109">
        <f>EXP(-dividend_rate/12)*((BinomialModel!AC70-BinomialModel!AC72)/(Inputs!Stock*(up_factor-down_factor)))</f>
        <v>0.48186262795194484</v>
      </c>
      <c r="AC70" s="26">
        <f>AB69*$B$7</f>
        <v>49.570399195176279</v>
      </c>
      <c r="AD70" s="109">
        <f>EXP(-dividend_rate/12)*((BinomialModel!AE70-BinomialModel!AE72)/(Inputs!Stock*(up_factor-down_factor)))</f>
        <v>0.48186262795194484</v>
      </c>
      <c r="AE70" s="26">
        <f>AD69*$B$7</f>
        <v>49.570399195176279</v>
      </c>
      <c r="AF70" s="5"/>
      <c r="AG70" s="5"/>
      <c r="AH70" s="5"/>
      <c r="AI70" s="5"/>
      <c r="AJ70" s="5"/>
      <c r="AK70" s="5"/>
      <c r="AL70" s="5"/>
      <c r="AM70" s="5"/>
    </row>
    <row r="71" spans="1:40" s="134" customFormat="1" ht="18.75" customHeight="1">
      <c r="A71" s="25"/>
      <c r="B71" s="25"/>
      <c r="C71" s="25"/>
      <c r="D71" s="25"/>
      <c r="E71" s="25"/>
      <c r="F71" s="25"/>
      <c r="G71" s="25"/>
      <c r="H71" s="25"/>
      <c r="I71" s="25"/>
      <c r="J71" s="25"/>
      <c r="K71" s="25"/>
      <c r="L71" s="25"/>
      <c r="M71" s="136"/>
      <c r="N71" s="25"/>
      <c r="O71" s="25"/>
      <c r="P71" s="5"/>
      <c r="Q71" s="5"/>
      <c r="R71" s="5"/>
      <c r="S71" s="5"/>
      <c r="T71" s="5"/>
      <c r="U71" s="5"/>
      <c r="V71" s="5"/>
      <c r="W71" s="5"/>
      <c r="X71" s="5"/>
      <c r="Y71" s="5"/>
      <c r="Z71" s="56"/>
      <c r="AA71" s="56"/>
      <c r="AB71" s="26">
        <f>AA70*$B$7</f>
        <v>48.3068791598172</v>
      </c>
      <c r="AC71" s="109">
        <f>EXP(-dividend_rate/12)*((BinomialModel!AD71-BinomialModel!AD73)/(Inputs!Stock*(up_factor-down_factor)))</f>
        <v>0.46958023574624924</v>
      </c>
      <c r="AD71" s="26">
        <f>AC70*$B$7</f>
        <v>48.3068791598172</v>
      </c>
      <c r="AE71" s="26"/>
      <c r="AF71" s="5"/>
      <c r="AG71" s="5"/>
      <c r="AH71" s="5"/>
      <c r="AI71" s="5"/>
      <c r="AJ71" s="5"/>
      <c r="AK71" s="5"/>
      <c r="AL71" s="5"/>
      <c r="AM71" s="5"/>
    </row>
    <row r="72" spans="1:40" s="134" customFormat="1" ht="18.75" customHeight="1">
      <c r="A72" s="25"/>
      <c r="B72" s="25"/>
      <c r="C72" s="25"/>
      <c r="D72" s="25"/>
      <c r="E72" s="25"/>
      <c r="F72" s="25"/>
      <c r="G72" s="25"/>
      <c r="H72" s="25"/>
      <c r="I72" s="25"/>
      <c r="J72" s="25"/>
      <c r="K72" s="25"/>
      <c r="L72" s="25"/>
      <c r="M72" s="136"/>
      <c r="N72" s="25"/>
      <c r="O72" s="25"/>
      <c r="P72" s="5"/>
      <c r="Q72" s="5"/>
      <c r="R72" s="5"/>
      <c r="S72" s="5"/>
      <c r="T72" s="5"/>
      <c r="U72" s="5"/>
      <c r="V72" s="5"/>
      <c r="W72" s="5"/>
      <c r="X72" s="5"/>
      <c r="Y72" s="5"/>
      <c r="Z72" s="56"/>
      <c r="AA72" s="56"/>
      <c r="AB72" s="56"/>
      <c r="AC72" s="26">
        <f>AB71*$B$7</f>
        <v>47.075565499748102</v>
      </c>
      <c r="AD72" s="109">
        <f>EXP(-dividend_rate/12)*((BinomialModel!AE72-BinomialModel!AE74)/(Inputs!Stock*(up_factor-down_factor)))</f>
        <v>0.45761091442329893</v>
      </c>
      <c r="AE72" s="26">
        <f>AD71*$B$7</f>
        <v>47.075565499748102</v>
      </c>
      <c r="AF72" s="5"/>
      <c r="AG72" s="5"/>
      <c r="AH72" s="5"/>
      <c r="AI72" s="5"/>
      <c r="AJ72" s="5"/>
      <c r="AK72" s="5"/>
      <c r="AL72" s="5"/>
      <c r="AM72" s="5"/>
    </row>
    <row r="73" spans="1:40" s="134" customFormat="1" ht="18.75" customHeight="1">
      <c r="A73" s="25"/>
      <c r="B73" s="25"/>
      <c r="C73" s="25"/>
      <c r="D73" s="25"/>
      <c r="E73" s="25"/>
      <c r="F73" s="25"/>
      <c r="G73" s="25"/>
      <c r="H73" s="25"/>
      <c r="I73" s="25"/>
      <c r="J73" s="25"/>
      <c r="K73" s="25"/>
      <c r="L73" s="25"/>
      <c r="M73" s="136"/>
      <c r="N73" s="25"/>
      <c r="O73" s="25"/>
      <c r="P73" s="5"/>
      <c r="Q73" s="5"/>
      <c r="R73" s="5"/>
      <c r="S73" s="5"/>
      <c r="T73" s="5"/>
      <c r="U73" s="5"/>
      <c r="V73" s="5"/>
      <c r="W73" s="5"/>
      <c r="X73" s="5"/>
      <c r="Y73" s="5"/>
      <c r="Z73" s="56"/>
      <c r="AA73" s="56"/>
      <c r="AB73" s="56"/>
      <c r="AC73" s="56"/>
      <c r="AD73" s="26">
        <f>AC72*$B$7</f>
        <v>45.875637293590373</v>
      </c>
      <c r="AE73" s="26"/>
      <c r="AF73" s="5"/>
      <c r="AG73" s="5"/>
      <c r="AH73" s="5"/>
      <c r="AI73" s="5"/>
      <c r="AJ73" s="5"/>
      <c r="AK73" s="5"/>
      <c r="AL73" s="5"/>
      <c r="AM73" s="5"/>
    </row>
    <row r="74" spans="1:40" ht="18.75" customHeight="1">
      <c r="N74" s="25"/>
      <c r="O74" s="25"/>
      <c r="P74" s="5"/>
      <c r="Q74" s="5"/>
      <c r="R74" s="5"/>
      <c r="S74" s="5"/>
      <c r="T74" s="5"/>
      <c r="U74" s="5"/>
      <c r="V74" s="5"/>
      <c r="Y74" s="5"/>
      <c r="Z74" s="56"/>
      <c r="AA74" s="56"/>
      <c r="AB74" s="56"/>
      <c r="AC74" s="56"/>
      <c r="AD74" s="56"/>
      <c r="AE74" s="26">
        <f>AD73*$B$7</f>
        <v>44.706294544763807</v>
      </c>
      <c r="AF74" s="5"/>
      <c r="AG74" s="5"/>
      <c r="AH74" s="5"/>
      <c r="AI74" s="5"/>
      <c r="AJ74" s="5"/>
      <c r="AK74" s="5"/>
      <c r="AL74" s="5"/>
      <c r="AM74" s="5"/>
      <c r="AN74" s="5"/>
    </row>
    <row r="75" spans="1:40" s="134" customFormat="1" ht="18.75" customHeight="1">
      <c r="N75" s="25"/>
      <c r="O75" s="25"/>
      <c r="P75" s="5"/>
      <c r="Q75" s="5"/>
      <c r="R75" s="5"/>
      <c r="S75" s="5"/>
      <c r="T75" s="5"/>
      <c r="U75" s="5"/>
      <c r="V75" s="5"/>
      <c r="W75" s="5"/>
      <c r="X75" s="5"/>
      <c r="Y75" s="5"/>
      <c r="Z75" s="56"/>
      <c r="AA75" s="56"/>
      <c r="AB75" s="56"/>
      <c r="AC75" s="56"/>
      <c r="AD75" s="56"/>
      <c r="AE75" s="56"/>
      <c r="AF75" s="5"/>
      <c r="AG75" s="5"/>
      <c r="AH75" s="5"/>
      <c r="AI75" s="5"/>
      <c r="AJ75" s="5"/>
      <c r="AK75" s="5"/>
      <c r="AL75" s="5"/>
      <c r="AM75" s="5"/>
      <c r="AN75" s="5"/>
    </row>
    <row r="76" spans="1:40" s="134" customFormat="1" ht="18.75" customHeight="1">
      <c r="N76" s="25"/>
      <c r="O76" s="25"/>
      <c r="P76" s="5"/>
      <c r="Q76" s="5"/>
      <c r="R76" s="5"/>
      <c r="S76" s="5"/>
      <c r="T76" s="5"/>
      <c r="U76" s="5"/>
      <c r="V76" s="5"/>
      <c r="W76" s="5"/>
      <c r="X76" s="5"/>
      <c r="Y76" s="5"/>
      <c r="Z76" s="56"/>
      <c r="AA76" s="56"/>
      <c r="AB76" s="56"/>
      <c r="AC76" s="56"/>
      <c r="AD76" s="56"/>
      <c r="AE76" s="56"/>
      <c r="AF76" s="5"/>
      <c r="AG76" s="5"/>
      <c r="AH76" s="5"/>
      <c r="AI76" s="5"/>
      <c r="AJ76" s="5"/>
      <c r="AK76" s="5"/>
      <c r="AL76" s="5"/>
      <c r="AM76" s="5"/>
      <c r="AN76" s="5"/>
    </row>
    <row r="77" spans="1:40" s="134" customFormat="1" ht="18.75" customHeight="1">
      <c r="N77" s="25"/>
      <c r="O77" s="25"/>
      <c r="P77" s="5"/>
      <c r="Q77" s="5"/>
      <c r="R77" s="5"/>
      <c r="S77" s="5"/>
      <c r="T77" s="5"/>
      <c r="U77" s="5"/>
      <c r="V77" s="5"/>
      <c r="W77" s="5"/>
      <c r="X77" s="5"/>
      <c r="Y77" s="5"/>
      <c r="Z77" s="56"/>
      <c r="AA77" s="56"/>
      <c r="AB77" s="56"/>
      <c r="AC77" s="56"/>
      <c r="AD77" s="56"/>
      <c r="AE77" s="56"/>
      <c r="AF77" s="5"/>
      <c r="AG77" s="5"/>
      <c r="AH77" s="5"/>
      <c r="AI77" s="5"/>
      <c r="AJ77" s="5"/>
      <c r="AK77" s="5"/>
      <c r="AL77" s="5"/>
      <c r="AM77" s="5"/>
      <c r="AN77" s="5"/>
    </row>
    <row r="78" spans="1:40" s="134" customFormat="1" ht="18.75" customHeight="1">
      <c r="N78" s="25"/>
      <c r="O78" s="25"/>
      <c r="P78" s="5"/>
      <c r="Q78" s="5"/>
      <c r="R78" s="5"/>
      <c r="S78" s="5"/>
      <c r="T78" s="5"/>
      <c r="U78" s="5"/>
      <c r="V78" s="5"/>
      <c r="W78" s="5"/>
      <c r="X78" s="5"/>
      <c r="Y78" s="5"/>
      <c r="Z78" s="56"/>
      <c r="AA78" s="56"/>
      <c r="AB78" s="56"/>
      <c r="AC78" s="56"/>
      <c r="AD78" s="56"/>
      <c r="AE78" s="56"/>
      <c r="AF78" s="5"/>
      <c r="AG78" s="5"/>
      <c r="AH78" s="5"/>
      <c r="AI78" s="5"/>
      <c r="AJ78" s="5"/>
      <c r="AK78" s="5"/>
      <c r="AL78" s="5"/>
      <c r="AM78" s="5"/>
      <c r="AN78" s="5"/>
    </row>
    <row r="79" spans="1:40" s="134" customFormat="1" ht="18.75" customHeight="1">
      <c r="N79" s="25"/>
      <c r="O79" s="25"/>
      <c r="P79" s="5"/>
      <c r="Q79" s="5"/>
      <c r="R79" s="5"/>
      <c r="S79" s="5"/>
      <c r="T79" s="5"/>
      <c r="U79" s="5"/>
      <c r="V79" s="5"/>
      <c r="W79" s="5"/>
      <c r="X79" s="5"/>
      <c r="Y79" s="5"/>
      <c r="Z79" s="56"/>
      <c r="AA79" s="56"/>
      <c r="AB79" s="56"/>
      <c r="AC79" s="56"/>
      <c r="AD79" s="56"/>
      <c r="AE79" s="56"/>
      <c r="AF79" s="5"/>
      <c r="AG79" s="5"/>
      <c r="AH79" s="5"/>
      <c r="AI79" s="5"/>
      <c r="AJ79" s="5"/>
      <c r="AK79" s="5"/>
      <c r="AL79" s="5"/>
      <c r="AM79" s="5"/>
      <c r="AN79" s="5"/>
    </row>
    <row r="80" spans="1:40" s="134" customFormat="1" ht="18.75" customHeight="1">
      <c r="N80" s="25"/>
      <c r="O80" s="25"/>
      <c r="P80" s="5"/>
      <c r="Q80" s="5"/>
      <c r="R80" s="5"/>
      <c r="S80" s="5"/>
      <c r="T80" s="5"/>
      <c r="U80" s="5"/>
      <c r="V80" s="5"/>
      <c r="W80" s="5"/>
      <c r="X80" s="5"/>
      <c r="Y80" s="5"/>
      <c r="Z80" s="56"/>
      <c r="AA80" s="56"/>
      <c r="AB80" s="56"/>
      <c r="AC80" s="56"/>
      <c r="AD80" s="56"/>
      <c r="AE80" s="56"/>
      <c r="AF80" s="5"/>
      <c r="AG80" s="5"/>
      <c r="AH80" s="5"/>
      <c r="AI80" s="5"/>
      <c r="AJ80" s="5"/>
      <c r="AK80" s="5"/>
      <c r="AL80" s="5"/>
      <c r="AM80" s="5"/>
      <c r="AN80" s="5"/>
    </row>
    <row r="81" spans="1:40" s="134" customFormat="1" ht="18.75" customHeight="1">
      <c r="N81" s="25"/>
      <c r="O81" s="25"/>
      <c r="P81" s="5"/>
      <c r="Q81" s="5"/>
      <c r="R81" s="5"/>
      <c r="S81" s="5"/>
      <c r="T81" s="5"/>
      <c r="U81" s="5"/>
      <c r="V81" s="5"/>
      <c r="W81" s="5"/>
      <c r="X81" s="5"/>
      <c r="Y81" s="5"/>
      <c r="Z81" s="56"/>
      <c r="AA81" s="56"/>
      <c r="AB81" s="56"/>
      <c r="AC81" s="56"/>
      <c r="AD81" s="56"/>
      <c r="AE81" s="56"/>
      <c r="AF81" s="5"/>
      <c r="AG81" s="5"/>
      <c r="AH81" s="5"/>
      <c r="AI81" s="5"/>
      <c r="AJ81" s="5"/>
      <c r="AK81" s="5"/>
      <c r="AL81" s="5"/>
      <c r="AM81" s="5"/>
      <c r="AN81" s="5"/>
    </row>
    <row r="82" spans="1:40" s="134" customFormat="1" ht="18.75" customHeight="1">
      <c r="N82" s="25"/>
      <c r="O82" s="25"/>
      <c r="P82" s="5"/>
      <c r="Q82" s="5"/>
      <c r="R82" s="5"/>
      <c r="S82" s="5"/>
      <c r="T82" s="5"/>
      <c r="U82" s="5"/>
      <c r="V82" s="5"/>
      <c r="W82" s="5"/>
      <c r="X82" s="5"/>
      <c r="Y82" s="5"/>
      <c r="Z82" s="56"/>
      <c r="AA82" s="56"/>
      <c r="AB82" s="56"/>
      <c r="AC82" s="56"/>
      <c r="AD82" s="56"/>
      <c r="AE82" s="56"/>
      <c r="AF82" s="5"/>
      <c r="AG82" s="5"/>
      <c r="AH82" s="5"/>
      <c r="AI82" s="5"/>
      <c r="AJ82" s="5"/>
      <c r="AK82" s="5"/>
      <c r="AL82" s="5"/>
      <c r="AM82" s="5"/>
      <c r="AN82" s="5"/>
    </row>
    <row r="83" spans="1:40" s="134" customFormat="1" ht="18.75" customHeight="1">
      <c r="N83" s="25"/>
      <c r="O83" s="25"/>
      <c r="P83" s="5"/>
      <c r="Q83" s="5"/>
      <c r="R83" s="5"/>
      <c r="S83" s="5"/>
      <c r="T83" s="5"/>
      <c r="U83" s="5"/>
      <c r="V83" s="5"/>
      <c r="W83" s="5"/>
      <c r="X83" s="5"/>
      <c r="Y83" s="5"/>
      <c r="Z83" s="56"/>
      <c r="AA83" s="56"/>
      <c r="AB83" s="56"/>
      <c r="AC83" s="56"/>
      <c r="AD83" s="56"/>
      <c r="AE83" s="56"/>
      <c r="AF83" s="5"/>
      <c r="AG83" s="5"/>
      <c r="AH83" s="5"/>
      <c r="AI83" s="5"/>
      <c r="AJ83" s="5"/>
      <c r="AK83" s="5"/>
      <c r="AL83" s="5"/>
      <c r="AM83" s="5"/>
      <c r="AN83" s="5"/>
    </row>
    <row r="84" spans="1:40" s="134" customFormat="1" ht="18.75" customHeight="1">
      <c r="N84" s="25"/>
      <c r="O84" s="25"/>
      <c r="P84" s="5"/>
      <c r="Q84" s="5"/>
      <c r="R84" s="5"/>
      <c r="S84" s="5"/>
      <c r="T84" s="5"/>
      <c r="U84" s="5"/>
      <c r="V84" s="5"/>
      <c r="W84" s="5"/>
      <c r="X84" s="5"/>
      <c r="Y84" s="5"/>
      <c r="Z84" s="56"/>
      <c r="AA84" s="56"/>
      <c r="AB84" s="56"/>
      <c r="AC84" s="56"/>
      <c r="AD84" s="56"/>
      <c r="AE84" s="56"/>
      <c r="AF84" s="5"/>
      <c r="AG84" s="5"/>
      <c r="AH84" s="5"/>
      <c r="AI84" s="5"/>
      <c r="AJ84" s="5"/>
      <c r="AK84" s="5"/>
      <c r="AL84" s="5"/>
      <c r="AM84" s="5"/>
      <c r="AN84" s="5"/>
    </row>
    <row r="85" spans="1:40" s="134" customFormat="1" ht="18.75" customHeight="1">
      <c r="N85" s="25"/>
      <c r="O85" s="25"/>
      <c r="P85" s="5"/>
      <c r="Q85" s="5"/>
      <c r="R85" s="5"/>
      <c r="S85" s="5"/>
      <c r="T85" s="5"/>
      <c r="U85" s="5"/>
      <c r="V85" s="5"/>
      <c r="W85" s="5"/>
      <c r="X85" s="5"/>
      <c r="Y85" s="5"/>
      <c r="Z85" s="56"/>
      <c r="AA85" s="56"/>
      <c r="AB85" s="56"/>
      <c r="AC85" s="56"/>
      <c r="AD85" s="56"/>
      <c r="AE85" s="56"/>
      <c r="AF85" s="5"/>
      <c r="AG85" s="5"/>
      <c r="AH85" s="5"/>
      <c r="AI85" s="5"/>
      <c r="AJ85" s="5"/>
      <c r="AK85" s="5"/>
      <c r="AL85" s="5"/>
      <c r="AM85" s="5"/>
      <c r="AN85" s="5"/>
    </row>
    <row r="86" spans="1:40" s="134" customFormat="1" ht="18.75" customHeight="1">
      <c r="N86" s="25"/>
      <c r="O86" s="25"/>
      <c r="P86" s="5"/>
      <c r="Q86" s="5"/>
      <c r="R86" s="5"/>
      <c r="S86" s="5"/>
      <c r="T86" s="5"/>
      <c r="U86" s="5"/>
      <c r="V86" s="5"/>
      <c r="W86" s="5"/>
      <c r="X86" s="5"/>
      <c r="Y86" s="5"/>
      <c r="Z86" s="56"/>
      <c r="AA86" s="56"/>
      <c r="AB86" s="56"/>
      <c r="AC86" s="56"/>
      <c r="AD86" s="56"/>
      <c r="AE86" s="56"/>
      <c r="AF86" s="5"/>
      <c r="AG86" s="5"/>
      <c r="AH86" s="5"/>
      <c r="AI86" s="5"/>
      <c r="AJ86" s="5"/>
      <c r="AK86" s="5"/>
      <c r="AL86" s="5"/>
      <c r="AM86" s="5"/>
      <c r="AN86" s="5"/>
    </row>
    <row r="87" spans="1:40" s="134" customFormat="1" ht="18.75" customHeight="1">
      <c r="N87" s="25"/>
      <c r="O87" s="25"/>
      <c r="P87" s="5"/>
      <c r="Q87" s="5"/>
      <c r="R87" s="5"/>
      <c r="S87" s="5"/>
      <c r="T87" s="5"/>
      <c r="U87" s="5"/>
      <c r="V87" s="5"/>
      <c r="W87" s="5"/>
      <c r="X87" s="5"/>
      <c r="Y87" s="5"/>
      <c r="Z87" s="56"/>
      <c r="AA87" s="56"/>
      <c r="AB87" s="56"/>
      <c r="AC87" s="56"/>
      <c r="AD87" s="56"/>
      <c r="AE87" s="56"/>
      <c r="AF87" s="5"/>
      <c r="AG87" s="5"/>
      <c r="AH87" s="5"/>
      <c r="AI87" s="5"/>
      <c r="AJ87" s="5"/>
      <c r="AK87" s="5"/>
      <c r="AL87" s="5"/>
      <c r="AM87" s="5"/>
      <c r="AN87" s="5"/>
    </row>
    <row r="88" spans="1:40" s="134" customFormat="1" ht="18.75" customHeight="1">
      <c r="N88" s="25"/>
      <c r="O88" s="25"/>
      <c r="P88" s="5"/>
      <c r="Q88" s="5"/>
      <c r="R88" s="5"/>
      <c r="S88" s="5"/>
      <c r="T88" s="5"/>
      <c r="U88" s="5"/>
      <c r="V88" s="5"/>
      <c r="W88" s="5"/>
      <c r="X88" s="5"/>
      <c r="Y88" s="5"/>
      <c r="Z88" s="56"/>
      <c r="AA88" s="56"/>
      <c r="AB88" s="56"/>
      <c r="AC88" s="56"/>
      <c r="AD88" s="56"/>
      <c r="AE88" s="56"/>
      <c r="AF88" s="5"/>
      <c r="AG88" s="5"/>
      <c r="AH88" s="5"/>
      <c r="AI88" s="5"/>
      <c r="AJ88" s="5"/>
      <c r="AK88" s="5"/>
      <c r="AL88" s="5"/>
      <c r="AM88" s="5"/>
      <c r="AN88" s="5"/>
    </row>
    <row r="89" spans="1:40" s="134" customFormat="1" ht="18.75" customHeight="1">
      <c r="N89" s="25"/>
      <c r="O89" s="25"/>
      <c r="P89" s="5"/>
      <c r="Q89" s="5"/>
      <c r="R89" s="5"/>
      <c r="S89" s="5"/>
      <c r="T89" s="5"/>
      <c r="U89" s="5"/>
      <c r="V89" s="5"/>
      <c r="W89" s="5"/>
      <c r="X89" s="5"/>
      <c r="Y89" s="5"/>
      <c r="Z89" s="56"/>
      <c r="AA89" s="56"/>
      <c r="AB89" s="56"/>
      <c r="AC89" s="56"/>
      <c r="AD89" s="56"/>
      <c r="AE89" s="56"/>
      <c r="AF89" s="5"/>
      <c r="AG89" s="5"/>
      <c r="AH89" s="5"/>
      <c r="AI89" s="5"/>
      <c r="AJ89" s="5"/>
      <c r="AK89" s="5"/>
      <c r="AL89" s="5"/>
      <c r="AM89" s="5"/>
      <c r="AN89" s="5"/>
    </row>
    <row r="90" spans="1:40" s="134" customFormat="1" ht="18.75" customHeight="1" thickBot="1">
      <c r="N90" s="25"/>
      <c r="O90" s="25"/>
      <c r="P90" s="5"/>
      <c r="Q90" s="5"/>
      <c r="R90" s="5"/>
      <c r="S90" s="5"/>
      <c r="T90" s="5"/>
      <c r="U90" s="5"/>
      <c r="V90" s="5"/>
      <c r="W90" s="5"/>
      <c r="X90" s="5"/>
      <c r="Y90" s="5"/>
      <c r="Z90" s="56"/>
      <c r="AA90" s="56"/>
      <c r="AB90" s="56"/>
      <c r="AC90" s="56"/>
      <c r="AD90" s="56"/>
      <c r="AE90" s="56"/>
      <c r="AF90" s="5"/>
      <c r="AG90" s="5"/>
      <c r="AH90" s="5"/>
      <c r="AI90" s="5"/>
      <c r="AJ90" s="5"/>
      <c r="AK90" s="5"/>
      <c r="AL90" s="5"/>
      <c r="AM90" s="5"/>
      <c r="AN90" s="5"/>
    </row>
    <row r="91" spans="1:40" s="134" customFormat="1" ht="18.75" customHeight="1" thickBot="1">
      <c r="A91" s="161" t="s">
        <v>30</v>
      </c>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3"/>
      <c r="AF91" s="5"/>
      <c r="AG91" s="5"/>
      <c r="AH91" s="5"/>
      <c r="AI91" s="5"/>
      <c r="AJ91" s="5"/>
      <c r="AK91" s="5"/>
      <c r="AL91" s="5"/>
      <c r="AM91" s="5"/>
      <c r="AN91" s="5"/>
    </row>
    <row r="92" spans="1:40" s="134" customFormat="1" ht="18.75" customHeight="1">
      <c r="A92" s="140">
        <v>0</v>
      </c>
      <c r="B92" s="140">
        <v>1</v>
      </c>
      <c r="C92" s="140">
        <v>2</v>
      </c>
      <c r="D92" s="140">
        <v>3</v>
      </c>
      <c r="E92" s="140">
        <v>4</v>
      </c>
      <c r="F92" s="140">
        <v>5</v>
      </c>
      <c r="G92" s="140">
        <v>6</v>
      </c>
      <c r="H92" s="140">
        <v>7</v>
      </c>
      <c r="I92" s="140">
        <v>8</v>
      </c>
      <c r="J92" s="140">
        <v>9</v>
      </c>
      <c r="K92" s="140">
        <v>10</v>
      </c>
      <c r="L92" s="140">
        <v>11</v>
      </c>
      <c r="M92" s="140">
        <v>12</v>
      </c>
      <c r="N92" s="140">
        <f>M92+1</f>
        <v>13</v>
      </c>
      <c r="O92" s="140">
        <f t="shared" ref="O92:AE92" si="1">N92+1</f>
        <v>14</v>
      </c>
      <c r="P92" s="140">
        <f t="shared" si="1"/>
        <v>15</v>
      </c>
      <c r="Q92" s="140">
        <f t="shared" si="1"/>
        <v>16</v>
      </c>
      <c r="R92" s="140">
        <f t="shared" si="1"/>
        <v>17</v>
      </c>
      <c r="S92" s="140">
        <f t="shared" si="1"/>
        <v>18</v>
      </c>
      <c r="T92" s="140">
        <f t="shared" si="1"/>
        <v>19</v>
      </c>
      <c r="U92" s="140">
        <f t="shared" si="1"/>
        <v>20</v>
      </c>
      <c r="V92" s="140">
        <f t="shared" si="1"/>
        <v>21</v>
      </c>
      <c r="W92" s="140">
        <f t="shared" si="1"/>
        <v>22</v>
      </c>
      <c r="X92" s="140">
        <f t="shared" si="1"/>
        <v>23</v>
      </c>
      <c r="Y92" s="140">
        <f t="shared" si="1"/>
        <v>24</v>
      </c>
      <c r="Z92" s="140">
        <f t="shared" si="1"/>
        <v>25</v>
      </c>
      <c r="AA92" s="140">
        <f t="shared" si="1"/>
        <v>26</v>
      </c>
      <c r="AB92" s="140">
        <f t="shared" si="1"/>
        <v>27</v>
      </c>
      <c r="AC92" s="140">
        <f t="shared" si="1"/>
        <v>28</v>
      </c>
      <c r="AD92" s="140">
        <f t="shared" si="1"/>
        <v>29</v>
      </c>
      <c r="AE92" s="140">
        <f t="shared" si="1"/>
        <v>30</v>
      </c>
      <c r="AF92" s="5"/>
      <c r="AG92" s="5"/>
      <c r="AH92" s="5"/>
      <c r="AI92" s="5"/>
      <c r="AJ92" s="5"/>
      <c r="AK92" s="5"/>
      <c r="AL92" s="5"/>
      <c r="AM92" s="5"/>
      <c r="AN92" s="5"/>
    </row>
    <row r="93" spans="1:40" s="134" customFormat="1" ht="18.75" customHeight="1">
      <c r="N93" s="25"/>
      <c r="O93" s="25"/>
      <c r="P93" s="5"/>
      <c r="Q93" s="5"/>
      <c r="R93" s="5"/>
      <c r="S93" s="5"/>
      <c r="T93" s="5"/>
      <c r="U93" s="5"/>
      <c r="V93" s="5"/>
      <c r="W93" s="5"/>
      <c r="X93" s="5"/>
      <c r="Y93" s="5"/>
      <c r="Z93" s="56"/>
      <c r="AA93" s="56"/>
      <c r="AB93" s="56"/>
      <c r="AC93" s="56"/>
      <c r="AD93" s="56"/>
      <c r="AE93" s="56"/>
      <c r="AF93" s="5"/>
      <c r="AG93" s="5"/>
      <c r="AH93" s="5"/>
      <c r="AI93" s="5"/>
      <c r="AJ93" s="5"/>
      <c r="AK93" s="5"/>
      <c r="AL93" s="5"/>
      <c r="AM93" s="5"/>
      <c r="AN93" s="5"/>
    </row>
    <row r="94" spans="1:40" s="134" customFormat="1" ht="18.75" customHeight="1">
      <c r="N94" s="25"/>
      <c r="O94" s="25"/>
      <c r="P94" s="5"/>
      <c r="Q94" s="5"/>
      <c r="R94" s="5"/>
      <c r="S94" s="5"/>
      <c r="T94" s="5"/>
      <c r="U94" s="5"/>
      <c r="V94" s="5"/>
      <c r="W94" s="5"/>
      <c r="X94" s="5"/>
      <c r="Y94" s="5"/>
      <c r="Z94" s="56"/>
      <c r="AA94" s="56"/>
      <c r="AB94" s="56"/>
      <c r="AC94" s="56"/>
      <c r="AD94" s="56"/>
      <c r="AE94" s="56"/>
      <c r="AF94" s="5"/>
      <c r="AG94" s="5"/>
      <c r="AH94" s="5"/>
      <c r="AI94" s="5"/>
      <c r="AJ94" s="5"/>
      <c r="AK94" s="5"/>
      <c r="AL94" s="5"/>
      <c r="AM94" s="5"/>
      <c r="AN94" s="5"/>
    </row>
    <row r="95" spans="1:40" s="134" customFormat="1" ht="18.75" customHeight="1">
      <c r="N95" s="138"/>
      <c r="O95" s="138"/>
      <c r="P95" s="138"/>
      <c r="Q95" s="138"/>
      <c r="R95" s="138"/>
      <c r="S95" s="138"/>
      <c r="T95" s="138"/>
      <c r="U95" s="138"/>
      <c r="V95" s="138"/>
      <c r="W95" s="5"/>
      <c r="X95" s="5"/>
      <c r="Y95" s="5"/>
      <c r="Z95" s="56"/>
      <c r="AA95" s="56"/>
      <c r="AB95" s="56"/>
      <c r="AC95" s="56"/>
      <c r="AD95" s="56"/>
      <c r="AE95" s="56"/>
      <c r="AF95" s="5"/>
      <c r="AG95" s="5"/>
      <c r="AH95" s="5"/>
      <c r="AI95" s="5"/>
      <c r="AJ95" s="5"/>
      <c r="AK95" s="5"/>
      <c r="AL95" s="5"/>
      <c r="AM95" s="5"/>
      <c r="AN95" s="5"/>
    </row>
    <row r="96" spans="1:40" s="134" customFormat="1" ht="18.75" customHeight="1">
      <c r="N96" s="138"/>
      <c r="O96" s="138"/>
      <c r="P96" s="138"/>
      <c r="Q96" s="138"/>
      <c r="R96" s="138"/>
      <c r="S96" s="138"/>
      <c r="T96" s="138"/>
      <c r="U96" s="138"/>
      <c r="V96" s="138"/>
      <c r="W96" s="138"/>
      <c r="X96" s="138"/>
      <c r="Y96" s="138"/>
      <c r="Z96" s="138"/>
      <c r="AA96" s="138"/>
      <c r="AB96" s="138"/>
      <c r="AC96" s="138"/>
      <c r="AD96" s="138"/>
      <c r="AE96" s="26">
        <f>IF(AE14&gt;Exercise,AE14-Exercise,0)</f>
        <v>105.46253320276597</v>
      </c>
      <c r="AF96" s="5"/>
      <c r="AG96" s="5"/>
      <c r="AH96" s="5"/>
      <c r="AI96" s="5"/>
      <c r="AJ96" s="5"/>
      <c r="AK96" s="5"/>
      <c r="AL96" s="5"/>
      <c r="AM96" s="5"/>
      <c r="AN96" s="5"/>
    </row>
    <row r="97" spans="1:40" s="134" customFormat="1" ht="18.75" customHeight="1">
      <c r="N97" s="138"/>
      <c r="O97" s="138"/>
      <c r="P97" s="138"/>
      <c r="Q97" s="138"/>
      <c r="R97" s="138"/>
      <c r="S97" s="138"/>
      <c r="T97" s="138"/>
      <c r="U97" s="138"/>
      <c r="V97" s="138"/>
      <c r="W97" s="138"/>
      <c r="X97" s="138"/>
      <c r="Y97" s="138"/>
      <c r="Z97" s="138"/>
      <c r="AA97" s="138"/>
      <c r="AB97" s="138"/>
      <c r="AC97" s="138"/>
      <c r="AD97" s="26">
        <f>IF(AVERAGE(AD15,AE14)&gt;Exercise,AVERAGE(AD15,AE14)-Exercise,0)</f>
        <v>102.78025071451037</v>
      </c>
      <c r="AE97" s="26"/>
      <c r="AF97" s="5"/>
      <c r="AG97" s="5"/>
      <c r="AH97" s="5"/>
      <c r="AI97" s="5"/>
      <c r="AJ97" s="5"/>
      <c r="AK97" s="5"/>
      <c r="AL97" s="5"/>
      <c r="AM97" s="5"/>
      <c r="AN97" s="5"/>
    </row>
    <row r="98" spans="1:40" s="134" customFormat="1" ht="18.75" customHeight="1">
      <c r="N98" s="138"/>
      <c r="O98" s="138"/>
      <c r="P98" s="138"/>
      <c r="Q98" s="138"/>
      <c r="R98" s="138"/>
      <c r="S98" s="138"/>
      <c r="T98" s="138"/>
      <c r="U98" s="138"/>
      <c r="V98" s="138"/>
      <c r="W98" s="138"/>
      <c r="X98" s="138"/>
      <c r="Y98" s="138"/>
      <c r="Z98" s="138"/>
      <c r="AA98" s="138"/>
      <c r="AB98" s="138"/>
      <c r="AC98" s="26">
        <f>IF(AVERAGE(AC16,AD15,AE14)&gt;Exercise,AVERAGE(AC16,AD15,AE14)-Exercise,0)</f>
        <v>100.14354808465725</v>
      </c>
      <c r="AD98" s="26"/>
      <c r="AE98" s="26">
        <f>IF(AE16&gt;Exercise,AE16-Exercise,0)</f>
        <v>94.870142824950989</v>
      </c>
      <c r="AF98" s="5"/>
      <c r="AG98" s="5"/>
      <c r="AH98" s="5"/>
      <c r="AI98" s="5"/>
      <c r="AJ98" s="5"/>
      <c r="AK98" s="5"/>
      <c r="AL98" s="5"/>
      <c r="AM98" s="5"/>
      <c r="AN98" s="5"/>
    </row>
    <row r="99" spans="1:40" s="134" customFormat="1" ht="18.75" customHeight="1">
      <c r="N99" s="138"/>
      <c r="O99" s="138"/>
      <c r="P99" s="138"/>
      <c r="Q99" s="138"/>
      <c r="R99" s="138"/>
      <c r="S99" s="138"/>
      <c r="T99" s="138"/>
      <c r="U99" s="138"/>
      <c r="V99" s="138"/>
      <c r="W99" s="138"/>
      <c r="X99" s="138"/>
      <c r="Y99" s="138"/>
      <c r="Z99" s="138"/>
      <c r="AA99" s="138"/>
      <c r="AB99" s="26">
        <f>IF(AVERAGE(AB17,AC16,AD15,AE14)&gt;Exercise,AVERAGE(AB17,AC16,AD15,AE14)-Exercise,0)</f>
        <v>97.551553960566167</v>
      </c>
      <c r="AC99" s="26"/>
      <c r="AD99" s="26">
        <f>IF(AVERAGE(AD17,AE16)&gt;Exercise,AVERAGE(AD17,AE16)-Exercise,0)</f>
        <v>92.322857206621961</v>
      </c>
      <c r="AE99" s="26"/>
      <c r="AF99" s="5"/>
      <c r="AG99" s="5"/>
      <c r="AH99" s="5"/>
      <c r="AI99" s="5"/>
      <c r="AJ99" s="5"/>
      <c r="AK99" s="5"/>
      <c r="AL99" s="5"/>
      <c r="AM99" s="5"/>
      <c r="AN99" s="5"/>
    </row>
    <row r="100" spans="1:40" s="134" customFormat="1" ht="18.75" customHeight="1">
      <c r="N100" s="138"/>
      <c r="O100" s="138"/>
      <c r="P100" s="138"/>
      <c r="Q100" s="138"/>
      <c r="R100" s="138"/>
      <c r="S100" s="138"/>
      <c r="T100" s="138"/>
      <c r="U100" s="138"/>
      <c r="V100" s="138"/>
      <c r="W100" s="138"/>
      <c r="X100" s="138"/>
      <c r="Y100" s="138"/>
      <c r="Z100" s="138"/>
      <c r="AA100" s="26">
        <f>IF(AVERAGE(AA18,AB17,AC16,AD15,AE14)&gt;Exercise,AVERAGE(AA18,AB17,AC16,AD15,AE14)-Exercise,0)</f>
        <v>95.003414757805729</v>
      </c>
      <c r="AB100" s="26"/>
      <c r="AC100" s="26">
        <f>IF(AVERAGE(AC18,AD17,AE16)&gt;Exercise,AVERAGE(AC18,AD17,AE16)-Exercise,0)</f>
        <v>89.818857453335994</v>
      </c>
      <c r="AD100" s="26"/>
      <c r="AE100" s="26">
        <f>IF(AE18&gt;Exercise,AE18-Exercise,0)</f>
        <v>84.810857946764003</v>
      </c>
      <c r="AF100" s="5"/>
      <c r="AG100" s="5"/>
      <c r="AH100" s="5"/>
      <c r="AI100" s="5"/>
      <c r="AJ100" s="5"/>
      <c r="AK100" s="5"/>
      <c r="AL100" s="5"/>
      <c r="AM100" s="5"/>
      <c r="AN100" s="5"/>
    </row>
    <row r="101" spans="1:40" s="134" customFormat="1" ht="18.75" customHeight="1">
      <c r="N101" s="138"/>
      <c r="O101" s="138"/>
      <c r="P101" s="138"/>
      <c r="Q101" s="138"/>
      <c r="R101" s="138"/>
      <c r="S101" s="138"/>
      <c r="T101" s="138"/>
      <c r="U101" s="138"/>
      <c r="V101" s="138"/>
      <c r="W101" s="138"/>
      <c r="X101" s="138"/>
      <c r="Y101" s="138"/>
      <c r="Z101" s="26">
        <f>IF(AVERAGE(Z19,AA18,AB17,AC16,AD15,AE14)&gt;Exercise,AVERAGE(Z19,AA18,AB17,AC16,AD15,AE14)-Exercise,0)</f>
        <v>92.498294282736083</v>
      </c>
      <c r="AA101" s="26"/>
      <c r="AB101" s="26">
        <f>IF(AVERAGE(AB19,AC18,AD17,AE16)&gt;Exercise,AVERAGE(AB19,AC18,AD17,AE16)-Exercise,0)</f>
        <v>87.357316066848909</v>
      </c>
      <c r="AC101" s="26"/>
      <c r="AD101" s="26">
        <f>IF(AVERAGE(AD19,AE18)&gt;Exercise,AVERAGE(AD19,AE18)-Exercise,0)</f>
        <v>82.391774927075801</v>
      </c>
      <c r="AE101" s="26"/>
      <c r="AF101" s="5"/>
      <c r="AG101" s="5"/>
      <c r="AH101" s="5"/>
      <c r="AI101" s="5"/>
      <c r="AJ101" s="5"/>
      <c r="AK101" s="5"/>
      <c r="AL101" s="5"/>
      <c r="AM101" s="5"/>
      <c r="AN101" s="5"/>
    </row>
    <row r="102" spans="1:40" s="134" customFormat="1" ht="18.75" customHeight="1">
      <c r="N102" s="138"/>
      <c r="O102" s="138"/>
      <c r="P102" s="138"/>
      <c r="Q102" s="138"/>
      <c r="R102" s="138"/>
      <c r="S102" s="138"/>
      <c r="T102" s="138"/>
      <c r="U102" s="138"/>
      <c r="V102" s="138"/>
      <c r="W102" s="138"/>
      <c r="X102" s="138"/>
      <c r="Y102" s="26">
        <f>IF(AVERAGE(Y20,Z19,AA18,AB17,AC16,AD15,AE14)&gt;Exercise,AVERAGE(Y20,Z19,AA18,AB17,AC16,AD15,AE14)-Exercise,0)</f>
        <v>90.035373363336959</v>
      </c>
      <c r="Z102" s="26"/>
      <c r="AA102" s="26">
        <f>IF(AVERAGE(AA20,AB19,AC18,AD17,AE16)&gt;Exercise,AVERAGE(AA20,AB19,AC18,AD17,AE16)-Exercise,0)</f>
        <v>84.937422422867542</v>
      </c>
      <c r="AB102" s="26"/>
      <c r="AC102" s="26">
        <f>IF(AVERAGE(AC20,AD19,AE18)&gt;Exercise,AVERAGE(AC20,AD19,AE18)-Exercise,0)</f>
        <v>80.013799233697938</v>
      </c>
      <c r="AD102" s="26"/>
      <c r="AE102" s="26">
        <f>IF(AE20&gt;Exercise,AE20-Exercise,0)</f>
        <v>75.257847846942184</v>
      </c>
      <c r="AF102" s="5"/>
      <c r="AG102" s="5"/>
      <c r="AH102" s="5"/>
      <c r="AI102" s="5"/>
      <c r="AJ102" s="5"/>
      <c r="AK102" s="5"/>
      <c r="AL102" s="5"/>
      <c r="AM102" s="5"/>
      <c r="AN102" s="5"/>
    </row>
    <row r="103" spans="1:40" s="134" customFormat="1" ht="18.75" customHeight="1">
      <c r="N103" s="138"/>
      <c r="O103" s="138"/>
      <c r="P103" s="138"/>
      <c r="Q103" s="138"/>
      <c r="R103" s="138"/>
      <c r="S103" s="138"/>
      <c r="T103" s="138"/>
      <c r="U103" s="138"/>
      <c r="V103" s="138"/>
      <c r="W103" s="138"/>
      <c r="X103" s="26">
        <f>IF(AVERAGE(X21,Y20,Z19,AA18,AB17,AC16,AD15,AE14)&gt;Exercise,AVERAGE(X21,Y20,Z19,AA18,AB17,AC16,AD15,AE14)-Exercise,0)</f>
        <v>87.61384948809814</v>
      </c>
      <c r="Y103" s="26"/>
      <c r="Z103" s="26">
        <f>IF(AVERAGE(Z21,AA20,AB19,AC18,AD17,AE16)&gt;Exercise,AVERAGE(Z21,AA20,AB19,AC18,AD17,AE16)-Exercise,0)</f>
        <v>82.558382412627367</v>
      </c>
      <c r="AA103" s="26"/>
      <c r="AB103" s="26">
        <f>IF(AVERAGE(AB21,AC20,AD19,AE18)&gt;Exercise,AVERAGE(AB21,AC20,AD19,AE18)-Exercise,0)</f>
        <v>77.676145015630055</v>
      </c>
      <c r="AC103" s="26"/>
      <c r="AD103" s="26">
        <f>IF(AVERAGE(AD21,AE20)&gt;Exercise,AVERAGE(AD21,AE20)-Exercise,0)</f>
        <v>72.960515104184253</v>
      </c>
      <c r="AE103" s="26"/>
      <c r="AF103" s="5"/>
      <c r="AG103" s="5"/>
      <c r="AH103" s="5"/>
      <c r="AI103" s="5"/>
      <c r="AJ103" s="5"/>
      <c r="AK103" s="5"/>
      <c r="AL103" s="5"/>
      <c r="AM103" s="5"/>
      <c r="AN103" s="5"/>
    </row>
    <row r="104" spans="1:40" s="134" customFormat="1" ht="18.75" customHeight="1">
      <c r="N104" s="138"/>
      <c r="O104" s="138"/>
      <c r="P104" s="138"/>
      <c r="Q104" s="138"/>
      <c r="R104" s="138"/>
      <c r="S104" s="138"/>
      <c r="T104" s="138"/>
      <c r="U104" s="138"/>
      <c r="V104" s="138"/>
      <c r="W104" s="26">
        <f>IF(AVERAGE(W22,X21,Y20,Z19,AA18,AB17,AC16,AD15,AE14)&gt;Exercise,AVERAGE(W22,X21,Y20,Z19,AA18,AB17,AC16,AD15,AE14)-Exercise,0)</f>
        <v>85.232936452791677</v>
      </c>
      <c r="X104" s="26"/>
      <c r="Y104" s="26">
        <f>IF(AVERAGE(Y22,Z21,AA20,AB19,AC18,AD17,AE16)&gt;Exercise,AVERAGE(Y22,Z21,AA20,AB19,AC18,AD17,AE16)-Exercise,0)</f>
        <v>80.2194180923006</v>
      </c>
      <c r="Z104" s="26"/>
      <c r="AA104" s="26">
        <f>IF(AVERAGE(AA22,AB21,AC20,AD19,AE18)&gt;Exercise,AVERAGE(AA22,AB21,AC20,AD19,AE18)-Exercise,0)</f>
        <v>75.37804244657201</v>
      </c>
      <c r="AB104" s="26"/>
      <c r="AC104" s="26">
        <f>IF(AVERAGE(AC22,AD21,AE20)&gt;Exercise,AVERAGE(AC22,AD21,AE20)-Exercise,0)</f>
        <v>70.70222079290275</v>
      </c>
      <c r="AD104" s="26"/>
      <c r="AE104" s="26">
        <f>IF(AE22&gt;Exercise,AE22-Exercise,0)</f>
        <v>66.185632170339801</v>
      </c>
      <c r="AF104" s="5"/>
      <c r="AG104" s="5"/>
      <c r="AH104" s="5"/>
      <c r="AI104" s="5"/>
      <c r="AJ104" s="5"/>
      <c r="AK104" s="5"/>
      <c r="AL104" s="5"/>
      <c r="AM104" s="5"/>
      <c r="AN104" s="5"/>
    </row>
    <row r="105" spans="1:40" s="134" customFormat="1" ht="18.75" customHeight="1">
      <c r="N105" s="138"/>
      <c r="O105" s="138"/>
      <c r="P105" s="138"/>
      <c r="Q105" s="138"/>
      <c r="R105" s="138"/>
      <c r="S105" s="138"/>
      <c r="T105" s="138"/>
      <c r="U105" s="138"/>
      <c r="V105" s="26">
        <f>IF(AVERAGE(V23,W22,X21,Y20,Z19,AA18,AB17,AC16,AD15,AE14,)&gt;Exercise,AVERAGE(V23,W22,X21,Y20,Z19,AA18,AB17,AC16,AD15,AE14,)-Exercise,0)</f>
        <v>65.810785468137084</v>
      </c>
      <c r="W105" s="26"/>
      <c r="X105" s="26">
        <f>IF(AVERAGE(X23,Y22,Z21,AA20,AB19,AC18,AD17,AE16)&gt;Exercise,AVERAGE(X23,Y22,Z21,AA20,AB19,AC18,AD17,AE16)-Exercise,0)</f>
        <v>77.919767340060872</v>
      </c>
      <c r="Y105" s="26"/>
      <c r="Z105" s="26">
        <f>IF(AVERAGE(Z23,AA22,AB21,AC20,AD19,AE18)&gt;Exercise,AVERAGE(Z23,AA22,AB21,AC20,AD19,AE18)-Exercise,0)</f>
        <v>73.118737384540509</v>
      </c>
      <c r="AA105" s="26"/>
      <c r="AB105" s="26">
        <f>IF(AVERAGE(AB23,AC22,AD21,AE20)&gt;Exercise,AVERAGE(AB23,AC22,AD21,AE20)-Exercise,0)</f>
        <v>68.482218613272835</v>
      </c>
      <c r="AC105" s="26"/>
      <c r="AD105" s="26">
        <f>IF(AVERAGE(AD23,AE22)&gt;Exercise,AVERAGE(AD23,AE22)-Exercise,0)</f>
        <v>64.003922122361388</v>
      </c>
      <c r="AE105" s="26"/>
      <c r="AF105" s="5"/>
      <c r="AG105" s="5"/>
      <c r="AH105" s="5"/>
      <c r="AI105" s="5"/>
      <c r="AJ105" s="5"/>
      <c r="AK105" s="5"/>
      <c r="AL105" s="5"/>
      <c r="AM105" s="5"/>
      <c r="AN105" s="5"/>
    </row>
    <row r="106" spans="1:40" s="134" customFormat="1" ht="18.75" customHeight="1">
      <c r="N106" s="138"/>
      <c r="O106" s="138"/>
      <c r="P106" s="138"/>
      <c r="Q106" s="138"/>
      <c r="R106" s="138"/>
      <c r="S106" s="138"/>
      <c r="T106" s="138"/>
      <c r="U106" s="26">
        <f>IF(AVERAGE(U24,V23,W22,X21,Y20,Z19,AA18,AB17,AC16,AD15,AE14)&gt;Exercise,AVERAGE(U24,V23,W22,X21,Y20,Z19,AA18,AB17,AC16,AD15,AE14)-Exercise,0)</f>
        <v>80.58987755588376</v>
      </c>
      <c r="V106" s="26"/>
      <c r="W106" s="26">
        <f>IF(AVERAGE(W24,X23,Y22,Z21,AA20,AB19,AC18,AD17,AE16)&gt;Exercise,AVERAGE(W24,X23,Y22,Z21,AA20,AB19,AC18,AD17,AE16)-Exercise,0)</f>
        <v>75.658683520633389</v>
      </c>
      <c r="X106" s="26"/>
      <c r="Y106" s="26">
        <f>IF(AVERAGE(Y24,Z23,AA22,AB21,AC20,AD19,AE18)&gt;Exercise,AVERAGE(Y24,Z23,AA22,AB21,AC20,AD19,AE18)-Exercise,0)</f>
        <v>70.897491038922368</v>
      </c>
      <c r="Z106" s="26"/>
      <c r="AA106" s="26">
        <f>IF(AVERAGE(AA24,AB23,AC22,AD21,AE20)&gt;Exercise,AVERAGE(AA24,AB23,AC22,AD21,AE20)-Exercise,0)</f>
        <v>66.299777483660961</v>
      </c>
      <c r="AB106" s="26"/>
      <c r="AC106" s="26">
        <f>IF(AVERAGE(AC24,AD23,AE22)&gt;Exercise,AVERAGE(AC24,AD23,AE22)-Exercise,0)</f>
        <v>61.859285736645433</v>
      </c>
      <c r="AD106" s="26"/>
      <c r="AE106" s="26">
        <f>IF(AE24&gt;Exercise,AE24-Exercise,0)</f>
        <v>57.570012965213493</v>
      </c>
      <c r="AF106" s="5"/>
      <c r="AG106" s="5"/>
      <c r="AH106" s="5"/>
      <c r="AI106" s="5"/>
      <c r="AJ106" s="5"/>
      <c r="AK106" s="5"/>
      <c r="AL106" s="5"/>
      <c r="AM106" s="5"/>
      <c r="AN106" s="5"/>
    </row>
    <row r="107" spans="1:40" s="134" customFormat="1" ht="18.75" customHeight="1">
      <c r="N107" s="138"/>
      <c r="O107" s="138"/>
      <c r="P107" s="138"/>
      <c r="Q107" s="138"/>
      <c r="R107" s="138"/>
      <c r="S107" s="138"/>
      <c r="T107" s="26">
        <f>IF(AVERAGE(T25,U24,V23,W22,X21,Y20,Z19,AA18,AB17,AC16,AD15,AE14)&gt;Exercise,AVERAGE(T25,U24,V23,W22,X21,Y20,Z19,AA18,AB17,AC16,AD15,AE14)-Exercise,0)</f>
        <v>78.326237750054503</v>
      </c>
      <c r="U107" s="26"/>
      <c r="V107" s="26">
        <f>IF(AVERAGE(V25,W24,X23,Y22,Z21,AA20,AB19,AC18,AD17,AE16,)&gt;Exercise,AVERAGE(V25,W24,X23,Y22,Z21,AA20,AB19,AC18,AD17,AE16,)-Exercise,0)</f>
        <v>57.2140319610576</v>
      </c>
      <c r="W107" s="26"/>
      <c r="X107" s="26">
        <f>IF(AVERAGE(X25,Y24,Z23,AA22,AB21,AC20,AD19,AE18)&gt;Exercise,AVERAGE(X25,Y24,Z23,AA22,AB21,AC20,AD19,AE18)-Exercise,0)</f>
        <v>68.713579644798699</v>
      </c>
      <c r="Y107" s="26"/>
      <c r="Z107" s="26">
        <f>IF(AVERAGE(Z25,AA24,AB23,AC22,AD21,AE20)&gt;Exercise,AVERAGE(Z25,AA24,AB23,AC22,AD21,AE20)-Exercise,0)</f>
        <v>64.15418121737298</v>
      </c>
      <c r="AA107" s="26"/>
      <c r="AB107" s="26">
        <f>IF(AVERAGE(AB25,AC24,AD23,AE22)&gt;Exercise,AVERAGE(AB25,AC24,AD23,AE22)-Exercise,0)</f>
        <v>59.751014273967286</v>
      </c>
      <c r="AC107" s="26"/>
      <c r="AD107" s="26">
        <f>IF(AVERAGE(AD25,AE24)&gt;Exercise,AVERAGE(AD25,AE24)-Exercise,0)</f>
        <v>55.498106425573212</v>
      </c>
      <c r="AE107" s="26"/>
      <c r="AF107" s="5"/>
      <c r="AG107" s="5"/>
      <c r="AH107" s="5"/>
      <c r="AI107" s="5"/>
      <c r="AJ107" s="5"/>
      <c r="AK107" s="5"/>
      <c r="AL107" s="5"/>
      <c r="AM107" s="5"/>
      <c r="AN107" s="5"/>
    </row>
    <row r="108" spans="1:40" s="134" customFormat="1" ht="18.75" customHeight="1">
      <c r="N108" s="138"/>
      <c r="O108" s="138"/>
      <c r="P108" s="138"/>
      <c r="Q108" s="138"/>
      <c r="R108" s="138"/>
      <c r="S108" s="26">
        <f>IF(AVERAGE(S26,T25,U24,V23,W22,X21,Y20,Z19,AA18,AC16,AB17,AD15,AE14)&gt;Exercise,AVERAGE(S26,T25,U24,V23,W22,X21,Y20,Z19,AA18,AC16,AB17,AD15,AE14)-Exercise,0)</f>
        <v>76.100220241666506</v>
      </c>
      <c r="T108" s="26"/>
      <c r="U108" s="26">
        <f>IF(AVERAGE(U26,V25,W24,X23,Y22,Z21,AA20,AB19,AC18,AD17,AE16)&gt;Exercise,AVERAGE(U26,V25,W24,X23,Y22,Z21,AA20,AB19,AC18,AD17,AE16)-Exercise,0)</f>
        <v>71.249305610240356</v>
      </c>
      <c r="V108" s="26"/>
      <c r="W108" s="26">
        <f>IF(AVERAGE(W26,X25,Y24,Z23,AA22,AB21,AC20,AD19,AE18)&gt;Exercise,AVERAGE(W26,X25,Y24,Z23,AA22,AB21,AC20,AD19,AE18)-Exercise,0)</f>
        <v>66.566294144377764</v>
      </c>
      <c r="X108" s="26"/>
      <c r="Y108" s="26">
        <f>IF(AVERAGE(Y26,Z25,AA24,AB23,AC22,AD21,AE20)&gt;Exercise,AVERAGE(Y26,Z25,AA24,AB23,AC22,AD21,AE20)-Exercise,0)</f>
        <v>62.044728206464015</v>
      </c>
      <c r="Z108" s="26"/>
      <c r="AA108" s="26">
        <f>IF(AVERAGE(AA26,AB25,AC24,AD23,AE22)&gt;Exercise,AVERAGE(AA26,AB25,AC24,AD23,AE22)-Exercise,0)</f>
        <v>57.678413447375902</v>
      </c>
      <c r="AB108" s="26"/>
      <c r="AC108" s="26">
        <f>IF(AVERAGE(AC26,AD25,AE24)&gt;Exercise,AVERAGE(AC26,AD25,AE24)-Exercise,0)</f>
        <v>53.461407664052246</v>
      </c>
      <c r="AD108" s="26"/>
      <c r="AE108" s="26">
        <f>IF(AE26&gt;Exercise,AE26-Exercise,0)</f>
        <v>49.388010141010341</v>
      </c>
      <c r="AF108" s="5"/>
      <c r="AG108" s="5"/>
      <c r="AH108" s="5"/>
      <c r="AI108" s="5"/>
      <c r="AJ108" s="5"/>
      <c r="AK108" s="5"/>
      <c r="AL108" s="5"/>
      <c r="AM108" s="5"/>
      <c r="AN108" s="5"/>
    </row>
    <row r="109" spans="1:40" s="134" customFormat="1" ht="18.75" customHeight="1">
      <c r="A109" s="25"/>
      <c r="B109" s="25"/>
      <c r="C109" s="25"/>
      <c r="D109" s="25"/>
      <c r="E109" s="25"/>
      <c r="F109" s="25"/>
      <c r="G109" s="25"/>
      <c r="H109" s="25"/>
      <c r="I109" s="25"/>
      <c r="J109" s="25"/>
      <c r="K109" s="25"/>
      <c r="L109" s="25"/>
      <c r="M109" s="25"/>
      <c r="N109" s="138"/>
      <c r="O109" s="138"/>
      <c r="P109" s="138"/>
      <c r="Q109" s="138"/>
      <c r="R109" s="26">
        <f>IF(AVERAGE(R27,S26,T25,U24,V23,W22,X21,Y20,Z19,AA18,AB17,AC16,AD15,AE14)&gt;Exercise,AVERAGE(R27,S26,T25,U24,V23,W22,X21,Y20,Z19,AA18,AB17,AC16,AD15,AE14)-Exercise,0)</f>
        <v>73.911115328289185</v>
      </c>
      <c r="S109" s="26"/>
      <c r="T109" s="26">
        <f>IF(AVERAGE(T27,U26,V25,W24,X23,Y22,Z21,AA20,AB19,AC18,AD17,AE16)&gt;Exercise,AVERAGE(T27,U26,V25,W24,X23,Y22,Z21,AA20,AB19,AC18,AD17,AE16)-Exercise,0)</f>
        <v>69.099592763918935</v>
      </c>
      <c r="U109" s="26"/>
      <c r="V109" s="26">
        <f>IF(AVERAGE(V27,W26,X25,Y24,Z23,AA22,AB21,AC20,AD19,AE18,)&gt;Exercise,AVERAGE(V27,W26,X25,Y24,Z23,AA22,AB21,AC20,AD19,AE18,)-Exercise,0)</f>
        <v>49.04994534125305</v>
      </c>
      <c r="W109" s="26"/>
      <c r="X109" s="26">
        <f>IF(AVERAGE(X27,Y26,Z25,AA24,AB23,AC22,AD21,AE20)&gt;Exercise,AVERAGE(X27,Y26,Z25,AA24,AB23,AC22,AD21,AE20)-Exercise,0)</f>
        <v>59.970731112453933</v>
      </c>
      <c r="Y109" s="26"/>
      <c r="Z109" s="26">
        <f>IF(AVERAGE(Z27,AA26,AB25,AC24,AD23,AE22)&gt;Exercise,AVERAGE(Z27,AA26,AB25,AC24,AD23,AE22)-Exercise,0)</f>
        <v>55.640803115210474</v>
      </c>
      <c r="AA109" s="26"/>
      <c r="AB109" s="26">
        <f>IF(AVERAGE(AB27,AC26,AD25,AE24)&gt;Exercise,AVERAGE(AB27,AC26,AD25,AE24)-Exercise,0)</f>
        <v>51.459243611635031</v>
      </c>
      <c r="AC109" s="26"/>
      <c r="AD109" s="26">
        <f>IF(AVERAGE(AD27,AE26)&gt;Exercise,AVERAGE(AD27,AE26)-Exercise,0)</f>
        <v>47.420380797696822</v>
      </c>
      <c r="AE109" s="26"/>
      <c r="AF109" s="5"/>
      <c r="AG109" s="5"/>
      <c r="AH109" s="5"/>
      <c r="AI109" s="5"/>
      <c r="AJ109" s="5"/>
      <c r="AK109" s="5"/>
      <c r="AL109" s="5"/>
      <c r="AM109" s="5"/>
      <c r="AN109" s="5"/>
    </row>
    <row r="110" spans="1:40" s="134" customFormat="1" ht="18.75" customHeight="1">
      <c r="A110" s="25"/>
      <c r="B110" s="25"/>
      <c r="C110" s="25"/>
      <c r="D110" s="25"/>
      <c r="E110" s="25"/>
      <c r="F110" s="25"/>
      <c r="G110" s="25"/>
      <c r="H110" s="25"/>
      <c r="I110" s="25"/>
      <c r="J110" s="25"/>
      <c r="K110" s="25"/>
      <c r="L110" s="25"/>
      <c r="M110" s="25"/>
      <c r="N110" s="138"/>
      <c r="O110" s="138"/>
      <c r="P110" s="138"/>
      <c r="Q110" s="26">
        <f>IF(AVERAGE(Q28,R27,S26,T25,U24,V23,W22,X21,Y20,Z19,AA18,AB17,AC16,AD15,AE14)&gt;Exercise,AVERAGE(Q28,R27,S26,T25,U24,V23,W22,X21,Y20,Z19,AA18,AB17,AC16,AD15,AE14)-Exercise,0)</f>
        <v>71.75822765137039</v>
      </c>
      <c r="R110" s="26"/>
      <c r="S110" s="26">
        <f>IF(AVERAGE(S28,T27,U26,V25,W24,X23,Y22,Z21,AA20,AC18,AB19,AD17,AE16)&gt;Exercise,AVERAGE(S28,T27,U26,V25,W24,X23,Y22,Z21,AA20,AC18,AB19,AD17,AE16)-Exercise,0)</f>
        <v>66.985608718579584</v>
      </c>
      <c r="T110" s="26"/>
      <c r="U110" s="26">
        <f>IF(AVERAGE(U28,V27,W26,X25,Y24,Z23,AA22,AB21,AC20,AD19,AE18)&gt;Exercise,AVERAGE(U28,V27,W26,X25,Y24,Z23,AA22,AB21,AC20,AD19,AE18)-Exercise,0)</f>
        <v>62.378836266208225</v>
      </c>
      <c r="V110" s="26"/>
      <c r="W110" s="26">
        <f>IF(AVERAGE(W28,X27,Y26,Z25,AA24,AB23,AC22,AD21,AE20)&gt;Exercise,AVERAGE(W28,X27,Y26,Z25,AA24,AB23,AC22,AD21,AE20)-Exercise,0)</f>
        <v>57.931516563793224</v>
      </c>
      <c r="X110" s="26"/>
      <c r="Y110" s="26">
        <f>IF(AVERAGE(Y28,Z27,AA26,AB25,AC24,AD23,AE22)&gt;Exercise,AVERAGE(Y28,Z27,AA26,AB25,AC24,AD23,AE22)-Exercise,0)</f>
        <v>53.637516980824302</v>
      </c>
      <c r="Z110" s="26"/>
      <c r="AA110" s="26">
        <f>IF(AVERAGE(AA28,AB27,AC26,AD25,AE24)&gt;Exercise,AVERAGE(AA28,AB27,AC26,AD25,AE24)-Exercise,0)</f>
        <v>49.490954924209461</v>
      </c>
      <c r="AB110" s="26"/>
      <c r="AC110" s="26">
        <f>IF(AVERAGE(AC28,AD27,AE26)&gt;Exercise,AVERAGE(AC28,AD27,AE26)-Exercise,0)</f>
        <v>45.486187256633599</v>
      </c>
      <c r="AD110" s="26"/>
      <c r="AE110" s="26">
        <f>IF(AE28&gt;Exercise,AE28-Exercise,0)</f>
        <v>41.617800174507153</v>
      </c>
      <c r="AF110" s="5"/>
      <c r="AG110" s="5"/>
      <c r="AH110" s="5"/>
      <c r="AI110" s="5"/>
      <c r="AJ110" s="5"/>
      <c r="AK110" s="5"/>
      <c r="AL110" s="5"/>
      <c r="AM110" s="5"/>
      <c r="AN110" s="5"/>
    </row>
    <row r="111" spans="1:40" s="134" customFormat="1" ht="18.75" customHeight="1">
      <c r="A111" s="25"/>
      <c r="B111" s="25"/>
      <c r="C111" s="25"/>
      <c r="D111" s="25"/>
      <c r="E111" s="25"/>
      <c r="F111" s="25"/>
      <c r="G111" s="25"/>
      <c r="H111" s="25"/>
      <c r="I111" s="25"/>
      <c r="J111" s="25"/>
      <c r="K111" s="25"/>
      <c r="L111" s="25"/>
      <c r="M111" s="25"/>
      <c r="N111" s="138"/>
      <c r="O111" s="138"/>
      <c r="P111" s="26">
        <f>IF(AVERAGE(P29,Q28,R27,S26,T25,U24,V23,W22,X21,Y20,Z19,AA18,AB17,AC16,AD15,AE14)&gt;Exercise,AVERAGE(P29,Q28,R27,S26,T25,U24,V23,W22,X21,Y20,Z19,AA18,AB17,AC16,AD15,AE14)-Exercise,0)</f>
        <v>69.64087589348199</v>
      </c>
      <c r="Q111" s="26"/>
      <c r="R111" s="26">
        <f>IF(AVERAGE(R29,S28,T27,U26,V25,W24,X23,Y22,Z21,AA20,AB19,AC18,AD17,AE16)&gt;Exercise,AVERAGE(R29,S28,T27,U26,V25,W24,X23,Y22,Z21,AA20,AB19,AC18,AD17,AE16)-Exercise,0)</f>
        <v>64.906679490477956</v>
      </c>
      <c r="S111" s="26"/>
      <c r="T111" s="26">
        <f>IF(AVERAGE(T29,U28,V27,W26,X25,Y24,Z23,AA22,AB21,AC20,AD19,AE18)&gt;Exercise,AVERAGE(T29,U28,V27,W26,X25,Y24,Z23,AA22,AB21,AC20,AD19,AE18)-Exercise,0)</f>
        <v>60.337316537787302</v>
      </c>
      <c r="U111" s="26"/>
      <c r="V111" s="26">
        <f>IF(AVERAGE(V29,W28,X27,Y26,Z25,AA24,AB23,AC22,AD21,AE20,)&gt;Exercise,AVERAGE(V29,W28,X27,Y26,Z25,AA24,AB23,AC22,AD21,AE20,)-Exercise,0)</f>
        <v>41.296749872663241</v>
      </c>
      <c r="W111" s="26"/>
      <c r="X111" s="26">
        <f>IF(AVERAGE(X29,Y28,Z27,AA26,AB25,AC24,AD23,AE22)&gt;Exercise,AVERAGE(X29,Y28,Z27,AA26,AB25,AC24,AD23,AE22)-Exercise,0)</f>
        <v>51.667902298865897</v>
      </c>
      <c r="Y111" s="26"/>
      <c r="Z111" s="26">
        <f>IF(AVERAGE(Z29,AA28,AB27,AC26,AD25,AE24)&gt;Exercise,AVERAGE(Z29,AA28,AB27,AC26,AD25,AE24)-Exercise,0)</f>
        <v>47.555895691034038</v>
      </c>
      <c r="AA111" s="26"/>
      <c r="AB111" s="26">
        <f>IF(AVERAGE(AB29,AC28,AD27,AE26)&gt;Exercise,AVERAGE(AB29,AC28,AD27,AE26)-Exercise,0)</f>
        <v>43.584790323764452</v>
      </c>
      <c r="AC111" s="26"/>
      <c r="AD111" s="26">
        <f>IF(AVERAGE(AD29,AE28)&gt;Exercise,AVERAGE(AD29,AE28)-Exercise,0)</f>
        <v>39.749199849832053</v>
      </c>
      <c r="AE111" s="26"/>
      <c r="AF111" s="5"/>
      <c r="AG111" s="5"/>
      <c r="AH111" s="5"/>
      <c r="AI111" s="5"/>
      <c r="AJ111" s="5"/>
      <c r="AK111" s="5"/>
      <c r="AL111" s="5"/>
      <c r="AM111" s="5"/>
      <c r="AN111" s="5"/>
    </row>
    <row r="112" spans="1:40" ht="18.75" customHeight="1">
      <c r="A112" s="25"/>
      <c r="B112" s="25"/>
      <c r="C112" s="25"/>
      <c r="D112" s="25"/>
      <c r="E112" s="25"/>
      <c r="F112" s="25"/>
      <c r="G112" s="25"/>
      <c r="H112" s="25"/>
      <c r="I112" s="25"/>
      <c r="J112" s="25"/>
      <c r="K112" s="25"/>
      <c r="L112" s="25"/>
      <c r="M112" s="25"/>
      <c r="N112" s="138"/>
      <c r="O112" s="26">
        <f>IF(AVERAGE(O30,P29,Q28,R27,S26,T25,U24,V23,W22,X21,Y20,Z19,AA18,AB17,AC16,AD15,AE14)&gt;Exercise,AVERAGE(O30,P29,Q28,R27,S26,T25,U24,V23,W22,X21,Y20,Z19,AA18,AB17,AC16,AD15,AE14)-Exercise,0)</f>
        <v>67.558392482148662</v>
      </c>
      <c r="P112" s="26"/>
      <c r="Q112" s="26">
        <f>IF(AVERAGE(Q30,R29,S28,T27,U26,V25,W24,X23,Y22,Z21,AA20,AB19,AC18,AD17,AE16)&gt;Exercise,AVERAGE(Q30,R29,S28,T27,U26,V25,W24,X23,Y22,Z21,AA20,AB19,AC18,AD17,AE16)-Exercise,0)</f>
        <v>62.862144717833786</v>
      </c>
      <c r="R112" s="26"/>
      <c r="S112" s="26">
        <f>IF(AVERAGE(S30,T29,U28,V27,W26,X25,Y24,Z23,AA22,AC20,AB21,AD19,AE18)&gt;Exercise,AVERAGE(S30,T29,U28,V27,W26,X25,Y24,Z23,AA22,AC20,AB21,AD19,AE18)-Exercise,0)</f>
        <v>58.329727411866372</v>
      </c>
      <c r="T112" s="26"/>
      <c r="U112" s="26">
        <f>IF(AVERAGE(U30,V29,W28,X27,Y26,Z25,AA24,AB23,AC22,AD21,AE20)&gt;Exercise,AVERAGE(U30,V29,W28,X27,Y26,Z25,AA24,AB23,AC22,AD21,AE20)-Exercise,0)</f>
        <v>53.954809681828266</v>
      </c>
      <c r="V112" s="26"/>
      <c r="W112" s="26">
        <f>IF(AVERAGE(W30,X29,Y28,Z27,AA26,AB25,AC24,AD23,AE22)&gt;Exercise,AVERAGE(W30,X29,Y28,Z27,AA26,AB25,AC24,AD23,AE22)-Exercise,0)</f>
        <v>49.73131958797137</v>
      </c>
      <c r="X112" s="26"/>
      <c r="Y112" s="26">
        <f>IF(AVERAGE(Y30,Z29,AA28,AB27,AC26,AD25,AE24)&gt;Exercise,AVERAGE(Y30,Z29,AA28,AB27,AC26,AD25,AE24)-Exercise,0)</f>
        <v>45.653433149574226</v>
      </c>
      <c r="Z112" s="26"/>
      <c r="AA112" s="26">
        <f>IF(AVERAGE(AA30,AB29,AC28,AD27,AE26)&gt;Exercise,AVERAGE(AA30,AB29,AC28,AD27,AE26)-Exercise,0)</f>
        <v>41.715563839174592</v>
      </c>
      <c r="AB112" s="26"/>
      <c r="AC112" s="26">
        <f>IF(AVERAGE(AC30,AD29,AE28)&gt;Exercise,AVERAGE(AC30,AD29,AE28)-Exercise,0)</f>
        <v>37.912352533493078</v>
      </c>
      <c r="AD112" s="26"/>
      <c r="AE112" s="26">
        <f>IF(AE30&gt;Exercise,AE30-Exercise,0)</f>
        <v>34.238657900815127</v>
      </c>
      <c r="AF112" s="5"/>
      <c r="AG112" s="5"/>
      <c r="AH112" s="5"/>
      <c r="AI112" s="5"/>
      <c r="AJ112" s="5"/>
      <c r="AK112" s="5"/>
      <c r="AL112" s="5"/>
      <c r="AM112" s="5"/>
    </row>
    <row r="113" spans="1:39" ht="25.5" customHeight="1">
      <c r="A113" s="24" t="s">
        <v>29</v>
      </c>
      <c r="B113" s="5"/>
      <c r="C113" s="5"/>
      <c r="D113" s="5"/>
      <c r="E113" s="5"/>
      <c r="F113" s="5"/>
      <c r="G113" s="5"/>
      <c r="H113" s="5"/>
      <c r="I113" s="5"/>
      <c r="J113" s="5"/>
      <c r="K113" s="5"/>
      <c r="L113" s="5"/>
      <c r="M113" s="5"/>
      <c r="N113" s="26">
        <f>IF(AVERAGE(N31,O30,P29,Q28,R27,S26,T25,U24,V23,W22,X21,Y20,Z19,AA18,AB17,AC16,AD15,AE14)&gt;Exercise,AVERAGE(N31,O30,P29,Q28,R27,S26,T25,U24,V23,W22,X21,Y20,Z19,AA18,AB17,AC16,AD15,AE14)-Exercise,0)</f>
        <v>65.51012330011315</v>
      </c>
      <c r="O113" s="26"/>
      <c r="P113" s="26">
        <f>IF(AVERAGE(P31,Q30,R29,S28,T27,U26,V25,W24,X23,Y22,Z21,AA20,AB19,AC18,AD17,AE16)&gt;Exercise,AVERAGE(P31,Q30,R29,S28,T27,U26,V25,W24,X23,Y22,Z21,AA20,AB19,AC18,AD17,AE16)-Exercise,0)</f>
        <v>60.851357373313505</v>
      </c>
      <c r="Q113" s="26"/>
      <c r="R113" s="26">
        <f>IF(AVERAGE(R31,S30,T29,U28,V27,W26,X25,Y24,Z23,AA22,AB21,AC20,AD19,AE18)&gt;Exercise,AVERAGE(R31,S30,T29,U28,V27,W26,X25,Y24,Z23,AA22,AB21,AC20,AD19,AE18)-Exercise,0)</f>
        <v>56.355428825697999</v>
      </c>
      <c r="S113" s="26"/>
      <c r="T113" s="26">
        <f>IF(AVERAGE(T31,U30,V29,W28,X27,Y26,Z25,AA24,AB23,AC22,AD21,AE20)&gt;Exercise,AVERAGE(T31,U30,V29,W28,X27,Y26,Z25,AA24,AB23,AC22,AD21,AE20)-Exercise,0)</f>
        <v>52.016037808801684</v>
      </c>
      <c r="U113" s="26"/>
      <c r="V113" s="26">
        <f>IF(AVERAGE(V31,W30,X29,Y28,Z27,AA26,AB25,AC24,AD23,AE22,)&gt;Exercise,AVERAGE(V31,W30,X29,Y28,Z27,AA26,AB25,AC24,AD23,AE22,)-Exercise,0)</f>
        <v>33.933765772477415</v>
      </c>
      <c r="W113" s="26"/>
      <c r="X113" s="26">
        <f>IF(AVERAGE(X31,Y30,Z29,AA28,AB27,AC26,AD25,AE24)&gt;Exercise,AVERAGE(X31,Y30,Z29,AA28,AB27,AC26,AD25,AE24)-Exercise,0)</f>
        <v>43.78294740656608</v>
      </c>
      <c r="Y113" s="26"/>
      <c r="Z113" s="26">
        <f>IF(AVERAGE(Z31,AA30,AB29,AC28,AD27,AE26)&gt;Exercise,AVERAGE(Z31,AA30,AB29,AC28,AD27,AE26)-Exercise,0)</f>
        <v>39.87789440023036</v>
      </c>
      <c r="AA113" s="26"/>
      <c r="AB113" s="26">
        <f>IF(AVERAGE(AB31,AC30,AD29,AE28)&gt;Exercise,AVERAGE(AB31,AC30,AD29,AE28)-Exercise,0)</f>
        <v>36.106651201497101</v>
      </c>
      <c r="AC113" s="26"/>
      <c r="AD113" s="26">
        <f>IF(AVERAGE(AD31,AE30)&gt;Exercise,AVERAGE(AD31,AE30)-Exercise,0)</f>
        <v>32.464102553162149</v>
      </c>
      <c r="AE113" s="26"/>
      <c r="AF113" s="5"/>
      <c r="AG113" s="5"/>
      <c r="AH113" s="5"/>
      <c r="AI113" s="5"/>
      <c r="AJ113" s="5"/>
      <c r="AK113" s="5"/>
      <c r="AL113" s="5"/>
      <c r="AM113" s="5"/>
    </row>
    <row r="114" spans="1:39" ht="18.75" customHeight="1">
      <c r="A114" s="25"/>
      <c r="B114" s="25"/>
      <c r="C114" s="25"/>
      <c r="D114" s="25"/>
      <c r="E114" s="25"/>
      <c r="F114" s="25"/>
      <c r="G114" s="25"/>
      <c r="H114" s="25"/>
      <c r="I114" s="25"/>
      <c r="J114" s="25"/>
      <c r="K114" s="25"/>
      <c r="L114" s="25"/>
      <c r="M114" s="26">
        <f>IF(AVERAGE(M32,N31,O30,P29,Q28,R27,S26,T25,U24,V23,W22,X21,Y20,Z19,AA18,AB17,AC16,AD15,AE14)&gt;Exercise,AVERAGE(M32,N31,O30,P29,Q28,R27,S26,T25,U24,V23,W22,X21,Y20,Z19,AA18,AB17,AC16,AD15,AE14)-Exercise,0)</f>
        <v>63.495427401896194</v>
      </c>
      <c r="N114" s="26"/>
      <c r="O114" s="26">
        <f>IF(AVERAGE(O32,P31,Q30,R29,S28,T27,U26,V25,W24,X23,Y22,Z21,AA20,AB19,AC18,AD17,AE16)&gt;Exercise,AVERAGE(O32,P31,Q30,R29,S28,T27,U26,V25,W24,X23,Y22,Z21,AA20,AB19,AC18,AD17,AE16)-Exercise,0)</f>
        <v>58.873683482765131</v>
      </c>
      <c r="P114" s="26"/>
      <c r="Q114" s="26">
        <f>IF(AVERAGE(Q32,R31,S30,T29,U28,V27,W26,X25,Y24,Z23,AA22,AB21,AC20,AD19,AE18)&gt;Exercise,AVERAGE(Q32,R31,S30,T29,U28,V27,W26,X25,Y24,Z23,AA22,AB21,AC20,AD19,AE18)-Exercise,0)</f>
        <v>54.413793652917491</v>
      </c>
      <c r="R114" s="26"/>
      <c r="S114" s="26">
        <f>IF(AVERAGE(S32,T31,U30,V29,W28,X27,Y26,Z25,AA24,AC22,AB23,AD21,AE20)&gt;Exercise,AVERAGE(S32,T31,U30,V29,W28,X27,Y26,Z25,AA24,AC22,AB23,AD21,AE20)-Exercise,0)</f>
        <v>50.109488841508522</v>
      </c>
      <c r="T114" s="26"/>
      <c r="U114" s="26">
        <f>IF(AVERAGE(U32,V31,W30,X29,Y28,Z27,AA26,AB25,AC24,AD23,AE22)&gt;Exercise,AVERAGE(U32,V31,W30,X29,Y28,Z27,AA26,AB25,AC24,AD23,AE22)-Exercise,0)</f>
        <v>45.954756793749283</v>
      </c>
      <c r="V114" s="26"/>
      <c r="W114" s="26">
        <f>IF(AVERAGE(W32,X31,Y30,Z29,AA28,AB27,AC26,AD25,AE24)&gt;Exercise,AVERAGE(W32,X31,Y30,Z29,AA28,AB27,AC26,AD25,AE24)-Exercise,0)</f>
        <v>41.943831165168802</v>
      </c>
      <c r="X114" s="26"/>
      <c r="Y114" s="26">
        <f>IF(AVERAGE(Y32,Z31,AA30,AB29,AC28,AD27,AE26)&gt;Exercise,AVERAGE(Y32,Z31,AA30,AB29,AC28,AD27,AE26)-Exercise,0)</f>
        <v>38.071181090767539</v>
      </c>
      <c r="Z114" s="26"/>
      <c r="AA114" s="26">
        <f>IF(AVERAGE(AA32,AB31,AC30,AD29,AE28)&gt;Exercise,AVERAGE(AA32,AB31,AC30,AD29,AE28)-Exercise,0)</f>
        <v>34.331501207995814</v>
      </c>
      <c r="AB114" s="26"/>
      <c r="AC114" s="26">
        <f>IF(AVERAGE(AC32,AD31,AE30)&gt;Exercise,AVERAGE(AC32,AD31,AE30)-Exercise,0)</f>
        <v>30.719702113438302</v>
      </c>
      <c r="AD114" s="26"/>
      <c r="AE114" s="26">
        <f>IF(AE32&gt;Exercise,AE32-Exercise,0)</f>
        <v>27.230901233990608</v>
      </c>
      <c r="AF114" s="5"/>
      <c r="AG114" s="5"/>
      <c r="AH114" s="5"/>
      <c r="AI114" s="5"/>
      <c r="AJ114" s="5"/>
      <c r="AK114" s="5"/>
      <c r="AL114" s="5"/>
      <c r="AM114" s="5"/>
    </row>
    <row r="115" spans="1:39" ht="18.75" customHeight="1">
      <c r="A115" s="25"/>
      <c r="B115" s="25"/>
      <c r="C115" s="25"/>
      <c r="D115" s="25"/>
      <c r="E115" s="25"/>
      <c r="F115" s="25"/>
      <c r="G115" s="25"/>
      <c r="H115" s="25"/>
      <c r="I115" s="25"/>
      <c r="J115" s="25"/>
      <c r="K115" s="25"/>
      <c r="L115" s="26">
        <f>((M114*$E$7)/(1+$E$6))+((M116*(1-$E$7))/(1+$E$6))</f>
        <v>59.129806526007357</v>
      </c>
      <c r="M115" s="25"/>
      <c r="N115" s="26">
        <f>IF(AVERAGE(N33,O32,P31,Q30,R29,S28,T27,U26,V25,W24,X23,Y22,Z21,AA20,AB19,AC18,AD17,AE16)&gt;Exercise,AVERAGE(N33,O32,P31,Q30,R29,S28,T27,U26,V25,W24,X23,Y22,Z21,AA20,AB19,AC18,AD17,AE16)-Exercise,0)</f>
        <v>56.9285018500658</v>
      </c>
      <c r="O115" s="26"/>
      <c r="P115" s="26">
        <f>IF(AVERAGE(P33,Q32,R31,S30,T29,U28,V27,W26,X25,Y24,Z23,AA22,AB21,AC20,AD19,AE18)&gt;Exercise,AVERAGE(P33,Q32,R31,S30,T29,U28,V27,W26,X25,Y24,Z23,AA22,AB21,AC20,AD19,AE18)-Exercise,0)</f>
        <v>52.504207430496251</v>
      </c>
      <c r="Q115" s="26"/>
      <c r="R115" s="26">
        <f>IF(AVERAGE(R33,S32,T31,U30,V29,W28,X27,Y26,Z25,AA24,AB23,AC22,AD21,AE20)&gt;Exercise,AVERAGE(R33,S32,T31,U30,V29,W28,X27,Y26,Z25,AA24,AB23,AC22,AD21,AE20)-Exercise,0)</f>
        <v>48.234554930984871</v>
      </c>
      <c r="S115" s="26"/>
      <c r="T115" s="26">
        <f>IF(AVERAGE(T33,U32,V31,W30,X29,Y28,Z27,AA26,AB25,AC24,AD23,AE22)&gt;Exercise,AVERAGE(T33,U32,V31,W30,X29,Y28,Z27,AA26,AB25,AC24,AD23,AE22)-Exercise,0)</f>
        <v>44.113561568785002</v>
      </c>
      <c r="U115" s="26"/>
      <c r="V115" s="26">
        <f>IF(AVERAGE(V33,W32,X31,Y30,Z29,AA28,AB27,AC26,AD25,AE24,)&gt;Exercise,AVERAGE(V33,W32,X31,Y30,Z29,AA28,AB27,AC26,AD25,AE24,)-Exercise,0)</f>
        <v>26.941354052790615</v>
      </c>
      <c r="W115" s="26"/>
      <c r="X115" s="26">
        <f>IF(AVERAGE(X33,Y32,Z31,AA30,AB29,AC28,AD27,AE26)&gt;Exercise,AVERAGE(X33,Y32,Z31,AA30,AB29,AC28,AD27,AE26)-Exercise,0)</f>
        <v>36.294835216193803</v>
      </c>
      <c r="Y115" s="26"/>
      <c r="Z115" s="26">
        <f>IF(AVERAGE(Z33,AA32,AB31,AC30,AD29,AE28)&gt;Exercise,AVERAGE(Z33,AA32,AB31,AC30,AD29,AE28)-Exercise,0)</f>
        <v>32.586320022359445</v>
      </c>
      <c r="AA115" s="26"/>
      <c r="AB115" s="26">
        <f>IF(AVERAGE(AB33,AC32,AD31,AE30)&gt;Exercise,AVERAGE(AB33,AC32,AD31,AE30)-Exercise,0)</f>
        <v>29.004880108623155</v>
      </c>
      <c r="AC115" s="26"/>
      <c r="AD115" s="26">
        <f>IF(AVERAGE(AD33,AE32)&gt;Exercise,AVERAGE(AD33,AE32)-Exercise,0)</f>
        <v>25.54565766408416</v>
      </c>
      <c r="AE115" s="26"/>
      <c r="AF115" s="5"/>
      <c r="AG115" s="5"/>
      <c r="AH115" s="5"/>
      <c r="AI115" s="5"/>
      <c r="AJ115" s="5"/>
      <c r="AK115" s="5"/>
      <c r="AL115" s="5"/>
      <c r="AM115" s="5"/>
    </row>
    <row r="116" spans="1:39" ht="18.75" customHeight="1">
      <c r="A116" s="25"/>
      <c r="B116" s="25"/>
      <c r="C116" s="25"/>
      <c r="D116" s="25"/>
      <c r="E116" s="25"/>
      <c r="F116" s="25"/>
      <c r="G116" s="25"/>
      <c r="H116" s="25"/>
      <c r="I116" s="25"/>
      <c r="J116" s="25"/>
      <c r="K116" s="26">
        <f>((L115*$E$7)/(1+$E$6))+((L117*(1-$E$7))/(1+$E$6))</f>
        <v>54.886203549191777</v>
      </c>
      <c r="L116" s="25"/>
      <c r="M116" s="26">
        <f>IF(AVERAGE(M34,N33,O32,P31,Q30,R29,S28,T27,U26,V25,W24,X23,Y22,Z21,AA20,AB19,AC18,AD17,AE16)&gt;Exercise,AVERAGE(M34,N33,O32,P31,Q30,R29,S28,T27,U26,V25,W24,X23,Y22,Z21,AA20,AB19,AC18,AD17,AE16)-Exercise,0)</f>
        <v>55.015203787947002</v>
      </c>
      <c r="N116" s="26"/>
      <c r="O116" s="26">
        <f>IF(AVERAGE(O34,P33,Q32,R31,S30,T29,U28,V27,W26,X25,Y24,Z23,AA22,AB21,AC20,AD19,AE18)&gt;Exercise,AVERAGE(O34,P33,Q32,R31,S30,T29,U28,V27,W26,X25,Y24,Z23,AA22,AB21,AC20,AD19,AE18)-Exercise,0)</f>
        <v>50.626068091632277</v>
      </c>
      <c r="P116" s="26"/>
      <c r="Q116" s="26">
        <f>IF(AVERAGE(Q34,R33,S32,T31,U30,V29,W28,X27,Y26,Z25,AA24,AB23,AC22,AD21,AE20)&gt;Exercise,AVERAGE(Q34,R33,S32,T31,U30,V29,W28,X27,Y26,Z25,AA24,AB23,AC22,AD21,AE20)-Exercise,0)</f>
        <v>46.390640513573118</v>
      </c>
      <c r="R116" s="26"/>
      <c r="S116" s="26">
        <f>IF(AVERAGE(S34,T33,U32,V31,W30,X29,Y28,Z27,AA26,AC24,AB25,AD23,AE22)&gt;Exercise,AVERAGE(S34,T33,U32,V31,W30,X29,Y28,Z27,AA26,AC24,AB25,AD23,AE22)-Exercise,0)</f>
        <v>42.302967499632928</v>
      </c>
      <c r="T116" s="26"/>
      <c r="U116" s="26">
        <f>IF(AVERAGE(U34,V33,W32,X31,Y30,Z29,AA28,AB27,AC26,AD25,AE24)&gt;Exercise,AVERAGE(U34,V33,W32,X31,Y30,Z29,AA28,AB27,AC26,AD25,AE24)-Exercise,0)</f>
        <v>38.357339386409564</v>
      </c>
      <c r="V116" s="26"/>
      <c r="W116" s="26">
        <f>IF(AVERAGE(W34,X33,Y32,Z31,AA30,AB29,AC28,AD27,AE26)&gt;Exercise,AVERAGE(W34,X33,Y32,Z31,AA30,AB29,AC28,AD27,AE26)-Exercise,0)</f>
        <v>34.5482800443732</v>
      </c>
      <c r="X116" s="26"/>
      <c r="Y116" s="26">
        <f>IF(AVERAGE(Y34,Z33,AA32,AB31,AC30,AD29,AE28)&gt;Exercise,AVERAGE(Y34,Z33,AA32,AB31,AC30,AD29,AE28)-Exercise,0)</f>
        <v>30.870536971994994</v>
      </c>
      <c r="Z116" s="26"/>
      <c r="AA116" s="26">
        <f>IF(AVERAGE(AA34,AB33,AC32,AD31,AE30)&gt;Exercise,AVERAGE(AA34,AB33,AC32,AD31,AE30)-Exercise,0)</f>
        <v>27.319071820860188</v>
      </c>
      <c r="AB116" s="26"/>
      <c r="AC116" s="26">
        <f>IF(AVERAGE(AC34,AD33,AE32)&gt;Exercise,AVERAGE(AC34,AD33,AE32)-Exercise,0)</f>
        <v>23.889051332658852</v>
      </c>
      <c r="AD116" s="26"/>
      <c r="AE116" s="26">
        <f>IF(AE34&gt;Exercise,AE34-Exercise,0)</f>
        <v>20.575838669808206</v>
      </c>
      <c r="AF116" s="5"/>
      <c r="AG116" s="5"/>
      <c r="AH116" s="5"/>
      <c r="AI116" s="5"/>
      <c r="AJ116" s="5"/>
      <c r="AK116" s="5"/>
      <c r="AL116" s="5"/>
      <c r="AM116" s="5"/>
    </row>
    <row r="117" spans="1:39" ht="18.75" customHeight="1">
      <c r="A117" s="25"/>
      <c r="B117" s="25"/>
      <c r="C117" s="25"/>
      <c r="D117" s="25"/>
      <c r="E117" s="25"/>
      <c r="F117" s="25"/>
      <c r="G117" s="25"/>
      <c r="H117" s="25"/>
      <c r="I117" s="25"/>
      <c r="J117" s="26">
        <f>((K116*$E$7)/(1+$E$6))+((K118*(1-$E$7))/(1+$E$6))</f>
        <v>50.761323773021864</v>
      </c>
      <c r="K117" s="25"/>
      <c r="L117" s="26">
        <f>((M116*$E$7)/(1+$E$6))+((M118*(1-$E$7))/(1+$E$6))</f>
        <v>50.878057275448938</v>
      </c>
      <c r="M117" s="25"/>
      <c r="N117" s="26">
        <f>IF(AVERAGE(N35,O34,P33,Q32,R31,S30,T29,U28,V27,W26,X25,Y24,Z23,AA22,AB21,AC20,AD19,AE18)&gt;Exercise,AVERAGE(N35,O34,P33,Q32,R31,S30,T29,U28,V27,W26,X25,Y24,Z23,AA22,AB21,AC20,AD19,AE18)-Exercise,0)</f>
        <v>48.778785704445994</v>
      </c>
      <c r="O117" s="26"/>
      <c r="P117" s="26">
        <f>IF(AVERAGE(P35,Q34,R33,S32,T31,U30,V29,W28,X27,Y26,Z25,AA24,AB23,AC22,AD21,AE20)&gt;Exercise,AVERAGE(P35,Q34,R33,S32,T31,U30,V29,W28,X27,Y26,Z25,AA24,AB23,AC22,AD21,AE20)-Exercise,0)</f>
        <v>44.577162051617222</v>
      </c>
      <c r="Q117" s="26"/>
      <c r="R117" s="26">
        <f>IF(AVERAGE(R35,S34,T33,U32,V31,W30,X29,Y28,Z27,AA26,AB25,AC24,AD23,AE22)&gt;Exercise,AVERAGE(R35,S34,T33,U32,V31,W30,X29,Y28,Z27,AA26,AB25,AC24,AD23,AE22)-Exercise,0)</f>
        <v>40.522397329821928</v>
      </c>
      <c r="S117" s="26"/>
      <c r="T117" s="26">
        <f>IF(AVERAGE(T35,U34,V33,W32,X31,Y30,Z29,AA28,AB27,AC26,AD25,AE24)&gt;Exercise,AVERAGE(T35,U34,V33,W32,X31,Y30,Z29,AA28,AB27,AC26,AD25,AE24)-Exercise,0)</f>
        <v>36.608809864398665</v>
      </c>
      <c r="U117" s="26"/>
      <c r="V117" s="26">
        <f>IF(AVERAGE(V35,W34,X33,Y32,Z31,AA30,AB29,AC28,AD27,AE26,)&gt;Exercise,AVERAGE(V35,W34,X33,Y32,Z31,AA30,AB29,AC28,AD27,AE26,)-Exercise,0)</f>
        <v>20.300864138330695</v>
      </c>
      <c r="W117" s="26"/>
      <c r="X117" s="26">
        <f>IF(AVERAGE(X35,Y34,Z33,AA32,AB31,AC30,AD29,AE28)&gt;Exercise,AVERAGE(X35,Y34,Z33,AA32,AB31,AC30,AD29,AE28)-Exercise,0)</f>
        <v>29.183592990780511</v>
      </c>
      <c r="Y117" s="26"/>
      <c r="Z117" s="26">
        <f>IF(AVERAGE(Z35,AA34,AB33,AC32,AD31,AE30)&gt;Exercise,AVERAGE(Z35,AA34,AB33,AC32,AD31,AE30)-Exercise,0)</f>
        <v>25.661724037763321</v>
      </c>
      <c r="AA117" s="26"/>
      <c r="AB117" s="26">
        <f>IF(AVERAGE(AB35,AC34,AD33,AE32)&gt;Exercise,AVERAGE(AB35,AC34,AD33,AE32)-Exercise,0)</f>
        <v>22.260534780063864</v>
      </c>
      <c r="AC117" s="26"/>
      <c r="AD117" s="26">
        <f>IF(AVERAGE(AD35,AE34)&gt;Exercise,AVERAGE(AD35,AE34)-Exercise,0)</f>
        <v>18.975411896043596</v>
      </c>
      <c r="AE117" s="26"/>
      <c r="AF117" s="5"/>
      <c r="AG117" s="5"/>
      <c r="AH117" s="5"/>
      <c r="AI117" s="5"/>
      <c r="AJ117" s="5"/>
      <c r="AK117" s="5"/>
      <c r="AL117" s="5"/>
      <c r="AM117" s="5"/>
    </row>
    <row r="118" spans="1:39" ht="18.75" customHeight="1">
      <c r="A118" s="25"/>
      <c r="B118" s="25"/>
      <c r="C118" s="25"/>
      <c r="D118" s="25"/>
      <c r="E118" s="25"/>
      <c r="F118" s="25"/>
      <c r="G118" s="25"/>
      <c r="H118" s="25"/>
      <c r="I118" s="26">
        <f>((J117*$E$7)/(1+$E$6))+((J119*(1-$E$7))/(1+$E$6))</f>
        <v>46.751961276983529</v>
      </c>
      <c r="J118" s="25"/>
      <c r="K118" s="26">
        <f>((L117*$E$7)/(1+$E$6))+((L119*(1-$E$7))/(1+$E$6))</f>
        <v>46.856773100908867</v>
      </c>
      <c r="L118" s="25"/>
      <c r="M118" s="26">
        <f>IF(AVERAGE(M36,N35,O34,P33,Q32,R31,S30,T29,U28,V27,W26,X25,Y24,Z23,AA22,AB21,AC20,AD19,AE18)&gt;Exercise,AVERAGE(M36,N35,O34,P33,Q32,R31,S30,T29,U28,V27,W26,X25,Y24,Z23,AA22,AB21,AC20,AD19,AE18)-Exercise,0)</f>
        <v>46.961782216352617</v>
      </c>
      <c r="N118" s="26"/>
      <c r="O118" s="26">
        <f>IF(AVERAGE(O36,P35,Q34,R33,S32,T31,U30,V29,W28,X27,Y26,Z25,AA24,AB23,AC22,AD21,AE20)&gt;Exercise,AVERAGE(O36,P35,Q34,R33,S32,T31,U30,V29,W28,X27,Y26,Z25,AA24,AB23,AC22,AD21,AE20)-Exercise,0)</f>
        <v>42.793547779796938</v>
      </c>
      <c r="P118" s="26"/>
      <c r="Q118" s="26">
        <f>IF(AVERAGE(Q36,R35,S34,T33,U32,V31,W30,X29,Y28,Z27,AA26,AB25,AC24,AD23,AE22)&gt;Exercise,AVERAGE(Q36,R35,S34,T33,U32,V31,W30,X29,Y28,Z27,AA26,AB25,AC24,AD23,AE22)-Exercise,0)</f>
        <v>38.77128546987862</v>
      </c>
      <c r="R118" s="26"/>
      <c r="S118" s="26">
        <f>IF(AVERAGE(S36,T35,U34,V33,W32,X31,Y30,Z29,AA28,AC26,AB27,AD25,AE24)&gt;Exercise,AVERAGE(S36,T35,U34,V33,W32,X31,Y30,Z29,AA28,AC26,AB27,AD25,AE24)-Exercise,0)</f>
        <v>34.889341369496634</v>
      </c>
      <c r="T118" s="26"/>
      <c r="U118" s="26">
        <f>IF(AVERAGE(U36,V35,W34,X33,Y32,Z31,AA30,AB29,AC28,AD27,AE26)&gt;Exercise,AVERAGE(U36,V35,W34,X33,Y32,Z31,AA30,AB29,AC28,AD27,AE26)-Exercise,0)</f>
        <v>31.142293177482742</v>
      </c>
      <c r="V118" s="26"/>
      <c r="W118" s="26">
        <f>IF(AVERAGE(W36,X35,Y34,Z33,AA32,AB31,AC30,AD29,AE28)&gt;Exercise,AVERAGE(W36,X35,Y34,Z33,AA32,AB31,AC30,AD29,AE28)-Exercise,0)</f>
        <v>27.524940372990699</v>
      </c>
      <c r="X118" s="26"/>
      <c r="Y118" s="26">
        <f>IF(AVERAGE(Y36,Z35,AA34,AB33,AC32,AD31,AE30)&gt;Exercise,AVERAGE(Y36,Z35,AA34,AB33,AC32,AD31,AE30)-Exercise,0)</f>
        <v>24.032294808178847</v>
      </c>
      <c r="Z118" s="26"/>
      <c r="AA118" s="26">
        <f>IF(AVERAGE(AA36,AB35,AC34,AD33,AE32)&gt;Exercise,AVERAGE(AA36,AB35,AC34,AD33,AE32)-Exercise,0)</f>
        <v>20.659571710185531</v>
      </c>
      <c r="AB118" s="26"/>
      <c r="AC118" s="26">
        <f>IF(AVERAGE(AC36,AD35,AE34)&gt;Exercise,AVERAGE(AC36,AD35,AE34)-Exercise,0)</f>
        <v>17.402181074253107</v>
      </c>
      <c r="AD118" s="26"/>
      <c r="AE118" s="26">
        <f>IF(AE36&gt;Exercise,AE36-Exercise,0)</f>
        <v>14.25571943067213</v>
      </c>
      <c r="AF118" s="5"/>
      <c r="AG118" s="5"/>
      <c r="AH118" s="5"/>
      <c r="AI118" s="5"/>
      <c r="AJ118" s="5"/>
      <c r="AK118" s="5"/>
      <c r="AL118" s="5"/>
      <c r="AM118" s="5"/>
    </row>
    <row r="119" spans="1:39" ht="18.75" customHeight="1">
      <c r="A119" s="25"/>
      <c r="B119" s="25"/>
      <c r="C119" s="25"/>
      <c r="D119" s="25"/>
      <c r="E119" s="25"/>
      <c r="F119" s="25"/>
      <c r="G119" s="25"/>
      <c r="H119" s="26">
        <f>((I118*$E$7)/(1+$E$6))+((I120*(1-$E$7))/(1+$E$6))</f>
        <v>42.854996526599756</v>
      </c>
      <c r="I119" s="25"/>
      <c r="J119" s="26">
        <f>((K118*$E$7)/(1+$E$6))+((K120*(1-$E$7))/(1+$E$6))</f>
        <v>42.948222409156543</v>
      </c>
      <c r="K119" s="25"/>
      <c r="L119" s="26">
        <f>((M118*$E$7)/(1+$E$6))+((M120*(1-$E$7))/(1+$E$6))</f>
        <v>43.041611157622199</v>
      </c>
      <c r="M119" s="25"/>
      <c r="N119" s="26">
        <f>IF(AVERAGE(N37,O36,P35,Q34,R33,S32,T31,U30,V29,W28,X27,Y26,Z25,AA24,AB23,AC22,AD21,AE20)&gt;Exercise,AVERAGE(N37,O36,P35,Q34,R33,S32,T31,U30,V29,W28,X27,Y26,Z25,AA24,AB23,AC22,AD21,AE20)-Exercise,0)</f>
        <v>41.039237456974632</v>
      </c>
      <c r="O119" s="26"/>
      <c r="P119" s="26">
        <f>IF(AVERAGE(P37,Q36,R35,S34,T33,U32,V31,W30,X29,Y28,Z27,AA26,AB25,AC24,AD23,AE22)&gt;Exercise,AVERAGE(P37,Q36,R35,S34,T33,U32,V31,W30,X29,Y28,Z27,AA26,AB25,AC24,AD23,AE22)-Exercise,0)</f>
        <v>37.04907775107344</v>
      </c>
      <c r="Q119" s="26"/>
      <c r="R119" s="26">
        <f>IF(AVERAGE(R37,S36,T35,U34,V33,W32,X31,Y30,Z29,AA28,AB27,AC26,AD25,AE24)&gt;Exercise,AVERAGE(R37,S36,T35,U34,V33,W32,X31,Y30,Z29,AA28,AB27,AC26,AD25,AE24)-Exercise,0)</f>
        <v>33.198385698032268</v>
      </c>
      <c r="S119" s="26"/>
      <c r="T119" s="26">
        <f>IF(AVERAGE(T37,U36,V35,W34,X33,Y32,Z31,AA30,AB29,AC28,AD27,AE26)&gt;Exercise,AVERAGE(T37,U36,V35,W34,X33,Y32,Z31,AA30,AB29,AC28,AD27,AE26)-Exercise,0)</f>
        <v>29.481765576775473</v>
      </c>
      <c r="U119" s="26"/>
      <c r="V119" s="26">
        <f>IF(AVERAGE(V37,W36,X35,Y34,Z33,AA32,AB31,AC30,AD29,AE28,)&gt;Exercise,AVERAGE(V37,W36,X35,Y34,Z33,AA32,AB31,AC30,AD29,AE28,)-Exercise,0)</f>
        <v>13.994584120537453</v>
      </c>
      <c r="W119" s="26"/>
      <c r="X119" s="26">
        <f>IF(AVERAGE(X37,Y36,Z35,AA34,AB33,AC32,AD31,AE30)&gt;Exercise,AVERAGE(X37,Y36,Z35,AA34,AB33,AC32,AD31,AE30)-Exercise,0)</f>
        <v>22.430253203280955</v>
      </c>
      <c r="Y119" s="26"/>
      <c r="Z119" s="26">
        <f>IF(AVERAGE(Z37,AA36,AB35,AC34,AD33,AE32)&gt;Exercise,AVERAGE(Z37,AA36,AB35,AC34,AD33,AE32)-Exercise,0)</f>
        <v>19.085636753320557</v>
      </c>
      <c r="AA119" s="26"/>
      <c r="AB119" s="26">
        <f>IF(AVERAGE(AB37,AC36,AD35,AE34)&gt;Exercise,AVERAGE(AB37,AC36,AD35,AE34)-Exercise,0)</f>
        <v>15.855626297938755</v>
      </c>
      <c r="AC119" s="26"/>
      <c r="AD119" s="26">
        <f>IF(AVERAGE(AD37,AE36)&gt;Exercise,AVERAGE(AD37,AE36)-Exercise,0)</f>
        <v>12.735840699833929</v>
      </c>
      <c r="AE119" s="26"/>
      <c r="AF119" s="5"/>
      <c r="AG119" s="5"/>
      <c r="AH119" s="5"/>
      <c r="AI119" s="5"/>
      <c r="AJ119" s="5"/>
      <c r="AK119" s="5"/>
      <c r="AL119" s="5"/>
      <c r="AM119" s="5"/>
    </row>
    <row r="120" spans="1:39" ht="18.75" customHeight="1">
      <c r="A120" s="25"/>
      <c r="B120" s="25"/>
      <c r="C120" s="25"/>
      <c r="D120" s="25"/>
      <c r="E120" s="25"/>
      <c r="F120" s="25"/>
      <c r="G120" s="26">
        <f>((H119*$E$7)/(1+$E$6))+((H121*(1-$E$7))/(1+$E$6))</f>
        <v>39.067394045996167</v>
      </c>
      <c r="H120" s="25"/>
      <c r="I120" s="26">
        <f>((J119*$E$7)/(1+$E$6))+((J121*(1-$E$7))/(1+$E$6))</f>
        <v>39.149360654782683</v>
      </c>
      <c r="J120" s="25"/>
      <c r="K120" s="26">
        <f>((L119*$E$7)/(1+$E$6))+((L121*(1-$E$7))/(1+$E$6))</f>
        <v>39.231456679600001</v>
      </c>
      <c r="L120" s="25"/>
      <c r="M120" s="26">
        <f>IF(AVERAGE(M38,N37,O36,P35,Q34,R33,S32,T31,U30,V29,W28,X27,Y26,Z25,AA24,AB23,AC22,AD21,AE20)&gt;Exercise,AVERAGE(M38,N37,O36,P35,Q34,R33,S32,T31,U30,V29,W28,X27,Y26,Z25,AA24,AB23,AC22,AD21,AE20)-Exercise,0)</f>
        <v>39.313682123433324</v>
      </c>
      <c r="N120" s="26"/>
      <c r="O120" s="26">
        <f>IF(AVERAGE(O38,P37,Q36,R35,S34,T33,U32,V31,W30,X29,Y28,Z27,AA26,AB25,AC24,AD23,AE22)&gt;Exercise,AVERAGE(O38,P37,Q36,R35,S34,T33,U32,V31,W30,X29,Y28,Z27,AA26,AB25,AC24,AD23,AE22)-Exercise,0)</f>
        <v>35.355231184521443</v>
      </c>
      <c r="P120" s="26"/>
      <c r="Q120" s="26">
        <f>IF(AVERAGE(Q38,R37,S36,T35,U34,V33,W32,X31,Y30,Z29,AA28,AB27,AC26,AD25,AE24)&gt;Exercise,AVERAGE(Q38,R37,S36,T35,U34,V33,W32,X31,Y30,Z29,AA28,AB27,AC26,AD25,AE24)-Exercise,0)</f>
        <v>31.535405726142756</v>
      </c>
      <c r="R120" s="26"/>
      <c r="S120" s="26">
        <f>IF(AVERAGE(S38,T37,U36,V35,W34,X33,Y32,Z31,AA30,AC28,AB29,AD27,AE26)&gt;Exercise,AVERAGE(S38,T37,U36,V35,W34,X33,Y32,Z31,AA30,AC28,AB29,AD27,AE26)-Exercise,0)</f>
        <v>27.848836387768841</v>
      </c>
      <c r="T120" s="26"/>
      <c r="U120" s="26">
        <f>IF(AVERAGE(U38,V37,W36,X35,Y34,Z33,AA32,AB31,AC30,AD29,AE28)&gt;Exercise,AVERAGE(U38,V37,W36,X35,Y34,Z33,AA32,AB31,AC30,AD29,AE28)-Exercise,0)</f>
        <v>24.290373767781915</v>
      </c>
      <c r="V120" s="26"/>
      <c r="W120" s="26">
        <f>IF(AVERAGE(W38,X37,Y36,Z35,AA34,AB33,AC32,AD31,AE30)&gt;Exercise,AVERAGE(W38,X37,Y36,Z35,AA34,AB33,AC32,AD31,AE30)-Exercise,0)</f>
        <v>20.855079082881886</v>
      </c>
      <c r="X120" s="26"/>
      <c r="Y120" s="26">
        <f>IF(AVERAGE(Y38,Z37,AA36,AB35,AC34,AD33,AE32)&gt;Exercise,AVERAGE(Y38,Z37,AA36,AB35,AC34,AD33,AE32)-Exercise,0)</f>
        <v>17.538215234230378</v>
      </c>
      <c r="Z120" s="26"/>
      <c r="AA120" s="26">
        <f>IF(AVERAGE(AA38,AB37,AC36,AD35,AE34)&gt;Exercise,AVERAGE(AA38,AB37,AC36,AD35,AE34)-Exercise,0)</f>
        <v>14.33523826228884</v>
      </c>
      <c r="AB120" s="26"/>
      <c r="AC120" s="26">
        <f>IF(AVERAGE(AC38,AD37,AE36)&gt;Exercise,AVERAGE(AC38,AD37,AE36)-Exercise,0)</f>
        <v>11.241789173119017</v>
      </c>
      <c r="AD120" s="26"/>
      <c r="AE120" s="26">
        <f>IF(AE38&gt;Exercise,AE38-Exercise,0)</f>
        <v>8.253686119689192</v>
      </c>
      <c r="AF120" s="5"/>
      <c r="AG120" s="5"/>
      <c r="AH120" s="5"/>
      <c r="AI120" s="5"/>
      <c r="AJ120" s="5"/>
      <c r="AK120" s="5"/>
      <c r="AL120" s="5"/>
      <c r="AM120" s="5"/>
    </row>
    <row r="121" spans="1:39" ht="18.75" customHeight="1">
      <c r="A121" s="25"/>
      <c r="B121" s="25"/>
      <c r="C121" s="25"/>
      <c r="D121" s="25"/>
      <c r="E121" s="25"/>
      <c r="F121" s="26">
        <f>((G120*$E$7)/(1+$E$6))+((G122*(1-$E$7))/(1+$E$6))</f>
        <v>35.386200153172425</v>
      </c>
      <c r="G121" s="25"/>
      <c r="H121" s="26">
        <f>((I120*$E$7)/(1+$E$6))+((I122*(1-$E$7))/(1+$E$6))</f>
        <v>35.457225330643581</v>
      </c>
      <c r="I121" s="25"/>
      <c r="J121" s="26">
        <f>((K120*$E$7)/(1+$E$6))+((K122*(1-$E$7))/(1+$E$6))</f>
        <v>35.528347423630834</v>
      </c>
      <c r="K121" s="25"/>
      <c r="L121" s="26">
        <f>((M120*$E$7)/(1+$E$6))+((M122*(1-$E$7))/(1+$E$6))</f>
        <v>35.599566338646923</v>
      </c>
      <c r="M121" s="25"/>
      <c r="N121" s="26">
        <f>IF(AVERAGE(N39,O38,P37,Q36,R35,S34,T33,U32,V31,W30,X29,Y28,Z27,AA26,AB25,AC24,AD23,AE22)&gt;Exercise,AVERAGE(N39,O38,P37,Q36,R35,S34,T33,U32,V31,W30,X29,Y28,Z27,AA26,AB25,AC24,AD23,AE22)-Exercise,0)</f>
        <v>33.689213725518613</v>
      </c>
      <c r="O121" s="26"/>
      <c r="P121" s="26">
        <f>IF(AVERAGE(P39,Q38,R37,S36,T35,U34,V33,W32,X31,Y30,Z29,AA28,AB27,AC26,AD25,AE24)&gt;Exercise,AVERAGE(P39,Q38,R37,S36,T35,U34,V33,W32,X31,Y30,Z29,AA28,AB27,AC26,AD25,AE24)-Exercise,0)</f>
        <v>29.899875175913223</v>
      </c>
      <c r="Q121" s="26"/>
      <c r="R121" s="26">
        <f>IF(AVERAGE(R39,S38,T37,U36,V35,W34,X33,Y32,Z31,AA30,AB29,AC28,AD27,AE26)&gt;Exercise,AVERAGE(R39,S38,T37,U36,V35,W34,X33,Y32,Z31,AA30,AB29,AC28,AD27,AE26)-Exercise,0)</f>
        <v>26.242984997390323</v>
      </c>
      <c r="S121" s="26"/>
      <c r="T121" s="26">
        <f>IF(AVERAGE(T39,U38,V37,W36,X35,Y34,Z33,AA32,AB31,AC30,AD29,AE28)&gt;Exercise,AVERAGE(T39,U38,V37,W36,X35,Y34,Z33,AA32,AB31,AC30,AD29,AE28)-Exercise,0)</f>
        <v>22.713419030672583</v>
      </c>
      <c r="U121" s="26"/>
      <c r="V121" s="26">
        <f>IF(AVERAGE(V39,W38,X37,Y36,Z35,AA34,AB33,AC32,AD31,AE30,)&gt;Exercise,AVERAGE(V39,W38,X37,Y36,Z35,AA34,AB33,AC32,AD31,AE30,)-Exercise,0)</f>
        <v>8.0056935153097015</v>
      </c>
      <c r="W121" s="26"/>
      <c r="X121" s="26">
        <f>IF(AVERAGE(X39,Y38,Z37,AA36,AB35,AC34,AD33,AE32)&gt;Exercise,AVERAGE(X39,Y38,Z37,AA36,AB35,AC34,AD33,AE32)-Exercise,0)</f>
        <v>16.016802945260324</v>
      </c>
      <c r="Y121" s="26"/>
      <c r="Z121" s="26">
        <f>IF(AVERAGE(Z39,AA38,AB37,AC36,AD35,AE34)&gt;Exercise,AVERAGE(Z39,AA38,AB37,AC36,AD35,AE34)-Exercise,0)</f>
        <v>12.840518038985692</v>
      </c>
      <c r="AA121" s="26"/>
      <c r="AB121" s="26">
        <f>IF(AVERAGE(AB39,AC38,AD37,AE36)&gt;Exercise,AVERAGE(AB39,AC38,AD37,AE36)-Exercise,0)</f>
        <v>9.7730711104567547</v>
      </c>
      <c r="AC121" s="26"/>
      <c r="AD121" s="26">
        <f>IF(AVERAGE(AD39,AE38)&gt;Exercise,AVERAGE(AD39,AE38)-Exercise,0)</f>
        <v>6.8103015210795803</v>
      </c>
      <c r="AE121" s="26"/>
      <c r="AF121" s="5"/>
      <c r="AG121" s="5"/>
      <c r="AH121" s="5"/>
      <c r="AI121" s="5"/>
      <c r="AJ121" s="5"/>
      <c r="AK121" s="5"/>
      <c r="AL121" s="5"/>
      <c r="AM121" s="5"/>
    </row>
    <row r="122" spans="1:39" ht="18.75" customHeight="1">
      <c r="A122" s="25"/>
      <c r="B122" s="25"/>
      <c r="C122" s="25"/>
      <c r="D122" s="25"/>
      <c r="E122" s="26">
        <f>((F121*$E$7)/(1+$E$6))+((F123*(1-$E$7))/(1+$E$6))</f>
        <v>31.808540756290093</v>
      </c>
      <c r="F122" s="25"/>
      <c r="G122" s="26">
        <f>((H121*$E$7)/(1+$E$6))+((H123*(1-$E$7))/(1+$E$6))</f>
        <v>31.868933757564463</v>
      </c>
      <c r="H122" s="25"/>
      <c r="I122" s="26">
        <f>((J121*$E$7)/(1+$E$6))+((J123*(1-$E$7))/(1+$E$6))</f>
        <v>31.929392097546032</v>
      </c>
      <c r="J122" s="25"/>
      <c r="K122" s="26">
        <f>((L121*$E$7)/(1+$E$6))+((L123*(1-$E$7))/(1+$E$6))</f>
        <v>31.989915589033977</v>
      </c>
      <c r="L122" s="25"/>
      <c r="M122" s="26">
        <f>IF(AVERAGE(M40,N39,O38,P37,Q36,R35,S34,T33,U32,V31,W30,X29,Y28,Z27,AA26,AB25,AC24,AD23,AE22)&gt;Exercise,AVERAGE(M40,N39,O38,P37,Q36,R35,S34,T33,U32,V31,W30,X29,Y28,Z27,AA26,AB25,AC24,AD23,AE22)-Exercise,0)</f>
        <v>32.05050404299763</v>
      </c>
      <c r="N122" s="26"/>
      <c r="O122" s="26">
        <f>IF(AVERAGE(O40,P39,Q38,R37,S36,T35,U34,V33,W32,X31,Y30,Z29,AA28,AB27,AC26,AD25,AE24)&gt;Exercise,AVERAGE(O40,P39,Q38,R37,S36,T35,U34,V33,W32,X31,Y30,Z29,AA28,AB27,AC26,AD25,AE24)-Exercise,0)</f>
        <v>28.291278386601874</v>
      </c>
      <c r="P122" s="26"/>
      <c r="Q122" s="26">
        <f>IF(AVERAGE(Q40,R39,S38,T37,U36,V35,W34,X33,Y32,Z31,AA30,AB29,AC28,AD27,AE26)&gt;Exercise,AVERAGE(Q40,R39,S38,T37,U36,V35,W34,X33,Y32,Z31,AA30,AB29,AC28,AD27,AE26)-Exercise,0)</f>
        <v>24.663701314738972</v>
      </c>
      <c r="R122" s="26"/>
      <c r="S122" s="26">
        <f>IF(AVERAGE(S40,T39,U38,V37,W36,X35,Y34,Z33,AA32,AC30,AB31,AD29,AE28)&gt;Exercise,AVERAGE(S40,T39,U38,V37,W36,X35,Y34,Z33,AA32,AC30,AB31,AD29,AE28)-Exercise,0)</f>
        <v>21.16267370197626</v>
      </c>
      <c r="T122" s="26"/>
      <c r="U122" s="26">
        <f>IF(AVERAGE(U40,V39,W38,X37,Y36,Z35,AA34,AB33,AC32,AD31,AE30)&gt;Exercise,AVERAGE(U40,V39,W38,X37,Y36,Z35,AA34,AB33,AC32,AD31,AE30)-Exercise,0)</f>
        <v>17.783305311457013</v>
      </c>
      <c r="V122" s="26"/>
      <c r="W122" s="26">
        <f>IF(AVERAGE(W40,X39,Y38,Z37,AA36,AB35,AC34,AD33,AE32)&gt;Exercise,AVERAGE(W40,X39,Y38,Z37,AA36,AB35,AC34,AD33,AE32)-Exercise,0)</f>
        <v>14.520905924411437</v>
      </c>
      <c r="X122" s="26"/>
      <c r="Y122" s="26">
        <f>IF(AVERAGE(Y40,Z39,AA38,AB37,AC36,AD35,AE34)&gt;Exercise,AVERAGE(Y40,Z39,AA38,AB37,AC36,AD35,AE34)-Exercise,0)</f>
        <v>11.370976855933478</v>
      </c>
      <c r="Z122" s="26"/>
      <c r="AA122" s="26">
        <f>IF(AVERAGE(AA40,AB39,AC38,AD37,AE36)&gt;Exercise,AVERAGE(AA40,AB39,AC38,AD37,AE36)-Exercise,0)</f>
        <v>8.3292028398894189</v>
      </c>
      <c r="AB122" s="26"/>
      <c r="AC122" s="26">
        <f>IF(AVERAGE(AC40,AD39,AE38)&gt;Exercise,AVERAGE(AC40,AD39,AE38)-Exercise,0)</f>
        <v>5.3914442665930977</v>
      </c>
      <c r="AD122" s="26"/>
      <c r="AE122" s="26">
        <f>IF(AE40&gt;Exercise,AE40-Exercise,0)</f>
        <v>2.5537297576201468</v>
      </c>
      <c r="AF122" s="5"/>
      <c r="AG122" s="5"/>
      <c r="AH122" s="5"/>
      <c r="AI122" s="5"/>
      <c r="AJ122" s="5"/>
      <c r="AK122" s="5"/>
      <c r="AL122" s="5"/>
      <c r="AM122" s="5"/>
    </row>
    <row r="123" spans="1:39" ht="18.75" customHeight="1">
      <c r="A123" s="25"/>
      <c r="B123" s="25"/>
      <c r="C123" s="25"/>
      <c r="D123" s="26">
        <f>((E122*$E$7)/(1+$E$6))+((E124*(1-$E$7))/(1+$E$6))</f>
        <v>28.331619209332864</v>
      </c>
      <c r="E123" s="25"/>
      <c r="F123" s="26">
        <f>((G122*$E$7)/(1+$E$6))+((G124*(1-$E$7))/(1+$E$6))</f>
        <v>28.381680933592722</v>
      </c>
      <c r="G123" s="25"/>
      <c r="H123" s="26">
        <f>((I122*$E$7)/(1+$E$6))+((I124*(1-$E$7))/(1+$E$6))</f>
        <v>28.431777318490511</v>
      </c>
      <c r="I123" s="25"/>
      <c r="J123" s="26">
        <f>((K122*$E$7)/(1+$E$6))+((K124*(1-$E$7))/(1+$E$6))</f>
        <v>28.481908085796142</v>
      </c>
      <c r="K123" s="25"/>
      <c r="L123" s="26">
        <f>((M122*$E$7)/(1+$E$6))+((M124*(1-$E$7))/(1+$E$6))</f>
        <v>28.5320729551798</v>
      </c>
      <c r="M123" s="25"/>
      <c r="N123" s="26">
        <f>IF(AVERAGE(N41,O40,P39,Q38,R37,S36,T35,U34,V33,W32,X31,Y30,Z29,AA28,AB27,AC26,AD25,AE24)&gt;Exercise,AVERAGE(N41,O40,P39,Q38,R37,S36,T35,U34,V33,W32,X31,Y30,Z29,AA28,AB27,AC26,AD25,AE24)-Exercise,0)</f>
        <v>26.709110090837044</v>
      </c>
      <c r="O123" s="26"/>
      <c r="P123" s="26">
        <f>IF(AVERAGE(P41,Q40,R39,S38,T37,U36,V35,W34,X33,Y32,Z31,AA30,AB29,AC28,AD27,AE26)&gt;Exercise,AVERAGE(P41,Q40,R39,S38,T37,U36,V35,W34,X33,Y32,Z31,AA30,AB29,AC28,AD27,AE26)-Exercise,0)</f>
        <v>23.110485548995001</v>
      </c>
      <c r="Q123" s="26"/>
      <c r="R123" s="26">
        <f>IF(AVERAGE(R41,S40,T39,U38,V37,W36,X35,Y34,Z33,AA32,AB31,AC30,AD29,AE28)&gt;Exercise,AVERAGE(R41,S40,T39,U38,V37,W36,X35,Y34,Z33,AA32,AB31,AC30,AD29,AE28)-Exercise,0)</f>
        <v>19.637643370609027</v>
      </c>
      <c r="S123" s="26"/>
      <c r="T123" s="26">
        <f>IF(AVERAGE(T41,U40,V39,W38,X37,Y36,Z35,AA34,AB33,AC32,AD31,AE30)&gt;Exercise,AVERAGE(T41,U40,V39,W38,X37,Y36,Z35,AA34,AB33,AC32,AD31,AE30)-Exercise,0)</f>
        <v>16.285717290738532</v>
      </c>
      <c r="U123" s="26"/>
      <c r="V123" s="26">
        <f>IF(AVERAGE(V41,W40,X39,Y38,Z37,AA36,AB35,AC34,AD33,AE32,)&gt;Exercise,AVERAGE(V41,W40,X39,Y38,Z37,AA36,AB35,AC34,AD33,AE32,)-Exercise,0)</f>
        <v>2.3182183984125544</v>
      </c>
      <c r="W123" s="26"/>
      <c r="X123" s="26">
        <f>IF(AVERAGE(X41,Y40,Z39,AA38,AB37,AC36,AD35,AE34)&gt;Exercise,AVERAGE(X41,Y40,Z39,AA38,AB37,AC36,AD35,AE34)-Exercise,0)</f>
        <v>9.9261358817962275</v>
      </c>
      <c r="Y123" s="26"/>
      <c r="Z123" s="26">
        <f>IF(AVERAGE(Z41,AA40,AB39,AC38,AD37,AE36)&gt;Exercise,AVERAGE(Z41,AA40,AB39,AC38,AD37,AE36)-Exercise,0)</f>
        <v>6.9097105437137571</v>
      </c>
      <c r="AA123" s="26"/>
      <c r="AB123" s="26">
        <f>IF(AVERAGE(AB41,AC40,AD39,AE38)&gt;Exercise,AVERAGE(AB41,AC40,AD39,AE38)-Exercise,0)</f>
        <v>3.9966454656536712</v>
      </c>
      <c r="AC123" s="26"/>
      <c r="AD123" s="26">
        <f>IF(AVERAGE(AD41,AE40)&gt;Exercise,AVERAGE(AD41,AE40)-Exercise,0)</f>
        <v>1.1829894102277763</v>
      </c>
      <c r="AE123" s="26"/>
      <c r="AF123" s="5"/>
      <c r="AG123" s="5"/>
      <c r="AH123" s="5"/>
      <c r="AI123" s="5"/>
      <c r="AJ123" s="5"/>
      <c r="AK123" s="5"/>
      <c r="AL123" s="5"/>
      <c r="AM123" s="5"/>
    </row>
    <row r="124" spans="1:39" ht="18.75" customHeight="1">
      <c r="A124" s="25"/>
      <c r="B124" s="25"/>
      <c r="C124" s="26">
        <f>((D123*$E$7)/(1+$E$6))+((D125*(1-$E$7))/(1+$E$6))</f>
        <v>24.957287343504113</v>
      </c>
      <c r="D124" s="25"/>
      <c r="E124" s="26">
        <f>((F123*$E$7)/(1+$E$6))+((F125*(1-$E$7))/(1+$E$6))</f>
        <v>24.992737441196624</v>
      </c>
      <c r="F124" s="25"/>
      <c r="G124" s="26">
        <f>((H123*$E$7)/(1+$E$6))+((H125*(1-$E$7))/(1+$E$6))</f>
        <v>25.032765513868373</v>
      </c>
      <c r="H124" s="25"/>
      <c r="I124" s="26">
        <f>((J123*$E$7)/(1+$E$6))+((J125*(1-$E$7))/(1+$E$6))</f>
        <v>25.072798076907382</v>
      </c>
      <c r="J124" s="25"/>
      <c r="K124" s="26">
        <f>((L123*$E$7)/(1+$E$6))+((L125*(1-$E$7))/(1+$E$6))</f>
        <v>25.112834761304185</v>
      </c>
      <c r="L124" s="25"/>
      <c r="M124" s="26">
        <f>IF(AVERAGE(M42,N41,O40,P39,Q38,R37,S36,T35,U34,V33,W32,X31,Y30,Z29,AA28,AB27,AC26,AD25,AE24)&gt;Exercise,AVERAGE(M42,N41,O40,P39,Q38,R37,S36,T35,U34,V33,W32,X31,Y30,Z29,AA28,AB27,AC26,AD25,AE24)-Exercise,0)</f>
        <v>25.152875195676216</v>
      </c>
      <c r="N124" s="26"/>
      <c r="O124" s="26">
        <f>IF(AVERAGE(O42,P41,Q40,R39,S38,T37,U36,V35,W34,X33,Y32,Z31,AA30,AB29,AC28,AD27,AE26)&gt;Exercise,AVERAGE(O42,P41,Q40,R39,S38,T37,U36,V35,W34,X33,Y32,Z31,AA30,AB29,AC28,AD27,AE26)-Exercise,0)</f>
        <v>21.582847992158889</v>
      </c>
      <c r="P124" s="26"/>
      <c r="Q124" s="26">
        <f>IF(AVERAGE(Q42,R41,S40,T39,U38,V37,W36,X35,Y34,Z33,AA32,AB31,AC30,AD29,AE28)&gt;Exercise,AVERAGE(Q42,R41,S40,T39,U38,V37,W36,X35,Y34,Z33,AA32,AB31,AC30,AD29,AE28)-Exercise,0)</f>
        <v>18.13784361808716</v>
      </c>
      <c r="R124" s="26"/>
      <c r="S124" s="26">
        <f>IF(AVERAGE(S42,T41,U40,V39,W38,X37,Y36,Z35,AA34,AC32,AB33,AD31,AE30)&gt;Exercise,AVERAGE(S42,T41,U40,V39,W38,X37,Y36,Z35,AA34,AC32,AB33,AD31,AE30)-Exercise,0)</f>
        <v>14.81301958243408</v>
      </c>
      <c r="T124" s="26"/>
      <c r="U124" s="26">
        <f>IF(AVERAGE(U42,V41,W40,X39,Y38,Z37,AA36,AB35,AC34,AD33,AE32)&gt;Exercise,AVERAGE(U42,V41,W40,X39,Y38,Z37,AA36,AB35,AC34,AD33,AE32)-Exercise,0)</f>
        <v>11.603731769574452</v>
      </c>
      <c r="V124" s="26"/>
      <c r="W124" s="26">
        <f>IF(AVERAGE(W42,X41,Y40,Z39,AA38,AB37,AC36,AD35,AE34)&gt;Exercise,AVERAGE(W42,X41,Y40,Z39,AA38,AB37,AC36,AD35,AE34)-Exercise,0)</f>
        <v>8.505526015238928</v>
      </c>
      <c r="X124" s="26"/>
      <c r="Y124" s="26">
        <f>IF(AVERAGE(Y42,Z41,AA40,AB39,AC38,AD37,AE36)&gt;Exercise,AVERAGE(Y42,Z41,AA40,AB39,AC38,AD37,AE36)-Exercise,0)</f>
        <v>5.5141300492947494</v>
      </c>
      <c r="Z124" s="26"/>
      <c r="AA124" s="26">
        <f>IF(AVERAGE(AA42,AB41,AC40,AD39,AE38)&gt;Exercise,AVERAGE(AA42,AB41,AC40,AD39,AE38)-Exercise,0)</f>
        <v>2.6254457890790661</v>
      </c>
      <c r="AB124" s="26"/>
      <c r="AC124" s="26">
        <f>IF(AVERAGE(AC42,AD41,AE40)&gt;Exercise,AVERAGE(AC42,AD41,AE40)-Exercise,0)</f>
        <v>0</v>
      </c>
      <c r="AD124" s="26"/>
      <c r="AE124" s="26">
        <f>IF(AE42&gt;Exercise,AE42-Exercise,0)</f>
        <v>0</v>
      </c>
      <c r="AF124" s="5"/>
      <c r="AG124" s="5"/>
      <c r="AH124" s="5"/>
      <c r="AI124" s="5"/>
      <c r="AJ124" s="5"/>
      <c r="AK124" s="5"/>
      <c r="AL124" s="5"/>
      <c r="AM124" s="5"/>
    </row>
    <row r="125" spans="1:39" ht="18.75" customHeight="1">
      <c r="A125" s="28"/>
      <c r="B125" s="26">
        <f>((C124*$E$7)/(1+$E$6))+((C126*(1-$E$7))/(1+$E$6))</f>
        <v>21.699027631348283</v>
      </c>
      <c r="C125" s="25"/>
      <c r="D125" s="26">
        <f>((E124*$E$7)/(1+$E$6))+((E126*(1-$E$7))/(1+$E$6))</f>
        <v>21.708550074826395</v>
      </c>
      <c r="E125" s="25"/>
      <c r="F125" s="26">
        <f>((G124*$E$7)/(1+$E$6))+((G126*(1-$E$7))/(1+$E$6))</f>
        <v>21.729692878841366</v>
      </c>
      <c r="G125" s="25"/>
      <c r="H125" s="26">
        <f>((I124*$E$7)/(1+$E$6))+((I126*(1-$E$7))/(1+$E$6))</f>
        <v>21.759913798509608</v>
      </c>
      <c r="I125" s="25"/>
      <c r="J125" s="26">
        <f>((K124*$E$7)/(1+$E$6))+((K126*(1-$E$7))/(1+$E$6))</f>
        <v>21.790109714712656</v>
      </c>
      <c r="K125" s="25"/>
      <c r="L125" s="26">
        <f>((M124*$E$7)/(1+$E$6))+((M126*(1-$E$7))/(1+$E$6))</f>
        <v>21.82028016968172</v>
      </c>
      <c r="M125" s="25"/>
      <c r="N125" s="26">
        <f>IF(AVERAGE(N43,O42,P41,Q40,R39,S38,T37,U36,V35,W34,X33,Y32,Z31,AA30,AB29,AC28,AD27,AE26)&gt;Exercise,AVERAGE(N43,O42,P41,Q40,R39,S38,T37,U36,V35,W34,X33,Y32,Z31,AA30,AB29,AC28,AD27,AE26)-Exercise,0)</f>
        <v>20.080308806512193</v>
      </c>
      <c r="O125" s="26"/>
      <c r="P125" s="26">
        <f>IF(AVERAGE(P43,Q42,R41,S40,T39,U38,V37,W36,X35,Y34,Z33,AA32,AB31,AC30,AD29,AE28)&gt;Exercise,AVERAGE(P43,Q42,R41,S40,T39,U38,V37,W36,X35,Y34,Z33,AA32,AB31,AC30,AD29,AE28)-Exercise,0)</f>
        <v>16.662799807614121</v>
      </c>
      <c r="Q125" s="26"/>
      <c r="R125" s="26">
        <f>IF(AVERAGE(R43,S42,T41,U40,V39,W38,X37,Y36,Z35,AA34,AB33,AC32,AD31,AE30)&gt;Exercise,AVERAGE(R43,S42,T41,U40,V39,W38,X37,Y36,Z35,AA34,AB33,AC32,AD31,AE30)-Exercise,0)</f>
        <v>13.364742658725845</v>
      </c>
      <c r="S125" s="26"/>
      <c r="T125" s="26">
        <f>IF(AVERAGE(T43,U42,V41,W40,X39,Y38,Z37,AA36,AB35,AC34,AD33,AE32)&gt;Exercise,AVERAGE(T43,U42,V41,W40,X39,Y38,Z37,AA36,AB35,AC34,AD33,AE32)-Exercise,0)</f>
        <v>10.181516009653137</v>
      </c>
      <c r="U125" s="26"/>
      <c r="V125" s="26">
        <f>IF(AVERAGE(V43,W42,X41,Y40,Z39,AA38,AB37,AC36,AD35,AE34,)&gt;Exercise,AVERAGE(V43,W42,X41,Y40,Z39,AA38,AB37,AC36,AD35,AE34,)-Exercise,0)</f>
        <v>0</v>
      </c>
      <c r="W125" s="26"/>
      <c r="X125" s="26">
        <f>IF(AVERAGE(X43,Y42,Z41,AA40,AB39,AC38,AD37,AE36)&gt;Exercise,AVERAGE(X43,Y42,Z41,AA40,AB39,AC38,AD37,AE36)-Exercise,0)</f>
        <v>4.1420066244477596</v>
      </c>
      <c r="Y125" s="26"/>
      <c r="Z125" s="26">
        <f>IF(AVERAGE(Z43,AA42,AB41,AC40,AD39,AE38)&gt;Exercise,AVERAGE(Z43,AA42,AB41,AC40,AD39,AE38)-Exercise,0)</f>
        <v>1.2773952659856747</v>
      </c>
      <c r="AA125" s="26"/>
      <c r="AB125" s="26">
        <f>IF(AVERAGE(AB43,AC42,AD41,AE40)&gt;Exercise,AVERAGE(AB43,AC42,AD41,AE40)-Exercise,0)</f>
        <v>0</v>
      </c>
      <c r="AC125" s="26"/>
      <c r="AD125" s="26">
        <f>IF(AVERAGE(AD43,AE42)&gt;Exercise,AVERAGE(AD43,AE42)-Exercise,0)</f>
        <v>0</v>
      </c>
      <c r="AE125" s="26"/>
      <c r="AF125" s="5"/>
      <c r="AG125" s="5"/>
      <c r="AH125" s="5"/>
      <c r="AI125" s="5"/>
      <c r="AJ125" s="5"/>
      <c r="AK125" s="5"/>
      <c r="AL125" s="5"/>
      <c r="AM125" s="5"/>
    </row>
    <row r="126" spans="1:39" ht="18.75" customHeight="1">
      <c r="A126" s="29">
        <f>((B125*$E$7)/(1+$E$6))+((B127*(1-$E$7))/(1+$E$6))</f>
        <v>18.585547209116491</v>
      </c>
      <c r="B126" s="25"/>
      <c r="C126" s="26">
        <f>((D125*$E$7)/(1+$E$6))+((D127*(1-$E$7))/(1+$E$6))</f>
        <v>18.554127241225828</v>
      </c>
      <c r="D126" s="25"/>
      <c r="E126" s="26">
        <f>((F125*$E$7)/(1+$E$6))+((F127*(1-$E$7))/(1+$E$6))</f>
        <v>18.538085988057979</v>
      </c>
      <c r="F126" s="25"/>
      <c r="G126" s="26">
        <f>((H125*$E$7)/(1+$E$6))+((H127*(1-$E$7))/(1+$E$6))</f>
        <v>18.540655481501929</v>
      </c>
      <c r="H126" s="25"/>
      <c r="I126" s="26">
        <f>((J125*$E$7)/(1+$E$6))+((J127*(1-$E$7))/(1+$E$6))</f>
        <v>18.561290278617033</v>
      </c>
      <c r="J126" s="25"/>
      <c r="K126" s="26">
        <f>((L125*$E$7)/(1+$E$6))+((L127*(1-$E$7))/(1+$E$6))</f>
        <v>18.581871238533932</v>
      </c>
      <c r="L126" s="25"/>
      <c r="M126" s="26">
        <f>IF(AVERAGE(M44,N43,O42,P41,Q40,R39,S38,T37,U36,V35,W34,X33,Y32,Z31,AA30,AB29,AC28,AD27,AE26)&gt;Exercise,AVERAGE(M44,N43,O42,P41,Q40,R39,S38,T37,U36,V35,W34,X33,Y32,Z31,AA30,AB29,AC28,AD27,AE26)-Exercise,0)</f>
        <v>18.60239781669577</v>
      </c>
      <c r="N126" s="26"/>
      <c r="O126" s="26">
        <f>IF(AVERAGE(O44,P43,Q42,R41,S40,T39,U38,V37,W36,X35,Y34,Z33,AA32,AB31,AC30,AD29,AE28)&gt;Exercise,AVERAGE(O44,P43,Q42,R41,S40,T39,U38,V37,W36,X35,Y34,Z33,AA32,AB31,AC30,AD29,AE28)-Exercise,0)</f>
        <v>15.21204687775446</v>
      </c>
      <c r="P126" s="26"/>
      <c r="Q126" s="26">
        <f>IF(AVERAGE(Q44,R43,S42,T41,U40,V39,W38,X37,Y36,Z35,AA34,AB33,AC32,AD31,AE30)&gt;Exercise,AVERAGE(Q44,R43,S42,T41,U40,V39,W38,X37,Y36,Z35,AA34,AB33,AC32,AD31,AE30)-Exercise,0)</f>
        <v>11.940426481477459</v>
      </c>
      <c r="R126" s="26"/>
      <c r="S126" s="26">
        <f>IF(AVERAGE(S44,T43,U42,V41,W40,X39,Y38,Z37,AA36,AC34,AB35,AD33,AE32)&gt;Exercise,AVERAGE(S44,T43,U42,V41,W40,X39,Y38,Z37,AA36,AC34,AB35,AD33,AE32)-Exercise,0)</f>
        <v>8.7829378550644321</v>
      </c>
      <c r="T126" s="26"/>
      <c r="U126" s="26">
        <f>IF(AVERAGE(U44,V43,W42,X41,Y40,Z39,AA38,AB37,AC36,AD35,AE34)&gt;Exercise,AVERAGE(U44,V43,W42,X41,Y40,Z39,AA38,AB37,AC36,AD35,AE34)-Exercise,0)</f>
        <v>5.7351706170608452</v>
      </c>
      <c r="V126" s="26"/>
      <c r="W126" s="26">
        <f>IF(AVERAGE(W44,X43,Y42,Z41,AA40,AB39,AC38,AD37,AE36)&gt;Exercise,AVERAGE(W44,X43,Y42,Z41,AA40,AB39,AC38,AD37,AE36)-Exercise,0)</f>
        <v>2.7928947772868895</v>
      </c>
      <c r="X126" s="26"/>
      <c r="Y126" s="26">
        <f>IF(AVERAGE(Y44,Z43,AA42,AB41,AC40,AD39,AE38)&gt;Exercise,AVERAGE(Y44,Z43,AA42,AB41,AC40,AD39,AE38)-Exercise,0)</f>
        <v>0</v>
      </c>
      <c r="Z126" s="26"/>
      <c r="AA126" s="26">
        <f>IF(AVERAGE(AA44,AB43,AC42,AD41,AE40)&gt;Exercise,AVERAGE(AA44,AB43,AC42,AD41,AE40)-Exercise,0)</f>
        <v>0</v>
      </c>
      <c r="AB126" s="26"/>
      <c r="AC126" s="26">
        <f>IF(AVERAGE(AC44,AD43,AE42)&gt;Exercise,AVERAGE(AC44,AD43,AE42)-Exercise,0)</f>
        <v>0</v>
      </c>
      <c r="AD126" s="26"/>
      <c r="AE126" s="26">
        <f>IF(AE44&gt;Exercise,AE44-Exercise,0)</f>
        <v>0</v>
      </c>
      <c r="AF126" s="5"/>
      <c r="AG126" s="5"/>
      <c r="AH126" s="5"/>
      <c r="AI126" s="5"/>
      <c r="AJ126" s="5"/>
      <c r="AK126" s="5"/>
      <c r="AL126" s="5"/>
      <c r="AM126" s="5"/>
    </row>
    <row r="127" spans="1:39" ht="18.75" customHeight="1">
      <c r="A127" s="25"/>
      <c r="B127" s="26">
        <f>((C126*$E$7)/(1+$E$6))+((C128*(1-$E$7))/(1+$E$6))</f>
        <v>15.573300150581336</v>
      </c>
      <c r="C127" s="25"/>
      <c r="D127" s="26">
        <f>((E126*$E$7)/(1+$E$6))+((E128*(1-$E$7))/(1+$E$6))</f>
        <v>15.50135927150343</v>
      </c>
      <c r="E127" s="25"/>
      <c r="F127" s="26">
        <f>((G126*$E$7)/(1+$E$6))+((G128*(1-$E$7))/(1+$E$6))</f>
        <v>15.448557979068298</v>
      </c>
      <c r="G127" s="25"/>
      <c r="H127" s="26">
        <f>((I126*$E$7)/(1+$E$6))+((I128*(1-$E$7))/(1+$E$6))</f>
        <v>15.423839180599241</v>
      </c>
      <c r="I127" s="25"/>
      <c r="J127" s="26">
        <f>((K126*$E$7)/(1+$E$6))+((K128*(1-$E$7))/(1+$E$6))</f>
        <v>15.435103548861502</v>
      </c>
      <c r="K127" s="25"/>
      <c r="L127" s="26">
        <f>((M126*$E$7)/(1+$E$6))+((M128*(1-$E$7))/(1+$E$6))</f>
        <v>15.446285890345793</v>
      </c>
      <c r="M127" s="25"/>
      <c r="N127" s="26">
        <f>IF(AVERAGE(N45,O44,P43,Q42,R41,S40,T39,U38,V37,W36,X35,Y34,Z33,AA32,AB31,AC30,AD29,AE28)&gt;Exercise,AVERAGE(N45,O44,P43,Q42,R41,S40,T39,U38,V37,W36,X35,Y34,Z33,AA32,AB31,AC30,AD29,AE28)-Exercise,0)</f>
        <v>13.785129140591451</v>
      </c>
      <c r="O127" s="26"/>
      <c r="P127" s="26">
        <f>IF(AVERAGE(P45,Q44,R43,S42,T41,U40,V39,W38,X37,Y36,Z35,AA34,AB33,AC32,AD31,AE30)&gt;Exercise,AVERAGE(P45,Q44,R43,S42,T41,U40,V39,W38,X37,Y36,Z35,AA34,AB33,AC32,AD31,AE30)-Exercise,0)</f>
        <v>10.539620301936381</v>
      </c>
      <c r="Q127" s="26"/>
      <c r="R127" s="26">
        <f>IF(AVERAGE(R45,S44,T43,U42,V41,W40,X39,Y38,Z37,AA36,AB35,AC34,AD33,AE32)&gt;Exercise,AVERAGE(R45,S44,T43,U42,V41,W40,X39,Y38,Z37,AA36,AB35,AC34,AD33,AE32)-Exercise,0)</f>
        <v>7.4075514089041405</v>
      </c>
      <c r="S127" s="26"/>
      <c r="T127" s="26">
        <f>IF(AVERAGE(T45,U44,V43,W42,X41,Y40,Z39,AA38,AB37,AC36,AD35,AE34)&gt;Exercise,AVERAGE(T45,U44,V43,W42,X41,Y40,Z39,AA38,AB37,AC36,AD35,AE34)-Exercise,0)</f>
        <v>4.3845336997074611</v>
      </c>
      <c r="U127" s="26"/>
      <c r="V127" s="26">
        <f>IF(AVERAGE(V45,W44,X43,Y42,Z41,AA40,AB39,AC38,AD37,AE36,)&gt;Exercise,AVERAGE(V45,W44,X43,Y42,Z41,AA40,AB39,AC38,AD37,AE36,)-Exercise,0)</f>
        <v>0</v>
      </c>
      <c r="W127" s="26"/>
      <c r="X127" s="26">
        <f>IF(AVERAGE(X45,Y44,Z43,AA42,AB41,AC40,AD39,AE38)&gt;Exercise,AVERAGE(X45,Y44,Z43,AA42,AB41,AC40,AD39,AE38)-Exercise,0)</f>
        <v>0</v>
      </c>
      <c r="Y127" s="26"/>
      <c r="Z127" s="26">
        <f>IF(AVERAGE(Z45,AA44,AB43,AC42,AD41,AE40)&gt;Exercise,AVERAGE(Z45,AA44,AB43,AC42,AD41,AE40)-Exercise,0)</f>
        <v>0</v>
      </c>
      <c r="AA127" s="26"/>
      <c r="AB127" s="26">
        <f>IF(AVERAGE(AB45,AC44,AD43,AE42)&gt;Exercise,AVERAGE(AB45,AC44,AD43,AE42)-Exercise,0)</f>
        <v>0</v>
      </c>
      <c r="AC127" s="26"/>
      <c r="AD127" s="26">
        <f>IF(AVERAGE(AD45,AE44)&gt;Exercise,AVERAGE(AD45,AE44)-Exercise,0)</f>
        <v>0</v>
      </c>
      <c r="AE127" s="26"/>
      <c r="AF127" s="5"/>
      <c r="AG127" s="5"/>
      <c r="AH127" s="5"/>
      <c r="AI127" s="5"/>
      <c r="AJ127" s="5"/>
      <c r="AK127" s="5"/>
      <c r="AL127" s="5"/>
      <c r="AM127" s="5"/>
    </row>
    <row r="128" spans="1:39" ht="18.75" customHeight="1">
      <c r="A128" s="25"/>
      <c r="B128" s="25"/>
      <c r="C128" s="26">
        <f>((D127*$E$7)/(1+$E$6))+((D129*(1-$E$7))/(1+$E$6))</f>
        <v>12.68206988582677</v>
      </c>
      <c r="D128" s="25"/>
      <c r="E128" s="26">
        <f>((F127*$E$7)/(1+$E$6))+((F129*(1-$E$7))/(1+$E$6))</f>
        <v>12.554709075796032</v>
      </c>
      <c r="F128" s="25"/>
      <c r="G128" s="26">
        <f>((H127*$E$7)/(1+$E$6))+((H129*(1-$E$7))/(1+$E$6))</f>
        <v>12.447073036451425</v>
      </c>
      <c r="H128" s="25"/>
      <c r="I128" s="26">
        <f>((J127*$E$7)/(1+$E$6))+((J129*(1-$E$7))/(1+$E$6))</f>
        <v>12.377500822865255</v>
      </c>
      <c r="J128" s="25"/>
      <c r="K128" s="26">
        <f>((L127*$E$7)/(1+$E$6))+((L129*(1-$E$7))/(1+$E$6))</f>
        <v>12.379605247451213</v>
      </c>
      <c r="L128" s="25"/>
      <c r="M128" s="26">
        <f>IF(AVERAGE(M46,N45,O44,P43,Q42,R41,S40,T39,U38,V37,W36,X35,Y34,Z33,AA32,AB31,AC30,AD29,AE28)&gt;Exercise,AVERAGE(M46,N45,O44,P43,Q42,R41,S40,T39,U38,V37,W36,X35,Y34,Z33,AA32,AB31,AC30,AD29,AE28)-Exercise,0)</f>
        <v>12.381600084269635</v>
      </c>
      <c r="N128" s="26"/>
      <c r="O128" s="26">
        <f>IF(AVERAGE(O46,P45,Q44,R43,S42,T41,U40,V39,W38,X37,Y36,Z35,AA34,AB33,AC32,AD31,AE30)&gt;Exercise,AVERAGE(O46,P45,Q44,R43,S42,T41,U40,V39,W38,X37,Y36,Z35,AA34,AB33,AC32,AD31,AE30)-Exercise,0)</f>
        <v>9.1618824647917165</v>
      </c>
      <c r="P128" s="26"/>
      <c r="Q128" s="26">
        <f>IF(AVERAGE(Q46,R45,S44,T43,U42,V41,W40,X39,Y38,Z37,AA36,AB35,AC34,AD33,AE32)&gt;Exercise,AVERAGE(Q46,R45,S44,T43,U42,V41,W40,X39,Y38,Z37,AA36,AB35,AC34,AD33,AE32)-Exercise,0)</f>
        <v>6.0549197863423245</v>
      </c>
      <c r="R128" s="26"/>
      <c r="S128" s="26">
        <f>IF(AVERAGE(S46,T45,U44,V43,W42,X41,Y40,Z39,AA38,AC36,AB37,AD35,AE34)&gt;Exercise,AVERAGE(S46,T45,U44,V43,W42,X41,Y40,Z39,AA38,AC36,AB37,AD35,AE34)-Exercise,0)</f>
        <v>3.056344728228197</v>
      </c>
      <c r="T128" s="26"/>
      <c r="U128" s="26">
        <f>IF(AVERAGE(U46,V45,W44,X43,Y42,Z41,AA40,AB39,AC38,AD37,AE36)&gt;Exercise,AVERAGE(U46,V45,W44,X43,Y42,Z41,AA40,AB39,AC38,AD37,AE36)-Exercise,0)</f>
        <v>0.16196887953447003</v>
      </c>
      <c r="V128" s="26"/>
      <c r="W128" s="26">
        <f>IF(AVERAGE(W46,X45,Y44,Z43,AA42,AB41,AC40,AD39,AE38)&gt;Exercise,AVERAGE(W46,X45,Y44,Z43,AA42,AB41,AC40,AD39,AE38)-Exercise,0)</f>
        <v>0</v>
      </c>
      <c r="X128" s="26"/>
      <c r="Y128" s="26">
        <f>IF(AVERAGE(Y46,Z45,AA44,AB43,AC42,AD41,AE40)&gt;Exercise,AVERAGE(Y46,Z45,AA44,AB43,AC42,AD41,AE40)-Exercise,0)</f>
        <v>0</v>
      </c>
      <c r="Z128" s="26"/>
      <c r="AA128" s="26">
        <f>IF(AVERAGE(AA46,AB45,AC44,AD43,AE42)&gt;Exercise,AVERAGE(AA46,AB45,AC44,AD43,AE42)-Exercise,0)</f>
        <v>0</v>
      </c>
      <c r="AB128" s="26"/>
      <c r="AC128" s="26">
        <f>IF(AVERAGE(AC46,AD45,AE44)&gt;Exercise,AVERAGE(AC46,AD45,AE44)-Exercise,0)</f>
        <v>0</v>
      </c>
      <c r="AD128" s="26"/>
      <c r="AE128" s="26">
        <f>IF(AE46&gt;Exercise,AE46-Exercise,0)</f>
        <v>0</v>
      </c>
      <c r="AF128" s="5"/>
      <c r="AG128" s="5"/>
      <c r="AH128" s="5"/>
      <c r="AI128" s="5"/>
      <c r="AJ128" s="5"/>
      <c r="AK128" s="5"/>
      <c r="AL128" s="5"/>
      <c r="AM128" s="5"/>
    </row>
    <row r="129" spans="1:39" ht="18.75" customHeight="1">
      <c r="A129" s="25"/>
      <c r="B129" s="25"/>
      <c r="C129" s="25"/>
      <c r="D129" s="26">
        <f>((E128*$E$7)/(1+$E$6))+((E130*(1-$E$7))/(1+$E$6))</f>
        <v>9.9407694573300862</v>
      </c>
      <c r="E129" s="25"/>
      <c r="F129" s="26">
        <f>((G128*$E$7)/(1+$E$6))+((G130*(1-$E$7))/(1+$E$6))</f>
        <v>9.739385369733581</v>
      </c>
      <c r="G129" s="25"/>
      <c r="H129" s="26">
        <f>((I128*$E$7)/(1+$E$6))+((I130*(1-$E$7))/(1+$E$6))</f>
        <v>9.5495405834371603</v>
      </c>
      <c r="I129" s="25"/>
      <c r="J129" s="26">
        <f>((K128*$E$7)/(1+$E$6))+((K130*(1-$E$7))/(1+$E$6))</f>
        <v>9.3999391388694136</v>
      </c>
      <c r="K129" s="25"/>
      <c r="L129" s="26">
        <f>((M128*$E$7)/(1+$E$6))+((M130*(1-$E$7))/(1+$E$6))</f>
        <v>9.3930890215762695</v>
      </c>
      <c r="M129" s="26"/>
      <c r="N129" s="26">
        <f>IF(AVERAGE(N47,O46,P45,Q44,R43,S42,T41,U40,V39,W38,X37,Y36,Z35,AA34,AB33,AC32,AD31,AE30)&gt;Exercise,AVERAGE(N47,O46,P45,Q44,R43,S42,T41,U40,V39,W38,X37,Y36,Z35,AA34,AB33,AC32,AD31,AE30)-Exercise,0)</f>
        <v>7.8067802164905515</v>
      </c>
      <c r="O129" s="26"/>
      <c r="P129" s="26">
        <f>IF(AVERAGE(P47,Q46,R45,S44,T43,U42,V41,W40,X39,Y38,Z37,AA36,AB35,AC34,AD33,AE32)&gt;Exercise,AVERAGE(P47,Q46,R45,S44,T43,U42,V41,W40,X39,Y38,Z37,AA36,AB35,AC34,AD33,AE32)-Exercise,0)</f>
        <v>4.7246149244066089</v>
      </c>
      <c r="Q129" s="26"/>
      <c r="R129" s="26">
        <f>IF(AVERAGE(R47,S46,T45,U44,V43,W42,X41,Y40,Z39,AA38,AB37,AC36,AD35,AE34)&gt;Exercise,AVERAGE(R47,S46,T45,U44,V43,W42,X41,Y40,Z39,AA38,AB37,AC36,AD35,AE34)-Exercise,0)</f>
        <v>1.7501802473097996</v>
      </c>
      <c r="S129" s="26"/>
      <c r="T129" s="26">
        <f>IF(AVERAGE(T47,U46,V45,W44,X43,Y42,Z41,AA40,AB39,AC38,AD37,AE36)&gt;Exercise,AVERAGE(T47,U46,V45,W44,X43,Y42,Z41,AA40,AB39,AC38,AD37,AE36)-Exercise,0)</f>
        <v>0</v>
      </c>
      <c r="U129" s="26"/>
      <c r="V129" s="26">
        <f>IF(AVERAGE(V47,W46,X45,Y44,Z43,AA42,AB41,AC40,AD39,AE38,)&gt;Exercise,AVERAGE(V47,W46,X45,Y44,Z43,AA42,AB41,AC40,AD39,AE38,)-Exercise,0)</f>
        <v>0</v>
      </c>
      <c r="W129" s="26"/>
      <c r="X129" s="26">
        <f>IF(AVERAGE(X47,Y46,Z45,AA44,AB43,AC42,AD41,AE40)&gt;Exercise,AVERAGE(X47,Y46,Z45,AA44,AB43,AC42,AD41,AE40)-Exercise,0)</f>
        <v>0</v>
      </c>
      <c r="Y129" s="26"/>
      <c r="Z129" s="26">
        <f>IF(AVERAGE(Z47,AA46,AB45,AC44,AD43,AE42)&gt;Exercise,AVERAGE(Z47,AA46,AB45,AC44,AD43,AE42)-Exercise,0)</f>
        <v>0</v>
      </c>
      <c r="AA129" s="26"/>
      <c r="AB129" s="26">
        <f>IF(AVERAGE(AB47,AC46,AD45,AE44)&gt;Exercise,AVERAGE(AB47,AC46,AD45,AE44)-Exercise,0)</f>
        <v>0</v>
      </c>
      <c r="AC129" s="26"/>
      <c r="AD129" s="26">
        <f>IF(AVERAGE(AD47,AE46)&gt;Exercise,AVERAGE(AD47,AE46)-Exercise,0)</f>
        <v>0</v>
      </c>
      <c r="AE129" s="26"/>
      <c r="AF129" s="5"/>
      <c r="AG129" s="5"/>
      <c r="AH129" s="5"/>
      <c r="AI129" s="5"/>
      <c r="AJ129" s="5"/>
      <c r="AK129" s="5"/>
      <c r="AL129" s="5"/>
      <c r="AM129" s="5"/>
    </row>
    <row r="130" spans="1:39" ht="18.75" customHeight="1">
      <c r="A130" s="25"/>
      <c r="B130" s="25"/>
      <c r="C130" s="25"/>
      <c r="D130" s="25"/>
      <c r="E130" s="26">
        <f>((F129*$E$7)/(1+$E$6))+((F131*(1-$E$7))/(1+$E$6))</f>
        <v>7.393143494811973</v>
      </c>
      <c r="F130" s="25"/>
      <c r="G130" s="26">
        <f>((H129*$E$7)/(1+$E$6))+((H131*(1-$E$7))/(1+$E$6))</f>
        <v>7.0985495661233831</v>
      </c>
      <c r="H130" s="25"/>
      <c r="I130" s="26">
        <f>((J129*$E$7)/(1+$E$6))+((J131*(1-$E$7))/(1+$E$6))</f>
        <v>6.7893486794346485</v>
      </c>
      <c r="J130" s="25"/>
      <c r="K130" s="26">
        <f>((L129*$E$7)/(1+$E$6))+((L131*(1-$E$7))/(1+$E$6))</f>
        <v>6.4894937363362075</v>
      </c>
      <c r="L130" s="25"/>
      <c r="M130" s="26">
        <f>IF(AVERAGE(M48,N47,O46,P45,Q44,R43,S42,T41,U40,V39,W38,X37,Y36,Z35,AA34,AB33,AC32,AD31,AE30)&gt;Exercise,AVERAGE(M48,N47,O46,P45,Q44,R43,S42,T41,U40,V39,W38,X37,Y36,Z35,AA34,AB33,AC32,AD31,AE30)-Exercise,0)</f>
        <v>6.4738895177183338</v>
      </c>
      <c r="N130" s="26"/>
      <c r="O130" s="26">
        <f>IF(AVERAGE(O48,P47,Q46,R45,S44,T43,U42,V41,W40,X39,Y38,Z37,AA36,AB35,AC34,AD33,AE32)&gt;Exercise,AVERAGE(O48,P47,Q46,R45,S44,T43,U42,V41,W40,X39,Y38,Z37,AA36,AB35,AC34,AD33,AE32)-Exercise,0)</f>
        <v>3.4162173959014126</v>
      </c>
      <c r="P130" s="26"/>
      <c r="Q130" s="26">
        <f>IF(AVERAGE(Q48,R47,S46,T45,U44,V43,W42,X41,Y40,Z39,AA38,AB37,AC36,AD35,AE34)&gt;Exercise,AVERAGE(Q48,R47,S46,T45,U44,V43,W42,X41,Y40,Z39,AA38,AB37,AC36,AD35,AE34)-Exercise,0)</f>
        <v>0.46562536014371858</v>
      </c>
      <c r="R130" s="26"/>
      <c r="S130" s="26">
        <f>IF(AVERAGE(S48,T47,U46,V45,W44,X43,Y42,Z41,AA40,AC38,AB39,AD37,AE36)&gt;Exercise,AVERAGE(S48,T47,U46,V45,W44,X43,Y42,Z41,AA40,AC38,AB39,AD37,AE36)-Exercise,0)</f>
        <v>0</v>
      </c>
      <c r="T130" s="26"/>
      <c r="U130" s="26">
        <f>IF(AVERAGE(U48,V47,W46,X45,Y44,Z43,AA42,AB41,AC40,AD39,AE38)&gt;Exercise,AVERAGE(U48,V47,W46,X45,Y44,Z43,AA42,AB41,AC40,AD39,AE38)-Exercise,0)</f>
        <v>0</v>
      </c>
      <c r="V130" s="26"/>
      <c r="W130" s="26">
        <f>IF(AVERAGE(W48,X47,Y46,Z45,AA44,AB43,AC42,AD41,AE40)&gt;Exercise,AVERAGE(W48,X47,Y46,Z45,AA44,AB43,AC42,AD41,AE40)-Exercise,0)</f>
        <v>0</v>
      </c>
      <c r="X130" s="26"/>
      <c r="Y130" s="26">
        <f>IF(AVERAGE(Y48,Z47,AA46,AB45,AC44,AD43,AE42)&gt;Exercise,AVERAGE(Y48,Z47,AA46,AB45,AC44,AD43,AE42)-Exercise,0)</f>
        <v>0</v>
      </c>
      <c r="Z130" s="26"/>
      <c r="AA130" s="26">
        <f>IF(AVERAGE(AA48,AB47,AC46,AD45,AE44)&gt;Exercise,AVERAGE(AA48,AB47,AC46,AD45,AE44)-Exercise,0)</f>
        <v>0</v>
      </c>
      <c r="AB130" s="26"/>
      <c r="AC130" s="26">
        <f>IF(AVERAGE(AC48,AD47,AE46)&gt;Exercise,AVERAGE(AC48,AD47,AE46)-Exercise,0)</f>
        <v>0</v>
      </c>
      <c r="AD130" s="26"/>
      <c r="AE130" s="26">
        <f>IF(AE48&gt;Exercise,AE48-Exercise,0)</f>
        <v>0</v>
      </c>
      <c r="AF130" s="5"/>
      <c r="AG130" s="5"/>
      <c r="AH130" s="5"/>
      <c r="AI130" s="5"/>
      <c r="AJ130" s="5"/>
      <c r="AK130" s="5"/>
      <c r="AL130" s="5"/>
      <c r="AM130" s="5"/>
    </row>
    <row r="131" spans="1:39" ht="18.75" customHeight="1">
      <c r="A131" s="25"/>
      <c r="B131" s="25"/>
      <c r="C131" s="25"/>
      <c r="D131" s="25"/>
      <c r="E131" s="25"/>
      <c r="F131" s="26">
        <f>((G130*$E$7)/(1+$E$6))+((G132*(1-$E$7))/(1+$E$6))</f>
        <v>5.101379079207474</v>
      </c>
      <c r="G131" s="25"/>
      <c r="H131" s="26">
        <f>((I130*$E$7)/(1+$E$6))+((I132*(1-$E$7))/(1+$E$6))</f>
        <v>4.7024078877714972</v>
      </c>
      <c r="I131" s="25"/>
      <c r="J131" s="26">
        <f>((K130*$E$7)/(1+$E$6))+((K132*(1-$E$7))/(1+$E$6))</f>
        <v>4.2346347758760077</v>
      </c>
      <c r="K131" s="25"/>
      <c r="L131" s="26">
        <f>((M130*$E$7)/(1+$E$6))+((M132*(1-$E$7))/(1+$E$6))</f>
        <v>3.644544117657897</v>
      </c>
      <c r="M131" s="25"/>
      <c r="N131" s="26">
        <f>IF(AVERAGE(N49,O48,P47,Q46,R45,S44,T43,U42,V41,W40,X39,Y38,Z37,AA36,AB35,AC34,AD33,AE32)&gt;Exercise,AVERAGE(N49,O48,P47,Q46,R45,S44,T43,U42,V41,W40,X39,Y38,Z37,AA36,AB35,AC34,AD33,AE32)-Exercise,0)</f>
        <v>2.1293162273716888</v>
      </c>
      <c r="O131" s="26"/>
      <c r="P131" s="26">
        <f>IF(AVERAGE(P49,Q48,R47,S46,T45,U44,V43,W42,X41,Y40,Z39,AA38,AB37,AC36,AD35,AE34)&gt;Exercise,AVERAGE(P49,Q48,R47,S46,T45,U44,V43,W42,X41,Y40,Z39,AA38,AB37,AC36,AD35,AE34)-Exercise,0)</f>
        <v>0</v>
      </c>
      <c r="Q131" s="26"/>
      <c r="R131" s="26">
        <f>IF(AVERAGE(R49,S48,T47,U46,V45,W44,X43,Y42,Z41,AA40,AB39,AC38,AD37,AE36)&gt;Exercise,AVERAGE(R49,S48,T47,U46,V45,W44,X43,Y42,Z41,AA40,AB39,AC38,AD37,AE36)-Exercise,0)</f>
        <v>0</v>
      </c>
      <c r="S131" s="26"/>
      <c r="T131" s="26">
        <f>IF(AVERAGE(T49,U48,V47,W46,X45,Y44,Z43,AA42,AB41,AC40,AD39,AE38)&gt;Exercise,AVERAGE(T49,U48,V47,W46,X45,Y44,Z43,AA42,AB41,AC40,AD39,AE38)-Exercise,0)</f>
        <v>0</v>
      </c>
      <c r="U131" s="26"/>
      <c r="V131" s="26">
        <f>IF(AVERAGE(V49,W48,X47,Y46,Z45,AA44,AB43,AC42,AD41,AE40,)&gt;Exercise,AVERAGE(V49,W48,X47,Y46,Z45,AA44,AB43,AC42,AD41,AE40,)-Exercise,0)</f>
        <v>0</v>
      </c>
      <c r="W131" s="26"/>
      <c r="X131" s="26">
        <f>IF(AVERAGE(X49,Y48,Z47,AA46,AB45,AC44,AD43,AE42)&gt;Exercise,AVERAGE(X49,Y48,Z47,AA46,AB45,AC44,AD43,AE42)-Exercise,0)</f>
        <v>0</v>
      </c>
      <c r="Y131" s="26"/>
      <c r="Z131" s="26">
        <f>IF(AVERAGE(Z49,AA48,AB47,AC46,AD45,AE44)&gt;Exercise,AVERAGE(Z49,AA48,AB47,AC46,AD45,AE44)-Exercise,0)</f>
        <v>0</v>
      </c>
      <c r="AA131" s="26"/>
      <c r="AB131" s="26">
        <f>IF(AVERAGE(AB49,AC48,AD47,AE46)&gt;Exercise,AVERAGE(AB49,AC48,AD47,AE46)-Exercise,0)</f>
        <v>0</v>
      </c>
      <c r="AC131" s="26"/>
      <c r="AD131" s="26">
        <f>IF(AVERAGE(AD49,AE48)&gt;Exercise,AVERAGE(AD49,AE48)-Exercise,0)</f>
        <v>0</v>
      </c>
      <c r="AE131" s="26"/>
      <c r="AF131" s="5"/>
      <c r="AG131" s="5"/>
      <c r="AH131" s="5"/>
      <c r="AI131" s="5"/>
      <c r="AJ131" s="5"/>
      <c r="AK131" s="5"/>
      <c r="AL131" s="5"/>
      <c r="AM131" s="5"/>
    </row>
    <row r="132" spans="1:39" ht="18.75" customHeight="1">
      <c r="A132" s="25"/>
      <c r="B132" s="25"/>
      <c r="C132" s="25"/>
      <c r="D132" s="25"/>
      <c r="E132" s="25"/>
      <c r="F132" s="25"/>
      <c r="G132" s="26">
        <f>((H131*$E$7)/(1+$E$6))+((H133*(1-$E$7))/(1+$E$6))</f>
        <v>3.1466500427153234</v>
      </c>
      <c r="H132" s="25"/>
      <c r="I132" s="26">
        <f>((J131*$E$7)/(1+$E$6))+((J133*(1-$E$7))/(1+$E$6))</f>
        <v>2.6577440450433683</v>
      </c>
      <c r="J132" s="25"/>
      <c r="K132" s="26">
        <f>((L131*$E$7)/(1+$E$6))+((L133*(1-$E$7))/(1+$E$6))</f>
        <v>2.0226636686216635</v>
      </c>
      <c r="L132" s="25"/>
      <c r="M132" s="26">
        <f>IF(AVERAGE(M50,N49,O48,P47,Q46,R45,S44,T43,U42,V41,W40,X39,Y38,Z37,AA36,AB35,AC34,AD33,AE32)&gt;Exercise,AVERAGE(M50,N49,O48,P47,Q46,R45,S44,T43,U42,V41,W40,X39,Y38,Z37,AA36,AB35,AC34,AD33,AE32)-Exercise,0)</f>
        <v>0.86350872102092069</v>
      </c>
      <c r="N132" s="26"/>
      <c r="O132" s="26">
        <f>IF(AVERAGE(O50,P49,Q48,R47,S46,T45,U44,V43,W42,X41,Y40,Z39,AA38,AB37,AC36,AD35,AE34)&gt;Exercise,AVERAGE(O50,P49,Q48,R47,S46,T45,U44,V43,W42,X41,Y40,Z39,AA38,AB37,AC36,AD35,AE34)-Exercise,0)</f>
        <v>0</v>
      </c>
      <c r="P132" s="26"/>
      <c r="Q132" s="26">
        <f>IF(AVERAGE(Q50,R49,S48,T47,U46,V45,W44,X43,Y42,Z41,AA40,AB39,AC38,AD37,AE36)&gt;Exercise,AVERAGE(Q50,R49,S48,T47,U46,V45,W44,X43,Y42,Z41,AA40,AB39,AC38,AD37,AE36)-Exercise,0)</f>
        <v>0</v>
      </c>
      <c r="R132" s="26"/>
      <c r="S132" s="26">
        <f>IF(AVERAGE(S50,T49,U48,V47,W46,X45,Y44,Z43,AA42,AC40,AB41,AD39,AE38)&gt;Exercise,AVERAGE(S50,T49,U48,V47,W46,X45,Y44,Z43,AA42,AC40,AB41,AD39,AE38)-Exercise,0)</f>
        <v>0</v>
      </c>
      <c r="T132" s="26"/>
      <c r="U132" s="26">
        <f>IF(AVERAGE(U50,V49,W48,X47,Y46,Z45,AA44,AB43,AC42,AD41,AE40)&gt;Exercise,AVERAGE(U50,V49,W48,X47,Y46,Z45,AA44,AB43,AC42,AD41,AE40)-Exercise,0)</f>
        <v>0</v>
      </c>
      <c r="V132" s="26"/>
      <c r="W132" s="26">
        <f>IF(AVERAGE(W50,X49,Y48,Z47,AA46,AB45,AC44,AD43,AE42)&gt;Exercise,AVERAGE(W50,X49,Y48,Z47,AA46,AB45,AC44,AD43,AE42)-Exercise,0)</f>
        <v>0</v>
      </c>
      <c r="X132" s="26"/>
      <c r="Y132" s="26">
        <f>IF(AVERAGE(Y50,Z49,AA48,AB47,AC46,AD45,AE44)&gt;Exercise,AVERAGE(Y50,Z49,AA48,AB47,AC46,AD45,AE44)-Exercise,0)</f>
        <v>0</v>
      </c>
      <c r="Z132" s="26"/>
      <c r="AA132" s="26">
        <f>IF(AVERAGE(AA50,AB49,AC48,AD47,AE46)&gt;Exercise,AVERAGE(AA50,AB49,AC48,AD47,AE46)-Exercise,0)</f>
        <v>0</v>
      </c>
      <c r="AB132" s="26"/>
      <c r="AC132" s="26">
        <f>IF(AVERAGE(AC50,AD49,AE48)&gt;Exercise,AVERAGE(AC50,AD49,AE48)-Exercise,0)</f>
        <v>0</v>
      </c>
      <c r="AD132" s="26"/>
      <c r="AE132" s="26">
        <f>IF(AE50&gt;Exercise,AE50-Exercise,0)</f>
        <v>0</v>
      </c>
      <c r="AF132" s="5"/>
      <c r="AG132" s="5"/>
      <c r="AH132" s="5"/>
      <c r="AI132" s="5"/>
      <c r="AJ132" s="5"/>
      <c r="AK132" s="5"/>
      <c r="AL132" s="5"/>
      <c r="AM132" s="5"/>
    </row>
    <row r="133" spans="1:39" ht="18.75" customHeight="1">
      <c r="A133" s="25"/>
      <c r="B133" s="25"/>
      <c r="C133" s="25"/>
      <c r="D133" s="25"/>
      <c r="E133" s="25"/>
      <c r="F133" s="25"/>
      <c r="G133" s="25"/>
      <c r="H133" s="26">
        <f>((I132*$E$7)/(1+$E$6))+((I134*(1-$E$7))/(1+$E$6))</f>
        <v>1.6212248862687741</v>
      </c>
      <c r="I133" s="25"/>
      <c r="J133" s="26">
        <f>((K132*$E$7)/(1+$E$6))+((K134*(1-$E$7))/(1+$E$6))</f>
        <v>1.1098445254430316</v>
      </c>
      <c r="K133" s="25"/>
      <c r="L133" s="26">
        <f>((M132*$E$7)/(1+$E$6))+((M134*(1-$E$7))/(1+$E$6))</f>
        <v>0.42825682491882611</v>
      </c>
      <c r="M133" s="25"/>
      <c r="N133" s="26">
        <f>IF(AVERAGE(N51,O50,P49,Q48,R47,S46,T45,U44,V43,W42,X41,Y40,Z39,AA38,AB37,AC36,AD35,AE34)&gt;Exercise,AVERAGE(N51,O50,P49,Q48,R47,S46,T45,U44,V43,W42,X41,Y40,Z39,AA38,AB37,AC36,AD35,AE34)-Exercise,0)</f>
        <v>0</v>
      </c>
      <c r="O133" s="26"/>
      <c r="P133" s="26">
        <f>IF(AVERAGE(P51,Q50,R49,S48,T47,U46,V45,W44,X43,Y42,Z41,AA40,AB39,AC38,AD37,AE36)&gt;Exercise,AVERAGE(P51,Q50,R49,S48,T47,U46,V45,W44,X43,Y42,Z41,AA40,AB39,AC38,AD37,AE36)-Exercise,0)</f>
        <v>0</v>
      </c>
      <c r="Q133" s="26"/>
      <c r="R133" s="26">
        <f>IF(AVERAGE(R51,S50,T49,U48,V47,W46,X45,Y44,Z43,AA42,AB41,AC40,AD39,AE38)&gt;Exercise,AVERAGE(R51,S50,T49,U48,V47,W46,X45,Y44,Z43,AA42,AB41,AC40,AD39,AE38)-Exercise,0)</f>
        <v>0</v>
      </c>
      <c r="S133" s="26"/>
      <c r="T133" s="26">
        <f>IF(AVERAGE(T51,U50,V49,W48,X47,Y46,Z45,AA44,AB43,AC42,AD41,AE40)&gt;Exercise,AVERAGE(T51,U50,V49,W48,X47,Y46,Z45,AA44,AB43,AC42,AD41,AE40)-Exercise,0)</f>
        <v>0</v>
      </c>
      <c r="U133" s="26"/>
      <c r="V133" s="26">
        <f>IF(AVERAGE(V51,W50,X49,Y48,Z47,AA46,AB45,AC44,AD43,AE42,)&gt;Exercise,AVERAGE(V51,W50,X49,Y48,Z47,AA46,AB45,AC44,AD43,AE42,)-Exercise,0)</f>
        <v>0</v>
      </c>
      <c r="W133" s="26"/>
      <c r="X133" s="26">
        <f>IF(AVERAGE(X51,Y50,Z49,AA48,AB47,AC46,AD45,AE44)&gt;Exercise,AVERAGE(X51,Y50,Z49,AA48,AB47,AC46,AD45,AE44)-Exercise,0)</f>
        <v>0</v>
      </c>
      <c r="Y133" s="26"/>
      <c r="Z133" s="26">
        <f>IF(AVERAGE(Z51,AA50,AB49,AC48,AD47,AE46)&gt;Exercise,AVERAGE(Z51,AA50,AB49,AC48,AD47,AE46)-Exercise,0)</f>
        <v>0</v>
      </c>
      <c r="AA133" s="26"/>
      <c r="AB133" s="26">
        <f>IF(AVERAGE(AB51,AC50,AD49,AE48)&gt;Exercise,AVERAGE(AB51,AC50,AD49,AE48)-Exercise,0)</f>
        <v>0</v>
      </c>
      <c r="AC133" s="26"/>
      <c r="AD133" s="26">
        <f>IF(AVERAGE(AD51,AE50)&gt;Exercise,AVERAGE(AD51,AE50)-Exercise,0)</f>
        <v>0</v>
      </c>
      <c r="AE133" s="26"/>
      <c r="AF133" s="5"/>
      <c r="AG133" s="5"/>
      <c r="AH133" s="5"/>
      <c r="AI133" s="5"/>
      <c r="AJ133" s="5"/>
      <c r="AK133" s="5"/>
      <c r="AL133" s="5"/>
      <c r="AM133" s="5"/>
    </row>
    <row r="134" spans="1:39" ht="18.75" customHeight="1">
      <c r="A134" s="25"/>
      <c r="B134" s="25"/>
      <c r="C134" s="25"/>
      <c r="D134" s="25"/>
      <c r="E134" s="25"/>
      <c r="F134" s="25"/>
      <c r="G134" s="25"/>
      <c r="H134" s="25"/>
      <c r="I134" s="26">
        <f>((J133*$E$7)/(1+$E$6))+((J135*(1-$E$7))/(1+$E$6))</f>
        <v>0.60334739836020279</v>
      </c>
      <c r="J134" s="25"/>
      <c r="K134" s="26">
        <f>((L133*$E$7)/(1+$E$6))+((L135*(1-$E$7))/(1+$E$6))</f>
        <v>0.21239381100021415</v>
      </c>
      <c r="L134" s="26"/>
      <c r="M134" s="26">
        <f>IF(AVERAGE(M52,N51,O50,P49,Q48,R47,S46,T45,U44,V43,W42,X41,Y40,Z39,AA38,AB37,AC36,AD35,AE34)&gt;Exercise,AVERAGE(M52,N51,O50,P49,Q48,R47,S46,T45,U44,V43,W42,X41,Y40,Z39,AA38,AB37,AC36,AD35,AE34)-Exercise,0)</f>
        <v>0</v>
      </c>
      <c r="N134" s="26"/>
      <c r="O134" s="26">
        <f>IF(AVERAGE(O52,P51,Q50,R49,S48,T47,U46,V45,W44,X43,Y42,Z41,AA40,AB39,AC38,AD37,AE36)&gt;Exercise,AVERAGE(O52,P51,Q50,R49,S48,T47,U46,V45,W44,X43,Y42,Z41,AA40,AB39,AC38,AD37,AE36)-Exercise,0)</f>
        <v>0</v>
      </c>
      <c r="P134" s="26"/>
      <c r="Q134" s="26">
        <f>IF(AVERAGE(Q52,R51,S50,T49,U48,V47,W46,X45,Y44,Z43,AA42,AB41,AC40,AD39,AE38)&gt;Exercise,AVERAGE(Q52,R51,S50,T49,U48,V47,W46,X45,Y44,Z43,AA42,AB41,AC40,AD39,AE38)-Exercise,0)</f>
        <v>0</v>
      </c>
      <c r="R134" s="26"/>
      <c r="S134" s="26">
        <f>IF(AVERAGE(S52,T51,U50,V49,W48,X47,Y46,Z45,AA44,AC42,AB43,AD41,AE40)&gt;Exercise,AVERAGE(S52,T51,U50,V49,W48,X47,Y46,Z45,AA44,AC42,AB43,AD41,AE40)-Exercise,0)</f>
        <v>0</v>
      </c>
      <c r="T134" s="26"/>
      <c r="U134" s="26">
        <f>IF(AVERAGE(U52,V51,W50,X49,Y48,Z47,AA46,AB45,AC44,AD43,AE42)&gt;Exercise,AVERAGE(U52,V51,W50,X49,Y48,Z47,AA46,AB45,AC44,AD43,AE42)-Exercise,0)</f>
        <v>0</v>
      </c>
      <c r="V134" s="26"/>
      <c r="W134" s="26">
        <f>IF(AVERAGE(W52,X51,Y50,Z49,AA48,AB47,AC46,AD45,AE44)&gt;Exercise,AVERAGE(W52,X51,Y50,Z49,AA48,AB47,AC46,AD45,AE44)-Exercise,0)</f>
        <v>0</v>
      </c>
      <c r="X134" s="26"/>
      <c r="Y134" s="26">
        <f>IF(AVERAGE(Y52,Z51,AA50,AB49,AC48,AD47,AE46)&gt;Exercise,AVERAGE(Y52,Z51,AA50,AB49,AC48,AD47,AE46)-Exercise,0)</f>
        <v>0</v>
      </c>
      <c r="Z134" s="26"/>
      <c r="AA134" s="26">
        <f>IF(AVERAGE(AA52,AB51,AC50,AD49,AE48)&gt;Exercise,AVERAGE(AA52,AB51,AC50,AD49,AE48)-Exercise,0)</f>
        <v>0</v>
      </c>
      <c r="AB134" s="26"/>
      <c r="AC134" s="26">
        <f>IF(AVERAGE(AC52,AD51,AE50)&gt;Exercise,AVERAGE(AC52,AD51,AE50)-Exercise,0)</f>
        <v>0</v>
      </c>
      <c r="AD134" s="26"/>
      <c r="AE134" s="26">
        <f>IF(AE52&gt;Exercise,AE52-Exercise,0)</f>
        <v>0</v>
      </c>
      <c r="AF134" s="5"/>
      <c r="AG134" s="5"/>
      <c r="AH134" s="5"/>
      <c r="AI134" s="5"/>
      <c r="AJ134" s="5"/>
      <c r="AK134" s="5"/>
      <c r="AL134" s="5"/>
      <c r="AM134" s="5"/>
    </row>
    <row r="135" spans="1:39" ht="18.75" customHeight="1">
      <c r="A135" s="25"/>
      <c r="B135" s="25"/>
      <c r="C135" s="25"/>
      <c r="D135" s="25"/>
      <c r="E135" s="25"/>
      <c r="F135" s="25"/>
      <c r="G135" s="25"/>
      <c r="H135" s="25"/>
      <c r="I135" s="25"/>
      <c r="J135" s="26">
        <f>((K134*$E$7)/(1+$E$6))+((K136*(1-$E$7))/(1+$E$6))</f>
        <v>0.10533663055981717</v>
      </c>
      <c r="K135" s="25"/>
      <c r="L135" s="26">
        <f>((M134*$E$7)/(1+$E$6))+((M136*(1-$E$7))/(1+$E$6))</f>
        <v>0</v>
      </c>
      <c r="M135" s="25"/>
      <c r="N135" s="26">
        <f>IF(AVERAGE(N53,O52,P51,Q50,R49,S48,T47,U46,V45,W44,X43,Y42,Z41,AA40,AB39,AC38,AD37,AE36)&gt;Exercise,AVERAGE(N53,O52,P51,Q50,R49,S48,T47,U46,V45,W44,X43,Y42,Z41,AA40,AB39,AC38,AD37,AE36)-Exercise,0)</f>
        <v>0</v>
      </c>
      <c r="O135" s="26"/>
      <c r="P135" s="26">
        <f>IF(AVERAGE(P53,Q52,R51,S50,T49,U48,V47,W46,X45,Y44,Z43,AA42,AB41,AC40,AD39,AE38)&gt;Exercise,AVERAGE(P53,Q52,R51,S50,T49,U48,V47,W46,X45,Y44,Z43,AA42,AB41,AC40,AD39,AE38)-Exercise,0)</f>
        <v>0</v>
      </c>
      <c r="Q135" s="26"/>
      <c r="R135" s="26">
        <f>IF(AVERAGE(R53,S52,T51,U50,V49,W48,X47,Y46,Z45,AA44,AB43,AC42,AD41,AE40)&gt;Exercise,AVERAGE(R53,S52,T51,U50,V49,W48,X47,Y46,Z45,AA44,AB43,AC42,AD41,AE40)-Exercise,0)</f>
        <v>0</v>
      </c>
      <c r="S135" s="26"/>
      <c r="T135" s="26">
        <f>IF(AVERAGE(T53,U52,V51,W50,X49,Y48,Z47,AA46,AB45,AC44,AD43,AE42)&gt;Exercise,AVERAGE(T53,U52,V51,W50,X49,Y48,Z47,AA46,AB45,AC44,AD43,AE42)-Exercise,0)</f>
        <v>0</v>
      </c>
      <c r="U135" s="26"/>
      <c r="V135" s="26">
        <f>IF(AVERAGE(V53,W52,X51,Y50,Z49,AA48,AB47,AC46,AD45,AE44,)&gt;Exercise,AVERAGE(V53,W52,X51,Y50,Z49,AA48,AB47,AC46,AD45,AE44,)-Exercise,0)</f>
        <v>0</v>
      </c>
      <c r="W135" s="26"/>
      <c r="X135" s="26">
        <f>IF(AVERAGE(X53,Y52,Z51,AA50,AB49,AC48,AD47,AE46)&gt;Exercise,AVERAGE(X53,Y52,Z51,AA50,AB49,AC48,AD47,AE46)-Exercise,0)</f>
        <v>0</v>
      </c>
      <c r="Y135" s="26"/>
      <c r="Z135" s="26">
        <f>IF(AVERAGE(Z53,AA52,AB51,AC50,AD49,AE48)&gt;Exercise,AVERAGE(Z53,AA52,AB51,AC50,AD49,AE48)-Exercise,0)</f>
        <v>0</v>
      </c>
      <c r="AA135" s="26"/>
      <c r="AB135" s="26">
        <f>IF(AVERAGE(AB53,AC52,AD51,AE50)&gt;Exercise,AVERAGE(AB53,AC52,AD51,AE50)-Exercise,0)</f>
        <v>0</v>
      </c>
      <c r="AC135" s="26"/>
      <c r="AD135" s="26">
        <f>IF(AVERAGE(AD53,AE52)&gt;Exercise,AVERAGE(AD53,AE52)-Exercise,0)</f>
        <v>0</v>
      </c>
      <c r="AE135" s="26"/>
      <c r="AF135" s="5"/>
      <c r="AG135" s="5"/>
      <c r="AH135" s="5"/>
      <c r="AI135" s="5"/>
      <c r="AJ135" s="5"/>
      <c r="AK135" s="5"/>
      <c r="AL135" s="5"/>
      <c r="AM135" s="5"/>
    </row>
    <row r="136" spans="1:39" ht="18.75" customHeight="1">
      <c r="A136" s="25"/>
      <c r="B136" s="25"/>
      <c r="C136" s="25"/>
      <c r="D136" s="25"/>
      <c r="E136" s="25"/>
      <c r="F136" s="25"/>
      <c r="G136" s="25"/>
      <c r="H136" s="25"/>
      <c r="I136" s="25"/>
      <c r="J136" s="25"/>
      <c r="K136" s="26">
        <f>((L135*$E$7)/(1+$E$6))+((L137*(1-$E$7))/(1+$E$6))</f>
        <v>0</v>
      </c>
      <c r="L136" s="25"/>
      <c r="M136" s="26">
        <f>IF(AVERAGE(M54,N53,O52,P51,Q50,R49,S48,T47,U46,V45,W44,X43,Y42,Z41,AA40,AB39,AC38,AD37,AE36)&gt;Exercise,AVERAGE(M54,N53,O52,P51,Q50,R49,S48,T47,U46,V45,W44,X43,Y42,Z41,AA40,AB39,AC38,AD37,AE36)-Exercise,0)</f>
        <v>0</v>
      </c>
      <c r="N136" s="26"/>
      <c r="O136" s="26">
        <f>IF(AVERAGE(O54,P53,Q52,R51,S50,T49,U48,V47,W46,X45,Y44,Z43,AA42,AB41,AC40,AD39,AE38)&gt;Exercise,AVERAGE(O54,P53,Q52,R51,S50,T49,U48,V47,W46,X45,Y44,Z43,AA42,AB41,AC40,AD39,AE38)-Exercise,0)</f>
        <v>0</v>
      </c>
      <c r="P136" s="26"/>
      <c r="Q136" s="26">
        <f>IF(AVERAGE(Q54,R53,S52,T51,U50,V49,W48,X47,Y46,Z45,AA44,AB43,AC42,AD41,AE40)&gt;Exercise,AVERAGE(Q54,R53,S52,T51,U50,V49,W48,X47,Y46,Z45,AA44,AB43,AC42,AD41,AE40)-Exercise,0)</f>
        <v>0</v>
      </c>
      <c r="R136" s="26"/>
      <c r="S136" s="26">
        <f>IF(AVERAGE(S54,T53,U52,V51,W50,X49,Y48,Z47,AA46,AC44,AB45,AD43,AE42)&gt;Exercise,AVERAGE(S54,T53,U52,V51,W50,X49,Y48,Z47,AA46,AC44,AB45,AD43,AE42)-Exercise,0)</f>
        <v>0</v>
      </c>
      <c r="T136" s="26"/>
      <c r="U136" s="26">
        <f>IF(AVERAGE(U54,V53,W52,X51,Y50,Z49,AA48,AB47,AC46,AD45,AE44)&gt;Exercise,AVERAGE(U54,V53,W52,X51,Y50,Z49,AA48,AB47,AC46,AD45,AE44)-Exercise,0)</f>
        <v>0</v>
      </c>
      <c r="V136" s="26"/>
      <c r="W136" s="26">
        <f>IF(AVERAGE(W54,X53,Y52,Z51,AA50,AB49,AC48,AD47,AE46)&gt;Exercise,AVERAGE(W54,X53,Y52,Z51,AA50,AB49,AC48,AD47,AE46)-Exercise,0)</f>
        <v>0</v>
      </c>
      <c r="X136" s="26"/>
      <c r="Y136" s="26">
        <f>IF(AVERAGE(Y54,Z53,AA52,AB51,AC50,AD49,AE48)&gt;Exercise,AVERAGE(Y54,Z53,AA52,AB51,AC50,AD49,AE48)-Exercise,0)</f>
        <v>0</v>
      </c>
      <c r="Z136" s="26"/>
      <c r="AA136" s="26">
        <f>IF(AVERAGE(AA54,AB53,AC52,AD51,AE50)&gt;Exercise,AVERAGE(AA54,AB53,AC52,AD51,AE50)-Exercise,0)</f>
        <v>0</v>
      </c>
      <c r="AB136" s="26"/>
      <c r="AC136" s="26">
        <f>IF(AVERAGE(AC54,AD53,AE52)&gt;Exercise,AVERAGE(AC54,AD53,AE52)-Exercise,0)</f>
        <v>0</v>
      </c>
      <c r="AD136" s="26"/>
      <c r="AE136" s="26">
        <f>IF(AE54&gt;Exercise,AE54-Exercise,0)</f>
        <v>0</v>
      </c>
      <c r="AF136" s="5"/>
      <c r="AG136" s="5"/>
      <c r="AH136" s="5"/>
      <c r="AI136" s="5"/>
      <c r="AJ136" s="5"/>
      <c r="AK136" s="5"/>
      <c r="AL136" s="5"/>
      <c r="AM136" s="5"/>
    </row>
    <row r="137" spans="1:39" ht="18.75" customHeight="1">
      <c r="A137" s="25"/>
      <c r="B137" s="25"/>
      <c r="C137" s="25"/>
      <c r="D137" s="25"/>
      <c r="E137" s="25"/>
      <c r="F137" s="25"/>
      <c r="G137" s="25"/>
      <c r="H137" s="25"/>
      <c r="I137" s="25"/>
      <c r="J137" s="25"/>
      <c r="K137" s="25"/>
      <c r="L137" s="26">
        <f>((M136*$E$7)/(1+$E$6))+((M138*(1-$E$7))/(1+$E$6))</f>
        <v>0</v>
      </c>
      <c r="M137" s="25"/>
      <c r="N137" s="26">
        <f>IF(AVERAGE(N55,O54,P53,Q52,R51,S50,T49,U48,V47,W46,X45,Y44,Z43,AA42,AB41,AC40,AD39,AE38)&gt;Exercise,AVERAGE(N55,O54,P53,Q52,R51,S50,T49,U48,V47,W46,X45,Y44,Z43,AA42,AB41,AC40,AD39,AE38)-Exercise,0)</f>
        <v>0</v>
      </c>
      <c r="O137" s="26"/>
      <c r="P137" s="26">
        <f>IF(AVERAGE(P55,Q54,R53,S52,T51,U50,V49,W48,X47,Y46,Z45,AA44,AB43,AC42,AD41,AE40)&gt;Exercise,AVERAGE(P55,Q54,R53,S52,T51,U50,V49,W48,X47,Y46,Z45,AA44,AB43,AC42,AD41,AE40)-Exercise,0)</f>
        <v>0</v>
      </c>
      <c r="Q137" s="26"/>
      <c r="R137" s="26">
        <f>IF(AVERAGE(R55,S54,T53,U52,V51,W50,X49,Y48,Z47,AA46,AB45,AC44,AD43,AE42)&gt;Exercise,AVERAGE(R55,S54,T53,U52,V51,W50,X49,Y48,Z47,AA46,AB45,AC44,AD43,AE42)-Exercise,0)</f>
        <v>0</v>
      </c>
      <c r="S137" s="26"/>
      <c r="T137" s="26">
        <f>IF(AVERAGE(T55,U54,V53,W52,X51,Y50,Z49,AA48,AB47,AC46,AD45,AE44)&gt;Exercise,AVERAGE(T55,U54,V53,W52,X51,Y50,Z49,AA48,AB47,AC46,AD45,AE44)-Exercise,0)</f>
        <v>0</v>
      </c>
      <c r="U137" s="26"/>
      <c r="V137" s="26">
        <f>IF(AVERAGE(V55,W54,X53,Y52,Z51,AA50,AB49,AC48,AD47,AE46,)&gt;Exercise,AVERAGE(V55,W54,X53,Y52,Z51,AA50,AB49,AC48,AD47,AE46,)-Exercise,0)</f>
        <v>0</v>
      </c>
      <c r="W137" s="26"/>
      <c r="X137" s="26">
        <f>IF(AVERAGE(X55,Y54,Z53,AA52,AB51,AC50,AD49,AE48)&gt;Exercise,AVERAGE(X55,Y54,Z53,AA52,AB51,AC50,AD49,AE48)-Exercise,0)</f>
        <v>0</v>
      </c>
      <c r="Y137" s="26"/>
      <c r="Z137" s="26">
        <f>IF(AVERAGE(Z55,AA54,AB53,AC52,AD51,AE50)&gt;Exercise,AVERAGE(Z55,AA54,AB53,AC52,AD51,AE50)-Exercise,0)</f>
        <v>0</v>
      </c>
      <c r="AA137" s="26"/>
      <c r="AB137" s="26">
        <f>IF(AVERAGE(AB55,AC54,AD53,AE52)&gt;Exercise,AVERAGE(AB55,AC54,AD53,AE52)-Exercise,0)</f>
        <v>0</v>
      </c>
      <c r="AC137" s="26"/>
      <c r="AD137" s="26">
        <f>IF(AVERAGE(AD55,AE54)&gt;Exercise,AVERAGE(AD55,AE54)-Exercise,0)</f>
        <v>0</v>
      </c>
      <c r="AE137" s="26"/>
      <c r="AF137" s="5"/>
      <c r="AG137" s="5"/>
      <c r="AH137" s="5"/>
      <c r="AI137" s="5"/>
      <c r="AJ137" s="5"/>
      <c r="AK137" s="5"/>
      <c r="AL137" s="5"/>
      <c r="AM137" s="5"/>
    </row>
    <row r="138" spans="1:39" ht="18.75" customHeight="1">
      <c r="A138" s="56"/>
      <c r="B138" s="56"/>
      <c r="C138" s="56"/>
      <c r="D138" s="56"/>
      <c r="E138" s="56"/>
      <c r="F138" s="56"/>
      <c r="G138" s="56"/>
      <c r="H138" s="56"/>
      <c r="I138" s="56"/>
      <c r="J138" s="56"/>
      <c r="K138" s="56"/>
      <c r="L138" s="56"/>
      <c r="M138" s="26">
        <f>IF(AVERAGE(M56,N55,O54,P53,Q52,R51,S50,T49,U48,V47,W46,X45,Y44,Z43,AA42,AB41,AC40,AD39,AE38)&gt;Exercise,AVERAGE(M56,N55,O54,P53,Q52,R51,S50,T49,U48,V47,W46,X45,Y44,Z43,AA42,AB41,AC40,AD39,AE38)-Exercise,0)</f>
        <v>0</v>
      </c>
      <c r="N138" s="26"/>
      <c r="O138" s="26">
        <f>IF(AVERAGE(O56,P55,Q54,R53,S52,T51,U50,V49,W48,X47,Y46,Z45,AA44,AB43,AC42,AD41,AE40)&gt;Exercise,AVERAGE(O56,P55,Q54,R53,S52,T51,U50,V49,W48,X47,Y46,Z45,AA44,AB43,AC42,AD41,AE40)-Exercise,0)</f>
        <v>0</v>
      </c>
      <c r="P138" s="5"/>
      <c r="Q138" s="26">
        <f>IF(AVERAGE(Q56,R55,S54,T53,U52,V51,W50,X49,Y48,Z47,AA46,AB45,AC44,AD43,AE42)&gt;Exercise,AVERAGE(Q56,R55,S54,T53,U52,V51,W50,X49,Y48,Z47,AA46,AB45,AC44,AD43,AE42)-Exercise,0)</f>
        <v>0</v>
      </c>
      <c r="R138" s="26"/>
      <c r="S138" s="26">
        <f>IF(AVERAGE(S56,T55,U54,V53,W52,X51,Y50,Z49,AA48,AC46,AB47,AD45,AE44)&gt;Exercise,AVERAGE(S56,T55,U54,V53,W52,X51,Y50,Z49,AA48,AC46,AB47,AD45,AE44)-Exercise,0)</f>
        <v>0</v>
      </c>
      <c r="T138" s="26"/>
      <c r="U138" s="26">
        <f>IF(AVERAGE(U56,V55,W54,X53,Y52,Z51,AA50,AB49,AC48,AD47,AE46)&gt;Exercise,AVERAGE(U56,V55,W54,X53,Y52,Z51,AA50,AB49,AC48,AD47,AE46)-Exercise,0)</f>
        <v>0</v>
      </c>
      <c r="V138" s="26"/>
      <c r="W138" s="26">
        <f>IF(AVERAGE(W56,X55,Y54,Z53,AA52,AB51,AC50,AD49,AE48)&gt;Exercise,AVERAGE(W56,X55,Y54,Z53,AA52,AB51,AC50,AD49,AE48)-Exercise,0)</f>
        <v>0</v>
      </c>
      <c r="X138" s="26"/>
      <c r="Y138" s="26">
        <f>IF(AVERAGE(Y56,Z55,AA54,AB53,AC52,AD51,AE50)&gt;Exercise,AVERAGE(Y56,Z55,AA54,AB53,AC52,AD51,AE50)-Exercise,0)</f>
        <v>0</v>
      </c>
      <c r="Z138" s="26"/>
      <c r="AA138" s="26">
        <f>IF(AVERAGE(AA56,AB55,AC54,AD53,AE52)&gt;Exercise,AVERAGE(AA56,AB55,AC54,AD53,AE52)-Exercise,0)</f>
        <v>0</v>
      </c>
      <c r="AB138" s="26"/>
      <c r="AC138" s="26">
        <f>IF(AVERAGE(AC56,AD55,AE54)&gt;Exercise,AVERAGE(AC56,AD55,AE54)-Exercise,0)</f>
        <v>0</v>
      </c>
      <c r="AD138" s="26"/>
      <c r="AE138" s="26">
        <f>IF(AE56&gt;Exercise,AE56-Exercise,0)</f>
        <v>0</v>
      </c>
      <c r="AF138" s="5"/>
      <c r="AG138" s="5"/>
      <c r="AH138" s="5"/>
      <c r="AI138" s="5"/>
      <c r="AJ138" s="5"/>
      <c r="AK138" s="5"/>
      <c r="AL138" s="5"/>
      <c r="AM138" s="5"/>
    </row>
    <row r="139" spans="1:39" s="138" customFormat="1" ht="18.75" customHeight="1">
      <c r="A139" s="56"/>
      <c r="B139" s="56"/>
      <c r="C139" s="56"/>
      <c r="D139" s="56"/>
      <c r="E139" s="56"/>
      <c r="F139" s="56"/>
      <c r="G139" s="56"/>
      <c r="H139" s="56"/>
      <c r="I139" s="56"/>
      <c r="J139" s="56"/>
      <c r="K139" s="56"/>
      <c r="L139" s="56"/>
      <c r="M139" s="56"/>
      <c r="N139" s="26">
        <f>IF(AVERAGE(N57,O56,P55,Q54,R53,S52,T51,U50,V49,W48,X47,Y46,Z45,AA44,AB43,AC42,AD41,AE40)&gt;Exercise,AVERAGE(N57,O56,P55,Q54,R53,S52,T51,U50,V49,W48,X47,Y46,Z45,AA44,AB43,AC42,AD41,AE40)-Exercise,0)</f>
        <v>0</v>
      </c>
      <c r="O139" s="26"/>
      <c r="P139" s="26">
        <f>IF(AVERAGE(P57,Q56,R55,S54,T53,U52,V51,W50,X49,Y48,Z47,AA46,AB45,AC44,AD43,AE42)&gt;Exercise,AVERAGE(P57,Q56,R55,S54,T53,U52,V51,W50,X49,Y48,Z47,AA46,AB45,AC44,AD43,AE42)-Exercise,0)</f>
        <v>0</v>
      </c>
      <c r="Q139" s="26"/>
      <c r="R139" s="26">
        <f>IF(AVERAGE(R57,S56,T55,U54,V53,W52,X51,Y50,Z49,AA48,AB47,AC46,AD45,AE44)&gt;Exercise,AVERAGE(R57,S56,T55,U54,V53,W52,X51,Y50,Z49,AA48,AB47,AC46,AD45,AE44)-Exercise,0)</f>
        <v>0</v>
      </c>
      <c r="S139" s="26"/>
      <c r="T139" s="26">
        <f>IF(AVERAGE(T57,U56,V55,W54,X53,Y52,Z51,AA50,AB49,AC48,AD47,AE46)&gt;Exercise,AVERAGE(T57,U56,V55,W54,X53,Y52,Z51,AA50,AB49,AC48,AD47,AE46)-Exercise,0)</f>
        <v>0</v>
      </c>
      <c r="U139" s="26"/>
      <c r="V139" s="26">
        <f>IF(AVERAGE(V57,W56,X55,Y54,Z53,AA52,AB51,AC50,AD49,AE48,)&gt;Exercise,AVERAGE(V57,W56,X55,Y54,Z53,AA52,AB51,AC50,AD49,AE48,)-Exercise,0)</f>
        <v>0</v>
      </c>
      <c r="W139" s="26"/>
      <c r="X139" s="26">
        <f>IF(AVERAGE(X57,Y56,Z55,AA54,AB53,AC52,AD51,AE50)&gt;Exercise,AVERAGE(X57,Y56,Z55,AA54,AB53,AC52,AD51,AE50)-Exercise,0)</f>
        <v>0</v>
      </c>
      <c r="Y139" s="26"/>
      <c r="Z139" s="26">
        <f>IF(AVERAGE(Z57,AA56,AB55,AC54,AD53,AE52)&gt;Exercise,AVERAGE(Z57,AA56,AB55,AC54,AD53,AE52)-Exercise,0)</f>
        <v>0</v>
      </c>
      <c r="AA139" s="26"/>
      <c r="AB139" s="26">
        <f>IF(AVERAGE(AB57,AC56,AD55,AE54)&gt;Exercise,AVERAGE(AB57,AC56,AD55,AE54)-Exercise,0)</f>
        <v>0</v>
      </c>
      <c r="AC139" s="26"/>
      <c r="AD139" s="26">
        <f>IF(AVERAGE(AD57,AE56)&gt;Exercise,AVERAGE(AD57,AE56)-Exercise,0)</f>
        <v>0</v>
      </c>
      <c r="AE139" s="26"/>
      <c r="AF139" s="5"/>
      <c r="AG139" s="5"/>
      <c r="AH139" s="5"/>
      <c r="AI139" s="5"/>
      <c r="AJ139" s="5"/>
      <c r="AK139" s="5"/>
      <c r="AL139" s="5"/>
      <c r="AM139" s="5"/>
    </row>
    <row r="140" spans="1:39" s="138" customFormat="1" ht="18.75" customHeight="1">
      <c r="A140" s="56"/>
      <c r="B140" s="56"/>
      <c r="C140" s="56"/>
      <c r="D140" s="56"/>
      <c r="E140" s="56"/>
      <c r="F140" s="56"/>
      <c r="G140" s="56"/>
      <c r="H140" s="56"/>
      <c r="I140" s="56"/>
      <c r="J140" s="56"/>
      <c r="K140" s="56"/>
      <c r="L140" s="56"/>
      <c r="M140" s="56"/>
      <c r="N140" s="5"/>
      <c r="O140" s="26">
        <f>IF(AVERAGE(O58,P57,Q56,R55,S54,T53,U52,V51,W50,X49,Y48,Z47,AA46,AB45,AC44,AD43,AE42)&gt;Exercise,AVERAGE(O58,P57,Q56,R55,S54,T53,U52,V51,W50,X49,Y48,Z47,AA46,AB45,AC44,AD43,AE42)-Exercise,0)</f>
        <v>0</v>
      </c>
      <c r="P140" s="26"/>
      <c r="Q140" s="26">
        <f>IF(AVERAGE(Q58,R57,S56,T55,U54,V53,W52,X51,Y50,Z49,AA48,AB47,AC46,AD45,AE44)&gt;Exercise,AVERAGE(Q58,R57,S56,T55,U54,V53,W52,X51,Y50,Z49,AA48,AB47,AC46,AD45,AE44)-Exercise,0)</f>
        <v>0</v>
      </c>
      <c r="R140" s="26"/>
      <c r="S140" s="26">
        <f>IF(AVERAGE(S58,T57,U56,V55,W54,X53,Y52,Z51,AA50,AC48,AB49,AD47,AE46)&gt;Exercise,AVERAGE(S58,T57,U56,V55,W54,X53,Y52,Z51,AA50,AC48,AB49,AD47,AE46)-Exercise,0)</f>
        <v>0</v>
      </c>
      <c r="T140" s="26"/>
      <c r="U140" s="26">
        <f>IF(AVERAGE(U58,V57,W56,X55,Y54,Z53,AA52,AB51,AC50,AD49,AE48)&gt;Exercise,AVERAGE(U58,V57,W56,X55,Y54,Z53,AA52,AB51,AC50,AD49,AE48)-Exercise,0)</f>
        <v>0</v>
      </c>
      <c r="V140" s="26"/>
      <c r="W140" s="26">
        <f>IF(AVERAGE(W58,X57,Y56,Z55,AA54,AB53,AC52,AD51,AE50)&gt;Exercise,AVERAGE(W58,X57,Y56,Z55,AA54,AB53,AC52,AD51,AE50)-Exercise,0)</f>
        <v>0</v>
      </c>
      <c r="X140" s="26"/>
      <c r="Y140" s="26">
        <f>IF(AVERAGE(Y58,Z57,AA56,AB55,AC54,AD53,AE52)&gt;Exercise,AVERAGE(Y58,Z57,AA56,AB55,AC54,AD53,AE52)-Exercise,0)</f>
        <v>0</v>
      </c>
      <c r="Z140" s="26"/>
      <c r="AA140" s="26">
        <f>IF(AVERAGE(AA58,AB57,AC56,AD55,AE54)&gt;Exercise,AVERAGE(AA58,AB57,AC56,AD55,AE54)-Exercise,0)</f>
        <v>0</v>
      </c>
      <c r="AB140" s="26"/>
      <c r="AC140" s="26">
        <f>IF(AVERAGE(AC58,AD57,AE56)&gt;Exercise,AVERAGE(AC58,AD57,AE56)-Exercise,0)</f>
        <v>0</v>
      </c>
      <c r="AD140" s="26"/>
      <c r="AE140" s="26">
        <f>IF(AE58&gt;Exercise,AE58-Exercise,0)</f>
        <v>0</v>
      </c>
      <c r="AF140" s="5"/>
      <c r="AG140" s="5"/>
      <c r="AH140" s="5"/>
      <c r="AI140" s="5"/>
      <c r="AJ140" s="5"/>
      <c r="AK140" s="5"/>
      <c r="AL140" s="5"/>
      <c r="AM140" s="5"/>
    </row>
    <row r="141" spans="1:39" s="138" customFormat="1" ht="18.75" customHeight="1">
      <c r="A141" s="56"/>
      <c r="B141" s="56"/>
      <c r="C141" s="56"/>
      <c r="D141" s="56"/>
      <c r="E141" s="56"/>
      <c r="F141" s="56"/>
      <c r="G141" s="56"/>
      <c r="H141" s="56"/>
      <c r="I141" s="56"/>
      <c r="J141" s="56"/>
      <c r="K141" s="56"/>
      <c r="L141" s="56"/>
      <c r="M141" s="56"/>
      <c r="N141" s="5"/>
      <c r="O141" s="5"/>
      <c r="P141" s="26">
        <f>IF(AVERAGE(P59,Q58,R57,S56,T55,U54,V53,W52,X51,Y50,Z49,AA48,AB47,AC46,AD45,AE44)&gt;Exercise,AVERAGE(P59,Q58,R57,S56,T55,U54,V53,W52,X51,Y50,Z49,AA48,AB47,AC46,AD45,AE44)-Exercise,0)</f>
        <v>0</v>
      </c>
      <c r="Q141" s="26"/>
      <c r="R141" s="26">
        <f>IF(AVERAGE(R59,S58,T57,U56,V55,W54,X53,Y52,Z51,AA50,AB49,AC48,AD47,AE46)&gt;Exercise,AVERAGE(R59,S58,T57,U56,V55,W54,X53,Y52,Z51,AA50,AB49,AC48,AD47,AE46)-Exercise,0)</f>
        <v>0</v>
      </c>
      <c r="S141" s="26"/>
      <c r="T141" s="26">
        <f>IF(AVERAGE(T59,U58,V57,W56,X55,Y54,Z53,AA52,AB51,AC50,AD49,AE48)&gt;Exercise,AVERAGE(T59,U58,V57,W56,X55,Y54,Z53,AA52,AB51,AC50,AD49,AE48)-Exercise,0)</f>
        <v>0</v>
      </c>
      <c r="U141" s="26"/>
      <c r="V141" s="26">
        <f>IF(AVERAGE(V59,W58,X57,Y56,Z55,AA54,AB53,AC52,AD51,AE50,)&gt;Exercise,AVERAGE(V59,W58,X57,Y56,Z55,AA54,AB53,AC52,AD51,AE50,)-Exercise,0)</f>
        <v>0</v>
      </c>
      <c r="W141" s="26"/>
      <c r="X141" s="26">
        <f>IF(AVERAGE(X59,Y58,Z57,AA56,AB55,AC54,AD53,AE52)&gt;Exercise,AVERAGE(X59,Y58,Z57,AA56,AB55,AC54,AD53,AE52)-Exercise,0)</f>
        <v>0</v>
      </c>
      <c r="Y141" s="26"/>
      <c r="Z141" s="26">
        <f>IF(AVERAGE(Z59,AA58,AB57,AC56,AD55,AE54)&gt;Exercise,AVERAGE(Z59,AA58,AB57,AC56,AD55,AE54)-Exercise,0)</f>
        <v>0</v>
      </c>
      <c r="AA141" s="26"/>
      <c r="AB141" s="26">
        <f>IF(AVERAGE(AB59,AC58,AD57,AE56)&gt;Exercise,AVERAGE(AB59,AC58,AD57,AE56)-Exercise,0)</f>
        <v>0</v>
      </c>
      <c r="AC141" s="26"/>
      <c r="AD141" s="26">
        <f>IF(AVERAGE(AD59,AE58)&gt;Exercise,AVERAGE(AD59,AE58)-Exercise,0)</f>
        <v>0</v>
      </c>
      <c r="AE141" s="26"/>
      <c r="AF141" s="5"/>
      <c r="AG141" s="5"/>
      <c r="AH141" s="5"/>
      <c r="AI141" s="5"/>
      <c r="AJ141" s="5"/>
      <c r="AK141" s="5"/>
      <c r="AL141" s="5"/>
      <c r="AM141" s="5"/>
    </row>
    <row r="142" spans="1:39" s="138" customFormat="1" ht="18.75" customHeight="1">
      <c r="A142" s="56"/>
      <c r="B142" s="56"/>
      <c r="C142" s="56"/>
      <c r="D142" s="56"/>
      <c r="E142" s="56"/>
      <c r="F142" s="56"/>
      <c r="G142" s="56"/>
      <c r="H142" s="56"/>
      <c r="I142" s="56"/>
      <c r="J142" s="56"/>
      <c r="K142" s="56"/>
      <c r="L142" s="56"/>
      <c r="M142" s="56"/>
      <c r="N142" s="5"/>
      <c r="O142" s="5"/>
      <c r="P142" s="5"/>
      <c r="Q142" s="26">
        <f>IF(AVERAGE(Q60,R59,S58,T57,U56,V55,W54,X53,Y52,Z51,AA50,AB49,AC48,AD47,AE46)&gt;Exercise,AVERAGE(Q60,R59,S58,T57,U56,V55,W54,X53,Y52,Z51,AA50,AB49,AC48,AD47,AE46)-Exercise,0)</f>
        <v>0</v>
      </c>
      <c r="R142" s="26"/>
      <c r="S142" s="26">
        <f>IF(AVERAGE(S60,T59,U58,V57,W56,X55,Y54,Z53,AA52,AC50,AB51,AD49,AE48)&gt;Exercise,AVERAGE(S60,T59,U58,V57,W56,X55,Y54,Z53,AA52,AC50,AB51,AD49,AE48)-Exercise,0)</f>
        <v>0</v>
      </c>
      <c r="T142" s="26"/>
      <c r="U142" s="26">
        <f>IF(AVERAGE(U60,V59,W58,X57,Y56,Z55,AA54,AB53,AC52,AD51,AE50)&gt;Exercise,AVERAGE(U60,V59,W58,X57,Y56,Z55,AA54,AB53,AC52,AD51,AE50)-Exercise,0)</f>
        <v>0</v>
      </c>
      <c r="V142" s="26"/>
      <c r="W142" s="26">
        <f>IF(AVERAGE(W60,X59,Y58,Z57,AA56,AB55,AC54,AD53,AE52)&gt;Exercise,AVERAGE(W60,X59,Y58,Z57,AA56,AB55,AC54,AD53,AE52)-Exercise,0)</f>
        <v>0</v>
      </c>
      <c r="X142" s="26"/>
      <c r="Y142" s="26">
        <f>IF(AVERAGE(Y60,Z59,AA58,AB57,AC56,AD55,AE54)&gt;Exercise,AVERAGE(Y60,Z59,AA58,AB57,AC56,AD55,AE54)-Exercise,0)</f>
        <v>0</v>
      </c>
      <c r="Z142" s="26"/>
      <c r="AA142" s="26">
        <f>IF(AVERAGE(AA60,AB59,AC58,AD57,AE56)&gt;Exercise,AVERAGE(AA60,AB59,AC58,AD57,AE56)-Exercise,0)</f>
        <v>0</v>
      </c>
      <c r="AB142" s="26"/>
      <c r="AC142" s="26">
        <f>IF(AVERAGE(AC60,AD59,AE58)&gt;Exercise,AVERAGE(AC60,AD59,AE58)-Exercise,0)</f>
        <v>0</v>
      </c>
      <c r="AD142" s="26"/>
      <c r="AE142" s="26">
        <f>IF(AE60&gt;Exercise,AE60-Exercise,0)</f>
        <v>0</v>
      </c>
      <c r="AF142" s="5"/>
      <c r="AG142" s="5"/>
      <c r="AH142" s="5"/>
      <c r="AI142" s="5"/>
      <c r="AJ142" s="5"/>
      <c r="AK142" s="5"/>
      <c r="AL142" s="5"/>
      <c r="AM142" s="5"/>
    </row>
    <row r="143" spans="1:39" s="138" customFormat="1" ht="18.75" customHeight="1">
      <c r="A143" s="56"/>
      <c r="B143" s="56"/>
      <c r="C143" s="56"/>
      <c r="D143" s="56"/>
      <c r="E143" s="56"/>
      <c r="F143" s="56"/>
      <c r="G143" s="56"/>
      <c r="H143" s="56"/>
      <c r="I143" s="56"/>
      <c r="J143" s="56"/>
      <c r="K143" s="56"/>
      <c r="L143" s="56"/>
      <c r="M143" s="56"/>
      <c r="N143" s="5"/>
      <c r="O143" s="5"/>
      <c r="P143" s="5"/>
      <c r="Q143" s="5"/>
      <c r="R143" s="26">
        <f>IF(R61&gt;Exercise,R61-Exercise,0)</f>
        <v>0</v>
      </c>
      <c r="S143" s="26"/>
      <c r="T143" s="26">
        <f>IF(AVERAGE(T61,U60,V59,W58,X57,Y56,Z55,AA54,AB53,AC52,AD51,AE50)&gt;Exercise,AVERAGE(T61,U60,V59,W58,X57,Y56,Z55,AA54,AB53,AC52,AD51,AE50)-Exercise,0)</f>
        <v>0</v>
      </c>
      <c r="U143" s="26"/>
      <c r="V143" s="26">
        <f>IF(AVERAGE(V61,W60,X59,Y58,Z57,AA56,AB55,AC54,AD53,AE52,)&gt;Exercise,AVERAGE(V61,W60,X59,Y58,Z57,AA56,AB55,AC54,AD53,AE52,)-Exercise,0)</f>
        <v>0</v>
      </c>
      <c r="W143" s="26"/>
      <c r="X143" s="26">
        <f>IF(AVERAGE(X61,Y60,Z59,AA58,AB57,AC56,AD55,AE54)&gt;Exercise,AVERAGE(X61,Y60,Z59,AA58,AB57,AC56,AD55,AE54)-Exercise,0)</f>
        <v>0</v>
      </c>
      <c r="Y143" s="26"/>
      <c r="Z143" s="26">
        <f>IF(AVERAGE(Z61,AA60,AB59,AC58,AD57,AE56)&gt;Exercise,AVERAGE(Z61,AA60,AB59,AC58,AD57,AE56)-Exercise,0)</f>
        <v>0</v>
      </c>
      <c r="AA143" s="26"/>
      <c r="AB143" s="26">
        <f>IF(AVERAGE(AB61,AC60,AD59,AE58)&gt;Exercise,AVERAGE(AB61,AC60,AD59,AE58)-Exercise,0)</f>
        <v>0</v>
      </c>
      <c r="AC143" s="26"/>
      <c r="AD143" s="26">
        <f>IF(AVERAGE(AD61,AE60)&gt;Exercise,AVERAGE(AD61,AE60)-Exercise,0)</f>
        <v>0</v>
      </c>
      <c r="AE143" s="26"/>
      <c r="AF143" s="5"/>
      <c r="AG143" s="5"/>
      <c r="AH143" s="5"/>
      <c r="AI143" s="5"/>
      <c r="AJ143" s="5"/>
      <c r="AK143" s="5"/>
      <c r="AL143" s="5"/>
      <c r="AM143" s="5"/>
    </row>
    <row r="144" spans="1:39" s="138" customFormat="1" ht="18.75" customHeight="1">
      <c r="A144" s="56"/>
      <c r="B144" s="56"/>
      <c r="C144" s="56"/>
      <c r="D144" s="56"/>
      <c r="E144" s="56"/>
      <c r="F144" s="56"/>
      <c r="G144" s="56"/>
      <c r="H144" s="56"/>
      <c r="I144" s="56"/>
      <c r="J144" s="56"/>
      <c r="K144" s="56"/>
      <c r="L144" s="56"/>
      <c r="M144" s="56"/>
      <c r="N144" s="5"/>
      <c r="O144" s="5"/>
      <c r="P144" s="5"/>
      <c r="Q144" s="5"/>
      <c r="R144" s="5"/>
      <c r="S144" s="26">
        <f>IF(AVERAGE(S62,T61,U60,V59,W58,X57,Y56,Z55,AA54,AC52,AB53,AD51,AE50)&gt;Exercise,AVERAGE(S62,T61,U60,V59,W58,X57,Y56,Z55,AA54,AC52,AB53,AD51,AE50)-Exercise,0)</f>
        <v>0</v>
      </c>
      <c r="T144" s="26"/>
      <c r="U144" s="26">
        <f>IF(AVERAGE(U62,V61,W60,X59,Y58,Z57,AA56,AB55,AC54,AD53,AE52)&gt;Exercise,AVERAGE(U62,V61,W60,X59,Y58,Z57,AA56,AB55,AC54,AD53,AE52)-Exercise,0)</f>
        <v>0</v>
      </c>
      <c r="V144" s="26"/>
      <c r="W144" s="26">
        <f>IF(AVERAGE(W62,X61,Y60,Z59,AA58,AB57,AC56,AD55,AE54)&gt;Exercise,AVERAGE(W62,X61,Y60,Z59,AA58,AB57,AC56,AD55,AE54)-Exercise,0)</f>
        <v>0</v>
      </c>
      <c r="X144" s="26"/>
      <c r="Y144" s="26">
        <f>IF(AVERAGE(Y62,Z61,AA60,AB59,AC58,AD57,AE56)&gt;Exercise,AVERAGE(Y62,Z61,AA60,AB59,AC58,AD57,AE56)-Exercise,0)</f>
        <v>0</v>
      </c>
      <c r="Z144" s="26"/>
      <c r="AA144" s="26">
        <f>IF(AVERAGE(AA62,AB61,AC60,AD59,AE58)&gt;Exercise,AVERAGE(AA62,AB61,AC60,AD59,AE58)-Exercise,0)</f>
        <v>0</v>
      </c>
      <c r="AB144" s="26"/>
      <c r="AC144" s="26">
        <f>IF(AVERAGE(AC62,AD61,AE60)&gt;Exercise,AVERAGE(AC62,AD61,AE60)-Exercise,0)</f>
        <v>0</v>
      </c>
      <c r="AD144" s="26"/>
      <c r="AE144" s="26">
        <f>IF(AE62&gt;Exercise,AE62-Exercise,0)</f>
        <v>0</v>
      </c>
      <c r="AF144" s="5"/>
      <c r="AG144" s="5"/>
      <c r="AH144" s="5"/>
      <c r="AI144" s="5"/>
      <c r="AJ144" s="5"/>
      <c r="AK144" s="5"/>
      <c r="AL144" s="5"/>
      <c r="AM144" s="5"/>
    </row>
    <row r="145" spans="1:39" s="138" customFormat="1" ht="18.75" customHeight="1">
      <c r="A145" s="56"/>
      <c r="B145" s="56"/>
      <c r="C145" s="56"/>
      <c r="D145" s="56"/>
      <c r="E145" s="56"/>
      <c r="F145" s="56"/>
      <c r="G145" s="56"/>
      <c r="H145" s="56"/>
      <c r="I145" s="56"/>
      <c r="J145" s="56"/>
      <c r="K145" s="56"/>
      <c r="L145" s="56"/>
      <c r="M145" s="56"/>
      <c r="N145" s="5"/>
      <c r="O145" s="5"/>
      <c r="P145" s="5"/>
      <c r="Q145" s="5"/>
      <c r="R145" s="5"/>
      <c r="S145" s="5"/>
      <c r="T145" s="26">
        <f>IF(AVERAGE(T63,U62,V61,W60,X59,Y58,Z57,AA56,AB55,AC54,AD53,AE52)&gt;Exercise,AVERAGE(T63,U62,V61,W60,X59,Y58,Z57,AA56,AB55,AC54,AD53,AE52)-Exercise,0)</f>
        <v>0</v>
      </c>
      <c r="U145" s="26"/>
      <c r="V145" s="26">
        <f>IF(AVERAGE(V63,W62,X61,Y60,Z59,AA58,AB57,AC56,AD55,AE54,)&gt;Exercise,AVERAGE(V63,W62,X61,Y60,Z59,AA58,AB57,AC56,AD55,AE54,)-Exercise,0)</f>
        <v>0</v>
      </c>
      <c r="W145" s="26"/>
      <c r="X145" s="26">
        <f>IF(AVERAGE(X63,Y62,Z61,AA60,AB59,AC58,AD57,AE56)&gt;Exercise,AVERAGE(X63,Y62,Z61,AA60,AB59,AC58,AD57,AE56)-Exercise,0)</f>
        <v>0</v>
      </c>
      <c r="Y145" s="26"/>
      <c r="Z145" s="26">
        <f>IF(AVERAGE(Z63,AA62,AB61,AC60,AD59,AE58)&gt;Exercise,AVERAGE(Z63,AA62,AB61,AC60,AD59,AE58)-Exercise,0)</f>
        <v>0</v>
      </c>
      <c r="AA145" s="26"/>
      <c r="AB145" s="26">
        <f>IF(AVERAGE(AB63,AC62,AD61,AE60)&gt;Exercise,AVERAGE(AB63,AC62,AD61,AE60)-Exercise,0)</f>
        <v>0</v>
      </c>
      <c r="AC145" s="26"/>
      <c r="AD145" s="26">
        <f>IF(AVERAGE(AD63,AE62)&gt;Exercise,AVERAGE(AD63,AE62)-Exercise,0)</f>
        <v>0</v>
      </c>
      <c r="AE145" s="26"/>
      <c r="AF145" s="5"/>
      <c r="AG145" s="5"/>
      <c r="AH145" s="5"/>
      <c r="AI145" s="5"/>
      <c r="AJ145" s="5"/>
      <c r="AK145" s="5"/>
      <c r="AL145" s="5"/>
      <c r="AM145" s="5"/>
    </row>
    <row r="146" spans="1:39" s="138" customFormat="1" ht="18.75" customHeight="1">
      <c r="A146" s="56"/>
      <c r="B146" s="56"/>
      <c r="C146" s="56"/>
      <c r="D146" s="56"/>
      <c r="E146" s="56"/>
      <c r="F146" s="56"/>
      <c r="G146" s="56"/>
      <c r="H146" s="56"/>
      <c r="I146" s="56"/>
      <c r="J146" s="56"/>
      <c r="K146" s="56"/>
      <c r="L146" s="56"/>
      <c r="M146" s="56"/>
      <c r="N146" s="5"/>
      <c r="O146" s="5"/>
      <c r="P146" s="5"/>
      <c r="Q146" s="5"/>
      <c r="R146" s="5"/>
      <c r="S146" s="5"/>
      <c r="T146" s="5"/>
      <c r="U146" s="26">
        <f>IF(AVERAGE(U64,V63,W62,X61,Y60,Z59,AA58,AB57,AC56,AD55,AE54)&gt;Exercise,AVERAGE(U64,V63,W62,X61,Y60,Z59,AA58,AB57,AC56,AD55,AE54)-Exercise,0)</f>
        <v>0</v>
      </c>
      <c r="V146" s="26"/>
      <c r="W146" s="26">
        <f>IF(AVERAGE(W64,X63,Y62,Z61,AA60,AB59,AC58,AD57,AE56)&gt;Exercise,AVERAGE(W64,X63,Y62,Z61,AA60,AB59,AC58,AD57,AE56)-Exercise,0)</f>
        <v>0</v>
      </c>
      <c r="X146" s="26"/>
      <c r="Y146" s="26">
        <f>IF(AVERAGE(Y64,Z63,AA62,AB61,AC60,AD59,AE58)&gt;Exercise,AVERAGE(Y64,Z63,AA62,AB61,AC60,AD59,AE58)-Exercise,0)</f>
        <v>0</v>
      </c>
      <c r="Z146" s="26"/>
      <c r="AA146" s="26">
        <f>IF(AVERAGE(AA64,AB63,AC62,AD61,AE60)&gt;Exercise,AVERAGE(AA64,AB63,AC62,AD61,AE60)-Exercise,0)</f>
        <v>0</v>
      </c>
      <c r="AB146" s="26"/>
      <c r="AC146" s="26">
        <f>IF(AVERAGE(AC64,AD63,AE62)&gt;Exercise,AVERAGE(AC64,AD63,AE62)-Exercise,0)</f>
        <v>0</v>
      </c>
      <c r="AD146" s="26"/>
      <c r="AE146" s="26">
        <f>IF(AE64&gt;Exercise,AE64-Exercise,0)</f>
        <v>0</v>
      </c>
      <c r="AF146" s="5"/>
      <c r="AG146" s="5"/>
      <c r="AH146" s="5"/>
      <c r="AI146" s="5"/>
      <c r="AJ146" s="5"/>
      <c r="AK146" s="5"/>
      <c r="AL146" s="5"/>
      <c r="AM146" s="5"/>
    </row>
    <row r="147" spans="1:39" s="138" customFormat="1" ht="18.75" customHeight="1">
      <c r="A147" s="56"/>
      <c r="B147" s="56"/>
      <c r="C147" s="56"/>
      <c r="D147" s="56"/>
      <c r="E147" s="56"/>
      <c r="F147" s="56"/>
      <c r="G147" s="56"/>
      <c r="H147" s="56"/>
      <c r="I147" s="56"/>
      <c r="J147" s="56"/>
      <c r="K147" s="56"/>
      <c r="L147" s="56"/>
      <c r="M147" s="56"/>
      <c r="N147" s="5"/>
      <c r="O147" s="5"/>
      <c r="P147" s="5"/>
      <c r="Q147" s="5"/>
      <c r="R147" s="5"/>
      <c r="S147" s="5"/>
      <c r="T147" s="5"/>
      <c r="U147" s="5"/>
      <c r="V147" s="26">
        <f>IF(AVERAGE(V65,W64,X63,Y62,Z61,AA60,AB59,AC58,AD57,AE56,)&gt;Exercise,AVERAGE(V65,W64,X63,Y62,Z61,AA60,AB59,AC58,AD57,AE56,)-Exercise,0)</f>
        <v>0</v>
      </c>
      <c r="W147" s="26"/>
      <c r="X147" s="26">
        <f>IF(AVERAGE(X65,Y64,Z63,AA62,AB61,AC60,AD59,AE58)&gt;Exercise,AVERAGE(X65,Y64,Z63,AA62,AB61,AC60,AD59,AE58)-Exercise,0)</f>
        <v>0</v>
      </c>
      <c r="Y147" s="26"/>
      <c r="Z147" s="26">
        <f>IF(AVERAGE(Z65,AA64,AB63,AC62,AD61,AE60)&gt;Exercise,AVERAGE(Z65,AA64,AB63,AC62,AD61,AE60)-Exercise,0)</f>
        <v>0</v>
      </c>
      <c r="AA147" s="26"/>
      <c r="AB147" s="26">
        <f>IF(AVERAGE(AB65,AC64,AD63,AE62)&gt;Exercise,AVERAGE(AB65,AC64,AD63,AE62)-Exercise,0)</f>
        <v>0</v>
      </c>
      <c r="AC147" s="26"/>
      <c r="AD147" s="26">
        <f>IF(AVERAGE(AD65,AE64)&gt;Exercise,AVERAGE(AD65,AE64)-Exercise,0)</f>
        <v>0</v>
      </c>
      <c r="AE147" s="26"/>
      <c r="AF147" s="5"/>
      <c r="AG147" s="5"/>
      <c r="AH147" s="5"/>
      <c r="AI147" s="5"/>
      <c r="AJ147" s="5"/>
      <c r="AK147" s="5"/>
      <c r="AL147" s="5"/>
      <c r="AM147" s="5"/>
    </row>
    <row r="148" spans="1:39" s="138" customFormat="1" ht="18.75" customHeight="1">
      <c r="A148" s="56"/>
      <c r="B148" s="56"/>
      <c r="C148" s="56"/>
      <c r="D148" s="56"/>
      <c r="E148" s="56"/>
      <c r="F148" s="56"/>
      <c r="G148" s="56"/>
      <c r="H148" s="56"/>
      <c r="I148" s="56"/>
      <c r="J148" s="56"/>
      <c r="K148" s="56"/>
      <c r="L148" s="56"/>
      <c r="M148" s="56"/>
      <c r="N148" s="5"/>
      <c r="O148" s="5"/>
      <c r="P148" s="5"/>
      <c r="Q148" s="5"/>
      <c r="R148" s="5"/>
      <c r="S148" s="5"/>
      <c r="T148" s="5"/>
      <c r="U148" s="5"/>
      <c r="V148" s="5"/>
      <c r="W148" s="26">
        <f>IF(AVERAGE(W66,X65,Y64,Z63,AA62,AB61,AC60,AD59,AE58)&gt;Exercise,AVERAGE(W66,X65,Y64,Z63,AA62,AB61,AC60,AD59,AE58)-Exercise,0)</f>
        <v>0</v>
      </c>
      <c r="X148" s="26"/>
      <c r="Y148" s="26">
        <f>IF(AVERAGE(Y66,Z65,AA64,AB63,AC62,AD61,AE60)&gt;Exercise,AVERAGE(Y66,Z65,AA64,AB63,AC62,AD61,AE60)-Exercise,0)</f>
        <v>0</v>
      </c>
      <c r="Z148" s="26"/>
      <c r="AA148" s="26">
        <f>IF(AVERAGE(AA66,AB65,AC64,AD63,AE62)&gt;Exercise,AVERAGE(AA66,AB65,AC64,AD63,AE62)-Exercise,0)</f>
        <v>0</v>
      </c>
      <c r="AB148" s="26"/>
      <c r="AC148" s="26">
        <f>IF(AVERAGE(AC66,AD65,AE64)&gt;Exercise,AVERAGE(AC66,AD65,AE64)-Exercise,0)</f>
        <v>0</v>
      </c>
      <c r="AD148" s="26"/>
      <c r="AE148" s="26">
        <f>IF(AE66&gt;Exercise,AE66-Exercise,0)</f>
        <v>0</v>
      </c>
      <c r="AF148" s="5"/>
      <c r="AG148" s="5"/>
      <c r="AH148" s="5"/>
      <c r="AI148" s="5"/>
      <c r="AJ148" s="5"/>
      <c r="AK148" s="5"/>
      <c r="AL148" s="5"/>
      <c r="AM148" s="5"/>
    </row>
    <row r="149" spans="1:39" ht="18.75" customHeight="1">
      <c r="A149" s="56"/>
      <c r="B149" s="56"/>
      <c r="C149" s="56"/>
      <c r="D149" s="56"/>
      <c r="E149" s="56"/>
      <c r="F149" s="56"/>
      <c r="G149" s="56"/>
      <c r="H149" s="56"/>
      <c r="I149" s="56"/>
      <c r="J149" s="56"/>
      <c r="K149" s="56"/>
      <c r="L149" s="56"/>
      <c r="M149" s="56"/>
      <c r="N149" s="5"/>
      <c r="O149" s="5"/>
      <c r="P149" s="5"/>
      <c r="Q149" s="5"/>
      <c r="R149" s="5"/>
      <c r="S149" s="5"/>
      <c r="T149" s="5"/>
      <c r="U149" s="5"/>
      <c r="V149" s="5"/>
      <c r="X149" s="26">
        <f>IF(AVERAGE(X67,Y66,Z65,AA64,AB63,AC62,AD61,AE60)&gt;Exercise,AVERAGE(X67,Y66,Z65,AA64,AB63,AC62,AD61,AE60)-Exercise,0)</f>
        <v>0</v>
      </c>
      <c r="Y149" s="26"/>
      <c r="Z149" s="26">
        <f>IF(AVERAGE(Z67,AA66,AB65,AC64,AD63,AE62)&gt;Exercise,AVERAGE(Z67,AA66,AB65,AC64,AD63,AE62)-Exercise,0)</f>
        <v>0</v>
      </c>
      <c r="AA149" s="26"/>
      <c r="AB149" s="26">
        <f>IF(AVERAGE(AB67,AC66,AD65,AE64)&gt;Exercise,AVERAGE(AB67,AC66,AD65,AE64)-Exercise,0)</f>
        <v>0</v>
      </c>
      <c r="AC149" s="26"/>
      <c r="AD149" s="26">
        <f>IF(AVERAGE(AD67,AE66)&gt;Exercise,AVERAGE(AD67,AE66)-Exercise,0)</f>
        <v>0</v>
      </c>
      <c r="AE149" s="26"/>
      <c r="AF149" s="5"/>
      <c r="AG149" s="5"/>
      <c r="AH149" s="5"/>
      <c r="AI149" s="5"/>
      <c r="AJ149" s="5"/>
      <c r="AK149" s="5"/>
      <c r="AL149" s="5"/>
      <c r="AM149" s="5"/>
    </row>
    <row r="150" spans="1:39" ht="18.75" customHeight="1">
      <c r="A150" s="56"/>
      <c r="B150" s="56"/>
      <c r="C150" s="56"/>
      <c r="D150" s="56"/>
      <c r="E150" s="56"/>
      <c r="F150" s="56"/>
      <c r="G150" s="56"/>
      <c r="H150" s="56"/>
      <c r="I150" s="56"/>
      <c r="J150" s="56"/>
      <c r="K150" s="56"/>
      <c r="L150" s="56"/>
      <c r="M150" s="56"/>
      <c r="N150" s="5"/>
      <c r="O150" s="5"/>
      <c r="P150" s="5"/>
      <c r="Q150" s="5"/>
      <c r="R150" s="5"/>
      <c r="S150" s="5"/>
      <c r="T150" s="5"/>
      <c r="U150" s="5"/>
      <c r="V150" s="5"/>
      <c r="Y150" s="26">
        <f>IF(AVERAGE(Y68,Z67,AA66,AB65,AC64,AD63,AE62)&gt;Exercise,AVERAGE(Y68,Z67,AA66,AB65,AC64,AD63,AE62)-Exercise,0)</f>
        <v>0</v>
      </c>
      <c r="Z150" s="26"/>
      <c r="AA150" s="26">
        <f>IF(AVERAGE(AA68,AB67,AC66,AD65,AE64)&gt;Exercise,AVERAGE(AA68,AB67,AC66,AD65,AE64)-Exercise,0)</f>
        <v>0</v>
      </c>
      <c r="AB150" s="26"/>
      <c r="AC150" s="26">
        <f>IF(AVERAGE(AC68,AD67,AE66)&gt;Exercise,AVERAGE(AC68,AD67,AE66)-Exercise,0)</f>
        <v>0</v>
      </c>
      <c r="AD150" s="26"/>
      <c r="AE150" s="26">
        <f>IF(AE68&gt;Exercise,AE68-Exercise,0)</f>
        <v>0</v>
      </c>
      <c r="AF150" s="5"/>
      <c r="AG150" s="5"/>
      <c r="AH150" s="5"/>
      <c r="AI150" s="5"/>
      <c r="AJ150" s="5"/>
      <c r="AK150" s="5"/>
      <c r="AL150" s="5"/>
    </row>
    <row r="151" spans="1:39" ht="18.75" customHeight="1">
      <c r="A151" s="56"/>
      <c r="B151" s="56"/>
      <c r="C151" s="56"/>
      <c r="D151" s="56"/>
      <c r="E151" s="56"/>
      <c r="F151" s="56"/>
      <c r="G151" s="56"/>
      <c r="H151" s="56"/>
      <c r="I151" s="56"/>
      <c r="J151" s="56"/>
      <c r="K151" s="56"/>
      <c r="L151" s="56"/>
      <c r="M151" s="56"/>
      <c r="N151" s="5"/>
      <c r="O151" s="5"/>
      <c r="P151" s="5"/>
      <c r="Q151" s="5"/>
      <c r="R151" s="5"/>
      <c r="S151" s="5"/>
      <c r="T151" s="5"/>
      <c r="U151" s="5"/>
      <c r="V151" s="5"/>
      <c r="Y151" s="5"/>
      <c r="Z151" s="26">
        <f>IF(AVERAGE(Z69,AA68,AB67,AC66,AD65,AE64)&gt;Exercise,AVERAGE(Z69,AA68,AB67,AC66,AD65,AE64)-Exercise,0)</f>
        <v>0</v>
      </c>
      <c r="AA151" s="26"/>
      <c r="AB151" s="26">
        <f>IF(AVERAGE(AB69,AC68,AD67,AE66)&gt;Exercise,AVERAGE(AB69,AC68,AD67,AE66)-Exercise,0)</f>
        <v>0</v>
      </c>
      <c r="AC151" s="26"/>
      <c r="AD151" s="26">
        <f>IF(AVERAGE(AD69,AE68)&gt;Exercise,AVERAGE(AD69,AE68)-Exercise,0)</f>
        <v>0</v>
      </c>
      <c r="AE151" s="26"/>
      <c r="AF151" s="5"/>
      <c r="AG151" s="5"/>
      <c r="AH151" s="5"/>
      <c r="AI151" s="5"/>
      <c r="AJ151" s="5"/>
      <c r="AK151" s="5"/>
      <c r="AL151" s="5"/>
      <c r="AM151" s="5"/>
    </row>
    <row r="152" spans="1:39" ht="18.75" customHeight="1">
      <c r="A152" s="56"/>
      <c r="B152" s="56"/>
      <c r="C152" s="56"/>
      <c r="D152" s="56"/>
      <c r="E152" s="56"/>
      <c r="F152" s="56"/>
      <c r="G152" s="56"/>
      <c r="H152" s="56"/>
      <c r="I152" s="56"/>
      <c r="J152" s="56"/>
      <c r="K152" s="56"/>
      <c r="L152" s="56"/>
      <c r="M152" s="56"/>
      <c r="N152" s="5"/>
      <c r="O152" s="5"/>
      <c r="P152" s="5"/>
      <c r="Q152" s="5"/>
      <c r="R152" s="5"/>
      <c r="S152" s="5"/>
      <c r="T152" s="5"/>
      <c r="U152" s="5"/>
      <c r="V152" s="5"/>
      <c r="Y152" s="5"/>
      <c r="Z152" s="5"/>
      <c r="AA152" s="26">
        <f>IF(AVERAGE(AA70,AB69,AC68,AD67,AE66)&gt;Exercise,AVERAGE(AA70,AB69,AC68,AD67,AE66)-Exercise,0)</f>
        <v>0</v>
      </c>
      <c r="AB152" s="26"/>
      <c r="AC152" s="26">
        <f>IF(AVERAGE(AC70,AD69,AE68)&gt;Exercise,AVERAGE(AC70,AD69,AE68)-Exercise,0)</f>
        <v>0</v>
      </c>
      <c r="AD152" s="26"/>
      <c r="AE152" s="26">
        <f>IF(AE70&gt;Exercise,AE70-Exercise,0)</f>
        <v>0</v>
      </c>
      <c r="AF152" s="5"/>
      <c r="AG152" s="5"/>
      <c r="AH152" s="5"/>
      <c r="AI152" s="5"/>
      <c r="AJ152" s="5"/>
      <c r="AK152" s="5"/>
      <c r="AL152" s="5"/>
      <c r="AM152" s="5"/>
    </row>
    <row r="153" spans="1:39" ht="18.75" customHeight="1">
      <c r="A153" s="56"/>
      <c r="B153" s="56"/>
      <c r="C153" s="56"/>
      <c r="D153" s="56"/>
      <c r="E153" s="56"/>
      <c r="F153" s="56"/>
      <c r="G153" s="56"/>
      <c r="H153" s="56"/>
      <c r="I153" s="56"/>
      <c r="J153" s="56"/>
      <c r="K153" s="56"/>
      <c r="L153" s="56"/>
      <c r="M153" s="56"/>
      <c r="N153" s="5"/>
      <c r="O153" s="5"/>
      <c r="P153" s="5"/>
      <c r="Q153" s="5"/>
      <c r="R153" s="5"/>
      <c r="S153" s="5"/>
      <c r="T153" s="5"/>
      <c r="U153" s="5"/>
      <c r="V153" s="5"/>
      <c r="Y153" s="5"/>
      <c r="Z153" s="5"/>
      <c r="AA153" s="5"/>
      <c r="AB153" s="26">
        <f>IF(AVERAGE(AB71,AC70,AD69,AE68)&gt;Exercise,AVERAGE(AB71,AC70,AD69,AE68)-Exercise,0)</f>
        <v>0</v>
      </c>
      <c r="AC153" s="26"/>
      <c r="AD153" s="26">
        <f>IF(AVERAGE(AD71,AE70)&gt;Exercise,AVERAGE(AD71,AE70)-Exercise,0)</f>
        <v>0</v>
      </c>
      <c r="AE153" s="26"/>
      <c r="AF153" s="5"/>
      <c r="AG153" s="5"/>
      <c r="AH153" s="5"/>
      <c r="AI153" s="5"/>
      <c r="AJ153" s="5"/>
      <c r="AK153" s="5"/>
      <c r="AL153" s="5"/>
      <c r="AM153" s="5"/>
    </row>
    <row r="154" spans="1:39" ht="18.75" customHeight="1">
      <c r="A154" s="56"/>
      <c r="B154" s="56"/>
      <c r="C154" s="56"/>
      <c r="D154" s="56"/>
      <c r="E154" s="56"/>
      <c r="F154" s="56"/>
      <c r="G154" s="56"/>
      <c r="H154" s="56"/>
      <c r="I154" s="56"/>
      <c r="J154" s="56"/>
      <c r="K154" s="56"/>
      <c r="L154" s="56"/>
      <c r="M154" s="56"/>
      <c r="N154" s="5"/>
      <c r="O154" s="5"/>
      <c r="P154" s="5"/>
      <c r="Q154" s="5"/>
      <c r="R154" s="5"/>
      <c r="S154" s="5"/>
      <c r="T154" s="5"/>
      <c r="U154" s="5"/>
      <c r="V154" s="5"/>
      <c r="Y154" s="5"/>
      <c r="Z154" s="5"/>
      <c r="AA154" s="5"/>
      <c r="AB154" s="5"/>
      <c r="AC154" s="26">
        <f>IF(AVERAGE(AC72,AD71,AE70)&gt;Exercise,AVERAGE(AC72,AD71,AE70)-Exercise,0)</f>
        <v>0</v>
      </c>
      <c r="AD154" s="26"/>
      <c r="AE154" s="26">
        <f>IF(AE72&gt;Exercise,AE72-Exercise,0)</f>
        <v>0</v>
      </c>
      <c r="AF154" s="5"/>
      <c r="AG154" s="5"/>
      <c r="AH154" s="5"/>
      <c r="AI154" s="5"/>
      <c r="AJ154" s="5"/>
      <c r="AK154" s="5"/>
      <c r="AL154" s="5"/>
      <c r="AM154" s="5"/>
    </row>
    <row r="155" spans="1:39" ht="18.75" customHeight="1">
      <c r="A155" s="56"/>
      <c r="B155" s="56"/>
      <c r="C155" s="56"/>
      <c r="D155" s="56"/>
      <c r="E155" s="56"/>
      <c r="F155" s="56"/>
      <c r="G155" s="56"/>
      <c r="H155" s="56"/>
      <c r="I155" s="56"/>
      <c r="J155" s="56"/>
      <c r="K155" s="56"/>
      <c r="L155" s="56"/>
      <c r="M155" s="56"/>
      <c r="N155" s="5"/>
      <c r="O155" s="5"/>
      <c r="P155" s="5"/>
      <c r="Q155" s="5"/>
      <c r="R155" s="5"/>
      <c r="S155" s="5"/>
      <c r="T155" s="5"/>
      <c r="U155" s="5"/>
      <c r="V155" s="5"/>
      <c r="Y155" s="5"/>
      <c r="Z155" s="5"/>
      <c r="AA155" s="5"/>
      <c r="AB155" s="5"/>
      <c r="AC155" s="5"/>
      <c r="AD155" s="26">
        <f>IF(AVERAGE(AD73,AE72)&gt;Exercise,AVERAGE(AD73,AE72)-Exercise,0)</f>
        <v>0</v>
      </c>
      <c r="AE155" s="26"/>
      <c r="AF155" s="5"/>
      <c r="AG155" s="5"/>
      <c r="AH155" s="5"/>
      <c r="AI155" s="5"/>
      <c r="AJ155" s="5"/>
      <c r="AK155" s="5"/>
      <c r="AL155" s="5"/>
      <c r="AM155" s="5"/>
    </row>
    <row r="156" spans="1:39" ht="18.75" customHeight="1">
      <c r="A156" s="56"/>
      <c r="B156" s="56"/>
      <c r="C156" s="56"/>
      <c r="D156" s="56"/>
      <c r="E156" s="56"/>
      <c r="F156" s="56"/>
      <c r="G156" s="56"/>
      <c r="H156" s="56"/>
      <c r="I156" s="56"/>
      <c r="J156" s="56"/>
      <c r="K156" s="56"/>
      <c r="L156" s="56"/>
      <c r="M156" s="56"/>
      <c r="N156" s="5"/>
      <c r="O156" s="5"/>
      <c r="P156" s="5"/>
      <c r="Q156" s="5"/>
      <c r="R156" s="5"/>
      <c r="S156" s="5"/>
      <c r="T156" s="5"/>
      <c r="U156" s="5"/>
      <c r="V156" s="5"/>
      <c r="Y156" s="5"/>
      <c r="Z156" s="5"/>
      <c r="AA156" s="5"/>
      <c r="AB156" s="5"/>
      <c r="AC156" s="5"/>
      <c r="AD156" s="5"/>
      <c r="AE156" s="26">
        <f>IF(AE74&gt;Exercise,AE74-Exercise,0)</f>
        <v>0</v>
      </c>
      <c r="AF156" s="5"/>
      <c r="AG156" s="5"/>
      <c r="AH156" s="5"/>
      <c r="AI156" s="5"/>
      <c r="AJ156" s="5"/>
      <c r="AK156" s="5"/>
      <c r="AL156" s="5"/>
      <c r="AM156" s="5"/>
    </row>
    <row r="157" spans="1:39" ht="18.75" customHeight="1">
      <c r="A157" s="56"/>
      <c r="B157" s="56"/>
      <c r="C157" s="56"/>
      <c r="D157" s="56"/>
      <c r="E157" s="56"/>
      <c r="F157" s="56"/>
      <c r="G157" s="56"/>
      <c r="H157" s="56"/>
      <c r="I157" s="56"/>
      <c r="J157" s="56"/>
      <c r="K157" s="56"/>
      <c r="L157" s="56"/>
      <c r="M157" s="56"/>
      <c r="N157" s="5"/>
      <c r="O157" s="5"/>
      <c r="P157" s="5"/>
      <c r="Q157" s="5"/>
      <c r="R157" s="5"/>
      <c r="S157" s="5"/>
      <c r="T157" s="5"/>
      <c r="U157" s="5"/>
      <c r="V157" s="5"/>
      <c r="Y157" s="5"/>
      <c r="Z157" s="5"/>
      <c r="AA157" s="5"/>
      <c r="AB157" s="5"/>
      <c r="AC157" s="5"/>
      <c r="AD157" s="5"/>
      <c r="AE157" s="5"/>
      <c r="AF157" s="5"/>
      <c r="AG157" s="5"/>
      <c r="AH157" s="5"/>
      <c r="AI157" s="5"/>
      <c r="AJ157" s="5"/>
      <c r="AK157" s="5"/>
      <c r="AL157" s="5"/>
      <c r="AM157" s="5"/>
    </row>
    <row r="158" spans="1:39" ht="18.75" customHeight="1" thickBot="1">
      <c r="A158" s="56"/>
      <c r="B158" s="56"/>
      <c r="C158" s="56"/>
      <c r="D158" s="56"/>
      <c r="E158" s="56"/>
      <c r="F158" s="56"/>
      <c r="G158" s="56"/>
      <c r="H158" s="56"/>
      <c r="I158" s="56"/>
      <c r="J158" s="56"/>
      <c r="K158" s="56"/>
      <c r="L158" s="56"/>
      <c r="M158" s="56"/>
      <c r="N158" s="5"/>
      <c r="O158" s="5"/>
      <c r="P158" s="5"/>
      <c r="Q158" s="5"/>
      <c r="R158" s="5"/>
      <c r="S158" s="5"/>
      <c r="T158" s="5"/>
      <c r="U158" s="5"/>
      <c r="V158" s="5"/>
      <c r="Y158" s="5"/>
      <c r="Z158" s="5"/>
      <c r="AA158" s="5"/>
      <c r="AB158" s="5"/>
      <c r="AC158" s="5"/>
      <c r="AD158" s="5"/>
      <c r="AE158" s="5"/>
      <c r="AF158" s="5"/>
      <c r="AG158" s="5"/>
      <c r="AH158" s="5"/>
      <c r="AI158" s="5"/>
      <c r="AJ158" s="5"/>
      <c r="AK158" s="5"/>
      <c r="AL158" s="5"/>
      <c r="AM158" s="5"/>
    </row>
    <row r="159" spans="1:39" ht="18.75" customHeight="1" thickBot="1">
      <c r="A159" s="161" t="s">
        <v>31</v>
      </c>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3"/>
      <c r="AF159" s="5"/>
      <c r="AG159" s="5"/>
      <c r="AH159" s="5"/>
      <c r="AI159" s="5"/>
      <c r="AJ159" s="5"/>
      <c r="AK159" s="5"/>
      <c r="AL159" s="5"/>
      <c r="AM159" s="5"/>
    </row>
    <row r="160" spans="1:39" ht="18.75" customHeight="1">
      <c r="A160" s="25"/>
      <c r="B160" s="25"/>
      <c r="C160" s="25"/>
      <c r="D160" s="25"/>
      <c r="E160" s="25"/>
      <c r="F160" s="25"/>
      <c r="G160" s="25"/>
      <c r="H160" s="25"/>
      <c r="I160" s="25"/>
      <c r="J160" s="25"/>
      <c r="K160" s="25"/>
      <c r="L160" s="25"/>
      <c r="M160" s="5"/>
      <c r="N160" s="5"/>
      <c r="O160" s="5"/>
      <c r="P160" s="5"/>
      <c r="Q160" s="5"/>
      <c r="R160" s="5"/>
      <c r="S160" s="5"/>
      <c r="T160" s="5"/>
      <c r="U160" s="5"/>
      <c r="V160" s="5"/>
      <c r="Y160" s="5"/>
      <c r="Z160" s="5"/>
      <c r="AA160" s="5"/>
      <c r="AB160" s="5"/>
      <c r="AC160" s="5"/>
      <c r="AD160" s="5"/>
      <c r="AE160" s="5"/>
      <c r="AF160" s="5"/>
      <c r="AG160" s="5"/>
      <c r="AH160" s="5"/>
      <c r="AI160" s="5"/>
      <c r="AJ160" s="5"/>
      <c r="AK160" s="5"/>
      <c r="AL160" s="5"/>
      <c r="AM160" s="5"/>
    </row>
    <row r="161" spans="1:39" s="139" customFormat="1" ht="18.75" customHeight="1">
      <c r="A161" s="25"/>
      <c r="B161" s="25"/>
      <c r="C161" s="25"/>
      <c r="D161" s="25"/>
      <c r="E161" s="25"/>
      <c r="F161" s="25"/>
      <c r="G161" s="25"/>
      <c r="H161" s="25"/>
      <c r="I161" s="25"/>
      <c r="J161" s="25"/>
      <c r="K161" s="25"/>
      <c r="L161" s="2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row>
    <row r="162" spans="1:39" s="139" customFormat="1" ht="18.75" customHeight="1">
      <c r="A162" s="25"/>
      <c r="B162" s="25"/>
      <c r="C162" s="25"/>
      <c r="D162" s="25"/>
      <c r="E162" s="25"/>
      <c r="F162" s="25"/>
      <c r="G162" s="25"/>
      <c r="H162" s="25"/>
      <c r="I162" s="25"/>
      <c r="J162" s="25"/>
      <c r="K162" s="25"/>
      <c r="L162" s="2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row>
    <row r="163" spans="1:39" s="139" customFormat="1" ht="18.75" customHeight="1">
      <c r="A163" s="25"/>
      <c r="B163" s="25"/>
      <c r="C163" s="25"/>
      <c r="D163" s="25"/>
      <c r="E163" s="25"/>
      <c r="F163" s="25"/>
      <c r="G163" s="25"/>
      <c r="H163" s="25"/>
      <c r="I163" s="25"/>
      <c r="J163" s="25"/>
      <c r="K163" s="25"/>
      <c r="L163" s="2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row>
    <row r="164" spans="1:39" s="139" customFormat="1" ht="18.75" customHeight="1">
      <c r="A164" s="25"/>
      <c r="B164" s="25"/>
      <c r="C164" s="25"/>
      <c r="D164" s="25"/>
      <c r="E164" s="25"/>
      <c r="F164" s="25"/>
      <c r="G164" s="25"/>
      <c r="H164" s="25"/>
      <c r="I164" s="25"/>
      <c r="J164" s="25"/>
      <c r="K164" s="25"/>
      <c r="L164" s="2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row>
    <row r="165" spans="1:39" s="139" customFormat="1" ht="18.75" customHeight="1">
      <c r="A165" s="25"/>
      <c r="B165" s="25"/>
      <c r="C165" s="25"/>
      <c r="D165" s="25"/>
      <c r="E165" s="25"/>
      <c r="F165" s="25"/>
      <c r="G165" s="25"/>
      <c r="H165" s="25"/>
      <c r="I165" s="25"/>
      <c r="J165" s="25"/>
      <c r="K165" s="25"/>
      <c r="L165" s="2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row>
    <row r="166" spans="1:39" s="139" customFormat="1" ht="18.75" customHeight="1">
      <c r="A166" s="25"/>
      <c r="B166" s="25"/>
      <c r="C166" s="25"/>
      <c r="D166" s="25"/>
      <c r="E166" s="25"/>
      <c r="F166" s="25"/>
      <c r="G166" s="25"/>
      <c r="H166" s="25"/>
      <c r="I166" s="25"/>
      <c r="J166" s="25"/>
      <c r="K166" s="25"/>
      <c r="L166" s="25"/>
      <c r="M166" s="25"/>
      <c r="N166" s="25"/>
      <c r="O166" s="25"/>
      <c r="P166" s="25"/>
      <c r="Q166" s="25"/>
      <c r="R166" s="25"/>
      <c r="S166" s="25"/>
      <c r="T166" s="25"/>
      <c r="U166" s="25"/>
      <c r="V166" s="25"/>
      <c r="W166" s="25"/>
      <c r="X166" s="25"/>
      <c r="Y166" s="25"/>
      <c r="Z166" s="25"/>
      <c r="AA166" s="25"/>
      <c r="AB166" s="25"/>
      <c r="AC166" s="25"/>
      <c r="AD166" s="25"/>
      <c r="AE166" s="25"/>
      <c r="AF166" s="5"/>
      <c r="AG166" s="5"/>
      <c r="AH166" s="5"/>
      <c r="AI166" s="5"/>
      <c r="AJ166" s="5"/>
      <c r="AK166" s="5"/>
      <c r="AL166" s="5"/>
      <c r="AM166" s="5"/>
    </row>
    <row r="167" spans="1:39" s="139" customFormat="1" ht="18.75" customHeight="1">
      <c r="A167" s="25"/>
      <c r="B167" s="25"/>
      <c r="C167" s="25"/>
      <c r="D167" s="25"/>
      <c r="E167" s="25"/>
      <c r="F167" s="25"/>
      <c r="G167" s="25"/>
      <c r="H167" s="25"/>
      <c r="I167" s="25"/>
      <c r="J167" s="25"/>
      <c r="K167" s="25"/>
      <c r="L167" s="25"/>
      <c r="M167" s="25"/>
      <c r="N167" s="25"/>
      <c r="O167" s="25"/>
      <c r="P167" s="25"/>
      <c r="Q167" s="25"/>
      <c r="R167" s="25"/>
      <c r="S167" s="25"/>
      <c r="T167" s="25"/>
      <c r="U167" s="25"/>
      <c r="V167" s="25"/>
      <c r="W167" s="25"/>
      <c r="X167" s="25"/>
      <c r="Y167" s="25"/>
      <c r="Z167" s="25"/>
      <c r="AA167" s="25"/>
      <c r="AB167" s="25"/>
      <c r="AC167" s="25"/>
      <c r="AD167" s="25"/>
      <c r="AE167" s="26">
        <f>IF(AE14&lt;Exercise,Exercise-AE14,0)</f>
        <v>0</v>
      </c>
      <c r="AF167" s="5"/>
      <c r="AG167" s="5"/>
      <c r="AH167" s="5"/>
      <c r="AI167" s="5"/>
      <c r="AJ167" s="5"/>
      <c r="AK167" s="5"/>
      <c r="AL167" s="5"/>
      <c r="AM167" s="5"/>
    </row>
    <row r="168" spans="1:39" s="139" customFormat="1" ht="18.75" customHeight="1">
      <c r="A168" s="25"/>
      <c r="B168" s="25"/>
      <c r="C168" s="25"/>
      <c r="D168" s="25"/>
      <c r="E168" s="25"/>
      <c r="F168" s="25"/>
      <c r="G168" s="25"/>
      <c r="H168" s="25"/>
      <c r="I168" s="25"/>
      <c r="J168" s="25"/>
      <c r="K168" s="25"/>
      <c r="L168" s="25"/>
      <c r="M168" s="25"/>
      <c r="N168" s="25"/>
      <c r="O168" s="25"/>
      <c r="P168" s="25"/>
      <c r="Q168" s="25"/>
      <c r="R168" s="25"/>
      <c r="S168" s="25"/>
      <c r="T168" s="25"/>
      <c r="U168" s="25"/>
      <c r="V168" s="25"/>
      <c r="W168" s="25"/>
      <c r="X168" s="25"/>
      <c r="Y168" s="25"/>
      <c r="Z168" s="25"/>
      <c r="AA168" s="25"/>
      <c r="AB168" s="25"/>
      <c r="AC168" s="25"/>
      <c r="AD168" s="26">
        <f>IF(AD15&lt;Exercise,Exercise-AD15,0)</f>
        <v>0</v>
      </c>
      <c r="AE168" s="26"/>
      <c r="AF168" s="5"/>
      <c r="AG168" s="5"/>
      <c r="AH168" s="5"/>
      <c r="AI168" s="5"/>
      <c r="AJ168" s="5"/>
      <c r="AK168" s="5"/>
      <c r="AL168" s="5"/>
      <c r="AM168" s="5"/>
    </row>
    <row r="169" spans="1:39" s="139" customFormat="1" ht="18.75" customHeight="1">
      <c r="A169" s="25"/>
      <c r="B169" s="25"/>
      <c r="C169" s="25"/>
      <c r="D169" s="25"/>
      <c r="E169" s="25"/>
      <c r="F169" s="25"/>
      <c r="G169" s="25"/>
      <c r="H169" s="25"/>
      <c r="I169" s="25"/>
      <c r="J169" s="25"/>
      <c r="K169" s="25"/>
      <c r="L169" s="25"/>
      <c r="M169" s="25"/>
      <c r="N169" s="25"/>
      <c r="O169" s="25"/>
      <c r="P169" s="25"/>
      <c r="Q169" s="25"/>
      <c r="R169" s="25"/>
      <c r="S169" s="25"/>
      <c r="T169" s="25"/>
      <c r="U169" s="25"/>
      <c r="V169" s="25"/>
      <c r="W169" s="25"/>
      <c r="X169" s="25"/>
      <c r="Y169" s="25"/>
      <c r="Z169" s="25"/>
      <c r="AA169" s="25"/>
      <c r="AB169" s="25"/>
      <c r="AC169" s="26">
        <f>IF(AC16&lt;Exercise,Exercise-AC16,0)</f>
        <v>0</v>
      </c>
      <c r="AD169" s="26"/>
      <c r="AE169" s="26">
        <f>IF(AE16&lt;Exercise,Exercise-AE16,0)</f>
        <v>0</v>
      </c>
      <c r="AF169" s="5"/>
      <c r="AG169" s="5"/>
      <c r="AH169" s="5"/>
      <c r="AI169" s="5"/>
      <c r="AJ169" s="5"/>
      <c r="AK169" s="5"/>
      <c r="AL169" s="5"/>
      <c r="AM169" s="5"/>
    </row>
    <row r="170" spans="1:39" s="139" customFormat="1" ht="18.75" customHeight="1">
      <c r="A170" s="25"/>
      <c r="B170" s="25"/>
      <c r="C170" s="25"/>
      <c r="D170" s="25"/>
      <c r="E170" s="25"/>
      <c r="F170" s="25"/>
      <c r="G170" s="25"/>
      <c r="H170" s="25"/>
      <c r="I170" s="25"/>
      <c r="J170" s="25"/>
      <c r="K170" s="25"/>
      <c r="L170" s="25"/>
      <c r="M170" s="25"/>
      <c r="N170" s="25"/>
      <c r="O170" s="25"/>
      <c r="P170" s="25"/>
      <c r="Q170" s="25"/>
      <c r="R170" s="25"/>
      <c r="S170" s="25"/>
      <c r="T170" s="25"/>
      <c r="U170" s="25"/>
      <c r="V170" s="25"/>
      <c r="W170" s="25"/>
      <c r="X170" s="25"/>
      <c r="Y170" s="25"/>
      <c r="Z170" s="25"/>
      <c r="AA170" s="25"/>
      <c r="AB170" s="26">
        <f>IF(AB17&lt;Exercise,Exercise-AB17,0)</f>
        <v>0</v>
      </c>
      <c r="AC170" s="26"/>
      <c r="AD170" s="26">
        <f>IF(AD17&lt;Exercise,Exercise-AD17,0)</f>
        <v>0</v>
      </c>
      <c r="AE170" s="26"/>
      <c r="AF170" s="5"/>
      <c r="AG170" s="5"/>
      <c r="AH170" s="5"/>
      <c r="AI170" s="5"/>
      <c r="AJ170" s="5"/>
      <c r="AK170" s="5"/>
      <c r="AL170" s="5"/>
      <c r="AM170" s="5"/>
    </row>
    <row r="171" spans="1:39" s="139" customFormat="1" ht="18.75" customHeight="1">
      <c r="A171" s="25"/>
      <c r="B171" s="25"/>
      <c r="C171" s="25"/>
      <c r="D171" s="25"/>
      <c r="E171" s="25"/>
      <c r="F171" s="25"/>
      <c r="G171" s="25"/>
      <c r="H171" s="25"/>
      <c r="I171" s="25"/>
      <c r="J171" s="25"/>
      <c r="K171" s="25"/>
      <c r="L171" s="25"/>
      <c r="M171" s="25"/>
      <c r="N171" s="25"/>
      <c r="O171" s="25"/>
      <c r="P171" s="25"/>
      <c r="Q171" s="25"/>
      <c r="R171" s="25"/>
      <c r="S171" s="25"/>
      <c r="T171" s="25"/>
      <c r="U171" s="25"/>
      <c r="V171" s="25"/>
      <c r="W171" s="25"/>
      <c r="X171" s="25"/>
      <c r="Y171" s="25"/>
      <c r="Z171" s="25"/>
      <c r="AA171" s="26">
        <f>IF(AA18&lt;Exercise,Exercise-AA18,0)</f>
        <v>0</v>
      </c>
      <c r="AB171" s="26"/>
      <c r="AC171" s="26">
        <f>IF(AC18&lt;Exercise,Exercise-AC18,0)</f>
        <v>0</v>
      </c>
      <c r="AD171" s="26"/>
      <c r="AE171" s="26">
        <f>IF(AE18&lt;Exercise,Exercise-AE18,0)</f>
        <v>0</v>
      </c>
      <c r="AF171" s="5"/>
      <c r="AG171" s="5"/>
      <c r="AH171" s="5"/>
      <c r="AI171" s="5"/>
      <c r="AJ171" s="5"/>
      <c r="AK171" s="5"/>
      <c r="AL171" s="5"/>
      <c r="AM171" s="5"/>
    </row>
    <row r="172" spans="1:39" s="139" customFormat="1" ht="18.75" customHeight="1">
      <c r="A172" s="25"/>
      <c r="B172" s="25"/>
      <c r="C172" s="25"/>
      <c r="D172" s="25"/>
      <c r="E172" s="25"/>
      <c r="F172" s="25"/>
      <c r="G172" s="25"/>
      <c r="H172" s="25"/>
      <c r="I172" s="25"/>
      <c r="J172" s="25"/>
      <c r="K172" s="25"/>
      <c r="L172" s="25"/>
      <c r="M172" s="25"/>
      <c r="N172" s="25"/>
      <c r="O172" s="25"/>
      <c r="P172" s="25"/>
      <c r="Q172" s="25"/>
      <c r="R172" s="25"/>
      <c r="S172" s="25"/>
      <c r="T172" s="25"/>
      <c r="U172" s="25"/>
      <c r="V172" s="25"/>
      <c r="W172" s="25"/>
      <c r="X172" s="25"/>
      <c r="Y172" s="25"/>
      <c r="Z172" s="26">
        <f>IF(Z19&lt;Exercise,Exercise-Z19,0)</f>
        <v>0</v>
      </c>
      <c r="AA172" s="26"/>
      <c r="AB172" s="26">
        <f>IF(AB19&lt;Exercise,Exercise-AB19,0)</f>
        <v>0</v>
      </c>
      <c r="AC172" s="26"/>
      <c r="AD172" s="26">
        <f>IF(AD19&lt;Exercise,Exercise-AD19,0)</f>
        <v>0</v>
      </c>
      <c r="AE172" s="26"/>
      <c r="AF172" s="5"/>
      <c r="AG172" s="5"/>
      <c r="AH172" s="5"/>
      <c r="AI172" s="5"/>
      <c r="AJ172" s="5"/>
      <c r="AK172" s="5"/>
      <c r="AL172" s="5"/>
      <c r="AM172" s="5"/>
    </row>
    <row r="173" spans="1:39" s="139" customFormat="1" ht="18.75" customHeight="1">
      <c r="A173" s="25"/>
      <c r="B173" s="25"/>
      <c r="C173" s="25"/>
      <c r="D173" s="25"/>
      <c r="E173" s="25"/>
      <c r="F173" s="25"/>
      <c r="G173" s="25"/>
      <c r="H173" s="25"/>
      <c r="I173" s="25"/>
      <c r="J173" s="25"/>
      <c r="K173" s="25"/>
      <c r="L173" s="25"/>
      <c r="M173" s="25"/>
      <c r="N173" s="25"/>
      <c r="O173" s="25"/>
      <c r="P173" s="25"/>
      <c r="Q173" s="25"/>
      <c r="R173" s="25"/>
      <c r="S173" s="25"/>
      <c r="T173" s="25"/>
      <c r="U173" s="25"/>
      <c r="V173" s="25"/>
      <c r="W173" s="25"/>
      <c r="X173" s="25"/>
      <c r="Y173" s="26">
        <f>IF(Y20&lt;Exercise,Exercise-Y20,0)</f>
        <v>0</v>
      </c>
      <c r="Z173" s="26"/>
      <c r="AA173" s="26">
        <f>IF(AA20&lt;Exercise,Exercise-AA20,0)</f>
        <v>0</v>
      </c>
      <c r="AB173" s="26"/>
      <c r="AC173" s="26">
        <f>IF(AC20&lt;Exercise,Exercise-AC20,0)</f>
        <v>0</v>
      </c>
      <c r="AD173" s="26"/>
      <c r="AE173" s="26">
        <f>IF(AE20&lt;Exercise,Exercise-AE20,0)</f>
        <v>0</v>
      </c>
      <c r="AF173" s="5"/>
      <c r="AG173" s="5"/>
      <c r="AH173" s="5"/>
      <c r="AI173" s="5"/>
      <c r="AJ173" s="5"/>
      <c r="AK173" s="5"/>
      <c r="AL173" s="5"/>
      <c r="AM173" s="5"/>
    </row>
    <row r="174" spans="1:39" s="139" customFormat="1" ht="18.75" customHeight="1">
      <c r="A174" s="25"/>
      <c r="B174" s="25"/>
      <c r="C174" s="25"/>
      <c r="D174" s="25"/>
      <c r="E174" s="25"/>
      <c r="F174" s="25"/>
      <c r="G174" s="25"/>
      <c r="H174" s="25"/>
      <c r="I174" s="25"/>
      <c r="J174" s="25"/>
      <c r="K174" s="25"/>
      <c r="L174" s="25"/>
      <c r="M174" s="25"/>
      <c r="N174" s="25"/>
      <c r="O174" s="25"/>
      <c r="P174" s="25"/>
      <c r="Q174" s="25"/>
      <c r="R174" s="25"/>
      <c r="S174" s="25"/>
      <c r="T174" s="25"/>
      <c r="U174" s="25"/>
      <c r="V174" s="25"/>
      <c r="W174" s="25"/>
      <c r="X174" s="26">
        <f>IF(X21&lt;Exercise,Exercise-X21,0)</f>
        <v>0</v>
      </c>
      <c r="Y174" s="26"/>
      <c r="Z174" s="26">
        <f>IF(Z21&lt;Exercise,Exercise-Z21,0)</f>
        <v>0</v>
      </c>
      <c r="AA174" s="26"/>
      <c r="AB174" s="26">
        <f>IF(AB21&lt;Exercise,Exercise-AB21,0)</f>
        <v>0</v>
      </c>
      <c r="AC174" s="26"/>
      <c r="AD174" s="26">
        <f>IF(AD21&lt;Exercise,Exercise-AD21,0)</f>
        <v>0</v>
      </c>
      <c r="AE174" s="26"/>
      <c r="AF174" s="5"/>
      <c r="AG174" s="5"/>
      <c r="AH174" s="5"/>
      <c r="AI174" s="5"/>
      <c r="AJ174" s="5"/>
      <c r="AK174" s="5"/>
      <c r="AL174" s="5"/>
      <c r="AM174" s="5"/>
    </row>
    <row r="175" spans="1:39" s="139" customFormat="1" ht="18.75" customHeight="1">
      <c r="A175" s="25"/>
      <c r="B175" s="25"/>
      <c r="C175" s="25"/>
      <c r="D175" s="25"/>
      <c r="E175" s="25"/>
      <c r="F175" s="25"/>
      <c r="G175" s="25"/>
      <c r="H175" s="25"/>
      <c r="I175" s="25"/>
      <c r="J175" s="25"/>
      <c r="K175" s="25"/>
      <c r="L175" s="25"/>
      <c r="M175" s="25"/>
      <c r="N175" s="25"/>
      <c r="O175" s="25"/>
      <c r="P175" s="25"/>
      <c r="Q175" s="25"/>
      <c r="R175" s="25"/>
      <c r="S175" s="25"/>
      <c r="T175" s="25"/>
      <c r="U175" s="25"/>
      <c r="V175" s="25"/>
      <c r="W175" s="26">
        <f>IF(W22&lt;Exercise,Exercise-W22,0)</f>
        <v>0</v>
      </c>
      <c r="X175" s="26"/>
      <c r="Y175" s="26">
        <f>IF(Y22&lt;Exercise,Exercise-Y22,0)</f>
        <v>0</v>
      </c>
      <c r="Z175" s="26"/>
      <c r="AA175" s="26">
        <f>IF(AA22&lt;Exercise,Exercise-AA22,0)</f>
        <v>0</v>
      </c>
      <c r="AB175" s="26"/>
      <c r="AC175" s="26">
        <f>IF(AC22&lt;Exercise,Exercise-AC22,0)</f>
        <v>0</v>
      </c>
      <c r="AD175" s="26"/>
      <c r="AE175" s="26">
        <f>IF(AE22&lt;Exercise,Exercise-AE22,0)</f>
        <v>0</v>
      </c>
      <c r="AF175" s="5"/>
      <c r="AG175" s="5"/>
      <c r="AH175" s="5"/>
      <c r="AI175" s="5"/>
      <c r="AJ175" s="5"/>
      <c r="AK175" s="5"/>
      <c r="AL175" s="5"/>
      <c r="AM175" s="5"/>
    </row>
    <row r="176" spans="1:39" s="139" customFormat="1" ht="18.75" customHeight="1">
      <c r="A176" s="25"/>
      <c r="B176" s="25"/>
      <c r="C176" s="25"/>
      <c r="D176" s="25"/>
      <c r="E176" s="25"/>
      <c r="F176" s="25"/>
      <c r="G176" s="25"/>
      <c r="H176" s="25"/>
      <c r="I176" s="25"/>
      <c r="J176" s="25"/>
      <c r="K176" s="25"/>
      <c r="L176" s="25"/>
      <c r="M176" s="25"/>
      <c r="N176" s="25"/>
      <c r="O176" s="25"/>
      <c r="P176" s="25"/>
      <c r="Q176" s="25"/>
      <c r="R176" s="25"/>
      <c r="S176" s="25"/>
      <c r="T176" s="25"/>
      <c r="U176" s="25"/>
      <c r="V176" s="26">
        <f>IF(V23&lt;Exercise,Exercise-V23,0)</f>
        <v>0</v>
      </c>
      <c r="W176" s="26"/>
      <c r="X176" s="26">
        <f>IF(X23&lt;Exercise,Exercise-X23,0)</f>
        <v>0</v>
      </c>
      <c r="Y176" s="26"/>
      <c r="Z176" s="26">
        <f>IF(Z23&lt;Exercise,Exercise-Z23,0)</f>
        <v>0</v>
      </c>
      <c r="AA176" s="26"/>
      <c r="AB176" s="26">
        <f>IF(AB23&lt;Exercise,Exercise-AB23,0)</f>
        <v>0</v>
      </c>
      <c r="AC176" s="26"/>
      <c r="AD176" s="26">
        <f>IF(AD23&lt;Exercise,Exercise-AD23,0)</f>
        <v>0</v>
      </c>
      <c r="AE176" s="26"/>
      <c r="AF176" s="5"/>
      <c r="AG176" s="5"/>
      <c r="AH176" s="5"/>
      <c r="AI176" s="5"/>
      <c r="AJ176" s="5"/>
      <c r="AK176" s="5"/>
      <c r="AL176" s="5"/>
      <c r="AM176" s="5"/>
    </row>
    <row r="177" spans="1:39" s="139" customFormat="1" ht="18.75" customHeight="1">
      <c r="A177" s="25"/>
      <c r="B177" s="25"/>
      <c r="C177" s="25"/>
      <c r="D177" s="25"/>
      <c r="E177" s="25"/>
      <c r="F177" s="25"/>
      <c r="G177" s="25"/>
      <c r="H177" s="25"/>
      <c r="I177" s="25"/>
      <c r="J177" s="25"/>
      <c r="K177" s="25"/>
      <c r="L177" s="25"/>
      <c r="M177" s="25"/>
      <c r="N177" s="25"/>
      <c r="O177" s="25"/>
      <c r="P177" s="25"/>
      <c r="Q177" s="25"/>
      <c r="R177" s="25"/>
      <c r="S177" s="25"/>
      <c r="T177" s="25"/>
      <c r="U177" s="26">
        <f>IF(U24&lt;Exercise,Exercise-U24,0)</f>
        <v>0</v>
      </c>
      <c r="V177" s="26"/>
      <c r="W177" s="26">
        <f>IF(W24&lt;Exercise,Exercise-W24,0)</f>
        <v>0</v>
      </c>
      <c r="X177" s="26"/>
      <c r="Y177" s="26">
        <f>IF(Y24&lt;Exercise,Exercise-Y24,0)</f>
        <v>0</v>
      </c>
      <c r="Z177" s="26"/>
      <c r="AA177" s="26">
        <f>IF(AA24&lt;Exercise,Exercise-AA24,0)</f>
        <v>0</v>
      </c>
      <c r="AB177" s="26"/>
      <c r="AC177" s="26">
        <f>IF(AC24&lt;Exercise,Exercise-AC24,0)</f>
        <v>0</v>
      </c>
      <c r="AD177" s="26"/>
      <c r="AE177" s="26">
        <f>IF(AE24&lt;Exercise,Exercise-AE24,0)</f>
        <v>0</v>
      </c>
      <c r="AF177" s="5"/>
      <c r="AG177" s="5"/>
      <c r="AH177" s="5"/>
      <c r="AI177" s="5"/>
      <c r="AJ177" s="5"/>
      <c r="AK177" s="5"/>
      <c r="AL177" s="5"/>
      <c r="AM177" s="5"/>
    </row>
    <row r="178" spans="1:39" s="139" customFormat="1" ht="18.75" customHeight="1">
      <c r="A178" s="25"/>
      <c r="B178" s="25"/>
      <c r="C178" s="25"/>
      <c r="D178" s="25"/>
      <c r="E178" s="25"/>
      <c r="F178" s="25"/>
      <c r="G178" s="25"/>
      <c r="H178" s="25"/>
      <c r="I178" s="25"/>
      <c r="J178" s="25"/>
      <c r="K178" s="25"/>
      <c r="L178" s="25"/>
      <c r="M178" s="25"/>
      <c r="N178" s="25"/>
      <c r="O178" s="25"/>
      <c r="P178" s="25"/>
      <c r="Q178" s="25"/>
      <c r="R178" s="25"/>
      <c r="S178" s="25"/>
      <c r="T178" s="26">
        <f>IF(T25&lt;Exercise,Exercise-T25,0)</f>
        <v>0</v>
      </c>
      <c r="U178" s="26"/>
      <c r="V178" s="26">
        <f>IF(V25&lt;Exercise,Exercise-V25,0)</f>
        <v>0</v>
      </c>
      <c r="W178" s="26"/>
      <c r="X178" s="26">
        <f>IF(X25&lt;Exercise,Exercise-X25,0)</f>
        <v>0</v>
      </c>
      <c r="Y178" s="26"/>
      <c r="Z178" s="26">
        <f>IF(Z25&lt;Exercise,Exercise-Z25,0)</f>
        <v>0</v>
      </c>
      <c r="AA178" s="26"/>
      <c r="AB178" s="26">
        <f>IF(AB25&lt;Exercise,Exercise-AB25,0)</f>
        <v>0</v>
      </c>
      <c r="AC178" s="26"/>
      <c r="AD178" s="26">
        <f>IF(AD25&lt;Exercise,Exercise-AD25,0)</f>
        <v>0</v>
      </c>
      <c r="AE178" s="26"/>
      <c r="AF178" s="5"/>
      <c r="AG178" s="5"/>
      <c r="AH178" s="5"/>
      <c r="AI178" s="5"/>
      <c r="AJ178" s="5"/>
      <c r="AK178" s="5"/>
      <c r="AL178" s="5"/>
      <c r="AM178" s="5"/>
    </row>
    <row r="179" spans="1:39" s="139" customFormat="1" ht="18.75" customHeight="1">
      <c r="A179" s="25"/>
      <c r="B179" s="25"/>
      <c r="C179" s="25"/>
      <c r="D179" s="25"/>
      <c r="E179" s="25"/>
      <c r="F179" s="25"/>
      <c r="G179" s="25"/>
      <c r="H179" s="25"/>
      <c r="I179" s="25"/>
      <c r="J179" s="25"/>
      <c r="K179" s="25"/>
      <c r="L179" s="25"/>
      <c r="M179" s="25"/>
      <c r="N179" s="25"/>
      <c r="O179" s="25"/>
      <c r="P179" s="25"/>
      <c r="Q179" s="25"/>
      <c r="R179" s="25"/>
      <c r="S179" s="26">
        <f>IF(S26&lt;Exercise,Exercise-S26,0)</f>
        <v>0</v>
      </c>
      <c r="T179" s="26"/>
      <c r="U179" s="26">
        <f>IF(U26&lt;Exercise,Exercise-U26,0)</f>
        <v>0</v>
      </c>
      <c r="V179" s="26"/>
      <c r="W179" s="26">
        <f>IF(W26&lt;Exercise,Exercise-W26,0)</f>
        <v>0</v>
      </c>
      <c r="X179" s="26"/>
      <c r="Y179" s="26">
        <f>IF(Y26&lt;Exercise,Exercise-Y26,0)</f>
        <v>0</v>
      </c>
      <c r="Z179" s="26"/>
      <c r="AA179" s="26">
        <f>IF(AA26&lt;Exercise,Exercise-AA26,0)</f>
        <v>0</v>
      </c>
      <c r="AB179" s="26"/>
      <c r="AC179" s="26">
        <f>IF(AC26&lt;Exercise,Exercise-AC26,0)</f>
        <v>0</v>
      </c>
      <c r="AD179" s="26"/>
      <c r="AE179" s="26">
        <f>IF(AE26&lt;Exercise,Exercise-AE26,0)</f>
        <v>0</v>
      </c>
      <c r="AF179" s="5"/>
      <c r="AG179" s="5"/>
      <c r="AH179" s="5"/>
      <c r="AI179" s="5"/>
      <c r="AJ179" s="5"/>
      <c r="AK179" s="5"/>
      <c r="AL179" s="5"/>
      <c r="AM179" s="5"/>
    </row>
    <row r="180" spans="1:39" s="139" customFormat="1" ht="18.75" customHeight="1">
      <c r="A180" s="25"/>
      <c r="B180" s="25"/>
      <c r="C180" s="25"/>
      <c r="D180" s="25"/>
      <c r="E180" s="25"/>
      <c r="F180" s="25"/>
      <c r="G180" s="25"/>
      <c r="H180" s="25"/>
      <c r="I180" s="25"/>
      <c r="J180" s="25"/>
      <c r="K180" s="25"/>
      <c r="L180" s="25"/>
      <c r="M180" s="25"/>
      <c r="N180" s="25"/>
      <c r="O180" s="25"/>
      <c r="P180" s="25"/>
      <c r="Q180" s="25"/>
      <c r="R180" s="26">
        <f>IF(R27&lt;Exercise,Exercise-R27,0)</f>
        <v>0</v>
      </c>
      <c r="S180" s="26"/>
      <c r="T180" s="26">
        <f>IF(T27&lt;Exercise,Exercise-T27,0)</f>
        <v>0</v>
      </c>
      <c r="U180" s="26"/>
      <c r="V180" s="26">
        <f>IF(V27&lt;Exercise,Exercise-V27,0)</f>
        <v>0</v>
      </c>
      <c r="W180" s="26"/>
      <c r="X180" s="26">
        <f>IF(X27&lt;Exercise,Exercise-X27,0)</f>
        <v>0</v>
      </c>
      <c r="Y180" s="26"/>
      <c r="Z180" s="26">
        <f>IF(Z27&lt;Exercise,Exercise-Z27,0)</f>
        <v>0</v>
      </c>
      <c r="AA180" s="26"/>
      <c r="AB180" s="26">
        <f>IF(AB27&lt;Exercise,Exercise-AB27,0)</f>
        <v>0</v>
      </c>
      <c r="AC180" s="26"/>
      <c r="AD180" s="26">
        <f>IF(AD27&lt;Exercise,Exercise-AD27,0)</f>
        <v>0</v>
      </c>
      <c r="AE180" s="26"/>
      <c r="AF180" s="5"/>
      <c r="AG180" s="5"/>
      <c r="AH180" s="5"/>
      <c r="AI180" s="5"/>
      <c r="AJ180" s="5"/>
      <c r="AK180" s="5"/>
      <c r="AL180" s="5"/>
      <c r="AM180" s="5"/>
    </row>
    <row r="181" spans="1:39" s="139" customFormat="1" ht="18.75" customHeight="1">
      <c r="A181" s="25"/>
      <c r="B181" s="25"/>
      <c r="C181" s="25"/>
      <c r="D181" s="25"/>
      <c r="E181" s="25"/>
      <c r="F181" s="25"/>
      <c r="G181" s="25"/>
      <c r="H181" s="25"/>
      <c r="I181" s="25"/>
      <c r="J181" s="25"/>
      <c r="K181" s="25"/>
      <c r="L181" s="25"/>
      <c r="M181" s="25"/>
      <c r="N181" s="25"/>
      <c r="O181" s="25"/>
      <c r="P181" s="25"/>
      <c r="Q181" s="26">
        <f>IF(Q28&lt;Exercise,Exercise-Q28,0)</f>
        <v>0</v>
      </c>
      <c r="R181" s="26"/>
      <c r="S181" s="26">
        <f>IF(S28&lt;Exercise,Exercise-S28,0)</f>
        <v>0</v>
      </c>
      <c r="T181" s="26"/>
      <c r="U181" s="26">
        <f>IF(U28&lt;Exercise,Exercise-U28,0)</f>
        <v>0</v>
      </c>
      <c r="V181" s="26"/>
      <c r="W181" s="26">
        <f>IF(W28&lt;Exercise,Exercise-W28,0)</f>
        <v>0</v>
      </c>
      <c r="X181" s="26"/>
      <c r="Y181" s="26">
        <f>IF(Y28&lt;Exercise,Exercise-Y28,0)</f>
        <v>0</v>
      </c>
      <c r="Z181" s="26"/>
      <c r="AA181" s="26">
        <f>IF(AA28&lt;Exercise,Exercise-AA28,0)</f>
        <v>0</v>
      </c>
      <c r="AB181" s="26"/>
      <c r="AC181" s="26">
        <f>IF(AC28&lt;Exercise,Exercise-AC28,0)</f>
        <v>0</v>
      </c>
      <c r="AD181" s="26"/>
      <c r="AE181" s="26">
        <f>IF(AE28&lt;Exercise,Exercise-AE28,0)</f>
        <v>0</v>
      </c>
      <c r="AF181" s="5"/>
      <c r="AG181" s="5"/>
      <c r="AH181" s="5"/>
      <c r="AI181" s="5"/>
      <c r="AJ181" s="5"/>
      <c r="AK181" s="5"/>
      <c r="AL181" s="5"/>
      <c r="AM181" s="5"/>
    </row>
    <row r="182" spans="1:39" s="139" customFormat="1" ht="18.75" customHeight="1">
      <c r="A182" s="25"/>
      <c r="B182" s="25"/>
      <c r="C182" s="25"/>
      <c r="D182" s="25"/>
      <c r="E182" s="25"/>
      <c r="F182" s="25"/>
      <c r="G182" s="25"/>
      <c r="H182" s="25"/>
      <c r="I182" s="25"/>
      <c r="J182" s="25"/>
      <c r="K182" s="25"/>
      <c r="L182" s="25"/>
      <c r="M182" s="25"/>
      <c r="N182" s="25"/>
      <c r="O182" s="25"/>
      <c r="P182" s="26">
        <f>IF(P29&lt;Exercise,Exercise-P29,0)</f>
        <v>0</v>
      </c>
      <c r="Q182" s="26"/>
      <c r="R182" s="26">
        <f>IF(R29&lt;Exercise,Exercise-R29,0)</f>
        <v>0</v>
      </c>
      <c r="S182" s="26"/>
      <c r="T182" s="26">
        <f>IF(T29&lt;Exercise,Exercise-T29,0)</f>
        <v>0</v>
      </c>
      <c r="U182" s="26"/>
      <c r="V182" s="26">
        <f>IF(V29&lt;Exercise,Exercise-V29,0)</f>
        <v>0</v>
      </c>
      <c r="W182" s="26"/>
      <c r="X182" s="26">
        <f>IF(X29&lt;Exercise,Exercise-X29,0)</f>
        <v>0</v>
      </c>
      <c r="Y182" s="26"/>
      <c r="Z182" s="26">
        <f>IF(Z29&lt;Exercise,Exercise-Z29,0)</f>
        <v>0</v>
      </c>
      <c r="AA182" s="26"/>
      <c r="AB182" s="26">
        <f>IF(AB29&lt;Exercise,Exercise-AB29,0)</f>
        <v>0</v>
      </c>
      <c r="AC182" s="26"/>
      <c r="AD182" s="26">
        <f>IF(AD29&lt;Exercise,Exercise-AD29,0)</f>
        <v>0</v>
      </c>
      <c r="AE182" s="26"/>
      <c r="AF182" s="5"/>
      <c r="AG182" s="5"/>
      <c r="AH182" s="5"/>
      <c r="AI182" s="5"/>
      <c r="AJ182" s="5"/>
      <c r="AK182" s="5"/>
      <c r="AL182" s="5"/>
      <c r="AM182" s="5"/>
    </row>
    <row r="183" spans="1:39" s="139" customFormat="1" ht="18.75" customHeight="1">
      <c r="A183" s="25"/>
      <c r="B183" s="25"/>
      <c r="C183" s="25"/>
      <c r="D183" s="25"/>
      <c r="E183" s="25"/>
      <c r="F183" s="25"/>
      <c r="G183" s="25"/>
      <c r="H183" s="25"/>
      <c r="I183" s="25"/>
      <c r="J183" s="25"/>
      <c r="K183" s="25"/>
      <c r="L183" s="25"/>
      <c r="M183" s="25"/>
      <c r="N183" s="25"/>
      <c r="O183" s="26">
        <f>IF(O30&lt;Exercise,Exercise-O30,0)</f>
        <v>0</v>
      </c>
      <c r="P183" s="26"/>
      <c r="Q183" s="26">
        <f>IF(Q30&lt;Exercise,Exercise-Q30,0)</f>
        <v>0</v>
      </c>
      <c r="R183" s="26"/>
      <c r="S183" s="26">
        <f>IF(S30&lt;Exercise,Exercise-S30,0)</f>
        <v>0</v>
      </c>
      <c r="T183" s="26"/>
      <c r="U183" s="26">
        <f>IF(U30&lt;Exercise,Exercise-U30,0)</f>
        <v>0</v>
      </c>
      <c r="V183" s="26"/>
      <c r="W183" s="26">
        <f>IF(W30&lt;Exercise,Exercise-W30,0)</f>
        <v>0</v>
      </c>
      <c r="X183" s="26"/>
      <c r="Y183" s="26">
        <f>IF(Y30&lt;Exercise,Exercise-Y30,0)</f>
        <v>0</v>
      </c>
      <c r="Z183" s="26"/>
      <c r="AA183" s="26">
        <f>IF(AA30&lt;Exercise,Exercise-AA30,0)</f>
        <v>0</v>
      </c>
      <c r="AB183" s="26"/>
      <c r="AC183" s="26">
        <f>IF(AC30&lt;Exercise,Exercise-AC30,0)</f>
        <v>0</v>
      </c>
      <c r="AD183" s="26"/>
      <c r="AE183" s="26">
        <f>IF(AE30&lt;Exercise,Exercise-AE30,0)</f>
        <v>0</v>
      </c>
      <c r="AF183" s="5"/>
      <c r="AG183" s="5"/>
      <c r="AH183" s="5"/>
      <c r="AI183" s="5"/>
      <c r="AJ183" s="5"/>
      <c r="AK183" s="5"/>
      <c r="AL183" s="5"/>
      <c r="AM183" s="5"/>
    </row>
    <row r="184" spans="1:39" s="139" customFormat="1" ht="18.75" customHeight="1">
      <c r="A184" s="25"/>
      <c r="B184" s="25"/>
      <c r="C184" s="25"/>
      <c r="D184" s="25"/>
      <c r="E184" s="25"/>
      <c r="F184" s="25"/>
      <c r="G184" s="25"/>
      <c r="H184" s="25"/>
      <c r="I184" s="25"/>
      <c r="J184" s="25"/>
      <c r="K184" s="25"/>
      <c r="L184" s="25"/>
      <c r="M184" s="25"/>
      <c r="N184" s="26">
        <f>IF(N31&lt;Exercise,Exercise-N31,0)</f>
        <v>0</v>
      </c>
      <c r="O184" s="26"/>
      <c r="P184" s="26">
        <f>IF(P31&lt;Exercise,Exercise-P31,0)</f>
        <v>0</v>
      </c>
      <c r="Q184" s="26"/>
      <c r="R184" s="26">
        <f>IF(R31&lt;Exercise,Exercise-R31,0)</f>
        <v>0</v>
      </c>
      <c r="S184" s="26"/>
      <c r="T184" s="26">
        <f>IF(T31&lt;Exercise,Exercise-T31,0)</f>
        <v>0</v>
      </c>
      <c r="U184" s="26"/>
      <c r="V184" s="26">
        <f>IF(V31&lt;Exercise,Exercise-V31,0)</f>
        <v>0</v>
      </c>
      <c r="W184" s="26"/>
      <c r="X184" s="26">
        <f>IF(X31&lt;Exercise,Exercise-X31,0)</f>
        <v>0</v>
      </c>
      <c r="Y184" s="26"/>
      <c r="Z184" s="26">
        <f>IF(Z31&lt;Exercise,Exercise-Z31,0)</f>
        <v>0</v>
      </c>
      <c r="AA184" s="26"/>
      <c r="AB184" s="26">
        <f>IF(AB31&lt;Exercise,Exercise-AB31,0)</f>
        <v>0</v>
      </c>
      <c r="AC184" s="26"/>
      <c r="AD184" s="26">
        <f>IF(AD31&lt;Exercise,Exercise-AD31,0)</f>
        <v>0</v>
      </c>
      <c r="AE184" s="26"/>
      <c r="AF184" s="5"/>
      <c r="AG184" s="5"/>
      <c r="AH184" s="5"/>
      <c r="AI184" s="5"/>
      <c r="AJ184" s="5"/>
      <c r="AK184" s="5"/>
      <c r="AL184" s="5"/>
      <c r="AM184" s="5"/>
    </row>
    <row r="185" spans="1:39" ht="18.75" customHeight="1">
      <c r="A185" s="25"/>
      <c r="B185" s="25"/>
      <c r="C185" s="25"/>
      <c r="D185" s="25"/>
      <c r="E185" s="25"/>
      <c r="F185" s="25"/>
      <c r="G185" s="25"/>
      <c r="H185" s="25"/>
      <c r="I185" s="25"/>
      <c r="J185" s="25"/>
      <c r="K185" s="25"/>
      <c r="L185" s="25"/>
      <c r="M185" s="26">
        <f>IF(M32&lt;Exercise,Exercise-M32,0)</f>
        <v>0</v>
      </c>
      <c r="N185" s="26"/>
      <c r="O185" s="26">
        <f>IF(O32&lt;Exercise,Exercise-O32,0)</f>
        <v>0</v>
      </c>
      <c r="P185" s="26"/>
      <c r="Q185" s="26">
        <f>IF(Q32&lt;Exercise,Exercise-Q32,0)</f>
        <v>0</v>
      </c>
      <c r="R185" s="26"/>
      <c r="S185" s="26">
        <f>IF(S32&lt;Exercise,Exercise-S32,0)</f>
        <v>0</v>
      </c>
      <c r="T185" s="26"/>
      <c r="U185" s="26">
        <f>IF(U32&lt;Exercise,Exercise-U32,0)</f>
        <v>0</v>
      </c>
      <c r="V185" s="26"/>
      <c r="W185" s="26">
        <f>IF(W32&lt;Exercise,Exercise-W32,0)</f>
        <v>0</v>
      </c>
      <c r="X185" s="26"/>
      <c r="Y185" s="26">
        <f>IF(Y32&lt;Exercise,Exercise-Y32,0)</f>
        <v>0</v>
      </c>
      <c r="Z185" s="26"/>
      <c r="AA185" s="26">
        <f>IF(AA32&lt;Exercise,Exercise-AA32,0)</f>
        <v>0</v>
      </c>
      <c r="AB185" s="26"/>
      <c r="AC185" s="26">
        <f>IF(AC32&lt;Exercise,Exercise-AC32,0)</f>
        <v>0</v>
      </c>
      <c r="AD185" s="26"/>
      <c r="AE185" s="26">
        <f>IF(AE32&lt;Exercise,Exercise-AE32,0)</f>
        <v>0</v>
      </c>
      <c r="AF185" s="5"/>
      <c r="AG185" s="5"/>
      <c r="AH185" s="5"/>
      <c r="AI185" s="5"/>
      <c r="AJ185" s="5"/>
      <c r="AK185" s="5"/>
      <c r="AL185" s="5"/>
      <c r="AM185" s="5"/>
    </row>
    <row r="186" spans="1:39" ht="18.75" customHeight="1">
      <c r="A186" s="25"/>
      <c r="B186" s="25"/>
      <c r="C186" s="25"/>
      <c r="D186" s="25"/>
      <c r="E186" s="25"/>
      <c r="F186" s="25"/>
      <c r="G186" s="25"/>
      <c r="H186" s="25"/>
      <c r="I186" s="25"/>
      <c r="J186" s="25"/>
      <c r="K186" s="25"/>
      <c r="L186" s="26">
        <f>((M185*$E$7)/(1+$E$6))+((M187*(1-$E$7))/(1+$E$6))</f>
        <v>0</v>
      </c>
      <c r="M186" s="26"/>
      <c r="N186" s="26">
        <f>IF(N33&lt;Exercise,Exercise-N33,0)</f>
        <v>0</v>
      </c>
      <c r="O186" s="26"/>
      <c r="P186" s="26">
        <f>IF(P33&lt;Exercise,Exercise-P33,0)</f>
        <v>0</v>
      </c>
      <c r="Q186" s="26"/>
      <c r="R186" s="26">
        <f>IF(R33&lt;Exercise,Exercise-R33,0)</f>
        <v>0</v>
      </c>
      <c r="S186" s="26"/>
      <c r="T186" s="26">
        <f>IF(T33&lt;Exercise,Exercise-T33,0)</f>
        <v>0</v>
      </c>
      <c r="U186" s="26"/>
      <c r="V186" s="26">
        <f>IF(V33&lt;Exercise,Exercise-V33,0)</f>
        <v>0</v>
      </c>
      <c r="W186" s="26"/>
      <c r="X186" s="26">
        <f>IF(X33&lt;Exercise,Exercise-X33,0)</f>
        <v>0</v>
      </c>
      <c r="Y186" s="26"/>
      <c r="Z186" s="26">
        <f>IF(Z33&lt;Exercise,Exercise-Z33,0)</f>
        <v>0</v>
      </c>
      <c r="AA186" s="26"/>
      <c r="AB186" s="26">
        <f>IF(AB33&lt;Exercise,Exercise-AB33,0)</f>
        <v>0</v>
      </c>
      <c r="AC186" s="26"/>
      <c r="AD186" s="26">
        <f>IF(AD33&lt;Exercise,Exercise-AD33,0)</f>
        <v>0</v>
      </c>
      <c r="AE186" s="26"/>
      <c r="AF186" s="5"/>
      <c r="AG186" s="5"/>
      <c r="AH186" s="5"/>
      <c r="AI186" s="5"/>
      <c r="AJ186" s="5"/>
      <c r="AK186" s="5"/>
      <c r="AL186" s="5"/>
      <c r="AM186" s="5"/>
    </row>
    <row r="187" spans="1:39" ht="18.75" customHeight="1">
      <c r="A187" s="25"/>
      <c r="B187" s="25"/>
      <c r="C187" s="25"/>
      <c r="D187" s="25"/>
      <c r="E187" s="25"/>
      <c r="F187" s="25"/>
      <c r="G187" s="25"/>
      <c r="H187" s="25"/>
      <c r="I187" s="25"/>
      <c r="J187" s="25"/>
      <c r="K187" s="26">
        <f>((L186*$E$7)/(1+$E$6))+((L188*(1-$E$7))/(1+$E$6))</f>
        <v>0</v>
      </c>
      <c r="L187" s="25"/>
      <c r="M187" s="26">
        <f>IF(M34&lt;Exercise,Exercise-M34,0)</f>
        <v>0</v>
      </c>
      <c r="N187" s="26"/>
      <c r="O187" s="26">
        <f>IF(O34&lt;Exercise,Exercise-O34,0)</f>
        <v>0</v>
      </c>
      <c r="P187" s="26"/>
      <c r="Q187" s="26">
        <f>IF(Q34&lt;Exercise,Exercise-Q34,0)</f>
        <v>0</v>
      </c>
      <c r="R187" s="26"/>
      <c r="S187" s="26">
        <f>IF(S34&lt;Exercise,Exercise-S34,0)</f>
        <v>0</v>
      </c>
      <c r="T187" s="26"/>
      <c r="U187" s="26">
        <f>IF(U34&lt;Exercise,Exercise-U34,0)</f>
        <v>0</v>
      </c>
      <c r="V187" s="26"/>
      <c r="W187" s="26">
        <f>IF(W34&lt;Exercise,Exercise-W34,0)</f>
        <v>0</v>
      </c>
      <c r="X187" s="26"/>
      <c r="Y187" s="26">
        <f>IF(Y34&lt;Exercise,Exercise-Y34,0)</f>
        <v>0</v>
      </c>
      <c r="Z187" s="26"/>
      <c r="AA187" s="26">
        <f>IF(AA34&lt;Exercise,Exercise-AA34,0)</f>
        <v>0</v>
      </c>
      <c r="AB187" s="26"/>
      <c r="AC187" s="26">
        <f>IF(AC34&lt;Exercise,Exercise-AC34,0)</f>
        <v>0</v>
      </c>
      <c r="AD187" s="26"/>
      <c r="AE187" s="26">
        <f>IF(AE34&lt;Exercise,Exercise-AE34,0)</f>
        <v>0</v>
      </c>
      <c r="AF187" s="5"/>
      <c r="AG187" s="5"/>
      <c r="AH187" s="5"/>
      <c r="AI187" s="5"/>
      <c r="AJ187" s="5"/>
      <c r="AK187" s="5"/>
      <c r="AL187" s="5"/>
      <c r="AM187" s="5"/>
    </row>
    <row r="188" spans="1:39" ht="18.75" customHeight="1">
      <c r="A188" s="25"/>
      <c r="B188" s="25"/>
      <c r="C188" s="25"/>
      <c r="D188" s="25"/>
      <c r="E188" s="25"/>
      <c r="F188" s="25"/>
      <c r="G188" s="25"/>
      <c r="H188" s="25"/>
      <c r="I188" s="25"/>
      <c r="J188" s="26">
        <f>((K187*$E$7)/(1+$E$6))+((K189*(1-$E$7))/(1+$E$6))</f>
        <v>0</v>
      </c>
      <c r="K188" s="25"/>
      <c r="L188" s="26">
        <f>((M187*$E$7)/(1+$E$6))+((M189*(1-$E$7))/(1+$E$6))</f>
        <v>0</v>
      </c>
      <c r="M188" s="26"/>
      <c r="N188" s="26">
        <f>IF(N35&lt;Exercise,Exercise-N35,0)</f>
        <v>0</v>
      </c>
      <c r="O188" s="26"/>
      <c r="P188" s="26">
        <f>IF(P35&lt;Exercise,Exercise-P35,0)</f>
        <v>0</v>
      </c>
      <c r="Q188" s="26"/>
      <c r="R188" s="26">
        <f>IF(R35&lt;Exercise,Exercise-R35,0)</f>
        <v>0</v>
      </c>
      <c r="S188" s="26"/>
      <c r="T188" s="26">
        <f>IF(T35&lt;Exercise,Exercise-T35,0)</f>
        <v>0</v>
      </c>
      <c r="U188" s="26"/>
      <c r="V188" s="26">
        <f>IF(V35&lt;Exercise,Exercise-V35,0)</f>
        <v>0</v>
      </c>
      <c r="W188" s="26"/>
      <c r="X188" s="26">
        <f>IF(X35&lt;Exercise,Exercise-X35,0)</f>
        <v>0</v>
      </c>
      <c r="Y188" s="26"/>
      <c r="Z188" s="26">
        <f>IF(Z35&lt;Exercise,Exercise-Z35,0)</f>
        <v>0</v>
      </c>
      <c r="AA188" s="26"/>
      <c r="AB188" s="26">
        <f>IF(AB35&lt;Exercise,Exercise-AB35,0)</f>
        <v>0</v>
      </c>
      <c r="AC188" s="26"/>
      <c r="AD188" s="26">
        <f>IF(AD35&lt;Exercise,Exercise-AD35,0)</f>
        <v>0</v>
      </c>
      <c r="AE188" s="26"/>
      <c r="AF188" s="5"/>
      <c r="AG188" s="5"/>
      <c r="AH188" s="5"/>
      <c r="AI188" s="5"/>
      <c r="AJ188" s="5"/>
      <c r="AK188" s="5"/>
      <c r="AL188" s="5"/>
      <c r="AM188" s="5"/>
    </row>
    <row r="189" spans="1:39" ht="18.75" customHeight="1">
      <c r="A189" s="25"/>
      <c r="B189" s="25"/>
      <c r="C189" s="25"/>
      <c r="D189" s="25"/>
      <c r="E189" s="25"/>
      <c r="F189" s="25"/>
      <c r="G189" s="25"/>
      <c r="H189" s="25"/>
      <c r="I189" s="26">
        <f>((J188*$E$7)/(1+$E$6))+((J190*(1-$E$7))/(1+$E$6))</f>
        <v>0</v>
      </c>
      <c r="J189" s="25"/>
      <c r="K189" s="26">
        <f>((L188*$E$7)/(1+$E$6))+((L190*(1-$E$7))/(1+$E$6))</f>
        <v>0</v>
      </c>
      <c r="L189" s="25"/>
      <c r="M189" s="26">
        <f>IF(M36&lt;Exercise,Exercise-M36,0)</f>
        <v>0</v>
      </c>
      <c r="N189" s="26"/>
      <c r="O189" s="26">
        <f>IF(O36&lt;Exercise,Exercise-O36,0)</f>
        <v>0</v>
      </c>
      <c r="P189" s="26"/>
      <c r="Q189" s="26">
        <f>IF(Q36&lt;Exercise,Exercise-Q36,0)</f>
        <v>0</v>
      </c>
      <c r="R189" s="26"/>
      <c r="S189" s="26">
        <f>IF(S36&lt;Exercise,Exercise-S36,0)</f>
        <v>0</v>
      </c>
      <c r="T189" s="26"/>
      <c r="U189" s="26">
        <f>IF(U36&lt;Exercise,Exercise-U36,0)</f>
        <v>0</v>
      </c>
      <c r="V189" s="26"/>
      <c r="W189" s="26">
        <f>IF(W36&lt;Exercise,Exercise-W36,0)</f>
        <v>0</v>
      </c>
      <c r="X189" s="26"/>
      <c r="Y189" s="26">
        <f>IF(Y36&lt;Exercise,Exercise-Y36,0)</f>
        <v>0</v>
      </c>
      <c r="Z189" s="26"/>
      <c r="AA189" s="26">
        <f>IF(AA36&lt;Exercise,Exercise-AA36,0)</f>
        <v>0</v>
      </c>
      <c r="AB189" s="26"/>
      <c r="AC189" s="26">
        <f>IF(AC36&lt;Exercise,Exercise-AC36,0)</f>
        <v>0</v>
      </c>
      <c r="AD189" s="26"/>
      <c r="AE189" s="26">
        <f>IF(AE36&lt;Exercise,Exercise-AE36,0)</f>
        <v>0</v>
      </c>
      <c r="AF189" s="5"/>
      <c r="AG189" s="5"/>
      <c r="AH189" s="5"/>
      <c r="AI189" s="5"/>
      <c r="AJ189" s="5"/>
      <c r="AK189" s="5"/>
      <c r="AL189" s="5"/>
      <c r="AM189" s="5"/>
    </row>
    <row r="190" spans="1:39" ht="18.75" customHeight="1">
      <c r="A190" s="25"/>
      <c r="B190" s="25"/>
      <c r="C190" s="25"/>
      <c r="D190" s="25"/>
      <c r="E190" s="25"/>
      <c r="F190" s="25"/>
      <c r="G190" s="25"/>
      <c r="H190" s="26">
        <f>((I189*$E$7)/(1+$E$6))+((I191*(1-$E$7))/(1+$E$6))</f>
        <v>9.1513934358498125E-2</v>
      </c>
      <c r="I190" s="25"/>
      <c r="J190" s="26">
        <f>((K189*$E$7)/(1+$E$6))+((K191*(1-$E$7))/(1+$E$6))</f>
        <v>0</v>
      </c>
      <c r="K190" s="25"/>
      <c r="L190" s="26">
        <f>((M189*$E$7)/(1+$E$6))+((M191*(1-$E$7))/(1+$E$6))</f>
        <v>0</v>
      </c>
      <c r="M190" s="26"/>
      <c r="N190" s="26">
        <f>IF(N37&lt;Exercise,Exercise-N37,0)</f>
        <v>0</v>
      </c>
      <c r="O190" s="26"/>
      <c r="P190" s="26">
        <f>IF(P37&lt;Exercise,Exercise-P37,0)</f>
        <v>0</v>
      </c>
      <c r="Q190" s="26"/>
      <c r="R190" s="26">
        <f>IF(R37&lt;Exercise,Exercise-R37,0)</f>
        <v>0</v>
      </c>
      <c r="S190" s="26"/>
      <c r="T190" s="26">
        <f>IF(T37&lt;Exercise,Exercise-T37,0)</f>
        <v>0</v>
      </c>
      <c r="U190" s="26"/>
      <c r="V190" s="26">
        <f>IF(V37&lt;Exercise,Exercise-V37,0)</f>
        <v>0</v>
      </c>
      <c r="W190" s="26"/>
      <c r="X190" s="26">
        <f>IF(X37&lt;Exercise,Exercise-X37,0)</f>
        <v>0</v>
      </c>
      <c r="Y190" s="26"/>
      <c r="Z190" s="26">
        <f>IF(Z37&lt;Exercise,Exercise-Z37,0)</f>
        <v>0</v>
      </c>
      <c r="AA190" s="26"/>
      <c r="AB190" s="26">
        <f>IF(AB37&lt;Exercise,Exercise-AB37,0)</f>
        <v>0</v>
      </c>
      <c r="AC190" s="26"/>
      <c r="AD190" s="26">
        <f>IF(AD37&lt;Exercise,Exercise-AD37,0)</f>
        <v>0</v>
      </c>
      <c r="AE190" s="26"/>
      <c r="AF190" s="5"/>
      <c r="AG190" s="5"/>
      <c r="AH190" s="5"/>
      <c r="AI190" s="5"/>
      <c r="AJ190" s="5"/>
      <c r="AK190" s="5"/>
      <c r="AL190" s="5"/>
      <c r="AM190" s="5"/>
    </row>
    <row r="191" spans="1:39" ht="18.75" customHeight="1">
      <c r="A191" s="25"/>
      <c r="B191" s="25"/>
      <c r="C191" s="25"/>
      <c r="D191" s="25"/>
      <c r="E191" s="25"/>
      <c r="F191" s="25"/>
      <c r="G191" s="26">
        <f>((H190*$E$7)/(1+$E$6))+((H192*(1-$E$7))/(1+$E$6))</f>
        <v>0.40095108806536772</v>
      </c>
      <c r="H191" s="25"/>
      <c r="I191" s="26">
        <f>((J190*$E$7)/(1+$E$6))+((J192*(1-$E$7))/(1+$E$6))</f>
        <v>0.182155938305298</v>
      </c>
      <c r="J191" s="25"/>
      <c r="K191" s="26">
        <f>((L190*$E$7)/(1+$E$6))+((L192*(1-$E$7))/(1+$E$6))</f>
        <v>0</v>
      </c>
      <c r="L191" s="25"/>
      <c r="M191" s="26">
        <f>IF(M38&lt;Exercise,Exercise-M38,0)</f>
        <v>0</v>
      </c>
      <c r="N191" s="26"/>
      <c r="O191" s="26">
        <f>IF(O38&lt;Exercise,Exercise-O38,0)</f>
        <v>0</v>
      </c>
      <c r="P191" s="26"/>
      <c r="Q191" s="26">
        <f>IF(Q38&lt;Exercise,Exercise-Q38,0)</f>
        <v>0</v>
      </c>
      <c r="R191" s="26"/>
      <c r="S191" s="26">
        <f>IF(S38&lt;Exercise,Exercise-S38,0)</f>
        <v>0</v>
      </c>
      <c r="T191" s="26"/>
      <c r="U191" s="26">
        <f>IF(U38&lt;Exercise,Exercise-U38,0)</f>
        <v>0</v>
      </c>
      <c r="V191" s="26"/>
      <c r="W191" s="26">
        <f>IF(W38&lt;Exercise,Exercise-W38,0)</f>
        <v>0</v>
      </c>
      <c r="X191" s="26"/>
      <c r="Y191" s="26">
        <f>IF(Y38&lt;Exercise,Exercise-Y38,0)</f>
        <v>0</v>
      </c>
      <c r="Z191" s="26"/>
      <c r="AA191" s="26">
        <f>IF(AA38&lt;Exercise,Exercise-AA38,0)</f>
        <v>0</v>
      </c>
      <c r="AB191" s="26"/>
      <c r="AC191" s="26">
        <f>IF(AC38&lt;Exercise,Exercise-AC38,0)</f>
        <v>0</v>
      </c>
      <c r="AD191" s="26"/>
      <c r="AE191" s="26">
        <f>IF(AE38&lt;Exercise,Exercise-AE38,0)</f>
        <v>0</v>
      </c>
      <c r="AF191" s="5"/>
      <c r="AG191" s="5"/>
      <c r="AH191" s="5"/>
      <c r="AI191" s="5"/>
      <c r="AJ191" s="5"/>
      <c r="AK191" s="5"/>
      <c r="AL191" s="5"/>
      <c r="AM191" s="5"/>
    </row>
    <row r="192" spans="1:39" ht="18.75" customHeight="1">
      <c r="A192" s="25"/>
      <c r="B192" s="25"/>
      <c r="C192" s="25"/>
      <c r="D192" s="25"/>
      <c r="E192" s="25"/>
      <c r="F192" s="26">
        <f>((G191*$E$7)/(1+$E$6))+((G193*(1-$E$7))/(1+$E$6))</f>
        <v>1.0233260769115886</v>
      </c>
      <c r="G192" s="25"/>
      <c r="H192" s="26">
        <f>((I191*$E$7)/(1+$E$6))+((I193*(1-$E$7))/(1+$E$6))</f>
        <v>0.70774180806985743</v>
      </c>
      <c r="I192" s="25"/>
      <c r="J192" s="26">
        <f>((K191*$E$7)/(1+$E$6))+((K193*(1-$E$7))/(1+$E$6))</f>
        <v>0.36257632340339119</v>
      </c>
      <c r="K192" s="25"/>
      <c r="L192" s="26">
        <f>((M191*$E$7)/(1+$E$6))+((M193*(1-$E$7))/(1+$E$6))</f>
        <v>0</v>
      </c>
      <c r="M192" s="26"/>
      <c r="N192" s="26">
        <f>IF(N39&lt;Exercise,Exercise-N39,0)</f>
        <v>0</v>
      </c>
      <c r="O192" s="26"/>
      <c r="P192" s="26">
        <f>IF(P39&lt;Exercise,Exercise-P39,0)</f>
        <v>0</v>
      </c>
      <c r="Q192" s="26"/>
      <c r="R192" s="26">
        <f>IF(R39&lt;Exercise,Exercise-R39,0)</f>
        <v>0</v>
      </c>
      <c r="S192" s="26"/>
      <c r="T192" s="26">
        <f>IF(T39&lt;Exercise,Exercise-T39,0)</f>
        <v>0</v>
      </c>
      <c r="U192" s="26"/>
      <c r="V192" s="26">
        <f>IF(V39&lt;Exercise,Exercise-V39,0)</f>
        <v>0</v>
      </c>
      <c r="W192" s="26"/>
      <c r="X192" s="26">
        <f>IF(X39&lt;Exercise,Exercise-X39,0)</f>
        <v>0</v>
      </c>
      <c r="Y192" s="26"/>
      <c r="Z192" s="26">
        <f>IF(Z39&lt;Exercise,Exercise-Z39,0)</f>
        <v>0</v>
      </c>
      <c r="AA192" s="26"/>
      <c r="AB192" s="26">
        <f>IF(AB39&lt;Exercise,Exercise-AB39,0)</f>
        <v>0</v>
      </c>
      <c r="AC192" s="26"/>
      <c r="AD192" s="26">
        <f>IF(AD39&lt;Exercise,Exercise-AD39,0)</f>
        <v>0</v>
      </c>
      <c r="AE192" s="26"/>
      <c r="AF192" s="5"/>
      <c r="AG192" s="5"/>
      <c r="AH192" s="5"/>
      <c r="AI192" s="5"/>
      <c r="AJ192" s="5"/>
      <c r="AK192" s="5"/>
      <c r="AL192" s="5"/>
      <c r="AM192" s="5"/>
    </row>
    <row r="193" spans="1:40" ht="18.75" customHeight="1">
      <c r="A193" s="25"/>
      <c r="B193" s="25"/>
      <c r="C193" s="25"/>
      <c r="D193" s="25"/>
      <c r="E193" s="26">
        <f>((F192*$E$7)/(1+$E$6))+((F194*(1-$E$7))/(1+$E$6))</f>
        <v>1.9950261152170166</v>
      </c>
      <c r="F193" s="25"/>
      <c r="G193" s="26">
        <f>((H192*$E$7)/(1+$E$6))+((H194*(1-$E$7))/(1+$E$6))</f>
        <v>1.6410936075860703</v>
      </c>
      <c r="H193" s="25"/>
      <c r="I193" s="26">
        <f>((J192*$E$7)/(1+$E$6))+((J194*(1-$E$7))/(1+$E$6))</f>
        <v>1.2289207721942088</v>
      </c>
      <c r="J193" s="25"/>
      <c r="K193" s="26">
        <f>((L192*$E$7)/(1+$E$6))+((L194*(1-$E$7))/(1+$E$6))</f>
        <v>0.72169807647109241</v>
      </c>
      <c r="L193" s="25"/>
      <c r="M193" s="26">
        <f>IF(M40&lt;Exercise,Exercise-M40,0)</f>
        <v>0</v>
      </c>
      <c r="N193" s="26"/>
      <c r="O193" s="26">
        <f>IF(O40&lt;Exercise,Exercise-O40,0)</f>
        <v>0</v>
      </c>
      <c r="P193" s="26"/>
      <c r="Q193" s="26">
        <f>IF(Q40&lt;Exercise,Exercise-Q40,0)</f>
        <v>0</v>
      </c>
      <c r="R193" s="26"/>
      <c r="S193" s="26">
        <f>IF(S40&lt;Exercise,Exercise-S40,0)</f>
        <v>0</v>
      </c>
      <c r="T193" s="26"/>
      <c r="U193" s="26">
        <f>IF(U40&lt;Exercise,Exercise-U40,0)</f>
        <v>0</v>
      </c>
      <c r="V193" s="26"/>
      <c r="W193" s="26">
        <f>IF(W40&lt;Exercise,Exercise-W40,0)</f>
        <v>0</v>
      </c>
      <c r="X193" s="26"/>
      <c r="Y193" s="26">
        <f>IF(Y40&lt;Exercise,Exercise-Y40,0)</f>
        <v>0</v>
      </c>
      <c r="Z193" s="26"/>
      <c r="AA193" s="26">
        <f>IF(AA40&lt;Exercise,Exercise-AA40,0)</f>
        <v>0</v>
      </c>
      <c r="AB193" s="26"/>
      <c r="AC193" s="26">
        <f>IF(AC40&lt;Exercise,Exercise-AC40,0)</f>
        <v>0</v>
      </c>
      <c r="AD193" s="26"/>
      <c r="AE193" s="26">
        <f>IF(AE40&lt;Exercise,Exercise-AE40,0)</f>
        <v>0</v>
      </c>
      <c r="AF193" s="5"/>
      <c r="AG193" s="5"/>
      <c r="AH193" s="5"/>
      <c r="AI193" s="5"/>
      <c r="AJ193" s="5"/>
      <c r="AK193" s="5"/>
      <c r="AL193" s="5"/>
      <c r="AM193" s="5"/>
    </row>
    <row r="194" spans="1:40" ht="18.75" customHeight="1">
      <c r="A194" s="25"/>
      <c r="B194" s="25"/>
      <c r="C194" s="25"/>
      <c r="D194" s="26">
        <f>((E193*$E$7)/(1+$E$6))+((E195*(1-$E$7))/(1+$E$6))</f>
        <v>3.2991607959793425</v>
      </c>
      <c r="E194" s="25"/>
      <c r="F194" s="26">
        <f>((G193*$E$7)/(1+$E$6))+((G195*(1-$E$7))/(1+$E$6))</f>
        <v>2.9608431234365389</v>
      </c>
      <c r="G194" s="25"/>
      <c r="H194" s="26">
        <f>((I193*$E$7)/(1+$E$6))+((I195*(1-$E$7))/(1+$E$6))</f>
        <v>2.5678868802200423</v>
      </c>
      <c r="I194" s="25"/>
      <c r="J194" s="26">
        <f>((K193*$E$7)/(1+$E$6))+((K195*(1-$E$7))/(1+$E$6))</f>
        <v>2.0882066908669814</v>
      </c>
      <c r="K194" s="25"/>
      <c r="L194" s="26">
        <f>((M193*$E$7)/(1+$E$6))+((M195*(1-$E$7))/(1+$E$6))</f>
        <v>1.4365199268750795</v>
      </c>
      <c r="M194" s="26"/>
      <c r="N194" s="26">
        <f>IF(N41&lt;Exercise,Exercise-N41,0)</f>
        <v>0.18775093716453739</v>
      </c>
      <c r="O194" s="26"/>
      <c r="P194" s="26">
        <f>IF(P41&lt;Exercise,Exercise-P41,0)</f>
        <v>0.1877509371645516</v>
      </c>
      <c r="Q194" s="26"/>
      <c r="R194" s="26">
        <f>IF(R41&lt;Exercise,Exercise-R41,0)</f>
        <v>0.1877509371645516</v>
      </c>
      <c r="S194" s="26"/>
      <c r="T194" s="26">
        <f>IF(T41&lt;Exercise,Exercise-T41,0)</f>
        <v>0.18775093716456581</v>
      </c>
      <c r="U194" s="26"/>
      <c r="V194" s="26">
        <f>IF(V41&lt;Exercise,Exercise-V41,0)</f>
        <v>0.18775093716456581</v>
      </c>
      <c r="W194" s="26"/>
      <c r="X194" s="26">
        <f>IF(X41&lt;Exercise,Exercise-X41,0)</f>
        <v>0.18775093716456581</v>
      </c>
      <c r="Y194" s="26"/>
      <c r="Z194" s="26">
        <f>IF(Z41&lt;Exercise,Exercise-Z41,0)</f>
        <v>0.18775093716456581</v>
      </c>
      <c r="AA194" s="26"/>
      <c r="AB194" s="26">
        <f>IF(AB41&lt;Exercise,Exercise-AB41,0)</f>
        <v>0.18775093716459423</v>
      </c>
      <c r="AC194" s="26"/>
      <c r="AD194" s="26">
        <f>IF(AD41&lt;Exercise,Exercise-AD41,0)</f>
        <v>0.18775093716459423</v>
      </c>
      <c r="AE194" s="26"/>
      <c r="AF194" s="5"/>
      <c r="AG194" s="5"/>
      <c r="AH194" s="5"/>
      <c r="AI194" s="5"/>
      <c r="AJ194" s="5"/>
      <c r="AK194" s="5"/>
      <c r="AL194" s="5"/>
      <c r="AM194" s="5"/>
    </row>
    <row r="195" spans="1:40" ht="18.75" customHeight="1">
      <c r="A195" s="25"/>
      <c r="B195" s="25"/>
      <c r="C195" s="26">
        <f>((D194*$E$7)/(1+$E$6))+((D196*(1-$E$7))/(1+$E$6))</f>
        <v>4.8848192263925618</v>
      </c>
      <c r="D195" s="25"/>
      <c r="E195" s="26">
        <f>((F194*$E$7)/(1+$E$6))+((F196*(1-$E$7))/(1+$E$6))</f>
        <v>4.5974499618976798</v>
      </c>
      <c r="F195" s="25"/>
      <c r="G195" s="26">
        <f>((H194*$E$7)/(1+$E$6))+((H196*(1-$E$7))/(1+$E$6))</f>
        <v>4.273430994231143</v>
      </c>
      <c r="H195" s="25"/>
      <c r="I195" s="26">
        <f>((J194*$E$7)/(1+$E$6))+((J196*(1-$E$7))/(1+$E$6))</f>
        <v>3.8981488053968611</v>
      </c>
      <c r="J195" s="25"/>
      <c r="K195" s="26">
        <f>((L194*$E$7)/(1+$E$6))+((L196*(1-$E$7))/(1+$E$6))</f>
        <v>3.444075759322347</v>
      </c>
      <c r="L195" s="25"/>
      <c r="M195" s="26">
        <f>IF(M42&lt;Exercise,Exercise-M42,0)</f>
        <v>2.8593529172193115</v>
      </c>
      <c r="N195" s="26"/>
      <c r="O195" s="26">
        <f>IF(O42&lt;Exercise,Exercise-O42,0)</f>
        <v>2.8593529172193115</v>
      </c>
      <c r="P195" s="26"/>
      <c r="Q195" s="26">
        <f>IF(Q42&lt;Exercise,Exercise-Q42,0)</f>
        <v>2.8593529172193257</v>
      </c>
      <c r="R195" s="26"/>
      <c r="S195" s="26">
        <f>IF(S42&lt;Exercise,Exercise-S42,0)</f>
        <v>2.8593529172193257</v>
      </c>
      <c r="T195" s="26"/>
      <c r="U195" s="26">
        <f>IF(U42&lt;Exercise,Exercise-U42,0)</f>
        <v>2.8593529172193399</v>
      </c>
      <c r="V195" s="26"/>
      <c r="W195" s="26">
        <f>IF(W42&lt;Exercise,Exercise-W42,0)</f>
        <v>2.8593529172193399</v>
      </c>
      <c r="X195" s="26"/>
      <c r="Y195" s="26">
        <f>IF(Y42&lt;Exercise,Exercise-Y42,0)</f>
        <v>2.8593529172193399</v>
      </c>
      <c r="Z195" s="26"/>
      <c r="AA195" s="26">
        <f>IF(AA42&lt;Exercise,Exercise-AA42,0)</f>
        <v>2.8593529172193399</v>
      </c>
      <c r="AB195" s="26"/>
      <c r="AC195" s="26">
        <f>IF(AC42&lt;Exercise,Exercise-AC42,0)</f>
        <v>2.8593529172193684</v>
      </c>
      <c r="AD195" s="26"/>
      <c r="AE195" s="26">
        <f>IF(AE42&lt;Exercise,Exercise-AE42,0)</f>
        <v>2.8593529172193684</v>
      </c>
      <c r="AF195" s="5"/>
      <c r="AG195" s="5"/>
      <c r="AH195" s="5"/>
      <c r="AI195" s="5"/>
      <c r="AJ195" s="5"/>
      <c r="AK195" s="5"/>
      <c r="AL195" s="5"/>
      <c r="AM195" s="5"/>
    </row>
    <row r="196" spans="1:40" ht="18.75" customHeight="1">
      <c r="A196" s="25"/>
      <c r="B196" s="26">
        <f>((C195*$E$7)/(1+$E$6))+((C197*(1-$E$7))/(1+$E$6))</f>
        <v>6.6867976260687527</v>
      </c>
      <c r="C196" s="25"/>
      <c r="D196" s="26">
        <f>((E195*$E$7)/(1+$E$6))+((E197*(1-$E$7))/(1+$E$6))</f>
        <v>6.4662511775885214</v>
      </c>
      <c r="E196" s="25"/>
      <c r="F196" s="26">
        <f>((G195*$E$7)/(1+$E$6))+((G197*(1-$E$7))/(1+$E$6))</f>
        <v>6.2282290396696229</v>
      </c>
      <c r="G196" s="25"/>
      <c r="H196" s="26">
        <f>((I195*$E$7)/(1+$E$6))+((I197*(1-$E$7))/(1+$E$6))</f>
        <v>5.9711944598294675</v>
      </c>
      <c r="I196" s="25"/>
      <c r="J196" s="26">
        <f>((K195*$E$7)/(1+$E$6))+((K197*(1-$E$7))/(1+$E$6))</f>
        <v>5.6977334831383022</v>
      </c>
      <c r="K196" s="25"/>
      <c r="L196" s="26">
        <f>((M195*$E$7)/(1+$E$6))+((M197*(1-$E$7))/(1+$E$6))</f>
        <v>5.4372419028301699</v>
      </c>
      <c r="M196" s="26"/>
      <c r="N196" s="26">
        <f>IF(N43&lt;Exercise,Exercise-N43,0)</f>
        <v>5.4628573494812258</v>
      </c>
      <c r="O196" s="26"/>
      <c r="P196" s="26">
        <f>IF(P43&lt;Exercise,Exercise-P43,0)</f>
        <v>5.4628573494812258</v>
      </c>
      <c r="Q196" s="26"/>
      <c r="R196" s="26">
        <f>IF(R43&lt;Exercise,Exercise-R43,0)</f>
        <v>5.46285734948124</v>
      </c>
      <c r="S196" s="26"/>
      <c r="T196" s="26">
        <f>IF(T43&lt;Exercise,Exercise-T43,0)</f>
        <v>5.46285734948124</v>
      </c>
      <c r="U196" s="26"/>
      <c r="V196" s="26">
        <f>IF(V43&lt;Exercise,Exercise-V43,0)</f>
        <v>5.4628573494812542</v>
      </c>
      <c r="W196" s="26"/>
      <c r="X196" s="26">
        <f>IF(X43&lt;Exercise,Exercise-X43,0)</f>
        <v>5.4628573494812542</v>
      </c>
      <c r="Y196" s="26"/>
      <c r="Z196" s="26">
        <f>IF(Z43&lt;Exercise,Exercise-Z43,0)</f>
        <v>5.4628573494812542</v>
      </c>
      <c r="AA196" s="26"/>
      <c r="AB196" s="26">
        <f>IF(AB43&lt;Exercise,Exercise-AB43,0)</f>
        <v>5.4628573494812542</v>
      </c>
      <c r="AC196" s="26"/>
      <c r="AD196" s="26">
        <f>IF(AD43&lt;Exercise,Exercise-AD43,0)</f>
        <v>5.4628573494812827</v>
      </c>
      <c r="AE196" s="26"/>
      <c r="AF196" s="5"/>
      <c r="AG196" s="5"/>
      <c r="AH196" s="5"/>
      <c r="AI196" s="5"/>
      <c r="AJ196" s="5"/>
      <c r="AK196" s="5"/>
      <c r="AL196" s="5"/>
      <c r="AM196" s="5"/>
    </row>
    <row r="197" spans="1:40" ht="18.75" customHeight="1">
      <c r="A197" s="29">
        <f>((B196*$E$7)/(1+$E$6))+((B198*(1-$E$7))/(1+$E$6))</f>
        <v>8.6399276564687071</v>
      </c>
      <c r="B197" s="25"/>
      <c r="C197" s="26">
        <f>((D196*$E$7)/(1+$E$6))+((D198*(1-$E$7))/(1+$E$6))</f>
        <v>8.4877183665642342</v>
      </c>
      <c r="D197" s="25"/>
      <c r="E197" s="26">
        <f>((F196*$E$7)/(1+$E$6))+((F198*(1-$E$7))/(1+$E$6))</f>
        <v>8.3324102438578471</v>
      </c>
      <c r="F197" s="25"/>
      <c r="G197" s="26">
        <f>((H196*$E$7)/(1+$E$6))+((H198*(1-$E$7))/(1+$E$6))</f>
        <v>8.1784968789171621</v>
      </c>
      <c r="H197" s="25"/>
      <c r="I197" s="26">
        <f>((J196*$E$7)/(1+$E$6))+((J198*(1-$E$7))/(1+$E$6))</f>
        <v>8.0373454925063559</v>
      </c>
      <c r="J197" s="25"/>
      <c r="K197" s="26">
        <f>((L196*$E$7)/(1+$E$6))+((L198*(1-$E$7))/(1+$E$6))</f>
        <v>7.9412780996453849</v>
      </c>
      <c r="L197" s="25"/>
      <c r="M197" s="26">
        <f>IF(M44&lt;Exercise,Exercise-M44,0)</f>
        <v>8.0000000000000284</v>
      </c>
      <c r="N197" s="26"/>
      <c r="O197" s="26">
        <f>IF(O44&lt;Exercise,Exercise-O44,0)</f>
        <v>8.0000000000000284</v>
      </c>
      <c r="P197" s="26"/>
      <c r="Q197" s="26">
        <f>IF(Q44&lt;Exercise,Exercise-Q44,0)</f>
        <v>8.0000000000000284</v>
      </c>
      <c r="R197" s="26"/>
      <c r="S197" s="26">
        <f>IF(S44&lt;Exercise,Exercise-S44,0)</f>
        <v>8.0000000000000426</v>
      </c>
      <c r="T197" s="26"/>
      <c r="U197" s="26">
        <f>IF(U44&lt;Exercise,Exercise-U44,0)</f>
        <v>8.0000000000000426</v>
      </c>
      <c r="V197" s="26"/>
      <c r="W197" s="26">
        <f>IF(W44&lt;Exercise,Exercise-W44,0)</f>
        <v>8.0000000000000568</v>
      </c>
      <c r="X197" s="26"/>
      <c r="Y197" s="26">
        <f>IF(Y44&lt;Exercise,Exercise-Y44,0)</f>
        <v>8.0000000000000568</v>
      </c>
      <c r="Z197" s="26"/>
      <c r="AA197" s="26">
        <f>IF(AA44&lt;Exercise,Exercise-AA44,0)</f>
        <v>8.0000000000000568</v>
      </c>
      <c r="AB197" s="26"/>
      <c r="AC197" s="26">
        <f>IF(AC44&lt;Exercise,Exercise-AC44,0)</f>
        <v>8.0000000000000568</v>
      </c>
      <c r="AD197" s="26"/>
      <c r="AE197" s="26">
        <f>IF(AE44&lt;Exercise,Exercise-AE44,0)</f>
        <v>8.0000000000000853</v>
      </c>
      <c r="AF197" s="5"/>
      <c r="AG197" s="5"/>
      <c r="AH197" s="5"/>
      <c r="AI197" s="5"/>
      <c r="AJ197" s="5"/>
      <c r="AK197" s="5"/>
      <c r="AL197" s="5"/>
      <c r="AM197" s="5"/>
    </row>
    <row r="198" spans="1:40" ht="18.75" customHeight="1">
      <c r="A198" s="25"/>
      <c r="B198" s="26">
        <f>((C197*$E$7)/(1+$E$6))+((C199*(1-$E$7))/(1+$E$6))</f>
        <v>10.596503236704116</v>
      </c>
      <c r="C198" s="25"/>
      <c r="D198" s="26">
        <f>((E197*$E$7)/(1+$E$6))+((E199*(1-$E$7))/(1+$E$6))</f>
        <v>10.511252584430835</v>
      </c>
      <c r="E198" s="25"/>
      <c r="F198" s="26">
        <f>((G197*$E$7)/(1+$E$6))+((G199*(1-$E$7))/(1+$E$6))</f>
        <v>10.437085336531744</v>
      </c>
      <c r="G198" s="25"/>
      <c r="H198" s="26">
        <f>((I197*$E$7)/(1+$E$6))+((I199*(1-$E$7))/(1+$E$6))</f>
        <v>10.384462901882817</v>
      </c>
      <c r="I198" s="25"/>
      <c r="J198" s="26">
        <f>((K197*$E$7)/(1+$E$6))+((K199*(1-$E$7))/(1+$E$6))</f>
        <v>10.373458540676005</v>
      </c>
      <c r="K198" s="25"/>
      <c r="L198" s="26">
        <f>((M197*$E$7)/(1+$E$6))+((M199*(1-$E$7))/(1+$E$6))</f>
        <v>10.439389563529254</v>
      </c>
      <c r="M198" s="26"/>
      <c r="N198" s="26">
        <f>IF(N45&lt;Exercise,Exercise-N45,0)</f>
        <v>10.472472391179735</v>
      </c>
      <c r="O198" s="26"/>
      <c r="P198" s="26">
        <f>IF(P45&lt;Exercise,Exercise-P45,0)</f>
        <v>10.472472391179735</v>
      </c>
      <c r="Q198" s="26"/>
      <c r="R198" s="26">
        <f>IF(R45&lt;Exercise,Exercise-R45,0)</f>
        <v>10.472472391179735</v>
      </c>
      <c r="S198" s="26"/>
      <c r="T198" s="26">
        <f>IF(T45&lt;Exercise,Exercise-T45,0)</f>
        <v>10.47247239117975</v>
      </c>
      <c r="U198" s="26"/>
      <c r="V198" s="26">
        <f>IF(V45&lt;Exercise,Exercise-V45,0)</f>
        <v>10.47247239117975</v>
      </c>
      <c r="W198" s="26"/>
      <c r="X198" s="26">
        <f>IF(X45&lt;Exercise,Exercise-X45,0)</f>
        <v>10.472472391179764</v>
      </c>
      <c r="Y198" s="26"/>
      <c r="Z198" s="26">
        <f>IF(Z45&lt;Exercise,Exercise-Z45,0)</f>
        <v>10.472472391179764</v>
      </c>
      <c r="AA198" s="26"/>
      <c r="AB198" s="26">
        <f>IF(AB45&lt;Exercise,Exercise-AB45,0)</f>
        <v>10.472472391179764</v>
      </c>
      <c r="AC198" s="26"/>
      <c r="AD198" s="26">
        <f>IF(AD45&lt;Exercise,Exercise-AD45,0)</f>
        <v>10.472472391179764</v>
      </c>
      <c r="AE198" s="26"/>
      <c r="AF198" s="5"/>
      <c r="AG198" s="5"/>
      <c r="AH198" s="5"/>
      <c r="AI198" s="5"/>
      <c r="AJ198" s="5"/>
      <c r="AK198" s="5"/>
      <c r="AL198" s="5"/>
      <c r="AM198" s="5"/>
    </row>
    <row r="199" spans="1:40" ht="18.75" customHeight="1">
      <c r="A199" s="25"/>
      <c r="B199" s="25"/>
      <c r="C199" s="26">
        <f>((D198*$E$7)/(1+$E$6))+((D200*(1-$E$7))/(1+$E$6))</f>
        <v>12.71319047141219</v>
      </c>
      <c r="D199" s="25"/>
      <c r="E199" s="26">
        <f>((F198*$E$7)/(1+$E$6))+((F200*(1-$E$7))/(1+$E$6))</f>
        <v>12.696817549450738</v>
      </c>
      <c r="F199" s="25"/>
      <c r="G199" s="26">
        <f>((H198*$E$7)/(1+$E$6))+((H200*(1-$E$7))/(1+$E$6))</f>
        <v>12.701128966813322</v>
      </c>
      <c r="H199" s="25"/>
      <c r="I199" s="26">
        <f>((J198*$E$7)/(1+$E$6))+((J200*(1-$E$7))/(1+$E$6))</f>
        <v>12.735726442748593</v>
      </c>
      <c r="J199" s="25"/>
      <c r="K199" s="26">
        <f>((L198*$E$7)/(1+$E$6))+((L200*(1-$E$7))/(1+$E$6))</f>
        <v>12.808657792612461</v>
      </c>
      <c r="L199" s="25"/>
      <c r="M199" s="26">
        <f>IF(M46&lt;Exercise,Exercise-M46,0)</f>
        <v>12.881922929522901</v>
      </c>
      <c r="N199" s="26"/>
      <c r="O199" s="26">
        <f>IF(O46&lt;Exercise,Exercise-O46,0)</f>
        <v>12.881922929522901</v>
      </c>
      <c r="P199" s="26"/>
      <c r="Q199" s="26">
        <f>IF(Q46&lt;Exercise,Exercise-Q46,0)</f>
        <v>12.881922929522901</v>
      </c>
      <c r="R199" s="26"/>
      <c r="S199" s="26">
        <f>IF(S46&lt;Exercise,Exercise-S46,0)</f>
        <v>12.881922929522901</v>
      </c>
      <c r="T199" s="26"/>
      <c r="U199" s="26">
        <f>IF(U46&lt;Exercise,Exercise-U46,0)</f>
        <v>12.881922929522901</v>
      </c>
      <c r="V199" s="26"/>
      <c r="W199" s="26">
        <f>IF(W46&lt;Exercise,Exercise-W46,0)</f>
        <v>12.881922929522901</v>
      </c>
      <c r="X199" s="26"/>
      <c r="Y199" s="26">
        <f>IF(Y46&lt;Exercise,Exercise-Y46,0)</f>
        <v>12.881922929522915</v>
      </c>
      <c r="Z199" s="26"/>
      <c r="AA199" s="26">
        <f>IF(AA46&lt;Exercise,Exercise-AA46,0)</f>
        <v>12.881922929522915</v>
      </c>
      <c r="AB199" s="26"/>
      <c r="AC199" s="26">
        <f>IF(AC46&lt;Exercise,Exercise-AC46,0)</f>
        <v>12.881922929522915</v>
      </c>
      <c r="AD199" s="26"/>
      <c r="AE199" s="26">
        <f>IF(AE46&lt;Exercise,Exercise-AE46,0)</f>
        <v>12.881922929522915</v>
      </c>
      <c r="AF199" s="5"/>
      <c r="AG199" s="5"/>
      <c r="AH199" s="5"/>
      <c r="AI199" s="5"/>
      <c r="AJ199" s="5"/>
      <c r="AK199" s="5"/>
      <c r="AL199" s="5"/>
      <c r="AM199" s="5"/>
    </row>
    <row r="200" spans="1:40" ht="18.75" customHeight="1">
      <c r="A200" s="25"/>
      <c r="B200" s="25"/>
      <c r="C200" s="25"/>
      <c r="D200" s="26">
        <f>((E199*$E$7)/(1+$E$6))+((E201*(1-$E$7))/(1+$E$6))</f>
        <v>14.928817278034339</v>
      </c>
      <c r="E200" s="25"/>
      <c r="F200" s="26">
        <f>((G199*$E$7)/(1+$E$6))+((G201*(1-$E$7))/(1+$E$6))</f>
        <v>14.969443405321675</v>
      </c>
      <c r="G200" s="25"/>
      <c r="H200" s="26">
        <f>((I199*$E$7)/(1+$E$6))+((I201*(1-$E$7))/(1+$E$6))</f>
        <v>15.029972656442016</v>
      </c>
      <c r="I200" s="25"/>
      <c r="J200" s="26">
        <f>((K199*$E$7)/(1+$E$6))+((K201*(1-$E$7))/(1+$E$6))</f>
        <v>15.109701187338947</v>
      </c>
      <c r="K200" s="25"/>
      <c r="L200" s="26">
        <f>((M199*$E$7)/(1+$E$6))+((M201*(1-$E$7))/(1+$E$6))</f>
        <v>15.189783622562096</v>
      </c>
      <c r="M200" s="26"/>
      <c r="N200" s="26">
        <f>IF(N47&lt;Exercise,Exercise-N47,0)</f>
        <v>15.229958004629296</v>
      </c>
      <c r="O200" s="26"/>
      <c r="P200" s="26">
        <f>IF(P47&lt;Exercise,Exercise-P47,0)</f>
        <v>15.229958004629296</v>
      </c>
      <c r="Q200" s="26"/>
      <c r="R200" s="26">
        <f>IF(R47&lt;Exercise,Exercise-R47,0)</f>
        <v>15.229958004629296</v>
      </c>
      <c r="S200" s="26"/>
      <c r="T200" s="26">
        <f>IF(T47&lt;Exercise,Exercise-T47,0)</f>
        <v>15.229958004629296</v>
      </c>
      <c r="U200" s="26"/>
      <c r="V200" s="26">
        <f>IF(V47&lt;Exercise,Exercise-V47,0)</f>
        <v>15.229958004629296</v>
      </c>
      <c r="W200" s="26"/>
      <c r="X200" s="26">
        <f>IF(X47&lt;Exercise,Exercise-X47,0)</f>
        <v>15.229958004629296</v>
      </c>
      <c r="Y200" s="26"/>
      <c r="Z200" s="26">
        <f>IF(Z47&lt;Exercise,Exercise-Z47,0)</f>
        <v>15.22995800462931</v>
      </c>
      <c r="AA200" s="26"/>
      <c r="AB200" s="26">
        <f>IF(AB47&lt;Exercise,Exercise-AB47,0)</f>
        <v>15.22995800462931</v>
      </c>
      <c r="AC200" s="26"/>
      <c r="AD200" s="26">
        <f>IF(AD47&lt;Exercise,Exercise-AD47,0)</f>
        <v>15.22995800462931</v>
      </c>
      <c r="AE200" s="26"/>
      <c r="AF200" s="5"/>
      <c r="AG200" s="5"/>
      <c r="AH200" s="5"/>
      <c r="AI200" s="5"/>
      <c r="AJ200" s="5"/>
      <c r="AK200" s="5"/>
      <c r="AL200" s="5"/>
      <c r="AM200" s="5"/>
    </row>
    <row r="201" spans="1:40" ht="18.75" customHeight="1">
      <c r="A201" s="25"/>
      <c r="B201" s="25"/>
      <c r="C201" s="25"/>
      <c r="D201" s="25"/>
      <c r="E201" s="26">
        <f>((F200*$E$7)/(1+$E$6))+((F202*(1-$E$7))/(1+$E$6))</f>
        <v>17.181428020516602</v>
      </c>
      <c r="F201" s="25"/>
      <c r="G201" s="26">
        <f>((H200*$E$7)/(1+$E$6))+((H202*(1-$E$7))/(1+$E$6))</f>
        <v>17.258037076959983</v>
      </c>
      <c r="H201" s="25"/>
      <c r="I201" s="26">
        <f>((J200*$E$7)/(1+$E$6))+((J202*(1-$E$7))/(1+$E$6))</f>
        <v>17.344365140173615</v>
      </c>
      <c r="J201" s="25"/>
      <c r="K201" s="26">
        <f>((L200*$E$7)/(1+$E$6))+((L202*(1-$E$7))/(1+$E$6))</f>
        <v>17.431066634756966</v>
      </c>
      <c r="L201" s="25"/>
      <c r="M201" s="26">
        <f>IF(M48&lt;Exercise,Exercise-M48,0)</f>
        <v>17.518143060181842</v>
      </c>
      <c r="N201" s="26"/>
      <c r="O201" s="26">
        <f>IF(O48&lt;Exercise,Exercise-O48,0)</f>
        <v>17.518143060181842</v>
      </c>
      <c r="P201" s="26"/>
      <c r="Q201" s="26">
        <f>IF(Q48&lt;Exercise,Exercise-Q48,0)</f>
        <v>17.518143060181842</v>
      </c>
      <c r="R201" s="26"/>
      <c r="S201" s="26">
        <f>IF(S48&lt;Exercise,Exercise-S48,0)</f>
        <v>17.518143060181842</v>
      </c>
      <c r="T201" s="26"/>
      <c r="U201" s="26">
        <f>IF(U48&lt;Exercise,Exercise-U48,0)</f>
        <v>17.518143060181842</v>
      </c>
      <c r="V201" s="26"/>
      <c r="W201" s="26">
        <f>IF(W48&lt;Exercise,Exercise-W48,0)</f>
        <v>17.518143060181842</v>
      </c>
      <c r="X201" s="26"/>
      <c r="Y201" s="26">
        <f>IF(Y48&lt;Exercise,Exercise-Y48,0)</f>
        <v>17.518143060181842</v>
      </c>
      <c r="Z201" s="26"/>
      <c r="AA201" s="26">
        <f>IF(AA48&lt;Exercise,Exercise-AA48,0)</f>
        <v>17.518143060181856</v>
      </c>
      <c r="AB201" s="26"/>
      <c r="AC201" s="26">
        <f>IF(AC48&lt;Exercise,Exercise-AC48,0)</f>
        <v>17.518143060181856</v>
      </c>
      <c r="AD201" s="26"/>
      <c r="AE201" s="26">
        <f>IF(AE48&lt;Exercise,Exercise-AE48,0)</f>
        <v>17.518143060181856</v>
      </c>
      <c r="AF201" s="5"/>
      <c r="AG201" s="5"/>
      <c r="AH201" s="5"/>
      <c r="AI201" s="5"/>
      <c r="AJ201" s="5"/>
      <c r="AK201" s="5"/>
      <c r="AL201" s="5"/>
      <c r="AM201" s="5"/>
    </row>
    <row r="202" spans="1:40" ht="18.75" customHeight="1">
      <c r="A202" s="25"/>
      <c r="B202" s="25"/>
      <c r="C202" s="25"/>
      <c r="D202" s="25"/>
      <c r="E202" s="25"/>
      <c r="F202" s="26">
        <f>((G201*$E$7)/(1+$E$6))+((G203*(1-$E$7))/(1+$E$6))</f>
        <v>19.421710016991774</v>
      </c>
      <c r="G202" s="25"/>
      <c r="H202" s="26">
        <f>((I201*$E$7)/(1+$E$6))+((I203*(1-$E$7))/(1+$E$6))</f>
        <v>19.514445312919683</v>
      </c>
      <c r="I202" s="25"/>
      <c r="J202" s="26">
        <f>((K201*$E$7)/(1+$E$6))+((K203*(1-$E$7))/(1+$E$6))</f>
        <v>19.607572993006755</v>
      </c>
      <c r="K202" s="25"/>
      <c r="L202" s="26">
        <f>((M201*$E$7)/(1+$E$6))+((M203*(1-$E$7))/(1+$E$6))</f>
        <v>19.701094612718016</v>
      </c>
      <c r="M202" s="26"/>
      <c r="N202" s="26">
        <f>IF(N49&lt;Exercise,Exercise-N49,0)</f>
        <v>19.748003637633744</v>
      </c>
      <c r="O202" s="26"/>
      <c r="P202" s="26">
        <f>IF(P49&lt;Exercise,Exercise-P49,0)</f>
        <v>19.748003637633744</v>
      </c>
      <c r="Q202" s="26"/>
      <c r="R202" s="26">
        <f>IF(R49&lt;Exercise,Exercise-R49,0)</f>
        <v>19.748003637633744</v>
      </c>
      <c r="S202" s="26"/>
      <c r="T202" s="26">
        <f>IF(T49&lt;Exercise,Exercise-T49,0)</f>
        <v>19.748003637633744</v>
      </c>
      <c r="U202" s="26"/>
      <c r="V202" s="26">
        <f>IF(V49&lt;Exercise,Exercise-V49,0)</f>
        <v>19.748003637633744</v>
      </c>
      <c r="W202" s="26"/>
      <c r="X202" s="26">
        <f>IF(X49&lt;Exercise,Exercise-X49,0)</f>
        <v>19.748003637633744</v>
      </c>
      <c r="Y202" s="26"/>
      <c r="Z202" s="26">
        <f>IF(Z49&lt;Exercise,Exercise-Z49,0)</f>
        <v>19.748003637633744</v>
      </c>
      <c r="AA202" s="26"/>
      <c r="AB202" s="26">
        <f>IF(AB49&lt;Exercise,Exercise-AB49,0)</f>
        <v>19.748003637633758</v>
      </c>
      <c r="AC202" s="26"/>
      <c r="AD202" s="26">
        <f>IF(AD49&lt;Exercise,Exercise-AD49,0)</f>
        <v>19.748003637633758</v>
      </c>
      <c r="AE202" s="26"/>
      <c r="AF202" s="5"/>
      <c r="AG202" s="5"/>
      <c r="AH202" s="5"/>
      <c r="AI202" s="5"/>
      <c r="AJ202" s="5"/>
      <c r="AK202" s="5"/>
      <c r="AL202" s="5"/>
      <c r="AM202" s="5"/>
    </row>
    <row r="203" spans="1:40" ht="18.75" customHeight="1">
      <c r="A203" s="25"/>
      <c r="B203" s="25"/>
      <c r="C203" s="25"/>
      <c r="D203" s="25"/>
      <c r="E203" s="25"/>
      <c r="F203" s="25"/>
      <c r="G203" s="26">
        <f>((H202*$E$7)/(1+$E$6))+((H204*(1-$E$7))/(1+$E$6))</f>
        <v>21.621688976583222</v>
      </c>
      <c r="H203" s="25"/>
      <c r="I203" s="26">
        <f>((J202*$E$7)/(1+$E$6))+((J204*(1-$E$7))/(1+$E$6))</f>
        <v>21.721055188827023</v>
      </c>
      <c r="J203" s="25"/>
      <c r="K203" s="26">
        <f>((L202*$E$7)/(1+$E$6))+((L204*(1-$E$7))/(1+$E$6))</f>
        <v>21.820833789106679</v>
      </c>
      <c r="L203" s="25"/>
      <c r="M203" s="26">
        <f>IF(M50&lt;Exercise,Exercise-M50,0)</f>
        <v>21.92102639329255</v>
      </c>
      <c r="N203" s="26"/>
      <c r="O203" s="26">
        <f>IF(O50&lt;Exercise,Exercise-O50,0)</f>
        <v>21.92102639329255</v>
      </c>
      <c r="P203" s="26"/>
      <c r="Q203" s="26">
        <f>IF(Q50&lt;Exercise,Exercise-Q50,0)</f>
        <v>21.92102639329255</v>
      </c>
      <c r="R203" s="26"/>
      <c r="S203" s="26">
        <f>IF(S50&lt;Exercise,Exercise-S50,0)</f>
        <v>21.92102639329255</v>
      </c>
      <c r="T203" s="26"/>
      <c r="U203" s="26">
        <f>IF(U50&lt;Exercise,Exercise-U50,0)</f>
        <v>21.92102639329255</v>
      </c>
      <c r="V203" s="26"/>
      <c r="W203" s="26">
        <f>IF(W50&lt;Exercise,Exercise-W50,0)</f>
        <v>21.92102639329255</v>
      </c>
      <c r="X203" s="26"/>
      <c r="Y203" s="26">
        <f>IF(Y50&lt;Exercise,Exercise-Y50,0)</f>
        <v>21.92102639329255</v>
      </c>
      <c r="Z203" s="26"/>
      <c r="AA203" s="26">
        <f>IF(AA50&lt;Exercise,Exercise-AA50,0)</f>
        <v>21.92102639329255</v>
      </c>
      <c r="AB203" s="26"/>
      <c r="AC203" s="26">
        <f>IF(AC50&lt;Exercise,Exercise-AC50,0)</f>
        <v>21.921026393292564</v>
      </c>
      <c r="AD203" s="26"/>
      <c r="AE203" s="26">
        <f>IF(AE50&lt;Exercise,Exercise-AE50,0)</f>
        <v>21.921026393292564</v>
      </c>
      <c r="AF203" s="5"/>
      <c r="AG203" s="5"/>
      <c r="AH203" s="5"/>
      <c r="AI203" s="5"/>
      <c r="AJ203" s="5"/>
      <c r="AK203" s="5"/>
      <c r="AL203" s="5"/>
      <c r="AM203" s="5"/>
    </row>
    <row r="204" spans="1:40" ht="18.75" customHeight="1">
      <c r="A204" s="25"/>
      <c r="B204" s="25"/>
      <c r="C204" s="25"/>
      <c r="D204" s="25"/>
      <c r="E204" s="25"/>
      <c r="F204" s="25"/>
      <c r="G204" s="25"/>
      <c r="H204" s="26">
        <f>((I203*$E$7)/(1+$E$6))+((I205*(1-$E$7))/(1+$E$6))</f>
        <v>23.773218486010986</v>
      </c>
      <c r="I204" s="25"/>
      <c r="J204" s="26">
        <f>((K203*$E$7)/(1+$E$6))+((K205*(1-$E$7))/(1+$E$6))</f>
        <v>23.879070948136992</v>
      </c>
      <c r="K204" s="25"/>
      <c r="L204" s="26">
        <f>((M203*$E$7)/(1+$E$6))+((M205*(1-$E$7))/(1+$E$6))</f>
        <v>23.985355370244537</v>
      </c>
      <c r="M204" s="26"/>
      <c r="N204" s="26">
        <f>IF(N51&lt;Exercise,Exercise-N51,0)</f>
        <v>24.038660089479478</v>
      </c>
      <c r="O204" s="26"/>
      <c r="P204" s="26">
        <f>IF(P51&lt;Exercise,Exercise-P51,0)</f>
        <v>24.038660089479478</v>
      </c>
      <c r="Q204" s="26"/>
      <c r="R204" s="26">
        <f>IF(R51&lt;Exercise,Exercise-R51,0)</f>
        <v>24.038660089479478</v>
      </c>
      <c r="S204" s="26"/>
      <c r="T204" s="26">
        <f>IF(T51&lt;Exercise,Exercise-T51,0)</f>
        <v>24.038660089479478</v>
      </c>
      <c r="U204" s="26"/>
      <c r="V204" s="26">
        <f>IF(V51&lt;Exercise,Exercise-V51,0)</f>
        <v>24.038660089479478</v>
      </c>
      <c r="W204" s="26"/>
      <c r="X204" s="26">
        <f>IF(X51&lt;Exercise,Exercise-X51,0)</f>
        <v>24.038660089479478</v>
      </c>
      <c r="Y204" s="26"/>
      <c r="Z204" s="26">
        <f>IF(Z51&lt;Exercise,Exercise-Z51,0)</f>
        <v>24.038660089479478</v>
      </c>
      <c r="AA204" s="26"/>
      <c r="AB204" s="26">
        <f>IF(AB51&lt;Exercise,Exercise-AB51,0)</f>
        <v>24.038660089479478</v>
      </c>
      <c r="AC204" s="26"/>
      <c r="AD204" s="26">
        <f>IF(AD51&lt;Exercise,Exercise-AD51,0)</f>
        <v>24.038660089479492</v>
      </c>
      <c r="AE204" s="26"/>
      <c r="AF204" s="5"/>
      <c r="AG204" s="5"/>
      <c r="AH204" s="5"/>
      <c r="AI204" s="5"/>
      <c r="AJ204" s="5"/>
      <c r="AK204" s="5"/>
      <c r="AL204" s="5"/>
      <c r="AM204" s="5"/>
      <c r="AN204" s="5"/>
    </row>
    <row r="205" spans="1:40" ht="18.75" customHeight="1">
      <c r="A205" s="25"/>
      <c r="B205" s="25"/>
      <c r="C205" s="25"/>
      <c r="D205" s="25"/>
      <c r="E205" s="25"/>
      <c r="F205" s="25"/>
      <c r="G205" s="25"/>
      <c r="H205" s="25"/>
      <c r="I205" s="26">
        <f>((J204*$E$7)/(1+$E$6))+((J206*(1-$E$7))/(1+$E$6))</f>
        <v>25.877470355996561</v>
      </c>
      <c r="J205" s="25"/>
      <c r="K205" s="26">
        <f>((L204*$E$7)/(1+$E$6))+((L206*(1-$E$7))/(1+$E$6))</f>
        <v>25.989667902981267</v>
      </c>
      <c r="L205" s="25"/>
      <c r="M205" s="26">
        <f>IF(M52&lt;Exercise,Exercise-M52,0)</f>
        <v>26.102316560424597</v>
      </c>
      <c r="N205" s="26"/>
      <c r="O205" s="26">
        <f>IF(O52&lt;Exercise,Exercise-O52,0)</f>
        <v>26.102316560424612</v>
      </c>
      <c r="P205" s="26"/>
      <c r="Q205" s="26">
        <f>IF(Q52&lt;Exercise,Exercise-Q52,0)</f>
        <v>26.102316560424612</v>
      </c>
      <c r="R205" s="26"/>
      <c r="S205" s="26">
        <f>IF(S52&lt;Exercise,Exercise-S52,0)</f>
        <v>26.102316560424612</v>
      </c>
      <c r="T205" s="26"/>
      <c r="U205" s="26">
        <f>IF(U52&lt;Exercise,Exercise-U52,0)</f>
        <v>26.102316560424612</v>
      </c>
      <c r="V205" s="26"/>
      <c r="W205" s="26">
        <f>IF(W52&lt;Exercise,Exercise-W52,0)</f>
        <v>26.102316560424612</v>
      </c>
      <c r="X205" s="26"/>
      <c r="Y205" s="26">
        <f>IF(Y52&lt;Exercise,Exercise-Y52,0)</f>
        <v>26.102316560424612</v>
      </c>
      <c r="Z205" s="26"/>
      <c r="AA205" s="26">
        <f>IF(AA52&lt;Exercise,Exercise-AA52,0)</f>
        <v>26.102316560424612</v>
      </c>
      <c r="AB205" s="26"/>
      <c r="AC205" s="26">
        <f>IF(AC52&lt;Exercise,Exercise-AC52,0)</f>
        <v>26.102316560424612</v>
      </c>
      <c r="AD205" s="26"/>
      <c r="AE205" s="26">
        <f>IF(AE52&lt;Exercise,Exercise-AE52,0)</f>
        <v>26.102316560424626</v>
      </c>
      <c r="AF205" s="5"/>
      <c r="AG205" s="5"/>
      <c r="AH205" s="5"/>
      <c r="AI205" s="5"/>
      <c r="AJ205" s="5"/>
      <c r="AK205" s="5"/>
      <c r="AL205" s="5"/>
      <c r="AM205" s="5"/>
      <c r="AN205" s="5"/>
    </row>
    <row r="206" spans="1:40" ht="18.75" customHeight="1">
      <c r="A206" s="25"/>
      <c r="B206" s="25"/>
      <c r="C206" s="25"/>
      <c r="D206" s="25"/>
      <c r="E206" s="25"/>
      <c r="F206" s="25"/>
      <c r="G206" s="25"/>
      <c r="H206" s="25"/>
      <c r="I206" s="25"/>
      <c r="J206" s="26">
        <f>((K205*$E$7)/(1+$E$6))+((K207*(1-$E$7))/(1+$E$6))</f>
        <v>27.935588245426395</v>
      </c>
      <c r="K206" s="25"/>
      <c r="L206" s="26">
        <f>((M205*$E$7)/(1+$E$6))+((M207*(1-$E$7))/(1+$E$6))</f>
        <v>28.053993129541944</v>
      </c>
      <c r="M206" s="26"/>
      <c r="N206" s="26">
        <f>IF(N53&lt;Exercise,Exercise-N53,0)</f>
        <v>28.113371653541989</v>
      </c>
      <c r="O206" s="26"/>
      <c r="P206" s="26">
        <f>IF(P53&lt;Exercise,Exercise-P53,0)</f>
        <v>28.113371653542004</v>
      </c>
      <c r="Q206" s="26"/>
      <c r="R206" s="26">
        <f>IF(R53&lt;Exercise,Exercise-R53,0)</f>
        <v>28.113371653542004</v>
      </c>
      <c r="S206" s="26"/>
      <c r="T206" s="26">
        <f>IF(T53&lt;Exercise,Exercise-T53,0)</f>
        <v>28.113371653542004</v>
      </c>
      <c r="U206" s="26"/>
      <c r="V206" s="26">
        <f>IF(V53&lt;Exercise,Exercise-V53,0)</f>
        <v>28.113371653542004</v>
      </c>
      <c r="W206" s="26"/>
      <c r="X206" s="26">
        <f>IF(X53&lt;Exercise,Exercise-X53,0)</f>
        <v>28.113371653542004</v>
      </c>
      <c r="Y206" s="26"/>
      <c r="Z206" s="26">
        <f>IF(Z53&lt;Exercise,Exercise-Z53,0)</f>
        <v>28.113371653542004</v>
      </c>
      <c r="AA206" s="26"/>
      <c r="AB206" s="26">
        <f>IF(AB53&lt;Exercise,Exercise-AB53,0)</f>
        <v>28.113371653542004</v>
      </c>
      <c r="AC206" s="26"/>
      <c r="AD206" s="26">
        <f>IF(AD53&lt;Exercise,Exercise-AD53,0)</f>
        <v>28.113371653542004</v>
      </c>
      <c r="AE206" s="26"/>
      <c r="AF206" s="5"/>
      <c r="AG206" s="5"/>
      <c r="AH206" s="5"/>
      <c r="AI206" s="5"/>
      <c r="AJ206" s="5"/>
      <c r="AK206" s="5"/>
      <c r="AL206" s="5"/>
      <c r="AM206" s="5"/>
      <c r="AN206" s="5"/>
    </row>
    <row r="207" spans="1:40" ht="18.75" customHeight="1">
      <c r="A207" s="25"/>
      <c r="B207" s="25"/>
      <c r="C207" s="25"/>
      <c r="D207" s="25"/>
      <c r="E207" s="25"/>
      <c r="F207" s="25"/>
      <c r="G207" s="25"/>
      <c r="H207" s="25"/>
      <c r="I207" s="25"/>
      <c r="J207" s="25"/>
      <c r="K207" s="26">
        <f>((L206*$E$7)/(1+$E$6))+((L208*(1-$E$7))/(1+$E$6))</f>
        <v>29.948688337990887</v>
      </c>
      <c r="L207" s="25"/>
      <c r="M207" s="26">
        <f>IF(M54&lt;Exercise,Exercise-M54,0)</f>
        <v>30.073166146712225</v>
      </c>
      <c r="N207" s="26"/>
      <c r="O207" s="26">
        <f>IF(O54&lt;Exercise,Exercise-O54,0)</f>
        <v>30.073166146712225</v>
      </c>
      <c r="P207" s="26"/>
      <c r="Q207" s="26">
        <f>IF(Q54&lt;Exercise,Exercise-Q54,0)</f>
        <v>30.073166146712239</v>
      </c>
      <c r="R207" s="26"/>
      <c r="S207" s="26">
        <f>IF(S54&lt;Exercise,Exercise-S54,0)</f>
        <v>30.073166146712239</v>
      </c>
      <c r="T207" s="26"/>
      <c r="U207" s="26">
        <f>IF(U54&lt;Exercise,Exercise-U54,0)</f>
        <v>30.073166146712239</v>
      </c>
      <c r="V207" s="26"/>
      <c r="W207" s="26">
        <f>IF(W54&lt;Exercise,Exercise-W54,0)</f>
        <v>30.073166146712239</v>
      </c>
      <c r="X207" s="26"/>
      <c r="Y207" s="26">
        <f>IF(Y54&lt;Exercise,Exercise-Y54,0)</f>
        <v>30.073166146712239</v>
      </c>
      <c r="Z207" s="26"/>
      <c r="AA207" s="26">
        <f>IF(AA54&lt;Exercise,Exercise-AA54,0)</f>
        <v>30.073166146712239</v>
      </c>
      <c r="AB207" s="26"/>
      <c r="AC207" s="26">
        <f>IF(AC54&lt;Exercise,Exercise-AC54,0)</f>
        <v>30.073166146712239</v>
      </c>
      <c r="AD207" s="26"/>
      <c r="AE207" s="26">
        <f>IF(AE54&lt;Exercise,Exercise-AE54,0)</f>
        <v>30.073166146712239</v>
      </c>
      <c r="AF207" s="5"/>
      <c r="AG207" s="5"/>
      <c r="AH207" s="5"/>
      <c r="AI207" s="5"/>
      <c r="AJ207" s="5"/>
      <c r="AK207" s="5"/>
      <c r="AL207" s="5"/>
      <c r="AM207" s="5"/>
      <c r="AN207" s="5"/>
    </row>
    <row r="208" spans="1:40" ht="18.75" customHeight="1">
      <c r="A208" s="25"/>
      <c r="B208" s="25"/>
      <c r="C208" s="25"/>
      <c r="D208" s="25"/>
      <c r="E208" s="25"/>
      <c r="F208" s="25"/>
      <c r="G208" s="25"/>
      <c r="H208" s="25"/>
      <c r="I208" s="25"/>
      <c r="J208" s="25"/>
      <c r="K208" s="25"/>
      <c r="L208" s="26">
        <f>((M207*$E$7)/(1+$E$6))+((M209*(1-$E$7))/(1+$E$6))</f>
        <v>31.917860002560623</v>
      </c>
      <c r="M208" s="26"/>
      <c r="N208" s="26">
        <f>IF(N55&lt;Exercise,Exercise-N55,0)</f>
        <v>31.983006642184009</v>
      </c>
      <c r="O208" s="26"/>
      <c r="P208" s="26">
        <f>IF(P55&lt;Exercise,Exercise-P55,0)</f>
        <v>31.983006642184009</v>
      </c>
      <c r="Q208" s="26"/>
      <c r="R208" s="26">
        <f>IF(R55&lt;Exercise,Exercise-R55,0)</f>
        <v>31.983006642184023</v>
      </c>
      <c r="S208" s="26"/>
      <c r="T208" s="26">
        <f>IF(T55&lt;Exercise,Exercise-T55,0)</f>
        <v>31.983006642184023</v>
      </c>
      <c r="U208" s="26"/>
      <c r="V208" s="26">
        <f>IF(V55&lt;Exercise,Exercise-V55,0)</f>
        <v>31.983006642184023</v>
      </c>
      <c r="W208" s="26"/>
      <c r="X208" s="26">
        <f>IF(X55&lt;Exercise,Exercise-X55,0)</f>
        <v>31.983006642184023</v>
      </c>
      <c r="Y208" s="26"/>
      <c r="Z208" s="26">
        <f>IF(Z55&lt;Exercise,Exercise-Z55,0)</f>
        <v>31.983006642184023</v>
      </c>
      <c r="AA208" s="26"/>
      <c r="AB208" s="26">
        <f>IF(AB55&lt;Exercise,Exercise-AB55,0)</f>
        <v>31.983006642184023</v>
      </c>
      <c r="AC208" s="26"/>
      <c r="AD208" s="26">
        <f>IF(AD55&lt;Exercise,Exercise-AD55,0)</f>
        <v>31.983006642184023</v>
      </c>
      <c r="AE208" s="26"/>
      <c r="AF208" s="5"/>
      <c r="AG208" s="5"/>
      <c r="AH208" s="5"/>
      <c r="AI208" s="5"/>
      <c r="AJ208" s="5"/>
      <c r="AK208" s="5"/>
      <c r="AL208" s="5"/>
      <c r="AM208" s="5"/>
      <c r="AN208" s="5"/>
    </row>
    <row r="209" spans="1:40" ht="18.75" customHeight="1">
      <c r="A209" s="25"/>
      <c r="B209" s="25"/>
      <c r="C209" s="25"/>
      <c r="D209" s="25"/>
      <c r="E209" s="25"/>
      <c r="F209" s="25"/>
      <c r="G209" s="25"/>
      <c r="H209" s="25"/>
      <c r="I209" s="25"/>
      <c r="J209" s="25"/>
      <c r="K209" s="25"/>
      <c r="L209" s="25"/>
      <c r="M209" s="26">
        <f>IF(M56&lt;Exercise,Exercise-M56,0)</f>
        <v>33.844166437690731</v>
      </c>
      <c r="N209" s="26"/>
      <c r="O209" s="26">
        <f>IF(O56&lt;Exercise,Exercise-O56,0)</f>
        <v>33.844166437690731</v>
      </c>
      <c r="P209" s="26"/>
      <c r="Q209" s="26">
        <f>IF(Q56&lt;Exercise,Exercise-Q56,0)</f>
        <v>33.844166437690731</v>
      </c>
      <c r="R209" s="26"/>
      <c r="S209" s="26">
        <f>IF(S56&lt;Exercise,Exercise-S56,0)</f>
        <v>33.844166437690745</v>
      </c>
      <c r="T209" s="26"/>
      <c r="U209" s="26">
        <f>IF(U56&lt;Exercise,Exercise-U56,0)</f>
        <v>33.844166437690745</v>
      </c>
      <c r="V209" s="26"/>
      <c r="W209" s="26">
        <f>IF(W56&lt;Exercise,Exercise-W56,0)</f>
        <v>33.844166437690745</v>
      </c>
      <c r="X209" s="26"/>
      <c r="Y209" s="26">
        <f>IF(Y56&lt;Exercise,Exercise-Y56,0)</f>
        <v>33.844166437690745</v>
      </c>
      <c r="Z209" s="26"/>
      <c r="AA209" s="26">
        <f>IF(AA56&lt;Exercise,Exercise-AA56,0)</f>
        <v>33.844166437690745</v>
      </c>
      <c r="AB209" s="26"/>
      <c r="AC209" s="26">
        <f>IF(AC56&lt;Exercise,Exercise-AC56,0)</f>
        <v>33.844166437690745</v>
      </c>
      <c r="AD209" s="26"/>
      <c r="AE209" s="26">
        <f>IF(AE56&lt;Exercise,Exercise-AE56,0)</f>
        <v>33.844166437690745</v>
      </c>
      <c r="AF209" s="5"/>
      <c r="AG209" s="5"/>
      <c r="AH209" s="5"/>
      <c r="AI209" s="5"/>
      <c r="AJ209" s="5"/>
      <c r="AK209" s="5"/>
      <c r="AL209" s="5"/>
      <c r="AM209" s="5"/>
      <c r="AN209" s="5"/>
    </row>
    <row r="210" spans="1:40" ht="18.75" customHeight="1">
      <c r="A210" s="5"/>
      <c r="B210" s="5"/>
      <c r="C210" s="5"/>
      <c r="D210" s="5"/>
      <c r="E210" s="5"/>
      <c r="F210" s="5"/>
      <c r="G210" s="5"/>
      <c r="H210" s="5"/>
      <c r="I210" s="5"/>
      <c r="J210" s="5"/>
      <c r="K210" s="5"/>
      <c r="L210" s="5"/>
      <c r="M210" s="5"/>
      <c r="N210" s="26">
        <f>IF(N57&lt;Exercise,Exercise-N57,0)</f>
        <v>35.657886375362779</v>
      </c>
      <c r="O210" s="26"/>
      <c r="P210" s="26">
        <f>IF(P57&lt;Exercise,Exercise-P57,0)</f>
        <v>35.657886375362779</v>
      </c>
      <c r="Q210" s="26"/>
      <c r="R210" s="26">
        <f>IF(R57&lt;Exercise,Exercise-R57,0)</f>
        <v>35.657886375362779</v>
      </c>
      <c r="S210" s="26"/>
      <c r="T210" s="26">
        <f>IF(T57&lt;Exercise,Exercise-T57,0)</f>
        <v>35.657886375362793</v>
      </c>
      <c r="U210" s="26"/>
      <c r="V210" s="26">
        <f>IF(V57&lt;Exercise,Exercise-V57,0)</f>
        <v>35.657886375362793</v>
      </c>
      <c r="W210" s="26"/>
      <c r="X210" s="26">
        <f>IF(X57&lt;Exercise,Exercise-X57,0)</f>
        <v>35.657886375362793</v>
      </c>
      <c r="Y210" s="26"/>
      <c r="Z210" s="26">
        <f>IF(Z57&lt;Exercise,Exercise-Z57,0)</f>
        <v>35.657886375362793</v>
      </c>
      <c r="AA210" s="26"/>
      <c r="AB210" s="26">
        <f>IF(AB57&lt;Exercise,Exercise-AB57,0)</f>
        <v>35.657886375362793</v>
      </c>
      <c r="AC210" s="26"/>
      <c r="AD210" s="26">
        <f>IF(AD57&lt;Exercise,Exercise-AD57,0)</f>
        <v>35.657886375362793</v>
      </c>
      <c r="AE210" s="26"/>
      <c r="AF210" s="5"/>
      <c r="AG210" s="5"/>
      <c r="AH210" s="5"/>
      <c r="AI210" s="5"/>
      <c r="AJ210" s="5"/>
      <c r="AK210" s="5"/>
      <c r="AL210" s="5"/>
      <c r="AM210" s="5"/>
      <c r="AN210" s="5"/>
    </row>
    <row r="211" spans="1:40" ht="18.75" customHeight="1">
      <c r="A211" s="5"/>
      <c r="B211" s="5"/>
      <c r="C211" s="5"/>
      <c r="D211" s="5"/>
      <c r="E211" s="5"/>
      <c r="F211" s="5"/>
      <c r="G211" s="5"/>
      <c r="H211" s="5"/>
      <c r="I211" s="5"/>
      <c r="J211" s="5"/>
      <c r="K211" s="5"/>
      <c r="L211" s="5"/>
      <c r="M211" s="5"/>
      <c r="N211" s="5"/>
      <c r="O211" s="26">
        <f>IF(O58&lt;Exercise,Exercise-O58,0)</f>
        <v>37.425375669001568</v>
      </c>
      <c r="P211" s="26"/>
      <c r="Q211" s="26">
        <f>IF(Q58&lt;Exercise,Exercise-Q58,0)</f>
        <v>37.425375669001568</v>
      </c>
      <c r="R211" s="26"/>
      <c r="S211" s="26">
        <f>IF(S58&lt;Exercise,Exercise-S58,0)</f>
        <v>37.425375669001568</v>
      </c>
      <c r="T211" s="26"/>
      <c r="U211" s="26">
        <f>IF(U58&lt;Exercise,Exercise-U58,0)</f>
        <v>37.425375669001582</v>
      </c>
      <c r="V211" s="26"/>
      <c r="W211" s="26">
        <f>IF(W58&lt;Exercise,Exercise-W58,0)</f>
        <v>37.425375669001582</v>
      </c>
      <c r="X211" s="26"/>
      <c r="Y211" s="26">
        <f>IF(Y58&lt;Exercise,Exercise-Y58,0)</f>
        <v>37.425375669001582</v>
      </c>
      <c r="Z211" s="26"/>
      <c r="AA211" s="26">
        <f>IF(AA58&lt;Exercise,Exercise-AA58,0)</f>
        <v>37.425375669001582</v>
      </c>
      <c r="AB211" s="26"/>
      <c r="AC211" s="26">
        <f>IF(AC58&lt;Exercise,Exercise-AC58,0)</f>
        <v>37.425375669001582</v>
      </c>
      <c r="AD211" s="26"/>
      <c r="AE211" s="26">
        <f>IF(AE58&lt;Exercise,Exercise-AE58,0)</f>
        <v>37.425375669001582</v>
      </c>
      <c r="AF211" s="5"/>
      <c r="AG211" s="5"/>
      <c r="AH211" s="5"/>
      <c r="AI211" s="5"/>
      <c r="AJ211" s="5"/>
      <c r="AK211" s="5"/>
      <c r="AL211" s="5"/>
      <c r="AM211" s="5"/>
      <c r="AN211" s="5"/>
    </row>
    <row r="212" spans="1:40" ht="18.75" customHeight="1">
      <c r="A212" s="5"/>
      <c r="B212" s="5"/>
      <c r="C212" s="5"/>
      <c r="D212" s="5"/>
      <c r="E212" s="5"/>
      <c r="F212" s="5"/>
      <c r="G212" s="5"/>
      <c r="H212" s="5"/>
      <c r="I212" s="5"/>
      <c r="J212" s="5"/>
      <c r="K212" s="5"/>
      <c r="L212" s="5"/>
      <c r="M212" s="5"/>
      <c r="N212" s="5"/>
      <c r="O212" s="5"/>
      <c r="P212" s="26">
        <f>IF(P59&lt;Exercise,Exercise-P59,0)</f>
        <v>39.147812710266876</v>
      </c>
      <c r="Q212" s="26"/>
      <c r="R212" s="26">
        <f>IF(R59&lt;Exercise,Exercise-R59,0)</f>
        <v>39.147812710266876</v>
      </c>
      <c r="S212" s="26"/>
      <c r="T212" s="26">
        <f>IF(T59&lt;Exercise,Exercise-T59,0)</f>
        <v>39.147812710266876</v>
      </c>
      <c r="U212" s="26"/>
      <c r="V212" s="26">
        <f>IF(V59&lt;Exercise,Exercise-V59,0)</f>
        <v>39.147812710266891</v>
      </c>
      <c r="W212" s="26"/>
      <c r="X212" s="26">
        <f>IF(X59&lt;Exercise,Exercise-X59,0)</f>
        <v>39.147812710266891</v>
      </c>
      <c r="Y212" s="26"/>
      <c r="Z212" s="26">
        <f>IF(Z59&lt;Exercise,Exercise-Z59,0)</f>
        <v>39.147812710266891</v>
      </c>
      <c r="AA212" s="26"/>
      <c r="AB212" s="26">
        <f>IF(AB59&lt;Exercise,Exercise-AB59,0)</f>
        <v>39.147812710266891</v>
      </c>
      <c r="AC212" s="26"/>
      <c r="AD212" s="26">
        <f>IF(AD59&lt;Exercise,Exercise-AD59,0)</f>
        <v>39.147812710266891</v>
      </c>
      <c r="AE212" s="26"/>
      <c r="AF212" s="5"/>
      <c r="AG212" s="5"/>
      <c r="AH212" s="5"/>
      <c r="AI212" s="5"/>
      <c r="AJ212" s="5"/>
      <c r="AK212" s="5"/>
      <c r="AL212" s="5"/>
      <c r="AM212" s="5"/>
      <c r="AN212" s="5"/>
    </row>
    <row r="213" spans="1:40" ht="18.75" customHeight="1">
      <c r="A213" s="5"/>
      <c r="B213" s="5"/>
      <c r="C213" s="5"/>
      <c r="D213" s="5"/>
      <c r="E213" s="5"/>
      <c r="F213" s="5"/>
      <c r="G213" s="5"/>
      <c r="H213" s="5"/>
      <c r="I213" s="5"/>
      <c r="J213" s="5"/>
      <c r="K213" s="5"/>
      <c r="L213" s="5"/>
      <c r="M213" s="5"/>
      <c r="N213" s="5"/>
      <c r="O213" s="5"/>
      <c r="P213" s="5"/>
      <c r="Q213" s="26">
        <f>IF(Q60&lt;Exercise,Exercise-Q60,0)</f>
        <v>40.826345854314923</v>
      </c>
      <c r="R213" s="26"/>
      <c r="S213" s="26">
        <f>IF(S60&lt;Exercise,Exercise-S60,0)</f>
        <v>40.826345854314923</v>
      </c>
      <c r="T213" s="26"/>
      <c r="U213" s="26">
        <f>IF(U60&lt;Exercise,Exercise-U60,0)</f>
        <v>40.826345854314923</v>
      </c>
      <c r="V213" s="26"/>
      <c r="W213" s="26">
        <f>IF(W60&lt;Exercise,Exercise-W60,0)</f>
        <v>40.826345854314937</v>
      </c>
      <c r="X213" s="26"/>
      <c r="Y213" s="26">
        <f>IF(Y60&lt;Exercise,Exercise-Y60,0)</f>
        <v>40.826345854314937</v>
      </c>
      <c r="Z213" s="26"/>
      <c r="AA213" s="26">
        <f>IF(AA60&lt;Exercise,Exercise-AA60,0)</f>
        <v>40.826345854314937</v>
      </c>
      <c r="AB213" s="26"/>
      <c r="AC213" s="26">
        <f>IF(AC60&lt;Exercise,Exercise-AC60,0)</f>
        <v>40.826345854314937</v>
      </c>
      <c r="AD213" s="26"/>
      <c r="AE213" s="26">
        <f>IF(AE60&lt;Exercise,Exercise-AE60,0)</f>
        <v>40.826345854314937</v>
      </c>
      <c r="AF213" s="5"/>
      <c r="AG213" s="5"/>
      <c r="AH213" s="5"/>
      <c r="AI213" s="5"/>
      <c r="AJ213" s="5"/>
      <c r="AK213" s="5"/>
      <c r="AL213" s="5"/>
      <c r="AM213" s="5"/>
      <c r="AN213" s="5"/>
    </row>
    <row r="214" spans="1:40" ht="18.75" customHeight="1">
      <c r="A214" s="5"/>
      <c r="B214" s="5"/>
      <c r="C214" s="5"/>
      <c r="D214" s="5"/>
      <c r="E214" s="5"/>
      <c r="F214" s="5"/>
      <c r="G214" s="5"/>
      <c r="H214" s="5"/>
      <c r="I214" s="5"/>
      <c r="J214" s="5"/>
      <c r="K214" s="5"/>
      <c r="L214" s="5"/>
      <c r="M214" s="5"/>
      <c r="N214" s="5"/>
      <c r="O214" s="5"/>
      <c r="P214" s="5"/>
      <c r="Q214" s="5"/>
      <c r="R214" s="26">
        <f>IF(R61&lt;Exercise,Exercise-R61,0)</f>
        <v>42.462094185411026</v>
      </c>
      <c r="S214" s="26"/>
      <c r="T214" s="26">
        <f>IF(T61&lt;Exercise,Exercise-T61,0)</f>
        <v>42.462094185411026</v>
      </c>
      <c r="U214" s="26"/>
      <c r="V214" s="26">
        <f>IF(V61&lt;Exercise,Exercise-V61,0)</f>
        <v>42.462094185411026</v>
      </c>
      <c r="W214" s="26"/>
      <c r="X214" s="26">
        <f>IF(X61&lt;Exercise,Exercise-X61,0)</f>
        <v>42.46209418541104</v>
      </c>
      <c r="Y214" s="26"/>
      <c r="Z214" s="26">
        <f>IF(Z61&lt;Exercise,Exercise-Z61,0)</f>
        <v>42.46209418541104</v>
      </c>
      <c r="AA214" s="26"/>
      <c r="AB214" s="26">
        <f>IF(AB61&lt;Exercise,Exercise-AB61,0)</f>
        <v>42.46209418541104</v>
      </c>
      <c r="AC214" s="26"/>
      <c r="AD214" s="26">
        <f>IF(AD61&lt;Exercise,Exercise-AD61,0)</f>
        <v>42.46209418541104</v>
      </c>
      <c r="AE214" s="26"/>
      <c r="AF214" s="5"/>
      <c r="AG214" s="5"/>
      <c r="AH214" s="5"/>
      <c r="AI214" s="5"/>
      <c r="AJ214" s="5"/>
      <c r="AK214" s="5"/>
      <c r="AL214" s="5"/>
      <c r="AM214" s="5"/>
      <c r="AN214" s="5"/>
    </row>
    <row r="215" spans="1:40" ht="18.75" customHeight="1">
      <c r="A215" s="5"/>
      <c r="B215" s="5"/>
      <c r="C215" s="5"/>
      <c r="D215" s="5"/>
      <c r="E215" s="5"/>
      <c r="F215" s="5"/>
      <c r="G215" s="5"/>
      <c r="H215" s="5"/>
      <c r="I215" s="5"/>
      <c r="J215" s="5"/>
      <c r="K215" s="5"/>
      <c r="L215" s="5"/>
      <c r="M215" s="5"/>
      <c r="N215" s="5"/>
      <c r="O215" s="5"/>
      <c r="P215" s="5"/>
      <c r="Q215" s="5"/>
      <c r="R215" s="5"/>
      <c r="S215" s="26">
        <f>IF(S62&lt;Exercise,Exercise-S62,0)</f>
        <v>44.056148263027197</v>
      </c>
      <c r="T215" s="26"/>
      <c r="U215" s="26">
        <f>IF(U62&lt;Exercise,Exercise-U62,0)</f>
        <v>44.056148263027197</v>
      </c>
      <c r="V215" s="26"/>
      <c r="W215" s="26">
        <f>IF(W62&lt;Exercise,Exercise-W62,0)</f>
        <v>44.056148263027197</v>
      </c>
      <c r="X215" s="26"/>
      <c r="Y215" s="26">
        <f>IF(Y62&lt;Exercise,Exercise-Y62,0)</f>
        <v>44.056148263027211</v>
      </c>
      <c r="Z215" s="26"/>
      <c r="AA215" s="26">
        <f>IF(AA62&lt;Exercise,Exercise-AA62,0)</f>
        <v>44.056148263027211</v>
      </c>
      <c r="AB215" s="26"/>
      <c r="AC215" s="26">
        <f>IF(AC62&lt;Exercise,Exercise-AC62,0)</f>
        <v>44.056148263027211</v>
      </c>
      <c r="AD215" s="26"/>
      <c r="AE215" s="26">
        <f>IF(AE62&lt;Exercise,Exercise-AE62,0)</f>
        <v>44.056148263027211</v>
      </c>
      <c r="AF215" s="5"/>
      <c r="AG215" s="5"/>
      <c r="AH215" s="5"/>
      <c r="AI215" s="5"/>
      <c r="AJ215" s="5"/>
      <c r="AK215" s="5"/>
      <c r="AL215" s="5"/>
      <c r="AM215" s="5"/>
      <c r="AN215" s="5"/>
    </row>
    <row r="216" spans="1:40" ht="18.75" customHeight="1">
      <c r="A216" s="5"/>
      <c r="B216" s="5"/>
      <c r="C216" s="5"/>
      <c r="D216" s="5"/>
      <c r="E216" s="5"/>
      <c r="F216" s="5"/>
      <c r="G216" s="5"/>
      <c r="H216" s="5"/>
      <c r="I216" s="5"/>
      <c r="J216" s="5"/>
      <c r="K216" s="5"/>
      <c r="L216" s="5"/>
      <c r="M216" s="5"/>
      <c r="N216" s="5"/>
      <c r="O216" s="5"/>
      <c r="P216" s="5"/>
      <c r="Q216" s="5"/>
      <c r="R216" s="5"/>
      <c r="S216" s="5"/>
      <c r="T216" s="26">
        <f>IF(T63&lt;Exercise,Exercise-T63,0)</f>
        <v>45.609570848922196</v>
      </c>
      <c r="U216" s="26"/>
      <c r="V216" s="26">
        <f>IF(V63&lt;Exercise,Exercise-V63,0)</f>
        <v>45.609570848922196</v>
      </c>
      <c r="W216" s="26"/>
      <c r="X216" s="26">
        <f>IF(X63&lt;Exercise,Exercise-X63,0)</f>
        <v>45.609570848922196</v>
      </c>
      <c r="Y216" s="26"/>
      <c r="Z216" s="26">
        <f>IF(Z63&lt;Exercise,Exercise-Z63,0)</f>
        <v>45.60957084892221</v>
      </c>
      <c r="AA216" s="26"/>
      <c r="AB216" s="26">
        <f>IF(AB63&lt;Exercise,Exercise-AB63,0)</f>
        <v>45.60957084892221</v>
      </c>
      <c r="AC216" s="26"/>
      <c r="AD216" s="26">
        <f>IF(AD63&lt;Exercise,Exercise-AD63,0)</f>
        <v>45.60957084892221</v>
      </c>
      <c r="AE216" s="26"/>
      <c r="AF216" s="5"/>
      <c r="AG216" s="5"/>
      <c r="AH216" s="5"/>
      <c r="AI216" s="5"/>
      <c r="AJ216" s="5"/>
      <c r="AK216" s="5"/>
      <c r="AL216" s="5"/>
      <c r="AM216" s="5"/>
      <c r="AN216" s="5"/>
    </row>
    <row r="217" spans="1:40" ht="18.75" customHeight="1">
      <c r="A217" s="5"/>
      <c r="B217" s="5"/>
      <c r="C217" s="5"/>
      <c r="D217" s="5"/>
      <c r="E217" s="5"/>
      <c r="F217" s="5"/>
      <c r="G217" s="5"/>
      <c r="H217" s="5"/>
      <c r="I217" s="5"/>
      <c r="J217" s="5"/>
      <c r="K217" s="5"/>
      <c r="L217" s="5"/>
      <c r="M217" s="5"/>
      <c r="N217" s="5"/>
      <c r="O217" s="5"/>
      <c r="P217" s="5"/>
      <c r="Q217" s="5"/>
      <c r="R217" s="5"/>
      <c r="S217" s="5"/>
      <c r="T217" s="5"/>
      <c r="U217" s="26">
        <f>IF(U64&lt;Exercise,Exercise-U64,0)</f>
        <v>47.123397615688738</v>
      </c>
      <c r="V217" s="26"/>
      <c r="W217" s="26">
        <f>IF(W64&lt;Exercise,Exercise-W64,0)</f>
        <v>47.123397615688738</v>
      </c>
      <c r="X217" s="26"/>
      <c r="Y217" s="26">
        <f>IF(Y64&lt;Exercise,Exercise-Y64,0)</f>
        <v>47.123397615688738</v>
      </c>
      <c r="Z217" s="26"/>
      <c r="AA217" s="26">
        <f>IF(AA64&lt;Exercise,Exercise-AA64,0)</f>
        <v>47.123397615688752</v>
      </c>
      <c r="AB217" s="26"/>
      <c r="AC217" s="26">
        <f>IF(AC64&lt;Exercise,Exercise-AC64,0)</f>
        <v>47.123397615688752</v>
      </c>
      <c r="AD217" s="26"/>
      <c r="AE217" s="26">
        <f>IF(AE64&lt;Exercise,Exercise-AE64,0)</f>
        <v>47.123397615688752</v>
      </c>
      <c r="AF217" s="5"/>
      <c r="AG217" s="5"/>
      <c r="AH217" s="5"/>
      <c r="AI217" s="5"/>
      <c r="AJ217" s="5"/>
      <c r="AK217" s="5"/>
      <c r="AL217" s="5"/>
      <c r="AM217" s="5"/>
      <c r="AN217" s="5"/>
    </row>
    <row r="218" spans="1:40" ht="18.75" customHeight="1">
      <c r="A218" s="5"/>
      <c r="B218" s="5"/>
      <c r="C218" s="5"/>
      <c r="D218" s="5"/>
      <c r="E218" s="5"/>
      <c r="F218" s="5"/>
      <c r="G218" s="5"/>
      <c r="H218" s="5"/>
      <c r="I218" s="5"/>
      <c r="J218" s="5"/>
      <c r="K218" s="5"/>
      <c r="L218" s="5"/>
      <c r="M218" s="5"/>
      <c r="N218" s="5"/>
      <c r="O218" s="5"/>
      <c r="P218" s="5"/>
      <c r="Q218" s="5"/>
      <c r="R218" s="5"/>
      <c r="S218" s="5"/>
      <c r="T218" s="5"/>
      <c r="U218" s="26"/>
      <c r="V218" s="26">
        <f>IF(V65&lt;Exercise,Exercise-V65,0)</f>
        <v>48.59863783724024</v>
      </c>
      <c r="W218" s="26"/>
      <c r="X218" s="26">
        <f>IF(X65&lt;Exercise,Exercise-X65,0)</f>
        <v>48.59863783724024</v>
      </c>
      <c r="Y218" s="26"/>
      <c r="Z218" s="26">
        <f>IF(Z65&lt;Exercise,Exercise-Z65,0)</f>
        <v>48.59863783724024</v>
      </c>
      <c r="AA218" s="26"/>
      <c r="AB218" s="26">
        <f>IF(AB65&lt;Exercise,Exercise-AB65,0)</f>
        <v>48.598637837240254</v>
      </c>
      <c r="AC218" s="26"/>
      <c r="AD218" s="26">
        <f>IF(AD65&lt;Exercise,Exercise-AD65,0)</f>
        <v>48.598637837240254</v>
      </c>
      <c r="AE218" s="26"/>
      <c r="AF218" s="5"/>
      <c r="AG218" s="5"/>
      <c r="AH218" s="5"/>
      <c r="AI218" s="5"/>
      <c r="AJ218" s="5"/>
      <c r="AK218" s="5"/>
      <c r="AL218" s="5"/>
      <c r="AM218" s="5"/>
      <c r="AN218" s="5"/>
    </row>
    <row r="219" spans="1:40" ht="18.75" customHeight="1">
      <c r="A219" s="5"/>
      <c r="B219" s="5"/>
      <c r="C219" s="5"/>
      <c r="D219" s="5"/>
      <c r="E219" s="5"/>
      <c r="F219" s="5"/>
      <c r="G219" s="5"/>
      <c r="H219" s="5"/>
      <c r="I219" s="5"/>
      <c r="J219" s="5"/>
      <c r="K219" s="5"/>
      <c r="L219" s="5"/>
      <c r="M219" s="5"/>
      <c r="N219" s="5"/>
      <c r="O219" s="5"/>
      <c r="P219" s="5"/>
      <c r="Q219" s="5"/>
      <c r="R219" s="5"/>
      <c r="S219" s="5"/>
      <c r="T219" s="5"/>
      <c r="U219" s="5"/>
      <c r="V219" s="5"/>
      <c r="W219" s="26">
        <f>IF(W66&lt;Exercise,Exercise-W66,0)</f>
        <v>50.036275061697474</v>
      </c>
      <c r="X219" s="26"/>
      <c r="Y219" s="26">
        <f>IF(Y66&lt;Exercise,Exercise-Y66,0)</f>
        <v>50.036275061697474</v>
      </c>
      <c r="Z219" s="26"/>
      <c r="AA219" s="26">
        <f>IF(AA66&lt;Exercise,Exercise-AA66,0)</f>
        <v>50.036275061697474</v>
      </c>
      <c r="AB219" s="26"/>
      <c r="AC219" s="26">
        <f>IF(AC66&lt;Exercise,Exercise-AC66,0)</f>
        <v>50.036275061697488</v>
      </c>
      <c r="AD219" s="26"/>
      <c r="AE219" s="26">
        <f>IF(AE66&lt;Exercise,Exercise-AE66,0)</f>
        <v>50.036275061697488</v>
      </c>
      <c r="AF219" s="5"/>
      <c r="AG219" s="5"/>
      <c r="AH219" s="5"/>
      <c r="AI219" s="5"/>
      <c r="AJ219" s="5"/>
      <c r="AK219" s="5"/>
      <c r="AL219" s="5"/>
      <c r="AM219" s="5"/>
      <c r="AN219" s="5"/>
    </row>
    <row r="220" spans="1:40" ht="18.75" customHeight="1">
      <c r="A220" s="5"/>
      <c r="B220" s="5"/>
      <c r="C220" s="5"/>
      <c r="D220" s="5"/>
      <c r="E220" s="5"/>
      <c r="F220" s="5"/>
      <c r="G220" s="5"/>
      <c r="H220" s="5"/>
      <c r="I220" s="5"/>
      <c r="J220" s="5"/>
      <c r="K220" s="5"/>
      <c r="L220" s="5"/>
      <c r="M220" s="5"/>
      <c r="N220" s="5"/>
      <c r="O220" s="5"/>
      <c r="P220" s="5"/>
      <c r="Q220" s="5"/>
      <c r="R220" s="5"/>
      <c r="S220" s="5"/>
      <c r="T220" s="5"/>
      <c r="U220" s="5"/>
      <c r="V220" s="5"/>
      <c r="X220" s="26">
        <f>IF(X67&lt;Exercise,Exercise-X67,0)</f>
        <v>51.43726776712375</v>
      </c>
      <c r="Y220" s="26"/>
      <c r="Z220" s="26">
        <f>IF(Z67&lt;Exercise,Exercise-Z67,0)</f>
        <v>51.43726776712375</v>
      </c>
      <c r="AA220" s="26"/>
      <c r="AB220" s="26">
        <f>IF(AB67&lt;Exercise,Exercise-AB67,0)</f>
        <v>51.43726776712375</v>
      </c>
      <c r="AC220" s="26"/>
      <c r="AD220" s="26">
        <f>IF(AD67&lt;Exercise,Exercise-AD67,0)</f>
        <v>51.437267767123764</v>
      </c>
      <c r="AE220" s="26"/>
      <c r="AF220" s="5"/>
      <c r="AG220" s="5"/>
      <c r="AH220" s="5"/>
      <c r="AI220" s="5"/>
      <c r="AJ220" s="5"/>
      <c r="AK220" s="5"/>
      <c r="AL220" s="5"/>
      <c r="AM220" s="5"/>
      <c r="AN220" s="5"/>
    </row>
    <row r="221" spans="1:40" ht="18.75" customHeight="1">
      <c r="A221" s="5"/>
      <c r="B221" s="5"/>
      <c r="C221" s="5"/>
      <c r="D221" s="5"/>
      <c r="E221" s="5"/>
      <c r="F221" s="5"/>
      <c r="G221" s="5"/>
      <c r="H221" s="5"/>
      <c r="I221" s="5"/>
      <c r="J221" s="5"/>
      <c r="K221" s="5"/>
      <c r="L221" s="5"/>
      <c r="M221" s="5"/>
      <c r="N221" s="5"/>
      <c r="O221" s="5"/>
      <c r="P221" s="5"/>
      <c r="Q221" s="5"/>
      <c r="R221" s="5"/>
      <c r="S221" s="5"/>
      <c r="T221" s="5"/>
      <c r="U221" s="5"/>
      <c r="V221" s="5"/>
      <c r="Y221" s="26">
        <f>IF(Y68&lt;Exercise,Exercise-Y68,0)</f>
        <v>52.802550000545793</v>
      </c>
      <c r="Z221" s="26"/>
      <c r="AA221" s="26">
        <f>IF(AA68&lt;Exercise,Exercise-AA68,0)</f>
        <v>52.802550000545793</v>
      </c>
      <c r="AB221" s="26"/>
      <c r="AC221" s="26">
        <f>IF(AC68&lt;Exercise,Exercise-AC68,0)</f>
        <v>52.802550000545793</v>
      </c>
      <c r="AD221" s="26"/>
      <c r="AE221" s="26">
        <f>IF(AE68&lt;Exercise,Exercise-AE68,0)</f>
        <v>52.802550000545807</v>
      </c>
      <c r="AF221" s="5"/>
      <c r="AG221" s="5"/>
      <c r="AH221" s="5"/>
      <c r="AI221" s="5"/>
      <c r="AJ221" s="5"/>
      <c r="AK221" s="5"/>
      <c r="AL221" s="5"/>
      <c r="AM221" s="5"/>
      <c r="AN221" s="5"/>
    </row>
    <row r="222" spans="1:40" ht="18.75" customHeight="1">
      <c r="A222" s="5"/>
      <c r="B222" s="5"/>
      <c r="C222" s="5"/>
      <c r="D222" s="5"/>
      <c r="E222" s="5"/>
      <c r="F222" s="5"/>
      <c r="G222" s="5"/>
      <c r="H222" s="5"/>
      <c r="I222" s="5"/>
      <c r="J222" s="5"/>
      <c r="K222" s="5"/>
      <c r="L222" s="5"/>
      <c r="M222" s="5"/>
      <c r="N222" s="5"/>
      <c r="O222" s="5"/>
      <c r="P222" s="5"/>
      <c r="Q222" s="5"/>
      <c r="R222" s="5"/>
      <c r="S222" s="5"/>
      <c r="T222" s="5"/>
      <c r="U222" s="5"/>
      <c r="V222" s="5"/>
      <c r="Y222" s="5"/>
      <c r="Z222" s="26">
        <f>IF(Z69&lt;Exercise,Exercise-Z69,0)</f>
        <v>54.133032000686349</v>
      </c>
      <c r="AA222" s="26"/>
      <c r="AB222" s="26">
        <f>IF(AB69&lt;Exercise,Exercise-AB69,0)</f>
        <v>54.133032000686349</v>
      </c>
      <c r="AC222" s="26"/>
      <c r="AD222" s="26">
        <f>IF(AD69&lt;Exercise,Exercise-AD69,0)</f>
        <v>54.133032000686349</v>
      </c>
      <c r="AE222" s="26"/>
      <c r="AF222" s="5"/>
      <c r="AG222" s="5"/>
      <c r="AH222" s="5"/>
      <c r="AI222" s="5"/>
      <c r="AJ222" s="5"/>
      <c r="AK222" s="5"/>
      <c r="AL222" s="5"/>
      <c r="AM222" s="5"/>
      <c r="AN222" s="5"/>
    </row>
    <row r="223" spans="1:40" ht="18.75" customHeight="1">
      <c r="A223" s="5"/>
      <c r="B223" s="5"/>
      <c r="C223" s="5"/>
      <c r="D223" s="5"/>
      <c r="E223" s="5"/>
      <c r="F223" s="5"/>
      <c r="G223" s="5"/>
      <c r="H223" s="5"/>
      <c r="I223" s="5"/>
      <c r="J223" s="5"/>
      <c r="K223" s="5"/>
      <c r="L223" s="5"/>
      <c r="M223" s="5"/>
      <c r="N223" s="5"/>
      <c r="O223" s="5"/>
      <c r="P223" s="5"/>
      <c r="Q223" s="5"/>
      <c r="R223" s="5"/>
      <c r="S223" s="5"/>
      <c r="T223" s="5"/>
      <c r="U223" s="5"/>
      <c r="V223" s="5"/>
      <c r="Y223" s="5"/>
      <c r="Z223" s="5"/>
      <c r="AA223" s="26">
        <f>IF(AA70&lt;Exercise,Exercise-AA70,0)</f>
        <v>55.429600804823721</v>
      </c>
      <c r="AB223" s="26"/>
      <c r="AC223" s="26">
        <f>IF(AC70&lt;Exercise,Exercise-AC70,0)</f>
        <v>55.429600804823721</v>
      </c>
      <c r="AD223" s="26"/>
      <c r="AE223" s="26">
        <f>IF(AE70&lt;Exercise,Exercise-AE70,0)</f>
        <v>55.429600804823721</v>
      </c>
      <c r="AF223" s="5"/>
      <c r="AG223" s="5"/>
      <c r="AH223" s="5"/>
      <c r="AI223" s="5"/>
      <c r="AJ223" s="5"/>
      <c r="AK223" s="5"/>
      <c r="AL223" s="5"/>
      <c r="AM223" s="5"/>
      <c r="AN223" s="5"/>
    </row>
    <row r="224" spans="1:40" ht="18.75" customHeight="1">
      <c r="A224" s="5"/>
      <c r="B224" s="5"/>
      <c r="C224" s="5"/>
      <c r="D224" s="5"/>
      <c r="E224" s="5"/>
      <c r="F224" s="5"/>
      <c r="G224" s="5"/>
      <c r="H224" s="5"/>
      <c r="I224" s="5"/>
      <c r="J224" s="5"/>
      <c r="K224" s="5"/>
      <c r="L224" s="5"/>
      <c r="M224" s="5"/>
      <c r="N224" s="5"/>
      <c r="O224" s="5"/>
      <c r="P224" s="5"/>
      <c r="Q224" s="5"/>
      <c r="R224" s="5"/>
      <c r="S224" s="5"/>
      <c r="T224" s="5"/>
      <c r="U224" s="5"/>
      <c r="V224" s="5"/>
      <c r="Y224" s="5"/>
      <c r="Z224" s="5"/>
      <c r="AA224" s="5"/>
      <c r="AB224" s="26">
        <f>IF(AB71&lt;Exercise,Exercise-AB71,0)</f>
        <v>56.6931208401828</v>
      </c>
      <c r="AC224" s="26"/>
      <c r="AD224" s="26">
        <f>IF(AD71&lt;Exercise,Exercise-AD71,0)</f>
        <v>56.6931208401828</v>
      </c>
      <c r="AE224" s="26"/>
      <c r="AF224" s="5"/>
      <c r="AG224" s="5"/>
      <c r="AH224" s="5"/>
      <c r="AI224" s="5"/>
      <c r="AJ224" s="5"/>
      <c r="AK224" s="5"/>
      <c r="AL224" s="5"/>
      <c r="AM224" s="5"/>
      <c r="AN224" s="5"/>
    </row>
    <row r="225" spans="1:40" ht="18.75" customHeight="1">
      <c r="A225" s="5"/>
      <c r="B225" s="5"/>
      <c r="C225" s="5"/>
      <c r="D225" s="5"/>
      <c r="E225" s="5"/>
      <c r="F225" s="5"/>
      <c r="G225" s="5"/>
      <c r="H225" s="5"/>
      <c r="I225" s="5"/>
      <c r="J225" s="5"/>
      <c r="K225" s="5"/>
      <c r="L225" s="5"/>
      <c r="M225" s="5"/>
      <c r="N225" s="5"/>
      <c r="O225" s="5"/>
      <c r="P225" s="5"/>
      <c r="Q225" s="5"/>
      <c r="R225" s="5"/>
      <c r="S225" s="5"/>
      <c r="T225" s="5"/>
      <c r="U225" s="5"/>
      <c r="V225" s="5"/>
      <c r="Y225" s="5"/>
      <c r="Z225" s="5"/>
      <c r="AA225" s="5"/>
      <c r="AB225" s="5"/>
      <c r="AC225" s="26">
        <f>IF(AC72&lt;Exercise,Exercise-AC72,0)</f>
        <v>57.924434500251898</v>
      </c>
      <c r="AD225" s="26"/>
      <c r="AE225" s="26">
        <f>IF(AE72&lt;Exercise,Exercise-AE72,0)</f>
        <v>57.924434500251898</v>
      </c>
      <c r="AF225" s="5"/>
      <c r="AG225" s="5"/>
      <c r="AH225" s="5"/>
      <c r="AI225" s="5"/>
      <c r="AJ225" s="5"/>
      <c r="AK225" s="5"/>
      <c r="AL225" s="5"/>
      <c r="AM225" s="5"/>
      <c r="AN225" s="5"/>
    </row>
    <row r="226" spans="1:40" ht="18.75" customHeight="1">
      <c r="A226" s="5"/>
      <c r="B226" s="5"/>
      <c r="C226" s="5"/>
      <c r="D226" s="5"/>
      <c r="E226" s="5"/>
      <c r="F226" s="5"/>
      <c r="G226" s="5"/>
      <c r="H226" s="5"/>
      <c r="I226" s="5"/>
      <c r="J226" s="5"/>
      <c r="K226" s="5"/>
      <c r="L226" s="5"/>
      <c r="M226" s="5"/>
      <c r="N226" s="5"/>
      <c r="O226" s="5"/>
      <c r="P226" s="5"/>
      <c r="Q226" s="5"/>
      <c r="R226" s="5"/>
      <c r="S226" s="5"/>
      <c r="T226" s="5"/>
      <c r="U226" s="5"/>
      <c r="V226" s="5"/>
      <c r="Y226" s="5"/>
      <c r="Z226" s="5"/>
      <c r="AA226" s="5"/>
      <c r="AB226" s="5"/>
      <c r="AC226" s="5"/>
      <c r="AD226" s="26">
        <f>IF(AD73&lt;Exercise,Exercise-AD73,0)</f>
        <v>59.124362706409627</v>
      </c>
      <c r="AE226" s="26"/>
      <c r="AF226" s="5"/>
      <c r="AG226" s="5"/>
      <c r="AH226" s="5"/>
      <c r="AI226" s="5"/>
      <c r="AJ226" s="5"/>
      <c r="AK226" s="5"/>
      <c r="AL226" s="5"/>
      <c r="AM226" s="5"/>
      <c r="AN226" s="5"/>
    </row>
    <row r="227" spans="1:40" ht="18.75" customHeight="1">
      <c r="A227" s="5"/>
      <c r="B227" s="5"/>
      <c r="C227" s="5"/>
      <c r="D227" s="5"/>
      <c r="E227" s="5"/>
      <c r="F227" s="5"/>
      <c r="G227" s="5"/>
      <c r="H227" s="5"/>
      <c r="I227" s="5"/>
      <c r="J227" s="5"/>
      <c r="K227" s="5"/>
      <c r="L227" s="5"/>
      <c r="M227" s="5"/>
      <c r="N227" s="5"/>
      <c r="O227" s="5"/>
      <c r="P227" s="5"/>
      <c r="Q227" s="5"/>
      <c r="R227" s="5"/>
      <c r="S227" s="5"/>
      <c r="T227" s="5"/>
      <c r="U227" s="5"/>
      <c r="V227" s="5"/>
      <c r="Y227" s="5"/>
      <c r="Z227" s="5"/>
      <c r="AA227" s="5"/>
      <c r="AB227" s="5"/>
      <c r="AC227" s="5"/>
      <c r="AD227" s="5"/>
      <c r="AE227" s="26">
        <f>IF(AE74&lt;Exercise,Exercise-AE74,0)</f>
        <v>60.293705455236193</v>
      </c>
      <c r="AF227" s="5"/>
      <c r="AG227" s="5"/>
      <c r="AH227" s="5"/>
      <c r="AI227" s="5"/>
      <c r="AJ227" s="5"/>
      <c r="AK227" s="5"/>
      <c r="AL227" s="5"/>
      <c r="AM227" s="5"/>
      <c r="AN227" s="5"/>
    </row>
    <row r="228" spans="1:40" ht="18.75" customHeight="1">
      <c r="A228" s="5"/>
      <c r="B228" s="5"/>
      <c r="C228" s="5"/>
      <c r="D228" s="5"/>
      <c r="E228" s="5"/>
      <c r="F228" s="5"/>
      <c r="G228" s="5"/>
      <c r="H228" s="5"/>
      <c r="I228" s="5"/>
      <c r="J228" s="5"/>
      <c r="K228" s="5"/>
      <c r="L228" s="5"/>
      <c r="M228" s="5"/>
      <c r="N228" s="5"/>
      <c r="O228" s="5"/>
      <c r="P228" s="5"/>
      <c r="Q228" s="5"/>
      <c r="R228" s="5"/>
      <c r="S228" s="5"/>
      <c r="T228" s="5"/>
      <c r="U228" s="5"/>
      <c r="V228" s="5"/>
      <c r="Y228" s="5"/>
      <c r="Z228" s="5"/>
      <c r="AA228" s="5"/>
      <c r="AB228" s="5"/>
      <c r="AC228" s="5"/>
      <c r="AD228" s="5"/>
      <c r="AE228" s="5"/>
      <c r="AF228" s="5"/>
      <c r="AG228" s="5"/>
      <c r="AH228" s="5"/>
      <c r="AI228" s="5"/>
      <c r="AJ228" s="5"/>
      <c r="AK228" s="5"/>
      <c r="AL228" s="5"/>
      <c r="AM228" s="5"/>
      <c r="AN228" s="5"/>
    </row>
    <row r="229" spans="1:40" ht="18.75" customHeight="1">
      <c r="A229" s="5"/>
      <c r="B229" s="5"/>
      <c r="C229" s="5"/>
      <c r="D229" s="5"/>
      <c r="E229" s="5"/>
      <c r="F229" s="5"/>
      <c r="G229" s="5"/>
      <c r="H229" s="5"/>
      <c r="I229" s="5"/>
      <c r="J229" s="5"/>
      <c r="K229" s="5"/>
      <c r="L229" s="5"/>
      <c r="M229" s="5"/>
      <c r="N229" s="5"/>
      <c r="O229" s="5"/>
      <c r="P229" s="5"/>
      <c r="Q229" s="5"/>
      <c r="R229" s="5"/>
      <c r="S229" s="5"/>
      <c r="T229" s="5"/>
      <c r="U229" s="5"/>
      <c r="V229" s="5"/>
      <c r="Y229" s="5"/>
      <c r="Z229" s="5"/>
      <c r="AA229" s="5"/>
      <c r="AB229" s="5"/>
      <c r="AC229" s="5"/>
      <c r="AD229" s="5"/>
      <c r="AE229" s="5"/>
      <c r="AF229" s="5"/>
      <c r="AG229" s="5"/>
      <c r="AH229" s="5"/>
      <c r="AI229" s="5"/>
      <c r="AJ229" s="5"/>
      <c r="AK229" s="5"/>
      <c r="AL229" s="5"/>
      <c r="AM229" s="5"/>
      <c r="AN229" s="5"/>
    </row>
    <row r="230" spans="1:40" ht="18.75" customHeight="1">
      <c r="A230" s="5"/>
      <c r="B230" s="5"/>
      <c r="C230" s="5"/>
      <c r="D230" s="5"/>
      <c r="E230" s="5"/>
      <c r="F230" s="5"/>
      <c r="G230" s="5"/>
      <c r="H230" s="5"/>
      <c r="I230" s="5"/>
      <c r="J230" s="5"/>
      <c r="K230" s="5"/>
      <c r="L230" s="5"/>
      <c r="M230" s="5"/>
      <c r="N230" s="5"/>
      <c r="O230" s="5"/>
      <c r="P230" s="5"/>
      <c r="Q230" s="5"/>
      <c r="R230" s="5"/>
      <c r="S230" s="5"/>
      <c r="T230" s="5"/>
      <c r="U230" s="5"/>
      <c r="V230" s="5"/>
      <c r="Y230" s="5"/>
      <c r="Z230" s="5"/>
      <c r="AA230" s="5"/>
      <c r="AB230" s="5"/>
      <c r="AC230" s="5"/>
      <c r="AD230" s="5"/>
      <c r="AE230" s="5"/>
      <c r="AF230" s="5"/>
      <c r="AG230" s="5"/>
      <c r="AH230" s="5"/>
      <c r="AI230" s="5"/>
      <c r="AJ230" s="5"/>
      <c r="AK230" s="5"/>
      <c r="AL230" s="5"/>
      <c r="AM230" s="5"/>
      <c r="AN230" s="5"/>
    </row>
    <row r="231" spans="1:40" ht="18.75" customHeight="1">
      <c r="A231" s="5"/>
      <c r="B231" s="5"/>
      <c r="C231" s="5"/>
      <c r="D231" s="5"/>
      <c r="E231" s="5"/>
      <c r="F231" s="5"/>
      <c r="G231" s="5"/>
      <c r="H231" s="5"/>
      <c r="I231" s="5"/>
      <c r="J231" s="5"/>
      <c r="K231" s="5"/>
      <c r="L231" s="5"/>
      <c r="M231" s="5"/>
      <c r="N231" s="5"/>
      <c r="O231" s="5"/>
      <c r="P231" s="5"/>
      <c r="Q231" s="5"/>
      <c r="R231" s="5"/>
      <c r="S231" s="5"/>
      <c r="T231" s="5"/>
      <c r="U231" s="5"/>
      <c r="V231" s="5"/>
      <c r="Y231" s="5"/>
      <c r="Z231" s="5"/>
      <c r="AA231" s="5"/>
      <c r="AB231" s="5"/>
      <c r="AC231" s="5"/>
      <c r="AD231" s="5"/>
      <c r="AE231" s="5"/>
      <c r="AF231" s="5"/>
      <c r="AG231" s="5"/>
      <c r="AH231" s="5"/>
      <c r="AI231" s="5"/>
      <c r="AJ231" s="5"/>
      <c r="AK231" s="5"/>
      <c r="AL231" s="5"/>
      <c r="AM231" s="5"/>
      <c r="AN231" s="5"/>
    </row>
    <row r="232" spans="1:40" ht="18.75" customHeight="1">
      <c r="A232" s="5"/>
      <c r="B232" s="5"/>
      <c r="C232" s="5"/>
      <c r="D232" s="5"/>
      <c r="E232" s="5"/>
      <c r="F232" s="5"/>
      <c r="G232" s="5"/>
      <c r="H232" s="5"/>
      <c r="I232" s="5"/>
      <c r="J232" s="5"/>
      <c r="K232" s="5"/>
      <c r="L232" s="5"/>
      <c r="M232" s="5"/>
      <c r="N232" s="5"/>
      <c r="O232" s="5"/>
      <c r="P232" s="5"/>
      <c r="Q232" s="5"/>
      <c r="R232" s="5"/>
      <c r="S232" s="5"/>
      <c r="T232" s="5"/>
      <c r="U232" s="5"/>
      <c r="V232" s="5"/>
      <c r="Y232" s="5"/>
      <c r="Z232" s="5"/>
      <c r="AA232" s="5"/>
      <c r="AB232" s="5"/>
      <c r="AC232" s="5"/>
      <c r="AD232" s="5"/>
      <c r="AE232" s="5"/>
      <c r="AF232" s="5"/>
      <c r="AG232" s="5"/>
      <c r="AH232" s="5"/>
      <c r="AI232" s="5"/>
      <c r="AJ232" s="5"/>
      <c r="AK232" s="5"/>
      <c r="AL232" s="5"/>
      <c r="AM232" s="5"/>
      <c r="AN232" s="5"/>
    </row>
    <row r="233" spans="1:40" ht="18.75" customHeight="1">
      <c r="A233" s="5"/>
      <c r="B233" s="5"/>
      <c r="C233" s="5"/>
      <c r="D233" s="5"/>
      <c r="E233" s="5"/>
      <c r="F233" s="5"/>
      <c r="G233" s="5"/>
      <c r="H233" s="5"/>
      <c r="I233" s="5"/>
      <c r="J233" s="5"/>
      <c r="K233" s="5"/>
      <c r="L233" s="5"/>
      <c r="M233" s="5"/>
      <c r="N233" s="5"/>
      <c r="O233" s="5"/>
      <c r="P233" s="5"/>
      <c r="Q233" s="5"/>
      <c r="R233" s="5"/>
      <c r="S233" s="5"/>
      <c r="T233" s="5"/>
      <c r="U233" s="5"/>
      <c r="V233" s="5"/>
      <c r="Y233" s="5"/>
      <c r="Z233" s="5"/>
      <c r="AA233" s="5"/>
      <c r="AB233" s="5"/>
      <c r="AC233" s="5"/>
      <c r="AD233" s="5"/>
      <c r="AE233" s="5"/>
      <c r="AF233" s="5"/>
      <c r="AG233" s="5"/>
      <c r="AH233" s="5"/>
      <c r="AI233" s="5"/>
      <c r="AJ233" s="5"/>
      <c r="AK233" s="5"/>
      <c r="AL233" s="5"/>
      <c r="AM233" s="5"/>
      <c r="AN233" s="5"/>
    </row>
    <row r="234" spans="1:40" ht="18.75" customHeight="1">
      <c r="A234" s="5"/>
      <c r="B234" s="5"/>
      <c r="C234" s="5"/>
      <c r="D234" s="5"/>
      <c r="E234" s="5"/>
      <c r="F234" s="5"/>
      <c r="G234" s="5"/>
      <c r="H234" s="5"/>
      <c r="I234" s="5"/>
      <c r="J234" s="5"/>
      <c r="K234" s="5"/>
      <c r="L234" s="5"/>
      <c r="M234" s="5"/>
      <c r="N234" s="5"/>
      <c r="O234" s="5"/>
      <c r="P234" s="5"/>
      <c r="Q234" s="5"/>
      <c r="R234" s="5"/>
      <c r="S234" s="5"/>
      <c r="T234" s="5"/>
      <c r="U234" s="5"/>
      <c r="V234" s="5"/>
      <c r="Y234" s="5"/>
      <c r="Z234" s="5"/>
      <c r="AA234" s="5"/>
      <c r="AB234" s="5"/>
      <c r="AC234" s="5"/>
      <c r="AD234" s="5"/>
      <c r="AE234" s="5"/>
      <c r="AF234" s="5"/>
      <c r="AG234" s="5"/>
      <c r="AH234" s="5"/>
      <c r="AI234" s="5"/>
      <c r="AJ234" s="5"/>
      <c r="AK234" s="5"/>
      <c r="AL234" s="5"/>
      <c r="AM234" s="5"/>
      <c r="AN234" s="5"/>
    </row>
    <row r="235" spans="1:40" ht="18.75" customHeight="1">
      <c r="A235" s="5"/>
      <c r="B235" s="5"/>
      <c r="C235" s="5"/>
      <c r="D235" s="5"/>
      <c r="E235" s="5"/>
      <c r="F235" s="5"/>
      <c r="G235" s="5"/>
      <c r="H235" s="5"/>
      <c r="I235" s="5"/>
      <c r="J235" s="5"/>
      <c r="K235" s="5"/>
      <c r="L235" s="5"/>
      <c r="M235" s="5"/>
      <c r="N235" s="5"/>
      <c r="O235" s="5"/>
      <c r="P235" s="5"/>
      <c r="Q235" s="5"/>
      <c r="R235" s="5"/>
      <c r="S235" s="5"/>
      <c r="T235" s="5"/>
      <c r="U235" s="5"/>
      <c r="V235" s="5"/>
      <c r="Y235" s="5"/>
      <c r="Z235" s="5"/>
      <c r="AA235" s="5"/>
      <c r="AB235" s="5"/>
      <c r="AC235" s="5"/>
      <c r="AD235" s="5"/>
      <c r="AE235" s="5"/>
      <c r="AF235" s="5"/>
      <c r="AG235" s="5"/>
      <c r="AH235" s="5"/>
      <c r="AI235" s="5"/>
      <c r="AJ235" s="5"/>
      <c r="AK235" s="5"/>
      <c r="AL235" s="5"/>
      <c r="AM235" s="5"/>
      <c r="AN235" s="5"/>
    </row>
    <row r="236" spans="1:40" ht="18.75" customHeight="1">
      <c r="A236" s="5"/>
      <c r="B236" s="5"/>
      <c r="C236" s="5"/>
      <c r="D236" s="5"/>
      <c r="E236" s="5"/>
      <c r="F236" s="5"/>
      <c r="G236" s="5"/>
      <c r="H236" s="5"/>
      <c r="I236" s="5"/>
      <c r="J236" s="5"/>
      <c r="K236" s="5"/>
      <c r="L236" s="5"/>
      <c r="M236" s="5"/>
      <c r="N236" s="5"/>
      <c r="O236" s="5"/>
      <c r="P236" s="5"/>
      <c r="Q236" s="5"/>
      <c r="R236" s="5"/>
      <c r="S236" s="5"/>
      <c r="T236" s="5"/>
      <c r="U236" s="5"/>
      <c r="V236" s="5"/>
      <c r="Y236" s="5"/>
      <c r="Z236" s="5"/>
      <c r="AA236" s="5"/>
      <c r="AB236" s="5"/>
      <c r="AC236" s="5"/>
      <c r="AD236" s="5"/>
      <c r="AE236" s="5"/>
      <c r="AF236" s="5"/>
      <c r="AG236" s="5"/>
      <c r="AH236" s="5"/>
      <c r="AI236" s="5"/>
      <c r="AJ236" s="5"/>
      <c r="AK236" s="5"/>
      <c r="AL236" s="5"/>
      <c r="AM236" s="5"/>
      <c r="AN236" s="5"/>
    </row>
    <row r="237" spans="1:40" ht="18.75" customHeight="1">
      <c r="A237" s="5"/>
      <c r="B237" s="5"/>
      <c r="C237" s="5"/>
      <c r="D237" s="5"/>
      <c r="E237" s="5"/>
      <c r="F237" s="5"/>
      <c r="G237" s="5"/>
      <c r="H237" s="5"/>
      <c r="I237" s="5"/>
      <c r="J237" s="5"/>
      <c r="K237" s="5"/>
      <c r="L237" s="5"/>
      <c r="M237" s="5"/>
      <c r="N237" s="5"/>
      <c r="O237" s="5"/>
      <c r="P237" s="5"/>
      <c r="Q237" s="5"/>
      <c r="R237" s="5"/>
      <c r="S237" s="5"/>
      <c r="T237" s="5"/>
      <c r="U237" s="5"/>
      <c r="V237" s="5"/>
      <c r="Y237" s="5"/>
      <c r="Z237" s="5"/>
      <c r="AA237" s="5"/>
      <c r="AB237" s="5"/>
      <c r="AC237" s="5"/>
      <c r="AD237" s="5"/>
      <c r="AE237" s="5"/>
      <c r="AF237" s="5"/>
      <c r="AG237" s="5"/>
      <c r="AH237" s="5"/>
      <c r="AI237" s="5"/>
      <c r="AJ237" s="5"/>
      <c r="AK237" s="5"/>
      <c r="AL237" s="5"/>
      <c r="AM237" s="5"/>
      <c r="AN237" s="5"/>
    </row>
    <row r="238" spans="1:40" ht="18.75" customHeight="1">
      <c r="A238" s="5"/>
      <c r="B238" s="5"/>
      <c r="C238" s="5"/>
      <c r="D238" s="5"/>
      <c r="E238" s="5"/>
      <c r="F238" s="5"/>
      <c r="G238" s="5"/>
      <c r="H238" s="5"/>
      <c r="I238" s="5"/>
      <c r="J238" s="5"/>
      <c r="K238" s="5"/>
      <c r="L238" s="5"/>
      <c r="M238" s="5"/>
      <c r="N238" s="5"/>
      <c r="O238" s="5"/>
      <c r="P238" s="5"/>
      <c r="Q238" s="5"/>
      <c r="R238" s="5"/>
      <c r="S238" s="5"/>
      <c r="T238" s="5"/>
      <c r="U238" s="5"/>
      <c r="V238" s="5"/>
      <c r="Y238" s="5"/>
      <c r="Z238" s="5"/>
      <c r="AA238" s="5"/>
      <c r="AB238" s="5"/>
      <c r="AC238" s="5"/>
      <c r="AD238" s="5"/>
      <c r="AE238" s="5"/>
      <c r="AF238" s="5"/>
      <c r="AG238" s="5"/>
      <c r="AH238" s="5"/>
      <c r="AI238" s="5"/>
      <c r="AJ238" s="5"/>
      <c r="AK238" s="5"/>
      <c r="AL238" s="5"/>
      <c r="AM238" s="5"/>
      <c r="AN238" s="5"/>
    </row>
    <row r="239" spans="1:40" ht="18.75" customHeight="1">
      <c r="A239" s="5"/>
      <c r="B239" s="5"/>
      <c r="C239" s="5"/>
      <c r="D239" s="5"/>
      <c r="E239" s="5"/>
      <c r="F239" s="5"/>
      <c r="G239" s="5"/>
      <c r="H239" s="5"/>
      <c r="I239" s="5"/>
      <c r="J239" s="5"/>
      <c r="K239" s="5"/>
      <c r="L239" s="5"/>
      <c r="M239" s="5"/>
      <c r="N239" s="5"/>
      <c r="O239" s="5"/>
      <c r="P239" s="5"/>
      <c r="Q239" s="5"/>
      <c r="R239" s="5"/>
      <c r="S239" s="5"/>
      <c r="T239" s="5"/>
      <c r="U239" s="5"/>
      <c r="V239" s="5"/>
      <c r="Y239" s="5"/>
      <c r="Z239" s="5"/>
      <c r="AA239" s="5"/>
      <c r="AB239" s="5"/>
      <c r="AC239" s="5"/>
      <c r="AD239" s="5"/>
      <c r="AE239" s="5"/>
      <c r="AF239" s="5"/>
      <c r="AG239" s="5"/>
      <c r="AH239" s="5"/>
      <c r="AI239" s="5"/>
      <c r="AJ239" s="5"/>
      <c r="AK239" s="5"/>
      <c r="AL239" s="5"/>
      <c r="AM239" s="5"/>
      <c r="AN239" s="5"/>
    </row>
    <row r="240" spans="1:40" ht="18.75" customHeight="1">
      <c r="A240" s="5"/>
      <c r="B240" s="5"/>
      <c r="C240" s="5"/>
      <c r="D240" s="5"/>
      <c r="E240" s="5"/>
      <c r="F240" s="5"/>
      <c r="G240" s="5"/>
      <c r="H240" s="5"/>
      <c r="I240" s="5"/>
      <c r="J240" s="5"/>
      <c r="K240" s="5"/>
      <c r="L240" s="5"/>
      <c r="M240" s="5"/>
      <c r="N240" s="5"/>
      <c r="O240" s="5"/>
      <c r="P240" s="5"/>
      <c r="Q240" s="5"/>
      <c r="R240" s="5"/>
      <c r="S240" s="5"/>
      <c r="T240" s="5"/>
      <c r="U240" s="5"/>
      <c r="V240" s="5"/>
      <c r="Y240" s="5"/>
      <c r="Z240" s="5"/>
      <c r="AA240" s="5"/>
      <c r="AB240" s="5"/>
      <c r="AC240" s="5"/>
      <c r="AD240" s="5"/>
      <c r="AE240" s="5"/>
      <c r="AF240" s="5"/>
      <c r="AG240" s="5"/>
      <c r="AH240" s="5"/>
      <c r="AI240" s="5"/>
      <c r="AJ240" s="5"/>
      <c r="AK240" s="5"/>
      <c r="AL240" s="5"/>
      <c r="AM240" s="5"/>
      <c r="AN240" s="5"/>
    </row>
    <row r="241" spans="1:40" ht="18.75" customHeight="1">
      <c r="A241" s="5"/>
      <c r="B241" s="5"/>
      <c r="C241" s="5"/>
      <c r="D241" s="5"/>
      <c r="E241" s="5"/>
      <c r="F241" s="5"/>
      <c r="G241" s="5"/>
      <c r="H241" s="5"/>
      <c r="I241" s="5"/>
      <c r="J241" s="5"/>
      <c r="K241" s="5"/>
      <c r="L241" s="5"/>
      <c r="M241" s="5"/>
      <c r="N241" s="5"/>
      <c r="O241" s="5"/>
      <c r="P241" s="5"/>
      <c r="Q241" s="5"/>
      <c r="R241" s="5"/>
      <c r="S241" s="5"/>
      <c r="T241" s="5"/>
      <c r="U241" s="5"/>
      <c r="V241" s="5"/>
      <c r="Y241" s="5"/>
      <c r="Z241" s="5"/>
      <c r="AA241" s="5"/>
      <c r="AB241" s="5"/>
      <c r="AC241" s="5"/>
      <c r="AD241" s="5"/>
      <c r="AE241" s="5"/>
      <c r="AF241" s="5"/>
      <c r="AG241" s="5"/>
      <c r="AH241" s="5"/>
      <c r="AI241" s="5"/>
      <c r="AJ241" s="5"/>
      <c r="AK241" s="5"/>
      <c r="AL241" s="5"/>
      <c r="AM241" s="5"/>
      <c r="AN241" s="5"/>
    </row>
    <row r="242" spans="1:40" ht="18.75" customHeight="1">
      <c r="A242" s="5"/>
      <c r="B242" s="5"/>
      <c r="C242" s="5"/>
      <c r="D242" s="5"/>
      <c r="E242" s="5"/>
      <c r="F242" s="5"/>
      <c r="G242" s="5"/>
      <c r="H242" s="5"/>
      <c r="I242" s="5"/>
      <c r="J242" s="5"/>
      <c r="K242" s="5"/>
      <c r="L242" s="5"/>
      <c r="M242" s="5"/>
      <c r="N242" s="5"/>
      <c r="O242" s="5"/>
      <c r="P242" s="5"/>
      <c r="Q242" s="5"/>
      <c r="R242" s="5"/>
      <c r="S242" s="5"/>
      <c r="T242" s="5"/>
      <c r="U242" s="5"/>
      <c r="V242" s="5"/>
      <c r="Y242" s="5"/>
      <c r="Z242" s="5"/>
      <c r="AA242" s="5"/>
      <c r="AB242" s="5"/>
      <c r="AC242" s="5"/>
      <c r="AD242" s="5"/>
      <c r="AE242" s="5"/>
      <c r="AF242" s="5"/>
      <c r="AG242" s="5"/>
      <c r="AH242" s="5"/>
      <c r="AI242" s="5"/>
      <c r="AJ242" s="5"/>
      <c r="AK242" s="5"/>
      <c r="AL242" s="5"/>
      <c r="AM242" s="5"/>
      <c r="AN242" s="5"/>
    </row>
    <row r="243" spans="1:40" ht="18.75" customHeight="1">
      <c r="A243" s="5"/>
      <c r="B243" s="5"/>
      <c r="C243" s="5"/>
      <c r="D243" s="5"/>
      <c r="E243" s="5"/>
      <c r="F243" s="5"/>
      <c r="G243" s="5"/>
      <c r="H243" s="5"/>
      <c r="I243" s="5"/>
      <c r="J243" s="5"/>
      <c r="K243" s="5"/>
      <c r="L243" s="5"/>
      <c r="M243" s="5"/>
      <c r="N243" s="5"/>
      <c r="O243" s="5"/>
      <c r="P243" s="5"/>
      <c r="Q243" s="5"/>
      <c r="R243" s="5"/>
      <c r="S243" s="5"/>
      <c r="T243" s="5"/>
      <c r="U243" s="5"/>
      <c r="V243" s="5"/>
      <c r="Y243" s="5"/>
      <c r="Z243" s="5"/>
      <c r="AA243" s="5"/>
      <c r="AB243" s="5"/>
      <c r="AC243" s="5"/>
      <c r="AD243" s="5"/>
      <c r="AE243" s="5"/>
      <c r="AF243" s="5"/>
      <c r="AG243" s="5"/>
      <c r="AH243" s="5"/>
      <c r="AI243" s="5"/>
      <c r="AJ243" s="5"/>
      <c r="AK243" s="5"/>
      <c r="AL243" s="5"/>
      <c r="AM243" s="5"/>
      <c r="AN243" s="5"/>
    </row>
    <row r="244" spans="1:40" ht="18.75" customHeight="1">
      <c r="A244" s="5"/>
      <c r="B244" s="5"/>
      <c r="C244" s="5"/>
      <c r="D244" s="5"/>
      <c r="E244" s="5"/>
      <c r="F244" s="5"/>
      <c r="G244" s="5"/>
      <c r="H244" s="5"/>
      <c r="I244" s="5"/>
      <c r="J244" s="5"/>
      <c r="K244" s="5"/>
      <c r="L244" s="5"/>
      <c r="M244" s="5"/>
      <c r="N244" s="5"/>
      <c r="O244" s="5"/>
      <c r="P244" s="5"/>
      <c r="Q244" s="5"/>
      <c r="R244" s="5"/>
      <c r="S244" s="5"/>
      <c r="T244" s="5"/>
      <c r="U244" s="5"/>
      <c r="V244" s="5"/>
      <c r="Y244" s="5"/>
      <c r="Z244" s="5"/>
      <c r="AA244" s="5"/>
      <c r="AB244" s="5"/>
      <c r="AC244" s="5"/>
      <c r="AD244" s="5"/>
      <c r="AE244" s="5"/>
      <c r="AF244" s="5"/>
      <c r="AG244" s="5"/>
      <c r="AH244" s="5"/>
      <c r="AI244" s="5"/>
      <c r="AJ244" s="5"/>
      <c r="AK244" s="5"/>
      <c r="AL244" s="5"/>
      <c r="AM244" s="5"/>
      <c r="AN244" s="5"/>
    </row>
    <row r="245" spans="1:40" ht="18.75" customHeight="1">
      <c r="A245" s="5"/>
      <c r="B245" s="5"/>
      <c r="C245" s="5"/>
      <c r="D245" s="5"/>
      <c r="E245" s="5"/>
      <c r="F245" s="5"/>
      <c r="G245" s="5"/>
      <c r="H245" s="5"/>
      <c r="I245" s="5"/>
      <c r="J245" s="5"/>
      <c r="K245" s="5"/>
      <c r="L245" s="5"/>
      <c r="M245" s="5"/>
      <c r="N245" s="5"/>
      <c r="O245" s="5"/>
      <c r="P245" s="5"/>
      <c r="Q245" s="5"/>
      <c r="R245" s="5"/>
      <c r="S245" s="5"/>
      <c r="T245" s="5"/>
      <c r="U245" s="5"/>
      <c r="V245" s="5"/>
      <c r="Y245" s="5"/>
      <c r="Z245" s="5"/>
      <c r="AA245" s="5"/>
      <c r="AB245" s="5"/>
      <c r="AC245" s="5"/>
      <c r="AD245" s="5"/>
      <c r="AE245" s="5"/>
      <c r="AF245" s="5"/>
      <c r="AG245" s="5"/>
      <c r="AH245" s="5"/>
      <c r="AI245" s="5"/>
      <c r="AJ245" s="5"/>
      <c r="AK245" s="5"/>
      <c r="AL245" s="5"/>
      <c r="AM245" s="5"/>
      <c r="AN245" s="5"/>
    </row>
    <row r="246" spans="1:40" ht="18.75" customHeight="1">
      <c r="A246" s="5"/>
      <c r="B246" s="5"/>
      <c r="C246" s="5"/>
      <c r="D246" s="5"/>
      <c r="E246" s="5"/>
      <c r="F246" s="5"/>
      <c r="G246" s="5"/>
      <c r="H246" s="5"/>
      <c r="I246" s="5"/>
      <c r="J246" s="5"/>
      <c r="K246" s="5"/>
      <c r="L246" s="5"/>
      <c r="M246" s="5"/>
      <c r="N246" s="5"/>
      <c r="O246" s="5"/>
      <c r="P246" s="5"/>
      <c r="Q246" s="5"/>
      <c r="R246" s="5"/>
      <c r="S246" s="5"/>
      <c r="T246" s="5"/>
      <c r="U246" s="5"/>
      <c r="V246" s="5"/>
      <c r="Y246" s="5"/>
      <c r="Z246" s="5"/>
      <c r="AA246" s="5"/>
      <c r="AB246" s="5"/>
      <c r="AC246" s="5"/>
      <c r="AD246" s="5"/>
      <c r="AE246" s="5"/>
      <c r="AF246" s="5"/>
      <c r="AG246" s="5"/>
      <c r="AH246" s="5"/>
      <c r="AI246" s="5"/>
      <c r="AJ246" s="5"/>
      <c r="AK246" s="5"/>
      <c r="AL246" s="5"/>
      <c r="AM246" s="5"/>
      <c r="AN246" s="5"/>
    </row>
    <row r="247" spans="1:40" ht="18.75" customHeight="1">
      <c r="A247" s="5"/>
      <c r="B247" s="5"/>
      <c r="C247" s="5"/>
      <c r="D247" s="5"/>
      <c r="E247" s="5"/>
      <c r="F247" s="5"/>
      <c r="G247" s="5"/>
      <c r="H247" s="5"/>
      <c r="I247" s="5"/>
      <c r="J247" s="5"/>
      <c r="K247" s="5"/>
      <c r="L247" s="5"/>
      <c r="M247" s="5"/>
      <c r="N247" s="5"/>
      <c r="O247" s="5"/>
      <c r="P247" s="5"/>
      <c r="Q247" s="5"/>
      <c r="R247" s="5"/>
      <c r="S247" s="5"/>
      <c r="T247" s="5"/>
      <c r="U247" s="5"/>
      <c r="V247" s="5"/>
      <c r="Y247" s="5"/>
      <c r="Z247" s="5"/>
      <c r="AA247" s="5"/>
      <c r="AB247" s="5"/>
      <c r="AC247" s="5"/>
      <c r="AD247" s="5"/>
      <c r="AE247" s="5"/>
      <c r="AF247" s="5"/>
      <c r="AG247" s="5"/>
      <c r="AH247" s="5"/>
      <c r="AI247" s="5"/>
      <c r="AJ247" s="5"/>
      <c r="AK247" s="5"/>
      <c r="AL247" s="5"/>
      <c r="AM247" s="5"/>
      <c r="AN247" s="5"/>
    </row>
    <row r="248" spans="1:40" ht="18.75" customHeight="1">
      <c r="A248" s="5"/>
      <c r="B248" s="5"/>
      <c r="C248" s="5"/>
      <c r="D248" s="5"/>
      <c r="E248" s="5"/>
      <c r="F248" s="5"/>
      <c r="G248" s="5"/>
      <c r="H248" s="5"/>
      <c r="I248" s="5"/>
      <c r="J248" s="5"/>
      <c r="K248" s="5"/>
      <c r="L248" s="5"/>
      <c r="M248" s="5"/>
      <c r="N248" s="5"/>
      <c r="O248" s="5"/>
      <c r="P248" s="5"/>
      <c r="Q248" s="5"/>
      <c r="R248" s="5"/>
      <c r="S248" s="5"/>
      <c r="T248" s="5"/>
      <c r="U248" s="5"/>
      <c r="V248" s="5"/>
      <c r="Y248" s="5"/>
      <c r="Z248" s="5"/>
      <c r="AA248" s="5"/>
      <c r="AB248" s="5"/>
      <c r="AC248" s="5"/>
      <c r="AD248" s="5"/>
      <c r="AE248" s="5"/>
      <c r="AF248" s="5"/>
      <c r="AG248" s="5"/>
      <c r="AH248" s="5"/>
      <c r="AI248" s="5"/>
      <c r="AJ248" s="5"/>
      <c r="AK248" s="5"/>
      <c r="AL248" s="5"/>
      <c r="AM248" s="5"/>
      <c r="AN248" s="5"/>
    </row>
    <row r="249" spans="1:40" ht="18.75" customHeight="1">
      <c r="A249" s="5"/>
      <c r="B249" s="5"/>
      <c r="C249" s="5"/>
      <c r="D249" s="5"/>
      <c r="E249" s="5"/>
      <c r="F249" s="5"/>
      <c r="G249" s="5"/>
      <c r="H249" s="5"/>
      <c r="I249" s="5"/>
      <c r="J249" s="5"/>
      <c r="K249" s="5"/>
      <c r="L249" s="5"/>
      <c r="M249" s="5"/>
      <c r="N249" s="5"/>
      <c r="O249" s="5"/>
      <c r="P249" s="5"/>
      <c r="Q249" s="5"/>
      <c r="R249" s="5"/>
      <c r="S249" s="5"/>
      <c r="T249" s="5"/>
      <c r="U249" s="5"/>
      <c r="V249" s="5"/>
      <c r="Y249" s="5"/>
      <c r="Z249" s="5"/>
      <c r="AA249" s="5"/>
      <c r="AB249" s="5"/>
      <c r="AC249" s="5"/>
      <c r="AD249" s="5"/>
      <c r="AE249" s="5"/>
      <c r="AF249" s="5"/>
      <c r="AG249" s="5"/>
      <c r="AH249" s="5"/>
      <c r="AI249" s="5"/>
      <c r="AJ249" s="5"/>
      <c r="AK249" s="5"/>
      <c r="AL249" s="5"/>
      <c r="AM249" s="5"/>
      <c r="AN249" s="5"/>
    </row>
    <row r="250" spans="1:40" ht="18.75" customHeight="1">
      <c r="A250" s="5"/>
      <c r="B250" s="5"/>
      <c r="C250" s="5"/>
      <c r="D250" s="5"/>
      <c r="E250" s="5"/>
      <c r="F250" s="5"/>
      <c r="G250" s="5"/>
      <c r="H250" s="5"/>
      <c r="I250" s="5"/>
      <c r="J250" s="5"/>
      <c r="K250" s="5"/>
      <c r="L250" s="5"/>
      <c r="M250" s="5"/>
      <c r="N250" s="5"/>
      <c r="O250" s="5"/>
      <c r="P250" s="5"/>
      <c r="Q250" s="5"/>
      <c r="R250" s="5"/>
      <c r="S250" s="5"/>
      <c r="T250" s="5"/>
      <c r="U250" s="5"/>
      <c r="V250" s="5"/>
      <c r="Y250" s="5"/>
      <c r="Z250" s="5"/>
      <c r="AA250" s="5"/>
      <c r="AB250" s="5"/>
      <c r="AC250" s="5"/>
      <c r="AD250" s="5"/>
      <c r="AE250" s="5"/>
      <c r="AF250" s="5"/>
      <c r="AG250" s="5"/>
      <c r="AH250" s="5"/>
      <c r="AI250" s="5"/>
      <c r="AJ250" s="5"/>
      <c r="AK250" s="5"/>
      <c r="AL250" s="5"/>
      <c r="AM250" s="5"/>
      <c r="AN250" s="5"/>
    </row>
    <row r="251" spans="1:40" ht="18.75" customHeight="1">
      <c r="A251" s="5"/>
      <c r="B251" s="5"/>
      <c r="C251" s="5"/>
      <c r="D251" s="5"/>
      <c r="E251" s="5"/>
      <c r="F251" s="5"/>
      <c r="G251" s="5"/>
      <c r="H251" s="5"/>
      <c r="I251" s="5"/>
      <c r="J251" s="5"/>
      <c r="K251" s="5"/>
      <c r="L251" s="5"/>
      <c r="M251" s="5"/>
      <c r="N251" s="5"/>
      <c r="O251" s="5"/>
      <c r="P251" s="5"/>
      <c r="Q251" s="5"/>
      <c r="R251" s="5"/>
      <c r="S251" s="5"/>
      <c r="T251" s="5"/>
      <c r="U251" s="5"/>
      <c r="V251" s="5"/>
      <c r="Y251" s="5"/>
      <c r="Z251" s="5"/>
      <c r="AA251" s="5"/>
      <c r="AB251" s="5"/>
      <c r="AC251" s="5"/>
      <c r="AD251" s="5"/>
      <c r="AE251" s="5"/>
      <c r="AF251" s="5"/>
      <c r="AG251" s="5"/>
      <c r="AH251" s="5"/>
      <c r="AI251" s="5"/>
      <c r="AJ251" s="5"/>
      <c r="AK251" s="5"/>
      <c r="AL251" s="5"/>
      <c r="AM251" s="5"/>
      <c r="AN251" s="5"/>
    </row>
    <row r="252" spans="1:40" ht="18.75" customHeight="1">
      <c r="A252" s="5"/>
      <c r="B252" s="5"/>
      <c r="C252" s="5"/>
      <c r="D252" s="5"/>
      <c r="E252" s="5"/>
      <c r="F252" s="5"/>
      <c r="G252" s="5"/>
      <c r="H252" s="5"/>
      <c r="I252" s="5"/>
      <c r="J252" s="5"/>
      <c r="K252" s="5"/>
      <c r="L252" s="5"/>
      <c r="M252" s="5"/>
      <c r="N252" s="5"/>
      <c r="O252" s="5"/>
      <c r="P252" s="5"/>
      <c r="Q252" s="5"/>
      <c r="R252" s="5"/>
      <c r="S252" s="5"/>
      <c r="T252" s="5"/>
      <c r="U252" s="5"/>
      <c r="V252" s="5"/>
      <c r="Y252" s="5"/>
      <c r="Z252" s="5"/>
      <c r="AA252" s="5"/>
      <c r="AB252" s="5"/>
      <c r="AC252" s="5"/>
      <c r="AD252" s="5"/>
      <c r="AE252" s="5"/>
      <c r="AF252" s="5"/>
      <c r="AG252" s="5"/>
      <c r="AH252" s="5"/>
      <c r="AI252" s="5"/>
      <c r="AJ252" s="5"/>
      <c r="AK252" s="5"/>
      <c r="AL252" s="5"/>
      <c r="AM252" s="5"/>
      <c r="AN252" s="5"/>
    </row>
    <row r="253" spans="1:40" ht="18.75" customHeight="1">
      <c r="A253" s="5"/>
      <c r="B253" s="5"/>
      <c r="C253" s="5"/>
      <c r="D253" s="5"/>
      <c r="E253" s="5"/>
      <c r="F253" s="5"/>
      <c r="G253" s="5"/>
      <c r="H253" s="5"/>
      <c r="I253" s="5"/>
      <c r="J253" s="5"/>
      <c r="K253" s="5"/>
      <c r="L253" s="5"/>
      <c r="M253" s="5"/>
      <c r="N253" s="5"/>
      <c r="O253" s="5"/>
      <c r="P253" s="5"/>
      <c r="Q253" s="5"/>
      <c r="R253" s="5"/>
      <c r="S253" s="5"/>
      <c r="T253" s="5"/>
      <c r="U253" s="5"/>
      <c r="V253" s="5"/>
      <c r="Y253" s="5"/>
      <c r="Z253" s="5"/>
      <c r="AA253" s="5"/>
      <c r="AB253" s="5"/>
      <c r="AC253" s="5"/>
      <c r="AD253" s="5"/>
      <c r="AE253" s="5"/>
      <c r="AF253" s="5"/>
      <c r="AG253" s="5"/>
      <c r="AH253" s="5"/>
      <c r="AI253" s="5"/>
      <c r="AJ253" s="5"/>
      <c r="AK253" s="5"/>
      <c r="AL253" s="5"/>
      <c r="AM253" s="5"/>
      <c r="AN253" s="5"/>
    </row>
    <row r="254" spans="1:40" ht="18.75" customHeight="1">
      <c r="A254" s="5"/>
      <c r="B254" s="5"/>
      <c r="C254" s="5"/>
      <c r="D254" s="5"/>
      <c r="E254" s="5"/>
      <c r="F254" s="5"/>
      <c r="G254" s="5"/>
      <c r="H254" s="5"/>
      <c r="I254" s="5"/>
      <c r="J254" s="5"/>
      <c r="K254" s="5"/>
      <c r="L254" s="5"/>
      <c r="M254" s="5"/>
      <c r="N254" s="5"/>
      <c r="O254" s="5"/>
      <c r="P254" s="5"/>
      <c r="Q254" s="5"/>
      <c r="R254" s="5"/>
      <c r="S254" s="5"/>
      <c r="T254" s="5"/>
      <c r="U254" s="5"/>
      <c r="V254" s="5"/>
      <c r="Y254" s="5"/>
      <c r="Z254" s="5"/>
      <c r="AA254" s="5"/>
      <c r="AB254" s="5"/>
      <c r="AC254" s="5"/>
      <c r="AD254" s="5"/>
      <c r="AE254" s="5"/>
      <c r="AF254" s="5"/>
      <c r="AG254" s="5"/>
      <c r="AH254" s="5"/>
      <c r="AI254" s="5"/>
      <c r="AJ254" s="5"/>
      <c r="AK254" s="5"/>
      <c r="AL254" s="5"/>
      <c r="AM254" s="5"/>
      <c r="AN254" s="5"/>
    </row>
    <row r="255" spans="1:40" ht="18.75" customHeight="1">
      <c r="A255" s="5"/>
      <c r="B255" s="5"/>
      <c r="C255" s="5"/>
      <c r="D255" s="5"/>
      <c r="E255" s="5"/>
      <c r="F255" s="5"/>
      <c r="G255" s="5"/>
      <c r="H255" s="5"/>
      <c r="I255" s="5"/>
      <c r="J255" s="5"/>
      <c r="K255" s="5"/>
      <c r="L255" s="5"/>
      <c r="M255" s="5"/>
      <c r="N255" s="5"/>
      <c r="O255" s="5"/>
      <c r="P255" s="5"/>
      <c r="Q255" s="5"/>
      <c r="R255" s="5"/>
      <c r="S255" s="5"/>
      <c r="T255" s="5"/>
      <c r="U255" s="5"/>
      <c r="V255" s="5"/>
      <c r="Y255" s="5"/>
      <c r="Z255" s="5"/>
      <c r="AA255" s="5"/>
      <c r="AB255" s="5"/>
      <c r="AC255" s="5"/>
      <c r="AD255" s="5"/>
      <c r="AE255" s="5"/>
      <c r="AF255" s="5"/>
      <c r="AG255" s="5"/>
      <c r="AH255" s="5"/>
      <c r="AI255" s="5"/>
      <c r="AJ255" s="5"/>
      <c r="AK255" s="5"/>
      <c r="AL255" s="5"/>
      <c r="AM255" s="5"/>
      <c r="AN255" s="5"/>
    </row>
    <row r="256" spans="1:40" ht="18.75" customHeight="1">
      <c r="A256" s="5"/>
      <c r="B256" s="5"/>
      <c r="C256" s="5"/>
      <c r="D256" s="5"/>
      <c r="E256" s="5"/>
      <c r="F256" s="5"/>
      <c r="G256" s="5"/>
      <c r="H256" s="5"/>
      <c r="I256" s="5"/>
      <c r="J256" s="5"/>
      <c r="K256" s="5"/>
      <c r="L256" s="5"/>
      <c r="M256" s="5"/>
      <c r="N256" s="5"/>
      <c r="O256" s="5"/>
      <c r="P256" s="5"/>
      <c r="Q256" s="5"/>
      <c r="R256" s="5"/>
      <c r="S256" s="5"/>
      <c r="T256" s="5"/>
      <c r="U256" s="5"/>
      <c r="V256" s="5"/>
      <c r="Y256" s="5"/>
      <c r="Z256" s="5"/>
      <c r="AA256" s="5"/>
      <c r="AB256" s="5"/>
      <c r="AC256" s="5"/>
      <c r="AD256" s="5"/>
      <c r="AE256" s="5"/>
      <c r="AF256" s="5"/>
      <c r="AG256" s="5"/>
      <c r="AH256" s="5"/>
      <c r="AI256" s="5"/>
      <c r="AJ256" s="5"/>
      <c r="AK256" s="5"/>
      <c r="AL256" s="5"/>
      <c r="AM256" s="5"/>
      <c r="AN256" s="5"/>
    </row>
    <row r="257" spans="1:40" ht="18.75" customHeight="1">
      <c r="A257" s="5"/>
      <c r="B257" s="5"/>
      <c r="C257" s="5"/>
      <c r="D257" s="5"/>
      <c r="E257" s="5"/>
      <c r="F257" s="5"/>
      <c r="G257" s="5"/>
      <c r="H257" s="5"/>
      <c r="I257" s="5"/>
      <c r="J257" s="5"/>
      <c r="K257" s="5"/>
      <c r="L257" s="5"/>
      <c r="M257" s="5"/>
      <c r="N257" s="5"/>
      <c r="O257" s="5"/>
      <c r="P257" s="5"/>
      <c r="Q257" s="5"/>
      <c r="R257" s="5"/>
      <c r="S257" s="5"/>
      <c r="T257" s="5"/>
      <c r="U257" s="5"/>
      <c r="V257" s="5"/>
      <c r="Y257" s="5"/>
      <c r="Z257" s="5"/>
      <c r="AA257" s="5"/>
      <c r="AB257" s="5"/>
      <c r="AC257" s="5"/>
      <c r="AD257" s="5"/>
      <c r="AE257" s="5"/>
      <c r="AF257" s="5"/>
      <c r="AG257" s="5"/>
      <c r="AH257" s="5"/>
      <c r="AI257" s="5"/>
      <c r="AJ257" s="5"/>
      <c r="AK257" s="5"/>
      <c r="AL257" s="5"/>
      <c r="AM257" s="5"/>
      <c r="AN257" s="5"/>
    </row>
    <row r="258" spans="1:40" ht="18.75" customHeight="1">
      <c r="A258" s="5"/>
      <c r="B258" s="5"/>
      <c r="C258" s="5"/>
      <c r="D258" s="5"/>
      <c r="E258" s="5"/>
      <c r="F258" s="5"/>
      <c r="G258" s="5"/>
      <c r="H258" s="5"/>
      <c r="I258" s="5"/>
      <c r="J258" s="5"/>
      <c r="K258" s="5"/>
      <c r="L258" s="5"/>
      <c r="M258" s="5"/>
      <c r="N258" s="5"/>
      <c r="O258" s="5"/>
      <c r="P258" s="5"/>
      <c r="Q258" s="5"/>
      <c r="R258" s="5"/>
      <c r="S258" s="5"/>
      <c r="T258" s="5"/>
      <c r="U258" s="5"/>
      <c r="V258" s="5"/>
      <c r="Y258" s="5"/>
      <c r="Z258" s="5"/>
      <c r="AA258" s="5"/>
      <c r="AB258" s="5"/>
      <c r="AC258" s="5"/>
      <c r="AD258" s="5"/>
      <c r="AE258" s="5"/>
      <c r="AF258" s="5"/>
      <c r="AG258" s="5"/>
      <c r="AH258" s="5"/>
      <c r="AI258" s="5"/>
      <c r="AJ258" s="5"/>
      <c r="AK258" s="5"/>
      <c r="AL258" s="5"/>
      <c r="AM258" s="5"/>
      <c r="AN258" s="5"/>
    </row>
    <row r="259" spans="1:40" ht="18.75" customHeight="1">
      <c r="A259" s="5"/>
      <c r="B259" s="5"/>
      <c r="C259" s="5"/>
      <c r="D259" s="5"/>
      <c r="E259" s="5"/>
      <c r="F259" s="5"/>
      <c r="G259" s="5"/>
      <c r="H259" s="5"/>
      <c r="I259" s="5"/>
      <c r="J259" s="5"/>
      <c r="K259" s="5"/>
      <c r="L259" s="5"/>
      <c r="M259" s="5"/>
      <c r="N259" s="5"/>
      <c r="O259" s="5"/>
      <c r="P259" s="5"/>
      <c r="Q259" s="5"/>
      <c r="R259" s="5"/>
      <c r="S259" s="5"/>
      <c r="T259" s="5"/>
      <c r="U259" s="5"/>
      <c r="V259" s="5"/>
      <c r="Y259" s="5"/>
      <c r="Z259" s="5"/>
      <c r="AA259" s="5"/>
      <c r="AB259" s="5"/>
      <c r="AC259" s="5"/>
      <c r="AD259" s="5"/>
      <c r="AE259" s="5"/>
      <c r="AF259" s="5"/>
      <c r="AG259" s="5"/>
      <c r="AH259" s="5"/>
      <c r="AI259" s="5"/>
      <c r="AJ259" s="5"/>
      <c r="AK259" s="5"/>
      <c r="AL259" s="5"/>
      <c r="AM259" s="5"/>
      <c r="AN259" s="5"/>
    </row>
    <row r="260" spans="1:40" ht="18.75" customHeight="1">
      <c r="A260" s="5"/>
      <c r="B260" s="5"/>
      <c r="C260" s="5"/>
      <c r="D260" s="5"/>
      <c r="E260" s="5"/>
      <c r="F260" s="5"/>
      <c r="G260" s="5"/>
      <c r="H260" s="5"/>
      <c r="I260" s="5"/>
      <c r="J260" s="5"/>
      <c r="K260" s="5"/>
      <c r="L260" s="5"/>
      <c r="M260" s="5"/>
      <c r="N260" s="5"/>
      <c r="O260" s="5"/>
      <c r="P260" s="5"/>
      <c r="Q260" s="5"/>
      <c r="R260" s="5"/>
      <c r="S260" s="5"/>
      <c r="T260" s="5"/>
      <c r="U260" s="5"/>
      <c r="V260" s="5"/>
      <c r="Y260" s="5"/>
      <c r="Z260" s="5"/>
      <c r="AA260" s="5"/>
      <c r="AB260" s="5"/>
      <c r="AC260" s="5"/>
      <c r="AD260" s="5"/>
      <c r="AE260" s="5"/>
      <c r="AF260" s="5"/>
      <c r="AG260" s="5"/>
      <c r="AH260" s="5"/>
      <c r="AI260" s="5"/>
      <c r="AJ260" s="5"/>
      <c r="AK260" s="5"/>
      <c r="AL260" s="5"/>
      <c r="AM260" s="5"/>
      <c r="AN260" s="5"/>
    </row>
    <row r="261" spans="1:40" ht="18.75" customHeight="1">
      <c r="A261" s="5"/>
      <c r="B261" s="5"/>
      <c r="C261" s="5"/>
      <c r="D261" s="5"/>
      <c r="E261" s="5"/>
      <c r="F261" s="5"/>
      <c r="G261" s="5"/>
      <c r="H261" s="5"/>
      <c r="I261" s="5"/>
      <c r="J261" s="5"/>
      <c r="K261" s="5"/>
      <c r="L261" s="5"/>
      <c r="M261" s="5"/>
      <c r="N261" s="5"/>
      <c r="O261" s="5"/>
      <c r="P261" s="5"/>
      <c r="Q261" s="5"/>
      <c r="R261" s="5"/>
      <c r="S261" s="5"/>
      <c r="T261" s="5"/>
      <c r="U261" s="5"/>
      <c r="V261" s="5"/>
      <c r="Y261" s="5"/>
      <c r="Z261" s="5"/>
      <c r="AA261" s="5"/>
      <c r="AB261" s="5"/>
      <c r="AC261" s="5"/>
      <c r="AD261" s="5"/>
      <c r="AE261" s="5"/>
      <c r="AF261" s="5"/>
      <c r="AG261" s="5"/>
      <c r="AH261" s="5"/>
      <c r="AI261" s="5"/>
      <c r="AJ261" s="5"/>
      <c r="AK261" s="5"/>
      <c r="AL261" s="5"/>
      <c r="AM261" s="5"/>
      <c r="AN261" s="5"/>
    </row>
    <row r="262" spans="1:40" ht="18.75" customHeight="1">
      <c r="A262" s="5"/>
      <c r="B262" s="5"/>
      <c r="C262" s="5"/>
      <c r="D262" s="5"/>
      <c r="E262" s="5"/>
      <c r="F262" s="5"/>
      <c r="G262" s="5"/>
      <c r="H262" s="5"/>
      <c r="I262" s="5"/>
      <c r="J262" s="5"/>
      <c r="K262" s="5"/>
      <c r="L262" s="5"/>
      <c r="M262" s="5"/>
      <c r="N262" s="5"/>
      <c r="O262" s="5"/>
      <c r="P262" s="5"/>
      <c r="Q262" s="5"/>
      <c r="R262" s="5"/>
      <c r="S262" s="5"/>
      <c r="T262" s="5"/>
      <c r="U262" s="5"/>
      <c r="V262" s="5"/>
      <c r="Y262" s="5"/>
      <c r="Z262" s="5"/>
      <c r="AA262" s="5"/>
      <c r="AB262" s="5"/>
      <c r="AC262" s="5"/>
      <c r="AD262" s="5"/>
      <c r="AE262" s="5"/>
      <c r="AF262" s="5"/>
      <c r="AG262" s="5"/>
      <c r="AH262" s="5"/>
      <c r="AI262" s="5"/>
      <c r="AJ262" s="5"/>
      <c r="AK262" s="5"/>
      <c r="AL262" s="5"/>
      <c r="AM262" s="5"/>
      <c r="AN262" s="5"/>
    </row>
    <row r="263" spans="1:40" ht="18.75" customHeight="1">
      <c r="A263" s="5"/>
      <c r="B263" s="5"/>
      <c r="C263" s="5"/>
      <c r="D263" s="5"/>
      <c r="E263" s="5"/>
      <c r="F263" s="5"/>
      <c r="G263" s="5"/>
      <c r="H263" s="5"/>
      <c r="I263" s="5"/>
      <c r="J263" s="5"/>
      <c r="K263" s="5"/>
      <c r="L263" s="5"/>
      <c r="M263" s="5"/>
      <c r="N263" s="5"/>
      <c r="O263" s="5"/>
      <c r="P263" s="5"/>
      <c r="Q263" s="5"/>
      <c r="R263" s="5"/>
      <c r="S263" s="5"/>
      <c r="T263" s="5"/>
      <c r="U263" s="5"/>
      <c r="V263" s="5"/>
      <c r="Y263" s="5"/>
      <c r="Z263" s="5"/>
      <c r="AA263" s="5"/>
      <c r="AB263" s="5"/>
      <c r="AC263" s="5"/>
      <c r="AD263" s="5"/>
      <c r="AE263" s="5"/>
      <c r="AF263" s="5"/>
      <c r="AG263" s="5"/>
      <c r="AH263" s="5"/>
      <c r="AI263" s="5"/>
      <c r="AJ263" s="5"/>
      <c r="AK263" s="5"/>
      <c r="AL263" s="5"/>
      <c r="AM263" s="5"/>
      <c r="AN263" s="5"/>
    </row>
    <row r="264" spans="1:40" ht="18.75" customHeight="1">
      <c r="A264" s="5"/>
      <c r="B264" s="5"/>
      <c r="C264" s="5"/>
      <c r="D264" s="5"/>
      <c r="E264" s="5"/>
      <c r="F264" s="5"/>
      <c r="G264" s="5"/>
      <c r="H264" s="5"/>
      <c r="I264" s="5"/>
      <c r="J264" s="5"/>
      <c r="K264" s="5"/>
      <c r="L264" s="5"/>
      <c r="M264" s="5"/>
      <c r="N264" s="5"/>
      <c r="O264" s="5"/>
      <c r="P264" s="5"/>
      <c r="Q264" s="5"/>
      <c r="R264" s="5"/>
      <c r="S264" s="5"/>
      <c r="T264" s="5"/>
      <c r="U264" s="5"/>
      <c r="V264" s="5"/>
      <c r="Y264" s="5"/>
      <c r="Z264" s="5"/>
      <c r="AA264" s="5"/>
      <c r="AB264" s="5"/>
      <c r="AC264" s="5"/>
      <c r="AD264" s="5"/>
      <c r="AE264" s="5"/>
      <c r="AF264" s="5"/>
      <c r="AG264" s="5"/>
      <c r="AH264" s="5"/>
      <c r="AI264" s="5"/>
      <c r="AJ264" s="5"/>
      <c r="AK264" s="5"/>
      <c r="AL264" s="5"/>
      <c r="AM264" s="5"/>
      <c r="AN264" s="5"/>
    </row>
    <row r="265" spans="1:40" ht="18.75" customHeight="1">
      <c r="A265" s="5"/>
      <c r="B265" s="5"/>
      <c r="C265" s="5"/>
      <c r="D265" s="5"/>
      <c r="E265" s="5"/>
      <c r="F265" s="5"/>
      <c r="G265" s="5"/>
      <c r="H265" s="5"/>
      <c r="I265" s="5"/>
      <c r="J265" s="5"/>
      <c r="K265" s="5"/>
      <c r="L265" s="5"/>
      <c r="M265" s="5"/>
      <c r="N265" s="5"/>
      <c r="O265" s="5"/>
      <c r="P265" s="5"/>
      <c r="Q265" s="5"/>
      <c r="R265" s="5"/>
      <c r="S265" s="5"/>
      <c r="T265" s="5"/>
      <c r="U265" s="5"/>
      <c r="V265" s="5"/>
      <c r="Y265" s="5"/>
      <c r="Z265" s="5"/>
      <c r="AA265" s="5"/>
      <c r="AB265" s="5"/>
      <c r="AC265" s="5"/>
      <c r="AD265" s="5"/>
      <c r="AE265" s="5"/>
      <c r="AF265" s="5"/>
      <c r="AG265" s="5"/>
      <c r="AH265" s="5"/>
      <c r="AI265" s="5"/>
      <c r="AJ265" s="5"/>
      <c r="AK265" s="5"/>
      <c r="AL265" s="5"/>
      <c r="AM265" s="5"/>
      <c r="AN265" s="5"/>
    </row>
    <row r="266" spans="1:40" ht="18.75" customHeight="1">
      <c r="A266" s="5"/>
      <c r="B266" s="5"/>
      <c r="C266" s="5"/>
      <c r="D266" s="5"/>
      <c r="E266" s="5"/>
      <c r="F266" s="5"/>
      <c r="G266" s="5"/>
      <c r="H266" s="5"/>
      <c r="I266" s="5"/>
      <c r="J266" s="5"/>
      <c r="K266" s="5"/>
      <c r="L266" s="5"/>
      <c r="M266" s="5"/>
      <c r="N266" s="5"/>
      <c r="O266" s="5"/>
      <c r="P266" s="5"/>
      <c r="Q266" s="5"/>
      <c r="R266" s="5"/>
      <c r="S266" s="5"/>
      <c r="T266" s="5"/>
      <c r="U266" s="5"/>
      <c r="V266" s="5"/>
      <c r="Y266" s="5"/>
      <c r="Z266" s="5"/>
      <c r="AA266" s="5"/>
      <c r="AB266" s="5"/>
      <c r="AC266" s="5"/>
      <c r="AD266" s="5"/>
      <c r="AE266" s="5"/>
      <c r="AF266" s="5"/>
      <c r="AG266" s="5"/>
      <c r="AH266" s="5"/>
      <c r="AI266" s="5"/>
      <c r="AJ266" s="5"/>
      <c r="AK266" s="5"/>
      <c r="AL266" s="5"/>
      <c r="AM266" s="5"/>
      <c r="AN266" s="5"/>
    </row>
    <row r="267" spans="1:40" ht="18.75" customHeight="1">
      <c r="A267" s="5"/>
      <c r="B267" s="5"/>
      <c r="C267" s="5"/>
      <c r="D267" s="5"/>
      <c r="E267" s="5"/>
      <c r="F267" s="5"/>
      <c r="G267" s="5"/>
      <c r="H267" s="5"/>
      <c r="I267" s="5"/>
      <c r="J267" s="5"/>
      <c r="K267" s="5"/>
      <c r="L267" s="5"/>
      <c r="M267" s="5"/>
      <c r="N267" s="5"/>
      <c r="O267" s="5"/>
      <c r="P267" s="5"/>
      <c r="Q267" s="5"/>
      <c r="R267" s="5"/>
      <c r="S267" s="5"/>
      <c r="T267" s="5"/>
      <c r="U267" s="5"/>
      <c r="V267" s="5"/>
      <c r="Y267" s="5"/>
      <c r="Z267" s="5"/>
      <c r="AA267" s="5"/>
      <c r="AB267" s="5"/>
      <c r="AC267" s="5"/>
      <c r="AD267" s="5"/>
      <c r="AE267" s="5"/>
      <c r="AF267" s="5"/>
      <c r="AG267" s="5"/>
      <c r="AH267" s="5"/>
      <c r="AI267" s="5"/>
      <c r="AJ267" s="5"/>
      <c r="AK267" s="5"/>
      <c r="AL267" s="5"/>
      <c r="AM267" s="5"/>
      <c r="AN267" s="5"/>
    </row>
    <row r="268" spans="1:40" ht="18.75" customHeight="1">
      <c r="A268" s="5"/>
      <c r="B268" s="5"/>
      <c r="C268" s="5"/>
      <c r="D268" s="5"/>
      <c r="E268" s="5"/>
      <c r="F268" s="5"/>
      <c r="G268" s="5"/>
      <c r="H268" s="5"/>
      <c r="I268" s="5"/>
      <c r="J268" s="5"/>
      <c r="K268" s="5"/>
      <c r="L268" s="5"/>
      <c r="M268" s="5"/>
      <c r="N268" s="5"/>
      <c r="O268" s="5"/>
      <c r="P268" s="5"/>
      <c r="Q268" s="5"/>
      <c r="R268" s="5"/>
      <c r="S268" s="5"/>
      <c r="T268" s="5"/>
      <c r="U268" s="5"/>
      <c r="V268" s="5"/>
      <c r="Y268" s="5"/>
      <c r="Z268" s="5"/>
      <c r="AA268" s="5"/>
      <c r="AB268" s="5"/>
      <c r="AC268" s="5"/>
      <c r="AD268" s="5"/>
      <c r="AE268" s="5"/>
      <c r="AF268" s="5"/>
      <c r="AG268" s="5"/>
      <c r="AH268" s="5"/>
      <c r="AI268" s="5"/>
      <c r="AJ268" s="5"/>
      <c r="AK268" s="5"/>
      <c r="AL268" s="5"/>
      <c r="AM268" s="5"/>
      <c r="AN268" s="5"/>
    </row>
    <row r="269" spans="1:40" ht="18.75" customHeight="1">
      <c r="A269" s="5"/>
      <c r="B269" s="5"/>
      <c r="C269" s="5"/>
      <c r="D269" s="5"/>
      <c r="E269" s="5"/>
      <c r="F269" s="5"/>
      <c r="G269" s="5"/>
      <c r="H269" s="5"/>
      <c r="I269" s="5"/>
      <c r="J269" s="5"/>
      <c r="K269" s="5"/>
      <c r="L269" s="5"/>
      <c r="M269" s="5"/>
      <c r="N269" s="5"/>
      <c r="O269" s="5"/>
      <c r="P269" s="5"/>
      <c r="Q269" s="5"/>
      <c r="R269" s="5"/>
      <c r="S269" s="5"/>
      <c r="T269" s="5"/>
      <c r="U269" s="5"/>
      <c r="V269" s="5"/>
      <c r="Y269" s="5"/>
      <c r="Z269" s="5"/>
      <c r="AA269" s="5"/>
      <c r="AB269" s="5"/>
      <c r="AC269" s="5"/>
      <c r="AD269" s="5"/>
      <c r="AE269" s="5"/>
      <c r="AF269" s="5"/>
      <c r="AG269" s="5"/>
      <c r="AH269" s="5"/>
      <c r="AI269" s="5"/>
      <c r="AJ269" s="5"/>
      <c r="AK269" s="5"/>
      <c r="AL269" s="5"/>
      <c r="AM269" s="5"/>
      <c r="AN269" s="5"/>
    </row>
    <row r="270" spans="1:40" ht="18.75" customHeight="1">
      <c r="A270" s="5"/>
      <c r="B270" s="5"/>
      <c r="C270" s="5"/>
      <c r="D270" s="5"/>
      <c r="E270" s="5"/>
      <c r="F270" s="5"/>
      <c r="G270" s="5"/>
      <c r="H270" s="5"/>
      <c r="I270" s="5"/>
      <c r="J270" s="5"/>
      <c r="K270" s="5"/>
      <c r="L270" s="5"/>
      <c r="M270" s="5"/>
      <c r="N270" s="5"/>
      <c r="O270" s="5"/>
      <c r="P270" s="5"/>
      <c r="Q270" s="5"/>
      <c r="R270" s="5"/>
      <c r="S270" s="5"/>
      <c r="T270" s="5"/>
      <c r="U270" s="5"/>
      <c r="V270" s="5"/>
      <c r="Y270" s="5"/>
      <c r="Z270" s="5"/>
      <c r="AA270" s="5"/>
      <c r="AB270" s="5"/>
      <c r="AC270" s="5"/>
      <c r="AD270" s="5"/>
      <c r="AE270" s="5"/>
      <c r="AF270" s="5"/>
      <c r="AG270" s="5"/>
      <c r="AH270" s="5"/>
      <c r="AI270" s="5"/>
      <c r="AJ270" s="5"/>
      <c r="AK270" s="5"/>
      <c r="AL270" s="5"/>
      <c r="AM270" s="5"/>
      <c r="AN270" s="5"/>
    </row>
    <row r="271" spans="1:40" ht="18.75" customHeight="1">
      <c r="A271" s="5"/>
      <c r="B271" s="5"/>
      <c r="C271" s="5"/>
      <c r="D271" s="5"/>
      <c r="E271" s="5"/>
      <c r="F271" s="5"/>
      <c r="G271" s="5"/>
      <c r="H271" s="5"/>
      <c r="I271" s="5"/>
      <c r="J271" s="5"/>
      <c r="K271" s="5"/>
      <c r="L271" s="5"/>
      <c r="M271" s="5"/>
      <c r="N271" s="5"/>
      <c r="O271" s="5"/>
      <c r="P271" s="5"/>
      <c r="Q271" s="5"/>
      <c r="R271" s="5"/>
      <c r="S271" s="5"/>
      <c r="T271" s="5"/>
      <c r="U271" s="5"/>
      <c r="V271" s="5"/>
      <c r="Y271" s="5"/>
      <c r="Z271" s="5"/>
      <c r="AA271" s="5"/>
      <c r="AB271" s="5"/>
      <c r="AC271" s="5"/>
      <c r="AD271" s="5"/>
      <c r="AE271" s="5"/>
      <c r="AF271" s="5"/>
      <c r="AG271" s="5"/>
      <c r="AH271" s="5"/>
      <c r="AI271" s="5"/>
      <c r="AJ271" s="5"/>
      <c r="AK271" s="5"/>
      <c r="AL271" s="5"/>
      <c r="AM271" s="5"/>
      <c r="AN271" s="5"/>
    </row>
    <row r="272" spans="1:40" ht="18.75" customHeight="1">
      <c r="A272" s="5"/>
      <c r="B272" s="5"/>
      <c r="C272" s="5"/>
      <c r="D272" s="5"/>
      <c r="E272" s="5"/>
      <c r="F272" s="5"/>
      <c r="G272" s="5"/>
      <c r="H272" s="5"/>
      <c r="I272" s="5"/>
      <c r="J272" s="5"/>
      <c r="K272" s="5"/>
      <c r="L272" s="5"/>
      <c r="M272" s="5"/>
      <c r="N272" s="5"/>
      <c r="O272" s="5"/>
      <c r="P272" s="5"/>
      <c r="Q272" s="5"/>
      <c r="R272" s="5"/>
      <c r="S272" s="5"/>
      <c r="T272" s="5"/>
      <c r="U272" s="5"/>
      <c r="V272" s="5"/>
      <c r="Y272" s="5"/>
      <c r="Z272" s="5"/>
      <c r="AA272" s="5"/>
      <c r="AB272" s="5"/>
      <c r="AC272" s="5"/>
      <c r="AD272" s="5"/>
      <c r="AE272" s="5"/>
      <c r="AF272" s="5"/>
      <c r="AG272" s="5"/>
      <c r="AH272" s="5"/>
      <c r="AI272" s="5"/>
      <c r="AJ272" s="5"/>
      <c r="AK272" s="5"/>
      <c r="AL272" s="5"/>
      <c r="AM272" s="5"/>
      <c r="AN272" s="5"/>
    </row>
    <row r="273" spans="1:40" ht="18.75" customHeight="1">
      <c r="A273" s="5"/>
      <c r="B273" s="5"/>
      <c r="C273" s="5"/>
      <c r="D273" s="5"/>
      <c r="E273" s="5"/>
      <c r="F273" s="5"/>
      <c r="G273" s="5"/>
      <c r="H273" s="5"/>
      <c r="I273" s="5"/>
      <c r="J273" s="5"/>
      <c r="K273" s="5"/>
      <c r="L273" s="5"/>
      <c r="M273" s="5"/>
      <c r="N273" s="5"/>
      <c r="O273" s="5"/>
      <c r="P273" s="5"/>
      <c r="Q273" s="5"/>
      <c r="R273" s="5"/>
      <c r="S273" s="5"/>
      <c r="T273" s="5"/>
      <c r="U273" s="5"/>
      <c r="V273" s="5"/>
      <c r="Y273" s="5"/>
      <c r="Z273" s="5"/>
      <c r="AA273" s="5"/>
      <c r="AB273" s="5"/>
      <c r="AC273" s="5"/>
      <c r="AD273" s="5"/>
      <c r="AE273" s="5"/>
      <c r="AF273" s="5"/>
      <c r="AG273" s="5"/>
      <c r="AH273" s="5"/>
      <c r="AI273" s="5"/>
      <c r="AJ273" s="5"/>
      <c r="AK273" s="5"/>
      <c r="AL273" s="5"/>
      <c r="AM273" s="5"/>
      <c r="AN273" s="5"/>
    </row>
    <row r="274" spans="1:40" ht="18.75" customHeight="1">
      <c r="A274" s="5"/>
      <c r="B274" s="5"/>
      <c r="C274" s="5"/>
      <c r="D274" s="5"/>
      <c r="E274" s="5"/>
      <c r="F274" s="5"/>
      <c r="G274" s="5"/>
      <c r="H274" s="5"/>
      <c r="I274" s="5"/>
      <c r="J274" s="5"/>
      <c r="K274" s="5"/>
      <c r="L274" s="5"/>
      <c r="M274" s="5"/>
      <c r="N274" s="5"/>
      <c r="O274" s="5"/>
      <c r="P274" s="5"/>
      <c r="Q274" s="5"/>
      <c r="R274" s="5"/>
      <c r="S274" s="5"/>
      <c r="T274" s="5"/>
      <c r="U274" s="5"/>
      <c r="V274" s="5"/>
      <c r="Y274" s="5"/>
      <c r="Z274" s="5"/>
      <c r="AA274" s="5"/>
      <c r="AB274" s="5"/>
      <c r="AC274" s="5"/>
      <c r="AD274" s="5"/>
      <c r="AE274" s="5"/>
      <c r="AF274" s="5"/>
      <c r="AG274" s="5"/>
      <c r="AH274" s="5"/>
      <c r="AI274" s="5"/>
      <c r="AJ274" s="5"/>
      <c r="AK274" s="5"/>
      <c r="AL274" s="5"/>
      <c r="AM274" s="5"/>
      <c r="AN274" s="5"/>
    </row>
    <row r="275" spans="1:40" ht="18.75" customHeight="1">
      <c r="A275" s="5"/>
      <c r="B275" s="5"/>
      <c r="C275" s="5"/>
      <c r="D275" s="5"/>
      <c r="E275" s="5"/>
      <c r="F275" s="5"/>
      <c r="G275" s="5"/>
      <c r="H275" s="5"/>
      <c r="I275" s="5"/>
      <c r="J275" s="5"/>
      <c r="K275" s="5"/>
      <c r="L275" s="5"/>
      <c r="M275" s="5"/>
      <c r="N275" s="5"/>
      <c r="O275" s="5"/>
      <c r="P275" s="5"/>
      <c r="Q275" s="5"/>
      <c r="R275" s="5"/>
      <c r="S275" s="5"/>
      <c r="T275" s="5"/>
      <c r="U275" s="5"/>
      <c r="V275" s="5"/>
      <c r="Y275" s="5"/>
      <c r="Z275" s="5"/>
      <c r="AA275" s="5"/>
      <c r="AB275" s="5"/>
      <c r="AC275" s="5"/>
      <c r="AD275" s="5"/>
      <c r="AE275" s="5"/>
      <c r="AF275" s="5"/>
      <c r="AG275" s="5"/>
      <c r="AH275" s="5"/>
      <c r="AI275" s="5"/>
      <c r="AJ275" s="5"/>
      <c r="AK275" s="5"/>
      <c r="AL275" s="5"/>
      <c r="AM275" s="5"/>
      <c r="AN275" s="5"/>
    </row>
    <row r="276" spans="1:40" ht="18.75" customHeight="1">
      <c r="A276" s="5"/>
      <c r="B276" s="5"/>
      <c r="C276" s="5"/>
      <c r="D276" s="5"/>
      <c r="E276" s="5"/>
      <c r="F276" s="5"/>
      <c r="G276" s="5"/>
      <c r="H276" s="5"/>
      <c r="I276" s="5"/>
      <c r="J276" s="5"/>
      <c r="K276" s="5"/>
      <c r="L276" s="5"/>
      <c r="M276" s="5"/>
      <c r="N276" s="5"/>
      <c r="O276" s="5"/>
      <c r="P276" s="5"/>
      <c r="Q276" s="5"/>
      <c r="R276" s="5"/>
      <c r="S276" s="5"/>
      <c r="T276" s="5"/>
      <c r="U276" s="5"/>
      <c r="V276" s="5"/>
      <c r="Y276" s="5"/>
      <c r="Z276" s="5"/>
      <c r="AA276" s="5"/>
      <c r="AB276" s="5"/>
      <c r="AC276" s="5"/>
      <c r="AD276" s="5"/>
      <c r="AE276" s="5"/>
      <c r="AF276" s="5"/>
      <c r="AG276" s="5"/>
      <c r="AH276" s="5"/>
      <c r="AI276" s="5"/>
      <c r="AJ276" s="5"/>
      <c r="AK276" s="5"/>
      <c r="AL276" s="5"/>
      <c r="AM276" s="5"/>
      <c r="AN276" s="5"/>
    </row>
    <row r="277" spans="1:40" ht="18.75" customHeight="1">
      <c r="A277" s="5"/>
      <c r="B277" s="5"/>
      <c r="C277" s="5"/>
      <c r="D277" s="5"/>
      <c r="E277" s="5"/>
      <c r="F277" s="5"/>
      <c r="G277" s="5"/>
      <c r="H277" s="5"/>
      <c r="I277" s="5"/>
      <c r="J277" s="5"/>
      <c r="K277" s="5"/>
      <c r="L277" s="5"/>
      <c r="M277" s="5"/>
      <c r="N277" s="5"/>
      <c r="O277" s="5"/>
      <c r="P277" s="5"/>
      <c r="Q277" s="5"/>
      <c r="R277" s="5"/>
      <c r="S277" s="5"/>
      <c r="T277" s="5"/>
      <c r="U277" s="5"/>
      <c r="V277" s="5"/>
      <c r="Y277" s="5"/>
      <c r="Z277" s="5"/>
      <c r="AA277" s="5"/>
      <c r="AB277" s="5"/>
      <c r="AC277" s="5"/>
      <c r="AD277" s="5"/>
      <c r="AE277" s="5"/>
      <c r="AF277" s="5"/>
      <c r="AG277" s="5"/>
      <c r="AH277" s="5"/>
      <c r="AI277" s="5"/>
      <c r="AJ277" s="5"/>
      <c r="AK277" s="5"/>
      <c r="AL277" s="5"/>
      <c r="AM277" s="5"/>
      <c r="AN277" s="5"/>
    </row>
    <row r="278" spans="1:40" ht="18.75" customHeight="1">
      <c r="A278" s="5"/>
      <c r="B278" s="5"/>
      <c r="C278" s="5"/>
      <c r="D278" s="5"/>
      <c r="E278" s="5"/>
      <c r="F278" s="5"/>
      <c r="G278" s="5"/>
      <c r="H278" s="5"/>
      <c r="I278" s="5"/>
      <c r="J278" s="5"/>
      <c r="K278" s="5"/>
      <c r="L278" s="5"/>
      <c r="M278" s="5"/>
      <c r="N278" s="5"/>
      <c r="O278" s="5"/>
      <c r="P278" s="5"/>
      <c r="Q278" s="5"/>
      <c r="R278" s="5"/>
      <c r="S278" s="5"/>
      <c r="T278" s="5"/>
      <c r="U278" s="5"/>
      <c r="V278" s="5"/>
      <c r="Y278" s="5"/>
      <c r="Z278" s="5"/>
      <c r="AA278" s="5"/>
      <c r="AB278" s="5"/>
      <c r="AC278" s="5"/>
      <c r="AD278" s="5"/>
      <c r="AE278" s="5"/>
      <c r="AF278" s="5"/>
      <c r="AG278" s="5"/>
      <c r="AH278" s="5"/>
      <c r="AI278" s="5"/>
      <c r="AJ278" s="5"/>
      <c r="AK278" s="5"/>
      <c r="AL278" s="5"/>
      <c r="AM278" s="5"/>
      <c r="AN278" s="5"/>
    </row>
    <row r="279" spans="1:40" ht="18.75" customHeight="1">
      <c r="A279" s="5"/>
      <c r="B279" s="5"/>
      <c r="C279" s="5"/>
      <c r="D279" s="5"/>
      <c r="E279" s="5"/>
      <c r="F279" s="5"/>
      <c r="G279" s="5"/>
      <c r="H279" s="5"/>
      <c r="I279" s="5"/>
      <c r="J279" s="5"/>
      <c r="K279" s="5"/>
      <c r="L279" s="5"/>
      <c r="M279" s="5"/>
      <c r="N279" s="5"/>
      <c r="O279" s="5"/>
      <c r="P279" s="5"/>
      <c r="Q279" s="5"/>
      <c r="R279" s="5"/>
      <c r="S279" s="5"/>
      <c r="T279" s="5"/>
      <c r="U279" s="5"/>
      <c r="V279" s="5"/>
      <c r="Y279" s="5"/>
      <c r="Z279" s="5"/>
      <c r="AA279" s="5"/>
      <c r="AB279" s="5"/>
      <c r="AC279" s="5"/>
      <c r="AD279" s="5"/>
      <c r="AE279" s="5"/>
      <c r="AF279" s="5"/>
      <c r="AG279" s="5"/>
      <c r="AH279" s="5"/>
      <c r="AI279" s="5"/>
      <c r="AJ279" s="5"/>
      <c r="AK279" s="5"/>
      <c r="AL279" s="5"/>
      <c r="AM279" s="5"/>
      <c r="AN279" s="5"/>
    </row>
    <row r="280" spans="1:40" ht="18.75" customHeight="1">
      <c r="A280" s="5"/>
      <c r="B280" s="5"/>
      <c r="C280" s="5"/>
      <c r="D280" s="5"/>
      <c r="E280" s="5"/>
      <c r="F280" s="5"/>
      <c r="G280" s="5"/>
      <c r="H280" s="5"/>
      <c r="I280" s="5"/>
      <c r="J280" s="5"/>
      <c r="K280" s="5"/>
      <c r="L280" s="5"/>
      <c r="M280" s="5"/>
      <c r="N280" s="5"/>
      <c r="O280" s="5"/>
      <c r="P280" s="5"/>
      <c r="Q280" s="5"/>
      <c r="R280" s="5"/>
      <c r="S280" s="5"/>
      <c r="T280" s="5"/>
      <c r="U280" s="5"/>
      <c r="V280" s="5"/>
      <c r="Y280" s="5"/>
      <c r="Z280" s="5"/>
      <c r="AA280" s="5"/>
      <c r="AB280" s="5"/>
      <c r="AC280" s="5"/>
      <c r="AD280" s="5"/>
      <c r="AE280" s="5"/>
      <c r="AF280" s="5"/>
      <c r="AG280" s="5"/>
      <c r="AH280" s="5"/>
      <c r="AI280" s="5"/>
      <c r="AJ280" s="5"/>
      <c r="AK280" s="5"/>
      <c r="AL280" s="5"/>
      <c r="AM280" s="5"/>
      <c r="AN280" s="5"/>
    </row>
    <row r="281" spans="1:40" ht="18.75" customHeight="1">
      <c r="A281" s="5"/>
      <c r="B281" s="5"/>
      <c r="C281" s="5"/>
      <c r="D281" s="5"/>
      <c r="E281" s="5"/>
      <c r="F281" s="5"/>
      <c r="G281" s="5"/>
      <c r="H281" s="5"/>
      <c r="I281" s="5"/>
      <c r="J281" s="5"/>
      <c r="K281" s="5"/>
      <c r="L281" s="5"/>
      <c r="M281" s="5"/>
      <c r="N281" s="5"/>
      <c r="O281" s="5"/>
      <c r="P281" s="5"/>
      <c r="Q281" s="5"/>
      <c r="R281" s="5"/>
      <c r="S281" s="5"/>
      <c r="T281" s="5"/>
      <c r="U281" s="5"/>
      <c r="V281" s="5"/>
      <c r="Y281" s="5"/>
      <c r="Z281" s="5"/>
      <c r="AA281" s="5"/>
      <c r="AB281" s="5"/>
      <c r="AC281" s="5"/>
      <c r="AD281" s="5"/>
      <c r="AE281" s="5"/>
      <c r="AF281" s="5"/>
      <c r="AG281" s="5"/>
      <c r="AH281" s="5"/>
      <c r="AI281" s="5"/>
      <c r="AJ281" s="5"/>
      <c r="AK281" s="5"/>
      <c r="AL281" s="5"/>
      <c r="AM281" s="5"/>
      <c r="AN281" s="5"/>
    </row>
    <row r="282" spans="1:40" ht="18.75" customHeight="1">
      <c r="A282" s="5"/>
      <c r="B282" s="5"/>
      <c r="C282" s="5"/>
      <c r="D282" s="5"/>
      <c r="E282" s="5"/>
      <c r="F282" s="5"/>
      <c r="G282" s="5"/>
      <c r="H282" s="5"/>
      <c r="I282" s="5"/>
      <c r="J282" s="5"/>
      <c r="K282" s="5"/>
      <c r="L282" s="5"/>
      <c r="M282" s="5"/>
      <c r="N282" s="5"/>
      <c r="O282" s="5"/>
      <c r="P282" s="5"/>
      <c r="Q282" s="5"/>
      <c r="R282" s="5"/>
      <c r="S282" s="5"/>
      <c r="T282" s="5"/>
      <c r="U282" s="5"/>
      <c r="V282" s="5"/>
      <c r="Y282" s="5"/>
      <c r="Z282" s="5"/>
      <c r="AA282" s="5"/>
      <c r="AB282" s="5"/>
      <c r="AC282" s="5"/>
      <c r="AD282" s="5"/>
      <c r="AE282" s="5"/>
      <c r="AF282" s="5"/>
      <c r="AG282" s="5"/>
      <c r="AH282" s="5"/>
      <c r="AI282" s="5"/>
      <c r="AJ282" s="5"/>
      <c r="AK282" s="5"/>
      <c r="AL282" s="5"/>
      <c r="AM282" s="5"/>
      <c r="AN282" s="5"/>
    </row>
    <row r="283" spans="1:40" ht="18.75" customHeight="1">
      <c r="A283" s="5"/>
      <c r="B283" s="5"/>
      <c r="C283" s="5"/>
      <c r="D283" s="5"/>
      <c r="E283" s="5"/>
      <c r="F283" s="5"/>
      <c r="G283" s="5"/>
      <c r="H283" s="5"/>
      <c r="I283" s="5"/>
      <c r="J283" s="5"/>
      <c r="K283" s="5"/>
      <c r="L283" s="5"/>
      <c r="M283" s="5"/>
      <c r="N283" s="5"/>
      <c r="O283" s="5"/>
      <c r="P283" s="5"/>
      <c r="Q283" s="5"/>
      <c r="R283" s="5"/>
      <c r="S283" s="5"/>
      <c r="T283" s="5"/>
      <c r="U283" s="5"/>
      <c r="V283" s="5"/>
      <c r="Y283" s="5"/>
      <c r="Z283" s="5"/>
      <c r="AA283" s="5"/>
      <c r="AB283" s="5"/>
      <c r="AC283" s="5"/>
      <c r="AD283" s="5"/>
      <c r="AE283" s="5"/>
      <c r="AF283" s="5"/>
      <c r="AG283" s="5"/>
      <c r="AH283" s="5"/>
      <c r="AI283" s="5"/>
      <c r="AJ283" s="5"/>
      <c r="AK283" s="5"/>
      <c r="AL283" s="5"/>
      <c r="AM283" s="5"/>
      <c r="AN283" s="5"/>
    </row>
    <row r="284" spans="1:40" ht="18.75" customHeight="1">
      <c r="A284" s="5"/>
      <c r="B284" s="5"/>
      <c r="C284" s="5"/>
      <c r="D284" s="5"/>
      <c r="E284" s="5"/>
      <c r="F284" s="5"/>
      <c r="G284" s="5"/>
      <c r="H284" s="5"/>
      <c r="I284" s="5"/>
      <c r="J284" s="5"/>
      <c r="K284" s="5"/>
      <c r="L284" s="5"/>
      <c r="M284" s="5"/>
      <c r="N284" s="5"/>
      <c r="O284" s="5"/>
      <c r="P284" s="5"/>
      <c r="Q284" s="5"/>
      <c r="R284" s="5"/>
      <c r="S284" s="5"/>
      <c r="T284" s="5"/>
      <c r="U284" s="5"/>
      <c r="V284" s="5"/>
      <c r="Y284" s="5"/>
      <c r="Z284" s="5"/>
      <c r="AA284" s="5"/>
      <c r="AB284" s="5"/>
      <c r="AC284" s="5"/>
      <c r="AD284" s="5"/>
      <c r="AE284" s="5"/>
      <c r="AF284" s="5"/>
      <c r="AG284" s="5"/>
      <c r="AH284" s="5"/>
      <c r="AI284" s="5"/>
      <c r="AJ284" s="5"/>
      <c r="AK284" s="5"/>
      <c r="AL284" s="5"/>
      <c r="AM284" s="5"/>
      <c r="AN284" s="5"/>
    </row>
    <row r="285" spans="1:40" ht="18.75" customHeight="1">
      <c r="A285" s="5"/>
      <c r="B285" s="5"/>
      <c r="C285" s="5"/>
      <c r="D285" s="5"/>
      <c r="E285" s="5"/>
      <c r="F285" s="5"/>
      <c r="G285" s="5"/>
      <c r="H285" s="5"/>
      <c r="I285" s="5"/>
      <c r="J285" s="5"/>
      <c r="K285" s="5"/>
      <c r="L285" s="5"/>
      <c r="M285" s="5"/>
      <c r="N285" s="5"/>
      <c r="O285" s="5"/>
      <c r="P285" s="5"/>
      <c r="Q285" s="5"/>
      <c r="R285" s="5"/>
      <c r="S285" s="5"/>
      <c r="T285" s="5"/>
      <c r="U285" s="5"/>
      <c r="V285" s="5"/>
      <c r="Y285" s="5"/>
      <c r="Z285" s="5"/>
      <c r="AA285" s="5"/>
      <c r="AB285" s="5"/>
      <c r="AC285" s="5"/>
      <c r="AD285" s="5"/>
      <c r="AE285" s="5"/>
      <c r="AF285" s="5"/>
      <c r="AG285" s="5"/>
      <c r="AH285" s="5"/>
      <c r="AI285" s="5"/>
      <c r="AJ285" s="5"/>
      <c r="AK285" s="5"/>
      <c r="AL285" s="5"/>
      <c r="AM285" s="5"/>
      <c r="AN285" s="5"/>
    </row>
    <row r="286" spans="1:40" ht="18.75" customHeight="1">
      <c r="A286" s="5"/>
      <c r="B286" s="5"/>
      <c r="C286" s="5"/>
      <c r="D286" s="5"/>
      <c r="E286" s="5"/>
      <c r="F286" s="5"/>
      <c r="G286" s="5"/>
      <c r="H286" s="5"/>
      <c r="I286" s="5"/>
      <c r="J286" s="5"/>
      <c r="K286" s="5"/>
      <c r="L286" s="5"/>
      <c r="M286" s="5"/>
      <c r="N286" s="5"/>
      <c r="O286" s="5"/>
      <c r="P286" s="5"/>
      <c r="Q286" s="5"/>
      <c r="R286" s="5"/>
      <c r="S286" s="5"/>
      <c r="T286" s="5"/>
      <c r="U286" s="5"/>
      <c r="V286" s="5"/>
      <c r="Y286" s="5"/>
      <c r="Z286" s="5"/>
      <c r="AA286" s="5"/>
      <c r="AB286" s="5"/>
      <c r="AC286" s="5"/>
      <c r="AD286" s="5"/>
      <c r="AE286" s="5"/>
      <c r="AF286" s="5"/>
      <c r="AG286" s="5"/>
      <c r="AH286" s="5"/>
      <c r="AI286" s="5"/>
      <c r="AJ286" s="5"/>
      <c r="AK286" s="5"/>
      <c r="AL286" s="5"/>
      <c r="AM286" s="5"/>
      <c r="AN286" s="5"/>
    </row>
    <row r="287" spans="1:40" ht="18.75" customHeight="1">
      <c r="A287" s="5"/>
      <c r="B287" s="5"/>
      <c r="C287" s="5"/>
      <c r="D287" s="5"/>
      <c r="E287" s="5"/>
      <c r="F287" s="5"/>
      <c r="G287" s="5"/>
      <c r="H287" s="5"/>
      <c r="I287" s="5"/>
      <c r="J287" s="5"/>
      <c r="K287" s="5"/>
      <c r="L287" s="5"/>
      <c r="M287" s="5"/>
      <c r="N287" s="5"/>
      <c r="O287" s="5"/>
      <c r="P287" s="5"/>
      <c r="Q287" s="5"/>
      <c r="R287" s="5"/>
      <c r="S287" s="5"/>
      <c r="T287" s="5"/>
      <c r="U287" s="5"/>
      <c r="V287" s="5"/>
      <c r="Y287" s="5"/>
      <c r="Z287" s="5"/>
      <c r="AA287" s="5"/>
      <c r="AB287" s="5"/>
      <c r="AC287" s="5"/>
      <c r="AD287" s="5"/>
      <c r="AE287" s="5"/>
      <c r="AF287" s="5"/>
      <c r="AG287" s="5"/>
      <c r="AH287" s="5"/>
      <c r="AI287" s="5"/>
      <c r="AJ287" s="5"/>
      <c r="AK287" s="5"/>
      <c r="AL287" s="5"/>
      <c r="AM287" s="5"/>
      <c r="AN287" s="5"/>
    </row>
    <row r="288" spans="1:40" ht="18.75" customHeight="1">
      <c r="A288" s="5"/>
      <c r="B288" s="5"/>
      <c r="C288" s="5"/>
      <c r="D288" s="5"/>
      <c r="E288" s="5"/>
      <c r="F288" s="5"/>
      <c r="G288" s="5"/>
      <c r="H288" s="5"/>
      <c r="I288" s="5"/>
      <c r="J288" s="5"/>
      <c r="K288" s="5"/>
      <c r="L288" s="5"/>
      <c r="M288" s="5"/>
      <c r="N288" s="5"/>
      <c r="O288" s="5"/>
      <c r="P288" s="5"/>
      <c r="Q288" s="5"/>
      <c r="R288" s="5"/>
      <c r="S288" s="5"/>
      <c r="T288" s="5"/>
      <c r="U288" s="5"/>
      <c r="V288" s="5"/>
      <c r="Y288" s="5"/>
      <c r="Z288" s="5"/>
      <c r="AA288" s="5"/>
      <c r="AB288" s="5"/>
      <c r="AC288" s="5"/>
      <c r="AD288" s="5"/>
      <c r="AE288" s="5"/>
      <c r="AF288" s="5"/>
      <c r="AG288" s="5"/>
      <c r="AH288" s="5"/>
      <c r="AI288" s="5"/>
      <c r="AJ288" s="5"/>
      <c r="AK288" s="5"/>
      <c r="AL288" s="5"/>
      <c r="AM288" s="5"/>
      <c r="AN288" s="5"/>
    </row>
    <row r="289" spans="1:40" ht="18.75" customHeight="1">
      <c r="A289" s="5"/>
      <c r="B289" s="5"/>
      <c r="C289" s="5"/>
      <c r="D289" s="5"/>
      <c r="E289" s="5"/>
      <c r="F289" s="5"/>
      <c r="G289" s="5"/>
      <c r="H289" s="5"/>
      <c r="I289" s="5"/>
      <c r="J289" s="5"/>
      <c r="K289" s="5"/>
      <c r="L289" s="5"/>
      <c r="M289" s="5"/>
      <c r="N289" s="5"/>
      <c r="O289" s="5"/>
      <c r="P289" s="5"/>
      <c r="Q289" s="5"/>
      <c r="R289" s="5"/>
      <c r="S289" s="5"/>
      <c r="T289" s="5"/>
      <c r="U289" s="5"/>
      <c r="V289" s="5"/>
      <c r="Y289" s="5"/>
      <c r="Z289" s="5"/>
      <c r="AA289" s="5"/>
      <c r="AB289" s="5"/>
      <c r="AC289" s="5"/>
      <c r="AD289" s="5"/>
      <c r="AE289" s="5"/>
      <c r="AF289" s="5"/>
      <c r="AG289" s="5"/>
      <c r="AH289" s="5"/>
      <c r="AI289" s="5"/>
      <c r="AJ289" s="5"/>
      <c r="AK289" s="5"/>
      <c r="AL289" s="5"/>
      <c r="AM289" s="5"/>
      <c r="AN289" s="5"/>
    </row>
    <row r="290" spans="1:40" ht="18.75" customHeight="1">
      <c r="A290" s="5"/>
      <c r="B290" s="5"/>
      <c r="C290" s="5"/>
      <c r="D290" s="5"/>
      <c r="E290" s="5"/>
      <c r="F290" s="5"/>
      <c r="G290" s="5"/>
      <c r="H290" s="5"/>
      <c r="I290" s="5"/>
      <c r="J290" s="5"/>
      <c r="K290" s="5"/>
      <c r="L290" s="5"/>
      <c r="M290" s="5"/>
      <c r="N290" s="5"/>
      <c r="O290" s="5"/>
      <c r="P290" s="5"/>
      <c r="Q290" s="5"/>
      <c r="R290" s="5"/>
      <c r="S290" s="5"/>
      <c r="T290" s="5"/>
      <c r="U290" s="5"/>
      <c r="V290" s="5"/>
      <c r="Y290" s="5"/>
      <c r="Z290" s="5"/>
      <c r="AA290" s="5"/>
      <c r="AB290" s="5"/>
      <c r="AC290" s="5"/>
      <c r="AD290" s="5"/>
      <c r="AE290" s="5"/>
      <c r="AF290" s="5"/>
      <c r="AG290" s="5"/>
      <c r="AH290" s="5"/>
      <c r="AI290" s="5"/>
      <c r="AJ290" s="5"/>
      <c r="AK290" s="5"/>
      <c r="AL290" s="5"/>
      <c r="AM290" s="5"/>
      <c r="AN290" s="5"/>
    </row>
    <row r="291" spans="1:40" ht="18.75" customHeight="1">
      <c r="A291" s="5"/>
      <c r="B291" s="5"/>
      <c r="C291" s="5"/>
      <c r="D291" s="5"/>
      <c r="E291" s="5"/>
      <c r="F291" s="5"/>
      <c r="G291" s="5"/>
      <c r="H291" s="5"/>
      <c r="I291" s="5"/>
      <c r="J291" s="5"/>
      <c r="K291" s="5"/>
      <c r="L291" s="5"/>
      <c r="M291" s="5"/>
      <c r="N291" s="5"/>
      <c r="O291" s="5"/>
      <c r="P291" s="5"/>
      <c r="Q291" s="5"/>
      <c r="R291" s="5"/>
      <c r="S291" s="5"/>
      <c r="T291" s="5"/>
      <c r="U291" s="5"/>
      <c r="V291" s="5"/>
      <c r="Y291" s="5"/>
      <c r="Z291" s="5"/>
      <c r="AA291" s="5"/>
      <c r="AB291" s="5"/>
      <c r="AC291" s="5"/>
      <c r="AD291" s="5"/>
      <c r="AE291" s="5"/>
      <c r="AF291" s="5"/>
      <c r="AG291" s="5"/>
      <c r="AH291" s="5"/>
      <c r="AI291" s="5"/>
      <c r="AJ291" s="5"/>
      <c r="AK291" s="5"/>
      <c r="AL291" s="5"/>
      <c r="AM291" s="5"/>
      <c r="AN291" s="5"/>
    </row>
    <row r="292" spans="1:40" ht="18.75" customHeight="1">
      <c r="A292" s="5"/>
      <c r="B292" s="5"/>
      <c r="C292" s="5"/>
      <c r="D292" s="5"/>
      <c r="E292" s="5"/>
      <c r="F292" s="5"/>
      <c r="G292" s="5"/>
      <c r="H292" s="5"/>
      <c r="I292" s="5"/>
      <c r="J292" s="5"/>
      <c r="K292" s="5"/>
      <c r="L292" s="5"/>
      <c r="M292" s="5"/>
      <c r="N292" s="5"/>
      <c r="O292" s="5"/>
      <c r="P292" s="5"/>
      <c r="Q292" s="5"/>
      <c r="R292" s="5"/>
      <c r="S292" s="5"/>
      <c r="T292" s="5"/>
      <c r="U292" s="5"/>
      <c r="V292" s="5"/>
      <c r="Y292" s="5"/>
      <c r="Z292" s="5"/>
      <c r="AA292" s="5"/>
      <c r="AB292" s="5"/>
      <c r="AC292" s="5"/>
      <c r="AD292" s="5"/>
      <c r="AE292" s="5"/>
      <c r="AF292" s="5"/>
      <c r="AG292" s="5"/>
      <c r="AH292" s="5"/>
      <c r="AI292" s="5"/>
      <c r="AJ292" s="5"/>
      <c r="AK292" s="5"/>
      <c r="AL292" s="5"/>
      <c r="AM292" s="5"/>
      <c r="AN292" s="5"/>
    </row>
    <row r="293" spans="1:40" ht="18.75" customHeight="1">
      <c r="A293" s="5"/>
      <c r="B293" s="5"/>
      <c r="C293" s="5"/>
      <c r="D293" s="5"/>
      <c r="E293" s="5"/>
      <c r="F293" s="5"/>
      <c r="G293" s="5"/>
      <c r="H293" s="5"/>
      <c r="I293" s="5"/>
      <c r="J293" s="5"/>
      <c r="K293" s="5"/>
      <c r="L293" s="5"/>
      <c r="M293" s="5"/>
      <c r="N293" s="5"/>
      <c r="O293" s="5"/>
      <c r="P293" s="5"/>
      <c r="Q293" s="5"/>
      <c r="R293" s="5"/>
      <c r="S293" s="5"/>
      <c r="T293" s="5"/>
      <c r="U293" s="5"/>
      <c r="V293" s="5"/>
      <c r="Y293" s="5"/>
      <c r="Z293" s="5"/>
      <c r="AA293" s="5"/>
      <c r="AB293" s="5"/>
      <c r="AC293" s="5"/>
      <c r="AD293" s="5"/>
      <c r="AE293" s="5"/>
      <c r="AF293" s="5"/>
      <c r="AG293" s="5"/>
      <c r="AH293" s="5"/>
      <c r="AI293" s="5"/>
      <c r="AJ293" s="5"/>
      <c r="AK293" s="5"/>
      <c r="AL293" s="5"/>
      <c r="AM293" s="5"/>
      <c r="AN293" s="5"/>
    </row>
    <row r="294" spans="1:40" ht="18.75" customHeight="1">
      <c r="A294" s="5"/>
      <c r="B294" s="5"/>
      <c r="C294" s="5"/>
      <c r="D294" s="5"/>
      <c r="E294" s="5"/>
      <c r="F294" s="5"/>
      <c r="G294" s="5"/>
      <c r="H294" s="5"/>
      <c r="I294" s="5"/>
      <c r="J294" s="5"/>
      <c r="K294" s="5"/>
      <c r="L294" s="5"/>
      <c r="M294" s="5"/>
      <c r="N294" s="5"/>
      <c r="O294" s="5"/>
      <c r="P294" s="5"/>
      <c r="Q294" s="5"/>
      <c r="R294" s="5"/>
      <c r="S294" s="5"/>
      <c r="T294" s="5"/>
      <c r="U294" s="5"/>
      <c r="V294" s="5"/>
      <c r="Y294" s="5"/>
      <c r="Z294" s="5"/>
      <c r="AA294" s="5"/>
      <c r="AB294" s="5"/>
      <c r="AC294" s="5"/>
      <c r="AD294" s="5"/>
      <c r="AE294" s="5"/>
      <c r="AF294" s="5"/>
      <c r="AG294" s="5"/>
      <c r="AH294" s="5"/>
      <c r="AI294" s="5"/>
      <c r="AJ294" s="5"/>
      <c r="AK294" s="5"/>
      <c r="AL294" s="5"/>
      <c r="AM294" s="5"/>
      <c r="AN294" s="5"/>
    </row>
    <row r="295" spans="1:40" ht="18.75" customHeight="1">
      <c r="A295" s="5"/>
      <c r="B295" s="5"/>
      <c r="C295" s="5"/>
      <c r="D295" s="5"/>
      <c r="E295" s="5"/>
      <c r="F295" s="5"/>
      <c r="G295" s="5"/>
      <c r="H295" s="5"/>
      <c r="I295" s="5"/>
      <c r="J295" s="5"/>
      <c r="K295" s="5"/>
      <c r="L295" s="5"/>
      <c r="M295" s="5"/>
      <c r="N295" s="5"/>
      <c r="O295" s="5"/>
      <c r="P295" s="5"/>
      <c r="Q295" s="5"/>
      <c r="R295" s="5"/>
      <c r="S295" s="5"/>
      <c r="T295" s="5"/>
      <c r="U295" s="5"/>
      <c r="V295" s="5"/>
      <c r="Y295" s="5"/>
      <c r="Z295" s="5"/>
      <c r="AA295" s="5"/>
      <c r="AB295" s="5"/>
      <c r="AC295" s="5"/>
      <c r="AD295" s="5"/>
      <c r="AE295" s="5"/>
      <c r="AF295" s="5"/>
      <c r="AG295" s="5"/>
      <c r="AH295" s="5"/>
      <c r="AI295" s="5"/>
      <c r="AJ295" s="5"/>
      <c r="AK295" s="5"/>
      <c r="AL295" s="5"/>
      <c r="AM295" s="5"/>
      <c r="AN295" s="5"/>
    </row>
    <row r="296" spans="1:40" ht="18.75" customHeight="1">
      <c r="A296" s="5"/>
      <c r="B296" s="5"/>
      <c r="C296" s="5"/>
      <c r="D296" s="5"/>
      <c r="E296" s="5"/>
      <c r="F296" s="5"/>
      <c r="G296" s="5"/>
      <c r="H296" s="5"/>
      <c r="I296" s="5"/>
      <c r="J296" s="5"/>
      <c r="K296" s="5"/>
      <c r="L296" s="5"/>
      <c r="M296" s="5"/>
      <c r="N296" s="5"/>
      <c r="O296" s="5"/>
      <c r="P296" s="5"/>
      <c r="Q296" s="5"/>
      <c r="R296" s="5"/>
      <c r="S296" s="5"/>
      <c r="T296" s="5"/>
      <c r="U296" s="5"/>
      <c r="V296" s="5"/>
      <c r="Y296" s="5"/>
      <c r="Z296" s="5"/>
      <c r="AA296" s="5"/>
      <c r="AB296" s="5"/>
      <c r="AC296" s="5"/>
      <c r="AD296" s="5"/>
      <c r="AE296" s="5"/>
      <c r="AF296" s="5"/>
      <c r="AG296" s="5"/>
      <c r="AH296" s="5"/>
      <c r="AI296" s="5"/>
      <c r="AJ296" s="5"/>
      <c r="AK296" s="5"/>
      <c r="AL296" s="5"/>
      <c r="AM296" s="5"/>
      <c r="AN296" s="5"/>
    </row>
    <row r="297" spans="1:40" ht="18.75" customHeight="1">
      <c r="A297" s="5"/>
      <c r="B297" s="5"/>
      <c r="C297" s="5"/>
      <c r="D297" s="5"/>
      <c r="E297" s="5"/>
      <c r="F297" s="5"/>
      <c r="G297" s="5"/>
      <c r="H297" s="5"/>
      <c r="I297" s="5"/>
      <c r="J297" s="5"/>
      <c r="K297" s="5"/>
      <c r="L297" s="5"/>
      <c r="M297" s="5"/>
      <c r="N297" s="5"/>
      <c r="O297" s="5"/>
      <c r="P297" s="5"/>
      <c r="Q297" s="5"/>
      <c r="R297" s="5"/>
      <c r="S297" s="5"/>
      <c r="T297" s="5"/>
      <c r="U297" s="5"/>
      <c r="V297" s="5"/>
      <c r="Y297" s="5"/>
      <c r="Z297" s="5"/>
      <c r="AA297" s="5"/>
      <c r="AB297" s="5"/>
      <c r="AC297" s="5"/>
      <c r="AD297" s="5"/>
      <c r="AE297" s="5"/>
      <c r="AF297" s="5"/>
      <c r="AG297" s="5"/>
      <c r="AH297" s="5"/>
      <c r="AI297" s="5"/>
      <c r="AJ297" s="5"/>
      <c r="AK297" s="5"/>
      <c r="AL297" s="5"/>
      <c r="AM297" s="5"/>
      <c r="AN297" s="5"/>
    </row>
    <row r="298" spans="1:40" ht="18.75" customHeight="1">
      <c r="A298" s="5"/>
      <c r="B298" s="5"/>
      <c r="C298" s="5"/>
      <c r="D298" s="5"/>
      <c r="E298" s="5"/>
      <c r="F298" s="5"/>
      <c r="G298" s="5"/>
      <c r="H298" s="5"/>
      <c r="I298" s="5"/>
      <c r="J298" s="5"/>
      <c r="K298" s="5"/>
      <c r="L298" s="5"/>
      <c r="M298" s="5"/>
      <c r="N298" s="5"/>
      <c r="O298" s="5"/>
      <c r="P298" s="5"/>
      <c r="Q298" s="5"/>
      <c r="R298" s="5"/>
      <c r="S298" s="5"/>
      <c r="T298" s="5"/>
      <c r="U298" s="5"/>
      <c r="V298" s="5"/>
      <c r="Y298" s="5"/>
      <c r="Z298" s="5"/>
      <c r="AA298" s="5"/>
      <c r="AB298" s="5"/>
      <c r="AC298" s="5"/>
      <c r="AD298" s="5"/>
      <c r="AE298" s="5"/>
      <c r="AF298" s="5"/>
      <c r="AG298" s="5"/>
      <c r="AH298" s="5"/>
      <c r="AI298" s="5"/>
      <c r="AJ298" s="5"/>
      <c r="AK298" s="5"/>
      <c r="AL298" s="5"/>
      <c r="AM298" s="5"/>
      <c r="AN298" s="5"/>
    </row>
    <row r="299" spans="1:40" ht="18.75" customHeight="1">
      <c r="A299" s="5"/>
      <c r="B299" s="5"/>
      <c r="C299" s="5"/>
      <c r="D299" s="5"/>
      <c r="E299" s="5"/>
      <c r="F299" s="5"/>
      <c r="G299" s="5"/>
      <c r="H299" s="5"/>
      <c r="I299" s="5"/>
      <c r="J299" s="5"/>
      <c r="K299" s="5"/>
      <c r="L299" s="5"/>
      <c r="M299" s="5"/>
      <c r="N299" s="5"/>
      <c r="O299" s="5"/>
      <c r="P299" s="5"/>
      <c r="Q299" s="5"/>
      <c r="R299" s="5"/>
      <c r="S299" s="5"/>
      <c r="T299" s="5"/>
      <c r="U299" s="5"/>
      <c r="V299" s="5"/>
      <c r="Y299" s="5"/>
      <c r="Z299" s="5"/>
      <c r="AA299" s="5"/>
      <c r="AB299" s="5"/>
      <c r="AC299" s="5"/>
      <c r="AD299" s="5"/>
      <c r="AE299" s="5"/>
      <c r="AF299" s="5"/>
      <c r="AG299" s="5"/>
      <c r="AH299" s="5"/>
      <c r="AI299" s="5"/>
      <c r="AJ299" s="5"/>
      <c r="AK299" s="5"/>
      <c r="AL299" s="5"/>
      <c r="AM299" s="5"/>
      <c r="AN299" s="5"/>
    </row>
    <row r="300" spans="1:40" ht="18.75" customHeight="1">
      <c r="A300" s="5"/>
      <c r="B300" s="5"/>
      <c r="C300" s="5"/>
      <c r="D300" s="5"/>
      <c r="E300" s="5"/>
      <c r="F300" s="5"/>
      <c r="G300" s="5"/>
      <c r="H300" s="5"/>
      <c r="I300" s="5"/>
      <c r="J300" s="5"/>
      <c r="K300" s="5"/>
      <c r="L300" s="5"/>
      <c r="M300" s="5"/>
      <c r="N300" s="5"/>
      <c r="O300" s="5"/>
      <c r="P300" s="5"/>
      <c r="Q300" s="5"/>
      <c r="R300" s="5"/>
      <c r="S300" s="5"/>
      <c r="T300" s="5"/>
      <c r="U300" s="5"/>
      <c r="V300" s="5"/>
      <c r="Y300" s="5"/>
      <c r="Z300" s="5"/>
      <c r="AA300" s="5"/>
      <c r="AB300" s="5"/>
      <c r="AC300" s="5"/>
      <c r="AD300" s="5"/>
      <c r="AE300" s="5"/>
      <c r="AF300" s="5"/>
      <c r="AG300" s="5"/>
      <c r="AH300" s="5"/>
      <c r="AI300" s="5"/>
      <c r="AJ300" s="5"/>
      <c r="AK300" s="5"/>
      <c r="AL300" s="5"/>
      <c r="AM300" s="5"/>
      <c r="AN300" s="5"/>
    </row>
    <row r="301" spans="1:40" ht="18.75" customHeight="1">
      <c r="A301" s="5"/>
      <c r="B301" s="5"/>
      <c r="C301" s="5"/>
      <c r="D301" s="5"/>
      <c r="E301" s="5"/>
      <c r="F301" s="5"/>
      <c r="G301" s="5"/>
      <c r="H301" s="5"/>
      <c r="I301" s="5"/>
      <c r="J301" s="5"/>
      <c r="K301" s="5"/>
      <c r="L301" s="5"/>
      <c r="M301" s="5"/>
      <c r="N301" s="5"/>
      <c r="O301" s="5"/>
      <c r="P301" s="5"/>
      <c r="Q301" s="5"/>
      <c r="R301" s="5"/>
      <c r="S301" s="5"/>
      <c r="T301" s="5"/>
      <c r="U301" s="5"/>
      <c r="V301" s="5"/>
      <c r="Y301" s="5"/>
      <c r="Z301" s="5"/>
      <c r="AA301" s="5"/>
      <c r="AB301" s="5"/>
      <c r="AC301" s="5"/>
      <c r="AD301" s="5"/>
      <c r="AE301" s="5"/>
      <c r="AF301" s="5"/>
      <c r="AG301" s="5"/>
      <c r="AH301" s="5"/>
      <c r="AI301" s="5"/>
      <c r="AJ301" s="5"/>
      <c r="AK301" s="5"/>
      <c r="AL301" s="5"/>
      <c r="AM301" s="5"/>
      <c r="AN301" s="5"/>
    </row>
    <row r="302" spans="1:40" ht="18.75" customHeight="1">
      <c r="A302" s="5"/>
      <c r="B302" s="5"/>
      <c r="C302" s="5"/>
      <c r="D302" s="5"/>
      <c r="E302" s="5"/>
      <c r="F302" s="5"/>
      <c r="G302" s="5"/>
      <c r="H302" s="5"/>
      <c r="I302" s="5"/>
      <c r="J302" s="5"/>
      <c r="K302" s="5"/>
      <c r="L302" s="5"/>
      <c r="M302" s="5"/>
      <c r="N302" s="5"/>
      <c r="O302" s="5"/>
      <c r="P302" s="5"/>
      <c r="Q302" s="5"/>
      <c r="R302" s="5"/>
      <c r="S302" s="5"/>
      <c r="T302" s="5"/>
      <c r="U302" s="5"/>
      <c r="V302" s="5"/>
      <c r="Y302" s="5"/>
      <c r="Z302" s="5"/>
      <c r="AA302" s="5"/>
      <c r="AB302" s="5"/>
      <c r="AC302" s="5"/>
      <c r="AD302" s="5"/>
      <c r="AE302" s="5"/>
      <c r="AF302" s="5"/>
      <c r="AG302" s="5"/>
      <c r="AH302" s="5"/>
      <c r="AI302" s="5"/>
      <c r="AJ302" s="5"/>
      <c r="AK302" s="5"/>
      <c r="AL302" s="5"/>
      <c r="AM302" s="5"/>
      <c r="AN302" s="5"/>
    </row>
    <row r="303" spans="1:40" ht="18.75" customHeight="1">
      <c r="A303" s="5"/>
      <c r="B303" s="5"/>
      <c r="C303" s="5"/>
      <c r="D303" s="5"/>
      <c r="E303" s="5"/>
      <c r="F303" s="5"/>
      <c r="G303" s="5"/>
      <c r="H303" s="5"/>
      <c r="I303" s="5"/>
      <c r="J303" s="5"/>
      <c r="K303" s="5"/>
      <c r="L303" s="5"/>
      <c r="M303" s="5"/>
      <c r="N303" s="5"/>
      <c r="O303" s="5"/>
      <c r="P303" s="5"/>
      <c r="Q303" s="5"/>
      <c r="R303" s="5"/>
      <c r="S303" s="5"/>
      <c r="T303" s="5"/>
      <c r="U303" s="5"/>
      <c r="V303" s="5"/>
      <c r="Y303" s="5"/>
      <c r="Z303" s="5"/>
      <c r="AA303" s="5"/>
      <c r="AB303" s="5"/>
      <c r="AC303" s="5"/>
      <c r="AD303" s="5"/>
      <c r="AE303" s="5"/>
      <c r="AF303" s="5"/>
      <c r="AG303" s="5"/>
      <c r="AH303" s="5"/>
      <c r="AI303" s="5"/>
      <c r="AJ303" s="5"/>
      <c r="AK303" s="5"/>
      <c r="AL303" s="5"/>
      <c r="AM303" s="5"/>
      <c r="AN303" s="5"/>
    </row>
    <row r="304" spans="1:40" ht="18.75" customHeight="1">
      <c r="A304" s="5"/>
      <c r="B304" s="5"/>
      <c r="C304" s="5"/>
      <c r="D304" s="5"/>
      <c r="E304" s="5"/>
      <c r="F304" s="5"/>
      <c r="G304" s="5"/>
      <c r="H304" s="5"/>
      <c r="I304" s="5"/>
      <c r="J304" s="5"/>
      <c r="K304" s="5"/>
      <c r="L304" s="5"/>
      <c r="M304" s="5"/>
      <c r="N304" s="5"/>
      <c r="O304" s="5"/>
      <c r="P304" s="5"/>
      <c r="Q304" s="5"/>
      <c r="R304" s="5"/>
      <c r="S304" s="5"/>
      <c r="T304" s="5"/>
      <c r="U304" s="5"/>
      <c r="V304" s="5"/>
      <c r="Y304" s="5"/>
      <c r="Z304" s="5"/>
      <c r="AA304" s="5"/>
      <c r="AB304" s="5"/>
      <c r="AC304" s="5"/>
      <c r="AD304" s="5"/>
      <c r="AE304" s="5"/>
      <c r="AF304" s="5"/>
      <c r="AG304" s="5"/>
      <c r="AH304" s="5"/>
      <c r="AI304" s="5"/>
      <c r="AJ304" s="5"/>
      <c r="AK304" s="5"/>
      <c r="AL304" s="5"/>
      <c r="AM304" s="5"/>
      <c r="AN304" s="5"/>
    </row>
    <row r="305" spans="1:40" ht="18.75" customHeight="1">
      <c r="A305" s="5"/>
      <c r="B305" s="5"/>
      <c r="C305" s="5"/>
      <c r="D305" s="5"/>
      <c r="E305" s="5"/>
      <c r="F305" s="5"/>
      <c r="G305" s="5"/>
      <c r="H305" s="5"/>
      <c r="I305" s="5"/>
      <c r="J305" s="5"/>
      <c r="K305" s="5"/>
      <c r="L305" s="5"/>
      <c r="M305" s="5"/>
      <c r="N305" s="5"/>
      <c r="O305" s="5"/>
      <c r="P305" s="5"/>
      <c r="Q305" s="5"/>
      <c r="R305" s="5"/>
      <c r="S305" s="5"/>
      <c r="T305" s="5"/>
      <c r="U305" s="5"/>
      <c r="V305" s="5"/>
      <c r="Y305" s="5"/>
      <c r="Z305" s="5"/>
      <c r="AA305" s="5"/>
      <c r="AB305" s="5"/>
      <c r="AC305" s="5"/>
      <c r="AD305" s="5"/>
      <c r="AE305" s="5"/>
      <c r="AF305" s="5"/>
      <c r="AG305" s="5"/>
      <c r="AH305" s="5"/>
      <c r="AI305" s="5"/>
      <c r="AJ305" s="5"/>
      <c r="AK305" s="5"/>
      <c r="AL305" s="5"/>
      <c r="AM305" s="5"/>
      <c r="AN305" s="5"/>
    </row>
    <row r="306" spans="1:40" ht="18.75" customHeight="1">
      <c r="A306" s="5"/>
      <c r="B306" s="5"/>
      <c r="C306" s="5"/>
      <c r="D306" s="5"/>
      <c r="E306" s="5"/>
      <c r="F306" s="5"/>
      <c r="G306" s="5"/>
      <c r="H306" s="5"/>
      <c r="I306" s="5"/>
      <c r="J306" s="5"/>
      <c r="K306" s="5"/>
      <c r="L306" s="5"/>
      <c r="M306" s="5"/>
      <c r="N306" s="5"/>
      <c r="O306" s="5"/>
      <c r="P306" s="5"/>
      <c r="Q306" s="5"/>
      <c r="R306" s="5"/>
      <c r="S306" s="5"/>
      <c r="T306" s="5"/>
      <c r="U306" s="5"/>
      <c r="V306" s="5"/>
      <c r="Y306" s="5"/>
      <c r="Z306" s="5"/>
      <c r="AA306" s="5"/>
      <c r="AB306" s="5"/>
      <c r="AC306" s="5"/>
      <c r="AD306" s="5"/>
      <c r="AE306" s="5"/>
      <c r="AF306" s="5"/>
      <c r="AG306" s="5"/>
      <c r="AH306" s="5"/>
      <c r="AI306" s="5"/>
      <c r="AJ306" s="5"/>
      <c r="AK306" s="5"/>
      <c r="AL306" s="5"/>
      <c r="AM306" s="5"/>
      <c r="AN306" s="5"/>
    </row>
    <row r="307" spans="1:40" ht="18.75" customHeight="1">
      <c r="A307" s="5"/>
      <c r="B307" s="5"/>
      <c r="C307" s="5"/>
      <c r="D307" s="5"/>
      <c r="E307" s="5"/>
      <c r="F307" s="5"/>
      <c r="G307" s="5"/>
      <c r="H307" s="5"/>
      <c r="I307" s="5"/>
      <c r="J307" s="5"/>
      <c r="K307" s="5"/>
      <c r="L307" s="5"/>
      <c r="M307" s="5"/>
      <c r="N307" s="5"/>
      <c r="O307" s="5"/>
      <c r="P307" s="5"/>
      <c r="Q307" s="5"/>
      <c r="R307" s="5"/>
      <c r="S307" s="5"/>
      <c r="T307" s="5"/>
      <c r="U307" s="5"/>
      <c r="V307" s="5"/>
      <c r="Y307" s="5"/>
      <c r="Z307" s="5"/>
      <c r="AA307" s="5"/>
      <c r="AB307" s="5"/>
      <c r="AC307" s="5"/>
      <c r="AD307" s="5"/>
      <c r="AE307" s="5"/>
      <c r="AF307" s="5"/>
      <c r="AG307" s="5"/>
      <c r="AH307" s="5"/>
      <c r="AI307" s="5"/>
      <c r="AJ307" s="5"/>
      <c r="AK307" s="5"/>
      <c r="AL307" s="5"/>
      <c r="AM307" s="5"/>
      <c r="AN307" s="5"/>
    </row>
    <row r="308" spans="1:40" ht="18.75" customHeight="1">
      <c r="A308" s="5"/>
      <c r="B308" s="5"/>
      <c r="C308" s="5"/>
      <c r="D308" s="5"/>
      <c r="E308" s="5"/>
      <c r="F308" s="5"/>
      <c r="G308" s="5"/>
      <c r="H308" s="5"/>
      <c r="I308" s="5"/>
      <c r="J308" s="5"/>
      <c r="K308" s="5"/>
      <c r="L308" s="5"/>
      <c r="M308" s="5"/>
      <c r="N308" s="5"/>
      <c r="O308" s="5"/>
      <c r="P308" s="5"/>
      <c r="Q308" s="5"/>
      <c r="R308" s="5"/>
      <c r="S308" s="5"/>
      <c r="T308" s="5"/>
      <c r="U308" s="5"/>
      <c r="V308" s="5"/>
      <c r="Y308" s="5"/>
      <c r="Z308" s="5"/>
      <c r="AA308" s="5"/>
      <c r="AB308" s="5"/>
      <c r="AC308" s="5"/>
      <c r="AD308" s="5"/>
      <c r="AE308" s="5"/>
      <c r="AF308" s="5"/>
      <c r="AG308" s="5"/>
      <c r="AH308" s="5"/>
      <c r="AI308" s="5"/>
      <c r="AJ308" s="5"/>
      <c r="AK308" s="5"/>
      <c r="AL308" s="5"/>
      <c r="AM308" s="5"/>
      <c r="AN308" s="5"/>
    </row>
    <row r="309" spans="1:40" ht="18.75" customHeight="1">
      <c r="A309" s="5"/>
      <c r="B309" s="5"/>
      <c r="C309" s="5"/>
      <c r="D309" s="5"/>
      <c r="E309" s="5"/>
      <c r="F309" s="5"/>
      <c r="G309" s="5"/>
      <c r="H309" s="5"/>
      <c r="I309" s="5"/>
      <c r="J309" s="5"/>
      <c r="K309" s="5"/>
      <c r="L309" s="5"/>
      <c r="M309" s="5"/>
      <c r="N309" s="5"/>
      <c r="O309" s="5"/>
      <c r="P309" s="5"/>
      <c r="Q309" s="5"/>
      <c r="R309" s="5"/>
      <c r="S309" s="5"/>
      <c r="T309" s="5"/>
      <c r="U309" s="5"/>
      <c r="V309" s="5"/>
      <c r="Y309" s="5"/>
      <c r="Z309" s="5"/>
      <c r="AA309" s="5"/>
      <c r="AB309" s="5"/>
      <c r="AC309" s="5"/>
      <c r="AD309" s="5"/>
      <c r="AE309" s="5"/>
      <c r="AF309" s="5"/>
      <c r="AG309" s="5"/>
      <c r="AH309" s="5"/>
      <c r="AI309" s="5"/>
      <c r="AJ309" s="5"/>
      <c r="AK309" s="5"/>
      <c r="AL309" s="5"/>
      <c r="AM309" s="5"/>
      <c r="AN309" s="5"/>
    </row>
    <row r="310" spans="1:40" ht="18.75" customHeight="1">
      <c r="A310" s="5"/>
      <c r="B310" s="5"/>
      <c r="C310" s="5"/>
      <c r="D310" s="5"/>
      <c r="E310" s="5"/>
      <c r="F310" s="5"/>
      <c r="G310" s="5"/>
      <c r="H310" s="5"/>
      <c r="I310" s="5"/>
      <c r="J310" s="5"/>
      <c r="K310" s="5"/>
      <c r="L310" s="5"/>
      <c r="M310" s="5"/>
      <c r="N310" s="5"/>
      <c r="O310" s="5"/>
      <c r="P310" s="5"/>
      <c r="Q310" s="5"/>
      <c r="R310" s="5"/>
      <c r="S310" s="5"/>
      <c r="T310" s="5"/>
      <c r="U310" s="5"/>
      <c r="V310" s="5"/>
      <c r="Y310" s="5"/>
      <c r="Z310" s="5"/>
      <c r="AA310" s="5"/>
      <c r="AB310" s="5"/>
      <c r="AC310" s="5"/>
      <c r="AD310" s="5"/>
      <c r="AE310" s="5"/>
      <c r="AF310" s="5"/>
      <c r="AG310" s="5"/>
      <c r="AH310" s="5"/>
      <c r="AI310" s="5"/>
      <c r="AJ310" s="5"/>
      <c r="AK310" s="5"/>
      <c r="AL310" s="5"/>
      <c r="AM310" s="5"/>
      <c r="AN310" s="5"/>
    </row>
    <row r="311" spans="1:40" ht="18.75" customHeight="1">
      <c r="A311" s="5"/>
      <c r="B311" s="5"/>
      <c r="C311" s="5"/>
      <c r="D311" s="5"/>
      <c r="E311" s="5"/>
      <c r="F311" s="5"/>
      <c r="G311" s="5"/>
      <c r="H311" s="5"/>
      <c r="I311" s="5"/>
      <c r="J311" s="5"/>
      <c r="K311" s="5"/>
      <c r="L311" s="5"/>
      <c r="M311" s="5"/>
      <c r="N311" s="5"/>
      <c r="O311" s="5"/>
      <c r="P311" s="5"/>
      <c r="Q311" s="5"/>
      <c r="R311" s="5"/>
      <c r="S311" s="5"/>
      <c r="T311" s="5"/>
      <c r="U311" s="5"/>
      <c r="V311" s="5"/>
      <c r="Y311" s="5"/>
      <c r="Z311" s="5"/>
      <c r="AA311" s="5"/>
      <c r="AB311" s="5"/>
      <c r="AC311" s="5"/>
      <c r="AD311" s="5"/>
      <c r="AE311" s="5"/>
      <c r="AF311" s="5"/>
      <c r="AG311" s="5"/>
      <c r="AH311" s="5"/>
      <c r="AI311" s="5"/>
      <c r="AJ311" s="5"/>
      <c r="AK311" s="5"/>
      <c r="AL311" s="5"/>
      <c r="AM311" s="5"/>
      <c r="AN311" s="5"/>
    </row>
    <row r="312" spans="1:40" ht="18.75" customHeight="1">
      <c r="A312" s="5"/>
      <c r="B312" s="5"/>
      <c r="C312" s="5"/>
      <c r="D312" s="5"/>
      <c r="E312" s="5"/>
      <c r="F312" s="5"/>
      <c r="G312" s="5"/>
      <c r="H312" s="5"/>
      <c r="I312" s="5"/>
      <c r="J312" s="5"/>
      <c r="K312" s="5"/>
      <c r="L312" s="5"/>
      <c r="M312" s="5"/>
      <c r="N312" s="5"/>
      <c r="O312" s="5"/>
      <c r="P312" s="5"/>
      <c r="Q312" s="5"/>
      <c r="R312" s="5"/>
      <c r="S312" s="5"/>
      <c r="T312" s="5"/>
      <c r="U312" s="5"/>
      <c r="V312" s="5"/>
      <c r="Y312" s="5"/>
      <c r="Z312" s="5"/>
      <c r="AA312" s="5"/>
      <c r="AB312" s="5"/>
      <c r="AC312" s="5"/>
      <c r="AD312" s="5"/>
      <c r="AE312" s="5"/>
      <c r="AF312" s="5"/>
      <c r="AG312" s="5"/>
      <c r="AH312" s="5"/>
      <c r="AI312" s="5"/>
      <c r="AJ312" s="5"/>
      <c r="AK312" s="5"/>
      <c r="AL312" s="5"/>
      <c r="AM312" s="5"/>
      <c r="AN312" s="5"/>
    </row>
    <row r="313" spans="1:40" ht="18.75" customHeight="1">
      <c r="A313" s="5"/>
      <c r="B313" s="5"/>
      <c r="C313" s="5"/>
      <c r="D313" s="5"/>
      <c r="E313" s="5"/>
      <c r="F313" s="5"/>
      <c r="G313" s="5"/>
      <c r="H313" s="5"/>
      <c r="I313" s="5"/>
      <c r="J313" s="5"/>
      <c r="K313" s="5"/>
      <c r="L313" s="5"/>
      <c r="M313" s="5"/>
      <c r="N313" s="5"/>
      <c r="O313" s="5"/>
      <c r="P313" s="5"/>
      <c r="Q313" s="5"/>
      <c r="R313" s="5"/>
      <c r="S313" s="5"/>
      <c r="T313" s="5"/>
      <c r="U313" s="5"/>
      <c r="V313" s="5"/>
      <c r="Y313" s="5"/>
      <c r="Z313" s="5"/>
      <c r="AA313" s="5"/>
      <c r="AB313" s="5"/>
      <c r="AC313" s="5"/>
      <c r="AD313" s="5"/>
      <c r="AE313" s="5"/>
      <c r="AF313" s="5"/>
      <c r="AG313" s="5"/>
      <c r="AH313" s="5"/>
      <c r="AI313" s="5"/>
      <c r="AJ313" s="5"/>
      <c r="AK313" s="5"/>
      <c r="AL313" s="5"/>
      <c r="AM313" s="5"/>
      <c r="AN313" s="5"/>
    </row>
    <row r="314" spans="1:40" ht="18.75" customHeight="1">
      <c r="A314" s="5"/>
      <c r="B314" s="5"/>
      <c r="C314" s="5"/>
      <c r="D314" s="5"/>
      <c r="E314" s="5"/>
      <c r="F314" s="5"/>
      <c r="G314" s="5"/>
      <c r="H314" s="5"/>
      <c r="I314" s="5"/>
      <c r="J314" s="5"/>
      <c r="K314" s="5"/>
      <c r="L314" s="5"/>
      <c r="M314" s="5"/>
      <c r="N314" s="5"/>
      <c r="O314" s="5"/>
      <c r="P314" s="5"/>
      <c r="Q314" s="5"/>
      <c r="R314" s="5"/>
      <c r="S314" s="5"/>
      <c r="T314" s="5"/>
      <c r="U314" s="5"/>
      <c r="V314" s="5"/>
      <c r="Y314" s="5"/>
      <c r="Z314" s="5"/>
      <c r="AA314" s="5"/>
      <c r="AB314" s="5"/>
      <c r="AC314" s="5"/>
      <c r="AD314" s="5"/>
      <c r="AE314" s="5"/>
      <c r="AF314" s="5"/>
      <c r="AG314" s="5"/>
      <c r="AH314" s="5"/>
      <c r="AI314" s="5"/>
      <c r="AJ314" s="5"/>
      <c r="AK314" s="5"/>
      <c r="AL314" s="5"/>
      <c r="AM314" s="5"/>
      <c r="AN314" s="5"/>
    </row>
    <row r="315" spans="1:40" ht="18.75" customHeight="1">
      <c r="A315" s="5"/>
      <c r="B315" s="5"/>
      <c r="C315" s="5"/>
      <c r="D315" s="5"/>
      <c r="E315" s="5"/>
      <c r="F315" s="5"/>
      <c r="G315" s="5"/>
      <c r="H315" s="5"/>
      <c r="I315" s="5"/>
      <c r="J315" s="5"/>
      <c r="K315" s="5"/>
      <c r="L315" s="5"/>
      <c r="M315" s="5"/>
      <c r="N315" s="5"/>
      <c r="O315" s="5"/>
      <c r="P315" s="5"/>
      <c r="Q315" s="5"/>
      <c r="R315" s="5"/>
      <c r="S315" s="5"/>
      <c r="T315" s="5"/>
      <c r="U315" s="5"/>
      <c r="V315" s="5"/>
      <c r="Y315" s="5"/>
      <c r="Z315" s="5"/>
      <c r="AA315" s="5"/>
      <c r="AB315" s="5"/>
      <c r="AC315" s="5"/>
      <c r="AD315" s="5"/>
      <c r="AE315" s="5"/>
      <c r="AF315" s="5"/>
      <c r="AG315" s="5"/>
      <c r="AH315" s="5"/>
      <c r="AI315" s="5"/>
      <c r="AJ315" s="5"/>
      <c r="AK315" s="5"/>
      <c r="AL315" s="5"/>
      <c r="AM315" s="5"/>
      <c r="AN315" s="5"/>
    </row>
    <row r="316" spans="1:40" ht="18.75" customHeight="1">
      <c r="A316" s="5"/>
      <c r="B316" s="5"/>
      <c r="C316" s="5"/>
      <c r="D316" s="5"/>
      <c r="E316" s="5"/>
      <c r="F316" s="5"/>
      <c r="G316" s="5"/>
      <c r="H316" s="5"/>
      <c r="I316" s="5"/>
      <c r="J316" s="5"/>
      <c r="K316" s="5"/>
      <c r="L316" s="5"/>
      <c r="M316" s="5"/>
      <c r="N316" s="5"/>
      <c r="O316" s="5"/>
      <c r="P316" s="5"/>
      <c r="Q316" s="5"/>
      <c r="R316" s="5"/>
      <c r="S316" s="5"/>
      <c r="T316" s="5"/>
      <c r="U316" s="5"/>
      <c r="V316" s="5"/>
      <c r="Y316" s="5"/>
      <c r="Z316" s="5"/>
      <c r="AA316" s="5"/>
      <c r="AB316" s="5"/>
      <c r="AC316" s="5"/>
      <c r="AD316" s="5"/>
      <c r="AE316" s="5"/>
      <c r="AF316" s="5"/>
      <c r="AG316" s="5"/>
      <c r="AH316" s="5"/>
      <c r="AI316" s="5"/>
      <c r="AJ316" s="5"/>
      <c r="AK316" s="5"/>
      <c r="AL316" s="5"/>
      <c r="AM316" s="5"/>
      <c r="AN316" s="5"/>
    </row>
    <row r="317" spans="1:40" ht="18.75" customHeight="1">
      <c r="A317" s="5"/>
      <c r="B317" s="5"/>
      <c r="C317" s="5"/>
      <c r="D317" s="5"/>
      <c r="E317" s="5"/>
      <c r="F317" s="5"/>
      <c r="G317" s="5"/>
      <c r="H317" s="5"/>
      <c r="I317" s="5"/>
      <c r="J317" s="5"/>
      <c r="K317" s="5"/>
      <c r="L317" s="5"/>
      <c r="M317" s="5"/>
      <c r="N317" s="5"/>
      <c r="O317" s="5"/>
      <c r="P317" s="5"/>
      <c r="Q317" s="5"/>
      <c r="R317" s="5"/>
      <c r="S317" s="5"/>
      <c r="T317" s="5"/>
      <c r="U317" s="5"/>
      <c r="V317" s="5"/>
      <c r="Y317" s="5"/>
      <c r="Z317" s="5"/>
      <c r="AA317" s="5"/>
      <c r="AB317" s="5"/>
      <c r="AC317" s="5"/>
      <c r="AD317" s="5"/>
      <c r="AE317" s="5"/>
      <c r="AF317" s="5"/>
      <c r="AG317" s="5"/>
      <c r="AH317" s="5"/>
      <c r="AI317" s="5"/>
      <c r="AJ317" s="5"/>
      <c r="AK317" s="5"/>
      <c r="AL317" s="5"/>
      <c r="AM317" s="5"/>
      <c r="AN317" s="5"/>
    </row>
    <row r="318" spans="1:40" ht="18.75" customHeight="1">
      <c r="A318" s="5"/>
      <c r="B318" s="5"/>
      <c r="C318" s="5"/>
      <c r="D318" s="5"/>
      <c r="E318" s="5"/>
      <c r="F318" s="5"/>
      <c r="G318" s="5"/>
      <c r="H318" s="5"/>
      <c r="I318" s="5"/>
      <c r="J318" s="5"/>
      <c r="K318" s="5"/>
      <c r="L318" s="5"/>
      <c r="M318" s="5"/>
      <c r="N318" s="5"/>
      <c r="O318" s="5"/>
      <c r="P318" s="5"/>
      <c r="Q318" s="5"/>
      <c r="R318" s="5"/>
      <c r="S318" s="5"/>
      <c r="T318" s="5"/>
      <c r="U318" s="5"/>
      <c r="V318" s="5"/>
      <c r="Y318" s="5"/>
      <c r="Z318" s="5"/>
      <c r="AA318" s="5"/>
      <c r="AB318" s="5"/>
      <c r="AC318" s="5"/>
      <c r="AD318" s="5"/>
      <c r="AE318" s="5"/>
      <c r="AF318" s="5"/>
      <c r="AG318" s="5"/>
      <c r="AH318" s="5"/>
      <c r="AI318" s="5"/>
      <c r="AJ318" s="5"/>
      <c r="AK318" s="5"/>
      <c r="AL318" s="5"/>
      <c r="AM318" s="5"/>
      <c r="AN318" s="5"/>
    </row>
    <row r="319" spans="1:40" ht="18.75" customHeight="1">
      <c r="A319" s="5"/>
      <c r="B319" s="5"/>
      <c r="C319" s="5"/>
      <c r="D319" s="5"/>
      <c r="E319" s="5"/>
      <c r="F319" s="5"/>
      <c r="G319" s="5"/>
      <c r="H319" s="5"/>
      <c r="I319" s="5"/>
      <c r="J319" s="5"/>
      <c r="K319" s="5"/>
      <c r="L319" s="5"/>
      <c r="M319" s="5"/>
      <c r="N319" s="5"/>
      <c r="O319" s="5"/>
      <c r="P319" s="5"/>
      <c r="Q319" s="5"/>
      <c r="R319" s="5"/>
      <c r="S319" s="5"/>
      <c r="T319" s="5"/>
      <c r="U319" s="5"/>
      <c r="V319" s="5"/>
      <c r="Y319" s="5"/>
      <c r="Z319" s="5"/>
      <c r="AA319" s="5"/>
      <c r="AB319" s="5"/>
      <c r="AC319" s="5"/>
      <c r="AD319" s="5"/>
      <c r="AE319" s="5"/>
      <c r="AF319" s="5"/>
      <c r="AG319" s="5"/>
      <c r="AH319" s="5"/>
      <c r="AI319" s="5"/>
      <c r="AJ319" s="5"/>
      <c r="AK319" s="5"/>
      <c r="AL319" s="5"/>
      <c r="AM319" s="5"/>
      <c r="AN319" s="5"/>
    </row>
    <row r="320" spans="1:40" ht="18.75" customHeight="1">
      <c r="A320" s="5"/>
      <c r="B320" s="5"/>
      <c r="C320" s="5"/>
      <c r="D320" s="5"/>
      <c r="E320" s="5"/>
      <c r="F320" s="5"/>
      <c r="G320" s="5"/>
      <c r="H320" s="5"/>
      <c r="I320" s="5"/>
      <c r="J320" s="5"/>
      <c r="K320" s="5"/>
      <c r="L320" s="5"/>
      <c r="M320" s="5"/>
      <c r="N320" s="5"/>
      <c r="O320" s="5"/>
      <c r="P320" s="5"/>
      <c r="Q320" s="5"/>
      <c r="R320" s="5"/>
      <c r="S320" s="5"/>
      <c r="T320" s="5"/>
      <c r="U320" s="5"/>
      <c r="V320" s="5"/>
      <c r="Y320" s="5"/>
      <c r="Z320" s="5"/>
      <c r="AA320" s="5"/>
      <c r="AB320" s="5"/>
      <c r="AC320" s="5"/>
      <c r="AD320" s="5"/>
      <c r="AE320" s="5"/>
      <c r="AF320" s="5"/>
      <c r="AG320" s="5"/>
      <c r="AH320" s="5"/>
      <c r="AI320" s="5"/>
      <c r="AJ320" s="5"/>
      <c r="AK320" s="5"/>
      <c r="AL320" s="5"/>
      <c r="AM320" s="5"/>
      <c r="AN320" s="5"/>
    </row>
    <row r="321" spans="1:40" ht="18.75" customHeight="1">
      <c r="A321" s="5"/>
      <c r="B321" s="5"/>
      <c r="C321" s="5"/>
      <c r="D321" s="5"/>
      <c r="E321" s="5"/>
      <c r="F321" s="5"/>
      <c r="G321" s="5"/>
      <c r="H321" s="5"/>
      <c r="I321" s="5"/>
      <c r="J321" s="5"/>
      <c r="K321" s="5"/>
      <c r="L321" s="5"/>
      <c r="M321" s="5"/>
      <c r="N321" s="5"/>
      <c r="O321" s="5"/>
      <c r="P321" s="5"/>
      <c r="Q321" s="5"/>
      <c r="R321" s="5"/>
      <c r="S321" s="5"/>
      <c r="T321" s="5"/>
      <c r="U321" s="5"/>
      <c r="V321" s="5"/>
      <c r="Y321" s="5"/>
      <c r="Z321" s="5"/>
      <c r="AA321" s="5"/>
      <c r="AB321" s="5"/>
      <c r="AC321" s="5"/>
      <c r="AD321" s="5"/>
      <c r="AE321" s="5"/>
      <c r="AF321" s="5"/>
      <c r="AG321" s="5"/>
      <c r="AH321" s="5"/>
      <c r="AI321" s="5"/>
      <c r="AJ321" s="5"/>
      <c r="AK321" s="5"/>
      <c r="AL321" s="5"/>
      <c r="AM321" s="5"/>
      <c r="AN321" s="5"/>
    </row>
    <row r="322" spans="1:40" ht="18.75" customHeight="1">
      <c r="A322" s="5"/>
      <c r="B322" s="5"/>
      <c r="C322" s="5"/>
      <c r="D322" s="5"/>
      <c r="E322" s="5"/>
      <c r="F322" s="5"/>
      <c r="G322" s="5"/>
      <c r="H322" s="5"/>
      <c r="I322" s="5"/>
      <c r="J322" s="5"/>
      <c r="K322" s="5"/>
      <c r="L322" s="5"/>
      <c r="M322" s="5"/>
      <c r="N322" s="5"/>
      <c r="O322" s="5"/>
      <c r="P322" s="5"/>
      <c r="Q322" s="5"/>
      <c r="R322" s="5"/>
      <c r="S322" s="5"/>
      <c r="T322" s="5"/>
      <c r="U322" s="5"/>
      <c r="V322" s="5"/>
      <c r="Y322" s="5"/>
      <c r="Z322" s="5"/>
      <c r="AA322" s="5"/>
      <c r="AB322" s="5"/>
      <c r="AC322" s="5"/>
      <c r="AD322" s="5"/>
      <c r="AE322" s="5"/>
      <c r="AF322" s="5"/>
      <c r="AG322" s="5"/>
      <c r="AH322" s="5"/>
      <c r="AI322" s="5"/>
      <c r="AJ322" s="5"/>
      <c r="AK322" s="5"/>
      <c r="AL322" s="5"/>
      <c r="AM322" s="5"/>
      <c r="AN322" s="5"/>
    </row>
    <row r="323" spans="1:40" ht="18.75" customHeight="1">
      <c r="A323" s="5"/>
      <c r="B323" s="5"/>
      <c r="C323" s="5"/>
      <c r="D323" s="5"/>
      <c r="E323" s="5"/>
      <c r="F323" s="5"/>
      <c r="G323" s="5"/>
      <c r="H323" s="5"/>
      <c r="I323" s="5"/>
      <c r="J323" s="5"/>
      <c r="K323" s="5"/>
      <c r="L323" s="5"/>
      <c r="M323" s="5"/>
      <c r="N323" s="5"/>
      <c r="O323" s="5"/>
      <c r="P323" s="5"/>
      <c r="Q323" s="5"/>
      <c r="R323" s="5"/>
      <c r="S323" s="5"/>
      <c r="T323" s="5"/>
      <c r="U323" s="5"/>
      <c r="V323" s="5"/>
      <c r="Y323" s="5"/>
      <c r="Z323" s="5"/>
      <c r="AA323" s="5"/>
      <c r="AB323" s="5"/>
      <c r="AC323" s="5"/>
      <c r="AD323" s="5"/>
      <c r="AE323" s="5"/>
      <c r="AF323" s="5"/>
      <c r="AG323" s="5"/>
      <c r="AH323" s="5"/>
      <c r="AI323" s="5"/>
      <c r="AJ323" s="5"/>
      <c r="AK323" s="5"/>
      <c r="AL323" s="5"/>
      <c r="AM323" s="5"/>
      <c r="AN323" s="5"/>
    </row>
    <row r="324" spans="1:40" ht="18.75" customHeight="1">
      <c r="A324" s="5"/>
      <c r="B324" s="5"/>
      <c r="C324" s="5"/>
      <c r="D324" s="5"/>
      <c r="E324" s="5"/>
      <c r="F324" s="5"/>
      <c r="G324" s="5"/>
      <c r="H324" s="5"/>
      <c r="I324" s="5"/>
      <c r="J324" s="5"/>
      <c r="K324" s="5"/>
      <c r="L324" s="5"/>
      <c r="M324" s="5"/>
      <c r="N324" s="5"/>
      <c r="O324" s="5"/>
      <c r="P324" s="5"/>
      <c r="Q324" s="5"/>
      <c r="R324" s="5"/>
      <c r="S324" s="5"/>
      <c r="T324" s="5"/>
      <c r="U324" s="5"/>
      <c r="V324" s="5"/>
      <c r="Y324" s="5"/>
      <c r="Z324" s="5"/>
      <c r="AA324" s="5"/>
      <c r="AB324" s="5"/>
      <c r="AC324" s="5"/>
      <c r="AD324" s="5"/>
      <c r="AE324" s="5"/>
      <c r="AF324" s="5"/>
      <c r="AG324" s="5"/>
      <c r="AH324" s="5"/>
      <c r="AI324" s="5"/>
      <c r="AJ324" s="5"/>
      <c r="AK324" s="5"/>
      <c r="AL324" s="5"/>
      <c r="AM324" s="5"/>
      <c r="AN324" s="5"/>
    </row>
    <row r="325" spans="1:40" ht="18.75" customHeight="1">
      <c r="A325" s="5"/>
      <c r="B325" s="5"/>
      <c r="C325" s="5"/>
      <c r="D325" s="5"/>
      <c r="E325" s="5"/>
      <c r="F325" s="5"/>
      <c r="G325" s="5"/>
      <c r="H325" s="5"/>
      <c r="I325" s="5"/>
      <c r="J325" s="5"/>
      <c r="K325" s="5"/>
      <c r="L325" s="5"/>
      <c r="M325" s="5"/>
      <c r="N325" s="5"/>
      <c r="O325" s="5"/>
      <c r="P325" s="5"/>
      <c r="Q325" s="5"/>
      <c r="R325" s="5"/>
      <c r="S325" s="5"/>
      <c r="T325" s="5"/>
      <c r="U325" s="5"/>
      <c r="V325" s="5"/>
      <c r="Y325" s="5"/>
      <c r="Z325" s="5"/>
      <c r="AA325" s="5"/>
      <c r="AB325" s="5"/>
      <c r="AC325" s="5"/>
      <c r="AD325" s="5"/>
      <c r="AE325" s="5"/>
      <c r="AF325" s="5"/>
      <c r="AG325" s="5"/>
      <c r="AH325" s="5"/>
      <c r="AI325" s="5"/>
      <c r="AJ325" s="5"/>
      <c r="AK325" s="5"/>
      <c r="AL325" s="5"/>
      <c r="AM325" s="5"/>
      <c r="AN325" s="5"/>
    </row>
    <row r="326" spans="1:40" ht="18.75" customHeight="1">
      <c r="A326" s="5"/>
      <c r="B326" s="5"/>
      <c r="C326" s="5"/>
      <c r="D326" s="5"/>
      <c r="E326" s="5"/>
      <c r="F326" s="5"/>
      <c r="G326" s="5"/>
      <c r="H326" s="5"/>
      <c r="I326" s="5"/>
      <c r="J326" s="5"/>
      <c r="K326" s="5"/>
      <c r="L326" s="5"/>
      <c r="M326" s="5"/>
      <c r="N326" s="5"/>
      <c r="O326" s="5"/>
      <c r="P326" s="5"/>
      <c r="Q326" s="5"/>
      <c r="R326" s="5"/>
      <c r="S326" s="5"/>
      <c r="T326" s="5"/>
      <c r="U326" s="5"/>
      <c r="V326" s="5"/>
      <c r="Y326" s="5"/>
      <c r="Z326" s="5"/>
      <c r="AA326" s="5"/>
      <c r="AB326" s="5"/>
      <c r="AC326" s="5"/>
      <c r="AD326" s="5"/>
      <c r="AE326" s="5"/>
      <c r="AF326" s="5"/>
      <c r="AG326" s="5"/>
      <c r="AH326" s="5"/>
      <c r="AI326" s="5"/>
      <c r="AJ326" s="5"/>
      <c r="AK326" s="5"/>
      <c r="AL326" s="5"/>
      <c r="AM326" s="5"/>
      <c r="AN326" s="5"/>
    </row>
    <row r="327" spans="1:40" ht="18.75" customHeight="1">
      <c r="A327" s="5"/>
      <c r="B327" s="5"/>
      <c r="C327" s="5"/>
      <c r="D327" s="5"/>
      <c r="E327" s="5"/>
      <c r="F327" s="5"/>
      <c r="G327" s="5"/>
      <c r="H327" s="5"/>
      <c r="I327" s="5"/>
      <c r="J327" s="5"/>
      <c r="K327" s="5"/>
      <c r="L327" s="5"/>
      <c r="M327" s="5"/>
      <c r="N327" s="5"/>
      <c r="O327" s="5"/>
      <c r="P327" s="5"/>
      <c r="Q327" s="5"/>
      <c r="R327" s="5"/>
      <c r="S327" s="5"/>
      <c r="T327" s="5"/>
      <c r="U327" s="5"/>
      <c r="V327" s="5"/>
      <c r="Y327" s="5"/>
      <c r="Z327" s="5"/>
      <c r="AA327" s="5"/>
      <c r="AB327" s="5"/>
      <c r="AC327" s="5"/>
      <c r="AD327" s="5"/>
      <c r="AE327" s="5"/>
      <c r="AF327" s="5"/>
      <c r="AG327" s="5"/>
      <c r="AH327" s="5"/>
      <c r="AI327" s="5"/>
      <c r="AJ327" s="5"/>
      <c r="AK327" s="5"/>
      <c r="AL327" s="5"/>
      <c r="AM327" s="5"/>
      <c r="AN327" s="5"/>
    </row>
    <row r="328" spans="1:40" ht="18.75" customHeight="1">
      <c r="A328" s="5"/>
      <c r="B328" s="5"/>
      <c r="C328" s="5"/>
      <c r="D328" s="5"/>
      <c r="E328" s="5"/>
      <c r="F328" s="5"/>
      <c r="G328" s="5"/>
      <c r="H328" s="5"/>
      <c r="I328" s="5"/>
      <c r="J328" s="5"/>
      <c r="K328" s="5"/>
      <c r="L328" s="5"/>
      <c r="M328" s="5"/>
      <c r="N328" s="5"/>
      <c r="O328" s="5"/>
      <c r="P328" s="5"/>
      <c r="Q328" s="5"/>
      <c r="R328" s="5"/>
      <c r="S328" s="5"/>
      <c r="T328" s="5"/>
      <c r="U328" s="5"/>
      <c r="V328" s="5"/>
      <c r="Y328" s="5"/>
      <c r="Z328" s="5"/>
      <c r="AA328" s="5"/>
      <c r="AB328" s="5"/>
      <c r="AC328" s="5"/>
      <c r="AD328" s="5"/>
      <c r="AE328" s="5"/>
      <c r="AF328" s="5"/>
      <c r="AG328" s="5"/>
      <c r="AH328" s="5"/>
      <c r="AI328" s="5"/>
      <c r="AJ328" s="5"/>
      <c r="AK328" s="5"/>
      <c r="AL328" s="5"/>
      <c r="AM328" s="5"/>
      <c r="AN328" s="5"/>
    </row>
    <row r="329" spans="1:40" ht="18.75" customHeight="1">
      <c r="A329" s="5"/>
      <c r="B329" s="5"/>
      <c r="C329" s="5"/>
      <c r="D329" s="5"/>
      <c r="E329" s="5"/>
      <c r="F329" s="5"/>
      <c r="G329" s="5"/>
      <c r="H329" s="5"/>
      <c r="I329" s="5"/>
      <c r="J329" s="5"/>
      <c r="K329" s="5"/>
      <c r="L329" s="5"/>
      <c r="M329" s="5"/>
      <c r="N329" s="5"/>
      <c r="O329" s="5"/>
      <c r="P329" s="5"/>
      <c r="Q329" s="5"/>
      <c r="R329" s="5"/>
      <c r="S329" s="5"/>
      <c r="T329" s="5"/>
      <c r="U329" s="5"/>
      <c r="V329" s="5"/>
      <c r="Y329" s="5"/>
      <c r="Z329" s="5"/>
      <c r="AA329" s="5"/>
      <c r="AB329" s="5"/>
      <c r="AC329" s="5"/>
      <c r="AD329" s="5"/>
      <c r="AE329" s="5"/>
      <c r="AF329" s="5"/>
      <c r="AG329" s="5"/>
      <c r="AH329" s="5"/>
      <c r="AI329" s="5"/>
      <c r="AJ329" s="5"/>
      <c r="AK329" s="5"/>
      <c r="AL329" s="5"/>
      <c r="AM329" s="5"/>
      <c r="AN329" s="5"/>
    </row>
    <row r="330" spans="1:40" ht="18.75" customHeight="1">
      <c r="A330" s="5"/>
      <c r="B330" s="5"/>
      <c r="C330" s="5"/>
      <c r="D330" s="5"/>
      <c r="E330" s="5"/>
      <c r="F330" s="5"/>
      <c r="G330" s="5"/>
      <c r="H330" s="5"/>
      <c r="I330" s="5"/>
      <c r="J330" s="5"/>
      <c r="K330" s="5"/>
      <c r="L330" s="5"/>
      <c r="M330" s="5"/>
      <c r="N330" s="5"/>
      <c r="O330" s="5"/>
      <c r="P330" s="5"/>
      <c r="Q330" s="5"/>
      <c r="R330" s="5"/>
      <c r="S330" s="5"/>
      <c r="T330" s="5"/>
      <c r="U330" s="5"/>
      <c r="V330" s="5"/>
      <c r="Y330" s="5"/>
      <c r="Z330" s="5"/>
      <c r="AA330" s="5"/>
      <c r="AB330" s="5"/>
      <c r="AC330" s="5"/>
      <c r="AD330" s="5"/>
      <c r="AE330" s="5"/>
      <c r="AF330" s="5"/>
      <c r="AG330" s="5"/>
      <c r="AH330" s="5"/>
      <c r="AI330" s="5"/>
      <c r="AJ330" s="5"/>
      <c r="AK330" s="5"/>
      <c r="AL330" s="5"/>
      <c r="AM330" s="5"/>
      <c r="AN330" s="5"/>
    </row>
    <row r="331" spans="1:40" ht="18.75" customHeight="1">
      <c r="A331" s="5"/>
      <c r="B331" s="5"/>
      <c r="C331" s="5"/>
      <c r="D331" s="5"/>
      <c r="E331" s="5"/>
      <c r="F331" s="5"/>
      <c r="G331" s="5"/>
      <c r="H331" s="5"/>
      <c r="I331" s="5"/>
      <c r="J331" s="5"/>
      <c r="K331" s="5"/>
      <c r="L331" s="5"/>
      <c r="M331" s="5"/>
      <c r="N331" s="5"/>
      <c r="O331" s="5"/>
      <c r="P331" s="5"/>
      <c r="Q331" s="5"/>
      <c r="R331" s="5"/>
      <c r="S331" s="5"/>
      <c r="T331" s="5"/>
      <c r="U331" s="5"/>
      <c r="V331" s="5"/>
      <c r="Y331" s="5"/>
      <c r="Z331" s="5"/>
      <c r="AA331" s="5"/>
      <c r="AB331" s="5"/>
      <c r="AC331" s="5"/>
      <c r="AD331" s="5"/>
      <c r="AE331" s="5"/>
      <c r="AF331" s="5"/>
      <c r="AG331" s="5"/>
      <c r="AH331" s="5"/>
      <c r="AI331" s="5"/>
      <c r="AJ331" s="5"/>
      <c r="AK331" s="5"/>
      <c r="AL331" s="5"/>
      <c r="AM331" s="5"/>
      <c r="AN331" s="5"/>
    </row>
    <row r="332" spans="1:40" ht="18.75" customHeight="1">
      <c r="A332" s="5"/>
      <c r="B332" s="5"/>
      <c r="C332" s="5"/>
      <c r="D332" s="5"/>
      <c r="E332" s="5"/>
      <c r="F332" s="5"/>
      <c r="G332" s="5"/>
      <c r="H332" s="5"/>
      <c r="I332" s="5"/>
      <c r="J332" s="5"/>
      <c r="K332" s="5"/>
      <c r="L332" s="5"/>
      <c r="M332" s="5"/>
      <c r="N332" s="5"/>
      <c r="O332" s="5"/>
      <c r="P332" s="5"/>
      <c r="Q332" s="5"/>
      <c r="R332" s="5"/>
      <c r="S332" s="5"/>
      <c r="T332" s="5"/>
      <c r="U332" s="5"/>
      <c r="V332" s="5"/>
      <c r="Y332" s="5"/>
      <c r="Z332" s="5"/>
      <c r="AA332" s="5"/>
      <c r="AB332" s="5"/>
      <c r="AC332" s="5"/>
      <c r="AD332" s="5"/>
      <c r="AE332" s="5"/>
      <c r="AF332" s="5"/>
      <c r="AG332" s="5"/>
      <c r="AH332" s="5"/>
      <c r="AI332" s="5"/>
      <c r="AJ332" s="5"/>
      <c r="AK332" s="5"/>
      <c r="AL332" s="5"/>
      <c r="AM332" s="5"/>
      <c r="AN332" s="5"/>
    </row>
    <row r="333" spans="1:40" ht="18.75" customHeight="1">
      <c r="A333" s="5"/>
      <c r="B333" s="5"/>
      <c r="C333" s="5"/>
      <c r="D333" s="5"/>
      <c r="E333" s="5"/>
      <c r="F333" s="5"/>
      <c r="G333" s="5"/>
      <c r="H333" s="5"/>
      <c r="I333" s="5"/>
      <c r="J333" s="5"/>
      <c r="K333" s="5"/>
      <c r="L333" s="5"/>
      <c r="M333" s="5"/>
      <c r="N333" s="5"/>
      <c r="O333" s="5"/>
      <c r="P333" s="5"/>
      <c r="Q333" s="5"/>
      <c r="R333" s="5"/>
      <c r="S333" s="5"/>
      <c r="T333" s="5"/>
      <c r="U333" s="5"/>
      <c r="V333" s="5"/>
      <c r="Y333" s="5"/>
      <c r="Z333" s="5"/>
      <c r="AA333" s="5"/>
      <c r="AB333" s="5"/>
      <c r="AC333" s="5"/>
      <c r="AD333" s="5"/>
      <c r="AE333" s="5"/>
      <c r="AF333" s="5"/>
      <c r="AG333" s="5"/>
      <c r="AH333" s="5"/>
      <c r="AI333" s="5"/>
      <c r="AJ333" s="5"/>
      <c r="AK333" s="5"/>
      <c r="AL333" s="5"/>
      <c r="AM333" s="5"/>
      <c r="AN333" s="5"/>
    </row>
    <row r="334" spans="1:40" ht="18.75" customHeight="1">
      <c r="A334" s="5"/>
      <c r="B334" s="5"/>
      <c r="C334" s="5"/>
      <c r="D334" s="5"/>
      <c r="E334" s="5"/>
      <c r="F334" s="5"/>
      <c r="G334" s="5"/>
      <c r="H334" s="5"/>
      <c r="I334" s="5"/>
      <c r="J334" s="5"/>
      <c r="K334" s="5"/>
      <c r="L334" s="5"/>
      <c r="M334" s="5"/>
      <c r="N334" s="5"/>
      <c r="O334" s="5"/>
      <c r="P334" s="5"/>
      <c r="Q334" s="5"/>
      <c r="R334" s="5"/>
      <c r="S334" s="5"/>
      <c r="T334" s="5"/>
      <c r="U334" s="5"/>
      <c r="V334" s="5"/>
      <c r="Y334" s="5"/>
      <c r="Z334" s="5"/>
      <c r="AA334" s="5"/>
      <c r="AB334" s="5"/>
      <c r="AC334" s="5"/>
      <c r="AD334" s="5"/>
      <c r="AE334" s="5"/>
      <c r="AF334" s="5"/>
      <c r="AG334" s="5"/>
      <c r="AH334" s="5"/>
      <c r="AI334" s="5"/>
      <c r="AJ334" s="5"/>
      <c r="AK334" s="5"/>
      <c r="AL334" s="5"/>
      <c r="AM334" s="5"/>
      <c r="AN334" s="5"/>
    </row>
    <row r="335" spans="1:40" ht="18.75" customHeight="1">
      <c r="A335" s="5"/>
      <c r="B335" s="5"/>
      <c r="C335" s="5"/>
      <c r="D335" s="5"/>
      <c r="E335" s="5"/>
      <c r="F335" s="5"/>
      <c r="G335" s="5"/>
      <c r="H335" s="5"/>
      <c r="I335" s="5"/>
      <c r="J335" s="5"/>
      <c r="K335" s="5"/>
      <c r="L335" s="5"/>
      <c r="M335" s="5"/>
      <c r="N335" s="5"/>
      <c r="O335" s="5"/>
      <c r="P335" s="5"/>
      <c r="Q335" s="5"/>
      <c r="R335" s="5"/>
      <c r="S335" s="5"/>
      <c r="T335" s="5"/>
      <c r="U335" s="5"/>
      <c r="V335" s="5"/>
      <c r="Y335" s="5"/>
      <c r="Z335" s="5"/>
      <c r="AA335" s="5"/>
      <c r="AB335" s="5"/>
      <c r="AC335" s="5"/>
      <c r="AD335" s="5"/>
      <c r="AE335" s="5"/>
      <c r="AF335" s="5"/>
      <c r="AG335" s="5"/>
      <c r="AH335" s="5"/>
      <c r="AI335" s="5"/>
      <c r="AJ335" s="5"/>
      <c r="AK335" s="5"/>
      <c r="AL335" s="5"/>
      <c r="AM335" s="5"/>
      <c r="AN335" s="5"/>
    </row>
    <row r="336" spans="1:40" ht="18.75" customHeight="1">
      <c r="A336" s="5"/>
      <c r="B336" s="5"/>
      <c r="C336" s="5"/>
      <c r="D336" s="5"/>
      <c r="E336" s="5"/>
      <c r="F336" s="5"/>
      <c r="G336" s="5"/>
      <c r="H336" s="5"/>
      <c r="I336" s="5"/>
      <c r="J336" s="5"/>
      <c r="K336" s="5"/>
      <c r="L336" s="5"/>
      <c r="M336" s="5"/>
      <c r="N336" s="5"/>
      <c r="O336" s="5"/>
      <c r="P336" s="5"/>
      <c r="Q336" s="5"/>
      <c r="R336" s="5"/>
      <c r="S336" s="5"/>
      <c r="T336" s="5"/>
      <c r="U336" s="5"/>
      <c r="V336" s="5"/>
      <c r="Y336" s="5"/>
      <c r="Z336" s="5"/>
      <c r="AA336" s="5"/>
      <c r="AB336" s="5"/>
      <c r="AC336" s="5"/>
      <c r="AD336" s="5"/>
      <c r="AE336" s="5"/>
      <c r="AF336" s="5"/>
      <c r="AG336" s="5"/>
      <c r="AH336" s="5"/>
      <c r="AI336" s="5"/>
      <c r="AJ336" s="5"/>
      <c r="AK336" s="5"/>
      <c r="AL336" s="5"/>
      <c r="AM336" s="5"/>
      <c r="AN336" s="5"/>
    </row>
    <row r="337" spans="1:40" ht="18.75" customHeight="1">
      <c r="A337" s="5"/>
      <c r="B337" s="5"/>
      <c r="C337" s="5"/>
      <c r="D337" s="5"/>
      <c r="E337" s="5"/>
      <c r="F337" s="5"/>
      <c r="G337" s="5"/>
      <c r="H337" s="5"/>
      <c r="I337" s="5"/>
      <c r="J337" s="5"/>
      <c r="K337" s="5"/>
      <c r="L337" s="5"/>
      <c r="M337" s="5"/>
      <c r="N337" s="5"/>
      <c r="O337" s="5"/>
      <c r="P337" s="5"/>
      <c r="Q337" s="5"/>
      <c r="R337" s="5"/>
      <c r="S337" s="5"/>
      <c r="T337" s="5"/>
      <c r="U337" s="5"/>
      <c r="V337" s="5"/>
      <c r="Y337" s="5"/>
      <c r="Z337" s="5"/>
      <c r="AA337" s="5"/>
      <c r="AB337" s="5"/>
      <c r="AC337" s="5"/>
      <c r="AD337" s="5"/>
      <c r="AE337" s="5"/>
      <c r="AF337" s="5"/>
      <c r="AG337" s="5"/>
      <c r="AH337" s="5"/>
      <c r="AI337" s="5"/>
      <c r="AJ337" s="5"/>
      <c r="AK337" s="5"/>
      <c r="AL337" s="5"/>
      <c r="AM337" s="5"/>
      <c r="AN337" s="5"/>
    </row>
    <row r="338" spans="1:40" ht="18.75" customHeight="1">
      <c r="A338" s="5"/>
      <c r="B338" s="5"/>
      <c r="C338" s="5"/>
      <c r="D338" s="5"/>
      <c r="E338" s="5"/>
      <c r="F338" s="5"/>
      <c r="G338" s="5"/>
      <c r="H338" s="5"/>
      <c r="I338" s="5"/>
      <c r="J338" s="5"/>
      <c r="K338" s="5"/>
      <c r="L338" s="5"/>
      <c r="M338" s="5"/>
      <c r="N338" s="5"/>
      <c r="O338" s="5"/>
      <c r="P338" s="5"/>
      <c r="Q338" s="5"/>
      <c r="R338" s="5"/>
      <c r="S338" s="5"/>
      <c r="T338" s="5"/>
      <c r="U338" s="5"/>
      <c r="V338" s="5"/>
      <c r="Y338" s="5"/>
      <c r="Z338" s="5"/>
      <c r="AA338" s="5"/>
      <c r="AB338" s="5"/>
      <c r="AC338" s="5"/>
      <c r="AD338" s="5"/>
      <c r="AE338" s="5"/>
      <c r="AF338" s="5"/>
      <c r="AG338" s="5"/>
      <c r="AH338" s="5"/>
      <c r="AI338" s="5"/>
      <c r="AJ338" s="5"/>
      <c r="AK338" s="5"/>
      <c r="AL338" s="5"/>
      <c r="AM338" s="5"/>
      <c r="AN338" s="5"/>
    </row>
    <row r="339" spans="1:40" ht="18.75" customHeight="1">
      <c r="A339" s="5"/>
      <c r="B339" s="5"/>
      <c r="C339" s="5"/>
      <c r="D339" s="5"/>
      <c r="E339" s="5"/>
      <c r="F339" s="5"/>
      <c r="G339" s="5"/>
      <c r="H339" s="5"/>
      <c r="I339" s="5"/>
      <c r="J339" s="5"/>
      <c r="K339" s="5"/>
      <c r="L339" s="5"/>
      <c r="M339" s="5"/>
      <c r="N339" s="5"/>
      <c r="O339" s="5"/>
      <c r="P339" s="5"/>
      <c r="Q339" s="5"/>
      <c r="R339" s="5"/>
      <c r="S339" s="5"/>
      <c r="T339" s="5"/>
      <c r="U339" s="5"/>
      <c r="V339" s="5"/>
      <c r="Y339" s="5"/>
      <c r="Z339" s="5"/>
      <c r="AA339" s="5"/>
      <c r="AB339" s="5"/>
      <c r="AC339" s="5"/>
      <c r="AD339" s="5"/>
      <c r="AE339" s="5"/>
      <c r="AF339" s="5"/>
      <c r="AG339" s="5"/>
      <c r="AH339" s="5"/>
      <c r="AI339" s="5"/>
      <c r="AJ339" s="5"/>
      <c r="AK339" s="5"/>
      <c r="AL339" s="5"/>
      <c r="AM339" s="5"/>
      <c r="AN339" s="5"/>
    </row>
    <row r="340" spans="1:40" ht="18.75" customHeight="1">
      <c r="A340" s="5"/>
      <c r="B340" s="5"/>
      <c r="C340" s="5"/>
      <c r="D340" s="5"/>
      <c r="E340" s="5"/>
      <c r="F340" s="5"/>
      <c r="G340" s="5"/>
      <c r="H340" s="5"/>
      <c r="I340" s="5"/>
      <c r="J340" s="5"/>
      <c r="K340" s="5"/>
      <c r="L340" s="5"/>
      <c r="M340" s="5"/>
      <c r="N340" s="5"/>
      <c r="O340" s="5"/>
      <c r="P340" s="5"/>
      <c r="Q340" s="5"/>
      <c r="R340" s="5"/>
      <c r="S340" s="5"/>
      <c r="T340" s="5"/>
      <c r="U340" s="5"/>
      <c r="V340" s="5"/>
      <c r="Y340" s="5"/>
      <c r="Z340" s="5"/>
      <c r="AA340" s="5"/>
      <c r="AB340" s="5"/>
      <c r="AC340" s="5"/>
      <c r="AD340" s="5"/>
      <c r="AE340" s="5"/>
      <c r="AF340" s="5"/>
      <c r="AG340" s="5"/>
      <c r="AH340" s="5"/>
      <c r="AI340" s="5"/>
      <c r="AJ340" s="5"/>
      <c r="AK340" s="5"/>
      <c r="AL340" s="5"/>
      <c r="AM340" s="5"/>
      <c r="AN340" s="5"/>
    </row>
    <row r="341" spans="1:40" ht="18.75" customHeight="1">
      <c r="A341" s="5"/>
      <c r="B341" s="5"/>
      <c r="C341" s="5"/>
      <c r="D341" s="5"/>
      <c r="E341" s="5"/>
      <c r="F341" s="5"/>
      <c r="G341" s="5"/>
      <c r="H341" s="5"/>
      <c r="I341" s="5"/>
      <c r="J341" s="5"/>
      <c r="K341" s="5"/>
      <c r="L341" s="5"/>
      <c r="M341" s="5"/>
      <c r="N341" s="5"/>
      <c r="O341" s="5"/>
      <c r="P341" s="5"/>
      <c r="Q341" s="5"/>
      <c r="R341" s="5"/>
      <c r="S341" s="5"/>
      <c r="T341" s="5"/>
      <c r="U341" s="5"/>
      <c r="V341" s="5"/>
      <c r="Y341" s="5"/>
      <c r="Z341" s="5"/>
      <c r="AA341" s="5"/>
      <c r="AB341" s="5"/>
      <c r="AC341" s="5"/>
      <c r="AD341" s="5"/>
      <c r="AE341" s="5"/>
      <c r="AF341" s="5"/>
      <c r="AG341" s="5"/>
      <c r="AH341" s="5"/>
      <c r="AI341" s="5"/>
      <c r="AJ341" s="5"/>
      <c r="AK341" s="5"/>
      <c r="AL341" s="5"/>
      <c r="AM341" s="5"/>
      <c r="AN341" s="5"/>
    </row>
    <row r="342" spans="1:40" ht="18.75" customHeight="1">
      <c r="A342" s="5"/>
      <c r="B342" s="5"/>
      <c r="C342" s="5"/>
      <c r="D342" s="5"/>
      <c r="E342" s="5"/>
      <c r="F342" s="5"/>
      <c r="G342" s="5"/>
      <c r="H342" s="5"/>
      <c r="I342" s="5"/>
      <c r="J342" s="5"/>
      <c r="K342" s="5"/>
      <c r="L342" s="5"/>
      <c r="M342" s="5"/>
      <c r="N342" s="5"/>
      <c r="O342" s="5"/>
      <c r="P342" s="5"/>
      <c r="Q342" s="5"/>
      <c r="R342" s="5"/>
      <c r="S342" s="5"/>
      <c r="T342" s="5"/>
      <c r="U342" s="5"/>
      <c r="V342" s="5"/>
      <c r="Y342" s="5"/>
      <c r="Z342" s="5"/>
      <c r="AA342" s="5"/>
      <c r="AB342" s="5"/>
      <c r="AC342" s="5"/>
      <c r="AD342" s="5"/>
      <c r="AE342" s="5"/>
      <c r="AF342" s="5"/>
      <c r="AG342" s="5"/>
      <c r="AH342" s="5"/>
      <c r="AI342" s="5"/>
      <c r="AJ342" s="5"/>
      <c r="AK342" s="5"/>
      <c r="AL342" s="5"/>
      <c r="AM342" s="5"/>
      <c r="AN342" s="5"/>
    </row>
    <row r="343" spans="1:40" ht="18.75" customHeight="1">
      <c r="A343" s="5"/>
      <c r="B343" s="5"/>
      <c r="C343" s="5"/>
      <c r="D343" s="5"/>
      <c r="E343" s="5"/>
      <c r="F343" s="5"/>
      <c r="G343" s="5"/>
      <c r="H343" s="5"/>
      <c r="I343" s="5"/>
      <c r="J343" s="5"/>
      <c r="K343" s="5"/>
      <c r="L343" s="5"/>
      <c r="M343" s="5"/>
      <c r="N343" s="5"/>
      <c r="O343" s="5"/>
      <c r="P343" s="5"/>
      <c r="Q343" s="5"/>
      <c r="R343" s="5"/>
      <c r="S343" s="5"/>
      <c r="T343" s="5"/>
      <c r="U343" s="5"/>
      <c r="V343" s="5"/>
      <c r="Y343" s="5"/>
      <c r="Z343" s="5"/>
      <c r="AA343" s="5"/>
      <c r="AB343" s="5"/>
      <c r="AC343" s="5"/>
      <c r="AD343" s="5"/>
      <c r="AE343" s="5"/>
      <c r="AF343" s="5"/>
      <c r="AG343" s="5"/>
      <c r="AH343" s="5"/>
      <c r="AI343" s="5"/>
      <c r="AJ343" s="5"/>
      <c r="AK343" s="5"/>
      <c r="AL343" s="5"/>
      <c r="AM343" s="5"/>
      <c r="AN343" s="5"/>
    </row>
    <row r="344" spans="1:40" ht="18.75" customHeight="1">
      <c r="A344" s="5"/>
      <c r="B344" s="5"/>
      <c r="C344" s="5"/>
      <c r="D344" s="5"/>
      <c r="E344" s="5"/>
      <c r="F344" s="5"/>
      <c r="G344" s="5"/>
      <c r="H344" s="5"/>
      <c r="I344" s="5"/>
      <c r="J344" s="5"/>
      <c r="K344" s="5"/>
      <c r="L344" s="5"/>
      <c r="M344" s="5"/>
      <c r="N344" s="5"/>
      <c r="O344" s="5"/>
      <c r="P344" s="5"/>
      <c r="Q344" s="5"/>
      <c r="R344" s="5"/>
      <c r="S344" s="5"/>
      <c r="T344" s="5"/>
      <c r="U344" s="5"/>
      <c r="V344" s="5"/>
      <c r="Y344" s="5"/>
      <c r="Z344" s="5"/>
      <c r="AA344" s="5"/>
      <c r="AB344" s="5"/>
      <c r="AC344" s="5"/>
      <c r="AD344" s="5"/>
      <c r="AE344" s="5"/>
      <c r="AF344" s="5"/>
      <c r="AG344" s="5"/>
      <c r="AH344" s="5"/>
      <c r="AI344" s="5"/>
      <c r="AJ344" s="5"/>
      <c r="AK344" s="5"/>
      <c r="AL344" s="5"/>
      <c r="AM344" s="5"/>
      <c r="AN344" s="5"/>
    </row>
    <row r="345" spans="1:40" ht="18.75" customHeight="1">
      <c r="A345" s="5"/>
      <c r="B345" s="5"/>
      <c r="C345" s="5"/>
      <c r="D345" s="5"/>
      <c r="E345" s="5"/>
      <c r="F345" s="5"/>
      <c r="G345" s="5"/>
      <c r="H345" s="5"/>
      <c r="I345" s="5"/>
      <c r="J345" s="5"/>
      <c r="K345" s="5"/>
      <c r="L345" s="5"/>
      <c r="M345" s="5"/>
      <c r="N345" s="5"/>
      <c r="O345" s="5"/>
      <c r="P345" s="5"/>
      <c r="Q345" s="5"/>
      <c r="R345" s="5"/>
      <c r="S345" s="5"/>
      <c r="T345" s="5"/>
      <c r="U345" s="5"/>
      <c r="V345" s="5"/>
      <c r="Y345" s="5"/>
      <c r="Z345" s="5"/>
      <c r="AA345" s="5"/>
      <c r="AB345" s="5"/>
      <c r="AC345" s="5"/>
      <c r="AD345" s="5"/>
      <c r="AE345" s="5"/>
      <c r="AF345" s="5"/>
      <c r="AG345" s="5"/>
      <c r="AH345" s="5"/>
      <c r="AI345" s="5"/>
      <c r="AJ345" s="5"/>
      <c r="AK345" s="5"/>
      <c r="AL345" s="5"/>
      <c r="AM345" s="5"/>
      <c r="AN345" s="5"/>
    </row>
    <row r="346" spans="1:40" ht="18.75" customHeight="1">
      <c r="A346" s="5"/>
      <c r="B346" s="5"/>
      <c r="C346" s="5"/>
      <c r="D346" s="5"/>
      <c r="E346" s="5"/>
      <c r="F346" s="5"/>
      <c r="G346" s="5"/>
      <c r="H346" s="5"/>
      <c r="I346" s="5"/>
      <c r="J346" s="5"/>
      <c r="K346" s="5"/>
      <c r="L346" s="5"/>
      <c r="M346" s="5"/>
      <c r="N346" s="5"/>
      <c r="O346" s="5"/>
      <c r="P346" s="5"/>
      <c r="Q346" s="5"/>
      <c r="R346" s="5"/>
      <c r="S346" s="5"/>
      <c r="T346" s="5"/>
      <c r="U346" s="5"/>
      <c r="V346" s="5"/>
      <c r="Y346" s="5"/>
      <c r="Z346" s="5"/>
      <c r="AA346" s="5"/>
      <c r="AB346" s="5"/>
      <c r="AC346" s="5"/>
      <c r="AD346" s="5"/>
      <c r="AE346" s="5"/>
      <c r="AF346" s="5"/>
      <c r="AG346" s="5"/>
      <c r="AH346" s="5"/>
      <c r="AI346" s="5"/>
      <c r="AJ346" s="5"/>
      <c r="AK346" s="5"/>
      <c r="AL346" s="5"/>
      <c r="AM346" s="5"/>
      <c r="AN346" s="5"/>
    </row>
    <row r="347" spans="1:40" ht="18.75" customHeight="1">
      <c r="A347" s="5"/>
      <c r="B347" s="5"/>
      <c r="C347" s="5"/>
      <c r="D347" s="5"/>
      <c r="E347" s="5"/>
      <c r="F347" s="5"/>
      <c r="G347" s="5"/>
      <c r="H347" s="5"/>
      <c r="I347" s="5"/>
      <c r="J347" s="5"/>
      <c r="K347" s="5"/>
      <c r="L347" s="5"/>
      <c r="M347" s="5"/>
      <c r="N347" s="5"/>
      <c r="O347" s="5"/>
      <c r="P347" s="5"/>
      <c r="Q347" s="5"/>
      <c r="R347" s="5"/>
      <c r="S347" s="5"/>
      <c r="T347" s="5"/>
      <c r="U347" s="5"/>
      <c r="V347" s="5"/>
      <c r="Y347" s="5"/>
      <c r="Z347" s="5"/>
      <c r="AA347" s="5"/>
      <c r="AB347" s="5"/>
      <c r="AC347" s="5"/>
      <c r="AD347" s="5"/>
      <c r="AE347" s="5"/>
      <c r="AF347" s="5"/>
      <c r="AG347" s="5"/>
      <c r="AH347" s="5"/>
      <c r="AI347" s="5"/>
      <c r="AJ347" s="5"/>
      <c r="AK347" s="5"/>
      <c r="AL347" s="5"/>
      <c r="AM347" s="5"/>
      <c r="AN347" s="5"/>
    </row>
    <row r="348" spans="1:40" ht="18.75" customHeight="1">
      <c r="A348" s="5"/>
      <c r="B348" s="5"/>
      <c r="C348" s="5"/>
      <c r="D348" s="5"/>
      <c r="E348" s="5"/>
      <c r="F348" s="5"/>
      <c r="G348" s="5"/>
      <c r="H348" s="5"/>
      <c r="I348" s="5"/>
      <c r="J348" s="5"/>
      <c r="K348" s="5"/>
      <c r="L348" s="5"/>
      <c r="M348" s="5"/>
      <c r="N348" s="5"/>
      <c r="O348" s="5"/>
      <c r="P348" s="5"/>
      <c r="Q348" s="5"/>
      <c r="R348" s="5"/>
      <c r="S348" s="5"/>
      <c r="T348" s="5"/>
      <c r="U348" s="5"/>
      <c r="V348" s="5"/>
      <c r="Y348" s="5"/>
      <c r="Z348" s="5"/>
      <c r="AA348" s="5"/>
      <c r="AB348" s="5"/>
      <c r="AC348" s="5"/>
      <c r="AD348" s="5"/>
      <c r="AE348" s="5"/>
      <c r="AF348" s="5"/>
      <c r="AG348" s="5"/>
      <c r="AH348" s="5"/>
      <c r="AI348" s="5"/>
      <c r="AJ348" s="5"/>
      <c r="AK348" s="5"/>
      <c r="AL348" s="5"/>
      <c r="AM348" s="5"/>
      <c r="AN348" s="5"/>
    </row>
    <row r="349" spans="1:40" ht="18.75" customHeight="1">
      <c r="A349" s="5"/>
      <c r="B349" s="5"/>
      <c r="C349" s="5"/>
      <c r="D349" s="5"/>
      <c r="E349" s="5"/>
      <c r="F349" s="5"/>
      <c r="G349" s="5"/>
      <c r="H349" s="5"/>
      <c r="I349" s="5"/>
      <c r="J349" s="5"/>
      <c r="K349" s="5"/>
      <c r="L349" s="5"/>
      <c r="M349" s="5"/>
      <c r="N349" s="5"/>
      <c r="O349" s="5"/>
      <c r="P349" s="5"/>
      <c r="Q349" s="5"/>
      <c r="R349" s="5"/>
      <c r="S349" s="5"/>
      <c r="T349" s="5"/>
      <c r="U349" s="5"/>
      <c r="V349" s="5"/>
      <c r="Y349" s="5"/>
      <c r="Z349" s="5"/>
      <c r="AA349" s="5"/>
      <c r="AB349" s="5"/>
      <c r="AC349" s="5"/>
      <c r="AD349" s="5"/>
      <c r="AE349" s="5"/>
      <c r="AF349" s="5"/>
      <c r="AG349" s="5"/>
      <c r="AH349" s="5"/>
      <c r="AI349" s="5"/>
      <c r="AJ349" s="5"/>
      <c r="AK349" s="5"/>
      <c r="AL349" s="5"/>
      <c r="AM349" s="5"/>
      <c r="AN349" s="5"/>
    </row>
    <row r="350" spans="1:40" ht="18.75" customHeight="1">
      <c r="A350" s="5"/>
      <c r="B350" s="5"/>
      <c r="C350" s="5"/>
      <c r="D350" s="5"/>
      <c r="E350" s="5"/>
      <c r="F350" s="5"/>
      <c r="G350" s="5"/>
      <c r="H350" s="5"/>
      <c r="I350" s="5"/>
      <c r="J350" s="5"/>
      <c r="K350" s="5"/>
      <c r="L350" s="5"/>
      <c r="M350" s="5"/>
      <c r="N350" s="5"/>
      <c r="O350" s="5"/>
      <c r="P350" s="5"/>
      <c r="Q350" s="5"/>
      <c r="R350" s="5"/>
      <c r="S350" s="5"/>
      <c r="T350" s="5"/>
      <c r="U350" s="5"/>
      <c r="V350" s="5"/>
      <c r="Y350" s="5"/>
      <c r="Z350" s="5"/>
      <c r="AA350" s="5"/>
      <c r="AB350" s="5"/>
      <c r="AC350" s="5"/>
      <c r="AD350" s="5"/>
      <c r="AE350" s="5"/>
      <c r="AF350" s="5"/>
      <c r="AG350" s="5"/>
      <c r="AH350" s="5"/>
      <c r="AI350" s="5"/>
      <c r="AJ350" s="5"/>
      <c r="AK350" s="5"/>
      <c r="AL350" s="5"/>
      <c r="AM350" s="5"/>
      <c r="AN350" s="5"/>
    </row>
    <row r="351" spans="1:40" ht="18.75" customHeight="1">
      <c r="A351" s="5"/>
      <c r="B351" s="5"/>
      <c r="C351" s="5"/>
      <c r="D351" s="5"/>
      <c r="E351" s="5"/>
      <c r="F351" s="5"/>
      <c r="G351" s="5"/>
      <c r="H351" s="5"/>
      <c r="I351" s="5"/>
      <c r="J351" s="5"/>
      <c r="K351" s="5"/>
      <c r="L351" s="5"/>
      <c r="M351" s="5"/>
      <c r="N351" s="5"/>
      <c r="O351" s="5"/>
      <c r="P351" s="5"/>
      <c r="Q351" s="5"/>
      <c r="R351" s="5"/>
      <c r="S351" s="5"/>
      <c r="T351" s="5"/>
      <c r="U351" s="5"/>
      <c r="V351" s="5"/>
      <c r="Y351" s="5"/>
      <c r="Z351" s="5"/>
      <c r="AA351" s="5"/>
      <c r="AB351" s="5"/>
      <c r="AC351" s="5"/>
      <c r="AD351" s="5"/>
      <c r="AE351" s="5"/>
      <c r="AF351" s="5"/>
      <c r="AG351" s="5"/>
      <c r="AH351" s="5"/>
      <c r="AI351" s="5"/>
      <c r="AJ351" s="5"/>
      <c r="AK351" s="5"/>
      <c r="AL351" s="5"/>
      <c r="AM351" s="5"/>
      <c r="AN351" s="5"/>
    </row>
    <row r="352" spans="1:40" ht="18.75" customHeight="1">
      <c r="A352" s="5"/>
      <c r="B352" s="5"/>
      <c r="C352" s="5"/>
      <c r="D352" s="5"/>
      <c r="E352" s="5"/>
      <c r="F352" s="5"/>
      <c r="G352" s="5"/>
      <c r="H352" s="5"/>
      <c r="I352" s="5"/>
      <c r="J352" s="5"/>
      <c r="K352" s="5"/>
      <c r="L352" s="5"/>
      <c r="M352" s="5"/>
      <c r="N352" s="5"/>
      <c r="O352" s="5"/>
      <c r="P352" s="5"/>
      <c r="Q352" s="5"/>
      <c r="R352" s="5"/>
      <c r="S352" s="5"/>
      <c r="T352" s="5"/>
      <c r="U352" s="5"/>
      <c r="V352" s="5"/>
      <c r="Y352" s="5"/>
      <c r="Z352" s="5"/>
      <c r="AA352" s="5"/>
      <c r="AB352" s="5"/>
      <c r="AC352" s="5"/>
      <c r="AD352" s="5"/>
      <c r="AE352" s="5"/>
      <c r="AF352" s="5"/>
      <c r="AG352" s="5"/>
      <c r="AH352" s="5"/>
      <c r="AI352" s="5"/>
      <c r="AJ352" s="5"/>
      <c r="AK352" s="5"/>
      <c r="AL352" s="5"/>
      <c r="AM352" s="5"/>
      <c r="AN352" s="5"/>
    </row>
    <row r="353" spans="1:40" ht="18.75" customHeight="1">
      <c r="A353" s="5"/>
      <c r="B353" s="5"/>
      <c r="C353" s="5"/>
      <c r="D353" s="5"/>
      <c r="E353" s="5"/>
      <c r="F353" s="5"/>
      <c r="G353" s="5"/>
      <c r="H353" s="5"/>
      <c r="I353" s="5"/>
      <c r="J353" s="5"/>
      <c r="K353" s="5"/>
      <c r="L353" s="5"/>
      <c r="M353" s="5"/>
      <c r="N353" s="5"/>
      <c r="O353" s="5"/>
      <c r="P353" s="5"/>
      <c r="Q353" s="5"/>
      <c r="R353" s="5"/>
      <c r="S353" s="5"/>
      <c r="T353" s="5"/>
      <c r="U353" s="5"/>
      <c r="V353" s="5"/>
      <c r="Y353" s="5"/>
      <c r="Z353" s="5"/>
      <c r="AA353" s="5"/>
      <c r="AB353" s="5"/>
      <c r="AC353" s="5"/>
      <c r="AD353" s="5"/>
      <c r="AE353" s="5"/>
      <c r="AF353" s="5"/>
      <c r="AG353" s="5"/>
      <c r="AH353" s="5"/>
      <c r="AI353" s="5"/>
      <c r="AJ353" s="5"/>
      <c r="AK353" s="5"/>
      <c r="AL353" s="5"/>
      <c r="AM353" s="5"/>
      <c r="AN353" s="5"/>
    </row>
    <row r="354" spans="1:40" ht="18.75" customHeight="1">
      <c r="A354" s="5"/>
      <c r="B354" s="5"/>
      <c r="C354" s="5"/>
      <c r="D354" s="5"/>
      <c r="E354" s="5"/>
      <c r="F354" s="5"/>
      <c r="G354" s="5"/>
      <c r="H354" s="5"/>
      <c r="I354" s="5"/>
      <c r="J354" s="5"/>
      <c r="K354" s="5"/>
      <c r="L354" s="5"/>
      <c r="M354" s="5"/>
      <c r="N354" s="5"/>
      <c r="O354" s="5"/>
      <c r="P354" s="5"/>
      <c r="Q354" s="5"/>
      <c r="R354" s="5"/>
      <c r="S354" s="5"/>
      <c r="T354" s="5"/>
      <c r="U354" s="5"/>
      <c r="V354" s="5"/>
      <c r="Y354" s="5"/>
      <c r="Z354" s="5"/>
      <c r="AA354" s="5"/>
      <c r="AB354" s="5"/>
      <c r="AC354" s="5"/>
      <c r="AD354" s="5"/>
      <c r="AE354" s="5"/>
      <c r="AF354" s="5"/>
      <c r="AG354" s="5"/>
      <c r="AH354" s="5"/>
      <c r="AI354" s="5"/>
      <c r="AJ354" s="5"/>
      <c r="AK354" s="5"/>
      <c r="AL354" s="5"/>
      <c r="AM354" s="5"/>
      <c r="AN354" s="5"/>
    </row>
    <row r="355" spans="1:40" ht="18.75" customHeight="1">
      <c r="A355" s="5"/>
      <c r="B355" s="5"/>
      <c r="C355" s="5"/>
      <c r="D355" s="5"/>
      <c r="E355" s="5"/>
      <c r="F355" s="5"/>
      <c r="G355" s="5"/>
      <c r="H355" s="5"/>
      <c r="I355" s="5"/>
      <c r="J355" s="5"/>
      <c r="K355" s="5"/>
      <c r="L355" s="5"/>
      <c r="M355" s="5"/>
      <c r="N355" s="5"/>
      <c r="O355" s="5"/>
      <c r="P355" s="5"/>
      <c r="Q355" s="5"/>
      <c r="R355" s="5"/>
      <c r="S355" s="5"/>
      <c r="T355" s="5"/>
      <c r="U355" s="5"/>
      <c r="V355" s="5"/>
      <c r="Y355" s="5"/>
      <c r="Z355" s="5"/>
      <c r="AA355" s="5"/>
      <c r="AB355" s="5"/>
      <c r="AC355" s="5"/>
      <c r="AD355" s="5"/>
      <c r="AE355" s="5"/>
      <c r="AF355" s="5"/>
      <c r="AG355" s="5"/>
      <c r="AH355" s="5"/>
      <c r="AI355" s="5"/>
      <c r="AJ355" s="5"/>
      <c r="AK355" s="5"/>
      <c r="AL355" s="5"/>
      <c r="AM355" s="5"/>
      <c r="AN355" s="5"/>
    </row>
    <row r="356" spans="1:40" ht="18.75" customHeight="1">
      <c r="A356" s="5"/>
      <c r="B356" s="5"/>
      <c r="C356" s="5"/>
      <c r="D356" s="5"/>
      <c r="E356" s="5"/>
      <c r="F356" s="5"/>
      <c r="G356" s="5"/>
      <c r="H356" s="5"/>
      <c r="I356" s="5"/>
      <c r="J356" s="5"/>
      <c r="K356" s="5"/>
      <c r="L356" s="5"/>
      <c r="M356" s="5"/>
      <c r="N356" s="5"/>
      <c r="O356" s="5"/>
      <c r="P356" s="5"/>
      <c r="Q356" s="5"/>
      <c r="R356" s="5"/>
      <c r="S356" s="5"/>
      <c r="T356" s="5"/>
      <c r="U356" s="5"/>
      <c r="V356" s="5"/>
      <c r="Y356" s="5"/>
      <c r="Z356" s="5"/>
      <c r="AA356" s="5"/>
      <c r="AB356" s="5"/>
      <c r="AC356" s="5"/>
      <c r="AD356" s="5"/>
      <c r="AE356" s="5"/>
      <c r="AF356" s="5"/>
      <c r="AG356" s="5"/>
      <c r="AH356" s="5"/>
      <c r="AI356" s="5"/>
      <c r="AJ356" s="5"/>
      <c r="AK356" s="5"/>
      <c r="AL356" s="5"/>
      <c r="AM356" s="5"/>
      <c r="AN356" s="5"/>
    </row>
    <row r="357" spans="1:40" ht="18.75" customHeight="1">
      <c r="A357" s="5"/>
      <c r="B357" s="5"/>
      <c r="C357" s="5"/>
      <c r="D357" s="5"/>
      <c r="E357" s="5"/>
      <c r="F357" s="5"/>
      <c r="G357" s="5"/>
      <c r="H357" s="5"/>
      <c r="I357" s="5"/>
      <c r="J357" s="5"/>
      <c r="K357" s="5"/>
      <c r="L357" s="5"/>
      <c r="M357" s="5"/>
      <c r="N357" s="5"/>
      <c r="O357" s="5"/>
      <c r="P357" s="5"/>
      <c r="Q357" s="5"/>
      <c r="R357" s="5"/>
      <c r="S357" s="5"/>
      <c r="T357" s="5"/>
      <c r="U357" s="5"/>
      <c r="V357" s="5"/>
      <c r="Y357" s="5"/>
      <c r="Z357" s="5"/>
      <c r="AA357" s="5"/>
      <c r="AB357" s="5"/>
      <c r="AC357" s="5"/>
      <c r="AD357" s="5"/>
      <c r="AE357" s="5"/>
      <c r="AF357" s="5"/>
      <c r="AG357" s="5"/>
      <c r="AH357" s="5"/>
      <c r="AI357" s="5"/>
      <c r="AJ357" s="5"/>
      <c r="AK357" s="5"/>
      <c r="AL357" s="5"/>
      <c r="AM357" s="5"/>
      <c r="AN357" s="5"/>
    </row>
    <row r="358" spans="1:40" ht="18.75" customHeight="1">
      <c r="A358" s="5"/>
      <c r="B358" s="5"/>
      <c r="C358" s="5"/>
      <c r="D358" s="5"/>
      <c r="E358" s="5"/>
      <c r="F358" s="5"/>
      <c r="G358" s="5"/>
      <c r="H358" s="5"/>
      <c r="I358" s="5"/>
      <c r="J358" s="5"/>
      <c r="K358" s="5"/>
      <c r="L358" s="5"/>
      <c r="M358" s="5"/>
      <c r="N358" s="5"/>
      <c r="O358" s="5"/>
      <c r="P358" s="5"/>
      <c r="Q358" s="5"/>
      <c r="R358" s="5"/>
      <c r="S358" s="5"/>
      <c r="T358" s="5"/>
      <c r="U358" s="5"/>
      <c r="V358" s="5"/>
      <c r="Y358" s="5"/>
      <c r="Z358" s="5"/>
      <c r="AA358" s="5"/>
      <c r="AB358" s="5"/>
      <c r="AC358" s="5"/>
      <c r="AD358" s="5"/>
      <c r="AE358" s="5"/>
      <c r="AF358" s="5"/>
      <c r="AG358" s="5"/>
      <c r="AH358" s="5"/>
      <c r="AI358" s="5"/>
      <c r="AJ358" s="5"/>
      <c r="AK358" s="5"/>
      <c r="AL358" s="5"/>
      <c r="AM358" s="5"/>
      <c r="AN358" s="5"/>
    </row>
    <row r="359" spans="1:40" ht="18.75" customHeight="1">
      <c r="A359" s="5"/>
      <c r="B359" s="5"/>
      <c r="C359" s="5"/>
      <c r="D359" s="5"/>
      <c r="E359" s="5"/>
      <c r="F359" s="5"/>
      <c r="G359" s="5"/>
      <c r="H359" s="5"/>
      <c r="I359" s="5"/>
      <c r="J359" s="5"/>
      <c r="K359" s="5"/>
      <c r="L359" s="5"/>
      <c r="M359" s="5"/>
      <c r="N359" s="5"/>
      <c r="O359" s="5"/>
      <c r="P359" s="5"/>
      <c r="Q359" s="5"/>
      <c r="R359" s="5"/>
      <c r="S359" s="5"/>
      <c r="T359" s="5"/>
      <c r="U359" s="5"/>
      <c r="V359" s="5"/>
      <c r="Y359" s="5"/>
      <c r="Z359" s="5"/>
      <c r="AA359" s="5"/>
      <c r="AB359" s="5"/>
      <c r="AC359" s="5"/>
      <c r="AD359" s="5"/>
      <c r="AE359" s="5"/>
      <c r="AF359" s="5"/>
      <c r="AG359" s="5"/>
      <c r="AH359" s="5"/>
      <c r="AI359" s="5"/>
      <c r="AJ359" s="5"/>
      <c r="AK359" s="5"/>
      <c r="AL359" s="5"/>
      <c r="AM359" s="5"/>
      <c r="AN359" s="5"/>
    </row>
    <row r="360" spans="1:40" ht="18.75" customHeight="1">
      <c r="A360" s="5"/>
      <c r="B360" s="5"/>
      <c r="C360" s="5"/>
      <c r="D360" s="5"/>
      <c r="E360" s="5"/>
      <c r="F360" s="5"/>
      <c r="G360" s="5"/>
      <c r="H360" s="5"/>
      <c r="I360" s="5"/>
      <c r="J360" s="5"/>
      <c r="K360" s="5"/>
      <c r="L360" s="5"/>
      <c r="M360" s="5"/>
      <c r="N360" s="5"/>
      <c r="O360" s="5"/>
      <c r="P360" s="5"/>
      <c r="Q360" s="5"/>
      <c r="R360" s="5"/>
      <c r="S360" s="5"/>
      <c r="T360" s="5"/>
      <c r="U360" s="5"/>
      <c r="V360" s="5"/>
      <c r="Y360" s="5"/>
      <c r="Z360" s="5"/>
      <c r="AA360" s="5"/>
      <c r="AB360" s="5"/>
      <c r="AC360" s="5"/>
      <c r="AD360" s="5"/>
      <c r="AE360" s="5"/>
      <c r="AF360" s="5"/>
      <c r="AG360" s="5"/>
      <c r="AH360" s="5"/>
      <c r="AI360" s="5"/>
      <c r="AJ360" s="5"/>
      <c r="AK360" s="5"/>
      <c r="AL360" s="5"/>
      <c r="AM360" s="5"/>
      <c r="AN360" s="5"/>
    </row>
    <row r="361" spans="1:40" ht="18.75" customHeight="1">
      <c r="A361" s="5"/>
      <c r="B361" s="5"/>
      <c r="C361" s="5"/>
      <c r="D361" s="5"/>
      <c r="E361" s="5"/>
      <c r="F361" s="5"/>
      <c r="G361" s="5"/>
      <c r="H361" s="5"/>
      <c r="I361" s="5"/>
      <c r="J361" s="5"/>
      <c r="K361" s="5"/>
      <c r="L361" s="5"/>
      <c r="M361" s="5"/>
      <c r="N361" s="5"/>
      <c r="O361" s="5"/>
      <c r="P361" s="5"/>
      <c r="Q361" s="5"/>
      <c r="R361" s="5"/>
      <c r="S361" s="5"/>
      <c r="T361" s="5"/>
      <c r="U361" s="5"/>
      <c r="V361" s="5"/>
      <c r="Y361" s="5"/>
      <c r="Z361" s="5"/>
      <c r="AA361" s="5"/>
      <c r="AB361" s="5"/>
      <c r="AC361" s="5"/>
      <c r="AD361" s="5"/>
      <c r="AE361" s="5"/>
      <c r="AF361" s="5"/>
      <c r="AG361" s="5"/>
      <c r="AH361" s="5"/>
      <c r="AI361" s="5"/>
      <c r="AJ361" s="5"/>
      <c r="AK361" s="5"/>
      <c r="AL361" s="5"/>
      <c r="AM361" s="5"/>
      <c r="AN361" s="5"/>
    </row>
    <row r="362" spans="1:40" ht="18.75" customHeight="1">
      <c r="A362" s="5"/>
      <c r="B362" s="5"/>
      <c r="C362" s="5"/>
      <c r="D362" s="5"/>
      <c r="E362" s="5"/>
      <c r="F362" s="5"/>
      <c r="G362" s="5"/>
      <c r="H362" s="5"/>
      <c r="I362" s="5"/>
      <c r="J362" s="5"/>
      <c r="K362" s="5"/>
      <c r="L362" s="5"/>
      <c r="M362" s="5"/>
      <c r="N362" s="5"/>
      <c r="O362" s="5"/>
      <c r="P362" s="5"/>
      <c r="Q362" s="5"/>
      <c r="R362" s="5"/>
      <c r="S362" s="5"/>
      <c r="T362" s="5"/>
      <c r="U362" s="5"/>
      <c r="V362" s="5"/>
      <c r="Y362" s="5"/>
      <c r="Z362" s="5"/>
      <c r="AA362" s="5"/>
      <c r="AB362" s="5"/>
      <c r="AC362" s="5"/>
      <c r="AD362" s="5"/>
      <c r="AE362" s="5"/>
      <c r="AF362" s="5"/>
      <c r="AG362" s="5"/>
      <c r="AH362" s="5"/>
      <c r="AI362" s="5"/>
      <c r="AJ362" s="5"/>
      <c r="AK362" s="5"/>
      <c r="AL362" s="5"/>
      <c r="AM362" s="5"/>
      <c r="AN362" s="5"/>
    </row>
    <row r="363" spans="1:40" ht="18.75" customHeight="1">
      <c r="A363" s="5"/>
      <c r="B363" s="5"/>
      <c r="C363" s="5"/>
      <c r="D363" s="5"/>
      <c r="E363" s="5"/>
      <c r="F363" s="5"/>
      <c r="G363" s="5"/>
      <c r="H363" s="5"/>
      <c r="I363" s="5"/>
      <c r="J363" s="5"/>
      <c r="K363" s="5"/>
      <c r="L363" s="5"/>
      <c r="M363" s="5"/>
      <c r="N363" s="5"/>
      <c r="O363" s="5"/>
      <c r="P363" s="5"/>
      <c r="Q363" s="5"/>
      <c r="R363" s="5"/>
      <c r="S363" s="5"/>
      <c r="T363" s="5"/>
      <c r="U363" s="5"/>
      <c r="V363" s="5"/>
      <c r="Y363" s="5"/>
      <c r="Z363" s="5"/>
      <c r="AA363" s="5"/>
      <c r="AB363" s="5"/>
      <c r="AC363" s="5"/>
      <c r="AD363" s="5"/>
      <c r="AE363" s="5"/>
      <c r="AF363" s="5"/>
      <c r="AG363" s="5"/>
      <c r="AH363" s="5"/>
      <c r="AI363" s="5"/>
      <c r="AJ363" s="5"/>
      <c r="AK363" s="5"/>
      <c r="AL363" s="5"/>
      <c r="AM363" s="5"/>
      <c r="AN363" s="5"/>
    </row>
    <row r="364" spans="1:40" ht="18.75" customHeight="1">
      <c r="A364" s="5"/>
      <c r="B364" s="5"/>
      <c r="C364" s="5"/>
      <c r="D364" s="5"/>
      <c r="E364" s="5"/>
      <c r="F364" s="5"/>
      <c r="G364" s="5"/>
      <c r="H364" s="5"/>
      <c r="I364" s="5"/>
      <c r="J364" s="5"/>
      <c r="K364" s="5"/>
      <c r="L364" s="5"/>
      <c r="M364" s="5"/>
      <c r="N364" s="5"/>
      <c r="O364" s="5"/>
      <c r="P364" s="5"/>
      <c r="Q364" s="5"/>
      <c r="R364" s="5"/>
      <c r="S364" s="5"/>
      <c r="T364" s="5"/>
      <c r="U364" s="5"/>
      <c r="V364" s="5"/>
      <c r="Y364" s="5"/>
      <c r="Z364" s="5"/>
      <c r="AA364" s="5"/>
      <c r="AB364" s="5"/>
      <c r="AC364" s="5"/>
      <c r="AD364" s="5"/>
      <c r="AE364" s="5"/>
      <c r="AF364" s="5"/>
      <c r="AG364" s="5"/>
      <c r="AH364" s="5"/>
      <c r="AI364" s="5"/>
      <c r="AJ364" s="5"/>
      <c r="AK364" s="5"/>
      <c r="AL364" s="5"/>
      <c r="AM364" s="5"/>
      <c r="AN364" s="5"/>
    </row>
    <row r="365" spans="1:40" ht="18.75" customHeight="1">
      <c r="A365" s="5"/>
      <c r="B365" s="5"/>
      <c r="C365" s="5"/>
      <c r="D365" s="5"/>
      <c r="E365" s="5"/>
      <c r="F365" s="5"/>
      <c r="G365" s="5"/>
      <c r="H365" s="5"/>
      <c r="I365" s="5"/>
      <c r="J365" s="5"/>
      <c r="K365" s="5"/>
      <c r="L365" s="5"/>
      <c r="M365" s="5"/>
      <c r="N365" s="5"/>
      <c r="O365" s="5"/>
      <c r="P365" s="5"/>
      <c r="Q365" s="5"/>
      <c r="R365" s="5"/>
      <c r="S365" s="5"/>
      <c r="T365" s="5"/>
      <c r="U365" s="5"/>
      <c r="V365" s="5"/>
      <c r="Y365" s="5"/>
      <c r="Z365" s="5"/>
      <c r="AA365" s="5"/>
      <c r="AB365" s="5"/>
      <c r="AC365" s="5"/>
      <c r="AD365" s="5"/>
      <c r="AE365" s="5"/>
      <c r="AF365" s="5"/>
      <c r="AG365" s="5"/>
      <c r="AH365" s="5"/>
      <c r="AI365" s="5"/>
      <c r="AJ365" s="5"/>
      <c r="AK365" s="5"/>
      <c r="AL365" s="5"/>
      <c r="AM365" s="5"/>
      <c r="AN365" s="5"/>
    </row>
    <row r="366" spans="1:40" ht="18.75" customHeight="1">
      <c r="A366" s="5"/>
      <c r="B366" s="5"/>
      <c r="C366" s="5"/>
      <c r="D366" s="5"/>
      <c r="E366" s="5"/>
      <c r="F366" s="5"/>
      <c r="G366" s="5"/>
      <c r="H366" s="5"/>
      <c r="I366" s="5"/>
      <c r="J366" s="5"/>
      <c r="K366" s="5"/>
      <c r="L366" s="5"/>
      <c r="M366" s="5"/>
      <c r="N366" s="5"/>
      <c r="O366" s="5"/>
      <c r="P366" s="5"/>
      <c r="Q366" s="5"/>
      <c r="R366" s="5"/>
      <c r="S366" s="5"/>
      <c r="T366" s="5"/>
      <c r="U366" s="5"/>
      <c r="V366" s="5"/>
      <c r="Y366" s="5"/>
      <c r="Z366" s="5"/>
      <c r="AA366" s="5"/>
      <c r="AB366" s="5"/>
      <c r="AC366" s="5"/>
      <c r="AD366" s="5"/>
      <c r="AE366" s="5"/>
      <c r="AF366" s="5"/>
      <c r="AG366" s="5"/>
      <c r="AH366" s="5"/>
      <c r="AI366" s="5"/>
      <c r="AJ366" s="5"/>
      <c r="AK366" s="5"/>
      <c r="AL366" s="5"/>
      <c r="AM366" s="5"/>
      <c r="AN366" s="5"/>
    </row>
    <row r="367" spans="1:40" ht="18.75" customHeight="1">
      <c r="A367" s="5"/>
      <c r="B367" s="5"/>
      <c r="C367" s="5"/>
      <c r="D367" s="5"/>
      <c r="E367" s="5"/>
      <c r="F367" s="5"/>
      <c r="G367" s="5"/>
      <c r="H367" s="5"/>
      <c r="I367" s="5"/>
      <c r="J367" s="5"/>
      <c r="K367" s="5"/>
      <c r="L367" s="5"/>
      <c r="M367" s="5"/>
      <c r="N367" s="5"/>
      <c r="O367" s="5"/>
      <c r="P367" s="5"/>
      <c r="Q367" s="5"/>
      <c r="R367" s="5"/>
      <c r="S367" s="5"/>
      <c r="T367" s="5"/>
      <c r="U367" s="5"/>
      <c r="V367" s="5"/>
      <c r="Y367" s="5"/>
      <c r="Z367" s="5"/>
      <c r="AA367" s="5"/>
      <c r="AB367" s="5"/>
      <c r="AC367" s="5"/>
      <c r="AD367" s="5"/>
      <c r="AE367" s="5"/>
      <c r="AF367" s="5"/>
      <c r="AG367" s="5"/>
      <c r="AH367" s="5"/>
      <c r="AI367" s="5"/>
      <c r="AJ367" s="5"/>
      <c r="AK367" s="5"/>
      <c r="AL367" s="5"/>
      <c r="AM367" s="5"/>
      <c r="AN367" s="5"/>
    </row>
    <row r="368" spans="1:40" ht="18.75" customHeight="1">
      <c r="A368" s="5"/>
      <c r="B368" s="5"/>
      <c r="C368" s="5"/>
      <c r="D368" s="5"/>
      <c r="E368" s="5"/>
      <c r="F368" s="5"/>
      <c r="G368" s="5"/>
      <c r="H368" s="5"/>
      <c r="I368" s="5"/>
      <c r="J368" s="5"/>
      <c r="K368" s="5"/>
      <c r="L368" s="5"/>
      <c r="M368" s="5"/>
      <c r="N368" s="5"/>
      <c r="O368" s="5"/>
      <c r="P368" s="5"/>
      <c r="Q368" s="5"/>
      <c r="R368" s="5"/>
      <c r="S368" s="5"/>
      <c r="T368" s="5"/>
      <c r="U368" s="5"/>
      <c r="V368" s="5"/>
      <c r="Y368" s="5"/>
      <c r="Z368" s="5"/>
      <c r="AA368" s="5"/>
      <c r="AB368" s="5"/>
      <c r="AC368" s="5"/>
      <c r="AD368" s="5"/>
      <c r="AE368" s="5"/>
      <c r="AF368" s="5"/>
      <c r="AG368" s="5"/>
      <c r="AH368" s="5"/>
      <c r="AI368" s="5"/>
      <c r="AJ368" s="5"/>
      <c r="AK368" s="5"/>
      <c r="AL368" s="5"/>
      <c r="AM368" s="5"/>
      <c r="AN368" s="5"/>
    </row>
    <row r="369" spans="1:40" ht="18.75" customHeight="1">
      <c r="A369" s="5"/>
      <c r="B369" s="5"/>
      <c r="C369" s="5"/>
      <c r="D369" s="5"/>
      <c r="E369" s="5"/>
      <c r="F369" s="5"/>
      <c r="G369" s="5"/>
      <c r="H369" s="5"/>
      <c r="I369" s="5"/>
      <c r="J369" s="5"/>
      <c r="K369" s="5"/>
      <c r="L369" s="5"/>
      <c r="M369" s="5"/>
      <c r="N369" s="5"/>
      <c r="O369" s="5"/>
      <c r="P369" s="5"/>
      <c r="Q369" s="5"/>
      <c r="R369" s="5"/>
      <c r="S369" s="5"/>
      <c r="T369" s="5"/>
      <c r="U369" s="5"/>
      <c r="V369" s="5"/>
      <c r="Y369" s="5"/>
      <c r="Z369" s="5"/>
      <c r="AA369" s="5"/>
      <c r="AB369" s="5"/>
      <c r="AC369" s="5"/>
      <c r="AD369" s="5"/>
      <c r="AE369" s="5"/>
      <c r="AF369" s="5"/>
      <c r="AG369" s="5"/>
      <c r="AH369" s="5"/>
      <c r="AI369" s="5"/>
      <c r="AJ369" s="5"/>
      <c r="AK369" s="5"/>
      <c r="AL369" s="5"/>
      <c r="AM369" s="5"/>
      <c r="AN369" s="5"/>
    </row>
    <row r="370" spans="1:40" ht="18.75" customHeight="1">
      <c r="A370" s="5"/>
      <c r="B370" s="5"/>
      <c r="C370" s="5"/>
      <c r="D370" s="5"/>
      <c r="E370" s="5"/>
      <c r="F370" s="5"/>
      <c r="G370" s="5"/>
      <c r="H370" s="5"/>
      <c r="I370" s="5"/>
      <c r="J370" s="5"/>
      <c r="K370" s="5"/>
      <c r="L370" s="5"/>
      <c r="M370" s="5"/>
      <c r="N370" s="5"/>
      <c r="O370" s="5"/>
      <c r="P370" s="5"/>
      <c r="Q370" s="5"/>
      <c r="R370" s="5"/>
      <c r="S370" s="5"/>
      <c r="T370" s="5"/>
      <c r="U370" s="5"/>
      <c r="V370" s="5"/>
      <c r="Y370" s="5"/>
      <c r="Z370" s="5"/>
      <c r="AA370" s="5"/>
      <c r="AB370" s="5"/>
      <c r="AC370" s="5"/>
      <c r="AD370" s="5"/>
      <c r="AE370" s="5"/>
      <c r="AF370" s="5"/>
      <c r="AG370" s="5"/>
      <c r="AH370" s="5"/>
      <c r="AI370" s="5"/>
      <c r="AJ370" s="5"/>
      <c r="AK370" s="5"/>
      <c r="AL370" s="5"/>
      <c r="AM370" s="5"/>
      <c r="AN370" s="5"/>
    </row>
    <row r="371" spans="1:40" ht="18.75" customHeight="1">
      <c r="A371" s="5"/>
      <c r="B371" s="5"/>
      <c r="C371" s="5"/>
      <c r="D371" s="5"/>
      <c r="E371" s="5"/>
      <c r="F371" s="5"/>
      <c r="G371" s="5"/>
      <c r="H371" s="5"/>
      <c r="I371" s="5"/>
      <c r="J371" s="5"/>
      <c r="K371" s="5"/>
      <c r="L371" s="5"/>
      <c r="M371" s="5"/>
      <c r="N371" s="5"/>
      <c r="O371" s="5"/>
      <c r="P371" s="5"/>
      <c r="Q371" s="5"/>
      <c r="R371" s="5"/>
      <c r="S371" s="5"/>
      <c r="T371" s="5"/>
      <c r="U371" s="5"/>
      <c r="V371" s="5"/>
      <c r="Y371" s="5"/>
      <c r="Z371" s="5"/>
      <c r="AA371" s="5"/>
      <c r="AB371" s="5"/>
      <c r="AC371" s="5"/>
      <c r="AD371" s="5"/>
      <c r="AE371" s="5"/>
      <c r="AF371" s="5"/>
      <c r="AG371" s="5"/>
      <c r="AH371" s="5"/>
      <c r="AI371" s="5"/>
      <c r="AJ371" s="5"/>
      <c r="AK371" s="5"/>
      <c r="AL371" s="5"/>
      <c r="AM371" s="5"/>
      <c r="AN371" s="5"/>
    </row>
    <row r="372" spans="1:40" ht="18.75" customHeight="1">
      <c r="A372" s="5"/>
      <c r="B372" s="5"/>
      <c r="C372" s="5"/>
      <c r="D372" s="5"/>
      <c r="E372" s="5"/>
      <c r="F372" s="5"/>
      <c r="G372" s="5"/>
      <c r="H372" s="5"/>
      <c r="I372" s="5"/>
      <c r="J372" s="5"/>
      <c r="K372" s="5"/>
      <c r="L372" s="5"/>
      <c r="M372" s="5"/>
      <c r="N372" s="5"/>
      <c r="O372" s="5"/>
      <c r="P372" s="5"/>
      <c r="Q372" s="5"/>
      <c r="R372" s="5"/>
      <c r="S372" s="5"/>
      <c r="T372" s="5"/>
      <c r="U372" s="5"/>
      <c r="V372" s="5"/>
      <c r="Y372" s="5"/>
      <c r="Z372" s="5"/>
      <c r="AA372" s="5"/>
      <c r="AB372" s="5"/>
      <c r="AC372" s="5"/>
      <c r="AD372" s="5"/>
      <c r="AE372" s="5"/>
      <c r="AF372" s="5"/>
      <c r="AG372" s="5"/>
      <c r="AH372" s="5"/>
      <c r="AI372" s="5"/>
      <c r="AJ372" s="5"/>
      <c r="AK372" s="5"/>
      <c r="AL372" s="5"/>
      <c r="AM372" s="5"/>
      <c r="AN372" s="5"/>
    </row>
    <row r="373" spans="1:40" ht="18.75" customHeight="1">
      <c r="A373" s="5"/>
      <c r="B373" s="5"/>
      <c r="C373" s="5"/>
      <c r="D373" s="5"/>
      <c r="E373" s="5"/>
      <c r="F373" s="5"/>
      <c r="G373" s="5"/>
      <c r="H373" s="5"/>
      <c r="I373" s="5"/>
      <c r="J373" s="5"/>
      <c r="K373" s="5"/>
      <c r="L373" s="5"/>
      <c r="M373" s="5"/>
      <c r="N373" s="5"/>
      <c r="O373" s="5"/>
      <c r="P373" s="5"/>
      <c r="Q373" s="5"/>
      <c r="R373" s="5"/>
      <c r="S373" s="5"/>
      <c r="T373" s="5"/>
      <c r="U373" s="5"/>
      <c r="V373" s="5"/>
      <c r="Y373" s="5"/>
      <c r="Z373" s="5"/>
      <c r="AA373" s="5"/>
      <c r="AB373" s="5"/>
      <c r="AC373" s="5"/>
      <c r="AD373" s="5"/>
      <c r="AE373" s="5"/>
      <c r="AF373" s="5"/>
      <c r="AG373" s="5"/>
      <c r="AH373" s="5"/>
      <c r="AI373" s="5"/>
      <c r="AJ373" s="5"/>
      <c r="AK373" s="5"/>
      <c r="AL373" s="5"/>
      <c r="AM373" s="5"/>
      <c r="AN373" s="5"/>
    </row>
    <row r="374" spans="1:40" ht="18.75" customHeight="1">
      <c r="A374" s="5"/>
      <c r="B374" s="5"/>
      <c r="C374" s="5"/>
      <c r="D374" s="5"/>
      <c r="E374" s="5"/>
      <c r="F374" s="5"/>
      <c r="G374" s="5"/>
      <c r="H374" s="5"/>
      <c r="I374" s="5"/>
      <c r="J374" s="5"/>
      <c r="K374" s="5"/>
      <c r="L374" s="5"/>
      <c r="M374" s="5"/>
      <c r="N374" s="5"/>
      <c r="O374" s="5"/>
      <c r="P374" s="5"/>
      <c r="Q374" s="5"/>
      <c r="R374" s="5"/>
      <c r="S374" s="5"/>
      <c r="T374" s="5"/>
      <c r="U374" s="5"/>
      <c r="V374" s="5"/>
      <c r="Y374" s="5"/>
      <c r="Z374" s="5"/>
      <c r="AA374" s="5"/>
      <c r="AB374" s="5"/>
      <c r="AC374" s="5"/>
      <c r="AD374" s="5"/>
      <c r="AE374" s="5"/>
      <c r="AF374" s="5"/>
      <c r="AG374" s="5"/>
      <c r="AH374" s="5"/>
      <c r="AI374" s="5"/>
      <c r="AJ374" s="5"/>
      <c r="AK374" s="5"/>
      <c r="AL374" s="5"/>
      <c r="AM374" s="5"/>
      <c r="AN374" s="5"/>
    </row>
    <row r="375" spans="1:40" ht="18.75" customHeight="1">
      <c r="A375" s="5"/>
      <c r="B375" s="5"/>
      <c r="C375" s="5"/>
      <c r="D375" s="5"/>
      <c r="E375" s="5"/>
      <c r="F375" s="5"/>
      <c r="G375" s="5"/>
      <c r="H375" s="5"/>
      <c r="I375" s="5"/>
      <c r="J375" s="5"/>
      <c r="K375" s="5"/>
      <c r="L375" s="5"/>
      <c r="M375" s="5"/>
      <c r="N375" s="5"/>
      <c r="O375" s="5"/>
      <c r="P375" s="5"/>
      <c r="Q375" s="5"/>
      <c r="R375" s="5"/>
      <c r="S375" s="5"/>
      <c r="T375" s="5"/>
      <c r="U375" s="5"/>
      <c r="V375" s="5"/>
      <c r="Y375" s="5"/>
      <c r="Z375" s="5"/>
      <c r="AA375" s="5"/>
      <c r="AB375" s="5"/>
      <c r="AC375" s="5"/>
      <c r="AD375" s="5"/>
      <c r="AE375" s="5"/>
      <c r="AF375" s="5"/>
      <c r="AG375" s="5"/>
      <c r="AH375" s="5"/>
      <c r="AI375" s="5"/>
      <c r="AJ375" s="5"/>
      <c r="AK375" s="5"/>
      <c r="AL375" s="5"/>
      <c r="AM375" s="5"/>
      <c r="AN375" s="5"/>
    </row>
    <row r="376" spans="1:40" ht="18.75" customHeight="1">
      <c r="A376" s="5"/>
      <c r="B376" s="5"/>
      <c r="C376" s="5"/>
      <c r="D376" s="5"/>
      <c r="E376" s="5"/>
      <c r="F376" s="5"/>
      <c r="G376" s="5"/>
      <c r="H376" s="5"/>
      <c r="I376" s="5"/>
      <c r="J376" s="5"/>
      <c r="K376" s="5"/>
      <c r="L376" s="5"/>
      <c r="M376" s="5"/>
      <c r="N376" s="5"/>
      <c r="O376" s="5"/>
      <c r="P376" s="5"/>
      <c r="Q376" s="5"/>
      <c r="R376" s="5"/>
      <c r="S376" s="5"/>
      <c r="T376" s="5"/>
      <c r="U376" s="5"/>
      <c r="V376" s="5"/>
      <c r="Y376" s="5"/>
      <c r="Z376" s="5"/>
      <c r="AA376" s="5"/>
      <c r="AB376" s="5"/>
      <c r="AC376" s="5"/>
      <c r="AD376" s="5"/>
      <c r="AE376" s="5"/>
      <c r="AF376" s="5"/>
      <c r="AG376" s="5"/>
      <c r="AH376" s="5"/>
      <c r="AI376" s="5"/>
      <c r="AJ376" s="5"/>
      <c r="AK376" s="5"/>
      <c r="AL376" s="5"/>
      <c r="AM376" s="5"/>
      <c r="AN376" s="5"/>
    </row>
    <row r="377" spans="1:40" ht="18.75" customHeight="1">
      <c r="A377" s="5"/>
      <c r="B377" s="5"/>
      <c r="C377" s="5"/>
      <c r="D377" s="5"/>
      <c r="E377" s="5"/>
      <c r="F377" s="5"/>
      <c r="G377" s="5"/>
      <c r="H377" s="5"/>
      <c r="I377" s="5"/>
      <c r="J377" s="5"/>
      <c r="K377" s="5"/>
      <c r="L377" s="5"/>
      <c r="M377" s="5"/>
      <c r="N377" s="5"/>
      <c r="O377" s="5"/>
      <c r="P377" s="5"/>
      <c r="Q377" s="5"/>
      <c r="R377" s="5"/>
      <c r="S377" s="5"/>
      <c r="T377" s="5"/>
      <c r="U377" s="5"/>
      <c r="V377" s="5"/>
      <c r="Y377" s="5"/>
      <c r="Z377" s="5"/>
      <c r="AA377" s="5"/>
      <c r="AB377" s="5"/>
      <c r="AC377" s="5"/>
      <c r="AD377" s="5"/>
      <c r="AE377" s="5"/>
      <c r="AF377" s="5"/>
      <c r="AG377" s="5"/>
      <c r="AH377" s="5"/>
      <c r="AI377" s="5"/>
      <c r="AJ377" s="5"/>
      <c r="AK377" s="5"/>
      <c r="AL377" s="5"/>
      <c r="AM377" s="5"/>
      <c r="AN377" s="5"/>
    </row>
    <row r="378" spans="1:40" ht="18.75" customHeight="1">
      <c r="A378" s="5"/>
      <c r="B378" s="5"/>
      <c r="C378" s="5"/>
      <c r="D378" s="5"/>
      <c r="E378" s="5"/>
      <c r="F378" s="5"/>
      <c r="G378" s="5"/>
      <c r="H378" s="5"/>
      <c r="I378" s="5"/>
      <c r="J378" s="5"/>
      <c r="K378" s="5"/>
      <c r="L378" s="5"/>
      <c r="M378" s="5"/>
      <c r="N378" s="5"/>
      <c r="O378" s="5"/>
      <c r="P378" s="5"/>
      <c r="Q378" s="5"/>
      <c r="R378" s="5"/>
      <c r="S378" s="5"/>
      <c r="T378" s="5"/>
      <c r="U378" s="5"/>
      <c r="V378" s="5"/>
      <c r="Y378" s="5"/>
      <c r="Z378" s="5"/>
      <c r="AA378" s="5"/>
      <c r="AB378" s="5"/>
      <c r="AC378" s="5"/>
      <c r="AD378" s="5"/>
      <c r="AE378" s="5"/>
      <c r="AF378" s="5"/>
      <c r="AG378" s="5"/>
      <c r="AH378" s="5"/>
      <c r="AI378" s="5"/>
      <c r="AJ378" s="5"/>
      <c r="AK378" s="5"/>
      <c r="AL378" s="5"/>
      <c r="AM378" s="5"/>
      <c r="AN378" s="5"/>
    </row>
    <row r="379" spans="1:40" ht="18.75" customHeight="1">
      <c r="A379" s="5"/>
      <c r="B379" s="5"/>
      <c r="C379" s="5"/>
      <c r="D379" s="5"/>
      <c r="E379" s="5"/>
      <c r="F379" s="5"/>
      <c r="G379" s="5"/>
      <c r="H379" s="5"/>
      <c r="I379" s="5"/>
      <c r="J379" s="5"/>
      <c r="K379" s="5"/>
      <c r="L379" s="5"/>
      <c r="M379" s="5"/>
      <c r="N379" s="5"/>
      <c r="O379" s="5"/>
      <c r="P379" s="5"/>
      <c r="Q379" s="5"/>
      <c r="R379" s="5"/>
      <c r="S379" s="5"/>
      <c r="T379" s="5"/>
      <c r="U379" s="5"/>
      <c r="V379" s="5"/>
      <c r="Y379" s="5"/>
      <c r="Z379" s="5"/>
      <c r="AA379" s="5"/>
      <c r="AB379" s="5"/>
      <c r="AC379" s="5"/>
      <c r="AD379" s="5"/>
      <c r="AE379" s="5"/>
      <c r="AF379" s="5"/>
      <c r="AG379" s="5"/>
      <c r="AH379" s="5"/>
      <c r="AI379" s="5"/>
      <c r="AJ379" s="5"/>
      <c r="AK379" s="5"/>
      <c r="AL379" s="5"/>
      <c r="AM379" s="5"/>
      <c r="AN379" s="5"/>
    </row>
    <row r="380" spans="1:40" ht="18.75" customHeight="1">
      <c r="A380" s="5"/>
      <c r="B380" s="5"/>
      <c r="C380" s="5"/>
      <c r="D380" s="5"/>
      <c r="E380" s="5"/>
      <c r="F380" s="5"/>
      <c r="G380" s="5"/>
      <c r="H380" s="5"/>
      <c r="I380" s="5"/>
      <c r="J380" s="5"/>
      <c r="K380" s="5"/>
      <c r="L380" s="5"/>
      <c r="M380" s="5"/>
      <c r="N380" s="5"/>
      <c r="O380" s="5"/>
      <c r="P380" s="5"/>
      <c r="Q380" s="5"/>
      <c r="R380" s="5"/>
      <c r="S380" s="5"/>
      <c r="T380" s="5"/>
      <c r="U380" s="5"/>
      <c r="V380" s="5"/>
      <c r="Y380" s="5"/>
      <c r="Z380" s="5"/>
      <c r="AA380" s="5"/>
      <c r="AB380" s="5"/>
      <c r="AC380" s="5"/>
      <c r="AD380" s="5"/>
      <c r="AE380" s="5"/>
      <c r="AF380" s="5"/>
      <c r="AG380" s="5"/>
      <c r="AH380" s="5"/>
      <c r="AI380" s="5"/>
      <c r="AJ380" s="5"/>
      <c r="AK380" s="5"/>
      <c r="AL380" s="5"/>
      <c r="AM380" s="5"/>
      <c r="AN380" s="5"/>
    </row>
    <row r="381" spans="1:40" ht="18.75" customHeight="1">
      <c r="A381" s="5"/>
      <c r="B381" s="5"/>
      <c r="C381" s="5"/>
      <c r="D381" s="5"/>
      <c r="E381" s="5"/>
      <c r="F381" s="5"/>
      <c r="G381" s="5"/>
      <c r="H381" s="5"/>
      <c r="I381" s="5"/>
      <c r="J381" s="5"/>
      <c r="K381" s="5"/>
      <c r="L381" s="5"/>
      <c r="M381" s="5"/>
      <c r="N381" s="5"/>
      <c r="O381" s="5"/>
      <c r="P381" s="5"/>
      <c r="Q381" s="5"/>
      <c r="R381" s="5"/>
      <c r="S381" s="5"/>
      <c r="T381" s="5"/>
      <c r="U381" s="5"/>
      <c r="V381" s="5"/>
      <c r="Y381" s="5"/>
      <c r="Z381" s="5"/>
      <c r="AA381" s="5"/>
      <c r="AB381" s="5"/>
      <c r="AC381" s="5"/>
      <c r="AD381" s="5"/>
      <c r="AE381" s="5"/>
      <c r="AF381" s="5"/>
      <c r="AG381" s="5"/>
      <c r="AH381" s="5"/>
      <c r="AI381" s="5"/>
      <c r="AJ381" s="5"/>
      <c r="AK381" s="5"/>
      <c r="AL381" s="5"/>
      <c r="AM381" s="5"/>
      <c r="AN381" s="5"/>
    </row>
    <row r="382" spans="1:40" ht="18.75" customHeight="1">
      <c r="A382" s="5"/>
      <c r="B382" s="5"/>
      <c r="C382" s="5"/>
      <c r="D382" s="5"/>
      <c r="E382" s="5"/>
      <c r="F382" s="5"/>
      <c r="G382" s="5"/>
      <c r="H382" s="5"/>
      <c r="I382" s="5"/>
      <c r="J382" s="5"/>
      <c r="K382" s="5"/>
      <c r="L382" s="5"/>
      <c r="M382" s="5"/>
      <c r="N382" s="5"/>
      <c r="O382" s="5"/>
      <c r="P382" s="5"/>
      <c r="Q382" s="5"/>
      <c r="R382" s="5"/>
      <c r="S382" s="5"/>
      <c r="T382" s="5"/>
      <c r="U382" s="5"/>
      <c r="V382" s="5"/>
      <c r="Y382" s="5"/>
      <c r="Z382" s="5"/>
      <c r="AA382" s="5"/>
      <c r="AB382" s="5"/>
      <c r="AC382" s="5"/>
      <c r="AD382" s="5"/>
      <c r="AE382" s="5"/>
      <c r="AF382" s="5"/>
      <c r="AG382" s="5"/>
      <c r="AH382" s="5"/>
      <c r="AI382" s="5"/>
      <c r="AJ382" s="5"/>
      <c r="AK382" s="5"/>
      <c r="AL382" s="5"/>
      <c r="AM382" s="5"/>
      <c r="AN382" s="5"/>
    </row>
    <row r="383" spans="1:40" ht="18.75" customHeight="1">
      <c r="A383" s="5"/>
      <c r="B383" s="5"/>
      <c r="C383" s="5"/>
      <c r="D383" s="5"/>
      <c r="E383" s="5"/>
      <c r="F383" s="5"/>
      <c r="G383" s="5"/>
      <c r="H383" s="5"/>
      <c r="I383" s="5"/>
      <c r="J383" s="5"/>
      <c r="K383" s="5"/>
      <c r="L383" s="5"/>
      <c r="M383" s="5"/>
      <c r="N383" s="5"/>
      <c r="O383" s="5"/>
      <c r="P383" s="5"/>
      <c r="Q383" s="5"/>
      <c r="R383" s="5"/>
      <c r="S383" s="5"/>
      <c r="T383" s="5"/>
      <c r="U383" s="5"/>
      <c r="V383" s="5"/>
      <c r="Y383" s="5"/>
      <c r="Z383" s="5"/>
      <c r="AA383" s="5"/>
      <c r="AB383" s="5"/>
      <c r="AC383" s="5"/>
      <c r="AD383" s="5"/>
      <c r="AE383" s="5"/>
      <c r="AF383" s="5"/>
      <c r="AG383" s="5"/>
      <c r="AH383" s="5"/>
      <c r="AI383" s="5"/>
      <c r="AJ383" s="5"/>
      <c r="AK383" s="5"/>
      <c r="AL383" s="5"/>
      <c r="AM383" s="5"/>
      <c r="AN383" s="5"/>
    </row>
    <row r="384" spans="1:40" ht="18.75" customHeight="1">
      <c r="A384" s="5"/>
      <c r="B384" s="5"/>
      <c r="C384" s="5"/>
      <c r="D384" s="5"/>
      <c r="E384" s="5"/>
      <c r="F384" s="5"/>
      <c r="G384" s="5"/>
      <c r="H384" s="5"/>
      <c r="I384" s="5"/>
      <c r="J384" s="5"/>
      <c r="K384" s="5"/>
      <c r="L384" s="5"/>
      <c r="M384" s="5"/>
      <c r="N384" s="5"/>
      <c r="O384" s="5"/>
      <c r="P384" s="5"/>
      <c r="Q384" s="5"/>
      <c r="R384" s="5"/>
      <c r="S384" s="5"/>
      <c r="T384" s="5"/>
      <c r="U384" s="5"/>
      <c r="V384" s="5"/>
      <c r="Y384" s="5"/>
      <c r="Z384" s="5"/>
      <c r="AA384" s="5"/>
      <c r="AB384" s="5"/>
      <c r="AC384" s="5"/>
      <c r="AD384" s="5"/>
      <c r="AE384" s="5"/>
      <c r="AF384" s="5"/>
      <c r="AG384" s="5"/>
      <c r="AH384" s="5"/>
      <c r="AI384" s="5"/>
      <c r="AJ384" s="5"/>
      <c r="AK384" s="5"/>
      <c r="AL384" s="5"/>
      <c r="AM384" s="5"/>
      <c r="AN384" s="5"/>
    </row>
    <row r="385" spans="1:40" ht="18.75" customHeight="1">
      <c r="A385" s="5"/>
      <c r="B385" s="5"/>
      <c r="C385" s="5"/>
      <c r="D385" s="5"/>
      <c r="E385" s="5"/>
      <c r="F385" s="5"/>
      <c r="G385" s="5"/>
      <c r="H385" s="5"/>
      <c r="I385" s="5"/>
      <c r="J385" s="5"/>
      <c r="K385" s="5"/>
      <c r="L385" s="5"/>
      <c r="M385" s="5"/>
      <c r="N385" s="5"/>
      <c r="O385" s="5"/>
      <c r="P385" s="5"/>
      <c r="Q385" s="5"/>
      <c r="R385" s="5"/>
      <c r="S385" s="5"/>
      <c r="T385" s="5"/>
      <c r="U385" s="5"/>
      <c r="V385" s="5"/>
      <c r="Y385" s="5"/>
      <c r="Z385" s="5"/>
      <c r="AA385" s="5"/>
      <c r="AB385" s="5"/>
      <c r="AC385" s="5"/>
      <c r="AD385" s="5"/>
      <c r="AE385" s="5"/>
      <c r="AF385" s="5"/>
      <c r="AG385" s="5"/>
      <c r="AH385" s="5"/>
      <c r="AI385" s="5"/>
      <c r="AJ385" s="5"/>
      <c r="AK385" s="5"/>
      <c r="AL385" s="5"/>
      <c r="AM385" s="5"/>
      <c r="AN385" s="5"/>
    </row>
    <row r="386" spans="1:40" ht="18.75" customHeight="1">
      <c r="A386" s="5"/>
      <c r="B386" s="5"/>
      <c r="C386" s="5"/>
      <c r="D386" s="5"/>
      <c r="E386" s="5"/>
      <c r="F386" s="5"/>
      <c r="G386" s="5"/>
      <c r="H386" s="5"/>
      <c r="I386" s="5"/>
      <c r="J386" s="5"/>
      <c r="K386" s="5"/>
      <c r="L386" s="5"/>
      <c r="M386" s="5"/>
      <c r="N386" s="5"/>
      <c r="O386" s="5"/>
      <c r="P386" s="5"/>
      <c r="Q386" s="5"/>
      <c r="R386" s="5"/>
      <c r="S386" s="5"/>
      <c r="T386" s="5"/>
      <c r="U386" s="5"/>
      <c r="V386" s="5"/>
      <c r="Y386" s="5"/>
      <c r="Z386" s="5"/>
      <c r="AA386" s="5"/>
      <c r="AB386" s="5"/>
      <c r="AC386" s="5"/>
      <c r="AD386" s="5"/>
      <c r="AE386" s="5"/>
      <c r="AF386" s="5"/>
      <c r="AG386" s="5"/>
      <c r="AH386" s="5"/>
      <c r="AI386" s="5"/>
      <c r="AJ386" s="5"/>
      <c r="AK386" s="5"/>
      <c r="AL386" s="5"/>
      <c r="AM386" s="5"/>
      <c r="AN386" s="5"/>
    </row>
    <row r="387" spans="1:40" ht="18.75" customHeight="1">
      <c r="A387" s="5"/>
      <c r="B387" s="5"/>
      <c r="C387" s="5"/>
      <c r="D387" s="5"/>
      <c r="E387" s="5"/>
      <c r="F387" s="5"/>
      <c r="G387" s="5"/>
      <c r="H387" s="5"/>
      <c r="I387" s="5"/>
      <c r="J387" s="5"/>
      <c r="K387" s="5"/>
      <c r="L387" s="5"/>
      <c r="M387" s="5"/>
      <c r="N387" s="5"/>
      <c r="O387" s="5"/>
      <c r="P387" s="5"/>
      <c r="Q387" s="5"/>
      <c r="R387" s="5"/>
      <c r="S387" s="5"/>
      <c r="T387" s="5"/>
      <c r="U387" s="5"/>
      <c r="V387" s="5"/>
      <c r="Y387" s="5"/>
      <c r="Z387" s="5"/>
      <c r="AA387" s="5"/>
      <c r="AB387" s="5"/>
      <c r="AC387" s="5"/>
      <c r="AD387" s="5"/>
      <c r="AE387" s="5"/>
      <c r="AF387" s="5"/>
      <c r="AG387" s="5"/>
      <c r="AH387" s="5"/>
      <c r="AI387" s="5"/>
      <c r="AJ387" s="5"/>
      <c r="AK387" s="5"/>
      <c r="AL387" s="5"/>
      <c r="AM387" s="5"/>
      <c r="AN387" s="5"/>
    </row>
    <row r="388" spans="1:40" ht="18.75" customHeight="1">
      <c r="A388" s="5"/>
      <c r="B388" s="5"/>
      <c r="C388" s="5"/>
      <c r="D388" s="5"/>
      <c r="E388" s="5"/>
      <c r="F388" s="5"/>
      <c r="G388" s="5"/>
      <c r="H388" s="5"/>
      <c r="I388" s="5"/>
      <c r="J388" s="5"/>
      <c r="K388" s="5"/>
      <c r="L388" s="5"/>
      <c r="M388" s="5"/>
      <c r="N388" s="5"/>
      <c r="O388" s="5"/>
      <c r="P388" s="5"/>
      <c r="Q388" s="5"/>
      <c r="R388" s="5"/>
      <c r="S388" s="5"/>
      <c r="T388" s="5"/>
      <c r="U388" s="5"/>
      <c r="V388" s="5"/>
      <c r="Y388" s="5"/>
      <c r="Z388" s="5"/>
      <c r="AA388" s="5"/>
      <c r="AB388" s="5"/>
      <c r="AC388" s="5"/>
      <c r="AD388" s="5"/>
      <c r="AE388" s="5"/>
      <c r="AF388" s="5"/>
      <c r="AG388" s="5"/>
      <c r="AH388" s="5"/>
      <c r="AI388" s="5"/>
      <c r="AJ388" s="5"/>
      <c r="AK388" s="5"/>
      <c r="AL388" s="5"/>
      <c r="AM388" s="5"/>
      <c r="AN388" s="5"/>
    </row>
    <row r="389" spans="1:40" ht="18.75" customHeight="1">
      <c r="A389" s="5"/>
      <c r="B389" s="5"/>
      <c r="C389" s="5"/>
      <c r="D389" s="5"/>
      <c r="E389" s="5"/>
      <c r="F389" s="5"/>
      <c r="G389" s="5"/>
      <c r="H389" s="5"/>
      <c r="I389" s="5"/>
      <c r="J389" s="5"/>
      <c r="K389" s="5"/>
      <c r="L389" s="5"/>
      <c r="M389" s="5"/>
      <c r="N389" s="5"/>
      <c r="O389" s="5"/>
      <c r="P389" s="5"/>
      <c r="Q389" s="5"/>
      <c r="R389" s="5"/>
      <c r="S389" s="5"/>
      <c r="T389" s="5"/>
      <c r="U389" s="5"/>
      <c r="V389" s="5"/>
      <c r="Y389" s="5"/>
      <c r="Z389" s="5"/>
      <c r="AA389" s="5"/>
      <c r="AB389" s="5"/>
      <c r="AC389" s="5"/>
      <c r="AD389" s="5"/>
      <c r="AE389" s="5"/>
      <c r="AF389" s="5"/>
      <c r="AG389" s="5"/>
      <c r="AH389" s="5"/>
      <c r="AI389" s="5"/>
      <c r="AJ389" s="5"/>
      <c r="AK389" s="5"/>
      <c r="AL389" s="5"/>
      <c r="AM389" s="5"/>
      <c r="AN389" s="5"/>
    </row>
    <row r="390" spans="1:40" ht="18.75" customHeight="1">
      <c r="A390" s="5"/>
      <c r="B390" s="5"/>
      <c r="C390" s="5"/>
      <c r="D390" s="5"/>
      <c r="E390" s="5"/>
      <c r="F390" s="5"/>
      <c r="G390" s="5"/>
      <c r="H390" s="5"/>
      <c r="I390" s="5"/>
      <c r="J390" s="5"/>
      <c r="K390" s="5"/>
      <c r="L390" s="5"/>
      <c r="M390" s="5"/>
      <c r="N390" s="5"/>
      <c r="O390" s="5"/>
      <c r="P390" s="5"/>
      <c r="Q390" s="5"/>
      <c r="R390" s="5"/>
      <c r="S390" s="5"/>
      <c r="T390" s="5"/>
      <c r="U390" s="5"/>
      <c r="V390" s="5"/>
      <c r="Y390" s="5"/>
      <c r="Z390" s="5"/>
      <c r="AA390" s="5"/>
      <c r="AB390" s="5"/>
      <c r="AC390" s="5"/>
      <c r="AD390" s="5"/>
      <c r="AE390" s="5"/>
      <c r="AF390" s="5"/>
      <c r="AG390" s="5"/>
      <c r="AH390" s="5"/>
      <c r="AI390" s="5"/>
      <c r="AJ390" s="5"/>
      <c r="AK390" s="5"/>
      <c r="AL390" s="5"/>
      <c r="AM390" s="5"/>
      <c r="AN390" s="5"/>
    </row>
    <row r="391" spans="1:40" ht="18.75" customHeight="1">
      <c r="A391" s="5"/>
      <c r="B391" s="5"/>
      <c r="C391" s="5"/>
      <c r="D391" s="5"/>
      <c r="E391" s="5"/>
      <c r="F391" s="5"/>
      <c r="G391" s="5"/>
      <c r="H391" s="5"/>
      <c r="I391" s="5"/>
      <c r="J391" s="5"/>
      <c r="K391" s="5"/>
      <c r="L391" s="5"/>
      <c r="M391" s="5"/>
      <c r="N391" s="5"/>
      <c r="O391" s="5"/>
      <c r="P391" s="5"/>
      <c r="Q391" s="5"/>
      <c r="R391" s="5"/>
      <c r="S391" s="5"/>
      <c r="T391" s="5"/>
      <c r="U391" s="5"/>
      <c r="V391" s="5"/>
      <c r="Y391" s="5"/>
      <c r="Z391" s="5"/>
      <c r="AA391" s="5"/>
      <c r="AB391" s="5"/>
      <c r="AC391" s="5"/>
      <c r="AD391" s="5"/>
      <c r="AE391" s="5"/>
      <c r="AF391" s="5"/>
      <c r="AG391" s="5"/>
      <c r="AH391" s="5"/>
      <c r="AI391" s="5"/>
      <c r="AJ391" s="5"/>
      <c r="AK391" s="5"/>
      <c r="AL391" s="5"/>
      <c r="AM391" s="5"/>
      <c r="AN391" s="5"/>
    </row>
    <row r="392" spans="1:40" ht="18.75" customHeight="1">
      <c r="A392" s="5"/>
      <c r="B392" s="5"/>
      <c r="C392" s="5"/>
      <c r="D392" s="5"/>
      <c r="E392" s="5"/>
      <c r="F392" s="5"/>
      <c r="G392" s="5"/>
      <c r="H392" s="5"/>
      <c r="I392" s="5"/>
      <c r="J392" s="5"/>
      <c r="K392" s="5"/>
      <c r="L392" s="5"/>
      <c r="M392" s="5"/>
      <c r="N392" s="5"/>
      <c r="O392" s="5"/>
      <c r="P392" s="5"/>
      <c r="Q392" s="5"/>
      <c r="R392" s="5"/>
      <c r="S392" s="5"/>
      <c r="T392" s="5"/>
      <c r="U392" s="5"/>
      <c r="V392" s="5"/>
      <c r="Y392" s="5"/>
      <c r="Z392" s="5"/>
      <c r="AA392" s="5"/>
      <c r="AB392" s="5"/>
      <c r="AC392" s="5"/>
      <c r="AD392" s="5"/>
      <c r="AE392" s="5"/>
      <c r="AF392" s="5"/>
      <c r="AG392" s="5"/>
      <c r="AH392" s="5"/>
      <c r="AI392" s="5"/>
      <c r="AJ392" s="5"/>
      <c r="AK392" s="5"/>
      <c r="AL392" s="5"/>
      <c r="AM392" s="5"/>
      <c r="AN392" s="5"/>
    </row>
    <row r="393" spans="1:40" ht="18.75" customHeight="1">
      <c r="A393" s="5"/>
      <c r="B393" s="5"/>
      <c r="C393" s="5"/>
      <c r="D393" s="5"/>
      <c r="E393" s="5"/>
      <c r="F393" s="5"/>
      <c r="G393" s="5"/>
      <c r="H393" s="5"/>
      <c r="I393" s="5"/>
      <c r="J393" s="5"/>
      <c r="K393" s="5"/>
      <c r="L393" s="5"/>
      <c r="M393" s="5"/>
      <c r="N393" s="5"/>
      <c r="O393" s="5"/>
      <c r="P393" s="5"/>
      <c r="Q393" s="5"/>
      <c r="R393" s="5"/>
      <c r="S393" s="5"/>
      <c r="T393" s="5"/>
      <c r="U393" s="5"/>
      <c r="V393" s="5"/>
      <c r="Y393" s="5"/>
      <c r="Z393" s="5"/>
      <c r="AA393" s="5"/>
      <c r="AB393" s="5"/>
      <c r="AC393" s="5"/>
      <c r="AD393" s="5"/>
      <c r="AE393" s="5"/>
      <c r="AF393" s="5"/>
      <c r="AG393" s="5"/>
      <c r="AH393" s="5"/>
      <c r="AI393" s="5"/>
      <c r="AJ393" s="5"/>
      <c r="AK393" s="5"/>
      <c r="AL393" s="5"/>
      <c r="AM393" s="5"/>
      <c r="AN393" s="5"/>
    </row>
    <row r="394" spans="1:40" ht="18.75" customHeight="1">
      <c r="A394" s="5"/>
      <c r="B394" s="5"/>
      <c r="C394" s="5"/>
      <c r="D394" s="5"/>
      <c r="E394" s="5"/>
      <c r="F394" s="5"/>
      <c r="G394" s="5"/>
      <c r="H394" s="5"/>
      <c r="I394" s="5"/>
      <c r="J394" s="5"/>
      <c r="K394" s="5"/>
      <c r="L394" s="5"/>
      <c r="M394" s="5"/>
      <c r="N394" s="5"/>
      <c r="O394" s="5"/>
      <c r="P394" s="5"/>
      <c r="Q394" s="5"/>
      <c r="R394" s="5"/>
      <c r="S394" s="5"/>
      <c r="T394" s="5"/>
      <c r="U394" s="5"/>
      <c r="V394" s="5"/>
      <c r="Y394" s="5"/>
      <c r="Z394" s="5"/>
      <c r="AA394" s="5"/>
      <c r="AB394" s="5"/>
      <c r="AC394" s="5"/>
      <c r="AD394" s="5"/>
      <c r="AE394" s="5"/>
      <c r="AF394" s="5"/>
      <c r="AG394" s="5"/>
      <c r="AH394" s="5"/>
      <c r="AI394" s="5"/>
      <c r="AJ394" s="5"/>
      <c r="AK394" s="5"/>
      <c r="AL394" s="5"/>
      <c r="AM394" s="5"/>
      <c r="AN394" s="5"/>
    </row>
    <row r="395" spans="1:40" ht="18.75" customHeight="1">
      <c r="A395" s="5"/>
      <c r="B395" s="5"/>
      <c r="C395" s="5"/>
      <c r="D395" s="5"/>
      <c r="E395" s="5"/>
      <c r="F395" s="5"/>
      <c r="G395" s="5"/>
      <c r="H395" s="5"/>
      <c r="I395" s="5"/>
      <c r="J395" s="5"/>
      <c r="K395" s="5"/>
      <c r="L395" s="5"/>
      <c r="M395" s="5"/>
      <c r="N395" s="5"/>
      <c r="O395" s="5"/>
      <c r="P395" s="5"/>
      <c r="Q395" s="5"/>
      <c r="R395" s="5"/>
      <c r="S395" s="5"/>
      <c r="T395" s="5"/>
      <c r="U395" s="5"/>
      <c r="V395" s="5"/>
      <c r="Y395" s="5"/>
      <c r="Z395" s="5"/>
      <c r="AA395" s="5"/>
      <c r="AB395" s="5"/>
      <c r="AC395" s="5"/>
      <c r="AD395" s="5"/>
      <c r="AE395" s="5"/>
      <c r="AF395" s="5"/>
      <c r="AG395" s="5"/>
      <c r="AH395" s="5"/>
      <c r="AI395" s="5"/>
      <c r="AJ395" s="5"/>
      <c r="AK395" s="5"/>
      <c r="AL395" s="5"/>
      <c r="AM395" s="5"/>
      <c r="AN395" s="5"/>
    </row>
    <row r="396" spans="1:40" ht="18.75" customHeight="1">
      <c r="A396" s="5"/>
      <c r="B396" s="5"/>
      <c r="C396" s="5"/>
      <c r="D396" s="5"/>
      <c r="E396" s="5"/>
      <c r="F396" s="5"/>
      <c r="G396" s="5"/>
      <c r="H396" s="5"/>
      <c r="I396" s="5"/>
      <c r="J396" s="5"/>
      <c r="K396" s="5"/>
      <c r="L396" s="5"/>
      <c r="M396" s="5"/>
      <c r="N396" s="5"/>
      <c r="O396" s="5"/>
      <c r="P396" s="5"/>
      <c r="Q396" s="5"/>
      <c r="R396" s="5"/>
      <c r="S396" s="5"/>
      <c r="T396" s="5"/>
      <c r="U396" s="5"/>
      <c r="V396" s="5"/>
      <c r="Y396" s="5"/>
      <c r="Z396" s="5"/>
      <c r="AA396" s="5"/>
      <c r="AB396" s="5"/>
      <c r="AC396" s="5"/>
      <c r="AD396" s="5"/>
      <c r="AE396" s="5"/>
      <c r="AF396" s="5"/>
      <c r="AG396" s="5"/>
      <c r="AH396" s="5"/>
      <c r="AI396" s="5"/>
      <c r="AJ396" s="5"/>
      <c r="AK396" s="5"/>
      <c r="AL396" s="5"/>
      <c r="AM396" s="5"/>
      <c r="AN396" s="5"/>
    </row>
    <row r="397" spans="1:40" ht="18.75" customHeight="1">
      <c r="A397" s="5"/>
      <c r="B397" s="5"/>
      <c r="C397" s="5"/>
      <c r="D397" s="5"/>
      <c r="E397" s="5"/>
      <c r="F397" s="5"/>
      <c r="G397" s="5"/>
      <c r="H397" s="5"/>
      <c r="I397" s="5"/>
      <c r="J397" s="5"/>
      <c r="K397" s="5"/>
      <c r="L397" s="5"/>
      <c r="M397" s="5"/>
      <c r="N397" s="5"/>
      <c r="O397" s="5"/>
      <c r="P397" s="5"/>
      <c r="Q397" s="5"/>
      <c r="R397" s="5"/>
      <c r="S397" s="5"/>
      <c r="T397" s="5"/>
      <c r="U397" s="5"/>
      <c r="V397" s="5"/>
      <c r="Y397" s="5"/>
      <c r="Z397" s="5"/>
      <c r="AA397" s="5"/>
      <c r="AB397" s="5"/>
      <c r="AC397" s="5"/>
      <c r="AD397" s="5"/>
      <c r="AE397" s="5"/>
      <c r="AF397" s="5"/>
      <c r="AG397" s="5"/>
      <c r="AH397" s="5"/>
      <c r="AI397" s="5"/>
      <c r="AJ397" s="5"/>
      <c r="AK397" s="5"/>
      <c r="AL397" s="5"/>
      <c r="AM397" s="5"/>
      <c r="AN397" s="5"/>
    </row>
    <row r="398" spans="1:40" ht="18.75" customHeight="1">
      <c r="A398" s="5"/>
      <c r="B398" s="5"/>
      <c r="C398" s="5"/>
      <c r="D398" s="5"/>
      <c r="E398" s="5"/>
      <c r="F398" s="5"/>
      <c r="G398" s="5"/>
      <c r="H398" s="5"/>
      <c r="I398" s="5"/>
      <c r="J398" s="5"/>
      <c r="K398" s="5"/>
      <c r="L398" s="5"/>
      <c r="M398" s="5"/>
      <c r="N398" s="5"/>
      <c r="O398" s="5"/>
      <c r="P398" s="5"/>
      <c r="Q398" s="5"/>
      <c r="R398" s="5"/>
      <c r="S398" s="5"/>
      <c r="T398" s="5"/>
      <c r="U398" s="5"/>
      <c r="V398" s="5"/>
      <c r="Y398" s="5"/>
      <c r="Z398" s="5"/>
      <c r="AA398" s="5"/>
      <c r="AB398" s="5"/>
      <c r="AC398" s="5"/>
      <c r="AD398" s="5"/>
      <c r="AE398" s="5"/>
      <c r="AF398" s="5"/>
      <c r="AG398" s="5"/>
      <c r="AH398" s="5"/>
      <c r="AI398" s="5"/>
      <c r="AJ398" s="5"/>
      <c r="AK398" s="5"/>
      <c r="AL398" s="5"/>
      <c r="AM398" s="5"/>
      <c r="AN398" s="5"/>
    </row>
    <row r="399" spans="1:40" ht="18.75" customHeight="1">
      <c r="A399" s="5"/>
      <c r="B399" s="5"/>
      <c r="C399" s="5"/>
      <c r="D399" s="5"/>
      <c r="E399" s="5"/>
      <c r="F399" s="5"/>
      <c r="G399" s="5"/>
      <c r="H399" s="5"/>
      <c r="I399" s="5"/>
      <c r="J399" s="5"/>
      <c r="K399" s="5"/>
      <c r="L399" s="5"/>
      <c r="M399" s="5"/>
      <c r="N399" s="5"/>
      <c r="O399" s="5"/>
      <c r="P399" s="5"/>
      <c r="Q399" s="5"/>
      <c r="R399" s="5"/>
      <c r="S399" s="5"/>
      <c r="T399" s="5"/>
      <c r="U399" s="5"/>
      <c r="V399" s="5"/>
      <c r="Y399" s="5"/>
      <c r="Z399" s="5"/>
      <c r="AA399" s="5"/>
      <c r="AB399" s="5"/>
      <c r="AC399" s="5"/>
      <c r="AD399" s="5"/>
      <c r="AE399" s="5"/>
      <c r="AF399" s="5"/>
      <c r="AG399" s="5"/>
      <c r="AH399" s="5"/>
      <c r="AI399" s="5"/>
      <c r="AJ399" s="5"/>
      <c r="AK399" s="5"/>
      <c r="AL399" s="5"/>
      <c r="AM399" s="5"/>
      <c r="AN399" s="5"/>
    </row>
    <row r="400" spans="1:40" ht="18.75" customHeight="1">
      <c r="A400" s="5"/>
      <c r="B400" s="5"/>
      <c r="C400" s="5"/>
      <c r="D400" s="5"/>
      <c r="E400" s="5"/>
      <c r="F400" s="5"/>
      <c r="G400" s="5"/>
      <c r="H400" s="5"/>
      <c r="I400" s="5"/>
      <c r="J400" s="5"/>
      <c r="K400" s="5"/>
      <c r="L400" s="5"/>
      <c r="M400" s="5"/>
      <c r="N400" s="5"/>
      <c r="O400" s="5"/>
      <c r="P400" s="5"/>
      <c r="Q400" s="5"/>
      <c r="R400" s="5"/>
      <c r="S400" s="5"/>
      <c r="T400" s="5"/>
      <c r="U400" s="5"/>
      <c r="V400" s="5"/>
      <c r="Y400" s="5"/>
      <c r="Z400" s="5"/>
      <c r="AA400" s="5"/>
      <c r="AB400" s="5"/>
      <c r="AC400" s="5"/>
      <c r="AD400" s="5"/>
      <c r="AE400" s="5"/>
      <c r="AF400" s="5"/>
      <c r="AG400" s="5"/>
      <c r="AH400" s="5"/>
      <c r="AI400" s="5"/>
      <c r="AJ400" s="5"/>
      <c r="AK400" s="5"/>
      <c r="AL400" s="5"/>
      <c r="AM400" s="5"/>
      <c r="AN400" s="5"/>
    </row>
    <row r="401" spans="1:40" ht="18.75" customHeight="1">
      <c r="A401" s="5"/>
      <c r="B401" s="5"/>
      <c r="C401" s="5"/>
      <c r="D401" s="5"/>
      <c r="E401" s="5"/>
      <c r="F401" s="5"/>
      <c r="G401" s="5"/>
      <c r="H401" s="5"/>
      <c r="I401" s="5"/>
      <c r="J401" s="5"/>
      <c r="K401" s="5"/>
      <c r="L401" s="5"/>
      <c r="M401" s="5"/>
      <c r="N401" s="5"/>
      <c r="O401" s="5"/>
      <c r="P401" s="5"/>
      <c r="Q401" s="5"/>
      <c r="R401" s="5"/>
      <c r="S401" s="5"/>
      <c r="T401" s="5"/>
      <c r="U401" s="5"/>
      <c r="V401" s="5"/>
      <c r="Y401" s="5"/>
      <c r="Z401" s="5"/>
      <c r="AA401" s="5"/>
      <c r="AB401" s="5"/>
      <c r="AC401" s="5"/>
      <c r="AD401" s="5"/>
      <c r="AE401" s="5"/>
      <c r="AF401" s="5"/>
      <c r="AG401" s="5"/>
      <c r="AH401" s="5"/>
      <c r="AI401" s="5"/>
      <c r="AJ401" s="5"/>
      <c r="AK401" s="5"/>
      <c r="AL401" s="5"/>
      <c r="AM401" s="5"/>
      <c r="AN401" s="5"/>
    </row>
    <row r="402" spans="1:40" ht="18.75" customHeight="1">
      <c r="A402" s="5"/>
      <c r="B402" s="5"/>
      <c r="C402" s="5"/>
      <c r="D402" s="5"/>
      <c r="E402" s="5"/>
      <c r="F402" s="5"/>
      <c r="G402" s="5"/>
      <c r="H402" s="5"/>
      <c r="I402" s="5"/>
      <c r="J402" s="5"/>
      <c r="K402" s="5"/>
      <c r="L402" s="5"/>
      <c r="M402" s="5"/>
      <c r="N402" s="5"/>
      <c r="O402" s="5"/>
      <c r="P402" s="5"/>
      <c r="Q402" s="5"/>
      <c r="R402" s="5"/>
      <c r="S402" s="5"/>
      <c r="T402" s="5"/>
      <c r="U402" s="5"/>
      <c r="V402" s="5"/>
      <c r="Y402" s="5"/>
      <c r="Z402" s="5"/>
      <c r="AA402" s="5"/>
      <c r="AB402" s="5"/>
      <c r="AC402" s="5"/>
      <c r="AD402" s="5"/>
      <c r="AE402" s="5"/>
      <c r="AF402" s="5"/>
      <c r="AG402" s="5"/>
      <c r="AH402" s="5"/>
      <c r="AI402" s="5"/>
      <c r="AJ402" s="5"/>
      <c r="AK402" s="5"/>
      <c r="AL402" s="5"/>
      <c r="AM402" s="5"/>
      <c r="AN402" s="5"/>
    </row>
    <row r="403" spans="1:40" ht="18.75" customHeight="1">
      <c r="A403" s="5"/>
      <c r="B403" s="5"/>
      <c r="C403" s="5"/>
      <c r="D403" s="5"/>
      <c r="E403" s="5"/>
      <c r="F403" s="5"/>
      <c r="G403" s="5"/>
      <c r="H403" s="5"/>
      <c r="I403" s="5"/>
      <c r="J403" s="5"/>
      <c r="K403" s="5"/>
      <c r="L403" s="5"/>
      <c r="M403" s="5"/>
      <c r="N403" s="5"/>
      <c r="O403" s="5"/>
      <c r="P403" s="5"/>
      <c r="Q403" s="5"/>
      <c r="R403" s="5"/>
      <c r="S403" s="5"/>
      <c r="T403" s="5"/>
      <c r="U403" s="5"/>
      <c r="V403" s="5"/>
      <c r="Y403" s="5"/>
      <c r="Z403" s="5"/>
      <c r="AA403" s="5"/>
      <c r="AB403" s="5"/>
      <c r="AC403" s="5"/>
      <c r="AD403" s="5"/>
      <c r="AE403" s="5"/>
      <c r="AF403" s="5"/>
      <c r="AG403" s="5"/>
      <c r="AH403" s="5"/>
      <c r="AI403" s="5"/>
      <c r="AJ403" s="5"/>
      <c r="AK403" s="5"/>
      <c r="AL403" s="5"/>
      <c r="AM403" s="5"/>
      <c r="AN403" s="5"/>
    </row>
    <row r="404" spans="1:40" ht="18.75" customHeight="1">
      <c r="A404" s="5"/>
      <c r="B404" s="5"/>
      <c r="C404" s="5"/>
      <c r="D404" s="5"/>
      <c r="E404" s="5"/>
      <c r="F404" s="5"/>
      <c r="G404" s="5"/>
      <c r="H404" s="5"/>
      <c r="I404" s="5"/>
      <c r="J404" s="5"/>
      <c r="K404" s="5"/>
      <c r="L404" s="5"/>
      <c r="M404" s="5"/>
      <c r="N404" s="5"/>
      <c r="O404" s="5"/>
      <c r="P404" s="5"/>
      <c r="Q404" s="5"/>
      <c r="R404" s="5"/>
      <c r="S404" s="5"/>
      <c r="T404" s="5"/>
      <c r="U404" s="5"/>
      <c r="V404" s="5"/>
      <c r="Y404" s="5"/>
      <c r="Z404" s="5"/>
      <c r="AA404" s="5"/>
      <c r="AB404" s="5"/>
      <c r="AC404" s="5"/>
      <c r="AD404" s="5"/>
      <c r="AE404" s="5"/>
      <c r="AF404" s="5"/>
      <c r="AG404" s="5"/>
      <c r="AH404" s="5"/>
      <c r="AI404" s="5"/>
      <c r="AJ404" s="5"/>
      <c r="AK404" s="5"/>
      <c r="AL404" s="5"/>
      <c r="AM404" s="5"/>
      <c r="AN404" s="5"/>
    </row>
    <row r="405" spans="1:40" ht="18.75" customHeight="1">
      <c r="A405" s="5"/>
      <c r="B405" s="5"/>
      <c r="C405" s="5"/>
      <c r="D405" s="5"/>
      <c r="E405" s="5"/>
      <c r="F405" s="5"/>
      <c r="G405" s="5"/>
      <c r="H405" s="5"/>
      <c r="I405" s="5"/>
      <c r="J405" s="5"/>
      <c r="K405" s="5"/>
      <c r="L405" s="5"/>
      <c r="M405" s="5"/>
      <c r="N405" s="5"/>
      <c r="O405" s="5"/>
      <c r="P405" s="5"/>
      <c r="Q405" s="5"/>
      <c r="R405" s="5"/>
      <c r="S405" s="5"/>
      <c r="T405" s="5"/>
      <c r="U405" s="5"/>
      <c r="V405" s="5"/>
      <c r="Y405" s="5"/>
      <c r="Z405" s="5"/>
      <c r="AA405" s="5"/>
      <c r="AB405" s="5"/>
      <c r="AC405" s="5"/>
      <c r="AD405" s="5"/>
      <c r="AE405" s="5"/>
      <c r="AF405" s="5"/>
      <c r="AG405" s="5"/>
      <c r="AH405" s="5"/>
      <c r="AI405" s="5"/>
      <c r="AJ405" s="5"/>
      <c r="AK405" s="5"/>
      <c r="AL405" s="5"/>
      <c r="AM405" s="5"/>
      <c r="AN405" s="5"/>
    </row>
    <row r="406" spans="1:40" ht="18.75" customHeight="1">
      <c r="A406" s="5"/>
      <c r="B406" s="5"/>
      <c r="C406" s="5"/>
      <c r="D406" s="5"/>
      <c r="E406" s="5"/>
      <c r="F406" s="5"/>
      <c r="G406" s="5"/>
      <c r="H406" s="5"/>
      <c r="I406" s="5"/>
      <c r="J406" s="5"/>
      <c r="K406" s="5"/>
      <c r="L406" s="5"/>
      <c r="M406" s="5"/>
      <c r="N406" s="5"/>
      <c r="O406" s="5"/>
      <c r="P406" s="5"/>
      <c r="Q406" s="5"/>
      <c r="R406" s="5"/>
      <c r="S406" s="5"/>
      <c r="T406" s="5"/>
      <c r="U406" s="5"/>
      <c r="V406" s="5"/>
      <c r="Y406" s="5"/>
      <c r="Z406" s="5"/>
      <c r="AA406" s="5"/>
      <c r="AB406" s="5"/>
      <c r="AC406" s="5"/>
      <c r="AD406" s="5"/>
      <c r="AE406" s="5"/>
      <c r="AF406" s="5"/>
      <c r="AG406" s="5"/>
      <c r="AH406" s="5"/>
      <c r="AI406" s="5"/>
      <c r="AJ406" s="5"/>
      <c r="AK406" s="5"/>
      <c r="AL406" s="5"/>
      <c r="AM406" s="5"/>
      <c r="AN406" s="5"/>
    </row>
    <row r="407" spans="1:40" ht="18.75" customHeight="1">
      <c r="A407" s="5"/>
      <c r="B407" s="5"/>
      <c r="C407" s="5"/>
      <c r="D407" s="5"/>
      <c r="E407" s="5"/>
      <c r="F407" s="5"/>
      <c r="G407" s="5"/>
      <c r="H407" s="5"/>
      <c r="I407" s="5"/>
      <c r="J407" s="5"/>
      <c r="K407" s="5"/>
      <c r="L407" s="5"/>
      <c r="M407" s="5"/>
      <c r="N407" s="5"/>
      <c r="O407" s="5"/>
      <c r="P407" s="5"/>
      <c r="Q407" s="5"/>
      <c r="R407" s="5"/>
      <c r="S407" s="5"/>
      <c r="T407" s="5"/>
      <c r="U407" s="5"/>
      <c r="V407" s="5"/>
      <c r="Y407" s="5"/>
      <c r="Z407" s="5"/>
      <c r="AA407" s="5"/>
      <c r="AB407" s="5"/>
      <c r="AC407" s="5"/>
      <c r="AD407" s="5"/>
      <c r="AE407" s="5"/>
      <c r="AF407" s="5"/>
      <c r="AG407" s="5"/>
      <c r="AH407" s="5"/>
      <c r="AI407" s="5"/>
      <c r="AJ407" s="5"/>
      <c r="AK407" s="5"/>
      <c r="AL407" s="5"/>
      <c r="AM407" s="5"/>
      <c r="AN407" s="5"/>
    </row>
    <row r="408" spans="1:40" ht="18.75" customHeight="1">
      <c r="A408" s="5"/>
      <c r="B408" s="5"/>
      <c r="C408" s="5"/>
      <c r="D408" s="5"/>
      <c r="E408" s="5"/>
      <c r="F408" s="5"/>
      <c r="G408" s="5"/>
      <c r="H408" s="5"/>
      <c r="I408" s="5"/>
      <c r="J408" s="5"/>
      <c r="K408" s="5"/>
      <c r="L408" s="5"/>
      <c r="M408" s="5"/>
      <c r="N408" s="5"/>
      <c r="O408" s="5"/>
      <c r="P408" s="5"/>
      <c r="Q408" s="5"/>
      <c r="R408" s="5"/>
      <c r="S408" s="5"/>
      <c r="T408" s="5"/>
      <c r="U408" s="5"/>
      <c r="V408" s="5"/>
      <c r="Y408" s="5"/>
      <c r="Z408" s="5"/>
      <c r="AA408" s="5"/>
      <c r="AB408" s="5"/>
      <c r="AC408" s="5"/>
      <c r="AD408" s="5"/>
      <c r="AE408" s="5"/>
      <c r="AF408" s="5"/>
      <c r="AG408" s="5"/>
      <c r="AH408" s="5"/>
      <c r="AI408" s="5"/>
      <c r="AJ408" s="5"/>
      <c r="AK408" s="5"/>
      <c r="AL408" s="5"/>
      <c r="AM408" s="5"/>
      <c r="AN408" s="5"/>
    </row>
    <row r="409" spans="1:40" ht="18.75" customHeight="1">
      <c r="A409" s="5"/>
      <c r="B409" s="5"/>
      <c r="C409" s="5"/>
      <c r="D409" s="5"/>
      <c r="E409" s="5"/>
      <c r="F409" s="5"/>
      <c r="G409" s="5"/>
      <c r="H409" s="5"/>
      <c r="I409" s="5"/>
      <c r="J409" s="5"/>
      <c r="K409" s="5"/>
      <c r="L409" s="5"/>
      <c r="M409" s="5"/>
      <c r="N409" s="5"/>
      <c r="O409" s="5"/>
      <c r="P409" s="5"/>
      <c r="Q409" s="5"/>
      <c r="R409" s="5"/>
      <c r="S409" s="5"/>
      <c r="T409" s="5"/>
      <c r="U409" s="5"/>
      <c r="V409" s="5"/>
      <c r="Y409" s="5"/>
      <c r="Z409" s="5"/>
      <c r="AA409" s="5"/>
      <c r="AB409" s="5"/>
      <c r="AC409" s="5"/>
      <c r="AD409" s="5"/>
      <c r="AE409" s="5"/>
      <c r="AF409" s="5"/>
      <c r="AG409" s="5"/>
      <c r="AH409" s="5"/>
      <c r="AI409" s="5"/>
      <c r="AJ409" s="5"/>
      <c r="AK409" s="5"/>
      <c r="AL409" s="5"/>
      <c r="AM409" s="5"/>
      <c r="AN409" s="5"/>
    </row>
    <row r="410" spans="1:40" ht="18.75" customHeight="1">
      <c r="A410" s="5"/>
      <c r="B410" s="5"/>
      <c r="C410" s="5"/>
      <c r="D410" s="5"/>
      <c r="E410" s="5"/>
      <c r="F410" s="5"/>
      <c r="G410" s="5"/>
      <c r="H410" s="5"/>
      <c r="I410" s="5"/>
      <c r="J410" s="5"/>
      <c r="K410" s="5"/>
      <c r="L410" s="5"/>
      <c r="M410" s="5"/>
      <c r="N410" s="5"/>
      <c r="O410" s="5"/>
      <c r="P410" s="5"/>
      <c r="Q410" s="5"/>
      <c r="R410" s="5"/>
      <c r="S410" s="5"/>
      <c r="T410" s="5"/>
      <c r="U410" s="5"/>
      <c r="V410" s="5"/>
      <c r="Y410" s="5"/>
      <c r="Z410" s="5"/>
      <c r="AA410" s="5"/>
      <c r="AB410" s="5"/>
      <c r="AC410" s="5"/>
      <c r="AD410" s="5"/>
      <c r="AE410" s="5"/>
      <c r="AF410" s="5"/>
      <c r="AG410" s="5"/>
      <c r="AH410" s="5"/>
      <c r="AI410" s="5"/>
      <c r="AJ410" s="5"/>
      <c r="AK410" s="5"/>
      <c r="AL410" s="5"/>
      <c r="AM410" s="5"/>
      <c r="AN410" s="5"/>
    </row>
    <row r="411" spans="1:40" ht="18.75" customHeight="1">
      <c r="A411" s="5"/>
      <c r="B411" s="5"/>
      <c r="C411" s="5"/>
      <c r="D411" s="5"/>
      <c r="E411" s="5"/>
      <c r="F411" s="5"/>
      <c r="G411" s="5"/>
      <c r="H411" s="5"/>
      <c r="I411" s="5"/>
      <c r="J411" s="5"/>
      <c r="K411" s="5"/>
      <c r="L411" s="5"/>
      <c r="M411" s="5"/>
      <c r="N411" s="5"/>
      <c r="O411" s="5"/>
      <c r="P411" s="5"/>
      <c r="Q411" s="5"/>
      <c r="R411" s="5"/>
      <c r="S411" s="5"/>
      <c r="T411" s="5"/>
      <c r="U411" s="5"/>
      <c r="V411" s="5"/>
      <c r="Y411" s="5"/>
      <c r="Z411" s="5"/>
      <c r="AA411" s="5"/>
      <c r="AB411" s="5"/>
      <c r="AC411" s="5"/>
      <c r="AD411" s="5"/>
      <c r="AE411" s="5"/>
      <c r="AF411" s="5"/>
      <c r="AG411" s="5"/>
      <c r="AH411" s="5"/>
      <c r="AI411" s="5"/>
      <c r="AJ411" s="5"/>
      <c r="AK411" s="5"/>
      <c r="AL411" s="5"/>
      <c r="AM411" s="5"/>
      <c r="AN411" s="5"/>
    </row>
    <row r="412" spans="1:40" ht="18.75" customHeight="1">
      <c r="A412" s="5"/>
      <c r="B412" s="5"/>
      <c r="C412" s="5"/>
      <c r="D412" s="5"/>
      <c r="E412" s="5"/>
      <c r="F412" s="5"/>
      <c r="G412" s="5"/>
      <c r="H412" s="5"/>
      <c r="I412" s="5"/>
      <c r="J412" s="5"/>
      <c r="K412" s="5"/>
      <c r="L412" s="5"/>
      <c r="M412" s="5"/>
      <c r="N412" s="5"/>
      <c r="O412" s="5"/>
      <c r="P412" s="5"/>
      <c r="Q412" s="5"/>
      <c r="R412" s="5"/>
      <c r="S412" s="5"/>
      <c r="T412" s="5"/>
      <c r="U412" s="5"/>
      <c r="V412" s="5"/>
      <c r="Y412" s="5"/>
      <c r="Z412" s="5"/>
      <c r="AA412" s="5"/>
      <c r="AB412" s="5"/>
      <c r="AC412" s="5"/>
      <c r="AD412" s="5"/>
      <c r="AE412" s="5"/>
      <c r="AF412" s="5"/>
      <c r="AG412" s="5"/>
      <c r="AH412" s="5"/>
      <c r="AI412" s="5"/>
      <c r="AJ412" s="5"/>
      <c r="AK412" s="5"/>
      <c r="AL412" s="5"/>
      <c r="AM412" s="5"/>
      <c r="AN412" s="5"/>
    </row>
    <row r="413" spans="1:40" ht="18.75" customHeight="1">
      <c r="A413" s="5"/>
      <c r="B413" s="5"/>
      <c r="C413" s="5"/>
      <c r="D413" s="5"/>
      <c r="E413" s="5"/>
      <c r="F413" s="5"/>
      <c r="G413" s="5"/>
      <c r="H413" s="5"/>
      <c r="I413" s="5"/>
      <c r="J413" s="5"/>
      <c r="K413" s="5"/>
      <c r="L413" s="5"/>
      <c r="M413" s="5"/>
      <c r="N413" s="5"/>
      <c r="O413" s="5"/>
      <c r="P413" s="5"/>
      <c r="Q413" s="5"/>
      <c r="R413" s="5"/>
      <c r="S413" s="5"/>
      <c r="T413" s="5"/>
      <c r="U413" s="5"/>
      <c r="V413" s="5"/>
      <c r="Y413" s="5"/>
      <c r="Z413" s="5"/>
      <c r="AA413" s="5"/>
      <c r="AB413" s="5"/>
      <c r="AC413" s="5"/>
      <c r="AD413" s="5"/>
      <c r="AE413" s="5"/>
      <c r="AF413" s="5"/>
      <c r="AG413" s="5"/>
      <c r="AH413" s="5"/>
      <c r="AI413" s="5"/>
      <c r="AJ413" s="5"/>
      <c r="AK413" s="5"/>
      <c r="AL413" s="5"/>
      <c r="AM413" s="5"/>
      <c r="AN413" s="5"/>
    </row>
    <row r="414" spans="1:40" ht="18.75" customHeight="1">
      <c r="A414" s="5"/>
      <c r="B414" s="5"/>
      <c r="C414" s="5"/>
      <c r="D414" s="5"/>
      <c r="E414" s="5"/>
      <c r="F414" s="5"/>
      <c r="G414" s="5"/>
      <c r="H414" s="5"/>
      <c r="I414" s="5"/>
      <c r="J414" s="5"/>
      <c r="K414" s="5"/>
      <c r="L414" s="5"/>
      <c r="M414" s="5"/>
      <c r="N414" s="5"/>
      <c r="O414" s="5"/>
      <c r="P414" s="5"/>
      <c r="Q414" s="5"/>
      <c r="R414" s="5"/>
      <c r="S414" s="5"/>
      <c r="T414" s="5"/>
      <c r="U414" s="5"/>
      <c r="V414" s="5"/>
      <c r="Y414" s="5"/>
      <c r="Z414" s="5"/>
      <c r="AA414" s="5"/>
      <c r="AB414" s="5"/>
      <c r="AC414" s="5"/>
      <c r="AD414" s="5"/>
      <c r="AE414" s="5"/>
      <c r="AF414" s="5"/>
      <c r="AG414" s="5"/>
      <c r="AH414" s="5"/>
      <c r="AI414" s="5"/>
      <c r="AJ414" s="5"/>
      <c r="AK414" s="5"/>
      <c r="AL414" s="5"/>
      <c r="AM414" s="5"/>
      <c r="AN414" s="5"/>
    </row>
    <row r="415" spans="1:40" ht="18.75" customHeight="1">
      <c r="A415" s="5"/>
      <c r="B415" s="5"/>
      <c r="C415" s="5"/>
      <c r="D415" s="5"/>
      <c r="E415" s="5"/>
      <c r="F415" s="5"/>
      <c r="G415" s="5"/>
      <c r="H415" s="5"/>
      <c r="I415" s="5"/>
      <c r="J415" s="5"/>
      <c r="K415" s="5"/>
      <c r="L415" s="5"/>
      <c r="M415" s="5"/>
      <c r="N415" s="5"/>
      <c r="O415" s="5"/>
      <c r="P415" s="5"/>
      <c r="Q415" s="5"/>
      <c r="R415" s="5"/>
      <c r="S415" s="5"/>
      <c r="T415" s="5"/>
      <c r="U415" s="5"/>
      <c r="V415" s="5"/>
      <c r="Y415" s="5"/>
      <c r="Z415" s="5"/>
      <c r="AA415" s="5"/>
      <c r="AB415" s="5"/>
      <c r="AC415" s="5"/>
      <c r="AD415" s="5"/>
      <c r="AE415" s="5"/>
      <c r="AF415" s="5"/>
      <c r="AG415" s="5"/>
      <c r="AH415" s="5"/>
      <c r="AI415" s="5"/>
      <c r="AJ415" s="5"/>
      <c r="AK415" s="5"/>
      <c r="AL415" s="5"/>
      <c r="AM415" s="5"/>
      <c r="AN415" s="5"/>
    </row>
    <row r="416" spans="1:40" ht="18.75" customHeight="1">
      <c r="A416" s="5"/>
      <c r="B416" s="5"/>
      <c r="C416" s="5"/>
      <c r="D416" s="5"/>
      <c r="E416" s="5"/>
      <c r="F416" s="5"/>
      <c r="G416" s="5"/>
      <c r="H416" s="5"/>
      <c r="I416" s="5"/>
      <c r="J416" s="5"/>
      <c r="K416" s="5"/>
      <c r="L416" s="5"/>
      <c r="M416" s="5"/>
      <c r="N416" s="5"/>
      <c r="O416" s="5"/>
      <c r="P416" s="5"/>
      <c r="Q416" s="5"/>
      <c r="R416" s="5"/>
      <c r="S416" s="5"/>
      <c r="T416" s="5"/>
      <c r="U416" s="5"/>
      <c r="V416" s="5"/>
      <c r="Y416" s="5"/>
      <c r="Z416" s="5"/>
      <c r="AA416" s="5"/>
      <c r="AB416" s="5"/>
      <c r="AC416" s="5"/>
      <c r="AD416" s="5"/>
      <c r="AE416" s="5"/>
      <c r="AF416" s="5"/>
      <c r="AG416" s="5"/>
      <c r="AH416" s="5"/>
      <c r="AI416" s="5"/>
      <c r="AJ416" s="5"/>
      <c r="AK416" s="5"/>
      <c r="AL416" s="5"/>
      <c r="AM416" s="5"/>
      <c r="AN416" s="5"/>
    </row>
    <row r="417" spans="1:40" ht="18.75" customHeight="1">
      <c r="A417" s="5"/>
      <c r="B417" s="5"/>
      <c r="C417" s="5"/>
      <c r="D417" s="5"/>
      <c r="E417" s="5"/>
      <c r="F417" s="5"/>
      <c r="G417" s="5"/>
      <c r="H417" s="5"/>
      <c r="I417" s="5"/>
      <c r="J417" s="5"/>
      <c r="K417" s="5"/>
      <c r="L417" s="5"/>
      <c r="M417" s="5"/>
      <c r="N417" s="5"/>
      <c r="O417" s="5"/>
      <c r="P417" s="5"/>
      <c r="Q417" s="5"/>
      <c r="R417" s="5"/>
      <c r="S417" s="5"/>
      <c r="T417" s="5"/>
      <c r="U417" s="5"/>
      <c r="V417" s="5"/>
      <c r="Y417" s="5"/>
      <c r="Z417" s="5"/>
      <c r="AA417" s="5"/>
      <c r="AB417" s="5"/>
      <c r="AC417" s="5"/>
      <c r="AD417" s="5"/>
      <c r="AE417" s="5"/>
      <c r="AF417" s="5"/>
      <c r="AG417" s="5"/>
      <c r="AH417" s="5"/>
      <c r="AI417" s="5"/>
      <c r="AJ417" s="5"/>
      <c r="AK417" s="5"/>
      <c r="AL417" s="5"/>
      <c r="AM417" s="5"/>
      <c r="AN417" s="5"/>
    </row>
    <row r="418" spans="1:40" ht="18.75" customHeight="1">
      <c r="A418" s="5"/>
      <c r="B418" s="5"/>
      <c r="C418" s="5"/>
      <c r="D418" s="5"/>
      <c r="E418" s="5"/>
      <c r="F418" s="5"/>
      <c r="G418" s="5"/>
      <c r="H418" s="5"/>
      <c r="I418" s="5"/>
      <c r="J418" s="5"/>
      <c r="K418" s="5"/>
      <c r="L418" s="5"/>
      <c r="M418" s="5"/>
      <c r="N418" s="5"/>
      <c r="O418" s="5"/>
      <c r="P418" s="5"/>
      <c r="Q418" s="5"/>
      <c r="R418" s="5"/>
      <c r="S418" s="5"/>
      <c r="T418" s="5"/>
      <c r="U418" s="5"/>
      <c r="V418" s="5"/>
      <c r="Y418" s="5"/>
      <c r="Z418" s="5"/>
      <c r="AA418" s="5"/>
      <c r="AB418" s="5"/>
      <c r="AC418" s="5"/>
      <c r="AD418" s="5"/>
      <c r="AE418" s="5"/>
      <c r="AF418" s="5"/>
      <c r="AG418" s="5"/>
      <c r="AH418" s="5"/>
      <c r="AI418" s="5"/>
      <c r="AJ418" s="5"/>
      <c r="AK418" s="5"/>
      <c r="AL418" s="5"/>
      <c r="AM418" s="5"/>
      <c r="AN418" s="5"/>
    </row>
    <row r="419" spans="1:40" ht="18.75" customHeight="1">
      <c r="A419" s="5"/>
      <c r="B419" s="5"/>
      <c r="C419" s="5"/>
      <c r="D419" s="5"/>
      <c r="E419" s="5"/>
      <c r="F419" s="5"/>
      <c r="G419" s="5"/>
      <c r="H419" s="5"/>
      <c r="I419" s="5"/>
      <c r="J419" s="5"/>
      <c r="K419" s="5"/>
      <c r="L419" s="5"/>
      <c r="M419" s="5"/>
      <c r="N419" s="5"/>
      <c r="O419" s="5"/>
      <c r="P419" s="5"/>
      <c r="Q419" s="5"/>
      <c r="R419" s="5"/>
      <c r="S419" s="5"/>
      <c r="T419" s="5"/>
      <c r="U419" s="5"/>
      <c r="V419" s="5"/>
      <c r="Y419" s="5"/>
      <c r="Z419" s="5"/>
      <c r="AA419" s="5"/>
      <c r="AB419" s="5"/>
      <c r="AC419" s="5"/>
      <c r="AD419" s="5"/>
      <c r="AE419" s="5"/>
      <c r="AF419" s="5"/>
      <c r="AG419" s="5"/>
      <c r="AH419" s="5"/>
      <c r="AI419" s="5"/>
      <c r="AJ419" s="5"/>
      <c r="AK419" s="5"/>
      <c r="AL419" s="5"/>
      <c r="AM419" s="5"/>
      <c r="AN419" s="5"/>
    </row>
    <row r="420" spans="1:40" ht="18.75" customHeight="1">
      <c r="A420" s="5"/>
      <c r="B420" s="5"/>
      <c r="C420" s="5"/>
      <c r="D420" s="5"/>
      <c r="E420" s="5"/>
      <c r="F420" s="5"/>
      <c r="G420" s="5"/>
      <c r="H420" s="5"/>
      <c r="I420" s="5"/>
      <c r="J420" s="5"/>
      <c r="K420" s="5"/>
      <c r="L420" s="5"/>
      <c r="M420" s="5"/>
      <c r="N420" s="5"/>
      <c r="O420" s="5"/>
      <c r="P420" s="5"/>
      <c r="Q420" s="5"/>
      <c r="R420" s="5"/>
      <c r="S420" s="5"/>
      <c r="T420" s="5"/>
      <c r="U420" s="5"/>
      <c r="V420" s="5"/>
      <c r="Y420" s="5"/>
      <c r="Z420" s="5"/>
      <c r="AA420" s="5"/>
      <c r="AB420" s="5"/>
      <c r="AC420" s="5"/>
      <c r="AD420" s="5"/>
      <c r="AE420" s="5"/>
      <c r="AF420" s="5"/>
      <c r="AG420" s="5"/>
      <c r="AH420" s="5"/>
      <c r="AI420" s="5"/>
      <c r="AJ420" s="5"/>
      <c r="AK420" s="5"/>
      <c r="AL420" s="5"/>
      <c r="AM420" s="5"/>
      <c r="AN420" s="5"/>
    </row>
    <row r="421" spans="1:40" ht="18.75" customHeight="1">
      <c r="A421" s="5"/>
      <c r="B421" s="5"/>
      <c r="C421" s="5"/>
      <c r="D421" s="5"/>
      <c r="E421" s="5"/>
      <c r="F421" s="5"/>
      <c r="G421" s="5"/>
      <c r="H421" s="5"/>
      <c r="I421" s="5"/>
      <c r="J421" s="5"/>
      <c r="K421" s="5"/>
      <c r="L421" s="5"/>
      <c r="M421" s="5"/>
      <c r="N421" s="5"/>
      <c r="O421" s="5"/>
      <c r="P421" s="5"/>
      <c r="Q421" s="5"/>
      <c r="R421" s="5"/>
      <c r="S421" s="5"/>
      <c r="T421" s="5"/>
      <c r="U421" s="5"/>
      <c r="V421" s="5"/>
      <c r="Y421" s="5"/>
      <c r="Z421" s="5"/>
      <c r="AA421" s="5"/>
      <c r="AB421" s="5"/>
      <c r="AC421" s="5"/>
      <c r="AD421" s="5"/>
      <c r="AE421" s="5"/>
      <c r="AF421" s="5"/>
      <c r="AG421" s="5"/>
      <c r="AH421" s="5"/>
      <c r="AI421" s="5"/>
      <c r="AJ421" s="5"/>
      <c r="AK421" s="5"/>
      <c r="AL421" s="5"/>
      <c r="AM421" s="5"/>
      <c r="AN421" s="5"/>
    </row>
    <row r="422" spans="1:40" ht="18.75" customHeight="1">
      <c r="A422" s="5"/>
      <c r="B422" s="5"/>
      <c r="C422" s="5"/>
      <c r="D422" s="5"/>
      <c r="E422" s="5"/>
      <c r="F422" s="5"/>
      <c r="G422" s="5"/>
      <c r="H422" s="5"/>
      <c r="I422" s="5"/>
      <c r="J422" s="5"/>
      <c r="K422" s="5"/>
      <c r="L422" s="5"/>
      <c r="M422" s="5"/>
      <c r="N422" s="5"/>
      <c r="O422" s="5"/>
      <c r="P422" s="5"/>
      <c r="Q422" s="5"/>
      <c r="R422" s="5"/>
      <c r="S422" s="5"/>
      <c r="T422" s="5"/>
      <c r="U422" s="5"/>
      <c r="V422" s="5"/>
      <c r="Y422" s="5"/>
      <c r="Z422" s="5"/>
      <c r="AA422" s="5"/>
      <c r="AB422" s="5"/>
      <c r="AC422" s="5"/>
      <c r="AD422" s="5"/>
      <c r="AE422" s="5"/>
      <c r="AF422" s="5"/>
      <c r="AG422" s="5"/>
      <c r="AH422" s="5"/>
      <c r="AI422" s="5"/>
      <c r="AJ422" s="5"/>
      <c r="AK422" s="5"/>
      <c r="AL422" s="5"/>
      <c r="AM422" s="5"/>
      <c r="AN422" s="5"/>
    </row>
    <row r="423" spans="1:40" ht="18.75" customHeight="1">
      <c r="A423" s="5"/>
      <c r="B423" s="5"/>
      <c r="C423" s="5"/>
      <c r="D423" s="5"/>
      <c r="E423" s="5"/>
      <c r="F423" s="5"/>
      <c r="G423" s="5"/>
      <c r="H423" s="5"/>
      <c r="I423" s="5"/>
      <c r="J423" s="5"/>
      <c r="K423" s="5"/>
      <c r="L423" s="5"/>
      <c r="M423" s="5"/>
      <c r="N423" s="5"/>
      <c r="O423" s="5"/>
      <c r="P423" s="5"/>
      <c r="Q423" s="5"/>
      <c r="R423" s="5"/>
      <c r="S423" s="5"/>
      <c r="T423" s="5"/>
      <c r="U423" s="5"/>
      <c r="V423" s="5"/>
      <c r="Y423" s="5"/>
      <c r="Z423" s="5"/>
      <c r="AA423" s="5"/>
      <c r="AB423" s="5"/>
      <c r="AC423" s="5"/>
      <c r="AD423" s="5"/>
      <c r="AE423" s="5"/>
      <c r="AF423" s="5"/>
      <c r="AG423" s="5"/>
      <c r="AH423" s="5"/>
      <c r="AI423" s="5"/>
      <c r="AJ423" s="5"/>
      <c r="AK423" s="5"/>
      <c r="AL423" s="5"/>
      <c r="AM423" s="5"/>
      <c r="AN423" s="5"/>
    </row>
    <row r="424" spans="1:40" ht="18.75" customHeight="1">
      <c r="A424" s="5"/>
      <c r="B424" s="5"/>
      <c r="C424" s="5"/>
      <c r="D424" s="5"/>
      <c r="E424" s="5"/>
      <c r="F424" s="5"/>
      <c r="G424" s="5"/>
      <c r="H424" s="5"/>
      <c r="I424" s="5"/>
      <c r="J424" s="5"/>
      <c r="K424" s="5"/>
      <c r="L424" s="5"/>
      <c r="M424" s="5"/>
      <c r="N424" s="5"/>
      <c r="O424" s="5"/>
      <c r="P424" s="5"/>
      <c r="Q424" s="5"/>
      <c r="R424" s="5"/>
      <c r="S424" s="5"/>
      <c r="T424" s="5"/>
      <c r="U424" s="5"/>
      <c r="V424" s="5"/>
      <c r="Y424" s="5"/>
      <c r="Z424" s="5"/>
      <c r="AA424" s="5"/>
      <c r="AB424" s="5"/>
      <c r="AC424" s="5"/>
      <c r="AD424" s="5"/>
      <c r="AE424" s="5"/>
      <c r="AF424" s="5"/>
      <c r="AG424" s="5"/>
      <c r="AH424" s="5"/>
      <c r="AI424" s="5"/>
      <c r="AJ424" s="5"/>
      <c r="AK424" s="5"/>
      <c r="AL424" s="5"/>
      <c r="AM424" s="5"/>
      <c r="AN424" s="5"/>
    </row>
    <row r="425" spans="1:40" ht="18.75" customHeight="1">
      <c r="A425" s="5"/>
      <c r="B425" s="5"/>
      <c r="C425" s="5"/>
      <c r="D425" s="5"/>
      <c r="E425" s="5"/>
      <c r="F425" s="5"/>
      <c r="G425" s="5"/>
      <c r="H425" s="5"/>
      <c r="I425" s="5"/>
      <c r="J425" s="5"/>
      <c r="K425" s="5"/>
      <c r="L425" s="5"/>
      <c r="M425" s="5"/>
      <c r="N425" s="5"/>
      <c r="O425" s="5"/>
      <c r="P425" s="5"/>
      <c r="Q425" s="5"/>
      <c r="R425" s="5"/>
      <c r="S425" s="5"/>
      <c r="T425" s="5"/>
      <c r="U425" s="5"/>
      <c r="V425" s="5"/>
      <c r="Y425" s="5"/>
      <c r="Z425" s="5"/>
      <c r="AA425" s="5"/>
      <c r="AB425" s="5"/>
      <c r="AC425" s="5"/>
      <c r="AD425" s="5"/>
      <c r="AE425" s="5"/>
      <c r="AF425" s="5"/>
      <c r="AG425" s="5"/>
      <c r="AH425" s="5"/>
      <c r="AI425" s="5"/>
      <c r="AJ425" s="5"/>
      <c r="AK425" s="5"/>
      <c r="AL425" s="5"/>
      <c r="AM425" s="5"/>
      <c r="AN425" s="5"/>
    </row>
    <row r="426" spans="1:40" ht="18.75" customHeight="1">
      <c r="A426" s="5"/>
      <c r="B426" s="5"/>
      <c r="C426" s="5"/>
      <c r="D426" s="5"/>
      <c r="E426" s="5"/>
      <c r="F426" s="5"/>
      <c r="G426" s="5"/>
      <c r="H426" s="5"/>
      <c r="I426" s="5"/>
      <c r="J426" s="5"/>
      <c r="K426" s="5"/>
      <c r="L426" s="5"/>
      <c r="M426" s="5"/>
      <c r="N426" s="5"/>
      <c r="O426" s="5"/>
      <c r="P426" s="5"/>
      <c r="Q426" s="5"/>
      <c r="R426" s="5"/>
      <c r="S426" s="5"/>
      <c r="T426" s="5"/>
      <c r="U426" s="5"/>
      <c r="V426" s="5"/>
      <c r="Y426" s="5"/>
      <c r="Z426" s="5"/>
      <c r="AA426" s="5"/>
      <c r="AB426" s="5"/>
      <c r="AC426" s="5"/>
      <c r="AD426" s="5"/>
      <c r="AE426" s="5"/>
      <c r="AF426" s="5"/>
      <c r="AG426" s="5"/>
      <c r="AH426" s="5"/>
      <c r="AI426" s="5"/>
      <c r="AJ426" s="5"/>
      <c r="AK426" s="5"/>
      <c r="AL426" s="5"/>
      <c r="AM426" s="5"/>
      <c r="AN426" s="5"/>
    </row>
    <row r="427" spans="1:40" ht="18.75" customHeight="1">
      <c r="A427" s="5"/>
      <c r="B427" s="5"/>
      <c r="C427" s="5"/>
      <c r="D427" s="5"/>
      <c r="E427" s="5"/>
      <c r="F427" s="5"/>
      <c r="G427" s="5"/>
      <c r="H427" s="5"/>
      <c r="I427" s="5"/>
      <c r="J427" s="5"/>
      <c r="K427" s="5"/>
      <c r="L427" s="5"/>
      <c r="M427" s="5"/>
      <c r="N427" s="5"/>
      <c r="O427" s="5"/>
      <c r="P427" s="5"/>
      <c r="Q427" s="5"/>
      <c r="R427" s="5"/>
      <c r="S427" s="5"/>
      <c r="T427" s="5"/>
      <c r="U427" s="5"/>
      <c r="V427" s="5"/>
      <c r="Y427" s="5"/>
      <c r="Z427" s="5"/>
      <c r="AA427" s="5"/>
      <c r="AB427" s="5"/>
      <c r="AC427" s="5"/>
      <c r="AD427" s="5"/>
      <c r="AE427" s="5"/>
      <c r="AF427" s="5"/>
      <c r="AG427" s="5"/>
      <c r="AH427" s="5"/>
      <c r="AI427" s="5"/>
      <c r="AJ427" s="5"/>
      <c r="AK427" s="5"/>
      <c r="AL427" s="5"/>
      <c r="AM427" s="5"/>
      <c r="AN427" s="5"/>
    </row>
    <row r="428" spans="1:40" ht="18.75" customHeight="1">
      <c r="A428" s="5"/>
      <c r="B428" s="5"/>
      <c r="C428" s="5"/>
      <c r="D428" s="5"/>
      <c r="E428" s="5"/>
      <c r="F428" s="5"/>
      <c r="G428" s="5"/>
      <c r="H428" s="5"/>
      <c r="I428" s="5"/>
      <c r="J428" s="5"/>
      <c r="K428" s="5"/>
      <c r="L428" s="5"/>
      <c r="M428" s="5"/>
      <c r="N428" s="5"/>
      <c r="O428" s="5"/>
      <c r="P428" s="5"/>
      <c r="Q428" s="5"/>
      <c r="R428" s="5"/>
      <c r="S428" s="5"/>
      <c r="T428" s="5"/>
      <c r="U428" s="5"/>
      <c r="V428" s="5"/>
      <c r="Y428" s="5"/>
      <c r="Z428" s="5"/>
      <c r="AA428" s="5"/>
      <c r="AB428" s="5"/>
      <c r="AC428" s="5"/>
      <c r="AD428" s="5"/>
      <c r="AE428" s="5"/>
      <c r="AF428" s="5"/>
      <c r="AG428" s="5"/>
      <c r="AH428" s="5"/>
      <c r="AI428" s="5"/>
      <c r="AJ428" s="5"/>
      <c r="AK428" s="5"/>
      <c r="AL428" s="5"/>
      <c r="AM428" s="5"/>
      <c r="AN428" s="5"/>
    </row>
    <row r="429" spans="1:40" ht="18.75" customHeight="1">
      <c r="A429" s="5"/>
      <c r="B429" s="5"/>
      <c r="C429" s="5"/>
      <c r="D429" s="5"/>
      <c r="E429" s="5"/>
      <c r="F429" s="5"/>
      <c r="G429" s="5"/>
      <c r="H429" s="5"/>
      <c r="I429" s="5"/>
      <c r="J429" s="5"/>
      <c r="K429" s="5"/>
      <c r="L429" s="5"/>
      <c r="M429" s="5"/>
      <c r="N429" s="5"/>
      <c r="O429" s="5"/>
      <c r="P429" s="5"/>
      <c r="Q429" s="5"/>
      <c r="R429" s="5"/>
      <c r="S429" s="5"/>
      <c r="T429" s="5"/>
      <c r="U429" s="5"/>
      <c r="V429" s="5"/>
      <c r="Y429" s="5"/>
      <c r="Z429" s="5"/>
      <c r="AA429" s="5"/>
      <c r="AB429" s="5"/>
      <c r="AC429" s="5"/>
      <c r="AD429" s="5"/>
      <c r="AE429" s="5"/>
      <c r="AF429" s="5"/>
      <c r="AG429" s="5"/>
      <c r="AH429" s="5"/>
      <c r="AI429" s="5"/>
      <c r="AJ429" s="5"/>
      <c r="AK429" s="5"/>
      <c r="AL429" s="5"/>
      <c r="AM429" s="5"/>
      <c r="AN429" s="5"/>
    </row>
    <row r="430" spans="1:40" ht="18.75" customHeight="1">
      <c r="A430" s="5"/>
      <c r="B430" s="5"/>
      <c r="C430" s="5"/>
      <c r="D430" s="5"/>
      <c r="E430" s="5"/>
      <c r="F430" s="5"/>
      <c r="G430" s="5"/>
      <c r="H430" s="5"/>
      <c r="I430" s="5"/>
      <c r="J430" s="5"/>
      <c r="K430" s="5"/>
      <c r="L430" s="5"/>
      <c r="M430" s="5"/>
      <c r="N430" s="5"/>
      <c r="O430" s="5"/>
      <c r="P430" s="5"/>
      <c r="Q430" s="5"/>
      <c r="R430" s="5"/>
      <c r="S430" s="5"/>
      <c r="T430" s="5"/>
      <c r="U430" s="5"/>
      <c r="V430" s="5"/>
      <c r="Y430" s="5"/>
      <c r="Z430" s="5"/>
      <c r="AA430" s="5"/>
      <c r="AB430" s="5"/>
      <c r="AC430" s="5"/>
      <c r="AD430" s="5"/>
      <c r="AE430" s="5"/>
      <c r="AF430" s="5"/>
      <c r="AG430" s="5"/>
      <c r="AH430" s="5"/>
      <c r="AI430" s="5"/>
      <c r="AJ430" s="5"/>
      <c r="AK430" s="5"/>
      <c r="AL430" s="5"/>
      <c r="AM430" s="5"/>
      <c r="AN430" s="5"/>
    </row>
    <row r="431" spans="1:40" ht="18.75" customHeight="1">
      <c r="A431" s="5"/>
      <c r="B431" s="5"/>
      <c r="C431" s="5"/>
      <c r="D431" s="5"/>
      <c r="E431" s="5"/>
      <c r="F431" s="5"/>
      <c r="G431" s="5"/>
      <c r="H431" s="5"/>
      <c r="I431" s="5"/>
      <c r="J431" s="5"/>
      <c r="K431" s="5"/>
      <c r="L431" s="5"/>
      <c r="M431" s="5"/>
      <c r="N431" s="5"/>
      <c r="O431" s="5"/>
      <c r="P431" s="5"/>
      <c r="Q431" s="5"/>
      <c r="R431" s="5"/>
      <c r="S431" s="5"/>
      <c r="T431" s="5"/>
      <c r="U431" s="5"/>
      <c r="V431" s="5"/>
      <c r="Y431" s="5"/>
      <c r="Z431" s="5"/>
      <c r="AA431" s="5"/>
      <c r="AB431" s="5"/>
      <c r="AC431" s="5"/>
      <c r="AD431" s="5"/>
      <c r="AE431" s="5"/>
      <c r="AF431" s="5"/>
      <c r="AG431" s="5"/>
      <c r="AH431" s="5"/>
      <c r="AI431" s="5"/>
      <c r="AJ431" s="5"/>
      <c r="AK431" s="5"/>
      <c r="AL431" s="5"/>
      <c r="AM431" s="5"/>
      <c r="AN431" s="5"/>
    </row>
    <row r="432" spans="1:40" ht="18.75" customHeight="1">
      <c r="A432" s="5"/>
      <c r="B432" s="5"/>
      <c r="C432" s="5"/>
      <c r="D432" s="5"/>
      <c r="E432" s="5"/>
      <c r="F432" s="5"/>
      <c r="G432" s="5"/>
      <c r="H432" s="5"/>
      <c r="I432" s="5"/>
      <c r="J432" s="5"/>
      <c r="K432" s="5"/>
      <c r="L432" s="5"/>
      <c r="M432" s="5"/>
      <c r="N432" s="5"/>
      <c r="O432" s="5"/>
      <c r="P432" s="5"/>
      <c r="Q432" s="5"/>
      <c r="R432" s="5"/>
      <c r="S432" s="5"/>
      <c r="T432" s="5"/>
      <c r="U432" s="5"/>
      <c r="V432" s="5"/>
      <c r="Y432" s="5"/>
      <c r="Z432" s="5"/>
      <c r="AA432" s="5"/>
      <c r="AB432" s="5"/>
      <c r="AC432" s="5"/>
      <c r="AD432" s="5"/>
      <c r="AE432" s="5"/>
      <c r="AF432" s="5"/>
      <c r="AG432" s="5"/>
      <c r="AH432" s="5"/>
      <c r="AI432" s="5"/>
      <c r="AJ432" s="5"/>
      <c r="AK432" s="5"/>
      <c r="AL432" s="5"/>
      <c r="AM432" s="5"/>
      <c r="AN432" s="5"/>
    </row>
    <row r="433" spans="1:40" ht="18.75" customHeight="1">
      <c r="A433" s="5"/>
      <c r="B433" s="5"/>
      <c r="C433" s="5"/>
      <c r="D433" s="5"/>
      <c r="E433" s="5"/>
      <c r="F433" s="5"/>
      <c r="G433" s="5"/>
      <c r="H433" s="5"/>
      <c r="I433" s="5"/>
      <c r="J433" s="5"/>
      <c r="K433" s="5"/>
      <c r="L433" s="5"/>
      <c r="M433" s="5"/>
      <c r="N433" s="5"/>
      <c r="O433" s="5"/>
      <c r="P433" s="5"/>
      <c r="Q433" s="5"/>
      <c r="R433" s="5"/>
      <c r="S433" s="5"/>
      <c r="T433" s="5"/>
      <c r="U433" s="5"/>
      <c r="V433" s="5"/>
      <c r="Y433" s="5"/>
      <c r="Z433" s="5"/>
      <c r="AA433" s="5"/>
      <c r="AB433" s="5"/>
      <c r="AC433" s="5"/>
      <c r="AD433" s="5"/>
      <c r="AE433" s="5"/>
      <c r="AF433" s="5"/>
      <c r="AG433" s="5"/>
      <c r="AH433" s="5"/>
      <c r="AI433" s="5"/>
      <c r="AJ433" s="5"/>
      <c r="AK433" s="5"/>
      <c r="AL433" s="5"/>
      <c r="AM433" s="5"/>
      <c r="AN433" s="5"/>
    </row>
    <row r="434" spans="1:40" ht="18.75" customHeight="1">
      <c r="A434" s="5"/>
      <c r="B434" s="5"/>
      <c r="C434" s="5"/>
      <c r="D434" s="5"/>
      <c r="E434" s="5"/>
      <c r="F434" s="5"/>
      <c r="G434" s="5"/>
      <c r="H434" s="5"/>
      <c r="I434" s="5"/>
      <c r="J434" s="5"/>
      <c r="K434" s="5"/>
      <c r="L434" s="5"/>
      <c r="M434" s="5"/>
      <c r="N434" s="5"/>
      <c r="O434" s="5"/>
      <c r="P434" s="5"/>
      <c r="Q434" s="5"/>
      <c r="R434" s="5"/>
      <c r="S434" s="5"/>
      <c r="T434" s="5"/>
      <c r="U434" s="5"/>
      <c r="V434" s="5"/>
      <c r="Y434" s="5"/>
      <c r="Z434" s="5"/>
      <c r="AA434" s="5"/>
      <c r="AB434" s="5"/>
      <c r="AC434" s="5"/>
      <c r="AD434" s="5"/>
      <c r="AE434" s="5"/>
      <c r="AF434" s="5"/>
      <c r="AG434" s="5"/>
      <c r="AH434" s="5"/>
      <c r="AI434" s="5"/>
      <c r="AJ434" s="5"/>
      <c r="AK434" s="5"/>
      <c r="AL434" s="5"/>
      <c r="AM434" s="5"/>
      <c r="AN434" s="5"/>
    </row>
    <row r="435" spans="1:40" ht="18.75" customHeight="1">
      <c r="A435" s="5"/>
      <c r="B435" s="5"/>
      <c r="C435" s="5"/>
      <c r="D435" s="5"/>
      <c r="E435" s="5"/>
      <c r="F435" s="5"/>
      <c r="G435" s="5"/>
      <c r="H435" s="5"/>
      <c r="I435" s="5"/>
      <c r="J435" s="5"/>
      <c r="K435" s="5"/>
      <c r="L435" s="5"/>
      <c r="M435" s="5"/>
      <c r="N435" s="5"/>
      <c r="O435" s="5"/>
      <c r="P435" s="5"/>
      <c r="Q435" s="5"/>
      <c r="R435" s="5"/>
      <c r="S435" s="5"/>
      <c r="T435" s="5"/>
      <c r="U435" s="5"/>
      <c r="V435" s="5"/>
      <c r="Y435" s="5"/>
      <c r="Z435" s="5"/>
      <c r="AA435" s="5"/>
      <c r="AB435" s="5"/>
      <c r="AC435" s="5"/>
      <c r="AD435" s="5"/>
      <c r="AE435" s="5"/>
      <c r="AF435" s="5"/>
      <c r="AG435" s="5"/>
      <c r="AH435" s="5"/>
      <c r="AI435" s="5"/>
      <c r="AJ435" s="5"/>
      <c r="AK435" s="5"/>
      <c r="AL435" s="5"/>
      <c r="AM435" s="5"/>
      <c r="AN435" s="5"/>
    </row>
    <row r="436" spans="1:40" ht="18.75" customHeight="1">
      <c r="A436" s="5"/>
      <c r="B436" s="5"/>
      <c r="C436" s="5"/>
      <c r="D436" s="5"/>
      <c r="E436" s="5"/>
      <c r="F436" s="5"/>
      <c r="G436" s="5"/>
      <c r="H436" s="5"/>
      <c r="I436" s="5"/>
      <c r="J436" s="5"/>
      <c r="K436" s="5"/>
      <c r="L436" s="5"/>
      <c r="M436" s="5"/>
      <c r="N436" s="5"/>
      <c r="O436" s="5"/>
      <c r="P436" s="5"/>
      <c r="Q436" s="5"/>
      <c r="R436" s="5"/>
      <c r="S436" s="5"/>
      <c r="T436" s="5"/>
      <c r="U436" s="5"/>
      <c r="V436" s="5"/>
      <c r="Y436" s="5"/>
      <c r="Z436" s="5"/>
      <c r="AA436" s="5"/>
      <c r="AB436" s="5"/>
      <c r="AC436" s="5"/>
      <c r="AD436" s="5"/>
      <c r="AE436" s="5"/>
      <c r="AF436" s="5"/>
      <c r="AG436" s="5"/>
      <c r="AH436" s="5"/>
      <c r="AI436" s="5"/>
      <c r="AJ436" s="5"/>
      <c r="AK436" s="5"/>
      <c r="AL436" s="5"/>
      <c r="AM436" s="5"/>
      <c r="AN436" s="5"/>
    </row>
    <row r="437" spans="1:40" ht="18.75" customHeight="1">
      <c r="A437" s="5"/>
      <c r="B437" s="5"/>
      <c r="C437" s="5"/>
      <c r="D437" s="5"/>
      <c r="E437" s="5"/>
      <c r="F437" s="5"/>
      <c r="G437" s="5"/>
      <c r="H437" s="5"/>
      <c r="I437" s="5"/>
      <c r="J437" s="5"/>
      <c r="K437" s="5"/>
      <c r="L437" s="5"/>
      <c r="M437" s="5"/>
      <c r="N437" s="5"/>
      <c r="O437" s="5"/>
      <c r="P437" s="5"/>
      <c r="Q437" s="5"/>
      <c r="R437" s="5"/>
      <c r="S437" s="5"/>
      <c r="T437" s="5"/>
      <c r="U437" s="5"/>
      <c r="V437" s="5"/>
      <c r="Y437" s="5"/>
      <c r="Z437" s="5"/>
      <c r="AA437" s="5"/>
      <c r="AB437" s="5"/>
      <c r="AC437" s="5"/>
      <c r="AD437" s="5"/>
      <c r="AE437" s="5"/>
      <c r="AF437" s="5"/>
      <c r="AG437" s="5"/>
      <c r="AH437" s="5"/>
      <c r="AI437" s="5"/>
      <c r="AJ437" s="5"/>
      <c r="AK437" s="5"/>
      <c r="AL437" s="5"/>
      <c r="AM437" s="5"/>
      <c r="AN437" s="5"/>
    </row>
    <row r="438" spans="1:40" ht="18.75" customHeight="1">
      <c r="A438" s="5"/>
      <c r="B438" s="5"/>
      <c r="C438" s="5"/>
      <c r="D438" s="5"/>
      <c r="E438" s="5"/>
      <c r="F438" s="5"/>
      <c r="G438" s="5"/>
      <c r="H438" s="5"/>
      <c r="I438" s="5"/>
      <c r="J438" s="5"/>
      <c r="K438" s="5"/>
      <c r="L438" s="5"/>
      <c r="M438" s="5"/>
      <c r="N438" s="5"/>
      <c r="O438" s="5"/>
      <c r="P438" s="5"/>
      <c r="Q438" s="5"/>
      <c r="R438" s="5"/>
      <c r="S438" s="5"/>
      <c r="T438" s="5"/>
      <c r="U438" s="5"/>
      <c r="V438" s="5"/>
      <c r="Y438" s="5"/>
      <c r="Z438" s="5"/>
      <c r="AA438" s="5"/>
      <c r="AB438" s="5"/>
      <c r="AC438" s="5"/>
      <c r="AD438" s="5"/>
      <c r="AE438" s="5"/>
      <c r="AF438" s="5"/>
      <c r="AG438" s="5"/>
      <c r="AH438" s="5"/>
      <c r="AI438" s="5"/>
      <c r="AJ438" s="5"/>
      <c r="AK438" s="5"/>
      <c r="AL438" s="5"/>
      <c r="AM438" s="5"/>
      <c r="AN438" s="5"/>
    </row>
    <row r="439" spans="1:40" ht="18.75" customHeight="1">
      <c r="A439" s="5"/>
      <c r="B439" s="5"/>
      <c r="C439" s="5"/>
      <c r="D439" s="5"/>
      <c r="E439" s="5"/>
      <c r="F439" s="5"/>
      <c r="G439" s="5"/>
      <c r="H439" s="5"/>
      <c r="I439" s="5"/>
      <c r="J439" s="5"/>
      <c r="K439" s="5"/>
      <c r="L439" s="5"/>
      <c r="M439" s="5"/>
      <c r="N439" s="5"/>
      <c r="O439" s="5"/>
      <c r="P439" s="5"/>
      <c r="Q439" s="5"/>
      <c r="R439" s="5"/>
      <c r="S439" s="5"/>
      <c r="T439" s="5"/>
      <c r="U439" s="5"/>
      <c r="V439" s="5"/>
      <c r="Y439" s="5"/>
      <c r="Z439" s="5"/>
      <c r="AA439" s="5"/>
      <c r="AB439" s="5"/>
      <c r="AC439" s="5"/>
      <c r="AD439" s="5"/>
      <c r="AE439" s="5"/>
      <c r="AF439" s="5"/>
      <c r="AG439" s="5"/>
      <c r="AH439" s="5"/>
      <c r="AI439" s="5"/>
      <c r="AJ439" s="5"/>
      <c r="AK439" s="5"/>
      <c r="AL439" s="5"/>
      <c r="AM439" s="5"/>
      <c r="AN439" s="5"/>
    </row>
    <row r="440" spans="1:40" ht="18.75" customHeight="1">
      <c r="A440" s="5"/>
      <c r="B440" s="5"/>
      <c r="C440" s="5"/>
      <c r="D440" s="5"/>
      <c r="E440" s="5"/>
      <c r="F440" s="5"/>
      <c r="G440" s="5"/>
      <c r="H440" s="5"/>
      <c r="I440" s="5"/>
      <c r="J440" s="5"/>
      <c r="K440" s="5"/>
      <c r="L440" s="5"/>
      <c r="M440" s="5"/>
      <c r="N440" s="5"/>
      <c r="O440" s="5"/>
      <c r="P440" s="5"/>
      <c r="Q440" s="5"/>
      <c r="R440" s="5"/>
      <c r="S440" s="5"/>
      <c r="T440" s="5"/>
      <c r="U440" s="5"/>
      <c r="V440" s="5"/>
      <c r="Y440" s="5"/>
      <c r="Z440" s="5"/>
      <c r="AA440" s="5"/>
      <c r="AB440" s="5"/>
      <c r="AC440" s="5"/>
      <c r="AD440" s="5"/>
      <c r="AE440" s="5"/>
      <c r="AF440" s="5"/>
      <c r="AG440" s="5"/>
      <c r="AH440" s="5"/>
      <c r="AI440" s="5"/>
      <c r="AJ440" s="5"/>
      <c r="AK440" s="5"/>
      <c r="AL440" s="5"/>
      <c r="AM440" s="5"/>
      <c r="AN440" s="5"/>
    </row>
    <row r="441" spans="1:40" ht="18.75" customHeight="1">
      <c r="A441" s="5"/>
      <c r="B441" s="5"/>
      <c r="C441" s="5"/>
      <c r="D441" s="5"/>
      <c r="E441" s="5"/>
      <c r="F441" s="5"/>
      <c r="G441" s="5"/>
      <c r="H441" s="5"/>
      <c r="I441" s="5"/>
      <c r="J441" s="5"/>
      <c r="K441" s="5"/>
      <c r="L441" s="5"/>
      <c r="M441" s="5"/>
      <c r="N441" s="5"/>
      <c r="O441" s="5"/>
      <c r="P441" s="5"/>
      <c r="Q441" s="5"/>
      <c r="R441" s="5"/>
      <c r="S441" s="5"/>
      <c r="T441" s="5"/>
      <c r="U441" s="5"/>
      <c r="V441" s="5"/>
      <c r="Y441" s="5"/>
      <c r="Z441" s="5"/>
      <c r="AA441" s="5"/>
      <c r="AB441" s="5"/>
      <c r="AC441" s="5"/>
      <c r="AD441" s="5"/>
      <c r="AE441" s="5"/>
      <c r="AF441" s="5"/>
      <c r="AG441" s="5"/>
      <c r="AH441" s="5"/>
      <c r="AI441" s="5"/>
      <c r="AJ441" s="5"/>
      <c r="AK441" s="5"/>
      <c r="AL441" s="5"/>
      <c r="AM441" s="5"/>
      <c r="AN441" s="5"/>
    </row>
    <row r="442" spans="1:40" ht="18.75" customHeight="1">
      <c r="A442" s="5"/>
      <c r="B442" s="5"/>
      <c r="C442" s="5"/>
      <c r="D442" s="5"/>
      <c r="E442" s="5"/>
      <c r="F442" s="5"/>
      <c r="G442" s="5"/>
      <c r="H442" s="5"/>
      <c r="I442" s="5"/>
      <c r="J442" s="5"/>
      <c r="K442" s="5"/>
      <c r="L442" s="5"/>
      <c r="M442" s="5"/>
      <c r="N442" s="5"/>
      <c r="O442" s="5"/>
      <c r="P442" s="5"/>
      <c r="Q442" s="5"/>
      <c r="R442" s="5"/>
      <c r="S442" s="5"/>
      <c r="T442" s="5"/>
      <c r="U442" s="5"/>
      <c r="V442" s="5"/>
      <c r="Y442" s="5"/>
      <c r="Z442" s="5"/>
      <c r="AA442" s="5"/>
      <c r="AB442" s="5"/>
      <c r="AC442" s="5"/>
      <c r="AD442" s="5"/>
      <c r="AE442" s="5"/>
      <c r="AF442" s="5"/>
      <c r="AG442" s="5"/>
      <c r="AH442" s="5"/>
      <c r="AI442" s="5"/>
      <c r="AJ442" s="5"/>
      <c r="AK442" s="5"/>
      <c r="AL442" s="5"/>
      <c r="AM442" s="5"/>
      <c r="AN442" s="5"/>
    </row>
    <row r="443" spans="1:40" ht="18.75" customHeight="1">
      <c r="A443" s="5"/>
      <c r="B443" s="5"/>
      <c r="C443" s="5"/>
      <c r="D443" s="5"/>
      <c r="E443" s="5"/>
      <c r="F443" s="5"/>
      <c r="G443" s="5"/>
      <c r="H443" s="5"/>
      <c r="I443" s="5"/>
      <c r="J443" s="5"/>
      <c r="K443" s="5"/>
      <c r="L443" s="5"/>
      <c r="M443" s="5"/>
      <c r="N443" s="5"/>
      <c r="O443" s="5"/>
      <c r="P443" s="5"/>
      <c r="Q443" s="5"/>
      <c r="R443" s="5"/>
      <c r="S443" s="5"/>
      <c r="T443" s="5"/>
      <c r="U443" s="5"/>
      <c r="V443" s="5"/>
      <c r="Y443" s="5"/>
      <c r="Z443" s="5"/>
      <c r="AA443" s="5"/>
      <c r="AB443" s="5"/>
      <c r="AC443" s="5"/>
      <c r="AD443" s="5"/>
      <c r="AE443" s="5"/>
      <c r="AF443" s="5"/>
      <c r="AG443" s="5"/>
      <c r="AH443" s="5"/>
      <c r="AI443" s="5"/>
      <c r="AJ443" s="5"/>
      <c r="AK443" s="5"/>
      <c r="AL443" s="5"/>
      <c r="AM443" s="5"/>
      <c r="AN443" s="5"/>
    </row>
    <row r="444" spans="1:40" ht="18.75" customHeight="1">
      <c r="A444" s="5"/>
      <c r="B444" s="5"/>
      <c r="C444" s="5"/>
      <c r="D444" s="5"/>
      <c r="E444" s="5"/>
      <c r="F444" s="5"/>
      <c r="G444" s="5"/>
      <c r="H444" s="5"/>
      <c r="I444" s="5"/>
      <c r="J444" s="5"/>
      <c r="K444" s="5"/>
      <c r="L444" s="5"/>
      <c r="M444" s="5"/>
      <c r="N444" s="5"/>
      <c r="O444" s="5"/>
      <c r="P444" s="5"/>
      <c r="Q444" s="5"/>
      <c r="R444" s="5"/>
      <c r="S444" s="5"/>
      <c r="T444" s="5"/>
      <c r="U444" s="5"/>
      <c r="V444" s="5"/>
      <c r="Y444" s="5"/>
      <c r="Z444" s="5"/>
      <c r="AA444" s="5"/>
      <c r="AB444" s="5"/>
      <c r="AC444" s="5"/>
      <c r="AD444" s="5"/>
      <c r="AE444" s="5"/>
      <c r="AF444" s="5"/>
      <c r="AG444" s="5"/>
      <c r="AH444" s="5"/>
      <c r="AI444" s="5"/>
      <c r="AJ444" s="5"/>
      <c r="AK444" s="5"/>
      <c r="AL444" s="5"/>
      <c r="AM444" s="5"/>
      <c r="AN444" s="5"/>
    </row>
    <row r="445" spans="1:40" ht="18.75" customHeight="1">
      <c r="A445" s="5"/>
      <c r="B445" s="5"/>
      <c r="C445" s="5"/>
      <c r="D445" s="5"/>
      <c r="E445" s="5"/>
      <c r="F445" s="5"/>
      <c r="G445" s="5"/>
      <c r="H445" s="5"/>
      <c r="I445" s="5"/>
      <c r="J445" s="5"/>
      <c r="K445" s="5"/>
      <c r="L445" s="5"/>
      <c r="M445" s="5"/>
      <c r="N445" s="5"/>
      <c r="O445" s="5"/>
      <c r="P445" s="5"/>
      <c r="Q445" s="5"/>
      <c r="R445" s="5"/>
      <c r="S445" s="5"/>
      <c r="T445" s="5"/>
      <c r="U445" s="5"/>
      <c r="V445" s="5"/>
      <c r="Y445" s="5"/>
      <c r="Z445" s="5"/>
      <c r="AA445" s="5"/>
      <c r="AB445" s="5"/>
      <c r="AC445" s="5"/>
      <c r="AD445" s="5"/>
      <c r="AE445" s="5"/>
      <c r="AF445" s="5"/>
      <c r="AG445" s="5"/>
      <c r="AH445" s="5"/>
      <c r="AI445" s="5"/>
      <c r="AJ445" s="5"/>
      <c r="AK445" s="5"/>
      <c r="AL445" s="5"/>
      <c r="AM445" s="5"/>
      <c r="AN445" s="5"/>
    </row>
    <row r="446" spans="1:40" ht="18.75" customHeight="1">
      <c r="A446" s="5"/>
      <c r="B446" s="5"/>
      <c r="C446" s="5"/>
      <c r="D446" s="5"/>
      <c r="E446" s="5"/>
      <c r="F446" s="5"/>
      <c r="G446" s="5"/>
      <c r="H446" s="5"/>
      <c r="I446" s="5"/>
      <c r="J446" s="5"/>
      <c r="K446" s="5"/>
      <c r="L446" s="5"/>
      <c r="M446" s="5"/>
      <c r="N446" s="5"/>
      <c r="O446" s="5"/>
      <c r="P446" s="5"/>
      <c r="Q446" s="5"/>
      <c r="R446" s="5"/>
      <c r="S446" s="5"/>
      <c r="T446" s="5"/>
      <c r="U446" s="5"/>
      <c r="V446" s="5"/>
      <c r="Y446" s="5"/>
      <c r="Z446" s="5"/>
      <c r="AA446" s="5"/>
      <c r="AB446" s="5"/>
      <c r="AC446" s="5"/>
      <c r="AD446" s="5"/>
      <c r="AE446" s="5"/>
      <c r="AF446" s="5"/>
      <c r="AG446" s="5"/>
      <c r="AH446" s="5"/>
      <c r="AI446" s="5"/>
      <c r="AJ446" s="5"/>
      <c r="AK446" s="5"/>
      <c r="AL446" s="5"/>
      <c r="AM446" s="5"/>
      <c r="AN446" s="5"/>
    </row>
    <row r="447" spans="1:40" ht="18.75" customHeight="1">
      <c r="A447" s="5"/>
      <c r="B447" s="5"/>
      <c r="C447" s="5"/>
      <c r="D447" s="5"/>
      <c r="E447" s="5"/>
      <c r="F447" s="5"/>
      <c r="G447" s="5"/>
      <c r="H447" s="5"/>
      <c r="I447" s="5"/>
      <c r="J447" s="5"/>
      <c r="K447" s="5"/>
      <c r="L447" s="5"/>
      <c r="M447" s="5"/>
      <c r="N447" s="5"/>
      <c r="O447" s="5"/>
      <c r="P447" s="5"/>
      <c r="Q447" s="5"/>
      <c r="R447" s="5"/>
      <c r="S447" s="5"/>
      <c r="T447" s="5"/>
      <c r="U447" s="5"/>
      <c r="V447" s="5"/>
      <c r="Y447" s="5"/>
      <c r="Z447" s="5"/>
      <c r="AA447" s="5"/>
      <c r="AB447" s="5"/>
      <c r="AC447" s="5"/>
      <c r="AD447" s="5"/>
      <c r="AE447" s="5"/>
      <c r="AF447" s="5"/>
      <c r="AG447" s="5"/>
      <c r="AH447" s="5"/>
      <c r="AI447" s="5"/>
      <c r="AJ447" s="5"/>
      <c r="AK447" s="5"/>
      <c r="AL447" s="5"/>
      <c r="AM447" s="5"/>
      <c r="AN447" s="5"/>
    </row>
    <row r="448" spans="1:40" ht="18.75" customHeight="1">
      <c r="A448" s="5"/>
      <c r="B448" s="5"/>
      <c r="C448" s="5"/>
      <c r="D448" s="5"/>
      <c r="E448" s="5"/>
      <c r="F448" s="5"/>
      <c r="G448" s="5"/>
      <c r="H448" s="5"/>
      <c r="I448" s="5"/>
      <c r="J448" s="5"/>
      <c r="K448" s="5"/>
      <c r="L448" s="5"/>
      <c r="M448" s="5"/>
      <c r="N448" s="5"/>
      <c r="O448" s="5"/>
      <c r="P448" s="5"/>
      <c r="Q448" s="5"/>
      <c r="R448" s="5"/>
      <c r="S448" s="5"/>
      <c r="T448" s="5"/>
      <c r="U448" s="5"/>
      <c r="V448" s="5"/>
      <c r="Y448" s="5"/>
      <c r="Z448" s="5"/>
      <c r="AA448" s="5"/>
      <c r="AB448" s="5"/>
      <c r="AC448" s="5"/>
      <c r="AD448" s="5"/>
      <c r="AE448" s="5"/>
      <c r="AF448" s="5"/>
      <c r="AG448" s="5"/>
      <c r="AH448" s="5"/>
      <c r="AI448" s="5"/>
      <c r="AJ448" s="5"/>
      <c r="AK448" s="5"/>
      <c r="AL448" s="5"/>
      <c r="AM448" s="5"/>
      <c r="AN448" s="5"/>
    </row>
    <row r="449" spans="1:40" ht="18.75" customHeight="1">
      <c r="A449" s="5"/>
      <c r="B449" s="5"/>
      <c r="C449" s="5"/>
      <c r="D449" s="5"/>
      <c r="E449" s="5"/>
      <c r="F449" s="5"/>
      <c r="G449" s="5"/>
      <c r="H449" s="5"/>
      <c r="I449" s="5"/>
      <c r="J449" s="5"/>
      <c r="K449" s="5"/>
      <c r="L449" s="5"/>
      <c r="M449" s="5"/>
      <c r="N449" s="5"/>
      <c r="O449" s="5"/>
      <c r="P449" s="5"/>
      <c r="Q449" s="5"/>
      <c r="R449" s="5"/>
      <c r="S449" s="5"/>
      <c r="T449" s="5"/>
      <c r="U449" s="5"/>
      <c r="V449" s="5"/>
      <c r="Y449" s="5"/>
      <c r="Z449" s="5"/>
      <c r="AA449" s="5"/>
      <c r="AB449" s="5"/>
      <c r="AC449" s="5"/>
      <c r="AD449" s="5"/>
      <c r="AE449" s="5"/>
      <c r="AF449" s="5"/>
      <c r="AG449" s="5"/>
      <c r="AH449" s="5"/>
      <c r="AI449" s="5"/>
      <c r="AJ449" s="5"/>
      <c r="AK449" s="5"/>
      <c r="AL449" s="5"/>
      <c r="AM449" s="5"/>
      <c r="AN449" s="5"/>
    </row>
    <row r="450" spans="1:40" ht="18.75" customHeight="1">
      <c r="A450" s="5"/>
      <c r="B450" s="5"/>
      <c r="C450" s="5"/>
      <c r="D450" s="5"/>
      <c r="E450" s="5"/>
      <c r="F450" s="5"/>
      <c r="G450" s="5"/>
      <c r="H450" s="5"/>
      <c r="I450" s="5"/>
      <c r="J450" s="5"/>
      <c r="K450" s="5"/>
      <c r="L450" s="5"/>
      <c r="M450" s="5"/>
      <c r="N450" s="5"/>
      <c r="O450" s="5"/>
      <c r="P450" s="5"/>
      <c r="Q450" s="5"/>
      <c r="R450" s="5"/>
      <c r="S450" s="5"/>
      <c r="T450" s="5"/>
      <c r="U450" s="5"/>
      <c r="V450" s="5"/>
      <c r="Y450" s="5"/>
      <c r="Z450" s="5"/>
      <c r="AA450" s="5"/>
      <c r="AB450" s="5"/>
      <c r="AC450" s="5"/>
      <c r="AD450" s="5"/>
      <c r="AE450" s="5"/>
      <c r="AF450" s="5"/>
      <c r="AG450" s="5"/>
      <c r="AH450" s="5"/>
      <c r="AI450" s="5"/>
      <c r="AJ450" s="5"/>
      <c r="AK450" s="5"/>
      <c r="AL450" s="5"/>
      <c r="AM450" s="5"/>
      <c r="AN450" s="5"/>
    </row>
    <row r="451" spans="1:40" ht="18.75" customHeight="1">
      <c r="A451" s="5"/>
      <c r="B451" s="5"/>
      <c r="C451" s="5"/>
      <c r="D451" s="5"/>
      <c r="E451" s="5"/>
      <c r="F451" s="5"/>
      <c r="G451" s="5"/>
      <c r="H451" s="5"/>
      <c r="I451" s="5"/>
      <c r="J451" s="5"/>
      <c r="K451" s="5"/>
      <c r="L451" s="5"/>
      <c r="M451" s="5"/>
      <c r="N451" s="5"/>
      <c r="O451" s="5"/>
      <c r="P451" s="5"/>
      <c r="Q451" s="5"/>
      <c r="R451" s="5"/>
      <c r="S451" s="5"/>
      <c r="T451" s="5"/>
      <c r="U451" s="5"/>
      <c r="V451" s="5"/>
      <c r="Y451" s="5"/>
      <c r="Z451" s="5"/>
      <c r="AA451" s="5"/>
      <c r="AB451" s="5"/>
      <c r="AC451" s="5"/>
      <c r="AD451" s="5"/>
      <c r="AE451" s="5"/>
      <c r="AF451" s="5"/>
      <c r="AG451" s="5"/>
      <c r="AH451" s="5"/>
      <c r="AI451" s="5"/>
      <c r="AJ451" s="5"/>
      <c r="AK451" s="5"/>
      <c r="AL451" s="5"/>
      <c r="AM451" s="5"/>
      <c r="AN451" s="5"/>
    </row>
    <row r="452" spans="1:40" ht="18.75" customHeight="1">
      <c r="A452" s="5"/>
      <c r="B452" s="5"/>
      <c r="C452" s="5"/>
      <c r="D452" s="5"/>
      <c r="E452" s="5"/>
      <c r="F452" s="5"/>
      <c r="G452" s="5"/>
      <c r="H452" s="5"/>
      <c r="I452" s="5"/>
      <c r="J452" s="5"/>
      <c r="K452" s="5"/>
      <c r="L452" s="5"/>
      <c r="M452" s="5"/>
      <c r="N452" s="5"/>
      <c r="O452" s="5"/>
      <c r="P452" s="5"/>
      <c r="Q452" s="5"/>
      <c r="R452" s="5"/>
      <c r="S452" s="5"/>
      <c r="T452" s="5"/>
      <c r="U452" s="5"/>
      <c r="V452" s="5"/>
      <c r="Y452" s="5"/>
      <c r="Z452" s="5"/>
      <c r="AA452" s="5"/>
      <c r="AB452" s="5"/>
      <c r="AC452" s="5"/>
      <c r="AD452" s="5"/>
      <c r="AE452" s="5"/>
      <c r="AF452" s="5"/>
      <c r="AG452" s="5"/>
      <c r="AH452" s="5"/>
      <c r="AI452" s="5"/>
      <c r="AJ452" s="5"/>
      <c r="AK452" s="5"/>
      <c r="AL452" s="5"/>
      <c r="AM452" s="5"/>
      <c r="AN452" s="5"/>
    </row>
    <row r="453" spans="1:40" ht="18.75" customHeight="1">
      <c r="A453" s="5"/>
      <c r="B453" s="5"/>
      <c r="C453" s="5"/>
      <c r="D453" s="5"/>
      <c r="E453" s="5"/>
      <c r="F453" s="5"/>
      <c r="G453" s="5"/>
      <c r="H453" s="5"/>
      <c r="I453" s="5"/>
      <c r="J453" s="5"/>
      <c r="K453" s="5"/>
      <c r="L453" s="5"/>
      <c r="M453" s="5"/>
      <c r="N453" s="5"/>
      <c r="O453" s="5"/>
      <c r="P453" s="5"/>
      <c r="Q453" s="5"/>
      <c r="R453" s="5"/>
      <c r="S453" s="5"/>
      <c r="T453" s="5"/>
      <c r="U453" s="5"/>
      <c r="V453" s="5"/>
      <c r="Y453" s="5"/>
      <c r="Z453" s="5"/>
      <c r="AA453" s="5"/>
      <c r="AB453" s="5"/>
      <c r="AC453" s="5"/>
      <c r="AD453" s="5"/>
      <c r="AE453" s="5"/>
      <c r="AF453" s="5"/>
      <c r="AG453" s="5"/>
      <c r="AH453" s="5"/>
      <c r="AI453" s="5"/>
      <c r="AJ453" s="5"/>
      <c r="AK453" s="5"/>
      <c r="AL453" s="5"/>
      <c r="AM453" s="5"/>
      <c r="AN453" s="5"/>
    </row>
    <row r="454" spans="1:40" ht="18.75" customHeight="1">
      <c r="A454" s="5"/>
      <c r="B454" s="5"/>
      <c r="C454" s="5"/>
      <c r="D454" s="5"/>
      <c r="E454" s="5"/>
      <c r="F454" s="5"/>
      <c r="G454" s="5"/>
      <c r="H454" s="5"/>
      <c r="I454" s="5"/>
      <c r="J454" s="5"/>
      <c r="K454" s="5"/>
      <c r="L454" s="5"/>
      <c r="M454" s="5"/>
      <c r="N454" s="5"/>
      <c r="O454" s="5"/>
      <c r="P454" s="5"/>
      <c r="Q454" s="5"/>
      <c r="R454" s="5"/>
      <c r="S454" s="5"/>
      <c r="T454" s="5"/>
      <c r="U454" s="5"/>
      <c r="V454" s="5"/>
      <c r="Y454" s="5"/>
      <c r="Z454" s="5"/>
      <c r="AA454" s="5"/>
      <c r="AB454" s="5"/>
      <c r="AC454" s="5"/>
      <c r="AD454" s="5"/>
      <c r="AE454" s="5"/>
      <c r="AF454" s="5"/>
      <c r="AG454" s="5"/>
      <c r="AH454" s="5"/>
      <c r="AI454" s="5"/>
      <c r="AJ454" s="5"/>
      <c r="AK454" s="5"/>
      <c r="AL454" s="5"/>
      <c r="AM454" s="5"/>
      <c r="AN454" s="5"/>
    </row>
    <row r="455" spans="1:40" ht="18.75" customHeight="1">
      <c r="A455" s="5"/>
      <c r="B455" s="5"/>
      <c r="C455" s="5"/>
      <c r="D455" s="5"/>
      <c r="E455" s="5"/>
      <c r="F455" s="5"/>
      <c r="G455" s="5"/>
      <c r="H455" s="5"/>
      <c r="I455" s="5"/>
      <c r="J455" s="5"/>
      <c r="K455" s="5"/>
      <c r="L455" s="5"/>
      <c r="M455" s="5"/>
      <c r="N455" s="5"/>
      <c r="O455" s="5"/>
      <c r="P455" s="5"/>
      <c r="Q455" s="5"/>
      <c r="R455" s="5"/>
      <c r="S455" s="5"/>
      <c r="T455" s="5"/>
      <c r="U455" s="5"/>
      <c r="V455" s="5"/>
      <c r="Y455" s="5"/>
      <c r="Z455" s="5"/>
      <c r="AA455" s="5"/>
      <c r="AB455" s="5"/>
      <c r="AC455" s="5"/>
      <c r="AD455" s="5"/>
      <c r="AE455" s="5"/>
      <c r="AF455" s="5"/>
      <c r="AG455" s="5"/>
      <c r="AH455" s="5"/>
      <c r="AI455" s="5"/>
      <c r="AJ455" s="5"/>
      <c r="AK455" s="5"/>
      <c r="AL455" s="5"/>
      <c r="AM455" s="5"/>
      <c r="AN455" s="5"/>
    </row>
    <row r="456" spans="1:40" ht="18.75" customHeight="1">
      <c r="A456" s="5"/>
      <c r="B456" s="5"/>
      <c r="C456" s="5"/>
      <c r="D456" s="5"/>
      <c r="E456" s="5"/>
      <c r="F456" s="5"/>
      <c r="G456" s="5"/>
      <c r="H456" s="5"/>
      <c r="I456" s="5"/>
      <c r="J456" s="5"/>
      <c r="K456" s="5"/>
      <c r="L456" s="5"/>
      <c r="M456" s="5"/>
      <c r="N456" s="5"/>
      <c r="O456" s="5"/>
      <c r="P456" s="5"/>
      <c r="Q456" s="5"/>
      <c r="R456" s="5"/>
      <c r="S456" s="5"/>
      <c r="T456" s="5"/>
      <c r="U456" s="5"/>
      <c r="V456" s="5"/>
      <c r="Y456" s="5"/>
      <c r="Z456" s="5"/>
      <c r="AA456" s="5"/>
      <c r="AB456" s="5"/>
      <c r="AC456" s="5"/>
      <c r="AD456" s="5"/>
      <c r="AE456" s="5"/>
      <c r="AF456" s="5"/>
      <c r="AG456" s="5"/>
      <c r="AH456" s="5"/>
      <c r="AI456" s="5"/>
      <c r="AJ456" s="5"/>
      <c r="AK456" s="5"/>
      <c r="AL456" s="5"/>
      <c r="AM456" s="5"/>
      <c r="AN456" s="5"/>
    </row>
    <row r="457" spans="1:40" ht="18.75" customHeight="1">
      <c r="A457" s="5"/>
      <c r="B457" s="5"/>
      <c r="C457" s="5"/>
      <c r="D457" s="5"/>
      <c r="E457" s="5"/>
      <c r="F457" s="5"/>
      <c r="G457" s="5"/>
      <c r="H457" s="5"/>
      <c r="I457" s="5"/>
      <c r="J457" s="5"/>
      <c r="K457" s="5"/>
      <c r="L457" s="5"/>
      <c r="M457" s="5"/>
      <c r="N457" s="5"/>
      <c r="O457" s="5"/>
      <c r="P457" s="5"/>
      <c r="Q457" s="5"/>
      <c r="R457" s="5"/>
      <c r="S457" s="5"/>
      <c r="T457" s="5"/>
      <c r="U457" s="5"/>
      <c r="V457" s="5"/>
      <c r="Y457" s="5"/>
      <c r="Z457" s="5"/>
      <c r="AA457" s="5"/>
      <c r="AB457" s="5"/>
      <c r="AC457" s="5"/>
      <c r="AD457" s="5"/>
      <c r="AE457" s="5"/>
      <c r="AF457" s="5"/>
      <c r="AG457" s="5"/>
      <c r="AH457" s="5"/>
      <c r="AI457" s="5"/>
      <c r="AJ457" s="5"/>
      <c r="AK457" s="5"/>
      <c r="AL457" s="5"/>
      <c r="AM457" s="5"/>
      <c r="AN457" s="5"/>
    </row>
    <row r="458" spans="1:40" ht="18.75" customHeight="1">
      <c r="A458" s="5"/>
      <c r="B458" s="5"/>
      <c r="C458" s="5"/>
      <c r="D458" s="5"/>
      <c r="E458" s="5"/>
      <c r="F458" s="5"/>
      <c r="G458" s="5"/>
      <c r="H458" s="5"/>
      <c r="I458" s="5"/>
      <c r="J458" s="5"/>
      <c r="K458" s="5"/>
      <c r="L458" s="5"/>
      <c r="M458" s="5"/>
      <c r="N458" s="5"/>
      <c r="O458" s="5"/>
      <c r="P458" s="5"/>
      <c r="Q458" s="5"/>
      <c r="R458" s="5"/>
      <c r="S458" s="5"/>
      <c r="T458" s="5"/>
      <c r="U458" s="5"/>
      <c r="V458" s="5"/>
      <c r="Y458" s="5"/>
      <c r="Z458" s="5"/>
      <c r="AA458" s="5"/>
      <c r="AB458" s="5"/>
      <c r="AC458" s="5"/>
      <c r="AD458" s="5"/>
      <c r="AE458" s="5"/>
      <c r="AF458" s="5"/>
      <c r="AG458" s="5"/>
      <c r="AH458" s="5"/>
      <c r="AI458" s="5"/>
      <c r="AJ458" s="5"/>
      <c r="AK458" s="5"/>
      <c r="AL458" s="5"/>
      <c r="AM458" s="5"/>
      <c r="AN458" s="5"/>
    </row>
    <row r="459" spans="1:40" ht="18.75" customHeight="1">
      <c r="A459" s="5"/>
      <c r="B459" s="5"/>
      <c r="C459" s="5"/>
      <c r="D459" s="5"/>
      <c r="E459" s="5"/>
      <c r="F459" s="5"/>
      <c r="G459" s="5"/>
      <c r="H459" s="5"/>
      <c r="I459" s="5"/>
      <c r="J459" s="5"/>
      <c r="K459" s="5"/>
      <c r="L459" s="5"/>
      <c r="M459" s="5"/>
      <c r="N459" s="5"/>
      <c r="O459" s="5"/>
      <c r="P459" s="5"/>
      <c r="Q459" s="5"/>
      <c r="R459" s="5"/>
      <c r="S459" s="5"/>
      <c r="T459" s="5"/>
      <c r="U459" s="5"/>
      <c r="V459" s="5"/>
      <c r="Y459" s="5"/>
      <c r="Z459" s="5"/>
      <c r="AA459" s="5"/>
      <c r="AB459" s="5"/>
      <c r="AC459" s="5"/>
      <c r="AD459" s="5"/>
      <c r="AE459" s="5"/>
      <c r="AF459" s="5"/>
      <c r="AG459" s="5"/>
      <c r="AH459" s="5"/>
      <c r="AI459" s="5"/>
      <c r="AJ459" s="5"/>
      <c r="AK459" s="5"/>
      <c r="AL459" s="5"/>
      <c r="AM459" s="5"/>
      <c r="AN459" s="5"/>
    </row>
    <row r="460" spans="1:40" ht="18.75" customHeight="1">
      <c r="A460" s="5"/>
      <c r="B460" s="5"/>
      <c r="C460" s="5"/>
      <c r="D460" s="5"/>
      <c r="E460" s="5"/>
      <c r="F460" s="5"/>
      <c r="G460" s="5"/>
      <c r="H460" s="5"/>
      <c r="I460" s="5"/>
      <c r="J460" s="5"/>
      <c r="K460" s="5"/>
      <c r="L460" s="5"/>
      <c r="M460" s="5"/>
      <c r="N460" s="5"/>
      <c r="O460" s="5"/>
      <c r="P460" s="5"/>
      <c r="Q460" s="5"/>
      <c r="R460" s="5"/>
      <c r="S460" s="5"/>
      <c r="T460" s="5"/>
      <c r="U460" s="5"/>
      <c r="V460" s="5"/>
      <c r="Y460" s="5"/>
      <c r="Z460" s="5"/>
      <c r="AA460" s="5"/>
      <c r="AB460" s="5"/>
      <c r="AC460" s="5"/>
      <c r="AD460" s="5"/>
      <c r="AE460" s="5"/>
      <c r="AF460" s="5"/>
      <c r="AG460" s="5"/>
      <c r="AH460" s="5"/>
      <c r="AI460" s="5"/>
      <c r="AJ460" s="5"/>
      <c r="AK460" s="5"/>
      <c r="AL460" s="5"/>
      <c r="AM460" s="5"/>
      <c r="AN460" s="5"/>
    </row>
    <row r="461" spans="1:40" ht="18.75" customHeight="1">
      <c r="A461" s="5"/>
      <c r="B461" s="5"/>
      <c r="C461" s="5"/>
      <c r="D461" s="5"/>
      <c r="E461" s="5"/>
      <c r="F461" s="5"/>
      <c r="G461" s="5"/>
      <c r="H461" s="5"/>
      <c r="I461" s="5"/>
      <c r="J461" s="5"/>
      <c r="K461" s="5"/>
      <c r="L461" s="5"/>
      <c r="M461" s="5"/>
      <c r="N461" s="5"/>
      <c r="O461" s="5"/>
      <c r="P461" s="5"/>
      <c r="Q461" s="5"/>
      <c r="R461" s="5"/>
      <c r="S461" s="5"/>
      <c r="T461" s="5"/>
      <c r="U461" s="5"/>
      <c r="V461" s="5"/>
      <c r="Y461" s="5"/>
      <c r="Z461" s="5"/>
      <c r="AA461" s="5"/>
      <c r="AB461" s="5"/>
      <c r="AC461" s="5"/>
      <c r="AD461" s="5"/>
      <c r="AE461" s="5"/>
      <c r="AF461" s="5"/>
      <c r="AG461" s="5"/>
      <c r="AH461" s="5"/>
      <c r="AI461" s="5"/>
      <c r="AJ461" s="5"/>
      <c r="AK461" s="5"/>
      <c r="AL461" s="5"/>
      <c r="AM461" s="5"/>
      <c r="AN461" s="5"/>
    </row>
    <row r="462" spans="1:40" ht="18.75" customHeight="1">
      <c r="A462" s="5"/>
      <c r="B462" s="5"/>
      <c r="C462" s="5"/>
      <c r="D462" s="5"/>
      <c r="E462" s="5"/>
      <c r="F462" s="5"/>
      <c r="G462" s="5"/>
      <c r="H462" s="5"/>
      <c r="I462" s="5"/>
      <c r="J462" s="5"/>
      <c r="K462" s="5"/>
      <c r="L462" s="5"/>
      <c r="M462" s="5"/>
      <c r="N462" s="5"/>
      <c r="O462" s="5"/>
      <c r="P462" s="5"/>
      <c r="Q462" s="5"/>
      <c r="R462" s="5"/>
      <c r="S462" s="5"/>
      <c r="T462" s="5"/>
      <c r="U462" s="5"/>
      <c r="V462" s="5"/>
      <c r="Y462" s="5"/>
      <c r="Z462" s="5"/>
      <c r="AA462" s="5"/>
      <c r="AB462" s="5"/>
      <c r="AC462" s="5"/>
      <c r="AD462" s="5"/>
      <c r="AE462" s="5"/>
      <c r="AF462" s="5"/>
      <c r="AG462" s="5"/>
      <c r="AH462" s="5"/>
      <c r="AI462" s="5"/>
      <c r="AJ462" s="5"/>
      <c r="AK462" s="5"/>
      <c r="AL462" s="5"/>
      <c r="AM462" s="5"/>
      <c r="AN462" s="5"/>
    </row>
    <row r="463" spans="1:40" ht="18.75" customHeight="1">
      <c r="A463" s="5"/>
      <c r="B463" s="5"/>
      <c r="C463" s="5"/>
      <c r="D463" s="5"/>
      <c r="E463" s="5"/>
      <c r="F463" s="5"/>
      <c r="G463" s="5"/>
      <c r="H463" s="5"/>
      <c r="I463" s="5"/>
      <c r="J463" s="5"/>
      <c r="K463" s="5"/>
      <c r="L463" s="5"/>
      <c r="M463" s="5"/>
      <c r="N463" s="5"/>
      <c r="O463" s="5"/>
      <c r="P463" s="5"/>
      <c r="Q463" s="5"/>
      <c r="R463" s="5"/>
      <c r="S463" s="5"/>
      <c r="T463" s="5"/>
      <c r="U463" s="5"/>
      <c r="V463" s="5"/>
      <c r="Y463" s="5"/>
      <c r="Z463" s="5"/>
      <c r="AA463" s="5"/>
      <c r="AB463" s="5"/>
      <c r="AC463" s="5"/>
      <c r="AD463" s="5"/>
      <c r="AE463" s="5"/>
      <c r="AF463" s="5"/>
      <c r="AG463" s="5"/>
      <c r="AH463" s="5"/>
      <c r="AI463" s="5"/>
      <c r="AJ463" s="5"/>
      <c r="AK463" s="5"/>
      <c r="AL463" s="5"/>
      <c r="AM463" s="5"/>
      <c r="AN463" s="5"/>
    </row>
    <row r="464" spans="1:40" ht="18.75" customHeight="1">
      <c r="A464" s="5"/>
      <c r="B464" s="5"/>
      <c r="C464" s="5"/>
      <c r="D464" s="5"/>
      <c r="E464" s="5"/>
      <c r="F464" s="5"/>
      <c r="G464" s="5"/>
      <c r="H464" s="5"/>
      <c r="I464" s="5"/>
      <c r="J464" s="5"/>
      <c r="K464" s="5"/>
      <c r="L464" s="5"/>
      <c r="M464" s="5"/>
      <c r="N464" s="5"/>
      <c r="O464" s="5"/>
      <c r="P464" s="5"/>
      <c r="Q464" s="5"/>
      <c r="R464" s="5"/>
      <c r="S464" s="5"/>
      <c r="T464" s="5"/>
      <c r="U464" s="5"/>
      <c r="V464" s="5"/>
      <c r="Y464" s="5"/>
      <c r="Z464" s="5"/>
      <c r="AA464" s="5"/>
      <c r="AB464" s="5"/>
      <c r="AC464" s="5"/>
      <c r="AD464" s="5"/>
      <c r="AE464" s="5"/>
      <c r="AF464" s="5"/>
      <c r="AG464" s="5"/>
      <c r="AH464" s="5"/>
      <c r="AI464" s="5"/>
      <c r="AJ464" s="5"/>
      <c r="AK464" s="5"/>
      <c r="AL464" s="5"/>
      <c r="AM464" s="5"/>
      <c r="AN464" s="5"/>
    </row>
    <row r="465" spans="1:40" ht="18.75" customHeight="1">
      <c r="A465" s="5"/>
      <c r="B465" s="5"/>
      <c r="C465" s="5"/>
      <c r="D465" s="5"/>
      <c r="E465" s="5"/>
      <c r="F465" s="5"/>
      <c r="G465" s="5"/>
      <c r="H465" s="5"/>
      <c r="I465" s="5"/>
      <c r="J465" s="5"/>
      <c r="K465" s="5"/>
      <c r="L465" s="5"/>
      <c r="M465" s="5"/>
      <c r="N465" s="5"/>
      <c r="O465" s="5"/>
      <c r="P465" s="5"/>
      <c r="Q465" s="5"/>
      <c r="R465" s="5"/>
      <c r="S465" s="5"/>
      <c r="T465" s="5"/>
      <c r="U465" s="5"/>
      <c r="V465" s="5"/>
      <c r="Y465" s="5"/>
      <c r="Z465" s="5"/>
      <c r="AA465" s="5"/>
      <c r="AB465" s="5"/>
      <c r="AC465" s="5"/>
      <c r="AD465" s="5"/>
      <c r="AE465" s="5"/>
      <c r="AF465" s="5"/>
      <c r="AG465" s="5"/>
      <c r="AH465" s="5"/>
      <c r="AI465" s="5"/>
      <c r="AJ465" s="5"/>
      <c r="AK465" s="5"/>
      <c r="AL465" s="5"/>
      <c r="AM465" s="5"/>
      <c r="AN465" s="5"/>
    </row>
    <row r="466" spans="1:40" ht="18.75" customHeight="1">
      <c r="A466" s="5"/>
      <c r="B466" s="5"/>
      <c r="C466" s="5"/>
      <c r="D466" s="5"/>
      <c r="E466" s="5"/>
      <c r="F466" s="5"/>
      <c r="G466" s="5"/>
      <c r="H466" s="5"/>
      <c r="I466" s="5"/>
      <c r="J466" s="5"/>
      <c r="K466" s="5"/>
      <c r="L466" s="5"/>
      <c r="M466" s="5"/>
      <c r="N466" s="5"/>
      <c r="O466" s="5"/>
      <c r="P466" s="5"/>
      <c r="Q466" s="5"/>
      <c r="R466" s="5"/>
      <c r="S466" s="5"/>
      <c r="T466" s="5"/>
      <c r="U466" s="5"/>
      <c r="V466" s="5"/>
      <c r="Y466" s="5"/>
      <c r="Z466" s="5"/>
      <c r="AA466" s="5"/>
      <c r="AB466" s="5"/>
      <c r="AC466" s="5"/>
      <c r="AD466" s="5"/>
      <c r="AE466" s="5"/>
      <c r="AF466" s="5"/>
      <c r="AG466" s="5"/>
      <c r="AH466" s="5"/>
      <c r="AI466" s="5"/>
      <c r="AJ466" s="5"/>
      <c r="AK466" s="5"/>
      <c r="AL466" s="5"/>
      <c r="AM466" s="5"/>
      <c r="AN466" s="5"/>
    </row>
    <row r="467" spans="1:40" ht="18.75" customHeight="1">
      <c r="A467" s="5"/>
      <c r="B467" s="5"/>
      <c r="C467" s="5"/>
      <c r="D467" s="5"/>
      <c r="E467" s="5"/>
      <c r="F467" s="5"/>
      <c r="G467" s="5"/>
      <c r="H467" s="5"/>
      <c r="I467" s="5"/>
      <c r="J467" s="5"/>
      <c r="K467" s="5"/>
      <c r="L467" s="5"/>
      <c r="M467" s="5"/>
      <c r="N467" s="5"/>
      <c r="O467" s="5"/>
      <c r="P467" s="5"/>
      <c r="Q467" s="5"/>
      <c r="R467" s="5"/>
      <c r="S467" s="5"/>
      <c r="T467" s="5"/>
      <c r="U467" s="5"/>
      <c r="V467" s="5"/>
      <c r="Y467" s="5"/>
      <c r="Z467" s="5"/>
      <c r="AA467" s="5"/>
      <c r="AB467" s="5"/>
      <c r="AC467" s="5"/>
      <c r="AD467" s="5"/>
      <c r="AE467" s="5"/>
      <c r="AF467" s="5"/>
      <c r="AG467" s="5"/>
      <c r="AH467" s="5"/>
      <c r="AI467" s="5"/>
      <c r="AJ467" s="5"/>
      <c r="AK467" s="5"/>
      <c r="AL467" s="5"/>
      <c r="AM467" s="5"/>
      <c r="AN467" s="5"/>
    </row>
    <row r="468" spans="1:40" ht="18.75" customHeight="1">
      <c r="A468" s="5"/>
      <c r="B468" s="5"/>
      <c r="C468" s="5"/>
      <c r="D468" s="5"/>
      <c r="E468" s="5"/>
      <c r="F468" s="5"/>
      <c r="G468" s="5"/>
      <c r="H468" s="5"/>
      <c r="I468" s="5"/>
      <c r="J468" s="5"/>
      <c r="K468" s="5"/>
      <c r="L468" s="5"/>
      <c r="M468" s="5"/>
      <c r="N468" s="5"/>
      <c r="O468" s="5"/>
      <c r="P468" s="5"/>
      <c r="Q468" s="5"/>
      <c r="R468" s="5"/>
      <c r="S468" s="5"/>
      <c r="T468" s="5"/>
      <c r="U468" s="5"/>
      <c r="V468" s="5"/>
      <c r="Y468" s="5"/>
      <c r="Z468" s="5"/>
      <c r="AA468" s="5"/>
      <c r="AB468" s="5"/>
      <c r="AC468" s="5"/>
      <c r="AD468" s="5"/>
      <c r="AE468" s="5"/>
      <c r="AF468" s="5"/>
      <c r="AG468" s="5"/>
      <c r="AH468" s="5"/>
      <c r="AI468" s="5"/>
      <c r="AJ468" s="5"/>
      <c r="AK468" s="5"/>
      <c r="AL468" s="5"/>
      <c r="AM468" s="5"/>
      <c r="AN468" s="5"/>
    </row>
    <row r="469" spans="1:40" ht="18.75" customHeight="1">
      <c r="A469" s="5"/>
      <c r="B469" s="5"/>
      <c r="C469" s="5"/>
      <c r="D469" s="5"/>
      <c r="E469" s="5"/>
      <c r="F469" s="5"/>
      <c r="G469" s="5"/>
      <c r="H469" s="5"/>
      <c r="I469" s="5"/>
      <c r="J469" s="5"/>
      <c r="K469" s="5"/>
      <c r="L469" s="5"/>
      <c r="M469" s="5"/>
      <c r="N469" s="5"/>
      <c r="O469" s="5"/>
      <c r="P469" s="5"/>
      <c r="Q469" s="5"/>
      <c r="R469" s="5"/>
      <c r="S469" s="5"/>
      <c r="T469" s="5"/>
      <c r="U469" s="5"/>
      <c r="V469" s="5"/>
      <c r="Y469" s="5"/>
      <c r="Z469" s="5"/>
      <c r="AA469" s="5"/>
      <c r="AB469" s="5"/>
      <c r="AC469" s="5"/>
      <c r="AD469" s="5"/>
      <c r="AE469" s="5"/>
      <c r="AF469" s="5"/>
      <c r="AG469" s="5"/>
      <c r="AH469" s="5"/>
      <c r="AI469" s="5"/>
      <c r="AJ469" s="5"/>
      <c r="AK469" s="5"/>
      <c r="AL469" s="5"/>
      <c r="AM469" s="5"/>
      <c r="AN469" s="5"/>
    </row>
    <row r="470" spans="1:40" ht="18.75" customHeight="1">
      <c r="A470" s="5"/>
      <c r="B470" s="5"/>
      <c r="C470" s="5"/>
      <c r="D470" s="5"/>
      <c r="E470" s="5"/>
      <c r="F470" s="5"/>
      <c r="G470" s="5"/>
      <c r="H470" s="5"/>
      <c r="I470" s="5"/>
      <c r="J470" s="5"/>
      <c r="K470" s="5"/>
      <c r="L470" s="5"/>
      <c r="M470" s="5"/>
      <c r="N470" s="5"/>
      <c r="O470" s="5"/>
      <c r="P470" s="5"/>
      <c r="Q470" s="5"/>
      <c r="R470" s="5"/>
      <c r="S470" s="5"/>
      <c r="T470" s="5"/>
      <c r="U470" s="5"/>
      <c r="V470" s="5"/>
      <c r="Y470" s="5"/>
      <c r="Z470" s="5"/>
      <c r="AA470" s="5"/>
      <c r="AB470" s="5"/>
      <c r="AC470" s="5"/>
      <c r="AD470" s="5"/>
      <c r="AE470" s="5"/>
      <c r="AF470" s="5"/>
      <c r="AG470" s="5"/>
      <c r="AH470" s="5"/>
      <c r="AI470" s="5"/>
      <c r="AJ470" s="5"/>
      <c r="AK470" s="5"/>
      <c r="AL470" s="5"/>
      <c r="AM470" s="5"/>
      <c r="AN470" s="5"/>
    </row>
    <row r="471" spans="1:40" ht="18.75" customHeight="1">
      <c r="A471" s="5"/>
      <c r="B471" s="5"/>
      <c r="C471" s="5"/>
      <c r="D471" s="5"/>
      <c r="E471" s="5"/>
      <c r="F471" s="5"/>
      <c r="G471" s="5"/>
      <c r="H471" s="5"/>
      <c r="I471" s="5"/>
      <c r="J471" s="5"/>
      <c r="K471" s="5"/>
      <c r="L471" s="5"/>
      <c r="M471" s="5"/>
      <c r="N471" s="5"/>
      <c r="O471" s="5"/>
      <c r="P471" s="5"/>
      <c r="Q471" s="5"/>
      <c r="R471" s="5"/>
      <c r="S471" s="5"/>
      <c r="T471" s="5"/>
      <c r="U471" s="5"/>
      <c r="V471" s="5"/>
      <c r="Y471" s="5"/>
      <c r="Z471" s="5"/>
      <c r="AA471" s="5"/>
      <c r="AB471" s="5"/>
      <c r="AC471" s="5"/>
      <c r="AD471" s="5"/>
      <c r="AE471" s="5"/>
      <c r="AF471" s="5"/>
      <c r="AG471" s="5"/>
      <c r="AH471" s="5"/>
      <c r="AI471" s="5"/>
      <c r="AJ471" s="5"/>
      <c r="AK471" s="5"/>
      <c r="AL471" s="5"/>
      <c r="AM471" s="5"/>
      <c r="AN471" s="5"/>
    </row>
    <row r="472" spans="1:40" ht="18.75" customHeight="1">
      <c r="A472" s="5"/>
      <c r="B472" s="5"/>
      <c r="C472" s="5"/>
      <c r="D472" s="5"/>
      <c r="E472" s="5"/>
      <c r="F472" s="5"/>
      <c r="G472" s="5"/>
      <c r="H472" s="5"/>
      <c r="I472" s="5"/>
      <c r="J472" s="5"/>
      <c r="K472" s="5"/>
      <c r="L472" s="5"/>
      <c r="M472" s="5"/>
      <c r="N472" s="5"/>
      <c r="O472" s="5"/>
      <c r="P472" s="5"/>
      <c r="Q472" s="5"/>
      <c r="R472" s="5"/>
      <c r="S472" s="5"/>
      <c r="T472" s="5"/>
      <c r="U472" s="5"/>
      <c r="V472" s="5"/>
      <c r="Y472" s="5"/>
      <c r="Z472" s="5"/>
      <c r="AA472" s="5"/>
      <c r="AB472" s="5"/>
      <c r="AC472" s="5"/>
      <c r="AD472" s="5"/>
      <c r="AE472" s="5"/>
      <c r="AF472" s="5"/>
      <c r="AG472" s="5"/>
      <c r="AH472" s="5"/>
      <c r="AI472" s="5"/>
      <c r="AJ472" s="5"/>
      <c r="AK472" s="5"/>
      <c r="AL472" s="5"/>
      <c r="AM472" s="5"/>
      <c r="AN472" s="5"/>
    </row>
    <row r="473" spans="1:40" ht="18.75" customHeight="1">
      <c r="A473" s="5"/>
      <c r="B473" s="5"/>
      <c r="C473" s="5"/>
      <c r="D473" s="5"/>
      <c r="E473" s="5"/>
      <c r="F473" s="5"/>
      <c r="G473" s="5"/>
      <c r="H473" s="5"/>
      <c r="I473" s="5"/>
      <c r="J473" s="5"/>
      <c r="K473" s="5"/>
      <c r="L473" s="5"/>
      <c r="M473" s="5"/>
      <c r="N473" s="5"/>
      <c r="O473" s="5"/>
      <c r="P473" s="5"/>
      <c r="Q473" s="5"/>
      <c r="R473" s="5"/>
      <c r="S473" s="5"/>
      <c r="T473" s="5"/>
      <c r="U473" s="5"/>
      <c r="V473" s="5"/>
      <c r="Y473" s="5"/>
      <c r="Z473" s="5"/>
      <c r="AA473" s="5"/>
      <c r="AB473" s="5"/>
      <c r="AC473" s="5"/>
      <c r="AD473" s="5"/>
      <c r="AE473" s="5"/>
      <c r="AF473" s="5"/>
      <c r="AG473" s="5"/>
      <c r="AH473" s="5"/>
      <c r="AI473" s="5"/>
      <c r="AJ473" s="5"/>
      <c r="AK473" s="5"/>
      <c r="AL473" s="5"/>
      <c r="AM473" s="5"/>
      <c r="AN473" s="5"/>
    </row>
    <row r="474" spans="1:40" ht="18.75" customHeight="1">
      <c r="A474" s="5"/>
      <c r="B474" s="5"/>
      <c r="C474" s="5"/>
      <c r="D474" s="5"/>
      <c r="E474" s="5"/>
      <c r="F474" s="5"/>
      <c r="G474" s="5"/>
      <c r="H474" s="5"/>
      <c r="I474" s="5"/>
      <c r="J474" s="5"/>
      <c r="K474" s="5"/>
      <c r="L474" s="5"/>
      <c r="M474" s="5"/>
      <c r="N474" s="5"/>
      <c r="O474" s="5"/>
      <c r="P474" s="5"/>
      <c r="Q474" s="5"/>
      <c r="R474" s="5"/>
      <c r="S474" s="5"/>
      <c r="T474" s="5"/>
      <c r="U474" s="5"/>
      <c r="V474" s="5"/>
      <c r="Y474" s="5"/>
      <c r="Z474" s="5"/>
      <c r="AA474" s="5"/>
      <c r="AB474" s="5"/>
      <c r="AC474" s="5"/>
      <c r="AD474" s="5"/>
      <c r="AE474" s="5"/>
      <c r="AF474" s="5"/>
      <c r="AG474" s="5"/>
      <c r="AH474" s="5"/>
      <c r="AI474" s="5"/>
      <c r="AJ474" s="5"/>
      <c r="AK474" s="5"/>
      <c r="AL474" s="5"/>
      <c r="AM474" s="5"/>
      <c r="AN474" s="5"/>
    </row>
    <row r="475" spans="1:40" ht="18.75" customHeight="1">
      <c r="A475" s="5"/>
      <c r="B475" s="5"/>
      <c r="C475" s="5"/>
      <c r="D475" s="5"/>
      <c r="E475" s="5"/>
      <c r="F475" s="5"/>
      <c r="G475" s="5"/>
      <c r="H475" s="5"/>
      <c r="I475" s="5"/>
      <c r="J475" s="5"/>
      <c r="K475" s="5"/>
      <c r="L475" s="5"/>
      <c r="M475" s="5"/>
      <c r="N475" s="5"/>
      <c r="O475" s="5"/>
      <c r="P475" s="5"/>
      <c r="Q475" s="5"/>
      <c r="R475" s="5"/>
      <c r="S475" s="5"/>
      <c r="T475" s="5"/>
      <c r="U475" s="5"/>
      <c r="V475" s="5"/>
      <c r="Y475" s="5"/>
      <c r="Z475" s="5"/>
      <c r="AA475" s="5"/>
      <c r="AB475" s="5"/>
      <c r="AC475" s="5"/>
      <c r="AD475" s="5"/>
      <c r="AE475" s="5"/>
      <c r="AF475" s="5"/>
      <c r="AG475" s="5"/>
      <c r="AH475" s="5"/>
      <c r="AI475" s="5"/>
      <c r="AJ475" s="5"/>
      <c r="AK475" s="5"/>
      <c r="AL475" s="5"/>
      <c r="AM475" s="5"/>
      <c r="AN475" s="5"/>
    </row>
    <row r="476" spans="1:40" ht="18.75" customHeight="1">
      <c r="A476" s="5"/>
      <c r="B476" s="5"/>
      <c r="C476" s="5"/>
      <c r="D476" s="5"/>
      <c r="E476" s="5"/>
      <c r="F476" s="5"/>
      <c r="G476" s="5"/>
      <c r="H476" s="5"/>
      <c r="I476" s="5"/>
      <c r="J476" s="5"/>
      <c r="K476" s="5"/>
      <c r="L476" s="5"/>
      <c r="M476" s="5"/>
      <c r="N476" s="5"/>
      <c r="O476" s="5"/>
      <c r="P476" s="5"/>
      <c r="Q476" s="5"/>
      <c r="R476" s="5"/>
      <c r="S476" s="5"/>
      <c r="T476" s="5"/>
      <c r="U476" s="5"/>
      <c r="V476" s="5"/>
      <c r="Y476" s="5"/>
      <c r="Z476" s="5"/>
      <c r="AA476" s="5"/>
      <c r="AB476" s="5"/>
      <c r="AC476" s="5"/>
      <c r="AD476" s="5"/>
      <c r="AE476" s="5"/>
      <c r="AF476" s="5"/>
      <c r="AG476" s="5"/>
      <c r="AH476" s="5"/>
      <c r="AI476" s="5"/>
      <c r="AJ476" s="5"/>
      <c r="AK476" s="5"/>
      <c r="AL476" s="5"/>
      <c r="AM476" s="5"/>
      <c r="AN476" s="5"/>
    </row>
    <row r="477" spans="1:40" ht="18.75" customHeight="1">
      <c r="A477" s="5"/>
      <c r="B477" s="5"/>
      <c r="C477" s="5"/>
      <c r="D477" s="5"/>
      <c r="E477" s="5"/>
      <c r="F477" s="5"/>
      <c r="G477" s="5"/>
      <c r="H477" s="5"/>
      <c r="I477" s="5"/>
      <c r="J477" s="5"/>
      <c r="K477" s="5"/>
      <c r="L477" s="5"/>
      <c r="M477" s="5"/>
      <c r="N477" s="5"/>
      <c r="O477" s="5"/>
      <c r="P477" s="5"/>
      <c r="Q477" s="5"/>
      <c r="R477" s="5"/>
      <c r="S477" s="5"/>
      <c r="T477" s="5"/>
      <c r="U477" s="5"/>
      <c r="V477" s="5"/>
      <c r="Y477" s="5"/>
      <c r="Z477" s="5"/>
      <c r="AA477" s="5"/>
      <c r="AB477" s="5"/>
      <c r="AC477" s="5"/>
      <c r="AD477" s="5"/>
      <c r="AE477" s="5"/>
      <c r="AF477" s="5"/>
      <c r="AG477" s="5"/>
      <c r="AH477" s="5"/>
      <c r="AI477" s="5"/>
      <c r="AJ477" s="5"/>
      <c r="AK477" s="5"/>
      <c r="AL477" s="5"/>
      <c r="AM477" s="5"/>
      <c r="AN477" s="5"/>
    </row>
    <row r="478" spans="1:40" ht="18.75" customHeight="1">
      <c r="A478" s="5"/>
      <c r="B478" s="5"/>
      <c r="C478" s="5"/>
      <c r="D478" s="5"/>
      <c r="E478" s="5"/>
      <c r="F478" s="5"/>
      <c r="G478" s="5"/>
      <c r="H478" s="5"/>
      <c r="I478" s="5"/>
      <c r="J478" s="5"/>
      <c r="K478" s="5"/>
      <c r="L478" s="5"/>
      <c r="M478" s="5"/>
      <c r="N478" s="5"/>
      <c r="O478" s="5"/>
      <c r="P478" s="5"/>
      <c r="Q478" s="5"/>
      <c r="R478" s="5"/>
      <c r="S478" s="5"/>
      <c r="T478" s="5"/>
      <c r="U478" s="5"/>
      <c r="V478" s="5"/>
      <c r="Y478" s="5"/>
      <c r="Z478" s="5"/>
      <c r="AA478" s="5"/>
      <c r="AB478" s="5"/>
      <c r="AC478" s="5"/>
      <c r="AD478" s="5"/>
      <c r="AE478" s="5"/>
      <c r="AF478" s="5"/>
      <c r="AG478" s="5"/>
      <c r="AH478" s="5"/>
      <c r="AI478" s="5"/>
      <c r="AJ478" s="5"/>
      <c r="AK478" s="5"/>
      <c r="AL478" s="5"/>
      <c r="AM478" s="5"/>
      <c r="AN478" s="5"/>
    </row>
    <row r="479" spans="1:40" ht="18.75" customHeight="1">
      <c r="A479" s="5"/>
      <c r="B479" s="5"/>
      <c r="C479" s="5"/>
      <c r="D479" s="5"/>
      <c r="E479" s="5"/>
      <c r="F479" s="5"/>
      <c r="G479" s="5"/>
      <c r="H479" s="5"/>
      <c r="I479" s="5"/>
      <c r="J479" s="5"/>
      <c r="K479" s="5"/>
      <c r="L479" s="5"/>
      <c r="M479" s="5"/>
      <c r="N479" s="5"/>
      <c r="O479" s="5"/>
      <c r="P479" s="5"/>
      <c r="Q479" s="5"/>
      <c r="R479" s="5"/>
      <c r="S479" s="5"/>
      <c r="T479" s="5"/>
      <c r="U479" s="5"/>
      <c r="V479" s="5"/>
      <c r="Y479" s="5"/>
      <c r="Z479" s="5"/>
      <c r="AA479" s="5"/>
      <c r="AB479" s="5"/>
      <c r="AC479" s="5"/>
      <c r="AD479" s="5"/>
      <c r="AE479" s="5"/>
      <c r="AF479" s="5"/>
      <c r="AG479" s="5"/>
      <c r="AH479" s="5"/>
      <c r="AI479" s="5"/>
      <c r="AJ479" s="5"/>
      <c r="AK479" s="5"/>
      <c r="AL479" s="5"/>
      <c r="AM479" s="5"/>
      <c r="AN479" s="5"/>
    </row>
    <row r="480" spans="1:40" ht="18.75" customHeight="1">
      <c r="A480" s="5"/>
      <c r="B480" s="5"/>
      <c r="C480" s="5"/>
      <c r="D480" s="5"/>
      <c r="E480" s="5"/>
      <c r="F480" s="5"/>
      <c r="G480" s="5"/>
      <c r="H480" s="5"/>
      <c r="I480" s="5"/>
      <c r="J480" s="5"/>
      <c r="K480" s="5"/>
      <c r="L480" s="5"/>
      <c r="M480" s="5"/>
      <c r="N480" s="5"/>
      <c r="O480" s="5"/>
      <c r="P480" s="5"/>
      <c r="Q480" s="5"/>
      <c r="R480" s="5"/>
      <c r="S480" s="5"/>
      <c r="T480" s="5"/>
      <c r="U480" s="5"/>
      <c r="V480" s="5"/>
      <c r="Y480" s="5"/>
      <c r="Z480" s="5"/>
      <c r="AA480" s="5"/>
      <c r="AB480" s="5"/>
      <c r="AC480" s="5"/>
      <c r="AD480" s="5"/>
      <c r="AE480" s="5"/>
      <c r="AF480" s="5"/>
      <c r="AG480" s="5"/>
      <c r="AH480" s="5"/>
      <c r="AI480" s="5"/>
      <c r="AJ480" s="5"/>
      <c r="AK480" s="5"/>
      <c r="AL480" s="5"/>
      <c r="AM480" s="5"/>
      <c r="AN480" s="5"/>
    </row>
    <row r="481" spans="1:40" ht="18.75" customHeight="1">
      <c r="A481" s="5"/>
      <c r="B481" s="5"/>
      <c r="C481" s="5"/>
      <c r="D481" s="5"/>
      <c r="E481" s="5"/>
      <c r="F481" s="5"/>
      <c r="G481" s="5"/>
      <c r="H481" s="5"/>
      <c r="I481" s="5"/>
      <c r="J481" s="5"/>
      <c r="K481" s="5"/>
      <c r="L481" s="5"/>
      <c r="M481" s="5"/>
      <c r="N481" s="5"/>
      <c r="O481" s="5"/>
      <c r="P481" s="5"/>
      <c r="Q481" s="5"/>
      <c r="R481" s="5"/>
      <c r="S481" s="5"/>
      <c r="T481" s="5"/>
      <c r="U481" s="5"/>
      <c r="V481" s="5"/>
      <c r="Y481" s="5"/>
      <c r="Z481" s="5"/>
      <c r="AA481" s="5"/>
      <c r="AB481" s="5"/>
      <c r="AC481" s="5"/>
      <c r="AD481" s="5"/>
      <c r="AE481" s="5"/>
      <c r="AF481" s="5"/>
      <c r="AG481" s="5"/>
      <c r="AH481" s="5"/>
      <c r="AI481" s="5"/>
      <c r="AJ481" s="5"/>
      <c r="AK481" s="5"/>
      <c r="AL481" s="5"/>
      <c r="AM481" s="5"/>
      <c r="AN481" s="5"/>
    </row>
    <row r="482" spans="1:40" ht="18.75" customHeight="1">
      <c r="A482" s="5"/>
      <c r="B482" s="5"/>
      <c r="C482" s="5"/>
      <c r="D482" s="5"/>
      <c r="E482" s="5"/>
      <c r="F482" s="5"/>
      <c r="G482" s="5"/>
      <c r="H482" s="5"/>
      <c r="I482" s="5"/>
      <c r="J482" s="5"/>
      <c r="K482" s="5"/>
      <c r="L482" s="5"/>
      <c r="M482" s="5"/>
      <c r="N482" s="5"/>
      <c r="O482" s="5"/>
      <c r="P482" s="5"/>
      <c r="Q482" s="5"/>
      <c r="R482" s="5"/>
      <c r="S482" s="5"/>
      <c r="T482" s="5"/>
      <c r="U482" s="5"/>
      <c r="V482" s="5"/>
      <c r="Y482" s="5"/>
      <c r="Z482" s="5"/>
      <c r="AA482" s="5"/>
      <c r="AB482" s="5"/>
      <c r="AC482" s="5"/>
      <c r="AD482" s="5"/>
      <c r="AE482" s="5"/>
      <c r="AF482" s="5"/>
      <c r="AG482" s="5"/>
      <c r="AH482" s="5"/>
      <c r="AI482" s="5"/>
      <c r="AJ482" s="5"/>
      <c r="AK482" s="5"/>
      <c r="AL482" s="5"/>
      <c r="AM482" s="5"/>
      <c r="AN482" s="5"/>
    </row>
    <row r="483" spans="1:40" ht="18.75" customHeight="1">
      <c r="A483" s="5"/>
      <c r="B483" s="5"/>
      <c r="C483" s="5"/>
      <c r="D483" s="5"/>
      <c r="E483" s="5"/>
      <c r="F483" s="5"/>
      <c r="G483" s="5"/>
      <c r="H483" s="5"/>
      <c r="I483" s="5"/>
      <c r="J483" s="5"/>
      <c r="K483" s="5"/>
      <c r="L483" s="5"/>
      <c r="M483" s="5"/>
      <c r="N483" s="5"/>
      <c r="O483" s="5"/>
      <c r="P483" s="5"/>
      <c r="Q483" s="5"/>
      <c r="R483" s="5"/>
      <c r="S483" s="5"/>
      <c r="T483" s="5"/>
      <c r="U483" s="5"/>
      <c r="V483" s="5"/>
      <c r="Y483" s="5"/>
      <c r="Z483" s="5"/>
      <c r="AA483" s="5"/>
      <c r="AB483" s="5"/>
      <c r="AC483" s="5"/>
      <c r="AD483" s="5"/>
      <c r="AE483" s="5"/>
      <c r="AF483" s="5"/>
      <c r="AG483" s="5"/>
      <c r="AH483" s="5"/>
      <c r="AI483" s="5"/>
      <c r="AJ483" s="5"/>
      <c r="AK483" s="5"/>
      <c r="AL483" s="5"/>
      <c r="AM483" s="5"/>
      <c r="AN483" s="5"/>
    </row>
    <row r="484" spans="1:40" ht="18.75" customHeight="1">
      <c r="A484" s="5"/>
      <c r="B484" s="5"/>
      <c r="C484" s="5"/>
      <c r="D484" s="5"/>
      <c r="E484" s="5"/>
      <c r="F484" s="5"/>
      <c r="G484" s="5"/>
      <c r="H484" s="5"/>
      <c r="I484" s="5"/>
      <c r="J484" s="5"/>
      <c r="K484" s="5"/>
      <c r="L484" s="5"/>
      <c r="M484" s="5"/>
      <c r="N484" s="5"/>
      <c r="O484" s="5"/>
      <c r="P484" s="5"/>
      <c r="Q484" s="5"/>
      <c r="R484" s="5"/>
      <c r="S484" s="5"/>
      <c r="T484" s="5"/>
      <c r="U484" s="5"/>
      <c r="V484" s="5"/>
      <c r="Y484" s="5"/>
      <c r="Z484" s="5"/>
      <c r="AA484" s="5"/>
      <c r="AB484" s="5"/>
      <c r="AC484" s="5"/>
      <c r="AD484" s="5"/>
      <c r="AE484" s="5"/>
      <c r="AF484" s="5"/>
      <c r="AG484" s="5"/>
      <c r="AH484" s="5"/>
      <c r="AI484" s="5"/>
      <c r="AJ484" s="5"/>
      <c r="AK484" s="5"/>
      <c r="AL484" s="5"/>
      <c r="AM484" s="5"/>
      <c r="AN484" s="5"/>
    </row>
    <row r="485" spans="1:40" ht="18.75" customHeight="1">
      <c r="A485" s="5"/>
      <c r="B485" s="5"/>
      <c r="C485" s="5"/>
      <c r="D485" s="5"/>
      <c r="E485" s="5"/>
      <c r="F485" s="5"/>
      <c r="G485" s="5"/>
      <c r="H485" s="5"/>
      <c r="I485" s="5"/>
      <c r="J485" s="5"/>
      <c r="K485" s="5"/>
      <c r="L485" s="5"/>
      <c r="M485" s="5"/>
      <c r="N485" s="5"/>
      <c r="O485" s="5"/>
      <c r="P485" s="5"/>
      <c r="Q485" s="5"/>
      <c r="R485" s="5"/>
      <c r="S485" s="5"/>
      <c r="T485" s="5"/>
      <c r="U485" s="5"/>
      <c r="V485" s="5"/>
      <c r="Y485" s="5"/>
      <c r="Z485" s="5"/>
      <c r="AA485" s="5"/>
      <c r="AB485" s="5"/>
      <c r="AC485" s="5"/>
      <c r="AD485" s="5"/>
      <c r="AE485" s="5"/>
      <c r="AF485" s="5"/>
      <c r="AG485" s="5"/>
      <c r="AH485" s="5"/>
      <c r="AI485" s="5"/>
      <c r="AJ485" s="5"/>
      <c r="AK485" s="5"/>
      <c r="AL485" s="5"/>
      <c r="AM485" s="5"/>
      <c r="AN485" s="5"/>
    </row>
    <row r="486" spans="1:40" ht="18.75" customHeight="1">
      <c r="A486" s="5"/>
      <c r="B486" s="5"/>
      <c r="C486" s="5"/>
      <c r="D486" s="5"/>
      <c r="E486" s="5"/>
      <c r="F486" s="5"/>
      <c r="G486" s="5"/>
      <c r="H486" s="5"/>
      <c r="I486" s="5"/>
      <c r="J486" s="5"/>
      <c r="K486" s="5"/>
      <c r="L486" s="5"/>
      <c r="M486" s="5"/>
      <c r="N486" s="5"/>
      <c r="O486" s="5"/>
      <c r="P486" s="5"/>
      <c r="Q486" s="5"/>
      <c r="R486" s="5"/>
      <c r="S486" s="5"/>
      <c r="T486" s="5"/>
      <c r="U486" s="5"/>
      <c r="V486" s="5"/>
      <c r="Y486" s="5"/>
      <c r="Z486" s="5"/>
      <c r="AA486" s="5"/>
      <c r="AB486" s="5"/>
      <c r="AC486" s="5"/>
      <c r="AD486" s="5"/>
      <c r="AE486" s="5"/>
      <c r="AF486" s="5"/>
      <c r="AG486" s="5"/>
      <c r="AH486" s="5"/>
      <c r="AI486" s="5"/>
      <c r="AJ486" s="5"/>
      <c r="AK486" s="5"/>
      <c r="AL486" s="5"/>
      <c r="AM486" s="5"/>
      <c r="AN486" s="5"/>
    </row>
    <row r="487" spans="1:40" ht="18.75" customHeight="1">
      <c r="A487" s="5"/>
      <c r="B487" s="5"/>
      <c r="C487" s="5"/>
      <c r="D487" s="5"/>
      <c r="E487" s="5"/>
      <c r="F487" s="5"/>
      <c r="G487" s="5"/>
      <c r="H487" s="5"/>
      <c r="I487" s="5"/>
      <c r="J487" s="5"/>
      <c r="K487" s="5"/>
      <c r="L487" s="5"/>
      <c r="M487" s="5"/>
      <c r="N487" s="5"/>
      <c r="O487" s="5"/>
      <c r="P487" s="5"/>
      <c r="Q487" s="5"/>
      <c r="R487" s="5"/>
      <c r="S487" s="5"/>
      <c r="T487" s="5"/>
      <c r="U487" s="5"/>
      <c r="V487" s="5"/>
      <c r="Y487" s="5"/>
      <c r="Z487" s="5"/>
      <c r="AA487" s="5"/>
      <c r="AB487" s="5"/>
      <c r="AC487" s="5"/>
      <c r="AD487" s="5"/>
      <c r="AE487" s="5"/>
      <c r="AF487" s="5"/>
      <c r="AG487" s="5"/>
      <c r="AH487" s="5"/>
      <c r="AI487" s="5"/>
      <c r="AJ487" s="5"/>
      <c r="AK487" s="5"/>
      <c r="AL487" s="5"/>
      <c r="AM487" s="5"/>
      <c r="AN487" s="5"/>
    </row>
    <row r="488" spans="1:40" ht="18.75" customHeight="1">
      <c r="A488" s="5"/>
      <c r="B488" s="5"/>
      <c r="C488" s="5"/>
      <c r="D488" s="5"/>
      <c r="E488" s="5"/>
      <c r="F488" s="5"/>
      <c r="G488" s="5"/>
      <c r="H488" s="5"/>
      <c r="I488" s="5"/>
      <c r="J488" s="5"/>
      <c r="K488" s="5"/>
      <c r="L488" s="5"/>
      <c r="M488" s="5"/>
      <c r="N488" s="5"/>
      <c r="O488" s="5"/>
      <c r="P488" s="5"/>
      <c r="Q488" s="5"/>
      <c r="R488" s="5"/>
      <c r="S488" s="5"/>
      <c r="T488" s="5"/>
      <c r="U488" s="5"/>
      <c r="V488" s="5"/>
      <c r="Y488" s="5"/>
      <c r="Z488" s="5"/>
      <c r="AA488" s="5"/>
      <c r="AB488" s="5"/>
      <c r="AC488" s="5"/>
      <c r="AD488" s="5"/>
      <c r="AE488" s="5"/>
      <c r="AF488" s="5"/>
      <c r="AG488" s="5"/>
      <c r="AH488" s="5"/>
      <c r="AI488" s="5"/>
      <c r="AJ488" s="5"/>
      <c r="AK488" s="5"/>
      <c r="AL488" s="5"/>
      <c r="AM488" s="5"/>
      <c r="AN488" s="5"/>
    </row>
    <row r="489" spans="1:40" ht="18.75" customHeight="1">
      <c r="A489" s="5"/>
      <c r="B489" s="5"/>
      <c r="C489" s="5"/>
      <c r="D489" s="5"/>
      <c r="E489" s="5"/>
      <c r="F489" s="5"/>
      <c r="G489" s="5"/>
      <c r="H489" s="5"/>
      <c r="I489" s="5"/>
      <c r="J489" s="5"/>
      <c r="K489" s="5"/>
      <c r="L489" s="5"/>
      <c r="M489" s="5"/>
      <c r="N489" s="5"/>
      <c r="O489" s="5"/>
      <c r="P489" s="5"/>
      <c r="Q489" s="5"/>
      <c r="R489" s="5"/>
      <c r="S489" s="5"/>
      <c r="T489" s="5"/>
      <c r="U489" s="5"/>
      <c r="V489" s="5"/>
      <c r="Y489" s="5"/>
      <c r="Z489" s="5"/>
      <c r="AA489" s="5"/>
      <c r="AB489" s="5"/>
      <c r="AC489" s="5"/>
      <c r="AD489" s="5"/>
      <c r="AE489" s="5"/>
      <c r="AF489" s="5"/>
      <c r="AG489" s="5"/>
      <c r="AH489" s="5"/>
      <c r="AI489" s="5"/>
      <c r="AJ489" s="5"/>
      <c r="AK489" s="5"/>
      <c r="AL489" s="5"/>
      <c r="AM489" s="5"/>
      <c r="AN489" s="5"/>
    </row>
    <row r="490" spans="1:40" ht="18.75" customHeight="1">
      <c r="A490" s="5"/>
      <c r="B490" s="5"/>
      <c r="C490" s="5"/>
      <c r="D490" s="5"/>
      <c r="E490" s="5"/>
      <c r="F490" s="5"/>
      <c r="G490" s="5"/>
      <c r="H490" s="5"/>
      <c r="I490" s="5"/>
      <c r="J490" s="5"/>
      <c r="K490" s="5"/>
      <c r="L490" s="5"/>
      <c r="M490" s="5"/>
      <c r="N490" s="5"/>
      <c r="O490" s="5"/>
      <c r="P490" s="5"/>
      <c r="Q490" s="5"/>
      <c r="R490" s="5"/>
      <c r="S490" s="5"/>
      <c r="T490" s="5"/>
      <c r="U490" s="5"/>
      <c r="V490" s="5"/>
      <c r="Y490" s="5"/>
      <c r="Z490" s="5"/>
      <c r="AA490" s="5"/>
      <c r="AB490" s="5"/>
      <c r="AC490" s="5"/>
      <c r="AD490" s="5"/>
      <c r="AE490" s="5"/>
      <c r="AF490" s="5"/>
      <c r="AG490" s="5"/>
      <c r="AH490" s="5"/>
      <c r="AI490" s="5"/>
      <c r="AJ490" s="5"/>
      <c r="AK490" s="5"/>
      <c r="AL490" s="5"/>
      <c r="AM490" s="5"/>
      <c r="AN490" s="5"/>
    </row>
    <row r="491" spans="1:40" ht="18.75" customHeight="1">
      <c r="A491" s="5"/>
      <c r="B491" s="5"/>
      <c r="C491" s="5"/>
      <c r="D491" s="5"/>
      <c r="E491" s="5"/>
      <c r="F491" s="5"/>
      <c r="G491" s="5"/>
      <c r="H491" s="5"/>
      <c r="I491" s="5"/>
      <c r="J491" s="5"/>
      <c r="K491" s="5"/>
      <c r="L491" s="5"/>
      <c r="M491" s="5"/>
      <c r="N491" s="5"/>
      <c r="O491" s="5"/>
      <c r="P491" s="5"/>
      <c r="Q491" s="5"/>
      <c r="R491" s="5"/>
      <c r="S491" s="5"/>
      <c r="T491" s="5"/>
      <c r="U491" s="5"/>
      <c r="V491" s="5"/>
      <c r="Y491" s="5"/>
      <c r="Z491" s="5"/>
      <c r="AA491" s="5"/>
      <c r="AB491" s="5"/>
      <c r="AC491" s="5"/>
      <c r="AD491" s="5"/>
      <c r="AE491" s="5"/>
      <c r="AF491" s="5"/>
      <c r="AG491" s="5"/>
      <c r="AH491" s="5"/>
      <c r="AI491" s="5"/>
      <c r="AJ491" s="5"/>
      <c r="AK491" s="5"/>
      <c r="AL491" s="5"/>
      <c r="AM491" s="5"/>
      <c r="AN491" s="5"/>
    </row>
    <row r="492" spans="1:40" ht="18.75" customHeight="1">
      <c r="A492" s="5"/>
      <c r="B492" s="5"/>
      <c r="C492" s="5"/>
      <c r="D492" s="5"/>
      <c r="E492" s="5"/>
      <c r="F492" s="5"/>
      <c r="G492" s="5"/>
      <c r="H492" s="5"/>
      <c r="I492" s="5"/>
      <c r="J492" s="5"/>
      <c r="K492" s="5"/>
      <c r="L492" s="5"/>
      <c r="M492" s="5"/>
      <c r="N492" s="5"/>
      <c r="O492" s="5"/>
      <c r="P492" s="5"/>
      <c r="Q492" s="5"/>
      <c r="R492" s="5"/>
      <c r="S492" s="5"/>
      <c r="T492" s="5"/>
      <c r="U492" s="5"/>
      <c r="V492" s="5"/>
      <c r="Y492" s="5"/>
      <c r="Z492" s="5"/>
      <c r="AA492" s="5"/>
      <c r="AB492" s="5"/>
      <c r="AC492" s="5"/>
      <c r="AD492" s="5"/>
      <c r="AE492" s="5"/>
      <c r="AF492" s="5"/>
      <c r="AG492" s="5"/>
      <c r="AH492" s="5"/>
      <c r="AI492" s="5"/>
      <c r="AJ492" s="5"/>
      <c r="AK492" s="5"/>
      <c r="AL492" s="5"/>
      <c r="AM492" s="5"/>
      <c r="AN492" s="5"/>
    </row>
    <row r="493" spans="1:40" ht="18.75" customHeight="1">
      <c r="A493" s="5"/>
      <c r="B493" s="5"/>
      <c r="C493" s="5"/>
      <c r="D493" s="5"/>
      <c r="E493" s="5"/>
      <c r="F493" s="5"/>
      <c r="G493" s="5"/>
      <c r="H493" s="5"/>
      <c r="I493" s="5"/>
      <c r="J493" s="5"/>
      <c r="K493" s="5"/>
      <c r="L493" s="5"/>
      <c r="M493" s="5"/>
      <c r="N493" s="5"/>
      <c r="O493" s="5"/>
      <c r="P493" s="5"/>
      <c r="Q493" s="5"/>
      <c r="R493" s="5"/>
      <c r="S493" s="5"/>
      <c r="T493" s="5"/>
      <c r="U493" s="5"/>
      <c r="V493" s="5"/>
      <c r="Y493" s="5"/>
      <c r="Z493" s="5"/>
      <c r="AA493" s="5"/>
      <c r="AB493" s="5"/>
      <c r="AC493" s="5"/>
      <c r="AD493" s="5"/>
      <c r="AE493" s="5"/>
      <c r="AF493" s="5"/>
      <c r="AG493" s="5"/>
      <c r="AH493" s="5"/>
      <c r="AI493" s="5"/>
      <c r="AJ493" s="5"/>
      <c r="AK493" s="5"/>
      <c r="AL493" s="5"/>
      <c r="AM493" s="5"/>
      <c r="AN493" s="5"/>
    </row>
    <row r="494" spans="1:40" ht="18.75" customHeight="1">
      <c r="A494" s="5"/>
      <c r="B494" s="5"/>
      <c r="C494" s="5"/>
      <c r="D494" s="5"/>
      <c r="E494" s="5"/>
      <c r="F494" s="5"/>
      <c r="G494" s="5"/>
      <c r="H494" s="5"/>
      <c r="I494" s="5"/>
      <c r="J494" s="5"/>
      <c r="K494" s="5"/>
      <c r="L494" s="5"/>
      <c r="M494" s="5"/>
      <c r="N494" s="5"/>
      <c r="O494" s="5"/>
      <c r="P494" s="5"/>
      <c r="Q494" s="5"/>
      <c r="R494" s="5"/>
      <c r="S494" s="5"/>
      <c r="T494" s="5"/>
      <c r="U494" s="5"/>
      <c r="V494" s="5"/>
      <c r="Y494" s="5"/>
      <c r="Z494" s="5"/>
      <c r="AA494" s="5"/>
      <c r="AB494" s="5"/>
      <c r="AC494" s="5"/>
      <c r="AD494" s="5"/>
      <c r="AE494" s="5"/>
      <c r="AF494" s="5"/>
      <c r="AG494" s="5"/>
      <c r="AH494" s="5"/>
      <c r="AI494" s="5"/>
      <c r="AJ494" s="5"/>
      <c r="AK494" s="5"/>
      <c r="AL494" s="5"/>
      <c r="AM494" s="5"/>
      <c r="AN494" s="5"/>
    </row>
    <row r="495" spans="1:40" ht="18.75" customHeight="1">
      <c r="A495" s="5"/>
      <c r="B495" s="5"/>
      <c r="C495" s="5"/>
      <c r="D495" s="5"/>
      <c r="E495" s="5"/>
      <c r="F495" s="5"/>
      <c r="G495" s="5"/>
      <c r="H495" s="5"/>
      <c r="I495" s="5"/>
      <c r="J495" s="5"/>
      <c r="K495" s="5"/>
      <c r="L495" s="5"/>
      <c r="M495" s="5"/>
      <c r="N495" s="5"/>
      <c r="O495" s="5"/>
      <c r="P495" s="5"/>
      <c r="Q495" s="5"/>
      <c r="R495" s="5"/>
      <c r="S495" s="5"/>
      <c r="T495" s="5"/>
      <c r="U495" s="5"/>
      <c r="V495" s="5"/>
      <c r="Y495" s="5"/>
      <c r="Z495" s="5"/>
      <c r="AA495" s="5"/>
      <c r="AB495" s="5"/>
      <c r="AC495" s="5"/>
      <c r="AD495" s="5"/>
      <c r="AE495" s="5"/>
      <c r="AF495" s="5"/>
      <c r="AG495" s="5"/>
      <c r="AH495" s="5"/>
      <c r="AI495" s="5"/>
      <c r="AJ495" s="5"/>
      <c r="AK495" s="5"/>
      <c r="AL495" s="5"/>
      <c r="AM495" s="5"/>
      <c r="AN495" s="5"/>
    </row>
    <row r="496" spans="1:40" ht="18.75" customHeight="1">
      <c r="A496" s="5"/>
      <c r="B496" s="5"/>
      <c r="C496" s="5"/>
      <c r="D496" s="5"/>
      <c r="E496" s="5"/>
      <c r="F496" s="5"/>
      <c r="G496" s="5"/>
      <c r="H496" s="5"/>
      <c r="I496" s="5"/>
      <c r="J496" s="5"/>
      <c r="K496" s="5"/>
      <c r="L496" s="5"/>
      <c r="M496" s="5"/>
      <c r="N496" s="5"/>
      <c r="O496" s="5"/>
      <c r="P496" s="5"/>
      <c r="Q496" s="5"/>
      <c r="R496" s="5"/>
      <c r="S496" s="5"/>
      <c r="T496" s="5"/>
      <c r="U496" s="5"/>
      <c r="V496" s="5"/>
      <c r="Y496" s="5"/>
      <c r="Z496" s="5"/>
      <c r="AA496" s="5"/>
      <c r="AB496" s="5"/>
      <c r="AC496" s="5"/>
      <c r="AD496" s="5"/>
      <c r="AE496" s="5"/>
      <c r="AF496" s="5"/>
      <c r="AG496" s="5"/>
      <c r="AH496" s="5"/>
      <c r="AI496" s="5"/>
      <c r="AJ496" s="5"/>
      <c r="AK496" s="5"/>
      <c r="AL496" s="5"/>
      <c r="AM496" s="5"/>
      <c r="AN496" s="5"/>
    </row>
    <row r="497" spans="1:40" ht="18.75" customHeight="1">
      <c r="A497" s="5"/>
      <c r="B497" s="5"/>
      <c r="C497" s="5"/>
      <c r="D497" s="5"/>
      <c r="E497" s="5"/>
      <c r="F497" s="5"/>
      <c r="G497" s="5"/>
      <c r="H497" s="5"/>
      <c r="I497" s="5"/>
      <c r="J497" s="5"/>
      <c r="K497" s="5"/>
      <c r="L497" s="5"/>
      <c r="M497" s="5"/>
      <c r="N497" s="5"/>
      <c r="O497" s="5"/>
      <c r="P497" s="5"/>
      <c r="Q497" s="5"/>
      <c r="R497" s="5"/>
      <c r="S497" s="5"/>
      <c r="T497" s="5"/>
      <c r="U497" s="5"/>
      <c r="V497" s="5"/>
      <c r="Y497" s="5"/>
      <c r="Z497" s="5"/>
      <c r="AA497" s="5"/>
      <c r="AB497" s="5"/>
      <c r="AC497" s="5"/>
      <c r="AD497" s="5"/>
      <c r="AE497" s="5"/>
      <c r="AF497" s="5"/>
      <c r="AG497" s="5"/>
      <c r="AH497" s="5"/>
      <c r="AI497" s="5"/>
      <c r="AJ497" s="5"/>
      <c r="AK497" s="5"/>
      <c r="AL497" s="5"/>
      <c r="AM497" s="5"/>
      <c r="AN497" s="5"/>
    </row>
    <row r="498" spans="1:40" ht="18.75" customHeight="1">
      <c r="A498" s="5"/>
      <c r="B498" s="5"/>
      <c r="C498" s="5"/>
      <c r="D498" s="5"/>
      <c r="E498" s="5"/>
      <c r="F498" s="5"/>
      <c r="G498" s="5"/>
      <c r="H498" s="5"/>
      <c r="I498" s="5"/>
      <c r="J498" s="5"/>
      <c r="K498" s="5"/>
      <c r="L498" s="5"/>
      <c r="M498" s="5"/>
      <c r="N498" s="5"/>
      <c r="O498" s="5"/>
      <c r="P498" s="5"/>
      <c r="Q498" s="5"/>
      <c r="R498" s="5"/>
      <c r="S498" s="5"/>
      <c r="T498" s="5"/>
      <c r="U498" s="5"/>
      <c r="V498" s="5"/>
      <c r="Y498" s="5"/>
      <c r="Z498" s="5"/>
      <c r="AA498" s="5"/>
      <c r="AB498" s="5"/>
      <c r="AC498" s="5"/>
      <c r="AD498" s="5"/>
      <c r="AE498" s="5"/>
      <c r="AF498" s="5"/>
      <c r="AG498" s="5"/>
      <c r="AH498" s="5"/>
      <c r="AI498" s="5"/>
      <c r="AJ498" s="5"/>
      <c r="AK498" s="5"/>
      <c r="AL498" s="5"/>
      <c r="AM498" s="5"/>
      <c r="AN498" s="5"/>
    </row>
    <row r="499" spans="1:40" ht="18.75" customHeight="1">
      <c r="A499" s="5"/>
      <c r="B499" s="5"/>
      <c r="C499" s="5"/>
      <c r="D499" s="5"/>
      <c r="E499" s="5"/>
      <c r="F499" s="5"/>
      <c r="G499" s="5"/>
      <c r="H499" s="5"/>
      <c r="I499" s="5"/>
      <c r="J499" s="5"/>
      <c r="K499" s="5"/>
      <c r="L499" s="5"/>
      <c r="M499" s="5"/>
      <c r="N499" s="5"/>
      <c r="O499" s="5"/>
      <c r="P499" s="5"/>
      <c r="Q499" s="5"/>
      <c r="R499" s="5"/>
      <c r="S499" s="5"/>
      <c r="T499" s="5"/>
      <c r="U499" s="5"/>
      <c r="V499" s="5"/>
      <c r="Y499" s="5"/>
      <c r="Z499" s="5"/>
      <c r="AA499" s="5"/>
      <c r="AB499" s="5"/>
      <c r="AC499" s="5"/>
      <c r="AD499" s="5"/>
      <c r="AE499" s="5"/>
      <c r="AF499" s="5"/>
      <c r="AG499" s="5"/>
      <c r="AH499" s="5"/>
      <c r="AI499" s="5"/>
      <c r="AJ499" s="5"/>
      <c r="AK499" s="5"/>
      <c r="AL499" s="5"/>
      <c r="AM499" s="5"/>
      <c r="AN499" s="5"/>
    </row>
    <row r="500" spans="1:40" ht="18.75" customHeight="1">
      <c r="A500" s="5"/>
      <c r="B500" s="5"/>
      <c r="C500" s="5"/>
      <c r="D500" s="5"/>
      <c r="E500" s="5"/>
      <c r="F500" s="5"/>
      <c r="G500" s="5"/>
      <c r="H500" s="5"/>
      <c r="I500" s="5"/>
      <c r="J500" s="5"/>
      <c r="K500" s="5"/>
      <c r="L500" s="5"/>
      <c r="M500" s="5"/>
      <c r="N500" s="5"/>
      <c r="O500" s="5"/>
      <c r="P500" s="5"/>
      <c r="Q500" s="5"/>
      <c r="R500" s="5"/>
      <c r="S500" s="5"/>
      <c r="T500" s="5"/>
      <c r="U500" s="5"/>
      <c r="V500" s="5"/>
      <c r="Y500" s="5"/>
      <c r="Z500" s="5"/>
      <c r="AA500" s="5"/>
      <c r="AB500" s="5"/>
      <c r="AC500" s="5"/>
      <c r="AD500" s="5"/>
      <c r="AE500" s="5"/>
      <c r="AF500" s="5"/>
      <c r="AG500" s="5"/>
      <c r="AH500" s="5"/>
      <c r="AI500" s="5"/>
      <c r="AJ500" s="5"/>
      <c r="AK500" s="5"/>
      <c r="AL500" s="5"/>
      <c r="AM500" s="5"/>
      <c r="AN500" s="5"/>
    </row>
    <row r="501" spans="1:40" ht="18.75" customHeight="1">
      <c r="A501" s="5"/>
      <c r="B501" s="5"/>
      <c r="C501" s="5"/>
      <c r="D501" s="5"/>
      <c r="E501" s="5"/>
      <c r="F501" s="5"/>
      <c r="G501" s="5"/>
      <c r="H501" s="5"/>
      <c r="I501" s="5"/>
      <c r="J501" s="5"/>
      <c r="K501" s="5"/>
      <c r="L501" s="5"/>
      <c r="M501" s="5"/>
      <c r="N501" s="5"/>
      <c r="O501" s="5"/>
      <c r="P501" s="5"/>
      <c r="Q501" s="5"/>
      <c r="R501" s="5"/>
      <c r="S501" s="5"/>
      <c r="T501" s="5"/>
      <c r="U501" s="5"/>
      <c r="V501" s="5"/>
      <c r="Y501" s="5"/>
      <c r="Z501" s="5"/>
      <c r="AA501" s="5"/>
      <c r="AB501" s="5"/>
      <c r="AC501" s="5"/>
      <c r="AD501" s="5"/>
      <c r="AE501" s="5"/>
      <c r="AF501" s="5"/>
      <c r="AG501" s="5"/>
      <c r="AH501" s="5"/>
      <c r="AI501" s="5"/>
      <c r="AJ501" s="5"/>
      <c r="AK501" s="5"/>
      <c r="AL501" s="5"/>
      <c r="AM501" s="5"/>
      <c r="AN501" s="5"/>
    </row>
    <row r="502" spans="1:40" ht="18.75" customHeight="1">
      <c r="A502" s="5"/>
      <c r="B502" s="5"/>
      <c r="C502" s="5"/>
      <c r="D502" s="5"/>
      <c r="E502" s="5"/>
      <c r="F502" s="5"/>
      <c r="G502" s="5"/>
      <c r="H502" s="5"/>
      <c r="I502" s="5"/>
      <c r="J502" s="5"/>
      <c r="K502" s="5"/>
      <c r="L502" s="5"/>
      <c r="M502" s="5"/>
      <c r="N502" s="5"/>
      <c r="O502" s="5"/>
      <c r="P502" s="5"/>
      <c r="Q502" s="5"/>
      <c r="R502" s="5"/>
      <c r="S502" s="5"/>
      <c r="T502" s="5"/>
      <c r="U502" s="5"/>
      <c r="V502" s="5"/>
      <c r="Y502" s="5"/>
      <c r="Z502" s="5"/>
      <c r="AA502" s="5"/>
      <c r="AB502" s="5"/>
      <c r="AC502" s="5"/>
      <c r="AD502" s="5"/>
      <c r="AE502" s="5"/>
      <c r="AF502" s="5"/>
      <c r="AG502" s="5"/>
      <c r="AH502" s="5"/>
      <c r="AI502" s="5"/>
      <c r="AJ502" s="5"/>
      <c r="AK502" s="5"/>
      <c r="AL502" s="5"/>
      <c r="AM502" s="5"/>
      <c r="AN502" s="5"/>
    </row>
    <row r="503" spans="1:40" ht="18.75" customHeight="1">
      <c r="A503" s="5"/>
      <c r="B503" s="5"/>
      <c r="C503" s="5"/>
      <c r="D503" s="5"/>
      <c r="E503" s="5"/>
      <c r="F503" s="5"/>
      <c r="G503" s="5"/>
      <c r="H503" s="5"/>
      <c r="I503" s="5"/>
      <c r="J503" s="5"/>
      <c r="K503" s="5"/>
      <c r="L503" s="5"/>
      <c r="M503" s="5"/>
      <c r="N503" s="5"/>
      <c r="O503" s="5"/>
      <c r="P503" s="5"/>
      <c r="Q503" s="5"/>
      <c r="R503" s="5"/>
      <c r="S503" s="5"/>
      <c r="T503" s="5"/>
      <c r="U503" s="5"/>
      <c r="V503" s="5"/>
      <c r="Y503" s="5"/>
      <c r="Z503" s="5"/>
      <c r="AA503" s="5"/>
      <c r="AB503" s="5"/>
      <c r="AC503" s="5"/>
      <c r="AD503" s="5"/>
      <c r="AE503" s="5"/>
      <c r="AF503" s="5"/>
      <c r="AG503" s="5"/>
      <c r="AH503" s="5"/>
      <c r="AI503" s="5"/>
      <c r="AJ503" s="5"/>
      <c r="AK503" s="5"/>
      <c r="AL503" s="5"/>
      <c r="AM503" s="5"/>
      <c r="AN503" s="5"/>
    </row>
    <row r="504" spans="1:40" ht="18.75" customHeight="1">
      <c r="A504" s="5"/>
      <c r="B504" s="5"/>
      <c r="C504" s="5"/>
      <c r="D504" s="5"/>
      <c r="E504" s="5"/>
      <c r="F504" s="5"/>
      <c r="G504" s="5"/>
      <c r="H504" s="5"/>
      <c r="I504" s="5"/>
      <c r="J504" s="5"/>
      <c r="K504" s="5"/>
      <c r="L504" s="5"/>
      <c r="M504" s="5"/>
      <c r="N504" s="5"/>
      <c r="O504" s="5"/>
      <c r="P504" s="5"/>
      <c r="Q504" s="5"/>
      <c r="R504" s="5"/>
      <c r="S504" s="5"/>
      <c r="T504" s="5"/>
      <c r="U504" s="5"/>
      <c r="V504" s="5"/>
      <c r="Y504" s="5"/>
      <c r="Z504" s="5"/>
      <c r="AA504" s="5"/>
      <c r="AB504" s="5"/>
      <c r="AC504" s="5"/>
      <c r="AD504" s="5"/>
      <c r="AE504" s="5"/>
      <c r="AF504" s="5"/>
      <c r="AG504" s="5"/>
      <c r="AH504" s="5"/>
      <c r="AI504" s="5"/>
      <c r="AJ504" s="5"/>
      <c r="AK504" s="5"/>
      <c r="AL504" s="5"/>
      <c r="AM504" s="5"/>
      <c r="AN504" s="5"/>
    </row>
    <row r="505" spans="1:40" ht="18.75" customHeight="1">
      <c r="A505" s="5"/>
      <c r="B505" s="5"/>
      <c r="C505" s="5"/>
      <c r="D505" s="5"/>
      <c r="E505" s="5"/>
      <c r="F505" s="5"/>
      <c r="G505" s="5"/>
      <c r="H505" s="5"/>
      <c r="I505" s="5"/>
      <c r="J505" s="5"/>
      <c r="K505" s="5"/>
      <c r="L505" s="5"/>
      <c r="M505" s="5"/>
      <c r="N505" s="5"/>
      <c r="O505" s="5"/>
      <c r="P505" s="5"/>
      <c r="Q505" s="5"/>
      <c r="R505" s="5"/>
      <c r="S505" s="5"/>
      <c r="T505" s="5"/>
      <c r="U505" s="5"/>
      <c r="V505" s="5"/>
      <c r="Y505" s="5"/>
      <c r="Z505" s="5"/>
      <c r="AA505" s="5"/>
      <c r="AB505" s="5"/>
      <c r="AC505" s="5"/>
      <c r="AD505" s="5"/>
      <c r="AE505" s="5"/>
      <c r="AF505" s="5"/>
      <c r="AG505" s="5"/>
      <c r="AH505" s="5"/>
      <c r="AI505" s="5"/>
      <c r="AJ505" s="5"/>
      <c r="AK505" s="5"/>
      <c r="AL505" s="5"/>
      <c r="AM505" s="5"/>
      <c r="AN505" s="5"/>
    </row>
    <row r="506" spans="1:40" ht="18.75" customHeight="1">
      <c r="A506" s="5"/>
      <c r="B506" s="5"/>
      <c r="C506" s="5"/>
      <c r="D506" s="5"/>
      <c r="E506" s="5"/>
      <c r="F506" s="5"/>
      <c r="G506" s="5"/>
      <c r="H506" s="5"/>
      <c r="I506" s="5"/>
      <c r="J506" s="5"/>
      <c r="K506" s="5"/>
      <c r="L506" s="5"/>
      <c r="M506" s="5"/>
      <c r="N506" s="5"/>
      <c r="O506" s="5"/>
      <c r="P506" s="5"/>
      <c r="Q506" s="5"/>
      <c r="R506" s="5"/>
      <c r="S506" s="5"/>
      <c r="T506" s="5"/>
      <c r="U506" s="5"/>
      <c r="V506" s="5"/>
      <c r="Y506" s="5"/>
      <c r="Z506" s="5"/>
      <c r="AA506" s="5"/>
      <c r="AB506" s="5"/>
      <c r="AC506" s="5"/>
      <c r="AD506" s="5"/>
      <c r="AE506" s="5"/>
      <c r="AF506" s="5"/>
      <c r="AG506" s="5"/>
      <c r="AH506" s="5"/>
      <c r="AI506" s="5"/>
      <c r="AJ506" s="5"/>
      <c r="AK506" s="5"/>
      <c r="AL506" s="5"/>
      <c r="AM506" s="5"/>
      <c r="AN506" s="5"/>
    </row>
    <row r="507" spans="1:40" ht="18.75" customHeight="1">
      <c r="A507" s="5"/>
      <c r="B507" s="5"/>
      <c r="C507" s="5"/>
      <c r="D507" s="5"/>
      <c r="E507" s="5"/>
      <c r="F507" s="5"/>
      <c r="G507" s="5"/>
      <c r="H507" s="5"/>
      <c r="I507" s="5"/>
      <c r="J507" s="5"/>
      <c r="K507" s="5"/>
      <c r="L507" s="5"/>
      <c r="M507" s="5"/>
      <c r="N507" s="5"/>
      <c r="O507" s="5"/>
      <c r="P507" s="5"/>
      <c r="Q507" s="5"/>
      <c r="R507" s="5"/>
      <c r="S507" s="5"/>
      <c r="T507" s="5"/>
      <c r="U507" s="5"/>
      <c r="V507" s="5"/>
      <c r="Y507" s="5"/>
      <c r="Z507" s="5"/>
      <c r="AA507" s="5"/>
      <c r="AB507" s="5"/>
      <c r="AC507" s="5"/>
      <c r="AD507" s="5"/>
      <c r="AE507" s="5"/>
      <c r="AF507" s="5"/>
      <c r="AG507" s="5"/>
      <c r="AH507" s="5"/>
      <c r="AI507" s="5"/>
      <c r="AJ507" s="5"/>
      <c r="AK507" s="5"/>
      <c r="AL507" s="5"/>
      <c r="AM507" s="5"/>
      <c r="AN507" s="5"/>
    </row>
    <row r="508" spans="1:40" ht="18.75" customHeight="1">
      <c r="A508" s="5"/>
      <c r="B508" s="5"/>
      <c r="C508" s="5"/>
      <c r="D508" s="5"/>
      <c r="E508" s="5"/>
      <c r="F508" s="5"/>
      <c r="G508" s="5"/>
      <c r="H508" s="5"/>
      <c r="I508" s="5"/>
      <c r="J508" s="5"/>
      <c r="K508" s="5"/>
      <c r="L508" s="5"/>
      <c r="M508" s="5"/>
      <c r="N508" s="5"/>
      <c r="O508" s="5"/>
      <c r="P508" s="5"/>
      <c r="Q508" s="5"/>
      <c r="R508" s="5"/>
      <c r="S508" s="5"/>
      <c r="T508" s="5"/>
      <c r="U508" s="5"/>
      <c r="V508" s="5"/>
      <c r="Y508" s="5"/>
      <c r="Z508" s="5"/>
      <c r="AA508" s="5"/>
      <c r="AB508" s="5"/>
      <c r="AC508" s="5"/>
      <c r="AD508" s="5"/>
      <c r="AE508" s="5"/>
      <c r="AF508" s="5"/>
      <c r="AG508" s="5"/>
      <c r="AH508" s="5"/>
      <c r="AI508" s="5"/>
      <c r="AJ508" s="5"/>
      <c r="AK508" s="5"/>
      <c r="AL508" s="5"/>
      <c r="AM508" s="5"/>
      <c r="AN508" s="5"/>
    </row>
    <row r="509" spans="1:40" ht="18.75" customHeight="1">
      <c r="A509" s="5"/>
      <c r="B509" s="5"/>
      <c r="C509" s="5"/>
      <c r="D509" s="5"/>
      <c r="E509" s="5"/>
      <c r="F509" s="5"/>
      <c r="G509" s="5"/>
      <c r="H509" s="5"/>
      <c r="I509" s="5"/>
      <c r="J509" s="5"/>
      <c r="K509" s="5"/>
      <c r="L509" s="5"/>
      <c r="M509" s="5"/>
      <c r="N509" s="5"/>
      <c r="O509" s="5"/>
      <c r="P509" s="5"/>
      <c r="Q509" s="5"/>
      <c r="R509" s="5"/>
      <c r="S509" s="5"/>
      <c r="T509" s="5"/>
      <c r="U509" s="5"/>
      <c r="V509" s="5"/>
      <c r="Y509" s="5"/>
      <c r="Z509" s="5"/>
      <c r="AA509" s="5"/>
      <c r="AB509" s="5"/>
      <c r="AC509" s="5"/>
      <c r="AD509" s="5"/>
      <c r="AE509" s="5"/>
      <c r="AF509" s="5"/>
      <c r="AG509" s="5"/>
      <c r="AH509" s="5"/>
      <c r="AI509" s="5"/>
      <c r="AJ509" s="5"/>
      <c r="AK509" s="5"/>
      <c r="AL509" s="5"/>
      <c r="AM509" s="5"/>
      <c r="AN509" s="5"/>
    </row>
    <row r="510" spans="1:40" ht="18.75" customHeight="1">
      <c r="A510" s="5"/>
      <c r="B510" s="5"/>
      <c r="C510" s="5"/>
      <c r="D510" s="5"/>
      <c r="E510" s="5"/>
      <c r="F510" s="5"/>
      <c r="G510" s="5"/>
      <c r="H510" s="5"/>
      <c r="I510" s="5"/>
      <c r="J510" s="5"/>
      <c r="K510" s="5"/>
      <c r="L510" s="5"/>
      <c r="M510" s="5"/>
      <c r="N510" s="5"/>
      <c r="O510" s="5"/>
      <c r="P510" s="5"/>
      <c r="Q510" s="5"/>
      <c r="R510" s="5"/>
      <c r="S510" s="5"/>
      <c r="T510" s="5"/>
      <c r="U510" s="5"/>
      <c r="V510" s="5"/>
      <c r="Y510" s="5"/>
      <c r="Z510" s="5"/>
      <c r="AA510" s="5"/>
      <c r="AB510" s="5"/>
      <c r="AC510" s="5"/>
      <c r="AD510" s="5"/>
      <c r="AE510" s="5"/>
      <c r="AF510" s="5"/>
      <c r="AG510" s="5"/>
      <c r="AH510" s="5"/>
      <c r="AI510" s="5"/>
      <c r="AJ510" s="5"/>
      <c r="AK510" s="5"/>
      <c r="AL510" s="5"/>
      <c r="AM510" s="5"/>
      <c r="AN510" s="5"/>
    </row>
    <row r="511" spans="1:40" ht="18.75" customHeight="1">
      <c r="A511" s="5"/>
      <c r="B511" s="5"/>
      <c r="C511" s="5"/>
      <c r="D511" s="5"/>
      <c r="E511" s="5"/>
      <c r="F511" s="5"/>
      <c r="G511" s="5"/>
      <c r="H511" s="5"/>
      <c r="I511" s="5"/>
      <c r="J511" s="5"/>
      <c r="K511" s="5"/>
      <c r="L511" s="5"/>
      <c r="M511" s="5"/>
      <c r="N511" s="5"/>
      <c r="O511" s="5"/>
      <c r="P511" s="5"/>
      <c r="Q511" s="5"/>
      <c r="R511" s="5"/>
      <c r="S511" s="5"/>
      <c r="T511" s="5"/>
      <c r="U511" s="5"/>
      <c r="V511" s="5"/>
      <c r="Y511" s="5"/>
      <c r="Z511" s="5"/>
      <c r="AA511" s="5"/>
      <c r="AB511" s="5"/>
      <c r="AC511" s="5"/>
      <c r="AD511" s="5"/>
      <c r="AE511" s="5"/>
      <c r="AF511" s="5"/>
      <c r="AG511" s="5"/>
      <c r="AH511" s="5"/>
      <c r="AI511" s="5"/>
      <c r="AJ511" s="5"/>
      <c r="AK511" s="5"/>
      <c r="AL511" s="5"/>
      <c r="AM511" s="5"/>
      <c r="AN511" s="5"/>
    </row>
    <row r="512" spans="1:40" ht="18.75" customHeight="1">
      <c r="A512" s="5"/>
      <c r="B512" s="5"/>
      <c r="C512" s="5"/>
      <c r="D512" s="5"/>
      <c r="E512" s="5"/>
      <c r="F512" s="5"/>
      <c r="G512" s="5"/>
      <c r="H512" s="5"/>
      <c r="I512" s="5"/>
      <c r="J512" s="5"/>
      <c r="K512" s="5"/>
      <c r="L512" s="5"/>
      <c r="M512" s="5"/>
      <c r="N512" s="5"/>
      <c r="O512" s="5"/>
      <c r="P512" s="5"/>
      <c r="Q512" s="5"/>
      <c r="R512" s="5"/>
      <c r="S512" s="5"/>
      <c r="T512" s="5"/>
      <c r="U512" s="5"/>
      <c r="V512" s="5"/>
      <c r="Y512" s="5"/>
      <c r="Z512" s="5"/>
      <c r="AA512" s="5"/>
      <c r="AB512" s="5"/>
      <c r="AC512" s="5"/>
      <c r="AD512" s="5"/>
      <c r="AE512" s="5"/>
      <c r="AF512" s="5"/>
      <c r="AG512" s="5"/>
      <c r="AH512" s="5"/>
      <c r="AI512" s="5"/>
      <c r="AJ512" s="5"/>
      <c r="AK512" s="5"/>
      <c r="AL512" s="5"/>
      <c r="AM512" s="5"/>
      <c r="AN512" s="5"/>
    </row>
    <row r="513" spans="1:40" ht="18.75" customHeight="1">
      <c r="A513" s="5"/>
      <c r="B513" s="5"/>
      <c r="C513" s="5"/>
      <c r="D513" s="5"/>
      <c r="E513" s="5"/>
      <c r="F513" s="5"/>
      <c r="G513" s="5"/>
      <c r="H513" s="5"/>
      <c r="I513" s="5"/>
      <c r="J513" s="5"/>
      <c r="K513" s="5"/>
      <c r="L513" s="5"/>
      <c r="M513" s="5"/>
      <c r="N513" s="5"/>
      <c r="O513" s="5"/>
      <c r="P513" s="5"/>
      <c r="Q513" s="5"/>
      <c r="R513" s="5"/>
      <c r="S513" s="5"/>
      <c r="T513" s="5"/>
      <c r="U513" s="5"/>
      <c r="V513" s="5"/>
      <c r="Y513" s="5"/>
      <c r="Z513" s="5"/>
      <c r="AA513" s="5"/>
      <c r="AB513" s="5"/>
      <c r="AC513" s="5"/>
      <c r="AD513" s="5"/>
      <c r="AE513" s="5"/>
      <c r="AF513" s="5"/>
      <c r="AG513" s="5"/>
      <c r="AH513" s="5"/>
      <c r="AI513" s="5"/>
      <c r="AJ513" s="5"/>
      <c r="AK513" s="5"/>
      <c r="AL513" s="5"/>
      <c r="AM513" s="5"/>
      <c r="AN513" s="5"/>
    </row>
    <row r="514" spans="1:40" ht="18.75" customHeight="1">
      <c r="A514" s="5"/>
      <c r="B514" s="5"/>
      <c r="C514" s="5"/>
      <c r="D514" s="5"/>
      <c r="E514" s="5"/>
      <c r="F514" s="5"/>
      <c r="G514" s="5"/>
      <c r="H514" s="5"/>
      <c r="I514" s="5"/>
      <c r="J514" s="5"/>
      <c r="K514" s="5"/>
      <c r="L514" s="5"/>
      <c r="M514" s="5"/>
      <c r="N514" s="5"/>
      <c r="O514" s="5"/>
      <c r="P514" s="5"/>
      <c r="Q514" s="5"/>
      <c r="R514" s="5"/>
      <c r="S514" s="5"/>
      <c r="T514" s="5"/>
      <c r="U514" s="5"/>
      <c r="V514" s="5"/>
      <c r="Y514" s="5"/>
      <c r="Z514" s="5"/>
      <c r="AA514" s="5"/>
      <c r="AB514" s="5"/>
      <c r="AC514" s="5"/>
      <c r="AD514" s="5"/>
      <c r="AE514" s="5"/>
      <c r="AF514" s="5"/>
      <c r="AG514" s="5"/>
      <c r="AH514" s="5"/>
      <c r="AI514" s="5"/>
      <c r="AJ514" s="5"/>
      <c r="AK514" s="5"/>
      <c r="AL514" s="5"/>
      <c r="AM514" s="5"/>
      <c r="AN514" s="5"/>
    </row>
    <row r="515" spans="1:40" ht="18.75" customHeight="1">
      <c r="A515" s="5"/>
      <c r="B515" s="5"/>
      <c r="C515" s="5"/>
      <c r="D515" s="5"/>
      <c r="E515" s="5"/>
      <c r="F515" s="5"/>
      <c r="G515" s="5"/>
      <c r="H515" s="5"/>
      <c r="I515" s="5"/>
      <c r="J515" s="5"/>
      <c r="K515" s="5"/>
      <c r="L515" s="5"/>
      <c r="M515" s="5"/>
      <c r="N515" s="5"/>
      <c r="O515" s="5"/>
      <c r="P515" s="5"/>
      <c r="Q515" s="5"/>
      <c r="R515" s="5"/>
      <c r="S515" s="5"/>
      <c r="T515" s="5"/>
      <c r="U515" s="5"/>
      <c r="V515" s="5"/>
      <c r="Y515" s="5"/>
      <c r="Z515" s="5"/>
      <c r="AA515" s="5"/>
      <c r="AB515" s="5"/>
      <c r="AC515" s="5"/>
      <c r="AD515" s="5"/>
      <c r="AE515" s="5"/>
      <c r="AF515" s="5"/>
      <c r="AG515" s="5"/>
      <c r="AH515" s="5"/>
      <c r="AI515" s="5"/>
      <c r="AJ515" s="5"/>
      <c r="AK515" s="5"/>
      <c r="AL515" s="5"/>
      <c r="AM515" s="5"/>
      <c r="AN515" s="5"/>
    </row>
    <row r="516" spans="1:40" ht="18.75" customHeight="1">
      <c r="A516" s="5"/>
      <c r="B516" s="5"/>
      <c r="C516" s="5"/>
      <c r="D516" s="5"/>
      <c r="E516" s="5"/>
      <c r="F516" s="5"/>
      <c r="G516" s="5"/>
      <c r="H516" s="5"/>
      <c r="I516" s="5"/>
      <c r="J516" s="5"/>
      <c r="K516" s="5"/>
      <c r="L516" s="5"/>
      <c r="M516" s="5"/>
      <c r="N516" s="5"/>
      <c r="O516" s="5"/>
      <c r="P516" s="5"/>
      <c r="Q516" s="5"/>
      <c r="R516" s="5"/>
      <c r="S516" s="5"/>
      <c r="T516" s="5"/>
      <c r="U516" s="5"/>
      <c r="V516" s="5"/>
      <c r="Y516" s="5"/>
      <c r="Z516" s="5"/>
      <c r="AA516" s="5"/>
      <c r="AB516" s="5"/>
      <c r="AC516" s="5"/>
      <c r="AD516" s="5"/>
      <c r="AE516" s="5"/>
      <c r="AF516" s="5"/>
      <c r="AG516" s="5"/>
      <c r="AH516" s="5"/>
      <c r="AI516" s="5"/>
      <c r="AJ516" s="5"/>
      <c r="AK516" s="5"/>
      <c r="AL516" s="5"/>
      <c r="AM516" s="5"/>
      <c r="AN516" s="5"/>
    </row>
    <row r="517" spans="1:40" ht="18.75" customHeight="1">
      <c r="A517" s="5"/>
      <c r="B517" s="5"/>
      <c r="C517" s="5"/>
      <c r="D517" s="5"/>
      <c r="E517" s="5"/>
      <c r="F517" s="5"/>
      <c r="G517" s="5"/>
      <c r="H517" s="5"/>
      <c r="I517" s="5"/>
      <c r="J517" s="5"/>
      <c r="K517" s="5"/>
      <c r="L517" s="5"/>
      <c r="M517" s="5"/>
      <c r="N517" s="5"/>
      <c r="O517" s="5"/>
      <c r="P517" s="5"/>
      <c r="Q517" s="5"/>
      <c r="R517" s="5"/>
      <c r="S517" s="5"/>
      <c r="T517" s="5"/>
      <c r="U517" s="5"/>
      <c r="V517" s="5"/>
      <c r="Y517" s="5"/>
      <c r="Z517" s="5"/>
      <c r="AA517" s="5"/>
      <c r="AB517" s="5"/>
      <c r="AC517" s="5"/>
      <c r="AD517" s="5"/>
      <c r="AE517" s="5"/>
      <c r="AF517" s="5"/>
      <c r="AG517" s="5"/>
      <c r="AH517" s="5"/>
      <c r="AI517" s="5"/>
      <c r="AJ517" s="5"/>
      <c r="AK517" s="5"/>
      <c r="AL517" s="5"/>
      <c r="AM517" s="5"/>
      <c r="AN517" s="5"/>
    </row>
    <row r="518" spans="1:40" ht="18.75" customHeight="1">
      <c r="A518" s="5"/>
      <c r="B518" s="5"/>
      <c r="C518" s="5"/>
      <c r="D518" s="5"/>
      <c r="E518" s="5"/>
      <c r="F518" s="5"/>
      <c r="G518" s="5"/>
      <c r="H518" s="5"/>
      <c r="I518" s="5"/>
      <c r="J518" s="5"/>
      <c r="K518" s="5"/>
      <c r="L518" s="5"/>
      <c r="M518" s="5"/>
      <c r="N518" s="5"/>
      <c r="O518" s="5"/>
      <c r="P518" s="5"/>
      <c r="Q518" s="5"/>
      <c r="R518" s="5"/>
      <c r="S518" s="5"/>
      <c r="T518" s="5"/>
      <c r="U518" s="5"/>
      <c r="V518" s="5"/>
      <c r="Y518" s="5"/>
      <c r="Z518" s="5"/>
      <c r="AA518" s="5"/>
      <c r="AB518" s="5"/>
      <c r="AC518" s="5"/>
      <c r="AD518" s="5"/>
      <c r="AE518" s="5"/>
      <c r="AF518" s="5"/>
      <c r="AG518" s="5"/>
      <c r="AH518" s="5"/>
      <c r="AI518" s="5"/>
      <c r="AJ518" s="5"/>
      <c r="AK518" s="5"/>
      <c r="AL518" s="5"/>
      <c r="AM518" s="5"/>
      <c r="AN518" s="5"/>
    </row>
    <row r="519" spans="1:40" ht="18.75" customHeight="1">
      <c r="A519" s="5"/>
      <c r="B519" s="5"/>
      <c r="C519" s="5"/>
      <c r="D519" s="5"/>
      <c r="E519" s="5"/>
      <c r="F519" s="5"/>
      <c r="G519" s="5"/>
      <c r="H519" s="5"/>
      <c r="I519" s="5"/>
      <c r="J519" s="5"/>
      <c r="K519" s="5"/>
      <c r="L519" s="5"/>
      <c r="M519" s="5"/>
      <c r="N519" s="5"/>
      <c r="O519" s="5"/>
      <c r="P519" s="5"/>
      <c r="Q519" s="5"/>
      <c r="R519" s="5"/>
      <c r="S519" s="5"/>
      <c r="T519" s="5"/>
      <c r="U519" s="5"/>
      <c r="V519" s="5"/>
      <c r="Y519" s="5"/>
      <c r="Z519" s="5"/>
      <c r="AA519" s="5"/>
      <c r="AB519" s="5"/>
      <c r="AC519" s="5"/>
      <c r="AD519" s="5"/>
      <c r="AE519" s="5"/>
      <c r="AF519" s="5"/>
      <c r="AG519" s="5"/>
      <c r="AH519" s="5"/>
      <c r="AI519" s="5"/>
      <c r="AJ519" s="5"/>
      <c r="AK519" s="5"/>
      <c r="AL519" s="5"/>
      <c r="AM519" s="5"/>
      <c r="AN519" s="5"/>
    </row>
    <row r="520" spans="1:40" ht="18.75" customHeight="1">
      <c r="A520" s="5"/>
      <c r="B520" s="5"/>
      <c r="C520" s="5"/>
      <c r="D520" s="5"/>
      <c r="E520" s="5"/>
      <c r="F520" s="5"/>
      <c r="G520" s="5"/>
      <c r="H520" s="5"/>
      <c r="I520" s="5"/>
      <c r="J520" s="5"/>
      <c r="K520" s="5"/>
      <c r="L520" s="5"/>
      <c r="M520" s="5"/>
      <c r="N520" s="5"/>
      <c r="O520" s="5"/>
      <c r="P520" s="5"/>
      <c r="Q520" s="5"/>
      <c r="R520" s="5"/>
      <c r="S520" s="5"/>
      <c r="T520" s="5"/>
      <c r="U520" s="5"/>
      <c r="V520" s="5"/>
      <c r="Y520" s="5"/>
      <c r="Z520" s="5"/>
      <c r="AA520" s="5"/>
      <c r="AB520" s="5"/>
      <c r="AC520" s="5"/>
      <c r="AD520" s="5"/>
      <c r="AE520" s="5"/>
      <c r="AF520" s="5"/>
      <c r="AG520" s="5"/>
      <c r="AH520" s="5"/>
      <c r="AI520" s="5"/>
      <c r="AJ520" s="5"/>
      <c r="AK520" s="5"/>
      <c r="AL520" s="5"/>
      <c r="AM520" s="5"/>
      <c r="AN520" s="5"/>
    </row>
    <row r="521" spans="1:40" ht="18.75" customHeight="1">
      <c r="A521" s="5"/>
      <c r="B521" s="5"/>
      <c r="C521" s="5"/>
      <c r="D521" s="5"/>
      <c r="E521" s="5"/>
      <c r="F521" s="5"/>
      <c r="G521" s="5"/>
      <c r="H521" s="5"/>
      <c r="I521" s="5"/>
      <c r="J521" s="5"/>
      <c r="K521" s="5"/>
      <c r="L521" s="5"/>
      <c r="M521" s="5"/>
      <c r="N521" s="5"/>
      <c r="O521" s="5"/>
      <c r="P521" s="5"/>
      <c r="Q521" s="5"/>
      <c r="R521" s="5"/>
      <c r="S521" s="5"/>
      <c r="T521" s="5"/>
      <c r="U521" s="5"/>
      <c r="V521" s="5"/>
      <c r="Y521" s="5"/>
      <c r="Z521" s="5"/>
      <c r="AA521" s="5"/>
      <c r="AB521" s="5"/>
      <c r="AC521" s="5"/>
      <c r="AD521" s="5"/>
      <c r="AE521" s="5"/>
      <c r="AF521" s="5"/>
      <c r="AG521" s="5"/>
      <c r="AH521" s="5"/>
      <c r="AI521" s="5"/>
      <c r="AJ521" s="5"/>
      <c r="AK521" s="5"/>
      <c r="AL521" s="5"/>
      <c r="AM521" s="5"/>
      <c r="AN521" s="5"/>
    </row>
    <row r="522" spans="1:40" ht="18.75" customHeight="1">
      <c r="A522" s="5"/>
      <c r="B522" s="5"/>
      <c r="C522" s="5"/>
      <c r="D522" s="5"/>
      <c r="E522" s="5"/>
      <c r="F522" s="5"/>
      <c r="G522" s="5"/>
      <c r="H522" s="5"/>
      <c r="I522" s="5"/>
      <c r="J522" s="5"/>
      <c r="K522" s="5"/>
      <c r="L522" s="5"/>
      <c r="M522" s="5"/>
      <c r="N522" s="5"/>
      <c r="O522" s="5"/>
      <c r="P522" s="5"/>
      <c r="Q522" s="5"/>
      <c r="R522" s="5"/>
      <c r="S522" s="5"/>
      <c r="T522" s="5"/>
      <c r="U522" s="5"/>
      <c r="V522" s="5"/>
      <c r="Y522" s="5"/>
      <c r="Z522" s="5"/>
      <c r="AA522" s="5"/>
      <c r="AB522" s="5"/>
      <c r="AC522" s="5"/>
      <c r="AD522" s="5"/>
      <c r="AE522" s="5"/>
      <c r="AF522" s="5"/>
      <c r="AG522" s="5"/>
      <c r="AH522" s="5"/>
      <c r="AI522" s="5"/>
      <c r="AJ522" s="5"/>
      <c r="AK522" s="5"/>
      <c r="AL522" s="5"/>
      <c r="AM522" s="5"/>
      <c r="AN522" s="5"/>
    </row>
    <row r="523" spans="1:40" ht="18.75" customHeight="1">
      <c r="A523" s="5"/>
      <c r="B523" s="5"/>
      <c r="C523" s="5"/>
      <c r="D523" s="5"/>
      <c r="E523" s="5"/>
      <c r="F523" s="5"/>
      <c r="G523" s="5"/>
      <c r="H523" s="5"/>
      <c r="I523" s="5"/>
      <c r="J523" s="5"/>
      <c r="K523" s="5"/>
      <c r="L523" s="5"/>
      <c r="M523" s="5"/>
      <c r="N523" s="5"/>
      <c r="O523" s="5"/>
      <c r="P523" s="5"/>
      <c r="Q523" s="5"/>
      <c r="R523" s="5"/>
      <c r="S523" s="5"/>
      <c r="T523" s="5"/>
      <c r="U523" s="5"/>
      <c r="V523" s="5"/>
      <c r="Y523" s="5"/>
      <c r="Z523" s="5"/>
      <c r="AA523" s="5"/>
      <c r="AB523" s="5"/>
      <c r="AC523" s="5"/>
      <c r="AD523" s="5"/>
      <c r="AE523" s="5"/>
      <c r="AF523" s="5"/>
      <c r="AG523" s="5"/>
      <c r="AH523" s="5"/>
      <c r="AI523" s="5"/>
      <c r="AJ523" s="5"/>
      <c r="AK523" s="5"/>
      <c r="AL523" s="5"/>
      <c r="AM523" s="5"/>
      <c r="AN523" s="5"/>
    </row>
    <row r="524" spans="1:40" ht="18.75" customHeight="1">
      <c r="A524" s="5"/>
      <c r="B524" s="5"/>
      <c r="C524" s="5"/>
      <c r="D524" s="5"/>
      <c r="E524" s="5"/>
      <c r="F524" s="5"/>
      <c r="G524" s="5"/>
      <c r="H524" s="5"/>
      <c r="I524" s="5"/>
      <c r="J524" s="5"/>
      <c r="K524" s="5"/>
      <c r="L524" s="5"/>
      <c r="M524" s="5"/>
      <c r="N524" s="5"/>
      <c r="O524" s="5"/>
      <c r="P524" s="5"/>
      <c r="Q524" s="5"/>
      <c r="R524" s="5"/>
      <c r="S524" s="5"/>
      <c r="T524" s="5"/>
      <c r="U524" s="5"/>
      <c r="V524" s="5"/>
      <c r="Y524" s="5"/>
      <c r="Z524" s="5"/>
      <c r="AA524" s="5"/>
      <c r="AB524" s="5"/>
      <c r="AC524" s="5"/>
      <c r="AD524" s="5"/>
      <c r="AE524" s="5"/>
      <c r="AF524" s="5"/>
      <c r="AG524" s="5"/>
      <c r="AH524" s="5"/>
      <c r="AI524" s="5"/>
      <c r="AJ524" s="5"/>
      <c r="AK524" s="5"/>
      <c r="AL524" s="5"/>
      <c r="AM524" s="5"/>
      <c r="AN524" s="5"/>
    </row>
    <row r="525" spans="1:40" ht="18.75" customHeight="1">
      <c r="A525" s="5"/>
      <c r="B525" s="5"/>
      <c r="C525" s="5"/>
      <c r="D525" s="5"/>
      <c r="E525" s="5"/>
      <c r="F525" s="5"/>
      <c r="G525" s="5"/>
      <c r="H525" s="5"/>
      <c r="I525" s="5"/>
      <c r="J525" s="5"/>
      <c r="K525" s="5"/>
      <c r="L525" s="5"/>
      <c r="M525" s="5"/>
      <c r="N525" s="5"/>
      <c r="O525" s="5"/>
      <c r="P525" s="5"/>
      <c r="Q525" s="5"/>
      <c r="R525" s="5"/>
      <c r="S525" s="5"/>
      <c r="T525" s="5"/>
      <c r="U525" s="5"/>
      <c r="V525" s="5"/>
      <c r="Y525" s="5"/>
      <c r="Z525" s="5"/>
      <c r="AA525" s="5"/>
      <c r="AB525" s="5"/>
      <c r="AC525" s="5"/>
      <c r="AD525" s="5"/>
      <c r="AE525" s="5"/>
      <c r="AF525" s="5"/>
      <c r="AG525" s="5"/>
      <c r="AH525" s="5"/>
      <c r="AI525" s="5"/>
      <c r="AJ525" s="5"/>
      <c r="AK525" s="5"/>
      <c r="AL525" s="5"/>
      <c r="AM525" s="5"/>
      <c r="AN525" s="5"/>
    </row>
    <row r="526" spans="1:40" ht="18.75" customHeight="1">
      <c r="A526" s="5"/>
      <c r="B526" s="5"/>
      <c r="C526" s="5"/>
      <c r="D526" s="5"/>
      <c r="E526" s="5"/>
      <c r="F526" s="5"/>
      <c r="G526" s="5"/>
      <c r="H526" s="5"/>
      <c r="I526" s="5"/>
      <c r="J526" s="5"/>
      <c r="K526" s="5"/>
      <c r="L526" s="5"/>
      <c r="M526" s="5"/>
      <c r="N526" s="5"/>
      <c r="O526" s="5"/>
      <c r="P526" s="5"/>
      <c r="Q526" s="5"/>
      <c r="R526" s="5"/>
      <c r="S526" s="5"/>
      <c r="T526" s="5"/>
      <c r="U526" s="5"/>
      <c r="V526" s="5"/>
      <c r="Y526" s="5"/>
      <c r="Z526" s="5"/>
      <c r="AA526" s="5"/>
      <c r="AB526" s="5"/>
      <c r="AC526" s="5"/>
      <c r="AD526" s="5"/>
      <c r="AE526" s="5"/>
      <c r="AF526" s="5"/>
      <c r="AG526" s="5"/>
      <c r="AH526" s="5"/>
      <c r="AI526" s="5"/>
      <c r="AJ526" s="5"/>
      <c r="AK526" s="5"/>
      <c r="AL526" s="5"/>
      <c r="AM526" s="5"/>
      <c r="AN526" s="5"/>
    </row>
    <row r="527" spans="1:40" ht="18.75" customHeight="1">
      <c r="A527" s="5"/>
      <c r="B527" s="5"/>
      <c r="C527" s="5"/>
      <c r="D527" s="5"/>
      <c r="E527" s="5"/>
      <c r="F527" s="5"/>
      <c r="G527" s="5"/>
      <c r="H527" s="5"/>
      <c r="I527" s="5"/>
      <c r="J527" s="5"/>
      <c r="K527" s="5"/>
      <c r="L527" s="5"/>
      <c r="M527" s="5"/>
      <c r="N527" s="5"/>
      <c r="O527" s="5"/>
      <c r="P527" s="5"/>
      <c r="Q527" s="5"/>
      <c r="R527" s="5"/>
      <c r="S527" s="5"/>
      <c r="T527" s="5"/>
      <c r="U527" s="5"/>
      <c r="V527" s="5"/>
      <c r="Y527" s="5"/>
      <c r="Z527" s="5"/>
      <c r="AA527" s="5"/>
      <c r="AB527" s="5"/>
      <c r="AC527" s="5"/>
      <c r="AD527" s="5"/>
      <c r="AE527" s="5"/>
      <c r="AF527" s="5"/>
      <c r="AG527" s="5"/>
      <c r="AH527" s="5"/>
      <c r="AI527" s="5"/>
      <c r="AJ527" s="5"/>
      <c r="AK527" s="5"/>
      <c r="AL527" s="5"/>
      <c r="AM527" s="5"/>
      <c r="AN527" s="5"/>
    </row>
    <row r="528" spans="1:40" ht="18.75" customHeight="1">
      <c r="A528" s="5"/>
      <c r="B528" s="5"/>
      <c r="C528" s="5"/>
      <c r="D528" s="5"/>
      <c r="E528" s="5"/>
      <c r="F528" s="5"/>
      <c r="G528" s="5"/>
      <c r="H528" s="5"/>
      <c r="I528" s="5"/>
      <c r="J528" s="5"/>
      <c r="K528" s="5"/>
      <c r="L528" s="5"/>
      <c r="M528" s="5"/>
      <c r="N528" s="5"/>
      <c r="O528" s="5"/>
      <c r="P528" s="5"/>
      <c r="Q528" s="5"/>
      <c r="R528" s="5"/>
      <c r="S528" s="5"/>
      <c r="T528" s="5"/>
      <c r="U528" s="5"/>
      <c r="V528" s="5"/>
      <c r="Y528" s="5"/>
      <c r="Z528" s="5"/>
      <c r="AA528" s="5"/>
      <c r="AB528" s="5"/>
      <c r="AC528" s="5"/>
      <c r="AD528" s="5"/>
      <c r="AE528" s="5"/>
      <c r="AF528" s="5"/>
      <c r="AG528" s="5"/>
      <c r="AH528" s="5"/>
      <c r="AI528" s="5"/>
      <c r="AJ528" s="5"/>
      <c r="AK528" s="5"/>
      <c r="AL528" s="5"/>
      <c r="AM528" s="5"/>
      <c r="AN528" s="5"/>
    </row>
    <row r="529" spans="1:40" ht="18.75" customHeight="1">
      <c r="A529" s="5"/>
      <c r="B529" s="5"/>
      <c r="C529" s="5"/>
      <c r="D529" s="5"/>
      <c r="E529" s="5"/>
      <c r="F529" s="5"/>
      <c r="G529" s="5"/>
      <c r="H529" s="5"/>
      <c r="I529" s="5"/>
      <c r="J529" s="5"/>
      <c r="K529" s="5"/>
      <c r="L529" s="5"/>
      <c r="M529" s="5"/>
      <c r="N529" s="5"/>
      <c r="O529" s="5"/>
      <c r="P529" s="5"/>
      <c r="Q529" s="5"/>
      <c r="R529" s="5"/>
      <c r="S529" s="5"/>
      <c r="T529" s="5"/>
      <c r="U529" s="5"/>
      <c r="V529" s="5"/>
      <c r="Y529" s="5"/>
      <c r="Z529" s="5"/>
      <c r="AA529" s="5"/>
      <c r="AB529" s="5"/>
      <c r="AC529" s="5"/>
      <c r="AD529" s="5"/>
      <c r="AE529" s="5"/>
      <c r="AF529" s="5"/>
      <c r="AG529" s="5"/>
      <c r="AH529" s="5"/>
      <c r="AI529" s="5"/>
      <c r="AJ529" s="5"/>
      <c r="AK529" s="5"/>
      <c r="AL529" s="5"/>
      <c r="AM529" s="5"/>
      <c r="AN529" s="5"/>
    </row>
    <row r="530" spans="1:40" ht="18.75" customHeight="1">
      <c r="A530" s="5"/>
      <c r="B530" s="5"/>
      <c r="C530" s="5"/>
      <c r="D530" s="5"/>
      <c r="E530" s="5"/>
      <c r="F530" s="5"/>
      <c r="G530" s="5"/>
      <c r="H530" s="5"/>
      <c r="I530" s="5"/>
      <c r="J530" s="5"/>
      <c r="K530" s="5"/>
      <c r="L530" s="5"/>
      <c r="M530" s="5"/>
      <c r="N530" s="5"/>
      <c r="O530" s="5"/>
      <c r="P530" s="5"/>
      <c r="Q530" s="5"/>
      <c r="R530" s="5"/>
      <c r="S530" s="5"/>
      <c r="T530" s="5"/>
      <c r="U530" s="5"/>
      <c r="V530" s="5"/>
      <c r="Y530" s="5"/>
      <c r="Z530" s="5"/>
      <c r="AA530" s="5"/>
      <c r="AB530" s="5"/>
      <c r="AC530" s="5"/>
      <c r="AD530" s="5"/>
      <c r="AE530" s="5"/>
      <c r="AF530" s="5"/>
      <c r="AG530" s="5"/>
      <c r="AH530" s="5"/>
      <c r="AI530" s="5"/>
      <c r="AJ530" s="5"/>
      <c r="AK530" s="5"/>
      <c r="AL530" s="5"/>
      <c r="AM530" s="5"/>
      <c r="AN530" s="5"/>
    </row>
    <row r="531" spans="1:40" ht="18.75" customHeight="1">
      <c r="A531" s="5"/>
      <c r="B531" s="5"/>
      <c r="C531" s="5"/>
      <c r="D531" s="5"/>
      <c r="E531" s="5"/>
      <c r="F531" s="5"/>
      <c r="G531" s="5"/>
      <c r="H531" s="5"/>
      <c r="I531" s="5"/>
      <c r="J531" s="5"/>
      <c r="K531" s="5"/>
      <c r="L531" s="5"/>
      <c r="M531" s="5"/>
      <c r="N531" s="5"/>
      <c r="O531" s="5"/>
      <c r="P531" s="5"/>
      <c r="Q531" s="5"/>
      <c r="R531" s="5"/>
      <c r="S531" s="5"/>
      <c r="T531" s="5"/>
      <c r="U531" s="5"/>
      <c r="V531" s="5"/>
      <c r="Y531" s="5"/>
      <c r="Z531" s="5"/>
      <c r="AA531" s="5"/>
      <c r="AB531" s="5"/>
      <c r="AC531" s="5"/>
      <c r="AD531" s="5"/>
      <c r="AE531" s="5"/>
      <c r="AF531" s="5"/>
      <c r="AG531" s="5"/>
      <c r="AH531" s="5"/>
      <c r="AI531" s="5"/>
      <c r="AJ531" s="5"/>
      <c r="AK531" s="5"/>
      <c r="AL531" s="5"/>
      <c r="AM531" s="5"/>
      <c r="AN531" s="5"/>
    </row>
    <row r="532" spans="1:40" ht="18.75" customHeight="1">
      <c r="A532" s="5"/>
      <c r="B532" s="5"/>
      <c r="C532" s="5"/>
      <c r="D532" s="5"/>
      <c r="E532" s="5"/>
      <c r="F532" s="5"/>
      <c r="G532" s="5"/>
      <c r="H532" s="5"/>
      <c r="I532" s="5"/>
      <c r="J532" s="5"/>
      <c r="K532" s="5"/>
      <c r="L532" s="5"/>
      <c r="M532" s="5"/>
      <c r="N532" s="5"/>
      <c r="O532" s="5"/>
      <c r="P532" s="5"/>
      <c r="Q532" s="5"/>
      <c r="R532" s="5"/>
      <c r="S532" s="5"/>
      <c r="T532" s="5"/>
      <c r="U532" s="5"/>
      <c r="V532" s="5"/>
      <c r="Y532" s="5"/>
      <c r="Z532" s="5"/>
      <c r="AA532" s="5"/>
      <c r="AB532" s="5"/>
      <c r="AC532" s="5"/>
      <c r="AD532" s="5"/>
      <c r="AE532" s="5"/>
      <c r="AF532" s="5"/>
      <c r="AG532" s="5"/>
      <c r="AH532" s="5"/>
      <c r="AI532" s="5"/>
      <c r="AJ532" s="5"/>
      <c r="AK532" s="5"/>
      <c r="AL532" s="5"/>
      <c r="AM532" s="5"/>
      <c r="AN532" s="5"/>
    </row>
    <row r="533" spans="1:40" ht="18.75" customHeight="1">
      <c r="A533" s="5"/>
      <c r="B533" s="5"/>
      <c r="C533" s="5"/>
      <c r="D533" s="5"/>
      <c r="E533" s="5"/>
      <c r="F533" s="5"/>
      <c r="G533" s="5"/>
      <c r="H533" s="5"/>
      <c r="I533" s="5"/>
      <c r="J533" s="5"/>
      <c r="K533" s="5"/>
      <c r="L533" s="5"/>
      <c r="M533" s="5"/>
      <c r="N533" s="5"/>
      <c r="O533" s="5"/>
      <c r="P533" s="5"/>
      <c r="Q533" s="5"/>
      <c r="R533" s="5"/>
      <c r="S533" s="5"/>
      <c r="T533" s="5"/>
      <c r="U533" s="5"/>
      <c r="V533" s="5"/>
      <c r="Y533" s="5"/>
      <c r="Z533" s="5"/>
      <c r="AA533" s="5"/>
      <c r="AB533" s="5"/>
      <c r="AC533" s="5"/>
      <c r="AD533" s="5"/>
      <c r="AE533" s="5"/>
      <c r="AF533" s="5"/>
      <c r="AG533" s="5"/>
      <c r="AH533" s="5"/>
      <c r="AI533" s="5"/>
      <c r="AJ533" s="5"/>
      <c r="AK533" s="5"/>
      <c r="AL533" s="5"/>
      <c r="AM533" s="5"/>
      <c r="AN533" s="5"/>
    </row>
    <row r="534" spans="1:40" ht="18.75" customHeight="1">
      <c r="A534" s="5"/>
      <c r="B534" s="5"/>
      <c r="C534" s="5"/>
      <c r="D534" s="5"/>
      <c r="E534" s="5"/>
      <c r="F534" s="5"/>
      <c r="G534" s="5"/>
      <c r="H534" s="5"/>
      <c r="I534" s="5"/>
      <c r="J534" s="5"/>
      <c r="K534" s="5"/>
      <c r="L534" s="5"/>
      <c r="M534" s="5"/>
      <c r="N534" s="5"/>
      <c r="O534" s="5"/>
      <c r="P534" s="5"/>
      <c r="Q534" s="5"/>
      <c r="R534" s="5"/>
      <c r="S534" s="5"/>
      <c r="T534" s="5"/>
      <c r="U534" s="5"/>
      <c r="V534" s="5"/>
      <c r="Y534" s="5"/>
      <c r="Z534" s="5"/>
      <c r="AA534" s="5"/>
      <c r="AB534" s="5"/>
      <c r="AC534" s="5"/>
      <c r="AD534" s="5"/>
      <c r="AE534" s="5"/>
      <c r="AF534" s="5"/>
      <c r="AG534" s="5"/>
      <c r="AH534" s="5"/>
      <c r="AI534" s="5"/>
      <c r="AJ534" s="5"/>
      <c r="AK534" s="5"/>
      <c r="AL534" s="5"/>
      <c r="AM534" s="5"/>
      <c r="AN534" s="5"/>
    </row>
    <row r="535" spans="1:40" ht="18.75" customHeight="1">
      <c r="A535" s="5"/>
      <c r="B535" s="5"/>
      <c r="C535" s="5"/>
      <c r="D535" s="5"/>
      <c r="E535" s="5"/>
      <c r="F535" s="5"/>
      <c r="G535" s="5"/>
      <c r="H535" s="5"/>
      <c r="I535" s="5"/>
      <c r="J535" s="5"/>
      <c r="K535" s="5"/>
      <c r="L535" s="5"/>
      <c r="M535" s="5"/>
      <c r="N535" s="5"/>
      <c r="O535" s="5"/>
      <c r="P535" s="5"/>
      <c r="Q535" s="5"/>
      <c r="R535" s="5"/>
      <c r="S535" s="5"/>
      <c r="T535" s="5"/>
      <c r="U535" s="5"/>
      <c r="V535" s="5"/>
      <c r="Y535" s="5"/>
      <c r="Z535" s="5"/>
      <c r="AA535" s="5"/>
      <c r="AB535" s="5"/>
      <c r="AC535" s="5"/>
      <c r="AD535" s="5"/>
      <c r="AE535" s="5"/>
      <c r="AF535" s="5"/>
      <c r="AG535" s="5"/>
      <c r="AH535" s="5"/>
      <c r="AI535" s="5"/>
      <c r="AJ535" s="5"/>
      <c r="AK535" s="5"/>
      <c r="AL535" s="5"/>
      <c r="AM535" s="5"/>
      <c r="AN535" s="5"/>
    </row>
    <row r="536" spans="1:40" ht="18.75" customHeight="1">
      <c r="A536" s="5"/>
      <c r="B536" s="5"/>
      <c r="C536" s="5"/>
      <c r="D536" s="5"/>
      <c r="E536" s="5"/>
      <c r="F536" s="5"/>
      <c r="G536" s="5"/>
      <c r="H536" s="5"/>
      <c r="I536" s="5"/>
      <c r="J536" s="5"/>
      <c r="K536" s="5"/>
      <c r="L536" s="5"/>
      <c r="M536" s="5"/>
      <c r="N536" s="5"/>
      <c r="O536" s="5"/>
      <c r="P536" s="5"/>
      <c r="Q536" s="5"/>
      <c r="R536" s="5"/>
      <c r="S536" s="5"/>
      <c r="T536" s="5"/>
      <c r="U536" s="5"/>
      <c r="V536" s="5"/>
      <c r="Y536" s="5"/>
      <c r="Z536" s="5"/>
      <c r="AA536" s="5"/>
      <c r="AB536" s="5"/>
      <c r="AC536" s="5"/>
      <c r="AD536" s="5"/>
      <c r="AE536" s="5"/>
      <c r="AF536" s="5"/>
      <c r="AG536" s="5"/>
      <c r="AH536" s="5"/>
      <c r="AI536" s="5"/>
      <c r="AJ536" s="5"/>
      <c r="AK536" s="5"/>
      <c r="AL536" s="5"/>
      <c r="AM536" s="5"/>
      <c r="AN536" s="5"/>
    </row>
    <row r="537" spans="1:40" ht="18.75" customHeight="1">
      <c r="A537" s="5"/>
      <c r="B537" s="5"/>
      <c r="C537" s="5"/>
      <c r="D537" s="5"/>
      <c r="E537" s="5"/>
      <c r="F537" s="5"/>
      <c r="G537" s="5"/>
      <c r="H537" s="5"/>
      <c r="I537" s="5"/>
      <c r="J537" s="5"/>
      <c r="K537" s="5"/>
      <c r="L537" s="5"/>
      <c r="M537" s="5"/>
      <c r="N537" s="5"/>
      <c r="O537" s="5"/>
      <c r="P537" s="5"/>
      <c r="Q537" s="5"/>
      <c r="R537" s="5"/>
      <c r="S537" s="5"/>
      <c r="T537" s="5"/>
      <c r="U537" s="5"/>
      <c r="V537" s="5"/>
      <c r="Y537" s="5"/>
      <c r="Z537" s="5"/>
      <c r="AA537" s="5"/>
      <c r="AB537" s="5"/>
      <c r="AC537" s="5"/>
      <c r="AD537" s="5"/>
      <c r="AE537" s="5"/>
      <c r="AF537" s="5"/>
      <c r="AG537" s="5"/>
      <c r="AH537" s="5"/>
      <c r="AI537" s="5"/>
      <c r="AJ537" s="5"/>
      <c r="AK537" s="5"/>
      <c r="AL537" s="5"/>
      <c r="AM537" s="5"/>
      <c r="AN537" s="5"/>
    </row>
    <row r="538" spans="1:40" ht="18.75" customHeight="1">
      <c r="A538" s="5"/>
      <c r="B538" s="5"/>
      <c r="C538" s="5"/>
      <c r="D538" s="5"/>
      <c r="E538" s="5"/>
      <c r="F538" s="5"/>
      <c r="G538" s="5"/>
      <c r="H538" s="5"/>
      <c r="I538" s="5"/>
      <c r="J538" s="5"/>
      <c r="K538" s="5"/>
      <c r="L538" s="5"/>
      <c r="M538" s="5"/>
      <c r="N538" s="5"/>
      <c r="O538" s="5"/>
      <c r="P538" s="5"/>
      <c r="Q538" s="5"/>
      <c r="R538" s="5"/>
      <c r="S538" s="5"/>
      <c r="T538" s="5"/>
      <c r="U538" s="5"/>
      <c r="V538" s="5"/>
      <c r="Y538" s="5"/>
      <c r="Z538" s="5"/>
      <c r="AA538" s="5"/>
      <c r="AB538" s="5"/>
      <c r="AC538" s="5"/>
      <c r="AD538" s="5"/>
      <c r="AE538" s="5"/>
      <c r="AF538" s="5"/>
      <c r="AG538" s="5"/>
      <c r="AH538" s="5"/>
      <c r="AI538" s="5"/>
      <c r="AJ538" s="5"/>
      <c r="AK538" s="5"/>
      <c r="AL538" s="5"/>
      <c r="AM538" s="5"/>
      <c r="AN538" s="5"/>
    </row>
    <row r="539" spans="1:40" ht="18.75" customHeight="1">
      <c r="A539" s="5"/>
      <c r="B539" s="5"/>
      <c r="C539" s="5"/>
      <c r="D539" s="5"/>
      <c r="E539" s="5"/>
      <c r="F539" s="5"/>
      <c r="G539" s="5"/>
      <c r="H539" s="5"/>
      <c r="I539" s="5"/>
      <c r="J539" s="5"/>
      <c r="K539" s="5"/>
      <c r="L539" s="5"/>
      <c r="M539" s="5"/>
      <c r="N539" s="5"/>
      <c r="O539" s="5"/>
      <c r="P539" s="5"/>
      <c r="Q539" s="5"/>
      <c r="R539" s="5"/>
      <c r="S539" s="5"/>
      <c r="T539" s="5"/>
      <c r="U539" s="5"/>
      <c r="V539" s="5"/>
      <c r="Y539" s="5"/>
      <c r="Z539" s="5"/>
      <c r="AA539" s="5"/>
      <c r="AB539" s="5"/>
      <c r="AC539" s="5"/>
      <c r="AD539" s="5"/>
      <c r="AE539" s="5"/>
      <c r="AF539" s="5"/>
      <c r="AG539" s="5"/>
      <c r="AH539" s="5"/>
      <c r="AI539" s="5"/>
      <c r="AJ539" s="5"/>
      <c r="AK539" s="5"/>
      <c r="AL539" s="5"/>
      <c r="AM539" s="5"/>
      <c r="AN539" s="5"/>
    </row>
    <row r="540" spans="1:40" ht="18.75" customHeight="1">
      <c r="A540" s="5"/>
      <c r="B540" s="5"/>
      <c r="C540" s="5"/>
      <c r="D540" s="5"/>
      <c r="E540" s="5"/>
      <c r="F540" s="5"/>
      <c r="G540" s="5"/>
      <c r="H540" s="5"/>
      <c r="I540" s="5"/>
      <c r="J540" s="5"/>
      <c r="K540" s="5"/>
      <c r="L540" s="5"/>
      <c r="M540" s="5"/>
      <c r="N540" s="5"/>
      <c r="O540" s="5"/>
      <c r="P540" s="5"/>
      <c r="Q540" s="5"/>
      <c r="R540" s="5"/>
      <c r="S540" s="5"/>
      <c r="T540" s="5"/>
      <c r="U540" s="5"/>
      <c r="V540" s="5"/>
      <c r="Y540" s="5"/>
      <c r="Z540" s="5"/>
      <c r="AA540" s="5"/>
      <c r="AB540" s="5"/>
      <c r="AC540" s="5"/>
      <c r="AD540" s="5"/>
      <c r="AE540" s="5"/>
      <c r="AF540" s="5"/>
      <c r="AG540" s="5"/>
      <c r="AH540" s="5"/>
      <c r="AI540" s="5"/>
      <c r="AJ540" s="5"/>
      <c r="AK540" s="5"/>
      <c r="AL540" s="5"/>
      <c r="AM540" s="5"/>
      <c r="AN540" s="5"/>
    </row>
    <row r="541" spans="1:40" ht="18.75" customHeight="1">
      <c r="A541" s="5"/>
      <c r="B541" s="5"/>
      <c r="C541" s="5"/>
      <c r="D541" s="5"/>
      <c r="E541" s="5"/>
      <c r="F541" s="5"/>
      <c r="G541" s="5"/>
      <c r="H541" s="5"/>
      <c r="I541" s="5"/>
      <c r="J541" s="5"/>
      <c r="K541" s="5"/>
      <c r="L541" s="5"/>
      <c r="M541" s="5"/>
      <c r="N541" s="5"/>
      <c r="O541" s="5"/>
      <c r="P541" s="5"/>
      <c r="Q541" s="5"/>
      <c r="R541" s="5"/>
      <c r="S541" s="5"/>
      <c r="T541" s="5"/>
      <c r="U541" s="5"/>
      <c r="V541" s="5"/>
      <c r="Y541" s="5"/>
      <c r="Z541" s="5"/>
      <c r="AA541" s="5"/>
      <c r="AB541" s="5"/>
      <c r="AC541" s="5"/>
      <c r="AD541" s="5"/>
      <c r="AE541" s="5"/>
      <c r="AF541" s="5"/>
      <c r="AG541" s="5"/>
      <c r="AH541" s="5"/>
      <c r="AI541" s="5"/>
      <c r="AJ541" s="5"/>
      <c r="AK541" s="5"/>
      <c r="AL541" s="5"/>
      <c r="AM541" s="5"/>
      <c r="AN541" s="5"/>
    </row>
    <row r="542" spans="1:40" ht="18.75" customHeight="1">
      <c r="A542" s="5"/>
      <c r="B542" s="5"/>
      <c r="C542" s="5"/>
      <c r="D542" s="5"/>
      <c r="E542" s="5"/>
      <c r="F542" s="5"/>
      <c r="G542" s="5"/>
      <c r="H542" s="5"/>
      <c r="I542" s="5"/>
      <c r="J542" s="5"/>
      <c r="K542" s="5"/>
      <c r="L542" s="5"/>
      <c r="M542" s="5"/>
      <c r="N542" s="5"/>
      <c r="O542" s="5"/>
      <c r="P542" s="5"/>
      <c r="Q542" s="5"/>
      <c r="R542" s="5"/>
      <c r="S542" s="5"/>
      <c r="T542" s="5"/>
      <c r="U542" s="5"/>
      <c r="V542" s="5"/>
      <c r="Y542" s="5"/>
      <c r="Z542" s="5"/>
      <c r="AA542" s="5"/>
      <c r="AB542" s="5"/>
      <c r="AC542" s="5"/>
      <c r="AD542" s="5"/>
      <c r="AE542" s="5"/>
      <c r="AF542" s="5"/>
      <c r="AG542" s="5"/>
      <c r="AH542" s="5"/>
      <c r="AI542" s="5"/>
      <c r="AJ542" s="5"/>
      <c r="AK542" s="5"/>
      <c r="AL542" s="5"/>
      <c r="AM542" s="5"/>
      <c r="AN542" s="5"/>
    </row>
    <row r="543" spans="1:40" ht="18.75" customHeight="1">
      <c r="A543" s="5"/>
      <c r="B543" s="5"/>
      <c r="C543" s="5"/>
      <c r="D543" s="5"/>
      <c r="E543" s="5"/>
      <c r="F543" s="5"/>
      <c r="G543" s="5"/>
      <c r="H543" s="5"/>
      <c r="I543" s="5"/>
      <c r="J543" s="5"/>
      <c r="K543" s="5"/>
      <c r="L543" s="5"/>
      <c r="M543" s="5"/>
      <c r="N543" s="5"/>
      <c r="O543" s="5"/>
      <c r="P543" s="5"/>
      <c r="Q543" s="5"/>
      <c r="R543" s="5"/>
      <c r="S543" s="5"/>
      <c r="T543" s="5"/>
      <c r="U543" s="5"/>
      <c r="V543" s="5"/>
      <c r="Y543" s="5"/>
      <c r="Z543" s="5"/>
      <c r="AA543" s="5"/>
      <c r="AB543" s="5"/>
      <c r="AC543" s="5"/>
      <c r="AD543" s="5"/>
      <c r="AE543" s="5"/>
      <c r="AF543" s="5"/>
      <c r="AG543" s="5"/>
      <c r="AH543" s="5"/>
      <c r="AI543" s="5"/>
      <c r="AJ543" s="5"/>
      <c r="AK543" s="5"/>
      <c r="AL543" s="5"/>
      <c r="AM543" s="5"/>
      <c r="AN543" s="5"/>
    </row>
    <row r="544" spans="1:40" ht="18.75" customHeight="1">
      <c r="A544" s="5"/>
      <c r="B544" s="5"/>
      <c r="C544" s="5"/>
      <c r="D544" s="5"/>
      <c r="E544" s="5"/>
      <c r="F544" s="5"/>
      <c r="G544" s="5"/>
      <c r="H544" s="5"/>
      <c r="I544" s="5"/>
      <c r="J544" s="5"/>
      <c r="K544" s="5"/>
      <c r="L544" s="5"/>
      <c r="M544" s="5"/>
      <c r="N544" s="5"/>
      <c r="O544" s="5"/>
      <c r="P544" s="5"/>
      <c r="Q544" s="5"/>
      <c r="R544" s="5"/>
      <c r="S544" s="5"/>
      <c r="T544" s="5"/>
      <c r="U544" s="5"/>
      <c r="V544" s="5"/>
      <c r="Y544" s="5"/>
      <c r="Z544" s="5"/>
      <c r="AA544" s="5"/>
      <c r="AB544" s="5"/>
      <c r="AC544" s="5"/>
      <c r="AD544" s="5"/>
      <c r="AE544" s="5"/>
      <c r="AF544" s="5"/>
      <c r="AG544" s="5"/>
      <c r="AH544" s="5"/>
      <c r="AI544" s="5"/>
      <c r="AJ544" s="5"/>
      <c r="AK544" s="5"/>
      <c r="AL544" s="5"/>
      <c r="AM544" s="5"/>
      <c r="AN544" s="5"/>
    </row>
    <row r="545" spans="1:40" ht="18.75" customHeight="1">
      <c r="A545" s="5"/>
      <c r="B545" s="5"/>
      <c r="C545" s="5"/>
      <c r="D545" s="5"/>
      <c r="E545" s="5"/>
      <c r="F545" s="5"/>
      <c r="G545" s="5"/>
      <c r="H545" s="5"/>
      <c r="I545" s="5"/>
      <c r="J545" s="5"/>
      <c r="K545" s="5"/>
      <c r="L545" s="5"/>
      <c r="M545" s="5"/>
      <c r="N545" s="5"/>
      <c r="O545" s="5"/>
      <c r="P545" s="5"/>
      <c r="Q545" s="5"/>
      <c r="R545" s="5"/>
      <c r="S545" s="5"/>
      <c r="T545" s="5"/>
      <c r="U545" s="5"/>
      <c r="V545" s="5"/>
      <c r="Y545" s="5"/>
      <c r="Z545" s="5"/>
      <c r="AA545" s="5"/>
      <c r="AB545" s="5"/>
      <c r="AC545" s="5"/>
      <c r="AD545" s="5"/>
      <c r="AE545" s="5"/>
      <c r="AF545" s="5"/>
      <c r="AG545" s="5"/>
      <c r="AH545" s="5"/>
      <c r="AI545" s="5"/>
      <c r="AJ545" s="5"/>
      <c r="AK545" s="5"/>
      <c r="AL545" s="5"/>
      <c r="AM545" s="5"/>
      <c r="AN545" s="5"/>
    </row>
    <row r="546" spans="1:40" ht="18.75" customHeight="1">
      <c r="A546" s="5"/>
      <c r="B546" s="5"/>
      <c r="C546" s="5"/>
      <c r="D546" s="5"/>
      <c r="E546" s="5"/>
      <c r="F546" s="5"/>
      <c r="G546" s="5"/>
      <c r="H546" s="5"/>
      <c r="I546" s="5"/>
      <c r="J546" s="5"/>
      <c r="K546" s="5"/>
      <c r="L546" s="5"/>
      <c r="M546" s="5"/>
      <c r="N546" s="5"/>
      <c r="O546" s="5"/>
      <c r="P546" s="5"/>
      <c r="Q546" s="5"/>
      <c r="R546" s="5"/>
      <c r="S546" s="5"/>
      <c r="T546" s="5"/>
      <c r="U546" s="5"/>
      <c r="V546" s="5"/>
      <c r="Y546" s="5"/>
      <c r="Z546" s="5"/>
      <c r="AA546" s="5"/>
      <c r="AB546" s="5"/>
      <c r="AC546" s="5"/>
      <c r="AD546" s="5"/>
      <c r="AE546" s="5"/>
      <c r="AF546" s="5"/>
      <c r="AG546" s="5"/>
      <c r="AH546" s="5"/>
      <c r="AI546" s="5"/>
      <c r="AJ546" s="5"/>
      <c r="AK546" s="5"/>
      <c r="AL546" s="5"/>
      <c r="AM546" s="5"/>
      <c r="AN546" s="5"/>
    </row>
    <row r="547" spans="1:40" ht="18.75" customHeight="1">
      <c r="A547" s="5"/>
      <c r="B547" s="5"/>
      <c r="C547" s="5"/>
      <c r="D547" s="5"/>
      <c r="E547" s="5"/>
      <c r="F547" s="5"/>
      <c r="G547" s="5"/>
      <c r="H547" s="5"/>
      <c r="I547" s="5"/>
      <c r="J547" s="5"/>
      <c r="K547" s="5"/>
      <c r="L547" s="5"/>
      <c r="M547" s="5"/>
      <c r="N547" s="5"/>
      <c r="O547" s="5"/>
      <c r="P547" s="5"/>
      <c r="Q547" s="5"/>
      <c r="R547" s="5"/>
      <c r="S547" s="5"/>
      <c r="T547" s="5"/>
      <c r="U547" s="5"/>
      <c r="V547" s="5"/>
      <c r="Y547" s="5"/>
      <c r="Z547" s="5"/>
      <c r="AA547" s="5"/>
      <c r="AB547" s="5"/>
      <c r="AC547" s="5"/>
      <c r="AD547" s="5"/>
      <c r="AE547" s="5"/>
      <c r="AF547" s="5"/>
      <c r="AG547" s="5"/>
      <c r="AH547" s="5"/>
      <c r="AI547" s="5"/>
      <c r="AJ547" s="5"/>
      <c r="AK547" s="5"/>
      <c r="AL547" s="5"/>
      <c r="AM547" s="5"/>
      <c r="AN547" s="5"/>
    </row>
    <row r="548" spans="1:40" ht="18.75" customHeight="1">
      <c r="A548" s="5"/>
      <c r="B548" s="5"/>
      <c r="C548" s="5"/>
      <c r="D548" s="5"/>
      <c r="E548" s="5"/>
      <c r="F548" s="5"/>
      <c r="G548" s="5"/>
      <c r="H548" s="5"/>
      <c r="I548" s="5"/>
      <c r="J548" s="5"/>
      <c r="K548" s="5"/>
      <c r="L548" s="5"/>
      <c r="M548" s="5"/>
      <c r="N548" s="5"/>
      <c r="O548" s="5"/>
      <c r="P548" s="5"/>
      <c r="Q548" s="5"/>
      <c r="R548" s="5"/>
      <c r="S548" s="5"/>
      <c r="T548" s="5"/>
      <c r="U548" s="5"/>
      <c r="V548" s="5"/>
      <c r="Y548" s="5"/>
      <c r="Z548" s="5"/>
      <c r="AA548" s="5"/>
      <c r="AB548" s="5"/>
      <c r="AC548" s="5"/>
      <c r="AD548" s="5"/>
      <c r="AE548" s="5"/>
      <c r="AF548" s="5"/>
      <c r="AG548" s="5"/>
      <c r="AH548" s="5"/>
      <c r="AI548" s="5"/>
      <c r="AJ548" s="5"/>
      <c r="AK548" s="5"/>
      <c r="AL548" s="5"/>
      <c r="AM548" s="5"/>
      <c r="AN548" s="5"/>
    </row>
    <row r="549" spans="1:40" ht="18.75" customHeight="1">
      <c r="A549" s="5"/>
      <c r="B549" s="5"/>
      <c r="C549" s="5"/>
      <c r="D549" s="5"/>
      <c r="E549" s="5"/>
      <c r="F549" s="5"/>
      <c r="G549" s="5"/>
      <c r="H549" s="5"/>
      <c r="I549" s="5"/>
      <c r="J549" s="5"/>
      <c r="K549" s="5"/>
      <c r="L549" s="5"/>
      <c r="M549" s="5"/>
      <c r="N549" s="5"/>
      <c r="O549" s="5"/>
      <c r="P549" s="5"/>
      <c r="Q549" s="5"/>
      <c r="R549" s="5"/>
      <c r="S549" s="5"/>
      <c r="T549" s="5"/>
      <c r="U549" s="5"/>
      <c r="V549" s="5"/>
      <c r="Y549" s="5"/>
      <c r="Z549" s="5"/>
      <c r="AA549" s="5"/>
      <c r="AB549" s="5"/>
      <c r="AC549" s="5"/>
      <c r="AD549" s="5"/>
      <c r="AE549" s="5"/>
      <c r="AF549" s="5"/>
      <c r="AG549" s="5"/>
      <c r="AH549" s="5"/>
      <c r="AI549" s="5"/>
      <c r="AJ549" s="5"/>
      <c r="AK549" s="5"/>
      <c r="AL549" s="5"/>
      <c r="AM549" s="5"/>
      <c r="AN549" s="5"/>
    </row>
    <row r="550" spans="1:40" ht="18.75" customHeight="1">
      <c r="A550" s="5"/>
      <c r="B550" s="5"/>
      <c r="C550" s="5"/>
      <c r="D550" s="5"/>
      <c r="E550" s="5"/>
      <c r="F550" s="5"/>
      <c r="G550" s="5"/>
      <c r="H550" s="5"/>
      <c r="I550" s="5"/>
      <c r="J550" s="5"/>
      <c r="K550" s="5"/>
      <c r="L550" s="5"/>
      <c r="M550" s="5"/>
      <c r="N550" s="5"/>
      <c r="O550" s="5"/>
      <c r="P550" s="5"/>
      <c r="Q550" s="5"/>
      <c r="R550" s="5"/>
      <c r="S550" s="5"/>
      <c r="T550" s="5"/>
      <c r="U550" s="5"/>
      <c r="V550" s="5"/>
      <c r="Y550" s="5"/>
      <c r="Z550" s="5"/>
      <c r="AA550" s="5"/>
      <c r="AB550" s="5"/>
      <c r="AC550" s="5"/>
      <c r="AD550" s="5"/>
      <c r="AE550" s="5"/>
      <c r="AF550" s="5"/>
      <c r="AG550" s="5"/>
      <c r="AH550" s="5"/>
      <c r="AI550" s="5"/>
      <c r="AJ550" s="5"/>
      <c r="AK550" s="5"/>
      <c r="AL550" s="5"/>
      <c r="AM550" s="5"/>
      <c r="AN550" s="5"/>
    </row>
    <row r="551" spans="1:40" ht="18.75" customHeight="1">
      <c r="A551" s="5"/>
      <c r="B551" s="5"/>
      <c r="C551" s="5"/>
      <c r="D551" s="5"/>
      <c r="E551" s="5"/>
      <c r="F551" s="5"/>
      <c r="G551" s="5"/>
      <c r="H551" s="5"/>
      <c r="I551" s="5"/>
      <c r="J551" s="5"/>
      <c r="K551" s="5"/>
      <c r="L551" s="5"/>
      <c r="M551" s="5"/>
      <c r="N551" s="5"/>
      <c r="O551" s="5"/>
      <c r="P551" s="5"/>
      <c r="Q551" s="5"/>
      <c r="R551" s="5"/>
      <c r="S551" s="5"/>
      <c r="T551" s="5"/>
      <c r="U551" s="5"/>
      <c r="V551" s="5"/>
      <c r="Y551" s="5"/>
      <c r="Z551" s="5"/>
      <c r="AA551" s="5"/>
      <c r="AB551" s="5"/>
      <c r="AC551" s="5"/>
      <c r="AD551" s="5"/>
      <c r="AE551" s="5"/>
      <c r="AF551" s="5"/>
      <c r="AG551" s="5"/>
      <c r="AH551" s="5"/>
      <c r="AI551" s="5"/>
      <c r="AJ551" s="5"/>
      <c r="AK551" s="5"/>
      <c r="AL551" s="5"/>
      <c r="AM551" s="5"/>
      <c r="AN551" s="5"/>
    </row>
    <row r="552" spans="1:40" ht="18.75" customHeight="1">
      <c r="A552" s="5"/>
      <c r="B552" s="5"/>
      <c r="C552" s="5"/>
      <c r="D552" s="5"/>
      <c r="E552" s="5"/>
      <c r="F552" s="5"/>
      <c r="G552" s="5"/>
      <c r="H552" s="5"/>
      <c r="I552" s="5"/>
      <c r="J552" s="5"/>
      <c r="K552" s="5"/>
      <c r="L552" s="5"/>
      <c r="M552" s="5"/>
      <c r="N552" s="5"/>
      <c r="O552" s="5"/>
      <c r="P552" s="5"/>
      <c r="Q552" s="5"/>
      <c r="R552" s="5"/>
      <c r="S552" s="5"/>
      <c r="T552" s="5"/>
      <c r="U552" s="5"/>
      <c r="V552" s="5"/>
      <c r="Y552" s="5"/>
      <c r="Z552" s="5"/>
      <c r="AA552" s="5"/>
      <c r="AB552" s="5"/>
      <c r="AC552" s="5"/>
      <c r="AD552" s="5"/>
      <c r="AE552" s="5"/>
      <c r="AF552" s="5"/>
      <c r="AG552" s="5"/>
      <c r="AH552" s="5"/>
      <c r="AI552" s="5"/>
      <c r="AJ552" s="5"/>
      <c r="AK552" s="5"/>
      <c r="AL552" s="5"/>
      <c r="AM552" s="5"/>
      <c r="AN552" s="5"/>
    </row>
    <row r="553" spans="1:40" ht="18.75" customHeight="1">
      <c r="A553" s="5"/>
      <c r="B553" s="5"/>
      <c r="C553" s="5"/>
      <c r="D553" s="5"/>
      <c r="E553" s="5"/>
      <c r="F553" s="5"/>
      <c r="G553" s="5"/>
      <c r="H553" s="5"/>
      <c r="I553" s="5"/>
      <c r="J553" s="5"/>
      <c r="K553" s="5"/>
      <c r="L553" s="5"/>
      <c r="M553" s="5"/>
      <c r="N553" s="5"/>
      <c r="O553" s="5"/>
      <c r="P553" s="5"/>
      <c r="Q553" s="5"/>
      <c r="R553" s="5"/>
      <c r="S553" s="5"/>
      <c r="T553" s="5"/>
      <c r="U553" s="5"/>
      <c r="V553" s="5"/>
      <c r="Y553" s="5"/>
      <c r="Z553" s="5"/>
      <c r="AA553" s="5"/>
      <c r="AB553" s="5"/>
      <c r="AC553" s="5"/>
      <c r="AD553" s="5"/>
      <c r="AE553" s="5"/>
      <c r="AF553" s="5"/>
      <c r="AG553" s="5"/>
      <c r="AH553" s="5"/>
      <c r="AI553" s="5"/>
      <c r="AJ553" s="5"/>
      <c r="AK553" s="5"/>
      <c r="AL553" s="5"/>
      <c r="AM553" s="5"/>
      <c r="AN553" s="5"/>
    </row>
    <row r="554" spans="1:40" ht="18.75" customHeight="1">
      <c r="A554" s="5"/>
      <c r="B554" s="5"/>
      <c r="C554" s="5"/>
      <c r="D554" s="5"/>
      <c r="E554" s="5"/>
      <c r="F554" s="5"/>
      <c r="G554" s="5"/>
      <c r="H554" s="5"/>
      <c r="I554" s="5"/>
      <c r="J554" s="5"/>
      <c r="K554" s="5"/>
      <c r="L554" s="5"/>
      <c r="M554" s="5"/>
      <c r="N554" s="5"/>
      <c r="O554" s="5"/>
      <c r="P554" s="5"/>
      <c r="Q554" s="5"/>
      <c r="R554" s="5"/>
      <c r="S554" s="5"/>
      <c r="T554" s="5"/>
      <c r="U554" s="5"/>
      <c r="V554" s="5"/>
      <c r="Y554" s="5"/>
      <c r="Z554" s="5"/>
      <c r="AA554" s="5"/>
      <c r="AB554" s="5"/>
      <c r="AC554" s="5"/>
      <c r="AD554" s="5"/>
      <c r="AE554" s="5"/>
      <c r="AF554" s="5"/>
      <c r="AG554" s="5"/>
      <c r="AH554" s="5"/>
      <c r="AI554" s="5"/>
      <c r="AJ554" s="5"/>
      <c r="AK554" s="5"/>
      <c r="AL554" s="5"/>
      <c r="AM554" s="5"/>
      <c r="AN554" s="5"/>
    </row>
    <row r="555" spans="1:40" ht="18.75" customHeight="1">
      <c r="A555" s="5"/>
      <c r="B555" s="5"/>
      <c r="C555" s="5"/>
      <c r="D555" s="5"/>
      <c r="E555" s="5"/>
      <c r="F555" s="5"/>
      <c r="G555" s="5"/>
      <c r="H555" s="5"/>
      <c r="I555" s="5"/>
      <c r="J555" s="5"/>
      <c r="K555" s="5"/>
      <c r="L555" s="5"/>
      <c r="M555" s="5"/>
      <c r="N555" s="5"/>
      <c r="O555" s="5"/>
      <c r="P555" s="5"/>
      <c r="Q555" s="5"/>
      <c r="R555" s="5"/>
      <c r="S555" s="5"/>
      <c r="T555" s="5"/>
      <c r="U555" s="5"/>
      <c r="V555" s="5"/>
      <c r="Y555" s="5"/>
      <c r="Z555" s="5"/>
      <c r="AA555" s="5"/>
      <c r="AB555" s="5"/>
      <c r="AC555" s="5"/>
      <c r="AD555" s="5"/>
      <c r="AE555" s="5"/>
      <c r="AF555" s="5"/>
      <c r="AG555" s="5"/>
      <c r="AH555" s="5"/>
      <c r="AI555" s="5"/>
      <c r="AJ555" s="5"/>
      <c r="AK555" s="5"/>
      <c r="AL555" s="5"/>
      <c r="AM555" s="5"/>
      <c r="AN555" s="5"/>
    </row>
    <row r="556" spans="1:40" ht="18.75" customHeight="1">
      <c r="A556" s="5"/>
      <c r="B556" s="5"/>
      <c r="C556" s="5"/>
      <c r="D556" s="5"/>
      <c r="E556" s="5"/>
      <c r="F556" s="5"/>
      <c r="G556" s="5"/>
      <c r="H556" s="5"/>
      <c r="I556" s="5"/>
      <c r="J556" s="5"/>
      <c r="K556" s="5"/>
      <c r="L556" s="5"/>
      <c r="M556" s="5"/>
      <c r="N556" s="5"/>
      <c r="O556" s="5"/>
      <c r="P556" s="5"/>
      <c r="Q556" s="5"/>
      <c r="R556" s="5"/>
      <c r="S556" s="5"/>
      <c r="T556" s="5"/>
      <c r="U556" s="5"/>
      <c r="V556" s="5"/>
      <c r="Y556" s="5"/>
      <c r="Z556" s="5"/>
      <c r="AA556" s="5"/>
      <c r="AB556" s="5"/>
      <c r="AC556" s="5"/>
      <c r="AD556" s="5"/>
      <c r="AE556" s="5"/>
      <c r="AF556" s="5"/>
      <c r="AG556" s="5"/>
      <c r="AH556" s="5"/>
      <c r="AI556" s="5"/>
      <c r="AJ556" s="5"/>
      <c r="AK556" s="5"/>
      <c r="AL556" s="5"/>
      <c r="AM556" s="5"/>
      <c r="AN556" s="5"/>
    </row>
    <row r="557" spans="1:40" ht="18.75" customHeight="1">
      <c r="A557" s="5"/>
      <c r="B557" s="5"/>
      <c r="C557" s="5"/>
      <c r="D557" s="5"/>
      <c r="E557" s="5"/>
      <c r="F557" s="5"/>
      <c r="G557" s="5"/>
      <c r="H557" s="5"/>
      <c r="I557" s="5"/>
      <c r="J557" s="5"/>
      <c r="K557" s="5"/>
      <c r="L557" s="5"/>
      <c r="M557" s="5"/>
      <c r="N557" s="5"/>
      <c r="O557" s="5"/>
      <c r="P557" s="5"/>
      <c r="Q557" s="5"/>
      <c r="R557" s="5"/>
      <c r="S557" s="5"/>
      <c r="T557" s="5"/>
      <c r="U557" s="5"/>
      <c r="V557" s="5"/>
      <c r="Y557" s="5"/>
      <c r="Z557" s="5"/>
      <c r="AA557" s="5"/>
      <c r="AB557" s="5"/>
      <c r="AC557" s="5"/>
      <c r="AD557" s="5"/>
      <c r="AE557" s="5"/>
      <c r="AF557" s="5"/>
      <c r="AG557" s="5"/>
      <c r="AH557" s="5"/>
      <c r="AI557" s="5"/>
      <c r="AJ557" s="5"/>
      <c r="AK557" s="5"/>
      <c r="AL557" s="5"/>
      <c r="AM557" s="5"/>
      <c r="AN557" s="5"/>
    </row>
    <row r="558" spans="1:40" ht="18.75" customHeight="1">
      <c r="A558" s="5"/>
      <c r="B558" s="5"/>
      <c r="C558" s="5"/>
      <c r="D558" s="5"/>
      <c r="E558" s="5"/>
      <c r="F558" s="5"/>
      <c r="G558" s="5"/>
      <c r="H558" s="5"/>
      <c r="I558" s="5"/>
      <c r="J558" s="5"/>
      <c r="K558" s="5"/>
      <c r="L558" s="5"/>
      <c r="M558" s="5"/>
      <c r="N558" s="5"/>
      <c r="O558" s="5"/>
      <c r="P558" s="5"/>
      <c r="Q558" s="5"/>
      <c r="R558" s="5"/>
      <c r="S558" s="5"/>
      <c r="T558" s="5"/>
      <c r="U558" s="5"/>
      <c r="V558" s="5"/>
      <c r="Y558" s="5"/>
      <c r="Z558" s="5"/>
      <c r="AA558" s="5"/>
      <c r="AB558" s="5"/>
      <c r="AC558" s="5"/>
      <c r="AD558" s="5"/>
      <c r="AE558" s="5"/>
      <c r="AF558" s="5"/>
      <c r="AG558" s="5"/>
      <c r="AH558" s="5"/>
      <c r="AI558" s="5"/>
      <c r="AJ558" s="5"/>
      <c r="AK558" s="5"/>
      <c r="AL558" s="5"/>
      <c r="AM558" s="5"/>
      <c r="AN558" s="5"/>
    </row>
    <row r="559" spans="1:40" ht="18.75" customHeight="1">
      <c r="A559" s="5"/>
      <c r="B559" s="5"/>
      <c r="C559" s="5"/>
      <c r="D559" s="5"/>
      <c r="E559" s="5"/>
      <c r="F559" s="5"/>
      <c r="G559" s="5"/>
      <c r="H559" s="5"/>
      <c r="I559" s="5"/>
      <c r="J559" s="5"/>
      <c r="K559" s="5"/>
      <c r="L559" s="5"/>
      <c r="M559" s="5"/>
      <c r="N559" s="5"/>
      <c r="O559" s="5"/>
      <c r="P559" s="5"/>
      <c r="Q559" s="5"/>
      <c r="R559" s="5"/>
      <c r="S559" s="5"/>
      <c r="T559" s="5"/>
      <c r="U559" s="5"/>
      <c r="V559" s="5"/>
      <c r="Y559" s="5"/>
      <c r="Z559" s="5"/>
      <c r="AA559" s="5"/>
      <c r="AB559" s="5"/>
      <c r="AC559" s="5"/>
      <c r="AD559" s="5"/>
      <c r="AE559" s="5"/>
      <c r="AF559" s="5"/>
      <c r="AG559" s="5"/>
      <c r="AH559" s="5"/>
      <c r="AI559" s="5"/>
      <c r="AJ559" s="5"/>
      <c r="AK559" s="5"/>
      <c r="AL559" s="5"/>
      <c r="AM559" s="5"/>
      <c r="AN559" s="5"/>
    </row>
    <row r="560" spans="1:40" ht="18.75" customHeight="1">
      <c r="A560" s="5"/>
      <c r="B560" s="5"/>
      <c r="C560" s="5"/>
      <c r="D560" s="5"/>
      <c r="E560" s="5"/>
      <c r="F560" s="5"/>
      <c r="G560" s="5"/>
      <c r="H560" s="5"/>
      <c r="I560" s="5"/>
      <c r="J560" s="5"/>
      <c r="K560" s="5"/>
      <c r="L560" s="5"/>
      <c r="M560" s="5"/>
      <c r="N560" s="5"/>
      <c r="O560" s="5"/>
      <c r="P560" s="5"/>
      <c r="Q560" s="5"/>
      <c r="R560" s="5"/>
      <c r="S560" s="5"/>
      <c r="T560" s="5"/>
      <c r="U560" s="5"/>
      <c r="V560" s="5"/>
      <c r="Y560" s="5"/>
      <c r="Z560" s="5"/>
      <c r="AA560" s="5"/>
      <c r="AB560" s="5"/>
      <c r="AC560" s="5"/>
      <c r="AD560" s="5"/>
      <c r="AE560" s="5"/>
      <c r="AF560" s="5"/>
      <c r="AG560" s="5"/>
      <c r="AH560" s="5"/>
      <c r="AI560" s="5"/>
      <c r="AJ560" s="5"/>
      <c r="AK560" s="5"/>
      <c r="AL560" s="5"/>
      <c r="AM560" s="5"/>
      <c r="AN560" s="5"/>
    </row>
    <row r="561" spans="1:40" ht="18.75" customHeight="1">
      <c r="A561" s="5"/>
      <c r="B561" s="5"/>
      <c r="C561" s="5"/>
      <c r="D561" s="5"/>
      <c r="E561" s="5"/>
      <c r="F561" s="5"/>
      <c r="G561" s="5"/>
      <c r="H561" s="5"/>
      <c r="I561" s="5"/>
      <c r="J561" s="5"/>
      <c r="K561" s="5"/>
      <c r="L561" s="5"/>
      <c r="M561" s="5"/>
      <c r="N561" s="5"/>
      <c r="O561" s="5"/>
      <c r="P561" s="5"/>
      <c r="Q561" s="5"/>
      <c r="R561" s="5"/>
      <c r="S561" s="5"/>
      <c r="T561" s="5"/>
      <c r="U561" s="5"/>
      <c r="V561" s="5"/>
      <c r="Y561" s="5"/>
      <c r="Z561" s="5"/>
      <c r="AA561" s="5"/>
      <c r="AB561" s="5"/>
      <c r="AC561" s="5"/>
      <c r="AD561" s="5"/>
      <c r="AE561" s="5"/>
      <c r="AF561" s="5"/>
      <c r="AG561" s="5"/>
      <c r="AH561" s="5"/>
      <c r="AI561" s="5"/>
      <c r="AJ561" s="5"/>
      <c r="AK561" s="5"/>
      <c r="AL561" s="5"/>
      <c r="AM561" s="5"/>
      <c r="AN561" s="5"/>
    </row>
    <row r="562" spans="1:40" ht="18.75" customHeight="1">
      <c r="A562" s="5"/>
      <c r="B562" s="5"/>
      <c r="C562" s="5"/>
      <c r="D562" s="5"/>
      <c r="E562" s="5"/>
      <c r="F562" s="5"/>
      <c r="G562" s="5"/>
      <c r="H562" s="5"/>
      <c r="I562" s="5"/>
      <c r="J562" s="5"/>
      <c r="K562" s="5"/>
      <c r="L562" s="5"/>
      <c r="M562" s="5"/>
      <c r="N562" s="5"/>
      <c r="O562" s="5"/>
      <c r="P562" s="5"/>
      <c r="Q562" s="5"/>
      <c r="R562" s="5"/>
      <c r="S562" s="5"/>
      <c r="T562" s="5"/>
      <c r="U562" s="5"/>
      <c r="V562" s="5"/>
      <c r="Y562" s="5"/>
      <c r="Z562" s="5"/>
      <c r="AA562" s="5"/>
      <c r="AB562" s="5"/>
      <c r="AC562" s="5"/>
      <c r="AD562" s="5"/>
      <c r="AE562" s="5"/>
      <c r="AF562" s="5"/>
      <c r="AG562" s="5"/>
      <c r="AH562" s="5"/>
      <c r="AI562" s="5"/>
      <c r="AJ562" s="5"/>
      <c r="AK562" s="5"/>
      <c r="AL562" s="5"/>
      <c r="AM562" s="5"/>
      <c r="AN562" s="5"/>
    </row>
    <row r="563" spans="1:40" ht="18.75" customHeight="1">
      <c r="A563" s="5"/>
      <c r="B563" s="5"/>
      <c r="C563" s="5"/>
      <c r="D563" s="5"/>
      <c r="E563" s="5"/>
      <c r="F563" s="5"/>
      <c r="G563" s="5"/>
      <c r="H563" s="5"/>
      <c r="I563" s="5"/>
      <c r="J563" s="5"/>
      <c r="K563" s="5"/>
      <c r="L563" s="5"/>
      <c r="M563" s="5"/>
      <c r="N563" s="5"/>
      <c r="O563" s="5"/>
      <c r="P563" s="5"/>
      <c r="Q563" s="5"/>
      <c r="R563" s="5"/>
      <c r="S563" s="5"/>
      <c r="T563" s="5"/>
      <c r="U563" s="5"/>
      <c r="V563" s="5"/>
      <c r="Y563" s="5"/>
      <c r="Z563" s="5"/>
      <c r="AA563" s="5"/>
      <c r="AB563" s="5"/>
      <c r="AC563" s="5"/>
      <c r="AD563" s="5"/>
      <c r="AE563" s="5"/>
      <c r="AF563" s="5"/>
      <c r="AG563" s="5"/>
      <c r="AH563" s="5"/>
      <c r="AI563" s="5"/>
      <c r="AJ563" s="5"/>
      <c r="AK563" s="5"/>
      <c r="AL563" s="5"/>
      <c r="AM563" s="5"/>
      <c r="AN563" s="5"/>
    </row>
    <row r="564" spans="1:40" ht="18.75" customHeight="1">
      <c r="A564" s="5"/>
      <c r="B564" s="5"/>
      <c r="C564" s="5"/>
      <c r="D564" s="5"/>
      <c r="E564" s="5"/>
      <c r="F564" s="5"/>
      <c r="G564" s="5"/>
      <c r="H564" s="5"/>
      <c r="I564" s="5"/>
      <c r="J564" s="5"/>
      <c r="K564" s="5"/>
      <c r="L564" s="5"/>
      <c r="M564" s="5"/>
      <c r="N564" s="5"/>
      <c r="O564" s="5"/>
      <c r="P564" s="5"/>
      <c r="Q564" s="5"/>
      <c r="R564" s="5"/>
      <c r="S564" s="5"/>
      <c r="T564" s="5"/>
      <c r="U564" s="5"/>
      <c r="V564" s="5"/>
      <c r="Y564" s="5"/>
      <c r="Z564" s="5"/>
      <c r="AA564" s="5"/>
      <c r="AB564" s="5"/>
      <c r="AC564" s="5"/>
      <c r="AD564" s="5"/>
      <c r="AE564" s="5"/>
      <c r="AF564" s="5"/>
      <c r="AG564" s="5"/>
      <c r="AH564" s="5"/>
      <c r="AI564" s="5"/>
      <c r="AJ564" s="5"/>
      <c r="AK564" s="5"/>
      <c r="AL564" s="5"/>
      <c r="AM564" s="5"/>
      <c r="AN564" s="5"/>
    </row>
    <row r="565" spans="1:40" ht="18.75" customHeight="1">
      <c r="A565" s="5"/>
      <c r="B565" s="5"/>
      <c r="C565" s="5"/>
      <c r="D565" s="5"/>
      <c r="E565" s="5"/>
      <c r="F565" s="5"/>
      <c r="G565" s="5"/>
      <c r="H565" s="5"/>
      <c r="I565" s="5"/>
      <c r="J565" s="5"/>
      <c r="K565" s="5"/>
      <c r="L565" s="5"/>
      <c r="M565" s="5"/>
      <c r="N565" s="5"/>
      <c r="O565" s="5"/>
      <c r="P565" s="5"/>
      <c r="Q565" s="5"/>
      <c r="R565" s="5"/>
      <c r="S565" s="5"/>
      <c r="T565" s="5"/>
      <c r="U565" s="5"/>
      <c r="V565" s="5"/>
      <c r="Y565" s="5"/>
      <c r="Z565" s="5"/>
      <c r="AA565" s="5"/>
      <c r="AB565" s="5"/>
      <c r="AC565" s="5"/>
      <c r="AD565" s="5"/>
      <c r="AE565" s="5"/>
      <c r="AF565" s="5"/>
      <c r="AG565" s="5"/>
      <c r="AH565" s="5"/>
      <c r="AI565" s="5"/>
      <c r="AJ565" s="5"/>
      <c r="AK565" s="5"/>
      <c r="AL565" s="5"/>
      <c r="AM565" s="5"/>
      <c r="AN565" s="5"/>
    </row>
    <row r="566" spans="1:40" ht="18.75" customHeight="1">
      <c r="A566" s="5"/>
      <c r="B566" s="5"/>
      <c r="C566" s="5"/>
      <c r="D566" s="5"/>
      <c r="E566" s="5"/>
      <c r="F566" s="5"/>
      <c r="G566" s="5"/>
      <c r="H566" s="5"/>
      <c r="I566" s="5"/>
      <c r="J566" s="5"/>
      <c r="K566" s="5"/>
      <c r="L566" s="5"/>
      <c r="M566" s="5"/>
      <c r="N566" s="5"/>
      <c r="O566" s="5"/>
      <c r="P566" s="5"/>
      <c r="Q566" s="5"/>
      <c r="R566" s="5"/>
      <c r="S566" s="5"/>
      <c r="T566" s="5"/>
      <c r="U566" s="5"/>
      <c r="V566" s="5"/>
      <c r="Y566" s="5"/>
      <c r="Z566" s="5"/>
      <c r="AA566" s="5"/>
      <c r="AB566" s="5"/>
      <c r="AC566" s="5"/>
      <c r="AD566" s="5"/>
      <c r="AE566" s="5"/>
      <c r="AF566" s="5"/>
      <c r="AG566" s="5"/>
      <c r="AH566" s="5"/>
      <c r="AI566" s="5"/>
      <c r="AJ566" s="5"/>
      <c r="AK566" s="5"/>
      <c r="AL566" s="5"/>
      <c r="AM566" s="5"/>
      <c r="AN566" s="5"/>
    </row>
    <row r="567" spans="1:40" ht="18.75" customHeight="1">
      <c r="A567" s="5"/>
      <c r="B567" s="5"/>
      <c r="C567" s="5"/>
      <c r="D567" s="5"/>
      <c r="E567" s="5"/>
      <c r="F567" s="5"/>
      <c r="G567" s="5"/>
      <c r="H567" s="5"/>
      <c r="I567" s="5"/>
      <c r="J567" s="5"/>
      <c r="K567" s="5"/>
      <c r="L567" s="5"/>
      <c r="M567" s="5"/>
      <c r="N567" s="5"/>
      <c r="O567" s="5"/>
      <c r="P567" s="5"/>
      <c r="Q567" s="5"/>
      <c r="R567" s="5"/>
      <c r="S567" s="5"/>
      <c r="T567" s="5"/>
      <c r="U567" s="5"/>
      <c r="V567" s="5"/>
      <c r="Y567" s="5"/>
      <c r="Z567" s="5"/>
      <c r="AA567" s="5"/>
      <c r="AB567" s="5"/>
      <c r="AC567" s="5"/>
      <c r="AD567" s="5"/>
      <c r="AE567" s="5"/>
      <c r="AF567" s="5"/>
      <c r="AG567" s="5"/>
      <c r="AH567" s="5"/>
      <c r="AI567" s="5"/>
      <c r="AJ567" s="5"/>
      <c r="AK567" s="5"/>
      <c r="AL567" s="5"/>
      <c r="AM567" s="5"/>
      <c r="AN567" s="5"/>
    </row>
    <row r="568" spans="1:40" ht="18.75" customHeight="1">
      <c r="A568" s="5"/>
      <c r="B568" s="5"/>
      <c r="C568" s="5"/>
      <c r="D568" s="5"/>
      <c r="E568" s="5"/>
      <c r="F568" s="5"/>
      <c r="G568" s="5"/>
      <c r="H568" s="5"/>
      <c r="I568" s="5"/>
      <c r="J568" s="5"/>
      <c r="K568" s="5"/>
      <c r="L568" s="5"/>
      <c r="M568" s="5"/>
      <c r="N568" s="5"/>
      <c r="O568" s="5"/>
      <c r="P568" s="5"/>
      <c r="Q568" s="5"/>
      <c r="R568" s="5"/>
      <c r="S568" s="5"/>
      <c r="T568" s="5"/>
      <c r="U568" s="5"/>
      <c r="V568" s="5"/>
      <c r="Y568" s="5"/>
      <c r="Z568" s="5"/>
      <c r="AA568" s="5"/>
      <c r="AB568" s="5"/>
      <c r="AC568" s="5"/>
      <c r="AD568" s="5"/>
      <c r="AE568" s="5"/>
      <c r="AF568" s="5"/>
      <c r="AG568" s="5"/>
      <c r="AH568" s="5"/>
      <c r="AI568" s="5"/>
      <c r="AJ568" s="5"/>
      <c r="AK568" s="5"/>
      <c r="AL568" s="5"/>
      <c r="AM568" s="5"/>
      <c r="AN568" s="5"/>
    </row>
    <row r="569" spans="1:40" ht="18.75" customHeight="1">
      <c r="A569" s="5"/>
      <c r="B569" s="5"/>
      <c r="C569" s="5"/>
      <c r="D569" s="5"/>
      <c r="E569" s="5"/>
      <c r="F569" s="5"/>
      <c r="G569" s="5"/>
      <c r="H569" s="5"/>
      <c r="I569" s="5"/>
      <c r="J569" s="5"/>
      <c r="K569" s="5"/>
      <c r="L569" s="5"/>
      <c r="M569" s="5"/>
      <c r="N569" s="5"/>
      <c r="O569" s="5"/>
      <c r="P569" s="5"/>
      <c r="Q569" s="5"/>
      <c r="R569" s="5"/>
      <c r="S569" s="5"/>
      <c r="T569" s="5"/>
      <c r="U569" s="5"/>
      <c r="V569" s="5"/>
      <c r="Y569" s="5"/>
      <c r="Z569" s="5"/>
      <c r="AA569" s="5"/>
      <c r="AB569" s="5"/>
      <c r="AC569" s="5"/>
      <c r="AD569" s="5"/>
      <c r="AE569" s="5"/>
      <c r="AF569" s="5"/>
      <c r="AG569" s="5"/>
      <c r="AH569" s="5"/>
      <c r="AI569" s="5"/>
      <c r="AJ569" s="5"/>
      <c r="AK569" s="5"/>
      <c r="AL569" s="5"/>
      <c r="AM569" s="5"/>
      <c r="AN569" s="5"/>
    </row>
    <row r="570" spans="1:40" ht="18.75" customHeight="1">
      <c r="A570" s="5"/>
      <c r="B570" s="5"/>
      <c r="C570" s="5"/>
      <c r="D570" s="5"/>
      <c r="E570" s="5"/>
      <c r="F570" s="5"/>
      <c r="G570" s="5"/>
      <c r="H570" s="5"/>
      <c r="I570" s="5"/>
      <c r="J570" s="5"/>
      <c r="K570" s="5"/>
      <c r="L570" s="5"/>
      <c r="M570" s="5"/>
      <c r="N570" s="5"/>
      <c r="O570" s="5"/>
      <c r="P570" s="5"/>
      <c r="Q570" s="5"/>
      <c r="R570" s="5"/>
      <c r="S570" s="5"/>
      <c r="T570" s="5"/>
      <c r="U570" s="5"/>
      <c r="V570" s="5"/>
      <c r="Y570" s="5"/>
      <c r="Z570" s="5"/>
      <c r="AA570" s="5"/>
      <c r="AB570" s="5"/>
      <c r="AC570" s="5"/>
      <c r="AD570" s="5"/>
      <c r="AE570" s="5"/>
      <c r="AF570" s="5"/>
      <c r="AG570" s="5"/>
      <c r="AH570" s="5"/>
      <c r="AI570" s="5"/>
      <c r="AJ570" s="5"/>
      <c r="AK570" s="5"/>
      <c r="AL570" s="5"/>
      <c r="AM570" s="5"/>
      <c r="AN570" s="5"/>
    </row>
    <row r="571" spans="1:40" ht="18.75" customHeight="1">
      <c r="A571" s="5"/>
      <c r="B571" s="5"/>
      <c r="C571" s="5"/>
      <c r="D571" s="5"/>
      <c r="E571" s="5"/>
      <c r="F571" s="5"/>
      <c r="G571" s="5"/>
      <c r="H571" s="5"/>
      <c r="I571" s="5"/>
      <c r="J571" s="5"/>
      <c r="K571" s="5"/>
      <c r="L571" s="5"/>
      <c r="M571" s="5"/>
      <c r="N571" s="5"/>
      <c r="O571" s="5"/>
      <c r="P571" s="5"/>
      <c r="Q571" s="5"/>
      <c r="R571" s="5"/>
      <c r="S571" s="5"/>
      <c r="T571" s="5"/>
      <c r="U571" s="5"/>
      <c r="V571" s="5"/>
      <c r="Y571" s="5"/>
      <c r="Z571" s="5"/>
      <c r="AA571" s="5"/>
      <c r="AB571" s="5"/>
      <c r="AC571" s="5"/>
      <c r="AD571" s="5"/>
      <c r="AE571" s="5"/>
      <c r="AF571" s="5"/>
      <c r="AG571" s="5"/>
      <c r="AH571" s="5"/>
      <c r="AI571" s="5"/>
      <c r="AJ571" s="5"/>
      <c r="AK571" s="5"/>
      <c r="AL571" s="5"/>
      <c r="AM571" s="5"/>
      <c r="AN571" s="5"/>
    </row>
    <row r="572" spans="1:40" ht="18.75" customHeight="1">
      <c r="A572" s="5"/>
      <c r="B572" s="5"/>
      <c r="C572" s="5"/>
      <c r="D572" s="5"/>
      <c r="E572" s="5"/>
      <c r="F572" s="5"/>
      <c r="G572" s="5"/>
      <c r="H572" s="5"/>
      <c r="I572" s="5"/>
      <c r="J572" s="5"/>
      <c r="K572" s="5"/>
      <c r="L572" s="5"/>
      <c r="M572" s="5"/>
      <c r="N572" s="5"/>
      <c r="O572" s="5"/>
      <c r="P572" s="5"/>
      <c r="Q572" s="5"/>
      <c r="R572" s="5"/>
      <c r="S572" s="5"/>
      <c r="T572" s="5"/>
      <c r="U572" s="5"/>
      <c r="V572" s="5"/>
      <c r="Y572" s="5"/>
      <c r="Z572" s="5"/>
      <c r="AA572" s="5"/>
      <c r="AB572" s="5"/>
      <c r="AC572" s="5"/>
      <c r="AD572" s="5"/>
      <c r="AE572" s="5"/>
      <c r="AF572" s="5"/>
      <c r="AG572" s="5"/>
      <c r="AH572" s="5"/>
      <c r="AI572" s="5"/>
      <c r="AJ572" s="5"/>
      <c r="AK572" s="5"/>
      <c r="AL572" s="5"/>
      <c r="AM572" s="5"/>
      <c r="AN572" s="5"/>
    </row>
    <row r="573" spans="1:40" ht="18.75" customHeight="1">
      <c r="A573" s="5"/>
      <c r="B573" s="5"/>
      <c r="C573" s="5"/>
      <c r="D573" s="5"/>
      <c r="E573" s="5"/>
      <c r="F573" s="5"/>
      <c r="G573" s="5"/>
      <c r="H573" s="5"/>
      <c r="I573" s="5"/>
      <c r="J573" s="5"/>
      <c r="K573" s="5"/>
      <c r="L573" s="5"/>
      <c r="M573" s="5"/>
      <c r="N573" s="5"/>
      <c r="O573" s="5"/>
      <c r="P573" s="5"/>
      <c r="Q573" s="5"/>
      <c r="R573" s="5"/>
      <c r="S573" s="5"/>
      <c r="T573" s="5"/>
      <c r="U573" s="5"/>
      <c r="V573" s="5"/>
      <c r="Y573" s="5"/>
      <c r="Z573" s="5"/>
      <c r="AA573" s="5"/>
      <c r="AB573" s="5"/>
      <c r="AC573" s="5"/>
      <c r="AD573" s="5"/>
      <c r="AE573" s="5"/>
      <c r="AF573" s="5"/>
      <c r="AG573" s="5"/>
      <c r="AH573" s="5"/>
      <c r="AI573" s="5"/>
      <c r="AJ573" s="5"/>
      <c r="AK573" s="5"/>
      <c r="AL573" s="5"/>
      <c r="AM573" s="5"/>
      <c r="AN573" s="5"/>
    </row>
    <row r="574" spans="1:40" ht="18.75" customHeight="1">
      <c r="A574" s="5"/>
      <c r="B574" s="5"/>
      <c r="C574" s="5"/>
      <c r="D574" s="5"/>
      <c r="E574" s="5"/>
      <c r="F574" s="5"/>
      <c r="G574" s="5"/>
      <c r="H574" s="5"/>
      <c r="I574" s="5"/>
      <c r="J574" s="5"/>
      <c r="K574" s="5"/>
      <c r="L574" s="5"/>
      <c r="M574" s="5"/>
      <c r="N574" s="5"/>
      <c r="O574" s="5"/>
      <c r="P574" s="5"/>
      <c r="Q574" s="5"/>
      <c r="R574" s="5"/>
      <c r="S574" s="5"/>
      <c r="T574" s="5"/>
      <c r="U574" s="5"/>
      <c r="V574" s="5"/>
      <c r="Y574" s="5"/>
      <c r="Z574" s="5"/>
      <c r="AA574" s="5"/>
      <c r="AB574" s="5"/>
      <c r="AC574" s="5"/>
      <c r="AD574" s="5"/>
      <c r="AE574" s="5"/>
      <c r="AF574" s="5"/>
      <c r="AG574" s="5"/>
      <c r="AH574" s="5"/>
      <c r="AI574" s="5"/>
      <c r="AJ574" s="5"/>
      <c r="AK574" s="5"/>
      <c r="AL574" s="5"/>
      <c r="AM574" s="5"/>
      <c r="AN574" s="5"/>
    </row>
    <row r="575" spans="1:40" ht="18.75" customHeight="1">
      <c r="A575" s="5"/>
      <c r="B575" s="5"/>
      <c r="C575" s="5"/>
      <c r="D575" s="5"/>
      <c r="E575" s="5"/>
      <c r="F575" s="5"/>
      <c r="G575" s="5"/>
      <c r="H575" s="5"/>
      <c r="I575" s="5"/>
      <c r="J575" s="5"/>
      <c r="K575" s="5"/>
      <c r="L575" s="5"/>
      <c r="M575" s="5"/>
      <c r="N575" s="5"/>
      <c r="O575" s="5"/>
      <c r="P575" s="5"/>
      <c r="Q575" s="5"/>
      <c r="R575" s="5"/>
      <c r="S575" s="5"/>
      <c r="T575" s="5"/>
      <c r="U575" s="5"/>
      <c r="V575" s="5"/>
      <c r="Y575" s="5"/>
      <c r="Z575" s="5"/>
      <c r="AA575" s="5"/>
      <c r="AB575" s="5"/>
      <c r="AC575" s="5"/>
      <c r="AD575" s="5"/>
      <c r="AE575" s="5"/>
      <c r="AF575" s="5"/>
      <c r="AG575" s="5"/>
      <c r="AH575" s="5"/>
      <c r="AI575" s="5"/>
      <c r="AJ575" s="5"/>
      <c r="AK575" s="5"/>
      <c r="AL575" s="5"/>
      <c r="AM575" s="5"/>
      <c r="AN575" s="5"/>
    </row>
    <row r="576" spans="1:40" ht="18.75" customHeight="1">
      <c r="A576" s="5"/>
      <c r="B576" s="5"/>
      <c r="C576" s="5"/>
      <c r="D576" s="5"/>
      <c r="E576" s="5"/>
      <c r="F576" s="5"/>
      <c r="G576" s="5"/>
      <c r="H576" s="5"/>
      <c r="I576" s="5"/>
      <c r="J576" s="5"/>
      <c r="K576" s="5"/>
      <c r="L576" s="5"/>
      <c r="M576" s="5"/>
      <c r="N576" s="5"/>
      <c r="O576" s="5"/>
      <c r="P576" s="5"/>
      <c r="Q576" s="5"/>
      <c r="R576" s="5"/>
      <c r="S576" s="5"/>
      <c r="T576" s="5"/>
      <c r="U576" s="5"/>
      <c r="V576" s="5"/>
      <c r="Y576" s="5"/>
      <c r="Z576" s="5"/>
      <c r="AA576" s="5"/>
      <c r="AB576" s="5"/>
      <c r="AC576" s="5"/>
      <c r="AD576" s="5"/>
      <c r="AE576" s="5"/>
      <c r="AF576" s="5"/>
      <c r="AG576" s="5"/>
      <c r="AH576" s="5"/>
      <c r="AI576" s="5"/>
      <c r="AJ576" s="5"/>
      <c r="AK576" s="5"/>
      <c r="AL576" s="5"/>
      <c r="AM576" s="5"/>
      <c r="AN576" s="5"/>
    </row>
    <row r="577" spans="1:40" ht="18.75" customHeight="1">
      <c r="A577" s="5"/>
      <c r="B577" s="5"/>
      <c r="C577" s="5"/>
      <c r="D577" s="5"/>
      <c r="E577" s="5"/>
      <c r="F577" s="5"/>
      <c r="G577" s="5"/>
      <c r="H577" s="5"/>
      <c r="I577" s="5"/>
      <c r="J577" s="5"/>
      <c r="K577" s="5"/>
      <c r="L577" s="5"/>
      <c r="M577" s="5"/>
      <c r="N577" s="5"/>
      <c r="O577" s="5"/>
      <c r="P577" s="5"/>
      <c r="Q577" s="5"/>
      <c r="R577" s="5"/>
      <c r="S577" s="5"/>
      <c r="T577" s="5"/>
      <c r="U577" s="5"/>
      <c r="V577" s="5"/>
      <c r="Y577" s="5"/>
      <c r="Z577" s="5"/>
      <c r="AA577" s="5"/>
      <c r="AB577" s="5"/>
      <c r="AC577" s="5"/>
      <c r="AD577" s="5"/>
      <c r="AE577" s="5"/>
      <c r="AF577" s="5"/>
      <c r="AG577" s="5"/>
      <c r="AH577" s="5"/>
      <c r="AI577" s="5"/>
      <c r="AJ577" s="5"/>
      <c r="AK577" s="5"/>
      <c r="AL577" s="5"/>
      <c r="AM577" s="5"/>
      <c r="AN577" s="5"/>
    </row>
    <row r="578" spans="1:40" ht="18.75" customHeight="1">
      <c r="A578" s="5"/>
      <c r="B578" s="5"/>
      <c r="C578" s="5"/>
      <c r="D578" s="5"/>
      <c r="E578" s="5"/>
      <c r="F578" s="5"/>
      <c r="G578" s="5"/>
      <c r="H578" s="5"/>
      <c r="I578" s="5"/>
      <c r="J578" s="5"/>
      <c r="K578" s="5"/>
      <c r="L578" s="5"/>
      <c r="M578" s="5"/>
      <c r="N578" s="5"/>
      <c r="O578" s="5"/>
      <c r="P578" s="5"/>
      <c r="Q578" s="5"/>
      <c r="R578" s="5"/>
      <c r="S578" s="5"/>
      <c r="T578" s="5"/>
      <c r="U578" s="5"/>
      <c r="V578" s="5"/>
      <c r="Y578" s="5"/>
      <c r="Z578" s="5"/>
      <c r="AA578" s="5"/>
      <c r="AB578" s="5"/>
      <c r="AC578" s="5"/>
      <c r="AD578" s="5"/>
      <c r="AE578" s="5"/>
      <c r="AF578" s="5"/>
      <c r="AG578" s="5"/>
      <c r="AH578" s="5"/>
      <c r="AI578" s="5"/>
      <c r="AJ578" s="5"/>
      <c r="AK578" s="5"/>
      <c r="AL578" s="5"/>
      <c r="AM578" s="5"/>
      <c r="AN578" s="5"/>
    </row>
    <row r="579" spans="1:40" ht="18.75" customHeight="1">
      <c r="A579" s="5"/>
      <c r="B579" s="5"/>
      <c r="C579" s="5"/>
      <c r="D579" s="5"/>
      <c r="E579" s="5"/>
      <c r="F579" s="5"/>
      <c r="G579" s="5"/>
      <c r="H579" s="5"/>
      <c r="I579" s="5"/>
      <c r="J579" s="5"/>
      <c r="K579" s="5"/>
      <c r="L579" s="5"/>
      <c r="M579" s="5"/>
      <c r="N579" s="5"/>
      <c r="O579" s="5"/>
      <c r="P579" s="5"/>
      <c r="Q579" s="5"/>
      <c r="R579" s="5"/>
      <c r="S579" s="5"/>
      <c r="T579" s="5"/>
      <c r="U579" s="5"/>
      <c r="V579" s="5"/>
      <c r="Y579" s="5"/>
      <c r="Z579" s="5"/>
      <c r="AA579" s="5"/>
      <c r="AB579" s="5"/>
      <c r="AC579" s="5"/>
      <c r="AD579" s="5"/>
      <c r="AE579" s="5"/>
      <c r="AF579" s="5"/>
      <c r="AG579" s="5"/>
      <c r="AH579" s="5"/>
      <c r="AI579" s="5"/>
      <c r="AJ579" s="5"/>
      <c r="AK579" s="5"/>
      <c r="AL579" s="5"/>
      <c r="AM579" s="5"/>
      <c r="AN579" s="5"/>
    </row>
    <row r="580" spans="1:40" ht="18.75" customHeight="1">
      <c r="A580" s="5"/>
      <c r="B580" s="5"/>
      <c r="C580" s="5"/>
      <c r="D580" s="5"/>
      <c r="E580" s="5"/>
      <c r="F580" s="5"/>
      <c r="G580" s="5"/>
      <c r="H580" s="5"/>
      <c r="I580" s="5"/>
      <c r="J580" s="5"/>
      <c r="K580" s="5"/>
      <c r="L580" s="5"/>
      <c r="M580" s="5"/>
      <c r="N580" s="5"/>
      <c r="O580" s="5"/>
      <c r="P580" s="5"/>
      <c r="Q580" s="5"/>
      <c r="R580" s="5"/>
      <c r="S580" s="5"/>
      <c r="T580" s="5"/>
      <c r="U580" s="5"/>
      <c r="V580" s="5"/>
      <c r="Y580" s="5"/>
      <c r="Z580" s="5"/>
      <c r="AA580" s="5"/>
      <c r="AB580" s="5"/>
      <c r="AC580" s="5"/>
      <c r="AD580" s="5"/>
      <c r="AE580" s="5"/>
      <c r="AF580" s="5"/>
      <c r="AG580" s="5"/>
      <c r="AH580" s="5"/>
      <c r="AI580" s="5"/>
      <c r="AJ580" s="5"/>
      <c r="AK580" s="5"/>
      <c r="AL580" s="5"/>
      <c r="AM580" s="5"/>
      <c r="AN580" s="5"/>
    </row>
    <row r="581" spans="1:40" ht="18.75" customHeight="1">
      <c r="A581" s="5"/>
      <c r="B581" s="5"/>
      <c r="C581" s="5"/>
      <c r="D581" s="5"/>
      <c r="E581" s="5"/>
      <c r="F581" s="5"/>
      <c r="G581" s="5"/>
      <c r="H581" s="5"/>
      <c r="I581" s="5"/>
      <c r="J581" s="5"/>
      <c r="K581" s="5"/>
      <c r="L581" s="5"/>
      <c r="M581" s="5"/>
      <c r="N581" s="5"/>
      <c r="O581" s="5"/>
      <c r="P581" s="5"/>
      <c r="Q581" s="5"/>
      <c r="R581" s="5"/>
      <c r="S581" s="5"/>
      <c r="T581" s="5"/>
      <c r="U581" s="5"/>
      <c r="V581" s="5"/>
      <c r="Y581" s="5"/>
      <c r="Z581" s="5"/>
      <c r="AA581" s="5"/>
      <c r="AB581" s="5"/>
      <c r="AC581" s="5"/>
      <c r="AD581" s="5"/>
      <c r="AE581" s="5"/>
      <c r="AF581" s="5"/>
      <c r="AG581" s="5"/>
      <c r="AH581" s="5"/>
      <c r="AI581" s="5"/>
      <c r="AJ581" s="5"/>
      <c r="AK581" s="5"/>
      <c r="AL581" s="5"/>
      <c r="AM581" s="5"/>
      <c r="AN581" s="5"/>
    </row>
    <row r="582" spans="1:40" ht="18.75" customHeight="1">
      <c r="A582" s="5"/>
      <c r="B582" s="5"/>
      <c r="C582" s="5"/>
      <c r="D582" s="5"/>
      <c r="E582" s="5"/>
      <c r="F582" s="5"/>
      <c r="G582" s="5"/>
      <c r="H582" s="5"/>
      <c r="I582" s="5"/>
      <c r="J582" s="5"/>
      <c r="K582" s="5"/>
      <c r="L582" s="5"/>
      <c r="M582" s="5"/>
      <c r="N582" s="5"/>
      <c r="O582" s="5"/>
      <c r="P582" s="5"/>
      <c r="Q582" s="5"/>
      <c r="R582" s="5"/>
      <c r="S582" s="5"/>
      <c r="T582" s="5"/>
      <c r="U582" s="5"/>
      <c r="V582" s="5"/>
      <c r="Y582" s="5"/>
      <c r="Z582" s="5"/>
      <c r="AA582" s="5"/>
      <c r="AB582" s="5"/>
      <c r="AC582" s="5"/>
      <c r="AD582" s="5"/>
      <c r="AE582" s="5"/>
      <c r="AF582" s="5"/>
      <c r="AG582" s="5"/>
      <c r="AH582" s="5"/>
      <c r="AI582" s="5"/>
      <c r="AJ582" s="5"/>
      <c r="AK582" s="5"/>
      <c r="AL582" s="5"/>
      <c r="AM582" s="5"/>
      <c r="AN582" s="5"/>
    </row>
    <row r="583" spans="1:40" ht="18.75" customHeight="1">
      <c r="A583" s="5"/>
      <c r="B583" s="5"/>
      <c r="C583" s="5"/>
      <c r="D583" s="5"/>
      <c r="E583" s="5"/>
      <c r="F583" s="5"/>
      <c r="G583" s="5"/>
      <c r="H583" s="5"/>
      <c r="I583" s="5"/>
      <c r="J583" s="5"/>
      <c r="K583" s="5"/>
      <c r="L583" s="5"/>
      <c r="M583" s="5"/>
      <c r="N583" s="5"/>
      <c r="O583" s="5"/>
      <c r="P583" s="5"/>
      <c r="Q583" s="5"/>
      <c r="R583" s="5"/>
      <c r="S583" s="5"/>
      <c r="T583" s="5"/>
      <c r="U583" s="5"/>
      <c r="V583" s="5"/>
      <c r="Y583" s="5"/>
      <c r="Z583" s="5"/>
      <c r="AA583" s="5"/>
      <c r="AB583" s="5"/>
      <c r="AC583" s="5"/>
      <c r="AD583" s="5"/>
      <c r="AE583" s="5"/>
      <c r="AF583" s="5"/>
      <c r="AG583" s="5"/>
      <c r="AH583" s="5"/>
      <c r="AI583" s="5"/>
      <c r="AJ583" s="5"/>
      <c r="AK583" s="5"/>
      <c r="AL583" s="5"/>
      <c r="AM583" s="5"/>
      <c r="AN583" s="5"/>
    </row>
    <row r="584" spans="1:40" ht="18.75" customHeight="1">
      <c r="A584" s="5"/>
      <c r="B584" s="5"/>
      <c r="C584" s="5"/>
      <c r="D584" s="5"/>
      <c r="E584" s="5"/>
      <c r="F584" s="5"/>
      <c r="G584" s="5"/>
      <c r="H584" s="5"/>
      <c r="I584" s="5"/>
      <c r="J584" s="5"/>
      <c r="K584" s="5"/>
      <c r="L584" s="5"/>
      <c r="M584" s="5"/>
      <c r="N584" s="5"/>
      <c r="O584" s="5"/>
      <c r="P584" s="5"/>
      <c r="Q584" s="5"/>
      <c r="R584" s="5"/>
      <c r="S584" s="5"/>
      <c r="T584" s="5"/>
      <c r="U584" s="5"/>
      <c r="V584" s="5"/>
      <c r="Y584" s="5"/>
      <c r="Z584" s="5"/>
      <c r="AA584" s="5"/>
      <c r="AB584" s="5"/>
      <c r="AC584" s="5"/>
      <c r="AD584" s="5"/>
      <c r="AE584" s="5"/>
      <c r="AF584" s="5"/>
      <c r="AG584" s="5"/>
      <c r="AH584" s="5"/>
      <c r="AI584" s="5"/>
      <c r="AJ584" s="5"/>
      <c r="AK584" s="5"/>
      <c r="AL584" s="5"/>
      <c r="AM584" s="5"/>
      <c r="AN584" s="5"/>
    </row>
    <row r="585" spans="1:40" ht="18.75" customHeight="1">
      <c r="A585" s="5"/>
      <c r="B585" s="5"/>
      <c r="C585" s="5"/>
      <c r="D585" s="5"/>
      <c r="E585" s="5"/>
      <c r="F585" s="5"/>
      <c r="G585" s="5"/>
      <c r="H585" s="5"/>
      <c r="I585" s="5"/>
      <c r="J585" s="5"/>
      <c r="K585" s="5"/>
      <c r="L585" s="5"/>
      <c r="M585" s="5"/>
      <c r="N585" s="5"/>
      <c r="O585" s="5"/>
      <c r="P585" s="5"/>
      <c r="Q585" s="5"/>
      <c r="R585" s="5"/>
      <c r="S585" s="5"/>
      <c r="T585" s="5"/>
      <c r="U585" s="5"/>
      <c r="V585" s="5"/>
      <c r="Y585" s="5"/>
      <c r="Z585" s="5"/>
      <c r="AA585" s="5"/>
      <c r="AB585" s="5"/>
      <c r="AC585" s="5"/>
      <c r="AD585" s="5"/>
      <c r="AE585" s="5"/>
      <c r="AF585" s="5"/>
      <c r="AG585" s="5"/>
      <c r="AH585" s="5"/>
      <c r="AI585" s="5"/>
      <c r="AJ585" s="5"/>
      <c r="AK585" s="5"/>
      <c r="AL585" s="5"/>
      <c r="AM585" s="5"/>
      <c r="AN585" s="5"/>
    </row>
    <row r="586" spans="1:40" ht="18.75" customHeight="1">
      <c r="A586" s="5"/>
      <c r="B586" s="5"/>
      <c r="C586" s="5"/>
      <c r="D586" s="5"/>
      <c r="E586" s="5"/>
      <c r="F586" s="5"/>
      <c r="G586" s="5"/>
      <c r="H586" s="5"/>
      <c r="I586" s="5"/>
      <c r="J586" s="5"/>
      <c r="K586" s="5"/>
      <c r="L586" s="5"/>
      <c r="M586" s="5"/>
      <c r="N586" s="5"/>
      <c r="O586" s="5"/>
      <c r="P586" s="5"/>
      <c r="Q586" s="5"/>
      <c r="R586" s="5"/>
      <c r="S586" s="5"/>
      <c r="T586" s="5"/>
      <c r="U586" s="5"/>
      <c r="V586" s="5"/>
      <c r="Y586" s="5"/>
      <c r="Z586" s="5"/>
      <c r="AA586" s="5"/>
      <c r="AB586" s="5"/>
      <c r="AC586" s="5"/>
      <c r="AD586" s="5"/>
      <c r="AE586" s="5"/>
      <c r="AF586" s="5"/>
      <c r="AG586" s="5"/>
      <c r="AH586" s="5"/>
      <c r="AI586" s="5"/>
      <c r="AJ586" s="5"/>
      <c r="AK586" s="5"/>
      <c r="AL586" s="5"/>
      <c r="AM586" s="5"/>
      <c r="AN586" s="5"/>
    </row>
    <row r="587" spans="1:40" ht="18.75" customHeight="1">
      <c r="A587" s="5"/>
      <c r="B587" s="5"/>
      <c r="C587" s="5"/>
      <c r="D587" s="5"/>
      <c r="E587" s="5"/>
      <c r="F587" s="5"/>
      <c r="G587" s="5"/>
      <c r="H587" s="5"/>
      <c r="I587" s="5"/>
      <c r="J587" s="5"/>
      <c r="K587" s="5"/>
      <c r="L587" s="5"/>
      <c r="M587" s="5"/>
      <c r="N587" s="5"/>
      <c r="O587" s="5"/>
      <c r="P587" s="5"/>
      <c r="Q587" s="5"/>
      <c r="R587" s="5"/>
      <c r="S587" s="5"/>
      <c r="T587" s="5"/>
      <c r="U587" s="5"/>
      <c r="V587" s="5"/>
      <c r="Y587" s="5"/>
      <c r="Z587" s="5"/>
      <c r="AA587" s="5"/>
      <c r="AB587" s="5"/>
      <c r="AC587" s="5"/>
      <c r="AD587" s="5"/>
      <c r="AE587" s="5"/>
      <c r="AF587" s="5"/>
      <c r="AG587" s="5"/>
      <c r="AH587" s="5"/>
      <c r="AI587" s="5"/>
      <c r="AJ587" s="5"/>
      <c r="AK587" s="5"/>
      <c r="AL587" s="5"/>
      <c r="AM587" s="5"/>
      <c r="AN587" s="5"/>
    </row>
    <row r="588" spans="1:40" ht="18.75" customHeight="1">
      <c r="A588" s="5"/>
      <c r="B588" s="5"/>
      <c r="C588" s="5"/>
      <c r="D588" s="5"/>
      <c r="E588" s="5"/>
      <c r="F588" s="5"/>
      <c r="G588" s="5"/>
      <c r="H588" s="5"/>
      <c r="I588" s="5"/>
      <c r="J588" s="5"/>
      <c r="K588" s="5"/>
      <c r="L588" s="5"/>
      <c r="M588" s="5"/>
      <c r="N588" s="5"/>
      <c r="O588" s="5"/>
      <c r="P588" s="5"/>
      <c r="Q588" s="5"/>
      <c r="R588" s="5"/>
      <c r="S588" s="5"/>
      <c r="T588" s="5"/>
      <c r="U588" s="5"/>
      <c r="V588" s="5"/>
      <c r="Y588" s="5"/>
      <c r="Z588" s="5"/>
      <c r="AA588" s="5"/>
      <c r="AB588" s="5"/>
      <c r="AC588" s="5"/>
      <c r="AD588" s="5"/>
      <c r="AE588" s="5"/>
      <c r="AF588" s="5"/>
      <c r="AG588" s="5"/>
      <c r="AH588" s="5"/>
      <c r="AI588" s="5"/>
      <c r="AJ588" s="5"/>
      <c r="AK588" s="5"/>
      <c r="AL588" s="5"/>
      <c r="AM588" s="5"/>
      <c r="AN588" s="5"/>
    </row>
    <row r="589" spans="1:40" ht="18.75" customHeight="1">
      <c r="A589" s="5"/>
      <c r="B589" s="5"/>
      <c r="C589" s="5"/>
      <c r="D589" s="5"/>
      <c r="E589" s="5"/>
      <c r="F589" s="5"/>
      <c r="G589" s="5"/>
      <c r="H589" s="5"/>
      <c r="I589" s="5"/>
      <c r="J589" s="5"/>
      <c r="K589" s="5"/>
      <c r="L589" s="5"/>
      <c r="M589" s="5"/>
      <c r="N589" s="5"/>
      <c r="O589" s="5"/>
      <c r="P589" s="5"/>
      <c r="Q589" s="5"/>
      <c r="R589" s="5"/>
      <c r="S589" s="5"/>
      <c r="T589" s="5"/>
      <c r="U589" s="5"/>
      <c r="V589" s="5"/>
      <c r="Y589" s="5"/>
      <c r="Z589" s="5"/>
      <c r="AA589" s="5"/>
      <c r="AB589" s="5"/>
      <c r="AC589" s="5"/>
      <c r="AD589" s="5"/>
      <c r="AE589" s="5"/>
      <c r="AF589" s="5"/>
      <c r="AG589" s="5"/>
      <c r="AH589" s="5"/>
      <c r="AI589" s="5"/>
      <c r="AJ589" s="5"/>
      <c r="AK589" s="5"/>
      <c r="AL589" s="5"/>
      <c r="AM589" s="5"/>
      <c r="AN589" s="5"/>
    </row>
    <row r="590" spans="1:40" ht="18.75" customHeight="1">
      <c r="A590" s="5"/>
      <c r="B590" s="5"/>
      <c r="C590" s="5"/>
      <c r="D590" s="5"/>
      <c r="E590" s="5"/>
      <c r="F590" s="5"/>
      <c r="G590" s="5"/>
      <c r="H590" s="5"/>
      <c r="I590" s="5"/>
      <c r="J590" s="5"/>
      <c r="K590" s="5"/>
      <c r="L590" s="5"/>
      <c r="M590" s="5"/>
      <c r="N590" s="5"/>
      <c r="O590" s="5"/>
      <c r="P590" s="5"/>
      <c r="Q590" s="5"/>
      <c r="R590" s="5"/>
      <c r="S590" s="5"/>
      <c r="T590" s="5"/>
      <c r="U590" s="5"/>
      <c r="V590" s="5"/>
      <c r="Y590" s="5"/>
      <c r="Z590" s="5"/>
      <c r="AA590" s="5"/>
      <c r="AB590" s="5"/>
      <c r="AC590" s="5"/>
      <c r="AD590" s="5"/>
      <c r="AE590" s="5"/>
      <c r="AF590" s="5"/>
      <c r="AG590" s="5"/>
      <c r="AH590" s="5"/>
      <c r="AI590" s="5"/>
      <c r="AJ590" s="5"/>
      <c r="AK590" s="5"/>
      <c r="AL590" s="5"/>
      <c r="AM590" s="5"/>
      <c r="AN590" s="5"/>
    </row>
    <row r="591" spans="1:40" ht="18.75" customHeight="1">
      <c r="A591" s="5"/>
      <c r="B591" s="5"/>
      <c r="C591" s="5"/>
      <c r="D591" s="5"/>
      <c r="E591" s="5"/>
      <c r="F591" s="5"/>
      <c r="G591" s="5"/>
      <c r="H591" s="5"/>
      <c r="I591" s="5"/>
      <c r="J591" s="5"/>
      <c r="K591" s="5"/>
      <c r="L591" s="5"/>
      <c r="M591" s="5"/>
      <c r="N591" s="5"/>
      <c r="O591" s="5"/>
      <c r="P591" s="5"/>
      <c r="Q591" s="5"/>
      <c r="R591" s="5"/>
      <c r="S591" s="5"/>
      <c r="T591" s="5"/>
      <c r="U591" s="5"/>
      <c r="V591" s="5"/>
      <c r="Y591" s="5"/>
      <c r="Z591" s="5"/>
      <c r="AA591" s="5"/>
      <c r="AB591" s="5"/>
      <c r="AC591" s="5"/>
      <c r="AD591" s="5"/>
      <c r="AE591" s="5"/>
      <c r="AF591" s="5"/>
      <c r="AG591" s="5"/>
      <c r="AH591" s="5"/>
      <c r="AI591" s="5"/>
      <c r="AJ591" s="5"/>
      <c r="AK591" s="5"/>
      <c r="AL591" s="5"/>
      <c r="AM591" s="5"/>
      <c r="AN591" s="5"/>
    </row>
    <row r="592" spans="1:40" ht="18.75" customHeight="1">
      <c r="A592" s="5"/>
      <c r="B592" s="5"/>
      <c r="C592" s="5"/>
      <c r="D592" s="5"/>
      <c r="E592" s="5"/>
      <c r="F592" s="5"/>
      <c r="G592" s="5"/>
      <c r="H592" s="5"/>
      <c r="I592" s="5"/>
      <c r="J592" s="5"/>
      <c r="K592" s="5"/>
      <c r="L592" s="5"/>
      <c r="M592" s="5"/>
      <c r="N592" s="5"/>
      <c r="O592" s="5"/>
      <c r="P592" s="5"/>
      <c r="Q592" s="5"/>
      <c r="R592" s="5"/>
      <c r="S592" s="5"/>
      <c r="T592" s="5"/>
      <c r="U592" s="5"/>
      <c r="V592" s="5"/>
      <c r="Y592" s="5"/>
      <c r="Z592" s="5"/>
      <c r="AA592" s="5"/>
      <c r="AB592" s="5"/>
      <c r="AC592" s="5"/>
      <c r="AD592" s="5"/>
      <c r="AE592" s="5"/>
      <c r="AF592" s="5"/>
      <c r="AG592" s="5"/>
      <c r="AH592" s="5"/>
      <c r="AI592" s="5"/>
      <c r="AJ592" s="5"/>
      <c r="AK592" s="5"/>
      <c r="AL592" s="5"/>
      <c r="AM592" s="5"/>
      <c r="AN592" s="5"/>
    </row>
    <row r="593" spans="1:40" ht="18.75" customHeight="1">
      <c r="A593" s="5"/>
      <c r="B593" s="5"/>
      <c r="C593" s="5"/>
      <c r="D593" s="5"/>
      <c r="E593" s="5"/>
      <c r="F593" s="5"/>
      <c r="G593" s="5"/>
      <c r="H593" s="5"/>
      <c r="I593" s="5"/>
      <c r="J593" s="5"/>
      <c r="K593" s="5"/>
      <c r="L593" s="5"/>
      <c r="M593" s="5"/>
      <c r="N593" s="5"/>
      <c r="O593" s="5"/>
      <c r="P593" s="5"/>
      <c r="Q593" s="5"/>
      <c r="R593" s="5"/>
      <c r="S593" s="5"/>
      <c r="T593" s="5"/>
      <c r="U593" s="5"/>
      <c r="V593" s="5"/>
      <c r="Y593" s="5"/>
      <c r="Z593" s="5"/>
      <c r="AA593" s="5"/>
      <c r="AB593" s="5"/>
      <c r="AC593" s="5"/>
      <c r="AD593" s="5"/>
      <c r="AE593" s="5"/>
      <c r="AF593" s="5"/>
      <c r="AG593" s="5"/>
      <c r="AH593" s="5"/>
      <c r="AI593" s="5"/>
      <c r="AJ593" s="5"/>
      <c r="AK593" s="5"/>
      <c r="AL593" s="5"/>
      <c r="AM593" s="5"/>
      <c r="AN593" s="5"/>
    </row>
    <row r="594" spans="1:40" ht="18.75" customHeight="1">
      <c r="A594" s="5"/>
      <c r="B594" s="5"/>
      <c r="C594" s="5"/>
      <c r="D594" s="5"/>
      <c r="E594" s="5"/>
      <c r="F594" s="5"/>
      <c r="G594" s="5"/>
      <c r="H594" s="5"/>
      <c r="I594" s="5"/>
      <c r="J594" s="5"/>
      <c r="K594" s="5"/>
      <c r="L594" s="5"/>
      <c r="M594" s="5"/>
      <c r="N594" s="5"/>
      <c r="O594" s="5"/>
      <c r="P594" s="5"/>
      <c r="Q594" s="5"/>
      <c r="R594" s="5"/>
      <c r="S594" s="5"/>
      <c r="T594" s="5"/>
      <c r="U594" s="5"/>
      <c r="V594" s="5"/>
      <c r="Y594" s="5"/>
      <c r="Z594" s="5"/>
      <c r="AA594" s="5"/>
      <c r="AB594" s="5"/>
      <c r="AC594" s="5"/>
      <c r="AD594" s="5"/>
      <c r="AE594" s="5"/>
      <c r="AF594" s="5"/>
      <c r="AG594" s="5"/>
      <c r="AH594" s="5"/>
      <c r="AI594" s="5"/>
      <c r="AJ594" s="5"/>
      <c r="AK594" s="5"/>
      <c r="AL594" s="5"/>
      <c r="AM594" s="5"/>
      <c r="AN594" s="5"/>
    </row>
    <row r="595" spans="1:40" ht="18.75" customHeight="1">
      <c r="A595" s="5"/>
      <c r="B595" s="5"/>
      <c r="C595" s="5"/>
      <c r="D595" s="5"/>
      <c r="E595" s="5"/>
      <c r="F595" s="5"/>
      <c r="G595" s="5"/>
      <c r="H595" s="5"/>
      <c r="I595" s="5"/>
      <c r="J595" s="5"/>
      <c r="K595" s="5"/>
      <c r="L595" s="5"/>
      <c r="M595" s="5"/>
      <c r="N595" s="5"/>
      <c r="O595" s="5"/>
      <c r="P595" s="5"/>
      <c r="Q595" s="5"/>
      <c r="R595" s="5"/>
      <c r="S595" s="5"/>
      <c r="T595" s="5"/>
      <c r="U595" s="5"/>
      <c r="V595" s="5"/>
      <c r="Y595" s="5"/>
      <c r="Z595" s="5"/>
      <c r="AA595" s="5"/>
      <c r="AB595" s="5"/>
      <c r="AC595" s="5"/>
      <c r="AD595" s="5"/>
      <c r="AE595" s="5"/>
      <c r="AF595" s="5"/>
      <c r="AG595" s="5"/>
      <c r="AH595" s="5"/>
      <c r="AI595" s="5"/>
      <c r="AJ595" s="5"/>
      <c r="AK595" s="5"/>
      <c r="AL595" s="5"/>
      <c r="AM595" s="5"/>
      <c r="AN595" s="5"/>
    </row>
    <row r="596" spans="1:40" ht="18.75" customHeight="1">
      <c r="A596" s="5"/>
      <c r="B596" s="5"/>
      <c r="C596" s="5"/>
      <c r="D596" s="5"/>
      <c r="E596" s="5"/>
      <c r="F596" s="5"/>
      <c r="G596" s="5"/>
      <c r="H596" s="5"/>
      <c r="I596" s="5"/>
      <c r="J596" s="5"/>
      <c r="K596" s="5"/>
      <c r="L596" s="5"/>
      <c r="M596" s="5"/>
      <c r="N596" s="5"/>
      <c r="O596" s="5"/>
      <c r="P596" s="5"/>
      <c r="Q596" s="5"/>
      <c r="R596" s="5"/>
      <c r="S596" s="5"/>
      <c r="T596" s="5"/>
      <c r="U596" s="5"/>
      <c r="V596" s="5"/>
      <c r="Y596" s="5"/>
      <c r="Z596" s="5"/>
      <c r="AA596" s="5"/>
      <c r="AB596" s="5"/>
      <c r="AC596" s="5"/>
      <c r="AD596" s="5"/>
      <c r="AE596" s="5"/>
      <c r="AF596" s="5"/>
      <c r="AG596" s="5"/>
      <c r="AH596" s="5"/>
      <c r="AI596" s="5"/>
      <c r="AJ596" s="5"/>
      <c r="AK596" s="5"/>
      <c r="AL596" s="5"/>
      <c r="AM596" s="5"/>
      <c r="AN596" s="5"/>
    </row>
    <row r="597" spans="1:40" ht="18.75" customHeight="1">
      <c r="A597" s="5"/>
      <c r="B597" s="5"/>
      <c r="C597" s="5"/>
      <c r="D597" s="5"/>
      <c r="E597" s="5"/>
      <c r="F597" s="5"/>
      <c r="G597" s="5"/>
      <c r="H597" s="5"/>
      <c r="I597" s="5"/>
      <c r="J597" s="5"/>
      <c r="K597" s="5"/>
      <c r="L597" s="5"/>
      <c r="M597" s="5"/>
      <c r="N597" s="5"/>
      <c r="O597" s="5"/>
      <c r="P597" s="5"/>
      <c r="Q597" s="5"/>
      <c r="R597" s="5"/>
      <c r="S597" s="5"/>
      <c r="T597" s="5"/>
      <c r="U597" s="5"/>
      <c r="V597" s="5"/>
      <c r="Y597" s="5"/>
      <c r="Z597" s="5"/>
      <c r="AA597" s="5"/>
      <c r="AB597" s="5"/>
      <c r="AC597" s="5"/>
      <c r="AD597" s="5"/>
      <c r="AE597" s="5"/>
      <c r="AF597" s="5"/>
      <c r="AG597" s="5"/>
      <c r="AH597" s="5"/>
      <c r="AI597" s="5"/>
      <c r="AJ597" s="5"/>
      <c r="AK597" s="5"/>
      <c r="AL597" s="5"/>
      <c r="AM597" s="5"/>
      <c r="AN597" s="5"/>
    </row>
    <row r="598" spans="1:40" ht="18.75" customHeight="1">
      <c r="A598" s="5"/>
      <c r="B598" s="5"/>
      <c r="C598" s="5"/>
      <c r="D598" s="5"/>
      <c r="E598" s="5"/>
      <c r="F598" s="5"/>
      <c r="G598" s="5"/>
      <c r="H598" s="5"/>
      <c r="I598" s="5"/>
      <c r="J598" s="5"/>
      <c r="K598" s="5"/>
      <c r="L598" s="5"/>
      <c r="M598" s="5"/>
      <c r="N598" s="5"/>
      <c r="O598" s="5"/>
      <c r="P598" s="5"/>
      <c r="Q598" s="5"/>
      <c r="R598" s="5"/>
      <c r="S598" s="5"/>
      <c r="T598" s="5"/>
      <c r="U598" s="5"/>
      <c r="V598" s="5"/>
      <c r="Y598" s="5"/>
      <c r="Z598" s="5"/>
      <c r="AA598" s="5"/>
      <c r="AB598" s="5"/>
      <c r="AC598" s="5"/>
      <c r="AD598" s="5"/>
      <c r="AE598" s="5"/>
      <c r="AF598" s="5"/>
      <c r="AG598" s="5"/>
      <c r="AH598" s="5"/>
      <c r="AI598" s="5"/>
      <c r="AJ598" s="5"/>
      <c r="AK598" s="5"/>
      <c r="AL598" s="5"/>
      <c r="AM598" s="5"/>
      <c r="AN598" s="5"/>
    </row>
    <row r="599" spans="1:40" ht="18.75" customHeight="1">
      <c r="A599" s="5"/>
      <c r="B599" s="5"/>
      <c r="C599" s="5"/>
      <c r="D599" s="5"/>
      <c r="E599" s="5"/>
      <c r="F599" s="5"/>
      <c r="G599" s="5"/>
      <c r="H599" s="5"/>
      <c r="I599" s="5"/>
      <c r="J599" s="5"/>
      <c r="K599" s="5"/>
      <c r="L599" s="5"/>
      <c r="M599" s="5"/>
      <c r="N599" s="5"/>
      <c r="O599" s="5"/>
      <c r="P599" s="5"/>
      <c r="Q599" s="5"/>
      <c r="R599" s="5"/>
      <c r="S599" s="5"/>
      <c r="T599" s="5"/>
      <c r="U599" s="5"/>
      <c r="V599" s="5"/>
      <c r="Y599" s="5"/>
      <c r="Z599" s="5"/>
      <c r="AA599" s="5"/>
      <c r="AB599" s="5"/>
      <c r="AC599" s="5"/>
      <c r="AD599" s="5"/>
      <c r="AE599" s="5"/>
      <c r="AF599" s="5"/>
      <c r="AG599" s="5"/>
      <c r="AH599" s="5"/>
      <c r="AI599" s="5"/>
      <c r="AJ599" s="5"/>
      <c r="AK599" s="5"/>
      <c r="AL599" s="5"/>
      <c r="AM599" s="5"/>
      <c r="AN599" s="5"/>
    </row>
    <row r="600" spans="1:40" ht="18.75" customHeight="1">
      <c r="A600" s="5"/>
      <c r="B600" s="5"/>
      <c r="C600" s="5"/>
      <c r="D600" s="5"/>
      <c r="E600" s="5"/>
      <c r="F600" s="5"/>
      <c r="G600" s="5"/>
      <c r="H600" s="5"/>
      <c r="I600" s="5"/>
      <c r="J600" s="5"/>
      <c r="K600" s="5"/>
      <c r="L600" s="5"/>
      <c r="M600" s="5"/>
      <c r="N600" s="5"/>
      <c r="O600" s="5"/>
      <c r="P600" s="5"/>
      <c r="Q600" s="5"/>
      <c r="R600" s="5"/>
      <c r="S600" s="5"/>
      <c r="T600" s="5"/>
      <c r="U600" s="5"/>
      <c r="V600" s="5"/>
      <c r="Y600" s="5"/>
      <c r="Z600" s="5"/>
      <c r="AA600" s="5"/>
      <c r="AB600" s="5"/>
      <c r="AC600" s="5"/>
      <c r="AD600" s="5"/>
      <c r="AE600" s="5"/>
      <c r="AF600" s="5"/>
      <c r="AG600" s="5"/>
      <c r="AH600" s="5"/>
      <c r="AI600" s="5"/>
      <c r="AJ600" s="5"/>
      <c r="AK600" s="5"/>
      <c r="AL600" s="5"/>
      <c r="AM600" s="5"/>
      <c r="AN600" s="5"/>
    </row>
    <row r="601" spans="1:40" ht="18.75" customHeight="1">
      <c r="A601" s="5"/>
      <c r="B601" s="5"/>
      <c r="C601" s="5"/>
      <c r="D601" s="5"/>
      <c r="E601" s="5"/>
      <c r="F601" s="5"/>
      <c r="G601" s="5"/>
      <c r="H601" s="5"/>
      <c r="I601" s="5"/>
      <c r="J601" s="5"/>
      <c r="K601" s="5"/>
      <c r="L601" s="5"/>
      <c r="M601" s="5"/>
      <c r="N601" s="5"/>
      <c r="O601" s="5"/>
      <c r="P601" s="5"/>
      <c r="Q601" s="5"/>
      <c r="R601" s="5"/>
      <c r="S601" s="5"/>
      <c r="T601" s="5"/>
      <c r="U601" s="5"/>
      <c r="V601" s="5"/>
      <c r="Y601" s="5"/>
      <c r="Z601" s="5"/>
      <c r="AA601" s="5"/>
      <c r="AB601" s="5"/>
      <c r="AC601" s="5"/>
      <c r="AD601" s="5"/>
      <c r="AE601" s="5"/>
      <c r="AF601" s="5"/>
      <c r="AG601" s="5"/>
      <c r="AH601" s="5"/>
      <c r="AI601" s="5"/>
      <c r="AJ601" s="5"/>
      <c r="AK601" s="5"/>
      <c r="AL601" s="5"/>
      <c r="AM601" s="5"/>
      <c r="AN601" s="5"/>
    </row>
    <row r="602" spans="1:40" ht="18.75" customHeight="1">
      <c r="A602" s="5"/>
      <c r="B602" s="5"/>
      <c r="C602" s="5"/>
      <c r="D602" s="5"/>
      <c r="E602" s="5"/>
      <c r="F602" s="5"/>
      <c r="G602" s="5"/>
      <c r="H602" s="5"/>
      <c r="I602" s="5"/>
      <c r="J602" s="5"/>
      <c r="K602" s="5"/>
      <c r="L602" s="5"/>
      <c r="M602" s="5"/>
      <c r="N602" s="5"/>
      <c r="O602" s="5"/>
      <c r="P602" s="5"/>
      <c r="Q602" s="5"/>
      <c r="R602" s="5"/>
      <c r="S602" s="5"/>
      <c r="T602" s="5"/>
      <c r="U602" s="5"/>
      <c r="V602" s="5"/>
      <c r="Y602" s="5"/>
      <c r="Z602" s="5"/>
      <c r="AA602" s="5"/>
      <c r="AB602" s="5"/>
      <c r="AC602" s="5"/>
      <c r="AD602" s="5"/>
      <c r="AE602" s="5"/>
      <c r="AF602" s="5"/>
      <c r="AG602" s="5"/>
      <c r="AH602" s="5"/>
      <c r="AI602" s="5"/>
      <c r="AJ602" s="5"/>
      <c r="AK602" s="5"/>
      <c r="AL602" s="5"/>
      <c r="AM602" s="5"/>
      <c r="AN602" s="5"/>
    </row>
    <row r="603" spans="1:40" ht="18.75" customHeight="1">
      <c r="A603" s="5"/>
      <c r="B603" s="5"/>
      <c r="C603" s="5"/>
      <c r="D603" s="5"/>
      <c r="E603" s="5"/>
      <c r="F603" s="5"/>
      <c r="G603" s="5"/>
      <c r="H603" s="5"/>
      <c r="I603" s="5"/>
      <c r="J603" s="5"/>
      <c r="K603" s="5"/>
      <c r="L603" s="5"/>
      <c r="M603" s="5"/>
      <c r="N603" s="5"/>
      <c r="O603" s="5"/>
      <c r="P603" s="5"/>
      <c r="Q603" s="5"/>
      <c r="R603" s="5"/>
      <c r="S603" s="5"/>
      <c r="T603" s="5"/>
      <c r="U603" s="5"/>
      <c r="V603" s="5"/>
      <c r="Y603" s="5"/>
      <c r="Z603" s="5"/>
      <c r="AA603" s="5"/>
      <c r="AB603" s="5"/>
      <c r="AC603" s="5"/>
      <c r="AD603" s="5"/>
      <c r="AE603" s="5"/>
      <c r="AF603" s="5"/>
      <c r="AG603" s="5"/>
      <c r="AH603" s="5"/>
      <c r="AI603" s="5"/>
      <c r="AJ603" s="5"/>
      <c r="AK603" s="5"/>
      <c r="AL603" s="5"/>
      <c r="AM603" s="5"/>
      <c r="AN603" s="5"/>
    </row>
    <row r="604" spans="1:40" ht="18.75" customHeight="1">
      <c r="A604" s="5"/>
      <c r="B604" s="5"/>
      <c r="C604" s="5"/>
      <c r="D604" s="5"/>
      <c r="E604" s="5"/>
      <c r="F604" s="5"/>
      <c r="G604" s="5"/>
      <c r="H604" s="5"/>
      <c r="I604" s="5"/>
      <c r="J604" s="5"/>
      <c r="K604" s="5"/>
      <c r="L604" s="5"/>
      <c r="M604" s="5"/>
      <c r="N604" s="5"/>
      <c r="O604" s="5"/>
      <c r="P604" s="5"/>
      <c r="Q604" s="5"/>
      <c r="R604" s="5"/>
      <c r="S604" s="5"/>
      <c r="T604" s="5"/>
      <c r="U604" s="5"/>
      <c r="V604" s="5"/>
      <c r="Y604" s="5"/>
      <c r="Z604" s="5"/>
      <c r="AA604" s="5"/>
      <c r="AB604" s="5"/>
      <c r="AC604" s="5"/>
      <c r="AD604" s="5"/>
      <c r="AE604" s="5"/>
      <c r="AF604" s="5"/>
      <c r="AG604" s="5"/>
      <c r="AH604" s="5"/>
      <c r="AI604" s="5"/>
      <c r="AJ604" s="5"/>
      <c r="AK604" s="5"/>
      <c r="AL604" s="5"/>
      <c r="AM604" s="5"/>
      <c r="AN604" s="5"/>
    </row>
    <row r="605" spans="1:40" ht="18.75" customHeight="1">
      <c r="A605" s="5"/>
      <c r="B605" s="5"/>
      <c r="C605" s="5"/>
      <c r="D605" s="5"/>
      <c r="E605" s="5"/>
      <c r="F605" s="5"/>
      <c r="G605" s="5"/>
      <c r="H605" s="5"/>
      <c r="I605" s="5"/>
      <c r="J605" s="5"/>
      <c r="K605" s="5"/>
      <c r="L605" s="5"/>
      <c r="M605" s="5"/>
      <c r="N605" s="5"/>
      <c r="O605" s="5"/>
      <c r="P605" s="5"/>
      <c r="Q605" s="5"/>
      <c r="R605" s="5"/>
      <c r="S605" s="5"/>
      <c r="T605" s="5"/>
      <c r="U605" s="5"/>
      <c r="V605" s="5"/>
      <c r="Y605" s="5"/>
      <c r="Z605" s="5"/>
      <c r="AA605" s="5"/>
      <c r="AB605" s="5"/>
      <c r="AC605" s="5"/>
      <c r="AD605" s="5"/>
      <c r="AE605" s="5"/>
      <c r="AF605" s="5"/>
      <c r="AG605" s="5"/>
      <c r="AH605" s="5"/>
      <c r="AI605" s="5"/>
      <c r="AJ605" s="5"/>
      <c r="AK605" s="5"/>
      <c r="AL605" s="5"/>
      <c r="AM605" s="5"/>
      <c r="AN605" s="5"/>
    </row>
    <row r="606" spans="1:40" ht="18.75" customHeight="1">
      <c r="A606" s="5"/>
      <c r="B606" s="5"/>
      <c r="C606" s="5"/>
      <c r="D606" s="5"/>
      <c r="E606" s="5"/>
      <c r="F606" s="5"/>
      <c r="G606" s="5"/>
      <c r="H606" s="5"/>
      <c r="I606" s="5"/>
      <c r="J606" s="5"/>
      <c r="K606" s="5"/>
      <c r="L606" s="5"/>
      <c r="M606" s="5"/>
      <c r="N606" s="5"/>
      <c r="O606" s="5"/>
      <c r="P606" s="5"/>
      <c r="Q606" s="5"/>
      <c r="R606" s="5"/>
      <c r="S606" s="5"/>
      <c r="T606" s="5"/>
      <c r="U606" s="5"/>
      <c r="V606" s="5"/>
      <c r="Y606" s="5"/>
      <c r="Z606" s="5"/>
      <c r="AA606" s="5"/>
      <c r="AB606" s="5"/>
      <c r="AC606" s="5"/>
      <c r="AD606" s="5"/>
      <c r="AE606" s="5"/>
      <c r="AF606" s="5"/>
      <c r="AG606" s="5"/>
      <c r="AH606" s="5"/>
      <c r="AI606" s="5"/>
      <c r="AJ606" s="5"/>
      <c r="AK606" s="5"/>
      <c r="AL606" s="5"/>
      <c r="AM606" s="5"/>
      <c r="AN606" s="5"/>
    </row>
    <row r="607" spans="1:40" ht="18.75" customHeight="1">
      <c r="A607" s="5"/>
      <c r="B607" s="5"/>
      <c r="C607" s="5"/>
      <c r="D607" s="5"/>
      <c r="E607" s="5"/>
      <c r="F607" s="5"/>
      <c r="G607" s="5"/>
      <c r="H607" s="5"/>
      <c r="I607" s="5"/>
      <c r="J607" s="5"/>
      <c r="K607" s="5"/>
      <c r="L607" s="5"/>
      <c r="M607" s="5"/>
      <c r="N607" s="5"/>
      <c r="O607" s="5"/>
      <c r="P607" s="5"/>
      <c r="Q607" s="5"/>
      <c r="R607" s="5"/>
      <c r="S607" s="5"/>
      <c r="T607" s="5"/>
      <c r="U607" s="5"/>
      <c r="V607" s="5"/>
      <c r="Y607" s="5"/>
      <c r="Z607" s="5"/>
      <c r="AA607" s="5"/>
      <c r="AB607" s="5"/>
      <c r="AC607" s="5"/>
      <c r="AD607" s="5"/>
      <c r="AE607" s="5"/>
      <c r="AF607" s="5"/>
      <c r="AG607" s="5"/>
      <c r="AH607" s="5"/>
      <c r="AI607" s="5"/>
      <c r="AJ607" s="5"/>
      <c r="AK607" s="5"/>
      <c r="AL607" s="5"/>
      <c r="AM607" s="5"/>
      <c r="AN607" s="5"/>
    </row>
    <row r="608" spans="1:40" ht="18.75" customHeight="1">
      <c r="A608" s="5"/>
      <c r="B608" s="5"/>
      <c r="C608" s="5"/>
      <c r="D608" s="5"/>
      <c r="E608" s="5"/>
      <c r="F608" s="5"/>
      <c r="G608" s="5"/>
      <c r="H608" s="5"/>
      <c r="I608" s="5"/>
      <c r="J608" s="5"/>
      <c r="K608" s="5"/>
      <c r="L608" s="5"/>
      <c r="M608" s="5"/>
      <c r="N608" s="5"/>
      <c r="O608" s="5"/>
      <c r="P608" s="5"/>
      <c r="Q608" s="5"/>
      <c r="R608" s="5"/>
      <c r="S608" s="5"/>
      <c r="T608" s="5"/>
      <c r="U608" s="5"/>
      <c r="V608" s="5"/>
      <c r="Y608" s="5"/>
      <c r="Z608" s="5"/>
      <c r="AA608" s="5"/>
      <c r="AB608" s="5"/>
      <c r="AC608" s="5"/>
      <c r="AD608" s="5"/>
      <c r="AE608" s="5"/>
      <c r="AF608" s="5"/>
      <c r="AG608" s="5"/>
      <c r="AH608" s="5"/>
      <c r="AI608" s="5"/>
      <c r="AJ608" s="5"/>
      <c r="AK608" s="5"/>
      <c r="AL608" s="5"/>
      <c r="AM608" s="5"/>
      <c r="AN608" s="5"/>
    </row>
    <row r="609" spans="1:40" ht="18.75" customHeight="1">
      <c r="A609" s="5"/>
      <c r="B609" s="5"/>
      <c r="C609" s="5"/>
      <c r="D609" s="5"/>
      <c r="E609" s="5"/>
      <c r="F609" s="5"/>
      <c r="G609" s="5"/>
      <c r="H609" s="5"/>
      <c r="I609" s="5"/>
      <c r="J609" s="5"/>
      <c r="K609" s="5"/>
      <c r="L609" s="5"/>
      <c r="M609" s="5"/>
      <c r="N609" s="5"/>
      <c r="O609" s="5"/>
      <c r="P609" s="5"/>
      <c r="Q609" s="5"/>
      <c r="R609" s="5"/>
      <c r="S609" s="5"/>
      <c r="T609" s="5"/>
      <c r="U609" s="5"/>
      <c r="V609" s="5"/>
      <c r="Y609" s="5"/>
      <c r="Z609" s="5"/>
      <c r="AA609" s="5"/>
      <c r="AB609" s="5"/>
      <c r="AC609" s="5"/>
      <c r="AD609" s="5"/>
      <c r="AE609" s="5"/>
      <c r="AF609" s="5"/>
      <c r="AG609" s="5"/>
      <c r="AH609" s="5"/>
      <c r="AI609" s="5"/>
      <c r="AJ609" s="5"/>
      <c r="AK609" s="5"/>
      <c r="AL609" s="5"/>
      <c r="AM609" s="5"/>
      <c r="AN609" s="5"/>
    </row>
    <row r="610" spans="1:40" ht="18.75" customHeight="1">
      <c r="A610" s="5"/>
      <c r="B610" s="5"/>
      <c r="C610" s="5"/>
      <c r="D610" s="5"/>
      <c r="E610" s="5"/>
      <c r="F610" s="5"/>
      <c r="G610" s="5"/>
      <c r="H610" s="5"/>
      <c r="I610" s="5"/>
      <c r="J610" s="5"/>
      <c r="K610" s="5"/>
      <c r="L610" s="5"/>
      <c r="M610" s="5"/>
      <c r="N610" s="5"/>
      <c r="O610" s="5"/>
      <c r="P610" s="5"/>
      <c r="Q610" s="5"/>
      <c r="R610" s="5"/>
      <c r="S610" s="5"/>
      <c r="T610" s="5"/>
      <c r="U610" s="5"/>
      <c r="V610" s="5"/>
      <c r="Y610" s="5"/>
      <c r="Z610" s="5"/>
      <c r="AA610" s="5"/>
      <c r="AB610" s="5"/>
      <c r="AC610" s="5"/>
      <c r="AD610" s="5"/>
      <c r="AE610" s="5"/>
      <c r="AF610" s="5"/>
      <c r="AG610" s="5"/>
      <c r="AH610" s="5"/>
      <c r="AI610" s="5"/>
      <c r="AJ610" s="5"/>
      <c r="AK610" s="5"/>
      <c r="AL610" s="5"/>
      <c r="AM610" s="5"/>
      <c r="AN610" s="5"/>
    </row>
    <row r="611" spans="1:40" ht="18.75" customHeight="1">
      <c r="A611" s="5"/>
      <c r="B611" s="5"/>
      <c r="C611" s="5"/>
      <c r="D611" s="5"/>
      <c r="E611" s="5"/>
      <c r="F611" s="5"/>
      <c r="G611" s="5"/>
      <c r="H611" s="5"/>
      <c r="I611" s="5"/>
      <c r="J611" s="5"/>
      <c r="K611" s="5"/>
      <c r="L611" s="5"/>
      <c r="M611" s="5"/>
      <c r="N611" s="5"/>
      <c r="O611" s="5"/>
      <c r="P611" s="5"/>
      <c r="Q611" s="5"/>
      <c r="R611" s="5"/>
      <c r="S611" s="5"/>
      <c r="T611" s="5"/>
      <c r="U611" s="5"/>
      <c r="V611" s="5"/>
      <c r="Y611" s="5"/>
      <c r="Z611" s="5"/>
      <c r="AA611" s="5"/>
      <c r="AB611" s="5"/>
      <c r="AC611" s="5"/>
      <c r="AD611" s="5"/>
      <c r="AE611" s="5"/>
      <c r="AF611" s="5"/>
      <c r="AG611" s="5"/>
      <c r="AH611" s="5"/>
      <c r="AI611" s="5"/>
      <c r="AJ611" s="5"/>
      <c r="AK611" s="5"/>
      <c r="AL611" s="5"/>
      <c r="AM611" s="5"/>
      <c r="AN611" s="5"/>
    </row>
    <row r="612" spans="1:40" ht="18.75" customHeight="1">
      <c r="A612" s="5"/>
      <c r="B612" s="5"/>
      <c r="C612" s="5"/>
      <c r="D612" s="5"/>
      <c r="E612" s="5"/>
      <c r="F612" s="5"/>
      <c r="G612" s="5"/>
      <c r="H612" s="5"/>
      <c r="I612" s="5"/>
      <c r="J612" s="5"/>
      <c r="K612" s="5"/>
      <c r="L612" s="5"/>
      <c r="M612" s="5"/>
      <c r="N612" s="5"/>
      <c r="O612" s="5"/>
      <c r="P612" s="5"/>
      <c r="Q612" s="5"/>
      <c r="R612" s="5"/>
      <c r="S612" s="5"/>
      <c r="T612" s="5"/>
      <c r="U612" s="5"/>
      <c r="V612" s="5"/>
      <c r="Y612" s="5"/>
      <c r="Z612" s="5"/>
      <c r="AA612" s="5"/>
      <c r="AB612" s="5"/>
      <c r="AC612" s="5"/>
      <c r="AD612" s="5"/>
      <c r="AE612" s="5"/>
      <c r="AF612" s="5"/>
      <c r="AG612" s="5"/>
      <c r="AH612" s="5"/>
      <c r="AI612" s="5"/>
      <c r="AJ612" s="5"/>
      <c r="AK612" s="5"/>
      <c r="AL612" s="5"/>
      <c r="AM612" s="5"/>
      <c r="AN612" s="5"/>
    </row>
    <row r="613" spans="1:40" ht="18.75" customHeight="1">
      <c r="A613" s="5"/>
      <c r="B613" s="5"/>
      <c r="C613" s="5"/>
      <c r="D613" s="5"/>
      <c r="E613" s="5"/>
      <c r="F613" s="5"/>
      <c r="G613" s="5"/>
      <c r="H613" s="5"/>
      <c r="I613" s="5"/>
      <c r="J613" s="5"/>
      <c r="K613" s="5"/>
      <c r="L613" s="5"/>
      <c r="M613" s="5"/>
      <c r="N613" s="5"/>
      <c r="O613" s="5"/>
      <c r="P613" s="5"/>
      <c r="Q613" s="5"/>
      <c r="R613" s="5"/>
      <c r="S613" s="5"/>
      <c r="T613" s="5"/>
      <c r="U613" s="5"/>
      <c r="V613" s="5"/>
      <c r="Y613" s="5"/>
      <c r="Z613" s="5"/>
      <c r="AA613" s="5"/>
      <c r="AB613" s="5"/>
      <c r="AC613" s="5"/>
      <c r="AD613" s="5"/>
      <c r="AE613" s="5"/>
      <c r="AF613" s="5"/>
      <c r="AG613" s="5"/>
      <c r="AH613" s="5"/>
      <c r="AI613" s="5"/>
      <c r="AJ613" s="5"/>
      <c r="AK613" s="5"/>
      <c r="AL613" s="5"/>
      <c r="AM613" s="5"/>
      <c r="AN613" s="5"/>
    </row>
    <row r="614" spans="1:40" ht="18.75" customHeight="1">
      <c r="A614" s="5"/>
      <c r="B614" s="5"/>
      <c r="C614" s="5"/>
      <c r="D614" s="5"/>
      <c r="E614" s="5"/>
      <c r="F614" s="5"/>
      <c r="G614" s="5"/>
      <c r="H614" s="5"/>
      <c r="I614" s="5"/>
      <c r="J614" s="5"/>
      <c r="K614" s="5"/>
      <c r="L614" s="5"/>
      <c r="M614" s="5"/>
      <c r="N614" s="5"/>
      <c r="O614" s="5"/>
      <c r="P614" s="5"/>
      <c r="Q614" s="5"/>
      <c r="R614" s="5"/>
      <c r="S614" s="5"/>
      <c r="T614" s="5"/>
      <c r="U614" s="5"/>
      <c r="V614" s="5"/>
      <c r="Y614" s="5"/>
      <c r="Z614" s="5"/>
      <c r="AA614" s="5"/>
      <c r="AB614" s="5"/>
      <c r="AC614" s="5"/>
      <c r="AD614" s="5"/>
      <c r="AE614" s="5"/>
      <c r="AF614" s="5"/>
      <c r="AG614" s="5"/>
      <c r="AH614" s="5"/>
      <c r="AI614" s="5"/>
      <c r="AJ614" s="5"/>
      <c r="AK614" s="5"/>
      <c r="AL614" s="5"/>
      <c r="AM614" s="5"/>
      <c r="AN614" s="5"/>
    </row>
    <row r="615" spans="1:40" ht="18.75" customHeight="1">
      <c r="A615" s="5"/>
      <c r="B615" s="5"/>
      <c r="C615" s="5"/>
      <c r="D615" s="5"/>
      <c r="E615" s="5"/>
      <c r="F615" s="5"/>
      <c r="G615" s="5"/>
      <c r="H615" s="5"/>
      <c r="I615" s="5"/>
      <c r="J615" s="5"/>
      <c r="K615" s="5"/>
      <c r="L615" s="5"/>
      <c r="M615" s="5"/>
      <c r="N615" s="5"/>
      <c r="O615" s="5"/>
      <c r="P615" s="5"/>
      <c r="Q615" s="5"/>
      <c r="R615" s="5"/>
      <c r="S615" s="5"/>
      <c r="T615" s="5"/>
      <c r="U615" s="5"/>
      <c r="V615" s="5"/>
      <c r="Y615" s="5"/>
      <c r="Z615" s="5"/>
      <c r="AA615" s="5"/>
      <c r="AB615" s="5"/>
      <c r="AC615" s="5"/>
      <c r="AD615" s="5"/>
      <c r="AE615" s="5"/>
      <c r="AF615" s="5"/>
      <c r="AG615" s="5"/>
      <c r="AH615" s="5"/>
      <c r="AI615" s="5"/>
      <c r="AJ615" s="5"/>
      <c r="AK615" s="5"/>
      <c r="AL615" s="5"/>
      <c r="AM615" s="5"/>
      <c r="AN615" s="5"/>
    </row>
    <row r="616" spans="1:40" ht="18.75" customHeight="1">
      <c r="A616" s="5"/>
      <c r="B616" s="5"/>
      <c r="C616" s="5"/>
      <c r="D616" s="5"/>
      <c r="E616" s="5"/>
      <c r="F616" s="5"/>
      <c r="G616" s="5"/>
      <c r="H616" s="5"/>
      <c r="I616" s="5"/>
      <c r="J616" s="5"/>
      <c r="K616" s="5"/>
      <c r="L616" s="5"/>
      <c r="M616" s="5"/>
      <c r="N616" s="5"/>
      <c r="O616" s="5"/>
      <c r="P616" s="5"/>
      <c r="Q616" s="5"/>
      <c r="R616" s="5"/>
      <c r="S616" s="5"/>
      <c r="T616" s="5"/>
      <c r="U616" s="5"/>
      <c r="V616" s="5"/>
      <c r="Y616" s="5"/>
      <c r="Z616" s="5"/>
      <c r="AA616" s="5"/>
      <c r="AB616" s="5"/>
      <c r="AC616" s="5"/>
      <c r="AD616" s="5"/>
      <c r="AE616" s="5"/>
      <c r="AF616" s="5"/>
      <c r="AG616" s="5"/>
      <c r="AH616" s="5"/>
      <c r="AI616" s="5"/>
      <c r="AJ616" s="5"/>
      <c r="AK616" s="5"/>
      <c r="AL616" s="5"/>
      <c r="AM616" s="5"/>
      <c r="AN616" s="5"/>
    </row>
    <row r="617" spans="1:40" ht="18.75" customHeight="1">
      <c r="A617" s="5"/>
      <c r="B617" s="5"/>
      <c r="C617" s="5"/>
      <c r="D617" s="5"/>
      <c r="E617" s="5"/>
      <c r="F617" s="5"/>
      <c r="G617" s="5"/>
      <c r="H617" s="5"/>
      <c r="I617" s="5"/>
      <c r="J617" s="5"/>
      <c r="K617" s="5"/>
      <c r="L617" s="5"/>
      <c r="M617" s="5"/>
      <c r="N617" s="5"/>
      <c r="O617" s="5"/>
      <c r="P617" s="5"/>
      <c r="Q617" s="5"/>
      <c r="R617" s="5"/>
      <c r="S617" s="5"/>
      <c r="T617" s="5"/>
      <c r="U617" s="5"/>
      <c r="V617" s="5"/>
      <c r="Y617" s="5"/>
      <c r="Z617" s="5"/>
      <c r="AA617" s="5"/>
      <c r="AB617" s="5"/>
      <c r="AC617" s="5"/>
      <c r="AD617" s="5"/>
      <c r="AE617" s="5"/>
      <c r="AF617" s="5"/>
      <c r="AG617" s="5"/>
      <c r="AH617" s="5"/>
      <c r="AI617" s="5"/>
      <c r="AJ617" s="5"/>
      <c r="AK617" s="5"/>
      <c r="AL617" s="5"/>
      <c r="AM617" s="5"/>
      <c r="AN617" s="5"/>
    </row>
    <row r="618" spans="1:40" ht="18.75" customHeight="1">
      <c r="A618" s="5"/>
      <c r="B618" s="5"/>
      <c r="C618" s="5"/>
      <c r="D618" s="5"/>
      <c r="E618" s="5"/>
      <c r="F618" s="5"/>
      <c r="G618" s="5"/>
      <c r="H618" s="5"/>
      <c r="I618" s="5"/>
      <c r="J618" s="5"/>
      <c r="K618" s="5"/>
      <c r="L618" s="5"/>
      <c r="M618" s="5"/>
      <c r="N618" s="5"/>
      <c r="O618" s="5"/>
      <c r="P618" s="5"/>
      <c r="Q618" s="5"/>
      <c r="R618" s="5"/>
      <c r="S618" s="5"/>
      <c r="T618" s="5"/>
      <c r="U618" s="5"/>
      <c r="V618" s="5"/>
      <c r="Y618" s="5"/>
      <c r="Z618" s="5"/>
      <c r="AA618" s="5"/>
      <c r="AB618" s="5"/>
      <c r="AC618" s="5"/>
      <c r="AD618" s="5"/>
      <c r="AE618" s="5"/>
      <c r="AF618" s="5"/>
      <c r="AG618" s="5"/>
      <c r="AH618" s="5"/>
      <c r="AI618" s="5"/>
      <c r="AJ618" s="5"/>
      <c r="AK618" s="5"/>
      <c r="AL618" s="5"/>
      <c r="AM618" s="5"/>
      <c r="AN618" s="5"/>
    </row>
    <row r="619" spans="1:40" ht="18.75" customHeight="1">
      <c r="A619" s="5"/>
      <c r="B619" s="5"/>
      <c r="C619" s="5"/>
      <c r="D619" s="5"/>
      <c r="E619" s="5"/>
      <c r="F619" s="5"/>
      <c r="G619" s="5"/>
      <c r="H619" s="5"/>
      <c r="I619" s="5"/>
      <c r="J619" s="5"/>
      <c r="K619" s="5"/>
      <c r="L619" s="5"/>
      <c r="M619" s="5"/>
      <c r="N619" s="5"/>
      <c r="O619" s="5"/>
      <c r="P619" s="5"/>
      <c r="Q619" s="5"/>
      <c r="R619" s="5"/>
      <c r="S619" s="5"/>
      <c r="T619" s="5"/>
      <c r="U619" s="5"/>
      <c r="V619" s="5"/>
      <c r="Y619" s="5"/>
      <c r="Z619" s="5"/>
      <c r="AA619" s="5"/>
      <c r="AB619" s="5"/>
      <c r="AC619" s="5"/>
      <c r="AD619" s="5"/>
      <c r="AE619" s="5"/>
      <c r="AF619" s="5"/>
      <c r="AG619" s="5"/>
      <c r="AH619" s="5"/>
      <c r="AI619" s="5"/>
      <c r="AJ619" s="5"/>
      <c r="AK619" s="5"/>
      <c r="AL619" s="5"/>
      <c r="AM619" s="5"/>
      <c r="AN619" s="5"/>
    </row>
    <row r="620" spans="1:40" ht="18.75" customHeight="1">
      <c r="A620" s="5"/>
      <c r="B620" s="5"/>
      <c r="C620" s="5"/>
      <c r="D620" s="5"/>
      <c r="E620" s="5"/>
      <c r="F620" s="5"/>
      <c r="G620" s="5"/>
      <c r="H620" s="5"/>
      <c r="I620" s="5"/>
      <c r="J620" s="5"/>
      <c r="K620" s="5"/>
      <c r="L620" s="5"/>
      <c r="M620" s="5"/>
      <c r="N620" s="5"/>
      <c r="O620" s="5"/>
      <c r="P620" s="5"/>
      <c r="Q620" s="5"/>
      <c r="R620" s="5"/>
      <c r="S620" s="5"/>
      <c r="T620" s="5"/>
      <c r="U620" s="5"/>
      <c r="V620" s="5"/>
      <c r="Y620" s="5"/>
      <c r="Z620" s="5"/>
      <c r="AA620" s="5"/>
      <c r="AB620" s="5"/>
      <c r="AC620" s="5"/>
      <c r="AD620" s="5"/>
      <c r="AE620" s="5"/>
      <c r="AF620" s="5"/>
      <c r="AG620" s="5"/>
      <c r="AH620" s="5"/>
      <c r="AI620" s="5"/>
      <c r="AJ620" s="5"/>
      <c r="AK620" s="5"/>
      <c r="AL620" s="5"/>
      <c r="AM620" s="5"/>
      <c r="AN620" s="5"/>
    </row>
    <row r="621" spans="1:40" ht="18.75" customHeight="1">
      <c r="A621" s="5"/>
      <c r="B621" s="5"/>
      <c r="C621" s="5"/>
      <c r="D621" s="5"/>
      <c r="E621" s="5"/>
      <c r="F621" s="5"/>
      <c r="G621" s="5"/>
      <c r="H621" s="5"/>
      <c r="I621" s="5"/>
      <c r="J621" s="5"/>
      <c r="K621" s="5"/>
      <c r="L621" s="5"/>
      <c r="M621" s="5"/>
      <c r="N621" s="5"/>
      <c r="O621" s="5"/>
      <c r="P621" s="5"/>
      <c r="Q621" s="5"/>
      <c r="R621" s="5"/>
      <c r="S621" s="5"/>
      <c r="T621" s="5"/>
      <c r="U621" s="5"/>
      <c r="V621" s="5"/>
      <c r="Y621" s="5"/>
      <c r="Z621" s="5"/>
      <c r="AA621" s="5"/>
      <c r="AB621" s="5"/>
      <c r="AC621" s="5"/>
      <c r="AD621" s="5"/>
      <c r="AE621" s="5"/>
      <c r="AF621" s="5"/>
      <c r="AG621" s="5"/>
      <c r="AH621" s="5"/>
      <c r="AI621" s="5"/>
      <c r="AJ621" s="5"/>
      <c r="AK621" s="5"/>
      <c r="AL621" s="5"/>
      <c r="AM621" s="5"/>
      <c r="AN621" s="5"/>
    </row>
    <row r="622" spans="1:40" ht="18.75" customHeight="1">
      <c r="A622" s="5"/>
      <c r="B622" s="5"/>
      <c r="C622" s="5"/>
      <c r="D622" s="5"/>
      <c r="E622" s="5"/>
      <c r="F622" s="5"/>
      <c r="G622" s="5"/>
      <c r="H622" s="5"/>
      <c r="I622" s="5"/>
      <c r="J622" s="5"/>
      <c r="K622" s="5"/>
      <c r="L622" s="5"/>
      <c r="M622" s="5"/>
      <c r="N622" s="5"/>
      <c r="O622" s="5"/>
      <c r="P622" s="5"/>
      <c r="Q622" s="5"/>
      <c r="R622" s="5"/>
      <c r="S622" s="5"/>
      <c r="T622" s="5"/>
      <c r="U622" s="5"/>
      <c r="V622" s="5"/>
      <c r="Y622" s="5"/>
      <c r="Z622" s="5"/>
      <c r="AA622" s="5"/>
      <c r="AB622" s="5"/>
      <c r="AC622" s="5"/>
      <c r="AD622" s="5"/>
      <c r="AE622" s="5"/>
      <c r="AF622" s="5"/>
      <c r="AG622" s="5"/>
      <c r="AH622" s="5"/>
      <c r="AI622" s="5"/>
      <c r="AJ622" s="5"/>
      <c r="AK622" s="5"/>
      <c r="AL622" s="5"/>
      <c r="AM622" s="5"/>
      <c r="AN622" s="5"/>
    </row>
    <row r="623" spans="1:40" ht="18.75" customHeight="1">
      <c r="A623" s="5"/>
      <c r="B623" s="5"/>
      <c r="C623" s="5"/>
      <c r="D623" s="5"/>
      <c r="E623" s="5"/>
      <c r="F623" s="5"/>
      <c r="G623" s="5"/>
      <c r="H623" s="5"/>
      <c r="I623" s="5"/>
      <c r="J623" s="5"/>
      <c r="K623" s="5"/>
      <c r="L623" s="5"/>
      <c r="M623" s="5"/>
      <c r="N623" s="5"/>
      <c r="O623" s="5"/>
      <c r="P623" s="5"/>
      <c r="Q623" s="5"/>
      <c r="R623" s="5"/>
      <c r="S623" s="5"/>
      <c r="T623" s="5"/>
      <c r="U623" s="5"/>
      <c r="V623" s="5"/>
      <c r="Y623" s="5"/>
      <c r="Z623" s="5"/>
      <c r="AA623" s="5"/>
      <c r="AB623" s="5"/>
      <c r="AC623" s="5"/>
      <c r="AD623" s="5"/>
      <c r="AE623" s="5"/>
      <c r="AF623" s="5"/>
      <c r="AG623" s="5"/>
      <c r="AH623" s="5"/>
      <c r="AI623" s="5"/>
      <c r="AJ623" s="5"/>
      <c r="AK623" s="5"/>
      <c r="AL623" s="5"/>
      <c r="AM623" s="5"/>
      <c r="AN623" s="5"/>
    </row>
    <row r="624" spans="1:40" ht="18.75" customHeight="1">
      <c r="A624" s="5"/>
      <c r="B624" s="5"/>
      <c r="C624" s="5"/>
      <c r="D624" s="5"/>
      <c r="E624" s="5"/>
      <c r="F624" s="5"/>
      <c r="G624" s="5"/>
      <c r="H624" s="5"/>
      <c r="I624" s="5"/>
      <c r="J624" s="5"/>
      <c r="K624" s="5"/>
      <c r="L624" s="5"/>
      <c r="M624" s="5"/>
      <c r="N624" s="5"/>
      <c r="O624" s="5"/>
      <c r="P624" s="5"/>
      <c r="Q624" s="5"/>
      <c r="R624" s="5"/>
      <c r="S624" s="5"/>
      <c r="T624" s="5"/>
      <c r="U624" s="5"/>
      <c r="V624" s="5"/>
      <c r="Y624" s="5"/>
      <c r="Z624" s="5"/>
      <c r="AA624" s="5"/>
      <c r="AB624" s="5"/>
      <c r="AC624" s="5"/>
      <c r="AD624" s="5"/>
      <c r="AE624" s="5"/>
      <c r="AF624" s="5"/>
      <c r="AG624" s="5"/>
      <c r="AH624" s="5"/>
      <c r="AI624" s="5"/>
      <c r="AJ624" s="5"/>
      <c r="AK624" s="5"/>
      <c r="AL624" s="5"/>
      <c r="AM624" s="5"/>
      <c r="AN624" s="5"/>
    </row>
    <row r="625" spans="1:40" ht="18.75" customHeight="1">
      <c r="A625" s="5"/>
      <c r="B625" s="5"/>
      <c r="C625" s="5"/>
      <c r="D625" s="5"/>
      <c r="E625" s="5"/>
      <c r="F625" s="5"/>
      <c r="G625" s="5"/>
      <c r="H625" s="5"/>
      <c r="I625" s="5"/>
      <c r="J625" s="5"/>
      <c r="K625" s="5"/>
      <c r="L625" s="5"/>
      <c r="M625" s="5"/>
      <c r="N625" s="5"/>
      <c r="O625" s="5"/>
      <c r="P625" s="5"/>
      <c r="Q625" s="5"/>
      <c r="R625" s="5"/>
      <c r="S625" s="5"/>
      <c r="T625" s="5"/>
      <c r="U625" s="5"/>
      <c r="V625" s="5"/>
      <c r="Y625" s="5"/>
      <c r="Z625" s="5"/>
      <c r="AA625" s="5"/>
      <c r="AB625" s="5"/>
      <c r="AC625" s="5"/>
      <c r="AD625" s="5"/>
      <c r="AE625" s="5"/>
      <c r="AF625" s="5"/>
      <c r="AG625" s="5"/>
      <c r="AH625" s="5"/>
      <c r="AI625" s="5"/>
      <c r="AJ625" s="5"/>
      <c r="AK625" s="5"/>
      <c r="AL625" s="5"/>
      <c r="AM625" s="5"/>
      <c r="AN625" s="5"/>
    </row>
    <row r="626" spans="1:40" ht="18.75" customHeight="1">
      <c r="A626" s="5"/>
      <c r="B626" s="5"/>
      <c r="C626" s="5"/>
      <c r="D626" s="5"/>
      <c r="E626" s="5"/>
      <c r="F626" s="5"/>
      <c r="G626" s="5"/>
      <c r="H626" s="5"/>
      <c r="I626" s="5"/>
      <c r="J626" s="5"/>
      <c r="K626" s="5"/>
      <c r="L626" s="5"/>
      <c r="M626" s="5"/>
      <c r="N626" s="5"/>
      <c r="O626" s="5"/>
      <c r="P626" s="5"/>
      <c r="Q626" s="5"/>
      <c r="R626" s="5"/>
      <c r="S626" s="5"/>
      <c r="T626" s="5"/>
      <c r="U626" s="5"/>
      <c r="V626" s="5"/>
      <c r="Y626" s="5"/>
      <c r="Z626" s="5"/>
      <c r="AA626" s="5"/>
      <c r="AB626" s="5"/>
      <c r="AC626" s="5"/>
      <c r="AD626" s="5"/>
      <c r="AE626" s="5"/>
      <c r="AF626" s="5"/>
      <c r="AG626" s="5"/>
      <c r="AH626" s="5"/>
      <c r="AI626" s="5"/>
      <c r="AJ626" s="5"/>
      <c r="AK626" s="5"/>
      <c r="AL626" s="5"/>
      <c r="AM626" s="5"/>
      <c r="AN626" s="5"/>
    </row>
    <row r="627" spans="1:40" ht="18.75" customHeight="1">
      <c r="A627" s="5"/>
      <c r="B627" s="5"/>
      <c r="C627" s="5"/>
      <c r="D627" s="5"/>
      <c r="E627" s="5"/>
      <c r="F627" s="5"/>
      <c r="G627" s="5"/>
      <c r="H627" s="5"/>
      <c r="I627" s="5"/>
      <c r="J627" s="5"/>
      <c r="K627" s="5"/>
      <c r="L627" s="5"/>
      <c r="M627" s="5"/>
      <c r="N627" s="5"/>
      <c r="O627" s="5"/>
      <c r="P627" s="5"/>
      <c r="Q627" s="5"/>
      <c r="R627" s="5"/>
      <c r="S627" s="5"/>
      <c r="T627" s="5"/>
      <c r="U627" s="5"/>
      <c r="V627" s="5"/>
      <c r="Y627" s="5"/>
      <c r="Z627" s="5"/>
      <c r="AA627" s="5"/>
      <c r="AB627" s="5"/>
      <c r="AC627" s="5"/>
      <c r="AD627" s="5"/>
      <c r="AE627" s="5"/>
      <c r="AF627" s="5"/>
      <c r="AG627" s="5"/>
      <c r="AH627" s="5"/>
      <c r="AI627" s="5"/>
      <c r="AJ627" s="5"/>
      <c r="AK627" s="5"/>
      <c r="AL627" s="5"/>
      <c r="AM627" s="5"/>
      <c r="AN627" s="5"/>
    </row>
    <row r="628" spans="1:40" ht="18.75" customHeight="1">
      <c r="A628" s="5"/>
      <c r="B628" s="5"/>
      <c r="C628" s="5"/>
      <c r="D628" s="5"/>
      <c r="E628" s="5"/>
      <c r="F628" s="5"/>
      <c r="G628" s="5"/>
      <c r="H628" s="5"/>
      <c r="I628" s="5"/>
      <c r="J628" s="5"/>
      <c r="K628" s="5"/>
      <c r="L628" s="5"/>
      <c r="M628" s="5"/>
      <c r="N628" s="5"/>
      <c r="O628" s="5"/>
      <c r="P628" s="5"/>
      <c r="Q628" s="5"/>
      <c r="R628" s="5"/>
      <c r="S628" s="5"/>
      <c r="T628" s="5"/>
      <c r="U628" s="5"/>
      <c r="V628" s="5"/>
      <c r="Y628" s="5"/>
      <c r="Z628" s="5"/>
      <c r="AA628" s="5"/>
      <c r="AB628" s="5"/>
      <c r="AC628" s="5"/>
      <c r="AD628" s="5"/>
      <c r="AE628" s="5"/>
      <c r="AF628" s="5"/>
      <c r="AG628" s="5"/>
      <c r="AH628" s="5"/>
      <c r="AI628" s="5"/>
      <c r="AJ628" s="5"/>
      <c r="AK628" s="5"/>
      <c r="AL628" s="5"/>
      <c r="AM628" s="5"/>
      <c r="AN628" s="5"/>
    </row>
    <row r="629" spans="1:40" ht="18.75" customHeight="1">
      <c r="A629" s="5"/>
      <c r="B629" s="5"/>
      <c r="C629" s="5"/>
      <c r="D629" s="5"/>
      <c r="E629" s="5"/>
      <c r="F629" s="5"/>
      <c r="G629" s="5"/>
      <c r="H629" s="5"/>
      <c r="I629" s="5"/>
      <c r="J629" s="5"/>
      <c r="K629" s="5"/>
      <c r="L629" s="5"/>
      <c r="M629" s="5"/>
      <c r="N629" s="5"/>
      <c r="O629" s="5"/>
      <c r="P629" s="5"/>
      <c r="Q629" s="5"/>
      <c r="R629" s="5"/>
      <c r="S629" s="5"/>
      <c r="T629" s="5"/>
      <c r="U629" s="5"/>
      <c r="V629" s="5"/>
      <c r="Y629" s="5"/>
      <c r="Z629" s="5"/>
      <c r="AA629" s="5"/>
      <c r="AB629" s="5"/>
      <c r="AC629" s="5"/>
      <c r="AD629" s="5"/>
      <c r="AE629" s="5"/>
      <c r="AF629" s="5"/>
      <c r="AG629" s="5"/>
      <c r="AH629" s="5"/>
      <c r="AI629" s="5"/>
      <c r="AJ629" s="5"/>
      <c r="AK629" s="5"/>
      <c r="AL629" s="5"/>
      <c r="AM629" s="5"/>
      <c r="AN629" s="5"/>
    </row>
    <row r="630" spans="1:40" ht="18.75" customHeight="1">
      <c r="A630" s="5"/>
      <c r="B630" s="5"/>
      <c r="C630" s="5"/>
      <c r="D630" s="5"/>
      <c r="E630" s="5"/>
      <c r="F630" s="5"/>
      <c r="G630" s="5"/>
      <c r="H630" s="5"/>
      <c r="I630" s="5"/>
      <c r="J630" s="5"/>
      <c r="K630" s="5"/>
      <c r="L630" s="5"/>
      <c r="M630" s="5"/>
      <c r="N630" s="5"/>
      <c r="O630" s="5"/>
      <c r="P630" s="5"/>
      <c r="Q630" s="5"/>
      <c r="R630" s="5"/>
      <c r="S630" s="5"/>
      <c r="T630" s="5"/>
      <c r="U630" s="5"/>
      <c r="V630" s="5"/>
      <c r="Y630" s="5"/>
      <c r="Z630" s="5"/>
      <c r="AA630" s="5"/>
      <c r="AB630" s="5"/>
      <c r="AC630" s="5"/>
      <c r="AD630" s="5"/>
      <c r="AE630" s="5"/>
      <c r="AF630" s="5"/>
      <c r="AG630" s="5"/>
      <c r="AH630" s="5"/>
      <c r="AI630" s="5"/>
      <c r="AJ630" s="5"/>
      <c r="AK630" s="5"/>
      <c r="AL630" s="5"/>
      <c r="AM630" s="5"/>
      <c r="AN630" s="5"/>
    </row>
    <row r="631" spans="1:40" ht="18.75" customHeight="1">
      <c r="A631" s="5"/>
      <c r="B631" s="5"/>
      <c r="C631" s="5"/>
      <c r="D631" s="5"/>
      <c r="E631" s="5"/>
      <c r="F631" s="5"/>
      <c r="G631" s="5"/>
      <c r="H631" s="5"/>
      <c r="I631" s="5"/>
      <c r="J631" s="5"/>
      <c r="K631" s="5"/>
      <c r="L631" s="5"/>
      <c r="M631" s="5"/>
      <c r="N631" s="5"/>
      <c r="O631" s="5"/>
      <c r="P631" s="5"/>
      <c r="Q631" s="5"/>
      <c r="R631" s="5"/>
      <c r="S631" s="5"/>
      <c r="T631" s="5"/>
      <c r="U631" s="5"/>
      <c r="V631" s="5"/>
      <c r="Y631" s="5"/>
      <c r="Z631" s="5"/>
      <c r="AA631" s="5"/>
      <c r="AB631" s="5"/>
      <c r="AC631" s="5"/>
      <c r="AD631" s="5"/>
      <c r="AE631" s="5"/>
      <c r="AF631" s="5"/>
      <c r="AG631" s="5"/>
      <c r="AH631" s="5"/>
      <c r="AI631" s="5"/>
      <c r="AJ631" s="5"/>
      <c r="AK631" s="5"/>
      <c r="AL631" s="5"/>
      <c r="AM631" s="5"/>
      <c r="AN631" s="5"/>
    </row>
    <row r="632" spans="1:40" ht="18.75" customHeight="1">
      <c r="A632" s="5"/>
      <c r="B632" s="5"/>
      <c r="C632" s="5"/>
      <c r="D632" s="5"/>
      <c r="E632" s="5"/>
      <c r="F632" s="5"/>
      <c r="G632" s="5"/>
      <c r="H632" s="5"/>
      <c r="I632" s="5"/>
      <c r="J632" s="5"/>
      <c r="K632" s="5"/>
      <c r="L632" s="5"/>
      <c r="M632" s="5"/>
      <c r="N632" s="5"/>
      <c r="O632" s="5"/>
      <c r="P632" s="5"/>
      <c r="Q632" s="5"/>
      <c r="R632" s="5"/>
      <c r="S632" s="5"/>
      <c r="T632" s="5"/>
      <c r="U632" s="5"/>
      <c r="V632" s="5"/>
      <c r="Y632" s="5"/>
      <c r="Z632" s="5"/>
      <c r="AA632" s="5"/>
      <c r="AB632" s="5"/>
      <c r="AC632" s="5"/>
      <c r="AD632" s="5"/>
      <c r="AE632" s="5"/>
      <c r="AF632" s="5"/>
      <c r="AG632" s="5"/>
      <c r="AH632" s="5"/>
      <c r="AI632" s="5"/>
      <c r="AJ632" s="5"/>
      <c r="AK632" s="5"/>
      <c r="AL632" s="5"/>
      <c r="AM632" s="5"/>
      <c r="AN632" s="5"/>
    </row>
    <row r="633" spans="1:40" ht="18.75" customHeight="1">
      <c r="A633" s="5"/>
      <c r="B633" s="5"/>
      <c r="C633" s="5"/>
      <c r="D633" s="5"/>
      <c r="E633" s="5"/>
      <c r="F633" s="5"/>
      <c r="G633" s="5"/>
      <c r="H633" s="5"/>
      <c r="I633" s="5"/>
      <c r="J633" s="5"/>
      <c r="K633" s="5"/>
      <c r="L633" s="5"/>
      <c r="M633" s="5"/>
      <c r="N633" s="5"/>
      <c r="O633" s="5"/>
      <c r="P633" s="5"/>
      <c r="Q633" s="5"/>
      <c r="R633" s="5"/>
      <c r="S633" s="5"/>
      <c r="T633" s="5"/>
      <c r="U633" s="5"/>
      <c r="V633" s="5"/>
      <c r="Y633" s="5"/>
      <c r="Z633" s="5"/>
      <c r="AA633" s="5"/>
      <c r="AB633" s="5"/>
      <c r="AC633" s="5"/>
      <c r="AD633" s="5"/>
      <c r="AE633" s="5"/>
      <c r="AF633" s="5"/>
      <c r="AG633" s="5"/>
      <c r="AH633" s="5"/>
      <c r="AI633" s="5"/>
      <c r="AJ633" s="5"/>
      <c r="AK633" s="5"/>
      <c r="AL633" s="5"/>
      <c r="AM633" s="5"/>
      <c r="AN633" s="5"/>
    </row>
    <row r="634" spans="1:40" ht="18.75" customHeight="1">
      <c r="A634" s="5"/>
      <c r="B634" s="5"/>
      <c r="C634" s="5"/>
      <c r="D634" s="5"/>
      <c r="E634" s="5"/>
      <c r="F634" s="5"/>
      <c r="G634" s="5"/>
      <c r="H634" s="5"/>
      <c r="I634" s="5"/>
      <c r="J634" s="5"/>
      <c r="K634" s="5"/>
      <c r="L634" s="5"/>
      <c r="M634" s="5"/>
      <c r="N634" s="5"/>
      <c r="O634" s="5"/>
      <c r="P634" s="5"/>
      <c r="Q634" s="5"/>
      <c r="R634" s="5"/>
      <c r="S634" s="5"/>
      <c r="T634" s="5"/>
      <c r="U634" s="5"/>
      <c r="V634" s="5"/>
      <c r="Y634" s="5"/>
      <c r="Z634" s="5"/>
      <c r="AA634" s="5"/>
      <c r="AB634" s="5"/>
      <c r="AC634" s="5"/>
      <c r="AD634" s="5"/>
      <c r="AE634" s="5"/>
      <c r="AF634" s="5"/>
      <c r="AG634" s="5"/>
      <c r="AH634" s="5"/>
      <c r="AI634" s="5"/>
      <c r="AJ634" s="5"/>
      <c r="AK634" s="5"/>
      <c r="AL634" s="5"/>
      <c r="AM634" s="5"/>
      <c r="AN634" s="5"/>
    </row>
    <row r="635" spans="1:40" ht="18.75" customHeight="1">
      <c r="A635" s="5"/>
      <c r="B635" s="5"/>
      <c r="C635" s="5"/>
      <c r="D635" s="5"/>
      <c r="E635" s="5"/>
      <c r="F635" s="5"/>
      <c r="G635" s="5"/>
      <c r="H635" s="5"/>
      <c r="I635" s="5"/>
      <c r="J635" s="5"/>
      <c r="K635" s="5"/>
      <c r="L635" s="5"/>
      <c r="M635" s="5"/>
      <c r="N635" s="5"/>
      <c r="O635" s="5"/>
      <c r="P635" s="5"/>
      <c r="Q635" s="5"/>
      <c r="R635" s="5"/>
      <c r="S635" s="5"/>
      <c r="T635" s="5"/>
      <c r="U635" s="5"/>
      <c r="V635" s="5"/>
      <c r="Y635" s="5"/>
      <c r="Z635" s="5"/>
      <c r="AA635" s="5"/>
      <c r="AB635" s="5"/>
      <c r="AC635" s="5"/>
      <c r="AD635" s="5"/>
      <c r="AE635" s="5"/>
      <c r="AF635" s="5"/>
      <c r="AG635" s="5"/>
      <c r="AH635" s="5"/>
      <c r="AI635" s="5"/>
      <c r="AJ635" s="5"/>
      <c r="AK635" s="5"/>
      <c r="AL635" s="5"/>
      <c r="AM635" s="5"/>
      <c r="AN635" s="5"/>
    </row>
    <row r="636" spans="1:40" ht="18.75" customHeight="1">
      <c r="A636" s="5"/>
      <c r="B636" s="5"/>
      <c r="C636" s="5"/>
      <c r="D636" s="5"/>
      <c r="E636" s="5"/>
      <c r="F636" s="5"/>
      <c r="G636" s="5"/>
      <c r="H636" s="5"/>
      <c r="I636" s="5"/>
      <c r="J636" s="5"/>
      <c r="K636" s="5"/>
      <c r="L636" s="5"/>
      <c r="M636" s="5"/>
      <c r="N636" s="5"/>
      <c r="O636" s="5"/>
      <c r="P636" s="5"/>
      <c r="Q636" s="5"/>
      <c r="R636" s="5"/>
      <c r="S636" s="5"/>
      <c r="T636" s="5"/>
      <c r="U636" s="5"/>
      <c r="V636" s="5"/>
      <c r="Y636" s="5"/>
      <c r="Z636" s="5"/>
      <c r="AA636" s="5"/>
      <c r="AB636" s="5"/>
      <c r="AC636" s="5"/>
      <c r="AD636" s="5"/>
      <c r="AE636" s="5"/>
      <c r="AF636" s="5"/>
      <c r="AG636" s="5"/>
      <c r="AH636" s="5"/>
      <c r="AI636" s="5"/>
      <c r="AJ636" s="5"/>
      <c r="AK636" s="5"/>
      <c r="AL636" s="5"/>
      <c r="AM636" s="5"/>
      <c r="AN636" s="5"/>
    </row>
    <row r="637" spans="1:40" ht="18.75" customHeight="1">
      <c r="A637" s="5"/>
      <c r="B637" s="5"/>
      <c r="C637" s="5"/>
      <c r="D637" s="5"/>
      <c r="E637" s="5"/>
      <c r="F637" s="5"/>
      <c r="G637" s="5"/>
      <c r="H637" s="5"/>
      <c r="I637" s="5"/>
      <c r="J637" s="5"/>
      <c r="K637" s="5"/>
      <c r="L637" s="5"/>
      <c r="M637" s="5"/>
      <c r="N637" s="5"/>
      <c r="O637" s="5"/>
      <c r="P637" s="5"/>
      <c r="Q637" s="5"/>
      <c r="R637" s="5"/>
      <c r="S637" s="5"/>
      <c r="T637" s="5"/>
      <c r="U637" s="5"/>
      <c r="V637" s="5"/>
      <c r="Y637" s="5"/>
      <c r="Z637" s="5"/>
      <c r="AA637" s="5"/>
      <c r="AB637" s="5"/>
      <c r="AC637" s="5"/>
      <c r="AD637" s="5"/>
      <c r="AE637" s="5"/>
      <c r="AF637" s="5"/>
      <c r="AG637" s="5"/>
      <c r="AH637" s="5"/>
      <c r="AI637" s="5"/>
      <c r="AJ637" s="5"/>
      <c r="AK637" s="5"/>
      <c r="AL637" s="5"/>
      <c r="AM637" s="5"/>
      <c r="AN637" s="5"/>
    </row>
    <row r="638" spans="1:40" ht="18.75" customHeight="1">
      <c r="A638" s="5"/>
      <c r="B638" s="5"/>
      <c r="C638" s="5"/>
      <c r="D638" s="5"/>
      <c r="E638" s="5"/>
      <c r="F638" s="5"/>
      <c r="G638" s="5"/>
      <c r="H638" s="5"/>
      <c r="I638" s="5"/>
      <c r="J638" s="5"/>
      <c r="K638" s="5"/>
      <c r="L638" s="5"/>
      <c r="M638" s="5"/>
      <c r="N638" s="5"/>
      <c r="O638" s="5"/>
      <c r="P638" s="5"/>
      <c r="Q638" s="5"/>
      <c r="R638" s="5"/>
      <c r="S638" s="5"/>
      <c r="T638" s="5"/>
      <c r="U638" s="5"/>
      <c r="V638" s="5"/>
      <c r="Y638" s="5"/>
      <c r="Z638" s="5"/>
      <c r="AA638" s="5"/>
      <c r="AB638" s="5"/>
      <c r="AC638" s="5"/>
      <c r="AD638" s="5"/>
      <c r="AE638" s="5"/>
      <c r="AF638" s="5"/>
      <c r="AG638" s="5"/>
      <c r="AH638" s="5"/>
      <c r="AI638" s="5"/>
      <c r="AJ638" s="5"/>
      <c r="AK638" s="5"/>
      <c r="AL638" s="5"/>
      <c r="AM638" s="5"/>
      <c r="AN638" s="5"/>
    </row>
    <row r="639" spans="1:40" ht="18.75" customHeight="1">
      <c r="A639" s="5"/>
      <c r="B639" s="5"/>
      <c r="C639" s="5"/>
      <c r="D639" s="5"/>
      <c r="E639" s="5"/>
      <c r="F639" s="5"/>
      <c r="G639" s="5"/>
      <c r="H639" s="5"/>
      <c r="I639" s="5"/>
      <c r="J639" s="5"/>
      <c r="K639" s="5"/>
      <c r="L639" s="5"/>
      <c r="M639" s="5"/>
      <c r="N639" s="5"/>
      <c r="O639" s="5"/>
      <c r="P639" s="5"/>
      <c r="Q639" s="5"/>
      <c r="R639" s="5"/>
      <c r="S639" s="5"/>
      <c r="T639" s="5"/>
      <c r="U639" s="5"/>
      <c r="V639" s="5"/>
      <c r="Y639" s="5"/>
      <c r="Z639" s="5"/>
      <c r="AA639" s="5"/>
      <c r="AB639" s="5"/>
      <c r="AC639" s="5"/>
      <c r="AD639" s="5"/>
      <c r="AE639" s="5"/>
      <c r="AF639" s="5"/>
      <c r="AG639" s="5"/>
      <c r="AH639" s="5"/>
      <c r="AI639" s="5"/>
      <c r="AJ639" s="5"/>
      <c r="AK639" s="5"/>
      <c r="AL639" s="5"/>
      <c r="AM639" s="5"/>
      <c r="AN639" s="5"/>
    </row>
    <row r="640" spans="1:40" ht="18.75" customHeight="1">
      <c r="A640" s="5"/>
      <c r="B640" s="5"/>
      <c r="C640" s="5"/>
      <c r="D640" s="5"/>
      <c r="E640" s="5"/>
      <c r="F640" s="5"/>
      <c r="G640" s="5"/>
      <c r="H640" s="5"/>
      <c r="I640" s="5"/>
      <c r="J640" s="5"/>
      <c r="K640" s="5"/>
      <c r="L640" s="5"/>
      <c r="M640" s="5"/>
      <c r="N640" s="5"/>
      <c r="O640" s="5"/>
      <c r="P640" s="5"/>
      <c r="Q640" s="5"/>
      <c r="R640" s="5"/>
      <c r="S640" s="5"/>
      <c r="T640" s="5"/>
      <c r="U640" s="5"/>
      <c r="V640" s="5"/>
      <c r="Y640" s="5"/>
      <c r="Z640" s="5"/>
      <c r="AA640" s="5"/>
      <c r="AB640" s="5"/>
      <c r="AC640" s="5"/>
      <c r="AD640" s="5"/>
      <c r="AE640" s="5"/>
      <c r="AF640" s="5"/>
      <c r="AG640" s="5"/>
      <c r="AH640" s="5"/>
      <c r="AI640" s="5"/>
      <c r="AJ640" s="5"/>
      <c r="AK640" s="5"/>
      <c r="AL640" s="5"/>
      <c r="AM640" s="5"/>
      <c r="AN640" s="5"/>
    </row>
    <row r="641" spans="1:40" ht="18.75" customHeight="1">
      <c r="A641" s="5"/>
      <c r="B641" s="5"/>
      <c r="C641" s="5"/>
      <c r="D641" s="5"/>
      <c r="E641" s="5"/>
      <c r="F641" s="5"/>
      <c r="G641" s="5"/>
      <c r="H641" s="5"/>
      <c r="I641" s="5"/>
      <c r="J641" s="5"/>
      <c r="K641" s="5"/>
      <c r="L641" s="5"/>
      <c r="M641" s="5"/>
      <c r="N641" s="5"/>
      <c r="O641" s="5"/>
      <c r="P641" s="5"/>
      <c r="Q641" s="5"/>
      <c r="R641" s="5"/>
      <c r="S641" s="5"/>
      <c r="T641" s="5"/>
      <c r="U641" s="5"/>
      <c r="V641" s="5"/>
      <c r="Y641" s="5"/>
      <c r="Z641" s="5"/>
      <c r="AA641" s="5"/>
      <c r="AB641" s="5"/>
      <c r="AC641" s="5"/>
      <c r="AD641" s="5"/>
      <c r="AE641" s="5"/>
      <c r="AF641" s="5"/>
      <c r="AG641" s="5"/>
      <c r="AH641" s="5"/>
      <c r="AI641" s="5"/>
      <c r="AJ641" s="5"/>
      <c r="AK641" s="5"/>
      <c r="AL641" s="5"/>
      <c r="AM641" s="5"/>
      <c r="AN641" s="5"/>
    </row>
    <row r="642" spans="1:40" ht="18.75" customHeight="1">
      <c r="A642" s="5"/>
      <c r="B642" s="5"/>
      <c r="C642" s="5"/>
      <c r="D642" s="5"/>
      <c r="E642" s="5"/>
      <c r="F642" s="5"/>
      <c r="G642" s="5"/>
      <c r="H642" s="5"/>
      <c r="I642" s="5"/>
      <c r="J642" s="5"/>
      <c r="K642" s="5"/>
      <c r="L642" s="5"/>
      <c r="M642" s="5"/>
      <c r="N642" s="5"/>
      <c r="O642" s="5"/>
      <c r="P642" s="5"/>
      <c r="Q642" s="5"/>
      <c r="R642" s="5"/>
      <c r="S642" s="5"/>
      <c r="T642" s="5"/>
      <c r="U642" s="5"/>
      <c r="V642" s="5"/>
      <c r="Y642" s="5"/>
      <c r="Z642" s="5"/>
      <c r="AA642" s="5"/>
      <c r="AB642" s="5"/>
      <c r="AC642" s="5"/>
      <c r="AD642" s="5"/>
      <c r="AE642" s="5"/>
      <c r="AF642" s="5"/>
      <c r="AG642" s="5"/>
      <c r="AH642" s="5"/>
      <c r="AI642" s="5"/>
      <c r="AJ642" s="5"/>
      <c r="AK642" s="5"/>
      <c r="AL642" s="5"/>
      <c r="AM642" s="5"/>
      <c r="AN642" s="5"/>
    </row>
    <row r="643" spans="1:40" ht="18.75" customHeight="1">
      <c r="A643" s="5"/>
      <c r="B643" s="5"/>
      <c r="C643" s="5"/>
      <c r="D643" s="5"/>
      <c r="E643" s="5"/>
      <c r="F643" s="5"/>
      <c r="G643" s="5"/>
      <c r="H643" s="5"/>
      <c r="I643" s="5"/>
      <c r="J643" s="5"/>
      <c r="K643" s="5"/>
      <c r="L643" s="5"/>
      <c r="M643" s="5"/>
      <c r="N643" s="5"/>
      <c r="O643" s="5"/>
      <c r="P643" s="5"/>
      <c r="Q643" s="5"/>
      <c r="R643" s="5"/>
      <c r="S643" s="5"/>
      <c r="T643" s="5"/>
      <c r="U643" s="5"/>
      <c r="V643" s="5"/>
      <c r="Y643" s="5"/>
      <c r="Z643" s="5"/>
      <c r="AA643" s="5"/>
      <c r="AB643" s="5"/>
      <c r="AC643" s="5"/>
      <c r="AD643" s="5"/>
      <c r="AE643" s="5"/>
      <c r="AF643" s="5"/>
      <c r="AG643" s="5"/>
      <c r="AH643" s="5"/>
      <c r="AI643" s="5"/>
      <c r="AJ643" s="5"/>
      <c r="AK643" s="5"/>
      <c r="AL643" s="5"/>
      <c r="AM643" s="5"/>
      <c r="AN643" s="5"/>
    </row>
    <row r="644" spans="1:40" ht="18.75" customHeight="1">
      <c r="A644" s="5"/>
      <c r="B644" s="5"/>
      <c r="C644" s="5"/>
      <c r="D644" s="5"/>
      <c r="E644" s="5"/>
      <c r="F644" s="5"/>
      <c r="G644" s="5"/>
      <c r="H644" s="5"/>
      <c r="I644" s="5"/>
      <c r="J644" s="5"/>
      <c r="K644" s="5"/>
      <c r="L644" s="5"/>
      <c r="M644" s="5"/>
      <c r="N644" s="5"/>
      <c r="O644" s="5"/>
      <c r="P644" s="5"/>
      <c r="Q644" s="5"/>
      <c r="R644" s="5"/>
      <c r="S644" s="5"/>
      <c r="T644" s="5"/>
      <c r="U644" s="5"/>
      <c r="V644" s="5"/>
      <c r="Y644" s="5"/>
      <c r="Z644" s="5"/>
      <c r="AA644" s="5"/>
      <c r="AB644" s="5"/>
      <c r="AC644" s="5"/>
      <c r="AD644" s="5"/>
      <c r="AE644" s="5"/>
      <c r="AF644" s="5"/>
      <c r="AG644" s="5"/>
      <c r="AH644" s="5"/>
      <c r="AI644" s="5"/>
      <c r="AJ644" s="5"/>
      <c r="AK644" s="5"/>
      <c r="AL644" s="5"/>
      <c r="AM644" s="5"/>
      <c r="AN644" s="5"/>
    </row>
    <row r="645" spans="1:40" ht="18.75" customHeight="1">
      <c r="A645" s="5"/>
      <c r="B645" s="5"/>
      <c r="C645" s="5"/>
      <c r="D645" s="5"/>
      <c r="E645" s="5"/>
      <c r="F645" s="5"/>
      <c r="G645" s="5"/>
      <c r="H645" s="5"/>
      <c r="I645" s="5"/>
      <c r="J645" s="5"/>
      <c r="K645" s="5"/>
      <c r="L645" s="5"/>
      <c r="M645" s="5"/>
      <c r="N645" s="5"/>
      <c r="O645" s="5"/>
      <c r="P645" s="5"/>
      <c r="Q645" s="5"/>
      <c r="R645" s="5"/>
      <c r="S645" s="5"/>
      <c r="T645" s="5"/>
      <c r="U645" s="5"/>
      <c r="V645" s="5"/>
      <c r="Y645" s="5"/>
      <c r="Z645" s="5"/>
      <c r="AA645" s="5"/>
      <c r="AB645" s="5"/>
      <c r="AC645" s="5"/>
      <c r="AD645" s="5"/>
      <c r="AE645" s="5"/>
      <c r="AF645" s="5"/>
      <c r="AG645" s="5"/>
      <c r="AH645" s="5"/>
      <c r="AI645" s="5"/>
      <c r="AJ645" s="5"/>
      <c r="AK645" s="5"/>
      <c r="AL645" s="5"/>
      <c r="AM645" s="5"/>
      <c r="AN645" s="5"/>
    </row>
    <row r="646" spans="1:40" ht="18.75" customHeight="1">
      <c r="A646" s="5"/>
      <c r="B646" s="5"/>
      <c r="C646" s="5"/>
      <c r="D646" s="5"/>
      <c r="E646" s="5"/>
      <c r="F646" s="5"/>
      <c r="G646" s="5"/>
      <c r="H646" s="5"/>
      <c r="I646" s="5"/>
      <c r="J646" s="5"/>
      <c r="K646" s="5"/>
      <c r="L646" s="5"/>
      <c r="M646" s="5"/>
      <c r="N646" s="5"/>
      <c r="O646" s="5"/>
      <c r="P646" s="5"/>
      <c r="Q646" s="5"/>
      <c r="R646" s="5"/>
      <c r="S646" s="5"/>
      <c r="T646" s="5"/>
      <c r="U646" s="5"/>
      <c r="V646" s="5"/>
      <c r="Y646" s="5"/>
      <c r="Z646" s="5"/>
      <c r="AA646" s="5"/>
      <c r="AB646" s="5"/>
      <c r="AC646" s="5"/>
      <c r="AD646" s="5"/>
      <c r="AE646" s="5"/>
      <c r="AF646" s="5"/>
      <c r="AG646" s="5"/>
      <c r="AH646" s="5"/>
      <c r="AI646" s="5"/>
      <c r="AJ646" s="5"/>
      <c r="AK646" s="5"/>
      <c r="AL646" s="5"/>
      <c r="AM646" s="5"/>
      <c r="AN646" s="5"/>
    </row>
    <row r="647" spans="1:40" ht="18.75" customHeight="1">
      <c r="A647" s="5"/>
      <c r="B647" s="5"/>
      <c r="C647" s="5"/>
      <c r="D647" s="5"/>
      <c r="E647" s="5"/>
      <c r="F647" s="5"/>
      <c r="G647" s="5"/>
      <c r="H647" s="5"/>
      <c r="I647" s="5"/>
      <c r="J647" s="5"/>
      <c r="K647" s="5"/>
      <c r="L647" s="5"/>
      <c r="M647" s="5"/>
      <c r="N647" s="5"/>
      <c r="O647" s="5"/>
      <c r="P647" s="5"/>
      <c r="Q647" s="5"/>
      <c r="R647" s="5"/>
      <c r="S647" s="5"/>
      <c r="T647" s="5"/>
      <c r="U647" s="5"/>
      <c r="V647" s="5"/>
      <c r="Y647" s="5"/>
      <c r="Z647" s="5"/>
      <c r="AA647" s="5"/>
      <c r="AB647" s="5"/>
      <c r="AC647" s="5"/>
      <c r="AD647" s="5"/>
      <c r="AE647" s="5"/>
      <c r="AF647" s="5"/>
      <c r="AG647" s="5"/>
      <c r="AH647" s="5"/>
      <c r="AI647" s="5"/>
      <c r="AJ647" s="5"/>
      <c r="AK647" s="5"/>
      <c r="AL647" s="5"/>
      <c r="AM647" s="5"/>
      <c r="AN647" s="5"/>
    </row>
    <row r="648" spans="1:40" ht="18.75" customHeight="1">
      <c r="A648" s="5"/>
      <c r="B648" s="5"/>
      <c r="C648" s="5"/>
      <c r="D648" s="5"/>
      <c r="E648" s="5"/>
      <c r="F648" s="5"/>
      <c r="G648" s="5"/>
      <c r="H648" s="5"/>
      <c r="I648" s="5"/>
      <c r="J648" s="5"/>
      <c r="K648" s="5"/>
      <c r="L648" s="5"/>
      <c r="M648" s="5"/>
      <c r="N648" s="5"/>
      <c r="O648" s="5"/>
      <c r="P648" s="5"/>
      <c r="Q648" s="5"/>
      <c r="R648" s="5"/>
      <c r="S648" s="5"/>
      <c r="T648" s="5"/>
      <c r="U648" s="5"/>
      <c r="V648" s="5"/>
      <c r="Y648" s="5"/>
      <c r="Z648" s="5"/>
      <c r="AA648" s="5"/>
      <c r="AB648" s="5"/>
      <c r="AC648" s="5"/>
      <c r="AD648" s="5"/>
      <c r="AE648" s="5"/>
      <c r="AF648" s="5"/>
      <c r="AG648" s="5"/>
      <c r="AH648" s="5"/>
      <c r="AI648" s="5"/>
      <c r="AJ648" s="5"/>
      <c r="AK648" s="5"/>
      <c r="AL648" s="5"/>
      <c r="AM648" s="5"/>
      <c r="AN648" s="5"/>
    </row>
    <row r="649" spans="1:40" ht="18.75" customHeight="1">
      <c r="A649" s="5"/>
      <c r="B649" s="5"/>
      <c r="C649" s="5"/>
      <c r="D649" s="5"/>
      <c r="E649" s="5"/>
      <c r="F649" s="5"/>
      <c r="G649" s="5"/>
      <c r="H649" s="5"/>
      <c r="I649" s="5"/>
      <c r="J649" s="5"/>
      <c r="K649" s="5"/>
      <c r="L649" s="5"/>
      <c r="M649" s="5"/>
      <c r="N649" s="5"/>
      <c r="O649" s="5"/>
      <c r="P649" s="5"/>
      <c r="Q649" s="5"/>
      <c r="R649" s="5"/>
      <c r="S649" s="5"/>
      <c r="T649" s="5"/>
      <c r="U649" s="5"/>
      <c r="V649" s="5"/>
      <c r="Y649" s="5"/>
      <c r="Z649" s="5"/>
      <c r="AA649" s="5"/>
      <c r="AB649" s="5"/>
      <c r="AC649" s="5"/>
      <c r="AD649" s="5"/>
      <c r="AE649" s="5"/>
      <c r="AF649" s="5"/>
      <c r="AG649" s="5"/>
      <c r="AH649" s="5"/>
      <c r="AI649" s="5"/>
      <c r="AJ649" s="5"/>
      <c r="AK649" s="5"/>
      <c r="AL649" s="5"/>
      <c r="AM649" s="5"/>
      <c r="AN649" s="5"/>
    </row>
    <row r="650" spans="1:40" ht="18.75" customHeight="1">
      <c r="A650" s="5"/>
      <c r="B650" s="5"/>
      <c r="C650" s="5"/>
      <c r="D650" s="5"/>
      <c r="E650" s="5"/>
      <c r="F650" s="5"/>
      <c r="G650" s="5"/>
      <c r="H650" s="5"/>
      <c r="I650" s="5"/>
      <c r="J650" s="5"/>
      <c r="K650" s="5"/>
      <c r="L650" s="5"/>
      <c r="M650" s="5"/>
      <c r="N650" s="5"/>
      <c r="O650" s="5"/>
      <c r="P650" s="5"/>
      <c r="Q650" s="5"/>
      <c r="R650" s="5"/>
      <c r="S650" s="5"/>
      <c r="T650" s="5"/>
      <c r="U650" s="5"/>
      <c r="V650" s="5"/>
      <c r="Y650" s="5"/>
      <c r="Z650" s="5"/>
      <c r="AA650" s="5"/>
      <c r="AB650" s="5"/>
      <c r="AC650" s="5"/>
      <c r="AD650" s="5"/>
      <c r="AE650" s="5"/>
      <c r="AF650" s="5"/>
      <c r="AG650" s="5"/>
      <c r="AH650" s="5"/>
      <c r="AI650" s="5"/>
      <c r="AJ650" s="5"/>
      <c r="AK650" s="5"/>
      <c r="AL650" s="5"/>
      <c r="AM650" s="5"/>
      <c r="AN650" s="5"/>
    </row>
    <row r="651" spans="1:40" ht="18.75" customHeight="1">
      <c r="A651" s="5"/>
      <c r="B651" s="5"/>
      <c r="C651" s="5"/>
      <c r="D651" s="5"/>
      <c r="E651" s="5"/>
      <c r="F651" s="5"/>
      <c r="G651" s="5"/>
      <c r="H651" s="5"/>
      <c r="I651" s="5"/>
      <c r="J651" s="5"/>
      <c r="K651" s="5"/>
      <c r="L651" s="5"/>
      <c r="M651" s="5"/>
      <c r="N651" s="5"/>
      <c r="O651" s="5"/>
      <c r="P651" s="5"/>
      <c r="Q651" s="5"/>
      <c r="R651" s="5"/>
      <c r="S651" s="5"/>
      <c r="T651" s="5"/>
      <c r="U651" s="5"/>
      <c r="V651" s="5"/>
      <c r="Y651" s="5"/>
      <c r="Z651" s="5"/>
      <c r="AA651" s="5"/>
      <c r="AB651" s="5"/>
      <c r="AC651" s="5"/>
      <c r="AD651" s="5"/>
      <c r="AE651" s="5"/>
      <c r="AF651" s="5"/>
      <c r="AG651" s="5"/>
      <c r="AH651" s="5"/>
      <c r="AI651" s="5"/>
      <c r="AJ651" s="5"/>
      <c r="AK651" s="5"/>
      <c r="AL651" s="5"/>
      <c r="AM651" s="5"/>
      <c r="AN651" s="5"/>
    </row>
    <row r="652" spans="1:40" ht="18.75" customHeight="1">
      <c r="A652" s="5"/>
      <c r="B652" s="5"/>
      <c r="C652" s="5"/>
      <c r="D652" s="5"/>
      <c r="E652" s="5"/>
      <c r="F652" s="5"/>
      <c r="G652" s="5"/>
      <c r="H652" s="5"/>
      <c r="I652" s="5"/>
      <c r="J652" s="5"/>
      <c r="K652" s="5"/>
      <c r="L652" s="5"/>
      <c r="M652" s="5"/>
      <c r="N652" s="5"/>
      <c r="O652" s="5"/>
      <c r="P652" s="5"/>
      <c r="Q652" s="5"/>
      <c r="R652" s="5"/>
      <c r="S652" s="5"/>
      <c r="T652" s="5"/>
      <c r="U652" s="5"/>
      <c r="V652" s="5"/>
      <c r="Y652" s="5"/>
      <c r="Z652" s="5"/>
      <c r="AA652" s="5"/>
      <c r="AB652" s="5"/>
      <c r="AC652" s="5"/>
      <c r="AD652" s="5"/>
      <c r="AE652" s="5"/>
      <c r="AF652" s="5"/>
      <c r="AG652" s="5"/>
      <c r="AH652" s="5"/>
      <c r="AI652" s="5"/>
      <c r="AJ652" s="5"/>
      <c r="AK652" s="5"/>
      <c r="AL652" s="5"/>
      <c r="AM652" s="5"/>
      <c r="AN652" s="5"/>
    </row>
    <row r="653" spans="1:40" ht="18.75" customHeight="1">
      <c r="A653" s="5"/>
      <c r="B653" s="5"/>
      <c r="C653" s="5"/>
      <c r="D653" s="5"/>
      <c r="E653" s="5"/>
      <c r="F653" s="5"/>
      <c r="G653" s="5"/>
      <c r="H653" s="5"/>
      <c r="I653" s="5"/>
      <c r="J653" s="5"/>
      <c r="K653" s="5"/>
      <c r="L653" s="5"/>
      <c r="M653" s="5"/>
      <c r="N653" s="5"/>
      <c r="O653" s="5"/>
      <c r="P653" s="5"/>
      <c r="Q653" s="5"/>
      <c r="R653" s="5"/>
      <c r="S653" s="5"/>
      <c r="T653" s="5"/>
      <c r="U653" s="5"/>
      <c r="V653" s="5"/>
      <c r="Y653" s="5"/>
      <c r="Z653" s="5"/>
      <c r="AA653" s="5"/>
      <c r="AB653" s="5"/>
      <c r="AC653" s="5"/>
      <c r="AD653" s="5"/>
      <c r="AE653" s="5"/>
      <c r="AF653" s="5"/>
      <c r="AG653" s="5"/>
      <c r="AH653" s="5"/>
      <c r="AI653" s="5"/>
      <c r="AJ653" s="5"/>
      <c r="AK653" s="5"/>
      <c r="AL653" s="5"/>
      <c r="AM653" s="5"/>
      <c r="AN653" s="5"/>
    </row>
    <row r="654" spans="1:40" ht="18.75" customHeight="1">
      <c r="A654" s="5"/>
      <c r="B654" s="5"/>
      <c r="C654" s="5"/>
      <c r="D654" s="5"/>
      <c r="E654" s="5"/>
      <c r="F654" s="5"/>
      <c r="G654" s="5"/>
      <c r="H654" s="5"/>
      <c r="I654" s="5"/>
      <c r="J654" s="5"/>
      <c r="K654" s="5"/>
      <c r="L654" s="5"/>
      <c r="M654" s="5"/>
      <c r="N654" s="5"/>
      <c r="O654" s="5"/>
      <c r="P654" s="5"/>
      <c r="Q654" s="5"/>
      <c r="R654" s="5"/>
      <c r="S654" s="5"/>
      <c r="T654" s="5"/>
      <c r="U654" s="5"/>
      <c r="V654" s="5"/>
      <c r="Y654" s="5"/>
      <c r="Z654" s="5"/>
      <c r="AA654" s="5"/>
      <c r="AB654" s="5"/>
      <c r="AC654" s="5"/>
      <c r="AD654" s="5"/>
      <c r="AE654" s="5"/>
      <c r="AF654" s="5"/>
      <c r="AG654" s="5"/>
      <c r="AH654" s="5"/>
      <c r="AI654" s="5"/>
      <c r="AJ654" s="5"/>
      <c r="AK654" s="5"/>
      <c r="AL654" s="5"/>
      <c r="AM654" s="5"/>
      <c r="AN654" s="5"/>
    </row>
    <row r="655" spans="1:40" ht="18.75" customHeight="1">
      <c r="A655" s="5"/>
      <c r="B655" s="5"/>
      <c r="C655" s="5"/>
      <c r="D655" s="5"/>
      <c r="E655" s="5"/>
      <c r="F655" s="5"/>
      <c r="G655" s="5"/>
      <c r="H655" s="5"/>
      <c r="I655" s="5"/>
      <c r="J655" s="5"/>
      <c r="K655" s="5"/>
      <c r="L655" s="5"/>
      <c r="M655" s="5"/>
      <c r="N655" s="5"/>
      <c r="O655" s="5"/>
      <c r="P655" s="5"/>
      <c r="Q655" s="5"/>
      <c r="R655" s="5"/>
      <c r="S655" s="5"/>
      <c r="T655" s="5"/>
      <c r="U655" s="5"/>
      <c r="V655" s="5"/>
      <c r="Y655" s="5"/>
      <c r="Z655" s="5"/>
      <c r="AA655" s="5"/>
      <c r="AB655" s="5"/>
      <c r="AC655" s="5"/>
      <c r="AD655" s="5"/>
      <c r="AE655" s="5"/>
      <c r="AF655" s="5"/>
      <c r="AG655" s="5"/>
      <c r="AH655" s="5"/>
      <c r="AI655" s="5"/>
      <c r="AJ655" s="5"/>
      <c r="AK655" s="5"/>
      <c r="AL655" s="5"/>
      <c r="AM655" s="5"/>
      <c r="AN655" s="5"/>
    </row>
    <row r="656" spans="1:40" ht="18.75" customHeight="1">
      <c r="A656" s="5"/>
      <c r="B656" s="5"/>
      <c r="C656" s="5"/>
      <c r="D656" s="5"/>
      <c r="E656" s="5"/>
      <c r="F656" s="5"/>
      <c r="G656" s="5"/>
      <c r="H656" s="5"/>
      <c r="I656" s="5"/>
      <c r="J656" s="5"/>
      <c r="K656" s="5"/>
      <c r="L656" s="5"/>
      <c r="M656" s="5"/>
      <c r="N656" s="5"/>
      <c r="O656" s="5"/>
      <c r="P656" s="5"/>
      <c r="Q656" s="5"/>
      <c r="R656" s="5"/>
      <c r="S656" s="5"/>
      <c r="T656" s="5"/>
      <c r="U656" s="5"/>
      <c r="V656" s="5"/>
      <c r="Y656" s="5"/>
      <c r="Z656" s="5"/>
      <c r="AA656" s="5"/>
      <c r="AB656" s="5"/>
      <c r="AC656" s="5"/>
      <c r="AD656" s="5"/>
      <c r="AE656" s="5"/>
      <c r="AF656" s="5"/>
      <c r="AG656" s="5"/>
      <c r="AH656" s="5"/>
      <c r="AI656" s="5"/>
      <c r="AJ656" s="5"/>
      <c r="AK656" s="5"/>
      <c r="AL656" s="5"/>
      <c r="AM656" s="5"/>
      <c r="AN656" s="5"/>
    </row>
    <row r="657" spans="1:40" ht="18.75" customHeight="1">
      <c r="A657" s="5"/>
      <c r="B657" s="5"/>
      <c r="C657" s="5"/>
      <c r="D657" s="5"/>
      <c r="E657" s="5"/>
      <c r="F657" s="5"/>
      <c r="G657" s="5"/>
      <c r="H657" s="5"/>
      <c r="I657" s="5"/>
      <c r="J657" s="5"/>
      <c r="K657" s="5"/>
      <c r="L657" s="5"/>
      <c r="M657" s="5"/>
      <c r="N657" s="5"/>
      <c r="O657" s="5"/>
      <c r="P657" s="5"/>
      <c r="Q657" s="5"/>
      <c r="R657" s="5"/>
      <c r="S657" s="5"/>
      <c r="T657" s="5"/>
      <c r="U657" s="5"/>
      <c r="V657" s="5"/>
      <c r="Y657" s="5"/>
      <c r="Z657" s="5"/>
      <c r="AA657" s="5"/>
      <c r="AB657" s="5"/>
      <c r="AC657" s="5"/>
      <c r="AD657" s="5"/>
      <c r="AE657" s="5"/>
      <c r="AF657" s="5"/>
      <c r="AG657" s="5"/>
      <c r="AH657" s="5"/>
      <c r="AI657" s="5"/>
      <c r="AJ657" s="5"/>
      <c r="AK657" s="5"/>
      <c r="AL657" s="5"/>
      <c r="AM657" s="5"/>
      <c r="AN657" s="5"/>
    </row>
    <row r="658" spans="1:40" ht="18.75" customHeight="1">
      <c r="A658" s="5"/>
      <c r="B658" s="5"/>
      <c r="C658" s="5"/>
      <c r="D658" s="5"/>
      <c r="E658" s="5"/>
      <c r="F658" s="5"/>
      <c r="G658" s="5"/>
      <c r="H658" s="5"/>
      <c r="I658" s="5"/>
      <c r="J658" s="5"/>
      <c r="K658" s="5"/>
      <c r="L658" s="5"/>
      <c r="M658" s="5"/>
      <c r="N658" s="5"/>
      <c r="O658" s="5"/>
      <c r="P658" s="5"/>
      <c r="Q658" s="5"/>
      <c r="R658" s="5"/>
      <c r="S658" s="5"/>
      <c r="T658" s="5"/>
      <c r="U658" s="5"/>
      <c r="V658" s="5"/>
      <c r="Y658" s="5"/>
      <c r="Z658" s="5"/>
      <c r="AA658" s="5"/>
      <c r="AB658" s="5"/>
      <c r="AC658" s="5"/>
      <c r="AD658" s="5"/>
      <c r="AE658" s="5"/>
      <c r="AF658" s="5"/>
      <c r="AG658" s="5"/>
      <c r="AH658" s="5"/>
      <c r="AI658" s="5"/>
      <c r="AJ658" s="5"/>
      <c r="AK658" s="5"/>
      <c r="AL658" s="5"/>
      <c r="AM658" s="5"/>
      <c r="AN658" s="5"/>
    </row>
    <row r="659" spans="1:40" ht="18.75" customHeight="1">
      <c r="A659" s="5"/>
      <c r="B659" s="5"/>
      <c r="C659" s="5"/>
      <c r="D659" s="5"/>
      <c r="E659" s="5"/>
      <c r="F659" s="5"/>
      <c r="G659" s="5"/>
      <c r="H659" s="5"/>
      <c r="I659" s="5"/>
      <c r="J659" s="5"/>
      <c r="K659" s="5"/>
      <c r="L659" s="5"/>
      <c r="M659" s="5"/>
      <c r="N659" s="5"/>
      <c r="O659" s="5"/>
      <c r="P659" s="5"/>
      <c r="Q659" s="5"/>
      <c r="R659" s="5"/>
      <c r="S659" s="5"/>
      <c r="T659" s="5"/>
      <c r="U659" s="5"/>
      <c r="V659" s="5"/>
      <c r="Y659" s="5"/>
      <c r="Z659" s="5"/>
      <c r="AA659" s="5"/>
      <c r="AB659" s="5"/>
      <c r="AC659" s="5"/>
      <c r="AD659" s="5"/>
      <c r="AE659" s="5"/>
      <c r="AF659" s="5"/>
      <c r="AG659" s="5"/>
      <c r="AH659" s="5"/>
      <c r="AI659" s="5"/>
      <c r="AJ659" s="5"/>
      <c r="AK659" s="5"/>
      <c r="AL659" s="5"/>
      <c r="AM659" s="5"/>
      <c r="AN659" s="5"/>
    </row>
    <row r="660" spans="1:40" ht="18.75" customHeight="1">
      <c r="A660" s="5"/>
      <c r="B660" s="5"/>
      <c r="C660" s="5"/>
      <c r="D660" s="5"/>
      <c r="E660" s="5"/>
      <c r="F660" s="5"/>
      <c r="G660" s="5"/>
      <c r="H660" s="5"/>
      <c r="I660" s="5"/>
      <c r="J660" s="5"/>
      <c r="K660" s="5"/>
      <c r="L660" s="5"/>
      <c r="M660" s="5"/>
      <c r="N660" s="5"/>
      <c r="O660" s="5"/>
      <c r="P660" s="5"/>
      <c r="Q660" s="5"/>
      <c r="R660" s="5"/>
      <c r="S660" s="5"/>
      <c r="T660" s="5"/>
      <c r="U660" s="5"/>
      <c r="V660" s="5"/>
      <c r="Y660" s="5"/>
      <c r="Z660" s="5"/>
      <c r="AA660" s="5"/>
      <c r="AB660" s="5"/>
      <c r="AC660" s="5"/>
      <c r="AD660" s="5"/>
      <c r="AE660" s="5"/>
      <c r="AF660" s="5"/>
      <c r="AG660" s="5"/>
      <c r="AH660" s="5"/>
      <c r="AI660" s="5"/>
      <c r="AJ660" s="5"/>
      <c r="AK660" s="5"/>
      <c r="AL660" s="5"/>
      <c r="AM660" s="5"/>
      <c r="AN660" s="5"/>
    </row>
    <row r="661" spans="1:40" ht="18.75" customHeight="1">
      <c r="A661" s="5"/>
      <c r="B661" s="5"/>
      <c r="C661" s="5"/>
      <c r="D661" s="5"/>
      <c r="E661" s="5"/>
      <c r="F661" s="5"/>
      <c r="G661" s="5"/>
      <c r="H661" s="5"/>
      <c r="I661" s="5"/>
      <c r="J661" s="5"/>
      <c r="K661" s="5"/>
      <c r="L661" s="5"/>
      <c r="M661" s="5"/>
      <c r="N661" s="5"/>
      <c r="O661" s="5"/>
      <c r="P661" s="5"/>
      <c r="Q661" s="5"/>
      <c r="R661" s="5"/>
      <c r="S661" s="5"/>
      <c r="T661" s="5"/>
      <c r="U661" s="5"/>
      <c r="V661" s="5"/>
      <c r="Y661" s="5"/>
      <c r="Z661" s="5"/>
      <c r="AA661" s="5"/>
      <c r="AB661" s="5"/>
      <c r="AC661" s="5"/>
      <c r="AD661" s="5"/>
      <c r="AE661" s="5"/>
      <c r="AF661" s="5"/>
      <c r="AG661" s="5"/>
      <c r="AH661" s="5"/>
      <c r="AI661" s="5"/>
      <c r="AJ661" s="5"/>
      <c r="AK661" s="5"/>
      <c r="AL661" s="5"/>
      <c r="AM661" s="5"/>
      <c r="AN661" s="5"/>
    </row>
    <row r="662" spans="1:40" ht="18.75" customHeight="1">
      <c r="A662" s="5"/>
      <c r="B662" s="5"/>
      <c r="C662" s="5"/>
      <c r="D662" s="5"/>
      <c r="E662" s="5"/>
      <c r="F662" s="5"/>
      <c r="G662" s="5"/>
      <c r="H662" s="5"/>
      <c r="I662" s="5"/>
      <c r="J662" s="5"/>
      <c r="K662" s="5"/>
      <c r="L662" s="5"/>
      <c r="M662" s="5"/>
      <c r="N662" s="5"/>
      <c r="O662" s="5"/>
      <c r="P662" s="5"/>
      <c r="Q662" s="5"/>
      <c r="R662" s="5"/>
      <c r="S662" s="5"/>
      <c r="T662" s="5"/>
      <c r="U662" s="5"/>
      <c r="V662" s="5"/>
      <c r="Y662" s="5"/>
      <c r="Z662" s="5"/>
      <c r="AA662" s="5"/>
      <c r="AB662" s="5"/>
      <c r="AC662" s="5"/>
      <c r="AD662" s="5"/>
      <c r="AE662" s="5"/>
      <c r="AF662" s="5"/>
      <c r="AG662" s="5"/>
      <c r="AH662" s="5"/>
      <c r="AI662" s="5"/>
      <c r="AJ662" s="5"/>
      <c r="AK662" s="5"/>
      <c r="AL662" s="5"/>
      <c r="AM662" s="5"/>
      <c r="AN662" s="5"/>
    </row>
    <row r="663" spans="1:40" ht="18.75" customHeight="1">
      <c r="A663" s="5"/>
      <c r="B663" s="5"/>
      <c r="C663" s="5"/>
      <c r="D663" s="5"/>
      <c r="E663" s="5"/>
      <c r="F663" s="5"/>
      <c r="G663" s="5"/>
      <c r="H663" s="5"/>
      <c r="I663" s="5"/>
      <c r="J663" s="5"/>
      <c r="K663" s="5"/>
      <c r="L663" s="5"/>
      <c r="M663" s="5"/>
      <c r="N663" s="5"/>
      <c r="O663" s="5"/>
      <c r="P663" s="5"/>
      <c r="Q663" s="5"/>
      <c r="R663" s="5"/>
      <c r="S663" s="5"/>
      <c r="T663" s="5"/>
      <c r="U663" s="5"/>
      <c r="V663" s="5"/>
      <c r="Y663" s="5"/>
      <c r="Z663" s="5"/>
      <c r="AA663" s="5"/>
      <c r="AB663" s="5"/>
      <c r="AC663" s="5"/>
      <c r="AD663" s="5"/>
      <c r="AE663" s="5"/>
      <c r="AF663" s="5"/>
      <c r="AG663" s="5"/>
      <c r="AH663" s="5"/>
      <c r="AI663" s="5"/>
      <c r="AJ663" s="5"/>
      <c r="AK663" s="5"/>
      <c r="AL663" s="5"/>
      <c r="AM663" s="5"/>
      <c r="AN663" s="5"/>
    </row>
    <row r="664" spans="1:40" ht="18.75" customHeight="1">
      <c r="A664" s="5"/>
      <c r="B664" s="5"/>
      <c r="C664" s="5"/>
      <c r="D664" s="5"/>
      <c r="E664" s="5"/>
      <c r="F664" s="5"/>
      <c r="G664" s="5"/>
      <c r="H664" s="5"/>
      <c r="I664" s="5"/>
      <c r="J664" s="5"/>
      <c r="K664" s="5"/>
      <c r="L664" s="5"/>
      <c r="M664" s="5"/>
      <c r="N664" s="5"/>
      <c r="O664" s="5"/>
      <c r="P664" s="5"/>
      <c r="Q664" s="5"/>
      <c r="R664" s="5"/>
      <c r="S664" s="5"/>
      <c r="T664" s="5"/>
      <c r="U664" s="5"/>
      <c r="V664" s="5"/>
      <c r="Y664" s="5"/>
      <c r="Z664" s="5"/>
      <c r="AA664" s="5"/>
      <c r="AB664" s="5"/>
      <c r="AC664" s="5"/>
      <c r="AD664" s="5"/>
      <c r="AE664" s="5"/>
      <c r="AF664" s="5"/>
      <c r="AG664" s="5"/>
      <c r="AH664" s="5"/>
      <c r="AI664" s="5"/>
      <c r="AJ664" s="5"/>
      <c r="AK664" s="5"/>
      <c r="AL664" s="5"/>
      <c r="AM664" s="5"/>
      <c r="AN664" s="5"/>
    </row>
    <row r="665" spans="1:40" ht="18.75" customHeight="1">
      <c r="A665" s="5"/>
      <c r="B665" s="5"/>
      <c r="C665" s="5"/>
      <c r="D665" s="5"/>
      <c r="E665" s="5"/>
      <c r="F665" s="5"/>
      <c r="G665" s="5"/>
      <c r="H665" s="5"/>
      <c r="I665" s="5"/>
      <c r="J665" s="5"/>
      <c r="K665" s="5"/>
      <c r="L665" s="5"/>
      <c r="M665" s="5"/>
      <c r="N665" s="5"/>
      <c r="O665" s="5"/>
      <c r="P665" s="5"/>
      <c r="Q665" s="5"/>
      <c r="R665" s="5"/>
      <c r="S665" s="5"/>
      <c r="T665" s="5"/>
      <c r="U665" s="5"/>
      <c r="V665" s="5"/>
      <c r="Y665" s="5"/>
      <c r="Z665" s="5"/>
      <c r="AA665" s="5"/>
      <c r="AB665" s="5"/>
      <c r="AC665" s="5"/>
      <c r="AD665" s="5"/>
      <c r="AE665" s="5"/>
      <c r="AF665" s="5"/>
      <c r="AG665" s="5"/>
      <c r="AH665" s="5"/>
      <c r="AI665" s="5"/>
      <c r="AJ665" s="5"/>
      <c r="AK665" s="5"/>
      <c r="AL665" s="5"/>
      <c r="AM665" s="5"/>
      <c r="AN665" s="5"/>
    </row>
    <row r="666" spans="1:40" ht="18.75" customHeight="1">
      <c r="A666" s="5"/>
      <c r="B666" s="5"/>
      <c r="C666" s="5"/>
      <c r="D666" s="5"/>
      <c r="E666" s="5"/>
      <c r="F666" s="5"/>
      <c r="G666" s="5"/>
      <c r="H666" s="5"/>
      <c r="I666" s="5"/>
      <c r="J666" s="5"/>
      <c r="K666" s="5"/>
      <c r="L666" s="5"/>
      <c r="M666" s="5"/>
      <c r="N666" s="5"/>
      <c r="O666" s="5"/>
      <c r="P666" s="5"/>
      <c r="Q666" s="5"/>
      <c r="R666" s="5"/>
      <c r="S666" s="5"/>
      <c r="T666" s="5"/>
      <c r="U666" s="5"/>
      <c r="V666" s="5"/>
      <c r="Y666" s="5"/>
      <c r="Z666" s="5"/>
      <c r="AA666" s="5"/>
      <c r="AB666" s="5"/>
      <c r="AC666" s="5"/>
      <c r="AD666" s="5"/>
      <c r="AE666" s="5"/>
      <c r="AF666" s="5"/>
      <c r="AG666" s="5"/>
      <c r="AH666" s="5"/>
      <c r="AI666" s="5"/>
      <c r="AJ666" s="5"/>
      <c r="AK666" s="5"/>
      <c r="AL666" s="5"/>
      <c r="AM666" s="5"/>
      <c r="AN666" s="5"/>
    </row>
    <row r="667" spans="1:40" ht="18.75" customHeight="1">
      <c r="A667" s="5"/>
      <c r="B667" s="5"/>
      <c r="C667" s="5"/>
      <c r="D667" s="5"/>
      <c r="E667" s="5"/>
      <c r="F667" s="5"/>
      <c r="G667" s="5"/>
      <c r="H667" s="5"/>
      <c r="I667" s="5"/>
      <c r="J667" s="5"/>
      <c r="K667" s="5"/>
      <c r="L667" s="5"/>
      <c r="M667" s="5"/>
      <c r="N667" s="5"/>
      <c r="O667" s="5"/>
      <c r="P667" s="5"/>
      <c r="Q667" s="5"/>
      <c r="R667" s="5"/>
      <c r="S667" s="5"/>
      <c r="T667" s="5"/>
      <c r="U667" s="5"/>
      <c r="V667" s="5"/>
      <c r="Y667" s="5"/>
      <c r="Z667" s="5"/>
      <c r="AA667" s="5"/>
      <c r="AB667" s="5"/>
      <c r="AC667" s="5"/>
      <c r="AD667" s="5"/>
      <c r="AE667" s="5"/>
      <c r="AF667" s="5"/>
      <c r="AG667" s="5"/>
      <c r="AH667" s="5"/>
      <c r="AI667" s="5"/>
      <c r="AJ667" s="5"/>
      <c r="AK667" s="5"/>
      <c r="AL667" s="5"/>
      <c r="AM667" s="5"/>
      <c r="AN667" s="5"/>
    </row>
    <row r="668" spans="1:40" ht="18.75" customHeight="1">
      <c r="A668" s="5"/>
      <c r="B668" s="5"/>
      <c r="C668" s="5"/>
      <c r="D668" s="5"/>
      <c r="E668" s="5"/>
      <c r="F668" s="5"/>
      <c r="G668" s="5"/>
      <c r="H668" s="5"/>
      <c r="I668" s="5"/>
      <c r="J668" s="5"/>
      <c r="K668" s="5"/>
      <c r="L668" s="5"/>
      <c r="M668" s="5"/>
      <c r="N668" s="5"/>
      <c r="O668" s="5"/>
      <c r="P668" s="5"/>
      <c r="Q668" s="5"/>
      <c r="R668" s="5"/>
      <c r="S668" s="5"/>
      <c r="T668" s="5"/>
      <c r="U668" s="5"/>
      <c r="V668" s="5"/>
      <c r="Y668" s="5"/>
      <c r="Z668" s="5"/>
      <c r="AA668" s="5"/>
      <c r="AB668" s="5"/>
      <c r="AC668" s="5"/>
      <c r="AD668" s="5"/>
      <c r="AE668" s="5"/>
      <c r="AF668" s="5"/>
      <c r="AG668" s="5"/>
      <c r="AH668" s="5"/>
      <c r="AI668" s="5"/>
      <c r="AJ668" s="5"/>
      <c r="AK668" s="5"/>
      <c r="AL668" s="5"/>
      <c r="AM668" s="5"/>
      <c r="AN668" s="5"/>
    </row>
    <row r="669" spans="1:40" ht="18.75" customHeight="1">
      <c r="A669" s="5"/>
      <c r="B669" s="5"/>
      <c r="C669" s="5"/>
      <c r="D669" s="5"/>
      <c r="E669" s="5"/>
      <c r="F669" s="5"/>
      <c r="G669" s="5"/>
      <c r="H669" s="5"/>
      <c r="I669" s="5"/>
      <c r="J669" s="5"/>
      <c r="K669" s="5"/>
      <c r="L669" s="5"/>
      <c r="M669" s="5"/>
      <c r="N669" s="5"/>
      <c r="O669" s="5"/>
      <c r="P669" s="5"/>
      <c r="Q669" s="5"/>
      <c r="R669" s="5"/>
      <c r="S669" s="5"/>
      <c r="T669" s="5"/>
      <c r="U669" s="5"/>
      <c r="V669" s="5"/>
      <c r="Y669" s="5"/>
      <c r="Z669" s="5"/>
      <c r="AA669" s="5"/>
      <c r="AB669" s="5"/>
      <c r="AC669" s="5"/>
      <c r="AD669" s="5"/>
      <c r="AE669" s="5"/>
      <c r="AF669" s="5"/>
      <c r="AG669" s="5"/>
      <c r="AH669" s="5"/>
      <c r="AI669" s="5"/>
      <c r="AJ669" s="5"/>
      <c r="AK669" s="5"/>
      <c r="AL669" s="5"/>
      <c r="AM669" s="5"/>
      <c r="AN669" s="5"/>
    </row>
    <row r="670" spans="1:40" ht="18.75" customHeight="1">
      <c r="A670" s="5"/>
      <c r="B670" s="5"/>
      <c r="C670" s="5"/>
      <c r="D670" s="5"/>
      <c r="E670" s="5"/>
      <c r="F670" s="5"/>
      <c r="G670" s="5"/>
      <c r="H670" s="5"/>
      <c r="I670" s="5"/>
      <c r="J670" s="5"/>
      <c r="K670" s="5"/>
      <c r="L670" s="5"/>
      <c r="M670" s="5"/>
      <c r="N670" s="5"/>
      <c r="O670" s="5"/>
      <c r="P670" s="5"/>
      <c r="Q670" s="5"/>
      <c r="R670" s="5"/>
      <c r="S670" s="5"/>
      <c r="T670" s="5"/>
      <c r="U670" s="5"/>
      <c r="V670" s="5"/>
      <c r="Y670" s="5"/>
      <c r="Z670" s="5"/>
      <c r="AA670" s="5"/>
      <c r="AB670" s="5"/>
      <c r="AC670" s="5"/>
      <c r="AD670" s="5"/>
      <c r="AE670" s="5"/>
      <c r="AF670" s="5"/>
      <c r="AG670" s="5"/>
      <c r="AH670" s="5"/>
      <c r="AI670" s="5"/>
      <c r="AJ670" s="5"/>
      <c r="AK670" s="5"/>
      <c r="AL670" s="5"/>
      <c r="AM670" s="5"/>
      <c r="AN670" s="5"/>
    </row>
    <row r="671" spans="1:40" ht="18.75" customHeight="1">
      <c r="A671" s="5"/>
      <c r="B671" s="5"/>
      <c r="C671" s="5"/>
      <c r="D671" s="5"/>
      <c r="E671" s="5"/>
      <c r="F671" s="5"/>
      <c r="G671" s="5"/>
      <c r="H671" s="5"/>
      <c r="I671" s="5"/>
      <c r="J671" s="5"/>
      <c r="K671" s="5"/>
      <c r="L671" s="5"/>
      <c r="M671" s="5"/>
      <c r="N671" s="5"/>
      <c r="O671" s="5"/>
      <c r="P671" s="5"/>
      <c r="Q671" s="5"/>
      <c r="R671" s="5"/>
      <c r="S671" s="5"/>
      <c r="T671" s="5"/>
      <c r="U671" s="5"/>
      <c r="V671" s="5"/>
      <c r="Y671" s="5"/>
      <c r="Z671" s="5"/>
      <c r="AA671" s="5"/>
      <c r="AB671" s="5"/>
      <c r="AC671" s="5"/>
      <c r="AD671" s="5"/>
      <c r="AE671" s="5"/>
      <c r="AF671" s="5"/>
      <c r="AG671" s="5"/>
      <c r="AH671" s="5"/>
      <c r="AI671" s="5"/>
      <c r="AJ671" s="5"/>
      <c r="AK671" s="5"/>
      <c r="AL671" s="5"/>
      <c r="AM671" s="5"/>
      <c r="AN671" s="5"/>
    </row>
    <row r="672" spans="1:40" ht="18.75" customHeight="1">
      <c r="A672" s="5"/>
      <c r="B672" s="5"/>
      <c r="C672" s="5"/>
      <c r="D672" s="5"/>
      <c r="E672" s="5"/>
      <c r="F672" s="5"/>
      <c r="G672" s="5"/>
      <c r="H672" s="5"/>
      <c r="I672" s="5"/>
      <c r="J672" s="5"/>
      <c r="K672" s="5"/>
      <c r="L672" s="5"/>
      <c r="M672" s="5"/>
      <c r="N672" s="5"/>
      <c r="O672" s="5"/>
      <c r="P672" s="5"/>
      <c r="Q672" s="5"/>
      <c r="R672" s="5"/>
      <c r="S672" s="5"/>
      <c r="T672" s="5"/>
      <c r="U672" s="5"/>
      <c r="V672" s="5"/>
      <c r="Y672" s="5"/>
      <c r="Z672" s="5"/>
      <c r="AA672" s="5"/>
      <c r="AB672" s="5"/>
      <c r="AC672" s="5"/>
      <c r="AD672" s="5"/>
      <c r="AE672" s="5"/>
      <c r="AF672" s="5"/>
      <c r="AG672" s="5"/>
      <c r="AH672" s="5"/>
      <c r="AI672" s="5"/>
      <c r="AJ672" s="5"/>
      <c r="AK672" s="5"/>
      <c r="AL672" s="5"/>
      <c r="AM672" s="5"/>
      <c r="AN672" s="5"/>
    </row>
    <row r="673" spans="1:40" ht="18.75" customHeight="1">
      <c r="A673" s="5"/>
      <c r="B673" s="5"/>
      <c r="C673" s="5"/>
      <c r="D673" s="5"/>
      <c r="E673" s="5"/>
      <c r="F673" s="5"/>
      <c r="G673" s="5"/>
      <c r="H673" s="5"/>
      <c r="I673" s="5"/>
      <c r="J673" s="5"/>
      <c r="K673" s="5"/>
      <c r="L673" s="5"/>
      <c r="M673" s="5"/>
      <c r="N673" s="5"/>
      <c r="O673" s="5"/>
      <c r="P673" s="5"/>
      <c r="Q673" s="5"/>
      <c r="R673" s="5"/>
      <c r="S673" s="5"/>
      <c r="T673" s="5"/>
      <c r="U673" s="5"/>
      <c r="V673" s="5"/>
      <c r="Y673" s="5"/>
      <c r="Z673" s="5"/>
      <c r="AA673" s="5"/>
      <c r="AB673" s="5"/>
      <c r="AC673" s="5"/>
      <c r="AD673" s="5"/>
      <c r="AE673" s="5"/>
      <c r="AF673" s="5"/>
      <c r="AG673" s="5"/>
      <c r="AH673" s="5"/>
      <c r="AI673" s="5"/>
      <c r="AJ673" s="5"/>
      <c r="AK673" s="5"/>
      <c r="AL673" s="5"/>
      <c r="AM673" s="5"/>
      <c r="AN673" s="5"/>
    </row>
    <row r="674" spans="1:40" ht="18.75" customHeight="1">
      <c r="A674" s="5"/>
      <c r="B674" s="5"/>
      <c r="C674" s="5"/>
      <c r="D674" s="5"/>
      <c r="E674" s="5"/>
      <c r="F674" s="5"/>
      <c r="G674" s="5"/>
      <c r="H674" s="5"/>
      <c r="I674" s="5"/>
      <c r="J674" s="5"/>
      <c r="K674" s="5"/>
      <c r="L674" s="5"/>
      <c r="M674" s="5"/>
      <c r="N674" s="5"/>
      <c r="O674" s="5"/>
      <c r="P674" s="5"/>
      <c r="Q674" s="5"/>
      <c r="R674" s="5"/>
      <c r="S674" s="5"/>
      <c r="T674" s="5"/>
      <c r="U674" s="5"/>
      <c r="V674" s="5"/>
      <c r="Y674" s="5"/>
      <c r="Z674" s="5"/>
      <c r="AA674" s="5"/>
      <c r="AB674" s="5"/>
      <c r="AC674" s="5"/>
      <c r="AD674" s="5"/>
      <c r="AE674" s="5"/>
      <c r="AF674" s="5"/>
      <c r="AG674" s="5"/>
      <c r="AH674" s="5"/>
      <c r="AI674" s="5"/>
      <c r="AJ674" s="5"/>
      <c r="AK674" s="5"/>
      <c r="AL674" s="5"/>
      <c r="AM674" s="5"/>
      <c r="AN674" s="5"/>
    </row>
    <row r="675" spans="1:40" ht="18.75" customHeight="1">
      <c r="A675" s="5"/>
      <c r="B675" s="5"/>
      <c r="C675" s="5"/>
      <c r="D675" s="5"/>
      <c r="E675" s="5"/>
      <c r="F675" s="5"/>
      <c r="G675" s="5"/>
      <c r="H675" s="5"/>
      <c r="I675" s="5"/>
      <c r="J675" s="5"/>
      <c r="K675" s="5"/>
      <c r="L675" s="5"/>
      <c r="M675" s="5"/>
      <c r="N675" s="5"/>
      <c r="O675" s="5"/>
      <c r="P675" s="5"/>
      <c r="Q675" s="5"/>
      <c r="R675" s="5"/>
      <c r="S675" s="5"/>
      <c r="T675" s="5"/>
      <c r="U675" s="5"/>
      <c r="V675" s="5"/>
      <c r="Y675" s="5"/>
      <c r="Z675" s="5"/>
      <c r="AA675" s="5"/>
      <c r="AB675" s="5"/>
      <c r="AC675" s="5"/>
      <c r="AD675" s="5"/>
      <c r="AE675" s="5"/>
      <c r="AF675" s="5"/>
      <c r="AG675" s="5"/>
      <c r="AH675" s="5"/>
      <c r="AI675" s="5"/>
      <c r="AJ675" s="5"/>
      <c r="AK675" s="5"/>
      <c r="AL675" s="5"/>
      <c r="AM675" s="5"/>
      <c r="AN675" s="5"/>
    </row>
    <row r="676" spans="1:40" ht="18.75" customHeight="1">
      <c r="A676" s="5"/>
      <c r="B676" s="5"/>
      <c r="C676" s="5"/>
      <c r="D676" s="5"/>
      <c r="E676" s="5"/>
      <c r="F676" s="5"/>
      <c r="G676" s="5"/>
      <c r="H676" s="5"/>
      <c r="I676" s="5"/>
      <c r="J676" s="5"/>
      <c r="K676" s="5"/>
      <c r="L676" s="5"/>
      <c r="M676" s="5"/>
      <c r="N676" s="5"/>
      <c r="O676" s="5"/>
      <c r="P676" s="5"/>
      <c r="Q676" s="5"/>
      <c r="R676" s="5"/>
      <c r="S676" s="5"/>
      <c r="T676" s="5"/>
      <c r="U676" s="5"/>
      <c r="V676" s="5"/>
      <c r="Y676" s="5"/>
      <c r="Z676" s="5"/>
      <c r="AA676" s="5"/>
      <c r="AB676" s="5"/>
      <c r="AC676" s="5"/>
      <c r="AD676" s="5"/>
      <c r="AE676" s="5"/>
      <c r="AF676" s="5"/>
      <c r="AG676" s="5"/>
      <c r="AH676" s="5"/>
      <c r="AI676" s="5"/>
      <c r="AJ676" s="5"/>
      <c r="AK676" s="5"/>
      <c r="AL676" s="5"/>
      <c r="AM676" s="5"/>
      <c r="AN676" s="5"/>
    </row>
    <row r="677" spans="1:40" ht="18.75" customHeight="1">
      <c r="A677" s="5"/>
      <c r="B677" s="5"/>
      <c r="C677" s="5"/>
      <c r="D677" s="5"/>
      <c r="E677" s="5"/>
      <c r="F677" s="5"/>
      <c r="G677" s="5"/>
      <c r="H677" s="5"/>
      <c r="I677" s="5"/>
      <c r="J677" s="5"/>
      <c r="K677" s="5"/>
      <c r="L677" s="5"/>
      <c r="M677" s="5"/>
      <c r="N677" s="5"/>
      <c r="O677" s="5"/>
      <c r="P677" s="5"/>
      <c r="Q677" s="5"/>
      <c r="R677" s="5"/>
      <c r="S677" s="5"/>
      <c r="T677" s="5"/>
      <c r="U677" s="5"/>
      <c r="V677" s="5"/>
      <c r="Y677" s="5"/>
      <c r="Z677" s="5"/>
      <c r="AA677" s="5"/>
      <c r="AB677" s="5"/>
      <c r="AC677" s="5"/>
      <c r="AD677" s="5"/>
      <c r="AE677" s="5"/>
      <c r="AF677" s="5"/>
      <c r="AG677" s="5"/>
      <c r="AH677" s="5"/>
      <c r="AI677" s="5"/>
      <c r="AJ677" s="5"/>
      <c r="AK677" s="5"/>
      <c r="AL677" s="5"/>
      <c r="AM677" s="5"/>
      <c r="AN677" s="5"/>
    </row>
    <row r="678" spans="1:40" ht="18.75" customHeight="1">
      <c r="A678" s="5"/>
      <c r="B678" s="5"/>
      <c r="C678" s="5"/>
      <c r="D678" s="5"/>
      <c r="E678" s="5"/>
      <c r="F678" s="5"/>
      <c r="G678" s="5"/>
      <c r="H678" s="5"/>
      <c r="I678" s="5"/>
      <c r="J678" s="5"/>
      <c r="K678" s="5"/>
      <c r="L678" s="5"/>
      <c r="M678" s="5"/>
      <c r="N678" s="5"/>
      <c r="O678" s="5"/>
      <c r="P678" s="5"/>
      <c r="Q678" s="5"/>
      <c r="R678" s="5"/>
      <c r="S678" s="5"/>
      <c r="T678" s="5"/>
      <c r="U678" s="5"/>
      <c r="V678" s="5"/>
      <c r="Y678" s="5"/>
      <c r="Z678" s="5"/>
      <c r="AA678" s="5"/>
      <c r="AB678" s="5"/>
      <c r="AC678" s="5"/>
      <c r="AD678" s="5"/>
      <c r="AE678" s="5"/>
      <c r="AF678" s="5"/>
      <c r="AG678" s="5"/>
      <c r="AH678" s="5"/>
      <c r="AI678" s="5"/>
      <c r="AJ678" s="5"/>
      <c r="AK678" s="5"/>
      <c r="AL678" s="5"/>
      <c r="AM678" s="5"/>
      <c r="AN678" s="5"/>
    </row>
    <row r="679" spans="1:40" ht="18.75" customHeight="1">
      <c r="A679" s="5"/>
      <c r="B679" s="5"/>
      <c r="C679" s="5"/>
      <c r="D679" s="5"/>
      <c r="E679" s="5"/>
      <c r="F679" s="5"/>
      <c r="G679" s="5"/>
      <c r="H679" s="5"/>
      <c r="I679" s="5"/>
      <c r="J679" s="5"/>
      <c r="K679" s="5"/>
      <c r="L679" s="5"/>
      <c r="M679" s="5"/>
      <c r="N679" s="5"/>
      <c r="O679" s="5"/>
      <c r="P679" s="5"/>
      <c r="Q679" s="5"/>
      <c r="R679" s="5"/>
      <c r="S679" s="5"/>
      <c r="T679" s="5"/>
      <c r="U679" s="5"/>
      <c r="V679" s="5"/>
      <c r="Y679" s="5"/>
      <c r="Z679" s="5"/>
      <c r="AA679" s="5"/>
      <c r="AB679" s="5"/>
      <c r="AC679" s="5"/>
      <c r="AD679" s="5"/>
      <c r="AE679" s="5"/>
      <c r="AF679" s="5"/>
      <c r="AG679" s="5"/>
      <c r="AH679" s="5"/>
      <c r="AI679" s="5"/>
      <c r="AJ679" s="5"/>
      <c r="AK679" s="5"/>
      <c r="AL679" s="5"/>
      <c r="AM679" s="5"/>
      <c r="AN679" s="5"/>
    </row>
    <row r="680" spans="1:40" ht="18.75" customHeight="1">
      <c r="A680" s="5"/>
      <c r="B680" s="5"/>
      <c r="C680" s="5"/>
      <c r="D680" s="5"/>
      <c r="E680" s="5"/>
      <c r="F680" s="5"/>
      <c r="G680" s="5"/>
      <c r="H680" s="5"/>
      <c r="I680" s="5"/>
      <c r="J680" s="5"/>
      <c r="K680" s="5"/>
      <c r="L680" s="5"/>
      <c r="M680" s="5"/>
      <c r="N680" s="5"/>
      <c r="O680" s="5"/>
      <c r="P680" s="5"/>
      <c r="Q680" s="5"/>
      <c r="R680" s="5"/>
      <c r="S680" s="5"/>
      <c r="T680" s="5"/>
      <c r="U680" s="5"/>
      <c r="V680" s="5"/>
      <c r="Y680" s="5"/>
      <c r="Z680" s="5"/>
      <c r="AA680" s="5"/>
      <c r="AB680" s="5"/>
      <c r="AC680" s="5"/>
      <c r="AD680" s="5"/>
      <c r="AE680" s="5"/>
      <c r="AF680" s="5"/>
      <c r="AG680" s="5"/>
      <c r="AH680" s="5"/>
      <c r="AI680" s="5"/>
      <c r="AJ680" s="5"/>
      <c r="AK680" s="5"/>
      <c r="AL680" s="5"/>
      <c r="AM680" s="5"/>
      <c r="AN680" s="5"/>
    </row>
    <row r="681" spans="1:40" ht="18.75" customHeight="1">
      <c r="A681" s="5"/>
      <c r="B681" s="5"/>
      <c r="C681" s="5"/>
      <c r="D681" s="5"/>
      <c r="E681" s="5"/>
      <c r="F681" s="5"/>
      <c r="G681" s="5"/>
      <c r="H681" s="5"/>
      <c r="I681" s="5"/>
      <c r="J681" s="5"/>
      <c r="K681" s="5"/>
      <c r="L681" s="5"/>
      <c r="M681" s="5"/>
      <c r="N681" s="5"/>
      <c r="O681" s="5"/>
      <c r="P681" s="5"/>
      <c r="Q681" s="5"/>
      <c r="R681" s="5"/>
      <c r="S681" s="5"/>
      <c r="T681" s="5"/>
      <c r="U681" s="5"/>
      <c r="V681" s="5"/>
      <c r="Y681" s="5"/>
      <c r="Z681" s="5"/>
      <c r="AA681" s="5"/>
      <c r="AB681" s="5"/>
      <c r="AC681" s="5"/>
      <c r="AD681" s="5"/>
      <c r="AE681" s="5"/>
      <c r="AF681" s="5"/>
      <c r="AG681" s="5"/>
      <c r="AH681" s="5"/>
      <c r="AI681" s="5"/>
      <c r="AJ681" s="5"/>
      <c r="AK681" s="5"/>
      <c r="AL681" s="5"/>
      <c r="AM681" s="5"/>
      <c r="AN681" s="5"/>
    </row>
    <row r="682" spans="1:40" ht="18.75" customHeight="1">
      <c r="A682" s="5"/>
      <c r="B682" s="5"/>
      <c r="C682" s="5"/>
      <c r="D682" s="5"/>
      <c r="E682" s="5"/>
      <c r="F682" s="5"/>
      <c r="G682" s="5"/>
      <c r="H682" s="5"/>
      <c r="I682" s="5"/>
      <c r="J682" s="5"/>
      <c r="K682" s="5"/>
      <c r="L682" s="5"/>
      <c r="M682" s="5"/>
      <c r="N682" s="5"/>
      <c r="O682" s="5"/>
      <c r="P682" s="5"/>
      <c r="Q682" s="5"/>
      <c r="R682" s="5"/>
      <c r="S682" s="5"/>
      <c r="T682" s="5"/>
      <c r="U682" s="5"/>
      <c r="V682" s="5"/>
      <c r="Y682" s="5"/>
      <c r="Z682" s="5"/>
      <c r="AA682" s="5"/>
      <c r="AB682" s="5"/>
      <c r="AC682" s="5"/>
      <c r="AD682" s="5"/>
      <c r="AE682" s="5"/>
      <c r="AF682" s="5"/>
      <c r="AG682" s="5"/>
      <c r="AH682" s="5"/>
      <c r="AI682" s="5"/>
      <c r="AJ682" s="5"/>
      <c r="AK682" s="5"/>
      <c r="AL682" s="5"/>
      <c r="AM682" s="5"/>
      <c r="AN682" s="5"/>
    </row>
    <row r="683" spans="1:40" ht="18.75" customHeight="1">
      <c r="A683" s="5"/>
      <c r="B683" s="5"/>
      <c r="C683" s="5"/>
      <c r="D683" s="5"/>
      <c r="E683" s="5"/>
      <c r="F683" s="5"/>
      <c r="G683" s="5"/>
      <c r="H683" s="5"/>
      <c r="I683" s="5"/>
      <c r="J683" s="5"/>
      <c r="K683" s="5"/>
      <c r="L683" s="5"/>
      <c r="M683" s="5"/>
      <c r="N683" s="5"/>
      <c r="O683" s="5"/>
      <c r="P683" s="5"/>
      <c r="Q683" s="5"/>
      <c r="R683" s="5"/>
      <c r="S683" s="5"/>
      <c r="T683" s="5"/>
      <c r="U683" s="5"/>
      <c r="V683" s="5"/>
      <c r="Y683" s="5"/>
      <c r="Z683" s="5"/>
      <c r="AA683" s="5"/>
      <c r="AB683" s="5"/>
      <c r="AC683" s="5"/>
      <c r="AD683" s="5"/>
      <c r="AE683" s="5"/>
      <c r="AF683" s="5"/>
      <c r="AG683" s="5"/>
      <c r="AH683" s="5"/>
      <c r="AI683" s="5"/>
      <c r="AJ683" s="5"/>
      <c r="AK683" s="5"/>
      <c r="AL683" s="5"/>
      <c r="AM683" s="5"/>
      <c r="AN683" s="5"/>
    </row>
    <row r="684" spans="1:40" ht="18.75" customHeight="1">
      <c r="A684" s="5"/>
      <c r="B684" s="5"/>
      <c r="C684" s="5"/>
      <c r="D684" s="5"/>
      <c r="E684" s="5"/>
      <c r="F684" s="5"/>
      <c r="G684" s="5"/>
      <c r="H684" s="5"/>
      <c r="I684" s="5"/>
      <c r="J684" s="5"/>
      <c r="K684" s="5"/>
      <c r="L684" s="5"/>
      <c r="M684" s="5"/>
      <c r="N684" s="5"/>
      <c r="O684" s="5"/>
      <c r="P684" s="5"/>
      <c r="Q684" s="5"/>
      <c r="R684" s="5"/>
      <c r="S684" s="5"/>
      <c r="T684" s="5"/>
      <c r="U684" s="5"/>
      <c r="V684" s="5"/>
      <c r="Y684" s="5"/>
      <c r="Z684" s="5"/>
      <c r="AA684" s="5"/>
      <c r="AB684" s="5"/>
      <c r="AC684" s="5"/>
      <c r="AD684" s="5"/>
      <c r="AE684" s="5"/>
      <c r="AF684" s="5"/>
      <c r="AG684" s="5"/>
      <c r="AH684" s="5"/>
      <c r="AI684" s="5"/>
      <c r="AJ684" s="5"/>
      <c r="AK684" s="5"/>
      <c r="AL684" s="5"/>
      <c r="AM684" s="5"/>
      <c r="AN684" s="5"/>
    </row>
    <row r="685" spans="1:40" ht="18.75" customHeight="1">
      <c r="A685" s="5"/>
      <c r="B685" s="5"/>
      <c r="C685" s="5"/>
      <c r="D685" s="5"/>
      <c r="E685" s="5"/>
      <c r="F685" s="5"/>
      <c r="G685" s="5"/>
      <c r="H685" s="5"/>
      <c r="I685" s="5"/>
      <c r="J685" s="5"/>
      <c r="K685" s="5"/>
      <c r="L685" s="5"/>
      <c r="M685" s="5"/>
      <c r="N685" s="5"/>
      <c r="O685" s="5"/>
      <c r="P685" s="5"/>
      <c r="Q685" s="5"/>
      <c r="R685" s="5"/>
      <c r="S685" s="5"/>
      <c r="T685" s="5"/>
      <c r="U685" s="5"/>
      <c r="V685" s="5"/>
      <c r="Y685" s="5"/>
      <c r="Z685" s="5"/>
      <c r="AA685" s="5"/>
      <c r="AB685" s="5"/>
      <c r="AC685" s="5"/>
      <c r="AD685" s="5"/>
      <c r="AE685" s="5"/>
      <c r="AF685" s="5"/>
      <c r="AG685" s="5"/>
      <c r="AH685" s="5"/>
      <c r="AI685" s="5"/>
      <c r="AJ685" s="5"/>
      <c r="AK685" s="5"/>
      <c r="AL685" s="5"/>
      <c r="AM685" s="5"/>
      <c r="AN685" s="5"/>
    </row>
    <row r="686" spans="1:40" ht="18.75" customHeight="1">
      <c r="A686" s="5"/>
      <c r="B686" s="5"/>
      <c r="C686" s="5"/>
      <c r="D686" s="5"/>
      <c r="E686" s="5"/>
      <c r="F686" s="5"/>
      <c r="G686" s="5"/>
      <c r="H686" s="5"/>
      <c r="I686" s="5"/>
      <c r="J686" s="5"/>
      <c r="K686" s="5"/>
      <c r="L686" s="5"/>
      <c r="M686" s="5"/>
      <c r="N686" s="5"/>
      <c r="O686" s="5"/>
      <c r="P686" s="5"/>
      <c r="Q686" s="5"/>
      <c r="R686" s="5"/>
      <c r="S686" s="5"/>
      <c r="T686" s="5"/>
      <c r="U686" s="5"/>
      <c r="V686" s="5"/>
      <c r="Y686" s="5"/>
      <c r="Z686" s="5"/>
      <c r="AA686" s="5"/>
      <c r="AB686" s="5"/>
      <c r="AC686" s="5"/>
      <c r="AD686" s="5"/>
      <c r="AE686" s="5"/>
      <c r="AF686" s="5"/>
      <c r="AG686" s="5"/>
      <c r="AH686" s="5"/>
      <c r="AI686" s="5"/>
      <c r="AJ686" s="5"/>
      <c r="AK686" s="5"/>
      <c r="AL686" s="5"/>
      <c r="AM686" s="5"/>
      <c r="AN686" s="5"/>
    </row>
    <row r="687" spans="1:40" ht="18.75" customHeight="1">
      <c r="A687" s="5"/>
      <c r="B687" s="5"/>
      <c r="C687" s="5"/>
      <c r="D687" s="5"/>
      <c r="E687" s="5"/>
      <c r="F687" s="5"/>
      <c r="G687" s="5"/>
      <c r="H687" s="5"/>
      <c r="I687" s="5"/>
      <c r="J687" s="5"/>
      <c r="K687" s="5"/>
      <c r="L687" s="5"/>
      <c r="M687" s="5"/>
      <c r="N687" s="5"/>
      <c r="O687" s="5"/>
      <c r="P687" s="5"/>
      <c r="Q687" s="5"/>
      <c r="R687" s="5"/>
      <c r="S687" s="5"/>
      <c r="T687" s="5"/>
      <c r="U687" s="5"/>
      <c r="V687" s="5"/>
      <c r="Y687" s="5"/>
      <c r="Z687" s="5"/>
      <c r="AA687" s="5"/>
      <c r="AB687" s="5"/>
      <c r="AC687" s="5"/>
      <c r="AD687" s="5"/>
      <c r="AE687" s="5"/>
      <c r="AF687" s="5"/>
      <c r="AG687" s="5"/>
      <c r="AH687" s="5"/>
      <c r="AI687" s="5"/>
      <c r="AJ687" s="5"/>
      <c r="AK687" s="5"/>
      <c r="AL687" s="5"/>
      <c r="AM687" s="5"/>
      <c r="AN687" s="5"/>
    </row>
    <row r="688" spans="1:40" ht="18.75" customHeight="1">
      <c r="A688" s="5"/>
      <c r="B688" s="5"/>
      <c r="C688" s="5"/>
      <c r="D688" s="5"/>
      <c r="E688" s="5"/>
      <c r="F688" s="5"/>
      <c r="G688" s="5"/>
      <c r="H688" s="5"/>
      <c r="I688" s="5"/>
      <c r="J688" s="5"/>
      <c r="K688" s="5"/>
      <c r="L688" s="5"/>
      <c r="M688" s="5"/>
      <c r="N688" s="5"/>
      <c r="O688" s="5"/>
      <c r="P688" s="5"/>
      <c r="Q688" s="5"/>
      <c r="R688" s="5"/>
      <c r="S688" s="5"/>
      <c r="T688" s="5"/>
      <c r="U688" s="5"/>
      <c r="V688" s="5"/>
      <c r="Y688" s="5"/>
      <c r="Z688" s="5"/>
      <c r="AA688" s="5"/>
      <c r="AB688" s="5"/>
      <c r="AC688" s="5"/>
      <c r="AD688" s="5"/>
      <c r="AE688" s="5"/>
      <c r="AF688" s="5"/>
      <c r="AG688" s="5"/>
      <c r="AH688" s="5"/>
      <c r="AI688" s="5"/>
      <c r="AJ688" s="5"/>
      <c r="AK688" s="5"/>
      <c r="AL688" s="5"/>
      <c r="AM688" s="5"/>
      <c r="AN688" s="5"/>
    </row>
    <row r="689" spans="1:40" ht="18.75" customHeight="1">
      <c r="A689" s="5"/>
      <c r="B689" s="5"/>
      <c r="C689" s="5"/>
      <c r="D689" s="5"/>
      <c r="E689" s="5"/>
      <c r="F689" s="5"/>
      <c r="G689" s="5"/>
      <c r="H689" s="5"/>
      <c r="I689" s="5"/>
      <c r="J689" s="5"/>
      <c r="K689" s="5"/>
      <c r="L689" s="5"/>
      <c r="M689" s="5"/>
      <c r="N689" s="5"/>
      <c r="O689" s="5"/>
      <c r="P689" s="5"/>
      <c r="Q689" s="5"/>
      <c r="R689" s="5"/>
      <c r="S689" s="5"/>
      <c r="T689" s="5"/>
      <c r="U689" s="5"/>
      <c r="V689" s="5"/>
      <c r="Y689" s="5"/>
      <c r="Z689" s="5"/>
      <c r="AA689" s="5"/>
      <c r="AB689" s="5"/>
      <c r="AC689" s="5"/>
      <c r="AD689" s="5"/>
      <c r="AE689" s="5"/>
      <c r="AF689" s="5"/>
      <c r="AG689" s="5"/>
      <c r="AH689" s="5"/>
      <c r="AI689" s="5"/>
      <c r="AJ689" s="5"/>
      <c r="AK689" s="5"/>
      <c r="AL689" s="5"/>
      <c r="AM689" s="5"/>
      <c r="AN689" s="5"/>
    </row>
    <row r="690" spans="1:40" ht="18.75" customHeight="1">
      <c r="A690" s="5"/>
      <c r="B690" s="5"/>
      <c r="C690" s="5"/>
      <c r="D690" s="5"/>
      <c r="E690" s="5"/>
      <c r="F690" s="5"/>
      <c r="G690" s="5"/>
      <c r="H690" s="5"/>
      <c r="I690" s="5"/>
      <c r="J690" s="5"/>
      <c r="K690" s="5"/>
      <c r="L690" s="5"/>
      <c r="M690" s="5"/>
      <c r="N690" s="5"/>
      <c r="O690" s="5"/>
      <c r="P690" s="5"/>
      <c r="Q690" s="5"/>
      <c r="R690" s="5"/>
      <c r="S690" s="5"/>
      <c r="T690" s="5"/>
      <c r="U690" s="5"/>
      <c r="V690" s="5"/>
      <c r="Y690" s="5"/>
      <c r="Z690" s="5"/>
      <c r="AA690" s="5"/>
      <c r="AB690" s="5"/>
      <c r="AC690" s="5"/>
      <c r="AD690" s="5"/>
      <c r="AE690" s="5"/>
      <c r="AF690" s="5"/>
      <c r="AG690" s="5"/>
      <c r="AH690" s="5"/>
      <c r="AI690" s="5"/>
      <c r="AJ690" s="5"/>
      <c r="AK690" s="5"/>
      <c r="AL690" s="5"/>
      <c r="AM690" s="5"/>
      <c r="AN690" s="5"/>
    </row>
    <row r="691" spans="1:40" ht="18.75" customHeight="1">
      <c r="A691" s="5"/>
      <c r="B691" s="5"/>
      <c r="C691" s="5"/>
      <c r="D691" s="5"/>
      <c r="E691" s="5"/>
      <c r="F691" s="5"/>
      <c r="G691" s="5"/>
      <c r="H691" s="5"/>
      <c r="I691" s="5"/>
      <c r="J691" s="5"/>
      <c r="K691" s="5"/>
      <c r="L691" s="5"/>
      <c r="M691" s="5"/>
      <c r="N691" s="5"/>
      <c r="O691" s="5"/>
      <c r="P691" s="5"/>
      <c r="Q691" s="5"/>
      <c r="R691" s="5"/>
      <c r="S691" s="5"/>
      <c r="T691" s="5"/>
      <c r="U691" s="5"/>
      <c r="V691" s="5"/>
      <c r="Y691" s="5"/>
      <c r="Z691" s="5"/>
      <c r="AA691" s="5"/>
      <c r="AB691" s="5"/>
      <c r="AC691" s="5"/>
      <c r="AD691" s="5"/>
      <c r="AE691" s="5"/>
      <c r="AF691" s="5"/>
      <c r="AG691" s="5"/>
      <c r="AH691" s="5"/>
      <c r="AI691" s="5"/>
      <c r="AJ691" s="5"/>
      <c r="AK691" s="5"/>
      <c r="AL691" s="5"/>
      <c r="AM691" s="5"/>
      <c r="AN691" s="5"/>
    </row>
    <row r="692" spans="1:40" ht="18.75" customHeight="1">
      <c r="A692" s="5"/>
      <c r="B692" s="5"/>
      <c r="C692" s="5"/>
      <c r="D692" s="5"/>
      <c r="E692" s="5"/>
      <c r="F692" s="5"/>
      <c r="G692" s="5"/>
      <c r="H692" s="5"/>
      <c r="I692" s="5"/>
      <c r="J692" s="5"/>
      <c r="K692" s="5"/>
      <c r="L692" s="5"/>
      <c r="M692" s="5"/>
      <c r="N692" s="5"/>
      <c r="O692" s="5"/>
      <c r="P692" s="5"/>
      <c r="Q692" s="5"/>
      <c r="R692" s="5"/>
      <c r="S692" s="5"/>
      <c r="T692" s="5"/>
      <c r="U692" s="5"/>
      <c r="V692" s="5"/>
      <c r="Y692" s="5"/>
      <c r="Z692" s="5"/>
      <c r="AA692" s="5"/>
      <c r="AB692" s="5"/>
      <c r="AC692" s="5"/>
      <c r="AD692" s="5"/>
      <c r="AE692" s="5"/>
      <c r="AF692" s="5"/>
      <c r="AG692" s="5"/>
      <c r="AH692" s="5"/>
      <c r="AI692" s="5"/>
      <c r="AJ692" s="5"/>
      <c r="AK692" s="5"/>
      <c r="AL692" s="5"/>
      <c r="AM692" s="5"/>
      <c r="AN692" s="5"/>
    </row>
    <row r="693" spans="1:40" ht="18.75" customHeight="1">
      <c r="A693" s="5"/>
      <c r="B693" s="5"/>
      <c r="C693" s="5"/>
      <c r="D693" s="5"/>
      <c r="E693" s="5"/>
      <c r="F693" s="5"/>
      <c r="G693" s="5"/>
      <c r="H693" s="5"/>
      <c r="I693" s="5"/>
      <c r="J693" s="5"/>
      <c r="K693" s="5"/>
      <c r="L693" s="5"/>
      <c r="M693" s="5"/>
      <c r="N693" s="5"/>
      <c r="O693" s="5"/>
      <c r="P693" s="5"/>
      <c r="Q693" s="5"/>
      <c r="R693" s="5"/>
      <c r="S693" s="5"/>
      <c r="T693" s="5"/>
      <c r="U693" s="5"/>
      <c r="V693" s="5"/>
      <c r="Y693" s="5"/>
      <c r="Z693" s="5"/>
      <c r="AA693" s="5"/>
      <c r="AB693" s="5"/>
      <c r="AC693" s="5"/>
      <c r="AD693" s="5"/>
      <c r="AE693" s="5"/>
      <c r="AF693" s="5"/>
      <c r="AG693" s="5"/>
      <c r="AH693" s="5"/>
      <c r="AI693" s="5"/>
      <c r="AJ693" s="5"/>
      <c r="AK693" s="5"/>
      <c r="AL693" s="5"/>
      <c r="AM693" s="5"/>
      <c r="AN693" s="5"/>
    </row>
    <row r="694" spans="1:40" ht="18.75" customHeight="1">
      <c r="A694" s="5"/>
      <c r="B694" s="5"/>
      <c r="C694" s="5"/>
      <c r="D694" s="5"/>
      <c r="E694" s="5"/>
      <c r="F694" s="5"/>
      <c r="G694" s="5"/>
      <c r="H694" s="5"/>
      <c r="I694" s="5"/>
      <c r="J694" s="5"/>
      <c r="K694" s="5"/>
      <c r="L694" s="5"/>
      <c r="M694" s="5"/>
      <c r="N694" s="5"/>
      <c r="O694" s="5"/>
      <c r="P694" s="5"/>
      <c r="Q694" s="5"/>
      <c r="R694" s="5"/>
      <c r="S694" s="5"/>
      <c r="T694" s="5"/>
      <c r="U694" s="5"/>
      <c r="V694" s="5"/>
      <c r="Y694" s="5"/>
      <c r="Z694" s="5"/>
      <c r="AA694" s="5"/>
      <c r="AB694" s="5"/>
      <c r="AC694" s="5"/>
      <c r="AD694" s="5"/>
      <c r="AE694" s="5"/>
      <c r="AF694" s="5"/>
      <c r="AG694" s="5"/>
      <c r="AH694" s="5"/>
      <c r="AI694" s="5"/>
      <c r="AJ694" s="5"/>
      <c r="AK694" s="5"/>
      <c r="AL694" s="5"/>
      <c r="AM694" s="5"/>
      <c r="AN694" s="5"/>
    </row>
    <row r="695" spans="1:40" ht="18.75" customHeight="1">
      <c r="A695" s="5"/>
      <c r="B695" s="5"/>
      <c r="C695" s="5"/>
      <c r="D695" s="5"/>
      <c r="E695" s="5"/>
      <c r="F695" s="5"/>
      <c r="G695" s="5"/>
      <c r="H695" s="5"/>
      <c r="I695" s="5"/>
      <c r="J695" s="5"/>
      <c r="K695" s="5"/>
      <c r="L695" s="5"/>
      <c r="M695" s="5"/>
      <c r="N695" s="5"/>
      <c r="O695" s="5"/>
      <c r="P695" s="5"/>
      <c r="Q695" s="5"/>
      <c r="R695" s="5"/>
      <c r="S695" s="5"/>
      <c r="T695" s="5"/>
      <c r="U695" s="5"/>
      <c r="V695" s="5"/>
      <c r="Y695" s="5"/>
      <c r="Z695" s="5"/>
      <c r="AA695" s="5"/>
      <c r="AB695" s="5"/>
      <c r="AC695" s="5"/>
      <c r="AD695" s="5"/>
      <c r="AE695" s="5"/>
      <c r="AF695" s="5"/>
      <c r="AG695" s="5"/>
      <c r="AH695" s="5"/>
      <c r="AI695" s="5"/>
      <c r="AJ695" s="5"/>
      <c r="AK695" s="5"/>
      <c r="AL695" s="5"/>
      <c r="AM695" s="5"/>
      <c r="AN695" s="5"/>
    </row>
    <row r="696" spans="1:40" ht="18.75" customHeight="1">
      <c r="A696" s="5"/>
      <c r="B696" s="5"/>
      <c r="C696" s="5"/>
      <c r="D696" s="5"/>
      <c r="E696" s="5"/>
      <c r="F696" s="5"/>
      <c r="G696" s="5"/>
      <c r="H696" s="5"/>
      <c r="I696" s="5"/>
      <c r="J696" s="5"/>
      <c r="K696" s="5"/>
      <c r="L696" s="5"/>
      <c r="M696" s="5"/>
      <c r="N696" s="5"/>
      <c r="O696" s="5"/>
      <c r="P696" s="5"/>
      <c r="Q696" s="5"/>
      <c r="R696" s="5"/>
      <c r="S696" s="5"/>
      <c r="T696" s="5"/>
      <c r="U696" s="5"/>
      <c r="V696" s="5"/>
      <c r="Y696" s="5"/>
      <c r="Z696" s="5"/>
      <c r="AA696" s="5"/>
      <c r="AB696" s="5"/>
      <c r="AC696" s="5"/>
      <c r="AD696" s="5"/>
      <c r="AE696" s="5"/>
      <c r="AF696" s="5"/>
      <c r="AG696" s="5"/>
      <c r="AH696" s="5"/>
      <c r="AI696" s="5"/>
      <c r="AJ696" s="5"/>
      <c r="AK696" s="5"/>
      <c r="AL696" s="5"/>
      <c r="AM696" s="5"/>
      <c r="AN696" s="5"/>
    </row>
    <row r="697" spans="1:40" ht="18.75" customHeight="1">
      <c r="A697" s="5"/>
      <c r="B697" s="5"/>
      <c r="C697" s="5"/>
      <c r="D697" s="5"/>
      <c r="E697" s="5"/>
      <c r="F697" s="5"/>
      <c r="G697" s="5"/>
      <c r="H697" s="5"/>
      <c r="I697" s="5"/>
      <c r="J697" s="5"/>
      <c r="K697" s="5"/>
      <c r="L697" s="5"/>
      <c r="M697" s="5"/>
      <c r="N697" s="5"/>
      <c r="O697" s="5"/>
      <c r="P697" s="5"/>
      <c r="Q697" s="5"/>
      <c r="R697" s="5"/>
      <c r="S697" s="5"/>
      <c r="T697" s="5"/>
      <c r="U697" s="5"/>
      <c r="V697" s="5"/>
      <c r="Y697" s="5"/>
      <c r="Z697" s="5"/>
      <c r="AA697" s="5"/>
      <c r="AB697" s="5"/>
      <c r="AC697" s="5"/>
      <c r="AD697" s="5"/>
      <c r="AE697" s="5"/>
      <c r="AF697" s="5"/>
      <c r="AG697" s="5"/>
      <c r="AH697" s="5"/>
      <c r="AI697" s="5"/>
      <c r="AJ697" s="5"/>
      <c r="AK697" s="5"/>
      <c r="AL697" s="5"/>
      <c r="AM697" s="5"/>
      <c r="AN697" s="5"/>
    </row>
    <row r="698" spans="1:40" ht="18.75" customHeight="1">
      <c r="A698" s="5"/>
      <c r="B698" s="5"/>
      <c r="C698" s="5"/>
      <c r="D698" s="5"/>
      <c r="E698" s="5"/>
      <c r="F698" s="5"/>
      <c r="G698" s="5"/>
      <c r="H698" s="5"/>
      <c r="I698" s="5"/>
      <c r="J698" s="5"/>
      <c r="K698" s="5"/>
      <c r="L698" s="5"/>
      <c r="M698" s="5"/>
      <c r="N698" s="5"/>
      <c r="O698" s="5"/>
      <c r="P698" s="5"/>
      <c r="Q698" s="5"/>
      <c r="R698" s="5"/>
      <c r="S698" s="5"/>
      <c r="T698" s="5"/>
      <c r="U698" s="5"/>
      <c r="V698" s="5"/>
      <c r="Y698" s="5"/>
      <c r="Z698" s="5"/>
      <c r="AA698" s="5"/>
      <c r="AB698" s="5"/>
      <c r="AC698" s="5"/>
      <c r="AD698" s="5"/>
      <c r="AE698" s="5"/>
      <c r="AF698" s="5"/>
      <c r="AG698" s="5"/>
      <c r="AH698" s="5"/>
      <c r="AI698" s="5"/>
      <c r="AJ698" s="5"/>
      <c r="AK698" s="5"/>
      <c r="AL698" s="5"/>
      <c r="AM698" s="5"/>
      <c r="AN698" s="5"/>
    </row>
    <row r="699" spans="1:40" ht="18.75" customHeight="1">
      <c r="A699" s="5"/>
      <c r="B699" s="5"/>
      <c r="C699" s="5"/>
      <c r="D699" s="5"/>
      <c r="E699" s="5"/>
      <c r="F699" s="5"/>
      <c r="G699" s="5"/>
      <c r="H699" s="5"/>
      <c r="I699" s="5"/>
      <c r="J699" s="5"/>
      <c r="K699" s="5"/>
      <c r="L699" s="5"/>
      <c r="M699" s="5"/>
      <c r="N699" s="5"/>
      <c r="O699" s="5"/>
      <c r="P699" s="5"/>
      <c r="Q699" s="5"/>
      <c r="R699" s="5"/>
      <c r="S699" s="5"/>
      <c r="T699" s="5"/>
      <c r="U699" s="5"/>
      <c r="V699" s="5"/>
      <c r="Y699" s="5"/>
      <c r="Z699" s="5"/>
      <c r="AA699" s="5"/>
      <c r="AB699" s="5"/>
      <c r="AC699" s="5"/>
      <c r="AD699" s="5"/>
      <c r="AE699" s="5"/>
      <c r="AF699" s="5"/>
      <c r="AG699" s="5"/>
      <c r="AH699" s="5"/>
      <c r="AI699" s="5"/>
      <c r="AJ699" s="5"/>
      <c r="AK699" s="5"/>
      <c r="AL699" s="5"/>
      <c r="AM699" s="5"/>
      <c r="AN699" s="5"/>
    </row>
    <row r="700" spans="1:40" ht="18.75" customHeight="1">
      <c r="A700" s="5"/>
      <c r="B700" s="5"/>
      <c r="C700" s="5"/>
      <c r="D700" s="5"/>
      <c r="E700" s="5"/>
      <c r="F700" s="5"/>
      <c r="G700" s="5"/>
      <c r="H700" s="5"/>
      <c r="I700" s="5"/>
      <c r="J700" s="5"/>
      <c r="K700" s="5"/>
      <c r="L700" s="5"/>
      <c r="M700" s="5"/>
      <c r="N700" s="5"/>
      <c r="O700" s="5"/>
      <c r="P700" s="5"/>
      <c r="Q700" s="5"/>
      <c r="R700" s="5"/>
      <c r="S700" s="5"/>
      <c r="T700" s="5"/>
      <c r="U700" s="5"/>
      <c r="V700" s="5"/>
      <c r="Y700" s="5"/>
      <c r="Z700" s="5"/>
      <c r="AA700" s="5"/>
      <c r="AB700" s="5"/>
      <c r="AC700" s="5"/>
      <c r="AD700" s="5"/>
      <c r="AE700" s="5"/>
      <c r="AF700" s="5"/>
      <c r="AG700" s="5"/>
      <c r="AH700" s="5"/>
      <c r="AI700" s="5"/>
      <c r="AJ700" s="5"/>
      <c r="AK700" s="5"/>
      <c r="AL700" s="5"/>
      <c r="AM700" s="5"/>
      <c r="AN700" s="5"/>
    </row>
    <row r="701" spans="1:40" ht="18.75" customHeight="1">
      <c r="A701" s="5"/>
      <c r="B701" s="5"/>
      <c r="C701" s="5"/>
      <c r="D701" s="5"/>
      <c r="E701" s="5"/>
      <c r="F701" s="5"/>
      <c r="G701" s="5"/>
      <c r="H701" s="5"/>
      <c r="I701" s="5"/>
      <c r="J701" s="5"/>
      <c r="K701" s="5"/>
      <c r="L701" s="5"/>
      <c r="M701" s="5"/>
      <c r="N701" s="5"/>
      <c r="O701" s="5"/>
      <c r="P701" s="5"/>
      <c r="Q701" s="5"/>
      <c r="R701" s="5"/>
      <c r="S701" s="5"/>
      <c r="T701" s="5"/>
      <c r="U701" s="5"/>
      <c r="V701" s="5"/>
      <c r="Y701" s="5"/>
      <c r="Z701" s="5"/>
      <c r="AA701" s="5"/>
      <c r="AB701" s="5"/>
      <c r="AC701" s="5"/>
      <c r="AD701" s="5"/>
      <c r="AE701" s="5"/>
      <c r="AF701" s="5"/>
      <c r="AG701" s="5"/>
      <c r="AH701" s="5"/>
      <c r="AI701" s="5"/>
      <c r="AJ701" s="5"/>
      <c r="AK701" s="5"/>
      <c r="AL701" s="5"/>
      <c r="AM701" s="5"/>
      <c r="AN701" s="5"/>
    </row>
    <row r="702" spans="1:40" ht="18.75" customHeight="1">
      <c r="A702" s="5"/>
      <c r="B702" s="5"/>
      <c r="C702" s="5"/>
      <c r="D702" s="5"/>
      <c r="E702" s="5"/>
      <c r="F702" s="5"/>
      <c r="G702" s="5"/>
      <c r="H702" s="5"/>
      <c r="I702" s="5"/>
      <c r="J702" s="5"/>
      <c r="K702" s="5"/>
      <c r="L702" s="5"/>
      <c r="M702" s="5"/>
      <c r="N702" s="5"/>
      <c r="O702" s="5"/>
      <c r="P702" s="5"/>
      <c r="Q702" s="5"/>
      <c r="R702" s="5"/>
      <c r="S702" s="5"/>
      <c r="T702" s="5"/>
      <c r="U702" s="5"/>
      <c r="V702" s="5"/>
      <c r="Y702" s="5"/>
      <c r="Z702" s="5"/>
      <c r="AA702" s="5"/>
      <c r="AB702" s="5"/>
      <c r="AC702" s="5"/>
      <c r="AD702" s="5"/>
      <c r="AE702" s="5"/>
      <c r="AF702" s="5"/>
      <c r="AG702" s="5"/>
      <c r="AH702" s="5"/>
      <c r="AI702" s="5"/>
      <c r="AJ702" s="5"/>
      <c r="AK702" s="5"/>
      <c r="AL702" s="5"/>
      <c r="AM702" s="5"/>
      <c r="AN702" s="5"/>
    </row>
    <row r="703" spans="1:40" ht="18.75" customHeight="1">
      <c r="A703" s="5"/>
      <c r="B703" s="5"/>
      <c r="C703" s="5"/>
      <c r="D703" s="5"/>
      <c r="E703" s="5"/>
      <c r="F703" s="5"/>
      <c r="G703" s="5"/>
      <c r="H703" s="5"/>
      <c r="I703" s="5"/>
      <c r="J703" s="5"/>
      <c r="K703" s="5"/>
      <c r="L703" s="5"/>
      <c r="M703" s="5"/>
      <c r="N703" s="5"/>
      <c r="O703" s="5"/>
      <c r="P703" s="5"/>
      <c r="Q703" s="5"/>
      <c r="R703" s="5"/>
      <c r="S703" s="5"/>
      <c r="T703" s="5"/>
      <c r="U703" s="5"/>
      <c r="V703" s="5"/>
      <c r="Y703" s="5"/>
      <c r="Z703" s="5"/>
      <c r="AA703" s="5"/>
      <c r="AB703" s="5"/>
      <c r="AC703" s="5"/>
      <c r="AD703" s="5"/>
      <c r="AE703" s="5"/>
      <c r="AF703" s="5"/>
      <c r="AG703" s="5"/>
      <c r="AH703" s="5"/>
      <c r="AI703" s="5"/>
      <c r="AJ703" s="5"/>
      <c r="AK703" s="5"/>
      <c r="AL703" s="5"/>
      <c r="AM703" s="5"/>
      <c r="AN703" s="5"/>
    </row>
    <row r="704" spans="1:40" ht="18.75" customHeight="1">
      <c r="A704" s="5"/>
      <c r="B704" s="5"/>
      <c r="C704" s="5"/>
      <c r="D704" s="5"/>
      <c r="E704" s="5"/>
      <c r="F704" s="5"/>
      <c r="G704" s="5"/>
      <c r="H704" s="5"/>
      <c r="I704" s="5"/>
      <c r="J704" s="5"/>
      <c r="K704" s="5"/>
      <c r="L704" s="5"/>
      <c r="M704" s="5"/>
      <c r="N704" s="5"/>
      <c r="O704" s="5"/>
      <c r="P704" s="5"/>
      <c r="Q704" s="5"/>
      <c r="R704" s="5"/>
      <c r="S704" s="5"/>
      <c r="T704" s="5"/>
      <c r="U704" s="5"/>
      <c r="V704" s="5"/>
      <c r="Y704" s="5"/>
      <c r="Z704" s="5"/>
      <c r="AA704" s="5"/>
      <c r="AB704" s="5"/>
      <c r="AC704" s="5"/>
      <c r="AD704" s="5"/>
      <c r="AE704" s="5"/>
      <c r="AF704" s="5"/>
      <c r="AG704" s="5"/>
      <c r="AH704" s="5"/>
      <c r="AI704" s="5"/>
      <c r="AJ704" s="5"/>
      <c r="AK704" s="5"/>
      <c r="AL704" s="5"/>
      <c r="AM704" s="5"/>
      <c r="AN704" s="5"/>
    </row>
    <row r="705" spans="1:40" ht="18.75" customHeight="1">
      <c r="A705" s="5"/>
      <c r="B705" s="5"/>
      <c r="C705" s="5"/>
      <c r="D705" s="5"/>
      <c r="E705" s="5"/>
      <c r="F705" s="5"/>
      <c r="G705" s="5"/>
      <c r="H705" s="5"/>
      <c r="I705" s="5"/>
      <c r="J705" s="5"/>
      <c r="K705" s="5"/>
      <c r="L705" s="5"/>
      <c r="M705" s="5"/>
      <c r="N705" s="5"/>
      <c r="O705" s="5"/>
      <c r="P705" s="5"/>
      <c r="Q705" s="5"/>
      <c r="R705" s="5"/>
      <c r="S705" s="5"/>
      <c r="T705" s="5"/>
      <c r="U705" s="5"/>
      <c r="V705" s="5"/>
      <c r="Y705" s="5"/>
      <c r="Z705" s="5"/>
      <c r="AA705" s="5"/>
      <c r="AB705" s="5"/>
      <c r="AC705" s="5"/>
      <c r="AD705" s="5"/>
      <c r="AE705" s="5"/>
      <c r="AF705" s="5"/>
      <c r="AG705" s="5"/>
      <c r="AH705" s="5"/>
      <c r="AI705" s="5"/>
      <c r="AJ705" s="5"/>
      <c r="AK705" s="5"/>
      <c r="AL705" s="5"/>
      <c r="AM705" s="5"/>
      <c r="AN705" s="5"/>
    </row>
    <row r="706" spans="1:40" ht="18.75" customHeight="1">
      <c r="A706" s="5"/>
      <c r="B706" s="5"/>
      <c r="C706" s="5"/>
      <c r="D706" s="5"/>
      <c r="E706" s="5"/>
      <c r="F706" s="5"/>
      <c r="G706" s="5"/>
      <c r="H706" s="5"/>
      <c r="I706" s="5"/>
      <c r="J706" s="5"/>
      <c r="K706" s="5"/>
      <c r="L706" s="5"/>
      <c r="M706" s="5"/>
      <c r="N706" s="5"/>
      <c r="O706" s="5"/>
      <c r="P706" s="5"/>
      <c r="Q706" s="5"/>
      <c r="R706" s="5"/>
      <c r="S706" s="5"/>
      <c r="T706" s="5"/>
      <c r="U706" s="5"/>
      <c r="V706" s="5"/>
      <c r="Y706" s="5"/>
      <c r="Z706" s="5"/>
      <c r="AA706" s="5"/>
      <c r="AB706" s="5"/>
      <c r="AC706" s="5"/>
      <c r="AD706" s="5"/>
      <c r="AE706" s="5"/>
      <c r="AF706" s="5"/>
      <c r="AG706" s="5"/>
      <c r="AH706" s="5"/>
      <c r="AI706" s="5"/>
      <c r="AJ706" s="5"/>
      <c r="AK706" s="5"/>
      <c r="AL706" s="5"/>
      <c r="AM706" s="5"/>
      <c r="AN706" s="5"/>
    </row>
    <row r="707" spans="1:40" ht="18.75" customHeight="1">
      <c r="A707" s="5"/>
      <c r="B707" s="5"/>
      <c r="C707" s="5"/>
      <c r="D707" s="5"/>
      <c r="E707" s="5"/>
      <c r="F707" s="5"/>
      <c r="G707" s="5"/>
      <c r="H707" s="5"/>
      <c r="I707" s="5"/>
      <c r="J707" s="5"/>
      <c r="K707" s="5"/>
      <c r="L707" s="5"/>
      <c r="M707" s="5"/>
      <c r="N707" s="5"/>
      <c r="O707" s="5"/>
      <c r="P707" s="5"/>
      <c r="Q707" s="5"/>
      <c r="R707" s="5"/>
      <c r="S707" s="5"/>
      <c r="T707" s="5"/>
      <c r="U707" s="5"/>
      <c r="V707" s="5"/>
      <c r="Y707" s="5"/>
      <c r="Z707" s="5"/>
      <c r="AA707" s="5"/>
      <c r="AB707" s="5"/>
      <c r="AC707" s="5"/>
      <c r="AD707" s="5"/>
      <c r="AE707" s="5"/>
      <c r="AF707" s="5"/>
      <c r="AG707" s="5"/>
      <c r="AH707" s="5"/>
      <c r="AI707" s="5"/>
      <c r="AJ707" s="5"/>
      <c r="AK707" s="5"/>
      <c r="AL707" s="5"/>
      <c r="AM707" s="5"/>
      <c r="AN707" s="5"/>
    </row>
    <row r="708" spans="1:40" ht="18.75" customHeight="1">
      <c r="A708" s="5"/>
      <c r="B708" s="5"/>
      <c r="C708" s="5"/>
      <c r="D708" s="5"/>
      <c r="E708" s="5"/>
      <c r="F708" s="5"/>
      <c r="G708" s="5"/>
      <c r="H708" s="5"/>
      <c r="I708" s="5"/>
      <c r="J708" s="5"/>
      <c r="K708" s="5"/>
      <c r="L708" s="5"/>
      <c r="M708" s="5"/>
      <c r="N708" s="5"/>
      <c r="O708" s="5"/>
      <c r="P708" s="5"/>
      <c r="Q708" s="5"/>
      <c r="R708" s="5"/>
      <c r="S708" s="5"/>
      <c r="T708" s="5"/>
      <c r="U708" s="5"/>
      <c r="V708" s="5"/>
      <c r="Y708" s="5"/>
      <c r="Z708" s="5"/>
      <c r="AA708" s="5"/>
      <c r="AB708" s="5"/>
      <c r="AC708" s="5"/>
      <c r="AD708" s="5"/>
      <c r="AE708" s="5"/>
      <c r="AF708" s="5"/>
      <c r="AG708" s="5"/>
      <c r="AH708" s="5"/>
      <c r="AI708" s="5"/>
      <c r="AJ708" s="5"/>
      <c r="AK708" s="5"/>
      <c r="AL708" s="5"/>
      <c r="AM708" s="5"/>
      <c r="AN708" s="5"/>
    </row>
    <row r="709" spans="1:40" ht="18.75" customHeight="1">
      <c r="A709" s="5"/>
      <c r="B709" s="5"/>
      <c r="C709" s="5"/>
      <c r="D709" s="5"/>
      <c r="E709" s="5"/>
      <c r="F709" s="5"/>
      <c r="G709" s="5"/>
      <c r="H709" s="5"/>
      <c r="I709" s="5"/>
      <c r="J709" s="5"/>
      <c r="K709" s="5"/>
      <c r="L709" s="5"/>
      <c r="M709" s="5"/>
      <c r="N709" s="5"/>
      <c r="O709" s="5"/>
      <c r="P709" s="5"/>
      <c r="Q709" s="5"/>
      <c r="R709" s="5"/>
      <c r="S709" s="5"/>
      <c r="T709" s="5"/>
      <c r="U709" s="5"/>
      <c r="V709" s="5"/>
      <c r="Y709" s="5"/>
      <c r="Z709" s="5"/>
      <c r="AA709" s="5"/>
      <c r="AB709" s="5"/>
      <c r="AC709" s="5"/>
      <c r="AD709" s="5"/>
      <c r="AE709" s="5"/>
      <c r="AF709" s="5"/>
      <c r="AG709" s="5"/>
      <c r="AH709" s="5"/>
      <c r="AI709" s="5"/>
      <c r="AJ709" s="5"/>
      <c r="AK709" s="5"/>
      <c r="AL709" s="5"/>
      <c r="AM709" s="5"/>
      <c r="AN709" s="5"/>
    </row>
    <row r="710" spans="1:40" ht="18.75" customHeight="1">
      <c r="A710" s="5"/>
      <c r="B710" s="5"/>
      <c r="C710" s="5"/>
      <c r="D710" s="5"/>
      <c r="E710" s="5"/>
      <c r="F710" s="5"/>
      <c r="G710" s="5"/>
      <c r="H710" s="5"/>
      <c r="I710" s="5"/>
      <c r="J710" s="5"/>
      <c r="K710" s="5"/>
      <c r="L710" s="5"/>
      <c r="M710" s="5"/>
      <c r="N710" s="5"/>
      <c r="O710" s="5"/>
      <c r="P710" s="5"/>
      <c r="Q710" s="5"/>
      <c r="R710" s="5"/>
      <c r="S710" s="5"/>
      <c r="T710" s="5"/>
      <c r="U710" s="5"/>
      <c r="V710" s="5"/>
      <c r="Y710" s="5"/>
      <c r="Z710" s="5"/>
      <c r="AA710" s="5"/>
      <c r="AB710" s="5"/>
      <c r="AC710" s="5"/>
      <c r="AD710" s="5"/>
      <c r="AE710" s="5"/>
      <c r="AF710" s="5"/>
      <c r="AG710" s="5"/>
      <c r="AH710" s="5"/>
      <c r="AI710" s="5"/>
      <c r="AJ710" s="5"/>
      <c r="AK710" s="5"/>
      <c r="AL710" s="5"/>
      <c r="AM710" s="5"/>
      <c r="AN710" s="5"/>
    </row>
    <row r="711" spans="1:40" ht="18.75" customHeight="1">
      <c r="A711" s="5"/>
      <c r="B711" s="5"/>
      <c r="C711" s="5"/>
      <c r="D711" s="5"/>
      <c r="E711" s="5"/>
      <c r="F711" s="5"/>
      <c r="G711" s="5"/>
      <c r="H711" s="5"/>
      <c r="I711" s="5"/>
      <c r="J711" s="5"/>
      <c r="K711" s="5"/>
      <c r="L711" s="5"/>
      <c r="M711" s="5"/>
      <c r="N711" s="5"/>
      <c r="O711" s="5"/>
      <c r="P711" s="5"/>
      <c r="Q711" s="5"/>
      <c r="R711" s="5"/>
      <c r="S711" s="5"/>
      <c r="T711" s="5"/>
      <c r="U711" s="5"/>
      <c r="V711" s="5"/>
      <c r="Y711" s="5"/>
      <c r="Z711" s="5"/>
      <c r="AA711" s="5"/>
      <c r="AB711" s="5"/>
      <c r="AC711" s="5"/>
      <c r="AD711" s="5"/>
      <c r="AE711" s="5"/>
      <c r="AF711" s="5"/>
      <c r="AG711" s="5"/>
      <c r="AH711" s="5"/>
      <c r="AI711" s="5"/>
      <c r="AJ711" s="5"/>
      <c r="AK711" s="5"/>
      <c r="AL711" s="5"/>
      <c r="AM711" s="5"/>
      <c r="AN711" s="5"/>
    </row>
    <row r="712" spans="1:40" ht="18.75" customHeight="1">
      <c r="A712" s="5"/>
      <c r="B712" s="5"/>
      <c r="C712" s="5"/>
      <c r="D712" s="5"/>
      <c r="E712" s="5"/>
      <c r="F712" s="5"/>
      <c r="G712" s="5"/>
      <c r="H712" s="5"/>
      <c r="I712" s="5"/>
      <c r="J712" s="5"/>
      <c r="K712" s="5"/>
      <c r="L712" s="5"/>
      <c r="M712" s="5"/>
      <c r="N712" s="5"/>
      <c r="O712" s="5"/>
      <c r="P712" s="5"/>
      <c r="Q712" s="5"/>
      <c r="R712" s="5"/>
      <c r="S712" s="5"/>
      <c r="T712" s="5"/>
      <c r="U712" s="5"/>
      <c r="V712" s="5"/>
      <c r="Y712" s="5"/>
      <c r="Z712" s="5"/>
      <c r="AA712" s="5"/>
      <c r="AB712" s="5"/>
      <c r="AC712" s="5"/>
      <c r="AD712" s="5"/>
      <c r="AE712" s="5"/>
      <c r="AF712" s="5"/>
      <c r="AG712" s="5"/>
      <c r="AH712" s="5"/>
      <c r="AI712" s="5"/>
      <c r="AJ712" s="5"/>
      <c r="AK712" s="5"/>
      <c r="AL712" s="5"/>
      <c r="AM712" s="5"/>
      <c r="AN712" s="5"/>
    </row>
    <row r="713" spans="1:40" ht="18.75" customHeight="1">
      <c r="A713" s="5"/>
      <c r="B713" s="5"/>
      <c r="C713" s="5"/>
      <c r="D713" s="5"/>
      <c r="E713" s="5"/>
      <c r="F713" s="5"/>
      <c r="G713" s="5"/>
      <c r="H713" s="5"/>
      <c r="I713" s="5"/>
      <c r="J713" s="5"/>
      <c r="K713" s="5"/>
      <c r="L713" s="5"/>
      <c r="M713" s="5"/>
      <c r="N713" s="5"/>
      <c r="O713" s="5"/>
      <c r="P713" s="5"/>
      <c r="Q713" s="5"/>
      <c r="R713" s="5"/>
      <c r="S713" s="5"/>
      <c r="T713" s="5"/>
      <c r="U713" s="5"/>
      <c r="V713" s="5"/>
      <c r="Y713" s="5"/>
      <c r="Z713" s="5"/>
      <c r="AA713" s="5"/>
      <c r="AB713" s="5"/>
      <c r="AC713" s="5"/>
      <c r="AD713" s="5"/>
      <c r="AE713" s="5"/>
      <c r="AF713" s="5"/>
      <c r="AG713" s="5"/>
      <c r="AH713" s="5"/>
      <c r="AI713" s="5"/>
      <c r="AJ713" s="5"/>
      <c r="AK713" s="5"/>
      <c r="AL713" s="5"/>
      <c r="AM713" s="5"/>
      <c r="AN713" s="5"/>
    </row>
    <row r="714" spans="1:40" ht="18.75" customHeight="1">
      <c r="A714" s="5"/>
      <c r="B714" s="5"/>
      <c r="C714" s="5"/>
      <c r="D714" s="5"/>
      <c r="E714" s="5"/>
      <c r="F714" s="5"/>
      <c r="G714" s="5"/>
      <c r="H714" s="5"/>
      <c r="I714" s="5"/>
      <c r="J714" s="5"/>
      <c r="K714" s="5"/>
      <c r="L714" s="5"/>
      <c r="M714" s="5"/>
      <c r="N714" s="5"/>
      <c r="O714" s="5"/>
      <c r="P714" s="5"/>
      <c r="Q714" s="5"/>
      <c r="R714" s="5"/>
      <c r="S714" s="5"/>
      <c r="T714" s="5"/>
      <c r="U714" s="5"/>
      <c r="V714" s="5"/>
      <c r="Y714" s="5"/>
      <c r="Z714" s="5"/>
      <c r="AA714" s="5"/>
      <c r="AB714" s="5"/>
      <c r="AC714" s="5"/>
      <c r="AD714" s="5"/>
      <c r="AE714" s="5"/>
      <c r="AF714" s="5"/>
      <c r="AG714" s="5"/>
      <c r="AH714" s="5"/>
      <c r="AI714" s="5"/>
      <c r="AJ714" s="5"/>
      <c r="AK714" s="5"/>
      <c r="AL714" s="5"/>
      <c r="AM714" s="5"/>
      <c r="AN714" s="5"/>
    </row>
    <row r="715" spans="1:40" ht="18.75" customHeight="1">
      <c r="A715" s="5"/>
      <c r="B715" s="5"/>
      <c r="C715" s="5"/>
      <c r="D715" s="5"/>
      <c r="E715" s="5"/>
      <c r="F715" s="5"/>
      <c r="G715" s="5"/>
      <c r="H715" s="5"/>
      <c r="I715" s="5"/>
      <c r="J715" s="5"/>
      <c r="K715" s="5"/>
      <c r="L715" s="5"/>
      <c r="M715" s="5"/>
      <c r="N715" s="5"/>
      <c r="O715" s="5"/>
      <c r="P715" s="5"/>
      <c r="Q715" s="5"/>
      <c r="R715" s="5"/>
      <c r="S715" s="5"/>
      <c r="T715" s="5"/>
      <c r="U715" s="5"/>
      <c r="V715" s="5"/>
      <c r="Y715" s="5"/>
      <c r="Z715" s="5"/>
      <c r="AA715" s="5"/>
      <c r="AB715" s="5"/>
      <c r="AC715" s="5"/>
      <c r="AD715" s="5"/>
      <c r="AE715" s="5"/>
      <c r="AF715" s="5"/>
      <c r="AG715" s="5"/>
      <c r="AH715" s="5"/>
      <c r="AI715" s="5"/>
      <c r="AJ715" s="5"/>
      <c r="AK715" s="5"/>
      <c r="AL715" s="5"/>
      <c r="AM715" s="5"/>
      <c r="AN715" s="5"/>
    </row>
    <row r="716" spans="1:40" ht="18.75" customHeight="1">
      <c r="A716" s="5"/>
      <c r="B716" s="5"/>
      <c r="C716" s="5"/>
      <c r="D716" s="5"/>
      <c r="E716" s="5"/>
      <c r="F716" s="5"/>
      <c r="G716" s="5"/>
      <c r="H716" s="5"/>
      <c r="I716" s="5"/>
      <c r="J716" s="5"/>
      <c r="K716" s="5"/>
      <c r="L716" s="5"/>
      <c r="M716" s="5"/>
      <c r="N716" s="5"/>
      <c r="O716" s="5"/>
      <c r="P716" s="5"/>
      <c r="Q716" s="5"/>
      <c r="R716" s="5"/>
      <c r="S716" s="5"/>
      <c r="T716" s="5"/>
      <c r="U716" s="5"/>
      <c r="V716" s="5"/>
      <c r="Y716" s="5"/>
      <c r="Z716" s="5"/>
      <c r="AA716" s="5"/>
      <c r="AB716" s="5"/>
      <c r="AC716" s="5"/>
      <c r="AD716" s="5"/>
      <c r="AE716" s="5"/>
      <c r="AF716" s="5"/>
      <c r="AG716" s="5"/>
      <c r="AH716" s="5"/>
      <c r="AI716" s="5"/>
      <c r="AJ716" s="5"/>
      <c r="AK716" s="5"/>
      <c r="AL716" s="5"/>
      <c r="AM716" s="5"/>
      <c r="AN716" s="5"/>
    </row>
    <row r="717" spans="1:40" ht="18.75" customHeight="1">
      <c r="A717" s="5"/>
      <c r="B717" s="5"/>
      <c r="C717" s="5"/>
      <c r="D717" s="5"/>
      <c r="E717" s="5"/>
      <c r="F717" s="5"/>
      <c r="G717" s="5"/>
      <c r="H717" s="5"/>
      <c r="I717" s="5"/>
      <c r="J717" s="5"/>
      <c r="K717" s="5"/>
      <c r="L717" s="5"/>
      <c r="M717" s="5"/>
      <c r="N717" s="5"/>
      <c r="O717" s="5"/>
      <c r="P717" s="5"/>
      <c r="Q717" s="5"/>
      <c r="R717" s="5"/>
      <c r="S717" s="5"/>
      <c r="T717" s="5"/>
      <c r="U717" s="5"/>
      <c r="V717" s="5"/>
      <c r="Y717" s="5"/>
      <c r="Z717" s="5"/>
      <c r="AA717" s="5"/>
      <c r="AB717" s="5"/>
      <c r="AC717" s="5"/>
      <c r="AD717" s="5"/>
      <c r="AE717" s="5"/>
      <c r="AF717" s="5"/>
      <c r="AG717" s="5"/>
      <c r="AH717" s="5"/>
      <c r="AI717" s="5"/>
      <c r="AJ717" s="5"/>
      <c r="AK717" s="5"/>
      <c r="AL717" s="5"/>
      <c r="AM717" s="5"/>
      <c r="AN717" s="5"/>
    </row>
    <row r="718" spans="1:40" ht="18.75" customHeight="1">
      <c r="A718" s="5"/>
      <c r="B718" s="5"/>
      <c r="C718" s="5"/>
      <c r="D718" s="5"/>
      <c r="E718" s="5"/>
      <c r="F718" s="5"/>
      <c r="G718" s="5"/>
      <c r="H718" s="5"/>
      <c r="I718" s="5"/>
      <c r="J718" s="5"/>
      <c r="K718" s="5"/>
      <c r="L718" s="5"/>
      <c r="M718" s="5"/>
      <c r="N718" s="5"/>
      <c r="O718" s="5"/>
      <c r="P718" s="5"/>
      <c r="Q718" s="5"/>
      <c r="R718" s="5"/>
      <c r="S718" s="5"/>
      <c r="T718" s="5"/>
      <c r="U718" s="5"/>
      <c r="V718" s="5"/>
      <c r="Y718" s="5"/>
      <c r="Z718" s="5"/>
      <c r="AA718" s="5"/>
      <c r="AB718" s="5"/>
      <c r="AC718" s="5"/>
      <c r="AD718" s="5"/>
      <c r="AE718" s="5"/>
      <c r="AF718" s="5"/>
      <c r="AG718" s="5"/>
      <c r="AH718" s="5"/>
      <c r="AI718" s="5"/>
      <c r="AJ718" s="5"/>
      <c r="AK718" s="5"/>
      <c r="AL718" s="5"/>
      <c r="AM718" s="5"/>
      <c r="AN718" s="5"/>
    </row>
    <row r="719" spans="1:40" ht="18.75" customHeight="1">
      <c r="A719" s="5"/>
      <c r="B719" s="5"/>
      <c r="C719" s="5"/>
      <c r="D719" s="5"/>
      <c r="E719" s="5"/>
      <c r="F719" s="5"/>
      <c r="G719" s="5"/>
      <c r="H719" s="5"/>
      <c r="I719" s="5"/>
      <c r="J719" s="5"/>
      <c r="K719" s="5"/>
      <c r="L719" s="5"/>
      <c r="M719" s="5"/>
      <c r="N719" s="5"/>
      <c r="O719" s="5"/>
      <c r="P719" s="5"/>
      <c r="Q719" s="5"/>
      <c r="R719" s="5"/>
      <c r="S719" s="5"/>
      <c r="T719" s="5"/>
      <c r="U719" s="5"/>
      <c r="V719" s="5"/>
      <c r="Y719" s="5"/>
      <c r="Z719" s="5"/>
      <c r="AA719" s="5"/>
      <c r="AB719" s="5"/>
      <c r="AC719" s="5"/>
      <c r="AD719" s="5"/>
      <c r="AE719" s="5"/>
      <c r="AF719" s="5"/>
      <c r="AG719" s="5"/>
      <c r="AH719" s="5"/>
      <c r="AI719" s="5"/>
      <c r="AJ719" s="5"/>
      <c r="AK719" s="5"/>
      <c r="AL719" s="5"/>
      <c r="AM719" s="5"/>
      <c r="AN719" s="5"/>
    </row>
    <row r="720" spans="1:40" ht="18.75" customHeight="1">
      <c r="A720" s="5"/>
      <c r="B720" s="5"/>
      <c r="C720" s="5"/>
      <c r="D720" s="5"/>
      <c r="E720" s="5"/>
      <c r="F720" s="5"/>
      <c r="G720" s="5"/>
      <c r="H720" s="5"/>
      <c r="I720" s="5"/>
      <c r="J720" s="5"/>
      <c r="K720" s="5"/>
      <c r="L720" s="5"/>
      <c r="M720" s="5"/>
      <c r="N720" s="5"/>
      <c r="O720" s="5"/>
      <c r="P720" s="5"/>
      <c r="Q720" s="5"/>
      <c r="R720" s="5"/>
      <c r="S720" s="5"/>
      <c r="T720" s="5"/>
      <c r="U720" s="5"/>
      <c r="V720" s="5"/>
      <c r="Y720" s="5"/>
      <c r="Z720" s="5"/>
      <c r="AA720" s="5"/>
      <c r="AB720" s="5"/>
      <c r="AC720" s="5"/>
      <c r="AD720" s="5"/>
      <c r="AE720" s="5"/>
      <c r="AF720" s="5"/>
      <c r="AG720" s="5"/>
      <c r="AH720" s="5"/>
      <c r="AI720" s="5"/>
      <c r="AJ720" s="5"/>
      <c r="AK720" s="5"/>
      <c r="AL720" s="5"/>
      <c r="AM720" s="5"/>
      <c r="AN720" s="5"/>
    </row>
    <row r="721" spans="1:40" ht="18.75" customHeight="1">
      <c r="A721" s="5"/>
      <c r="B721" s="5"/>
      <c r="C721" s="5"/>
      <c r="D721" s="5"/>
      <c r="E721" s="5"/>
      <c r="F721" s="5"/>
      <c r="G721" s="5"/>
      <c r="H721" s="5"/>
      <c r="I721" s="5"/>
      <c r="J721" s="5"/>
      <c r="K721" s="5"/>
      <c r="L721" s="5"/>
      <c r="M721" s="5"/>
      <c r="N721" s="5"/>
      <c r="O721" s="5"/>
      <c r="P721" s="5"/>
      <c r="Q721" s="5"/>
      <c r="R721" s="5"/>
      <c r="S721" s="5"/>
      <c r="T721" s="5"/>
      <c r="U721" s="5"/>
      <c r="V721" s="5"/>
      <c r="Y721" s="5"/>
      <c r="Z721" s="5"/>
      <c r="AA721" s="5"/>
      <c r="AB721" s="5"/>
      <c r="AC721" s="5"/>
      <c r="AD721" s="5"/>
      <c r="AE721" s="5"/>
      <c r="AF721" s="5"/>
      <c r="AG721" s="5"/>
      <c r="AH721" s="5"/>
      <c r="AI721" s="5"/>
      <c r="AJ721" s="5"/>
      <c r="AK721" s="5"/>
      <c r="AL721" s="5"/>
      <c r="AM721" s="5"/>
      <c r="AN721" s="5"/>
    </row>
    <row r="722" spans="1:40" ht="18.75" customHeight="1">
      <c r="A722" s="5"/>
      <c r="B722" s="5"/>
      <c r="C722" s="5"/>
      <c r="D722" s="5"/>
      <c r="E722" s="5"/>
      <c r="F722" s="5"/>
      <c r="G722" s="5"/>
      <c r="H722" s="5"/>
      <c r="I722" s="5"/>
      <c r="J722" s="5"/>
      <c r="K722" s="5"/>
      <c r="L722" s="5"/>
      <c r="M722" s="5"/>
      <c r="N722" s="5"/>
      <c r="O722" s="5"/>
      <c r="P722" s="5"/>
      <c r="Q722" s="5"/>
      <c r="R722" s="5"/>
      <c r="S722" s="5"/>
      <c r="T722" s="5"/>
      <c r="U722" s="5"/>
      <c r="V722" s="5"/>
      <c r="Y722" s="5"/>
      <c r="Z722" s="5"/>
      <c r="AA722" s="5"/>
      <c r="AB722" s="5"/>
      <c r="AC722" s="5"/>
      <c r="AD722" s="5"/>
      <c r="AE722" s="5"/>
      <c r="AF722" s="5"/>
      <c r="AG722" s="5"/>
      <c r="AH722" s="5"/>
      <c r="AI722" s="5"/>
      <c r="AJ722" s="5"/>
      <c r="AK722" s="5"/>
      <c r="AL722" s="5"/>
      <c r="AM722" s="5"/>
      <c r="AN722" s="5"/>
    </row>
    <row r="723" spans="1:40" ht="18.75" customHeight="1">
      <c r="A723" s="5"/>
      <c r="B723" s="5"/>
      <c r="C723" s="5"/>
      <c r="D723" s="5"/>
      <c r="E723" s="5"/>
      <c r="F723" s="5"/>
      <c r="G723" s="5"/>
      <c r="H723" s="5"/>
      <c r="I723" s="5"/>
      <c r="J723" s="5"/>
      <c r="K723" s="5"/>
      <c r="L723" s="5"/>
      <c r="M723" s="5"/>
      <c r="N723" s="5"/>
      <c r="O723" s="5"/>
      <c r="P723" s="5"/>
      <c r="Q723" s="5"/>
      <c r="R723" s="5"/>
      <c r="S723" s="5"/>
      <c r="T723" s="5"/>
      <c r="U723" s="5"/>
      <c r="V723" s="5"/>
      <c r="Y723" s="5"/>
      <c r="Z723" s="5"/>
      <c r="AA723" s="5"/>
      <c r="AB723" s="5"/>
      <c r="AC723" s="5"/>
      <c r="AD723" s="5"/>
      <c r="AE723" s="5"/>
      <c r="AF723" s="5"/>
      <c r="AG723" s="5"/>
      <c r="AH723" s="5"/>
      <c r="AI723" s="5"/>
      <c r="AJ723" s="5"/>
      <c r="AK723" s="5"/>
      <c r="AL723" s="5"/>
      <c r="AM723" s="5"/>
      <c r="AN723" s="5"/>
    </row>
    <row r="724" spans="1:40" ht="18.75" customHeight="1">
      <c r="A724" s="5"/>
      <c r="B724" s="5"/>
      <c r="C724" s="5"/>
      <c r="D724" s="5"/>
      <c r="E724" s="5"/>
      <c r="F724" s="5"/>
      <c r="G724" s="5"/>
      <c r="H724" s="5"/>
      <c r="I724" s="5"/>
      <c r="J724" s="5"/>
      <c r="K724" s="5"/>
      <c r="L724" s="5"/>
      <c r="M724" s="5"/>
      <c r="N724" s="5"/>
      <c r="O724" s="5"/>
      <c r="P724" s="5"/>
      <c r="Q724" s="5"/>
      <c r="R724" s="5"/>
      <c r="S724" s="5"/>
      <c r="T724" s="5"/>
      <c r="U724" s="5"/>
      <c r="V724" s="5"/>
      <c r="Y724" s="5"/>
      <c r="Z724" s="5"/>
      <c r="AA724" s="5"/>
      <c r="AB724" s="5"/>
      <c r="AC724" s="5"/>
      <c r="AD724" s="5"/>
      <c r="AE724" s="5"/>
      <c r="AF724" s="5"/>
      <c r="AG724" s="5"/>
      <c r="AH724" s="5"/>
      <c r="AI724" s="5"/>
      <c r="AJ724" s="5"/>
      <c r="AK724" s="5"/>
      <c r="AL724" s="5"/>
      <c r="AM724" s="5"/>
      <c r="AN724" s="5"/>
    </row>
    <row r="725" spans="1:40" ht="18.75" customHeight="1">
      <c r="A725" s="5"/>
      <c r="B725" s="5"/>
      <c r="C725" s="5"/>
      <c r="D725" s="5"/>
      <c r="E725" s="5"/>
      <c r="F725" s="5"/>
      <c r="G725" s="5"/>
      <c r="H725" s="5"/>
      <c r="I725" s="5"/>
      <c r="J725" s="5"/>
      <c r="K725" s="5"/>
      <c r="L725" s="5"/>
      <c r="M725" s="5"/>
      <c r="N725" s="5"/>
      <c r="O725" s="5"/>
      <c r="P725" s="5"/>
      <c r="Q725" s="5"/>
      <c r="R725" s="5"/>
      <c r="S725" s="5"/>
      <c r="T725" s="5"/>
      <c r="U725" s="5"/>
      <c r="V725" s="5"/>
      <c r="Y725" s="5"/>
      <c r="Z725" s="5"/>
      <c r="AA725" s="5"/>
      <c r="AB725" s="5"/>
      <c r="AC725" s="5"/>
      <c r="AD725" s="5"/>
      <c r="AE725" s="5"/>
      <c r="AF725" s="5"/>
      <c r="AG725" s="5"/>
      <c r="AH725" s="5"/>
      <c r="AI725" s="5"/>
      <c r="AJ725" s="5"/>
      <c r="AK725" s="5"/>
      <c r="AL725" s="5"/>
      <c r="AM725" s="5"/>
      <c r="AN725" s="5"/>
    </row>
    <row r="726" spans="1:40" ht="18.75" customHeight="1">
      <c r="A726" s="5"/>
      <c r="B726" s="5"/>
      <c r="C726" s="5"/>
      <c r="D726" s="5"/>
      <c r="E726" s="5"/>
      <c r="F726" s="5"/>
      <c r="G726" s="5"/>
      <c r="H726" s="5"/>
      <c r="I726" s="5"/>
      <c r="J726" s="5"/>
      <c r="K726" s="5"/>
      <c r="L726" s="5"/>
      <c r="M726" s="5"/>
      <c r="N726" s="5"/>
      <c r="O726" s="5"/>
      <c r="P726" s="5"/>
      <c r="Q726" s="5"/>
      <c r="R726" s="5"/>
      <c r="S726" s="5"/>
      <c r="T726" s="5"/>
      <c r="U726" s="5"/>
      <c r="V726" s="5"/>
      <c r="Y726" s="5"/>
      <c r="Z726" s="5"/>
      <c r="AA726" s="5"/>
      <c r="AB726" s="5"/>
      <c r="AC726" s="5"/>
      <c r="AD726" s="5"/>
      <c r="AE726" s="5"/>
      <c r="AF726" s="5"/>
      <c r="AG726" s="5"/>
      <c r="AH726" s="5"/>
      <c r="AI726" s="5"/>
      <c r="AJ726" s="5"/>
      <c r="AK726" s="5"/>
      <c r="AL726" s="5"/>
      <c r="AM726" s="5"/>
      <c r="AN726" s="5"/>
    </row>
    <row r="727" spans="1:40" ht="18.75" customHeight="1">
      <c r="A727" s="5"/>
      <c r="B727" s="5"/>
      <c r="C727" s="5"/>
      <c r="D727" s="5"/>
      <c r="E727" s="5"/>
      <c r="F727" s="5"/>
      <c r="G727" s="5"/>
      <c r="H727" s="5"/>
      <c r="I727" s="5"/>
      <c r="J727" s="5"/>
      <c r="K727" s="5"/>
      <c r="L727" s="5"/>
      <c r="M727" s="5"/>
      <c r="N727" s="5"/>
      <c r="O727" s="5"/>
      <c r="P727" s="5"/>
      <c r="Q727" s="5"/>
      <c r="R727" s="5"/>
      <c r="S727" s="5"/>
      <c r="T727" s="5"/>
      <c r="U727" s="5"/>
      <c r="V727" s="5"/>
      <c r="Y727" s="5"/>
      <c r="Z727" s="5"/>
      <c r="AA727" s="5"/>
      <c r="AB727" s="5"/>
      <c r="AC727" s="5"/>
      <c r="AD727" s="5"/>
      <c r="AE727" s="5"/>
      <c r="AF727" s="5"/>
      <c r="AG727" s="5"/>
      <c r="AH727" s="5"/>
      <c r="AI727" s="5"/>
      <c r="AJ727" s="5"/>
      <c r="AK727" s="5"/>
      <c r="AL727" s="5"/>
      <c r="AM727" s="5"/>
      <c r="AN727" s="5"/>
    </row>
    <row r="728" spans="1:40" ht="18.75" customHeight="1">
      <c r="A728" s="5"/>
      <c r="B728" s="5"/>
      <c r="C728" s="5"/>
      <c r="D728" s="5"/>
      <c r="E728" s="5"/>
      <c r="F728" s="5"/>
      <c r="G728" s="5"/>
      <c r="H728" s="5"/>
      <c r="I728" s="5"/>
      <c r="J728" s="5"/>
      <c r="K728" s="5"/>
      <c r="L728" s="5"/>
      <c r="M728" s="5"/>
      <c r="N728" s="5"/>
      <c r="O728" s="5"/>
      <c r="P728" s="5"/>
      <c r="Q728" s="5"/>
      <c r="R728" s="5"/>
      <c r="S728" s="5"/>
      <c r="T728" s="5"/>
      <c r="U728" s="5"/>
      <c r="V728" s="5"/>
      <c r="Y728" s="5"/>
      <c r="Z728" s="5"/>
      <c r="AA728" s="5"/>
      <c r="AB728" s="5"/>
      <c r="AC728" s="5"/>
      <c r="AD728" s="5"/>
      <c r="AE728" s="5"/>
      <c r="AF728" s="5"/>
      <c r="AG728" s="5"/>
      <c r="AH728" s="5"/>
      <c r="AI728" s="5"/>
      <c r="AJ728" s="5"/>
      <c r="AK728" s="5"/>
      <c r="AL728" s="5"/>
      <c r="AM728" s="5"/>
      <c r="AN728" s="5"/>
    </row>
    <row r="729" spans="1:40" ht="18.75" customHeight="1">
      <c r="A729" s="5"/>
      <c r="B729" s="5"/>
      <c r="C729" s="5"/>
      <c r="D729" s="5"/>
      <c r="E729" s="5"/>
      <c r="F729" s="5"/>
      <c r="G729" s="5"/>
      <c r="H729" s="5"/>
      <c r="I729" s="5"/>
      <c r="J729" s="5"/>
      <c r="K729" s="5"/>
      <c r="L729" s="5"/>
      <c r="M729" s="5"/>
      <c r="N729" s="5"/>
      <c r="O729" s="5"/>
      <c r="P729" s="5"/>
      <c r="Q729" s="5"/>
      <c r="R729" s="5"/>
      <c r="S729" s="5"/>
      <c r="T729" s="5"/>
      <c r="U729" s="5"/>
      <c r="V729" s="5"/>
      <c r="Y729" s="5"/>
      <c r="Z729" s="5"/>
      <c r="AA729" s="5"/>
      <c r="AB729" s="5"/>
      <c r="AC729" s="5"/>
      <c r="AD729" s="5"/>
      <c r="AE729" s="5"/>
      <c r="AF729" s="5"/>
      <c r="AG729" s="5"/>
      <c r="AH729" s="5"/>
      <c r="AI729" s="5"/>
      <c r="AJ729" s="5"/>
      <c r="AK729" s="5"/>
      <c r="AL729" s="5"/>
      <c r="AM729" s="5"/>
      <c r="AN729" s="5"/>
    </row>
    <row r="730" spans="1:40" ht="18.75" customHeight="1">
      <c r="A730" s="5"/>
      <c r="B730" s="5"/>
      <c r="C730" s="5"/>
      <c r="D730" s="5"/>
      <c r="E730" s="5"/>
      <c r="F730" s="5"/>
      <c r="G730" s="5"/>
      <c r="H730" s="5"/>
      <c r="I730" s="5"/>
      <c r="J730" s="5"/>
      <c r="K730" s="5"/>
      <c r="L730" s="5"/>
      <c r="M730" s="5"/>
      <c r="N730" s="5"/>
      <c r="O730" s="5"/>
      <c r="P730" s="5"/>
      <c r="Q730" s="5"/>
      <c r="R730" s="5"/>
      <c r="S730" s="5"/>
      <c r="T730" s="5"/>
      <c r="U730" s="5"/>
      <c r="V730" s="5"/>
      <c r="Y730" s="5"/>
      <c r="Z730" s="5"/>
      <c r="AA730" s="5"/>
      <c r="AB730" s="5"/>
      <c r="AC730" s="5"/>
      <c r="AD730" s="5"/>
      <c r="AE730" s="5"/>
      <c r="AF730" s="5"/>
      <c r="AG730" s="5"/>
      <c r="AH730" s="5"/>
      <c r="AI730" s="5"/>
      <c r="AJ730" s="5"/>
      <c r="AK730" s="5"/>
      <c r="AL730" s="5"/>
      <c r="AM730" s="5"/>
      <c r="AN730" s="5"/>
    </row>
    <row r="731" spans="1:40" ht="18.75" customHeight="1">
      <c r="A731" s="5"/>
      <c r="B731" s="5"/>
      <c r="C731" s="5"/>
      <c r="D731" s="5"/>
      <c r="E731" s="5"/>
      <c r="F731" s="5"/>
      <c r="G731" s="5"/>
      <c r="H731" s="5"/>
      <c r="I731" s="5"/>
      <c r="J731" s="5"/>
      <c r="K731" s="5"/>
      <c r="L731" s="5"/>
      <c r="M731" s="5"/>
      <c r="N731" s="5"/>
      <c r="O731" s="5"/>
      <c r="P731" s="5"/>
      <c r="Q731" s="5"/>
      <c r="R731" s="5"/>
      <c r="S731" s="5"/>
      <c r="T731" s="5"/>
      <c r="U731" s="5"/>
      <c r="V731" s="5"/>
      <c r="Y731" s="5"/>
      <c r="Z731" s="5"/>
      <c r="AA731" s="5"/>
      <c r="AB731" s="5"/>
      <c r="AC731" s="5"/>
      <c r="AD731" s="5"/>
      <c r="AE731" s="5"/>
      <c r="AF731" s="5"/>
      <c r="AG731" s="5"/>
      <c r="AH731" s="5"/>
      <c r="AI731" s="5"/>
      <c r="AJ731" s="5"/>
      <c r="AK731" s="5"/>
      <c r="AL731" s="5"/>
      <c r="AM731" s="5"/>
      <c r="AN731" s="5"/>
    </row>
    <row r="732" spans="1:40" ht="18.75" customHeight="1">
      <c r="A732" s="5"/>
      <c r="B732" s="5"/>
      <c r="C732" s="5"/>
      <c r="D732" s="5"/>
      <c r="E732" s="5"/>
      <c r="F732" s="5"/>
      <c r="G732" s="5"/>
      <c r="H732" s="5"/>
      <c r="I732" s="5"/>
      <c r="J732" s="5"/>
      <c r="K732" s="5"/>
      <c r="L732" s="5"/>
      <c r="M732" s="5"/>
      <c r="N732" s="5"/>
      <c r="O732" s="5"/>
      <c r="P732" s="5"/>
      <c r="Q732" s="5"/>
      <c r="R732" s="5"/>
      <c r="S732" s="5"/>
      <c r="T732" s="5"/>
      <c r="U732" s="5"/>
      <c r="V732" s="5"/>
      <c r="Y732" s="5"/>
      <c r="Z732" s="5"/>
      <c r="AA732" s="5"/>
      <c r="AB732" s="5"/>
      <c r="AC732" s="5"/>
      <c r="AD732" s="5"/>
      <c r="AE732" s="5"/>
      <c r="AF732" s="5"/>
      <c r="AG732" s="5"/>
      <c r="AH732" s="5"/>
      <c r="AI732" s="5"/>
      <c r="AJ732" s="5"/>
      <c r="AK732" s="5"/>
      <c r="AL732" s="5"/>
      <c r="AM732" s="5"/>
      <c r="AN732" s="5"/>
    </row>
    <row r="733" spans="1:40" ht="18.75" customHeight="1">
      <c r="A733" s="5"/>
      <c r="B733" s="5"/>
      <c r="C733" s="5"/>
      <c r="D733" s="5"/>
      <c r="E733" s="5"/>
      <c r="F733" s="5"/>
      <c r="G733" s="5"/>
      <c r="H733" s="5"/>
      <c r="I733" s="5"/>
      <c r="J733" s="5"/>
      <c r="K733" s="5"/>
      <c r="L733" s="5"/>
      <c r="M733" s="5"/>
      <c r="N733" s="5"/>
      <c r="O733" s="5"/>
      <c r="P733" s="5"/>
      <c r="Q733" s="5"/>
      <c r="R733" s="5"/>
      <c r="S733" s="5"/>
      <c r="T733" s="5"/>
      <c r="U733" s="5"/>
      <c r="V733" s="5"/>
      <c r="Y733" s="5"/>
      <c r="Z733" s="5"/>
      <c r="AA733" s="5"/>
      <c r="AB733" s="5"/>
      <c r="AC733" s="5"/>
      <c r="AD733" s="5"/>
      <c r="AE733" s="5"/>
      <c r="AF733" s="5"/>
      <c r="AG733" s="5"/>
      <c r="AH733" s="5"/>
      <c r="AI733" s="5"/>
      <c r="AJ733" s="5"/>
      <c r="AK733" s="5"/>
      <c r="AL733" s="5"/>
      <c r="AM733" s="5"/>
      <c r="AN733" s="5"/>
    </row>
    <row r="734" spans="1:40" ht="18.75" customHeight="1">
      <c r="A734" s="5"/>
      <c r="B734" s="5"/>
      <c r="C734" s="5"/>
      <c r="D734" s="5"/>
      <c r="E734" s="5"/>
      <c r="F734" s="5"/>
      <c r="G734" s="5"/>
      <c r="H734" s="5"/>
      <c r="I734" s="5"/>
      <c r="J734" s="5"/>
      <c r="K734" s="5"/>
      <c r="L734" s="5"/>
      <c r="M734" s="5"/>
      <c r="N734" s="5"/>
      <c r="O734" s="5"/>
      <c r="P734" s="5"/>
      <c r="Q734" s="5"/>
      <c r="R734" s="5"/>
      <c r="S734" s="5"/>
      <c r="T734" s="5"/>
      <c r="U734" s="5"/>
      <c r="V734" s="5"/>
      <c r="Y734" s="5"/>
      <c r="Z734" s="5"/>
      <c r="AA734" s="5"/>
      <c r="AB734" s="5"/>
      <c r="AC734" s="5"/>
      <c r="AD734" s="5"/>
      <c r="AE734" s="5"/>
      <c r="AF734" s="5"/>
      <c r="AG734" s="5"/>
      <c r="AH734" s="5"/>
      <c r="AI734" s="5"/>
      <c r="AJ734" s="5"/>
      <c r="AK734" s="5"/>
      <c r="AL734" s="5"/>
      <c r="AM734" s="5"/>
      <c r="AN734" s="5"/>
    </row>
    <row r="735" spans="1:40" ht="18.75" customHeight="1">
      <c r="A735" s="5"/>
      <c r="B735" s="5"/>
      <c r="C735" s="5"/>
      <c r="D735" s="5"/>
      <c r="E735" s="5"/>
      <c r="F735" s="5"/>
      <c r="G735" s="5"/>
      <c r="H735" s="5"/>
      <c r="I735" s="5"/>
      <c r="J735" s="5"/>
      <c r="K735" s="5"/>
      <c r="L735" s="5"/>
      <c r="M735" s="5"/>
      <c r="N735" s="5"/>
      <c r="O735" s="5"/>
      <c r="P735" s="5"/>
      <c r="Q735" s="5"/>
      <c r="R735" s="5"/>
      <c r="S735" s="5"/>
      <c r="T735" s="5"/>
      <c r="U735" s="5"/>
      <c r="V735" s="5"/>
      <c r="Y735" s="5"/>
      <c r="Z735" s="5"/>
      <c r="AA735" s="5"/>
      <c r="AB735" s="5"/>
      <c r="AC735" s="5"/>
      <c r="AD735" s="5"/>
      <c r="AE735" s="5"/>
      <c r="AF735" s="5"/>
      <c r="AG735" s="5"/>
      <c r="AH735" s="5"/>
      <c r="AI735" s="5"/>
      <c r="AJ735" s="5"/>
      <c r="AK735" s="5"/>
      <c r="AL735" s="5"/>
      <c r="AM735" s="5"/>
      <c r="AN735" s="5"/>
    </row>
    <row r="736" spans="1:40" ht="18.75" customHeight="1">
      <c r="A736" s="5"/>
      <c r="B736" s="5"/>
      <c r="C736" s="5"/>
      <c r="D736" s="5"/>
      <c r="E736" s="5"/>
      <c r="F736" s="5"/>
      <c r="G736" s="5"/>
      <c r="H736" s="5"/>
      <c r="I736" s="5"/>
      <c r="J736" s="5"/>
      <c r="K736" s="5"/>
      <c r="L736" s="5"/>
      <c r="M736" s="5"/>
      <c r="N736" s="5"/>
      <c r="O736" s="5"/>
      <c r="P736" s="5"/>
      <c r="Q736" s="5"/>
      <c r="R736" s="5"/>
      <c r="S736" s="5"/>
      <c r="T736" s="5"/>
      <c r="U736" s="5"/>
      <c r="V736" s="5"/>
      <c r="Y736" s="5"/>
      <c r="Z736" s="5"/>
      <c r="AA736" s="5"/>
      <c r="AB736" s="5"/>
      <c r="AC736" s="5"/>
      <c r="AD736" s="5"/>
      <c r="AE736" s="5"/>
      <c r="AF736" s="5"/>
      <c r="AG736" s="5"/>
      <c r="AH736" s="5"/>
      <c r="AI736" s="5"/>
      <c r="AJ736" s="5"/>
      <c r="AK736" s="5"/>
      <c r="AL736" s="5"/>
      <c r="AM736" s="5"/>
      <c r="AN736" s="5"/>
    </row>
    <row r="737" spans="1:40" ht="18.75" customHeight="1">
      <c r="A737" s="5"/>
      <c r="B737" s="5"/>
      <c r="C737" s="5"/>
      <c r="D737" s="5"/>
      <c r="E737" s="5"/>
      <c r="F737" s="5"/>
      <c r="G737" s="5"/>
      <c r="H737" s="5"/>
      <c r="I737" s="5"/>
      <c r="J737" s="5"/>
      <c r="K737" s="5"/>
      <c r="L737" s="5"/>
      <c r="M737" s="5"/>
      <c r="N737" s="5"/>
      <c r="O737" s="5"/>
      <c r="P737" s="5"/>
      <c r="Q737" s="5"/>
      <c r="R737" s="5"/>
      <c r="S737" s="5"/>
      <c r="T737" s="5"/>
      <c r="U737" s="5"/>
      <c r="V737" s="5"/>
      <c r="Y737" s="5"/>
      <c r="Z737" s="5"/>
      <c r="AA737" s="5"/>
      <c r="AB737" s="5"/>
      <c r="AC737" s="5"/>
      <c r="AD737" s="5"/>
      <c r="AE737" s="5"/>
      <c r="AF737" s="5"/>
      <c r="AG737" s="5"/>
      <c r="AH737" s="5"/>
      <c r="AI737" s="5"/>
      <c r="AJ737" s="5"/>
      <c r="AK737" s="5"/>
      <c r="AL737" s="5"/>
      <c r="AM737" s="5"/>
      <c r="AN737" s="5"/>
    </row>
    <row r="738" spans="1:40" ht="18.75" customHeight="1">
      <c r="A738" s="5"/>
      <c r="B738" s="5"/>
      <c r="C738" s="5"/>
      <c r="D738" s="5"/>
      <c r="E738" s="5"/>
      <c r="F738" s="5"/>
      <c r="G738" s="5"/>
      <c r="H738" s="5"/>
      <c r="I738" s="5"/>
      <c r="J738" s="5"/>
      <c r="K738" s="5"/>
      <c r="L738" s="5"/>
      <c r="M738" s="5"/>
      <c r="N738" s="5"/>
      <c r="O738" s="5"/>
      <c r="P738" s="5"/>
      <c r="Q738" s="5"/>
      <c r="R738" s="5"/>
      <c r="S738" s="5"/>
      <c r="T738" s="5"/>
      <c r="U738" s="5"/>
      <c r="V738" s="5"/>
      <c r="Y738" s="5"/>
      <c r="Z738" s="5"/>
      <c r="AA738" s="5"/>
      <c r="AB738" s="5"/>
      <c r="AC738" s="5"/>
      <c r="AD738" s="5"/>
      <c r="AE738" s="5"/>
      <c r="AF738" s="5"/>
      <c r="AG738" s="5"/>
      <c r="AH738" s="5"/>
      <c r="AI738" s="5"/>
      <c r="AJ738" s="5"/>
      <c r="AK738" s="5"/>
      <c r="AL738" s="5"/>
      <c r="AM738" s="5"/>
      <c r="AN738" s="5"/>
    </row>
    <row r="739" spans="1:40" ht="18.75" customHeight="1">
      <c r="A739" s="5"/>
      <c r="B739" s="5"/>
      <c r="C739" s="5"/>
      <c r="D739" s="5"/>
      <c r="E739" s="5"/>
      <c r="F739" s="5"/>
      <c r="G739" s="5"/>
      <c r="H739" s="5"/>
      <c r="I739" s="5"/>
      <c r="J739" s="5"/>
      <c r="K739" s="5"/>
      <c r="L739" s="5"/>
      <c r="M739" s="5"/>
      <c r="N739" s="5"/>
      <c r="O739" s="5"/>
      <c r="P739" s="5"/>
      <c r="Q739" s="5"/>
      <c r="R739" s="5"/>
      <c r="S739" s="5"/>
      <c r="T739" s="5"/>
      <c r="U739" s="5"/>
      <c r="V739" s="5"/>
      <c r="Y739" s="5"/>
      <c r="Z739" s="5"/>
      <c r="AA739" s="5"/>
      <c r="AB739" s="5"/>
      <c r="AC739" s="5"/>
      <c r="AD739" s="5"/>
      <c r="AE739" s="5"/>
      <c r="AF739" s="5"/>
      <c r="AG739" s="5"/>
      <c r="AH739" s="5"/>
      <c r="AI739" s="5"/>
      <c r="AJ739" s="5"/>
      <c r="AK739" s="5"/>
      <c r="AL739" s="5"/>
      <c r="AM739" s="5"/>
      <c r="AN739" s="5"/>
    </row>
    <row r="740" spans="1:40" ht="18.75" customHeight="1">
      <c r="A740" s="5"/>
      <c r="B740" s="5"/>
      <c r="C740" s="5"/>
      <c r="D740" s="5"/>
      <c r="E740" s="5"/>
      <c r="F740" s="5"/>
      <c r="G740" s="5"/>
      <c r="H740" s="5"/>
      <c r="I740" s="5"/>
      <c r="J740" s="5"/>
      <c r="K740" s="5"/>
      <c r="L740" s="5"/>
      <c r="M740" s="5"/>
      <c r="N740" s="5"/>
      <c r="O740" s="5"/>
      <c r="P740" s="5"/>
      <c r="Q740" s="5"/>
      <c r="R740" s="5"/>
      <c r="S740" s="5"/>
      <c r="T740" s="5"/>
      <c r="U740" s="5"/>
      <c r="V740" s="5"/>
      <c r="Y740" s="5"/>
      <c r="Z740" s="5"/>
      <c r="AA740" s="5"/>
      <c r="AB740" s="5"/>
      <c r="AC740" s="5"/>
      <c r="AD740" s="5"/>
      <c r="AE740" s="5"/>
      <c r="AF740" s="5"/>
      <c r="AG740" s="5"/>
      <c r="AH740" s="5"/>
      <c r="AI740" s="5"/>
      <c r="AJ740" s="5"/>
      <c r="AK740" s="5"/>
      <c r="AL740" s="5"/>
      <c r="AM740" s="5"/>
      <c r="AN740" s="5"/>
    </row>
    <row r="741" spans="1:40" ht="18.75" customHeight="1">
      <c r="A741" s="5"/>
      <c r="B741" s="5"/>
      <c r="C741" s="5"/>
      <c r="D741" s="5"/>
      <c r="E741" s="5"/>
      <c r="F741" s="5"/>
      <c r="G741" s="5"/>
      <c r="H741" s="5"/>
      <c r="I741" s="5"/>
      <c r="J741" s="5"/>
      <c r="K741" s="5"/>
      <c r="L741" s="5"/>
      <c r="M741" s="5"/>
      <c r="N741" s="5"/>
      <c r="O741" s="5"/>
      <c r="P741" s="5"/>
      <c r="Q741" s="5"/>
      <c r="R741" s="5"/>
      <c r="S741" s="5"/>
      <c r="T741" s="5"/>
      <c r="U741" s="5"/>
      <c r="V741" s="5"/>
      <c r="Y741" s="5"/>
      <c r="Z741" s="5"/>
      <c r="AA741" s="5"/>
      <c r="AB741" s="5"/>
      <c r="AC741" s="5"/>
      <c r="AD741" s="5"/>
      <c r="AE741" s="5"/>
      <c r="AF741" s="5"/>
      <c r="AG741" s="5"/>
      <c r="AH741" s="5"/>
      <c r="AI741" s="5"/>
      <c r="AJ741" s="5"/>
      <c r="AK741" s="5"/>
      <c r="AL741" s="5"/>
      <c r="AM741" s="5"/>
      <c r="AN741" s="5"/>
    </row>
    <row r="742" spans="1:40" ht="18.75" customHeight="1">
      <c r="A742" s="5"/>
      <c r="B742" s="5"/>
      <c r="C742" s="5"/>
      <c r="D742" s="5"/>
      <c r="E742" s="5"/>
      <c r="F742" s="5"/>
      <c r="G742" s="5"/>
      <c r="H742" s="5"/>
      <c r="I742" s="5"/>
      <c r="J742" s="5"/>
      <c r="K742" s="5"/>
      <c r="L742" s="5"/>
      <c r="M742" s="5"/>
      <c r="N742" s="5"/>
      <c r="O742" s="5"/>
      <c r="P742" s="5"/>
      <c r="Q742" s="5"/>
      <c r="R742" s="5"/>
      <c r="S742" s="5"/>
      <c r="T742" s="5"/>
      <c r="U742" s="5"/>
      <c r="V742" s="5"/>
      <c r="Y742" s="5"/>
      <c r="Z742" s="5"/>
      <c r="AA742" s="5"/>
      <c r="AB742" s="5"/>
      <c r="AC742" s="5"/>
      <c r="AD742" s="5"/>
      <c r="AE742" s="5"/>
      <c r="AF742" s="5"/>
      <c r="AG742" s="5"/>
      <c r="AH742" s="5"/>
      <c r="AI742" s="5"/>
      <c r="AJ742" s="5"/>
      <c r="AK742" s="5"/>
      <c r="AL742" s="5"/>
      <c r="AM742" s="5"/>
      <c r="AN742" s="5"/>
    </row>
    <row r="743" spans="1:40" ht="18.75" customHeight="1">
      <c r="A743" s="5"/>
      <c r="B743" s="5"/>
      <c r="C743" s="5"/>
      <c r="D743" s="5"/>
      <c r="E743" s="5"/>
      <c r="F743" s="5"/>
      <c r="G743" s="5"/>
      <c r="H743" s="5"/>
      <c r="I743" s="5"/>
      <c r="J743" s="5"/>
      <c r="K743" s="5"/>
      <c r="L743" s="5"/>
      <c r="M743" s="5"/>
      <c r="N743" s="5"/>
      <c r="O743" s="5"/>
      <c r="P743" s="5"/>
      <c r="Q743" s="5"/>
      <c r="R743" s="5"/>
      <c r="S743" s="5"/>
      <c r="T743" s="5"/>
      <c r="U743" s="5"/>
      <c r="V743" s="5"/>
      <c r="Y743" s="5"/>
      <c r="Z743" s="5"/>
      <c r="AA743" s="5"/>
      <c r="AB743" s="5"/>
      <c r="AC743" s="5"/>
      <c r="AD743" s="5"/>
      <c r="AE743" s="5"/>
      <c r="AF743" s="5"/>
      <c r="AG743" s="5"/>
      <c r="AH743" s="5"/>
      <c r="AI743" s="5"/>
      <c r="AJ743" s="5"/>
      <c r="AK743" s="5"/>
      <c r="AL743" s="5"/>
      <c r="AM743" s="5"/>
      <c r="AN743" s="5"/>
    </row>
    <row r="744" spans="1:40" ht="18.75" customHeight="1">
      <c r="A744" s="5"/>
      <c r="B744" s="5"/>
      <c r="C744" s="5"/>
      <c r="D744" s="5"/>
      <c r="E744" s="5"/>
      <c r="F744" s="5"/>
      <c r="G744" s="5"/>
      <c r="H744" s="5"/>
      <c r="I744" s="5"/>
      <c r="J744" s="5"/>
      <c r="K744" s="5"/>
      <c r="L744" s="5"/>
      <c r="M744" s="5"/>
      <c r="N744" s="5"/>
      <c r="O744" s="5"/>
      <c r="P744" s="5"/>
      <c r="Q744" s="5"/>
      <c r="R744" s="5"/>
      <c r="S744" s="5"/>
      <c r="T744" s="5"/>
      <c r="U744" s="5"/>
      <c r="V744" s="5"/>
      <c r="Y744" s="5"/>
      <c r="Z744" s="5"/>
      <c r="AA744" s="5"/>
      <c r="AB744" s="5"/>
      <c r="AC744" s="5"/>
      <c r="AD744" s="5"/>
      <c r="AE744" s="5"/>
      <c r="AF744" s="5"/>
      <c r="AG744" s="5"/>
      <c r="AH744" s="5"/>
      <c r="AI744" s="5"/>
      <c r="AJ744" s="5"/>
      <c r="AK744" s="5"/>
      <c r="AL744" s="5"/>
      <c r="AM744" s="5"/>
      <c r="AN744" s="5"/>
    </row>
    <row r="745" spans="1:40" ht="18.75" customHeight="1">
      <c r="A745" s="5"/>
      <c r="B745" s="5"/>
      <c r="C745" s="5"/>
      <c r="D745" s="5"/>
      <c r="E745" s="5"/>
      <c r="F745" s="5"/>
      <c r="G745" s="5"/>
      <c r="H745" s="5"/>
      <c r="I745" s="5"/>
      <c r="J745" s="5"/>
      <c r="K745" s="5"/>
      <c r="L745" s="5"/>
      <c r="M745" s="5"/>
      <c r="N745" s="5"/>
      <c r="O745" s="5"/>
      <c r="P745" s="5"/>
      <c r="Q745" s="5"/>
      <c r="R745" s="5"/>
      <c r="S745" s="5"/>
      <c r="T745" s="5"/>
      <c r="U745" s="5"/>
      <c r="V745" s="5"/>
      <c r="Y745" s="5"/>
      <c r="Z745" s="5"/>
      <c r="AA745" s="5"/>
      <c r="AB745" s="5"/>
      <c r="AC745" s="5"/>
      <c r="AD745" s="5"/>
      <c r="AE745" s="5"/>
      <c r="AF745" s="5"/>
      <c r="AG745" s="5"/>
      <c r="AH745" s="5"/>
      <c r="AI745" s="5"/>
      <c r="AJ745" s="5"/>
      <c r="AK745" s="5"/>
      <c r="AL745" s="5"/>
      <c r="AM745" s="5"/>
      <c r="AN745" s="5"/>
    </row>
    <row r="746" spans="1:40" ht="18.75" customHeight="1">
      <c r="A746" s="5"/>
      <c r="B746" s="5"/>
      <c r="C746" s="5"/>
      <c r="D746" s="5"/>
      <c r="E746" s="5"/>
      <c r="F746" s="5"/>
      <c r="G746" s="5"/>
      <c r="H746" s="5"/>
      <c r="I746" s="5"/>
      <c r="J746" s="5"/>
      <c r="K746" s="5"/>
      <c r="L746" s="5"/>
      <c r="M746" s="5"/>
      <c r="N746" s="5"/>
      <c r="O746" s="5"/>
      <c r="P746" s="5"/>
      <c r="Q746" s="5"/>
      <c r="R746" s="5"/>
      <c r="S746" s="5"/>
      <c r="T746" s="5"/>
      <c r="U746" s="5"/>
      <c r="V746" s="5"/>
      <c r="Y746" s="5"/>
      <c r="Z746" s="5"/>
      <c r="AA746" s="5"/>
      <c r="AB746" s="5"/>
      <c r="AC746" s="5"/>
      <c r="AD746" s="5"/>
      <c r="AE746" s="5"/>
      <c r="AF746" s="5"/>
      <c r="AG746" s="5"/>
      <c r="AH746" s="5"/>
      <c r="AI746" s="5"/>
      <c r="AJ746" s="5"/>
      <c r="AK746" s="5"/>
      <c r="AL746" s="5"/>
      <c r="AM746" s="5"/>
      <c r="AN746" s="5"/>
    </row>
    <row r="747" spans="1:40" ht="18.75" customHeight="1">
      <c r="A747" s="5"/>
      <c r="B747" s="5"/>
      <c r="C747" s="5"/>
      <c r="D747" s="5"/>
      <c r="E747" s="5"/>
      <c r="F747" s="5"/>
      <c r="G747" s="5"/>
      <c r="H747" s="5"/>
      <c r="I747" s="5"/>
      <c r="J747" s="5"/>
      <c r="K747" s="5"/>
      <c r="L747" s="5"/>
      <c r="M747" s="5"/>
      <c r="N747" s="5"/>
      <c r="O747" s="5"/>
      <c r="P747" s="5"/>
      <c r="Q747" s="5"/>
      <c r="R747" s="5"/>
      <c r="S747" s="5"/>
      <c r="T747" s="5"/>
      <c r="U747" s="5"/>
      <c r="V747" s="5"/>
      <c r="Y747" s="5"/>
      <c r="Z747" s="5"/>
      <c r="AA747" s="5"/>
      <c r="AB747" s="5"/>
      <c r="AC747" s="5"/>
      <c r="AD747" s="5"/>
      <c r="AE747" s="5"/>
      <c r="AF747" s="5"/>
      <c r="AG747" s="5"/>
      <c r="AH747" s="5"/>
      <c r="AI747" s="5"/>
      <c r="AJ747" s="5"/>
      <c r="AK747" s="5"/>
      <c r="AL747" s="5"/>
      <c r="AM747" s="5"/>
      <c r="AN747" s="5"/>
    </row>
    <row r="748" spans="1:40" ht="18.75" customHeight="1">
      <c r="A748" s="5"/>
      <c r="B748" s="5"/>
      <c r="C748" s="5"/>
      <c r="D748" s="5"/>
      <c r="E748" s="5"/>
      <c r="F748" s="5"/>
      <c r="G748" s="5"/>
      <c r="H748" s="5"/>
      <c r="I748" s="5"/>
      <c r="J748" s="5"/>
      <c r="K748" s="5"/>
      <c r="L748" s="5"/>
      <c r="M748" s="5"/>
      <c r="N748" s="5"/>
      <c r="O748" s="5"/>
      <c r="P748" s="5"/>
      <c r="Q748" s="5"/>
      <c r="R748" s="5"/>
      <c r="S748" s="5"/>
      <c r="T748" s="5"/>
      <c r="U748" s="5"/>
      <c r="V748" s="5"/>
      <c r="Y748" s="5"/>
      <c r="Z748" s="5"/>
      <c r="AA748" s="5"/>
      <c r="AB748" s="5"/>
      <c r="AC748" s="5"/>
      <c r="AD748" s="5"/>
      <c r="AE748" s="5"/>
      <c r="AF748" s="5"/>
      <c r="AG748" s="5"/>
      <c r="AH748" s="5"/>
      <c r="AI748" s="5"/>
      <c r="AJ748" s="5"/>
      <c r="AK748" s="5"/>
      <c r="AL748" s="5"/>
      <c r="AM748" s="5"/>
      <c r="AN748" s="5"/>
    </row>
    <row r="749" spans="1:40" ht="18.75" customHeight="1">
      <c r="A749" s="5"/>
      <c r="B749" s="5"/>
      <c r="C749" s="5"/>
      <c r="D749" s="5"/>
      <c r="E749" s="5"/>
      <c r="F749" s="5"/>
      <c r="G749" s="5"/>
      <c r="H749" s="5"/>
      <c r="I749" s="5"/>
      <c r="J749" s="5"/>
      <c r="K749" s="5"/>
      <c r="L749" s="5"/>
      <c r="M749" s="5"/>
      <c r="N749" s="5"/>
      <c r="O749" s="5"/>
      <c r="P749" s="5"/>
      <c r="Q749" s="5"/>
      <c r="R749" s="5"/>
      <c r="S749" s="5"/>
      <c r="T749" s="5"/>
      <c r="U749" s="5"/>
      <c r="V749" s="5"/>
      <c r="Y749" s="5"/>
      <c r="Z749" s="5"/>
      <c r="AA749" s="5"/>
      <c r="AB749" s="5"/>
      <c r="AC749" s="5"/>
      <c r="AD749" s="5"/>
      <c r="AE749" s="5"/>
      <c r="AF749" s="5"/>
      <c r="AG749" s="5"/>
      <c r="AH749" s="5"/>
      <c r="AI749" s="5"/>
      <c r="AJ749" s="5"/>
      <c r="AK749" s="5"/>
      <c r="AL749" s="5"/>
      <c r="AM749" s="5"/>
      <c r="AN749" s="5"/>
    </row>
    <row r="750" spans="1:40" ht="18.75" customHeight="1">
      <c r="A750" s="5"/>
      <c r="B750" s="5"/>
      <c r="C750" s="5"/>
      <c r="D750" s="5"/>
      <c r="E750" s="5"/>
      <c r="F750" s="5"/>
      <c r="G750" s="5"/>
      <c r="H750" s="5"/>
      <c r="I750" s="5"/>
      <c r="J750" s="5"/>
      <c r="K750" s="5"/>
      <c r="L750" s="5"/>
      <c r="M750" s="5"/>
      <c r="N750" s="5"/>
      <c r="O750" s="5"/>
      <c r="P750" s="5"/>
      <c r="Q750" s="5"/>
      <c r="R750" s="5"/>
      <c r="S750" s="5"/>
      <c r="T750" s="5"/>
      <c r="U750" s="5"/>
      <c r="V750" s="5"/>
      <c r="Y750" s="5"/>
      <c r="Z750" s="5"/>
      <c r="AA750" s="5"/>
      <c r="AB750" s="5"/>
      <c r="AC750" s="5"/>
      <c r="AD750" s="5"/>
      <c r="AE750" s="5"/>
      <c r="AF750" s="5"/>
      <c r="AG750" s="5"/>
      <c r="AH750" s="5"/>
      <c r="AI750" s="5"/>
      <c r="AJ750" s="5"/>
      <c r="AK750" s="5"/>
      <c r="AL750" s="5"/>
      <c r="AM750" s="5"/>
      <c r="AN750" s="5"/>
    </row>
    <row r="751" spans="1:40" ht="18.75" customHeight="1">
      <c r="A751" s="5"/>
      <c r="B751" s="5"/>
      <c r="C751" s="5"/>
      <c r="D751" s="5"/>
      <c r="E751" s="5"/>
      <c r="F751" s="5"/>
      <c r="G751" s="5"/>
      <c r="H751" s="5"/>
      <c r="I751" s="5"/>
      <c r="J751" s="5"/>
      <c r="K751" s="5"/>
      <c r="L751" s="5"/>
      <c r="M751" s="5"/>
      <c r="N751" s="5"/>
      <c r="O751" s="5"/>
      <c r="P751" s="5"/>
      <c r="Q751" s="5"/>
      <c r="R751" s="5"/>
      <c r="S751" s="5"/>
      <c r="T751" s="5"/>
      <c r="U751" s="5"/>
      <c r="V751" s="5"/>
      <c r="Y751" s="5"/>
      <c r="Z751" s="5"/>
      <c r="AA751" s="5"/>
      <c r="AB751" s="5"/>
      <c r="AC751" s="5"/>
      <c r="AD751" s="5"/>
      <c r="AE751" s="5"/>
      <c r="AF751" s="5"/>
      <c r="AG751" s="5"/>
      <c r="AH751" s="5"/>
      <c r="AI751" s="5"/>
      <c r="AJ751" s="5"/>
      <c r="AK751" s="5"/>
      <c r="AL751" s="5"/>
      <c r="AM751" s="5"/>
      <c r="AN751" s="5"/>
    </row>
    <row r="752" spans="1:40" ht="18.75" customHeight="1">
      <c r="A752" s="5"/>
      <c r="B752" s="5"/>
      <c r="C752" s="5"/>
      <c r="D752" s="5"/>
      <c r="E752" s="5"/>
      <c r="F752" s="5"/>
      <c r="G752" s="5"/>
      <c r="H752" s="5"/>
      <c r="I752" s="5"/>
      <c r="J752" s="5"/>
      <c r="K752" s="5"/>
      <c r="L752" s="5"/>
      <c r="M752" s="5"/>
      <c r="N752" s="5"/>
      <c r="O752" s="5"/>
      <c r="P752" s="5"/>
      <c r="Q752" s="5"/>
      <c r="R752" s="5"/>
      <c r="S752" s="5"/>
      <c r="T752" s="5"/>
      <c r="U752" s="5"/>
      <c r="V752" s="5"/>
      <c r="Y752" s="5"/>
      <c r="Z752" s="5"/>
      <c r="AA752" s="5"/>
      <c r="AB752" s="5"/>
      <c r="AC752" s="5"/>
      <c r="AD752" s="5"/>
      <c r="AE752" s="5"/>
      <c r="AF752" s="5"/>
      <c r="AG752" s="5"/>
      <c r="AH752" s="5"/>
      <c r="AI752" s="5"/>
      <c r="AJ752" s="5"/>
      <c r="AK752" s="5"/>
      <c r="AL752" s="5"/>
      <c r="AM752" s="5"/>
      <c r="AN752" s="5"/>
    </row>
    <row r="753" spans="1:40" ht="18.75" customHeight="1">
      <c r="A753" s="5"/>
      <c r="B753" s="5"/>
      <c r="C753" s="5"/>
      <c r="D753" s="5"/>
      <c r="E753" s="5"/>
      <c r="F753" s="5"/>
      <c r="G753" s="5"/>
      <c r="H753" s="5"/>
      <c r="I753" s="5"/>
      <c r="J753" s="5"/>
      <c r="K753" s="5"/>
      <c r="L753" s="5"/>
      <c r="M753" s="5"/>
      <c r="N753" s="5"/>
      <c r="O753" s="5"/>
      <c r="P753" s="5"/>
      <c r="Q753" s="5"/>
      <c r="R753" s="5"/>
      <c r="S753" s="5"/>
      <c r="T753" s="5"/>
      <c r="U753" s="5"/>
      <c r="V753" s="5"/>
      <c r="Y753" s="5"/>
      <c r="Z753" s="5"/>
      <c r="AA753" s="5"/>
      <c r="AB753" s="5"/>
      <c r="AC753" s="5"/>
      <c r="AD753" s="5"/>
      <c r="AE753" s="5"/>
      <c r="AF753" s="5"/>
      <c r="AG753" s="5"/>
      <c r="AH753" s="5"/>
      <c r="AI753" s="5"/>
      <c r="AJ753" s="5"/>
      <c r="AK753" s="5"/>
      <c r="AL753" s="5"/>
      <c r="AM753" s="5"/>
      <c r="AN753" s="5"/>
    </row>
    <row r="754" spans="1:40" ht="18.75" customHeight="1">
      <c r="A754" s="5"/>
      <c r="B754" s="5"/>
      <c r="C754" s="5"/>
      <c r="D754" s="5"/>
      <c r="E754" s="5"/>
      <c r="F754" s="5"/>
      <c r="G754" s="5"/>
      <c r="H754" s="5"/>
      <c r="I754" s="5"/>
      <c r="J754" s="5"/>
      <c r="K754" s="5"/>
      <c r="L754" s="5"/>
      <c r="M754" s="5"/>
      <c r="N754" s="5"/>
      <c r="O754" s="5"/>
      <c r="P754" s="5"/>
      <c r="Q754" s="5"/>
      <c r="R754" s="5"/>
      <c r="S754" s="5"/>
      <c r="T754" s="5"/>
      <c r="U754" s="5"/>
      <c r="V754" s="5"/>
      <c r="Y754" s="5"/>
      <c r="Z754" s="5"/>
      <c r="AA754" s="5"/>
      <c r="AB754" s="5"/>
      <c r="AC754" s="5"/>
      <c r="AD754" s="5"/>
      <c r="AE754" s="5"/>
      <c r="AF754" s="5"/>
      <c r="AG754" s="5"/>
      <c r="AH754" s="5"/>
      <c r="AI754" s="5"/>
      <c r="AJ754" s="5"/>
      <c r="AK754" s="5"/>
      <c r="AL754" s="5"/>
      <c r="AM754" s="5"/>
      <c r="AN754" s="5"/>
    </row>
    <row r="755" spans="1:40" ht="18.75" customHeight="1">
      <c r="A755" s="5"/>
      <c r="B755" s="5"/>
      <c r="C755" s="5"/>
      <c r="D755" s="5"/>
      <c r="E755" s="5"/>
      <c r="F755" s="5"/>
      <c r="G755" s="5"/>
      <c r="H755" s="5"/>
      <c r="I755" s="5"/>
      <c r="J755" s="5"/>
      <c r="K755" s="5"/>
      <c r="L755" s="5"/>
      <c r="M755" s="5"/>
      <c r="N755" s="5"/>
      <c r="O755" s="5"/>
      <c r="P755" s="5"/>
      <c r="Q755" s="5"/>
      <c r="R755" s="5"/>
      <c r="S755" s="5"/>
      <c r="T755" s="5"/>
      <c r="U755" s="5"/>
      <c r="V755" s="5"/>
      <c r="Y755" s="5"/>
      <c r="Z755" s="5"/>
      <c r="AA755" s="5"/>
      <c r="AB755" s="5"/>
      <c r="AC755" s="5"/>
      <c r="AD755" s="5"/>
      <c r="AE755" s="5"/>
      <c r="AF755" s="5"/>
      <c r="AG755" s="5"/>
      <c r="AH755" s="5"/>
      <c r="AI755" s="5"/>
      <c r="AJ755" s="5"/>
      <c r="AK755" s="5"/>
      <c r="AL755" s="5"/>
      <c r="AM755" s="5"/>
      <c r="AN755" s="5"/>
    </row>
    <row r="756" spans="1:40" ht="18.75" customHeight="1">
      <c r="A756" s="5"/>
      <c r="B756" s="5"/>
      <c r="C756" s="5"/>
      <c r="D756" s="5"/>
      <c r="E756" s="5"/>
      <c r="F756" s="5"/>
      <c r="G756" s="5"/>
      <c r="H756" s="5"/>
      <c r="I756" s="5"/>
      <c r="J756" s="5"/>
      <c r="K756" s="5"/>
      <c r="L756" s="5"/>
      <c r="M756" s="5"/>
      <c r="N756" s="5"/>
      <c r="O756" s="5"/>
      <c r="P756" s="5"/>
      <c r="Q756" s="5"/>
      <c r="R756" s="5"/>
      <c r="S756" s="5"/>
      <c r="T756" s="5"/>
      <c r="U756" s="5"/>
      <c r="V756" s="5"/>
      <c r="Y756" s="5"/>
      <c r="Z756" s="5"/>
      <c r="AA756" s="5"/>
      <c r="AB756" s="5"/>
      <c r="AC756" s="5"/>
      <c r="AD756" s="5"/>
      <c r="AE756" s="5"/>
      <c r="AF756" s="5"/>
      <c r="AG756" s="5"/>
      <c r="AH756" s="5"/>
      <c r="AI756" s="5"/>
      <c r="AJ756" s="5"/>
      <c r="AK756" s="5"/>
      <c r="AL756" s="5"/>
      <c r="AM756" s="5"/>
      <c r="AN756" s="5"/>
    </row>
    <row r="757" spans="1:40" ht="18.75" customHeight="1">
      <c r="A757" s="5"/>
      <c r="B757" s="5"/>
      <c r="C757" s="5"/>
      <c r="D757" s="5"/>
      <c r="E757" s="5"/>
      <c r="F757" s="5"/>
      <c r="G757" s="5"/>
      <c r="H757" s="5"/>
      <c r="I757" s="5"/>
      <c r="J757" s="5"/>
      <c r="K757" s="5"/>
      <c r="L757" s="5"/>
      <c r="M757" s="5"/>
      <c r="N757" s="5"/>
      <c r="O757" s="5"/>
      <c r="P757" s="5"/>
      <c r="Q757" s="5"/>
      <c r="R757" s="5"/>
      <c r="S757" s="5"/>
      <c r="T757" s="5"/>
      <c r="U757" s="5"/>
      <c r="V757" s="5"/>
      <c r="Y757" s="5"/>
      <c r="Z757" s="5"/>
      <c r="AA757" s="5"/>
      <c r="AB757" s="5"/>
      <c r="AC757" s="5"/>
      <c r="AD757" s="5"/>
      <c r="AE757" s="5"/>
      <c r="AF757" s="5"/>
      <c r="AG757" s="5"/>
      <c r="AH757" s="5"/>
      <c r="AI757" s="5"/>
      <c r="AJ757" s="5"/>
      <c r="AK757" s="5"/>
      <c r="AL757" s="5"/>
      <c r="AM757" s="5"/>
      <c r="AN757" s="5"/>
    </row>
    <row r="758" spans="1:40" ht="18.75" customHeight="1">
      <c r="A758" s="5"/>
      <c r="B758" s="5"/>
      <c r="C758" s="5"/>
      <c r="D758" s="5"/>
      <c r="E758" s="5"/>
      <c r="F758" s="5"/>
      <c r="G758" s="5"/>
      <c r="H758" s="5"/>
      <c r="I758" s="5"/>
      <c r="J758" s="5"/>
      <c r="K758" s="5"/>
      <c r="L758" s="5"/>
      <c r="M758" s="5"/>
      <c r="N758" s="5"/>
      <c r="O758" s="5"/>
      <c r="P758" s="5"/>
      <c r="Q758" s="5"/>
      <c r="R758" s="5"/>
      <c r="S758" s="5"/>
      <c r="T758" s="5"/>
      <c r="U758" s="5"/>
      <c r="V758" s="5"/>
      <c r="Y758" s="5"/>
      <c r="Z758" s="5"/>
      <c r="AA758" s="5"/>
      <c r="AB758" s="5"/>
      <c r="AC758" s="5"/>
      <c r="AD758" s="5"/>
      <c r="AE758" s="5"/>
      <c r="AF758" s="5"/>
      <c r="AG758" s="5"/>
      <c r="AH758" s="5"/>
      <c r="AI758" s="5"/>
      <c r="AJ758" s="5"/>
      <c r="AK758" s="5"/>
      <c r="AL758" s="5"/>
      <c r="AM758" s="5"/>
      <c r="AN758" s="5"/>
    </row>
    <row r="759" spans="1:40" ht="18.75" customHeight="1">
      <c r="A759" s="5"/>
      <c r="B759" s="5"/>
      <c r="C759" s="5"/>
      <c r="D759" s="5"/>
      <c r="E759" s="5"/>
      <c r="F759" s="5"/>
      <c r="G759" s="5"/>
      <c r="H759" s="5"/>
      <c r="I759" s="5"/>
      <c r="J759" s="5"/>
      <c r="K759" s="5"/>
      <c r="L759" s="5"/>
      <c r="M759" s="5"/>
      <c r="N759" s="5"/>
      <c r="O759" s="5"/>
      <c r="P759" s="5"/>
      <c r="Q759" s="5"/>
      <c r="R759" s="5"/>
      <c r="S759" s="5"/>
      <c r="T759" s="5"/>
      <c r="U759" s="5"/>
      <c r="V759" s="5"/>
      <c r="Y759" s="5"/>
      <c r="Z759" s="5"/>
      <c r="AA759" s="5"/>
      <c r="AB759" s="5"/>
      <c r="AC759" s="5"/>
      <c r="AD759" s="5"/>
      <c r="AE759" s="5"/>
      <c r="AF759" s="5"/>
      <c r="AG759" s="5"/>
      <c r="AH759" s="5"/>
      <c r="AI759" s="5"/>
      <c r="AJ759" s="5"/>
      <c r="AK759" s="5"/>
      <c r="AL759" s="5"/>
      <c r="AM759" s="5"/>
      <c r="AN759" s="5"/>
    </row>
    <row r="760" spans="1:40" ht="18.75" customHeight="1">
      <c r="A760" s="5"/>
      <c r="B760" s="5"/>
      <c r="C760" s="5"/>
      <c r="D760" s="5"/>
      <c r="E760" s="5"/>
      <c r="F760" s="5"/>
      <c r="G760" s="5"/>
      <c r="H760" s="5"/>
      <c r="I760" s="5"/>
      <c r="J760" s="5"/>
      <c r="K760" s="5"/>
      <c r="L760" s="5"/>
      <c r="M760" s="5"/>
      <c r="N760" s="5"/>
      <c r="O760" s="5"/>
      <c r="P760" s="5"/>
      <c r="Q760" s="5"/>
      <c r="R760" s="5"/>
      <c r="S760" s="5"/>
      <c r="T760" s="5"/>
      <c r="U760" s="5"/>
      <c r="V760" s="5"/>
      <c r="Y760" s="5"/>
      <c r="Z760" s="5"/>
      <c r="AA760" s="5"/>
      <c r="AB760" s="5"/>
      <c r="AC760" s="5"/>
      <c r="AD760" s="5"/>
      <c r="AE760" s="5"/>
      <c r="AF760" s="5"/>
      <c r="AG760" s="5"/>
      <c r="AH760" s="5"/>
      <c r="AI760" s="5"/>
      <c r="AJ760" s="5"/>
      <c r="AK760" s="5"/>
      <c r="AL760" s="5"/>
      <c r="AM760" s="5"/>
      <c r="AN760" s="5"/>
    </row>
    <row r="761" spans="1:40" ht="18.75" customHeight="1">
      <c r="A761" s="5"/>
      <c r="B761" s="5"/>
      <c r="C761" s="5"/>
      <c r="D761" s="5"/>
      <c r="E761" s="5"/>
      <c r="F761" s="5"/>
      <c r="G761" s="5"/>
      <c r="H761" s="5"/>
      <c r="I761" s="5"/>
      <c r="J761" s="5"/>
      <c r="K761" s="5"/>
      <c r="L761" s="5"/>
      <c r="M761" s="5"/>
      <c r="N761" s="5"/>
      <c r="O761" s="5"/>
      <c r="P761" s="5"/>
      <c r="Q761" s="5"/>
      <c r="R761" s="5"/>
      <c r="S761" s="5"/>
      <c r="T761" s="5"/>
      <c r="U761" s="5"/>
      <c r="V761" s="5"/>
      <c r="Y761" s="5"/>
      <c r="Z761" s="5"/>
      <c r="AA761" s="5"/>
      <c r="AB761" s="5"/>
      <c r="AC761" s="5"/>
      <c r="AD761" s="5"/>
      <c r="AE761" s="5"/>
      <c r="AF761" s="5"/>
      <c r="AG761" s="5"/>
      <c r="AH761" s="5"/>
      <c r="AI761" s="5"/>
      <c r="AJ761" s="5"/>
      <c r="AK761" s="5"/>
      <c r="AL761" s="5"/>
      <c r="AM761" s="5"/>
      <c r="AN761" s="5"/>
    </row>
    <row r="762" spans="1:40" ht="18.75" customHeight="1">
      <c r="A762" s="5"/>
      <c r="B762" s="5"/>
      <c r="C762" s="5"/>
      <c r="D762" s="5"/>
      <c r="E762" s="5"/>
      <c r="F762" s="5"/>
      <c r="G762" s="5"/>
      <c r="H762" s="5"/>
      <c r="I762" s="5"/>
      <c r="J762" s="5"/>
      <c r="K762" s="5"/>
      <c r="L762" s="5"/>
      <c r="M762" s="5"/>
      <c r="N762" s="5"/>
      <c r="O762" s="5"/>
      <c r="P762" s="5"/>
      <c r="Q762" s="5"/>
      <c r="R762" s="5"/>
      <c r="S762" s="5"/>
      <c r="T762" s="5"/>
      <c r="U762" s="5"/>
      <c r="V762" s="5"/>
      <c r="Y762" s="5"/>
      <c r="Z762" s="5"/>
      <c r="AA762" s="5"/>
      <c r="AB762" s="5"/>
      <c r="AC762" s="5"/>
      <c r="AD762" s="5"/>
      <c r="AE762" s="5"/>
      <c r="AF762" s="5"/>
      <c r="AG762" s="5"/>
      <c r="AH762" s="5"/>
      <c r="AI762" s="5"/>
      <c r="AJ762" s="5"/>
      <c r="AK762" s="5"/>
      <c r="AL762" s="5"/>
      <c r="AM762" s="5"/>
      <c r="AN762" s="5"/>
    </row>
    <row r="763" spans="1:40" ht="18.75" customHeight="1">
      <c r="A763" s="5"/>
      <c r="B763" s="5"/>
      <c r="C763" s="5"/>
      <c r="D763" s="5"/>
      <c r="E763" s="5"/>
      <c r="F763" s="5"/>
      <c r="G763" s="5"/>
      <c r="H763" s="5"/>
      <c r="I763" s="5"/>
      <c r="J763" s="5"/>
      <c r="K763" s="5"/>
      <c r="L763" s="5"/>
      <c r="M763" s="5"/>
      <c r="N763" s="5"/>
      <c r="O763" s="5"/>
      <c r="P763" s="5"/>
      <c r="Q763" s="5"/>
      <c r="R763" s="5"/>
      <c r="S763" s="5"/>
      <c r="T763" s="5"/>
      <c r="U763" s="5"/>
      <c r="V763" s="5"/>
      <c r="Y763" s="5"/>
      <c r="Z763" s="5"/>
      <c r="AA763" s="5"/>
      <c r="AB763" s="5"/>
      <c r="AC763" s="5"/>
      <c r="AD763" s="5"/>
      <c r="AE763" s="5"/>
      <c r="AF763" s="5"/>
      <c r="AG763" s="5"/>
      <c r="AH763" s="5"/>
      <c r="AI763" s="5"/>
      <c r="AJ763" s="5"/>
      <c r="AK763" s="5"/>
      <c r="AL763" s="5"/>
      <c r="AM763" s="5"/>
      <c r="AN763" s="5"/>
    </row>
    <row r="764" spans="1:40" ht="18.75" customHeight="1">
      <c r="A764" s="5"/>
      <c r="B764" s="5"/>
      <c r="C764" s="5"/>
      <c r="D764" s="5"/>
      <c r="E764" s="5"/>
      <c r="F764" s="5"/>
      <c r="G764" s="5"/>
      <c r="H764" s="5"/>
      <c r="I764" s="5"/>
      <c r="J764" s="5"/>
      <c r="K764" s="5"/>
      <c r="L764" s="5"/>
      <c r="M764" s="5"/>
      <c r="N764" s="5"/>
      <c r="O764" s="5"/>
      <c r="P764" s="5"/>
      <c r="Q764" s="5"/>
      <c r="R764" s="5"/>
      <c r="S764" s="5"/>
      <c r="T764" s="5"/>
      <c r="U764" s="5"/>
      <c r="V764" s="5"/>
      <c r="Y764" s="5"/>
      <c r="Z764" s="5"/>
      <c r="AA764" s="5"/>
      <c r="AB764" s="5"/>
      <c r="AC764" s="5"/>
      <c r="AD764" s="5"/>
      <c r="AE764" s="5"/>
      <c r="AF764" s="5"/>
      <c r="AG764" s="5"/>
      <c r="AH764" s="5"/>
      <c r="AI764" s="5"/>
      <c r="AJ764" s="5"/>
      <c r="AK764" s="5"/>
      <c r="AL764" s="5"/>
      <c r="AM764" s="5"/>
      <c r="AN764" s="5"/>
    </row>
    <row r="765" spans="1:40" ht="18.75" customHeight="1">
      <c r="A765" s="5"/>
      <c r="B765" s="5"/>
      <c r="C765" s="5"/>
      <c r="D765" s="5"/>
      <c r="E765" s="5"/>
      <c r="F765" s="5"/>
      <c r="G765" s="5"/>
      <c r="H765" s="5"/>
      <c r="I765" s="5"/>
      <c r="J765" s="5"/>
      <c r="K765" s="5"/>
      <c r="L765" s="5"/>
      <c r="M765" s="5"/>
      <c r="N765" s="5"/>
      <c r="O765" s="5"/>
      <c r="P765" s="5"/>
      <c r="Q765" s="5"/>
      <c r="R765" s="5"/>
      <c r="S765" s="5"/>
      <c r="T765" s="5"/>
      <c r="U765" s="5"/>
      <c r="V765" s="5"/>
      <c r="Y765" s="5"/>
      <c r="Z765" s="5"/>
      <c r="AA765" s="5"/>
      <c r="AB765" s="5"/>
      <c r="AC765" s="5"/>
      <c r="AD765" s="5"/>
      <c r="AE765" s="5"/>
      <c r="AF765" s="5"/>
      <c r="AG765" s="5"/>
      <c r="AH765" s="5"/>
      <c r="AI765" s="5"/>
      <c r="AJ765" s="5"/>
      <c r="AK765" s="5"/>
      <c r="AL765" s="5"/>
      <c r="AM765" s="5"/>
      <c r="AN765" s="5"/>
    </row>
    <row r="766" spans="1:40" ht="18.75" customHeight="1">
      <c r="A766" s="5"/>
      <c r="B766" s="5"/>
      <c r="C766" s="5"/>
      <c r="D766" s="5"/>
      <c r="E766" s="5"/>
      <c r="F766" s="5"/>
      <c r="G766" s="5"/>
      <c r="H766" s="5"/>
      <c r="I766" s="5"/>
      <c r="J766" s="5"/>
      <c r="K766" s="5"/>
      <c r="L766" s="5"/>
      <c r="M766" s="5"/>
      <c r="N766" s="5"/>
      <c r="O766" s="5"/>
      <c r="P766" s="5"/>
      <c r="Q766" s="5"/>
      <c r="R766" s="5"/>
      <c r="S766" s="5"/>
      <c r="T766" s="5"/>
      <c r="U766" s="5"/>
      <c r="V766" s="5"/>
      <c r="Y766" s="5"/>
      <c r="Z766" s="5"/>
      <c r="AA766" s="5"/>
      <c r="AB766" s="5"/>
      <c r="AC766" s="5"/>
      <c r="AD766" s="5"/>
      <c r="AE766" s="5"/>
      <c r="AF766" s="5"/>
      <c r="AG766" s="5"/>
      <c r="AH766" s="5"/>
      <c r="AI766" s="5"/>
      <c r="AJ766" s="5"/>
      <c r="AK766" s="5"/>
      <c r="AL766" s="5"/>
      <c r="AM766" s="5"/>
      <c r="AN766" s="5"/>
    </row>
    <row r="767" spans="1:40" ht="18.75" customHeight="1">
      <c r="A767" s="5"/>
      <c r="B767" s="5"/>
      <c r="C767" s="5"/>
      <c r="D767" s="5"/>
      <c r="E767" s="5"/>
      <c r="F767" s="5"/>
      <c r="G767" s="5"/>
      <c r="H767" s="5"/>
      <c r="I767" s="5"/>
      <c r="J767" s="5"/>
      <c r="K767" s="5"/>
      <c r="L767" s="5"/>
      <c r="M767" s="5"/>
      <c r="N767" s="5"/>
      <c r="O767" s="5"/>
      <c r="P767" s="5"/>
      <c r="Q767" s="5"/>
      <c r="R767" s="5"/>
      <c r="S767" s="5"/>
      <c r="T767" s="5"/>
      <c r="U767" s="5"/>
      <c r="V767" s="5"/>
      <c r="Y767" s="5"/>
      <c r="Z767" s="5"/>
      <c r="AA767" s="5"/>
      <c r="AB767" s="5"/>
      <c r="AC767" s="5"/>
      <c r="AD767" s="5"/>
      <c r="AE767" s="5"/>
      <c r="AF767" s="5"/>
      <c r="AG767" s="5"/>
      <c r="AH767" s="5"/>
      <c r="AI767" s="5"/>
      <c r="AJ767" s="5"/>
      <c r="AK767" s="5"/>
      <c r="AL767" s="5"/>
      <c r="AM767" s="5"/>
      <c r="AN767" s="5"/>
    </row>
    <row r="768" spans="1:40" ht="18.75" customHeight="1">
      <c r="A768" s="5"/>
      <c r="B768" s="5"/>
      <c r="C768" s="5"/>
      <c r="D768" s="5"/>
      <c r="E768" s="5"/>
      <c r="F768" s="5"/>
      <c r="G768" s="5"/>
      <c r="H768" s="5"/>
      <c r="I768" s="5"/>
      <c r="J768" s="5"/>
      <c r="K768" s="5"/>
      <c r="L768" s="5"/>
      <c r="M768" s="5"/>
      <c r="N768" s="5"/>
      <c r="O768" s="5"/>
      <c r="P768" s="5"/>
      <c r="Q768" s="5"/>
      <c r="R768" s="5"/>
      <c r="S768" s="5"/>
      <c r="T768" s="5"/>
      <c r="U768" s="5"/>
      <c r="V768" s="5"/>
      <c r="Y768" s="5"/>
      <c r="Z768" s="5"/>
      <c r="AA768" s="5"/>
      <c r="AB768" s="5"/>
      <c r="AC768" s="5"/>
      <c r="AD768" s="5"/>
      <c r="AE768" s="5"/>
      <c r="AF768" s="5"/>
      <c r="AG768" s="5"/>
      <c r="AH768" s="5"/>
      <c r="AI768" s="5"/>
      <c r="AJ768" s="5"/>
      <c r="AK768" s="5"/>
      <c r="AL768" s="5"/>
      <c r="AM768" s="5"/>
      <c r="AN768" s="5"/>
    </row>
    <row r="769" spans="1:40" ht="18.75" customHeight="1">
      <c r="A769" s="5"/>
      <c r="B769" s="5"/>
      <c r="C769" s="5"/>
      <c r="D769" s="5"/>
      <c r="E769" s="5"/>
      <c r="F769" s="5"/>
      <c r="G769" s="5"/>
      <c r="H769" s="5"/>
      <c r="I769" s="5"/>
      <c r="J769" s="5"/>
      <c r="K769" s="5"/>
      <c r="L769" s="5"/>
      <c r="M769" s="5"/>
      <c r="N769" s="5"/>
      <c r="O769" s="5"/>
      <c r="P769" s="5"/>
      <c r="Q769" s="5"/>
      <c r="R769" s="5"/>
      <c r="S769" s="5"/>
      <c r="T769" s="5"/>
      <c r="U769" s="5"/>
      <c r="V769" s="5"/>
      <c r="Y769" s="5"/>
      <c r="Z769" s="5"/>
      <c r="AA769" s="5"/>
      <c r="AB769" s="5"/>
      <c r="AC769" s="5"/>
      <c r="AD769" s="5"/>
      <c r="AE769" s="5"/>
      <c r="AF769" s="5"/>
      <c r="AG769" s="5"/>
      <c r="AH769" s="5"/>
      <c r="AI769" s="5"/>
      <c r="AJ769" s="5"/>
      <c r="AK769" s="5"/>
      <c r="AL769" s="5"/>
      <c r="AM769" s="5"/>
      <c r="AN769" s="5"/>
    </row>
    <row r="770" spans="1:40" ht="18.75" customHeight="1">
      <c r="A770" s="5"/>
      <c r="B770" s="5"/>
      <c r="C770" s="5"/>
      <c r="D770" s="5"/>
      <c r="E770" s="5"/>
      <c r="F770" s="5"/>
      <c r="G770" s="5"/>
      <c r="H770" s="5"/>
      <c r="I770" s="5"/>
      <c r="J770" s="5"/>
      <c r="K770" s="5"/>
      <c r="L770" s="5"/>
      <c r="M770" s="5"/>
      <c r="N770" s="5"/>
      <c r="O770" s="5"/>
      <c r="P770" s="5"/>
      <c r="Q770" s="5"/>
      <c r="R770" s="5"/>
      <c r="S770" s="5"/>
      <c r="T770" s="5"/>
      <c r="U770" s="5"/>
      <c r="V770" s="5"/>
      <c r="Y770" s="5"/>
      <c r="Z770" s="5"/>
      <c r="AA770" s="5"/>
      <c r="AB770" s="5"/>
      <c r="AC770" s="5"/>
      <c r="AD770" s="5"/>
      <c r="AE770" s="5"/>
      <c r="AF770" s="5"/>
      <c r="AG770" s="5"/>
      <c r="AH770" s="5"/>
      <c r="AI770" s="5"/>
      <c r="AJ770" s="5"/>
      <c r="AK770" s="5"/>
      <c r="AL770" s="5"/>
      <c r="AM770" s="5"/>
      <c r="AN770" s="5"/>
    </row>
    <row r="771" spans="1:40" ht="18.75" customHeight="1">
      <c r="A771" s="5"/>
      <c r="B771" s="5"/>
      <c r="C771" s="5"/>
      <c r="D771" s="5"/>
      <c r="E771" s="5"/>
      <c r="F771" s="5"/>
      <c r="G771" s="5"/>
      <c r="H771" s="5"/>
      <c r="I771" s="5"/>
      <c r="J771" s="5"/>
      <c r="K771" s="5"/>
      <c r="L771" s="5"/>
      <c r="M771" s="5"/>
      <c r="N771" s="5"/>
      <c r="O771" s="5"/>
      <c r="P771" s="5"/>
      <c r="Q771" s="5"/>
      <c r="R771" s="5"/>
      <c r="S771" s="5"/>
      <c r="T771" s="5"/>
      <c r="U771" s="5"/>
      <c r="V771" s="5"/>
      <c r="Y771" s="5"/>
      <c r="Z771" s="5"/>
      <c r="AA771" s="5"/>
      <c r="AB771" s="5"/>
      <c r="AC771" s="5"/>
      <c r="AD771" s="5"/>
      <c r="AE771" s="5"/>
      <c r="AF771" s="5"/>
      <c r="AG771" s="5"/>
      <c r="AH771" s="5"/>
      <c r="AI771" s="5"/>
      <c r="AJ771" s="5"/>
      <c r="AK771" s="5"/>
      <c r="AL771" s="5"/>
      <c r="AM771" s="5"/>
      <c r="AN771" s="5"/>
    </row>
    <row r="772" spans="1:40" ht="18.75" customHeight="1">
      <c r="A772" s="5"/>
      <c r="B772" s="5"/>
      <c r="C772" s="5"/>
      <c r="D772" s="5"/>
      <c r="E772" s="5"/>
      <c r="F772" s="5"/>
      <c r="G772" s="5"/>
      <c r="H772" s="5"/>
      <c r="I772" s="5"/>
      <c r="J772" s="5"/>
      <c r="K772" s="5"/>
      <c r="L772" s="5"/>
      <c r="M772" s="5"/>
      <c r="N772" s="5"/>
      <c r="O772" s="5"/>
      <c r="P772" s="5"/>
      <c r="Q772" s="5"/>
      <c r="R772" s="5"/>
      <c r="S772" s="5"/>
      <c r="T772" s="5"/>
      <c r="U772" s="5"/>
      <c r="V772" s="5"/>
      <c r="Y772" s="5"/>
      <c r="Z772" s="5"/>
      <c r="AA772" s="5"/>
      <c r="AB772" s="5"/>
      <c r="AC772" s="5"/>
      <c r="AD772" s="5"/>
      <c r="AE772" s="5"/>
      <c r="AF772" s="5"/>
      <c r="AG772" s="5"/>
      <c r="AH772" s="5"/>
      <c r="AI772" s="5"/>
      <c r="AJ772" s="5"/>
      <c r="AK772" s="5"/>
      <c r="AL772" s="5"/>
      <c r="AM772" s="5"/>
      <c r="AN772" s="5"/>
    </row>
    <row r="773" spans="1:40" ht="18.75" customHeight="1">
      <c r="A773" s="5"/>
      <c r="B773" s="5"/>
      <c r="C773" s="5"/>
      <c r="D773" s="5"/>
      <c r="E773" s="5"/>
      <c r="F773" s="5"/>
      <c r="G773" s="5"/>
      <c r="H773" s="5"/>
      <c r="I773" s="5"/>
      <c r="J773" s="5"/>
      <c r="K773" s="5"/>
      <c r="L773" s="5"/>
      <c r="M773" s="5"/>
      <c r="N773" s="5"/>
      <c r="O773" s="5"/>
      <c r="P773" s="5"/>
      <c r="Q773" s="5"/>
      <c r="R773" s="5"/>
      <c r="S773" s="5"/>
      <c r="T773" s="5"/>
      <c r="U773" s="5"/>
      <c r="V773" s="5"/>
      <c r="Y773" s="5"/>
      <c r="Z773" s="5"/>
      <c r="AA773" s="5"/>
      <c r="AB773" s="5"/>
      <c r="AC773" s="5"/>
      <c r="AD773" s="5"/>
      <c r="AE773" s="5"/>
      <c r="AF773" s="5"/>
      <c r="AG773" s="5"/>
      <c r="AH773" s="5"/>
      <c r="AI773" s="5"/>
      <c r="AJ773" s="5"/>
      <c r="AK773" s="5"/>
      <c r="AL773" s="5"/>
      <c r="AM773" s="5"/>
      <c r="AN773" s="5"/>
    </row>
    <row r="774" spans="1:40" ht="18.75" customHeight="1">
      <c r="A774" s="5"/>
      <c r="B774" s="5"/>
      <c r="C774" s="5"/>
      <c r="D774" s="5"/>
      <c r="E774" s="5"/>
      <c r="F774" s="5"/>
      <c r="G774" s="5"/>
      <c r="H774" s="5"/>
      <c r="I774" s="5"/>
      <c r="J774" s="5"/>
      <c r="K774" s="5"/>
      <c r="L774" s="5"/>
      <c r="M774" s="5"/>
      <c r="N774" s="5"/>
      <c r="O774" s="5"/>
      <c r="P774" s="5"/>
      <c r="Q774" s="5"/>
      <c r="R774" s="5"/>
      <c r="S774" s="5"/>
      <c r="T774" s="5"/>
      <c r="U774" s="5"/>
      <c r="V774" s="5"/>
      <c r="Y774" s="5"/>
      <c r="Z774" s="5"/>
      <c r="AA774" s="5"/>
      <c r="AB774" s="5"/>
      <c r="AC774" s="5"/>
      <c r="AD774" s="5"/>
      <c r="AE774" s="5"/>
      <c r="AF774" s="5"/>
      <c r="AG774" s="5"/>
      <c r="AH774" s="5"/>
      <c r="AI774" s="5"/>
      <c r="AJ774" s="5"/>
      <c r="AK774" s="5"/>
      <c r="AL774" s="5"/>
      <c r="AM774" s="5"/>
      <c r="AN774" s="5"/>
    </row>
    <row r="775" spans="1:40" ht="18.75" customHeight="1">
      <c r="A775" s="5"/>
      <c r="B775" s="5"/>
      <c r="C775" s="5"/>
      <c r="D775" s="5"/>
      <c r="E775" s="5"/>
      <c r="F775" s="5"/>
      <c r="G775" s="5"/>
      <c r="H775" s="5"/>
      <c r="I775" s="5"/>
      <c r="J775" s="5"/>
      <c r="K775" s="5"/>
      <c r="L775" s="5"/>
      <c r="M775" s="5"/>
      <c r="N775" s="5"/>
      <c r="O775" s="5"/>
      <c r="P775" s="5"/>
      <c r="Q775" s="5"/>
      <c r="R775" s="5"/>
      <c r="S775" s="5"/>
      <c r="T775" s="5"/>
      <c r="U775" s="5"/>
      <c r="V775" s="5"/>
      <c r="Y775" s="5"/>
      <c r="Z775" s="5"/>
      <c r="AA775" s="5"/>
      <c r="AB775" s="5"/>
      <c r="AC775" s="5"/>
      <c r="AD775" s="5"/>
      <c r="AE775" s="5"/>
      <c r="AF775" s="5"/>
      <c r="AG775" s="5"/>
      <c r="AH775" s="5"/>
      <c r="AI775" s="5"/>
      <c r="AJ775" s="5"/>
      <c r="AK775" s="5"/>
      <c r="AL775" s="5"/>
      <c r="AM775" s="5"/>
      <c r="AN775" s="5"/>
    </row>
    <row r="776" spans="1:40" ht="18.75" customHeight="1">
      <c r="A776" s="5"/>
      <c r="B776" s="5"/>
      <c r="C776" s="5"/>
      <c r="D776" s="5"/>
      <c r="E776" s="5"/>
      <c r="F776" s="5"/>
      <c r="G776" s="5"/>
      <c r="H776" s="5"/>
      <c r="I776" s="5"/>
      <c r="J776" s="5"/>
      <c r="K776" s="5"/>
      <c r="L776" s="5"/>
      <c r="M776" s="5"/>
      <c r="N776" s="5"/>
      <c r="O776" s="5"/>
      <c r="P776" s="5"/>
      <c r="Q776" s="5"/>
      <c r="R776" s="5"/>
      <c r="S776" s="5"/>
      <c r="T776" s="5"/>
      <c r="U776" s="5"/>
      <c r="V776" s="5"/>
      <c r="Y776" s="5"/>
      <c r="Z776" s="5"/>
      <c r="AA776" s="5"/>
      <c r="AB776" s="5"/>
      <c r="AC776" s="5"/>
      <c r="AD776" s="5"/>
      <c r="AE776" s="5"/>
      <c r="AF776" s="5"/>
      <c r="AG776" s="5"/>
      <c r="AH776" s="5"/>
      <c r="AI776" s="5"/>
      <c r="AJ776" s="5"/>
      <c r="AK776" s="5"/>
      <c r="AL776" s="5"/>
      <c r="AM776" s="5"/>
      <c r="AN776" s="5"/>
    </row>
    <row r="777" spans="1:40" ht="18.75" customHeight="1">
      <c r="A777" s="5"/>
      <c r="B777" s="5"/>
      <c r="C777" s="5"/>
      <c r="D777" s="5"/>
      <c r="E777" s="5"/>
      <c r="F777" s="5"/>
      <c r="G777" s="5"/>
      <c r="H777" s="5"/>
      <c r="I777" s="5"/>
      <c r="J777" s="5"/>
      <c r="K777" s="5"/>
      <c r="L777" s="5"/>
      <c r="M777" s="5"/>
      <c r="N777" s="5"/>
      <c r="O777" s="5"/>
      <c r="P777" s="5"/>
      <c r="Q777" s="5"/>
      <c r="R777" s="5"/>
      <c r="S777" s="5"/>
      <c r="T777" s="5"/>
      <c r="U777" s="5"/>
      <c r="V777" s="5"/>
      <c r="Y777" s="5"/>
      <c r="Z777" s="5"/>
      <c r="AA777" s="5"/>
      <c r="AB777" s="5"/>
      <c r="AC777" s="5"/>
      <c r="AD777" s="5"/>
      <c r="AE777" s="5"/>
      <c r="AF777" s="5"/>
      <c r="AG777" s="5"/>
      <c r="AH777" s="5"/>
      <c r="AI777" s="5"/>
      <c r="AJ777" s="5"/>
      <c r="AK777" s="5"/>
      <c r="AL777" s="5"/>
      <c r="AM777" s="5"/>
      <c r="AN777" s="5"/>
    </row>
    <row r="778" spans="1:40" ht="18.75" customHeight="1">
      <c r="A778" s="5"/>
      <c r="B778" s="5"/>
      <c r="C778" s="5"/>
      <c r="D778" s="5"/>
      <c r="E778" s="5"/>
      <c r="F778" s="5"/>
      <c r="G778" s="5"/>
      <c r="H778" s="5"/>
      <c r="I778" s="5"/>
      <c r="J778" s="5"/>
      <c r="K778" s="5"/>
      <c r="L778" s="5"/>
      <c r="M778" s="5"/>
      <c r="N778" s="5"/>
      <c r="O778" s="5"/>
      <c r="P778" s="5"/>
      <c r="Q778" s="5"/>
      <c r="R778" s="5"/>
      <c r="S778" s="5"/>
      <c r="T778" s="5"/>
      <c r="U778" s="5"/>
      <c r="V778" s="5"/>
      <c r="Y778" s="5"/>
      <c r="Z778" s="5"/>
      <c r="AA778" s="5"/>
      <c r="AB778" s="5"/>
      <c r="AC778" s="5"/>
      <c r="AD778" s="5"/>
      <c r="AE778" s="5"/>
      <c r="AF778" s="5"/>
      <c r="AG778" s="5"/>
      <c r="AH778" s="5"/>
      <c r="AI778" s="5"/>
      <c r="AJ778" s="5"/>
      <c r="AK778" s="5"/>
      <c r="AL778" s="5"/>
      <c r="AM778" s="5"/>
      <c r="AN778" s="5"/>
    </row>
    <row r="779" spans="1:40" ht="18.75" customHeight="1">
      <c r="A779" s="5"/>
      <c r="B779" s="5"/>
      <c r="C779" s="5"/>
      <c r="D779" s="5"/>
      <c r="E779" s="5"/>
      <c r="F779" s="5"/>
      <c r="G779" s="5"/>
      <c r="H779" s="5"/>
      <c r="I779" s="5"/>
      <c r="J779" s="5"/>
      <c r="K779" s="5"/>
      <c r="L779" s="5"/>
      <c r="M779" s="5"/>
      <c r="N779" s="5"/>
      <c r="O779" s="5"/>
      <c r="P779" s="5"/>
      <c r="Q779" s="5"/>
      <c r="R779" s="5"/>
      <c r="S779" s="5"/>
      <c r="T779" s="5"/>
      <c r="U779" s="5"/>
      <c r="V779" s="5"/>
      <c r="Y779" s="5"/>
      <c r="Z779" s="5"/>
      <c r="AA779" s="5"/>
      <c r="AB779" s="5"/>
      <c r="AC779" s="5"/>
      <c r="AD779" s="5"/>
      <c r="AE779" s="5"/>
      <c r="AF779" s="5"/>
      <c r="AG779" s="5"/>
      <c r="AH779" s="5"/>
      <c r="AI779" s="5"/>
      <c r="AJ779" s="5"/>
      <c r="AK779" s="5"/>
      <c r="AL779" s="5"/>
      <c r="AM779" s="5"/>
      <c r="AN779" s="5"/>
    </row>
    <row r="780" spans="1:40" ht="18.75" customHeight="1">
      <c r="A780" s="5"/>
      <c r="B780" s="5"/>
      <c r="C780" s="5"/>
      <c r="D780" s="5"/>
      <c r="E780" s="5"/>
      <c r="F780" s="5"/>
      <c r="G780" s="5"/>
      <c r="H780" s="5"/>
      <c r="I780" s="5"/>
      <c r="J780" s="5"/>
      <c r="K780" s="5"/>
      <c r="L780" s="5"/>
      <c r="M780" s="5"/>
      <c r="N780" s="5"/>
      <c r="O780" s="5"/>
      <c r="P780" s="5"/>
      <c r="Q780" s="5"/>
      <c r="R780" s="5"/>
      <c r="S780" s="5"/>
      <c r="T780" s="5"/>
      <c r="U780" s="5"/>
      <c r="V780" s="5"/>
      <c r="Y780" s="5"/>
      <c r="Z780" s="5"/>
      <c r="AA780" s="5"/>
      <c r="AB780" s="5"/>
      <c r="AC780" s="5"/>
      <c r="AD780" s="5"/>
      <c r="AE780" s="5"/>
      <c r="AF780" s="5"/>
      <c r="AG780" s="5"/>
      <c r="AH780" s="5"/>
      <c r="AI780" s="5"/>
      <c r="AJ780" s="5"/>
      <c r="AK780" s="5"/>
      <c r="AL780" s="5"/>
      <c r="AM780" s="5"/>
      <c r="AN780" s="5"/>
    </row>
    <row r="781" spans="1:40" ht="18.75" customHeight="1">
      <c r="A781" s="5"/>
      <c r="B781" s="5"/>
      <c r="C781" s="5"/>
      <c r="D781" s="5"/>
      <c r="E781" s="5"/>
      <c r="F781" s="5"/>
      <c r="G781" s="5"/>
      <c r="H781" s="5"/>
      <c r="I781" s="5"/>
      <c r="J781" s="5"/>
      <c r="K781" s="5"/>
      <c r="L781" s="5"/>
      <c r="M781" s="5"/>
      <c r="N781" s="5"/>
      <c r="O781" s="5"/>
      <c r="P781" s="5"/>
      <c r="Q781" s="5"/>
      <c r="R781" s="5"/>
      <c r="S781" s="5"/>
      <c r="T781" s="5"/>
      <c r="U781" s="5"/>
      <c r="V781" s="5"/>
      <c r="Y781" s="5"/>
      <c r="Z781" s="5"/>
      <c r="AA781" s="5"/>
      <c r="AB781" s="5"/>
      <c r="AC781" s="5"/>
      <c r="AD781" s="5"/>
      <c r="AE781" s="5"/>
      <c r="AF781" s="5"/>
      <c r="AG781" s="5"/>
      <c r="AH781" s="5"/>
      <c r="AI781" s="5"/>
      <c r="AJ781" s="5"/>
      <c r="AK781" s="5"/>
      <c r="AL781" s="5"/>
      <c r="AM781" s="5"/>
      <c r="AN781" s="5"/>
    </row>
    <row r="782" spans="1:40" ht="18.75" customHeight="1">
      <c r="A782" s="5"/>
      <c r="B782" s="5"/>
      <c r="C782" s="5"/>
      <c r="D782" s="5"/>
      <c r="E782" s="5"/>
      <c r="F782" s="5"/>
      <c r="G782" s="5"/>
      <c r="H782" s="5"/>
      <c r="I782" s="5"/>
      <c r="J782" s="5"/>
      <c r="K782" s="5"/>
      <c r="L782" s="5"/>
      <c r="M782" s="5"/>
      <c r="N782" s="5"/>
      <c r="O782" s="5"/>
      <c r="P782" s="5"/>
      <c r="Q782" s="5"/>
      <c r="R782" s="5"/>
      <c r="S782" s="5"/>
      <c r="T782" s="5"/>
      <c r="U782" s="5"/>
      <c r="V782" s="5"/>
      <c r="Y782" s="5"/>
      <c r="Z782" s="5"/>
      <c r="AA782" s="5"/>
      <c r="AB782" s="5"/>
      <c r="AC782" s="5"/>
      <c r="AD782" s="5"/>
      <c r="AE782" s="5"/>
      <c r="AF782" s="5"/>
      <c r="AG782" s="5"/>
      <c r="AH782" s="5"/>
      <c r="AI782" s="5"/>
      <c r="AJ782" s="5"/>
      <c r="AK782" s="5"/>
      <c r="AL782" s="5"/>
      <c r="AM782" s="5"/>
      <c r="AN782" s="5"/>
    </row>
    <row r="783" spans="1:40" ht="18.75" customHeight="1">
      <c r="A783" s="5"/>
      <c r="B783" s="5"/>
      <c r="C783" s="5"/>
      <c r="D783" s="5"/>
      <c r="E783" s="5"/>
      <c r="F783" s="5"/>
      <c r="G783" s="5"/>
      <c r="H783" s="5"/>
      <c r="I783" s="5"/>
      <c r="J783" s="5"/>
      <c r="K783" s="5"/>
      <c r="L783" s="5"/>
      <c r="M783" s="5"/>
      <c r="N783" s="5"/>
      <c r="O783" s="5"/>
      <c r="P783" s="5"/>
      <c r="Q783" s="5"/>
      <c r="R783" s="5"/>
      <c r="S783" s="5"/>
      <c r="T783" s="5"/>
      <c r="U783" s="5"/>
      <c r="V783" s="5"/>
      <c r="Y783" s="5"/>
      <c r="Z783" s="5"/>
      <c r="AA783" s="5"/>
      <c r="AB783" s="5"/>
      <c r="AC783" s="5"/>
      <c r="AD783" s="5"/>
      <c r="AE783" s="5"/>
      <c r="AF783" s="5"/>
      <c r="AG783" s="5"/>
      <c r="AH783" s="5"/>
      <c r="AI783" s="5"/>
      <c r="AJ783" s="5"/>
      <c r="AK783" s="5"/>
      <c r="AL783" s="5"/>
      <c r="AM783" s="5"/>
      <c r="AN783" s="5"/>
    </row>
    <row r="784" spans="1:40" ht="18.75" customHeight="1">
      <c r="A784" s="5"/>
      <c r="B784" s="5"/>
      <c r="C784" s="5"/>
      <c r="D784" s="5"/>
      <c r="E784" s="5"/>
      <c r="F784" s="5"/>
      <c r="G784" s="5"/>
      <c r="H784" s="5"/>
      <c r="I784" s="5"/>
      <c r="J784" s="5"/>
      <c r="K784" s="5"/>
      <c r="L784" s="5"/>
      <c r="M784" s="5"/>
      <c r="N784" s="5"/>
      <c r="O784" s="5"/>
      <c r="P784" s="5"/>
      <c r="Q784" s="5"/>
      <c r="R784" s="5"/>
      <c r="S784" s="5"/>
      <c r="T784" s="5"/>
      <c r="U784" s="5"/>
      <c r="V784" s="5"/>
      <c r="Y784" s="5"/>
      <c r="Z784" s="5"/>
      <c r="AA784" s="5"/>
      <c r="AB784" s="5"/>
      <c r="AC784" s="5"/>
      <c r="AD784" s="5"/>
      <c r="AE784" s="5"/>
      <c r="AF784" s="5"/>
      <c r="AG784" s="5"/>
      <c r="AH784" s="5"/>
      <c r="AI784" s="5"/>
      <c r="AJ784" s="5"/>
      <c r="AK784" s="5"/>
      <c r="AL784" s="5"/>
      <c r="AM784" s="5"/>
      <c r="AN784" s="5"/>
    </row>
    <row r="785" spans="1:40" ht="18.75" customHeight="1">
      <c r="A785" s="5"/>
      <c r="B785" s="5"/>
      <c r="C785" s="5"/>
      <c r="D785" s="5"/>
      <c r="E785" s="5"/>
      <c r="F785" s="5"/>
      <c r="G785" s="5"/>
      <c r="H785" s="5"/>
      <c r="I785" s="5"/>
      <c r="J785" s="5"/>
      <c r="K785" s="5"/>
      <c r="L785" s="5"/>
      <c r="M785" s="5"/>
      <c r="N785" s="5"/>
      <c r="O785" s="5"/>
      <c r="P785" s="5"/>
      <c r="Q785" s="5"/>
      <c r="R785" s="5"/>
      <c r="S785" s="5"/>
      <c r="T785" s="5"/>
      <c r="U785" s="5"/>
      <c r="V785" s="5"/>
      <c r="Y785" s="5"/>
      <c r="Z785" s="5"/>
      <c r="AA785" s="5"/>
      <c r="AB785" s="5"/>
      <c r="AC785" s="5"/>
      <c r="AD785" s="5"/>
      <c r="AE785" s="5"/>
      <c r="AF785" s="5"/>
      <c r="AG785" s="5"/>
      <c r="AH785" s="5"/>
      <c r="AI785" s="5"/>
      <c r="AJ785" s="5"/>
      <c r="AK785" s="5"/>
      <c r="AL785" s="5"/>
      <c r="AM785" s="5"/>
      <c r="AN785" s="5"/>
    </row>
    <row r="786" spans="1:40" ht="18.75" customHeight="1">
      <c r="A786" s="5"/>
      <c r="B786" s="5"/>
      <c r="C786" s="5"/>
      <c r="D786" s="5"/>
      <c r="E786" s="5"/>
      <c r="F786" s="5"/>
      <c r="G786" s="5"/>
      <c r="H786" s="5"/>
      <c r="I786" s="5"/>
      <c r="J786" s="5"/>
      <c r="K786" s="5"/>
      <c r="L786" s="5"/>
      <c r="M786" s="5"/>
      <c r="N786" s="5"/>
      <c r="O786" s="5"/>
      <c r="P786" s="5"/>
      <c r="Q786" s="5"/>
      <c r="R786" s="5"/>
      <c r="S786" s="5"/>
      <c r="T786" s="5"/>
      <c r="U786" s="5"/>
      <c r="V786" s="5"/>
      <c r="Y786" s="5"/>
      <c r="Z786" s="5"/>
      <c r="AA786" s="5"/>
      <c r="AB786" s="5"/>
      <c r="AC786" s="5"/>
      <c r="AD786" s="5"/>
      <c r="AE786" s="5"/>
      <c r="AF786" s="5"/>
      <c r="AG786" s="5"/>
      <c r="AH786" s="5"/>
      <c r="AI786" s="5"/>
      <c r="AJ786" s="5"/>
      <c r="AK786" s="5"/>
      <c r="AL786" s="5"/>
      <c r="AM786" s="5"/>
      <c r="AN786" s="5"/>
    </row>
    <row r="787" spans="1:40" ht="18.75" customHeight="1">
      <c r="A787" s="5"/>
      <c r="B787" s="5"/>
      <c r="C787" s="5"/>
      <c r="D787" s="5"/>
      <c r="E787" s="5"/>
      <c r="F787" s="5"/>
      <c r="G787" s="5"/>
      <c r="H787" s="5"/>
      <c r="I787" s="5"/>
      <c r="J787" s="5"/>
      <c r="K787" s="5"/>
      <c r="L787" s="5"/>
      <c r="M787" s="5"/>
      <c r="N787" s="5"/>
      <c r="O787" s="5"/>
      <c r="P787" s="5"/>
      <c r="Q787" s="5"/>
      <c r="R787" s="5"/>
      <c r="S787" s="5"/>
      <c r="T787" s="5"/>
      <c r="U787" s="5"/>
      <c r="V787" s="5"/>
      <c r="Y787" s="5"/>
      <c r="Z787" s="5"/>
      <c r="AA787" s="5"/>
      <c r="AB787" s="5"/>
      <c r="AC787" s="5"/>
      <c r="AD787" s="5"/>
      <c r="AE787" s="5"/>
      <c r="AF787" s="5"/>
      <c r="AG787" s="5"/>
      <c r="AH787" s="5"/>
      <c r="AI787" s="5"/>
      <c r="AJ787" s="5"/>
      <c r="AK787" s="5"/>
      <c r="AL787" s="5"/>
      <c r="AM787" s="5"/>
      <c r="AN787" s="5"/>
    </row>
    <row r="788" spans="1:40" ht="18.75" customHeight="1">
      <c r="A788" s="5"/>
      <c r="B788" s="5"/>
      <c r="C788" s="5"/>
      <c r="D788" s="5"/>
      <c r="E788" s="5"/>
      <c r="F788" s="5"/>
      <c r="G788" s="5"/>
      <c r="H788" s="5"/>
      <c r="I788" s="5"/>
      <c r="J788" s="5"/>
      <c r="K788" s="5"/>
      <c r="L788" s="5"/>
      <c r="M788" s="5"/>
      <c r="N788" s="5"/>
      <c r="O788" s="5"/>
      <c r="P788" s="5"/>
      <c r="Q788" s="5"/>
      <c r="R788" s="5"/>
      <c r="S788" s="5"/>
      <c r="T788" s="5"/>
      <c r="U788" s="5"/>
      <c r="V788" s="5"/>
      <c r="Y788" s="5"/>
      <c r="Z788" s="5"/>
      <c r="AA788" s="5"/>
      <c r="AB788" s="5"/>
      <c r="AC788" s="5"/>
      <c r="AD788" s="5"/>
      <c r="AE788" s="5"/>
      <c r="AF788" s="5"/>
      <c r="AG788" s="5"/>
      <c r="AH788" s="5"/>
      <c r="AI788" s="5"/>
      <c r="AJ788" s="5"/>
      <c r="AK788" s="5"/>
      <c r="AL788" s="5"/>
      <c r="AM788" s="5"/>
      <c r="AN788" s="5"/>
    </row>
    <row r="789" spans="1:40" ht="18.75" customHeight="1">
      <c r="A789" s="5"/>
      <c r="B789" s="5"/>
      <c r="C789" s="5"/>
      <c r="D789" s="5"/>
      <c r="E789" s="5"/>
      <c r="F789" s="5"/>
      <c r="G789" s="5"/>
      <c r="H789" s="5"/>
      <c r="I789" s="5"/>
      <c r="J789" s="5"/>
      <c r="K789" s="5"/>
      <c r="L789" s="5"/>
      <c r="M789" s="5"/>
      <c r="N789" s="5"/>
      <c r="O789" s="5"/>
      <c r="P789" s="5"/>
      <c r="Q789" s="5"/>
      <c r="R789" s="5"/>
      <c r="S789" s="5"/>
      <c r="T789" s="5"/>
      <c r="U789" s="5"/>
      <c r="V789" s="5"/>
      <c r="Y789" s="5"/>
      <c r="Z789" s="5"/>
      <c r="AA789" s="5"/>
      <c r="AB789" s="5"/>
      <c r="AC789" s="5"/>
      <c r="AD789" s="5"/>
      <c r="AE789" s="5"/>
      <c r="AF789" s="5"/>
      <c r="AG789" s="5"/>
      <c r="AH789" s="5"/>
      <c r="AI789" s="5"/>
      <c r="AJ789" s="5"/>
      <c r="AK789" s="5"/>
      <c r="AL789" s="5"/>
      <c r="AM789" s="5"/>
      <c r="AN789" s="5"/>
    </row>
    <row r="790" spans="1:40" ht="18.75" customHeight="1">
      <c r="A790" s="5"/>
      <c r="B790" s="5"/>
      <c r="C790" s="5"/>
      <c r="D790" s="5"/>
      <c r="E790" s="5"/>
      <c r="F790" s="5"/>
      <c r="G790" s="5"/>
      <c r="H790" s="5"/>
      <c r="I790" s="5"/>
      <c r="J790" s="5"/>
      <c r="K790" s="5"/>
      <c r="L790" s="5"/>
      <c r="M790" s="5"/>
      <c r="N790" s="5"/>
      <c r="O790" s="5"/>
      <c r="P790" s="5"/>
      <c r="Q790" s="5"/>
      <c r="R790" s="5"/>
      <c r="S790" s="5"/>
      <c r="T790" s="5"/>
      <c r="U790" s="5"/>
      <c r="V790" s="5"/>
      <c r="Y790" s="5"/>
      <c r="Z790" s="5"/>
      <c r="AA790" s="5"/>
      <c r="AB790" s="5"/>
      <c r="AC790" s="5"/>
      <c r="AD790" s="5"/>
      <c r="AE790" s="5"/>
      <c r="AF790" s="5"/>
      <c r="AG790" s="5"/>
      <c r="AH790" s="5"/>
      <c r="AI790" s="5"/>
      <c r="AJ790" s="5"/>
      <c r="AK790" s="5"/>
      <c r="AL790" s="5"/>
      <c r="AM790" s="5"/>
      <c r="AN790" s="5"/>
    </row>
    <row r="791" spans="1:40" ht="18.75" customHeight="1">
      <c r="A791" s="5"/>
      <c r="B791" s="5"/>
      <c r="C791" s="5"/>
      <c r="D791" s="5"/>
      <c r="E791" s="5"/>
      <c r="F791" s="5"/>
      <c r="G791" s="5"/>
      <c r="H791" s="5"/>
      <c r="I791" s="5"/>
      <c r="J791" s="5"/>
      <c r="K791" s="5"/>
      <c r="L791" s="5"/>
      <c r="M791" s="5"/>
      <c r="N791" s="5"/>
      <c r="O791" s="5"/>
      <c r="P791" s="5"/>
      <c r="Q791" s="5"/>
      <c r="R791" s="5"/>
      <c r="S791" s="5"/>
      <c r="T791" s="5"/>
      <c r="U791" s="5"/>
      <c r="V791" s="5"/>
      <c r="Y791" s="5"/>
      <c r="Z791" s="5"/>
      <c r="AA791" s="5"/>
      <c r="AB791" s="5"/>
      <c r="AC791" s="5"/>
      <c r="AD791" s="5"/>
      <c r="AE791" s="5"/>
      <c r="AF791" s="5"/>
      <c r="AG791" s="5"/>
      <c r="AH791" s="5"/>
      <c r="AI791" s="5"/>
      <c r="AJ791" s="5"/>
      <c r="AK791" s="5"/>
      <c r="AL791" s="5"/>
      <c r="AM791" s="5"/>
      <c r="AN791" s="5"/>
    </row>
    <row r="792" spans="1:40" ht="18.75" customHeight="1">
      <c r="A792" s="5"/>
      <c r="B792" s="5"/>
      <c r="C792" s="5"/>
      <c r="D792" s="5"/>
      <c r="E792" s="5"/>
      <c r="F792" s="5"/>
      <c r="G792" s="5"/>
      <c r="H792" s="5"/>
      <c r="I792" s="5"/>
      <c r="J792" s="5"/>
      <c r="K792" s="5"/>
      <c r="L792" s="5"/>
      <c r="M792" s="5"/>
      <c r="N792" s="5"/>
      <c r="O792" s="5"/>
      <c r="P792" s="5"/>
      <c r="Q792" s="5"/>
      <c r="R792" s="5"/>
      <c r="S792" s="5"/>
      <c r="T792" s="5"/>
      <c r="U792" s="5"/>
      <c r="V792" s="5"/>
      <c r="Y792" s="5"/>
      <c r="Z792" s="5"/>
      <c r="AA792" s="5"/>
      <c r="AB792" s="5"/>
      <c r="AC792" s="5"/>
      <c r="AD792" s="5"/>
      <c r="AE792" s="5"/>
      <c r="AF792" s="5"/>
      <c r="AG792" s="5"/>
      <c r="AH792" s="5"/>
      <c r="AI792" s="5"/>
      <c r="AJ792" s="5"/>
      <c r="AK792" s="5"/>
      <c r="AL792" s="5"/>
      <c r="AM792" s="5"/>
      <c r="AN792" s="5"/>
    </row>
    <row r="793" spans="1:40" ht="18.75" customHeight="1">
      <c r="A793" s="5"/>
      <c r="B793" s="5"/>
      <c r="C793" s="5"/>
      <c r="D793" s="5"/>
      <c r="E793" s="5"/>
      <c r="F793" s="5"/>
      <c r="G793" s="5"/>
      <c r="H793" s="5"/>
      <c r="I793" s="5"/>
      <c r="J793" s="5"/>
      <c r="K793" s="5"/>
      <c r="L793" s="5"/>
      <c r="M793" s="5"/>
      <c r="N793" s="5"/>
      <c r="O793" s="5"/>
      <c r="P793" s="5"/>
      <c r="Q793" s="5"/>
      <c r="R793" s="5"/>
      <c r="S793" s="5"/>
      <c r="T793" s="5"/>
      <c r="U793" s="5"/>
      <c r="V793" s="5"/>
      <c r="Y793" s="5"/>
      <c r="Z793" s="5"/>
      <c r="AA793" s="5"/>
      <c r="AB793" s="5"/>
      <c r="AC793" s="5"/>
      <c r="AD793" s="5"/>
      <c r="AE793" s="5"/>
      <c r="AF793" s="5"/>
      <c r="AG793" s="5"/>
      <c r="AH793" s="5"/>
      <c r="AI793" s="5"/>
      <c r="AJ793" s="5"/>
      <c r="AK793" s="5"/>
      <c r="AL793" s="5"/>
      <c r="AM793" s="5"/>
      <c r="AN793" s="5"/>
    </row>
    <row r="794" spans="1:40" ht="18.75" customHeight="1">
      <c r="A794" s="5"/>
      <c r="B794" s="5"/>
      <c r="C794" s="5"/>
      <c r="D794" s="5"/>
      <c r="E794" s="5"/>
      <c r="F794" s="5"/>
      <c r="G794" s="5"/>
      <c r="H794" s="5"/>
      <c r="I794" s="5"/>
      <c r="J794" s="5"/>
      <c r="K794" s="5"/>
      <c r="L794" s="5"/>
      <c r="M794" s="5"/>
      <c r="N794" s="5"/>
      <c r="O794" s="5"/>
      <c r="P794" s="5"/>
      <c r="Q794" s="5"/>
      <c r="R794" s="5"/>
      <c r="S794" s="5"/>
      <c r="T794" s="5"/>
      <c r="U794" s="5"/>
      <c r="V794" s="5"/>
      <c r="Y794" s="5"/>
      <c r="Z794" s="5"/>
      <c r="AA794" s="5"/>
      <c r="AB794" s="5"/>
      <c r="AC794" s="5"/>
      <c r="AD794" s="5"/>
      <c r="AE794" s="5"/>
      <c r="AF794" s="5"/>
      <c r="AG794" s="5"/>
      <c r="AH794" s="5"/>
      <c r="AI794" s="5"/>
      <c r="AJ794" s="5"/>
      <c r="AK794" s="5"/>
      <c r="AL794" s="5"/>
      <c r="AM794" s="5"/>
      <c r="AN794" s="5"/>
    </row>
    <row r="795" spans="1:40" ht="18.75" customHeight="1">
      <c r="A795" s="5"/>
      <c r="B795" s="5"/>
      <c r="C795" s="5"/>
      <c r="D795" s="5"/>
      <c r="E795" s="5"/>
      <c r="F795" s="5"/>
      <c r="G795" s="5"/>
      <c r="H795" s="5"/>
      <c r="I795" s="5"/>
      <c r="J795" s="5"/>
      <c r="K795" s="5"/>
      <c r="L795" s="5"/>
      <c r="M795" s="5"/>
      <c r="N795" s="5"/>
      <c r="O795" s="5"/>
      <c r="P795" s="5"/>
      <c r="Q795" s="5"/>
      <c r="R795" s="5"/>
      <c r="S795" s="5"/>
      <c r="T795" s="5"/>
      <c r="U795" s="5"/>
      <c r="V795" s="5"/>
      <c r="Y795" s="5"/>
      <c r="Z795" s="5"/>
      <c r="AA795" s="5"/>
      <c r="AB795" s="5"/>
      <c r="AC795" s="5"/>
      <c r="AD795" s="5"/>
      <c r="AE795" s="5"/>
      <c r="AF795" s="5"/>
      <c r="AG795" s="5"/>
      <c r="AH795" s="5"/>
      <c r="AI795" s="5"/>
      <c r="AJ795" s="5"/>
      <c r="AK795" s="5"/>
      <c r="AL795" s="5"/>
      <c r="AM795" s="5"/>
      <c r="AN795" s="5"/>
    </row>
    <row r="796" spans="1:40" ht="18.75" customHeight="1">
      <c r="A796" s="5"/>
      <c r="B796" s="5"/>
      <c r="C796" s="5"/>
      <c r="D796" s="5"/>
      <c r="E796" s="5"/>
      <c r="F796" s="5"/>
      <c r="G796" s="5"/>
      <c r="H796" s="5"/>
      <c r="I796" s="5"/>
      <c r="J796" s="5"/>
      <c r="K796" s="5"/>
      <c r="L796" s="5"/>
      <c r="M796" s="5"/>
      <c r="N796" s="5"/>
      <c r="O796" s="5"/>
      <c r="P796" s="5"/>
      <c r="Q796" s="5"/>
      <c r="R796" s="5"/>
      <c r="S796" s="5"/>
      <c r="T796" s="5"/>
      <c r="U796" s="5"/>
      <c r="V796" s="5"/>
      <c r="Y796" s="5"/>
      <c r="Z796" s="5"/>
      <c r="AA796" s="5"/>
      <c r="AB796" s="5"/>
      <c r="AC796" s="5"/>
      <c r="AD796" s="5"/>
      <c r="AE796" s="5"/>
      <c r="AF796" s="5"/>
      <c r="AG796" s="5"/>
      <c r="AH796" s="5"/>
      <c r="AI796" s="5"/>
      <c r="AJ796" s="5"/>
      <c r="AK796" s="5"/>
      <c r="AL796" s="5"/>
      <c r="AM796" s="5"/>
      <c r="AN796" s="5"/>
    </row>
    <row r="797" spans="1:40" ht="18.75" customHeight="1">
      <c r="A797" s="5"/>
      <c r="B797" s="5"/>
      <c r="C797" s="5"/>
      <c r="D797" s="5"/>
      <c r="E797" s="5"/>
      <c r="F797" s="5"/>
      <c r="G797" s="5"/>
      <c r="H797" s="5"/>
      <c r="I797" s="5"/>
      <c r="J797" s="5"/>
      <c r="K797" s="5"/>
      <c r="L797" s="5"/>
      <c r="M797" s="5"/>
      <c r="N797" s="5"/>
      <c r="O797" s="5"/>
      <c r="P797" s="5"/>
      <c r="Q797" s="5"/>
      <c r="R797" s="5"/>
      <c r="S797" s="5"/>
      <c r="T797" s="5"/>
      <c r="U797" s="5"/>
      <c r="V797" s="5"/>
      <c r="Y797" s="5"/>
      <c r="Z797" s="5"/>
      <c r="AA797" s="5"/>
      <c r="AB797" s="5"/>
      <c r="AC797" s="5"/>
      <c r="AD797" s="5"/>
      <c r="AE797" s="5"/>
      <c r="AF797" s="5"/>
      <c r="AG797" s="5"/>
      <c r="AH797" s="5"/>
      <c r="AI797" s="5"/>
      <c r="AJ797" s="5"/>
      <c r="AK797" s="5"/>
      <c r="AL797" s="5"/>
      <c r="AM797" s="5"/>
      <c r="AN797" s="5"/>
    </row>
    <row r="798" spans="1:40" ht="18.75" customHeight="1">
      <c r="A798" s="5"/>
      <c r="B798" s="5"/>
      <c r="C798" s="5"/>
      <c r="D798" s="5"/>
      <c r="E798" s="5"/>
      <c r="F798" s="5"/>
      <c r="G798" s="5"/>
      <c r="H798" s="5"/>
      <c r="I798" s="5"/>
      <c r="J798" s="5"/>
      <c r="K798" s="5"/>
      <c r="L798" s="5"/>
      <c r="M798" s="5"/>
      <c r="N798" s="5"/>
      <c r="O798" s="5"/>
      <c r="P798" s="5"/>
      <c r="Q798" s="5"/>
      <c r="R798" s="5"/>
      <c r="S798" s="5"/>
      <c r="T798" s="5"/>
      <c r="U798" s="5"/>
      <c r="V798" s="5"/>
      <c r="Y798" s="5"/>
      <c r="Z798" s="5"/>
      <c r="AA798" s="5"/>
      <c r="AB798" s="5"/>
      <c r="AC798" s="5"/>
      <c r="AD798" s="5"/>
      <c r="AE798" s="5"/>
      <c r="AF798" s="5"/>
      <c r="AG798" s="5"/>
      <c r="AH798" s="5"/>
      <c r="AI798" s="5"/>
      <c r="AJ798" s="5"/>
      <c r="AK798" s="5"/>
      <c r="AL798" s="5"/>
      <c r="AM798" s="5"/>
      <c r="AN798" s="5"/>
    </row>
    <row r="799" spans="1:40" ht="18.75" customHeight="1">
      <c r="A799" s="5"/>
      <c r="B799" s="5"/>
      <c r="C799" s="5"/>
      <c r="D799" s="5"/>
      <c r="E799" s="5"/>
      <c r="F799" s="5"/>
      <c r="G799" s="5"/>
      <c r="H799" s="5"/>
      <c r="I799" s="5"/>
      <c r="J799" s="5"/>
      <c r="K799" s="5"/>
      <c r="L799" s="5"/>
      <c r="M799" s="5"/>
      <c r="N799" s="5"/>
      <c r="O799" s="5"/>
      <c r="P799" s="5"/>
      <c r="Q799" s="5"/>
      <c r="R799" s="5"/>
      <c r="S799" s="5"/>
      <c r="T799" s="5"/>
      <c r="U799" s="5"/>
      <c r="V799" s="5"/>
      <c r="Y799" s="5"/>
      <c r="Z799" s="5"/>
      <c r="AA799" s="5"/>
      <c r="AB799" s="5"/>
      <c r="AC799" s="5"/>
      <c r="AD799" s="5"/>
      <c r="AE799" s="5"/>
      <c r="AF799" s="5"/>
      <c r="AG799" s="5"/>
      <c r="AH799" s="5"/>
      <c r="AI799" s="5"/>
      <c r="AJ799" s="5"/>
      <c r="AK799" s="5"/>
      <c r="AL799" s="5"/>
      <c r="AM799" s="5"/>
      <c r="AN799" s="5"/>
    </row>
    <row r="800" spans="1:40" ht="18.75" customHeight="1">
      <c r="A800" s="5"/>
      <c r="B800" s="5"/>
      <c r="C800" s="5"/>
      <c r="D800" s="5"/>
      <c r="E800" s="5"/>
      <c r="F800" s="5"/>
      <c r="G800" s="5"/>
      <c r="H800" s="5"/>
      <c r="I800" s="5"/>
      <c r="J800" s="5"/>
      <c r="K800" s="5"/>
      <c r="L800" s="5"/>
      <c r="M800" s="5"/>
      <c r="N800" s="5"/>
      <c r="O800" s="5"/>
      <c r="P800" s="5"/>
      <c r="Q800" s="5"/>
      <c r="R800" s="5"/>
      <c r="S800" s="5"/>
      <c r="T800" s="5"/>
      <c r="U800" s="5"/>
      <c r="V800" s="5"/>
      <c r="Y800" s="5"/>
      <c r="Z800" s="5"/>
      <c r="AA800" s="5"/>
      <c r="AB800" s="5"/>
      <c r="AC800" s="5"/>
      <c r="AD800" s="5"/>
      <c r="AE800" s="5"/>
      <c r="AF800" s="5"/>
      <c r="AG800" s="5"/>
      <c r="AH800" s="5"/>
      <c r="AI800" s="5"/>
      <c r="AJ800" s="5"/>
      <c r="AK800" s="5"/>
      <c r="AL800" s="5"/>
      <c r="AM800" s="5"/>
      <c r="AN800" s="5"/>
    </row>
    <row r="801" spans="1:40" ht="18.75" customHeight="1">
      <c r="A801" s="5"/>
      <c r="B801" s="5"/>
      <c r="C801" s="5"/>
      <c r="D801" s="5"/>
      <c r="E801" s="5"/>
      <c r="F801" s="5"/>
      <c r="G801" s="5"/>
      <c r="H801" s="5"/>
      <c r="I801" s="5"/>
      <c r="J801" s="5"/>
      <c r="K801" s="5"/>
      <c r="L801" s="5"/>
      <c r="M801" s="5"/>
      <c r="N801" s="5"/>
      <c r="O801" s="5"/>
      <c r="P801" s="5"/>
      <c r="Q801" s="5"/>
      <c r="R801" s="5"/>
      <c r="S801" s="5"/>
      <c r="T801" s="5"/>
      <c r="U801" s="5"/>
      <c r="V801" s="5"/>
      <c r="Y801" s="5"/>
      <c r="Z801" s="5"/>
      <c r="AA801" s="5"/>
      <c r="AB801" s="5"/>
      <c r="AC801" s="5"/>
      <c r="AD801" s="5"/>
      <c r="AE801" s="5"/>
      <c r="AF801" s="5"/>
      <c r="AG801" s="5"/>
      <c r="AH801" s="5"/>
      <c r="AI801" s="5"/>
      <c r="AJ801" s="5"/>
      <c r="AK801" s="5"/>
      <c r="AL801" s="5"/>
      <c r="AM801" s="5"/>
      <c r="AN801" s="5"/>
    </row>
    <row r="802" spans="1:40" ht="18.75" customHeight="1">
      <c r="A802" s="5"/>
      <c r="B802" s="5"/>
      <c r="C802" s="5"/>
      <c r="D802" s="5"/>
      <c r="E802" s="5"/>
      <c r="F802" s="5"/>
      <c r="G802" s="5"/>
      <c r="H802" s="5"/>
      <c r="I802" s="5"/>
      <c r="J802" s="5"/>
      <c r="K802" s="5"/>
      <c r="L802" s="5"/>
      <c r="M802" s="5"/>
      <c r="N802" s="5"/>
      <c r="O802" s="5"/>
      <c r="P802" s="5"/>
      <c r="Q802" s="5"/>
      <c r="R802" s="5"/>
      <c r="S802" s="5"/>
      <c r="T802" s="5"/>
      <c r="U802" s="5"/>
      <c r="V802" s="5"/>
      <c r="Y802" s="5"/>
      <c r="Z802" s="5"/>
      <c r="AA802" s="5"/>
      <c r="AB802" s="5"/>
      <c r="AC802" s="5"/>
      <c r="AD802" s="5"/>
      <c r="AE802" s="5"/>
      <c r="AF802" s="5"/>
      <c r="AG802" s="5"/>
      <c r="AH802" s="5"/>
      <c r="AI802" s="5"/>
      <c r="AJ802" s="5"/>
      <c r="AK802" s="5"/>
      <c r="AL802" s="5"/>
      <c r="AM802" s="5"/>
      <c r="AN802" s="5"/>
    </row>
    <row r="803" spans="1:40" ht="18.75" customHeight="1">
      <c r="A803" s="5"/>
      <c r="B803" s="5"/>
      <c r="C803" s="5"/>
      <c r="D803" s="5"/>
      <c r="E803" s="5"/>
      <c r="F803" s="5"/>
      <c r="G803" s="5"/>
      <c r="H803" s="5"/>
      <c r="I803" s="5"/>
      <c r="J803" s="5"/>
      <c r="K803" s="5"/>
      <c r="L803" s="5"/>
      <c r="M803" s="5"/>
      <c r="N803" s="5"/>
      <c r="O803" s="5"/>
      <c r="P803" s="5"/>
      <c r="Q803" s="5"/>
      <c r="R803" s="5"/>
      <c r="S803" s="5"/>
      <c r="T803" s="5"/>
      <c r="U803" s="5"/>
      <c r="V803" s="5"/>
      <c r="Y803" s="5"/>
      <c r="Z803" s="5"/>
      <c r="AA803" s="5"/>
      <c r="AB803" s="5"/>
      <c r="AC803" s="5"/>
      <c r="AD803" s="5"/>
      <c r="AE803" s="5"/>
      <c r="AF803" s="5"/>
      <c r="AG803" s="5"/>
      <c r="AH803" s="5"/>
      <c r="AI803" s="5"/>
      <c r="AJ803" s="5"/>
      <c r="AK803" s="5"/>
      <c r="AL803" s="5"/>
      <c r="AM803" s="5"/>
      <c r="AN803" s="5"/>
    </row>
    <row r="804" spans="1:40" ht="18.75" customHeight="1">
      <c r="A804" s="5"/>
      <c r="B804" s="5"/>
      <c r="C804" s="5"/>
      <c r="D804" s="5"/>
      <c r="E804" s="5"/>
      <c r="F804" s="5"/>
      <c r="G804" s="5"/>
      <c r="H804" s="5"/>
      <c r="I804" s="5"/>
      <c r="J804" s="5"/>
      <c r="K804" s="5"/>
      <c r="L804" s="5"/>
      <c r="M804" s="5"/>
      <c r="N804" s="5"/>
      <c r="O804" s="5"/>
      <c r="P804" s="5"/>
      <c r="Q804" s="5"/>
      <c r="R804" s="5"/>
      <c r="S804" s="5"/>
      <c r="T804" s="5"/>
      <c r="U804" s="5"/>
      <c r="V804" s="5"/>
      <c r="Y804" s="5"/>
      <c r="Z804" s="5"/>
      <c r="AA804" s="5"/>
      <c r="AB804" s="5"/>
      <c r="AC804" s="5"/>
      <c r="AD804" s="5"/>
      <c r="AE804" s="5"/>
      <c r="AF804" s="5"/>
      <c r="AG804" s="5"/>
      <c r="AH804" s="5"/>
      <c r="AI804" s="5"/>
      <c r="AJ804" s="5"/>
      <c r="AK804" s="5"/>
      <c r="AL804" s="5"/>
      <c r="AM804" s="5"/>
      <c r="AN804" s="5"/>
    </row>
    <row r="805" spans="1:40" ht="18.75" customHeight="1">
      <c r="A805" s="5"/>
      <c r="B805" s="5"/>
      <c r="C805" s="5"/>
      <c r="D805" s="5"/>
      <c r="E805" s="5"/>
      <c r="F805" s="5"/>
      <c r="G805" s="5"/>
      <c r="H805" s="5"/>
      <c r="I805" s="5"/>
      <c r="J805" s="5"/>
      <c r="K805" s="5"/>
      <c r="L805" s="5"/>
      <c r="M805" s="5"/>
      <c r="N805" s="5"/>
      <c r="O805" s="5"/>
      <c r="P805" s="5"/>
      <c r="Q805" s="5"/>
      <c r="R805" s="5"/>
      <c r="S805" s="5"/>
      <c r="T805" s="5"/>
      <c r="U805" s="5"/>
      <c r="V805" s="5"/>
      <c r="Y805" s="5"/>
      <c r="Z805" s="5"/>
      <c r="AA805" s="5"/>
      <c r="AB805" s="5"/>
      <c r="AC805" s="5"/>
      <c r="AD805" s="5"/>
      <c r="AE805" s="5"/>
      <c r="AF805" s="5"/>
      <c r="AG805" s="5"/>
      <c r="AH805" s="5"/>
      <c r="AI805" s="5"/>
      <c r="AJ805" s="5"/>
      <c r="AK805" s="5"/>
      <c r="AL805" s="5"/>
      <c r="AM805" s="5"/>
      <c r="AN805" s="5"/>
    </row>
    <row r="806" spans="1:40" ht="18.75" customHeight="1">
      <c r="A806" s="5"/>
      <c r="B806" s="5"/>
      <c r="C806" s="5"/>
      <c r="D806" s="5"/>
      <c r="E806" s="5"/>
      <c r="F806" s="5"/>
      <c r="G806" s="5"/>
      <c r="H806" s="5"/>
      <c r="I806" s="5"/>
      <c r="J806" s="5"/>
      <c r="K806" s="5"/>
      <c r="L806" s="5"/>
      <c r="M806" s="5"/>
      <c r="N806" s="5"/>
      <c r="O806" s="5"/>
      <c r="P806" s="5"/>
      <c r="Q806" s="5"/>
      <c r="R806" s="5"/>
      <c r="S806" s="5"/>
      <c r="T806" s="5"/>
      <c r="U806" s="5"/>
      <c r="V806" s="5"/>
      <c r="Y806" s="5"/>
      <c r="Z806" s="5"/>
      <c r="AA806" s="5"/>
      <c r="AB806" s="5"/>
      <c r="AC806" s="5"/>
      <c r="AD806" s="5"/>
      <c r="AE806" s="5"/>
      <c r="AF806" s="5"/>
      <c r="AG806" s="5"/>
      <c r="AH806" s="5"/>
      <c r="AI806" s="5"/>
      <c r="AJ806" s="5"/>
      <c r="AK806" s="5"/>
      <c r="AL806" s="5"/>
      <c r="AM806" s="5"/>
      <c r="AN806" s="5"/>
    </row>
    <row r="807" spans="1:40" ht="18.75" customHeight="1">
      <c r="A807" s="5"/>
      <c r="B807" s="5"/>
      <c r="C807" s="5"/>
      <c r="D807" s="5"/>
      <c r="E807" s="5"/>
      <c r="F807" s="5"/>
      <c r="G807" s="5"/>
      <c r="H807" s="5"/>
      <c r="I807" s="5"/>
      <c r="J807" s="5"/>
      <c r="K807" s="5"/>
      <c r="L807" s="5"/>
      <c r="M807" s="5"/>
      <c r="N807" s="5"/>
      <c r="O807" s="5"/>
      <c r="P807" s="5"/>
      <c r="Q807" s="5"/>
      <c r="R807" s="5"/>
      <c r="S807" s="5"/>
      <c r="T807" s="5"/>
      <c r="U807" s="5"/>
      <c r="V807" s="5"/>
      <c r="Y807" s="5"/>
      <c r="Z807" s="5"/>
      <c r="AA807" s="5"/>
      <c r="AB807" s="5"/>
      <c r="AC807" s="5"/>
      <c r="AD807" s="5"/>
      <c r="AE807" s="5"/>
      <c r="AF807" s="5"/>
      <c r="AG807" s="5"/>
      <c r="AH807" s="5"/>
      <c r="AI807" s="5"/>
      <c r="AJ807" s="5"/>
      <c r="AK807" s="5"/>
      <c r="AL807" s="5"/>
      <c r="AM807" s="5"/>
      <c r="AN807" s="5"/>
    </row>
    <row r="808" spans="1:40" ht="18.75" customHeight="1">
      <c r="A808" s="5"/>
      <c r="B808" s="5"/>
      <c r="C808" s="5"/>
      <c r="D808" s="5"/>
      <c r="E808" s="5"/>
      <c r="F808" s="5"/>
      <c r="G808" s="5"/>
      <c r="H808" s="5"/>
      <c r="I808" s="5"/>
      <c r="J808" s="5"/>
      <c r="K808" s="5"/>
      <c r="L808" s="5"/>
      <c r="M808" s="5"/>
      <c r="N808" s="5"/>
      <c r="O808" s="5"/>
      <c r="P808" s="5"/>
      <c r="Q808" s="5"/>
      <c r="R808" s="5"/>
      <c r="S808" s="5"/>
      <c r="T808" s="5"/>
      <c r="U808" s="5"/>
      <c r="V808" s="5"/>
      <c r="Y808" s="5"/>
      <c r="Z808" s="5"/>
      <c r="AA808" s="5"/>
      <c r="AB808" s="5"/>
      <c r="AC808" s="5"/>
      <c r="AD808" s="5"/>
      <c r="AE808" s="5"/>
      <c r="AF808" s="5"/>
      <c r="AG808" s="5"/>
      <c r="AH808" s="5"/>
      <c r="AI808" s="5"/>
      <c r="AJ808" s="5"/>
      <c r="AK808" s="5"/>
      <c r="AL808" s="5"/>
      <c r="AM808" s="5"/>
      <c r="AN808" s="5"/>
    </row>
    <row r="809" spans="1:40" ht="18.75" customHeight="1">
      <c r="A809" s="5"/>
      <c r="B809" s="5"/>
      <c r="C809" s="5"/>
      <c r="D809" s="5"/>
      <c r="E809" s="5"/>
      <c r="F809" s="5"/>
      <c r="G809" s="5"/>
      <c r="H809" s="5"/>
      <c r="I809" s="5"/>
      <c r="J809" s="5"/>
      <c r="K809" s="5"/>
      <c r="L809" s="5"/>
      <c r="M809" s="5"/>
      <c r="N809" s="5"/>
      <c r="O809" s="5"/>
      <c r="P809" s="5"/>
      <c r="Q809" s="5"/>
      <c r="R809" s="5"/>
      <c r="S809" s="5"/>
      <c r="T809" s="5"/>
      <c r="U809" s="5"/>
      <c r="V809" s="5"/>
      <c r="Y809" s="5"/>
      <c r="Z809" s="5"/>
      <c r="AA809" s="5"/>
      <c r="AB809" s="5"/>
      <c r="AC809" s="5"/>
      <c r="AD809" s="5"/>
      <c r="AE809" s="5"/>
      <c r="AF809" s="5"/>
      <c r="AG809" s="5"/>
      <c r="AH809" s="5"/>
      <c r="AI809" s="5"/>
      <c r="AJ809" s="5"/>
      <c r="AK809" s="5"/>
      <c r="AL809" s="5"/>
      <c r="AM809" s="5"/>
      <c r="AN809" s="5"/>
    </row>
    <row r="810" spans="1:40" ht="18.75" customHeight="1">
      <c r="A810" s="5"/>
      <c r="B810" s="5"/>
      <c r="C810" s="5"/>
      <c r="D810" s="5"/>
      <c r="E810" s="5"/>
      <c r="F810" s="5"/>
      <c r="G810" s="5"/>
      <c r="H810" s="5"/>
      <c r="I810" s="5"/>
      <c r="J810" s="5"/>
      <c r="K810" s="5"/>
      <c r="L810" s="5"/>
      <c r="M810" s="5"/>
      <c r="N810" s="5"/>
      <c r="O810" s="5"/>
      <c r="P810" s="5"/>
      <c r="Q810" s="5"/>
      <c r="R810" s="5"/>
      <c r="S810" s="5"/>
      <c r="T810" s="5"/>
      <c r="U810" s="5"/>
      <c r="V810" s="5"/>
      <c r="Y810" s="5"/>
      <c r="Z810" s="5"/>
      <c r="AA810" s="5"/>
      <c r="AB810" s="5"/>
      <c r="AC810" s="5"/>
      <c r="AD810" s="5"/>
      <c r="AE810" s="5"/>
      <c r="AF810" s="5"/>
      <c r="AG810" s="5"/>
      <c r="AH810" s="5"/>
      <c r="AI810" s="5"/>
      <c r="AJ810" s="5"/>
      <c r="AK810" s="5"/>
      <c r="AL810" s="5"/>
      <c r="AM810" s="5"/>
      <c r="AN810" s="5"/>
    </row>
    <row r="811" spans="1:40" ht="18.75" customHeight="1">
      <c r="A811" s="5"/>
      <c r="B811" s="5"/>
      <c r="C811" s="5"/>
      <c r="D811" s="5"/>
      <c r="E811" s="5"/>
      <c r="F811" s="5"/>
      <c r="G811" s="5"/>
      <c r="H811" s="5"/>
      <c r="I811" s="5"/>
      <c r="J811" s="5"/>
      <c r="K811" s="5"/>
      <c r="L811" s="5"/>
      <c r="M811" s="5"/>
      <c r="N811" s="5"/>
      <c r="O811" s="5"/>
      <c r="P811" s="5"/>
      <c r="Q811" s="5"/>
      <c r="R811" s="5"/>
      <c r="S811" s="5"/>
      <c r="T811" s="5"/>
      <c r="U811" s="5"/>
      <c r="V811" s="5"/>
      <c r="Y811" s="5"/>
      <c r="Z811" s="5"/>
      <c r="AA811" s="5"/>
      <c r="AB811" s="5"/>
      <c r="AC811" s="5"/>
      <c r="AD811" s="5"/>
      <c r="AE811" s="5"/>
      <c r="AF811" s="5"/>
      <c r="AG811" s="5"/>
      <c r="AH811" s="5"/>
      <c r="AI811" s="5"/>
      <c r="AJ811" s="5"/>
      <c r="AK811" s="5"/>
      <c r="AL811" s="5"/>
      <c r="AM811" s="5"/>
      <c r="AN811" s="5"/>
    </row>
    <row r="812" spans="1:40" ht="18.75" customHeight="1">
      <c r="A812" s="5"/>
      <c r="B812" s="5"/>
      <c r="C812" s="5"/>
      <c r="D812" s="5"/>
      <c r="E812" s="5"/>
      <c r="F812" s="5"/>
      <c r="G812" s="5"/>
      <c r="H812" s="5"/>
      <c r="I812" s="5"/>
      <c r="J812" s="5"/>
      <c r="K812" s="5"/>
      <c r="L812" s="5"/>
      <c r="M812" s="5"/>
      <c r="N812" s="5"/>
      <c r="O812" s="5"/>
      <c r="P812" s="5"/>
      <c r="Q812" s="5"/>
      <c r="R812" s="5"/>
      <c r="S812" s="5"/>
      <c r="T812" s="5"/>
      <c r="U812" s="5"/>
      <c r="V812" s="5"/>
      <c r="Y812" s="5"/>
      <c r="Z812" s="5"/>
      <c r="AA812" s="5"/>
      <c r="AB812" s="5"/>
      <c r="AC812" s="5"/>
      <c r="AD812" s="5"/>
      <c r="AE812" s="5"/>
      <c r="AF812" s="5"/>
      <c r="AG812" s="5"/>
      <c r="AH812" s="5"/>
      <c r="AI812" s="5"/>
      <c r="AJ812" s="5"/>
      <c r="AK812" s="5"/>
      <c r="AL812" s="5"/>
      <c r="AM812" s="5"/>
      <c r="AN812" s="5"/>
    </row>
    <row r="813" spans="1:40" ht="18.75" customHeight="1">
      <c r="A813" s="5"/>
      <c r="B813" s="5"/>
      <c r="C813" s="5"/>
      <c r="D813" s="5"/>
      <c r="E813" s="5"/>
      <c r="F813" s="5"/>
      <c r="G813" s="5"/>
      <c r="H813" s="5"/>
      <c r="I813" s="5"/>
      <c r="J813" s="5"/>
      <c r="K813" s="5"/>
      <c r="L813" s="5"/>
      <c r="M813" s="5"/>
      <c r="N813" s="5"/>
      <c r="O813" s="5"/>
      <c r="P813" s="5"/>
      <c r="Q813" s="5"/>
      <c r="R813" s="5"/>
      <c r="S813" s="5"/>
      <c r="T813" s="5"/>
      <c r="U813" s="5"/>
      <c r="V813" s="5"/>
      <c r="Y813" s="5"/>
      <c r="Z813" s="5"/>
      <c r="AA813" s="5"/>
      <c r="AB813" s="5"/>
      <c r="AC813" s="5"/>
      <c r="AD813" s="5"/>
      <c r="AE813" s="5"/>
      <c r="AF813" s="5"/>
      <c r="AG813" s="5"/>
      <c r="AH813" s="5"/>
      <c r="AI813" s="5"/>
      <c r="AJ813" s="5"/>
      <c r="AK813" s="5"/>
      <c r="AL813" s="5"/>
      <c r="AM813" s="5"/>
      <c r="AN813" s="5"/>
    </row>
    <row r="814" spans="1:40" ht="18.75" customHeight="1">
      <c r="A814" s="5"/>
      <c r="B814" s="5"/>
      <c r="C814" s="5"/>
      <c r="D814" s="5"/>
      <c r="E814" s="5"/>
      <c r="F814" s="5"/>
      <c r="G814" s="5"/>
      <c r="H814" s="5"/>
      <c r="I814" s="5"/>
      <c r="J814" s="5"/>
      <c r="K814" s="5"/>
      <c r="L814" s="5"/>
      <c r="M814" s="5"/>
      <c r="N814" s="5"/>
      <c r="O814" s="5"/>
      <c r="P814" s="5"/>
      <c r="Q814" s="5"/>
      <c r="R814" s="5"/>
      <c r="S814" s="5"/>
      <c r="T814" s="5"/>
      <c r="U814" s="5"/>
      <c r="V814" s="5"/>
      <c r="Y814" s="5"/>
      <c r="Z814" s="5"/>
      <c r="AA814" s="5"/>
      <c r="AB814" s="5"/>
      <c r="AC814" s="5"/>
      <c r="AD814" s="5"/>
      <c r="AE814" s="5"/>
      <c r="AF814" s="5"/>
      <c r="AG814" s="5"/>
      <c r="AH814" s="5"/>
      <c r="AI814" s="5"/>
      <c r="AJ814" s="5"/>
      <c r="AK814" s="5"/>
      <c r="AL814" s="5"/>
      <c r="AM814" s="5"/>
      <c r="AN814" s="5"/>
    </row>
    <row r="815" spans="1:40" ht="18.75" customHeight="1">
      <c r="A815" s="5"/>
      <c r="B815" s="5"/>
      <c r="C815" s="5"/>
      <c r="D815" s="5"/>
      <c r="E815" s="5"/>
      <c r="F815" s="5"/>
      <c r="G815" s="5"/>
      <c r="H815" s="5"/>
      <c r="I815" s="5"/>
      <c r="J815" s="5"/>
      <c r="K815" s="5"/>
      <c r="L815" s="5"/>
      <c r="M815" s="5"/>
      <c r="N815" s="5"/>
      <c r="O815" s="5"/>
      <c r="P815" s="5"/>
      <c r="Q815" s="5"/>
      <c r="R815" s="5"/>
      <c r="S815" s="5"/>
      <c r="T815" s="5"/>
      <c r="U815" s="5"/>
      <c r="V815" s="5"/>
      <c r="Y815" s="5"/>
      <c r="Z815" s="5"/>
      <c r="AA815" s="5"/>
      <c r="AB815" s="5"/>
      <c r="AC815" s="5"/>
      <c r="AD815" s="5"/>
      <c r="AE815" s="5"/>
      <c r="AF815" s="5"/>
      <c r="AG815" s="5"/>
      <c r="AH815" s="5"/>
      <c r="AI815" s="5"/>
      <c r="AJ815" s="5"/>
      <c r="AK815" s="5"/>
      <c r="AL815" s="5"/>
      <c r="AM815" s="5"/>
      <c r="AN815" s="5"/>
    </row>
    <row r="816" spans="1:40" ht="18.75" customHeight="1">
      <c r="A816" s="5"/>
      <c r="B816" s="5"/>
      <c r="C816" s="5"/>
      <c r="D816" s="5"/>
      <c r="E816" s="5"/>
      <c r="F816" s="5"/>
      <c r="G816" s="5"/>
      <c r="H816" s="5"/>
      <c r="I816" s="5"/>
      <c r="J816" s="5"/>
      <c r="K816" s="5"/>
      <c r="L816" s="5"/>
      <c r="M816" s="5"/>
      <c r="N816" s="5"/>
      <c r="O816" s="5"/>
      <c r="P816" s="5"/>
      <c r="Q816" s="5"/>
      <c r="R816" s="5"/>
      <c r="S816" s="5"/>
      <c r="T816" s="5"/>
      <c r="U816" s="5"/>
      <c r="V816" s="5"/>
      <c r="Y816" s="5"/>
      <c r="Z816" s="5"/>
      <c r="AA816" s="5"/>
      <c r="AB816" s="5"/>
      <c r="AC816" s="5"/>
      <c r="AD816" s="5"/>
      <c r="AE816" s="5"/>
      <c r="AF816" s="5"/>
      <c r="AG816" s="5"/>
      <c r="AH816" s="5"/>
      <c r="AI816" s="5"/>
      <c r="AJ816" s="5"/>
      <c r="AK816" s="5"/>
      <c r="AL816" s="5"/>
      <c r="AM816" s="5"/>
      <c r="AN816" s="5"/>
    </row>
    <row r="817" spans="1:40" ht="18.75" customHeight="1">
      <c r="A817" s="5"/>
      <c r="B817" s="5"/>
      <c r="C817" s="5"/>
      <c r="D817" s="5"/>
      <c r="E817" s="5"/>
      <c r="F817" s="5"/>
      <c r="G817" s="5"/>
      <c r="H817" s="5"/>
      <c r="I817" s="5"/>
      <c r="J817" s="5"/>
      <c r="K817" s="5"/>
      <c r="L817" s="5"/>
      <c r="M817" s="5"/>
      <c r="N817" s="5"/>
      <c r="O817" s="5"/>
      <c r="P817" s="5"/>
      <c r="Q817" s="5"/>
      <c r="R817" s="5"/>
      <c r="S817" s="5"/>
      <c r="T817" s="5"/>
      <c r="U817" s="5"/>
      <c r="V817" s="5"/>
      <c r="Y817" s="5"/>
      <c r="Z817" s="5"/>
      <c r="AA817" s="5"/>
      <c r="AB817" s="5"/>
      <c r="AC817" s="5"/>
      <c r="AD817" s="5"/>
      <c r="AE817" s="5"/>
      <c r="AF817" s="5"/>
      <c r="AG817" s="5"/>
      <c r="AH817" s="5"/>
      <c r="AI817" s="5"/>
      <c r="AJ817" s="5"/>
      <c r="AK817" s="5"/>
      <c r="AL817" s="5"/>
      <c r="AM817" s="5"/>
      <c r="AN817" s="5"/>
    </row>
    <row r="818" spans="1:40" ht="18.75" customHeight="1">
      <c r="A818" s="5"/>
      <c r="B818" s="5"/>
      <c r="C818" s="5"/>
      <c r="D818" s="5"/>
      <c r="E818" s="5"/>
      <c r="F818" s="5"/>
      <c r="G818" s="5"/>
      <c r="H818" s="5"/>
      <c r="I818" s="5"/>
      <c r="J818" s="5"/>
      <c r="K818" s="5"/>
      <c r="L818" s="5"/>
      <c r="M818" s="5"/>
      <c r="N818" s="5"/>
      <c r="O818" s="5"/>
      <c r="P818" s="5"/>
      <c r="Q818" s="5"/>
      <c r="R818" s="5"/>
      <c r="S818" s="5"/>
      <c r="T818" s="5"/>
      <c r="U818" s="5"/>
      <c r="V818" s="5"/>
      <c r="Y818" s="5"/>
      <c r="Z818" s="5"/>
      <c r="AA818" s="5"/>
      <c r="AB818" s="5"/>
      <c r="AC818" s="5"/>
      <c r="AD818" s="5"/>
      <c r="AE818" s="5"/>
      <c r="AF818" s="5"/>
      <c r="AG818" s="5"/>
      <c r="AH818" s="5"/>
      <c r="AI818" s="5"/>
      <c r="AJ818" s="5"/>
      <c r="AK818" s="5"/>
      <c r="AL818" s="5"/>
      <c r="AM818" s="5"/>
      <c r="AN818" s="5"/>
    </row>
    <row r="819" spans="1:40" ht="18.75" customHeight="1">
      <c r="A819" s="5"/>
      <c r="B819" s="5"/>
      <c r="C819" s="5"/>
      <c r="D819" s="5"/>
      <c r="E819" s="5"/>
      <c r="F819" s="5"/>
      <c r="G819" s="5"/>
      <c r="H819" s="5"/>
      <c r="I819" s="5"/>
      <c r="J819" s="5"/>
      <c r="K819" s="5"/>
      <c r="L819" s="5"/>
      <c r="M819" s="5"/>
      <c r="N819" s="5"/>
      <c r="O819" s="5"/>
      <c r="P819" s="5"/>
      <c r="Q819" s="5"/>
      <c r="R819" s="5"/>
      <c r="S819" s="5"/>
      <c r="T819" s="5"/>
      <c r="U819" s="5"/>
      <c r="V819" s="5"/>
      <c r="Y819" s="5"/>
      <c r="Z819" s="5"/>
      <c r="AA819" s="5"/>
      <c r="AB819" s="5"/>
      <c r="AC819" s="5"/>
      <c r="AD819" s="5"/>
      <c r="AE819" s="5"/>
      <c r="AF819" s="5"/>
      <c r="AG819" s="5"/>
      <c r="AH819" s="5"/>
      <c r="AI819" s="5"/>
      <c r="AJ819" s="5"/>
      <c r="AK819" s="5"/>
      <c r="AL819" s="5"/>
      <c r="AM819" s="5"/>
      <c r="AN819" s="5"/>
    </row>
    <row r="820" spans="1:40" ht="18.75" customHeight="1">
      <c r="A820" s="5"/>
      <c r="B820" s="5"/>
      <c r="C820" s="5"/>
      <c r="D820" s="5"/>
      <c r="E820" s="5"/>
      <c r="F820" s="5"/>
      <c r="G820" s="5"/>
      <c r="H820" s="5"/>
      <c r="I820" s="5"/>
      <c r="J820" s="5"/>
      <c r="K820" s="5"/>
      <c r="L820" s="5"/>
      <c r="M820" s="5"/>
      <c r="N820" s="5"/>
      <c r="O820" s="5"/>
      <c r="P820" s="5"/>
      <c r="Q820" s="5"/>
      <c r="R820" s="5"/>
      <c r="S820" s="5"/>
      <c r="T820" s="5"/>
      <c r="U820" s="5"/>
      <c r="V820" s="5"/>
      <c r="Y820" s="5"/>
      <c r="Z820" s="5"/>
      <c r="AA820" s="5"/>
      <c r="AB820" s="5"/>
      <c r="AC820" s="5"/>
      <c r="AD820" s="5"/>
      <c r="AE820" s="5"/>
      <c r="AF820" s="5"/>
      <c r="AG820" s="5"/>
      <c r="AH820" s="5"/>
      <c r="AI820" s="5"/>
      <c r="AJ820" s="5"/>
      <c r="AK820" s="5"/>
      <c r="AL820" s="5"/>
      <c r="AM820" s="5"/>
      <c r="AN820" s="5"/>
    </row>
    <row r="821" spans="1:40" ht="18.75" customHeight="1">
      <c r="A821" s="5"/>
      <c r="B821" s="5"/>
      <c r="C821" s="5"/>
      <c r="D821" s="5"/>
      <c r="E821" s="5"/>
      <c r="F821" s="5"/>
      <c r="G821" s="5"/>
      <c r="H821" s="5"/>
      <c r="I821" s="5"/>
      <c r="J821" s="5"/>
      <c r="K821" s="5"/>
      <c r="L821" s="5"/>
      <c r="M821" s="5"/>
      <c r="N821" s="5"/>
      <c r="O821" s="5"/>
      <c r="P821" s="5"/>
      <c r="Q821" s="5"/>
      <c r="R821" s="5"/>
      <c r="S821" s="5"/>
      <c r="T821" s="5"/>
      <c r="U821" s="5"/>
      <c r="V821" s="5"/>
      <c r="Y821" s="5"/>
      <c r="Z821" s="5"/>
      <c r="AA821" s="5"/>
      <c r="AB821" s="5"/>
      <c r="AC821" s="5"/>
      <c r="AD821" s="5"/>
      <c r="AE821" s="5"/>
      <c r="AF821" s="5"/>
      <c r="AG821" s="5"/>
      <c r="AH821" s="5"/>
      <c r="AI821" s="5"/>
      <c r="AJ821" s="5"/>
      <c r="AK821" s="5"/>
      <c r="AL821" s="5"/>
      <c r="AM821" s="5"/>
      <c r="AN821" s="5"/>
    </row>
    <row r="822" spans="1:40" ht="18.75" customHeight="1">
      <c r="A822" s="5"/>
      <c r="B822" s="5"/>
      <c r="C822" s="5"/>
      <c r="D822" s="5"/>
      <c r="E822" s="5"/>
      <c r="F822" s="5"/>
      <c r="G822" s="5"/>
      <c r="H822" s="5"/>
      <c r="I822" s="5"/>
      <c r="J822" s="5"/>
      <c r="K822" s="5"/>
      <c r="L822" s="5"/>
      <c r="M822" s="5"/>
      <c r="N822" s="5"/>
      <c r="O822" s="5"/>
      <c r="P822" s="5"/>
      <c r="Q822" s="5"/>
      <c r="R822" s="5"/>
      <c r="S822" s="5"/>
      <c r="T822" s="5"/>
      <c r="U822" s="5"/>
      <c r="V822" s="5"/>
      <c r="Y822" s="5"/>
      <c r="Z822" s="5"/>
      <c r="AA822" s="5"/>
      <c r="AB822" s="5"/>
      <c r="AC822" s="5"/>
      <c r="AD822" s="5"/>
      <c r="AE822" s="5"/>
      <c r="AF822" s="5"/>
      <c r="AG822" s="5"/>
      <c r="AH822" s="5"/>
      <c r="AI822" s="5"/>
      <c r="AJ822" s="5"/>
      <c r="AK822" s="5"/>
      <c r="AL822" s="5"/>
      <c r="AM822" s="5"/>
      <c r="AN822" s="5"/>
    </row>
    <row r="823" spans="1:40" ht="18.75" customHeight="1">
      <c r="A823" s="5"/>
      <c r="B823" s="5"/>
      <c r="C823" s="5"/>
      <c r="D823" s="5"/>
      <c r="E823" s="5"/>
      <c r="F823" s="5"/>
      <c r="G823" s="5"/>
      <c r="H823" s="5"/>
      <c r="I823" s="5"/>
      <c r="J823" s="5"/>
      <c r="K823" s="5"/>
      <c r="L823" s="5"/>
      <c r="M823" s="5"/>
      <c r="N823" s="5"/>
      <c r="O823" s="5"/>
      <c r="P823" s="5"/>
      <c r="Q823" s="5"/>
      <c r="R823" s="5"/>
      <c r="S823" s="5"/>
      <c r="T823" s="5"/>
      <c r="U823" s="5"/>
      <c r="V823" s="5"/>
      <c r="Y823" s="5"/>
      <c r="Z823" s="5"/>
      <c r="AA823" s="5"/>
      <c r="AB823" s="5"/>
      <c r="AC823" s="5"/>
      <c r="AD823" s="5"/>
      <c r="AE823" s="5"/>
      <c r="AF823" s="5"/>
      <c r="AG823" s="5"/>
      <c r="AH823" s="5"/>
      <c r="AI823" s="5"/>
      <c r="AJ823" s="5"/>
      <c r="AK823" s="5"/>
      <c r="AL823" s="5"/>
      <c r="AM823" s="5"/>
      <c r="AN823" s="5"/>
    </row>
    <row r="824" spans="1:40" ht="18.75" customHeight="1">
      <c r="A824" s="5"/>
      <c r="B824" s="5"/>
      <c r="C824" s="5"/>
      <c r="D824" s="5"/>
      <c r="E824" s="5"/>
      <c r="F824" s="5"/>
      <c r="G824" s="5"/>
      <c r="H824" s="5"/>
      <c r="I824" s="5"/>
      <c r="J824" s="5"/>
      <c r="K824" s="5"/>
      <c r="L824" s="5"/>
      <c r="M824" s="5"/>
      <c r="N824" s="5"/>
      <c r="O824" s="5"/>
      <c r="P824" s="5"/>
      <c r="Q824" s="5"/>
      <c r="R824" s="5"/>
      <c r="S824" s="5"/>
      <c r="T824" s="5"/>
      <c r="U824" s="5"/>
      <c r="V824" s="5"/>
      <c r="Y824" s="5"/>
      <c r="Z824" s="5"/>
      <c r="AA824" s="5"/>
      <c r="AB824" s="5"/>
      <c r="AC824" s="5"/>
      <c r="AD824" s="5"/>
      <c r="AE824" s="5"/>
      <c r="AF824" s="5"/>
      <c r="AG824" s="5"/>
      <c r="AH824" s="5"/>
      <c r="AI824" s="5"/>
      <c r="AJ824" s="5"/>
      <c r="AK824" s="5"/>
      <c r="AL824" s="5"/>
      <c r="AM824" s="5"/>
      <c r="AN824" s="5"/>
    </row>
    <row r="825" spans="1:40" ht="18.75" customHeight="1">
      <c r="A825" s="5"/>
      <c r="B825" s="5"/>
      <c r="C825" s="5"/>
      <c r="D825" s="5"/>
      <c r="E825" s="5"/>
      <c r="F825" s="5"/>
      <c r="G825" s="5"/>
      <c r="H825" s="5"/>
      <c r="I825" s="5"/>
      <c r="J825" s="5"/>
      <c r="K825" s="5"/>
      <c r="L825" s="5"/>
      <c r="M825" s="5"/>
      <c r="N825" s="5"/>
      <c r="O825" s="5"/>
      <c r="P825" s="5"/>
      <c r="Q825" s="5"/>
      <c r="R825" s="5"/>
      <c r="S825" s="5"/>
      <c r="T825" s="5"/>
      <c r="U825" s="5"/>
      <c r="V825" s="5"/>
      <c r="Y825" s="5"/>
      <c r="Z825" s="5"/>
      <c r="AA825" s="5"/>
      <c r="AB825" s="5"/>
      <c r="AC825" s="5"/>
      <c r="AD825" s="5"/>
      <c r="AE825" s="5"/>
      <c r="AF825" s="5"/>
      <c r="AG825" s="5"/>
      <c r="AH825" s="5"/>
      <c r="AI825" s="5"/>
      <c r="AJ825" s="5"/>
      <c r="AK825" s="5"/>
      <c r="AL825" s="5"/>
      <c r="AM825" s="5"/>
      <c r="AN825" s="5"/>
    </row>
    <row r="826" spans="1:40" ht="18.75" customHeight="1">
      <c r="A826" s="5"/>
      <c r="B826" s="5"/>
      <c r="C826" s="5"/>
      <c r="D826" s="5"/>
      <c r="E826" s="5"/>
      <c r="F826" s="5"/>
      <c r="G826" s="5"/>
      <c r="H826" s="5"/>
      <c r="I826" s="5"/>
      <c r="J826" s="5"/>
      <c r="K826" s="5"/>
      <c r="L826" s="5"/>
      <c r="M826" s="5"/>
      <c r="N826" s="5"/>
      <c r="O826" s="5"/>
      <c r="P826" s="5"/>
      <c r="Q826" s="5"/>
      <c r="R826" s="5"/>
      <c r="S826" s="5"/>
      <c r="T826" s="5"/>
      <c r="U826" s="5"/>
      <c r="V826" s="5"/>
      <c r="Y826" s="5"/>
      <c r="Z826" s="5"/>
      <c r="AA826" s="5"/>
      <c r="AB826" s="5"/>
      <c r="AC826" s="5"/>
      <c r="AD826" s="5"/>
      <c r="AE826" s="5"/>
      <c r="AF826" s="5"/>
      <c r="AG826" s="5"/>
      <c r="AH826" s="5"/>
      <c r="AI826" s="5"/>
      <c r="AJ826" s="5"/>
      <c r="AK826" s="5"/>
      <c r="AL826" s="5"/>
      <c r="AM826" s="5"/>
      <c r="AN826" s="5"/>
    </row>
    <row r="827" spans="1:40" ht="18.75" customHeight="1">
      <c r="A827" s="5"/>
      <c r="B827" s="5"/>
      <c r="C827" s="5"/>
      <c r="D827" s="5"/>
      <c r="E827" s="5"/>
      <c r="F827" s="5"/>
      <c r="G827" s="5"/>
      <c r="H827" s="5"/>
      <c r="I827" s="5"/>
      <c r="J827" s="5"/>
      <c r="K827" s="5"/>
      <c r="L827" s="5"/>
      <c r="M827" s="5"/>
      <c r="N827" s="5"/>
      <c r="O827" s="5"/>
      <c r="P827" s="5"/>
      <c r="Q827" s="5"/>
      <c r="R827" s="5"/>
      <c r="S827" s="5"/>
      <c r="T827" s="5"/>
      <c r="U827" s="5"/>
      <c r="V827" s="5"/>
      <c r="Y827" s="5"/>
      <c r="Z827" s="5"/>
      <c r="AA827" s="5"/>
      <c r="AB827" s="5"/>
      <c r="AC827" s="5"/>
      <c r="AD827" s="5"/>
      <c r="AE827" s="5"/>
      <c r="AF827" s="5"/>
      <c r="AG827" s="5"/>
      <c r="AH827" s="5"/>
      <c r="AI827" s="5"/>
      <c r="AJ827" s="5"/>
      <c r="AK827" s="5"/>
      <c r="AL827" s="5"/>
      <c r="AM827" s="5"/>
      <c r="AN827" s="5"/>
    </row>
    <row r="828" spans="1:40" ht="18.75" customHeight="1">
      <c r="A828" s="5"/>
      <c r="B828" s="5"/>
      <c r="C828" s="5"/>
      <c r="D828" s="5"/>
      <c r="E828" s="5"/>
      <c r="F828" s="5"/>
      <c r="G828" s="5"/>
      <c r="H828" s="5"/>
      <c r="I828" s="5"/>
      <c r="J828" s="5"/>
      <c r="K828" s="5"/>
      <c r="L828" s="5"/>
      <c r="M828" s="5"/>
      <c r="N828" s="5"/>
      <c r="O828" s="5"/>
      <c r="P828" s="5"/>
      <c r="Q828" s="5"/>
      <c r="R828" s="5"/>
      <c r="S828" s="5"/>
      <c r="T828" s="5"/>
      <c r="U828" s="5"/>
      <c r="V828" s="5"/>
      <c r="Y828" s="5"/>
      <c r="Z828" s="5"/>
      <c r="AA828" s="5"/>
      <c r="AB828" s="5"/>
      <c r="AC828" s="5"/>
      <c r="AD828" s="5"/>
      <c r="AE828" s="5"/>
      <c r="AF828" s="5"/>
      <c r="AG828" s="5"/>
      <c r="AH828" s="5"/>
      <c r="AI828" s="5"/>
      <c r="AJ828" s="5"/>
      <c r="AK828" s="5"/>
      <c r="AL828" s="5"/>
      <c r="AM828" s="5"/>
      <c r="AN828" s="5"/>
    </row>
    <row r="829" spans="1:40" ht="18.75" customHeight="1">
      <c r="A829" s="5"/>
      <c r="B829" s="5"/>
      <c r="C829" s="5"/>
      <c r="D829" s="5"/>
      <c r="E829" s="5"/>
      <c r="F829" s="5"/>
      <c r="G829" s="5"/>
      <c r="H829" s="5"/>
      <c r="I829" s="5"/>
      <c r="J829" s="5"/>
      <c r="K829" s="5"/>
      <c r="L829" s="5"/>
      <c r="M829" s="5"/>
      <c r="N829" s="5"/>
      <c r="O829" s="5"/>
      <c r="P829" s="5"/>
      <c r="Q829" s="5"/>
      <c r="R829" s="5"/>
      <c r="S829" s="5"/>
      <c r="T829" s="5"/>
      <c r="U829" s="5"/>
      <c r="V829" s="5"/>
      <c r="Y829" s="5"/>
      <c r="Z829" s="5"/>
      <c r="AA829" s="5"/>
      <c r="AB829" s="5"/>
      <c r="AC829" s="5"/>
      <c r="AD829" s="5"/>
      <c r="AE829" s="5"/>
      <c r="AF829" s="5"/>
      <c r="AG829" s="5"/>
      <c r="AH829" s="5"/>
      <c r="AI829" s="5"/>
      <c r="AJ829" s="5"/>
      <c r="AK829" s="5"/>
      <c r="AL829" s="5"/>
      <c r="AM829" s="5"/>
      <c r="AN829" s="5"/>
    </row>
    <row r="830" spans="1:40" ht="18.75" customHeight="1">
      <c r="A830" s="5"/>
      <c r="B830" s="5"/>
      <c r="C830" s="5"/>
      <c r="D830" s="5"/>
      <c r="E830" s="5"/>
      <c r="F830" s="5"/>
      <c r="G830" s="5"/>
      <c r="H830" s="5"/>
      <c r="I830" s="5"/>
      <c r="J830" s="5"/>
      <c r="K830" s="5"/>
      <c r="L830" s="5"/>
      <c r="M830" s="5"/>
      <c r="N830" s="5"/>
      <c r="O830" s="5"/>
      <c r="P830" s="5"/>
      <c r="Q830" s="5"/>
      <c r="R830" s="5"/>
      <c r="S830" s="5"/>
      <c r="T830" s="5"/>
      <c r="U830" s="5"/>
      <c r="V830" s="5"/>
      <c r="Y830" s="5"/>
      <c r="Z830" s="5"/>
      <c r="AA830" s="5"/>
      <c r="AB830" s="5"/>
      <c r="AC830" s="5"/>
      <c r="AD830" s="5"/>
      <c r="AE830" s="5"/>
      <c r="AF830" s="5"/>
      <c r="AG830" s="5"/>
      <c r="AH830" s="5"/>
      <c r="AI830" s="5"/>
      <c r="AJ830" s="5"/>
      <c r="AK830" s="5"/>
      <c r="AL830" s="5"/>
      <c r="AM830" s="5"/>
      <c r="AN830" s="5"/>
    </row>
    <row r="831" spans="1:40" ht="18.75" customHeight="1">
      <c r="A831" s="5"/>
      <c r="B831" s="5"/>
      <c r="C831" s="5"/>
      <c r="D831" s="5"/>
      <c r="E831" s="5"/>
      <c r="F831" s="5"/>
      <c r="G831" s="5"/>
      <c r="H831" s="5"/>
      <c r="I831" s="5"/>
      <c r="J831" s="5"/>
      <c r="K831" s="5"/>
      <c r="L831" s="5"/>
      <c r="M831" s="5"/>
      <c r="N831" s="5"/>
      <c r="O831" s="5"/>
      <c r="P831" s="5"/>
      <c r="Q831" s="5"/>
      <c r="R831" s="5"/>
      <c r="S831" s="5"/>
      <c r="T831" s="5"/>
      <c r="U831" s="5"/>
      <c r="V831" s="5"/>
      <c r="Y831" s="5"/>
      <c r="Z831" s="5"/>
      <c r="AA831" s="5"/>
      <c r="AB831" s="5"/>
      <c r="AC831" s="5"/>
      <c r="AD831" s="5"/>
      <c r="AE831" s="5"/>
      <c r="AF831" s="5"/>
      <c r="AG831" s="5"/>
      <c r="AH831" s="5"/>
      <c r="AI831" s="5"/>
      <c r="AJ831" s="5"/>
      <c r="AK831" s="5"/>
      <c r="AL831" s="5"/>
      <c r="AM831" s="5"/>
      <c r="AN831" s="5"/>
    </row>
    <row r="832" spans="1:40" ht="18.75" customHeight="1">
      <c r="A832" s="5"/>
      <c r="B832" s="5"/>
      <c r="C832" s="5"/>
      <c r="D832" s="5"/>
      <c r="E832" s="5"/>
      <c r="F832" s="5"/>
      <c r="G832" s="5"/>
      <c r="H832" s="5"/>
      <c r="I832" s="5"/>
      <c r="J832" s="5"/>
      <c r="K832" s="5"/>
      <c r="L832" s="5"/>
      <c r="M832" s="5"/>
      <c r="N832" s="5"/>
      <c r="O832" s="5"/>
      <c r="P832" s="5"/>
      <c r="Q832" s="5"/>
      <c r="R832" s="5"/>
      <c r="S832" s="5"/>
      <c r="T832" s="5"/>
      <c r="U832" s="5"/>
      <c r="V832" s="5"/>
      <c r="Y832" s="5"/>
      <c r="Z832" s="5"/>
      <c r="AA832" s="5"/>
      <c r="AB832" s="5"/>
      <c r="AC832" s="5"/>
      <c r="AD832" s="5"/>
      <c r="AE832" s="5"/>
      <c r="AF832" s="5"/>
      <c r="AG832" s="5"/>
      <c r="AH832" s="5"/>
      <c r="AI832" s="5"/>
      <c r="AJ832" s="5"/>
      <c r="AK832" s="5"/>
      <c r="AL832" s="5"/>
      <c r="AM832" s="5"/>
      <c r="AN832" s="5"/>
    </row>
    <row r="833" spans="1:40" ht="18.75" customHeight="1">
      <c r="A833" s="5"/>
      <c r="B833" s="5"/>
      <c r="C833" s="5"/>
      <c r="D833" s="5"/>
      <c r="E833" s="5"/>
      <c r="F833" s="5"/>
      <c r="G833" s="5"/>
      <c r="H833" s="5"/>
      <c r="I833" s="5"/>
      <c r="J833" s="5"/>
      <c r="K833" s="5"/>
      <c r="L833" s="5"/>
      <c r="M833" s="5"/>
      <c r="N833" s="5"/>
      <c r="O833" s="5"/>
      <c r="P833" s="5"/>
      <c r="Q833" s="5"/>
      <c r="R833" s="5"/>
      <c r="S833" s="5"/>
      <c r="T833" s="5"/>
      <c r="U833" s="5"/>
      <c r="V833" s="5"/>
      <c r="Y833" s="5"/>
      <c r="Z833" s="5"/>
      <c r="AA833" s="5"/>
      <c r="AB833" s="5"/>
      <c r="AC833" s="5"/>
      <c r="AD833" s="5"/>
      <c r="AE833" s="5"/>
      <c r="AF833" s="5"/>
      <c r="AG833" s="5"/>
      <c r="AH833" s="5"/>
      <c r="AI833" s="5"/>
      <c r="AJ833" s="5"/>
      <c r="AK833" s="5"/>
      <c r="AL833" s="5"/>
      <c r="AM833" s="5"/>
      <c r="AN833" s="5"/>
    </row>
    <row r="834" spans="1:40" ht="18.75" customHeight="1">
      <c r="A834" s="5"/>
      <c r="B834" s="5"/>
      <c r="C834" s="5"/>
      <c r="D834" s="5"/>
      <c r="E834" s="5"/>
      <c r="F834" s="5"/>
      <c r="G834" s="5"/>
      <c r="H834" s="5"/>
      <c r="I834" s="5"/>
      <c r="J834" s="5"/>
      <c r="K834" s="5"/>
      <c r="L834" s="5"/>
      <c r="M834" s="5"/>
      <c r="N834" s="5"/>
      <c r="O834" s="5"/>
      <c r="P834" s="5"/>
      <c r="Q834" s="5"/>
      <c r="R834" s="5"/>
      <c r="S834" s="5"/>
      <c r="T834" s="5"/>
      <c r="U834" s="5"/>
      <c r="V834" s="5"/>
      <c r="Y834" s="5"/>
      <c r="Z834" s="5"/>
      <c r="AA834" s="5"/>
      <c r="AB834" s="5"/>
      <c r="AC834" s="5"/>
      <c r="AD834" s="5"/>
      <c r="AE834" s="5"/>
      <c r="AF834" s="5"/>
      <c r="AG834" s="5"/>
      <c r="AH834" s="5"/>
      <c r="AI834" s="5"/>
      <c r="AJ834" s="5"/>
      <c r="AK834" s="5"/>
      <c r="AL834" s="5"/>
      <c r="AM834" s="5"/>
      <c r="AN834" s="5"/>
    </row>
    <row r="835" spans="1:40" ht="18.75" customHeight="1">
      <c r="A835" s="5"/>
      <c r="B835" s="5"/>
      <c r="C835" s="5"/>
      <c r="D835" s="5"/>
      <c r="E835" s="5"/>
      <c r="F835" s="5"/>
      <c r="G835" s="5"/>
      <c r="H835" s="5"/>
      <c r="I835" s="5"/>
      <c r="J835" s="5"/>
      <c r="K835" s="5"/>
      <c r="L835" s="5"/>
      <c r="M835" s="5"/>
      <c r="N835" s="5"/>
      <c r="O835" s="5"/>
      <c r="P835" s="5"/>
      <c r="Q835" s="5"/>
      <c r="R835" s="5"/>
      <c r="S835" s="5"/>
      <c r="T835" s="5"/>
      <c r="U835" s="5"/>
      <c r="V835" s="5"/>
      <c r="Y835" s="5"/>
      <c r="Z835" s="5"/>
      <c r="AA835" s="5"/>
      <c r="AB835" s="5"/>
      <c r="AC835" s="5"/>
      <c r="AD835" s="5"/>
      <c r="AE835" s="5"/>
      <c r="AF835" s="5"/>
      <c r="AG835" s="5"/>
      <c r="AH835" s="5"/>
      <c r="AI835" s="5"/>
      <c r="AJ835" s="5"/>
      <c r="AK835" s="5"/>
      <c r="AL835" s="5"/>
      <c r="AM835" s="5"/>
      <c r="AN835" s="5"/>
    </row>
    <row r="836" spans="1:40" ht="18.75" customHeight="1">
      <c r="A836" s="5"/>
      <c r="B836" s="5"/>
      <c r="C836" s="5"/>
      <c r="D836" s="5"/>
      <c r="E836" s="5"/>
      <c r="F836" s="5"/>
      <c r="G836" s="5"/>
      <c r="H836" s="5"/>
      <c r="I836" s="5"/>
      <c r="J836" s="5"/>
      <c r="K836" s="5"/>
      <c r="L836" s="5"/>
      <c r="M836" s="5"/>
      <c r="N836" s="5"/>
      <c r="O836" s="5"/>
      <c r="P836" s="5"/>
      <c r="Q836" s="5"/>
      <c r="R836" s="5"/>
      <c r="S836" s="5"/>
      <c r="T836" s="5"/>
      <c r="U836" s="5"/>
      <c r="V836" s="5"/>
      <c r="Y836" s="5"/>
      <c r="Z836" s="5"/>
      <c r="AA836" s="5"/>
      <c r="AB836" s="5"/>
      <c r="AC836" s="5"/>
      <c r="AD836" s="5"/>
      <c r="AE836" s="5"/>
      <c r="AF836" s="5"/>
      <c r="AG836" s="5"/>
      <c r="AH836" s="5"/>
      <c r="AI836" s="5"/>
      <c r="AJ836" s="5"/>
      <c r="AK836" s="5"/>
      <c r="AL836" s="5"/>
      <c r="AM836" s="5"/>
      <c r="AN836" s="5"/>
    </row>
    <row r="837" spans="1:40" ht="18.75" customHeight="1">
      <c r="A837" s="5"/>
      <c r="B837" s="5"/>
      <c r="C837" s="5"/>
      <c r="D837" s="5"/>
      <c r="E837" s="5"/>
      <c r="F837" s="5"/>
      <c r="G837" s="5"/>
      <c r="H837" s="5"/>
      <c r="I837" s="5"/>
      <c r="J837" s="5"/>
      <c r="K837" s="5"/>
      <c r="L837" s="5"/>
      <c r="M837" s="5"/>
      <c r="N837" s="5"/>
      <c r="O837" s="5"/>
      <c r="P837" s="5"/>
      <c r="Q837" s="5"/>
      <c r="R837" s="5"/>
      <c r="S837" s="5"/>
      <c r="T837" s="5"/>
      <c r="U837" s="5"/>
      <c r="V837" s="5"/>
      <c r="Y837" s="5"/>
      <c r="Z837" s="5"/>
      <c r="AA837" s="5"/>
      <c r="AB837" s="5"/>
      <c r="AC837" s="5"/>
      <c r="AD837" s="5"/>
      <c r="AE837" s="5"/>
      <c r="AF837" s="5"/>
      <c r="AG837" s="5"/>
      <c r="AH837" s="5"/>
      <c r="AI837" s="5"/>
      <c r="AJ837" s="5"/>
      <c r="AK837" s="5"/>
      <c r="AL837" s="5"/>
      <c r="AM837" s="5"/>
      <c r="AN837" s="5"/>
    </row>
    <row r="838" spans="1:40" ht="18.75" customHeight="1">
      <c r="A838" s="5"/>
      <c r="B838" s="5"/>
      <c r="C838" s="5"/>
      <c r="D838" s="5"/>
      <c r="E838" s="5"/>
      <c r="F838" s="5"/>
      <c r="G838" s="5"/>
      <c r="H838" s="5"/>
      <c r="I838" s="5"/>
      <c r="J838" s="5"/>
      <c r="K838" s="5"/>
      <c r="L838" s="5"/>
      <c r="M838" s="5"/>
      <c r="N838" s="5"/>
      <c r="O838" s="5"/>
      <c r="P838" s="5"/>
      <c r="Q838" s="5"/>
      <c r="R838" s="5"/>
      <c r="S838" s="5"/>
      <c r="T838" s="5"/>
      <c r="U838" s="5"/>
      <c r="V838" s="5"/>
      <c r="Y838" s="5"/>
      <c r="Z838" s="5"/>
      <c r="AA838" s="5"/>
      <c r="AB838" s="5"/>
      <c r="AC838" s="5"/>
      <c r="AD838" s="5"/>
      <c r="AE838" s="5"/>
      <c r="AF838" s="5"/>
      <c r="AG838" s="5"/>
      <c r="AH838" s="5"/>
      <c r="AI838" s="5"/>
      <c r="AJ838" s="5"/>
      <c r="AK838" s="5"/>
      <c r="AL838" s="5"/>
      <c r="AM838" s="5"/>
      <c r="AN838" s="5"/>
    </row>
    <row r="839" spans="1:40" ht="18.75" customHeight="1">
      <c r="A839" s="5"/>
      <c r="B839" s="5"/>
      <c r="C839" s="5"/>
      <c r="D839" s="5"/>
      <c r="E839" s="5"/>
      <c r="F839" s="5"/>
      <c r="G839" s="5"/>
      <c r="H839" s="5"/>
      <c r="I839" s="5"/>
      <c r="J839" s="5"/>
      <c r="K839" s="5"/>
      <c r="L839" s="5"/>
      <c r="M839" s="5"/>
      <c r="N839" s="5"/>
      <c r="O839" s="5"/>
      <c r="P839" s="5"/>
      <c r="Q839" s="5"/>
      <c r="R839" s="5"/>
      <c r="S839" s="5"/>
      <c r="T839" s="5"/>
      <c r="U839" s="5"/>
      <c r="V839" s="5"/>
      <c r="Y839" s="5"/>
      <c r="Z839" s="5"/>
      <c r="AA839" s="5"/>
      <c r="AB839" s="5"/>
      <c r="AC839" s="5"/>
      <c r="AD839" s="5"/>
      <c r="AE839" s="5"/>
      <c r="AF839" s="5"/>
      <c r="AG839" s="5"/>
      <c r="AH839" s="5"/>
      <c r="AI839" s="5"/>
      <c r="AJ839" s="5"/>
      <c r="AK839" s="5"/>
      <c r="AL839" s="5"/>
      <c r="AM839" s="5"/>
      <c r="AN839" s="5"/>
    </row>
    <row r="840" spans="1:40" ht="18.75" customHeight="1">
      <c r="A840" s="5"/>
      <c r="B840" s="5"/>
      <c r="C840" s="5"/>
      <c r="D840" s="5"/>
      <c r="E840" s="5"/>
      <c r="F840" s="5"/>
      <c r="G840" s="5"/>
      <c r="H840" s="5"/>
      <c r="I840" s="5"/>
      <c r="J840" s="5"/>
      <c r="K840" s="5"/>
      <c r="L840" s="5"/>
      <c r="M840" s="5"/>
      <c r="N840" s="5"/>
      <c r="O840" s="5"/>
      <c r="P840" s="5"/>
      <c r="Q840" s="5"/>
      <c r="R840" s="5"/>
      <c r="S840" s="5"/>
      <c r="T840" s="5"/>
      <c r="U840" s="5"/>
      <c r="V840" s="5"/>
      <c r="Y840" s="5"/>
      <c r="Z840" s="5"/>
      <c r="AA840" s="5"/>
      <c r="AB840" s="5"/>
      <c r="AC840" s="5"/>
      <c r="AD840" s="5"/>
      <c r="AE840" s="5"/>
      <c r="AF840" s="5"/>
      <c r="AG840" s="5"/>
      <c r="AH840" s="5"/>
      <c r="AI840" s="5"/>
      <c r="AJ840" s="5"/>
      <c r="AK840" s="5"/>
      <c r="AL840" s="5"/>
      <c r="AM840" s="5"/>
      <c r="AN840" s="5"/>
    </row>
    <row r="841" spans="1:40" ht="18.75" customHeight="1">
      <c r="A841" s="5"/>
      <c r="B841" s="5"/>
      <c r="C841" s="5"/>
      <c r="D841" s="5"/>
      <c r="E841" s="5"/>
      <c r="F841" s="5"/>
      <c r="G841" s="5"/>
      <c r="H841" s="5"/>
      <c r="I841" s="5"/>
      <c r="J841" s="5"/>
      <c r="K841" s="5"/>
      <c r="L841" s="5"/>
      <c r="M841" s="5"/>
      <c r="N841" s="5"/>
      <c r="O841" s="5"/>
      <c r="P841" s="5"/>
      <c r="Q841" s="5"/>
      <c r="R841" s="5"/>
      <c r="S841" s="5"/>
      <c r="T841" s="5"/>
      <c r="U841" s="5"/>
      <c r="V841" s="5"/>
      <c r="Y841" s="5"/>
      <c r="Z841" s="5"/>
      <c r="AA841" s="5"/>
      <c r="AB841" s="5"/>
      <c r="AC841" s="5"/>
      <c r="AD841" s="5"/>
      <c r="AE841" s="5"/>
      <c r="AF841" s="5"/>
      <c r="AG841" s="5"/>
      <c r="AH841" s="5"/>
      <c r="AI841" s="5"/>
      <c r="AJ841" s="5"/>
      <c r="AK841" s="5"/>
      <c r="AL841" s="5"/>
      <c r="AM841" s="5"/>
      <c r="AN841" s="5"/>
    </row>
    <row r="842" spans="1:40" ht="18.75" customHeight="1">
      <c r="A842" s="5"/>
      <c r="B842" s="5"/>
      <c r="C842" s="5"/>
      <c r="D842" s="5"/>
      <c r="E842" s="5"/>
      <c r="F842" s="5"/>
      <c r="G842" s="5"/>
      <c r="H842" s="5"/>
      <c r="I842" s="5"/>
      <c r="J842" s="5"/>
      <c r="K842" s="5"/>
      <c r="L842" s="5"/>
      <c r="M842" s="5"/>
      <c r="N842" s="5"/>
      <c r="O842" s="5"/>
      <c r="P842" s="5"/>
      <c r="Q842" s="5"/>
      <c r="R842" s="5"/>
      <c r="S842" s="5"/>
      <c r="T842" s="5"/>
      <c r="U842" s="5"/>
      <c r="V842" s="5"/>
      <c r="Y842" s="5"/>
      <c r="Z842" s="5"/>
      <c r="AA842" s="5"/>
      <c r="AB842" s="5"/>
      <c r="AC842" s="5"/>
      <c r="AD842" s="5"/>
      <c r="AE842" s="5"/>
      <c r="AF842" s="5"/>
      <c r="AG842" s="5"/>
      <c r="AH842" s="5"/>
      <c r="AI842" s="5"/>
      <c r="AJ842" s="5"/>
      <c r="AK842" s="5"/>
      <c r="AL842" s="5"/>
      <c r="AM842" s="5"/>
      <c r="AN842" s="5"/>
    </row>
    <row r="843" spans="1:40" ht="18.75" customHeight="1">
      <c r="A843" s="5"/>
      <c r="B843" s="5"/>
      <c r="C843" s="5"/>
      <c r="D843" s="5"/>
      <c r="E843" s="5"/>
      <c r="F843" s="5"/>
      <c r="G843" s="5"/>
      <c r="H843" s="5"/>
      <c r="I843" s="5"/>
      <c r="J843" s="5"/>
      <c r="K843" s="5"/>
      <c r="L843" s="5"/>
      <c r="M843" s="5"/>
      <c r="N843" s="5"/>
      <c r="O843" s="5"/>
      <c r="P843" s="5"/>
      <c r="Q843" s="5"/>
      <c r="R843" s="5"/>
      <c r="S843" s="5"/>
      <c r="T843" s="5"/>
      <c r="U843" s="5"/>
      <c r="V843" s="5"/>
      <c r="Y843" s="5"/>
      <c r="Z843" s="5"/>
      <c r="AA843" s="5"/>
      <c r="AB843" s="5"/>
      <c r="AC843" s="5"/>
      <c r="AD843" s="5"/>
      <c r="AE843" s="5"/>
      <c r="AF843" s="5"/>
      <c r="AG843" s="5"/>
      <c r="AH843" s="5"/>
      <c r="AI843" s="5"/>
      <c r="AJ843" s="5"/>
      <c r="AK843" s="5"/>
      <c r="AL843" s="5"/>
      <c r="AM843" s="5"/>
      <c r="AN843" s="5"/>
    </row>
    <row r="844" spans="1:40" ht="18.75" customHeight="1">
      <c r="A844" s="5"/>
      <c r="B844" s="5"/>
      <c r="C844" s="5"/>
      <c r="D844" s="5"/>
      <c r="E844" s="5"/>
      <c r="F844" s="5"/>
      <c r="G844" s="5"/>
      <c r="H844" s="5"/>
      <c r="I844" s="5"/>
      <c r="J844" s="5"/>
      <c r="K844" s="5"/>
      <c r="L844" s="5"/>
      <c r="M844" s="5"/>
      <c r="N844" s="5"/>
      <c r="O844" s="5"/>
      <c r="P844" s="5"/>
      <c r="Q844" s="5"/>
      <c r="R844" s="5"/>
      <c r="S844" s="5"/>
      <c r="T844" s="5"/>
      <c r="U844" s="5"/>
      <c r="V844" s="5"/>
      <c r="Y844" s="5"/>
      <c r="Z844" s="5"/>
      <c r="AA844" s="5"/>
      <c r="AB844" s="5"/>
      <c r="AC844" s="5"/>
      <c r="AD844" s="5"/>
      <c r="AE844" s="5"/>
      <c r="AF844" s="5"/>
      <c r="AG844" s="5"/>
      <c r="AH844" s="5"/>
      <c r="AI844" s="5"/>
      <c r="AJ844" s="5"/>
      <c r="AK844" s="5"/>
      <c r="AL844" s="5"/>
      <c r="AM844" s="5"/>
      <c r="AN844" s="5"/>
    </row>
    <row r="845" spans="1:40" ht="18.75" customHeight="1">
      <c r="A845" s="5"/>
      <c r="B845" s="5"/>
      <c r="C845" s="5"/>
      <c r="D845" s="5"/>
      <c r="E845" s="5"/>
      <c r="F845" s="5"/>
      <c r="G845" s="5"/>
      <c r="H845" s="5"/>
      <c r="I845" s="5"/>
      <c r="J845" s="5"/>
      <c r="K845" s="5"/>
      <c r="L845" s="5"/>
      <c r="M845" s="5"/>
      <c r="N845" s="5"/>
      <c r="O845" s="5"/>
      <c r="P845" s="5"/>
      <c r="Q845" s="5"/>
      <c r="R845" s="5"/>
      <c r="S845" s="5"/>
      <c r="T845" s="5"/>
      <c r="U845" s="5"/>
      <c r="V845" s="5"/>
      <c r="Y845" s="5"/>
      <c r="Z845" s="5"/>
      <c r="AA845" s="5"/>
      <c r="AB845" s="5"/>
      <c r="AC845" s="5"/>
      <c r="AD845" s="5"/>
      <c r="AE845" s="5"/>
      <c r="AF845" s="5"/>
      <c r="AG845" s="5"/>
      <c r="AH845" s="5"/>
      <c r="AI845" s="5"/>
      <c r="AJ845" s="5"/>
      <c r="AK845" s="5"/>
      <c r="AL845" s="5"/>
      <c r="AM845" s="5"/>
      <c r="AN845" s="5"/>
    </row>
    <row r="846" spans="1:40" ht="18.75" customHeight="1">
      <c r="A846" s="5"/>
      <c r="B846" s="5"/>
      <c r="C846" s="5"/>
      <c r="D846" s="5"/>
      <c r="E846" s="5"/>
      <c r="F846" s="5"/>
      <c r="G846" s="5"/>
      <c r="H846" s="5"/>
      <c r="I846" s="5"/>
      <c r="J846" s="5"/>
      <c r="K846" s="5"/>
      <c r="L846" s="5"/>
      <c r="M846" s="5"/>
      <c r="N846" s="5"/>
      <c r="O846" s="5"/>
      <c r="P846" s="5"/>
      <c r="Q846" s="5"/>
      <c r="R846" s="5"/>
      <c r="S846" s="5"/>
      <c r="T846" s="5"/>
      <c r="U846" s="5"/>
      <c r="V846" s="5"/>
      <c r="Y846" s="5"/>
      <c r="Z846" s="5"/>
      <c r="AA846" s="5"/>
      <c r="AB846" s="5"/>
      <c r="AC846" s="5"/>
      <c r="AD846" s="5"/>
      <c r="AE846" s="5"/>
      <c r="AF846" s="5"/>
      <c r="AG846" s="5"/>
      <c r="AH846" s="5"/>
      <c r="AI846" s="5"/>
      <c r="AJ846" s="5"/>
      <c r="AK846" s="5"/>
      <c r="AL846" s="5"/>
      <c r="AM846" s="5"/>
      <c r="AN846" s="5"/>
    </row>
    <row r="847" spans="1:40" ht="18.75" customHeight="1">
      <c r="A847" s="5"/>
      <c r="B847" s="5"/>
      <c r="C847" s="5"/>
      <c r="D847" s="5"/>
      <c r="E847" s="5"/>
      <c r="F847" s="5"/>
      <c r="G847" s="5"/>
      <c r="H847" s="5"/>
      <c r="I847" s="5"/>
      <c r="J847" s="5"/>
      <c r="K847" s="5"/>
      <c r="L847" s="5"/>
      <c r="M847" s="5"/>
      <c r="N847" s="5"/>
      <c r="O847" s="5"/>
      <c r="P847" s="5"/>
      <c r="Q847" s="5"/>
      <c r="R847" s="5"/>
      <c r="S847" s="5"/>
      <c r="T847" s="5"/>
      <c r="U847" s="5"/>
      <c r="V847" s="5"/>
      <c r="Y847" s="5"/>
      <c r="Z847" s="5"/>
      <c r="AA847" s="5"/>
      <c r="AB847" s="5"/>
      <c r="AC847" s="5"/>
      <c r="AD847" s="5"/>
      <c r="AE847" s="5"/>
      <c r="AF847" s="5"/>
      <c r="AG847" s="5"/>
      <c r="AH847" s="5"/>
      <c r="AI847" s="5"/>
      <c r="AJ847" s="5"/>
      <c r="AK847" s="5"/>
      <c r="AL847" s="5"/>
      <c r="AM847" s="5"/>
      <c r="AN847" s="5"/>
    </row>
    <row r="848" spans="1:40" ht="18.75" customHeight="1">
      <c r="A848" s="5"/>
      <c r="B848" s="5"/>
      <c r="C848" s="5"/>
      <c r="D848" s="5"/>
      <c r="E848" s="5"/>
      <c r="F848" s="5"/>
      <c r="G848" s="5"/>
      <c r="H848" s="5"/>
      <c r="I848" s="5"/>
      <c r="J848" s="5"/>
      <c r="K848" s="5"/>
      <c r="L848" s="5"/>
      <c r="M848" s="5"/>
      <c r="N848" s="5"/>
      <c r="O848" s="5"/>
      <c r="P848" s="5"/>
      <c r="Q848" s="5"/>
      <c r="R848" s="5"/>
      <c r="S848" s="5"/>
      <c r="T848" s="5"/>
      <c r="U848" s="5"/>
      <c r="V848" s="5"/>
      <c r="Y848" s="5"/>
      <c r="Z848" s="5"/>
      <c r="AA848" s="5"/>
      <c r="AB848" s="5"/>
      <c r="AC848" s="5"/>
      <c r="AD848" s="5"/>
      <c r="AE848" s="5"/>
      <c r="AF848" s="5"/>
      <c r="AG848" s="5"/>
      <c r="AH848" s="5"/>
      <c r="AI848" s="5"/>
      <c r="AJ848" s="5"/>
      <c r="AK848" s="5"/>
      <c r="AL848" s="5"/>
      <c r="AM848" s="5"/>
      <c r="AN848" s="5"/>
    </row>
    <row r="849" spans="1:40" ht="18.75" customHeight="1">
      <c r="A849" s="5"/>
      <c r="B849" s="5"/>
      <c r="C849" s="5"/>
      <c r="D849" s="5"/>
      <c r="E849" s="5"/>
      <c r="F849" s="5"/>
      <c r="G849" s="5"/>
      <c r="H849" s="5"/>
      <c r="I849" s="5"/>
      <c r="J849" s="5"/>
      <c r="K849" s="5"/>
      <c r="L849" s="5"/>
      <c r="M849" s="5"/>
      <c r="N849" s="5"/>
      <c r="O849" s="5"/>
      <c r="P849" s="5"/>
      <c r="Q849" s="5"/>
      <c r="R849" s="5"/>
      <c r="S849" s="5"/>
      <c r="T849" s="5"/>
      <c r="U849" s="5"/>
      <c r="V849" s="5"/>
      <c r="Y849" s="5"/>
      <c r="Z849" s="5"/>
      <c r="AA849" s="5"/>
      <c r="AB849" s="5"/>
      <c r="AC849" s="5"/>
      <c r="AD849" s="5"/>
      <c r="AE849" s="5"/>
      <c r="AF849" s="5"/>
      <c r="AG849" s="5"/>
      <c r="AH849" s="5"/>
      <c r="AI849" s="5"/>
      <c r="AJ849" s="5"/>
      <c r="AK849" s="5"/>
      <c r="AL849" s="5"/>
      <c r="AM849" s="5"/>
      <c r="AN849" s="5"/>
    </row>
    <row r="850" spans="1:40" ht="18.75" customHeight="1">
      <c r="A850" s="5"/>
      <c r="B850" s="5"/>
      <c r="C850" s="5"/>
      <c r="D850" s="5"/>
      <c r="E850" s="5"/>
      <c r="F850" s="5"/>
      <c r="G850" s="5"/>
      <c r="H850" s="5"/>
      <c r="I850" s="5"/>
      <c r="J850" s="5"/>
      <c r="K850" s="5"/>
      <c r="L850" s="5"/>
      <c r="M850" s="5"/>
      <c r="N850" s="5"/>
      <c r="O850" s="5"/>
      <c r="P850" s="5"/>
      <c r="Q850" s="5"/>
      <c r="R850" s="5"/>
      <c r="S850" s="5"/>
      <c r="T850" s="5"/>
      <c r="U850" s="5"/>
      <c r="V850" s="5"/>
      <c r="Y850" s="5"/>
      <c r="Z850" s="5"/>
      <c r="AA850" s="5"/>
      <c r="AB850" s="5"/>
      <c r="AC850" s="5"/>
      <c r="AD850" s="5"/>
      <c r="AE850" s="5"/>
      <c r="AF850" s="5"/>
      <c r="AG850" s="5"/>
      <c r="AH850" s="5"/>
      <c r="AI850" s="5"/>
      <c r="AJ850" s="5"/>
      <c r="AK850" s="5"/>
      <c r="AL850" s="5"/>
      <c r="AM850" s="5"/>
      <c r="AN850" s="5"/>
    </row>
    <row r="851" spans="1:40" ht="18.75" customHeight="1">
      <c r="A851" s="5"/>
      <c r="B851" s="5"/>
      <c r="C851" s="5"/>
      <c r="D851" s="5"/>
      <c r="E851" s="5"/>
      <c r="F851" s="5"/>
      <c r="G851" s="5"/>
      <c r="H851" s="5"/>
      <c r="I851" s="5"/>
      <c r="J851" s="5"/>
      <c r="K851" s="5"/>
      <c r="L851" s="5"/>
      <c r="M851" s="5"/>
      <c r="N851" s="5"/>
      <c r="O851" s="5"/>
      <c r="P851" s="5"/>
      <c r="Q851" s="5"/>
      <c r="R851" s="5"/>
      <c r="S851" s="5"/>
      <c r="T851" s="5"/>
      <c r="U851" s="5"/>
      <c r="V851" s="5"/>
      <c r="Y851" s="5"/>
      <c r="Z851" s="5"/>
      <c r="AA851" s="5"/>
      <c r="AB851" s="5"/>
      <c r="AC851" s="5"/>
      <c r="AD851" s="5"/>
      <c r="AE851" s="5"/>
      <c r="AF851" s="5"/>
      <c r="AG851" s="5"/>
      <c r="AH851" s="5"/>
      <c r="AI851" s="5"/>
      <c r="AJ851" s="5"/>
      <c r="AK851" s="5"/>
      <c r="AL851" s="5"/>
      <c r="AM851" s="5"/>
      <c r="AN851" s="5"/>
    </row>
    <row r="852" spans="1:40" ht="18.75" customHeight="1">
      <c r="A852" s="5"/>
      <c r="B852" s="5"/>
      <c r="C852" s="5"/>
      <c r="D852" s="5"/>
      <c r="E852" s="5"/>
      <c r="F852" s="5"/>
      <c r="G852" s="5"/>
      <c r="H852" s="5"/>
      <c r="I852" s="5"/>
      <c r="J852" s="5"/>
      <c r="K852" s="5"/>
      <c r="L852" s="5"/>
      <c r="M852" s="5"/>
      <c r="N852" s="5"/>
      <c r="O852" s="5"/>
      <c r="P852" s="5"/>
      <c r="Q852" s="5"/>
      <c r="R852" s="5"/>
      <c r="S852" s="5"/>
      <c r="T852" s="5"/>
      <c r="U852" s="5"/>
      <c r="V852" s="5"/>
      <c r="Y852" s="5"/>
      <c r="Z852" s="5"/>
      <c r="AA852" s="5"/>
      <c r="AB852" s="5"/>
      <c r="AC852" s="5"/>
      <c r="AD852" s="5"/>
      <c r="AE852" s="5"/>
      <c r="AF852" s="5"/>
      <c r="AG852" s="5"/>
      <c r="AH852" s="5"/>
      <c r="AI852" s="5"/>
      <c r="AJ852" s="5"/>
      <c r="AK852" s="5"/>
      <c r="AL852" s="5"/>
      <c r="AM852" s="5"/>
      <c r="AN852" s="5"/>
    </row>
    <row r="853" spans="1:40" ht="18.75" customHeight="1">
      <c r="A853" s="5"/>
      <c r="B853" s="5"/>
      <c r="C853" s="5"/>
      <c r="D853" s="5"/>
      <c r="E853" s="5"/>
      <c r="F853" s="5"/>
      <c r="G853" s="5"/>
      <c r="H853" s="5"/>
      <c r="I853" s="5"/>
      <c r="J853" s="5"/>
      <c r="K853" s="5"/>
      <c r="L853" s="5"/>
      <c r="M853" s="5"/>
      <c r="N853" s="5"/>
      <c r="O853" s="5"/>
      <c r="P853" s="5"/>
      <c r="Q853" s="5"/>
      <c r="R853" s="5"/>
      <c r="S853" s="5"/>
      <c r="T853" s="5"/>
      <c r="U853" s="5"/>
      <c r="V853" s="5"/>
      <c r="Y853" s="5"/>
      <c r="Z853" s="5"/>
      <c r="AA853" s="5"/>
      <c r="AB853" s="5"/>
      <c r="AC853" s="5"/>
      <c r="AD853" s="5"/>
      <c r="AE853" s="5"/>
      <c r="AF853" s="5"/>
      <c r="AG853" s="5"/>
      <c r="AH853" s="5"/>
      <c r="AI853" s="5"/>
      <c r="AJ853" s="5"/>
      <c r="AK853" s="5"/>
      <c r="AL853" s="5"/>
      <c r="AM853" s="5"/>
      <c r="AN853" s="5"/>
    </row>
    <row r="854" spans="1:40" ht="18.75" customHeight="1">
      <c r="A854" s="5"/>
      <c r="B854" s="5"/>
      <c r="C854" s="5"/>
      <c r="D854" s="5"/>
      <c r="E854" s="5"/>
      <c r="F854" s="5"/>
      <c r="G854" s="5"/>
      <c r="H854" s="5"/>
      <c r="I854" s="5"/>
      <c r="J854" s="5"/>
      <c r="K854" s="5"/>
      <c r="L854" s="5"/>
      <c r="M854" s="5"/>
      <c r="N854" s="5"/>
      <c r="O854" s="5"/>
      <c r="P854" s="5"/>
      <c r="Q854" s="5"/>
      <c r="R854" s="5"/>
      <c r="S854" s="5"/>
      <c r="T854" s="5"/>
      <c r="U854" s="5"/>
      <c r="V854" s="5"/>
      <c r="Y854" s="5"/>
      <c r="Z854" s="5"/>
      <c r="AA854" s="5"/>
      <c r="AB854" s="5"/>
      <c r="AC854" s="5"/>
      <c r="AD854" s="5"/>
      <c r="AE854" s="5"/>
      <c r="AF854" s="5"/>
      <c r="AG854" s="5"/>
      <c r="AH854" s="5"/>
      <c r="AI854" s="5"/>
      <c r="AJ854" s="5"/>
      <c r="AK854" s="5"/>
      <c r="AL854" s="5"/>
      <c r="AM854" s="5"/>
      <c r="AN854" s="5"/>
    </row>
    <row r="855" spans="1:40" ht="18.75" customHeight="1">
      <c r="A855" s="5"/>
      <c r="B855" s="5"/>
      <c r="C855" s="5"/>
      <c r="D855" s="5"/>
      <c r="E855" s="5"/>
      <c r="F855" s="5"/>
      <c r="G855" s="5"/>
      <c r="H855" s="5"/>
      <c r="I855" s="5"/>
      <c r="J855" s="5"/>
      <c r="K855" s="5"/>
      <c r="L855" s="5"/>
      <c r="M855" s="5"/>
      <c r="N855" s="5"/>
      <c r="O855" s="5"/>
      <c r="P855" s="5"/>
      <c r="Q855" s="5"/>
      <c r="R855" s="5"/>
      <c r="S855" s="5"/>
      <c r="T855" s="5"/>
      <c r="U855" s="5"/>
      <c r="V855" s="5"/>
      <c r="Y855" s="5"/>
      <c r="Z855" s="5"/>
      <c r="AA855" s="5"/>
      <c r="AB855" s="5"/>
      <c r="AC855" s="5"/>
      <c r="AD855" s="5"/>
      <c r="AE855" s="5"/>
      <c r="AF855" s="5"/>
      <c r="AG855" s="5"/>
      <c r="AH855" s="5"/>
      <c r="AI855" s="5"/>
      <c r="AJ855" s="5"/>
      <c r="AK855" s="5"/>
      <c r="AL855" s="5"/>
      <c r="AM855" s="5"/>
      <c r="AN855" s="5"/>
    </row>
    <row r="856" spans="1:40" ht="18.75" customHeight="1">
      <c r="A856" s="5"/>
      <c r="B856" s="5"/>
      <c r="C856" s="5"/>
      <c r="D856" s="5"/>
      <c r="E856" s="5"/>
      <c r="F856" s="5"/>
      <c r="G856" s="5"/>
      <c r="H856" s="5"/>
      <c r="I856" s="5"/>
      <c r="J856" s="5"/>
      <c r="K856" s="5"/>
      <c r="L856" s="5"/>
      <c r="M856" s="5"/>
      <c r="N856" s="5"/>
      <c r="O856" s="5"/>
      <c r="P856" s="5"/>
      <c r="Q856" s="5"/>
      <c r="R856" s="5"/>
      <c r="S856" s="5"/>
      <c r="T856" s="5"/>
      <c r="U856" s="5"/>
      <c r="V856" s="5"/>
      <c r="Y856" s="5"/>
      <c r="Z856" s="5"/>
      <c r="AA856" s="5"/>
      <c r="AB856" s="5"/>
      <c r="AC856" s="5"/>
      <c r="AD856" s="5"/>
      <c r="AE856" s="5"/>
      <c r="AF856" s="5"/>
      <c r="AG856" s="5"/>
      <c r="AH856" s="5"/>
      <c r="AI856" s="5"/>
      <c r="AJ856" s="5"/>
      <c r="AK856" s="5"/>
      <c r="AL856" s="5"/>
      <c r="AM856" s="5"/>
      <c r="AN856" s="5"/>
    </row>
    <row r="857" spans="1:40" ht="18.75" customHeight="1">
      <c r="A857" s="5"/>
      <c r="B857" s="5"/>
      <c r="C857" s="5"/>
      <c r="D857" s="5"/>
      <c r="E857" s="5"/>
      <c r="F857" s="5"/>
      <c r="G857" s="5"/>
      <c r="H857" s="5"/>
      <c r="I857" s="5"/>
      <c r="J857" s="5"/>
      <c r="K857" s="5"/>
      <c r="L857" s="5"/>
      <c r="M857" s="5"/>
      <c r="N857" s="5"/>
      <c r="O857" s="5"/>
      <c r="P857" s="5"/>
      <c r="Q857" s="5"/>
      <c r="R857" s="5"/>
      <c r="S857" s="5"/>
      <c r="T857" s="5"/>
      <c r="U857" s="5"/>
      <c r="V857" s="5"/>
      <c r="Y857" s="5"/>
      <c r="Z857" s="5"/>
      <c r="AA857" s="5"/>
      <c r="AB857" s="5"/>
      <c r="AC857" s="5"/>
      <c r="AD857" s="5"/>
      <c r="AE857" s="5"/>
      <c r="AF857" s="5"/>
      <c r="AG857" s="5"/>
      <c r="AH857" s="5"/>
      <c r="AI857" s="5"/>
      <c r="AJ857" s="5"/>
      <c r="AK857" s="5"/>
      <c r="AL857" s="5"/>
      <c r="AM857" s="5"/>
      <c r="AN857" s="5"/>
    </row>
    <row r="858" spans="1:40" ht="18.75" customHeight="1">
      <c r="A858" s="5"/>
      <c r="B858" s="5"/>
      <c r="C858" s="5"/>
      <c r="D858" s="5"/>
      <c r="E858" s="5"/>
      <c r="F858" s="5"/>
      <c r="G858" s="5"/>
      <c r="H858" s="5"/>
      <c r="I858" s="5"/>
      <c r="J858" s="5"/>
      <c r="K858" s="5"/>
      <c r="L858" s="5"/>
      <c r="M858" s="5"/>
      <c r="N858" s="5"/>
      <c r="O858" s="5"/>
      <c r="P858" s="5"/>
      <c r="Q858" s="5"/>
      <c r="R858" s="5"/>
      <c r="S858" s="5"/>
      <c r="T858" s="5"/>
      <c r="U858" s="5"/>
      <c r="V858" s="5"/>
      <c r="Y858" s="5"/>
      <c r="Z858" s="5"/>
      <c r="AA858" s="5"/>
      <c r="AB858" s="5"/>
      <c r="AC858" s="5"/>
      <c r="AD858" s="5"/>
      <c r="AE858" s="5"/>
      <c r="AF858" s="5"/>
      <c r="AG858" s="5"/>
      <c r="AH858" s="5"/>
      <c r="AI858" s="5"/>
      <c r="AJ858" s="5"/>
      <c r="AK858" s="5"/>
      <c r="AL858" s="5"/>
      <c r="AM858" s="5"/>
      <c r="AN858" s="5"/>
    </row>
    <row r="859" spans="1:40" ht="18.75" customHeight="1">
      <c r="A859" s="5"/>
      <c r="B859" s="5"/>
      <c r="C859" s="5"/>
      <c r="D859" s="5"/>
      <c r="E859" s="5"/>
      <c r="F859" s="5"/>
      <c r="G859" s="5"/>
      <c r="H859" s="5"/>
      <c r="I859" s="5"/>
      <c r="J859" s="5"/>
      <c r="K859" s="5"/>
      <c r="L859" s="5"/>
      <c r="M859" s="5"/>
      <c r="N859" s="5"/>
      <c r="O859" s="5"/>
      <c r="P859" s="5"/>
      <c r="Q859" s="5"/>
      <c r="R859" s="5"/>
      <c r="S859" s="5"/>
      <c r="T859" s="5"/>
      <c r="U859" s="5"/>
      <c r="V859" s="5"/>
      <c r="Y859" s="5"/>
      <c r="Z859" s="5"/>
      <c r="AA859" s="5"/>
      <c r="AB859" s="5"/>
      <c r="AC859" s="5"/>
      <c r="AD859" s="5"/>
      <c r="AE859" s="5"/>
      <c r="AF859" s="5"/>
      <c r="AG859" s="5"/>
      <c r="AH859" s="5"/>
      <c r="AI859" s="5"/>
      <c r="AJ859" s="5"/>
      <c r="AK859" s="5"/>
      <c r="AL859" s="5"/>
      <c r="AM859" s="5"/>
      <c r="AN859" s="5"/>
    </row>
    <row r="860" spans="1:40" ht="18.75" customHeight="1">
      <c r="A860" s="5"/>
      <c r="B860" s="5"/>
      <c r="C860" s="5"/>
      <c r="D860" s="5"/>
      <c r="E860" s="5"/>
      <c r="F860" s="5"/>
      <c r="G860" s="5"/>
      <c r="H860" s="5"/>
      <c r="I860" s="5"/>
      <c r="J860" s="5"/>
      <c r="K860" s="5"/>
      <c r="L860" s="5"/>
      <c r="M860" s="5"/>
      <c r="N860" s="5"/>
      <c r="O860" s="5"/>
      <c r="P860" s="5"/>
      <c r="Q860" s="5"/>
      <c r="R860" s="5"/>
      <c r="S860" s="5"/>
      <c r="T860" s="5"/>
      <c r="U860" s="5"/>
      <c r="V860" s="5"/>
      <c r="Y860" s="5"/>
      <c r="Z860" s="5"/>
      <c r="AA860" s="5"/>
      <c r="AB860" s="5"/>
      <c r="AC860" s="5"/>
      <c r="AD860" s="5"/>
      <c r="AE860" s="5"/>
      <c r="AF860" s="5"/>
      <c r="AG860" s="5"/>
      <c r="AH860" s="5"/>
      <c r="AI860" s="5"/>
      <c r="AJ860" s="5"/>
      <c r="AK860" s="5"/>
      <c r="AL860" s="5"/>
      <c r="AM860" s="5"/>
      <c r="AN860" s="5"/>
    </row>
    <row r="861" spans="1:40" ht="18.75" customHeight="1">
      <c r="A861" s="5"/>
      <c r="B861" s="5"/>
      <c r="C861" s="5"/>
      <c r="D861" s="5"/>
      <c r="E861" s="5"/>
      <c r="F861" s="5"/>
      <c r="G861" s="5"/>
      <c r="H861" s="5"/>
      <c r="I861" s="5"/>
      <c r="J861" s="5"/>
      <c r="K861" s="5"/>
      <c r="L861" s="5"/>
      <c r="M861" s="5"/>
      <c r="N861" s="5"/>
      <c r="O861" s="5"/>
      <c r="P861" s="5"/>
      <c r="Q861" s="5"/>
      <c r="R861" s="5"/>
      <c r="S861" s="5"/>
      <c r="T861" s="5"/>
      <c r="U861" s="5"/>
      <c r="V861" s="5"/>
      <c r="Y861" s="5"/>
      <c r="Z861" s="5"/>
      <c r="AA861" s="5"/>
      <c r="AB861" s="5"/>
      <c r="AC861" s="5"/>
      <c r="AD861" s="5"/>
      <c r="AE861" s="5"/>
      <c r="AF861" s="5"/>
      <c r="AG861" s="5"/>
      <c r="AH861" s="5"/>
      <c r="AI861" s="5"/>
      <c r="AJ861" s="5"/>
      <c r="AK861" s="5"/>
      <c r="AL861" s="5"/>
      <c r="AM861" s="5"/>
      <c r="AN861" s="5"/>
    </row>
    <row r="862" spans="1:40" ht="18.75" customHeight="1">
      <c r="A862" s="5"/>
      <c r="B862" s="5"/>
      <c r="C862" s="5"/>
      <c r="D862" s="5"/>
      <c r="E862" s="5"/>
      <c r="F862" s="5"/>
      <c r="G862" s="5"/>
      <c r="H862" s="5"/>
      <c r="I862" s="5"/>
      <c r="J862" s="5"/>
      <c r="K862" s="5"/>
      <c r="L862" s="5"/>
      <c r="M862" s="5"/>
      <c r="N862" s="5"/>
      <c r="O862" s="5"/>
      <c r="P862" s="5"/>
      <c r="Q862" s="5"/>
      <c r="R862" s="5"/>
      <c r="S862" s="5"/>
      <c r="T862" s="5"/>
      <c r="U862" s="5"/>
      <c r="V862" s="5"/>
      <c r="Y862" s="5"/>
      <c r="Z862" s="5"/>
      <c r="AA862" s="5"/>
      <c r="AB862" s="5"/>
      <c r="AC862" s="5"/>
      <c r="AD862" s="5"/>
      <c r="AE862" s="5"/>
      <c r="AF862" s="5"/>
      <c r="AG862" s="5"/>
      <c r="AH862" s="5"/>
      <c r="AI862" s="5"/>
      <c r="AJ862" s="5"/>
      <c r="AK862" s="5"/>
      <c r="AL862" s="5"/>
      <c r="AM862" s="5"/>
      <c r="AN862" s="5"/>
    </row>
    <row r="863" spans="1:40" ht="18.75" customHeight="1">
      <c r="A863" s="5"/>
      <c r="B863" s="5"/>
      <c r="C863" s="5"/>
      <c r="D863" s="5"/>
      <c r="E863" s="5"/>
      <c r="F863" s="5"/>
      <c r="G863" s="5"/>
      <c r="H863" s="5"/>
      <c r="I863" s="5"/>
      <c r="J863" s="5"/>
      <c r="K863" s="5"/>
      <c r="L863" s="5"/>
      <c r="M863" s="5"/>
      <c r="N863" s="5"/>
      <c r="O863" s="5"/>
      <c r="P863" s="5"/>
      <c r="Q863" s="5"/>
      <c r="R863" s="5"/>
      <c r="S863" s="5"/>
      <c r="T863" s="5"/>
      <c r="U863" s="5"/>
      <c r="V863" s="5"/>
      <c r="Y863" s="5"/>
      <c r="Z863" s="5"/>
      <c r="AA863" s="5"/>
      <c r="AB863" s="5"/>
      <c r="AC863" s="5"/>
      <c r="AD863" s="5"/>
      <c r="AE863" s="5"/>
      <c r="AF863" s="5"/>
      <c r="AG863" s="5"/>
      <c r="AH863" s="5"/>
      <c r="AI863" s="5"/>
      <c r="AJ863" s="5"/>
      <c r="AK863" s="5"/>
      <c r="AL863" s="5"/>
      <c r="AM863" s="5"/>
      <c r="AN863" s="5"/>
    </row>
    <row r="864" spans="1:40" ht="18.75" customHeight="1">
      <c r="A864" s="5"/>
      <c r="B864" s="5"/>
      <c r="C864" s="5"/>
      <c r="D864" s="5"/>
      <c r="E864" s="5"/>
      <c r="F864" s="5"/>
      <c r="G864" s="5"/>
      <c r="H864" s="5"/>
      <c r="I864" s="5"/>
      <c r="J864" s="5"/>
      <c r="K864" s="5"/>
      <c r="L864" s="5"/>
      <c r="M864" s="5"/>
      <c r="N864" s="5"/>
      <c r="O864" s="5"/>
      <c r="P864" s="5"/>
      <c r="Q864" s="5"/>
      <c r="R864" s="5"/>
      <c r="S864" s="5"/>
      <c r="T864" s="5"/>
      <c r="U864" s="5"/>
      <c r="V864" s="5"/>
      <c r="Y864" s="5"/>
      <c r="Z864" s="5"/>
      <c r="AA864" s="5"/>
      <c r="AB864" s="5"/>
      <c r="AC864" s="5"/>
      <c r="AD864" s="5"/>
      <c r="AE864" s="5"/>
      <c r="AF864" s="5"/>
      <c r="AG864" s="5"/>
      <c r="AH864" s="5"/>
      <c r="AI864" s="5"/>
      <c r="AJ864" s="5"/>
      <c r="AK864" s="5"/>
      <c r="AL864" s="5"/>
      <c r="AM864" s="5"/>
      <c r="AN864" s="5"/>
    </row>
    <row r="865" spans="1:40" ht="18.75" customHeight="1">
      <c r="A865" s="5"/>
      <c r="B865" s="5"/>
      <c r="C865" s="5"/>
      <c r="D865" s="5"/>
      <c r="E865" s="5"/>
      <c r="F865" s="5"/>
      <c r="G865" s="5"/>
      <c r="H865" s="5"/>
      <c r="I865" s="5"/>
      <c r="J865" s="5"/>
      <c r="K865" s="5"/>
      <c r="L865" s="5"/>
      <c r="M865" s="5"/>
      <c r="N865" s="5"/>
      <c r="O865" s="5"/>
      <c r="P865" s="5"/>
      <c r="Q865" s="5"/>
      <c r="R865" s="5"/>
      <c r="S865" s="5"/>
      <c r="T865" s="5"/>
      <c r="U865" s="5"/>
      <c r="V865" s="5"/>
      <c r="Y865" s="5"/>
      <c r="Z865" s="5"/>
      <c r="AA865" s="5"/>
      <c r="AB865" s="5"/>
      <c r="AC865" s="5"/>
      <c r="AD865" s="5"/>
      <c r="AE865" s="5"/>
      <c r="AF865" s="5"/>
      <c r="AG865" s="5"/>
      <c r="AH865" s="5"/>
      <c r="AI865" s="5"/>
      <c r="AJ865" s="5"/>
      <c r="AK865" s="5"/>
      <c r="AL865" s="5"/>
      <c r="AM865" s="5"/>
      <c r="AN865" s="5"/>
    </row>
    <row r="866" spans="1:40" ht="18.75" customHeight="1">
      <c r="A866" s="5"/>
      <c r="B866" s="5"/>
      <c r="C866" s="5"/>
      <c r="D866" s="5"/>
      <c r="E866" s="5"/>
      <c r="F866" s="5"/>
      <c r="G866" s="5"/>
      <c r="H866" s="5"/>
      <c r="I866" s="5"/>
      <c r="J866" s="5"/>
      <c r="K866" s="5"/>
      <c r="L866" s="5"/>
      <c r="M866" s="5"/>
      <c r="N866" s="5"/>
      <c r="O866" s="5"/>
      <c r="P866" s="5"/>
      <c r="Q866" s="5"/>
      <c r="R866" s="5"/>
      <c r="S866" s="5"/>
      <c r="T866" s="5"/>
      <c r="U866" s="5"/>
      <c r="V866" s="5"/>
      <c r="Y866" s="5"/>
      <c r="Z866" s="5"/>
      <c r="AA866" s="5"/>
      <c r="AB866" s="5"/>
      <c r="AC866" s="5"/>
      <c r="AD866" s="5"/>
      <c r="AE866" s="5"/>
      <c r="AF866" s="5"/>
      <c r="AG866" s="5"/>
      <c r="AH866" s="5"/>
      <c r="AI866" s="5"/>
      <c r="AJ866" s="5"/>
      <c r="AK866" s="5"/>
      <c r="AL866" s="5"/>
      <c r="AM866" s="5"/>
      <c r="AN866" s="5"/>
    </row>
    <row r="867" spans="1:40" ht="18.75" customHeight="1">
      <c r="A867" s="5"/>
      <c r="B867" s="5"/>
      <c r="C867" s="5"/>
      <c r="D867" s="5"/>
      <c r="E867" s="5"/>
      <c r="F867" s="5"/>
      <c r="G867" s="5"/>
      <c r="H867" s="5"/>
      <c r="I867" s="5"/>
      <c r="J867" s="5"/>
      <c r="K867" s="5"/>
      <c r="L867" s="5"/>
      <c r="M867" s="5"/>
      <c r="N867" s="5"/>
      <c r="O867" s="5"/>
      <c r="P867" s="5"/>
      <c r="Q867" s="5"/>
      <c r="R867" s="5"/>
      <c r="S867" s="5"/>
      <c r="T867" s="5"/>
      <c r="U867" s="5"/>
      <c r="V867" s="5"/>
      <c r="Y867" s="5"/>
      <c r="Z867" s="5"/>
      <c r="AA867" s="5"/>
      <c r="AB867" s="5"/>
      <c r="AC867" s="5"/>
      <c r="AD867" s="5"/>
      <c r="AE867" s="5"/>
      <c r="AF867" s="5"/>
      <c r="AG867" s="5"/>
      <c r="AH867" s="5"/>
      <c r="AI867" s="5"/>
      <c r="AJ867" s="5"/>
      <c r="AK867" s="5"/>
      <c r="AL867" s="5"/>
      <c r="AM867" s="5"/>
      <c r="AN867" s="5"/>
    </row>
    <row r="868" spans="1:40" ht="18.75" customHeight="1">
      <c r="A868" s="5"/>
      <c r="B868" s="5"/>
      <c r="C868" s="5"/>
      <c r="D868" s="5"/>
      <c r="E868" s="5"/>
      <c r="F868" s="5"/>
      <c r="G868" s="5"/>
      <c r="H868" s="5"/>
      <c r="I868" s="5"/>
      <c r="J868" s="5"/>
      <c r="K868" s="5"/>
      <c r="L868" s="5"/>
      <c r="M868" s="5"/>
      <c r="N868" s="5"/>
      <c r="O868" s="5"/>
      <c r="P868" s="5"/>
      <c r="Q868" s="5"/>
      <c r="R868" s="5"/>
      <c r="S868" s="5"/>
      <c r="T868" s="5"/>
      <c r="U868" s="5"/>
      <c r="V868" s="5"/>
      <c r="Y868" s="5"/>
      <c r="Z868" s="5"/>
      <c r="AA868" s="5"/>
      <c r="AB868" s="5"/>
      <c r="AC868" s="5"/>
      <c r="AD868" s="5"/>
      <c r="AE868" s="5"/>
      <c r="AF868" s="5"/>
      <c r="AG868" s="5"/>
      <c r="AH868" s="5"/>
      <c r="AI868" s="5"/>
      <c r="AJ868" s="5"/>
      <c r="AK868" s="5"/>
      <c r="AL868" s="5"/>
      <c r="AM868" s="5"/>
      <c r="AN868" s="5"/>
    </row>
    <row r="869" spans="1:40" ht="18.75" customHeight="1">
      <c r="A869" s="5"/>
      <c r="B869" s="5"/>
      <c r="C869" s="5"/>
      <c r="D869" s="5"/>
      <c r="E869" s="5"/>
      <c r="F869" s="5"/>
      <c r="G869" s="5"/>
      <c r="H869" s="5"/>
      <c r="I869" s="5"/>
      <c r="J869" s="5"/>
      <c r="K869" s="5"/>
      <c r="L869" s="5"/>
      <c r="M869" s="5"/>
      <c r="N869" s="5"/>
      <c r="O869" s="5"/>
      <c r="P869" s="5"/>
      <c r="Q869" s="5"/>
      <c r="R869" s="5"/>
      <c r="S869" s="5"/>
      <c r="T869" s="5"/>
      <c r="U869" s="5"/>
      <c r="V869" s="5"/>
      <c r="Y869" s="5"/>
      <c r="Z869" s="5"/>
      <c r="AA869" s="5"/>
      <c r="AB869" s="5"/>
      <c r="AC869" s="5"/>
      <c r="AD869" s="5"/>
      <c r="AE869" s="5"/>
      <c r="AF869" s="5"/>
      <c r="AG869" s="5"/>
      <c r="AH869" s="5"/>
      <c r="AI869" s="5"/>
      <c r="AJ869" s="5"/>
      <c r="AK869" s="5"/>
      <c r="AL869" s="5"/>
      <c r="AM869" s="5"/>
      <c r="AN869" s="5"/>
    </row>
    <row r="870" spans="1:40" ht="18.75" customHeight="1">
      <c r="A870" s="5"/>
      <c r="B870" s="5"/>
      <c r="C870" s="5"/>
      <c r="D870" s="5"/>
      <c r="E870" s="5"/>
      <c r="F870" s="5"/>
      <c r="G870" s="5"/>
      <c r="H870" s="5"/>
      <c r="I870" s="5"/>
      <c r="J870" s="5"/>
      <c r="K870" s="5"/>
      <c r="L870" s="5"/>
      <c r="M870" s="5"/>
      <c r="N870" s="5"/>
      <c r="O870" s="5"/>
      <c r="P870" s="5"/>
      <c r="Q870" s="5"/>
      <c r="R870" s="5"/>
      <c r="S870" s="5"/>
      <c r="T870" s="5"/>
      <c r="U870" s="5"/>
      <c r="V870" s="5"/>
      <c r="Y870" s="5"/>
      <c r="Z870" s="5"/>
      <c r="AA870" s="5"/>
      <c r="AB870" s="5"/>
      <c r="AC870" s="5"/>
      <c r="AD870" s="5"/>
      <c r="AE870" s="5"/>
      <c r="AF870" s="5"/>
      <c r="AG870" s="5"/>
      <c r="AH870" s="5"/>
      <c r="AI870" s="5"/>
      <c r="AJ870" s="5"/>
      <c r="AK870" s="5"/>
      <c r="AL870" s="5"/>
      <c r="AM870" s="5"/>
      <c r="AN870" s="5"/>
    </row>
    <row r="871" spans="1:40" ht="18.75" customHeight="1">
      <c r="A871" s="5"/>
      <c r="B871" s="5"/>
      <c r="C871" s="5"/>
      <c r="D871" s="5"/>
      <c r="E871" s="5"/>
      <c r="F871" s="5"/>
      <c r="G871" s="5"/>
      <c r="H871" s="5"/>
      <c r="I871" s="5"/>
      <c r="J871" s="5"/>
      <c r="K871" s="5"/>
      <c r="L871" s="5"/>
      <c r="M871" s="5"/>
      <c r="N871" s="5"/>
      <c r="O871" s="5"/>
      <c r="P871" s="5"/>
      <c r="Q871" s="5"/>
      <c r="R871" s="5"/>
      <c r="S871" s="5"/>
      <c r="T871" s="5"/>
      <c r="U871" s="5"/>
      <c r="V871" s="5"/>
      <c r="Y871" s="5"/>
      <c r="Z871" s="5"/>
      <c r="AA871" s="5"/>
      <c r="AB871" s="5"/>
      <c r="AC871" s="5"/>
      <c r="AD871" s="5"/>
      <c r="AE871" s="5"/>
      <c r="AF871" s="5"/>
      <c r="AG871" s="5"/>
      <c r="AH871" s="5"/>
      <c r="AI871" s="5"/>
      <c r="AJ871" s="5"/>
      <c r="AK871" s="5"/>
      <c r="AL871" s="5"/>
      <c r="AM871" s="5"/>
      <c r="AN871" s="5"/>
    </row>
    <row r="872" spans="1:40" ht="18.75" customHeight="1">
      <c r="A872" s="5"/>
      <c r="B872" s="5"/>
      <c r="C872" s="5"/>
      <c r="D872" s="5"/>
      <c r="E872" s="5"/>
      <c r="F872" s="5"/>
      <c r="G872" s="5"/>
      <c r="H872" s="5"/>
      <c r="I872" s="5"/>
      <c r="J872" s="5"/>
      <c r="K872" s="5"/>
      <c r="L872" s="5"/>
      <c r="M872" s="5"/>
      <c r="N872" s="5"/>
      <c r="O872" s="5"/>
      <c r="P872" s="5"/>
      <c r="Q872" s="5"/>
      <c r="R872" s="5"/>
      <c r="S872" s="5"/>
      <c r="T872" s="5"/>
      <c r="U872" s="5"/>
      <c r="V872" s="5"/>
      <c r="Y872" s="5"/>
      <c r="Z872" s="5"/>
      <c r="AA872" s="5"/>
      <c r="AB872" s="5"/>
      <c r="AC872" s="5"/>
      <c r="AD872" s="5"/>
      <c r="AE872" s="5"/>
      <c r="AF872" s="5"/>
      <c r="AG872" s="5"/>
      <c r="AH872" s="5"/>
      <c r="AI872" s="5"/>
      <c r="AJ872" s="5"/>
      <c r="AK872" s="5"/>
      <c r="AL872" s="5"/>
      <c r="AM872" s="5"/>
      <c r="AN872" s="5"/>
    </row>
    <row r="873" spans="1:40" ht="18.75" customHeight="1">
      <c r="A873" s="5"/>
      <c r="B873" s="5"/>
      <c r="C873" s="5"/>
      <c r="D873" s="5"/>
      <c r="E873" s="5"/>
      <c r="F873" s="5"/>
      <c r="G873" s="5"/>
      <c r="H873" s="5"/>
      <c r="I873" s="5"/>
      <c r="J873" s="5"/>
      <c r="K873" s="5"/>
      <c r="L873" s="5"/>
      <c r="M873" s="5"/>
      <c r="N873" s="5"/>
      <c r="O873" s="5"/>
      <c r="P873" s="5"/>
      <c r="Q873" s="5"/>
      <c r="R873" s="5"/>
      <c r="S873" s="5"/>
      <c r="T873" s="5"/>
      <c r="U873" s="5"/>
      <c r="V873" s="5"/>
      <c r="Y873" s="5"/>
      <c r="Z873" s="5"/>
      <c r="AA873" s="5"/>
      <c r="AB873" s="5"/>
      <c r="AC873" s="5"/>
      <c r="AD873" s="5"/>
      <c r="AE873" s="5"/>
      <c r="AF873" s="5"/>
      <c r="AG873" s="5"/>
      <c r="AH873" s="5"/>
      <c r="AI873" s="5"/>
      <c r="AJ873" s="5"/>
      <c r="AK873" s="5"/>
      <c r="AL873" s="5"/>
      <c r="AM873" s="5"/>
      <c r="AN873" s="5"/>
    </row>
    <row r="874" spans="1:40" ht="18.75" customHeight="1">
      <c r="A874" s="5"/>
      <c r="B874" s="5"/>
      <c r="C874" s="5"/>
      <c r="D874" s="5"/>
      <c r="E874" s="5"/>
      <c r="F874" s="5"/>
      <c r="G874" s="5"/>
      <c r="H874" s="5"/>
      <c r="I874" s="5"/>
      <c r="J874" s="5"/>
      <c r="K874" s="5"/>
      <c r="L874" s="5"/>
      <c r="M874" s="5"/>
      <c r="N874" s="5"/>
      <c r="O874" s="5"/>
      <c r="P874" s="5"/>
      <c r="Q874" s="5"/>
      <c r="R874" s="5"/>
      <c r="S874" s="5"/>
      <c r="T874" s="5"/>
      <c r="U874" s="5"/>
      <c r="V874" s="5"/>
      <c r="Y874" s="5"/>
      <c r="Z874" s="5"/>
      <c r="AA874" s="5"/>
      <c r="AB874" s="5"/>
      <c r="AC874" s="5"/>
      <c r="AD874" s="5"/>
      <c r="AE874" s="5"/>
      <c r="AF874" s="5"/>
      <c r="AG874" s="5"/>
      <c r="AH874" s="5"/>
      <c r="AI874" s="5"/>
      <c r="AJ874" s="5"/>
      <c r="AK874" s="5"/>
      <c r="AL874" s="5"/>
      <c r="AM874" s="5"/>
      <c r="AN874" s="5"/>
    </row>
    <row r="875" spans="1:40" ht="18.75" customHeight="1">
      <c r="A875" s="5"/>
      <c r="B875" s="5"/>
      <c r="C875" s="5"/>
      <c r="D875" s="5"/>
      <c r="E875" s="5"/>
      <c r="F875" s="5"/>
      <c r="G875" s="5"/>
      <c r="H875" s="5"/>
      <c r="I875" s="5"/>
      <c r="J875" s="5"/>
      <c r="K875" s="5"/>
      <c r="L875" s="5"/>
      <c r="M875" s="5"/>
      <c r="N875" s="5"/>
      <c r="O875" s="5"/>
      <c r="P875" s="5"/>
      <c r="Q875" s="5"/>
      <c r="R875" s="5"/>
      <c r="S875" s="5"/>
      <c r="T875" s="5"/>
      <c r="U875" s="5"/>
      <c r="V875" s="5"/>
      <c r="Y875" s="5"/>
      <c r="Z875" s="5"/>
      <c r="AA875" s="5"/>
      <c r="AB875" s="5"/>
      <c r="AC875" s="5"/>
      <c r="AD875" s="5"/>
      <c r="AE875" s="5"/>
      <c r="AF875" s="5"/>
      <c r="AG875" s="5"/>
      <c r="AH875" s="5"/>
      <c r="AI875" s="5"/>
      <c r="AJ875" s="5"/>
      <c r="AK875" s="5"/>
      <c r="AL875" s="5"/>
      <c r="AM875" s="5"/>
      <c r="AN875" s="5"/>
    </row>
    <row r="876" spans="1:40" ht="18.75" customHeight="1">
      <c r="A876" s="5"/>
      <c r="B876" s="5"/>
      <c r="C876" s="5"/>
      <c r="D876" s="5"/>
      <c r="E876" s="5"/>
      <c r="F876" s="5"/>
      <c r="G876" s="5"/>
      <c r="H876" s="5"/>
      <c r="I876" s="5"/>
      <c r="J876" s="5"/>
      <c r="K876" s="5"/>
      <c r="L876" s="5"/>
      <c r="M876" s="5"/>
      <c r="N876" s="5"/>
      <c r="O876" s="5"/>
      <c r="P876" s="5"/>
      <c r="Q876" s="5"/>
      <c r="R876" s="5"/>
      <c r="S876" s="5"/>
      <c r="T876" s="5"/>
      <c r="U876" s="5"/>
      <c r="V876" s="5"/>
      <c r="Y876" s="5"/>
      <c r="Z876" s="5"/>
      <c r="AA876" s="5"/>
      <c r="AB876" s="5"/>
      <c r="AC876" s="5"/>
      <c r="AD876" s="5"/>
      <c r="AE876" s="5"/>
      <c r="AF876" s="5"/>
      <c r="AG876" s="5"/>
      <c r="AH876" s="5"/>
      <c r="AI876" s="5"/>
      <c r="AJ876" s="5"/>
      <c r="AK876" s="5"/>
      <c r="AL876" s="5"/>
      <c r="AM876" s="5"/>
      <c r="AN876" s="5"/>
    </row>
    <row r="877" spans="1:40" ht="18.75" customHeight="1">
      <c r="A877" s="5"/>
      <c r="B877" s="5"/>
      <c r="C877" s="5"/>
      <c r="D877" s="5"/>
      <c r="E877" s="5"/>
      <c r="F877" s="5"/>
      <c r="G877" s="5"/>
      <c r="H877" s="5"/>
      <c r="I877" s="5"/>
      <c r="J877" s="5"/>
      <c r="K877" s="5"/>
      <c r="L877" s="5"/>
      <c r="M877" s="5"/>
      <c r="N877" s="5"/>
      <c r="O877" s="5"/>
      <c r="P877" s="5"/>
      <c r="Q877" s="5"/>
      <c r="R877" s="5"/>
      <c r="S877" s="5"/>
      <c r="T877" s="5"/>
      <c r="U877" s="5"/>
      <c r="V877" s="5"/>
      <c r="Y877" s="5"/>
      <c r="Z877" s="5"/>
      <c r="AA877" s="5"/>
      <c r="AB877" s="5"/>
      <c r="AC877" s="5"/>
      <c r="AD877" s="5"/>
      <c r="AE877" s="5"/>
      <c r="AF877" s="5"/>
      <c r="AG877" s="5"/>
      <c r="AH877" s="5"/>
      <c r="AI877" s="5"/>
      <c r="AJ877" s="5"/>
      <c r="AK877" s="5"/>
      <c r="AL877" s="5"/>
      <c r="AM877" s="5"/>
      <c r="AN877" s="5"/>
    </row>
    <row r="878" spans="1:40" ht="18.75" customHeight="1">
      <c r="A878" s="5"/>
      <c r="B878" s="5"/>
      <c r="C878" s="5"/>
      <c r="D878" s="5"/>
      <c r="E878" s="5"/>
      <c r="F878" s="5"/>
      <c r="G878" s="5"/>
      <c r="H878" s="5"/>
      <c r="I878" s="5"/>
      <c r="J878" s="5"/>
      <c r="K878" s="5"/>
      <c r="L878" s="5"/>
      <c r="M878" s="5"/>
      <c r="N878" s="5"/>
      <c r="O878" s="5"/>
      <c r="P878" s="5"/>
      <c r="Q878" s="5"/>
      <c r="R878" s="5"/>
      <c r="S878" s="5"/>
      <c r="T878" s="5"/>
      <c r="U878" s="5"/>
      <c r="V878" s="5"/>
      <c r="Y878" s="5"/>
      <c r="Z878" s="5"/>
      <c r="AA878" s="5"/>
      <c r="AB878" s="5"/>
      <c r="AC878" s="5"/>
      <c r="AD878" s="5"/>
      <c r="AE878" s="5"/>
      <c r="AF878" s="5"/>
      <c r="AG878" s="5"/>
      <c r="AH878" s="5"/>
      <c r="AI878" s="5"/>
      <c r="AJ878" s="5"/>
      <c r="AK878" s="5"/>
      <c r="AL878" s="5"/>
      <c r="AM878" s="5"/>
      <c r="AN878" s="5"/>
    </row>
    <row r="879" spans="1:40" ht="18.75" customHeight="1">
      <c r="A879" s="5"/>
      <c r="B879" s="5"/>
      <c r="C879" s="5"/>
      <c r="D879" s="5"/>
      <c r="E879" s="5"/>
      <c r="F879" s="5"/>
      <c r="G879" s="5"/>
      <c r="H879" s="5"/>
      <c r="I879" s="5"/>
      <c r="J879" s="5"/>
      <c r="K879" s="5"/>
      <c r="L879" s="5"/>
      <c r="M879" s="5"/>
      <c r="N879" s="5"/>
      <c r="O879" s="5"/>
      <c r="P879" s="5"/>
      <c r="Q879" s="5"/>
      <c r="R879" s="5"/>
      <c r="S879" s="5"/>
      <c r="T879" s="5"/>
      <c r="U879" s="5"/>
      <c r="V879" s="5"/>
      <c r="Y879" s="5"/>
      <c r="Z879" s="5"/>
      <c r="AA879" s="5"/>
      <c r="AB879" s="5"/>
      <c r="AC879" s="5"/>
      <c r="AD879" s="5"/>
      <c r="AE879" s="5"/>
      <c r="AF879" s="5"/>
      <c r="AG879" s="5"/>
      <c r="AH879" s="5"/>
      <c r="AI879" s="5"/>
      <c r="AJ879" s="5"/>
      <c r="AK879" s="5"/>
      <c r="AL879" s="5"/>
      <c r="AM879" s="5"/>
      <c r="AN879" s="5"/>
    </row>
    <row r="880" spans="1:40" ht="18.75" customHeight="1">
      <c r="A880" s="5"/>
      <c r="B880" s="5"/>
      <c r="C880" s="5"/>
      <c r="D880" s="5"/>
      <c r="E880" s="5"/>
      <c r="F880" s="5"/>
      <c r="G880" s="5"/>
      <c r="H880" s="5"/>
      <c r="I880" s="5"/>
      <c r="J880" s="5"/>
      <c r="K880" s="5"/>
      <c r="L880" s="5"/>
      <c r="M880" s="5"/>
      <c r="N880" s="5"/>
      <c r="O880" s="5"/>
      <c r="P880" s="5"/>
      <c r="Q880" s="5"/>
      <c r="R880" s="5"/>
      <c r="S880" s="5"/>
      <c r="T880" s="5"/>
      <c r="U880" s="5"/>
      <c r="V880" s="5"/>
      <c r="Y880" s="5"/>
      <c r="Z880" s="5"/>
      <c r="AA880" s="5"/>
      <c r="AB880" s="5"/>
      <c r="AC880" s="5"/>
      <c r="AD880" s="5"/>
      <c r="AE880" s="5"/>
      <c r="AF880" s="5"/>
      <c r="AG880" s="5"/>
      <c r="AH880" s="5"/>
      <c r="AI880" s="5"/>
      <c r="AJ880" s="5"/>
      <c r="AK880" s="5"/>
      <c r="AL880" s="5"/>
      <c r="AM880" s="5"/>
      <c r="AN880" s="5"/>
    </row>
    <row r="881" spans="1:40" ht="18.75" customHeight="1">
      <c r="A881" s="5"/>
      <c r="B881" s="5"/>
      <c r="C881" s="5"/>
      <c r="D881" s="5"/>
      <c r="E881" s="5"/>
      <c r="F881" s="5"/>
      <c r="G881" s="5"/>
      <c r="H881" s="5"/>
      <c r="I881" s="5"/>
      <c r="J881" s="5"/>
      <c r="K881" s="5"/>
      <c r="L881" s="5"/>
      <c r="M881" s="5"/>
      <c r="N881" s="5"/>
      <c r="O881" s="5"/>
      <c r="P881" s="5"/>
      <c r="Q881" s="5"/>
      <c r="R881" s="5"/>
      <c r="S881" s="5"/>
      <c r="T881" s="5"/>
      <c r="U881" s="5"/>
      <c r="V881" s="5"/>
      <c r="Y881" s="5"/>
      <c r="Z881" s="5"/>
      <c r="AA881" s="5"/>
      <c r="AB881" s="5"/>
      <c r="AC881" s="5"/>
      <c r="AD881" s="5"/>
      <c r="AE881" s="5"/>
      <c r="AF881" s="5"/>
      <c r="AG881" s="5"/>
      <c r="AH881" s="5"/>
      <c r="AI881" s="5"/>
      <c r="AJ881" s="5"/>
      <c r="AK881" s="5"/>
      <c r="AL881" s="5"/>
      <c r="AM881" s="5"/>
      <c r="AN881" s="5"/>
    </row>
    <row r="882" spans="1:40" ht="18.75" customHeight="1">
      <c r="A882" s="5"/>
      <c r="B882" s="5"/>
      <c r="C882" s="5"/>
      <c r="D882" s="5"/>
      <c r="E882" s="5"/>
      <c r="F882" s="5"/>
      <c r="G882" s="5"/>
      <c r="H882" s="5"/>
      <c r="I882" s="5"/>
      <c r="J882" s="5"/>
      <c r="K882" s="5"/>
      <c r="L882" s="5"/>
      <c r="M882" s="5"/>
      <c r="N882" s="5"/>
      <c r="O882" s="5"/>
      <c r="P882" s="5"/>
      <c r="Q882" s="5"/>
      <c r="R882" s="5"/>
      <c r="S882" s="5"/>
      <c r="T882" s="5"/>
      <c r="U882" s="5"/>
      <c r="V882" s="5"/>
      <c r="Y882" s="5"/>
      <c r="Z882" s="5"/>
      <c r="AA882" s="5"/>
      <c r="AB882" s="5"/>
      <c r="AC882" s="5"/>
      <c r="AD882" s="5"/>
      <c r="AE882" s="5"/>
      <c r="AF882" s="5"/>
      <c r="AG882" s="5"/>
      <c r="AH882" s="5"/>
      <c r="AI882" s="5"/>
      <c r="AJ882" s="5"/>
      <c r="AK882" s="5"/>
      <c r="AL882" s="5"/>
      <c r="AM882" s="5"/>
      <c r="AN882" s="5"/>
    </row>
    <row r="883" spans="1:40" ht="18.75" customHeight="1">
      <c r="A883" s="5"/>
      <c r="B883" s="5"/>
      <c r="C883" s="5"/>
      <c r="D883" s="5"/>
      <c r="E883" s="5"/>
      <c r="F883" s="5"/>
      <c r="G883" s="5"/>
      <c r="H883" s="5"/>
      <c r="I883" s="5"/>
      <c r="J883" s="5"/>
      <c r="K883" s="5"/>
      <c r="L883" s="5"/>
      <c r="M883" s="5"/>
      <c r="N883" s="5"/>
      <c r="O883" s="5"/>
      <c r="P883" s="5"/>
      <c r="Q883" s="5"/>
      <c r="R883" s="5"/>
      <c r="S883" s="5"/>
      <c r="T883" s="5"/>
      <c r="U883" s="5"/>
      <c r="V883" s="5"/>
      <c r="Y883" s="5"/>
      <c r="Z883" s="5"/>
      <c r="AA883" s="5"/>
      <c r="AB883" s="5"/>
      <c r="AC883" s="5"/>
      <c r="AD883" s="5"/>
      <c r="AE883" s="5"/>
      <c r="AF883" s="5"/>
      <c r="AG883" s="5"/>
      <c r="AH883" s="5"/>
      <c r="AI883" s="5"/>
      <c r="AJ883" s="5"/>
      <c r="AK883" s="5"/>
      <c r="AL883" s="5"/>
      <c r="AM883" s="5"/>
      <c r="AN883" s="5"/>
    </row>
    <row r="884" spans="1:40" ht="18.75" customHeight="1">
      <c r="A884" s="5"/>
      <c r="B884" s="5"/>
      <c r="C884" s="5"/>
      <c r="D884" s="5"/>
      <c r="E884" s="5"/>
      <c r="F884" s="5"/>
      <c r="G884" s="5"/>
      <c r="H884" s="5"/>
      <c r="I884" s="5"/>
      <c r="J884" s="5"/>
      <c r="K884" s="5"/>
      <c r="L884" s="5"/>
      <c r="M884" s="5"/>
      <c r="N884" s="5"/>
      <c r="O884" s="5"/>
      <c r="P884" s="5"/>
      <c r="Q884" s="5"/>
      <c r="R884" s="5"/>
      <c r="S884" s="5"/>
      <c r="T884" s="5"/>
      <c r="U884" s="5"/>
      <c r="V884" s="5"/>
      <c r="Y884" s="5"/>
      <c r="Z884" s="5"/>
      <c r="AA884" s="5"/>
      <c r="AB884" s="5"/>
      <c r="AC884" s="5"/>
      <c r="AD884" s="5"/>
      <c r="AE884" s="5"/>
      <c r="AF884" s="5"/>
      <c r="AG884" s="5"/>
      <c r="AH884" s="5"/>
      <c r="AI884" s="5"/>
      <c r="AJ884" s="5"/>
      <c r="AK884" s="5"/>
      <c r="AL884" s="5"/>
      <c r="AM884" s="5"/>
      <c r="AN884" s="5"/>
    </row>
    <row r="885" spans="1:40" ht="18.75" customHeight="1">
      <c r="A885" s="5"/>
      <c r="B885" s="5"/>
      <c r="C885" s="5"/>
      <c r="D885" s="5"/>
      <c r="E885" s="5"/>
      <c r="F885" s="5"/>
      <c r="G885" s="5"/>
      <c r="H885" s="5"/>
      <c r="I885" s="5"/>
      <c r="J885" s="5"/>
      <c r="K885" s="5"/>
      <c r="L885" s="5"/>
      <c r="M885" s="5"/>
      <c r="N885" s="5"/>
      <c r="O885" s="5"/>
      <c r="P885" s="5"/>
      <c r="Q885" s="5"/>
      <c r="R885" s="5"/>
      <c r="S885" s="5"/>
      <c r="T885" s="5"/>
      <c r="U885" s="5"/>
      <c r="V885" s="5"/>
      <c r="Y885" s="5"/>
      <c r="Z885" s="5"/>
      <c r="AA885" s="5"/>
      <c r="AB885" s="5"/>
      <c r="AC885" s="5"/>
      <c r="AD885" s="5"/>
      <c r="AE885" s="5"/>
      <c r="AF885" s="5"/>
      <c r="AG885" s="5"/>
      <c r="AH885" s="5"/>
      <c r="AI885" s="5"/>
      <c r="AJ885" s="5"/>
      <c r="AK885" s="5"/>
      <c r="AL885" s="5"/>
      <c r="AM885" s="5"/>
      <c r="AN885" s="5"/>
    </row>
    <row r="886" spans="1:40" ht="18.75" customHeight="1">
      <c r="A886" s="5"/>
      <c r="B886" s="5"/>
      <c r="C886" s="5"/>
      <c r="D886" s="5"/>
      <c r="E886" s="5"/>
      <c r="F886" s="5"/>
      <c r="G886" s="5"/>
      <c r="H886" s="5"/>
      <c r="I886" s="5"/>
      <c r="J886" s="5"/>
      <c r="K886" s="5"/>
      <c r="L886" s="5"/>
      <c r="M886" s="5"/>
      <c r="N886" s="5"/>
      <c r="O886" s="5"/>
      <c r="P886" s="5"/>
      <c r="Q886" s="5"/>
      <c r="R886" s="5"/>
      <c r="S886" s="5"/>
      <c r="T886" s="5"/>
      <c r="U886" s="5"/>
      <c r="V886" s="5"/>
      <c r="Y886" s="5"/>
      <c r="Z886" s="5"/>
      <c r="AA886" s="5"/>
      <c r="AB886" s="5"/>
      <c r="AC886" s="5"/>
      <c r="AD886" s="5"/>
      <c r="AE886" s="5"/>
      <c r="AF886" s="5"/>
      <c r="AG886" s="5"/>
      <c r="AH886" s="5"/>
      <c r="AI886" s="5"/>
      <c r="AJ886" s="5"/>
      <c r="AK886" s="5"/>
      <c r="AL886" s="5"/>
      <c r="AM886" s="5"/>
      <c r="AN886" s="5"/>
    </row>
    <row r="887" spans="1:40" ht="18.75" customHeight="1">
      <c r="A887" s="5"/>
      <c r="B887" s="5"/>
      <c r="C887" s="5"/>
      <c r="D887" s="5"/>
      <c r="E887" s="5"/>
      <c r="F887" s="5"/>
      <c r="G887" s="5"/>
      <c r="H887" s="5"/>
      <c r="I887" s="5"/>
      <c r="J887" s="5"/>
      <c r="K887" s="5"/>
      <c r="L887" s="5"/>
      <c r="M887" s="5"/>
      <c r="N887" s="5"/>
      <c r="O887" s="5"/>
      <c r="P887" s="5"/>
      <c r="Q887" s="5"/>
      <c r="R887" s="5"/>
      <c r="S887" s="5"/>
      <c r="T887" s="5"/>
      <c r="U887" s="5"/>
      <c r="V887" s="5"/>
      <c r="Y887" s="5"/>
      <c r="Z887" s="5"/>
      <c r="AA887" s="5"/>
      <c r="AB887" s="5"/>
      <c r="AC887" s="5"/>
      <c r="AD887" s="5"/>
      <c r="AE887" s="5"/>
      <c r="AF887" s="5"/>
      <c r="AG887" s="5"/>
      <c r="AH887" s="5"/>
      <c r="AI887" s="5"/>
      <c r="AJ887" s="5"/>
      <c r="AK887" s="5"/>
      <c r="AL887" s="5"/>
      <c r="AM887" s="5"/>
      <c r="AN887" s="5"/>
    </row>
    <row r="888" spans="1:40" ht="18.75" customHeight="1">
      <c r="A888" s="5"/>
      <c r="B888" s="5"/>
      <c r="C888" s="5"/>
      <c r="D888" s="5"/>
      <c r="E888" s="5"/>
      <c r="F888" s="5"/>
      <c r="G888" s="5"/>
      <c r="H888" s="5"/>
      <c r="I888" s="5"/>
      <c r="J888" s="5"/>
      <c r="K888" s="5"/>
      <c r="L888" s="5"/>
      <c r="M888" s="5"/>
      <c r="N888" s="5"/>
      <c r="O888" s="5"/>
      <c r="P888" s="5"/>
      <c r="Q888" s="5"/>
      <c r="R888" s="5"/>
      <c r="S888" s="5"/>
      <c r="T888" s="5"/>
      <c r="U888" s="5"/>
      <c r="V888" s="5"/>
      <c r="Y888" s="5"/>
      <c r="Z888" s="5"/>
      <c r="AA888" s="5"/>
      <c r="AB888" s="5"/>
      <c r="AC888" s="5"/>
      <c r="AD888" s="5"/>
      <c r="AE888" s="5"/>
      <c r="AF888" s="5"/>
      <c r="AG888" s="5"/>
      <c r="AH888" s="5"/>
      <c r="AI888" s="5"/>
      <c r="AJ888" s="5"/>
      <c r="AK888" s="5"/>
      <c r="AL888" s="5"/>
      <c r="AM888" s="5"/>
      <c r="AN888" s="5"/>
    </row>
    <row r="889" spans="1:40" ht="18.75" customHeight="1">
      <c r="A889" s="5"/>
      <c r="B889" s="5"/>
      <c r="C889" s="5"/>
      <c r="D889" s="5"/>
      <c r="E889" s="5"/>
      <c r="F889" s="5"/>
      <c r="G889" s="5"/>
      <c r="H889" s="5"/>
      <c r="I889" s="5"/>
      <c r="J889" s="5"/>
      <c r="K889" s="5"/>
      <c r="L889" s="5"/>
      <c r="M889" s="5"/>
      <c r="N889" s="5"/>
      <c r="O889" s="5"/>
      <c r="P889" s="5"/>
      <c r="Q889" s="5"/>
      <c r="R889" s="5"/>
      <c r="S889" s="5"/>
      <c r="T889" s="5"/>
      <c r="U889" s="5"/>
      <c r="V889" s="5"/>
      <c r="Y889" s="5"/>
      <c r="Z889" s="5"/>
      <c r="AA889" s="5"/>
      <c r="AB889" s="5"/>
      <c r="AC889" s="5"/>
      <c r="AD889" s="5"/>
      <c r="AE889" s="5"/>
      <c r="AF889" s="5"/>
      <c r="AG889" s="5"/>
      <c r="AH889" s="5"/>
      <c r="AI889" s="5"/>
      <c r="AJ889" s="5"/>
      <c r="AK889" s="5"/>
      <c r="AL889" s="5"/>
      <c r="AM889" s="5"/>
      <c r="AN889" s="5"/>
    </row>
    <row r="890" spans="1:40" ht="18.75" customHeight="1">
      <c r="A890" s="5"/>
      <c r="B890" s="5"/>
      <c r="C890" s="5"/>
      <c r="D890" s="5"/>
      <c r="E890" s="5"/>
      <c r="F890" s="5"/>
      <c r="G890" s="5"/>
      <c r="H890" s="5"/>
      <c r="I890" s="5"/>
      <c r="J890" s="5"/>
      <c r="K890" s="5"/>
      <c r="L890" s="5"/>
      <c r="M890" s="5"/>
      <c r="N890" s="5"/>
      <c r="O890" s="5"/>
      <c r="P890" s="5"/>
      <c r="Q890" s="5"/>
      <c r="R890" s="5"/>
      <c r="S890" s="5"/>
      <c r="T890" s="5"/>
      <c r="U890" s="5"/>
      <c r="V890" s="5"/>
      <c r="Y890" s="5"/>
      <c r="Z890" s="5"/>
      <c r="AA890" s="5"/>
      <c r="AB890" s="5"/>
      <c r="AC890" s="5"/>
      <c r="AD890" s="5"/>
      <c r="AE890" s="5"/>
      <c r="AF890" s="5"/>
      <c r="AG890" s="5"/>
      <c r="AH890" s="5"/>
      <c r="AI890" s="5"/>
      <c r="AJ890" s="5"/>
      <c r="AK890" s="5"/>
      <c r="AL890" s="5"/>
      <c r="AM890" s="5"/>
      <c r="AN890" s="5"/>
    </row>
    <row r="891" spans="1:40" ht="18.75" customHeight="1">
      <c r="A891" s="5"/>
      <c r="B891" s="5"/>
      <c r="C891" s="5"/>
      <c r="D891" s="5"/>
      <c r="E891" s="5"/>
      <c r="F891" s="5"/>
      <c r="G891" s="5"/>
      <c r="H891" s="5"/>
      <c r="I891" s="5"/>
      <c r="J891" s="5"/>
      <c r="K891" s="5"/>
      <c r="L891" s="5"/>
      <c r="M891" s="5"/>
      <c r="N891" s="5"/>
      <c r="O891" s="5"/>
      <c r="P891" s="5"/>
      <c r="Q891" s="5"/>
      <c r="R891" s="5"/>
      <c r="S891" s="5"/>
      <c r="T891" s="5"/>
      <c r="U891" s="5"/>
      <c r="V891" s="5"/>
      <c r="Y891" s="5"/>
      <c r="Z891" s="5"/>
      <c r="AA891" s="5"/>
      <c r="AB891" s="5"/>
      <c r="AC891" s="5"/>
      <c r="AD891" s="5"/>
      <c r="AE891" s="5"/>
      <c r="AF891" s="5"/>
      <c r="AG891" s="5"/>
      <c r="AH891" s="5"/>
      <c r="AI891" s="5"/>
      <c r="AJ891" s="5"/>
      <c r="AK891" s="5"/>
      <c r="AL891" s="5"/>
      <c r="AM891" s="5"/>
      <c r="AN891" s="5"/>
    </row>
    <row r="892" spans="1:40" ht="18.75" customHeight="1">
      <c r="A892" s="5"/>
      <c r="B892" s="5"/>
      <c r="C892" s="5"/>
      <c r="D892" s="5"/>
      <c r="E892" s="5"/>
      <c r="F892" s="5"/>
      <c r="G892" s="5"/>
      <c r="H892" s="5"/>
      <c r="I892" s="5"/>
      <c r="J892" s="5"/>
      <c r="K892" s="5"/>
      <c r="L892" s="5"/>
      <c r="M892" s="5"/>
      <c r="N892" s="5"/>
      <c r="O892" s="5"/>
      <c r="P892" s="5"/>
      <c r="Q892" s="5"/>
      <c r="R892" s="5"/>
      <c r="S892" s="5"/>
      <c r="T892" s="5"/>
      <c r="U892" s="5"/>
      <c r="V892" s="5"/>
      <c r="Y892" s="5"/>
      <c r="Z892" s="5"/>
      <c r="AA892" s="5"/>
      <c r="AB892" s="5"/>
      <c r="AC892" s="5"/>
      <c r="AD892" s="5"/>
      <c r="AE892" s="5"/>
      <c r="AF892" s="5"/>
      <c r="AG892" s="5"/>
      <c r="AH892" s="5"/>
      <c r="AI892" s="5"/>
      <c r="AJ892" s="5"/>
      <c r="AK892" s="5"/>
      <c r="AL892" s="5"/>
      <c r="AM892" s="5"/>
      <c r="AN892" s="5"/>
    </row>
    <row r="893" spans="1:40" ht="18.75" customHeight="1">
      <c r="A893" s="5"/>
      <c r="B893" s="5"/>
      <c r="C893" s="5"/>
      <c r="D893" s="5"/>
      <c r="E893" s="5"/>
      <c r="F893" s="5"/>
      <c r="G893" s="5"/>
      <c r="H893" s="5"/>
      <c r="I893" s="5"/>
      <c r="J893" s="5"/>
      <c r="K893" s="5"/>
      <c r="L893" s="5"/>
      <c r="M893" s="5"/>
      <c r="N893" s="5"/>
      <c r="O893" s="5"/>
      <c r="P893" s="5"/>
      <c r="Q893" s="5"/>
      <c r="R893" s="5"/>
      <c r="S893" s="5"/>
      <c r="T893" s="5"/>
      <c r="U893" s="5"/>
      <c r="V893" s="5"/>
      <c r="Y893" s="5"/>
      <c r="Z893" s="5"/>
      <c r="AA893" s="5"/>
      <c r="AB893" s="5"/>
      <c r="AC893" s="5"/>
      <c r="AD893" s="5"/>
      <c r="AE893" s="5"/>
      <c r="AF893" s="5"/>
      <c r="AG893" s="5"/>
      <c r="AH893" s="5"/>
      <c r="AI893" s="5"/>
      <c r="AJ893" s="5"/>
      <c r="AK893" s="5"/>
      <c r="AL893" s="5"/>
      <c r="AM893" s="5"/>
      <c r="AN893" s="5"/>
    </row>
    <row r="894" spans="1:40" ht="18.75" customHeight="1">
      <c r="A894" s="5"/>
      <c r="B894" s="5"/>
      <c r="C894" s="5"/>
      <c r="D894" s="5"/>
      <c r="E894" s="5"/>
      <c r="F894" s="5"/>
      <c r="G894" s="5"/>
      <c r="H894" s="5"/>
      <c r="I894" s="5"/>
      <c r="J894" s="5"/>
      <c r="K894" s="5"/>
      <c r="L894" s="5"/>
      <c r="M894" s="5"/>
      <c r="N894" s="5"/>
      <c r="O894" s="5"/>
      <c r="P894" s="5"/>
      <c r="Q894" s="5"/>
      <c r="R894" s="5"/>
      <c r="S894" s="5"/>
      <c r="T894" s="5"/>
      <c r="U894" s="5"/>
      <c r="V894" s="5"/>
      <c r="Y894" s="5"/>
      <c r="Z894" s="5"/>
      <c r="AA894" s="5"/>
      <c r="AB894" s="5"/>
      <c r="AC894" s="5"/>
      <c r="AD894" s="5"/>
      <c r="AE894" s="5"/>
      <c r="AF894" s="5"/>
      <c r="AG894" s="5"/>
      <c r="AH894" s="5"/>
      <c r="AI894" s="5"/>
      <c r="AJ894" s="5"/>
      <c r="AK894" s="5"/>
      <c r="AL894" s="5"/>
      <c r="AM894" s="5"/>
      <c r="AN894" s="5"/>
    </row>
    <row r="895" spans="1:40" ht="18.75" customHeight="1">
      <c r="A895" s="5"/>
      <c r="B895" s="5"/>
      <c r="C895" s="5"/>
      <c r="D895" s="5"/>
      <c r="E895" s="5"/>
      <c r="F895" s="5"/>
      <c r="G895" s="5"/>
      <c r="H895" s="5"/>
      <c r="I895" s="5"/>
      <c r="J895" s="5"/>
      <c r="K895" s="5"/>
      <c r="L895" s="5"/>
      <c r="M895" s="5"/>
      <c r="N895" s="5"/>
      <c r="O895" s="5"/>
      <c r="P895" s="5"/>
      <c r="Q895" s="5"/>
      <c r="R895" s="5"/>
      <c r="S895" s="5"/>
      <c r="T895" s="5"/>
      <c r="U895" s="5"/>
      <c r="V895" s="5"/>
      <c r="Y895" s="5"/>
      <c r="Z895" s="5"/>
      <c r="AA895" s="5"/>
      <c r="AB895" s="5"/>
      <c r="AC895" s="5"/>
      <c r="AD895" s="5"/>
      <c r="AE895" s="5"/>
      <c r="AF895" s="5"/>
      <c r="AG895" s="5"/>
      <c r="AH895" s="5"/>
      <c r="AI895" s="5"/>
      <c r="AJ895" s="5"/>
      <c r="AK895" s="5"/>
      <c r="AL895" s="5"/>
      <c r="AM895" s="5"/>
      <c r="AN895" s="5"/>
    </row>
    <row r="896" spans="1:40" ht="18.75" customHeight="1">
      <c r="A896" s="5"/>
      <c r="B896" s="5"/>
      <c r="C896" s="5"/>
      <c r="D896" s="5"/>
      <c r="E896" s="5"/>
      <c r="F896" s="5"/>
      <c r="G896" s="5"/>
      <c r="H896" s="5"/>
      <c r="I896" s="5"/>
      <c r="J896" s="5"/>
      <c r="K896" s="5"/>
      <c r="L896" s="5"/>
      <c r="M896" s="5"/>
      <c r="N896" s="5"/>
      <c r="O896" s="5"/>
      <c r="P896" s="5"/>
      <c r="Q896" s="5"/>
      <c r="R896" s="5"/>
      <c r="S896" s="5"/>
      <c r="T896" s="5"/>
      <c r="U896" s="5"/>
      <c r="V896" s="5"/>
      <c r="Y896" s="5"/>
      <c r="Z896" s="5"/>
      <c r="AA896" s="5"/>
      <c r="AB896" s="5"/>
      <c r="AC896" s="5"/>
      <c r="AD896" s="5"/>
      <c r="AE896" s="5"/>
      <c r="AF896" s="5"/>
      <c r="AG896" s="5"/>
      <c r="AH896" s="5"/>
      <c r="AI896" s="5"/>
      <c r="AJ896" s="5"/>
      <c r="AK896" s="5"/>
      <c r="AL896" s="5"/>
      <c r="AM896" s="5"/>
      <c r="AN896" s="5"/>
    </row>
    <row r="897" spans="1:40" ht="18.75" customHeight="1">
      <c r="A897" s="5"/>
      <c r="B897" s="5"/>
      <c r="C897" s="5"/>
      <c r="D897" s="5"/>
      <c r="E897" s="5"/>
      <c r="F897" s="5"/>
      <c r="G897" s="5"/>
      <c r="H897" s="5"/>
      <c r="I897" s="5"/>
      <c r="J897" s="5"/>
      <c r="K897" s="5"/>
      <c r="L897" s="5"/>
      <c r="M897" s="5"/>
      <c r="N897" s="5"/>
      <c r="O897" s="5"/>
      <c r="P897" s="5"/>
      <c r="Q897" s="5"/>
      <c r="R897" s="5"/>
      <c r="S897" s="5"/>
      <c r="T897" s="5"/>
      <c r="U897" s="5"/>
      <c r="V897" s="5"/>
      <c r="Y897" s="5"/>
      <c r="Z897" s="5"/>
      <c r="AA897" s="5"/>
      <c r="AB897" s="5"/>
      <c r="AC897" s="5"/>
      <c r="AD897" s="5"/>
      <c r="AE897" s="5"/>
      <c r="AF897" s="5"/>
      <c r="AG897" s="5"/>
      <c r="AH897" s="5"/>
      <c r="AI897" s="5"/>
      <c r="AJ897" s="5"/>
      <c r="AK897" s="5"/>
      <c r="AL897" s="5"/>
      <c r="AM897" s="5"/>
      <c r="AN897" s="5"/>
    </row>
    <row r="898" spans="1:40" ht="18.75" customHeight="1">
      <c r="A898" s="5"/>
      <c r="B898" s="5"/>
      <c r="C898" s="5"/>
      <c r="D898" s="5"/>
      <c r="E898" s="5"/>
      <c r="F898" s="5"/>
      <c r="G898" s="5"/>
      <c r="H898" s="5"/>
      <c r="I898" s="5"/>
      <c r="J898" s="5"/>
      <c r="K898" s="5"/>
      <c r="L898" s="5"/>
      <c r="M898" s="5"/>
      <c r="N898" s="5"/>
      <c r="O898" s="5"/>
      <c r="P898" s="5"/>
      <c r="Q898" s="5"/>
      <c r="R898" s="5"/>
      <c r="S898" s="5"/>
      <c r="T898" s="5"/>
      <c r="U898" s="5"/>
      <c r="V898" s="5"/>
      <c r="Y898" s="5"/>
      <c r="Z898" s="5"/>
      <c r="AA898" s="5"/>
      <c r="AB898" s="5"/>
      <c r="AC898" s="5"/>
      <c r="AD898" s="5"/>
      <c r="AE898" s="5"/>
      <c r="AF898" s="5"/>
      <c r="AG898" s="5"/>
      <c r="AH898" s="5"/>
      <c r="AI898" s="5"/>
      <c r="AJ898" s="5"/>
      <c r="AK898" s="5"/>
      <c r="AL898" s="5"/>
      <c r="AM898" s="5"/>
      <c r="AN898" s="5"/>
    </row>
    <row r="899" spans="1:40" ht="18.75" customHeight="1">
      <c r="A899" s="5"/>
      <c r="B899" s="5"/>
      <c r="C899" s="5"/>
      <c r="D899" s="5"/>
      <c r="E899" s="5"/>
      <c r="F899" s="5"/>
      <c r="G899" s="5"/>
      <c r="H899" s="5"/>
      <c r="I899" s="5"/>
      <c r="J899" s="5"/>
      <c r="K899" s="5"/>
      <c r="L899" s="5"/>
      <c r="M899" s="5"/>
      <c r="N899" s="5"/>
      <c r="O899" s="5"/>
      <c r="P899" s="5"/>
      <c r="Q899" s="5"/>
      <c r="R899" s="5"/>
      <c r="S899" s="5"/>
      <c r="T899" s="5"/>
      <c r="U899" s="5"/>
      <c r="V899" s="5"/>
      <c r="Y899" s="5"/>
      <c r="Z899" s="5"/>
      <c r="AA899" s="5"/>
      <c r="AB899" s="5"/>
      <c r="AC899" s="5"/>
      <c r="AD899" s="5"/>
      <c r="AE899" s="5"/>
      <c r="AF899" s="5"/>
      <c r="AG899" s="5"/>
      <c r="AH899" s="5"/>
      <c r="AI899" s="5"/>
      <c r="AJ899" s="5"/>
      <c r="AK899" s="5"/>
      <c r="AL899" s="5"/>
      <c r="AM899" s="5"/>
      <c r="AN899" s="5"/>
    </row>
    <row r="900" spans="1:40" ht="18.75" customHeight="1">
      <c r="A900" s="5"/>
      <c r="B900" s="5"/>
      <c r="C900" s="5"/>
      <c r="D900" s="5"/>
      <c r="E900" s="5"/>
      <c r="F900" s="5"/>
      <c r="G900" s="5"/>
      <c r="H900" s="5"/>
      <c r="I900" s="5"/>
      <c r="J900" s="5"/>
      <c r="K900" s="5"/>
      <c r="L900" s="5"/>
      <c r="M900" s="5"/>
      <c r="N900" s="5"/>
      <c r="O900" s="5"/>
      <c r="P900" s="5"/>
      <c r="Q900" s="5"/>
      <c r="R900" s="5"/>
      <c r="S900" s="5"/>
      <c r="T900" s="5"/>
      <c r="U900" s="5"/>
      <c r="V900" s="5"/>
      <c r="Y900" s="5"/>
      <c r="Z900" s="5"/>
      <c r="AA900" s="5"/>
      <c r="AB900" s="5"/>
      <c r="AC900" s="5"/>
      <c r="AD900" s="5"/>
      <c r="AE900" s="5"/>
      <c r="AF900" s="5"/>
      <c r="AG900" s="5"/>
      <c r="AH900" s="5"/>
      <c r="AI900" s="5"/>
      <c r="AJ900" s="5"/>
      <c r="AK900" s="5"/>
      <c r="AL900" s="5"/>
      <c r="AM900" s="5"/>
      <c r="AN900" s="5"/>
    </row>
    <row r="901" spans="1:40" ht="18.75" customHeight="1">
      <c r="A901" s="5"/>
      <c r="B901" s="5"/>
      <c r="C901" s="5"/>
      <c r="D901" s="5"/>
      <c r="E901" s="5"/>
      <c r="F901" s="5"/>
      <c r="G901" s="5"/>
      <c r="H901" s="5"/>
      <c r="I901" s="5"/>
      <c r="J901" s="5"/>
      <c r="K901" s="5"/>
      <c r="L901" s="5"/>
      <c r="M901" s="5"/>
      <c r="N901" s="5"/>
      <c r="O901" s="5"/>
      <c r="P901" s="5"/>
      <c r="Q901" s="5"/>
      <c r="R901" s="5"/>
      <c r="S901" s="5"/>
      <c r="T901" s="5"/>
      <c r="U901" s="5"/>
      <c r="V901" s="5"/>
      <c r="Y901" s="5"/>
      <c r="Z901" s="5"/>
      <c r="AA901" s="5"/>
      <c r="AB901" s="5"/>
      <c r="AC901" s="5"/>
      <c r="AD901" s="5"/>
      <c r="AE901" s="5"/>
      <c r="AF901" s="5"/>
      <c r="AG901" s="5"/>
      <c r="AH901" s="5"/>
      <c r="AI901" s="5"/>
      <c r="AJ901" s="5"/>
      <c r="AK901" s="5"/>
      <c r="AL901" s="5"/>
      <c r="AM901" s="5"/>
      <c r="AN901" s="5"/>
    </row>
    <row r="902" spans="1:40" ht="18.75" customHeight="1">
      <c r="A902" s="5"/>
      <c r="B902" s="5"/>
      <c r="C902" s="5"/>
      <c r="D902" s="5"/>
      <c r="E902" s="5"/>
      <c r="F902" s="5"/>
      <c r="G902" s="5"/>
      <c r="H902" s="5"/>
      <c r="I902" s="5"/>
      <c r="J902" s="5"/>
      <c r="K902" s="5"/>
      <c r="L902" s="5"/>
      <c r="M902" s="5"/>
      <c r="N902" s="5"/>
      <c r="O902" s="5"/>
      <c r="P902" s="5"/>
      <c r="Q902" s="5"/>
      <c r="R902" s="5"/>
      <c r="S902" s="5"/>
      <c r="T902" s="5"/>
      <c r="U902" s="5"/>
      <c r="V902" s="5"/>
      <c r="Y902" s="5"/>
      <c r="Z902" s="5"/>
      <c r="AA902" s="5"/>
      <c r="AB902" s="5"/>
      <c r="AC902" s="5"/>
      <c r="AD902" s="5"/>
      <c r="AE902" s="5"/>
      <c r="AF902" s="5"/>
      <c r="AG902" s="5"/>
      <c r="AH902" s="5"/>
      <c r="AI902" s="5"/>
      <c r="AJ902" s="5"/>
      <c r="AK902" s="5"/>
      <c r="AL902" s="5"/>
      <c r="AM902" s="5"/>
      <c r="AN902" s="5"/>
    </row>
    <row r="903" spans="1:40" ht="18.75" customHeight="1">
      <c r="A903" s="5"/>
      <c r="B903" s="5"/>
      <c r="C903" s="5"/>
      <c r="D903" s="5"/>
      <c r="E903" s="5"/>
      <c r="F903" s="5"/>
      <c r="G903" s="5"/>
      <c r="H903" s="5"/>
      <c r="I903" s="5"/>
      <c r="J903" s="5"/>
      <c r="K903" s="5"/>
      <c r="L903" s="5"/>
      <c r="M903" s="5"/>
      <c r="N903" s="5"/>
      <c r="O903" s="5"/>
      <c r="P903" s="5"/>
      <c r="Q903" s="5"/>
      <c r="R903" s="5"/>
      <c r="S903" s="5"/>
      <c r="T903" s="5"/>
      <c r="U903" s="5"/>
      <c r="V903" s="5"/>
      <c r="Y903" s="5"/>
      <c r="Z903" s="5"/>
      <c r="AA903" s="5"/>
      <c r="AB903" s="5"/>
      <c r="AC903" s="5"/>
      <c r="AD903" s="5"/>
      <c r="AE903" s="5"/>
      <c r="AF903" s="5"/>
      <c r="AG903" s="5"/>
      <c r="AH903" s="5"/>
      <c r="AI903" s="5"/>
      <c r="AJ903" s="5"/>
      <c r="AK903" s="5"/>
      <c r="AL903" s="5"/>
      <c r="AM903" s="5"/>
      <c r="AN903" s="5"/>
    </row>
    <row r="904" spans="1:40" ht="18.75" customHeight="1">
      <c r="A904" s="5"/>
      <c r="B904" s="5"/>
      <c r="C904" s="5"/>
      <c r="D904" s="5"/>
      <c r="E904" s="5"/>
      <c r="F904" s="5"/>
      <c r="G904" s="5"/>
      <c r="H904" s="5"/>
      <c r="I904" s="5"/>
      <c r="J904" s="5"/>
      <c r="K904" s="5"/>
      <c r="L904" s="5"/>
      <c r="M904" s="5"/>
      <c r="N904" s="5"/>
      <c r="O904" s="5"/>
      <c r="P904" s="5"/>
      <c r="Q904" s="5"/>
      <c r="R904" s="5"/>
      <c r="S904" s="5"/>
      <c r="T904" s="5"/>
      <c r="U904" s="5"/>
      <c r="V904" s="5"/>
      <c r="Y904" s="5"/>
      <c r="Z904" s="5"/>
      <c r="AA904" s="5"/>
      <c r="AB904" s="5"/>
      <c r="AC904" s="5"/>
      <c r="AD904" s="5"/>
      <c r="AE904" s="5"/>
      <c r="AF904" s="5"/>
      <c r="AG904" s="5"/>
      <c r="AH904" s="5"/>
      <c r="AI904" s="5"/>
      <c r="AJ904" s="5"/>
      <c r="AK904" s="5"/>
      <c r="AL904" s="5"/>
      <c r="AM904" s="5"/>
      <c r="AN904" s="5"/>
    </row>
    <row r="905" spans="1:40" ht="18.75" customHeight="1">
      <c r="A905" s="5"/>
      <c r="B905" s="5"/>
      <c r="C905" s="5"/>
      <c r="D905" s="5"/>
      <c r="E905" s="5"/>
      <c r="F905" s="5"/>
      <c r="G905" s="5"/>
      <c r="H905" s="5"/>
      <c r="I905" s="5"/>
      <c r="J905" s="5"/>
      <c r="K905" s="5"/>
      <c r="L905" s="5"/>
      <c r="M905" s="5"/>
      <c r="N905" s="5"/>
      <c r="O905" s="5"/>
      <c r="P905" s="5"/>
      <c r="Q905" s="5"/>
      <c r="R905" s="5"/>
      <c r="S905" s="5"/>
      <c r="T905" s="5"/>
      <c r="U905" s="5"/>
      <c r="V905" s="5"/>
      <c r="Y905" s="5"/>
      <c r="Z905" s="5"/>
      <c r="AA905" s="5"/>
      <c r="AB905" s="5"/>
      <c r="AC905" s="5"/>
      <c r="AD905" s="5"/>
      <c r="AE905" s="5"/>
      <c r="AF905" s="5"/>
      <c r="AG905" s="5"/>
      <c r="AH905" s="5"/>
      <c r="AI905" s="5"/>
      <c r="AJ905" s="5"/>
      <c r="AK905" s="5"/>
      <c r="AL905" s="5"/>
      <c r="AM905" s="5"/>
      <c r="AN905" s="5"/>
    </row>
    <row r="906" spans="1:40" ht="18.75" customHeight="1">
      <c r="A906" s="5"/>
      <c r="B906" s="5"/>
      <c r="C906" s="5"/>
      <c r="D906" s="5"/>
      <c r="E906" s="5"/>
      <c r="F906" s="5"/>
      <c r="G906" s="5"/>
      <c r="H906" s="5"/>
      <c r="I906" s="5"/>
      <c r="J906" s="5"/>
      <c r="K906" s="5"/>
      <c r="L906" s="5"/>
      <c r="M906" s="5"/>
      <c r="N906" s="5"/>
      <c r="O906" s="5"/>
      <c r="P906" s="5"/>
      <c r="Q906" s="5"/>
      <c r="R906" s="5"/>
      <c r="S906" s="5"/>
      <c r="T906" s="5"/>
      <c r="U906" s="5"/>
      <c r="V906" s="5"/>
      <c r="Y906" s="5"/>
      <c r="Z906" s="5"/>
      <c r="AA906" s="5"/>
      <c r="AB906" s="5"/>
      <c r="AC906" s="5"/>
      <c r="AD906" s="5"/>
      <c r="AE906" s="5"/>
      <c r="AF906" s="5"/>
      <c r="AG906" s="5"/>
      <c r="AH906" s="5"/>
      <c r="AI906" s="5"/>
      <c r="AJ906" s="5"/>
      <c r="AK906" s="5"/>
      <c r="AL906" s="5"/>
      <c r="AM906" s="5"/>
      <c r="AN906" s="5"/>
    </row>
    <row r="907" spans="1:40" ht="18.75" customHeight="1">
      <c r="A907" s="5"/>
      <c r="B907" s="5"/>
      <c r="C907" s="5"/>
      <c r="D907" s="5"/>
      <c r="E907" s="5"/>
      <c r="F907" s="5"/>
      <c r="G907" s="5"/>
      <c r="H907" s="5"/>
      <c r="I907" s="5"/>
      <c r="J907" s="5"/>
      <c r="K907" s="5"/>
      <c r="L907" s="5"/>
      <c r="M907" s="5"/>
      <c r="N907" s="5"/>
      <c r="O907" s="5"/>
      <c r="P907" s="5"/>
      <c r="Q907" s="5"/>
      <c r="R907" s="5"/>
      <c r="S907" s="5"/>
      <c r="T907" s="5"/>
      <c r="U907" s="5"/>
      <c r="V907" s="5"/>
      <c r="Y907" s="5"/>
      <c r="Z907" s="5"/>
      <c r="AA907" s="5"/>
      <c r="AB907" s="5"/>
      <c r="AC907" s="5"/>
      <c r="AD907" s="5"/>
      <c r="AE907" s="5"/>
      <c r="AF907" s="5"/>
      <c r="AG907" s="5"/>
      <c r="AH907" s="5"/>
      <c r="AI907" s="5"/>
      <c r="AJ907" s="5"/>
      <c r="AK907" s="5"/>
      <c r="AL907" s="5"/>
      <c r="AM907" s="5"/>
      <c r="AN907" s="5"/>
    </row>
    <row r="908" spans="1:40" ht="18.75" customHeight="1">
      <c r="A908" s="5"/>
      <c r="B908" s="5"/>
      <c r="C908" s="5"/>
      <c r="D908" s="5"/>
      <c r="E908" s="5"/>
      <c r="F908" s="5"/>
      <c r="G908" s="5"/>
      <c r="H908" s="5"/>
      <c r="I908" s="5"/>
      <c r="J908" s="5"/>
      <c r="K908" s="5"/>
      <c r="L908" s="5"/>
      <c r="M908" s="5"/>
      <c r="N908" s="5"/>
      <c r="O908" s="5"/>
      <c r="P908" s="5"/>
      <c r="Q908" s="5"/>
      <c r="R908" s="5"/>
      <c r="S908" s="5"/>
      <c r="T908" s="5"/>
      <c r="U908" s="5"/>
      <c r="V908" s="5"/>
      <c r="Y908" s="5"/>
      <c r="Z908" s="5"/>
      <c r="AA908" s="5"/>
      <c r="AB908" s="5"/>
      <c r="AC908" s="5"/>
      <c r="AD908" s="5"/>
      <c r="AE908" s="5"/>
      <c r="AF908" s="5"/>
      <c r="AG908" s="5"/>
      <c r="AH908" s="5"/>
      <c r="AI908" s="5"/>
      <c r="AJ908" s="5"/>
      <c r="AK908" s="5"/>
      <c r="AL908" s="5"/>
      <c r="AM908" s="5"/>
      <c r="AN908" s="5"/>
    </row>
    <row r="909" spans="1:40" ht="18.75" customHeight="1">
      <c r="A909" s="5"/>
      <c r="B909" s="5"/>
      <c r="C909" s="5"/>
      <c r="D909" s="5"/>
      <c r="E909" s="5"/>
      <c r="F909" s="5"/>
      <c r="G909" s="5"/>
      <c r="H909" s="5"/>
      <c r="I909" s="5"/>
      <c r="J909" s="5"/>
      <c r="K909" s="5"/>
      <c r="L909" s="5"/>
      <c r="M909" s="5"/>
      <c r="N909" s="5"/>
      <c r="O909" s="5"/>
      <c r="P909" s="5"/>
      <c r="Q909" s="5"/>
      <c r="R909" s="5"/>
      <c r="S909" s="5"/>
      <c r="T909" s="5"/>
      <c r="U909" s="5"/>
      <c r="V909" s="5"/>
      <c r="Y909" s="5"/>
      <c r="Z909" s="5"/>
      <c r="AA909" s="5"/>
      <c r="AB909" s="5"/>
      <c r="AC909" s="5"/>
      <c r="AD909" s="5"/>
      <c r="AE909" s="5"/>
      <c r="AF909" s="5"/>
      <c r="AG909" s="5"/>
      <c r="AH909" s="5"/>
      <c r="AI909" s="5"/>
      <c r="AJ909" s="5"/>
      <c r="AK909" s="5"/>
      <c r="AL909" s="5"/>
      <c r="AM909" s="5"/>
      <c r="AN909" s="5"/>
    </row>
    <row r="910" spans="1:40" ht="18.75" customHeight="1">
      <c r="A910" s="5"/>
      <c r="B910" s="5"/>
      <c r="C910" s="5"/>
      <c r="D910" s="5"/>
      <c r="E910" s="5"/>
      <c r="F910" s="5"/>
      <c r="G910" s="5"/>
      <c r="H910" s="5"/>
      <c r="I910" s="5"/>
      <c r="J910" s="5"/>
      <c r="K910" s="5"/>
      <c r="L910" s="5"/>
      <c r="M910" s="5"/>
      <c r="N910" s="5"/>
      <c r="O910" s="5"/>
      <c r="P910" s="5"/>
      <c r="Q910" s="5"/>
      <c r="R910" s="5"/>
      <c r="S910" s="5"/>
      <c r="T910" s="5"/>
      <c r="U910" s="5"/>
      <c r="V910" s="5"/>
      <c r="Y910" s="5"/>
      <c r="Z910" s="5"/>
      <c r="AA910" s="5"/>
      <c r="AB910" s="5"/>
      <c r="AC910" s="5"/>
      <c r="AD910" s="5"/>
      <c r="AE910" s="5"/>
      <c r="AF910" s="5"/>
      <c r="AG910" s="5"/>
      <c r="AH910" s="5"/>
      <c r="AI910" s="5"/>
      <c r="AJ910" s="5"/>
      <c r="AK910" s="5"/>
      <c r="AL910" s="5"/>
      <c r="AM910" s="5"/>
      <c r="AN910" s="5"/>
    </row>
    <row r="911" spans="1:40" ht="18.75" customHeight="1">
      <c r="A911" s="5"/>
      <c r="B911" s="5"/>
      <c r="C911" s="5"/>
      <c r="D911" s="5"/>
      <c r="E911" s="5"/>
      <c r="F911" s="5"/>
      <c r="G911" s="5"/>
      <c r="H911" s="5"/>
      <c r="I911" s="5"/>
      <c r="J911" s="5"/>
      <c r="K911" s="5"/>
      <c r="L911" s="5"/>
      <c r="M911" s="5"/>
      <c r="N911" s="5"/>
      <c r="O911" s="5"/>
      <c r="P911" s="5"/>
      <c r="Q911" s="5"/>
      <c r="R911" s="5"/>
      <c r="S911" s="5"/>
      <c r="T911" s="5"/>
      <c r="U911" s="5"/>
      <c r="V911" s="5"/>
      <c r="Y911" s="5"/>
      <c r="Z911" s="5"/>
      <c r="AA911" s="5"/>
      <c r="AB911" s="5"/>
      <c r="AC911" s="5"/>
      <c r="AD911" s="5"/>
      <c r="AE911" s="5"/>
      <c r="AF911" s="5"/>
      <c r="AG911" s="5"/>
      <c r="AH911" s="5"/>
      <c r="AI911" s="5"/>
      <c r="AJ911" s="5"/>
      <c r="AK911" s="5"/>
      <c r="AL911" s="5"/>
      <c r="AM911" s="5"/>
      <c r="AN911" s="5"/>
    </row>
    <row r="912" spans="1:40" ht="18.75" customHeight="1">
      <c r="A912" s="5"/>
      <c r="B912" s="5"/>
      <c r="C912" s="5"/>
      <c r="D912" s="5"/>
      <c r="E912" s="5"/>
      <c r="F912" s="5"/>
      <c r="G912" s="5"/>
      <c r="H912" s="5"/>
      <c r="I912" s="5"/>
      <c r="J912" s="5"/>
      <c r="K912" s="5"/>
      <c r="L912" s="5"/>
      <c r="M912" s="5"/>
      <c r="N912" s="5"/>
      <c r="O912" s="5"/>
      <c r="P912" s="5"/>
      <c r="Q912" s="5"/>
      <c r="R912" s="5"/>
      <c r="S912" s="5"/>
      <c r="T912" s="5"/>
      <c r="U912" s="5"/>
      <c r="V912" s="5"/>
      <c r="Y912" s="5"/>
      <c r="Z912" s="5"/>
      <c r="AA912" s="5"/>
      <c r="AB912" s="5"/>
      <c r="AC912" s="5"/>
      <c r="AD912" s="5"/>
      <c r="AE912" s="5"/>
      <c r="AF912" s="5"/>
      <c r="AG912" s="5"/>
      <c r="AH912" s="5"/>
      <c r="AI912" s="5"/>
      <c r="AJ912" s="5"/>
      <c r="AK912" s="5"/>
      <c r="AL912" s="5"/>
      <c r="AM912" s="5"/>
      <c r="AN912" s="5"/>
    </row>
    <row r="913" spans="1:40" ht="18.75" customHeight="1">
      <c r="A913" s="5"/>
      <c r="B913" s="5"/>
      <c r="C913" s="5"/>
      <c r="D913" s="5"/>
      <c r="E913" s="5"/>
      <c r="F913" s="5"/>
      <c r="G913" s="5"/>
      <c r="H913" s="5"/>
      <c r="I913" s="5"/>
      <c r="J913" s="5"/>
      <c r="K913" s="5"/>
      <c r="L913" s="5"/>
      <c r="M913" s="5"/>
      <c r="N913" s="5"/>
      <c r="O913" s="5"/>
      <c r="P913" s="5"/>
      <c r="Q913" s="5"/>
      <c r="R913" s="5"/>
      <c r="S913" s="5"/>
      <c r="T913" s="5"/>
      <c r="U913" s="5"/>
      <c r="V913" s="5"/>
      <c r="Y913" s="5"/>
      <c r="Z913" s="5"/>
      <c r="AA913" s="5"/>
      <c r="AB913" s="5"/>
      <c r="AC913" s="5"/>
      <c r="AD913" s="5"/>
      <c r="AE913" s="5"/>
      <c r="AF913" s="5"/>
      <c r="AG913" s="5"/>
      <c r="AH913" s="5"/>
      <c r="AI913" s="5"/>
      <c r="AJ913" s="5"/>
      <c r="AK913" s="5"/>
      <c r="AL913" s="5"/>
      <c r="AM913" s="5"/>
      <c r="AN913" s="5"/>
    </row>
    <row r="914" spans="1:40" ht="18.75" customHeight="1">
      <c r="A914" s="5"/>
      <c r="B914" s="5"/>
      <c r="C914" s="5"/>
      <c r="D914" s="5"/>
      <c r="E914" s="5"/>
      <c r="F914" s="5"/>
      <c r="G914" s="5"/>
      <c r="H914" s="5"/>
      <c r="I914" s="5"/>
      <c r="J914" s="5"/>
      <c r="K914" s="5"/>
      <c r="L914" s="5"/>
      <c r="M914" s="5"/>
      <c r="N914" s="5"/>
      <c r="O914" s="5"/>
      <c r="P914" s="5"/>
      <c r="Q914" s="5"/>
      <c r="R914" s="5"/>
      <c r="S914" s="5"/>
      <c r="T914" s="5"/>
      <c r="U914" s="5"/>
      <c r="V914" s="5"/>
      <c r="Y914" s="5"/>
      <c r="Z914" s="5"/>
      <c r="AA914" s="5"/>
      <c r="AB914" s="5"/>
      <c r="AC914" s="5"/>
      <c r="AD914" s="5"/>
      <c r="AE914" s="5"/>
      <c r="AF914" s="5"/>
      <c r="AG914" s="5"/>
      <c r="AH914" s="5"/>
      <c r="AI914" s="5"/>
      <c r="AJ914" s="5"/>
      <c r="AK914" s="5"/>
      <c r="AL914" s="5"/>
      <c r="AM914" s="5"/>
      <c r="AN914" s="5"/>
    </row>
    <row r="915" spans="1:40" ht="18.75" customHeight="1">
      <c r="A915" s="5"/>
      <c r="B915" s="5"/>
      <c r="C915" s="5"/>
      <c r="D915" s="5"/>
      <c r="E915" s="5"/>
      <c r="F915" s="5"/>
      <c r="G915" s="5"/>
      <c r="H915" s="5"/>
      <c r="I915" s="5"/>
      <c r="J915" s="5"/>
      <c r="K915" s="5"/>
      <c r="L915" s="5"/>
      <c r="M915" s="5"/>
      <c r="N915" s="5"/>
      <c r="O915" s="5"/>
      <c r="P915" s="5"/>
      <c r="Q915" s="5"/>
      <c r="R915" s="5"/>
      <c r="S915" s="5"/>
      <c r="T915" s="5"/>
      <c r="U915" s="5"/>
      <c r="V915" s="5"/>
      <c r="Y915" s="5"/>
      <c r="Z915" s="5"/>
      <c r="AA915" s="5"/>
      <c r="AB915" s="5"/>
      <c r="AC915" s="5"/>
      <c r="AD915" s="5"/>
      <c r="AE915" s="5"/>
      <c r="AF915" s="5"/>
      <c r="AG915" s="5"/>
      <c r="AH915" s="5"/>
      <c r="AI915" s="5"/>
      <c r="AJ915" s="5"/>
      <c r="AK915" s="5"/>
      <c r="AL915" s="5"/>
      <c r="AM915" s="5"/>
      <c r="AN915" s="5"/>
    </row>
    <row r="916" spans="1:40" ht="18.75" customHeight="1">
      <c r="A916" s="5"/>
      <c r="B916" s="5"/>
      <c r="C916" s="5"/>
      <c r="D916" s="5"/>
      <c r="E916" s="5"/>
      <c r="F916" s="5"/>
      <c r="G916" s="5"/>
      <c r="H916" s="5"/>
      <c r="I916" s="5"/>
      <c r="J916" s="5"/>
      <c r="K916" s="5"/>
      <c r="L916" s="5"/>
      <c r="M916" s="5"/>
      <c r="N916" s="5"/>
      <c r="O916" s="5"/>
      <c r="P916" s="5"/>
      <c r="Q916" s="5"/>
      <c r="R916" s="5"/>
      <c r="S916" s="5"/>
      <c r="T916" s="5"/>
      <c r="U916" s="5"/>
      <c r="V916" s="5"/>
      <c r="Y916" s="5"/>
      <c r="Z916" s="5"/>
      <c r="AA916" s="5"/>
      <c r="AB916" s="5"/>
      <c r="AC916" s="5"/>
      <c r="AD916" s="5"/>
      <c r="AE916" s="5"/>
      <c r="AF916" s="5"/>
      <c r="AG916" s="5"/>
      <c r="AH916" s="5"/>
      <c r="AI916" s="5"/>
      <c r="AJ916" s="5"/>
      <c r="AK916" s="5"/>
      <c r="AL916" s="5"/>
      <c r="AM916" s="5"/>
      <c r="AN916" s="5"/>
    </row>
    <row r="917" spans="1:40" ht="18.75" customHeight="1">
      <c r="A917" s="5"/>
      <c r="B917" s="5"/>
      <c r="C917" s="5"/>
      <c r="D917" s="5"/>
      <c r="E917" s="5"/>
      <c r="F917" s="5"/>
      <c r="G917" s="5"/>
      <c r="H917" s="5"/>
      <c r="I917" s="5"/>
      <c r="J917" s="5"/>
      <c r="K917" s="5"/>
      <c r="L917" s="5"/>
      <c r="M917" s="5"/>
      <c r="N917" s="5"/>
      <c r="O917" s="5"/>
      <c r="P917" s="5"/>
      <c r="Q917" s="5"/>
      <c r="R917" s="5"/>
      <c r="S917" s="5"/>
      <c r="T917" s="5"/>
      <c r="U917" s="5"/>
      <c r="V917" s="5"/>
      <c r="Y917" s="5"/>
      <c r="Z917" s="5"/>
      <c r="AA917" s="5"/>
      <c r="AB917" s="5"/>
      <c r="AC917" s="5"/>
      <c r="AD917" s="5"/>
      <c r="AE917" s="5"/>
      <c r="AF917" s="5"/>
      <c r="AG917" s="5"/>
      <c r="AH917" s="5"/>
      <c r="AI917" s="5"/>
      <c r="AJ917" s="5"/>
      <c r="AK917" s="5"/>
      <c r="AL917" s="5"/>
      <c r="AM917" s="5"/>
      <c r="AN917" s="5"/>
    </row>
    <row r="918" spans="1:40" ht="18.75" customHeight="1">
      <c r="A918" s="5"/>
      <c r="B918" s="5"/>
      <c r="C918" s="5"/>
      <c r="D918" s="5"/>
      <c r="E918" s="5"/>
      <c r="F918" s="5"/>
      <c r="G918" s="5"/>
      <c r="H918" s="5"/>
      <c r="I918" s="5"/>
      <c r="J918" s="5"/>
      <c r="K918" s="5"/>
      <c r="L918" s="5"/>
      <c r="M918" s="5"/>
      <c r="N918" s="5"/>
      <c r="O918" s="5"/>
      <c r="P918" s="5"/>
      <c r="Q918" s="5"/>
      <c r="R918" s="5"/>
      <c r="S918" s="5"/>
      <c r="T918" s="5"/>
      <c r="U918" s="5"/>
      <c r="V918" s="5"/>
      <c r="Y918" s="5"/>
      <c r="Z918" s="5"/>
      <c r="AA918" s="5"/>
      <c r="AB918" s="5"/>
      <c r="AC918" s="5"/>
      <c r="AD918" s="5"/>
      <c r="AE918" s="5"/>
      <c r="AF918" s="5"/>
      <c r="AG918" s="5"/>
      <c r="AH918" s="5"/>
      <c r="AI918" s="5"/>
      <c r="AJ918" s="5"/>
      <c r="AK918" s="5"/>
      <c r="AL918" s="5"/>
      <c r="AM918" s="5"/>
      <c r="AN918" s="5"/>
    </row>
    <row r="919" spans="1:40" ht="18.75" customHeight="1">
      <c r="A919" s="5"/>
      <c r="B919" s="5"/>
      <c r="C919" s="5"/>
      <c r="D919" s="5"/>
      <c r="E919" s="5"/>
      <c r="F919" s="5"/>
      <c r="G919" s="5"/>
      <c r="H919" s="5"/>
      <c r="I919" s="5"/>
      <c r="J919" s="5"/>
      <c r="K919" s="5"/>
      <c r="L919" s="5"/>
      <c r="M919" s="5"/>
      <c r="N919" s="5"/>
      <c r="O919" s="5"/>
      <c r="P919" s="5"/>
      <c r="Q919" s="5"/>
      <c r="R919" s="5"/>
      <c r="S919" s="5"/>
      <c r="T919" s="5"/>
      <c r="U919" s="5"/>
      <c r="V919" s="5"/>
      <c r="Y919" s="5"/>
      <c r="Z919" s="5"/>
      <c r="AA919" s="5"/>
      <c r="AB919" s="5"/>
      <c r="AC919" s="5"/>
      <c r="AD919" s="5"/>
      <c r="AE919" s="5"/>
      <c r="AF919" s="5"/>
      <c r="AG919" s="5"/>
      <c r="AH919" s="5"/>
      <c r="AI919" s="5"/>
      <c r="AJ919" s="5"/>
      <c r="AK919" s="5"/>
      <c r="AL919" s="5"/>
      <c r="AM919" s="5"/>
      <c r="AN919" s="5"/>
    </row>
    <row r="920" spans="1:40" ht="18.75" customHeight="1">
      <c r="A920" s="5"/>
      <c r="B920" s="5"/>
      <c r="C920" s="5"/>
      <c r="D920" s="5"/>
      <c r="E920" s="5"/>
      <c r="F920" s="5"/>
      <c r="G920" s="5"/>
      <c r="H920" s="5"/>
      <c r="I920" s="5"/>
      <c r="J920" s="5"/>
      <c r="K920" s="5"/>
      <c r="L920" s="5"/>
      <c r="M920" s="5"/>
      <c r="N920" s="5"/>
      <c r="O920" s="5"/>
      <c r="P920" s="5"/>
      <c r="Q920" s="5"/>
      <c r="R920" s="5"/>
      <c r="S920" s="5"/>
      <c r="T920" s="5"/>
      <c r="U920" s="5"/>
      <c r="V920" s="5"/>
      <c r="Y920" s="5"/>
      <c r="Z920" s="5"/>
      <c r="AA920" s="5"/>
      <c r="AB920" s="5"/>
      <c r="AC920" s="5"/>
      <c r="AD920" s="5"/>
      <c r="AE920" s="5"/>
      <c r="AF920" s="5"/>
      <c r="AG920" s="5"/>
      <c r="AH920" s="5"/>
      <c r="AI920" s="5"/>
      <c r="AJ920" s="5"/>
      <c r="AK920" s="5"/>
      <c r="AL920" s="5"/>
      <c r="AM920" s="5"/>
      <c r="AN920" s="5"/>
    </row>
    <row r="921" spans="1:40" ht="18.75" customHeight="1">
      <c r="A921" s="5"/>
      <c r="B921" s="5"/>
      <c r="C921" s="5"/>
      <c r="D921" s="5"/>
      <c r="E921" s="5"/>
      <c r="F921" s="5"/>
      <c r="G921" s="5"/>
      <c r="H921" s="5"/>
      <c r="I921" s="5"/>
      <c r="J921" s="5"/>
      <c r="K921" s="5"/>
      <c r="L921" s="5"/>
      <c r="M921" s="5"/>
      <c r="N921" s="5"/>
      <c r="O921" s="5"/>
      <c r="P921" s="5"/>
      <c r="Q921" s="5"/>
      <c r="R921" s="5"/>
      <c r="S921" s="5"/>
      <c r="T921" s="5"/>
      <c r="U921" s="5"/>
      <c r="V921" s="5"/>
      <c r="Y921" s="5"/>
      <c r="Z921" s="5"/>
      <c r="AA921" s="5"/>
      <c r="AB921" s="5"/>
      <c r="AC921" s="5"/>
      <c r="AD921" s="5"/>
      <c r="AE921" s="5"/>
      <c r="AF921" s="5"/>
      <c r="AG921" s="5"/>
      <c r="AH921" s="5"/>
      <c r="AI921" s="5"/>
      <c r="AJ921" s="5"/>
      <c r="AK921" s="5"/>
      <c r="AL921" s="5"/>
      <c r="AM921" s="5"/>
      <c r="AN921" s="5"/>
    </row>
    <row r="922" spans="1:40" ht="18.75" customHeight="1">
      <c r="A922" s="5"/>
      <c r="B922" s="5"/>
      <c r="C922" s="5"/>
      <c r="D922" s="5"/>
      <c r="E922" s="5"/>
      <c r="F922" s="5"/>
      <c r="G922" s="5"/>
      <c r="H922" s="5"/>
      <c r="I922" s="5"/>
      <c r="J922" s="5"/>
      <c r="K922" s="5"/>
      <c r="L922" s="5"/>
      <c r="M922" s="5"/>
      <c r="N922" s="5"/>
      <c r="O922" s="5"/>
      <c r="P922" s="5"/>
      <c r="Q922" s="5"/>
      <c r="R922" s="5"/>
      <c r="S922" s="5"/>
      <c r="T922" s="5"/>
      <c r="U922" s="5"/>
      <c r="V922" s="5"/>
      <c r="Y922" s="5"/>
      <c r="Z922" s="5"/>
      <c r="AA922" s="5"/>
      <c r="AB922" s="5"/>
      <c r="AC922" s="5"/>
      <c r="AD922" s="5"/>
      <c r="AE922" s="5"/>
      <c r="AF922" s="5"/>
      <c r="AG922" s="5"/>
      <c r="AH922" s="5"/>
      <c r="AI922" s="5"/>
      <c r="AJ922" s="5"/>
      <c r="AK922" s="5"/>
      <c r="AL922" s="5"/>
      <c r="AM922" s="5"/>
      <c r="AN922" s="5"/>
    </row>
    <row r="923" spans="1:40" ht="18.75" customHeight="1">
      <c r="A923" s="5"/>
      <c r="B923" s="5"/>
      <c r="C923" s="5"/>
      <c r="D923" s="5"/>
      <c r="E923" s="5"/>
      <c r="F923" s="5"/>
      <c r="G923" s="5"/>
      <c r="H923" s="5"/>
      <c r="I923" s="5"/>
      <c r="J923" s="5"/>
      <c r="K923" s="5"/>
      <c r="L923" s="5"/>
      <c r="M923" s="5"/>
      <c r="N923" s="5"/>
      <c r="O923" s="5"/>
      <c r="P923" s="5"/>
      <c r="Q923" s="5"/>
      <c r="R923" s="5"/>
      <c r="S923" s="5"/>
      <c r="T923" s="5"/>
      <c r="U923" s="5"/>
      <c r="V923" s="5"/>
      <c r="Y923" s="5"/>
      <c r="Z923" s="5"/>
      <c r="AA923" s="5"/>
      <c r="AB923" s="5"/>
      <c r="AC923" s="5"/>
      <c r="AD923" s="5"/>
      <c r="AE923" s="5"/>
      <c r="AF923" s="5"/>
      <c r="AG923" s="5"/>
      <c r="AH923" s="5"/>
      <c r="AI923" s="5"/>
      <c r="AJ923" s="5"/>
      <c r="AK923" s="5"/>
      <c r="AL923" s="5"/>
      <c r="AM923" s="5"/>
      <c r="AN923" s="5"/>
    </row>
    <row r="924" spans="1:40" ht="18.75" customHeight="1">
      <c r="A924" s="5"/>
      <c r="B924" s="5"/>
      <c r="C924" s="5"/>
      <c r="D924" s="5"/>
      <c r="E924" s="5"/>
      <c r="F924" s="5"/>
      <c r="G924" s="5"/>
      <c r="H924" s="5"/>
      <c r="I924" s="5"/>
      <c r="J924" s="5"/>
      <c r="K924" s="5"/>
      <c r="L924" s="5"/>
      <c r="M924" s="5"/>
      <c r="N924" s="5"/>
      <c r="O924" s="5"/>
      <c r="P924" s="5"/>
      <c r="Q924" s="5"/>
      <c r="R924" s="5"/>
      <c r="S924" s="5"/>
      <c r="T924" s="5"/>
      <c r="U924" s="5"/>
      <c r="V924" s="5"/>
      <c r="Y924" s="5"/>
      <c r="Z924" s="5"/>
      <c r="AA924" s="5"/>
      <c r="AB924" s="5"/>
      <c r="AC924" s="5"/>
      <c r="AD924" s="5"/>
      <c r="AE924" s="5"/>
      <c r="AF924" s="5"/>
      <c r="AG924" s="5"/>
      <c r="AH924" s="5"/>
      <c r="AI924" s="5"/>
      <c r="AJ924" s="5"/>
      <c r="AK924" s="5"/>
      <c r="AL924" s="5"/>
      <c r="AM924" s="5"/>
      <c r="AN924" s="5"/>
    </row>
    <row r="925" spans="1:40" ht="18.75" customHeight="1">
      <c r="A925" s="5"/>
      <c r="B925" s="5"/>
      <c r="C925" s="5"/>
      <c r="D925" s="5"/>
      <c r="E925" s="5"/>
      <c r="F925" s="5"/>
      <c r="G925" s="5"/>
      <c r="H925" s="5"/>
      <c r="I925" s="5"/>
      <c r="J925" s="5"/>
      <c r="K925" s="5"/>
      <c r="L925" s="5"/>
      <c r="M925" s="5"/>
      <c r="N925" s="5"/>
      <c r="O925" s="5"/>
      <c r="P925" s="5"/>
      <c r="Q925" s="5"/>
      <c r="R925" s="5"/>
      <c r="S925" s="5"/>
      <c r="T925" s="5"/>
      <c r="U925" s="5"/>
      <c r="V925" s="5"/>
      <c r="Y925" s="5"/>
      <c r="Z925" s="5"/>
      <c r="AA925" s="5"/>
      <c r="AB925" s="5"/>
      <c r="AC925" s="5"/>
      <c r="AD925" s="5"/>
      <c r="AE925" s="5"/>
      <c r="AF925" s="5"/>
      <c r="AG925" s="5"/>
      <c r="AH925" s="5"/>
      <c r="AI925" s="5"/>
      <c r="AJ925" s="5"/>
      <c r="AK925" s="5"/>
      <c r="AL925" s="5"/>
      <c r="AM925" s="5"/>
      <c r="AN925" s="5"/>
    </row>
    <row r="926" spans="1:40" ht="18.75" customHeight="1">
      <c r="A926" s="5"/>
      <c r="B926" s="5"/>
      <c r="C926" s="5"/>
      <c r="D926" s="5"/>
      <c r="E926" s="5"/>
      <c r="F926" s="5"/>
      <c r="G926" s="5"/>
      <c r="H926" s="5"/>
      <c r="I926" s="5"/>
      <c r="J926" s="5"/>
      <c r="K926" s="5"/>
      <c r="L926" s="5"/>
      <c r="M926" s="5"/>
      <c r="N926" s="5"/>
      <c r="O926" s="5"/>
      <c r="P926" s="5"/>
      <c r="Q926" s="5"/>
      <c r="R926" s="5"/>
      <c r="S926" s="5"/>
      <c r="T926" s="5"/>
      <c r="U926" s="5"/>
      <c r="V926" s="5"/>
      <c r="Y926" s="5"/>
      <c r="Z926" s="5"/>
      <c r="AA926" s="5"/>
      <c r="AB926" s="5"/>
      <c r="AC926" s="5"/>
      <c r="AD926" s="5"/>
      <c r="AE926" s="5"/>
      <c r="AF926" s="5"/>
      <c r="AG926" s="5"/>
      <c r="AH926" s="5"/>
      <c r="AI926" s="5"/>
      <c r="AJ926" s="5"/>
      <c r="AK926" s="5"/>
      <c r="AL926" s="5"/>
      <c r="AM926" s="5"/>
      <c r="AN926" s="5"/>
    </row>
    <row r="927" spans="1:40" ht="18.75" customHeight="1">
      <c r="A927" s="5"/>
      <c r="B927" s="5"/>
      <c r="C927" s="5"/>
      <c r="D927" s="5"/>
      <c r="E927" s="5"/>
      <c r="F927" s="5"/>
      <c r="G927" s="5"/>
      <c r="H927" s="5"/>
      <c r="I927" s="5"/>
      <c r="J927" s="5"/>
      <c r="K927" s="5"/>
      <c r="L927" s="5"/>
      <c r="M927" s="5"/>
      <c r="N927" s="5"/>
      <c r="O927" s="5"/>
      <c r="P927" s="5"/>
      <c r="Q927" s="5"/>
      <c r="R927" s="5"/>
      <c r="S927" s="5"/>
      <c r="T927" s="5"/>
      <c r="U927" s="5"/>
      <c r="V927" s="5"/>
      <c r="Y927" s="5"/>
      <c r="Z927" s="5"/>
      <c r="AA927" s="5"/>
      <c r="AB927" s="5"/>
      <c r="AC927" s="5"/>
      <c r="AD927" s="5"/>
      <c r="AE927" s="5"/>
      <c r="AF927" s="5"/>
      <c r="AG927" s="5"/>
      <c r="AH927" s="5"/>
      <c r="AI927" s="5"/>
      <c r="AJ927" s="5"/>
      <c r="AK927" s="5"/>
      <c r="AL927" s="5"/>
      <c r="AM927" s="5"/>
      <c r="AN927" s="5"/>
    </row>
    <row r="928" spans="1:40" ht="18.75" customHeight="1">
      <c r="A928" s="5"/>
      <c r="B928" s="5"/>
      <c r="C928" s="5"/>
      <c r="D928" s="5"/>
      <c r="E928" s="5"/>
      <c r="F928" s="5"/>
      <c r="G928" s="5"/>
      <c r="H928" s="5"/>
      <c r="I928" s="5"/>
      <c r="J928" s="5"/>
      <c r="K928" s="5"/>
      <c r="L928" s="5"/>
      <c r="M928" s="5"/>
      <c r="N928" s="5"/>
      <c r="O928" s="5"/>
      <c r="P928" s="5"/>
      <c r="Q928" s="5"/>
      <c r="R928" s="5"/>
      <c r="S928" s="5"/>
      <c r="T928" s="5"/>
      <c r="U928" s="5"/>
      <c r="V928" s="5"/>
      <c r="Y928" s="5"/>
      <c r="Z928" s="5"/>
      <c r="AA928" s="5"/>
      <c r="AB928" s="5"/>
      <c r="AC928" s="5"/>
      <c r="AD928" s="5"/>
      <c r="AE928" s="5"/>
      <c r="AF928" s="5"/>
      <c r="AG928" s="5"/>
      <c r="AH928" s="5"/>
      <c r="AI928" s="5"/>
      <c r="AJ928" s="5"/>
      <c r="AK928" s="5"/>
      <c r="AL928" s="5"/>
      <c r="AM928" s="5"/>
      <c r="AN928" s="5"/>
    </row>
    <row r="929" spans="1:40" ht="18.75" customHeight="1">
      <c r="A929" s="5"/>
      <c r="B929" s="5"/>
      <c r="C929" s="5"/>
      <c r="D929" s="5"/>
      <c r="E929" s="5"/>
      <c r="F929" s="5"/>
      <c r="G929" s="5"/>
      <c r="H929" s="5"/>
      <c r="I929" s="5"/>
      <c r="J929" s="5"/>
      <c r="K929" s="5"/>
      <c r="L929" s="5"/>
      <c r="M929" s="5"/>
      <c r="N929" s="5"/>
      <c r="O929" s="5"/>
      <c r="P929" s="5"/>
      <c r="Q929" s="5"/>
      <c r="R929" s="5"/>
      <c r="S929" s="5"/>
      <c r="T929" s="5"/>
      <c r="U929" s="5"/>
      <c r="V929" s="5"/>
      <c r="Y929" s="5"/>
      <c r="Z929" s="5"/>
      <c r="AA929" s="5"/>
      <c r="AB929" s="5"/>
      <c r="AC929" s="5"/>
      <c r="AD929" s="5"/>
      <c r="AE929" s="5"/>
      <c r="AF929" s="5"/>
      <c r="AG929" s="5"/>
      <c r="AH929" s="5"/>
      <c r="AI929" s="5"/>
      <c r="AJ929" s="5"/>
      <c r="AK929" s="5"/>
      <c r="AL929" s="5"/>
      <c r="AM929" s="5"/>
      <c r="AN929" s="5"/>
    </row>
    <row r="930" spans="1:40" ht="18.75" customHeight="1">
      <c r="A930" s="5"/>
      <c r="B930" s="5"/>
      <c r="C930" s="5"/>
      <c r="D930" s="5"/>
      <c r="E930" s="5"/>
      <c r="F930" s="5"/>
      <c r="G930" s="5"/>
      <c r="H930" s="5"/>
      <c r="I930" s="5"/>
      <c r="J930" s="5"/>
      <c r="K930" s="5"/>
      <c r="L930" s="5"/>
      <c r="M930" s="5"/>
      <c r="N930" s="5"/>
      <c r="O930" s="5"/>
      <c r="P930" s="5"/>
      <c r="Q930" s="5"/>
      <c r="R930" s="5"/>
      <c r="S930" s="5"/>
      <c r="T930" s="5"/>
      <c r="U930" s="5"/>
      <c r="V930" s="5"/>
      <c r="Y930" s="5"/>
      <c r="Z930" s="5"/>
      <c r="AA930" s="5"/>
      <c r="AB930" s="5"/>
      <c r="AC930" s="5"/>
      <c r="AD930" s="5"/>
      <c r="AE930" s="5"/>
      <c r="AF930" s="5"/>
      <c r="AG930" s="5"/>
      <c r="AH930" s="5"/>
      <c r="AI930" s="5"/>
      <c r="AJ930" s="5"/>
      <c r="AK930" s="5"/>
      <c r="AL930" s="5"/>
      <c r="AM930" s="5"/>
      <c r="AN930" s="5"/>
    </row>
    <row r="931" spans="1:40" ht="18.75" customHeight="1">
      <c r="A931" s="5"/>
      <c r="B931" s="5"/>
      <c r="C931" s="5"/>
      <c r="D931" s="5"/>
      <c r="E931" s="5"/>
      <c r="F931" s="5"/>
      <c r="G931" s="5"/>
      <c r="H931" s="5"/>
      <c r="I931" s="5"/>
      <c r="J931" s="5"/>
      <c r="K931" s="5"/>
      <c r="L931" s="5"/>
      <c r="M931" s="5"/>
      <c r="N931" s="5"/>
      <c r="O931" s="5"/>
      <c r="P931" s="5"/>
      <c r="Q931" s="5"/>
      <c r="R931" s="5"/>
      <c r="S931" s="5"/>
      <c r="T931" s="5"/>
      <c r="U931" s="5"/>
      <c r="V931" s="5"/>
      <c r="Y931" s="5"/>
      <c r="Z931" s="5"/>
      <c r="AA931" s="5"/>
      <c r="AB931" s="5"/>
      <c r="AC931" s="5"/>
      <c r="AD931" s="5"/>
      <c r="AE931" s="5"/>
      <c r="AF931" s="5"/>
      <c r="AG931" s="5"/>
      <c r="AH931" s="5"/>
      <c r="AI931" s="5"/>
      <c r="AJ931" s="5"/>
      <c r="AK931" s="5"/>
      <c r="AL931" s="5"/>
      <c r="AM931" s="5"/>
      <c r="AN931" s="5"/>
    </row>
    <row r="932" spans="1:40" ht="18.75" customHeight="1">
      <c r="A932" s="5"/>
      <c r="B932" s="5"/>
      <c r="C932" s="5"/>
      <c r="D932" s="5"/>
      <c r="E932" s="5"/>
      <c r="F932" s="5"/>
      <c r="G932" s="5"/>
      <c r="H932" s="5"/>
      <c r="I932" s="5"/>
      <c r="J932" s="5"/>
      <c r="K932" s="5"/>
      <c r="L932" s="5"/>
      <c r="M932" s="5"/>
      <c r="N932" s="5"/>
      <c r="O932" s="5"/>
      <c r="P932" s="5"/>
      <c r="Q932" s="5"/>
      <c r="R932" s="5"/>
      <c r="S932" s="5"/>
      <c r="T932" s="5"/>
      <c r="U932" s="5"/>
      <c r="V932" s="5"/>
      <c r="Y932" s="5"/>
      <c r="Z932" s="5"/>
      <c r="AA932" s="5"/>
      <c r="AB932" s="5"/>
      <c r="AC932" s="5"/>
      <c r="AD932" s="5"/>
      <c r="AE932" s="5"/>
      <c r="AF932" s="5"/>
      <c r="AG932" s="5"/>
      <c r="AH932" s="5"/>
      <c r="AI932" s="5"/>
      <c r="AJ932" s="5"/>
      <c r="AK932" s="5"/>
      <c r="AL932" s="5"/>
      <c r="AM932" s="5"/>
      <c r="AN932" s="5"/>
    </row>
    <row r="933" spans="1:40" ht="18.75" customHeight="1">
      <c r="A933" s="5"/>
      <c r="B933" s="5"/>
      <c r="C933" s="5"/>
      <c r="D933" s="5"/>
      <c r="E933" s="5"/>
      <c r="F933" s="5"/>
      <c r="G933" s="5"/>
      <c r="H933" s="5"/>
      <c r="I933" s="5"/>
      <c r="J933" s="5"/>
      <c r="K933" s="5"/>
      <c r="L933" s="5"/>
      <c r="M933" s="5"/>
      <c r="N933" s="5"/>
      <c r="O933" s="5"/>
      <c r="P933" s="5"/>
      <c r="Q933" s="5"/>
      <c r="R933" s="5"/>
      <c r="S933" s="5"/>
      <c r="T933" s="5"/>
      <c r="U933" s="5"/>
      <c r="V933" s="5"/>
      <c r="Y933" s="5"/>
      <c r="Z933" s="5"/>
      <c r="AA933" s="5"/>
      <c r="AB933" s="5"/>
      <c r="AC933" s="5"/>
      <c r="AD933" s="5"/>
      <c r="AE933" s="5"/>
      <c r="AF933" s="5"/>
      <c r="AG933" s="5"/>
      <c r="AH933" s="5"/>
      <c r="AI933" s="5"/>
      <c r="AJ933" s="5"/>
      <c r="AK933" s="5"/>
      <c r="AL933" s="5"/>
      <c r="AM933" s="5"/>
      <c r="AN933" s="5"/>
    </row>
    <row r="934" spans="1:40" ht="18.75" customHeight="1">
      <c r="A934" s="5"/>
      <c r="B934" s="5"/>
      <c r="C934" s="5"/>
      <c r="D934" s="5"/>
      <c r="E934" s="5"/>
      <c r="F934" s="5"/>
      <c r="G934" s="5"/>
      <c r="H934" s="5"/>
      <c r="I934" s="5"/>
      <c r="J934" s="5"/>
      <c r="K934" s="5"/>
      <c r="L934" s="5"/>
      <c r="M934" s="5"/>
      <c r="N934" s="5"/>
      <c r="O934" s="5"/>
      <c r="P934" s="5"/>
      <c r="Q934" s="5"/>
      <c r="R934" s="5"/>
      <c r="S934" s="5"/>
      <c r="T934" s="5"/>
      <c r="U934" s="5"/>
      <c r="V934" s="5"/>
      <c r="Y934" s="5"/>
      <c r="Z934" s="5"/>
      <c r="AA934" s="5"/>
      <c r="AB934" s="5"/>
      <c r="AC934" s="5"/>
      <c r="AD934" s="5"/>
      <c r="AE934" s="5"/>
      <c r="AF934" s="5"/>
      <c r="AG934" s="5"/>
      <c r="AH934" s="5"/>
      <c r="AI934" s="5"/>
      <c r="AJ934" s="5"/>
      <c r="AK934" s="5"/>
      <c r="AL934" s="5"/>
      <c r="AM934" s="5"/>
      <c r="AN934" s="5"/>
    </row>
    <row r="935" spans="1:40" ht="18.75" customHeight="1">
      <c r="A935" s="5"/>
      <c r="B935" s="5"/>
      <c r="C935" s="5"/>
      <c r="D935" s="5"/>
      <c r="E935" s="5"/>
      <c r="F935" s="5"/>
      <c r="G935" s="5"/>
      <c r="H935" s="5"/>
      <c r="I935" s="5"/>
      <c r="J935" s="5"/>
      <c r="K935" s="5"/>
      <c r="L935" s="5"/>
      <c r="M935" s="5"/>
      <c r="N935" s="5"/>
      <c r="O935" s="5"/>
      <c r="P935" s="5"/>
      <c r="Q935" s="5"/>
      <c r="R935" s="5"/>
      <c r="S935" s="5"/>
      <c r="T935" s="5"/>
      <c r="U935" s="5"/>
      <c r="V935" s="5"/>
      <c r="Y935" s="5"/>
      <c r="Z935" s="5"/>
      <c r="AA935" s="5"/>
      <c r="AB935" s="5"/>
      <c r="AC935" s="5"/>
      <c r="AD935" s="5"/>
      <c r="AE935" s="5"/>
      <c r="AF935" s="5"/>
      <c r="AG935" s="5"/>
      <c r="AH935" s="5"/>
      <c r="AI935" s="5"/>
      <c r="AJ935" s="5"/>
      <c r="AK935" s="5"/>
      <c r="AL935" s="5"/>
      <c r="AM935" s="5"/>
      <c r="AN935" s="5"/>
    </row>
    <row r="936" spans="1:40" ht="18.75" customHeight="1">
      <c r="A936" s="5"/>
      <c r="B936" s="5"/>
      <c r="C936" s="5"/>
      <c r="D936" s="5"/>
      <c r="E936" s="5"/>
      <c r="F936" s="5"/>
      <c r="G936" s="5"/>
      <c r="H936" s="5"/>
      <c r="I936" s="5"/>
      <c r="J936" s="5"/>
      <c r="K936" s="5"/>
      <c r="L936" s="5"/>
      <c r="M936" s="5"/>
      <c r="N936" s="5"/>
      <c r="O936" s="5"/>
      <c r="P936" s="5"/>
      <c r="Q936" s="5"/>
      <c r="R936" s="5"/>
      <c r="S936" s="5"/>
      <c r="T936" s="5"/>
      <c r="U936" s="5"/>
      <c r="V936" s="5"/>
      <c r="Y936" s="5"/>
      <c r="Z936" s="5"/>
      <c r="AA936" s="5"/>
      <c r="AB936" s="5"/>
      <c r="AC936" s="5"/>
      <c r="AD936" s="5"/>
      <c r="AE936" s="5"/>
      <c r="AF936" s="5"/>
      <c r="AG936" s="5"/>
      <c r="AH936" s="5"/>
      <c r="AI936" s="5"/>
      <c r="AJ936" s="5"/>
      <c r="AK936" s="5"/>
      <c r="AL936" s="5"/>
      <c r="AM936" s="5"/>
      <c r="AN936" s="5"/>
    </row>
    <row r="937" spans="1:40" ht="18.75" customHeight="1">
      <c r="A937" s="5"/>
      <c r="B937" s="5"/>
      <c r="C937" s="5"/>
      <c r="D937" s="5"/>
      <c r="E937" s="5"/>
      <c r="F937" s="5"/>
      <c r="G937" s="5"/>
      <c r="H937" s="5"/>
      <c r="I937" s="5"/>
      <c r="J937" s="5"/>
      <c r="K937" s="5"/>
      <c r="L937" s="5"/>
      <c r="M937" s="5"/>
      <c r="N937" s="5"/>
      <c r="O937" s="5"/>
      <c r="P937" s="5"/>
      <c r="Q937" s="5"/>
      <c r="R937" s="5"/>
      <c r="S937" s="5"/>
      <c r="T937" s="5"/>
      <c r="U937" s="5"/>
      <c r="V937" s="5"/>
      <c r="Y937" s="5"/>
      <c r="Z937" s="5"/>
      <c r="AA937" s="5"/>
      <c r="AB937" s="5"/>
      <c r="AC937" s="5"/>
      <c r="AD937" s="5"/>
      <c r="AE937" s="5"/>
      <c r="AF937" s="5"/>
      <c r="AG937" s="5"/>
      <c r="AH937" s="5"/>
      <c r="AI937" s="5"/>
      <c r="AJ937" s="5"/>
      <c r="AK937" s="5"/>
      <c r="AL937" s="5"/>
      <c r="AM937" s="5"/>
      <c r="AN937" s="5"/>
    </row>
    <row r="938" spans="1:40" ht="18.75" customHeight="1">
      <c r="A938" s="5"/>
      <c r="B938" s="5"/>
      <c r="C938" s="5"/>
      <c r="D938" s="5"/>
      <c r="E938" s="5"/>
      <c r="F938" s="5"/>
      <c r="G938" s="5"/>
      <c r="H938" s="5"/>
      <c r="I938" s="5"/>
      <c r="J938" s="5"/>
      <c r="K938" s="5"/>
      <c r="L938" s="5"/>
      <c r="M938" s="5"/>
      <c r="N938" s="5"/>
      <c r="O938" s="5"/>
      <c r="P938" s="5"/>
      <c r="Q938" s="5"/>
      <c r="R938" s="5"/>
      <c r="S938" s="5"/>
      <c r="T938" s="5"/>
      <c r="U938" s="5"/>
      <c r="V938" s="5"/>
      <c r="Y938" s="5"/>
      <c r="Z938" s="5"/>
      <c r="AA938" s="5"/>
      <c r="AB938" s="5"/>
      <c r="AC938" s="5"/>
      <c r="AD938" s="5"/>
      <c r="AE938" s="5"/>
      <c r="AF938" s="5"/>
      <c r="AG938" s="5"/>
      <c r="AH938" s="5"/>
      <c r="AI938" s="5"/>
      <c r="AJ938" s="5"/>
      <c r="AK938" s="5"/>
      <c r="AL938" s="5"/>
      <c r="AM938" s="5"/>
      <c r="AN938" s="5"/>
    </row>
    <row r="939" spans="1:40" ht="18.75" customHeight="1">
      <c r="A939" s="5"/>
      <c r="B939" s="5"/>
      <c r="C939" s="5"/>
      <c r="D939" s="5"/>
      <c r="E939" s="5"/>
      <c r="F939" s="5"/>
      <c r="G939" s="5"/>
      <c r="H939" s="5"/>
      <c r="I939" s="5"/>
      <c r="J939" s="5"/>
      <c r="K939" s="5"/>
      <c r="L939" s="5"/>
      <c r="M939" s="5"/>
      <c r="N939" s="5"/>
      <c r="O939" s="5"/>
      <c r="P939" s="5"/>
      <c r="Q939" s="5"/>
      <c r="R939" s="5"/>
      <c r="S939" s="5"/>
      <c r="T939" s="5"/>
      <c r="U939" s="5"/>
      <c r="V939" s="5"/>
      <c r="Y939" s="5"/>
      <c r="Z939" s="5"/>
      <c r="AA939" s="5"/>
      <c r="AB939" s="5"/>
      <c r="AC939" s="5"/>
      <c r="AD939" s="5"/>
      <c r="AE939" s="5"/>
      <c r="AF939" s="5"/>
      <c r="AG939" s="5"/>
      <c r="AH939" s="5"/>
      <c r="AI939" s="5"/>
      <c r="AJ939" s="5"/>
      <c r="AK939" s="5"/>
      <c r="AL939" s="5"/>
      <c r="AM939" s="5"/>
      <c r="AN939" s="5"/>
    </row>
    <row r="940" spans="1:40" ht="18.75" customHeight="1">
      <c r="A940" s="5"/>
      <c r="B940" s="5"/>
      <c r="C940" s="5"/>
      <c r="D940" s="5"/>
      <c r="E940" s="5"/>
      <c r="F940" s="5"/>
      <c r="G940" s="5"/>
      <c r="H940" s="5"/>
      <c r="I940" s="5"/>
      <c r="J940" s="5"/>
      <c r="K940" s="5"/>
      <c r="L940" s="5"/>
      <c r="M940" s="5"/>
      <c r="N940" s="5"/>
      <c r="O940" s="5"/>
      <c r="P940" s="5"/>
      <c r="Q940" s="5"/>
      <c r="R940" s="5"/>
      <c r="S940" s="5"/>
      <c r="T940" s="5"/>
      <c r="U940" s="5"/>
      <c r="V940" s="5"/>
      <c r="Y940" s="5"/>
      <c r="Z940" s="5"/>
      <c r="AA940" s="5"/>
      <c r="AB940" s="5"/>
      <c r="AC940" s="5"/>
      <c r="AD940" s="5"/>
      <c r="AE940" s="5"/>
      <c r="AF940" s="5"/>
      <c r="AG940" s="5"/>
      <c r="AH940" s="5"/>
      <c r="AI940" s="5"/>
      <c r="AJ940" s="5"/>
      <c r="AK940" s="5"/>
      <c r="AL940" s="5"/>
      <c r="AM940" s="5"/>
      <c r="AN940" s="5"/>
    </row>
    <row r="941" spans="1:40" ht="18.75" customHeight="1">
      <c r="A941" s="5"/>
      <c r="B941" s="5"/>
      <c r="C941" s="5"/>
      <c r="D941" s="5"/>
      <c r="E941" s="5"/>
      <c r="F941" s="5"/>
      <c r="G941" s="5"/>
      <c r="H941" s="5"/>
      <c r="I941" s="5"/>
      <c r="J941" s="5"/>
      <c r="K941" s="5"/>
      <c r="L941" s="5"/>
      <c r="M941" s="5"/>
      <c r="N941" s="5"/>
      <c r="O941" s="5"/>
      <c r="P941" s="5"/>
      <c r="Q941" s="5"/>
      <c r="R941" s="5"/>
      <c r="S941" s="5"/>
      <c r="T941" s="5"/>
      <c r="U941" s="5"/>
      <c r="V941" s="5"/>
      <c r="Y941" s="5"/>
      <c r="Z941" s="5"/>
      <c r="AA941" s="5"/>
      <c r="AB941" s="5"/>
      <c r="AC941" s="5"/>
      <c r="AD941" s="5"/>
      <c r="AE941" s="5"/>
      <c r="AF941" s="5"/>
      <c r="AG941" s="5"/>
      <c r="AH941" s="5"/>
      <c r="AI941" s="5"/>
      <c r="AJ941" s="5"/>
      <c r="AK941" s="5"/>
      <c r="AL941" s="5"/>
      <c r="AM941" s="5"/>
      <c r="AN941" s="5"/>
    </row>
    <row r="942" spans="1:40" ht="18.75" customHeight="1">
      <c r="A942" s="5"/>
      <c r="B942" s="5"/>
      <c r="C942" s="5"/>
      <c r="D942" s="5"/>
      <c r="E942" s="5"/>
      <c r="F942" s="5"/>
      <c r="G942" s="5"/>
      <c r="H942" s="5"/>
      <c r="I942" s="5"/>
      <c r="J942" s="5"/>
      <c r="K942" s="5"/>
      <c r="L942" s="5"/>
      <c r="M942" s="5"/>
      <c r="N942" s="5"/>
      <c r="O942" s="5"/>
      <c r="P942" s="5"/>
      <c r="Q942" s="5"/>
      <c r="R942" s="5"/>
      <c r="S942" s="5"/>
      <c r="T942" s="5"/>
      <c r="U942" s="5"/>
      <c r="V942" s="5"/>
      <c r="Y942" s="5"/>
      <c r="Z942" s="5"/>
      <c r="AA942" s="5"/>
      <c r="AB942" s="5"/>
      <c r="AC942" s="5"/>
      <c r="AD942" s="5"/>
      <c r="AE942" s="5"/>
      <c r="AF942" s="5"/>
      <c r="AG942" s="5"/>
      <c r="AH942" s="5"/>
      <c r="AI942" s="5"/>
      <c r="AJ942" s="5"/>
      <c r="AK942" s="5"/>
      <c r="AL942" s="5"/>
      <c r="AM942" s="5"/>
      <c r="AN942" s="5"/>
    </row>
    <row r="943" spans="1:40" ht="18.75" customHeight="1">
      <c r="A943" s="5"/>
      <c r="B943" s="5"/>
      <c r="C943" s="5"/>
      <c r="D943" s="5"/>
      <c r="E943" s="5"/>
      <c r="F943" s="5"/>
      <c r="G943" s="5"/>
      <c r="H943" s="5"/>
      <c r="I943" s="5"/>
      <c r="J943" s="5"/>
      <c r="K943" s="5"/>
      <c r="L943" s="5"/>
      <c r="M943" s="5"/>
      <c r="N943" s="5"/>
      <c r="O943" s="5"/>
      <c r="P943" s="5"/>
      <c r="Q943" s="5"/>
      <c r="R943" s="5"/>
      <c r="S943" s="5"/>
      <c r="T943" s="5"/>
      <c r="U943" s="5"/>
      <c r="V943" s="5"/>
      <c r="Y943" s="5"/>
      <c r="Z943" s="5"/>
      <c r="AA943" s="5"/>
      <c r="AB943" s="5"/>
      <c r="AC943" s="5"/>
      <c r="AD943" s="5"/>
      <c r="AE943" s="5"/>
      <c r="AF943" s="5"/>
      <c r="AG943" s="5"/>
      <c r="AH943" s="5"/>
      <c r="AI943" s="5"/>
      <c r="AJ943" s="5"/>
      <c r="AK943" s="5"/>
      <c r="AL943" s="5"/>
      <c r="AM943" s="5"/>
      <c r="AN943" s="5"/>
    </row>
    <row r="944" spans="1:40" ht="18.75" customHeight="1">
      <c r="A944" s="5"/>
      <c r="B944" s="5"/>
      <c r="C944" s="5"/>
      <c r="D944" s="5"/>
      <c r="E944" s="5"/>
      <c r="F944" s="5"/>
      <c r="G944" s="5"/>
      <c r="H944" s="5"/>
      <c r="I944" s="5"/>
      <c r="J944" s="5"/>
      <c r="K944" s="5"/>
      <c r="L944" s="5"/>
      <c r="M944" s="5"/>
      <c r="N944" s="5"/>
      <c r="O944" s="5"/>
      <c r="P944" s="5"/>
      <c r="Q944" s="5"/>
      <c r="R944" s="5"/>
      <c r="S944" s="5"/>
      <c r="T944" s="5"/>
      <c r="U944" s="5"/>
      <c r="V944" s="5"/>
      <c r="Y944" s="5"/>
      <c r="Z944" s="5"/>
      <c r="AA944" s="5"/>
      <c r="AB944" s="5"/>
      <c r="AC944" s="5"/>
      <c r="AD944" s="5"/>
      <c r="AE944" s="5"/>
      <c r="AF944" s="5"/>
      <c r="AG944" s="5"/>
      <c r="AH944" s="5"/>
      <c r="AI944" s="5"/>
      <c r="AJ944" s="5"/>
      <c r="AK944" s="5"/>
      <c r="AL944" s="5"/>
      <c r="AM944" s="5"/>
      <c r="AN944" s="5"/>
    </row>
    <row r="945" spans="1:40" ht="18.75" customHeight="1">
      <c r="A945" s="5"/>
      <c r="B945" s="5"/>
      <c r="C945" s="5"/>
      <c r="D945" s="5"/>
      <c r="E945" s="5"/>
      <c r="F945" s="5"/>
      <c r="G945" s="5"/>
      <c r="H945" s="5"/>
      <c r="I945" s="5"/>
      <c r="J945" s="5"/>
      <c r="K945" s="5"/>
      <c r="L945" s="5"/>
      <c r="M945" s="5"/>
      <c r="N945" s="5"/>
      <c r="O945" s="5"/>
      <c r="P945" s="5"/>
      <c r="Q945" s="5"/>
      <c r="R945" s="5"/>
      <c r="S945" s="5"/>
      <c r="T945" s="5"/>
      <c r="U945" s="5"/>
      <c r="V945" s="5"/>
      <c r="Y945" s="5"/>
      <c r="Z945" s="5"/>
      <c r="AA945" s="5"/>
      <c r="AB945" s="5"/>
      <c r="AC945" s="5"/>
      <c r="AD945" s="5"/>
      <c r="AE945" s="5"/>
      <c r="AF945" s="5"/>
      <c r="AG945" s="5"/>
      <c r="AH945" s="5"/>
      <c r="AI945" s="5"/>
      <c r="AJ945" s="5"/>
      <c r="AK945" s="5"/>
      <c r="AL945" s="5"/>
      <c r="AM945" s="5"/>
      <c r="AN945" s="5"/>
    </row>
    <row r="946" spans="1:40" ht="18.75" customHeight="1">
      <c r="A946" s="5"/>
      <c r="B946" s="5"/>
      <c r="C946" s="5"/>
      <c r="D946" s="5"/>
      <c r="E946" s="5"/>
      <c r="F946" s="5"/>
      <c r="G946" s="5"/>
      <c r="H946" s="5"/>
      <c r="I946" s="5"/>
      <c r="J946" s="5"/>
      <c r="K946" s="5"/>
      <c r="L946" s="5"/>
      <c r="M946" s="5"/>
      <c r="N946" s="5"/>
      <c r="O946" s="5"/>
      <c r="P946" s="5"/>
      <c r="Q946" s="5"/>
      <c r="R946" s="5"/>
      <c r="S946" s="5"/>
      <c r="T946" s="5"/>
      <c r="U946" s="5"/>
      <c r="V946" s="5"/>
      <c r="Y946" s="5"/>
      <c r="Z946" s="5"/>
      <c r="AA946" s="5"/>
      <c r="AB946" s="5"/>
      <c r="AC946" s="5"/>
      <c r="AD946" s="5"/>
      <c r="AE946" s="5"/>
      <c r="AF946" s="5"/>
      <c r="AG946" s="5"/>
      <c r="AH946" s="5"/>
      <c r="AI946" s="5"/>
      <c r="AJ946" s="5"/>
      <c r="AK946" s="5"/>
      <c r="AL946" s="5"/>
      <c r="AM946" s="5"/>
      <c r="AN946" s="5"/>
    </row>
    <row r="947" spans="1:40" ht="18.75" customHeight="1">
      <c r="A947" s="5"/>
      <c r="B947" s="5"/>
      <c r="C947" s="5"/>
      <c r="D947" s="5"/>
      <c r="E947" s="5"/>
      <c r="F947" s="5"/>
      <c r="G947" s="5"/>
      <c r="H947" s="5"/>
      <c r="I947" s="5"/>
      <c r="J947" s="5"/>
      <c r="K947" s="5"/>
      <c r="L947" s="5"/>
      <c r="M947" s="5"/>
      <c r="N947" s="5"/>
      <c r="O947" s="5"/>
      <c r="P947" s="5"/>
      <c r="Q947" s="5"/>
      <c r="R947" s="5"/>
      <c r="S947" s="5"/>
      <c r="T947" s="5"/>
      <c r="U947" s="5"/>
      <c r="V947" s="5"/>
      <c r="Y947" s="5"/>
      <c r="Z947" s="5"/>
      <c r="AA947" s="5"/>
      <c r="AB947" s="5"/>
      <c r="AC947" s="5"/>
      <c r="AD947" s="5"/>
      <c r="AE947" s="5"/>
      <c r="AF947" s="5"/>
      <c r="AG947" s="5"/>
      <c r="AH947" s="5"/>
      <c r="AI947" s="5"/>
      <c r="AJ947" s="5"/>
      <c r="AK947" s="5"/>
      <c r="AL947" s="5"/>
      <c r="AM947" s="5"/>
      <c r="AN947" s="5"/>
    </row>
    <row r="948" spans="1:40" ht="18.75" customHeight="1">
      <c r="A948" s="5"/>
      <c r="B948" s="5"/>
      <c r="C948" s="5"/>
      <c r="D948" s="5"/>
      <c r="E948" s="5"/>
      <c r="F948" s="5"/>
      <c r="G948" s="5"/>
      <c r="H948" s="5"/>
      <c r="I948" s="5"/>
      <c r="J948" s="5"/>
      <c r="K948" s="5"/>
      <c r="L948" s="5"/>
      <c r="M948" s="5"/>
      <c r="N948" s="5"/>
      <c r="O948" s="5"/>
      <c r="P948" s="5"/>
      <c r="Q948" s="5"/>
      <c r="R948" s="5"/>
      <c r="S948" s="5"/>
      <c r="T948" s="5"/>
      <c r="U948" s="5"/>
      <c r="V948" s="5"/>
      <c r="Y948" s="5"/>
      <c r="Z948" s="5"/>
      <c r="AA948" s="5"/>
      <c r="AB948" s="5"/>
      <c r="AC948" s="5"/>
      <c r="AD948" s="5"/>
      <c r="AE948" s="5"/>
      <c r="AF948" s="5"/>
      <c r="AG948" s="5"/>
      <c r="AH948" s="5"/>
      <c r="AI948" s="5"/>
      <c r="AJ948" s="5"/>
      <c r="AK948" s="5"/>
      <c r="AL948" s="5"/>
      <c r="AM948" s="5"/>
      <c r="AN948" s="5"/>
    </row>
    <row r="949" spans="1:40" ht="18.75" customHeight="1">
      <c r="A949" s="5"/>
      <c r="B949" s="5"/>
      <c r="C949" s="5"/>
      <c r="D949" s="5"/>
      <c r="E949" s="5"/>
      <c r="F949" s="5"/>
      <c r="G949" s="5"/>
      <c r="H949" s="5"/>
      <c r="I949" s="5"/>
      <c r="J949" s="5"/>
      <c r="K949" s="5"/>
      <c r="L949" s="5"/>
      <c r="M949" s="5"/>
      <c r="N949" s="5"/>
      <c r="O949" s="5"/>
      <c r="P949" s="5"/>
      <c r="Q949" s="5"/>
      <c r="R949" s="5"/>
      <c r="S949" s="5"/>
      <c r="T949" s="5"/>
      <c r="U949" s="5"/>
      <c r="V949" s="5"/>
      <c r="Y949" s="5"/>
      <c r="Z949" s="5"/>
      <c r="AA949" s="5"/>
      <c r="AB949" s="5"/>
      <c r="AC949" s="5"/>
      <c r="AD949" s="5"/>
      <c r="AE949" s="5"/>
      <c r="AF949" s="5"/>
      <c r="AG949" s="5"/>
      <c r="AH949" s="5"/>
      <c r="AI949" s="5"/>
      <c r="AJ949" s="5"/>
      <c r="AK949" s="5"/>
      <c r="AL949" s="5"/>
      <c r="AM949" s="5"/>
      <c r="AN949" s="5"/>
    </row>
    <row r="950" spans="1:40" ht="18.75" customHeight="1">
      <c r="A950" s="5"/>
      <c r="B950" s="5"/>
      <c r="C950" s="5"/>
      <c r="D950" s="5"/>
      <c r="E950" s="5"/>
      <c r="F950" s="5"/>
      <c r="G950" s="5"/>
      <c r="H950" s="5"/>
      <c r="I950" s="5"/>
      <c r="J950" s="5"/>
      <c r="K950" s="5"/>
      <c r="L950" s="5"/>
      <c r="M950" s="5"/>
      <c r="N950" s="5"/>
      <c r="O950" s="5"/>
      <c r="P950" s="5"/>
      <c r="Q950" s="5"/>
      <c r="R950" s="5"/>
      <c r="S950" s="5"/>
      <c r="T950" s="5"/>
      <c r="U950" s="5"/>
      <c r="V950" s="5"/>
      <c r="Y950" s="5"/>
      <c r="Z950" s="5"/>
      <c r="AA950" s="5"/>
      <c r="AB950" s="5"/>
      <c r="AC950" s="5"/>
      <c r="AD950" s="5"/>
      <c r="AE950" s="5"/>
      <c r="AF950" s="5"/>
      <c r="AG950" s="5"/>
      <c r="AH950" s="5"/>
      <c r="AI950" s="5"/>
      <c r="AJ950" s="5"/>
      <c r="AK950" s="5"/>
      <c r="AL950" s="5"/>
      <c r="AM950" s="5"/>
      <c r="AN950" s="5"/>
    </row>
    <row r="951" spans="1:40" ht="18.75" customHeight="1">
      <c r="A951" s="5"/>
      <c r="B951" s="5"/>
      <c r="C951" s="5"/>
      <c r="D951" s="5"/>
      <c r="E951" s="5"/>
      <c r="F951" s="5"/>
      <c r="G951" s="5"/>
      <c r="H951" s="5"/>
      <c r="I951" s="5"/>
      <c r="J951" s="5"/>
      <c r="K951" s="5"/>
      <c r="L951" s="5"/>
      <c r="M951" s="5"/>
      <c r="N951" s="5"/>
      <c r="O951" s="5"/>
      <c r="P951" s="5"/>
      <c r="Q951" s="5"/>
      <c r="R951" s="5"/>
      <c r="S951" s="5"/>
      <c r="T951" s="5"/>
      <c r="U951" s="5"/>
      <c r="V951" s="5"/>
      <c r="Y951" s="5"/>
      <c r="Z951" s="5"/>
      <c r="AA951" s="5"/>
      <c r="AB951" s="5"/>
      <c r="AC951" s="5"/>
      <c r="AD951" s="5"/>
      <c r="AE951" s="5"/>
      <c r="AF951" s="5"/>
      <c r="AG951" s="5"/>
      <c r="AH951" s="5"/>
      <c r="AI951" s="5"/>
      <c r="AJ951" s="5"/>
      <c r="AK951" s="5"/>
      <c r="AL951" s="5"/>
      <c r="AM951" s="5"/>
      <c r="AN951" s="5"/>
    </row>
    <row r="952" spans="1:40" ht="18.75" customHeight="1">
      <c r="A952" s="5"/>
      <c r="B952" s="5"/>
      <c r="C952" s="5"/>
      <c r="D952" s="5"/>
      <c r="E952" s="5"/>
      <c r="F952" s="5"/>
      <c r="G952" s="5"/>
      <c r="H952" s="5"/>
      <c r="I952" s="5"/>
      <c r="J952" s="5"/>
      <c r="K952" s="5"/>
      <c r="L952" s="5"/>
      <c r="M952" s="5"/>
      <c r="N952" s="5"/>
      <c r="O952" s="5"/>
      <c r="P952" s="5"/>
      <c r="Q952" s="5"/>
      <c r="R952" s="5"/>
      <c r="S952" s="5"/>
      <c r="T952" s="5"/>
      <c r="U952" s="5"/>
      <c r="V952" s="5"/>
      <c r="Y952" s="5"/>
      <c r="Z952" s="5"/>
      <c r="AA952" s="5"/>
      <c r="AB952" s="5"/>
      <c r="AC952" s="5"/>
      <c r="AD952" s="5"/>
      <c r="AE952" s="5"/>
      <c r="AF952" s="5"/>
      <c r="AG952" s="5"/>
      <c r="AH952" s="5"/>
      <c r="AI952" s="5"/>
      <c r="AJ952" s="5"/>
      <c r="AK952" s="5"/>
      <c r="AL952" s="5"/>
      <c r="AM952" s="5"/>
      <c r="AN952" s="5"/>
    </row>
    <row r="953" spans="1:40" ht="18.75" customHeight="1">
      <c r="A953" s="5"/>
      <c r="B953" s="5"/>
      <c r="C953" s="5"/>
      <c r="D953" s="5"/>
      <c r="E953" s="5"/>
      <c r="F953" s="5"/>
      <c r="G953" s="5"/>
      <c r="H953" s="5"/>
      <c r="I953" s="5"/>
      <c r="J953" s="5"/>
      <c r="K953" s="5"/>
      <c r="L953" s="5"/>
      <c r="M953" s="5"/>
      <c r="N953" s="5"/>
      <c r="O953" s="5"/>
      <c r="P953" s="5"/>
      <c r="Q953" s="5"/>
      <c r="R953" s="5"/>
      <c r="S953" s="5"/>
      <c r="T953" s="5"/>
      <c r="U953" s="5"/>
      <c r="V953" s="5"/>
      <c r="Y953" s="5"/>
      <c r="Z953" s="5"/>
      <c r="AA953" s="5"/>
      <c r="AB953" s="5"/>
      <c r="AC953" s="5"/>
      <c r="AD953" s="5"/>
      <c r="AE953" s="5"/>
      <c r="AF953" s="5"/>
      <c r="AG953" s="5"/>
      <c r="AH953" s="5"/>
      <c r="AI953" s="5"/>
      <c r="AJ953" s="5"/>
      <c r="AK953" s="5"/>
      <c r="AL953" s="5"/>
      <c r="AM953" s="5"/>
      <c r="AN953" s="5"/>
    </row>
    <row r="954" spans="1:40" ht="18.75" customHeight="1">
      <c r="A954" s="5"/>
      <c r="B954" s="5"/>
      <c r="C954" s="5"/>
      <c r="D954" s="5"/>
      <c r="E954" s="5"/>
      <c r="F954" s="5"/>
      <c r="G954" s="5"/>
      <c r="H954" s="5"/>
      <c r="I954" s="5"/>
      <c r="J954" s="5"/>
      <c r="K954" s="5"/>
      <c r="L954" s="5"/>
      <c r="M954" s="5"/>
      <c r="N954" s="5"/>
      <c r="O954" s="5"/>
      <c r="P954" s="5"/>
      <c r="Q954" s="5"/>
      <c r="R954" s="5"/>
      <c r="S954" s="5"/>
      <c r="T954" s="5"/>
      <c r="U954" s="5"/>
      <c r="V954" s="5"/>
      <c r="Y954" s="5"/>
      <c r="Z954" s="5"/>
      <c r="AA954" s="5"/>
      <c r="AB954" s="5"/>
      <c r="AC954" s="5"/>
      <c r="AD954" s="5"/>
      <c r="AE954" s="5"/>
      <c r="AF954" s="5"/>
      <c r="AG954" s="5"/>
      <c r="AH954" s="5"/>
      <c r="AI954" s="5"/>
      <c r="AJ954" s="5"/>
      <c r="AK954" s="5"/>
      <c r="AL954" s="5"/>
      <c r="AM954" s="5"/>
      <c r="AN954" s="5"/>
    </row>
    <row r="955" spans="1:40" ht="18.75" customHeight="1">
      <c r="A955" s="5"/>
      <c r="B955" s="5"/>
      <c r="C955" s="5"/>
      <c r="D955" s="5"/>
      <c r="E955" s="5"/>
      <c r="F955" s="5"/>
      <c r="G955" s="5"/>
      <c r="H955" s="5"/>
      <c r="I955" s="5"/>
      <c r="J955" s="5"/>
      <c r="K955" s="5"/>
      <c r="L955" s="5"/>
      <c r="M955" s="5"/>
      <c r="N955" s="5"/>
      <c r="O955" s="5"/>
      <c r="P955" s="5"/>
      <c r="Q955" s="5"/>
      <c r="R955" s="5"/>
      <c r="S955" s="5"/>
      <c r="T955" s="5"/>
      <c r="U955" s="5"/>
      <c r="V955" s="5"/>
      <c r="Y955" s="5"/>
      <c r="Z955" s="5"/>
      <c r="AA955" s="5"/>
      <c r="AB955" s="5"/>
      <c r="AC955" s="5"/>
      <c r="AD955" s="5"/>
      <c r="AE955" s="5"/>
      <c r="AF955" s="5"/>
      <c r="AG955" s="5"/>
      <c r="AH955" s="5"/>
      <c r="AI955" s="5"/>
      <c r="AJ955" s="5"/>
      <c r="AK955" s="5"/>
      <c r="AL955" s="5"/>
      <c r="AM955" s="5"/>
      <c r="AN955" s="5"/>
    </row>
    <row r="956" spans="1:40" ht="18.75" customHeight="1">
      <c r="A956" s="5"/>
      <c r="B956" s="5"/>
      <c r="C956" s="5"/>
      <c r="D956" s="5"/>
      <c r="E956" s="5"/>
      <c r="F956" s="5"/>
      <c r="G956" s="5"/>
      <c r="H956" s="5"/>
      <c r="I956" s="5"/>
      <c r="J956" s="5"/>
      <c r="K956" s="5"/>
      <c r="L956" s="5"/>
      <c r="M956" s="5"/>
      <c r="N956" s="5"/>
      <c r="O956" s="5"/>
      <c r="P956" s="5"/>
      <c r="Q956" s="5"/>
      <c r="R956" s="5"/>
      <c r="S956" s="5"/>
      <c r="T956" s="5"/>
      <c r="U956" s="5"/>
      <c r="V956" s="5"/>
      <c r="Y956" s="5"/>
      <c r="Z956" s="5"/>
      <c r="AA956" s="5"/>
      <c r="AB956" s="5"/>
      <c r="AC956" s="5"/>
      <c r="AD956" s="5"/>
      <c r="AE956" s="5"/>
      <c r="AF956" s="5"/>
      <c r="AG956" s="5"/>
      <c r="AH956" s="5"/>
      <c r="AI956" s="5"/>
      <c r="AJ956" s="5"/>
      <c r="AK956" s="5"/>
      <c r="AL956" s="5"/>
      <c r="AM956" s="5"/>
      <c r="AN956" s="5"/>
    </row>
    <row r="957" spans="1:40" ht="18.75" customHeight="1">
      <c r="A957" s="5"/>
      <c r="B957" s="5"/>
      <c r="C957" s="5"/>
      <c r="D957" s="5"/>
      <c r="E957" s="5"/>
      <c r="F957" s="5"/>
      <c r="G957" s="5"/>
      <c r="H957" s="5"/>
      <c r="I957" s="5"/>
      <c r="J957" s="5"/>
      <c r="K957" s="5"/>
      <c r="L957" s="5"/>
      <c r="M957" s="5"/>
      <c r="N957" s="5"/>
      <c r="O957" s="5"/>
      <c r="P957" s="5"/>
      <c r="Q957" s="5"/>
      <c r="R957" s="5"/>
      <c r="S957" s="5"/>
      <c r="T957" s="5"/>
      <c r="U957" s="5"/>
      <c r="V957" s="5"/>
      <c r="Y957" s="5"/>
      <c r="Z957" s="5"/>
      <c r="AA957" s="5"/>
      <c r="AB957" s="5"/>
      <c r="AC957" s="5"/>
      <c r="AD957" s="5"/>
      <c r="AE957" s="5"/>
      <c r="AF957" s="5"/>
      <c r="AG957" s="5"/>
      <c r="AH957" s="5"/>
      <c r="AI957" s="5"/>
      <c r="AJ957" s="5"/>
      <c r="AK957" s="5"/>
      <c r="AL957" s="5"/>
      <c r="AM957" s="5"/>
      <c r="AN957" s="5"/>
    </row>
    <row r="958" spans="1:40" ht="18.75" customHeight="1">
      <c r="A958" s="5"/>
      <c r="B958" s="5"/>
      <c r="C958" s="5"/>
      <c r="D958" s="5"/>
      <c r="E958" s="5"/>
      <c r="F958" s="5"/>
      <c r="G958" s="5"/>
      <c r="H958" s="5"/>
      <c r="I958" s="5"/>
      <c r="J958" s="5"/>
      <c r="K958" s="5"/>
      <c r="L958" s="5"/>
      <c r="M958" s="5"/>
      <c r="N958" s="5"/>
      <c r="O958" s="5"/>
      <c r="P958" s="5"/>
      <c r="Q958" s="5"/>
      <c r="R958" s="5"/>
      <c r="S958" s="5"/>
      <c r="T958" s="5"/>
      <c r="U958" s="5"/>
      <c r="V958" s="5"/>
      <c r="Y958" s="5"/>
      <c r="Z958" s="5"/>
      <c r="AA958" s="5"/>
      <c r="AB958" s="5"/>
      <c r="AC958" s="5"/>
      <c r="AD958" s="5"/>
      <c r="AE958" s="5"/>
      <c r="AF958" s="5"/>
      <c r="AG958" s="5"/>
      <c r="AH958" s="5"/>
      <c r="AI958" s="5"/>
      <c r="AJ958" s="5"/>
      <c r="AK958" s="5"/>
      <c r="AL958" s="5"/>
      <c r="AM958" s="5"/>
      <c r="AN958" s="5"/>
    </row>
    <row r="959" spans="1:40" ht="18.75" customHeight="1">
      <c r="A959" s="5"/>
      <c r="B959" s="5"/>
      <c r="C959" s="5"/>
      <c r="D959" s="5"/>
      <c r="E959" s="5"/>
      <c r="F959" s="5"/>
      <c r="G959" s="5"/>
      <c r="H959" s="5"/>
      <c r="I959" s="5"/>
      <c r="J959" s="5"/>
      <c r="K959" s="5"/>
      <c r="L959" s="5"/>
      <c r="M959" s="5"/>
      <c r="N959" s="5"/>
      <c r="O959" s="5"/>
      <c r="P959" s="5"/>
      <c r="Q959" s="5"/>
      <c r="R959" s="5"/>
      <c r="S959" s="5"/>
      <c r="T959" s="5"/>
      <c r="U959" s="5"/>
      <c r="V959" s="5"/>
      <c r="Y959" s="5"/>
      <c r="Z959" s="5"/>
      <c r="AA959" s="5"/>
      <c r="AB959" s="5"/>
      <c r="AC959" s="5"/>
      <c r="AD959" s="5"/>
      <c r="AE959" s="5"/>
      <c r="AF959" s="5"/>
      <c r="AG959" s="5"/>
      <c r="AH959" s="5"/>
      <c r="AI959" s="5"/>
      <c r="AJ959" s="5"/>
      <c r="AK959" s="5"/>
      <c r="AL959" s="5"/>
      <c r="AM959" s="5"/>
      <c r="AN959" s="5"/>
    </row>
    <row r="960" spans="1:40" ht="18.75" customHeight="1">
      <c r="A960" s="5"/>
      <c r="B960" s="5"/>
      <c r="C960" s="5"/>
      <c r="D960" s="5"/>
      <c r="E960" s="5"/>
      <c r="F960" s="5"/>
      <c r="G960" s="5"/>
      <c r="H960" s="5"/>
      <c r="I960" s="5"/>
      <c r="J960" s="5"/>
      <c r="K960" s="5"/>
      <c r="L960" s="5"/>
      <c r="M960" s="5"/>
      <c r="N960" s="5"/>
      <c r="O960" s="5"/>
      <c r="P960" s="5"/>
      <c r="Q960" s="5"/>
      <c r="R960" s="5"/>
      <c r="S960" s="5"/>
      <c r="T960" s="5"/>
      <c r="U960" s="5"/>
      <c r="V960" s="5"/>
      <c r="Y960" s="5"/>
      <c r="Z960" s="5"/>
      <c r="AA960" s="5"/>
      <c r="AB960" s="5"/>
      <c r="AC960" s="5"/>
      <c r="AD960" s="5"/>
      <c r="AE960" s="5"/>
      <c r="AF960" s="5"/>
      <c r="AG960" s="5"/>
      <c r="AH960" s="5"/>
      <c r="AI960" s="5"/>
      <c r="AJ960" s="5"/>
      <c r="AK960" s="5"/>
      <c r="AL960" s="5"/>
      <c r="AM960" s="5"/>
      <c r="AN960" s="5"/>
    </row>
    <row r="961" spans="1:40" ht="18.75" customHeight="1">
      <c r="A961" s="5"/>
      <c r="B961" s="5"/>
      <c r="C961" s="5"/>
      <c r="D961" s="5"/>
      <c r="E961" s="5"/>
      <c r="F961" s="5"/>
      <c r="G961" s="5"/>
      <c r="H961" s="5"/>
      <c r="I961" s="5"/>
      <c r="J961" s="5"/>
      <c r="K961" s="5"/>
      <c r="L961" s="5"/>
      <c r="M961" s="5"/>
      <c r="N961" s="5"/>
      <c r="O961" s="5"/>
      <c r="P961" s="5"/>
      <c r="Q961" s="5"/>
      <c r="R961" s="5"/>
      <c r="S961" s="5"/>
      <c r="T961" s="5"/>
      <c r="U961" s="5"/>
      <c r="V961" s="5"/>
      <c r="Y961" s="5"/>
      <c r="Z961" s="5"/>
      <c r="AA961" s="5"/>
      <c r="AB961" s="5"/>
      <c r="AC961" s="5"/>
      <c r="AD961" s="5"/>
      <c r="AE961" s="5"/>
      <c r="AF961" s="5"/>
      <c r="AG961" s="5"/>
      <c r="AH961" s="5"/>
      <c r="AI961" s="5"/>
      <c r="AJ961" s="5"/>
      <c r="AK961" s="5"/>
      <c r="AL961" s="5"/>
      <c r="AM961" s="5"/>
      <c r="AN961" s="5"/>
    </row>
    <row r="962" spans="1:40" ht="18.75" customHeight="1">
      <c r="A962" s="5"/>
      <c r="B962" s="5"/>
      <c r="C962" s="5"/>
      <c r="D962" s="5"/>
      <c r="E962" s="5"/>
      <c r="F962" s="5"/>
      <c r="G962" s="5"/>
      <c r="H962" s="5"/>
      <c r="I962" s="5"/>
      <c r="J962" s="5"/>
      <c r="K962" s="5"/>
      <c r="L962" s="5"/>
      <c r="M962" s="5"/>
      <c r="N962" s="5"/>
      <c r="O962" s="5"/>
      <c r="P962" s="5"/>
      <c r="Q962" s="5"/>
      <c r="R962" s="5"/>
      <c r="S962" s="5"/>
      <c r="T962" s="5"/>
      <c r="U962" s="5"/>
      <c r="V962" s="5"/>
      <c r="Y962" s="5"/>
      <c r="Z962" s="5"/>
      <c r="AA962" s="5"/>
      <c r="AB962" s="5"/>
      <c r="AC962" s="5"/>
      <c r="AD962" s="5"/>
      <c r="AE962" s="5"/>
      <c r="AF962" s="5"/>
      <c r="AG962" s="5"/>
      <c r="AH962" s="5"/>
      <c r="AI962" s="5"/>
      <c r="AJ962" s="5"/>
      <c r="AK962" s="5"/>
      <c r="AL962" s="5"/>
      <c r="AM962" s="5"/>
      <c r="AN962" s="5"/>
    </row>
    <row r="963" spans="1:40" ht="18.75" customHeight="1">
      <c r="A963" s="5"/>
      <c r="B963" s="5"/>
      <c r="C963" s="5"/>
      <c r="D963" s="5"/>
      <c r="E963" s="5"/>
      <c r="F963" s="5"/>
      <c r="G963" s="5"/>
      <c r="H963" s="5"/>
      <c r="I963" s="5"/>
      <c r="J963" s="5"/>
      <c r="K963" s="5"/>
      <c r="L963" s="5"/>
      <c r="M963" s="5"/>
      <c r="N963" s="5"/>
      <c r="O963" s="5"/>
      <c r="P963" s="5"/>
      <c r="Q963" s="5"/>
      <c r="R963" s="5"/>
      <c r="S963" s="5"/>
      <c r="T963" s="5"/>
      <c r="U963" s="5"/>
      <c r="V963" s="5"/>
      <c r="Y963" s="5"/>
      <c r="Z963" s="5"/>
      <c r="AA963" s="5"/>
      <c r="AB963" s="5"/>
      <c r="AC963" s="5"/>
      <c r="AD963" s="5"/>
      <c r="AE963" s="5"/>
      <c r="AF963" s="5"/>
      <c r="AG963" s="5"/>
      <c r="AH963" s="5"/>
      <c r="AI963" s="5"/>
      <c r="AJ963" s="5"/>
      <c r="AK963" s="5"/>
      <c r="AL963" s="5"/>
      <c r="AM963" s="5"/>
      <c r="AN963" s="5"/>
    </row>
    <row r="964" spans="1:40" ht="18.75" customHeight="1">
      <c r="A964" s="5"/>
      <c r="B964" s="5"/>
      <c r="C964" s="5"/>
      <c r="D964" s="5"/>
      <c r="E964" s="5"/>
      <c r="F964" s="5"/>
      <c r="G964" s="5"/>
      <c r="H964" s="5"/>
      <c r="I964" s="5"/>
      <c r="J964" s="5"/>
      <c r="K964" s="5"/>
      <c r="L964" s="5"/>
      <c r="M964" s="5"/>
      <c r="N964" s="5"/>
      <c r="O964" s="5"/>
      <c r="P964" s="5"/>
      <c r="Q964" s="5"/>
      <c r="R964" s="5"/>
      <c r="S964" s="5"/>
      <c r="T964" s="5"/>
      <c r="U964" s="5"/>
      <c r="V964" s="5"/>
      <c r="Y964" s="5"/>
      <c r="Z964" s="5"/>
      <c r="AA964" s="5"/>
      <c r="AB964" s="5"/>
      <c r="AC964" s="5"/>
      <c r="AD964" s="5"/>
      <c r="AE964" s="5"/>
      <c r="AF964" s="5"/>
      <c r="AG964" s="5"/>
      <c r="AH964" s="5"/>
      <c r="AI964" s="5"/>
      <c r="AJ964" s="5"/>
      <c r="AK964" s="5"/>
      <c r="AL964" s="5"/>
      <c r="AM964" s="5"/>
      <c r="AN964" s="5"/>
    </row>
    <row r="965" spans="1:40" ht="18.75" customHeight="1">
      <c r="A965" s="5"/>
      <c r="B965" s="5"/>
      <c r="C965" s="5"/>
      <c r="D965" s="5"/>
      <c r="E965" s="5"/>
      <c r="F965" s="5"/>
      <c r="G965" s="5"/>
      <c r="H965" s="5"/>
      <c r="I965" s="5"/>
      <c r="J965" s="5"/>
      <c r="K965" s="5"/>
      <c r="L965" s="5"/>
      <c r="M965" s="5"/>
      <c r="N965" s="5"/>
      <c r="O965" s="5"/>
      <c r="P965" s="5"/>
      <c r="Q965" s="5"/>
      <c r="R965" s="5"/>
      <c r="S965" s="5"/>
      <c r="T965" s="5"/>
      <c r="U965" s="5"/>
      <c r="V965" s="5"/>
      <c r="Y965" s="5"/>
      <c r="Z965" s="5"/>
      <c r="AA965" s="5"/>
      <c r="AB965" s="5"/>
      <c r="AC965" s="5"/>
      <c r="AD965" s="5"/>
      <c r="AE965" s="5"/>
      <c r="AF965" s="5"/>
      <c r="AG965" s="5"/>
      <c r="AH965" s="5"/>
      <c r="AI965" s="5"/>
      <c r="AJ965" s="5"/>
      <c r="AK965" s="5"/>
      <c r="AL965" s="5"/>
      <c r="AM965" s="5"/>
      <c r="AN965" s="5"/>
    </row>
    <row r="966" spans="1:40" ht="18.75" customHeight="1">
      <c r="A966" s="5"/>
      <c r="B966" s="5"/>
      <c r="C966" s="5"/>
      <c r="D966" s="5"/>
      <c r="E966" s="5"/>
      <c r="F966" s="5"/>
      <c r="G966" s="5"/>
      <c r="H966" s="5"/>
      <c r="I966" s="5"/>
      <c r="J966" s="5"/>
      <c r="K966" s="5"/>
      <c r="L966" s="5"/>
      <c r="M966" s="5"/>
      <c r="N966" s="5"/>
      <c r="O966" s="5"/>
      <c r="P966" s="5"/>
      <c r="Q966" s="5"/>
      <c r="R966" s="5"/>
      <c r="S966" s="5"/>
      <c r="T966" s="5"/>
      <c r="U966" s="5"/>
      <c r="V966" s="5"/>
      <c r="Y966" s="5"/>
      <c r="Z966" s="5"/>
      <c r="AA966" s="5"/>
      <c r="AB966" s="5"/>
      <c r="AC966" s="5"/>
      <c r="AD966" s="5"/>
      <c r="AE966" s="5"/>
      <c r="AF966" s="5"/>
      <c r="AG966" s="5"/>
      <c r="AH966" s="5"/>
      <c r="AI966" s="5"/>
      <c r="AJ966" s="5"/>
      <c r="AK966" s="5"/>
      <c r="AL966" s="5"/>
      <c r="AM966" s="5"/>
      <c r="AN966" s="5"/>
    </row>
    <row r="967" spans="1:40" ht="18.75" customHeight="1">
      <c r="A967" s="5"/>
      <c r="B967" s="5"/>
      <c r="C967" s="5"/>
      <c r="D967" s="5"/>
      <c r="E967" s="5"/>
      <c r="F967" s="5"/>
      <c r="G967" s="5"/>
      <c r="H967" s="5"/>
      <c r="I967" s="5"/>
      <c r="J967" s="5"/>
      <c r="K967" s="5"/>
      <c r="L967" s="5"/>
      <c r="M967" s="5"/>
      <c r="N967" s="5"/>
      <c r="O967" s="5"/>
      <c r="P967" s="5"/>
      <c r="Q967" s="5"/>
      <c r="R967" s="5"/>
      <c r="S967" s="5"/>
      <c r="T967" s="5"/>
      <c r="U967" s="5"/>
      <c r="V967" s="5"/>
      <c r="Y967" s="5"/>
      <c r="Z967" s="5"/>
      <c r="AA967" s="5"/>
      <c r="AB967" s="5"/>
      <c r="AC967" s="5"/>
      <c r="AD967" s="5"/>
      <c r="AE967" s="5"/>
      <c r="AF967" s="5"/>
      <c r="AG967" s="5"/>
      <c r="AH967" s="5"/>
      <c r="AI967" s="5"/>
      <c r="AJ967" s="5"/>
      <c r="AK967" s="5"/>
      <c r="AL967" s="5"/>
      <c r="AM967" s="5"/>
      <c r="AN967" s="5"/>
    </row>
    <row r="968" spans="1:40" ht="18.75" customHeight="1">
      <c r="A968" s="5"/>
      <c r="B968" s="5"/>
      <c r="C968" s="5"/>
      <c r="D968" s="5"/>
      <c r="E968" s="5"/>
      <c r="F968" s="5"/>
      <c r="G968" s="5"/>
      <c r="H968" s="5"/>
      <c r="I968" s="5"/>
      <c r="J968" s="5"/>
      <c r="K968" s="5"/>
      <c r="L968" s="5"/>
      <c r="M968" s="5"/>
      <c r="N968" s="5"/>
      <c r="O968" s="5"/>
      <c r="P968" s="5"/>
      <c r="Q968" s="5"/>
      <c r="R968" s="5"/>
      <c r="S968" s="5"/>
      <c r="T968" s="5"/>
      <c r="U968" s="5"/>
      <c r="V968" s="5"/>
      <c r="Y968" s="5"/>
      <c r="Z968" s="5"/>
      <c r="AA968" s="5"/>
      <c r="AB968" s="5"/>
      <c r="AC968" s="5"/>
      <c r="AD968" s="5"/>
      <c r="AE968" s="5"/>
      <c r="AF968" s="5"/>
      <c r="AG968" s="5"/>
      <c r="AH968" s="5"/>
      <c r="AI968" s="5"/>
      <c r="AJ968" s="5"/>
      <c r="AK968" s="5"/>
      <c r="AL968" s="5"/>
      <c r="AM968" s="5"/>
      <c r="AN968" s="5"/>
    </row>
    <row r="969" spans="1:40" ht="18.75" customHeight="1">
      <c r="A969" s="5"/>
      <c r="B969" s="5"/>
      <c r="C969" s="5"/>
      <c r="D969" s="5"/>
      <c r="E969" s="5"/>
      <c r="F969" s="5"/>
      <c r="G969" s="5"/>
      <c r="H969" s="5"/>
      <c r="I969" s="5"/>
      <c r="J969" s="5"/>
      <c r="K969" s="5"/>
      <c r="L969" s="5"/>
      <c r="M969" s="5"/>
      <c r="N969" s="5"/>
      <c r="O969" s="5"/>
      <c r="P969" s="5"/>
      <c r="Q969" s="5"/>
      <c r="R969" s="5"/>
      <c r="S969" s="5"/>
      <c r="T969" s="5"/>
      <c r="U969" s="5"/>
      <c r="V969" s="5"/>
      <c r="Y969" s="5"/>
      <c r="Z969" s="5"/>
      <c r="AA969" s="5"/>
      <c r="AB969" s="5"/>
      <c r="AC969" s="5"/>
      <c r="AD969" s="5"/>
      <c r="AE969" s="5"/>
      <c r="AF969" s="5"/>
      <c r="AG969" s="5"/>
      <c r="AH969" s="5"/>
      <c r="AI969" s="5"/>
      <c r="AJ969" s="5"/>
      <c r="AK969" s="5"/>
      <c r="AL969" s="5"/>
      <c r="AM969" s="5"/>
      <c r="AN969" s="5"/>
    </row>
    <row r="970" spans="1:40" ht="18.75" customHeight="1">
      <c r="A970" s="5"/>
      <c r="B970" s="5"/>
      <c r="C970" s="5"/>
      <c r="D970" s="5"/>
      <c r="E970" s="5"/>
      <c r="F970" s="5"/>
      <c r="G970" s="5"/>
      <c r="H970" s="5"/>
      <c r="I970" s="5"/>
      <c r="J970" s="5"/>
      <c r="K970" s="5"/>
      <c r="L970" s="5"/>
      <c r="M970" s="5"/>
      <c r="N970" s="5"/>
      <c r="O970" s="5"/>
      <c r="P970" s="5"/>
      <c r="Q970" s="5"/>
      <c r="R970" s="5"/>
      <c r="S970" s="5"/>
      <c r="T970" s="5"/>
      <c r="U970" s="5"/>
      <c r="V970" s="5"/>
      <c r="Y970" s="5"/>
      <c r="Z970" s="5"/>
      <c r="AA970" s="5"/>
      <c r="AB970" s="5"/>
      <c r="AC970" s="5"/>
      <c r="AD970" s="5"/>
      <c r="AE970" s="5"/>
      <c r="AF970" s="5"/>
      <c r="AG970" s="5"/>
      <c r="AH970" s="5"/>
      <c r="AI970" s="5"/>
      <c r="AJ970" s="5"/>
      <c r="AK970" s="5"/>
      <c r="AL970" s="5"/>
      <c r="AM970" s="5"/>
      <c r="AN970" s="5"/>
    </row>
    <row r="971" spans="1:40" ht="18.75" customHeight="1">
      <c r="A971" s="5"/>
      <c r="B971" s="5"/>
      <c r="C971" s="5"/>
      <c r="D971" s="5"/>
      <c r="E971" s="5"/>
      <c r="F971" s="5"/>
      <c r="G971" s="5"/>
      <c r="H971" s="5"/>
      <c r="I971" s="5"/>
      <c r="J971" s="5"/>
      <c r="K971" s="5"/>
      <c r="L971" s="5"/>
      <c r="M971" s="5"/>
      <c r="N971" s="5"/>
      <c r="O971" s="5"/>
      <c r="P971" s="5"/>
      <c r="Q971" s="5"/>
      <c r="R971" s="5"/>
      <c r="S971" s="5"/>
      <c r="T971" s="5"/>
      <c r="U971" s="5"/>
      <c r="V971" s="5"/>
      <c r="Y971" s="5"/>
      <c r="Z971" s="5"/>
      <c r="AA971" s="5"/>
      <c r="AB971" s="5"/>
      <c r="AC971" s="5"/>
      <c r="AD971" s="5"/>
      <c r="AE971" s="5"/>
      <c r="AF971" s="5"/>
      <c r="AG971" s="5"/>
      <c r="AH971" s="5"/>
      <c r="AI971" s="5"/>
      <c r="AJ971" s="5"/>
      <c r="AK971" s="5"/>
      <c r="AL971" s="5"/>
      <c r="AM971" s="5"/>
      <c r="AN971" s="5"/>
    </row>
    <row r="972" spans="1:40" ht="18.75" customHeight="1">
      <c r="A972" s="5"/>
      <c r="B972" s="5"/>
      <c r="C972" s="5"/>
      <c r="D972" s="5"/>
      <c r="E972" s="5"/>
      <c r="F972" s="5"/>
      <c r="G972" s="5"/>
      <c r="H972" s="5"/>
      <c r="I972" s="5"/>
      <c r="J972" s="5"/>
      <c r="K972" s="5"/>
      <c r="L972" s="5"/>
      <c r="M972" s="5"/>
      <c r="N972" s="5"/>
      <c r="O972" s="5"/>
      <c r="P972" s="5"/>
      <c r="Q972" s="5"/>
      <c r="R972" s="5"/>
      <c r="S972" s="5"/>
      <c r="T972" s="5"/>
      <c r="U972" s="5"/>
      <c r="V972" s="5"/>
      <c r="Y972" s="5"/>
      <c r="Z972" s="5"/>
      <c r="AA972" s="5"/>
      <c r="AB972" s="5"/>
      <c r="AC972" s="5"/>
      <c r="AD972" s="5"/>
      <c r="AE972" s="5"/>
      <c r="AF972" s="5"/>
      <c r="AG972" s="5"/>
      <c r="AH972" s="5"/>
      <c r="AI972" s="5"/>
      <c r="AJ972" s="5"/>
      <c r="AK972" s="5"/>
      <c r="AL972" s="5"/>
      <c r="AM972" s="5"/>
      <c r="AN972" s="5"/>
    </row>
    <row r="973" spans="1:40" ht="18.75" customHeight="1">
      <c r="A973" s="5"/>
      <c r="B973" s="5"/>
      <c r="C973" s="5"/>
      <c r="D973" s="5"/>
      <c r="E973" s="5"/>
      <c r="F973" s="5"/>
      <c r="G973" s="5"/>
      <c r="H973" s="5"/>
      <c r="I973" s="5"/>
      <c r="J973" s="5"/>
      <c r="K973" s="5"/>
      <c r="L973" s="5"/>
      <c r="M973" s="5"/>
      <c r="N973" s="5"/>
      <c r="O973" s="5"/>
      <c r="P973" s="5"/>
      <c r="Q973" s="5"/>
      <c r="R973" s="5"/>
      <c r="S973" s="5"/>
      <c r="T973" s="5"/>
      <c r="U973" s="5"/>
      <c r="V973" s="5"/>
      <c r="Y973" s="5"/>
      <c r="Z973" s="5"/>
      <c r="AA973" s="5"/>
      <c r="AB973" s="5"/>
      <c r="AC973" s="5"/>
      <c r="AD973" s="5"/>
      <c r="AE973" s="5"/>
      <c r="AF973" s="5"/>
      <c r="AG973" s="5"/>
      <c r="AH973" s="5"/>
      <c r="AI973" s="5"/>
      <c r="AJ973" s="5"/>
      <c r="AK973" s="5"/>
      <c r="AL973" s="5"/>
      <c r="AM973" s="5"/>
      <c r="AN973" s="5"/>
    </row>
    <row r="974" spans="1:40" ht="18.75" customHeight="1">
      <c r="A974" s="5"/>
      <c r="B974" s="5"/>
      <c r="C974" s="5"/>
      <c r="D974" s="5"/>
      <c r="E974" s="5"/>
      <c r="F974" s="5"/>
      <c r="G974" s="5"/>
      <c r="H974" s="5"/>
      <c r="I974" s="5"/>
      <c r="J974" s="5"/>
      <c r="K974" s="5"/>
      <c r="L974" s="5"/>
      <c r="M974" s="5"/>
      <c r="N974" s="5"/>
      <c r="O974" s="5"/>
      <c r="P974" s="5"/>
      <c r="Q974" s="5"/>
      <c r="R974" s="5"/>
      <c r="S974" s="5"/>
      <c r="T974" s="5"/>
      <c r="U974" s="5"/>
      <c r="V974" s="5"/>
      <c r="Y974" s="5"/>
      <c r="Z974" s="5"/>
      <c r="AA974" s="5"/>
      <c r="AB974" s="5"/>
      <c r="AC974" s="5"/>
      <c r="AD974" s="5"/>
      <c r="AE974" s="5"/>
      <c r="AF974" s="5"/>
      <c r="AG974" s="5"/>
      <c r="AH974" s="5"/>
      <c r="AI974" s="5"/>
      <c r="AJ974" s="5"/>
      <c r="AK974" s="5"/>
      <c r="AL974" s="5"/>
      <c r="AM974" s="5"/>
      <c r="AN974" s="5"/>
    </row>
    <row r="975" spans="1:40" ht="18.75" customHeight="1">
      <c r="A975" s="5"/>
      <c r="B975" s="5"/>
      <c r="C975" s="5"/>
      <c r="D975" s="5"/>
      <c r="E975" s="5"/>
      <c r="F975" s="5"/>
      <c r="G975" s="5"/>
      <c r="H975" s="5"/>
      <c r="I975" s="5"/>
      <c r="J975" s="5"/>
      <c r="K975" s="5"/>
      <c r="L975" s="5"/>
      <c r="M975" s="5"/>
      <c r="N975" s="5"/>
      <c r="O975" s="5"/>
      <c r="P975" s="5"/>
      <c r="Q975" s="5"/>
      <c r="R975" s="5"/>
      <c r="S975" s="5"/>
      <c r="T975" s="5"/>
      <c r="U975" s="5"/>
      <c r="V975" s="5"/>
      <c r="Y975" s="5"/>
      <c r="Z975" s="5"/>
      <c r="AA975" s="5"/>
      <c r="AB975" s="5"/>
      <c r="AC975" s="5"/>
      <c r="AD975" s="5"/>
      <c r="AE975" s="5"/>
      <c r="AF975" s="5"/>
      <c r="AG975" s="5"/>
      <c r="AH975" s="5"/>
      <c r="AI975" s="5"/>
      <c r="AJ975" s="5"/>
      <c r="AK975" s="5"/>
      <c r="AL975" s="5"/>
      <c r="AM975" s="5"/>
      <c r="AN975" s="5"/>
    </row>
    <row r="976" spans="1:40" ht="18.75" customHeight="1">
      <c r="A976" s="5"/>
      <c r="B976" s="5"/>
      <c r="C976" s="5"/>
      <c r="D976" s="5"/>
      <c r="E976" s="5"/>
      <c r="F976" s="5"/>
      <c r="G976" s="5"/>
      <c r="H976" s="5"/>
      <c r="I976" s="5"/>
      <c r="J976" s="5"/>
      <c r="K976" s="5"/>
      <c r="L976" s="5"/>
      <c r="M976" s="5"/>
      <c r="N976" s="5"/>
      <c r="O976" s="5"/>
      <c r="P976" s="5"/>
      <c r="Q976" s="5"/>
      <c r="R976" s="5"/>
      <c r="S976" s="5"/>
      <c r="T976" s="5"/>
      <c r="U976" s="5"/>
      <c r="V976" s="5"/>
      <c r="Y976" s="5"/>
      <c r="Z976" s="5"/>
      <c r="AA976" s="5"/>
      <c r="AB976" s="5"/>
      <c r="AC976" s="5"/>
      <c r="AD976" s="5"/>
      <c r="AE976" s="5"/>
      <c r="AF976" s="5"/>
      <c r="AG976" s="5"/>
      <c r="AH976" s="5"/>
      <c r="AI976" s="5"/>
      <c r="AJ976" s="5"/>
      <c r="AK976" s="5"/>
      <c r="AL976" s="5"/>
      <c r="AM976" s="5"/>
      <c r="AN976" s="5"/>
    </row>
    <row r="977" spans="1:40" ht="18.75" customHeight="1">
      <c r="A977" s="5"/>
      <c r="B977" s="5"/>
      <c r="C977" s="5"/>
      <c r="D977" s="5"/>
      <c r="E977" s="5"/>
      <c r="F977" s="5"/>
      <c r="G977" s="5"/>
      <c r="H977" s="5"/>
      <c r="I977" s="5"/>
      <c r="J977" s="5"/>
      <c r="K977" s="5"/>
      <c r="L977" s="5"/>
      <c r="M977" s="5"/>
      <c r="N977" s="5"/>
      <c r="O977" s="5"/>
      <c r="P977" s="5"/>
      <c r="Q977" s="5"/>
      <c r="R977" s="5"/>
      <c r="S977" s="5"/>
      <c r="T977" s="5"/>
      <c r="U977" s="5"/>
      <c r="V977" s="5"/>
      <c r="Y977" s="5"/>
      <c r="Z977" s="5"/>
      <c r="AA977" s="5"/>
      <c r="AB977" s="5"/>
      <c r="AC977" s="5"/>
      <c r="AD977" s="5"/>
      <c r="AE977" s="5"/>
      <c r="AF977" s="5"/>
      <c r="AG977" s="5"/>
      <c r="AH977" s="5"/>
      <c r="AI977" s="5"/>
      <c r="AJ977" s="5"/>
      <c r="AK977" s="5"/>
      <c r="AL977" s="5"/>
      <c r="AM977" s="5"/>
      <c r="AN977" s="5"/>
    </row>
    <row r="978" spans="1:40" ht="18.75" customHeight="1">
      <c r="A978" s="5"/>
      <c r="B978" s="5"/>
      <c r="C978" s="5"/>
      <c r="D978" s="5"/>
      <c r="E978" s="5"/>
      <c r="F978" s="5"/>
      <c r="G978" s="5"/>
      <c r="H978" s="5"/>
      <c r="I978" s="5"/>
      <c r="J978" s="5"/>
      <c r="K978" s="5"/>
      <c r="L978" s="5"/>
      <c r="M978" s="5"/>
      <c r="N978" s="5"/>
      <c r="O978" s="5"/>
      <c r="P978" s="5"/>
      <c r="Q978" s="5"/>
      <c r="R978" s="5"/>
      <c r="S978" s="5"/>
      <c r="T978" s="5"/>
      <c r="U978" s="5"/>
      <c r="V978" s="5"/>
      <c r="Y978" s="5"/>
      <c r="Z978" s="5"/>
      <c r="AA978" s="5"/>
      <c r="AB978" s="5"/>
      <c r="AC978" s="5"/>
      <c r="AD978" s="5"/>
      <c r="AE978" s="5"/>
      <c r="AF978" s="5"/>
      <c r="AG978" s="5"/>
      <c r="AH978" s="5"/>
      <c r="AI978" s="5"/>
      <c r="AJ978" s="5"/>
      <c r="AK978" s="5"/>
      <c r="AL978" s="5"/>
      <c r="AM978" s="5"/>
      <c r="AN978" s="5"/>
    </row>
    <row r="979" spans="1:40" ht="18.75" customHeight="1">
      <c r="A979" s="5"/>
      <c r="B979" s="5"/>
      <c r="C979" s="5"/>
      <c r="D979" s="5"/>
      <c r="E979" s="5"/>
      <c r="F979" s="5"/>
      <c r="G979" s="5"/>
      <c r="H979" s="5"/>
      <c r="I979" s="5"/>
      <c r="J979" s="5"/>
      <c r="K979" s="5"/>
      <c r="L979" s="5"/>
      <c r="M979" s="5"/>
      <c r="N979" s="5"/>
      <c r="O979" s="5"/>
      <c r="P979" s="5"/>
      <c r="Q979" s="5"/>
      <c r="R979" s="5"/>
      <c r="S979" s="5"/>
      <c r="T979" s="5"/>
      <c r="U979" s="5"/>
      <c r="V979" s="5"/>
      <c r="Y979" s="5"/>
      <c r="Z979" s="5"/>
      <c r="AA979" s="5"/>
      <c r="AB979" s="5"/>
      <c r="AC979" s="5"/>
      <c r="AD979" s="5"/>
      <c r="AE979" s="5"/>
      <c r="AF979" s="5"/>
      <c r="AG979" s="5"/>
      <c r="AH979" s="5"/>
      <c r="AI979" s="5"/>
      <c r="AJ979" s="5"/>
      <c r="AK979" s="5"/>
      <c r="AL979" s="5"/>
      <c r="AM979" s="5"/>
      <c r="AN979" s="5"/>
    </row>
    <row r="980" spans="1:40" ht="18.75" customHeight="1">
      <c r="A980" s="5"/>
      <c r="B980" s="5"/>
      <c r="C980" s="5"/>
      <c r="D980" s="5"/>
      <c r="E980" s="5"/>
      <c r="F980" s="5"/>
      <c r="G980" s="5"/>
      <c r="H980" s="5"/>
      <c r="I980" s="5"/>
      <c r="J980" s="5"/>
      <c r="K980" s="5"/>
      <c r="L980" s="5"/>
      <c r="M980" s="5"/>
      <c r="N980" s="5"/>
      <c r="O980" s="5"/>
      <c r="P980" s="5"/>
      <c r="Q980" s="5"/>
      <c r="R980" s="5"/>
      <c r="S980" s="5"/>
      <c r="T980" s="5"/>
      <c r="U980" s="5"/>
      <c r="V980" s="5"/>
      <c r="Y980" s="5"/>
      <c r="Z980" s="5"/>
      <c r="AA980" s="5"/>
      <c r="AB980" s="5"/>
      <c r="AC980" s="5"/>
      <c r="AD980" s="5"/>
      <c r="AE980" s="5"/>
      <c r="AF980" s="5"/>
      <c r="AG980" s="5"/>
      <c r="AH980" s="5"/>
      <c r="AI980" s="5"/>
      <c r="AJ980" s="5"/>
      <c r="AK980" s="5"/>
      <c r="AL980" s="5"/>
      <c r="AM980" s="5"/>
      <c r="AN980" s="5"/>
    </row>
    <row r="981" spans="1:40" ht="18.75" customHeight="1">
      <c r="A981" s="5"/>
      <c r="B981" s="5"/>
      <c r="C981" s="5"/>
      <c r="D981" s="5"/>
      <c r="E981" s="5"/>
      <c r="F981" s="5"/>
      <c r="G981" s="5"/>
      <c r="H981" s="5"/>
      <c r="I981" s="5"/>
      <c r="J981" s="5"/>
      <c r="K981" s="5"/>
      <c r="L981" s="5"/>
      <c r="M981" s="5"/>
      <c r="N981" s="5"/>
      <c r="O981" s="5"/>
      <c r="P981" s="5"/>
      <c r="Q981" s="5"/>
      <c r="R981" s="5"/>
      <c r="S981" s="5"/>
      <c r="T981" s="5"/>
      <c r="U981" s="5"/>
      <c r="V981" s="5"/>
      <c r="Y981" s="5"/>
      <c r="Z981" s="5"/>
      <c r="AA981" s="5"/>
      <c r="AB981" s="5"/>
      <c r="AC981" s="5"/>
      <c r="AD981" s="5"/>
      <c r="AE981" s="5"/>
      <c r="AF981" s="5"/>
      <c r="AG981" s="5"/>
      <c r="AH981" s="5"/>
      <c r="AI981" s="5"/>
      <c r="AJ981" s="5"/>
      <c r="AK981" s="5"/>
      <c r="AL981" s="5"/>
      <c r="AM981" s="5"/>
      <c r="AN981" s="5"/>
    </row>
    <row r="982" spans="1:40" ht="18.75" customHeight="1">
      <c r="A982" s="5"/>
      <c r="B982" s="5"/>
      <c r="C982" s="5"/>
      <c r="D982" s="5"/>
      <c r="E982" s="5"/>
      <c r="F982" s="5"/>
      <c r="G982" s="5"/>
      <c r="H982" s="5"/>
      <c r="I982" s="5"/>
      <c r="J982" s="5"/>
      <c r="K982" s="5"/>
      <c r="L982" s="5"/>
      <c r="M982" s="5"/>
      <c r="N982" s="5"/>
      <c r="O982" s="5"/>
      <c r="P982" s="5"/>
      <c r="Q982" s="5"/>
      <c r="R982" s="5"/>
      <c r="S982" s="5"/>
      <c r="T982" s="5"/>
      <c r="U982" s="5"/>
      <c r="V982" s="5"/>
      <c r="Y982" s="5"/>
      <c r="Z982" s="5"/>
      <c r="AA982" s="5"/>
      <c r="AB982" s="5"/>
      <c r="AC982" s="5"/>
      <c r="AD982" s="5"/>
      <c r="AE982" s="5"/>
      <c r="AF982" s="5"/>
      <c r="AG982" s="5"/>
      <c r="AH982" s="5"/>
      <c r="AI982" s="5"/>
      <c r="AJ982" s="5"/>
      <c r="AK982" s="5"/>
      <c r="AL982" s="5"/>
      <c r="AM982" s="5"/>
      <c r="AN982" s="5"/>
    </row>
    <row r="983" spans="1:40" ht="18.75" customHeight="1">
      <c r="A983" s="5"/>
      <c r="B983" s="5"/>
      <c r="C983" s="5"/>
      <c r="D983" s="5"/>
      <c r="E983" s="5"/>
      <c r="F983" s="5"/>
      <c r="G983" s="5"/>
      <c r="H983" s="5"/>
      <c r="I983" s="5"/>
      <c r="J983" s="5"/>
      <c r="K983" s="5"/>
      <c r="L983" s="5"/>
      <c r="M983" s="5"/>
      <c r="N983" s="5"/>
      <c r="O983" s="5"/>
      <c r="P983" s="5"/>
      <c r="Q983" s="5"/>
      <c r="R983" s="5"/>
      <c r="S983" s="5"/>
      <c r="T983" s="5"/>
      <c r="U983" s="5"/>
      <c r="V983" s="5"/>
      <c r="Y983" s="5"/>
      <c r="Z983" s="5"/>
      <c r="AA983" s="5"/>
      <c r="AB983" s="5"/>
      <c r="AC983" s="5"/>
      <c r="AD983" s="5"/>
      <c r="AE983" s="5"/>
      <c r="AF983" s="5"/>
      <c r="AG983" s="5"/>
      <c r="AH983" s="5"/>
      <c r="AI983" s="5"/>
      <c r="AJ983" s="5"/>
      <c r="AK983" s="5"/>
      <c r="AL983" s="5"/>
      <c r="AM983" s="5"/>
      <c r="AN983" s="5"/>
    </row>
    <row r="984" spans="1:40" ht="18.75" customHeight="1">
      <c r="A984" s="5"/>
      <c r="B984" s="5"/>
      <c r="C984" s="5"/>
      <c r="D984" s="5"/>
      <c r="E984" s="5"/>
      <c r="F984" s="5"/>
      <c r="G984" s="5"/>
      <c r="H984" s="5"/>
      <c r="I984" s="5"/>
      <c r="J984" s="5"/>
      <c r="K984" s="5"/>
      <c r="L984" s="5"/>
      <c r="M984" s="5"/>
      <c r="N984" s="5"/>
      <c r="O984" s="5"/>
      <c r="P984" s="5"/>
      <c r="Q984" s="5"/>
      <c r="R984" s="5"/>
      <c r="S984" s="5"/>
      <c r="T984" s="5"/>
      <c r="U984" s="5"/>
      <c r="V984" s="5"/>
      <c r="Y984" s="5"/>
      <c r="Z984" s="5"/>
      <c r="AA984" s="5"/>
      <c r="AB984" s="5"/>
      <c r="AC984" s="5"/>
      <c r="AD984" s="5"/>
      <c r="AE984" s="5"/>
      <c r="AF984" s="5"/>
      <c r="AG984" s="5"/>
      <c r="AH984" s="5"/>
      <c r="AI984" s="5"/>
      <c r="AJ984" s="5"/>
      <c r="AK984" s="5"/>
      <c r="AL984" s="5"/>
      <c r="AM984" s="5"/>
      <c r="AN984" s="5"/>
    </row>
    <row r="985" spans="1:40" ht="18.75" customHeight="1">
      <c r="A985" s="5"/>
      <c r="B985" s="5"/>
      <c r="C985" s="5"/>
      <c r="D985" s="5"/>
      <c r="E985" s="5"/>
      <c r="F985" s="5"/>
      <c r="G985" s="5"/>
      <c r="H985" s="5"/>
      <c r="I985" s="5"/>
      <c r="J985" s="5"/>
      <c r="K985" s="5"/>
      <c r="L985" s="5"/>
      <c r="M985" s="5"/>
      <c r="N985" s="5"/>
      <c r="O985" s="5"/>
      <c r="P985" s="5"/>
      <c r="Q985" s="5"/>
      <c r="R985" s="5"/>
      <c r="S985" s="5"/>
      <c r="T985" s="5"/>
      <c r="U985" s="5"/>
      <c r="V985" s="5"/>
      <c r="Y985" s="5"/>
      <c r="Z985" s="5"/>
      <c r="AA985" s="5"/>
      <c r="AB985" s="5"/>
      <c r="AC985" s="5"/>
      <c r="AD985" s="5"/>
      <c r="AE985" s="5"/>
      <c r="AF985" s="5"/>
      <c r="AG985" s="5"/>
      <c r="AH985" s="5"/>
      <c r="AI985" s="5"/>
      <c r="AJ985" s="5"/>
      <c r="AK985" s="5"/>
      <c r="AL985" s="5"/>
      <c r="AM985" s="5"/>
      <c r="AN985" s="5"/>
    </row>
    <row r="986" spans="1:40" ht="18.75" customHeight="1">
      <c r="A986" s="5"/>
      <c r="B986" s="5"/>
      <c r="C986" s="5"/>
      <c r="D986" s="5"/>
      <c r="E986" s="5"/>
      <c r="F986" s="5"/>
      <c r="G986" s="5"/>
      <c r="H986" s="5"/>
      <c r="I986" s="5"/>
      <c r="J986" s="5"/>
      <c r="K986" s="5"/>
      <c r="L986" s="5"/>
      <c r="M986" s="5"/>
      <c r="N986" s="5"/>
      <c r="O986" s="5"/>
      <c r="P986" s="5"/>
      <c r="Q986" s="5"/>
      <c r="R986" s="5"/>
      <c r="S986" s="5"/>
      <c r="T986" s="5"/>
      <c r="U986" s="5"/>
      <c r="V986" s="5"/>
      <c r="Y986" s="5"/>
      <c r="Z986" s="5"/>
      <c r="AA986" s="5"/>
      <c r="AB986" s="5"/>
      <c r="AC986" s="5"/>
      <c r="AD986" s="5"/>
      <c r="AE986" s="5"/>
      <c r="AF986" s="5"/>
      <c r="AG986" s="5"/>
      <c r="AH986" s="5"/>
      <c r="AI986" s="5"/>
      <c r="AJ986" s="5"/>
      <c r="AK986" s="5"/>
      <c r="AL986" s="5"/>
      <c r="AM986" s="5"/>
      <c r="AN986" s="5"/>
    </row>
    <row r="987" spans="1:40" ht="18.75" customHeight="1">
      <c r="A987" s="5"/>
      <c r="B987" s="5"/>
      <c r="C987" s="5"/>
      <c r="D987" s="5"/>
      <c r="E987" s="5"/>
      <c r="F987" s="5"/>
      <c r="G987" s="5"/>
      <c r="H987" s="5"/>
      <c r="I987" s="5"/>
      <c r="J987" s="5"/>
      <c r="K987" s="5"/>
      <c r="L987" s="5"/>
      <c r="M987" s="5"/>
      <c r="N987" s="5"/>
      <c r="O987" s="5"/>
      <c r="P987" s="5"/>
      <c r="Q987" s="5"/>
      <c r="R987" s="5"/>
      <c r="S987" s="5"/>
      <c r="T987" s="5"/>
      <c r="U987" s="5"/>
      <c r="V987" s="5"/>
      <c r="Y987" s="5"/>
      <c r="Z987" s="5"/>
      <c r="AA987" s="5"/>
      <c r="AB987" s="5"/>
      <c r="AC987" s="5"/>
      <c r="AD987" s="5"/>
      <c r="AE987" s="5"/>
      <c r="AF987" s="5"/>
      <c r="AG987" s="5"/>
      <c r="AH987" s="5"/>
      <c r="AI987" s="5"/>
      <c r="AJ987" s="5"/>
      <c r="AK987" s="5"/>
      <c r="AL987" s="5"/>
      <c r="AM987" s="5"/>
      <c r="AN987" s="5"/>
    </row>
    <row r="988" spans="1:40" ht="18.75" customHeight="1">
      <c r="A988" s="5"/>
      <c r="B988" s="5"/>
      <c r="C988" s="5"/>
      <c r="D988" s="5"/>
      <c r="E988" s="5"/>
      <c r="F988" s="5"/>
      <c r="G988" s="5"/>
      <c r="H988" s="5"/>
      <c r="I988" s="5"/>
      <c r="J988" s="5"/>
      <c r="K988" s="5"/>
      <c r="L988" s="5"/>
      <c r="M988" s="5"/>
      <c r="N988" s="5"/>
      <c r="O988" s="5"/>
      <c r="P988" s="5"/>
      <c r="Q988" s="5"/>
      <c r="R988" s="5"/>
      <c r="S988" s="5"/>
      <c r="T988" s="5"/>
      <c r="U988" s="5"/>
      <c r="V988" s="5"/>
      <c r="Y988" s="5"/>
      <c r="Z988" s="5"/>
      <c r="AA988" s="5"/>
      <c r="AB988" s="5"/>
      <c r="AC988" s="5"/>
      <c r="AD988" s="5"/>
      <c r="AE988" s="5"/>
      <c r="AF988" s="5"/>
      <c r="AG988" s="5"/>
      <c r="AH988" s="5"/>
      <c r="AI988" s="5"/>
      <c r="AJ988" s="5"/>
      <c r="AK988" s="5"/>
      <c r="AL988" s="5"/>
      <c r="AM988" s="5"/>
      <c r="AN988" s="5"/>
    </row>
    <row r="989" spans="1:40" ht="18.75" customHeight="1">
      <c r="A989" s="5"/>
      <c r="B989" s="5"/>
      <c r="C989" s="5"/>
      <c r="D989" s="5"/>
      <c r="E989" s="5"/>
      <c r="F989" s="5"/>
      <c r="G989" s="5"/>
      <c r="H989" s="5"/>
      <c r="I989" s="5"/>
      <c r="J989" s="5"/>
      <c r="K989" s="5"/>
      <c r="L989" s="5"/>
      <c r="M989" s="5"/>
      <c r="N989" s="5"/>
      <c r="O989" s="5"/>
      <c r="P989" s="5"/>
      <c r="Q989" s="5"/>
      <c r="R989" s="5"/>
      <c r="S989" s="5"/>
      <c r="T989" s="5"/>
      <c r="U989" s="5"/>
      <c r="V989" s="5"/>
      <c r="Y989" s="5"/>
      <c r="Z989" s="5"/>
      <c r="AA989" s="5"/>
      <c r="AB989" s="5"/>
      <c r="AC989" s="5"/>
      <c r="AD989" s="5"/>
      <c r="AE989" s="5"/>
      <c r="AF989" s="5"/>
      <c r="AG989" s="5"/>
      <c r="AH989" s="5"/>
      <c r="AI989" s="5"/>
      <c r="AJ989" s="5"/>
      <c r="AK989" s="5"/>
      <c r="AL989" s="5"/>
      <c r="AM989" s="5"/>
      <c r="AN989" s="5"/>
    </row>
    <row r="990" spans="1:40" ht="18.75" customHeight="1">
      <c r="A990" s="5"/>
      <c r="B990" s="5"/>
      <c r="C990" s="5"/>
      <c r="D990" s="5"/>
      <c r="E990" s="5"/>
      <c r="F990" s="5"/>
      <c r="G990" s="5"/>
      <c r="H990" s="5"/>
      <c r="I990" s="5"/>
      <c r="J990" s="5"/>
      <c r="K990" s="5"/>
      <c r="L990" s="5"/>
      <c r="M990" s="5"/>
      <c r="N990" s="5"/>
      <c r="O990" s="5"/>
      <c r="P990" s="5"/>
      <c r="Q990" s="5"/>
      <c r="R990" s="5"/>
      <c r="S990" s="5"/>
      <c r="T990" s="5"/>
      <c r="U990" s="5"/>
      <c r="V990" s="5"/>
      <c r="Y990" s="5"/>
      <c r="Z990" s="5"/>
      <c r="AA990" s="5"/>
      <c r="AB990" s="5"/>
      <c r="AC990" s="5"/>
      <c r="AD990" s="5"/>
      <c r="AE990" s="5"/>
      <c r="AF990" s="5"/>
      <c r="AG990" s="5"/>
      <c r="AH990" s="5"/>
      <c r="AI990" s="5"/>
      <c r="AJ990" s="5"/>
      <c r="AK990" s="5"/>
      <c r="AL990" s="5"/>
      <c r="AM990" s="5"/>
      <c r="AN990" s="5"/>
    </row>
    <row r="991" spans="1:40" ht="18.75" customHeight="1">
      <c r="A991" s="5"/>
      <c r="B991" s="5"/>
      <c r="C991" s="5"/>
      <c r="D991" s="5"/>
      <c r="E991" s="5"/>
      <c r="F991" s="5"/>
      <c r="G991" s="5"/>
      <c r="H991" s="5"/>
      <c r="I991" s="5"/>
      <c r="J991" s="5"/>
      <c r="K991" s="5"/>
      <c r="L991" s="5"/>
      <c r="M991" s="5"/>
      <c r="N991" s="5"/>
      <c r="O991" s="5"/>
      <c r="P991" s="5"/>
      <c r="Q991" s="5"/>
      <c r="R991" s="5"/>
      <c r="S991" s="5"/>
      <c r="T991" s="5"/>
      <c r="U991" s="5"/>
      <c r="V991" s="5"/>
      <c r="Y991" s="5"/>
      <c r="Z991" s="5"/>
      <c r="AA991" s="5"/>
      <c r="AB991" s="5"/>
      <c r="AC991" s="5"/>
      <c r="AD991" s="5"/>
      <c r="AE991" s="5"/>
      <c r="AF991" s="5"/>
      <c r="AG991" s="5"/>
      <c r="AH991" s="5"/>
      <c r="AI991" s="5"/>
      <c r="AJ991" s="5"/>
      <c r="AK991" s="5"/>
      <c r="AL991" s="5"/>
      <c r="AM991" s="5"/>
      <c r="AN991" s="5"/>
    </row>
    <row r="992" spans="1:40" ht="18.75" customHeight="1">
      <c r="A992" s="5"/>
      <c r="B992" s="5"/>
      <c r="C992" s="5"/>
      <c r="D992" s="5"/>
      <c r="E992" s="5"/>
      <c r="F992" s="5"/>
      <c r="G992" s="5"/>
      <c r="H992" s="5"/>
      <c r="I992" s="5"/>
      <c r="J992" s="5"/>
      <c r="K992" s="5"/>
      <c r="L992" s="5"/>
      <c r="M992" s="5"/>
      <c r="N992" s="5"/>
      <c r="O992" s="5"/>
      <c r="P992" s="5"/>
      <c r="Q992" s="5"/>
      <c r="R992" s="5"/>
      <c r="S992" s="5"/>
      <c r="T992" s="5"/>
      <c r="U992" s="5"/>
      <c r="V992" s="5"/>
      <c r="Y992" s="5"/>
      <c r="Z992" s="5"/>
      <c r="AA992" s="5"/>
      <c r="AB992" s="5"/>
      <c r="AC992" s="5"/>
      <c r="AD992" s="5"/>
      <c r="AE992" s="5"/>
      <c r="AF992" s="5"/>
      <c r="AG992" s="5"/>
      <c r="AH992" s="5"/>
      <c r="AI992" s="5"/>
      <c r="AJ992" s="5"/>
      <c r="AK992" s="5"/>
      <c r="AL992" s="5"/>
      <c r="AM992" s="5"/>
      <c r="AN992" s="5"/>
    </row>
    <row r="993" spans="1:40" ht="18.75" customHeight="1">
      <c r="A993" s="5"/>
      <c r="B993" s="5"/>
      <c r="C993" s="5"/>
      <c r="D993" s="5"/>
      <c r="E993" s="5"/>
      <c r="F993" s="5"/>
      <c r="G993" s="5"/>
      <c r="H993" s="5"/>
      <c r="I993" s="5"/>
      <c r="J993" s="5"/>
      <c r="K993" s="5"/>
      <c r="L993" s="5"/>
      <c r="M993" s="5"/>
      <c r="N993" s="5"/>
      <c r="O993" s="5"/>
      <c r="P993" s="5"/>
      <c r="Q993" s="5"/>
      <c r="R993" s="5"/>
      <c r="S993" s="5"/>
      <c r="T993" s="5"/>
      <c r="U993" s="5"/>
      <c r="V993" s="5"/>
      <c r="Y993" s="5"/>
      <c r="Z993" s="5"/>
      <c r="AA993" s="5"/>
      <c r="AB993" s="5"/>
      <c r="AC993" s="5"/>
      <c r="AD993" s="5"/>
      <c r="AE993" s="5"/>
      <c r="AF993" s="5"/>
      <c r="AG993" s="5"/>
      <c r="AH993" s="5"/>
      <c r="AI993" s="5"/>
      <c r="AJ993" s="5"/>
      <c r="AK993" s="5"/>
      <c r="AL993" s="5"/>
      <c r="AM993" s="5"/>
      <c r="AN993" s="5"/>
    </row>
    <row r="994" spans="1:40" ht="18.75" customHeight="1">
      <c r="A994" s="5"/>
      <c r="B994" s="5"/>
      <c r="C994" s="5"/>
      <c r="D994" s="5"/>
      <c r="E994" s="5"/>
      <c r="F994" s="5"/>
      <c r="G994" s="5"/>
      <c r="H994" s="5"/>
      <c r="I994" s="5"/>
      <c r="J994" s="5"/>
      <c r="K994" s="5"/>
      <c r="L994" s="5"/>
      <c r="M994" s="5"/>
      <c r="N994" s="5"/>
      <c r="O994" s="5"/>
      <c r="P994" s="5"/>
      <c r="Q994" s="5"/>
      <c r="R994" s="5"/>
      <c r="S994" s="5"/>
      <c r="T994" s="5"/>
      <c r="U994" s="5"/>
      <c r="V994" s="5"/>
      <c r="Y994" s="5"/>
      <c r="Z994" s="5"/>
      <c r="AA994" s="5"/>
      <c r="AB994" s="5"/>
      <c r="AC994" s="5"/>
      <c r="AD994" s="5"/>
      <c r="AE994" s="5"/>
      <c r="AF994" s="5"/>
      <c r="AG994" s="5"/>
      <c r="AH994" s="5"/>
      <c r="AI994" s="5"/>
      <c r="AJ994" s="5"/>
      <c r="AK994" s="5"/>
      <c r="AL994" s="5"/>
      <c r="AM994" s="5"/>
      <c r="AN994" s="5"/>
    </row>
    <row r="995" spans="1:40" ht="18.75" customHeight="1">
      <c r="A995" s="5"/>
      <c r="B995" s="5"/>
      <c r="C995" s="5"/>
      <c r="D995" s="5"/>
      <c r="E995" s="5"/>
      <c r="F995" s="5"/>
      <c r="G995" s="5"/>
      <c r="H995" s="5"/>
      <c r="I995" s="5"/>
      <c r="J995" s="5"/>
      <c r="K995" s="5"/>
      <c r="L995" s="5"/>
      <c r="M995" s="5"/>
      <c r="N995" s="5"/>
      <c r="O995" s="5"/>
      <c r="P995" s="5"/>
      <c r="Q995" s="5"/>
      <c r="R995" s="5"/>
      <c r="S995" s="5"/>
      <c r="T995" s="5"/>
      <c r="U995" s="5"/>
      <c r="V995" s="5"/>
      <c r="Y995" s="5"/>
      <c r="Z995" s="5"/>
      <c r="AA995" s="5"/>
      <c r="AB995" s="5"/>
      <c r="AC995" s="5"/>
      <c r="AD995" s="5"/>
      <c r="AE995" s="5"/>
      <c r="AF995" s="5"/>
      <c r="AG995" s="5"/>
      <c r="AH995" s="5"/>
      <c r="AI995" s="5"/>
      <c r="AJ995" s="5"/>
      <c r="AK995" s="5"/>
      <c r="AL995" s="5"/>
      <c r="AM995" s="5"/>
      <c r="AN995" s="5"/>
    </row>
    <row r="996" spans="1:40" ht="18.75" customHeight="1">
      <c r="A996" s="5"/>
      <c r="B996" s="5"/>
      <c r="C996" s="5"/>
      <c r="D996" s="5"/>
      <c r="E996" s="5"/>
      <c r="F996" s="5"/>
      <c r="G996" s="5"/>
      <c r="H996" s="5"/>
      <c r="I996" s="5"/>
      <c r="J996" s="5"/>
      <c r="K996" s="5"/>
      <c r="L996" s="5"/>
      <c r="M996" s="5"/>
      <c r="N996" s="5"/>
      <c r="O996" s="5"/>
      <c r="P996" s="5"/>
      <c r="Q996" s="5"/>
      <c r="R996" s="5"/>
      <c r="S996" s="5"/>
      <c r="T996" s="5"/>
      <c r="U996" s="5"/>
      <c r="V996" s="5"/>
      <c r="Y996" s="5"/>
      <c r="Z996" s="5"/>
      <c r="AA996" s="5"/>
      <c r="AB996" s="5"/>
      <c r="AC996" s="5"/>
      <c r="AD996" s="5"/>
      <c r="AE996" s="5"/>
      <c r="AF996" s="5"/>
      <c r="AG996" s="5"/>
      <c r="AH996" s="5"/>
      <c r="AI996" s="5"/>
      <c r="AJ996" s="5"/>
      <c r="AK996" s="5"/>
      <c r="AL996" s="5"/>
      <c r="AM996" s="5"/>
      <c r="AN996" s="5"/>
    </row>
    <row r="997" spans="1:40" ht="18.75" customHeight="1">
      <c r="A997" s="5"/>
      <c r="B997" s="5"/>
      <c r="C997" s="5"/>
      <c r="D997" s="5"/>
      <c r="E997" s="5"/>
      <c r="F997" s="5"/>
      <c r="G997" s="5"/>
      <c r="H997" s="5"/>
      <c r="I997" s="5"/>
      <c r="J997" s="5"/>
      <c r="K997" s="5"/>
      <c r="L997" s="5"/>
      <c r="M997" s="5"/>
      <c r="N997" s="5"/>
      <c r="O997" s="5"/>
      <c r="P997" s="5"/>
      <c r="Q997" s="5"/>
      <c r="R997" s="5"/>
      <c r="S997" s="5"/>
      <c r="T997" s="5"/>
      <c r="U997" s="5"/>
      <c r="V997" s="5"/>
      <c r="Y997" s="5"/>
      <c r="Z997" s="5"/>
      <c r="AA997" s="5"/>
      <c r="AB997" s="5"/>
      <c r="AC997" s="5"/>
      <c r="AD997" s="5"/>
      <c r="AE997" s="5"/>
      <c r="AF997" s="5"/>
      <c r="AG997" s="5"/>
      <c r="AH997" s="5"/>
      <c r="AI997" s="5"/>
      <c r="AJ997" s="5"/>
      <c r="AK997" s="5"/>
      <c r="AL997" s="5"/>
      <c r="AM997" s="5"/>
      <c r="AN997" s="5"/>
    </row>
    <row r="998" spans="1:40" ht="18.75" customHeight="1">
      <c r="A998" s="5"/>
      <c r="B998" s="5"/>
      <c r="C998" s="5"/>
      <c r="D998" s="5"/>
      <c r="E998" s="5"/>
      <c r="F998" s="5"/>
      <c r="G998" s="5"/>
      <c r="H998" s="5"/>
      <c r="I998" s="5"/>
      <c r="J998" s="5"/>
      <c r="K998" s="5"/>
      <c r="L998" s="5"/>
      <c r="M998" s="5"/>
      <c r="N998" s="5"/>
      <c r="O998" s="5"/>
      <c r="P998" s="5"/>
      <c r="Q998" s="5"/>
      <c r="R998" s="5"/>
      <c r="S998" s="5"/>
      <c r="T998" s="5"/>
      <c r="U998" s="5"/>
      <c r="V998" s="5"/>
      <c r="Y998" s="5"/>
      <c r="Z998" s="5"/>
      <c r="AA998" s="5"/>
      <c r="AB998" s="5"/>
      <c r="AC998" s="5"/>
      <c r="AD998" s="5"/>
      <c r="AE998" s="5"/>
      <c r="AF998" s="5"/>
      <c r="AG998" s="5"/>
      <c r="AH998" s="5"/>
      <c r="AI998" s="5"/>
      <c r="AJ998" s="5"/>
      <c r="AK998" s="5"/>
      <c r="AL998" s="5"/>
      <c r="AM998" s="5"/>
      <c r="AN998" s="5"/>
    </row>
    <row r="999" spans="1:40" ht="18.75" customHeight="1">
      <c r="A999" s="5"/>
      <c r="B999" s="5"/>
      <c r="C999" s="5"/>
      <c r="D999" s="5"/>
      <c r="E999" s="5"/>
      <c r="F999" s="5"/>
      <c r="G999" s="5"/>
      <c r="H999" s="5"/>
      <c r="I999" s="5"/>
      <c r="J999" s="5"/>
      <c r="K999" s="5"/>
      <c r="L999" s="5"/>
      <c r="M999" s="5"/>
      <c r="N999" s="5"/>
      <c r="O999" s="5"/>
      <c r="P999" s="5"/>
      <c r="Q999" s="5"/>
      <c r="R999" s="5"/>
      <c r="S999" s="5"/>
      <c r="T999" s="5"/>
      <c r="U999" s="5"/>
      <c r="V999" s="5"/>
      <c r="Y999" s="5"/>
      <c r="Z999" s="5"/>
      <c r="AA999" s="5"/>
      <c r="AB999" s="5"/>
      <c r="AC999" s="5"/>
      <c r="AD999" s="5"/>
      <c r="AE999" s="5"/>
      <c r="AF999" s="5"/>
      <c r="AG999" s="5"/>
      <c r="AH999" s="5"/>
      <c r="AI999" s="5"/>
      <c r="AJ999" s="5"/>
      <c r="AK999" s="5"/>
      <c r="AL999" s="5"/>
      <c r="AM999" s="5"/>
      <c r="AN999" s="5"/>
    </row>
    <row r="1000" spans="1:40" ht="18.75" customHeight="1">
      <c r="A1000" s="5"/>
      <c r="B1000" s="5"/>
      <c r="C1000" s="5"/>
      <c r="D1000" s="5"/>
      <c r="E1000" s="5"/>
      <c r="F1000" s="5"/>
      <c r="G1000" s="5"/>
      <c r="H1000" s="5"/>
      <c r="I1000" s="5"/>
      <c r="J1000" s="5"/>
      <c r="K1000" s="5"/>
      <c r="L1000" s="5"/>
      <c r="M1000" s="5"/>
      <c r="N1000" s="5"/>
      <c r="O1000" s="5"/>
      <c r="P1000" s="5"/>
      <c r="Q1000" s="5"/>
      <c r="R1000" s="5"/>
      <c r="S1000" s="5"/>
      <c r="T1000" s="5"/>
      <c r="U1000" s="5"/>
      <c r="V1000" s="5"/>
      <c r="Y1000" s="5"/>
      <c r="Z1000" s="5"/>
      <c r="AA1000" s="5"/>
      <c r="AB1000" s="5"/>
      <c r="AC1000" s="5"/>
      <c r="AD1000" s="5"/>
      <c r="AE1000" s="5"/>
      <c r="AF1000" s="5"/>
      <c r="AG1000" s="5"/>
      <c r="AH1000" s="5"/>
      <c r="AI1000" s="5"/>
      <c r="AJ1000" s="5"/>
      <c r="AK1000" s="5"/>
      <c r="AL1000" s="5"/>
      <c r="AM1000" s="5"/>
      <c r="AN1000" s="5"/>
    </row>
    <row r="1001" spans="1:40" ht="18.75" customHeight="1">
      <c r="A1001" s="5"/>
      <c r="B1001" s="5"/>
      <c r="C1001" s="5"/>
      <c r="D1001" s="5"/>
      <c r="E1001" s="5"/>
      <c r="F1001" s="5"/>
      <c r="G1001" s="5"/>
      <c r="H1001" s="5"/>
      <c r="I1001" s="5"/>
      <c r="J1001" s="5"/>
      <c r="K1001" s="5"/>
      <c r="L1001" s="5"/>
      <c r="M1001" s="5"/>
      <c r="N1001" s="5"/>
      <c r="O1001" s="5"/>
      <c r="P1001" s="5"/>
      <c r="Q1001" s="5"/>
      <c r="R1001" s="5"/>
      <c r="S1001" s="5"/>
      <c r="T1001" s="5"/>
      <c r="U1001" s="5"/>
      <c r="V1001" s="5"/>
      <c r="Y1001" s="5"/>
      <c r="Z1001" s="5"/>
      <c r="AA1001" s="5"/>
      <c r="AB1001" s="5"/>
      <c r="AC1001" s="5"/>
      <c r="AD1001" s="5"/>
      <c r="AE1001" s="5"/>
      <c r="AF1001" s="5"/>
      <c r="AG1001" s="5"/>
      <c r="AH1001" s="5"/>
      <c r="AI1001" s="5"/>
      <c r="AJ1001" s="5"/>
      <c r="AK1001" s="5"/>
      <c r="AL1001" s="5"/>
      <c r="AM1001" s="5"/>
      <c r="AN1001" s="5"/>
    </row>
    <row r="1002" spans="1:40" ht="18.75" customHeight="1">
      <c r="A1002" s="5"/>
      <c r="B1002" s="5"/>
      <c r="C1002" s="5"/>
      <c r="D1002" s="5"/>
      <c r="E1002" s="5"/>
      <c r="F1002" s="5"/>
      <c r="G1002" s="5"/>
      <c r="H1002" s="5"/>
      <c r="I1002" s="5"/>
      <c r="J1002" s="5"/>
      <c r="K1002" s="5"/>
      <c r="L1002" s="5"/>
      <c r="M1002" s="5"/>
      <c r="N1002" s="5"/>
      <c r="O1002" s="5"/>
      <c r="P1002" s="5"/>
      <c r="Q1002" s="5"/>
      <c r="R1002" s="5"/>
      <c r="S1002" s="5"/>
      <c r="T1002" s="5"/>
      <c r="U1002" s="5"/>
      <c r="V1002" s="5"/>
      <c r="Y1002" s="5"/>
      <c r="Z1002" s="5"/>
      <c r="AA1002" s="5"/>
      <c r="AB1002" s="5"/>
      <c r="AC1002" s="5"/>
      <c r="AD1002" s="5"/>
      <c r="AE1002" s="5"/>
      <c r="AF1002" s="5"/>
      <c r="AG1002" s="5"/>
      <c r="AH1002" s="5"/>
      <c r="AI1002" s="5"/>
      <c r="AJ1002" s="5"/>
      <c r="AK1002" s="5"/>
      <c r="AL1002" s="5"/>
      <c r="AM1002" s="5"/>
      <c r="AN1002" s="5"/>
    </row>
    <row r="1003" spans="1:40" ht="18.75" customHeight="1">
      <c r="A1003" s="5"/>
      <c r="B1003" s="5"/>
      <c r="C1003" s="5"/>
      <c r="D1003" s="5"/>
      <c r="E1003" s="5"/>
      <c r="F1003" s="5"/>
      <c r="G1003" s="5"/>
      <c r="H1003" s="5"/>
      <c r="I1003" s="5"/>
      <c r="J1003" s="5"/>
      <c r="K1003" s="5"/>
      <c r="L1003" s="5"/>
      <c r="M1003" s="5"/>
      <c r="N1003" s="5"/>
      <c r="O1003" s="5"/>
      <c r="P1003" s="5"/>
      <c r="Q1003" s="5"/>
      <c r="R1003" s="5"/>
      <c r="S1003" s="5"/>
      <c r="T1003" s="5"/>
      <c r="U1003" s="5"/>
      <c r="V1003" s="5"/>
      <c r="Y1003" s="5"/>
      <c r="Z1003" s="5"/>
      <c r="AA1003" s="5"/>
      <c r="AB1003" s="5"/>
      <c r="AC1003" s="5"/>
      <c r="AD1003" s="5"/>
      <c r="AE1003" s="5"/>
      <c r="AF1003" s="5"/>
      <c r="AG1003" s="5"/>
      <c r="AH1003" s="5"/>
      <c r="AI1003" s="5"/>
      <c r="AJ1003" s="5"/>
      <c r="AK1003" s="5"/>
      <c r="AL1003" s="5"/>
      <c r="AM1003" s="5"/>
      <c r="AN1003" s="5"/>
    </row>
    <row r="1004" spans="1:40" ht="18.75" customHeight="1">
      <c r="A1004" s="5"/>
      <c r="B1004" s="5"/>
      <c r="C1004" s="5"/>
      <c r="D1004" s="5"/>
      <c r="E1004" s="5"/>
      <c r="F1004" s="5"/>
      <c r="G1004" s="5"/>
      <c r="H1004" s="5"/>
      <c r="I1004" s="5"/>
      <c r="J1004" s="5"/>
      <c r="K1004" s="5"/>
      <c r="L1004" s="5"/>
      <c r="M1004" s="5"/>
      <c r="N1004" s="5"/>
      <c r="O1004" s="5"/>
      <c r="P1004" s="5"/>
      <c r="Q1004" s="5"/>
      <c r="R1004" s="5"/>
      <c r="S1004" s="5"/>
      <c r="T1004" s="5"/>
      <c r="U1004" s="5"/>
      <c r="V1004" s="5"/>
      <c r="Y1004" s="5"/>
      <c r="Z1004" s="5"/>
      <c r="AA1004" s="5"/>
      <c r="AB1004" s="5"/>
      <c r="AC1004" s="5"/>
      <c r="AD1004" s="5"/>
      <c r="AE1004" s="5"/>
      <c r="AF1004" s="5"/>
      <c r="AG1004" s="5"/>
      <c r="AH1004" s="5"/>
      <c r="AI1004" s="5"/>
      <c r="AJ1004" s="5"/>
      <c r="AK1004" s="5"/>
      <c r="AL1004" s="5"/>
      <c r="AM1004" s="5"/>
      <c r="AN1004" s="5"/>
    </row>
    <row r="1005" spans="1:40" ht="18.75" customHeight="1">
      <c r="A1005" s="5"/>
      <c r="B1005" s="5"/>
      <c r="C1005" s="5"/>
      <c r="D1005" s="5"/>
      <c r="E1005" s="5"/>
      <c r="F1005" s="5"/>
      <c r="G1005" s="5"/>
      <c r="H1005" s="5"/>
      <c r="I1005" s="5"/>
      <c r="J1005" s="5"/>
      <c r="K1005" s="5"/>
      <c r="L1005" s="5"/>
      <c r="M1005" s="5"/>
      <c r="N1005" s="5"/>
      <c r="O1005" s="5"/>
      <c r="P1005" s="5"/>
      <c r="Q1005" s="5"/>
      <c r="R1005" s="5"/>
      <c r="S1005" s="5"/>
      <c r="T1005" s="5"/>
      <c r="U1005" s="5"/>
      <c r="V1005" s="5"/>
      <c r="Y1005" s="5"/>
      <c r="Z1005" s="5"/>
      <c r="AA1005" s="5"/>
      <c r="AB1005" s="5"/>
      <c r="AC1005" s="5"/>
      <c r="AD1005" s="5"/>
      <c r="AE1005" s="5"/>
      <c r="AF1005" s="5"/>
      <c r="AG1005" s="5"/>
      <c r="AH1005" s="5"/>
      <c r="AI1005" s="5"/>
      <c r="AJ1005" s="5"/>
      <c r="AK1005" s="5"/>
      <c r="AL1005" s="5"/>
      <c r="AM1005" s="5"/>
      <c r="AN1005" s="5"/>
    </row>
    <row r="1006" spans="1:40" ht="18.75" customHeight="1">
      <c r="A1006" s="5"/>
      <c r="B1006" s="5"/>
      <c r="C1006" s="5"/>
      <c r="D1006" s="5"/>
      <c r="E1006" s="5"/>
      <c r="F1006" s="5"/>
      <c r="G1006" s="5"/>
      <c r="H1006" s="5"/>
      <c r="I1006" s="5"/>
      <c r="J1006" s="5"/>
      <c r="K1006" s="5"/>
      <c r="L1006" s="5"/>
      <c r="M1006" s="5"/>
      <c r="N1006" s="5"/>
      <c r="O1006" s="5"/>
      <c r="P1006" s="5"/>
      <c r="Q1006" s="5"/>
      <c r="R1006" s="5"/>
      <c r="S1006" s="5"/>
      <c r="T1006" s="5"/>
      <c r="U1006" s="5"/>
      <c r="V1006" s="5"/>
      <c r="Y1006" s="5"/>
      <c r="Z1006" s="5"/>
      <c r="AA1006" s="5"/>
      <c r="AB1006" s="5"/>
      <c r="AC1006" s="5"/>
      <c r="AD1006" s="5"/>
      <c r="AE1006" s="5"/>
      <c r="AF1006" s="5"/>
      <c r="AG1006" s="5"/>
      <c r="AH1006" s="5"/>
      <c r="AI1006" s="5"/>
      <c r="AJ1006" s="5"/>
      <c r="AK1006" s="5"/>
      <c r="AL1006" s="5"/>
      <c r="AM1006" s="5"/>
      <c r="AN1006" s="5"/>
    </row>
    <row r="1007" spans="1:40" ht="18.75" customHeight="1">
      <c r="A1007" s="5"/>
      <c r="B1007" s="5"/>
      <c r="C1007" s="5"/>
      <c r="D1007" s="5"/>
      <c r="E1007" s="5"/>
      <c r="F1007" s="5"/>
      <c r="G1007" s="5"/>
      <c r="H1007" s="5"/>
      <c r="I1007" s="5"/>
      <c r="J1007" s="5"/>
      <c r="K1007" s="5"/>
      <c r="L1007" s="5"/>
      <c r="M1007" s="5"/>
      <c r="N1007" s="5"/>
      <c r="O1007" s="5"/>
      <c r="P1007" s="5"/>
      <c r="Q1007" s="5"/>
      <c r="R1007" s="5"/>
      <c r="S1007" s="5"/>
      <c r="T1007" s="5"/>
      <c r="U1007" s="5"/>
      <c r="V1007" s="5"/>
      <c r="Y1007" s="5"/>
      <c r="Z1007" s="5"/>
      <c r="AA1007" s="5"/>
      <c r="AB1007" s="5"/>
      <c r="AC1007" s="5"/>
      <c r="AD1007" s="5"/>
      <c r="AE1007" s="5"/>
      <c r="AF1007" s="5"/>
      <c r="AG1007" s="5"/>
      <c r="AH1007" s="5"/>
      <c r="AI1007" s="5"/>
      <c r="AJ1007" s="5"/>
      <c r="AK1007" s="5"/>
      <c r="AL1007" s="5"/>
      <c r="AM1007" s="5"/>
      <c r="AN1007" s="5"/>
    </row>
    <row r="1008" spans="1:40" ht="18.75" customHeight="1">
      <c r="A1008" s="5"/>
      <c r="B1008" s="5"/>
      <c r="C1008" s="5"/>
      <c r="D1008" s="5"/>
      <c r="E1008" s="5"/>
      <c r="F1008" s="5"/>
      <c r="G1008" s="5"/>
      <c r="H1008" s="5"/>
      <c r="I1008" s="5"/>
      <c r="J1008" s="5"/>
      <c r="K1008" s="5"/>
      <c r="L1008" s="5"/>
      <c r="M1008" s="5"/>
      <c r="N1008" s="5"/>
      <c r="O1008" s="5"/>
      <c r="P1008" s="5"/>
      <c r="Q1008" s="5"/>
      <c r="R1008" s="5"/>
      <c r="S1008" s="5"/>
      <c r="T1008" s="5"/>
      <c r="U1008" s="5"/>
      <c r="V1008" s="5"/>
      <c r="Y1008" s="5"/>
      <c r="Z1008" s="5"/>
      <c r="AA1008" s="5"/>
      <c r="AB1008" s="5"/>
      <c r="AC1008" s="5"/>
      <c r="AD1008" s="5"/>
      <c r="AE1008" s="5"/>
      <c r="AF1008" s="5"/>
      <c r="AG1008" s="5"/>
      <c r="AH1008" s="5"/>
      <c r="AI1008" s="5"/>
      <c r="AJ1008" s="5"/>
      <c r="AK1008" s="5"/>
      <c r="AL1008" s="5"/>
      <c r="AM1008" s="5"/>
      <c r="AN1008" s="5"/>
    </row>
    <row r="1009" spans="1:40" ht="18.75" customHeight="1">
      <c r="A1009" s="5"/>
      <c r="B1009" s="5"/>
      <c r="C1009" s="5"/>
      <c r="D1009" s="5"/>
      <c r="E1009" s="5"/>
      <c r="F1009" s="5"/>
      <c r="G1009" s="5"/>
      <c r="H1009" s="5"/>
      <c r="I1009" s="5"/>
      <c r="J1009" s="5"/>
      <c r="K1009" s="5"/>
      <c r="L1009" s="5"/>
      <c r="M1009" s="5"/>
      <c r="N1009" s="5"/>
      <c r="O1009" s="5"/>
      <c r="P1009" s="5"/>
      <c r="Q1009" s="5"/>
      <c r="R1009" s="5"/>
      <c r="S1009" s="5"/>
      <c r="T1009" s="5"/>
      <c r="U1009" s="5"/>
      <c r="V1009" s="5"/>
      <c r="Y1009" s="5"/>
      <c r="Z1009" s="5"/>
      <c r="AA1009" s="5"/>
      <c r="AB1009" s="5"/>
      <c r="AC1009" s="5"/>
      <c r="AD1009" s="5"/>
      <c r="AE1009" s="5"/>
      <c r="AF1009" s="5"/>
      <c r="AG1009" s="5"/>
      <c r="AH1009" s="5"/>
      <c r="AI1009" s="5"/>
      <c r="AJ1009" s="5"/>
      <c r="AK1009" s="5"/>
      <c r="AL1009" s="5"/>
      <c r="AM1009" s="5"/>
      <c r="AN1009" s="5"/>
    </row>
    <row r="1010" spans="1:40" ht="18.75" customHeight="1">
      <c r="A1010" s="5"/>
      <c r="B1010" s="5"/>
      <c r="C1010" s="5"/>
      <c r="D1010" s="5"/>
      <c r="E1010" s="5"/>
      <c r="F1010" s="5"/>
      <c r="G1010" s="5"/>
      <c r="H1010" s="5"/>
      <c r="I1010" s="5"/>
      <c r="J1010" s="5"/>
      <c r="K1010" s="5"/>
      <c r="L1010" s="5"/>
      <c r="M1010" s="5"/>
      <c r="N1010" s="5"/>
      <c r="O1010" s="5"/>
      <c r="P1010" s="5"/>
      <c r="Q1010" s="5"/>
      <c r="R1010" s="5"/>
      <c r="S1010" s="5"/>
      <c r="T1010" s="5"/>
      <c r="U1010" s="5"/>
      <c r="V1010" s="5"/>
      <c r="Y1010" s="5"/>
      <c r="Z1010" s="5"/>
      <c r="AA1010" s="5"/>
      <c r="AB1010" s="5"/>
      <c r="AC1010" s="5"/>
      <c r="AD1010" s="5"/>
      <c r="AE1010" s="5"/>
      <c r="AF1010" s="5"/>
      <c r="AG1010" s="5"/>
      <c r="AH1010" s="5"/>
      <c r="AI1010" s="5"/>
      <c r="AJ1010" s="5"/>
      <c r="AK1010" s="5"/>
      <c r="AL1010" s="5"/>
      <c r="AM1010" s="5"/>
      <c r="AN1010" s="5"/>
    </row>
    <row r="1011" spans="1:40" ht="18.75" customHeight="1">
      <c r="A1011" s="5"/>
      <c r="B1011" s="5"/>
      <c r="C1011" s="5"/>
      <c r="D1011" s="5"/>
      <c r="E1011" s="5"/>
      <c r="F1011" s="5"/>
      <c r="G1011" s="5"/>
      <c r="H1011" s="5"/>
      <c r="I1011" s="5"/>
      <c r="J1011" s="5"/>
      <c r="K1011" s="5"/>
      <c r="L1011" s="5"/>
      <c r="M1011" s="5"/>
      <c r="N1011" s="5"/>
      <c r="O1011" s="5"/>
      <c r="P1011" s="5"/>
      <c r="Q1011" s="5"/>
      <c r="R1011" s="5"/>
      <c r="S1011" s="5"/>
      <c r="T1011" s="5"/>
      <c r="U1011" s="5"/>
      <c r="V1011" s="5"/>
      <c r="Y1011" s="5"/>
      <c r="Z1011" s="5"/>
      <c r="AA1011" s="5"/>
      <c r="AB1011" s="5"/>
      <c r="AC1011" s="5"/>
      <c r="AD1011" s="5"/>
      <c r="AE1011" s="5"/>
      <c r="AF1011" s="5"/>
      <c r="AG1011" s="5"/>
      <c r="AH1011" s="5"/>
      <c r="AI1011" s="5"/>
      <c r="AJ1011" s="5"/>
      <c r="AK1011" s="5"/>
      <c r="AL1011" s="5"/>
      <c r="AM1011" s="5"/>
      <c r="AN1011" s="5"/>
    </row>
    <row r="1012" spans="1:40" ht="18.75" customHeight="1">
      <c r="A1012" s="5"/>
      <c r="B1012" s="5"/>
      <c r="C1012" s="5"/>
      <c r="D1012" s="5"/>
      <c r="E1012" s="5"/>
      <c r="F1012" s="5"/>
      <c r="G1012" s="5"/>
      <c r="H1012" s="5"/>
      <c r="I1012" s="5"/>
      <c r="J1012" s="5"/>
      <c r="K1012" s="5"/>
      <c r="L1012" s="5"/>
      <c r="M1012" s="5"/>
      <c r="N1012" s="5"/>
      <c r="O1012" s="5"/>
      <c r="P1012" s="5"/>
      <c r="Q1012" s="5"/>
      <c r="R1012" s="5"/>
      <c r="S1012" s="5"/>
      <c r="T1012" s="5"/>
      <c r="U1012" s="5"/>
      <c r="V1012" s="5"/>
      <c r="Y1012" s="5"/>
      <c r="Z1012" s="5"/>
      <c r="AA1012" s="5"/>
      <c r="AB1012" s="5"/>
      <c r="AC1012" s="5"/>
      <c r="AD1012" s="5"/>
      <c r="AE1012" s="5"/>
      <c r="AF1012" s="5"/>
      <c r="AG1012" s="5"/>
      <c r="AH1012" s="5"/>
      <c r="AI1012" s="5"/>
      <c r="AJ1012" s="5"/>
      <c r="AK1012" s="5"/>
      <c r="AL1012" s="5"/>
      <c r="AM1012" s="5"/>
      <c r="AN1012" s="5"/>
    </row>
    <row r="1013" spans="1:40" ht="18.75" customHeight="1">
      <c r="A1013" s="5"/>
      <c r="B1013" s="5"/>
      <c r="C1013" s="5"/>
      <c r="D1013" s="5"/>
      <c r="E1013" s="5"/>
      <c r="F1013" s="5"/>
      <c r="G1013" s="5"/>
      <c r="H1013" s="5"/>
      <c r="I1013" s="5"/>
      <c r="J1013" s="5"/>
      <c r="K1013" s="5"/>
      <c r="L1013" s="5"/>
      <c r="M1013" s="5"/>
      <c r="N1013" s="5"/>
      <c r="O1013" s="5"/>
      <c r="P1013" s="5"/>
      <c r="Q1013" s="5"/>
      <c r="R1013" s="5"/>
      <c r="S1013" s="5"/>
      <c r="T1013" s="5"/>
      <c r="U1013" s="5"/>
      <c r="V1013" s="5"/>
      <c r="Y1013" s="5"/>
      <c r="Z1013" s="5"/>
      <c r="AA1013" s="5"/>
      <c r="AB1013" s="5"/>
      <c r="AC1013" s="5"/>
      <c r="AD1013" s="5"/>
      <c r="AE1013" s="5"/>
      <c r="AF1013" s="5"/>
      <c r="AG1013" s="5"/>
      <c r="AH1013" s="5"/>
      <c r="AI1013" s="5"/>
      <c r="AJ1013" s="5"/>
      <c r="AK1013" s="5"/>
      <c r="AL1013" s="5"/>
      <c r="AM1013" s="5"/>
      <c r="AN1013" s="5"/>
    </row>
    <row r="1014" spans="1:40" ht="18.75" customHeight="1">
      <c r="A1014" s="5"/>
      <c r="B1014" s="5"/>
      <c r="C1014" s="5"/>
      <c r="D1014" s="5"/>
      <c r="E1014" s="5"/>
      <c r="F1014" s="5"/>
      <c r="G1014" s="5"/>
      <c r="H1014" s="5"/>
      <c r="I1014" s="5"/>
      <c r="J1014" s="5"/>
      <c r="K1014" s="5"/>
      <c r="L1014" s="5"/>
      <c r="M1014" s="5"/>
      <c r="N1014" s="5"/>
      <c r="O1014" s="5"/>
      <c r="P1014" s="5"/>
      <c r="Q1014" s="5"/>
      <c r="R1014" s="5"/>
      <c r="S1014" s="5"/>
      <c r="T1014" s="5"/>
      <c r="U1014" s="5"/>
      <c r="V1014" s="5"/>
      <c r="Y1014" s="5"/>
      <c r="Z1014" s="5"/>
      <c r="AA1014" s="5"/>
      <c r="AB1014" s="5"/>
      <c r="AC1014" s="5"/>
      <c r="AD1014" s="5"/>
      <c r="AE1014" s="5"/>
      <c r="AF1014" s="5"/>
      <c r="AG1014" s="5"/>
      <c r="AH1014" s="5"/>
      <c r="AI1014" s="5"/>
      <c r="AJ1014" s="5"/>
      <c r="AK1014" s="5"/>
      <c r="AL1014" s="5"/>
      <c r="AM1014" s="5"/>
      <c r="AN1014" s="5"/>
    </row>
    <row r="1015" spans="1:40" ht="18.75" customHeight="1">
      <c r="A1015" s="5"/>
      <c r="B1015" s="5"/>
      <c r="C1015" s="5"/>
      <c r="D1015" s="5"/>
      <c r="E1015" s="5"/>
      <c r="F1015" s="5"/>
      <c r="G1015" s="5"/>
      <c r="H1015" s="5"/>
      <c r="I1015" s="5"/>
      <c r="J1015" s="5"/>
      <c r="K1015" s="5"/>
      <c r="L1015" s="5"/>
      <c r="M1015" s="5"/>
      <c r="N1015" s="5"/>
      <c r="O1015" s="5"/>
      <c r="P1015" s="5"/>
      <c r="Q1015" s="5"/>
      <c r="R1015" s="5"/>
      <c r="S1015" s="5"/>
      <c r="T1015" s="5"/>
      <c r="U1015" s="5"/>
      <c r="V1015" s="5"/>
      <c r="Y1015" s="5"/>
      <c r="Z1015" s="5"/>
      <c r="AA1015" s="5"/>
      <c r="AB1015" s="5"/>
      <c r="AC1015" s="5"/>
      <c r="AD1015" s="5"/>
      <c r="AE1015" s="5"/>
      <c r="AF1015" s="5"/>
      <c r="AG1015" s="5"/>
      <c r="AH1015" s="5"/>
      <c r="AI1015" s="5"/>
      <c r="AJ1015" s="5"/>
      <c r="AK1015" s="5"/>
      <c r="AL1015" s="5"/>
      <c r="AM1015" s="5"/>
      <c r="AN1015" s="5"/>
    </row>
    <row r="1016" spans="1:40" ht="18.75" customHeight="1">
      <c r="A1016" s="5"/>
      <c r="B1016" s="5"/>
      <c r="C1016" s="5"/>
      <c r="D1016" s="5"/>
      <c r="E1016" s="5"/>
      <c r="F1016" s="5"/>
      <c r="G1016" s="5"/>
      <c r="H1016" s="5"/>
      <c r="I1016" s="5"/>
      <c r="J1016" s="5"/>
      <c r="K1016" s="5"/>
      <c r="L1016" s="5"/>
      <c r="M1016" s="5"/>
      <c r="N1016" s="5"/>
      <c r="O1016" s="5"/>
      <c r="P1016" s="5"/>
      <c r="Q1016" s="5"/>
      <c r="R1016" s="5"/>
      <c r="S1016" s="5"/>
      <c r="T1016" s="5"/>
      <c r="U1016" s="5"/>
      <c r="V1016" s="5"/>
      <c r="Y1016" s="5"/>
      <c r="Z1016" s="5"/>
      <c r="AA1016" s="5"/>
      <c r="AB1016" s="5"/>
      <c r="AC1016" s="5"/>
      <c r="AD1016" s="5"/>
      <c r="AE1016" s="5"/>
      <c r="AF1016" s="5"/>
      <c r="AG1016" s="5"/>
      <c r="AH1016" s="5"/>
      <c r="AI1016" s="5"/>
      <c r="AJ1016" s="5"/>
      <c r="AK1016" s="5"/>
      <c r="AL1016" s="5"/>
      <c r="AM1016" s="5"/>
      <c r="AN1016" s="5"/>
    </row>
    <row r="1017" spans="1:40" ht="18.75" customHeight="1">
      <c r="A1017" s="5"/>
      <c r="B1017" s="5"/>
      <c r="C1017" s="5"/>
      <c r="D1017" s="5"/>
      <c r="E1017" s="5"/>
      <c r="F1017" s="5"/>
      <c r="G1017" s="5"/>
      <c r="H1017" s="5"/>
      <c r="I1017" s="5"/>
      <c r="J1017" s="5"/>
      <c r="K1017" s="5"/>
      <c r="L1017" s="5"/>
      <c r="M1017" s="5"/>
      <c r="N1017" s="5"/>
      <c r="O1017" s="5"/>
      <c r="P1017" s="5"/>
      <c r="Q1017" s="5"/>
      <c r="R1017" s="5"/>
      <c r="S1017" s="5"/>
      <c r="T1017" s="5"/>
      <c r="U1017" s="5"/>
      <c r="V1017" s="5"/>
      <c r="Y1017" s="5"/>
      <c r="Z1017" s="5"/>
      <c r="AA1017" s="5"/>
      <c r="AB1017" s="5"/>
      <c r="AC1017" s="5"/>
      <c r="AD1017" s="5"/>
      <c r="AE1017" s="5"/>
      <c r="AF1017" s="5"/>
      <c r="AG1017" s="5"/>
      <c r="AH1017" s="5"/>
      <c r="AI1017" s="5"/>
      <c r="AJ1017" s="5"/>
      <c r="AK1017" s="5"/>
      <c r="AL1017" s="5"/>
      <c r="AM1017" s="5"/>
      <c r="AN1017" s="5"/>
    </row>
    <row r="1018" spans="1:40" ht="18.75" customHeight="1">
      <c r="A1018" s="5"/>
      <c r="B1018" s="5"/>
      <c r="C1018" s="5"/>
      <c r="D1018" s="5"/>
      <c r="E1018" s="5"/>
      <c r="F1018" s="5"/>
      <c r="G1018" s="5"/>
      <c r="H1018" s="5"/>
      <c r="I1018" s="5"/>
      <c r="J1018" s="5"/>
      <c r="K1018" s="5"/>
      <c r="L1018" s="5"/>
      <c r="M1018" s="5"/>
      <c r="N1018" s="5"/>
      <c r="O1018" s="5"/>
      <c r="P1018" s="5"/>
      <c r="Q1018" s="5"/>
      <c r="R1018" s="5"/>
      <c r="S1018" s="5"/>
      <c r="T1018" s="5"/>
      <c r="U1018" s="5"/>
      <c r="V1018" s="5"/>
      <c r="Y1018" s="5"/>
      <c r="Z1018" s="5"/>
      <c r="AA1018" s="5"/>
      <c r="AB1018" s="5"/>
      <c r="AC1018" s="5"/>
      <c r="AD1018" s="5"/>
      <c r="AE1018" s="5"/>
      <c r="AF1018" s="5"/>
      <c r="AG1018" s="5"/>
      <c r="AH1018" s="5"/>
      <c r="AI1018" s="5"/>
      <c r="AJ1018" s="5"/>
      <c r="AK1018" s="5"/>
      <c r="AL1018" s="5"/>
      <c r="AM1018" s="5"/>
      <c r="AN1018" s="5"/>
    </row>
    <row r="1019" spans="1:40" ht="18.75" customHeight="1">
      <c r="A1019" s="5"/>
      <c r="B1019" s="5"/>
      <c r="C1019" s="5"/>
      <c r="D1019" s="5"/>
      <c r="E1019" s="5"/>
      <c r="F1019" s="5"/>
      <c r="G1019" s="5"/>
      <c r="H1019" s="5"/>
      <c r="I1019" s="5"/>
      <c r="J1019" s="5"/>
      <c r="K1019" s="5"/>
      <c r="L1019" s="5"/>
      <c r="M1019" s="5"/>
      <c r="N1019" s="5"/>
      <c r="O1019" s="5"/>
      <c r="P1019" s="5"/>
      <c r="Q1019" s="5"/>
      <c r="R1019" s="5"/>
      <c r="S1019" s="5"/>
      <c r="T1019" s="5"/>
      <c r="U1019" s="5"/>
      <c r="V1019" s="5"/>
      <c r="Y1019" s="5"/>
      <c r="Z1019" s="5"/>
      <c r="AA1019" s="5"/>
      <c r="AB1019" s="5"/>
      <c r="AC1019" s="5"/>
      <c r="AD1019" s="5"/>
      <c r="AE1019" s="5"/>
      <c r="AF1019" s="5"/>
      <c r="AG1019" s="5"/>
      <c r="AH1019" s="5"/>
      <c r="AI1019" s="5"/>
      <c r="AJ1019" s="5"/>
      <c r="AK1019" s="5"/>
      <c r="AL1019" s="5"/>
      <c r="AM1019" s="5"/>
      <c r="AN1019" s="5"/>
    </row>
    <row r="1020" spans="1:40" ht="18.75" customHeight="1">
      <c r="A1020" s="5"/>
      <c r="B1020" s="5"/>
      <c r="C1020" s="5"/>
      <c r="D1020" s="5"/>
      <c r="E1020" s="5"/>
      <c r="F1020" s="5"/>
      <c r="G1020" s="5"/>
      <c r="H1020" s="5"/>
      <c r="I1020" s="5"/>
      <c r="J1020" s="5"/>
      <c r="K1020" s="5"/>
      <c r="L1020" s="5"/>
      <c r="M1020" s="5"/>
      <c r="N1020" s="5"/>
      <c r="O1020" s="5"/>
      <c r="P1020" s="5"/>
      <c r="Q1020" s="5"/>
      <c r="R1020" s="5"/>
      <c r="S1020" s="5"/>
      <c r="T1020" s="5"/>
      <c r="U1020" s="5"/>
      <c r="V1020" s="5"/>
      <c r="Y1020" s="5"/>
      <c r="Z1020" s="5"/>
      <c r="AA1020" s="5"/>
      <c r="AB1020" s="5"/>
      <c r="AC1020" s="5"/>
      <c r="AD1020" s="5"/>
      <c r="AE1020" s="5"/>
      <c r="AF1020" s="5"/>
      <c r="AG1020" s="5"/>
      <c r="AH1020" s="5"/>
      <c r="AI1020" s="5"/>
      <c r="AJ1020" s="5"/>
      <c r="AK1020" s="5"/>
      <c r="AL1020" s="5"/>
      <c r="AM1020" s="5"/>
      <c r="AN1020" s="5"/>
    </row>
    <row r="1021" spans="1:40" ht="18.75" customHeight="1">
      <c r="A1021" s="5"/>
      <c r="B1021" s="5"/>
      <c r="C1021" s="5"/>
      <c r="D1021" s="5"/>
      <c r="E1021" s="5"/>
      <c r="F1021" s="5"/>
      <c r="G1021" s="5"/>
      <c r="H1021" s="5"/>
      <c r="I1021" s="5"/>
      <c r="J1021" s="5"/>
      <c r="K1021" s="5"/>
      <c r="L1021" s="5"/>
      <c r="M1021" s="5"/>
      <c r="N1021" s="5"/>
      <c r="O1021" s="5"/>
      <c r="P1021" s="5"/>
      <c r="Q1021" s="5"/>
      <c r="R1021" s="5"/>
      <c r="S1021" s="5"/>
      <c r="T1021" s="5"/>
      <c r="U1021" s="5"/>
      <c r="V1021" s="5"/>
      <c r="Y1021" s="5"/>
      <c r="Z1021" s="5"/>
      <c r="AA1021" s="5"/>
      <c r="AB1021" s="5"/>
      <c r="AC1021" s="5"/>
      <c r="AD1021" s="5"/>
      <c r="AE1021" s="5"/>
      <c r="AF1021" s="5"/>
      <c r="AG1021" s="5"/>
      <c r="AH1021" s="5"/>
      <c r="AI1021" s="5"/>
      <c r="AJ1021" s="5"/>
      <c r="AK1021" s="5"/>
      <c r="AL1021" s="5"/>
      <c r="AM1021" s="5"/>
      <c r="AN1021" s="5"/>
    </row>
    <row r="1022" spans="1:40" ht="18.75" customHeight="1">
      <c r="A1022" s="5"/>
      <c r="B1022" s="5"/>
      <c r="C1022" s="5"/>
      <c r="D1022" s="5"/>
      <c r="E1022" s="5"/>
      <c r="F1022" s="5"/>
      <c r="G1022" s="5"/>
      <c r="H1022" s="5"/>
      <c r="I1022" s="5"/>
      <c r="J1022" s="5"/>
      <c r="K1022" s="5"/>
      <c r="L1022" s="5"/>
      <c r="M1022" s="5"/>
      <c r="N1022" s="5"/>
      <c r="O1022" s="5"/>
      <c r="P1022" s="5"/>
      <c r="Q1022" s="5"/>
      <c r="R1022" s="5"/>
      <c r="S1022" s="5"/>
      <c r="T1022" s="5"/>
      <c r="U1022" s="5"/>
      <c r="V1022" s="5"/>
      <c r="Y1022" s="5"/>
      <c r="Z1022" s="5"/>
      <c r="AA1022" s="5"/>
      <c r="AB1022" s="5"/>
      <c r="AC1022" s="5"/>
      <c r="AD1022" s="5"/>
      <c r="AE1022" s="5"/>
      <c r="AF1022" s="5"/>
      <c r="AG1022" s="5"/>
      <c r="AH1022" s="5"/>
      <c r="AI1022" s="5"/>
      <c r="AJ1022" s="5"/>
      <c r="AK1022" s="5"/>
      <c r="AL1022" s="5"/>
      <c r="AM1022" s="5"/>
      <c r="AN1022" s="5"/>
    </row>
    <row r="1023" spans="1:40" ht="18.75" customHeight="1">
      <c r="A1023" s="5"/>
      <c r="B1023" s="5"/>
      <c r="C1023" s="5"/>
      <c r="D1023" s="5"/>
      <c r="E1023" s="5"/>
      <c r="F1023" s="5"/>
      <c r="G1023" s="5"/>
      <c r="H1023" s="5"/>
      <c r="I1023" s="5"/>
      <c r="J1023" s="5"/>
      <c r="K1023" s="5"/>
      <c r="L1023" s="5"/>
      <c r="M1023" s="5"/>
      <c r="N1023" s="5"/>
      <c r="O1023" s="5"/>
      <c r="P1023" s="5"/>
      <c r="Q1023" s="5"/>
      <c r="R1023" s="5"/>
      <c r="S1023" s="5"/>
      <c r="T1023" s="5"/>
      <c r="U1023" s="5"/>
      <c r="V1023" s="5"/>
      <c r="Y1023" s="5"/>
      <c r="Z1023" s="5"/>
      <c r="AA1023" s="5"/>
      <c r="AB1023" s="5"/>
      <c r="AC1023" s="5"/>
      <c r="AD1023" s="5"/>
      <c r="AE1023" s="5"/>
      <c r="AF1023" s="5"/>
      <c r="AG1023" s="5"/>
      <c r="AH1023" s="5"/>
      <c r="AI1023" s="5"/>
      <c r="AJ1023" s="5"/>
      <c r="AK1023" s="5"/>
      <c r="AL1023" s="5"/>
      <c r="AM1023" s="5"/>
      <c r="AN1023" s="5"/>
    </row>
    <row r="1024" spans="1:40" ht="18.75" customHeight="1">
      <c r="A1024" s="5"/>
      <c r="B1024" s="5"/>
      <c r="C1024" s="5"/>
      <c r="D1024" s="5"/>
      <c r="E1024" s="5"/>
      <c r="F1024" s="5"/>
      <c r="G1024" s="5"/>
      <c r="H1024" s="5"/>
      <c r="I1024" s="5"/>
      <c r="J1024" s="5"/>
      <c r="K1024" s="5"/>
      <c r="L1024" s="5"/>
      <c r="M1024" s="5"/>
      <c r="N1024" s="5"/>
      <c r="O1024" s="5"/>
      <c r="P1024" s="5"/>
      <c r="Q1024" s="5"/>
      <c r="R1024" s="5"/>
      <c r="S1024" s="5"/>
      <c r="T1024" s="5"/>
      <c r="U1024" s="5"/>
      <c r="V1024" s="5"/>
      <c r="Y1024" s="5"/>
      <c r="Z1024" s="5"/>
      <c r="AA1024" s="5"/>
      <c r="AB1024" s="5"/>
      <c r="AC1024" s="5"/>
      <c r="AD1024" s="5"/>
      <c r="AE1024" s="5"/>
      <c r="AF1024" s="5"/>
      <c r="AG1024" s="5"/>
      <c r="AH1024" s="5"/>
      <c r="AI1024" s="5"/>
      <c r="AJ1024" s="5"/>
      <c r="AK1024" s="5"/>
      <c r="AL1024" s="5"/>
      <c r="AM1024" s="5"/>
      <c r="AN1024" s="5"/>
    </row>
    <row r="1025" spans="1:40" ht="18.75" customHeight="1">
      <c r="A1025" s="5"/>
      <c r="B1025" s="5"/>
      <c r="C1025" s="5"/>
      <c r="D1025" s="5"/>
      <c r="E1025" s="5"/>
      <c r="F1025" s="5"/>
      <c r="G1025" s="5"/>
      <c r="H1025" s="5"/>
      <c r="I1025" s="5"/>
      <c r="J1025" s="5"/>
      <c r="K1025" s="5"/>
      <c r="L1025" s="5"/>
      <c r="M1025" s="5"/>
      <c r="N1025" s="5"/>
      <c r="O1025" s="5"/>
      <c r="P1025" s="5"/>
      <c r="Q1025" s="5"/>
      <c r="R1025" s="5"/>
      <c r="S1025" s="5"/>
      <c r="T1025" s="5"/>
      <c r="U1025" s="5"/>
      <c r="V1025" s="5"/>
      <c r="Y1025" s="5"/>
      <c r="Z1025" s="5"/>
      <c r="AA1025" s="5"/>
      <c r="AB1025" s="5"/>
      <c r="AC1025" s="5"/>
      <c r="AD1025" s="5"/>
      <c r="AE1025" s="5"/>
      <c r="AF1025" s="5"/>
      <c r="AG1025" s="5"/>
      <c r="AH1025" s="5"/>
      <c r="AI1025" s="5"/>
      <c r="AJ1025" s="5"/>
      <c r="AK1025" s="5"/>
      <c r="AL1025" s="5"/>
      <c r="AM1025" s="5"/>
      <c r="AN1025" s="5"/>
    </row>
    <row r="1026" spans="1:40" ht="18.75" customHeight="1">
      <c r="A1026" s="5"/>
      <c r="B1026" s="5"/>
      <c r="C1026" s="5"/>
      <c r="D1026" s="5"/>
      <c r="E1026" s="5"/>
      <c r="F1026" s="5"/>
      <c r="G1026" s="5"/>
      <c r="H1026" s="5"/>
      <c r="I1026" s="5"/>
      <c r="J1026" s="5"/>
      <c r="K1026" s="5"/>
      <c r="L1026" s="5"/>
      <c r="M1026" s="5"/>
      <c r="N1026" s="5"/>
      <c r="O1026" s="5"/>
      <c r="P1026" s="5"/>
      <c r="Q1026" s="5"/>
      <c r="R1026" s="5"/>
      <c r="S1026" s="5"/>
      <c r="T1026" s="5"/>
      <c r="U1026" s="5"/>
      <c r="V1026" s="5"/>
      <c r="Y1026" s="5"/>
      <c r="Z1026" s="5"/>
      <c r="AA1026" s="5"/>
      <c r="AB1026" s="5"/>
      <c r="AC1026" s="5"/>
      <c r="AD1026" s="5"/>
      <c r="AE1026" s="5"/>
      <c r="AF1026" s="5"/>
      <c r="AG1026" s="5"/>
      <c r="AH1026" s="5"/>
      <c r="AI1026" s="5"/>
      <c r="AJ1026" s="5"/>
      <c r="AK1026" s="5"/>
      <c r="AL1026" s="5"/>
      <c r="AM1026" s="5"/>
      <c r="AN1026" s="5"/>
    </row>
    <row r="1027" spans="1:40" ht="18.75" customHeight="1">
      <c r="A1027" s="5"/>
      <c r="B1027" s="5"/>
      <c r="C1027" s="5"/>
      <c r="D1027" s="5"/>
      <c r="E1027" s="5"/>
      <c r="F1027" s="5"/>
      <c r="G1027" s="5"/>
      <c r="H1027" s="5"/>
      <c r="I1027" s="5"/>
      <c r="J1027" s="5"/>
      <c r="K1027" s="5"/>
      <c r="L1027" s="5"/>
      <c r="M1027" s="5"/>
      <c r="N1027" s="5"/>
      <c r="O1027" s="5"/>
      <c r="P1027" s="5"/>
      <c r="Q1027" s="5"/>
      <c r="R1027" s="5"/>
      <c r="S1027" s="5"/>
      <c r="T1027" s="5"/>
      <c r="U1027" s="5"/>
      <c r="V1027" s="5"/>
      <c r="Y1027" s="5"/>
      <c r="Z1027" s="5"/>
      <c r="AA1027" s="5"/>
      <c r="AB1027" s="5"/>
      <c r="AC1027" s="5"/>
      <c r="AD1027" s="5"/>
      <c r="AE1027" s="5"/>
      <c r="AF1027" s="5"/>
      <c r="AG1027" s="5"/>
      <c r="AH1027" s="5"/>
      <c r="AI1027" s="5"/>
      <c r="AJ1027" s="5"/>
      <c r="AK1027" s="5"/>
      <c r="AL1027" s="5"/>
      <c r="AM1027" s="5"/>
      <c r="AN1027" s="5"/>
    </row>
    <row r="1028" spans="1:40" ht="18.75" customHeight="1">
      <c r="A1028" s="5"/>
      <c r="B1028" s="5"/>
      <c r="C1028" s="5"/>
      <c r="D1028" s="5"/>
      <c r="E1028" s="5"/>
      <c r="F1028" s="5"/>
      <c r="G1028" s="5"/>
      <c r="H1028" s="5"/>
      <c r="I1028" s="5"/>
      <c r="J1028" s="5"/>
      <c r="K1028" s="5"/>
      <c r="L1028" s="5"/>
      <c r="M1028" s="5"/>
      <c r="N1028" s="5"/>
      <c r="O1028" s="5"/>
      <c r="P1028" s="5"/>
      <c r="Q1028" s="5"/>
      <c r="R1028" s="5"/>
      <c r="S1028" s="5"/>
      <c r="T1028" s="5"/>
      <c r="U1028" s="5"/>
      <c r="V1028" s="5"/>
      <c r="Y1028" s="5"/>
      <c r="Z1028" s="5"/>
      <c r="AA1028" s="5"/>
      <c r="AB1028" s="5"/>
      <c r="AC1028" s="5"/>
      <c r="AD1028" s="5"/>
      <c r="AE1028" s="5"/>
      <c r="AF1028" s="5"/>
      <c r="AG1028" s="5"/>
      <c r="AH1028" s="5"/>
      <c r="AI1028" s="5"/>
      <c r="AJ1028" s="5"/>
      <c r="AK1028" s="5"/>
      <c r="AL1028" s="5"/>
      <c r="AM1028" s="5"/>
      <c r="AN1028" s="5"/>
    </row>
    <row r="1029" spans="1:40" ht="18.75" customHeight="1">
      <c r="A1029" s="5"/>
      <c r="B1029" s="5"/>
      <c r="C1029" s="5"/>
      <c r="D1029" s="5"/>
      <c r="E1029" s="5"/>
      <c r="F1029" s="5"/>
      <c r="G1029" s="5"/>
      <c r="H1029" s="5"/>
      <c r="I1029" s="5"/>
      <c r="J1029" s="5"/>
      <c r="K1029" s="5"/>
      <c r="L1029" s="5"/>
      <c r="M1029" s="5"/>
      <c r="N1029" s="5"/>
      <c r="O1029" s="5"/>
      <c r="P1029" s="5"/>
      <c r="Q1029" s="5"/>
      <c r="R1029" s="5"/>
      <c r="S1029" s="5"/>
      <c r="T1029" s="5"/>
      <c r="U1029" s="5"/>
      <c r="V1029" s="5"/>
      <c r="Y1029" s="5"/>
      <c r="Z1029" s="5"/>
      <c r="AA1029" s="5"/>
      <c r="AB1029" s="5"/>
      <c r="AC1029" s="5"/>
      <c r="AD1029" s="5"/>
      <c r="AE1029" s="5"/>
      <c r="AF1029" s="5"/>
      <c r="AG1029" s="5"/>
      <c r="AH1029" s="5"/>
      <c r="AI1029" s="5"/>
      <c r="AJ1029" s="5"/>
      <c r="AK1029" s="5"/>
      <c r="AL1029" s="5"/>
      <c r="AM1029" s="5"/>
      <c r="AN1029" s="5"/>
    </row>
    <row r="1030" spans="1:40" ht="18.75" customHeight="1">
      <c r="A1030" s="5"/>
      <c r="B1030" s="5"/>
      <c r="C1030" s="5"/>
      <c r="D1030" s="5"/>
      <c r="E1030" s="5"/>
      <c r="F1030" s="5"/>
      <c r="G1030" s="5"/>
      <c r="H1030" s="5"/>
      <c r="I1030" s="5"/>
      <c r="J1030" s="5"/>
      <c r="K1030" s="5"/>
      <c r="L1030" s="5"/>
      <c r="M1030" s="5"/>
      <c r="N1030" s="5"/>
      <c r="O1030" s="5"/>
      <c r="P1030" s="5"/>
      <c r="Q1030" s="5"/>
      <c r="R1030" s="5"/>
      <c r="S1030" s="5"/>
      <c r="T1030" s="5"/>
      <c r="U1030" s="5"/>
      <c r="V1030" s="5"/>
      <c r="Y1030" s="5"/>
      <c r="Z1030" s="5"/>
      <c r="AA1030" s="5"/>
      <c r="AB1030" s="5"/>
      <c r="AC1030" s="5"/>
      <c r="AD1030" s="5"/>
      <c r="AE1030" s="5"/>
      <c r="AF1030" s="5"/>
      <c r="AG1030" s="5"/>
      <c r="AH1030" s="5"/>
      <c r="AI1030" s="5"/>
      <c r="AJ1030" s="5"/>
      <c r="AK1030" s="5"/>
      <c r="AL1030" s="5"/>
      <c r="AM1030" s="5"/>
      <c r="AN1030" s="5"/>
    </row>
    <row r="1031" spans="1:40" ht="18.75" customHeight="1">
      <c r="A1031" s="5"/>
      <c r="B1031" s="5"/>
      <c r="C1031" s="5"/>
      <c r="D1031" s="5"/>
      <c r="E1031" s="5"/>
      <c r="F1031" s="5"/>
      <c r="G1031" s="5"/>
      <c r="H1031" s="5"/>
      <c r="I1031" s="5"/>
      <c r="J1031" s="5"/>
      <c r="K1031" s="5"/>
      <c r="L1031" s="5"/>
      <c r="M1031" s="5"/>
      <c r="N1031" s="5"/>
      <c r="O1031" s="5"/>
      <c r="P1031" s="5"/>
      <c r="Q1031" s="5"/>
      <c r="R1031" s="5"/>
      <c r="S1031" s="5"/>
      <c r="T1031" s="5"/>
      <c r="U1031" s="5"/>
      <c r="V1031" s="5"/>
      <c r="Y1031" s="5"/>
      <c r="Z1031" s="5"/>
      <c r="AA1031" s="5"/>
      <c r="AB1031" s="5"/>
      <c r="AC1031" s="5"/>
      <c r="AD1031" s="5"/>
      <c r="AE1031" s="5"/>
      <c r="AF1031" s="5"/>
      <c r="AG1031" s="5"/>
      <c r="AH1031" s="5"/>
      <c r="AI1031" s="5"/>
      <c r="AJ1031" s="5"/>
      <c r="AK1031" s="5"/>
      <c r="AL1031" s="5"/>
      <c r="AM1031" s="5"/>
      <c r="AN1031" s="5"/>
    </row>
    <row r="1032" spans="1:40" ht="18.75" customHeight="1">
      <c r="A1032" s="5"/>
      <c r="B1032" s="5"/>
      <c r="C1032" s="5"/>
      <c r="D1032" s="5"/>
      <c r="E1032" s="5"/>
      <c r="F1032" s="5"/>
      <c r="G1032" s="5"/>
      <c r="H1032" s="5"/>
      <c r="I1032" s="5"/>
      <c r="J1032" s="5"/>
      <c r="K1032" s="5"/>
      <c r="L1032" s="5"/>
      <c r="M1032" s="5"/>
      <c r="N1032" s="5"/>
      <c r="O1032" s="5"/>
      <c r="P1032" s="5"/>
      <c r="Q1032" s="5"/>
      <c r="R1032" s="5"/>
      <c r="S1032" s="5"/>
      <c r="T1032" s="5"/>
      <c r="U1032" s="5"/>
      <c r="V1032" s="5"/>
      <c r="Y1032" s="5"/>
      <c r="Z1032" s="5"/>
      <c r="AA1032" s="5"/>
      <c r="AB1032" s="5"/>
      <c r="AC1032" s="5"/>
      <c r="AD1032" s="5"/>
      <c r="AE1032" s="5"/>
      <c r="AF1032" s="5"/>
      <c r="AG1032" s="5"/>
      <c r="AH1032" s="5"/>
      <c r="AI1032" s="5"/>
      <c r="AJ1032" s="5"/>
      <c r="AK1032" s="5"/>
      <c r="AL1032" s="5"/>
      <c r="AM1032" s="5"/>
      <c r="AN1032" s="5"/>
    </row>
    <row r="1033" spans="1:40" ht="18.75" customHeight="1">
      <c r="A1033" s="5"/>
      <c r="B1033" s="5"/>
      <c r="C1033" s="5"/>
      <c r="D1033" s="5"/>
      <c r="E1033" s="5"/>
      <c r="F1033" s="5"/>
      <c r="G1033" s="5"/>
      <c r="H1033" s="5"/>
      <c r="I1033" s="5"/>
      <c r="J1033" s="5"/>
      <c r="K1033" s="5"/>
      <c r="L1033" s="5"/>
      <c r="M1033" s="5"/>
      <c r="N1033" s="5"/>
      <c r="O1033" s="5"/>
      <c r="P1033" s="5"/>
      <c r="Q1033" s="5"/>
      <c r="R1033" s="5"/>
      <c r="S1033" s="5"/>
      <c r="T1033" s="5"/>
      <c r="U1033" s="5"/>
      <c r="V1033" s="5"/>
      <c r="Y1033" s="5"/>
      <c r="Z1033" s="5"/>
      <c r="AA1033" s="5"/>
      <c r="AB1033" s="5"/>
      <c r="AC1033" s="5"/>
      <c r="AD1033" s="5"/>
      <c r="AE1033" s="5"/>
      <c r="AF1033" s="5"/>
      <c r="AG1033" s="5"/>
      <c r="AH1033" s="5"/>
      <c r="AI1033" s="5"/>
      <c r="AJ1033" s="5"/>
      <c r="AK1033" s="5"/>
      <c r="AL1033" s="5"/>
      <c r="AM1033" s="5"/>
      <c r="AN1033" s="5"/>
    </row>
    <row r="1034" spans="1:40" ht="18.75" customHeight="1">
      <c r="A1034" s="5"/>
      <c r="B1034" s="5"/>
      <c r="C1034" s="5"/>
      <c r="D1034" s="5"/>
      <c r="E1034" s="5"/>
      <c r="F1034" s="5"/>
      <c r="G1034" s="5"/>
      <c r="H1034" s="5"/>
      <c r="I1034" s="5"/>
      <c r="J1034" s="5"/>
      <c r="K1034" s="5"/>
      <c r="L1034" s="5"/>
      <c r="M1034" s="5"/>
      <c r="N1034" s="5"/>
      <c r="O1034" s="5"/>
      <c r="P1034" s="5"/>
      <c r="Q1034" s="5"/>
      <c r="R1034" s="5"/>
      <c r="S1034" s="5"/>
      <c r="T1034" s="5"/>
      <c r="U1034" s="5"/>
      <c r="V1034" s="5"/>
      <c r="Y1034" s="5"/>
      <c r="Z1034" s="5"/>
      <c r="AA1034" s="5"/>
      <c r="AB1034" s="5"/>
      <c r="AC1034" s="5"/>
      <c r="AD1034" s="5"/>
      <c r="AE1034" s="5"/>
      <c r="AF1034" s="5"/>
      <c r="AG1034" s="5"/>
      <c r="AH1034" s="5"/>
      <c r="AI1034" s="5"/>
      <c r="AJ1034" s="5"/>
      <c r="AK1034" s="5"/>
      <c r="AL1034" s="5"/>
      <c r="AM1034" s="5"/>
      <c r="AN1034" s="5"/>
    </row>
    <row r="1035" spans="1:40" ht="18.75" customHeight="1">
      <c r="A1035" s="5"/>
      <c r="B1035" s="5"/>
      <c r="C1035" s="5"/>
      <c r="D1035" s="5"/>
      <c r="E1035" s="5"/>
      <c r="F1035" s="5"/>
      <c r="G1035" s="5"/>
      <c r="H1035" s="5"/>
      <c r="I1035" s="5"/>
      <c r="J1035" s="5"/>
      <c r="K1035" s="5"/>
      <c r="L1035" s="5"/>
      <c r="M1035" s="5"/>
      <c r="N1035" s="5"/>
      <c r="O1035" s="5"/>
      <c r="P1035" s="5"/>
      <c r="Q1035" s="5"/>
      <c r="R1035" s="5"/>
      <c r="S1035" s="5"/>
      <c r="T1035" s="5"/>
      <c r="U1035" s="5"/>
      <c r="V1035" s="5"/>
      <c r="Y1035" s="5"/>
      <c r="Z1035" s="5"/>
      <c r="AA1035" s="5"/>
      <c r="AB1035" s="5"/>
      <c r="AC1035" s="5"/>
      <c r="AD1035" s="5"/>
      <c r="AE1035" s="5"/>
      <c r="AF1035" s="5"/>
      <c r="AG1035" s="5"/>
      <c r="AH1035" s="5"/>
      <c r="AI1035" s="5"/>
      <c r="AJ1035" s="5"/>
      <c r="AK1035" s="5"/>
      <c r="AL1035" s="5"/>
      <c r="AM1035" s="5"/>
      <c r="AN1035" s="5"/>
    </row>
    <row r="1036" spans="1:40" ht="18.75" customHeight="1">
      <c r="A1036" s="5"/>
      <c r="B1036" s="5"/>
      <c r="C1036" s="5"/>
      <c r="D1036" s="5"/>
      <c r="E1036" s="5"/>
      <c r="F1036" s="5"/>
      <c r="G1036" s="5"/>
      <c r="H1036" s="5"/>
      <c r="I1036" s="5"/>
      <c r="J1036" s="5"/>
      <c r="K1036" s="5"/>
      <c r="L1036" s="5"/>
      <c r="M1036" s="5"/>
      <c r="N1036" s="5"/>
      <c r="O1036" s="5"/>
      <c r="P1036" s="5"/>
      <c r="Q1036" s="5"/>
      <c r="R1036" s="5"/>
      <c r="S1036" s="5"/>
      <c r="T1036" s="5"/>
      <c r="U1036" s="5"/>
      <c r="V1036" s="5"/>
      <c r="Y1036" s="5"/>
      <c r="Z1036" s="5"/>
      <c r="AA1036" s="5"/>
      <c r="AB1036" s="5"/>
      <c r="AC1036" s="5"/>
      <c r="AD1036" s="5"/>
      <c r="AE1036" s="5"/>
      <c r="AF1036" s="5"/>
      <c r="AG1036" s="5"/>
      <c r="AH1036" s="5"/>
      <c r="AI1036" s="5"/>
      <c r="AJ1036" s="5"/>
      <c r="AK1036" s="5"/>
      <c r="AL1036" s="5"/>
      <c r="AM1036" s="5"/>
      <c r="AN1036" s="5"/>
    </row>
    <row r="1037" spans="1:40" ht="18.75" customHeight="1">
      <c r="A1037" s="5"/>
      <c r="B1037" s="5"/>
      <c r="C1037" s="5"/>
      <c r="D1037" s="5"/>
      <c r="E1037" s="5"/>
      <c r="F1037" s="5"/>
      <c r="G1037" s="5"/>
      <c r="H1037" s="5"/>
      <c r="I1037" s="5"/>
      <c r="J1037" s="5"/>
      <c r="K1037" s="5"/>
      <c r="L1037" s="5"/>
      <c r="M1037" s="5"/>
      <c r="N1037" s="5"/>
      <c r="O1037" s="5"/>
      <c r="P1037" s="5"/>
      <c r="Q1037" s="5"/>
      <c r="R1037" s="5"/>
      <c r="S1037" s="5"/>
      <c r="T1037" s="5"/>
      <c r="U1037" s="5"/>
      <c r="V1037" s="5"/>
      <c r="Y1037" s="5"/>
      <c r="Z1037" s="5"/>
      <c r="AA1037" s="5"/>
      <c r="AB1037" s="5"/>
      <c r="AC1037" s="5"/>
      <c r="AD1037" s="5"/>
      <c r="AE1037" s="5"/>
      <c r="AF1037" s="5"/>
      <c r="AG1037" s="5"/>
      <c r="AH1037" s="5"/>
      <c r="AI1037" s="5"/>
      <c r="AJ1037" s="5"/>
      <c r="AK1037" s="5"/>
      <c r="AL1037" s="5"/>
      <c r="AM1037" s="5"/>
      <c r="AN1037" s="5"/>
    </row>
    <row r="1038" spans="1:40" ht="18.75" customHeight="1">
      <c r="A1038" s="5"/>
      <c r="B1038" s="5"/>
      <c r="C1038" s="5"/>
      <c r="D1038" s="5"/>
      <c r="E1038" s="5"/>
      <c r="F1038" s="5"/>
      <c r="G1038" s="5"/>
      <c r="H1038" s="5"/>
      <c r="I1038" s="5"/>
      <c r="J1038" s="5"/>
      <c r="K1038" s="5"/>
      <c r="L1038" s="5"/>
      <c r="M1038" s="5"/>
      <c r="N1038" s="5"/>
      <c r="O1038" s="5"/>
      <c r="P1038" s="5"/>
      <c r="Q1038" s="5"/>
      <c r="R1038" s="5"/>
      <c r="S1038" s="5"/>
      <c r="T1038" s="5"/>
      <c r="U1038" s="5"/>
      <c r="V1038" s="5"/>
      <c r="Y1038" s="5"/>
      <c r="Z1038" s="5"/>
      <c r="AA1038" s="5"/>
      <c r="AB1038" s="5"/>
      <c r="AC1038" s="5"/>
      <c r="AD1038" s="5"/>
      <c r="AE1038" s="5"/>
      <c r="AF1038" s="5"/>
      <c r="AG1038" s="5"/>
      <c r="AH1038" s="5"/>
      <c r="AI1038" s="5"/>
      <c r="AJ1038" s="5"/>
      <c r="AK1038" s="5"/>
      <c r="AL1038" s="5"/>
      <c r="AM1038" s="5"/>
      <c r="AN1038" s="5"/>
    </row>
    <row r="1039" spans="1:40" ht="18.75" customHeight="1">
      <c r="A1039" s="5"/>
      <c r="B1039" s="5"/>
      <c r="C1039" s="5"/>
      <c r="D1039" s="5"/>
      <c r="E1039" s="5"/>
      <c r="F1039" s="5"/>
      <c r="G1039" s="5"/>
      <c r="H1039" s="5"/>
      <c r="I1039" s="5"/>
      <c r="J1039" s="5"/>
      <c r="K1039" s="5"/>
      <c r="L1039" s="5"/>
      <c r="M1039" s="5"/>
      <c r="N1039" s="5"/>
      <c r="O1039" s="5"/>
      <c r="P1039" s="5"/>
      <c r="Q1039" s="5"/>
      <c r="R1039" s="5"/>
      <c r="S1039" s="5"/>
      <c r="T1039" s="5"/>
      <c r="U1039" s="5"/>
      <c r="V1039" s="5"/>
      <c r="Y1039" s="5"/>
      <c r="Z1039" s="5"/>
      <c r="AA1039" s="5"/>
      <c r="AB1039" s="5"/>
      <c r="AC1039" s="5"/>
      <c r="AD1039" s="5"/>
      <c r="AE1039" s="5"/>
      <c r="AF1039" s="5"/>
      <c r="AG1039" s="5"/>
      <c r="AH1039" s="5"/>
      <c r="AI1039" s="5"/>
      <c r="AJ1039" s="5"/>
      <c r="AK1039" s="5"/>
      <c r="AL1039" s="5"/>
      <c r="AM1039" s="5"/>
      <c r="AN1039" s="5"/>
    </row>
    <row r="1040" spans="1:40" ht="18.75" customHeight="1">
      <c r="A1040" s="5"/>
      <c r="B1040" s="5"/>
      <c r="C1040" s="5"/>
      <c r="D1040" s="5"/>
      <c r="E1040" s="5"/>
      <c r="F1040" s="5"/>
      <c r="G1040" s="5"/>
      <c r="H1040" s="5"/>
      <c r="I1040" s="5"/>
      <c r="J1040" s="5"/>
      <c r="K1040" s="5"/>
      <c r="L1040" s="5"/>
      <c r="M1040" s="5"/>
      <c r="N1040" s="5"/>
      <c r="O1040" s="5"/>
      <c r="P1040" s="5"/>
      <c r="Q1040" s="5"/>
      <c r="R1040" s="5"/>
      <c r="S1040" s="5"/>
      <c r="T1040" s="5"/>
      <c r="U1040" s="5"/>
      <c r="V1040" s="5"/>
      <c r="Y1040" s="5"/>
      <c r="Z1040" s="5"/>
      <c r="AA1040" s="5"/>
      <c r="AB1040" s="5"/>
      <c r="AC1040" s="5"/>
      <c r="AD1040" s="5"/>
      <c r="AE1040" s="5"/>
      <c r="AF1040" s="5"/>
      <c r="AG1040" s="5"/>
      <c r="AH1040" s="5"/>
      <c r="AI1040" s="5"/>
      <c r="AJ1040" s="5"/>
      <c r="AK1040" s="5"/>
      <c r="AL1040" s="5"/>
      <c r="AM1040" s="5"/>
      <c r="AN1040" s="5"/>
    </row>
    <row r="1041" spans="1:40" ht="18.75" customHeight="1">
      <c r="A1041" s="5"/>
      <c r="B1041" s="5"/>
      <c r="C1041" s="5"/>
      <c r="D1041" s="5"/>
      <c r="E1041" s="5"/>
      <c r="F1041" s="5"/>
      <c r="G1041" s="5"/>
      <c r="H1041" s="5"/>
      <c r="I1041" s="5"/>
      <c r="J1041" s="5"/>
      <c r="K1041" s="5"/>
      <c r="L1041" s="5"/>
      <c r="M1041" s="5"/>
      <c r="N1041" s="5"/>
      <c r="O1041" s="5"/>
      <c r="P1041" s="5"/>
      <c r="Q1041" s="5"/>
      <c r="R1041" s="5"/>
      <c r="S1041" s="5"/>
      <c r="T1041" s="5"/>
      <c r="U1041" s="5"/>
      <c r="V1041" s="5"/>
      <c r="Y1041" s="5"/>
      <c r="Z1041" s="5"/>
      <c r="AA1041" s="5"/>
      <c r="AB1041" s="5"/>
      <c r="AC1041" s="5"/>
      <c r="AD1041" s="5"/>
      <c r="AE1041" s="5"/>
      <c r="AF1041" s="5"/>
      <c r="AG1041" s="5"/>
      <c r="AH1041" s="5"/>
      <c r="AI1041" s="5"/>
      <c r="AJ1041" s="5"/>
      <c r="AK1041" s="5"/>
      <c r="AL1041" s="5"/>
      <c r="AM1041" s="5"/>
      <c r="AN1041" s="5"/>
    </row>
    <row r="1042" spans="1:40" ht="18.75" customHeight="1">
      <c r="A1042" s="5"/>
      <c r="B1042" s="5"/>
      <c r="C1042" s="5"/>
      <c r="D1042" s="5"/>
      <c r="E1042" s="5"/>
      <c r="F1042" s="5"/>
      <c r="G1042" s="5"/>
      <c r="H1042" s="5"/>
      <c r="I1042" s="5"/>
      <c r="J1042" s="5"/>
      <c r="K1042" s="5"/>
      <c r="L1042" s="5"/>
      <c r="M1042" s="5"/>
      <c r="N1042" s="5"/>
      <c r="O1042" s="5"/>
      <c r="P1042" s="5"/>
      <c r="Q1042" s="5"/>
      <c r="R1042" s="5"/>
      <c r="S1042" s="5"/>
      <c r="T1042" s="5"/>
      <c r="U1042" s="5"/>
      <c r="V1042" s="5"/>
      <c r="Y1042" s="5"/>
      <c r="Z1042" s="5"/>
      <c r="AA1042" s="5"/>
      <c r="AB1042" s="5"/>
      <c r="AC1042" s="5"/>
      <c r="AD1042" s="5"/>
      <c r="AE1042" s="5"/>
      <c r="AF1042" s="5"/>
      <c r="AG1042" s="5"/>
      <c r="AH1042" s="5"/>
      <c r="AI1042" s="5"/>
      <c r="AJ1042" s="5"/>
      <c r="AK1042" s="5"/>
      <c r="AL1042" s="5"/>
      <c r="AM1042" s="5"/>
      <c r="AN1042" s="5"/>
    </row>
    <row r="1043" spans="1:40" ht="18.75" customHeight="1">
      <c r="A1043" s="5"/>
      <c r="B1043" s="5"/>
      <c r="C1043" s="5"/>
      <c r="D1043" s="5"/>
      <c r="E1043" s="5"/>
      <c r="F1043" s="5"/>
      <c r="G1043" s="5"/>
      <c r="H1043" s="5"/>
      <c r="I1043" s="5"/>
      <c r="J1043" s="5"/>
      <c r="K1043" s="5"/>
      <c r="L1043" s="5"/>
      <c r="M1043" s="5"/>
      <c r="N1043" s="5"/>
      <c r="O1043" s="5"/>
      <c r="P1043" s="5"/>
      <c r="Q1043" s="5"/>
      <c r="R1043" s="5"/>
      <c r="S1043" s="5"/>
      <c r="T1043" s="5"/>
      <c r="U1043" s="5"/>
      <c r="V1043" s="5"/>
      <c r="Y1043" s="5"/>
      <c r="Z1043" s="5"/>
      <c r="AA1043" s="5"/>
      <c r="AB1043" s="5"/>
      <c r="AC1043" s="5"/>
      <c r="AD1043" s="5"/>
      <c r="AE1043" s="5"/>
      <c r="AF1043" s="5"/>
      <c r="AG1043" s="5"/>
      <c r="AH1043" s="5"/>
      <c r="AI1043" s="5"/>
      <c r="AJ1043" s="5"/>
      <c r="AK1043" s="5"/>
      <c r="AL1043" s="5"/>
      <c r="AM1043" s="5"/>
      <c r="AN1043" s="5"/>
    </row>
    <row r="1044" spans="1:40" ht="18.75" customHeight="1">
      <c r="A1044" s="5"/>
      <c r="B1044" s="5"/>
      <c r="C1044" s="5"/>
      <c r="D1044" s="5"/>
      <c r="E1044" s="5"/>
      <c r="F1044" s="5"/>
      <c r="G1044" s="5"/>
      <c r="H1044" s="5"/>
      <c r="I1044" s="5"/>
      <c r="J1044" s="5"/>
      <c r="K1044" s="5"/>
      <c r="L1044" s="5"/>
      <c r="M1044" s="5"/>
      <c r="N1044" s="5"/>
      <c r="O1044" s="5"/>
      <c r="P1044" s="5"/>
      <c r="Q1044" s="5"/>
      <c r="R1044" s="5"/>
      <c r="S1044" s="5"/>
      <c r="T1044" s="5"/>
      <c r="U1044" s="5"/>
      <c r="V1044" s="5"/>
      <c r="Y1044" s="5"/>
      <c r="Z1044" s="5"/>
      <c r="AA1044" s="5"/>
      <c r="AB1044" s="5"/>
      <c r="AC1044" s="5"/>
      <c r="AD1044" s="5"/>
      <c r="AE1044" s="5"/>
      <c r="AF1044" s="5"/>
      <c r="AG1044" s="5"/>
      <c r="AH1044" s="5"/>
      <c r="AI1044" s="5"/>
      <c r="AJ1044" s="5"/>
      <c r="AK1044" s="5"/>
      <c r="AL1044" s="5"/>
      <c r="AM1044" s="5"/>
      <c r="AN1044" s="5"/>
    </row>
    <row r="1045" spans="1:40" ht="18.75" customHeight="1">
      <c r="A1045" s="5"/>
      <c r="B1045" s="5"/>
      <c r="C1045" s="5"/>
      <c r="D1045" s="5"/>
      <c r="E1045" s="5"/>
      <c r="F1045" s="5"/>
      <c r="G1045" s="5"/>
      <c r="H1045" s="5"/>
      <c r="I1045" s="5"/>
      <c r="J1045" s="5"/>
      <c r="K1045" s="5"/>
      <c r="L1045" s="5"/>
      <c r="M1045" s="5"/>
      <c r="N1045" s="5"/>
      <c r="O1045" s="5"/>
      <c r="P1045" s="5"/>
      <c r="Q1045" s="5"/>
      <c r="R1045" s="5"/>
      <c r="S1045" s="5"/>
      <c r="T1045" s="5"/>
      <c r="U1045" s="5"/>
      <c r="V1045" s="5"/>
      <c r="Y1045" s="5"/>
      <c r="Z1045" s="5"/>
      <c r="AA1045" s="5"/>
      <c r="AB1045" s="5"/>
      <c r="AC1045" s="5"/>
      <c r="AD1045" s="5"/>
      <c r="AE1045" s="5"/>
      <c r="AF1045" s="5"/>
      <c r="AG1045" s="5"/>
      <c r="AH1045" s="5"/>
      <c r="AI1045" s="5"/>
      <c r="AJ1045" s="5"/>
      <c r="AK1045" s="5"/>
      <c r="AL1045" s="5"/>
      <c r="AM1045" s="5"/>
      <c r="AN1045" s="5"/>
    </row>
    <row r="1046" spans="1:40" ht="18.75" customHeight="1">
      <c r="A1046" s="5"/>
      <c r="B1046" s="5"/>
      <c r="C1046" s="5"/>
      <c r="D1046" s="5"/>
      <c r="E1046" s="5"/>
      <c r="F1046" s="5"/>
      <c r="G1046" s="5"/>
      <c r="H1046" s="5"/>
      <c r="I1046" s="5"/>
      <c r="J1046" s="5"/>
      <c r="K1046" s="5"/>
      <c r="L1046" s="5"/>
      <c r="M1046" s="5"/>
      <c r="N1046" s="5"/>
      <c r="O1046" s="5"/>
      <c r="P1046" s="5"/>
      <c r="Q1046" s="5"/>
      <c r="R1046" s="5"/>
      <c r="S1046" s="5"/>
      <c r="T1046" s="5"/>
      <c r="U1046" s="5"/>
      <c r="V1046" s="5"/>
      <c r="Y1046" s="5"/>
      <c r="Z1046" s="5"/>
      <c r="AA1046" s="5"/>
      <c r="AB1046" s="5"/>
      <c r="AC1046" s="5"/>
      <c r="AD1046" s="5"/>
      <c r="AE1046" s="5"/>
      <c r="AF1046" s="5"/>
      <c r="AG1046" s="5"/>
      <c r="AH1046" s="5"/>
      <c r="AI1046" s="5"/>
      <c r="AJ1046" s="5"/>
      <c r="AK1046" s="5"/>
      <c r="AL1046" s="5"/>
      <c r="AM1046" s="5"/>
      <c r="AN1046" s="5"/>
    </row>
    <row r="1047" spans="1:40" ht="18.75" customHeight="1">
      <c r="A1047" s="5"/>
      <c r="B1047" s="5"/>
      <c r="C1047" s="5"/>
      <c r="D1047" s="5"/>
      <c r="E1047" s="5"/>
      <c r="F1047" s="5"/>
      <c r="G1047" s="5"/>
      <c r="H1047" s="5"/>
      <c r="I1047" s="5"/>
      <c r="J1047" s="5"/>
      <c r="K1047" s="5"/>
      <c r="L1047" s="5"/>
      <c r="M1047" s="5"/>
      <c r="N1047" s="5"/>
      <c r="O1047" s="5"/>
      <c r="P1047" s="5"/>
      <c r="Q1047" s="5"/>
      <c r="R1047" s="5"/>
      <c r="S1047" s="5"/>
      <c r="T1047" s="5"/>
      <c r="U1047" s="5"/>
      <c r="V1047" s="5"/>
      <c r="Y1047" s="5"/>
      <c r="Z1047" s="5"/>
      <c r="AA1047" s="5"/>
      <c r="AB1047" s="5"/>
      <c r="AC1047" s="5"/>
      <c r="AD1047" s="5"/>
      <c r="AE1047" s="5"/>
      <c r="AF1047" s="5"/>
      <c r="AG1047" s="5"/>
      <c r="AH1047" s="5"/>
      <c r="AI1047" s="5"/>
      <c r="AJ1047" s="5"/>
      <c r="AK1047" s="5"/>
      <c r="AL1047" s="5"/>
      <c r="AM1047" s="5"/>
      <c r="AN1047" s="5"/>
    </row>
    <row r="1048" spans="1:40" ht="18.75" customHeight="1">
      <c r="A1048" s="5"/>
      <c r="B1048" s="5"/>
      <c r="C1048" s="5"/>
      <c r="D1048" s="5"/>
      <c r="E1048" s="5"/>
      <c r="F1048" s="5"/>
      <c r="G1048" s="5"/>
      <c r="H1048" s="5"/>
      <c r="I1048" s="5"/>
      <c r="J1048" s="5"/>
      <c r="K1048" s="5"/>
      <c r="L1048" s="5"/>
      <c r="M1048" s="5"/>
      <c r="N1048" s="5"/>
      <c r="O1048" s="5"/>
      <c r="P1048" s="5"/>
      <c r="Q1048" s="5"/>
      <c r="R1048" s="5"/>
      <c r="S1048" s="5"/>
      <c r="T1048" s="5"/>
      <c r="U1048" s="5"/>
      <c r="V1048" s="5"/>
      <c r="Y1048" s="5"/>
      <c r="Z1048" s="5"/>
      <c r="AA1048" s="5"/>
      <c r="AB1048" s="5"/>
      <c r="AC1048" s="5"/>
      <c r="AD1048" s="5"/>
      <c r="AE1048" s="5"/>
      <c r="AF1048" s="5"/>
      <c r="AG1048" s="5"/>
      <c r="AH1048" s="5"/>
      <c r="AI1048" s="5"/>
      <c r="AJ1048" s="5"/>
      <c r="AK1048" s="5"/>
      <c r="AL1048" s="5"/>
      <c r="AM1048" s="5"/>
      <c r="AN1048" s="5"/>
    </row>
    <row r="1049" spans="1:40" ht="18.75" customHeight="1">
      <c r="A1049" s="5"/>
      <c r="B1049" s="5"/>
      <c r="C1049" s="5"/>
      <c r="D1049" s="5"/>
      <c r="E1049" s="5"/>
      <c r="F1049" s="5"/>
      <c r="G1049" s="5"/>
      <c r="H1049" s="5"/>
      <c r="I1049" s="5"/>
      <c r="J1049" s="5"/>
      <c r="K1049" s="5"/>
      <c r="L1049" s="5"/>
      <c r="M1049" s="5"/>
      <c r="N1049" s="5"/>
      <c r="O1049" s="5"/>
      <c r="P1049" s="5"/>
      <c r="Q1049" s="5"/>
      <c r="R1049" s="5"/>
      <c r="S1049" s="5"/>
      <c r="T1049" s="5"/>
      <c r="U1049" s="5"/>
      <c r="V1049" s="5"/>
      <c r="Y1049" s="5"/>
      <c r="Z1049" s="5"/>
      <c r="AA1049" s="5"/>
      <c r="AB1049" s="5"/>
      <c r="AC1049" s="5"/>
      <c r="AD1049" s="5"/>
      <c r="AE1049" s="5"/>
      <c r="AF1049" s="5"/>
      <c r="AG1049" s="5"/>
      <c r="AH1049" s="5"/>
      <c r="AI1049" s="5"/>
      <c r="AJ1049" s="5"/>
      <c r="AK1049" s="5"/>
      <c r="AL1049" s="5"/>
      <c r="AM1049" s="5"/>
      <c r="AN1049" s="5"/>
    </row>
    <row r="1050" spans="1:40" ht="18.75" customHeight="1">
      <c r="A1050" s="5"/>
      <c r="B1050" s="5"/>
      <c r="C1050" s="5"/>
      <c r="D1050" s="5"/>
      <c r="E1050" s="5"/>
      <c r="F1050" s="5"/>
      <c r="G1050" s="5"/>
      <c r="H1050" s="5"/>
      <c r="I1050" s="5"/>
      <c r="J1050" s="5"/>
      <c r="K1050" s="5"/>
      <c r="L1050" s="5"/>
      <c r="M1050" s="5"/>
      <c r="N1050" s="5"/>
      <c r="O1050" s="5"/>
      <c r="P1050" s="5"/>
      <c r="Q1050" s="5"/>
      <c r="R1050" s="5"/>
      <c r="S1050" s="5"/>
      <c r="T1050" s="5"/>
      <c r="U1050" s="5"/>
      <c r="V1050" s="5"/>
      <c r="Y1050" s="5"/>
      <c r="Z1050" s="5"/>
      <c r="AA1050" s="5"/>
      <c r="AB1050" s="5"/>
      <c r="AC1050" s="5"/>
      <c r="AD1050" s="5"/>
      <c r="AE1050" s="5"/>
      <c r="AF1050" s="5"/>
      <c r="AG1050" s="5"/>
      <c r="AH1050" s="5"/>
      <c r="AI1050" s="5"/>
      <c r="AJ1050" s="5"/>
      <c r="AK1050" s="5"/>
      <c r="AL1050" s="5"/>
      <c r="AM1050" s="5"/>
      <c r="AN1050" s="5"/>
    </row>
    <row r="1051" spans="1:40" ht="18.75" customHeight="1">
      <c r="A1051" s="5"/>
      <c r="B1051" s="5"/>
      <c r="C1051" s="5"/>
      <c r="D1051" s="5"/>
      <c r="E1051" s="5"/>
      <c r="F1051" s="5"/>
      <c r="G1051" s="5"/>
      <c r="H1051" s="5"/>
      <c r="I1051" s="5"/>
      <c r="J1051" s="5"/>
      <c r="K1051" s="5"/>
      <c r="L1051" s="5"/>
      <c r="M1051" s="5"/>
      <c r="N1051" s="5"/>
      <c r="O1051" s="5"/>
      <c r="P1051" s="5"/>
      <c r="Q1051" s="5"/>
      <c r="R1051" s="5"/>
      <c r="S1051" s="5"/>
      <c r="T1051" s="5"/>
      <c r="U1051" s="5"/>
      <c r="V1051" s="5"/>
      <c r="Y1051" s="5"/>
      <c r="Z1051" s="5"/>
      <c r="AA1051" s="5"/>
      <c r="AB1051" s="5"/>
      <c r="AC1051" s="5"/>
      <c r="AD1051" s="5"/>
      <c r="AE1051" s="5"/>
      <c r="AF1051" s="5"/>
      <c r="AG1051" s="5"/>
      <c r="AH1051" s="5"/>
      <c r="AI1051" s="5"/>
      <c r="AJ1051" s="5"/>
      <c r="AK1051" s="5"/>
      <c r="AL1051" s="5"/>
      <c r="AM1051" s="5"/>
      <c r="AN1051" s="5"/>
    </row>
    <row r="1052" spans="1:40" ht="18.75" customHeight="1">
      <c r="A1052" s="5"/>
      <c r="B1052" s="5"/>
      <c r="C1052" s="5"/>
      <c r="D1052" s="5"/>
      <c r="E1052" s="5"/>
      <c r="F1052" s="5"/>
      <c r="G1052" s="5"/>
      <c r="H1052" s="5"/>
      <c r="I1052" s="5"/>
      <c r="J1052" s="5"/>
      <c r="K1052" s="5"/>
      <c r="L1052" s="5"/>
      <c r="M1052" s="5"/>
      <c r="N1052" s="5"/>
      <c r="O1052" s="5"/>
      <c r="P1052" s="5"/>
      <c r="Q1052" s="5"/>
      <c r="R1052" s="5"/>
      <c r="S1052" s="5"/>
      <c r="T1052" s="5"/>
      <c r="U1052" s="5"/>
      <c r="V1052" s="5"/>
      <c r="Y1052" s="5"/>
      <c r="Z1052" s="5"/>
      <c r="AA1052" s="5"/>
      <c r="AB1052" s="5"/>
      <c r="AC1052" s="5"/>
      <c r="AD1052" s="5"/>
      <c r="AE1052" s="5"/>
      <c r="AF1052" s="5"/>
      <c r="AG1052" s="5"/>
      <c r="AH1052" s="5"/>
      <c r="AI1052" s="5"/>
      <c r="AJ1052" s="5"/>
      <c r="AK1052" s="5"/>
      <c r="AL1052" s="5"/>
      <c r="AM1052" s="5"/>
      <c r="AN1052" s="5"/>
    </row>
    <row r="1053" spans="1:40" ht="18.75" customHeight="1">
      <c r="A1053" s="5"/>
      <c r="B1053" s="5"/>
      <c r="C1053" s="5"/>
      <c r="D1053" s="5"/>
      <c r="E1053" s="5"/>
      <c r="F1053" s="5"/>
      <c r="G1053" s="5"/>
      <c r="H1053" s="5"/>
      <c r="I1053" s="5"/>
      <c r="J1053" s="5"/>
      <c r="K1053" s="5"/>
      <c r="L1053" s="5"/>
      <c r="M1053" s="5"/>
      <c r="N1053" s="5"/>
      <c r="O1053" s="5"/>
      <c r="P1053" s="5"/>
      <c r="Q1053" s="5"/>
      <c r="R1053" s="5"/>
      <c r="S1053" s="5"/>
      <c r="T1053" s="5"/>
      <c r="U1053" s="5"/>
      <c r="V1053" s="5"/>
      <c r="Y1053" s="5"/>
      <c r="Z1053" s="5"/>
      <c r="AA1053" s="5"/>
      <c r="AB1053" s="5"/>
      <c r="AC1053" s="5"/>
      <c r="AD1053" s="5"/>
      <c r="AE1053" s="5"/>
      <c r="AF1053" s="5"/>
      <c r="AG1053" s="5"/>
      <c r="AH1053" s="5"/>
      <c r="AI1053" s="5"/>
      <c r="AJ1053" s="5"/>
      <c r="AK1053" s="5"/>
      <c r="AL1053" s="5"/>
      <c r="AM1053" s="5"/>
      <c r="AN1053" s="5"/>
    </row>
    <row r="1054" spans="1:40" ht="18.75" customHeight="1">
      <c r="A1054" s="5"/>
      <c r="B1054" s="5"/>
      <c r="C1054" s="5"/>
      <c r="D1054" s="5"/>
      <c r="E1054" s="5"/>
      <c r="F1054" s="5"/>
      <c r="G1054" s="5"/>
      <c r="H1054" s="5"/>
      <c r="I1054" s="5"/>
      <c r="J1054" s="5"/>
      <c r="K1054" s="5"/>
      <c r="L1054" s="5"/>
      <c r="M1054" s="5"/>
      <c r="N1054" s="5"/>
      <c r="O1054" s="5"/>
      <c r="P1054" s="5"/>
      <c r="Q1054" s="5"/>
      <c r="R1054" s="5"/>
      <c r="S1054" s="5"/>
      <c r="T1054" s="5"/>
      <c r="U1054" s="5"/>
      <c r="V1054" s="5"/>
      <c r="Y1054" s="5"/>
      <c r="Z1054" s="5"/>
      <c r="AA1054" s="5"/>
      <c r="AB1054" s="5"/>
      <c r="AC1054" s="5"/>
      <c r="AD1054" s="5"/>
      <c r="AE1054" s="5"/>
      <c r="AF1054" s="5"/>
      <c r="AG1054" s="5"/>
      <c r="AH1054" s="5"/>
      <c r="AI1054" s="5"/>
      <c r="AJ1054" s="5"/>
      <c r="AK1054" s="5"/>
      <c r="AL1054" s="5"/>
      <c r="AM1054" s="5"/>
      <c r="AN1054" s="5"/>
    </row>
    <row r="1055" spans="1:40" ht="18.75" customHeight="1">
      <c r="A1055" s="5"/>
      <c r="B1055" s="5"/>
      <c r="C1055" s="5"/>
      <c r="D1055" s="5"/>
      <c r="E1055" s="5"/>
      <c r="F1055" s="5"/>
      <c r="G1055" s="5"/>
      <c r="H1055" s="5"/>
      <c r="I1055" s="5"/>
      <c r="J1055" s="5"/>
      <c r="K1055" s="5"/>
      <c r="L1055" s="5"/>
      <c r="M1055" s="5"/>
      <c r="N1055" s="5"/>
      <c r="O1055" s="5"/>
      <c r="P1055" s="5"/>
      <c r="Q1055" s="5"/>
      <c r="R1055" s="5"/>
      <c r="S1055" s="5"/>
      <c r="T1055" s="5"/>
      <c r="U1055" s="5"/>
      <c r="V1055" s="5"/>
      <c r="Y1055" s="5"/>
      <c r="Z1055" s="5"/>
      <c r="AA1055" s="5"/>
      <c r="AB1055" s="5"/>
      <c r="AC1055" s="5"/>
      <c r="AD1055" s="5"/>
      <c r="AE1055" s="5"/>
      <c r="AF1055" s="5"/>
      <c r="AG1055" s="5"/>
      <c r="AH1055" s="5"/>
      <c r="AI1055" s="5"/>
      <c r="AJ1055" s="5"/>
      <c r="AK1055" s="5"/>
      <c r="AL1055" s="5"/>
      <c r="AM1055" s="5"/>
      <c r="AN1055" s="5"/>
    </row>
    <row r="1056" spans="1:40" ht="18.75" customHeight="1">
      <c r="A1056" s="5"/>
      <c r="B1056" s="5"/>
      <c r="C1056" s="5"/>
      <c r="D1056" s="5"/>
      <c r="E1056" s="5"/>
      <c r="F1056" s="5"/>
      <c r="G1056" s="5"/>
      <c r="H1056" s="5"/>
      <c r="I1056" s="5"/>
      <c r="J1056" s="5"/>
      <c r="K1056" s="5"/>
      <c r="L1056" s="5"/>
      <c r="M1056" s="5"/>
      <c r="N1056" s="5"/>
      <c r="O1056" s="5"/>
      <c r="P1056" s="5"/>
      <c r="Q1056" s="5"/>
      <c r="R1056" s="5"/>
      <c r="S1056" s="5"/>
      <c r="T1056" s="5"/>
      <c r="U1056" s="5"/>
      <c r="V1056" s="5"/>
      <c r="Y1056" s="5"/>
      <c r="Z1056" s="5"/>
      <c r="AA1056" s="5"/>
      <c r="AB1056" s="5"/>
      <c r="AC1056" s="5"/>
      <c r="AD1056" s="5"/>
      <c r="AE1056" s="5"/>
      <c r="AF1056" s="5"/>
      <c r="AG1056" s="5"/>
      <c r="AH1056" s="5"/>
      <c r="AI1056" s="5"/>
      <c r="AJ1056" s="5"/>
      <c r="AK1056" s="5"/>
      <c r="AL1056" s="5"/>
      <c r="AM1056" s="5"/>
      <c r="AN1056" s="5"/>
    </row>
    <row r="1057" spans="1:40" ht="18.75" customHeight="1">
      <c r="A1057" s="5"/>
      <c r="B1057" s="5"/>
      <c r="C1057" s="5"/>
      <c r="D1057" s="5"/>
      <c r="E1057" s="5"/>
      <c r="F1057" s="5"/>
      <c r="G1057" s="5"/>
      <c r="H1057" s="5"/>
      <c r="I1057" s="5"/>
      <c r="J1057" s="5"/>
      <c r="K1057" s="5"/>
      <c r="L1057" s="5"/>
      <c r="M1057" s="5"/>
      <c r="N1057" s="5"/>
      <c r="O1057" s="5"/>
      <c r="P1057" s="5"/>
      <c r="Q1057" s="5"/>
      <c r="R1057" s="5"/>
      <c r="S1057" s="5"/>
      <c r="T1057" s="5"/>
      <c r="U1057" s="5"/>
      <c r="V1057" s="5"/>
      <c r="Y1057" s="5"/>
      <c r="Z1057" s="5"/>
      <c r="AA1057" s="5"/>
      <c r="AB1057" s="5"/>
      <c r="AC1057" s="5"/>
      <c r="AD1057" s="5"/>
      <c r="AE1057" s="5"/>
      <c r="AF1057" s="5"/>
      <c r="AG1057" s="5"/>
      <c r="AH1057" s="5"/>
      <c r="AI1057" s="5"/>
      <c r="AJ1057" s="5"/>
      <c r="AK1057" s="5"/>
      <c r="AL1057" s="5"/>
      <c r="AM1057" s="5"/>
      <c r="AN1057" s="5"/>
    </row>
    <row r="1058" spans="1:40" ht="18.75" customHeight="1">
      <c r="A1058" s="5"/>
      <c r="B1058" s="5"/>
      <c r="C1058" s="5"/>
      <c r="D1058" s="5"/>
      <c r="E1058" s="5"/>
      <c r="F1058" s="5"/>
      <c r="G1058" s="5"/>
      <c r="H1058" s="5"/>
      <c r="I1058" s="5"/>
      <c r="J1058" s="5"/>
      <c r="K1058" s="5"/>
      <c r="L1058" s="5"/>
      <c r="M1058" s="5"/>
      <c r="N1058" s="5"/>
      <c r="O1058" s="5"/>
      <c r="P1058" s="5"/>
      <c r="Q1058" s="5"/>
      <c r="R1058" s="5"/>
      <c r="S1058" s="5"/>
      <c r="T1058" s="5"/>
      <c r="U1058" s="5"/>
      <c r="V1058" s="5"/>
      <c r="Y1058" s="5"/>
      <c r="Z1058" s="5"/>
      <c r="AA1058" s="5"/>
      <c r="AB1058" s="5"/>
      <c r="AC1058" s="5"/>
      <c r="AD1058" s="5"/>
      <c r="AE1058" s="5"/>
      <c r="AF1058" s="5"/>
      <c r="AG1058" s="5"/>
      <c r="AH1058" s="5"/>
      <c r="AI1058" s="5"/>
      <c r="AJ1058" s="5"/>
      <c r="AK1058" s="5"/>
      <c r="AL1058" s="5"/>
      <c r="AM1058" s="5"/>
      <c r="AN1058" s="5"/>
    </row>
    <row r="1059" spans="1:40" ht="18.75" customHeight="1">
      <c r="A1059" s="5"/>
      <c r="B1059" s="5"/>
      <c r="C1059" s="5"/>
      <c r="D1059" s="5"/>
      <c r="E1059" s="5"/>
      <c r="F1059" s="5"/>
      <c r="G1059" s="5"/>
      <c r="H1059" s="5"/>
      <c r="I1059" s="5"/>
      <c r="J1059" s="5"/>
      <c r="K1059" s="5"/>
      <c r="L1059" s="5"/>
      <c r="M1059" s="5"/>
      <c r="N1059" s="5"/>
      <c r="O1059" s="5"/>
      <c r="P1059" s="5"/>
      <c r="Q1059" s="5"/>
      <c r="R1059" s="5"/>
      <c r="S1059" s="5"/>
      <c r="T1059" s="5"/>
      <c r="U1059" s="5"/>
      <c r="V1059" s="5"/>
      <c r="Y1059" s="5"/>
      <c r="Z1059" s="5"/>
      <c r="AA1059" s="5"/>
      <c r="AB1059" s="5"/>
      <c r="AC1059" s="5"/>
      <c r="AD1059" s="5"/>
      <c r="AE1059" s="5"/>
      <c r="AF1059" s="5"/>
      <c r="AG1059" s="5"/>
      <c r="AH1059" s="5"/>
      <c r="AI1059" s="5"/>
      <c r="AJ1059" s="5"/>
      <c r="AK1059" s="5"/>
      <c r="AL1059" s="5"/>
      <c r="AM1059" s="5"/>
      <c r="AN1059" s="5"/>
    </row>
    <row r="1060" spans="1:40" ht="18.75" customHeight="1">
      <c r="A1060" s="5"/>
      <c r="B1060" s="5"/>
      <c r="C1060" s="5"/>
      <c r="D1060" s="5"/>
      <c r="E1060" s="5"/>
      <c r="F1060" s="5"/>
      <c r="G1060" s="5"/>
      <c r="H1060" s="5"/>
      <c r="I1060" s="5"/>
      <c r="J1060" s="5"/>
      <c r="K1060" s="5"/>
      <c r="L1060" s="5"/>
      <c r="M1060" s="5"/>
      <c r="N1060" s="5"/>
      <c r="O1060" s="5"/>
      <c r="P1060" s="5"/>
      <c r="Q1060" s="5"/>
      <c r="R1060" s="5"/>
      <c r="S1060" s="5"/>
      <c r="T1060" s="5"/>
      <c r="U1060" s="5"/>
      <c r="V1060" s="5"/>
      <c r="Y1060" s="5"/>
      <c r="Z1060" s="5"/>
      <c r="AA1060" s="5"/>
      <c r="AB1060" s="5"/>
      <c r="AC1060" s="5"/>
      <c r="AD1060" s="5"/>
      <c r="AE1060" s="5"/>
      <c r="AF1060" s="5"/>
      <c r="AG1060" s="5"/>
      <c r="AH1060" s="5"/>
      <c r="AI1060" s="5"/>
      <c r="AJ1060" s="5"/>
      <c r="AK1060" s="5"/>
      <c r="AL1060" s="5"/>
      <c r="AM1060" s="5"/>
      <c r="AN1060" s="5"/>
    </row>
    <row r="1061" spans="1:40" ht="18.75" customHeight="1">
      <c r="A1061" s="5"/>
      <c r="B1061" s="5"/>
      <c r="C1061" s="5"/>
      <c r="D1061" s="5"/>
      <c r="E1061" s="5"/>
      <c r="F1061" s="5"/>
      <c r="G1061" s="5"/>
      <c r="H1061" s="5"/>
      <c r="I1061" s="5"/>
      <c r="J1061" s="5"/>
      <c r="K1061" s="5"/>
      <c r="L1061" s="5"/>
      <c r="M1061" s="5"/>
      <c r="N1061" s="5"/>
      <c r="O1061" s="5"/>
      <c r="P1061" s="5"/>
      <c r="Q1061" s="5"/>
      <c r="R1061" s="5"/>
      <c r="S1061" s="5"/>
      <c r="T1061" s="5"/>
      <c r="U1061" s="5"/>
      <c r="V1061" s="5"/>
      <c r="Y1061" s="5"/>
      <c r="Z1061" s="5"/>
      <c r="AA1061" s="5"/>
      <c r="AB1061" s="5"/>
      <c r="AC1061" s="5"/>
      <c r="AD1061" s="5"/>
      <c r="AE1061" s="5"/>
      <c r="AF1061" s="5"/>
      <c r="AG1061" s="5"/>
      <c r="AH1061" s="5"/>
      <c r="AI1061" s="5"/>
      <c r="AJ1061" s="5"/>
      <c r="AK1061" s="5"/>
      <c r="AL1061" s="5"/>
      <c r="AM1061" s="5"/>
      <c r="AN1061" s="5"/>
    </row>
    <row r="1062" spans="1:40" ht="18.75" customHeight="1">
      <c r="A1062" s="5"/>
      <c r="B1062" s="5"/>
      <c r="C1062" s="5"/>
      <c r="D1062" s="5"/>
      <c r="E1062" s="5"/>
      <c r="F1062" s="5"/>
      <c r="G1062" s="5"/>
      <c r="H1062" s="5"/>
      <c r="I1062" s="5"/>
      <c r="J1062" s="5"/>
      <c r="K1062" s="5"/>
      <c r="L1062" s="5"/>
      <c r="M1062" s="5"/>
      <c r="N1062" s="5"/>
      <c r="O1062" s="5"/>
      <c r="P1062" s="5"/>
      <c r="Q1062" s="5"/>
      <c r="R1062" s="5"/>
      <c r="S1062" s="5"/>
      <c r="T1062" s="5"/>
      <c r="U1062" s="5"/>
      <c r="V1062" s="5"/>
      <c r="Y1062" s="5"/>
      <c r="Z1062" s="5"/>
      <c r="AA1062" s="5"/>
      <c r="AB1062" s="5"/>
      <c r="AC1062" s="5"/>
      <c r="AD1062" s="5"/>
      <c r="AE1062" s="5"/>
      <c r="AF1062" s="5"/>
      <c r="AG1062" s="5"/>
      <c r="AH1062" s="5"/>
      <c r="AI1062" s="5"/>
      <c r="AJ1062" s="5"/>
      <c r="AK1062" s="5"/>
      <c r="AL1062" s="5"/>
      <c r="AM1062" s="5"/>
      <c r="AN1062" s="5"/>
    </row>
    <row r="1063" spans="1:40" ht="18.75" customHeight="1">
      <c r="A1063" s="5"/>
      <c r="B1063" s="5"/>
      <c r="C1063" s="5"/>
      <c r="D1063" s="5"/>
      <c r="E1063" s="5"/>
      <c r="F1063" s="5"/>
      <c r="G1063" s="5"/>
      <c r="H1063" s="5"/>
      <c r="I1063" s="5"/>
      <c r="J1063" s="5"/>
      <c r="K1063" s="5"/>
      <c r="L1063" s="5"/>
      <c r="M1063" s="5"/>
      <c r="N1063" s="5"/>
      <c r="O1063" s="5"/>
      <c r="P1063" s="5"/>
      <c r="Q1063" s="5"/>
      <c r="R1063" s="5"/>
      <c r="S1063" s="5"/>
      <c r="T1063" s="5"/>
      <c r="U1063" s="5"/>
      <c r="V1063" s="5"/>
      <c r="Y1063" s="5"/>
      <c r="Z1063" s="5"/>
      <c r="AA1063" s="5"/>
      <c r="AB1063" s="5"/>
      <c r="AC1063" s="5"/>
      <c r="AD1063" s="5"/>
      <c r="AE1063" s="5"/>
      <c r="AF1063" s="5"/>
      <c r="AG1063" s="5"/>
      <c r="AH1063" s="5"/>
      <c r="AI1063" s="5"/>
      <c r="AJ1063" s="5"/>
      <c r="AK1063" s="5"/>
      <c r="AL1063" s="5"/>
      <c r="AM1063" s="5"/>
      <c r="AN1063" s="5"/>
    </row>
    <row r="1064" spans="1:40" ht="18.75" customHeight="1">
      <c r="A1064" s="5"/>
      <c r="B1064" s="5"/>
      <c r="C1064" s="5"/>
      <c r="D1064" s="5"/>
      <c r="E1064" s="5"/>
      <c r="F1064" s="5"/>
      <c r="G1064" s="5"/>
      <c r="H1064" s="5"/>
      <c r="I1064" s="5"/>
      <c r="J1064" s="5"/>
      <c r="K1064" s="5"/>
      <c r="L1064" s="5"/>
      <c r="M1064" s="5"/>
      <c r="N1064" s="5"/>
      <c r="O1064" s="5"/>
      <c r="P1064" s="5"/>
      <c r="Q1064" s="5"/>
      <c r="R1064" s="5"/>
      <c r="S1064" s="5"/>
      <c r="T1064" s="5"/>
      <c r="U1064" s="5"/>
      <c r="V1064" s="5"/>
      <c r="Y1064" s="5"/>
      <c r="Z1064" s="5"/>
      <c r="AA1064" s="5"/>
      <c r="AB1064" s="5"/>
      <c r="AC1064" s="5"/>
      <c r="AD1064" s="5"/>
      <c r="AE1064" s="5"/>
      <c r="AF1064" s="5"/>
      <c r="AG1064" s="5"/>
      <c r="AH1064" s="5"/>
      <c r="AI1064" s="5"/>
      <c r="AJ1064" s="5"/>
      <c r="AK1064" s="5"/>
      <c r="AL1064" s="5"/>
      <c r="AM1064" s="5"/>
      <c r="AN1064" s="5"/>
    </row>
    <row r="1065" spans="1:40" ht="18.75" customHeight="1">
      <c r="A1065" s="5"/>
      <c r="B1065" s="5"/>
      <c r="C1065" s="5"/>
      <c r="D1065" s="5"/>
      <c r="E1065" s="5"/>
      <c r="F1065" s="5"/>
      <c r="G1065" s="5"/>
      <c r="H1065" s="5"/>
      <c r="I1065" s="5"/>
      <c r="J1065" s="5"/>
      <c r="K1065" s="5"/>
      <c r="L1065" s="5"/>
      <c r="M1065" s="5"/>
      <c r="N1065" s="5"/>
      <c r="O1065" s="5"/>
      <c r="P1065" s="5"/>
      <c r="Q1065" s="5"/>
      <c r="R1065" s="5"/>
      <c r="S1065" s="5"/>
      <c r="T1065" s="5"/>
      <c r="U1065" s="5"/>
      <c r="V1065" s="5"/>
      <c r="Y1065" s="5"/>
      <c r="Z1065" s="5"/>
      <c r="AA1065" s="5"/>
      <c r="AB1065" s="5"/>
      <c r="AC1065" s="5"/>
      <c r="AD1065" s="5"/>
      <c r="AE1065" s="5"/>
      <c r="AF1065" s="5"/>
      <c r="AG1065" s="5"/>
      <c r="AH1065" s="5"/>
      <c r="AI1065" s="5"/>
      <c r="AJ1065" s="5"/>
      <c r="AK1065" s="5"/>
      <c r="AL1065" s="5"/>
      <c r="AM1065" s="5"/>
      <c r="AN1065" s="5"/>
    </row>
    <row r="1066" spans="1:40" ht="18.75" customHeight="1">
      <c r="A1066" s="5"/>
      <c r="B1066" s="5"/>
      <c r="C1066" s="5"/>
      <c r="D1066" s="5"/>
      <c r="E1066" s="5"/>
      <c r="F1066" s="5"/>
      <c r="G1066" s="5"/>
      <c r="H1066" s="5"/>
      <c r="I1066" s="5"/>
      <c r="J1066" s="5"/>
      <c r="K1066" s="5"/>
      <c r="L1066" s="5"/>
      <c r="M1066" s="5"/>
      <c r="N1066" s="5"/>
      <c r="O1066" s="5"/>
      <c r="P1066" s="5"/>
      <c r="Q1066" s="5"/>
      <c r="R1066" s="5"/>
      <c r="S1066" s="5"/>
      <c r="T1066" s="5"/>
      <c r="U1066" s="5"/>
      <c r="V1066" s="5"/>
      <c r="Y1066" s="5"/>
      <c r="Z1066" s="5"/>
      <c r="AA1066" s="5"/>
      <c r="AB1066" s="5"/>
      <c r="AC1066" s="5"/>
      <c r="AD1066" s="5"/>
      <c r="AE1066" s="5"/>
      <c r="AF1066" s="5"/>
      <c r="AG1066" s="5"/>
      <c r="AH1066" s="5"/>
      <c r="AI1066" s="5"/>
      <c r="AJ1066" s="5"/>
      <c r="AK1066" s="5"/>
      <c r="AL1066" s="5"/>
      <c r="AM1066" s="5"/>
      <c r="AN1066" s="5"/>
    </row>
    <row r="1067" spans="1:40" ht="18.75" customHeight="1">
      <c r="A1067" s="5"/>
      <c r="B1067" s="5"/>
      <c r="C1067" s="5"/>
      <c r="D1067" s="5"/>
      <c r="E1067" s="5"/>
      <c r="F1067" s="5"/>
      <c r="G1067" s="5"/>
      <c r="H1067" s="5"/>
      <c r="I1067" s="5"/>
      <c r="J1067" s="5"/>
      <c r="K1067" s="5"/>
      <c r="L1067" s="5"/>
      <c r="M1067" s="5"/>
      <c r="N1067" s="5"/>
      <c r="O1067" s="5"/>
      <c r="P1067" s="5"/>
      <c r="Q1067" s="5"/>
      <c r="R1067" s="5"/>
      <c r="S1067" s="5"/>
      <c r="T1067" s="5"/>
      <c r="U1067" s="5"/>
      <c r="V1067" s="5"/>
      <c r="Y1067" s="5"/>
      <c r="Z1067" s="5"/>
      <c r="AA1067" s="5"/>
      <c r="AB1067" s="5"/>
      <c r="AC1067" s="5"/>
      <c r="AD1067" s="5"/>
      <c r="AE1067" s="5"/>
      <c r="AF1067" s="5"/>
      <c r="AG1067" s="5"/>
      <c r="AH1067" s="5"/>
      <c r="AI1067" s="5"/>
      <c r="AJ1067" s="5"/>
      <c r="AK1067" s="5"/>
      <c r="AL1067" s="5"/>
      <c r="AM1067" s="5"/>
      <c r="AN1067" s="5"/>
    </row>
    <row r="1068" spans="1:40" ht="18.75" customHeight="1">
      <c r="A1068" s="5"/>
      <c r="B1068" s="5"/>
      <c r="C1068" s="5"/>
      <c r="D1068" s="5"/>
      <c r="E1068" s="5"/>
      <c r="F1068" s="5"/>
      <c r="G1068" s="5"/>
      <c r="H1068" s="5"/>
      <c r="I1068" s="5"/>
      <c r="J1068" s="5"/>
      <c r="K1068" s="5"/>
      <c r="L1068" s="5"/>
      <c r="M1068" s="5"/>
      <c r="N1068" s="5"/>
      <c r="O1068" s="5"/>
      <c r="P1068" s="5"/>
      <c r="Q1068" s="5"/>
      <c r="R1068" s="5"/>
      <c r="S1068" s="5"/>
      <c r="T1068" s="5"/>
      <c r="U1068" s="5"/>
      <c r="V1068" s="5"/>
      <c r="Y1068" s="5"/>
      <c r="Z1068" s="5"/>
      <c r="AA1068" s="5"/>
      <c r="AB1068" s="5"/>
      <c r="AC1068" s="5"/>
      <c r="AD1068" s="5"/>
      <c r="AE1068" s="5"/>
      <c r="AF1068" s="5"/>
      <c r="AG1068" s="5"/>
      <c r="AH1068" s="5"/>
      <c r="AI1068" s="5"/>
      <c r="AJ1068" s="5"/>
      <c r="AK1068" s="5"/>
      <c r="AL1068" s="5"/>
      <c r="AM1068" s="5"/>
      <c r="AN1068" s="5"/>
    </row>
    <row r="1069" spans="1:40" ht="18.75" customHeight="1">
      <c r="A1069" s="5"/>
      <c r="B1069" s="5"/>
      <c r="C1069" s="5"/>
      <c r="D1069" s="5"/>
      <c r="E1069" s="5"/>
      <c r="F1069" s="5"/>
      <c r="G1069" s="5"/>
      <c r="H1069" s="5"/>
      <c r="I1069" s="5"/>
      <c r="J1069" s="5"/>
      <c r="K1069" s="5"/>
      <c r="L1069" s="5"/>
      <c r="M1069" s="5"/>
      <c r="N1069" s="5"/>
      <c r="O1069" s="5"/>
      <c r="P1069" s="5"/>
      <c r="Q1069" s="5"/>
      <c r="R1069" s="5"/>
      <c r="S1069" s="5"/>
      <c r="T1069" s="5"/>
      <c r="U1069" s="5"/>
      <c r="V1069" s="5"/>
      <c r="Y1069" s="5"/>
      <c r="Z1069" s="5"/>
      <c r="AA1069" s="5"/>
      <c r="AB1069" s="5"/>
      <c r="AC1069" s="5"/>
      <c r="AD1069" s="5"/>
      <c r="AE1069" s="5"/>
      <c r="AF1069" s="5"/>
      <c r="AG1069" s="5"/>
      <c r="AH1069" s="5"/>
      <c r="AI1069" s="5"/>
      <c r="AJ1069" s="5"/>
      <c r="AK1069" s="5"/>
      <c r="AL1069" s="5"/>
      <c r="AM1069" s="5"/>
      <c r="AN1069" s="5"/>
    </row>
    <row r="1070" spans="1:40" ht="18.75" customHeight="1">
      <c r="A1070" s="5"/>
      <c r="B1070" s="5"/>
      <c r="C1070" s="5"/>
      <c r="D1070" s="5"/>
      <c r="E1070" s="5"/>
      <c r="F1070" s="5"/>
      <c r="G1070" s="5"/>
      <c r="H1070" s="5"/>
      <c r="I1070" s="5"/>
      <c r="J1070" s="5"/>
      <c r="K1070" s="5"/>
      <c r="L1070" s="5"/>
      <c r="M1070" s="5"/>
      <c r="N1070" s="5"/>
      <c r="O1070" s="5"/>
      <c r="P1070" s="5"/>
      <c r="Q1070" s="5"/>
      <c r="R1070" s="5"/>
      <c r="S1070" s="5"/>
      <c r="T1070" s="5"/>
      <c r="U1070" s="5"/>
      <c r="V1070" s="5"/>
      <c r="Y1070" s="5"/>
      <c r="Z1070" s="5"/>
      <c r="AA1070" s="5"/>
      <c r="AB1070" s="5"/>
      <c r="AC1070" s="5"/>
      <c r="AD1070" s="5"/>
      <c r="AE1070" s="5"/>
      <c r="AF1070" s="5"/>
      <c r="AG1070" s="5"/>
      <c r="AH1070" s="5"/>
      <c r="AI1070" s="5"/>
      <c r="AJ1070" s="5"/>
      <c r="AK1070" s="5"/>
      <c r="AL1070" s="5"/>
      <c r="AM1070" s="5"/>
      <c r="AN1070" s="5"/>
    </row>
    <row r="1071" spans="1:40" ht="18.75" customHeight="1">
      <c r="A1071" s="5"/>
      <c r="B1071" s="5"/>
      <c r="C1071" s="5"/>
      <c r="D1071" s="5"/>
      <c r="E1071" s="5"/>
      <c r="F1071" s="5"/>
      <c r="G1071" s="5"/>
      <c r="H1071" s="5"/>
      <c r="I1071" s="5"/>
      <c r="J1071" s="5"/>
      <c r="K1071" s="5"/>
      <c r="L1071" s="5"/>
      <c r="M1071" s="5"/>
      <c r="N1071" s="5"/>
      <c r="O1071" s="5"/>
      <c r="P1071" s="5"/>
      <c r="Q1071" s="5"/>
      <c r="R1071" s="5"/>
      <c r="S1071" s="5"/>
      <c r="T1071" s="5"/>
      <c r="U1071" s="5"/>
      <c r="V1071" s="5"/>
      <c r="Y1071" s="5"/>
      <c r="Z1071" s="5"/>
      <c r="AA1071" s="5"/>
      <c r="AB1071" s="5"/>
      <c r="AC1071" s="5"/>
      <c r="AD1071" s="5"/>
      <c r="AE1071" s="5"/>
      <c r="AF1071" s="5"/>
      <c r="AG1071" s="5"/>
      <c r="AH1071" s="5"/>
      <c r="AI1071" s="5"/>
      <c r="AJ1071" s="5"/>
      <c r="AK1071" s="5"/>
      <c r="AL1071" s="5"/>
      <c r="AM1071" s="5"/>
      <c r="AN1071" s="5"/>
    </row>
    <row r="1072" spans="1:40" ht="18.75" customHeight="1">
      <c r="A1072" s="5"/>
      <c r="B1072" s="5"/>
      <c r="C1072" s="5"/>
      <c r="D1072" s="5"/>
      <c r="E1072" s="5"/>
      <c r="F1072" s="5"/>
      <c r="G1072" s="5"/>
      <c r="H1072" s="5"/>
      <c r="I1072" s="5"/>
      <c r="J1072" s="5"/>
      <c r="K1072" s="5"/>
      <c r="L1072" s="5"/>
      <c r="M1072" s="5"/>
      <c r="N1072" s="5"/>
      <c r="O1072" s="5"/>
      <c r="P1072" s="5"/>
      <c r="Q1072" s="5"/>
      <c r="R1072" s="5"/>
      <c r="S1072" s="5"/>
      <c r="T1072" s="5"/>
      <c r="U1072" s="5"/>
      <c r="V1072" s="5"/>
      <c r="Y1072" s="5"/>
      <c r="Z1072" s="5"/>
      <c r="AA1072" s="5"/>
      <c r="AB1072" s="5"/>
      <c r="AC1072" s="5"/>
      <c r="AD1072" s="5"/>
      <c r="AE1072" s="5"/>
      <c r="AF1072" s="5"/>
      <c r="AG1072" s="5"/>
      <c r="AH1072" s="5"/>
      <c r="AI1072" s="5"/>
      <c r="AJ1072" s="5"/>
      <c r="AK1072" s="5"/>
      <c r="AL1072" s="5"/>
      <c r="AM1072" s="5"/>
      <c r="AN1072" s="5"/>
    </row>
    <row r="1073" spans="1:40" ht="18.75" customHeight="1">
      <c r="A1073" s="5"/>
      <c r="B1073" s="5"/>
      <c r="C1073" s="5"/>
      <c r="D1073" s="5"/>
      <c r="E1073" s="5"/>
      <c r="F1073" s="5"/>
      <c r="G1073" s="5"/>
      <c r="H1073" s="5"/>
      <c r="I1073" s="5"/>
      <c r="J1073" s="5"/>
      <c r="K1073" s="5"/>
      <c r="L1073" s="5"/>
      <c r="M1073" s="5"/>
      <c r="N1073" s="5"/>
      <c r="O1073" s="5"/>
      <c r="P1073" s="5"/>
      <c r="Q1073" s="5"/>
      <c r="R1073" s="5"/>
      <c r="S1073" s="5"/>
      <c r="T1073" s="5"/>
      <c r="U1073" s="5"/>
      <c r="V1073" s="5"/>
      <c r="Y1073" s="5"/>
      <c r="Z1073" s="5"/>
      <c r="AA1073" s="5"/>
      <c r="AB1073" s="5"/>
      <c r="AC1073" s="5"/>
      <c r="AD1073" s="5"/>
      <c r="AE1073" s="5"/>
      <c r="AF1073" s="5"/>
      <c r="AG1073" s="5"/>
      <c r="AH1073" s="5"/>
      <c r="AI1073" s="5"/>
      <c r="AJ1073" s="5"/>
      <c r="AK1073" s="5"/>
      <c r="AL1073" s="5"/>
      <c r="AM1073" s="5"/>
      <c r="AN1073" s="5"/>
    </row>
    <row r="1074" spans="1:40" ht="18.75" customHeight="1">
      <c r="A1074" s="5"/>
      <c r="B1074" s="5"/>
      <c r="C1074" s="5"/>
      <c r="D1074" s="5"/>
      <c r="E1074" s="5"/>
      <c r="F1074" s="5"/>
      <c r="G1074" s="5"/>
      <c r="H1074" s="5"/>
      <c r="I1074" s="5"/>
      <c r="J1074" s="5"/>
      <c r="K1074" s="5"/>
      <c r="L1074" s="5"/>
      <c r="M1074" s="5"/>
      <c r="N1074" s="5"/>
      <c r="O1074" s="5"/>
      <c r="P1074" s="5"/>
      <c r="Q1074" s="5"/>
      <c r="R1074" s="5"/>
      <c r="S1074" s="5"/>
      <c r="T1074" s="5"/>
      <c r="U1074" s="5"/>
      <c r="V1074" s="5"/>
      <c r="Y1074" s="5"/>
      <c r="Z1074" s="5"/>
      <c r="AA1074" s="5"/>
      <c r="AB1074" s="5"/>
      <c r="AC1074" s="5"/>
      <c r="AD1074" s="5"/>
      <c r="AE1074" s="5"/>
      <c r="AF1074" s="5"/>
      <c r="AG1074" s="5"/>
      <c r="AH1074" s="5"/>
      <c r="AI1074" s="5"/>
      <c r="AJ1074" s="5"/>
      <c r="AK1074" s="5"/>
      <c r="AL1074" s="5"/>
      <c r="AM1074" s="5"/>
      <c r="AN1074" s="5"/>
    </row>
    <row r="1075" spans="1:40" ht="18.75" customHeight="1">
      <c r="A1075" s="5"/>
      <c r="B1075" s="5"/>
      <c r="C1075" s="5"/>
      <c r="D1075" s="5"/>
      <c r="E1075" s="5"/>
      <c r="F1075" s="5"/>
      <c r="G1075" s="5"/>
      <c r="H1075" s="5"/>
      <c r="I1075" s="5"/>
      <c r="J1075" s="5"/>
      <c r="K1075" s="5"/>
      <c r="L1075" s="5"/>
      <c r="M1075" s="5"/>
      <c r="N1075" s="5"/>
      <c r="O1075" s="5"/>
      <c r="P1075" s="5"/>
      <c r="Q1075" s="5"/>
      <c r="R1075" s="5"/>
      <c r="S1075" s="5"/>
      <c r="T1075" s="5"/>
      <c r="U1075" s="5"/>
      <c r="V1075" s="5"/>
      <c r="Y1075" s="5"/>
      <c r="Z1075" s="5"/>
      <c r="AA1075" s="5"/>
      <c r="AB1075" s="5"/>
      <c r="AC1075" s="5"/>
      <c r="AD1075" s="5"/>
      <c r="AE1075" s="5"/>
      <c r="AF1075" s="5"/>
      <c r="AG1075" s="5"/>
      <c r="AH1075" s="5"/>
      <c r="AI1075" s="5"/>
      <c r="AJ1075" s="5"/>
      <c r="AK1075" s="5"/>
      <c r="AL1075" s="5"/>
      <c r="AM1075" s="5"/>
      <c r="AN1075" s="5"/>
    </row>
    <row r="1076" spans="1:40" ht="18.75" customHeight="1">
      <c r="A1076" s="5"/>
      <c r="B1076" s="5"/>
      <c r="C1076" s="5"/>
      <c r="D1076" s="5"/>
      <c r="E1076" s="5"/>
      <c r="F1076" s="5"/>
      <c r="G1076" s="5"/>
      <c r="H1076" s="5"/>
      <c r="I1076" s="5"/>
      <c r="J1076" s="5"/>
      <c r="K1076" s="5"/>
      <c r="L1076" s="5"/>
      <c r="M1076" s="5"/>
      <c r="N1076" s="5"/>
      <c r="O1076" s="5"/>
      <c r="P1076" s="5"/>
      <c r="Q1076" s="5"/>
      <c r="R1076" s="5"/>
      <c r="S1076" s="5"/>
      <c r="T1076" s="5"/>
      <c r="U1076" s="5"/>
      <c r="V1076" s="5"/>
      <c r="Y1076" s="5"/>
      <c r="Z1076" s="5"/>
      <c r="AA1076" s="5"/>
      <c r="AB1076" s="5"/>
      <c r="AC1076" s="5"/>
      <c r="AD1076" s="5"/>
      <c r="AE1076" s="5"/>
      <c r="AF1076" s="5"/>
      <c r="AG1076" s="5"/>
      <c r="AH1076" s="5"/>
      <c r="AI1076" s="5"/>
      <c r="AJ1076" s="5"/>
      <c r="AK1076" s="5"/>
      <c r="AL1076" s="5"/>
      <c r="AM1076" s="5"/>
      <c r="AN1076" s="5"/>
    </row>
    <row r="1077" spans="1:40" ht="18.75" customHeight="1">
      <c r="A1077" s="5"/>
      <c r="B1077" s="5"/>
      <c r="C1077" s="5"/>
      <c r="D1077" s="5"/>
      <c r="E1077" s="5"/>
      <c r="F1077" s="5"/>
      <c r="G1077" s="5"/>
      <c r="H1077" s="5"/>
      <c r="I1077" s="5"/>
      <c r="J1077" s="5"/>
      <c r="K1077" s="5"/>
      <c r="L1077" s="5"/>
      <c r="M1077" s="5"/>
      <c r="N1077" s="5"/>
      <c r="O1077" s="5"/>
      <c r="P1077" s="5"/>
      <c r="Q1077" s="5"/>
      <c r="R1077" s="5"/>
      <c r="S1077" s="5"/>
      <c r="T1077" s="5"/>
      <c r="U1077" s="5"/>
      <c r="V1077" s="5"/>
      <c r="Y1077" s="5"/>
      <c r="Z1077" s="5"/>
      <c r="AA1077" s="5"/>
      <c r="AB1077" s="5"/>
      <c r="AC1077" s="5"/>
      <c r="AD1077" s="5"/>
      <c r="AE1077" s="5"/>
      <c r="AF1077" s="5"/>
      <c r="AG1077" s="5"/>
      <c r="AH1077" s="5"/>
      <c r="AI1077" s="5"/>
      <c r="AJ1077" s="5"/>
      <c r="AK1077" s="5"/>
      <c r="AL1077" s="5"/>
      <c r="AM1077" s="5"/>
      <c r="AN1077" s="5"/>
    </row>
    <row r="1078" spans="1:40" ht="18.75" customHeight="1">
      <c r="A1078" s="5"/>
      <c r="B1078" s="5"/>
      <c r="C1078" s="5"/>
      <c r="D1078" s="5"/>
      <c r="E1078" s="5"/>
      <c r="F1078" s="5"/>
      <c r="G1078" s="5"/>
      <c r="H1078" s="5"/>
      <c r="I1078" s="5"/>
      <c r="J1078" s="5"/>
      <c r="K1078" s="5"/>
      <c r="L1078" s="5"/>
      <c r="M1078" s="5"/>
      <c r="N1078" s="5"/>
      <c r="O1078" s="5"/>
      <c r="P1078" s="5"/>
      <c r="Q1078" s="5"/>
      <c r="R1078" s="5"/>
      <c r="S1078" s="5"/>
      <c r="T1078" s="5"/>
      <c r="U1078" s="5"/>
      <c r="V1078" s="5"/>
      <c r="Y1078" s="5"/>
      <c r="Z1078" s="5"/>
      <c r="AA1078" s="5"/>
      <c r="AB1078" s="5"/>
      <c r="AC1078" s="5"/>
      <c r="AD1078" s="5"/>
      <c r="AE1078" s="5"/>
      <c r="AF1078" s="5"/>
      <c r="AG1078" s="5"/>
      <c r="AH1078" s="5"/>
      <c r="AI1078" s="5"/>
      <c r="AJ1078" s="5"/>
      <c r="AK1078" s="5"/>
      <c r="AL1078" s="5"/>
      <c r="AM1078" s="5"/>
      <c r="AN1078" s="5"/>
    </row>
    <row r="1079" spans="1:40" ht="18.75" customHeight="1">
      <c r="A1079" s="5"/>
      <c r="B1079" s="5"/>
      <c r="C1079" s="5"/>
      <c r="D1079" s="5"/>
      <c r="E1079" s="5"/>
      <c r="F1079" s="5"/>
      <c r="G1079" s="5"/>
      <c r="H1079" s="5"/>
      <c r="I1079" s="5"/>
      <c r="J1079" s="5"/>
      <c r="K1079" s="5"/>
      <c r="L1079" s="5"/>
      <c r="M1079" s="5"/>
      <c r="N1079" s="5"/>
      <c r="O1079" s="5"/>
      <c r="P1079" s="5"/>
      <c r="Q1079" s="5"/>
      <c r="R1079" s="5"/>
      <c r="S1079" s="5"/>
      <c r="T1079" s="5"/>
      <c r="U1079" s="5"/>
      <c r="V1079" s="5"/>
      <c r="Y1079" s="5"/>
      <c r="Z1079" s="5"/>
      <c r="AA1079" s="5"/>
      <c r="AB1079" s="5"/>
      <c r="AC1079" s="5"/>
      <c r="AD1079" s="5"/>
      <c r="AE1079" s="5"/>
      <c r="AF1079" s="5"/>
      <c r="AG1079" s="5"/>
      <c r="AH1079" s="5"/>
      <c r="AI1079" s="5"/>
      <c r="AJ1079" s="5"/>
      <c r="AK1079" s="5"/>
      <c r="AL1079" s="5"/>
      <c r="AM1079" s="5"/>
      <c r="AN1079" s="5"/>
    </row>
    <row r="1080" spans="1:40" ht="18.75" customHeight="1">
      <c r="A1080" s="5"/>
      <c r="B1080" s="5"/>
      <c r="C1080" s="5"/>
      <c r="D1080" s="5"/>
      <c r="E1080" s="5"/>
      <c r="F1080" s="5"/>
      <c r="G1080" s="5"/>
      <c r="H1080" s="5"/>
      <c r="I1080" s="5"/>
      <c r="J1080" s="5"/>
      <c r="K1080" s="5"/>
      <c r="L1080" s="5"/>
      <c r="M1080" s="5"/>
      <c r="N1080" s="5"/>
      <c r="O1080" s="5"/>
      <c r="P1080" s="5"/>
      <c r="Q1080" s="5"/>
      <c r="R1080" s="5"/>
      <c r="S1080" s="5"/>
      <c r="T1080" s="5"/>
      <c r="U1080" s="5"/>
      <c r="V1080" s="5"/>
      <c r="Y1080" s="5"/>
      <c r="Z1080" s="5"/>
      <c r="AA1080" s="5"/>
      <c r="AB1080" s="5"/>
      <c r="AC1080" s="5"/>
      <c r="AD1080" s="5"/>
      <c r="AE1080" s="5"/>
      <c r="AF1080" s="5"/>
      <c r="AG1080" s="5"/>
      <c r="AH1080" s="5"/>
      <c r="AI1080" s="5"/>
      <c r="AJ1080" s="5"/>
      <c r="AK1080" s="5"/>
      <c r="AL1080" s="5"/>
      <c r="AM1080" s="5"/>
      <c r="AN1080" s="5"/>
    </row>
    <row r="1081" spans="1:40" ht="18.75" customHeight="1">
      <c r="A1081" s="5"/>
      <c r="B1081" s="5"/>
      <c r="C1081" s="5"/>
      <c r="D1081" s="5"/>
      <c r="E1081" s="5"/>
      <c r="F1081" s="5"/>
      <c r="G1081" s="5"/>
      <c r="H1081" s="5"/>
      <c r="I1081" s="5"/>
      <c r="J1081" s="5"/>
      <c r="K1081" s="5"/>
      <c r="L1081" s="5"/>
      <c r="M1081" s="5"/>
      <c r="N1081" s="5"/>
      <c r="O1081" s="5"/>
      <c r="P1081" s="5"/>
      <c r="Q1081" s="5"/>
      <c r="R1081" s="5"/>
      <c r="S1081" s="5"/>
      <c r="T1081" s="5"/>
      <c r="U1081" s="5"/>
      <c r="V1081" s="5"/>
      <c r="Y1081" s="5"/>
      <c r="Z1081" s="5"/>
      <c r="AA1081" s="5"/>
      <c r="AB1081" s="5"/>
      <c r="AC1081" s="5"/>
      <c r="AD1081" s="5"/>
      <c r="AE1081" s="5"/>
      <c r="AF1081" s="5"/>
      <c r="AG1081" s="5"/>
      <c r="AH1081" s="5"/>
      <c r="AI1081" s="5"/>
      <c r="AJ1081" s="5"/>
      <c r="AK1081" s="5"/>
      <c r="AL1081" s="5"/>
      <c r="AM1081" s="5"/>
      <c r="AN1081" s="5"/>
    </row>
    <row r="1082" spans="1:40" ht="18.75" customHeight="1">
      <c r="A1082" s="5"/>
      <c r="B1082" s="5"/>
      <c r="C1082" s="5"/>
      <c r="D1082" s="5"/>
      <c r="E1082" s="5"/>
      <c r="F1082" s="5"/>
      <c r="G1082" s="5"/>
      <c r="H1082" s="5"/>
      <c r="I1082" s="5"/>
      <c r="J1082" s="5"/>
      <c r="K1082" s="5"/>
      <c r="L1082" s="5"/>
      <c r="M1082" s="5"/>
      <c r="N1082" s="5"/>
      <c r="O1082" s="5"/>
      <c r="P1082" s="5"/>
      <c r="Q1082" s="5"/>
      <c r="R1082" s="5"/>
      <c r="S1082" s="5"/>
      <c r="T1082" s="5"/>
      <c r="U1082" s="5"/>
      <c r="V1082" s="5"/>
      <c r="Y1082" s="5"/>
      <c r="Z1082" s="5"/>
      <c r="AA1082" s="5"/>
      <c r="AB1082" s="5"/>
      <c r="AC1082" s="5"/>
      <c r="AD1082" s="5"/>
      <c r="AE1082" s="5"/>
      <c r="AF1082" s="5"/>
      <c r="AG1082" s="5"/>
      <c r="AH1082" s="5"/>
      <c r="AI1082" s="5"/>
      <c r="AJ1082" s="5"/>
      <c r="AK1082" s="5"/>
      <c r="AL1082" s="5"/>
      <c r="AM1082" s="5"/>
      <c r="AN1082" s="5"/>
    </row>
    <row r="1083" spans="1:40" ht="18.75" customHeight="1">
      <c r="A1083" s="5"/>
      <c r="B1083" s="5"/>
      <c r="C1083" s="5"/>
      <c r="D1083" s="5"/>
      <c r="E1083" s="5"/>
      <c r="F1083" s="5"/>
      <c r="G1083" s="5"/>
      <c r="H1083" s="5"/>
      <c r="I1083" s="5"/>
      <c r="J1083" s="5"/>
      <c r="K1083" s="5"/>
      <c r="L1083" s="5"/>
      <c r="M1083" s="5"/>
      <c r="N1083" s="5"/>
      <c r="O1083" s="5"/>
      <c r="P1083" s="5"/>
      <c r="Q1083" s="5"/>
      <c r="R1083" s="5"/>
      <c r="S1083" s="5"/>
      <c r="T1083" s="5"/>
      <c r="U1083" s="5"/>
      <c r="V1083" s="5"/>
      <c r="Y1083" s="5"/>
      <c r="Z1083" s="5"/>
      <c r="AA1083" s="5"/>
      <c r="AB1083" s="5"/>
      <c r="AC1083" s="5"/>
      <c r="AD1083" s="5"/>
      <c r="AE1083" s="5"/>
      <c r="AF1083" s="5"/>
      <c r="AG1083" s="5"/>
      <c r="AH1083" s="5"/>
      <c r="AI1083" s="5"/>
      <c r="AJ1083" s="5"/>
      <c r="AK1083" s="5"/>
      <c r="AL1083" s="5"/>
      <c r="AM1083" s="5"/>
      <c r="AN1083" s="5"/>
    </row>
    <row r="1084" spans="1:40" ht="18.75" customHeight="1">
      <c r="A1084" s="5"/>
      <c r="B1084" s="5"/>
      <c r="C1084" s="5"/>
      <c r="D1084" s="5"/>
      <c r="E1084" s="5"/>
      <c r="F1084" s="5"/>
      <c r="G1084" s="5"/>
      <c r="H1084" s="5"/>
      <c r="I1084" s="5"/>
      <c r="J1084" s="5"/>
      <c r="K1084" s="5"/>
      <c r="L1084" s="5"/>
      <c r="M1084" s="5"/>
      <c r="N1084" s="5"/>
      <c r="O1084" s="5"/>
      <c r="P1084" s="5"/>
      <c r="Q1084" s="5"/>
      <c r="R1084" s="5"/>
      <c r="S1084" s="5"/>
      <c r="T1084" s="5"/>
      <c r="U1084" s="5"/>
      <c r="V1084" s="5"/>
      <c r="Y1084" s="5"/>
      <c r="Z1084" s="5"/>
      <c r="AA1084" s="5"/>
      <c r="AB1084" s="5"/>
      <c r="AC1084" s="5"/>
      <c r="AD1084" s="5"/>
      <c r="AE1084" s="5"/>
      <c r="AF1084" s="5"/>
      <c r="AG1084" s="5"/>
      <c r="AH1084" s="5"/>
      <c r="AI1084" s="5"/>
      <c r="AJ1084" s="5"/>
      <c r="AK1084" s="5"/>
      <c r="AL1084" s="5"/>
      <c r="AM1084" s="5"/>
      <c r="AN1084" s="5"/>
    </row>
    <row r="1085" spans="1:40" ht="18.75" customHeight="1">
      <c r="A1085" s="5"/>
      <c r="B1085" s="5"/>
      <c r="C1085" s="5"/>
      <c r="D1085" s="5"/>
      <c r="E1085" s="5"/>
      <c r="F1085" s="5"/>
      <c r="G1085" s="5"/>
      <c r="H1085" s="5"/>
      <c r="I1085" s="5"/>
      <c r="J1085" s="5"/>
      <c r="K1085" s="5"/>
      <c r="L1085" s="5"/>
      <c r="M1085" s="5"/>
      <c r="N1085" s="5"/>
      <c r="O1085" s="5"/>
      <c r="P1085" s="5"/>
      <c r="Q1085" s="5"/>
      <c r="R1085" s="5"/>
      <c r="S1085" s="5"/>
      <c r="T1085" s="5"/>
      <c r="U1085" s="5"/>
      <c r="V1085" s="5"/>
      <c r="Y1085" s="5"/>
      <c r="Z1085" s="5"/>
      <c r="AA1085" s="5"/>
      <c r="AB1085" s="5"/>
      <c r="AC1085" s="5"/>
      <c r="AD1085" s="5"/>
      <c r="AE1085" s="5"/>
      <c r="AF1085" s="5"/>
      <c r="AG1085" s="5"/>
      <c r="AH1085" s="5"/>
      <c r="AI1085" s="5"/>
      <c r="AJ1085" s="5"/>
      <c r="AK1085" s="5"/>
      <c r="AL1085" s="5"/>
      <c r="AM1085" s="5"/>
      <c r="AN1085" s="5"/>
    </row>
    <row r="1086" spans="1:40" ht="18.75" customHeight="1">
      <c r="A1086" s="5"/>
      <c r="B1086" s="5"/>
      <c r="C1086" s="5"/>
      <c r="D1086" s="5"/>
      <c r="E1086" s="5"/>
      <c r="F1086" s="5"/>
      <c r="G1086" s="5"/>
      <c r="H1086" s="5"/>
      <c r="I1086" s="5"/>
      <c r="J1086" s="5"/>
      <c r="K1086" s="5"/>
      <c r="L1086" s="5"/>
      <c r="M1086" s="5"/>
      <c r="N1086" s="5"/>
      <c r="O1086" s="5"/>
      <c r="P1086" s="5"/>
      <c r="Q1086" s="5"/>
      <c r="R1086" s="5"/>
      <c r="S1086" s="5"/>
      <c r="T1086" s="5"/>
      <c r="U1086" s="5"/>
      <c r="V1086" s="5"/>
      <c r="Y1086" s="5"/>
      <c r="Z1086" s="5"/>
      <c r="AA1086" s="5"/>
      <c r="AB1086" s="5"/>
      <c r="AC1086" s="5"/>
      <c r="AD1086" s="5"/>
      <c r="AE1086" s="5"/>
      <c r="AF1086" s="5"/>
      <c r="AG1086" s="5"/>
      <c r="AH1086" s="5"/>
      <c r="AI1086" s="5"/>
      <c r="AJ1086" s="5"/>
      <c r="AK1086" s="5"/>
      <c r="AL1086" s="5"/>
      <c r="AM1086" s="5"/>
      <c r="AN1086" s="5"/>
    </row>
    <row r="1087" spans="1:40" ht="18.75" customHeight="1">
      <c r="A1087" s="5"/>
      <c r="B1087" s="5"/>
      <c r="C1087" s="5"/>
      <c r="D1087" s="5"/>
      <c r="E1087" s="5"/>
      <c r="F1087" s="5"/>
      <c r="G1087" s="5"/>
      <c r="H1087" s="5"/>
      <c r="I1087" s="5"/>
      <c r="J1087" s="5"/>
      <c r="K1087" s="5"/>
      <c r="L1087" s="5"/>
      <c r="M1087" s="5"/>
      <c r="N1087" s="5"/>
      <c r="O1087" s="5"/>
      <c r="P1087" s="5"/>
      <c r="Q1087" s="5"/>
      <c r="R1087" s="5"/>
      <c r="S1087" s="5"/>
      <c r="T1087" s="5"/>
      <c r="U1087" s="5"/>
      <c r="V1087" s="5"/>
      <c r="Y1087" s="5"/>
      <c r="Z1087" s="5"/>
      <c r="AA1087" s="5"/>
      <c r="AB1087" s="5"/>
      <c r="AC1087" s="5"/>
      <c r="AD1087" s="5"/>
      <c r="AE1087" s="5"/>
      <c r="AF1087" s="5"/>
      <c r="AG1087" s="5"/>
      <c r="AH1087" s="5"/>
      <c r="AI1087" s="5"/>
      <c r="AJ1087" s="5"/>
      <c r="AK1087" s="5"/>
      <c r="AL1087" s="5"/>
      <c r="AM1087" s="5"/>
      <c r="AN1087" s="5"/>
    </row>
    <row r="1088" spans="1:40" ht="18.75" customHeight="1">
      <c r="A1088" s="5"/>
      <c r="B1088" s="5"/>
      <c r="C1088" s="5"/>
      <c r="D1088" s="5"/>
      <c r="E1088" s="5"/>
      <c r="F1088" s="5"/>
      <c r="G1088" s="5"/>
      <c r="H1088" s="5"/>
      <c r="I1088" s="5"/>
      <c r="J1088" s="5"/>
      <c r="K1088" s="5"/>
      <c r="L1088" s="5"/>
      <c r="M1088" s="5"/>
      <c r="N1088" s="5"/>
      <c r="O1088" s="5"/>
      <c r="P1088" s="5"/>
      <c r="Q1088" s="5"/>
      <c r="R1088" s="5"/>
      <c r="S1088" s="5"/>
      <c r="T1088" s="5"/>
      <c r="U1088" s="5"/>
      <c r="V1088" s="5"/>
      <c r="Y1088" s="5"/>
      <c r="Z1088" s="5"/>
      <c r="AA1088" s="5"/>
      <c r="AB1088" s="5"/>
      <c r="AC1088" s="5"/>
      <c r="AD1088" s="5"/>
      <c r="AE1088" s="5"/>
      <c r="AF1088" s="5"/>
      <c r="AG1088" s="5"/>
      <c r="AH1088" s="5"/>
      <c r="AI1088" s="5"/>
      <c r="AJ1088" s="5"/>
      <c r="AK1088" s="5"/>
      <c r="AL1088" s="5"/>
      <c r="AM1088" s="5"/>
      <c r="AN1088" s="5"/>
    </row>
    <row r="1089" spans="1:40" ht="18.75" customHeight="1">
      <c r="A1089" s="5"/>
      <c r="B1089" s="5"/>
      <c r="C1089" s="5"/>
      <c r="D1089" s="5"/>
      <c r="E1089" s="5"/>
      <c r="F1089" s="5"/>
      <c r="G1089" s="5"/>
      <c r="H1089" s="5"/>
      <c r="I1089" s="5"/>
      <c r="J1089" s="5"/>
      <c r="K1089" s="5"/>
      <c r="L1089" s="5"/>
      <c r="M1089" s="5"/>
      <c r="N1089" s="5"/>
      <c r="O1089" s="5"/>
      <c r="P1089" s="5"/>
      <c r="Q1089" s="5"/>
      <c r="R1089" s="5"/>
      <c r="S1089" s="5"/>
      <c r="T1089" s="5"/>
      <c r="U1089" s="5"/>
      <c r="V1089" s="5"/>
      <c r="Y1089" s="5"/>
      <c r="Z1089" s="5"/>
      <c r="AA1089" s="5"/>
      <c r="AB1089" s="5"/>
      <c r="AC1089" s="5"/>
      <c r="AD1089" s="5"/>
      <c r="AE1089" s="5"/>
      <c r="AF1089" s="5"/>
      <c r="AG1089" s="5"/>
      <c r="AH1089" s="5"/>
      <c r="AI1089" s="5"/>
      <c r="AJ1089" s="5"/>
      <c r="AK1089" s="5"/>
      <c r="AL1089" s="5"/>
      <c r="AM1089" s="5"/>
      <c r="AN1089" s="5"/>
    </row>
    <row r="1090" spans="1:40" ht="18.75" customHeight="1">
      <c r="A1090" s="5"/>
      <c r="B1090" s="5"/>
      <c r="C1090" s="5"/>
      <c r="D1090" s="5"/>
      <c r="E1090" s="5"/>
      <c r="F1090" s="5"/>
      <c r="G1090" s="5"/>
      <c r="H1090" s="5"/>
      <c r="I1090" s="5"/>
      <c r="J1090" s="5"/>
      <c r="K1090" s="5"/>
      <c r="L1090" s="5"/>
      <c r="M1090" s="5"/>
      <c r="N1090" s="5"/>
      <c r="O1090" s="5"/>
      <c r="P1090" s="5"/>
      <c r="Q1090" s="5"/>
      <c r="R1090" s="5"/>
      <c r="S1090" s="5"/>
      <c r="T1090" s="5"/>
      <c r="U1090" s="5"/>
      <c r="V1090" s="5"/>
      <c r="Y1090" s="5"/>
      <c r="Z1090" s="5"/>
      <c r="AA1090" s="5"/>
      <c r="AB1090" s="5"/>
      <c r="AC1090" s="5"/>
      <c r="AD1090" s="5"/>
      <c r="AE1090" s="5"/>
      <c r="AF1090" s="5"/>
      <c r="AG1090" s="5"/>
      <c r="AH1090" s="5"/>
      <c r="AI1090" s="5"/>
      <c r="AJ1090" s="5"/>
      <c r="AK1090" s="5"/>
      <c r="AL1090" s="5"/>
      <c r="AM1090" s="5"/>
      <c r="AN1090" s="5"/>
    </row>
    <row r="1091" spans="1:40" ht="18.75" customHeight="1">
      <c r="A1091" s="5"/>
      <c r="B1091" s="5"/>
      <c r="C1091" s="5"/>
      <c r="D1091" s="5"/>
      <c r="E1091" s="5"/>
      <c r="F1091" s="5"/>
      <c r="G1091" s="5"/>
      <c r="H1091" s="5"/>
      <c r="I1091" s="5"/>
      <c r="J1091" s="5"/>
      <c r="K1091" s="5"/>
      <c r="L1091" s="5"/>
      <c r="M1091" s="5"/>
      <c r="N1091" s="5"/>
      <c r="O1091" s="5"/>
      <c r="P1091" s="5"/>
      <c r="Q1091" s="5"/>
      <c r="R1091" s="5"/>
      <c r="S1091" s="5"/>
      <c r="T1091" s="5"/>
      <c r="U1091" s="5"/>
      <c r="V1091" s="5"/>
      <c r="Y1091" s="5"/>
      <c r="Z1091" s="5"/>
      <c r="AA1091" s="5"/>
      <c r="AB1091" s="5"/>
      <c r="AC1091" s="5"/>
      <c r="AD1091" s="5"/>
      <c r="AE1091" s="5"/>
      <c r="AF1091" s="5"/>
      <c r="AG1091" s="5"/>
      <c r="AH1091" s="5"/>
      <c r="AI1091" s="5"/>
      <c r="AJ1091" s="5"/>
      <c r="AK1091" s="5"/>
      <c r="AL1091" s="5"/>
      <c r="AM1091" s="5"/>
      <c r="AN1091" s="5"/>
    </row>
    <row r="1092" spans="1:40" ht="18.75" customHeight="1">
      <c r="A1092" s="5"/>
      <c r="B1092" s="5"/>
      <c r="C1092" s="5"/>
      <c r="D1092" s="5"/>
      <c r="E1092" s="5"/>
      <c r="F1092" s="5"/>
      <c r="G1092" s="5"/>
      <c r="H1092" s="5"/>
      <c r="I1092" s="5"/>
      <c r="J1092" s="5"/>
      <c r="K1092" s="5"/>
      <c r="L1092" s="5"/>
      <c r="M1092" s="5"/>
      <c r="N1092" s="5"/>
      <c r="O1092" s="5"/>
      <c r="P1092" s="5"/>
      <c r="Q1092" s="5"/>
      <c r="R1092" s="5"/>
      <c r="S1092" s="5"/>
      <c r="T1092" s="5"/>
      <c r="U1092" s="5"/>
      <c r="V1092" s="5"/>
      <c r="Y1092" s="5"/>
      <c r="Z1092" s="5"/>
      <c r="AA1092" s="5"/>
      <c r="AB1092" s="5"/>
      <c r="AC1092" s="5"/>
      <c r="AD1092" s="5"/>
      <c r="AE1092" s="5"/>
      <c r="AF1092" s="5"/>
      <c r="AG1092" s="5"/>
      <c r="AH1092" s="5"/>
      <c r="AI1092" s="5"/>
      <c r="AJ1092" s="5"/>
      <c r="AK1092" s="5"/>
      <c r="AL1092" s="5"/>
      <c r="AM1092" s="5"/>
      <c r="AN1092" s="5"/>
    </row>
    <row r="1093" spans="1:40" ht="18.75" customHeight="1">
      <c r="A1093" s="5"/>
      <c r="B1093" s="5"/>
      <c r="C1093" s="5"/>
      <c r="D1093" s="5"/>
      <c r="E1093" s="5"/>
      <c r="F1093" s="5"/>
      <c r="G1093" s="5"/>
      <c r="H1093" s="5"/>
      <c r="I1093" s="5"/>
      <c r="J1093" s="5"/>
      <c r="K1093" s="5"/>
      <c r="L1093" s="5"/>
      <c r="M1093" s="5"/>
      <c r="N1093" s="5"/>
      <c r="O1093" s="5"/>
      <c r="P1093" s="5"/>
      <c r="Q1093" s="5"/>
      <c r="R1093" s="5"/>
      <c r="S1093" s="5"/>
      <c r="T1093" s="5"/>
      <c r="U1093" s="5"/>
      <c r="V1093" s="5"/>
      <c r="Y1093" s="5"/>
      <c r="Z1093" s="5"/>
      <c r="AA1093" s="5"/>
      <c r="AB1093" s="5"/>
      <c r="AC1093" s="5"/>
      <c r="AD1093" s="5"/>
      <c r="AE1093" s="5"/>
      <c r="AF1093" s="5"/>
      <c r="AG1093" s="5"/>
      <c r="AH1093" s="5"/>
      <c r="AI1093" s="5"/>
      <c r="AJ1093" s="5"/>
      <c r="AK1093" s="5"/>
      <c r="AL1093" s="5"/>
      <c r="AM1093" s="5"/>
      <c r="AN1093" s="5"/>
    </row>
    <row r="1094" spans="1:40" ht="18.75" customHeight="1">
      <c r="A1094" s="5"/>
      <c r="B1094" s="5"/>
      <c r="C1094" s="5"/>
      <c r="D1094" s="5"/>
      <c r="E1094" s="5"/>
      <c r="F1094" s="5"/>
      <c r="G1094" s="5"/>
      <c r="H1094" s="5"/>
      <c r="I1094" s="5"/>
      <c r="J1094" s="5"/>
      <c r="K1094" s="5"/>
      <c r="L1094" s="5"/>
      <c r="M1094" s="5"/>
      <c r="N1094" s="5"/>
      <c r="O1094" s="5"/>
      <c r="P1094" s="5"/>
      <c r="Q1094" s="5"/>
      <c r="R1094" s="5"/>
      <c r="S1094" s="5"/>
      <c r="T1094" s="5"/>
      <c r="U1094" s="5"/>
      <c r="V1094" s="5"/>
      <c r="Y1094" s="5"/>
      <c r="Z1094" s="5"/>
      <c r="AA1094" s="5"/>
      <c r="AB1094" s="5"/>
      <c r="AC1094" s="5"/>
      <c r="AD1094" s="5"/>
      <c r="AE1094" s="5"/>
      <c r="AF1094" s="5"/>
      <c r="AG1094" s="5"/>
      <c r="AH1094" s="5"/>
      <c r="AI1094" s="5"/>
      <c r="AJ1094" s="5"/>
      <c r="AK1094" s="5"/>
      <c r="AL1094" s="5"/>
      <c r="AM1094" s="5"/>
      <c r="AN1094" s="5"/>
    </row>
    <row r="1095" spans="1:40" ht="18.75" customHeight="1">
      <c r="A1095" s="5"/>
      <c r="B1095" s="5"/>
      <c r="C1095" s="5"/>
      <c r="D1095" s="5"/>
      <c r="E1095" s="5"/>
      <c r="F1095" s="5"/>
      <c r="G1095" s="5"/>
      <c r="H1095" s="5"/>
      <c r="I1095" s="5"/>
      <c r="J1095" s="5"/>
      <c r="K1095" s="5"/>
      <c r="L1095" s="5"/>
      <c r="M1095" s="5"/>
      <c r="N1095" s="5"/>
      <c r="O1095" s="5"/>
      <c r="P1095" s="5"/>
      <c r="Q1095" s="5"/>
      <c r="R1095" s="5"/>
      <c r="S1095" s="5"/>
      <c r="T1095" s="5"/>
      <c r="U1095" s="5"/>
      <c r="V1095" s="5"/>
      <c r="Y1095" s="5"/>
      <c r="Z1095" s="5"/>
      <c r="AA1095" s="5"/>
      <c r="AB1095" s="5"/>
      <c r="AC1095" s="5"/>
      <c r="AD1095" s="5"/>
      <c r="AE1095" s="5"/>
      <c r="AF1095" s="5"/>
      <c r="AG1095" s="5"/>
      <c r="AH1095" s="5"/>
      <c r="AI1095" s="5"/>
      <c r="AJ1095" s="5"/>
      <c r="AK1095" s="5"/>
      <c r="AL1095" s="5"/>
      <c r="AM1095" s="5"/>
      <c r="AN1095" s="5"/>
    </row>
    <row r="1096" spans="1:40" ht="18.75" customHeight="1">
      <c r="A1096" s="5"/>
      <c r="B1096" s="5"/>
      <c r="C1096" s="5"/>
      <c r="D1096" s="5"/>
      <c r="E1096" s="5"/>
      <c r="F1096" s="5"/>
      <c r="G1096" s="5"/>
      <c r="H1096" s="5"/>
      <c r="I1096" s="5"/>
      <c r="J1096" s="5"/>
      <c r="K1096" s="5"/>
      <c r="L1096" s="5"/>
      <c r="M1096" s="5"/>
      <c r="N1096" s="5"/>
      <c r="O1096" s="5"/>
      <c r="P1096" s="5"/>
      <c r="Q1096" s="5"/>
      <c r="R1096" s="5"/>
      <c r="S1096" s="5"/>
      <c r="T1096" s="5"/>
      <c r="U1096" s="5"/>
      <c r="V1096" s="5"/>
      <c r="Y1096" s="5"/>
      <c r="Z1096" s="5"/>
      <c r="AA1096" s="5"/>
      <c r="AB1096" s="5"/>
      <c r="AC1096" s="5"/>
      <c r="AD1096" s="5"/>
      <c r="AE1096" s="5"/>
      <c r="AF1096" s="5"/>
      <c r="AG1096" s="5"/>
      <c r="AH1096" s="5"/>
      <c r="AI1096" s="5"/>
      <c r="AJ1096" s="5"/>
      <c r="AK1096" s="5"/>
      <c r="AL1096" s="5"/>
      <c r="AM1096" s="5"/>
      <c r="AN1096" s="5"/>
    </row>
    <row r="1097" spans="1:40" ht="18.75" customHeight="1">
      <c r="A1097" s="5"/>
      <c r="B1097" s="5"/>
      <c r="C1097" s="5"/>
      <c r="D1097" s="5"/>
      <c r="E1097" s="5"/>
      <c r="F1097" s="5"/>
      <c r="G1097" s="5"/>
      <c r="H1097" s="5"/>
      <c r="I1097" s="5"/>
      <c r="J1097" s="5"/>
      <c r="K1097" s="5"/>
      <c r="L1097" s="5"/>
      <c r="M1097" s="5"/>
      <c r="N1097" s="5"/>
      <c r="O1097" s="5"/>
      <c r="P1097" s="5"/>
      <c r="Q1097" s="5"/>
      <c r="R1097" s="5"/>
      <c r="S1097" s="5"/>
      <c r="T1097" s="5"/>
      <c r="U1097" s="5"/>
      <c r="V1097" s="5"/>
      <c r="Y1097" s="5"/>
      <c r="Z1097" s="5"/>
      <c r="AA1097" s="5"/>
      <c r="AB1097" s="5"/>
      <c r="AC1097" s="5"/>
      <c r="AD1097" s="5"/>
      <c r="AE1097" s="5"/>
      <c r="AF1097" s="5"/>
      <c r="AG1097" s="5"/>
      <c r="AH1097" s="5"/>
      <c r="AI1097" s="5"/>
      <c r="AJ1097" s="5"/>
      <c r="AK1097" s="5"/>
      <c r="AL1097" s="5"/>
      <c r="AM1097" s="5"/>
      <c r="AN1097" s="5"/>
    </row>
    <row r="1098" spans="1:40" ht="18.75" customHeight="1">
      <c r="A1098" s="5"/>
      <c r="B1098" s="5"/>
      <c r="C1098" s="5"/>
      <c r="D1098" s="5"/>
      <c r="E1098" s="5"/>
      <c r="F1098" s="5"/>
      <c r="G1098" s="5"/>
      <c r="H1098" s="5"/>
      <c r="I1098" s="5"/>
      <c r="J1098" s="5"/>
      <c r="K1098" s="5"/>
      <c r="L1098" s="5"/>
      <c r="M1098" s="5"/>
      <c r="N1098" s="5"/>
      <c r="O1098" s="5"/>
      <c r="P1098" s="5"/>
      <c r="Q1098" s="5"/>
      <c r="R1098" s="5"/>
      <c r="S1098" s="5"/>
      <c r="T1098" s="5"/>
      <c r="U1098" s="5"/>
      <c r="V1098" s="5"/>
      <c r="Y1098" s="5"/>
      <c r="Z1098" s="5"/>
      <c r="AA1098" s="5"/>
      <c r="AB1098" s="5"/>
      <c r="AC1098" s="5"/>
      <c r="AD1098" s="5"/>
      <c r="AE1098" s="5"/>
      <c r="AF1098" s="5"/>
      <c r="AG1098" s="5"/>
      <c r="AH1098" s="5"/>
      <c r="AI1098" s="5"/>
      <c r="AJ1098" s="5"/>
      <c r="AK1098" s="5"/>
      <c r="AL1098" s="5"/>
      <c r="AM1098" s="5"/>
      <c r="AN1098" s="5"/>
    </row>
    <row r="1099" spans="1:40" ht="18.75" customHeight="1">
      <c r="A1099" s="5"/>
      <c r="B1099" s="5"/>
      <c r="C1099" s="5"/>
      <c r="D1099" s="5"/>
      <c r="E1099" s="5"/>
      <c r="F1099" s="5"/>
      <c r="G1099" s="5"/>
      <c r="H1099" s="5"/>
      <c r="I1099" s="5"/>
      <c r="J1099" s="5"/>
      <c r="K1099" s="5"/>
      <c r="L1099" s="5"/>
      <c r="M1099" s="5"/>
      <c r="N1099" s="5"/>
      <c r="O1099" s="5"/>
      <c r="P1099" s="5"/>
      <c r="Q1099" s="5"/>
      <c r="R1099" s="5"/>
      <c r="S1099" s="5"/>
      <c r="T1099" s="5"/>
      <c r="U1099" s="5"/>
      <c r="V1099" s="5"/>
      <c r="Y1099" s="5"/>
      <c r="Z1099" s="5"/>
      <c r="AA1099" s="5"/>
      <c r="AB1099" s="5"/>
      <c r="AC1099" s="5"/>
      <c r="AD1099" s="5"/>
      <c r="AE1099" s="5"/>
      <c r="AF1099" s="5"/>
      <c r="AG1099" s="5"/>
      <c r="AH1099" s="5"/>
      <c r="AI1099" s="5"/>
      <c r="AJ1099" s="5"/>
      <c r="AK1099" s="5"/>
      <c r="AL1099" s="5"/>
      <c r="AM1099" s="5"/>
      <c r="AN1099" s="5"/>
    </row>
    <row r="1100" spans="1:40" ht="18.75" customHeight="1">
      <c r="A1100" s="5"/>
      <c r="B1100" s="5"/>
      <c r="C1100" s="5"/>
      <c r="D1100" s="5"/>
      <c r="E1100" s="5"/>
      <c r="F1100" s="5"/>
      <c r="G1100" s="5"/>
      <c r="H1100" s="5"/>
      <c r="I1100" s="5"/>
      <c r="J1100" s="5"/>
      <c r="K1100" s="5"/>
      <c r="L1100" s="5"/>
      <c r="M1100" s="5"/>
      <c r="N1100" s="5"/>
      <c r="O1100" s="5"/>
      <c r="P1100" s="5"/>
      <c r="Q1100" s="5"/>
      <c r="R1100" s="5"/>
      <c r="S1100" s="5"/>
      <c r="T1100" s="5"/>
      <c r="U1100" s="5"/>
      <c r="V1100" s="5"/>
      <c r="Y1100" s="5"/>
      <c r="Z1100" s="5"/>
      <c r="AA1100" s="5"/>
      <c r="AB1100" s="5"/>
      <c r="AC1100" s="5"/>
      <c r="AD1100" s="5"/>
      <c r="AE1100" s="5"/>
      <c r="AF1100" s="5"/>
      <c r="AG1100" s="5"/>
      <c r="AH1100" s="5"/>
      <c r="AI1100" s="5"/>
      <c r="AJ1100" s="5"/>
      <c r="AK1100" s="5"/>
      <c r="AL1100" s="5"/>
      <c r="AM1100" s="5"/>
      <c r="AN1100" s="5"/>
    </row>
    <row r="1101" spans="1:40" ht="18.75" customHeight="1">
      <c r="A1101" s="5"/>
      <c r="B1101" s="5"/>
      <c r="C1101" s="5"/>
      <c r="D1101" s="5"/>
      <c r="E1101" s="5"/>
      <c r="F1101" s="5"/>
      <c r="G1101" s="5"/>
      <c r="H1101" s="5"/>
      <c r="I1101" s="5"/>
      <c r="J1101" s="5"/>
      <c r="K1101" s="5"/>
      <c r="L1101" s="5"/>
      <c r="M1101" s="5"/>
      <c r="N1101" s="5"/>
      <c r="O1101" s="5"/>
      <c r="P1101" s="5"/>
      <c r="Q1101" s="5"/>
      <c r="R1101" s="5"/>
      <c r="S1101" s="5"/>
      <c r="T1101" s="5"/>
      <c r="U1101" s="5"/>
      <c r="V1101" s="5"/>
      <c r="Y1101" s="5"/>
      <c r="Z1101" s="5"/>
      <c r="AA1101" s="5"/>
      <c r="AB1101" s="5"/>
      <c r="AC1101" s="5"/>
      <c r="AD1101" s="5"/>
      <c r="AE1101" s="5"/>
      <c r="AF1101" s="5"/>
      <c r="AG1101" s="5"/>
      <c r="AH1101" s="5"/>
      <c r="AI1101" s="5"/>
      <c r="AJ1101" s="5"/>
      <c r="AK1101" s="5"/>
      <c r="AL1101" s="5"/>
      <c r="AM1101" s="5"/>
      <c r="AN1101" s="5"/>
    </row>
    <row r="1102" spans="1:40" ht="18.75" customHeight="1">
      <c r="A1102" s="5"/>
      <c r="B1102" s="5"/>
      <c r="C1102" s="5"/>
      <c r="D1102" s="5"/>
      <c r="E1102" s="5"/>
      <c r="F1102" s="5"/>
      <c r="G1102" s="5"/>
      <c r="H1102" s="5"/>
      <c r="I1102" s="5"/>
      <c r="J1102" s="5"/>
      <c r="K1102" s="5"/>
      <c r="L1102" s="5"/>
      <c r="M1102" s="5"/>
      <c r="N1102" s="5"/>
      <c r="O1102" s="5"/>
      <c r="P1102" s="5"/>
      <c r="Q1102" s="5"/>
      <c r="R1102" s="5"/>
      <c r="S1102" s="5"/>
      <c r="T1102" s="5"/>
      <c r="U1102" s="5"/>
      <c r="V1102" s="5"/>
      <c r="Y1102" s="5"/>
      <c r="Z1102" s="5"/>
      <c r="AA1102" s="5"/>
      <c r="AB1102" s="5"/>
      <c r="AC1102" s="5"/>
      <c r="AD1102" s="5"/>
      <c r="AE1102" s="5"/>
      <c r="AF1102" s="5"/>
      <c r="AG1102" s="5"/>
      <c r="AH1102" s="5"/>
      <c r="AI1102" s="5"/>
      <c r="AJ1102" s="5"/>
      <c r="AK1102" s="5"/>
      <c r="AL1102" s="5"/>
      <c r="AM1102" s="5"/>
      <c r="AN1102" s="5"/>
    </row>
    <row r="1103" spans="1:40" ht="18.75" customHeight="1">
      <c r="A1103" s="5"/>
      <c r="B1103" s="5"/>
      <c r="C1103" s="5"/>
      <c r="D1103" s="5"/>
      <c r="E1103" s="5"/>
      <c r="F1103" s="5"/>
      <c r="G1103" s="5"/>
      <c r="H1103" s="5"/>
      <c r="I1103" s="5"/>
      <c r="J1103" s="5"/>
      <c r="K1103" s="5"/>
      <c r="L1103" s="5"/>
      <c r="M1103" s="5"/>
      <c r="N1103" s="5"/>
      <c r="O1103" s="5"/>
      <c r="P1103" s="5"/>
      <c r="Q1103" s="5"/>
      <c r="R1103" s="5"/>
      <c r="S1103" s="5"/>
      <c r="T1103" s="5"/>
      <c r="U1103" s="5"/>
      <c r="V1103" s="5"/>
      <c r="Y1103" s="5"/>
      <c r="Z1103" s="5"/>
      <c r="AA1103" s="5"/>
      <c r="AB1103" s="5"/>
      <c r="AC1103" s="5"/>
      <c r="AD1103" s="5"/>
      <c r="AE1103" s="5"/>
      <c r="AF1103" s="5"/>
      <c r="AG1103" s="5"/>
      <c r="AH1103" s="5"/>
      <c r="AI1103" s="5"/>
      <c r="AJ1103" s="5"/>
      <c r="AK1103" s="5"/>
      <c r="AL1103" s="5"/>
      <c r="AM1103" s="5"/>
      <c r="AN1103" s="5"/>
    </row>
    <row r="1104" spans="1:40" ht="18.75" customHeight="1">
      <c r="A1104" s="5"/>
      <c r="B1104" s="5"/>
      <c r="C1104" s="5"/>
      <c r="D1104" s="5"/>
      <c r="E1104" s="5"/>
      <c r="F1104" s="5"/>
      <c r="G1104" s="5"/>
      <c r="H1104" s="5"/>
      <c r="I1104" s="5"/>
      <c r="J1104" s="5"/>
      <c r="K1104" s="5"/>
      <c r="L1104" s="5"/>
      <c r="M1104" s="5"/>
      <c r="N1104" s="5"/>
      <c r="O1104" s="5"/>
      <c r="P1104" s="5"/>
      <c r="Q1104" s="5"/>
      <c r="R1104" s="5"/>
      <c r="S1104" s="5"/>
      <c r="T1104" s="5"/>
      <c r="U1104" s="5"/>
      <c r="V1104" s="5"/>
      <c r="Y1104" s="5"/>
      <c r="Z1104" s="5"/>
      <c r="AA1104" s="5"/>
      <c r="AB1104" s="5"/>
      <c r="AC1104" s="5"/>
      <c r="AD1104" s="5"/>
      <c r="AE1104" s="5"/>
      <c r="AF1104" s="5"/>
      <c r="AG1104" s="5"/>
      <c r="AH1104" s="5"/>
      <c r="AI1104" s="5"/>
      <c r="AJ1104" s="5"/>
      <c r="AK1104" s="5"/>
      <c r="AL1104" s="5"/>
      <c r="AM1104" s="5"/>
      <c r="AN1104" s="5"/>
    </row>
    <row r="1105" spans="1:40" ht="18.75" customHeight="1">
      <c r="A1105" s="5"/>
      <c r="B1105" s="5"/>
      <c r="C1105" s="5"/>
      <c r="D1105" s="5"/>
      <c r="E1105" s="5"/>
      <c r="F1105" s="5"/>
      <c r="G1105" s="5"/>
      <c r="H1105" s="5"/>
      <c r="I1105" s="5"/>
      <c r="J1105" s="5"/>
      <c r="K1105" s="5"/>
      <c r="L1105" s="5"/>
      <c r="M1105" s="5"/>
      <c r="N1105" s="5"/>
      <c r="O1105" s="5"/>
      <c r="P1105" s="5"/>
      <c r="Q1105" s="5"/>
      <c r="R1105" s="5"/>
      <c r="S1105" s="5"/>
      <c r="T1105" s="5"/>
      <c r="U1105" s="5"/>
      <c r="V1105" s="5"/>
      <c r="Y1105" s="5"/>
      <c r="Z1105" s="5"/>
      <c r="AA1105" s="5"/>
      <c r="AB1105" s="5"/>
      <c r="AC1105" s="5"/>
      <c r="AD1105" s="5"/>
      <c r="AE1105" s="5"/>
      <c r="AF1105" s="5"/>
      <c r="AG1105" s="5"/>
      <c r="AH1105" s="5"/>
      <c r="AI1105" s="5"/>
      <c r="AJ1105" s="5"/>
      <c r="AK1105" s="5"/>
      <c r="AL1105" s="5"/>
      <c r="AM1105" s="5"/>
      <c r="AN1105" s="5"/>
    </row>
    <row r="1106" spans="1:40" ht="18.75" customHeight="1">
      <c r="A1106" s="5"/>
      <c r="B1106" s="5"/>
      <c r="C1106" s="5"/>
      <c r="D1106" s="5"/>
      <c r="E1106" s="5"/>
      <c r="F1106" s="5"/>
      <c r="G1106" s="5"/>
      <c r="H1106" s="5"/>
      <c r="I1106" s="5"/>
      <c r="J1106" s="5"/>
      <c r="K1106" s="5"/>
      <c r="L1106" s="5"/>
      <c r="M1106" s="5"/>
      <c r="N1106" s="5"/>
      <c r="O1106" s="5"/>
      <c r="P1106" s="5"/>
      <c r="Q1106" s="5"/>
      <c r="R1106" s="5"/>
      <c r="S1106" s="5"/>
      <c r="T1106" s="5"/>
      <c r="U1106" s="5"/>
      <c r="V1106" s="5"/>
      <c r="Y1106" s="5"/>
      <c r="Z1106" s="5"/>
      <c r="AA1106" s="5"/>
      <c r="AB1106" s="5"/>
      <c r="AC1106" s="5"/>
      <c r="AD1106" s="5"/>
      <c r="AE1106" s="5"/>
      <c r="AF1106" s="5"/>
      <c r="AG1106" s="5"/>
      <c r="AH1106" s="5"/>
      <c r="AI1106" s="5"/>
      <c r="AJ1106" s="5"/>
      <c r="AK1106" s="5"/>
      <c r="AL1106" s="5"/>
      <c r="AM1106" s="5"/>
      <c r="AN1106" s="5"/>
    </row>
    <row r="1107" spans="1:40" ht="18.75" customHeight="1">
      <c r="A1107" s="5"/>
      <c r="B1107" s="5"/>
      <c r="C1107" s="5"/>
      <c r="D1107" s="5"/>
      <c r="E1107" s="5"/>
      <c r="F1107" s="5"/>
      <c r="G1107" s="5"/>
      <c r="H1107" s="5"/>
      <c r="I1107" s="5"/>
      <c r="J1107" s="5"/>
      <c r="K1107" s="5"/>
      <c r="L1107" s="5"/>
      <c r="M1107" s="5"/>
      <c r="N1107" s="5"/>
      <c r="O1107" s="5"/>
      <c r="P1107" s="5"/>
      <c r="Q1107" s="5"/>
      <c r="R1107" s="5"/>
      <c r="S1107" s="5"/>
      <c r="T1107" s="5"/>
      <c r="U1107" s="5"/>
      <c r="V1107" s="5"/>
      <c r="Y1107" s="5"/>
      <c r="Z1107" s="5"/>
      <c r="AA1107" s="5"/>
      <c r="AB1107" s="5"/>
      <c r="AC1107" s="5"/>
      <c r="AD1107" s="5"/>
      <c r="AE1107" s="5"/>
      <c r="AF1107" s="5"/>
      <c r="AG1107" s="5"/>
      <c r="AH1107" s="5"/>
      <c r="AI1107" s="5"/>
      <c r="AJ1107" s="5"/>
      <c r="AK1107" s="5"/>
      <c r="AL1107" s="5"/>
      <c r="AM1107" s="5"/>
      <c r="AN1107" s="5"/>
    </row>
    <row r="1108" spans="1:40" ht="15" customHeight="1">
      <c r="A1108" s="5"/>
      <c r="B1108" s="5"/>
      <c r="C1108" s="5"/>
      <c r="D1108" s="5"/>
      <c r="E1108" s="5"/>
      <c r="F1108" s="5"/>
      <c r="G1108" s="5"/>
      <c r="H1108" s="5"/>
      <c r="I1108" s="5"/>
      <c r="J1108" s="5"/>
      <c r="K1108" s="5"/>
      <c r="L1108" s="5"/>
      <c r="M1108" s="5"/>
    </row>
    <row r="1109" spans="1:40" ht="15" customHeight="1">
      <c r="A1109" s="5"/>
      <c r="B1109" s="5"/>
      <c r="C1109" s="5"/>
      <c r="D1109" s="5"/>
      <c r="E1109" s="5"/>
      <c r="F1109" s="5"/>
      <c r="G1109" s="5"/>
      <c r="H1109" s="5"/>
      <c r="I1109" s="5"/>
      <c r="J1109" s="5"/>
      <c r="K1109" s="5"/>
      <c r="L1109" s="5"/>
      <c r="M1109" s="5"/>
    </row>
    <row r="1110" spans="1:40" ht="15" customHeight="1">
      <c r="A1110" s="5"/>
      <c r="B1110" s="5"/>
      <c r="C1110" s="5"/>
      <c r="D1110" s="5"/>
      <c r="E1110" s="5"/>
      <c r="F1110" s="5"/>
      <c r="G1110" s="5"/>
      <c r="H1110" s="5"/>
      <c r="I1110" s="5"/>
      <c r="J1110" s="5"/>
      <c r="K1110" s="5"/>
      <c r="L1110" s="5"/>
      <c r="M1110" s="5"/>
    </row>
    <row r="1111" spans="1:40" ht="15" customHeight="1">
      <c r="A1111" s="5"/>
      <c r="B1111" s="5"/>
      <c r="C1111" s="5"/>
      <c r="D1111" s="5"/>
      <c r="E1111" s="5"/>
      <c r="F1111" s="5"/>
      <c r="G1111" s="5"/>
      <c r="H1111" s="5"/>
      <c r="I1111" s="5"/>
      <c r="J1111" s="5"/>
      <c r="K1111" s="5"/>
      <c r="L1111" s="5"/>
      <c r="M1111" s="5"/>
    </row>
    <row r="1112" spans="1:40" ht="15" customHeight="1">
      <c r="A1112" s="5"/>
      <c r="B1112" s="5"/>
      <c r="C1112" s="5"/>
      <c r="D1112" s="5"/>
      <c r="E1112" s="5"/>
      <c r="F1112" s="5"/>
      <c r="G1112" s="5"/>
      <c r="H1112" s="5"/>
      <c r="I1112" s="5"/>
      <c r="J1112" s="5"/>
      <c r="K1112" s="5"/>
      <c r="L1112" s="5"/>
      <c r="M1112" s="5"/>
    </row>
    <row r="1113" spans="1:40" ht="15" customHeight="1">
      <c r="A1113" s="5"/>
      <c r="B1113" s="5"/>
      <c r="C1113" s="5"/>
      <c r="D1113" s="5"/>
      <c r="E1113" s="5"/>
      <c r="F1113" s="5"/>
      <c r="G1113" s="5"/>
      <c r="H1113" s="5"/>
      <c r="I1113" s="5"/>
      <c r="J1113" s="5"/>
      <c r="K1113" s="5"/>
      <c r="L1113" s="5"/>
      <c r="M1113" s="5"/>
    </row>
    <row r="1114" spans="1:40" ht="15" customHeight="1">
      <c r="A1114" s="5"/>
      <c r="B1114" s="5"/>
      <c r="C1114" s="5"/>
      <c r="D1114" s="5"/>
      <c r="E1114" s="5"/>
      <c r="F1114" s="5"/>
      <c r="G1114" s="5"/>
      <c r="H1114" s="5"/>
      <c r="I1114" s="5"/>
      <c r="J1114" s="5"/>
      <c r="K1114" s="5"/>
      <c r="L1114" s="5"/>
      <c r="M1114" s="5"/>
    </row>
    <row r="1115" spans="1:40" ht="15" customHeight="1">
      <c r="A1115" s="5"/>
      <c r="B1115" s="5"/>
      <c r="C1115" s="5"/>
      <c r="D1115" s="5"/>
      <c r="E1115" s="5"/>
      <c r="F1115" s="5"/>
      <c r="G1115" s="5"/>
      <c r="H1115" s="5"/>
      <c r="I1115" s="5"/>
      <c r="J1115" s="5"/>
      <c r="K1115" s="5"/>
      <c r="L1115" s="5"/>
      <c r="M1115" s="5"/>
    </row>
    <row r="1116" spans="1:40" ht="15" customHeight="1">
      <c r="A1116" s="5"/>
      <c r="B1116" s="5"/>
      <c r="C1116" s="5"/>
      <c r="D1116" s="5"/>
      <c r="E1116" s="5"/>
      <c r="F1116" s="5"/>
      <c r="G1116" s="5"/>
      <c r="H1116" s="5"/>
      <c r="I1116" s="5"/>
      <c r="J1116" s="5"/>
      <c r="K1116" s="5"/>
      <c r="L1116" s="5"/>
      <c r="M1116" s="5"/>
    </row>
    <row r="1117" spans="1:40" ht="15" customHeight="1">
      <c r="A1117" s="5"/>
      <c r="B1117" s="5"/>
      <c r="C1117" s="5"/>
      <c r="D1117" s="5"/>
      <c r="E1117" s="5"/>
      <c r="F1117" s="5"/>
      <c r="G1117" s="5"/>
      <c r="H1117" s="5"/>
      <c r="I1117" s="5"/>
      <c r="J1117" s="5"/>
      <c r="K1117" s="5"/>
      <c r="L1117" s="5"/>
      <c r="M1117" s="5"/>
    </row>
  </sheetData>
  <mergeCells count="3">
    <mergeCell ref="A12:AE12"/>
    <mergeCell ref="A91:AE91"/>
    <mergeCell ref="A159:AE159"/>
  </mergeCells>
  <conditionalFormatting sqref="B8">
    <cfRule type="cellIs" dxfId="9" priority="1663" operator="equal">
      <formula>TRUE</formula>
    </cfRule>
  </conditionalFormatting>
  <conditionalFormatting sqref="A39:D39 F39:M39 B43:M43 A32:M38 A40:M42 A44:M73">
    <cfRule type="colorScale" priority="1667">
      <colorScale>
        <cfvo type="min"/>
        <cfvo type="percentile" val="50"/>
        <cfvo type="max"/>
        <color rgb="FF63BE7B"/>
        <color rgb="FFFFEB84"/>
        <color rgb="FFF8696B"/>
      </colorScale>
    </cfRule>
  </conditionalFormatting>
  <conditionalFormatting sqref="A185:L209">
    <cfRule type="colorScale" priority="1669">
      <colorScale>
        <cfvo type="min"/>
        <cfvo type="percentile" val="50"/>
        <cfvo type="max"/>
        <color rgb="FF63BE7B"/>
        <color rgb="FFFFEB84"/>
        <color rgb="FFF8696B"/>
      </colorScale>
    </cfRule>
  </conditionalFormatting>
  <conditionalFormatting sqref="A12">
    <cfRule type="colorScale" priority="1658">
      <colorScale>
        <cfvo type="min"/>
        <cfvo type="percentile" val="50"/>
        <cfvo type="max"/>
        <color rgb="FF63BE7B"/>
        <color rgb="FFFFEB84"/>
        <color rgb="FFF8696B"/>
      </colorScale>
    </cfRule>
  </conditionalFormatting>
  <conditionalFormatting sqref="A43">
    <cfRule type="dataBar" priority="1656">
      <dataBar>
        <cfvo type="min"/>
        <cfvo type="max"/>
        <color rgb="FF638EC6"/>
      </dataBar>
      <extLst>
        <ext xmlns:x14="http://schemas.microsoft.com/office/spreadsheetml/2009/9/main" uri="{B025F937-C7B1-47D3-B67F-A62EFF666E3E}">
          <x14:id>{C6034F81-819D-4571-8190-8AC5389B1564}</x14:id>
        </ext>
      </extLst>
    </cfRule>
    <cfRule type="colorScale" priority="1657">
      <colorScale>
        <cfvo type="min"/>
        <cfvo type="percentile" val="50"/>
        <cfvo type="max"/>
        <color rgb="FF63BE7B"/>
        <color rgb="FFFFEB84"/>
        <color rgb="FFF8696B"/>
      </colorScale>
    </cfRule>
  </conditionalFormatting>
  <conditionalFormatting sqref="E39">
    <cfRule type="colorScale" priority="1655">
      <colorScale>
        <cfvo type="min"/>
        <cfvo type="percentile" val="50"/>
        <cfvo type="max"/>
        <color rgb="FF63BE7B"/>
        <color rgb="FFFFEB84"/>
        <color rgb="FFF8696B"/>
      </colorScale>
    </cfRule>
  </conditionalFormatting>
  <conditionalFormatting sqref="B44 B42 C41 C43 C45 D40 E39 D42 E41 D44 E43 D46 E45 E47">
    <cfRule type="dataBar" priority="1654">
      <dataBar>
        <cfvo type="min"/>
        <cfvo type="max"/>
        <color rgb="FF638EC6"/>
      </dataBar>
      <extLst>
        <ext xmlns:x14="http://schemas.microsoft.com/office/spreadsheetml/2009/9/main" uri="{B025F937-C7B1-47D3-B67F-A62EFF666E3E}">
          <x14:id>{9ECE7C6F-6601-442B-9993-F92FF12E2AB0}</x14:id>
        </ext>
      </extLst>
    </cfRule>
  </conditionalFormatting>
  <conditionalFormatting sqref="F38 I33 G37 H36 I35 J34 K33 L32">
    <cfRule type="dataBar" priority="1653">
      <dataBar>
        <cfvo type="min"/>
        <cfvo type="max"/>
        <color rgb="FF638EC6"/>
      </dataBar>
      <extLst>
        <ext xmlns:x14="http://schemas.microsoft.com/office/spreadsheetml/2009/9/main" uri="{B025F937-C7B1-47D3-B67F-A62EFF666E3E}">
          <x14:id>{1DC42844-2F38-4628-8CA4-B79254EF5AE4}</x14:id>
        </ext>
      </extLst>
    </cfRule>
  </conditionalFormatting>
  <conditionalFormatting sqref="F35 F40 F42 F44 F46 F48 G49 G45 G47 G43 G41 G39 H38 I37 J36 K35 L34 L36 K37 J38 I39 H40 H42 I41 J40 K39 L38 L40 K41 J42 I43 H44 H46 J44 K43 L42 L44 K45 J46 I45 I47 H48 I49 H50 I51 J52 K53 L54 L52 K51 J50 K49 J48 K47 L46 L48 L50">
    <cfRule type="dataBar" priority="1652">
      <dataBar>
        <cfvo type="min"/>
        <cfvo type="max"/>
        <color rgb="FF638EC6"/>
      </dataBar>
      <extLst>
        <ext xmlns:x14="http://schemas.microsoft.com/office/spreadsheetml/2009/9/main" uri="{B025F937-C7B1-47D3-B67F-A62EFF666E3E}">
          <x14:id>{9BC2B1BE-C468-472D-B449-499C39BD9910}</x14:id>
        </ext>
      </extLst>
    </cfRule>
  </conditionalFormatting>
  <conditionalFormatting sqref="Z73:AE90 T68:Y68 T64 R63:S63 P61:Q61 O28 Y20 Z19 AA18 AB17 AC16 AD15:AE15 AE14 Y22 Z21 AA20 AB19 AC18 AD17:AE17 AE16 Y24 Z23 AA22 AB21 AC20 AD19:AE19 AE18 Y26 Z25 AA24 AB23 AC22 AD21:AE21 AE20 Y28 Z27 AA26 AB25 AC24 AD23:AE23 AE22 Y30 Z29 AA28 AB27 AC26 AD25:AE25 AE24 Y32 Z31 AA30 AB29 AC28 AD27:AE27 AE26 Y34 Z33 AA32 AB31 AC30 AD29:AE29 AE28 Y36 Z35 AA34 AB33 AC32 AD31:AE31 AE30 Y38 Z37 AA36 AB35 AC34 AD33:AE33 AE32 Y40 Z39 AA38 AB37 AC36 AD35:AE35 AE34 Y42 Z41 AA40 AB39 AC38 AD37:AE37 AE36 N58 Y44 Z43 AA42 AB41 AC40 AD39:AE39 AE38 R62 Y66 T67:W67 Z67 AA68 Z69 AB69 Z70:AA70 AC70 Z71:AB71 AD71:AE71 Z72:AC72 AE72 Y64 Z65 AA66 AB67 AC68 AD69:AE69 AE70 Y62 Z63 AA64 AB65 AC66 AD67:AE67 AE68 Y60 Z61 AA62 AB63 AC64 AD65:AE65 AE66 Y58 Z59 AA60 AB61 AC62 AD63:AE63 AE64 Y56 Z57 AA58 AB59 AC60 AD61:AE61 AE62 Y54 Z55 AA56 AB57 AC58 AD59:AE59 AE60 Y52 Z53 AA54 AB55 AC56 AD57:AE57 AE58 Y50 Z51 AA52 AB53 AC54 AD55:AE55 AE56 Y48 Z49 AA50 AB51 AC52 AD53:AE53 AE54 Y46 Z47 AA48 AB49 AC50 AD51:AE51 AE52 Z45 AA46 AB47 AC48 AD49:AE49 AE50 AA44 AB45 AC46 AD47:AE47 AE48 AB43 AC44 AD45:AE45 AE46 AC42 AD43:AE43 AE44 AD41:AE41 AE42 AE40 Z93:AE95 T66:V66">
    <cfRule type="colorScale" priority="1236">
      <colorScale>
        <cfvo type="min"/>
        <cfvo type="percentile" val="50"/>
        <cfvo type="max"/>
        <color rgb="FF63BE7B"/>
        <color rgb="FFFFEB84"/>
        <color rgb="FFF8696B"/>
      </colorScale>
    </cfRule>
  </conditionalFormatting>
  <conditionalFormatting sqref="N93:O94 N59:O90">
    <cfRule type="colorScale" priority="1235">
      <colorScale>
        <cfvo type="min"/>
        <cfvo type="percentile" val="50"/>
        <cfvo type="max"/>
        <color rgb="FF63BE7B"/>
        <color rgb="FFFFEB84"/>
        <color rgb="FFF8696B"/>
      </colorScale>
    </cfRule>
  </conditionalFormatting>
  <conditionalFormatting sqref="A109:M110">
    <cfRule type="colorScale" priority="1234">
      <colorScale>
        <cfvo type="min"/>
        <cfvo type="percentile" val="50"/>
        <cfvo type="max"/>
        <color rgb="FF63BE7B"/>
        <color rgb="FFFFEB84"/>
        <color rgb="FFF8696B"/>
      </colorScale>
    </cfRule>
  </conditionalFormatting>
  <conditionalFormatting sqref="S65:U65">
    <cfRule type="colorScale" priority="1233">
      <colorScale>
        <cfvo type="min"/>
        <cfvo type="percentile" val="50"/>
        <cfvo type="max"/>
        <color rgb="FF63BE7B"/>
        <color rgb="FFFFEB84"/>
        <color rgb="FFF8696B"/>
      </colorScale>
    </cfRule>
  </conditionalFormatting>
  <conditionalFormatting sqref="M31">
    <cfRule type="colorScale" priority="1232">
      <colorScale>
        <cfvo type="min"/>
        <cfvo type="percentile" val="50"/>
        <cfvo type="max"/>
        <color rgb="FF63BE7B"/>
        <color rgb="FFFFEB84"/>
        <color rgb="FFF8696B"/>
      </colorScale>
    </cfRule>
  </conditionalFormatting>
  <conditionalFormatting sqref="M31">
    <cfRule type="dataBar" priority="1231">
      <dataBar>
        <cfvo type="min"/>
        <cfvo type="max"/>
        <color rgb="FF638EC6"/>
      </dataBar>
      <extLst>
        <ext xmlns:x14="http://schemas.microsoft.com/office/spreadsheetml/2009/9/main" uri="{B025F937-C7B1-47D3-B67F-A62EFF666E3E}">
          <x14:id>{DB444870-357E-A64A-B0C5-7982E6550E06}</x14:id>
        </ext>
      </extLst>
    </cfRule>
  </conditionalFormatting>
  <conditionalFormatting sqref="N30">
    <cfRule type="colorScale" priority="1230">
      <colorScale>
        <cfvo type="min"/>
        <cfvo type="percentile" val="50"/>
        <cfvo type="max"/>
        <color rgb="FF63BE7B"/>
        <color rgb="FFFFEB84"/>
        <color rgb="FFF8696B"/>
      </colorScale>
    </cfRule>
  </conditionalFormatting>
  <conditionalFormatting sqref="N30">
    <cfRule type="dataBar" priority="1229">
      <dataBar>
        <cfvo type="min"/>
        <cfvo type="max"/>
        <color rgb="FF638EC6"/>
      </dataBar>
      <extLst>
        <ext xmlns:x14="http://schemas.microsoft.com/office/spreadsheetml/2009/9/main" uri="{B025F937-C7B1-47D3-B67F-A62EFF666E3E}">
          <x14:id>{4B10186C-0E1D-164E-A182-340E94CDE769}</x14:id>
        </ext>
      </extLst>
    </cfRule>
  </conditionalFormatting>
  <conditionalFormatting sqref="O29">
    <cfRule type="colorScale" priority="1228">
      <colorScale>
        <cfvo type="min"/>
        <cfvo type="percentile" val="50"/>
        <cfvo type="max"/>
        <color rgb="FF63BE7B"/>
        <color rgb="FFFFEB84"/>
        <color rgb="FFF8696B"/>
      </colorScale>
    </cfRule>
  </conditionalFormatting>
  <conditionalFormatting sqref="O29">
    <cfRule type="dataBar" priority="1227">
      <dataBar>
        <cfvo type="min"/>
        <cfvo type="max"/>
        <color rgb="FF638EC6"/>
      </dataBar>
      <extLst>
        <ext xmlns:x14="http://schemas.microsoft.com/office/spreadsheetml/2009/9/main" uri="{B025F937-C7B1-47D3-B67F-A62EFF666E3E}">
          <x14:id>{5C325698-6942-EE4C-BB85-C66914CAF5D5}</x14:id>
        </ext>
      </extLst>
    </cfRule>
  </conditionalFormatting>
  <conditionalFormatting sqref="L32">
    <cfRule type="dataBar" priority="1226">
      <dataBar>
        <cfvo type="min"/>
        <cfvo type="max"/>
        <color rgb="FF638EC6"/>
      </dataBar>
      <extLst>
        <ext xmlns:x14="http://schemas.microsoft.com/office/spreadsheetml/2009/9/main" uri="{B025F937-C7B1-47D3-B67F-A62EFF666E3E}">
          <x14:id>{87019A2C-0491-564D-8A74-BD01623FD69E}</x14:id>
        </ext>
      </extLst>
    </cfRule>
  </conditionalFormatting>
  <conditionalFormatting sqref="P28">
    <cfRule type="colorScale" priority="1225">
      <colorScale>
        <cfvo type="min"/>
        <cfvo type="percentile" val="50"/>
        <cfvo type="max"/>
        <color rgb="FF63BE7B"/>
        <color rgb="FFFFEB84"/>
        <color rgb="FFF8696B"/>
      </colorScale>
    </cfRule>
  </conditionalFormatting>
  <conditionalFormatting sqref="P28">
    <cfRule type="dataBar" priority="1224">
      <dataBar>
        <cfvo type="min"/>
        <cfvo type="max"/>
        <color rgb="FF638EC6"/>
      </dataBar>
      <extLst>
        <ext xmlns:x14="http://schemas.microsoft.com/office/spreadsheetml/2009/9/main" uri="{B025F937-C7B1-47D3-B67F-A62EFF666E3E}">
          <x14:id>{2370174D-1A03-E145-84B7-F5705BAFDDB9}</x14:id>
        </ext>
      </extLst>
    </cfRule>
  </conditionalFormatting>
  <conditionalFormatting sqref="Q27">
    <cfRule type="colorScale" priority="1223">
      <colorScale>
        <cfvo type="min"/>
        <cfvo type="percentile" val="50"/>
        <cfvo type="max"/>
        <color rgb="FF63BE7B"/>
        <color rgb="FFFFEB84"/>
        <color rgb="FFF8696B"/>
      </colorScale>
    </cfRule>
  </conditionalFormatting>
  <conditionalFormatting sqref="Q27">
    <cfRule type="dataBar" priority="1222">
      <dataBar>
        <cfvo type="min"/>
        <cfvo type="max"/>
        <color rgb="FF638EC6"/>
      </dataBar>
      <extLst>
        <ext xmlns:x14="http://schemas.microsoft.com/office/spreadsheetml/2009/9/main" uri="{B025F937-C7B1-47D3-B67F-A62EFF666E3E}">
          <x14:id>{865FCDC7-7260-D449-A833-AA29FD57908A}</x14:id>
        </ext>
      </extLst>
    </cfRule>
  </conditionalFormatting>
  <conditionalFormatting sqref="R26">
    <cfRule type="colorScale" priority="1221">
      <colorScale>
        <cfvo type="min"/>
        <cfvo type="percentile" val="50"/>
        <cfvo type="max"/>
        <color rgb="FF63BE7B"/>
        <color rgb="FFFFEB84"/>
        <color rgb="FFF8696B"/>
      </colorScale>
    </cfRule>
  </conditionalFormatting>
  <conditionalFormatting sqref="R26">
    <cfRule type="dataBar" priority="1220">
      <dataBar>
        <cfvo type="min"/>
        <cfvo type="max"/>
        <color rgb="FF638EC6"/>
      </dataBar>
      <extLst>
        <ext xmlns:x14="http://schemas.microsoft.com/office/spreadsheetml/2009/9/main" uri="{B025F937-C7B1-47D3-B67F-A62EFF666E3E}">
          <x14:id>{A715B063-5551-354C-B33F-E434EDBD0F02}</x14:id>
        </ext>
      </extLst>
    </cfRule>
  </conditionalFormatting>
  <conditionalFormatting sqref="S25">
    <cfRule type="colorScale" priority="1219">
      <colorScale>
        <cfvo type="min"/>
        <cfvo type="percentile" val="50"/>
        <cfvo type="max"/>
        <color rgb="FF63BE7B"/>
        <color rgb="FFFFEB84"/>
        <color rgb="FFF8696B"/>
      </colorScale>
    </cfRule>
  </conditionalFormatting>
  <conditionalFormatting sqref="S25">
    <cfRule type="dataBar" priority="1218">
      <dataBar>
        <cfvo type="min"/>
        <cfvo type="max"/>
        <color rgb="FF638EC6"/>
      </dataBar>
      <extLst>
        <ext xmlns:x14="http://schemas.microsoft.com/office/spreadsheetml/2009/9/main" uri="{B025F937-C7B1-47D3-B67F-A62EFF666E3E}">
          <x14:id>{23E8499C-1A1E-9246-ABA0-87569D3CDF63}</x14:id>
        </ext>
      </extLst>
    </cfRule>
  </conditionalFormatting>
  <conditionalFormatting sqref="T24">
    <cfRule type="colorScale" priority="1217">
      <colorScale>
        <cfvo type="min"/>
        <cfvo type="percentile" val="50"/>
        <cfvo type="max"/>
        <color rgb="FF63BE7B"/>
        <color rgb="FFFFEB84"/>
        <color rgb="FFF8696B"/>
      </colorScale>
    </cfRule>
  </conditionalFormatting>
  <conditionalFormatting sqref="T24">
    <cfRule type="dataBar" priority="1216">
      <dataBar>
        <cfvo type="min"/>
        <cfvo type="max"/>
        <color rgb="FF638EC6"/>
      </dataBar>
      <extLst>
        <ext xmlns:x14="http://schemas.microsoft.com/office/spreadsheetml/2009/9/main" uri="{B025F937-C7B1-47D3-B67F-A62EFF666E3E}">
          <x14:id>{C60847C8-276A-D642-B829-346B7C331324}</x14:id>
        </ext>
      </extLst>
    </cfRule>
  </conditionalFormatting>
  <conditionalFormatting sqref="U23">
    <cfRule type="colorScale" priority="1215">
      <colorScale>
        <cfvo type="min"/>
        <cfvo type="percentile" val="50"/>
        <cfvo type="max"/>
        <color rgb="FF63BE7B"/>
        <color rgb="FFFFEB84"/>
        <color rgb="FFF8696B"/>
      </colorScale>
    </cfRule>
  </conditionalFormatting>
  <conditionalFormatting sqref="U23">
    <cfRule type="dataBar" priority="1214">
      <dataBar>
        <cfvo type="min"/>
        <cfvo type="max"/>
        <color rgb="FF638EC6"/>
      </dataBar>
      <extLst>
        <ext xmlns:x14="http://schemas.microsoft.com/office/spreadsheetml/2009/9/main" uri="{B025F937-C7B1-47D3-B67F-A62EFF666E3E}">
          <x14:id>{2BC4D3AB-0040-BE4A-AD0A-368F510F6AA7}</x14:id>
        </ext>
      </extLst>
    </cfRule>
  </conditionalFormatting>
  <conditionalFormatting sqref="V22">
    <cfRule type="colorScale" priority="1213">
      <colorScale>
        <cfvo type="min"/>
        <cfvo type="percentile" val="50"/>
        <cfvo type="max"/>
        <color rgb="FF63BE7B"/>
        <color rgb="FFFFEB84"/>
        <color rgb="FFF8696B"/>
      </colorScale>
    </cfRule>
  </conditionalFormatting>
  <conditionalFormatting sqref="V22">
    <cfRule type="dataBar" priority="1212">
      <dataBar>
        <cfvo type="min"/>
        <cfvo type="max"/>
        <color rgb="FF638EC6"/>
      </dataBar>
      <extLst>
        <ext xmlns:x14="http://schemas.microsoft.com/office/spreadsheetml/2009/9/main" uri="{B025F937-C7B1-47D3-B67F-A62EFF666E3E}">
          <x14:id>{56B8ADFB-8505-534D-89E0-CDB2DD3ADFB9}</x14:id>
        </ext>
      </extLst>
    </cfRule>
  </conditionalFormatting>
  <conditionalFormatting sqref="W21">
    <cfRule type="colorScale" priority="1211">
      <colorScale>
        <cfvo type="min"/>
        <cfvo type="percentile" val="50"/>
        <cfvo type="max"/>
        <color rgb="FF63BE7B"/>
        <color rgb="FFFFEB84"/>
        <color rgb="FFF8696B"/>
      </colorScale>
    </cfRule>
  </conditionalFormatting>
  <conditionalFormatting sqref="W21">
    <cfRule type="dataBar" priority="1210">
      <dataBar>
        <cfvo type="min"/>
        <cfvo type="max"/>
        <color rgb="FF638EC6"/>
      </dataBar>
      <extLst>
        <ext xmlns:x14="http://schemas.microsoft.com/office/spreadsheetml/2009/9/main" uri="{B025F937-C7B1-47D3-B67F-A62EFF666E3E}">
          <x14:id>{BC5CE2F5-5AA2-F646-991D-DB0EE187DF86}</x14:id>
        </ext>
      </extLst>
    </cfRule>
  </conditionalFormatting>
  <conditionalFormatting sqref="X20">
    <cfRule type="colorScale" priority="1209">
      <colorScale>
        <cfvo type="min"/>
        <cfvo type="percentile" val="50"/>
        <cfvo type="max"/>
        <color rgb="FF63BE7B"/>
        <color rgb="FFFFEB84"/>
        <color rgb="FFF8696B"/>
      </colorScale>
    </cfRule>
  </conditionalFormatting>
  <conditionalFormatting sqref="X20">
    <cfRule type="dataBar" priority="1208">
      <dataBar>
        <cfvo type="min"/>
        <cfvo type="max"/>
        <color rgb="FF638EC6"/>
      </dataBar>
      <extLst>
        <ext xmlns:x14="http://schemas.microsoft.com/office/spreadsheetml/2009/9/main" uri="{B025F937-C7B1-47D3-B67F-A62EFF666E3E}">
          <x14:id>{5AB53621-09A5-4A4F-AB08-146CDD2AA4E7}</x14:id>
        </ext>
      </extLst>
    </cfRule>
  </conditionalFormatting>
  <conditionalFormatting sqref="Y19">
    <cfRule type="colorScale" priority="1207">
      <colorScale>
        <cfvo type="min"/>
        <cfvo type="percentile" val="50"/>
        <cfvo type="max"/>
        <color rgb="FF63BE7B"/>
        <color rgb="FFFFEB84"/>
        <color rgb="FFF8696B"/>
      </colorScale>
    </cfRule>
  </conditionalFormatting>
  <conditionalFormatting sqref="Y19">
    <cfRule type="dataBar" priority="1206">
      <dataBar>
        <cfvo type="min"/>
        <cfvo type="max"/>
        <color rgb="FF638EC6"/>
      </dataBar>
      <extLst>
        <ext xmlns:x14="http://schemas.microsoft.com/office/spreadsheetml/2009/9/main" uri="{B025F937-C7B1-47D3-B67F-A62EFF666E3E}">
          <x14:id>{1556FF38-55DE-5647-970C-3813A27D0B4E}</x14:id>
        </ext>
      </extLst>
    </cfRule>
  </conditionalFormatting>
  <conditionalFormatting sqref="Z18">
    <cfRule type="colorScale" priority="1205">
      <colorScale>
        <cfvo type="min"/>
        <cfvo type="percentile" val="50"/>
        <cfvo type="max"/>
        <color rgb="FF63BE7B"/>
        <color rgb="FFFFEB84"/>
        <color rgb="FFF8696B"/>
      </colorScale>
    </cfRule>
  </conditionalFormatting>
  <conditionalFormatting sqref="Z18">
    <cfRule type="dataBar" priority="1204">
      <dataBar>
        <cfvo type="min"/>
        <cfvo type="max"/>
        <color rgb="FF638EC6"/>
      </dataBar>
      <extLst>
        <ext xmlns:x14="http://schemas.microsoft.com/office/spreadsheetml/2009/9/main" uri="{B025F937-C7B1-47D3-B67F-A62EFF666E3E}">
          <x14:id>{905AB84C-863A-5E4F-8B5C-CCD79577BAB6}</x14:id>
        </ext>
      </extLst>
    </cfRule>
  </conditionalFormatting>
  <conditionalFormatting sqref="AA17">
    <cfRule type="colorScale" priority="1203">
      <colorScale>
        <cfvo type="min"/>
        <cfvo type="percentile" val="50"/>
        <cfvo type="max"/>
        <color rgb="FF63BE7B"/>
        <color rgb="FFFFEB84"/>
        <color rgb="FFF8696B"/>
      </colorScale>
    </cfRule>
  </conditionalFormatting>
  <conditionalFormatting sqref="AA17">
    <cfRule type="dataBar" priority="1202">
      <dataBar>
        <cfvo type="min"/>
        <cfvo type="max"/>
        <color rgb="FF638EC6"/>
      </dataBar>
      <extLst>
        <ext xmlns:x14="http://schemas.microsoft.com/office/spreadsheetml/2009/9/main" uri="{B025F937-C7B1-47D3-B67F-A62EFF666E3E}">
          <x14:id>{E50FFE7B-4682-8148-AC40-A250E13DB073}</x14:id>
        </ext>
      </extLst>
    </cfRule>
  </conditionalFormatting>
  <conditionalFormatting sqref="AB16">
    <cfRule type="colorScale" priority="1201">
      <colorScale>
        <cfvo type="min"/>
        <cfvo type="percentile" val="50"/>
        <cfvo type="max"/>
        <color rgb="FF63BE7B"/>
        <color rgb="FFFFEB84"/>
        <color rgb="FFF8696B"/>
      </colorScale>
    </cfRule>
  </conditionalFormatting>
  <conditionalFormatting sqref="AB16">
    <cfRule type="dataBar" priority="1200">
      <dataBar>
        <cfvo type="min"/>
        <cfvo type="max"/>
        <color rgb="FF638EC6"/>
      </dataBar>
      <extLst>
        <ext xmlns:x14="http://schemas.microsoft.com/office/spreadsheetml/2009/9/main" uri="{B025F937-C7B1-47D3-B67F-A62EFF666E3E}">
          <x14:id>{B3DC9428-EA9D-EF43-95B8-EA9025B54E18}</x14:id>
        </ext>
      </extLst>
    </cfRule>
  </conditionalFormatting>
  <conditionalFormatting sqref="AC15">
    <cfRule type="colorScale" priority="1199">
      <colorScale>
        <cfvo type="min"/>
        <cfvo type="percentile" val="50"/>
        <cfvo type="max"/>
        <color rgb="FF63BE7B"/>
        <color rgb="FFFFEB84"/>
        <color rgb="FFF8696B"/>
      </colorScale>
    </cfRule>
  </conditionalFormatting>
  <conditionalFormatting sqref="AC15">
    <cfRule type="dataBar" priority="1198">
      <dataBar>
        <cfvo type="min"/>
        <cfvo type="max"/>
        <color rgb="FF638EC6"/>
      </dataBar>
      <extLst>
        <ext xmlns:x14="http://schemas.microsoft.com/office/spreadsheetml/2009/9/main" uri="{B025F937-C7B1-47D3-B67F-A62EFF666E3E}">
          <x14:id>{39CB28E2-0862-2C49-AFF9-68B58443896D}</x14:id>
        </ext>
      </extLst>
    </cfRule>
  </conditionalFormatting>
  <conditionalFormatting sqref="AD14">
    <cfRule type="colorScale" priority="1197">
      <colorScale>
        <cfvo type="min"/>
        <cfvo type="percentile" val="50"/>
        <cfvo type="max"/>
        <color rgb="FF63BE7B"/>
        <color rgb="FFFFEB84"/>
        <color rgb="FFF8696B"/>
      </colorScale>
    </cfRule>
  </conditionalFormatting>
  <conditionalFormatting sqref="AD14">
    <cfRule type="dataBar" priority="1196">
      <dataBar>
        <cfvo type="min"/>
        <cfvo type="max"/>
        <color rgb="FF638EC6"/>
      </dataBar>
      <extLst>
        <ext xmlns:x14="http://schemas.microsoft.com/office/spreadsheetml/2009/9/main" uri="{B025F937-C7B1-47D3-B67F-A62EFF666E3E}">
          <x14:id>{01D9065C-853C-D947-8663-82E78664AE2F}</x14:id>
        </ext>
      </extLst>
    </cfRule>
  </conditionalFormatting>
  <conditionalFormatting sqref="AE13">
    <cfRule type="colorScale" priority="1195">
      <colorScale>
        <cfvo type="min"/>
        <cfvo type="percentile" val="50"/>
        <cfvo type="max"/>
        <color rgb="FF63BE7B"/>
        <color rgb="FFFFEB84"/>
        <color rgb="FFF8696B"/>
      </colorScale>
    </cfRule>
  </conditionalFormatting>
  <conditionalFormatting sqref="AE13">
    <cfRule type="dataBar" priority="1194">
      <dataBar>
        <cfvo type="min"/>
        <cfvo type="max"/>
        <color rgb="FF638EC6"/>
      </dataBar>
      <extLst>
        <ext xmlns:x14="http://schemas.microsoft.com/office/spreadsheetml/2009/9/main" uri="{B025F937-C7B1-47D3-B67F-A62EFF666E3E}">
          <x14:id>{EB65380F-7550-B14C-B0C7-F082523FBCD1}</x14:id>
        </ext>
      </extLst>
    </cfRule>
  </conditionalFormatting>
  <conditionalFormatting sqref="M33">
    <cfRule type="dataBar" priority="1193">
      <dataBar>
        <cfvo type="min"/>
        <cfvo type="max"/>
        <color rgb="FF638EC6"/>
      </dataBar>
      <extLst>
        <ext xmlns:x14="http://schemas.microsoft.com/office/spreadsheetml/2009/9/main" uri="{B025F937-C7B1-47D3-B67F-A62EFF666E3E}">
          <x14:id>{5AAB89F4-AFB2-AE49-8D4D-E89A7DFA2713}</x14:id>
        </ext>
      </extLst>
    </cfRule>
  </conditionalFormatting>
  <conditionalFormatting sqref="O31">
    <cfRule type="colorScale" priority="1190">
      <colorScale>
        <cfvo type="min"/>
        <cfvo type="percentile" val="50"/>
        <cfvo type="max"/>
        <color rgb="FF63BE7B"/>
        <color rgb="FFFFEB84"/>
        <color rgb="FFF8696B"/>
      </colorScale>
    </cfRule>
  </conditionalFormatting>
  <conditionalFormatting sqref="O31">
    <cfRule type="dataBar" priority="1189">
      <dataBar>
        <cfvo type="min"/>
        <cfvo type="max"/>
        <color rgb="FF638EC6"/>
      </dataBar>
      <extLst>
        <ext xmlns:x14="http://schemas.microsoft.com/office/spreadsheetml/2009/9/main" uri="{B025F937-C7B1-47D3-B67F-A62EFF666E3E}">
          <x14:id>{4618C656-3647-A947-AE60-A247268C75C0}</x14:id>
        </ext>
      </extLst>
    </cfRule>
  </conditionalFormatting>
  <conditionalFormatting sqref="P30">
    <cfRule type="colorScale" priority="1188">
      <colorScale>
        <cfvo type="min"/>
        <cfvo type="percentile" val="50"/>
        <cfvo type="max"/>
        <color rgb="FF63BE7B"/>
        <color rgb="FFFFEB84"/>
        <color rgb="FFF8696B"/>
      </colorScale>
    </cfRule>
  </conditionalFormatting>
  <conditionalFormatting sqref="P30">
    <cfRule type="dataBar" priority="1187">
      <dataBar>
        <cfvo type="min"/>
        <cfvo type="max"/>
        <color rgb="FF638EC6"/>
      </dataBar>
      <extLst>
        <ext xmlns:x14="http://schemas.microsoft.com/office/spreadsheetml/2009/9/main" uri="{B025F937-C7B1-47D3-B67F-A62EFF666E3E}">
          <x14:id>{DB662469-696A-AA47-959C-47ACC52BF60A}</x14:id>
        </ext>
      </extLst>
    </cfRule>
  </conditionalFormatting>
  <conditionalFormatting sqref="Q29">
    <cfRule type="colorScale" priority="1186">
      <colorScale>
        <cfvo type="min"/>
        <cfvo type="percentile" val="50"/>
        <cfvo type="max"/>
        <color rgb="FF63BE7B"/>
        <color rgb="FFFFEB84"/>
        <color rgb="FFF8696B"/>
      </colorScale>
    </cfRule>
  </conditionalFormatting>
  <conditionalFormatting sqref="Q29">
    <cfRule type="dataBar" priority="1185">
      <dataBar>
        <cfvo type="min"/>
        <cfvo type="max"/>
        <color rgb="FF638EC6"/>
      </dataBar>
      <extLst>
        <ext xmlns:x14="http://schemas.microsoft.com/office/spreadsheetml/2009/9/main" uri="{B025F937-C7B1-47D3-B67F-A62EFF666E3E}">
          <x14:id>{180BC45E-BDC9-6D45-A328-B674A4339BF0}</x14:id>
        </ext>
      </extLst>
    </cfRule>
  </conditionalFormatting>
  <conditionalFormatting sqref="R28">
    <cfRule type="colorScale" priority="1184">
      <colorScale>
        <cfvo type="min"/>
        <cfvo type="percentile" val="50"/>
        <cfvo type="max"/>
        <color rgb="FF63BE7B"/>
        <color rgb="FFFFEB84"/>
        <color rgb="FFF8696B"/>
      </colorScale>
    </cfRule>
  </conditionalFormatting>
  <conditionalFormatting sqref="R28">
    <cfRule type="dataBar" priority="1183">
      <dataBar>
        <cfvo type="min"/>
        <cfvo type="max"/>
        <color rgb="FF638EC6"/>
      </dataBar>
      <extLst>
        <ext xmlns:x14="http://schemas.microsoft.com/office/spreadsheetml/2009/9/main" uri="{B025F937-C7B1-47D3-B67F-A62EFF666E3E}">
          <x14:id>{DC1D35C3-C5FB-A74C-BBF4-B9A90BDF6F8E}</x14:id>
        </ext>
      </extLst>
    </cfRule>
  </conditionalFormatting>
  <conditionalFormatting sqref="S27">
    <cfRule type="colorScale" priority="1182">
      <colorScale>
        <cfvo type="min"/>
        <cfvo type="percentile" val="50"/>
        <cfvo type="max"/>
        <color rgb="FF63BE7B"/>
        <color rgb="FFFFEB84"/>
        <color rgb="FFF8696B"/>
      </colorScale>
    </cfRule>
  </conditionalFormatting>
  <conditionalFormatting sqref="S27">
    <cfRule type="dataBar" priority="1181">
      <dataBar>
        <cfvo type="min"/>
        <cfvo type="max"/>
        <color rgb="FF638EC6"/>
      </dataBar>
      <extLst>
        <ext xmlns:x14="http://schemas.microsoft.com/office/spreadsheetml/2009/9/main" uri="{B025F937-C7B1-47D3-B67F-A62EFF666E3E}">
          <x14:id>{9CD7DA1F-CEE6-E946-9DAA-3C62324128A0}</x14:id>
        </ext>
      </extLst>
    </cfRule>
  </conditionalFormatting>
  <conditionalFormatting sqref="T26">
    <cfRule type="colorScale" priority="1180">
      <colorScale>
        <cfvo type="min"/>
        <cfvo type="percentile" val="50"/>
        <cfvo type="max"/>
        <color rgb="FF63BE7B"/>
        <color rgb="FFFFEB84"/>
        <color rgb="FFF8696B"/>
      </colorScale>
    </cfRule>
  </conditionalFormatting>
  <conditionalFormatting sqref="T26">
    <cfRule type="dataBar" priority="1179">
      <dataBar>
        <cfvo type="min"/>
        <cfvo type="max"/>
        <color rgb="FF638EC6"/>
      </dataBar>
      <extLst>
        <ext xmlns:x14="http://schemas.microsoft.com/office/spreadsheetml/2009/9/main" uri="{B025F937-C7B1-47D3-B67F-A62EFF666E3E}">
          <x14:id>{4346DC1A-EA4A-174E-A304-46C8DC19C3DD}</x14:id>
        </ext>
      </extLst>
    </cfRule>
  </conditionalFormatting>
  <conditionalFormatting sqref="U25">
    <cfRule type="colorScale" priority="1178">
      <colorScale>
        <cfvo type="min"/>
        <cfvo type="percentile" val="50"/>
        <cfvo type="max"/>
        <color rgb="FF63BE7B"/>
        <color rgb="FFFFEB84"/>
        <color rgb="FFF8696B"/>
      </colorScale>
    </cfRule>
  </conditionalFormatting>
  <conditionalFormatting sqref="U25">
    <cfRule type="dataBar" priority="1177">
      <dataBar>
        <cfvo type="min"/>
        <cfvo type="max"/>
        <color rgb="FF638EC6"/>
      </dataBar>
      <extLst>
        <ext xmlns:x14="http://schemas.microsoft.com/office/spreadsheetml/2009/9/main" uri="{B025F937-C7B1-47D3-B67F-A62EFF666E3E}">
          <x14:id>{50D598F2-63C0-934A-A197-FB00599E39D3}</x14:id>
        </ext>
      </extLst>
    </cfRule>
  </conditionalFormatting>
  <conditionalFormatting sqref="V24">
    <cfRule type="colorScale" priority="1176">
      <colorScale>
        <cfvo type="min"/>
        <cfvo type="percentile" val="50"/>
        <cfvo type="max"/>
        <color rgb="FF63BE7B"/>
        <color rgb="FFFFEB84"/>
        <color rgb="FFF8696B"/>
      </colorScale>
    </cfRule>
  </conditionalFormatting>
  <conditionalFormatting sqref="V24">
    <cfRule type="dataBar" priority="1175">
      <dataBar>
        <cfvo type="min"/>
        <cfvo type="max"/>
        <color rgb="FF638EC6"/>
      </dataBar>
      <extLst>
        <ext xmlns:x14="http://schemas.microsoft.com/office/spreadsheetml/2009/9/main" uri="{B025F937-C7B1-47D3-B67F-A62EFF666E3E}">
          <x14:id>{AAB6C466-5A1D-9B4D-937C-09CB40F09639}</x14:id>
        </ext>
      </extLst>
    </cfRule>
  </conditionalFormatting>
  <conditionalFormatting sqref="W23">
    <cfRule type="colorScale" priority="1174">
      <colorScale>
        <cfvo type="min"/>
        <cfvo type="percentile" val="50"/>
        <cfvo type="max"/>
        <color rgb="FF63BE7B"/>
        <color rgb="FFFFEB84"/>
        <color rgb="FFF8696B"/>
      </colorScale>
    </cfRule>
  </conditionalFormatting>
  <conditionalFormatting sqref="W23">
    <cfRule type="dataBar" priority="1173">
      <dataBar>
        <cfvo type="min"/>
        <cfvo type="max"/>
        <color rgb="FF638EC6"/>
      </dataBar>
      <extLst>
        <ext xmlns:x14="http://schemas.microsoft.com/office/spreadsheetml/2009/9/main" uri="{B025F937-C7B1-47D3-B67F-A62EFF666E3E}">
          <x14:id>{47911459-71B3-1B41-ACD9-8B92A9776DC4}</x14:id>
        </ext>
      </extLst>
    </cfRule>
  </conditionalFormatting>
  <conditionalFormatting sqref="X22">
    <cfRule type="colorScale" priority="1172">
      <colorScale>
        <cfvo type="min"/>
        <cfvo type="percentile" val="50"/>
        <cfvo type="max"/>
        <color rgb="FF63BE7B"/>
        <color rgb="FFFFEB84"/>
        <color rgb="FFF8696B"/>
      </colorScale>
    </cfRule>
  </conditionalFormatting>
  <conditionalFormatting sqref="X22">
    <cfRule type="dataBar" priority="1171">
      <dataBar>
        <cfvo type="min"/>
        <cfvo type="max"/>
        <color rgb="FF638EC6"/>
      </dataBar>
      <extLst>
        <ext xmlns:x14="http://schemas.microsoft.com/office/spreadsheetml/2009/9/main" uri="{B025F937-C7B1-47D3-B67F-A62EFF666E3E}">
          <x14:id>{B74F193B-E972-DF49-922F-8DF5D7AFC994}</x14:id>
        </ext>
      </extLst>
    </cfRule>
  </conditionalFormatting>
  <conditionalFormatting sqref="Y21">
    <cfRule type="colorScale" priority="1170">
      <colorScale>
        <cfvo type="min"/>
        <cfvo type="percentile" val="50"/>
        <cfvo type="max"/>
        <color rgb="FF63BE7B"/>
        <color rgb="FFFFEB84"/>
        <color rgb="FFF8696B"/>
      </colorScale>
    </cfRule>
  </conditionalFormatting>
  <conditionalFormatting sqref="Y21">
    <cfRule type="dataBar" priority="1169">
      <dataBar>
        <cfvo type="min"/>
        <cfvo type="max"/>
        <color rgb="FF638EC6"/>
      </dataBar>
      <extLst>
        <ext xmlns:x14="http://schemas.microsoft.com/office/spreadsheetml/2009/9/main" uri="{B025F937-C7B1-47D3-B67F-A62EFF666E3E}">
          <x14:id>{DC107263-CD40-594E-9FFC-4FEE196E1951}</x14:id>
        </ext>
      </extLst>
    </cfRule>
  </conditionalFormatting>
  <conditionalFormatting sqref="Z20">
    <cfRule type="colorScale" priority="1168">
      <colorScale>
        <cfvo type="min"/>
        <cfvo type="percentile" val="50"/>
        <cfvo type="max"/>
        <color rgb="FF63BE7B"/>
        <color rgb="FFFFEB84"/>
        <color rgb="FFF8696B"/>
      </colorScale>
    </cfRule>
  </conditionalFormatting>
  <conditionalFormatting sqref="Z20">
    <cfRule type="dataBar" priority="1167">
      <dataBar>
        <cfvo type="min"/>
        <cfvo type="max"/>
        <color rgb="FF638EC6"/>
      </dataBar>
      <extLst>
        <ext xmlns:x14="http://schemas.microsoft.com/office/spreadsheetml/2009/9/main" uri="{B025F937-C7B1-47D3-B67F-A62EFF666E3E}">
          <x14:id>{59EAF9C5-68A2-0944-8A4E-C5883B853120}</x14:id>
        </ext>
      </extLst>
    </cfRule>
  </conditionalFormatting>
  <conditionalFormatting sqref="AA19">
    <cfRule type="colorScale" priority="1166">
      <colorScale>
        <cfvo type="min"/>
        <cfvo type="percentile" val="50"/>
        <cfvo type="max"/>
        <color rgb="FF63BE7B"/>
        <color rgb="FFFFEB84"/>
        <color rgb="FFF8696B"/>
      </colorScale>
    </cfRule>
  </conditionalFormatting>
  <conditionalFormatting sqref="AA19">
    <cfRule type="dataBar" priority="1165">
      <dataBar>
        <cfvo type="min"/>
        <cfvo type="max"/>
        <color rgb="FF638EC6"/>
      </dataBar>
      <extLst>
        <ext xmlns:x14="http://schemas.microsoft.com/office/spreadsheetml/2009/9/main" uri="{B025F937-C7B1-47D3-B67F-A62EFF666E3E}">
          <x14:id>{9FB89AF5-5FA2-7942-A85C-26F0AEFF3D60}</x14:id>
        </ext>
      </extLst>
    </cfRule>
  </conditionalFormatting>
  <conditionalFormatting sqref="AB18">
    <cfRule type="colorScale" priority="1164">
      <colorScale>
        <cfvo type="min"/>
        <cfvo type="percentile" val="50"/>
        <cfvo type="max"/>
        <color rgb="FF63BE7B"/>
        <color rgb="FFFFEB84"/>
        <color rgb="FFF8696B"/>
      </colorScale>
    </cfRule>
  </conditionalFormatting>
  <conditionalFormatting sqref="AB18">
    <cfRule type="dataBar" priority="1163">
      <dataBar>
        <cfvo type="min"/>
        <cfvo type="max"/>
        <color rgb="FF638EC6"/>
      </dataBar>
      <extLst>
        <ext xmlns:x14="http://schemas.microsoft.com/office/spreadsheetml/2009/9/main" uri="{B025F937-C7B1-47D3-B67F-A62EFF666E3E}">
          <x14:id>{7C554DA8-4021-F54B-A1BE-8BFEA2331901}</x14:id>
        </ext>
      </extLst>
    </cfRule>
  </conditionalFormatting>
  <conditionalFormatting sqref="AC17">
    <cfRule type="colorScale" priority="1162">
      <colorScale>
        <cfvo type="min"/>
        <cfvo type="percentile" val="50"/>
        <cfvo type="max"/>
        <color rgb="FF63BE7B"/>
        <color rgb="FFFFEB84"/>
        <color rgb="FFF8696B"/>
      </colorScale>
    </cfRule>
  </conditionalFormatting>
  <conditionalFormatting sqref="AC17">
    <cfRule type="dataBar" priority="1161">
      <dataBar>
        <cfvo type="min"/>
        <cfvo type="max"/>
        <color rgb="FF638EC6"/>
      </dataBar>
      <extLst>
        <ext xmlns:x14="http://schemas.microsoft.com/office/spreadsheetml/2009/9/main" uri="{B025F937-C7B1-47D3-B67F-A62EFF666E3E}">
          <x14:id>{1A1899A9-5A2D-8E4B-B6F4-351538CBB7E1}</x14:id>
        </ext>
      </extLst>
    </cfRule>
  </conditionalFormatting>
  <conditionalFormatting sqref="AD16">
    <cfRule type="colorScale" priority="1160">
      <colorScale>
        <cfvo type="min"/>
        <cfvo type="percentile" val="50"/>
        <cfvo type="max"/>
        <color rgb="FF63BE7B"/>
        <color rgb="FFFFEB84"/>
        <color rgb="FFF8696B"/>
      </colorScale>
    </cfRule>
  </conditionalFormatting>
  <conditionalFormatting sqref="AD16">
    <cfRule type="dataBar" priority="1159">
      <dataBar>
        <cfvo type="min"/>
        <cfvo type="max"/>
        <color rgb="FF638EC6"/>
      </dataBar>
      <extLst>
        <ext xmlns:x14="http://schemas.microsoft.com/office/spreadsheetml/2009/9/main" uri="{B025F937-C7B1-47D3-B67F-A62EFF666E3E}">
          <x14:id>{B3F91588-CB60-044A-A3E1-43E420116699}</x14:id>
        </ext>
      </extLst>
    </cfRule>
  </conditionalFormatting>
  <conditionalFormatting sqref="M35">
    <cfRule type="dataBar" priority="1158">
      <dataBar>
        <cfvo type="min"/>
        <cfvo type="max"/>
        <color rgb="FF638EC6"/>
      </dataBar>
      <extLst>
        <ext xmlns:x14="http://schemas.microsoft.com/office/spreadsheetml/2009/9/main" uri="{B025F937-C7B1-47D3-B67F-A62EFF666E3E}">
          <x14:id>{307A4303-C209-1C44-BA30-7F54E89921FF}</x14:id>
        </ext>
      </extLst>
    </cfRule>
  </conditionalFormatting>
  <conditionalFormatting sqref="N34">
    <cfRule type="colorScale" priority="1157">
      <colorScale>
        <cfvo type="min"/>
        <cfvo type="percentile" val="50"/>
        <cfvo type="max"/>
        <color rgb="FF63BE7B"/>
        <color rgb="FFFFEB84"/>
        <color rgb="FFF8696B"/>
      </colorScale>
    </cfRule>
  </conditionalFormatting>
  <conditionalFormatting sqref="N34">
    <cfRule type="dataBar" priority="1156">
      <dataBar>
        <cfvo type="min"/>
        <cfvo type="max"/>
        <color rgb="FF638EC6"/>
      </dataBar>
      <extLst>
        <ext xmlns:x14="http://schemas.microsoft.com/office/spreadsheetml/2009/9/main" uri="{B025F937-C7B1-47D3-B67F-A62EFF666E3E}">
          <x14:id>{603623C3-DEE4-8D41-AC29-DAFD5586FC1A}</x14:id>
        </ext>
      </extLst>
    </cfRule>
  </conditionalFormatting>
  <conditionalFormatting sqref="O33">
    <cfRule type="colorScale" priority="1155">
      <colorScale>
        <cfvo type="min"/>
        <cfvo type="percentile" val="50"/>
        <cfvo type="max"/>
        <color rgb="FF63BE7B"/>
        <color rgb="FFFFEB84"/>
        <color rgb="FFF8696B"/>
      </colorScale>
    </cfRule>
  </conditionalFormatting>
  <conditionalFormatting sqref="O33">
    <cfRule type="dataBar" priority="1154">
      <dataBar>
        <cfvo type="min"/>
        <cfvo type="max"/>
        <color rgb="FF638EC6"/>
      </dataBar>
      <extLst>
        <ext xmlns:x14="http://schemas.microsoft.com/office/spreadsheetml/2009/9/main" uri="{B025F937-C7B1-47D3-B67F-A62EFF666E3E}">
          <x14:id>{AEC68BB5-2280-D544-B4F6-8D2D3EEDF8DF}</x14:id>
        </ext>
      </extLst>
    </cfRule>
  </conditionalFormatting>
  <conditionalFormatting sqref="P32">
    <cfRule type="colorScale" priority="1153">
      <colorScale>
        <cfvo type="min"/>
        <cfvo type="percentile" val="50"/>
        <cfvo type="max"/>
        <color rgb="FF63BE7B"/>
        <color rgb="FFFFEB84"/>
        <color rgb="FFF8696B"/>
      </colorScale>
    </cfRule>
  </conditionalFormatting>
  <conditionalFormatting sqref="P32">
    <cfRule type="dataBar" priority="1152">
      <dataBar>
        <cfvo type="min"/>
        <cfvo type="max"/>
        <color rgb="FF638EC6"/>
      </dataBar>
      <extLst>
        <ext xmlns:x14="http://schemas.microsoft.com/office/spreadsheetml/2009/9/main" uri="{B025F937-C7B1-47D3-B67F-A62EFF666E3E}">
          <x14:id>{AD8E1465-E599-4E42-AC32-C77D353FD370}</x14:id>
        </ext>
      </extLst>
    </cfRule>
  </conditionalFormatting>
  <conditionalFormatting sqref="Q31">
    <cfRule type="colorScale" priority="1151">
      <colorScale>
        <cfvo type="min"/>
        <cfvo type="percentile" val="50"/>
        <cfvo type="max"/>
        <color rgb="FF63BE7B"/>
        <color rgb="FFFFEB84"/>
        <color rgb="FFF8696B"/>
      </colorScale>
    </cfRule>
  </conditionalFormatting>
  <conditionalFormatting sqref="Q31">
    <cfRule type="dataBar" priority="1150">
      <dataBar>
        <cfvo type="min"/>
        <cfvo type="max"/>
        <color rgb="FF638EC6"/>
      </dataBar>
      <extLst>
        <ext xmlns:x14="http://schemas.microsoft.com/office/spreadsheetml/2009/9/main" uri="{B025F937-C7B1-47D3-B67F-A62EFF666E3E}">
          <x14:id>{808B89A2-5294-1E4D-9B0A-9592938CA249}</x14:id>
        </ext>
      </extLst>
    </cfRule>
  </conditionalFormatting>
  <conditionalFormatting sqref="R30">
    <cfRule type="colorScale" priority="1149">
      <colorScale>
        <cfvo type="min"/>
        <cfvo type="percentile" val="50"/>
        <cfvo type="max"/>
        <color rgb="FF63BE7B"/>
        <color rgb="FFFFEB84"/>
        <color rgb="FFF8696B"/>
      </colorScale>
    </cfRule>
  </conditionalFormatting>
  <conditionalFormatting sqref="R30">
    <cfRule type="dataBar" priority="1148">
      <dataBar>
        <cfvo type="min"/>
        <cfvo type="max"/>
        <color rgb="FF638EC6"/>
      </dataBar>
      <extLst>
        <ext xmlns:x14="http://schemas.microsoft.com/office/spreadsheetml/2009/9/main" uri="{B025F937-C7B1-47D3-B67F-A62EFF666E3E}">
          <x14:id>{603F5D2B-950D-CA48-95F1-B5556B6CEF9F}</x14:id>
        </ext>
      </extLst>
    </cfRule>
  </conditionalFormatting>
  <conditionalFormatting sqref="S29">
    <cfRule type="colorScale" priority="1147">
      <colorScale>
        <cfvo type="min"/>
        <cfvo type="percentile" val="50"/>
        <cfvo type="max"/>
        <color rgb="FF63BE7B"/>
        <color rgb="FFFFEB84"/>
        <color rgb="FFF8696B"/>
      </colorScale>
    </cfRule>
  </conditionalFormatting>
  <conditionalFormatting sqref="S29">
    <cfRule type="dataBar" priority="1146">
      <dataBar>
        <cfvo type="min"/>
        <cfvo type="max"/>
        <color rgb="FF638EC6"/>
      </dataBar>
      <extLst>
        <ext xmlns:x14="http://schemas.microsoft.com/office/spreadsheetml/2009/9/main" uri="{B025F937-C7B1-47D3-B67F-A62EFF666E3E}">
          <x14:id>{989ABCE8-92E3-A345-8989-B3FF9E52760D}</x14:id>
        </ext>
      </extLst>
    </cfRule>
  </conditionalFormatting>
  <conditionalFormatting sqref="T28">
    <cfRule type="colorScale" priority="1145">
      <colorScale>
        <cfvo type="min"/>
        <cfvo type="percentile" val="50"/>
        <cfvo type="max"/>
        <color rgb="FF63BE7B"/>
        <color rgb="FFFFEB84"/>
        <color rgb="FFF8696B"/>
      </colorScale>
    </cfRule>
  </conditionalFormatting>
  <conditionalFormatting sqref="T28">
    <cfRule type="dataBar" priority="1144">
      <dataBar>
        <cfvo type="min"/>
        <cfvo type="max"/>
        <color rgb="FF638EC6"/>
      </dataBar>
      <extLst>
        <ext xmlns:x14="http://schemas.microsoft.com/office/spreadsheetml/2009/9/main" uri="{B025F937-C7B1-47D3-B67F-A62EFF666E3E}">
          <x14:id>{D0C778F4-135D-D448-BC4F-4320C8116596}</x14:id>
        </ext>
      </extLst>
    </cfRule>
  </conditionalFormatting>
  <conditionalFormatting sqref="U27">
    <cfRule type="colorScale" priority="1143">
      <colorScale>
        <cfvo type="min"/>
        <cfvo type="percentile" val="50"/>
        <cfvo type="max"/>
        <color rgb="FF63BE7B"/>
        <color rgb="FFFFEB84"/>
        <color rgb="FFF8696B"/>
      </colorScale>
    </cfRule>
  </conditionalFormatting>
  <conditionalFormatting sqref="U27">
    <cfRule type="dataBar" priority="1142">
      <dataBar>
        <cfvo type="min"/>
        <cfvo type="max"/>
        <color rgb="FF638EC6"/>
      </dataBar>
      <extLst>
        <ext xmlns:x14="http://schemas.microsoft.com/office/spreadsheetml/2009/9/main" uri="{B025F937-C7B1-47D3-B67F-A62EFF666E3E}">
          <x14:id>{F1DA9A23-2D3F-1E48-9FF6-8696D82F09BC}</x14:id>
        </ext>
      </extLst>
    </cfRule>
  </conditionalFormatting>
  <conditionalFormatting sqref="V26">
    <cfRule type="colorScale" priority="1141">
      <colorScale>
        <cfvo type="min"/>
        <cfvo type="percentile" val="50"/>
        <cfvo type="max"/>
        <color rgb="FF63BE7B"/>
        <color rgb="FFFFEB84"/>
        <color rgb="FFF8696B"/>
      </colorScale>
    </cfRule>
  </conditionalFormatting>
  <conditionalFormatting sqref="V26">
    <cfRule type="dataBar" priority="1140">
      <dataBar>
        <cfvo type="min"/>
        <cfvo type="max"/>
        <color rgb="FF638EC6"/>
      </dataBar>
      <extLst>
        <ext xmlns:x14="http://schemas.microsoft.com/office/spreadsheetml/2009/9/main" uri="{B025F937-C7B1-47D3-B67F-A62EFF666E3E}">
          <x14:id>{A9A89A02-FDCC-B54B-A596-D56DA5791376}</x14:id>
        </ext>
      </extLst>
    </cfRule>
  </conditionalFormatting>
  <conditionalFormatting sqref="W25">
    <cfRule type="colorScale" priority="1139">
      <colorScale>
        <cfvo type="min"/>
        <cfvo type="percentile" val="50"/>
        <cfvo type="max"/>
        <color rgb="FF63BE7B"/>
        <color rgb="FFFFEB84"/>
        <color rgb="FFF8696B"/>
      </colorScale>
    </cfRule>
  </conditionalFormatting>
  <conditionalFormatting sqref="W25">
    <cfRule type="dataBar" priority="1138">
      <dataBar>
        <cfvo type="min"/>
        <cfvo type="max"/>
        <color rgb="FF638EC6"/>
      </dataBar>
      <extLst>
        <ext xmlns:x14="http://schemas.microsoft.com/office/spreadsheetml/2009/9/main" uri="{B025F937-C7B1-47D3-B67F-A62EFF666E3E}">
          <x14:id>{59B53E15-0787-934F-B15C-D7ED38BC899F}</x14:id>
        </ext>
      </extLst>
    </cfRule>
  </conditionalFormatting>
  <conditionalFormatting sqref="X24">
    <cfRule type="colorScale" priority="1137">
      <colorScale>
        <cfvo type="min"/>
        <cfvo type="percentile" val="50"/>
        <cfvo type="max"/>
        <color rgb="FF63BE7B"/>
        <color rgb="FFFFEB84"/>
        <color rgb="FFF8696B"/>
      </colorScale>
    </cfRule>
  </conditionalFormatting>
  <conditionalFormatting sqref="X24">
    <cfRule type="dataBar" priority="1136">
      <dataBar>
        <cfvo type="min"/>
        <cfvo type="max"/>
        <color rgb="FF638EC6"/>
      </dataBar>
      <extLst>
        <ext xmlns:x14="http://schemas.microsoft.com/office/spreadsheetml/2009/9/main" uri="{B025F937-C7B1-47D3-B67F-A62EFF666E3E}">
          <x14:id>{546A2A47-B06D-9D42-A693-8C4B03B0C90C}</x14:id>
        </ext>
      </extLst>
    </cfRule>
  </conditionalFormatting>
  <conditionalFormatting sqref="Y23">
    <cfRule type="colorScale" priority="1135">
      <colorScale>
        <cfvo type="min"/>
        <cfvo type="percentile" val="50"/>
        <cfvo type="max"/>
        <color rgb="FF63BE7B"/>
        <color rgb="FFFFEB84"/>
        <color rgb="FFF8696B"/>
      </colorScale>
    </cfRule>
  </conditionalFormatting>
  <conditionalFormatting sqref="Y23">
    <cfRule type="dataBar" priority="1134">
      <dataBar>
        <cfvo type="min"/>
        <cfvo type="max"/>
        <color rgb="FF638EC6"/>
      </dataBar>
      <extLst>
        <ext xmlns:x14="http://schemas.microsoft.com/office/spreadsheetml/2009/9/main" uri="{B025F937-C7B1-47D3-B67F-A62EFF666E3E}">
          <x14:id>{A499215D-84FB-4645-916B-90B5031C05C2}</x14:id>
        </ext>
      </extLst>
    </cfRule>
  </conditionalFormatting>
  <conditionalFormatting sqref="Z22">
    <cfRule type="colorScale" priority="1133">
      <colorScale>
        <cfvo type="min"/>
        <cfvo type="percentile" val="50"/>
        <cfvo type="max"/>
        <color rgb="FF63BE7B"/>
        <color rgb="FFFFEB84"/>
        <color rgb="FFF8696B"/>
      </colorScale>
    </cfRule>
  </conditionalFormatting>
  <conditionalFormatting sqref="Z22">
    <cfRule type="dataBar" priority="1132">
      <dataBar>
        <cfvo type="min"/>
        <cfvo type="max"/>
        <color rgb="FF638EC6"/>
      </dataBar>
      <extLst>
        <ext xmlns:x14="http://schemas.microsoft.com/office/spreadsheetml/2009/9/main" uri="{B025F937-C7B1-47D3-B67F-A62EFF666E3E}">
          <x14:id>{96E5BEB3-C7DA-1E4B-B035-FA71052A959B}</x14:id>
        </ext>
      </extLst>
    </cfRule>
  </conditionalFormatting>
  <conditionalFormatting sqref="AA21">
    <cfRule type="colorScale" priority="1131">
      <colorScale>
        <cfvo type="min"/>
        <cfvo type="percentile" val="50"/>
        <cfvo type="max"/>
        <color rgb="FF63BE7B"/>
        <color rgb="FFFFEB84"/>
        <color rgb="FFF8696B"/>
      </colorScale>
    </cfRule>
  </conditionalFormatting>
  <conditionalFormatting sqref="AA21">
    <cfRule type="dataBar" priority="1130">
      <dataBar>
        <cfvo type="min"/>
        <cfvo type="max"/>
        <color rgb="FF638EC6"/>
      </dataBar>
      <extLst>
        <ext xmlns:x14="http://schemas.microsoft.com/office/spreadsheetml/2009/9/main" uri="{B025F937-C7B1-47D3-B67F-A62EFF666E3E}">
          <x14:id>{E82EB742-D62B-FC48-A809-46E3A8938A85}</x14:id>
        </ext>
      </extLst>
    </cfRule>
  </conditionalFormatting>
  <conditionalFormatting sqref="AB20">
    <cfRule type="colorScale" priority="1129">
      <colorScale>
        <cfvo type="min"/>
        <cfvo type="percentile" val="50"/>
        <cfvo type="max"/>
        <color rgb="FF63BE7B"/>
        <color rgb="FFFFEB84"/>
        <color rgb="FFF8696B"/>
      </colorScale>
    </cfRule>
  </conditionalFormatting>
  <conditionalFormatting sqref="AB20">
    <cfRule type="dataBar" priority="1128">
      <dataBar>
        <cfvo type="min"/>
        <cfvo type="max"/>
        <color rgb="FF638EC6"/>
      </dataBar>
      <extLst>
        <ext xmlns:x14="http://schemas.microsoft.com/office/spreadsheetml/2009/9/main" uri="{B025F937-C7B1-47D3-B67F-A62EFF666E3E}">
          <x14:id>{D5EDA736-B719-AD48-82D8-0A764785CDCE}</x14:id>
        </ext>
      </extLst>
    </cfRule>
  </conditionalFormatting>
  <conditionalFormatting sqref="AC19">
    <cfRule type="colorScale" priority="1127">
      <colorScale>
        <cfvo type="min"/>
        <cfvo type="percentile" val="50"/>
        <cfvo type="max"/>
        <color rgb="FF63BE7B"/>
        <color rgb="FFFFEB84"/>
        <color rgb="FFF8696B"/>
      </colorScale>
    </cfRule>
  </conditionalFormatting>
  <conditionalFormatting sqref="AC19">
    <cfRule type="dataBar" priority="1126">
      <dataBar>
        <cfvo type="min"/>
        <cfvo type="max"/>
        <color rgb="FF638EC6"/>
      </dataBar>
      <extLst>
        <ext xmlns:x14="http://schemas.microsoft.com/office/spreadsheetml/2009/9/main" uri="{B025F937-C7B1-47D3-B67F-A62EFF666E3E}">
          <x14:id>{CEEFD2CE-413A-FB4C-A79D-AB812BC100B4}</x14:id>
        </ext>
      </extLst>
    </cfRule>
  </conditionalFormatting>
  <conditionalFormatting sqref="AD18">
    <cfRule type="colorScale" priority="1125">
      <colorScale>
        <cfvo type="min"/>
        <cfvo type="percentile" val="50"/>
        <cfvo type="max"/>
        <color rgb="FF63BE7B"/>
        <color rgb="FFFFEB84"/>
        <color rgb="FFF8696B"/>
      </colorScale>
    </cfRule>
  </conditionalFormatting>
  <conditionalFormatting sqref="AD18">
    <cfRule type="dataBar" priority="1124">
      <dataBar>
        <cfvo type="min"/>
        <cfvo type="max"/>
        <color rgb="FF638EC6"/>
      </dataBar>
      <extLst>
        <ext xmlns:x14="http://schemas.microsoft.com/office/spreadsheetml/2009/9/main" uri="{B025F937-C7B1-47D3-B67F-A62EFF666E3E}">
          <x14:id>{0093E679-813C-DC4F-AF63-290480A40C12}</x14:id>
        </ext>
      </extLst>
    </cfRule>
  </conditionalFormatting>
  <conditionalFormatting sqref="M37">
    <cfRule type="dataBar" priority="1123">
      <dataBar>
        <cfvo type="min"/>
        <cfvo type="max"/>
        <color rgb="FF638EC6"/>
      </dataBar>
      <extLst>
        <ext xmlns:x14="http://schemas.microsoft.com/office/spreadsheetml/2009/9/main" uri="{B025F937-C7B1-47D3-B67F-A62EFF666E3E}">
          <x14:id>{D400C4D5-C335-1F44-88E9-D1CBB9827220}</x14:id>
        </ext>
      </extLst>
    </cfRule>
  </conditionalFormatting>
  <conditionalFormatting sqref="N36">
    <cfRule type="colorScale" priority="1122">
      <colorScale>
        <cfvo type="min"/>
        <cfvo type="percentile" val="50"/>
        <cfvo type="max"/>
        <color rgb="FF63BE7B"/>
        <color rgb="FFFFEB84"/>
        <color rgb="FFF8696B"/>
      </colorScale>
    </cfRule>
  </conditionalFormatting>
  <conditionalFormatting sqref="N36">
    <cfRule type="dataBar" priority="1121">
      <dataBar>
        <cfvo type="min"/>
        <cfvo type="max"/>
        <color rgb="FF638EC6"/>
      </dataBar>
      <extLst>
        <ext xmlns:x14="http://schemas.microsoft.com/office/spreadsheetml/2009/9/main" uri="{B025F937-C7B1-47D3-B67F-A62EFF666E3E}">
          <x14:id>{C7D1D5C0-BD40-8C4D-B7C6-5B2F104422EB}</x14:id>
        </ext>
      </extLst>
    </cfRule>
  </conditionalFormatting>
  <conditionalFormatting sqref="O35">
    <cfRule type="colorScale" priority="1120">
      <colorScale>
        <cfvo type="min"/>
        <cfvo type="percentile" val="50"/>
        <cfvo type="max"/>
        <color rgb="FF63BE7B"/>
        <color rgb="FFFFEB84"/>
        <color rgb="FFF8696B"/>
      </colorScale>
    </cfRule>
  </conditionalFormatting>
  <conditionalFormatting sqref="O35">
    <cfRule type="dataBar" priority="1119">
      <dataBar>
        <cfvo type="min"/>
        <cfvo type="max"/>
        <color rgb="FF638EC6"/>
      </dataBar>
      <extLst>
        <ext xmlns:x14="http://schemas.microsoft.com/office/spreadsheetml/2009/9/main" uri="{B025F937-C7B1-47D3-B67F-A62EFF666E3E}">
          <x14:id>{EBB6A14D-2561-1840-8950-1648DE38C6BF}</x14:id>
        </ext>
      </extLst>
    </cfRule>
  </conditionalFormatting>
  <conditionalFormatting sqref="P34">
    <cfRule type="colorScale" priority="1118">
      <colorScale>
        <cfvo type="min"/>
        <cfvo type="percentile" val="50"/>
        <cfvo type="max"/>
        <color rgb="FF63BE7B"/>
        <color rgb="FFFFEB84"/>
        <color rgb="FFF8696B"/>
      </colorScale>
    </cfRule>
  </conditionalFormatting>
  <conditionalFormatting sqref="P34">
    <cfRule type="dataBar" priority="1117">
      <dataBar>
        <cfvo type="min"/>
        <cfvo type="max"/>
        <color rgb="FF638EC6"/>
      </dataBar>
      <extLst>
        <ext xmlns:x14="http://schemas.microsoft.com/office/spreadsheetml/2009/9/main" uri="{B025F937-C7B1-47D3-B67F-A62EFF666E3E}">
          <x14:id>{D68ADF35-B7C2-C541-9EDF-CB48DB04BAD6}</x14:id>
        </ext>
      </extLst>
    </cfRule>
  </conditionalFormatting>
  <conditionalFormatting sqref="Q33">
    <cfRule type="colorScale" priority="1116">
      <colorScale>
        <cfvo type="min"/>
        <cfvo type="percentile" val="50"/>
        <cfvo type="max"/>
        <color rgb="FF63BE7B"/>
        <color rgb="FFFFEB84"/>
        <color rgb="FFF8696B"/>
      </colorScale>
    </cfRule>
  </conditionalFormatting>
  <conditionalFormatting sqref="Q33">
    <cfRule type="dataBar" priority="1115">
      <dataBar>
        <cfvo type="min"/>
        <cfvo type="max"/>
        <color rgb="FF638EC6"/>
      </dataBar>
      <extLst>
        <ext xmlns:x14="http://schemas.microsoft.com/office/spreadsheetml/2009/9/main" uri="{B025F937-C7B1-47D3-B67F-A62EFF666E3E}">
          <x14:id>{746F6658-51DD-8043-AD1D-28249EC59D07}</x14:id>
        </ext>
      </extLst>
    </cfRule>
  </conditionalFormatting>
  <conditionalFormatting sqref="R32">
    <cfRule type="colorScale" priority="1114">
      <colorScale>
        <cfvo type="min"/>
        <cfvo type="percentile" val="50"/>
        <cfvo type="max"/>
        <color rgb="FF63BE7B"/>
        <color rgb="FFFFEB84"/>
        <color rgb="FFF8696B"/>
      </colorScale>
    </cfRule>
  </conditionalFormatting>
  <conditionalFormatting sqref="R32">
    <cfRule type="dataBar" priority="1113">
      <dataBar>
        <cfvo type="min"/>
        <cfvo type="max"/>
        <color rgb="FF638EC6"/>
      </dataBar>
      <extLst>
        <ext xmlns:x14="http://schemas.microsoft.com/office/spreadsheetml/2009/9/main" uri="{B025F937-C7B1-47D3-B67F-A62EFF666E3E}">
          <x14:id>{5748F5E9-F97B-4D46-BBB7-DD4A70A6E114}</x14:id>
        </ext>
      </extLst>
    </cfRule>
  </conditionalFormatting>
  <conditionalFormatting sqref="S31">
    <cfRule type="colorScale" priority="1112">
      <colorScale>
        <cfvo type="min"/>
        <cfvo type="percentile" val="50"/>
        <cfvo type="max"/>
        <color rgb="FF63BE7B"/>
        <color rgb="FFFFEB84"/>
        <color rgb="FFF8696B"/>
      </colorScale>
    </cfRule>
  </conditionalFormatting>
  <conditionalFormatting sqref="S31">
    <cfRule type="dataBar" priority="1111">
      <dataBar>
        <cfvo type="min"/>
        <cfvo type="max"/>
        <color rgb="FF638EC6"/>
      </dataBar>
      <extLst>
        <ext xmlns:x14="http://schemas.microsoft.com/office/spreadsheetml/2009/9/main" uri="{B025F937-C7B1-47D3-B67F-A62EFF666E3E}">
          <x14:id>{F14DFEDF-74D7-AA4F-8D54-BE3CFD245D68}</x14:id>
        </ext>
      </extLst>
    </cfRule>
  </conditionalFormatting>
  <conditionalFormatting sqref="T30">
    <cfRule type="colorScale" priority="1110">
      <colorScale>
        <cfvo type="min"/>
        <cfvo type="percentile" val="50"/>
        <cfvo type="max"/>
        <color rgb="FF63BE7B"/>
        <color rgb="FFFFEB84"/>
        <color rgb="FFF8696B"/>
      </colorScale>
    </cfRule>
  </conditionalFormatting>
  <conditionalFormatting sqref="T30">
    <cfRule type="dataBar" priority="1109">
      <dataBar>
        <cfvo type="min"/>
        <cfvo type="max"/>
        <color rgb="FF638EC6"/>
      </dataBar>
      <extLst>
        <ext xmlns:x14="http://schemas.microsoft.com/office/spreadsheetml/2009/9/main" uri="{B025F937-C7B1-47D3-B67F-A62EFF666E3E}">
          <x14:id>{337B662E-D8F1-5046-86EF-E9761611A2E3}</x14:id>
        </ext>
      </extLst>
    </cfRule>
  </conditionalFormatting>
  <conditionalFormatting sqref="U29">
    <cfRule type="colorScale" priority="1108">
      <colorScale>
        <cfvo type="min"/>
        <cfvo type="percentile" val="50"/>
        <cfvo type="max"/>
        <color rgb="FF63BE7B"/>
        <color rgb="FFFFEB84"/>
        <color rgb="FFF8696B"/>
      </colorScale>
    </cfRule>
  </conditionalFormatting>
  <conditionalFormatting sqref="U29">
    <cfRule type="dataBar" priority="1107">
      <dataBar>
        <cfvo type="min"/>
        <cfvo type="max"/>
        <color rgb="FF638EC6"/>
      </dataBar>
      <extLst>
        <ext xmlns:x14="http://schemas.microsoft.com/office/spreadsheetml/2009/9/main" uri="{B025F937-C7B1-47D3-B67F-A62EFF666E3E}">
          <x14:id>{CA27F4F2-89B8-2C46-AB3E-BFD5E93ED5B3}</x14:id>
        </ext>
      </extLst>
    </cfRule>
  </conditionalFormatting>
  <conditionalFormatting sqref="V28">
    <cfRule type="colorScale" priority="1106">
      <colorScale>
        <cfvo type="min"/>
        <cfvo type="percentile" val="50"/>
        <cfvo type="max"/>
        <color rgb="FF63BE7B"/>
        <color rgb="FFFFEB84"/>
        <color rgb="FFF8696B"/>
      </colorScale>
    </cfRule>
  </conditionalFormatting>
  <conditionalFormatting sqref="V28">
    <cfRule type="dataBar" priority="1105">
      <dataBar>
        <cfvo type="min"/>
        <cfvo type="max"/>
        <color rgb="FF638EC6"/>
      </dataBar>
      <extLst>
        <ext xmlns:x14="http://schemas.microsoft.com/office/spreadsheetml/2009/9/main" uri="{B025F937-C7B1-47D3-B67F-A62EFF666E3E}">
          <x14:id>{DA9DB647-A486-A34F-98ED-2E6DBD54609A}</x14:id>
        </ext>
      </extLst>
    </cfRule>
  </conditionalFormatting>
  <conditionalFormatting sqref="W27">
    <cfRule type="colorScale" priority="1104">
      <colorScale>
        <cfvo type="min"/>
        <cfvo type="percentile" val="50"/>
        <cfvo type="max"/>
        <color rgb="FF63BE7B"/>
        <color rgb="FFFFEB84"/>
        <color rgb="FFF8696B"/>
      </colorScale>
    </cfRule>
  </conditionalFormatting>
  <conditionalFormatting sqref="W27">
    <cfRule type="dataBar" priority="1103">
      <dataBar>
        <cfvo type="min"/>
        <cfvo type="max"/>
        <color rgb="FF638EC6"/>
      </dataBar>
      <extLst>
        <ext xmlns:x14="http://schemas.microsoft.com/office/spreadsheetml/2009/9/main" uri="{B025F937-C7B1-47D3-B67F-A62EFF666E3E}">
          <x14:id>{7BFEFBAD-5590-E044-9DF8-E9AC518EFF60}</x14:id>
        </ext>
      </extLst>
    </cfRule>
  </conditionalFormatting>
  <conditionalFormatting sqref="X26">
    <cfRule type="colorScale" priority="1102">
      <colorScale>
        <cfvo type="min"/>
        <cfvo type="percentile" val="50"/>
        <cfvo type="max"/>
        <color rgb="FF63BE7B"/>
        <color rgb="FFFFEB84"/>
        <color rgb="FFF8696B"/>
      </colorScale>
    </cfRule>
  </conditionalFormatting>
  <conditionalFormatting sqref="X26">
    <cfRule type="dataBar" priority="1101">
      <dataBar>
        <cfvo type="min"/>
        <cfvo type="max"/>
        <color rgb="FF638EC6"/>
      </dataBar>
      <extLst>
        <ext xmlns:x14="http://schemas.microsoft.com/office/spreadsheetml/2009/9/main" uri="{B025F937-C7B1-47D3-B67F-A62EFF666E3E}">
          <x14:id>{28C276B0-9949-1742-9290-2943B640B41C}</x14:id>
        </ext>
      </extLst>
    </cfRule>
  </conditionalFormatting>
  <conditionalFormatting sqref="Y25">
    <cfRule type="colorScale" priority="1100">
      <colorScale>
        <cfvo type="min"/>
        <cfvo type="percentile" val="50"/>
        <cfvo type="max"/>
        <color rgb="FF63BE7B"/>
        <color rgb="FFFFEB84"/>
        <color rgb="FFF8696B"/>
      </colorScale>
    </cfRule>
  </conditionalFormatting>
  <conditionalFormatting sqref="Y25">
    <cfRule type="dataBar" priority="1099">
      <dataBar>
        <cfvo type="min"/>
        <cfvo type="max"/>
        <color rgb="FF638EC6"/>
      </dataBar>
      <extLst>
        <ext xmlns:x14="http://schemas.microsoft.com/office/spreadsheetml/2009/9/main" uri="{B025F937-C7B1-47D3-B67F-A62EFF666E3E}">
          <x14:id>{341392EE-8619-7147-BBE7-7C669F6A4F25}</x14:id>
        </ext>
      </extLst>
    </cfRule>
  </conditionalFormatting>
  <conditionalFormatting sqref="Z24">
    <cfRule type="colorScale" priority="1098">
      <colorScale>
        <cfvo type="min"/>
        <cfvo type="percentile" val="50"/>
        <cfvo type="max"/>
        <color rgb="FF63BE7B"/>
        <color rgb="FFFFEB84"/>
        <color rgb="FFF8696B"/>
      </colorScale>
    </cfRule>
  </conditionalFormatting>
  <conditionalFormatting sqref="Z24">
    <cfRule type="dataBar" priority="1097">
      <dataBar>
        <cfvo type="min"/>
        <cfvo type="max"/>
        <color rgb="FF638EC6"/>
      </dataBar>
      <extLst>
        <ext xmlns:x14="http://schemas.microsoft.com/office/spreadsheetml/2009/9/main" uri="{B025F937-C7B1-47D3-B67F-A62EFF666E3E}">
          <x14:id>{D82EE3B1-08E5-B446-9BBE-9009D1EF7440}</x14:id>
        </ext>
      </extLst>
    </cfRule>
  </conditionalFormatting>
  <conditionalFormatting sqref="AA23">
    <cfRule type="colorScale" priority="1096">
      <colorScale>
        <cfvo type="min"/>
        <cfvo type="percentile" val="50"/>
        <cfvo type="max"/>
        <color rgb="FF63BE7B"/>
        <color rgb="FFFFEB84"/>
        <color rgb="FFF8696B"/>
      </colorScale>
    </cfRule>
  </conditionalFormatting>
  <conditionalFormatting sqref="AA23">
    <cfRule type="dataBar" priority="1095">
      <dataBar>
        <cfvo type="min"/>
        <cfvo type="max"/>
        <color rgb="FF638EC6"/>
      </dataBar>
      <extLst>
        <ext xmlns:x14="http://schemas.microsoft.com/office/spreadsheetml/2009/9/main" uri="{B025F937-C7B1-47D3-B67F-A62EFF666E3E}">
          <x14:id>{6337AA54-E039-D244-A6A2-26D9D705BDBA}</x14:id>
        </ext>
      </extLst>
    </cfRule>
  </conditionalFormatting>
  <conditionalFormatting sqref="AB22">
    <cfRule type="colorScale" priority="1094">
      <colorScale>
        <cfvo type="min"/>
        <cfvo type="percentile" val="50"/>
        <cfvo type="max"/>
        <color rgb="FF63BE7B"/>
        <color rgb="FFFFEB84"/>
        <color rgb="FFF8696B"/>
      </colorScale>
    </cfRule>
  </conditionalFormatting>
  <conditionalFormatting sqref="AB22">
    <cfRule type="dataBar" priority="1093">
      <dataBar>
        <cfvo type="min"/>
        <cfvo type="max"/>
        <color rgb="FF638EC6"/>
      </dataBar>
      <extLst>
        <ext xmlns:x14="http://schemas.microsoft.com/office/spreadsheetml/2009/9/main" uri="{B025F937-C7B1-47D3-B67F-A62EFF666E3E}">
          <x14:id>{12395FCE-BC98-5749-A11C-D6A90B32ED32}</x14:id>
        </ext>
      </extLst>
    </cfRule>
  </conditionalFormatting>
  <conditionalFormatting sqref="AC21">
    <cfRule type="colorScale" priority="1092">
      <colorScale>
        <cfvo type="min"/>
        <cfvo type="percentile" val="50"/>
        <cfvo type="max"/>
        <color rgb="FF63BE7B"/>
        <color rgb="FFFFEB84"/>
        <color rgb="FFF8696B"/>
      </colorScale>
    </cfRule>
  </conditionalFormatting>
  <conditionalFormatting sqref="AC21">
    <cfRule type="dataBar" priority="1091">
      <dataBar>
        <cfvo type="min"/>
        <cfvo type="max"/>
        <color rgb="FF638EC6"/>
      </dataBar>
      <extLst>
        <ext xmlns:x14="http://schemas.microsoft.com/office/spreadsheetml/2009/9/main" uri="{B025F937-C7B1-47D3-B67F-A62EFF666E3E}">
          <x14:id>{03A87F84-B560-1F45-9693-3362F9E885E8}</x14:id>
        </ext>
      </extLst>
    </cfRule>
  </conditionalFormatting>
  <conditionalFormatting sqref="AD20">
    <cfRule type="colorScale" priority="1090">
      <colorScale>
        <cfvo type="min"/>
        <cfvo type="percentile" val="50"/>
        <cfvo type="max"/>
        <color rgb="FF63BE7B"/>
        <color rgb="FFFFEB84"/>
        <color rgb="FFF8696B"/>
      </colorScale>
    </cfRule>
  </conditionalFormatting>
  <conditionalFormatting sqref="AD20">
    <cfRule type="dataBar" priority="1089">
      <dataBar>
        <cfvo type="min"/>
        <cfvo type="max"/>
        <color rgb="FF638EC6"/>
      </dataBar>
      <extLst>
        <ext xmlns:x14="http://schemas.microsoft.com/office/spreadsheetml/2009/9/main" uri="{B025F937-C7B1-47D3-B67F-A62EFF666E3E}">
          <x14:id>{46512467-7230-F04F-9E0F-47F69E5D8F92}</x14:id>
        </ext>
      </extLst>
    </cfRule>
  </conditionalFormatting>
  <conditionalFormatting sqref="M39">
    <cfRule type="dataBar" priority="1088">
      <dataBar>
        <cfvo type="min"/>
        <cfvo type="max"/>
        <color rgb="FF638EC6"/>
      </dataBar>
      <extLst>
        <ext xmlns:x14="http://schemas.microsoft.com/office/spreadsheetml/2009/9/main" uri="{B025F937-C7B1-47D3-B67F-A62EFF666E3E}">
          <x14:id>{6B278E37-F3AA-394B-BE2A-388B301E4AF1}</x14:id>
        </ext>
      </extLst>
    </cfRule>
  </conditionalFormatting>
  <conditionalFormatting sqref="N38">
    <cfRule type="colorScale" priority="1087">
      <colorScale>
        <cfvo type="min"/>
        <cfvo type="percentile" val="50"/>
        <cfvo type="max"/>
        <color rgb="FF63BE7B"/>
        <color rgb="FFFFEB84"/>
        <color rgb="FFF8696B"/>
      </colorScale>
    </cfRule>
  </conditionalFormatting>
  <conditionalFormatting sqref="N38">
    <cfRule type="dataBar" priority="1086">
      <dataBar>
        <cfvo type="min"/>
        <cfvo type="max"/>
        <color rgb="FF638EC6"/>
      </dataBar>
      <extLst>
        <ext xmlns:x14="http://schemas.microsoft.com/office/spreadsheetml/2009/9/main" uri="{B025F937-C7B1-47D3-B67F-A62EFF666E3E}">
          <x14:id>{1014E3D8-14A0-7240-99CD-D71402C2573D}</x14:id>
        </ext>
      </extLst>
    </cfRule>
  </conditionalFormatting>
  <conditionalFormatting sqref="O37">
    <cfRule type="colorScale" priority="1085">
      <colorScale>
        <cfvo type="min"/>
        <cfvo type="percentile" val="50"/>
        <cfvo type="max"/>
        <color rgb="FF63BE7B"/>
        <color rgb="FFFFEB84"/>
        <color rgb="FFF8696B"/>
      </colorScale>
    </cfRule>
  </conditionalFormatting>
  <conditionalFormatting sqref="O37">
    <cfRule type="dataBar" priority="1084">
      <dataBar>
        <cfvo type="min"/>
        <cfvo type="max"/>
        <color rgb="FF638EC6"/>
      </dataBar>
      <extLst>
        <ext xmlns:x14="http://schemas.microsoft.com/office/spreadsheetml/2009/9/main" uri="{B025F937-C7B1-47D3-B67F-A62EFF666E3E}">
          <x14:id>{1D5DFC20-9A43-D04B-8FF8-EBAF30F9EAE1}</x14:id>
        </ext>
      </extLst>
    </cfRule>
  </conditionalFormatting>
  <conditionalFormatting sqref="P36">
    <cfRule type="colorScale" priority="1083">
      <colorScale>
        <cfvo type="min"/>
        <cfvo type="percentile" val="50"/>
        <cfvo type="max"/>
        <color rgb="FF63BE7B"/>
        <color rgb="FFFFEB84"/>
        <color rgb="FFF8696B"/>
      </colorScale>
    </cfRule>
  </conditionalFormatting>
  <conditionalFormatting sqref="P36">
    <cfRule type="dataBar" priority="1082">
      <dataBar>
        <cfvo type="min"/>
        <cfvo type="max"/>
        <color rgb="FF638EC6"/>
      </dataBar>
      <extLst>
        <ext xmlns:x14="http://schemas.microsoft.com/office/spreadsheetml/2009/9/main" uri="{B025F937-C7B1-47D3-B67F-A62EFF666E3E}">
          <x14:id>{4F449A24-A84D-DF42-A2F6-7FE1843AC2BD}</x14:id>
        </ext>
      </extLst>
    </cfRule>
  </conditionalFormatting>
  <conditionalFormatting sqref="Q35">
    <cfRule type="colorScale" priority="1081">
      <colorScale>
        <cfvo type="min"/>
        <cfvo type="percentile" val="50"/>
        <cfvo type="max"/>
        <color rgb="FF63BE7B"/>
        <color rgb="FFFFEB84"/>
        <color rgb="FFF8696B"/>
      </colorScale>
    </cfRule>
  </conditionalFormatting>
  <conditionalFormatting sqref="Q35">
    <cfRule type="dataBar" priority="1080">
      <dataBar>
        <cfvo type="min"/>
        <cfvo type="max"/>
        <color rgb="FF638EC6"/>
      </dataBar>
      <extLst>
        <ext xmlns:x14="http://schemas.microsoft.com/office/spreadsheetml/2009/9/main" uri="{B025F937-C7B1-47D3-B67F-A62EFF666E3E}">
          <x14:id>{D61FEA22-85D5-9443-BD4D-FAF9F674982E}</x14:id>
        </ext>
      </extLst>
    </cfRule>
  </conditionalFormatting>
  <conditionalFormatting sqref="R34">
    <cfRule type="colorScale" priority="1079">
      <colorScale>
        <cfvo type="min"/>
        <cfvo type="percentile" val="50"/>
        <cfvo type="max"/>
        <color rgb="FF63BE7B"/>
        <color rgb="FFFFEB84"/>
        <color rgb="FFF8696B"/>
      </colorScale>
    </cfRule>
  </conditionalFormatting>
  <conditionalFormatting sqref="R34">
    <cfRule type="dataBar" priority="1078">
      <dataBar>
        <cfvo type="min"/>
        <cfvo type="max"/>
        <color rgb="FF638EC6"/>
      </dataBar>
      <extLst>
        <ext xmlns:x14="http://schemas.microsoft.com/office/spreadsheetml/2009/9/main" uri="{B025F937-C7B1-47D3-B67F-A62EFF666E3E}">
          <x14:id>{C682D8F3-C1D1-9B47-81B0-3A64FDF0A93C}</x14:id>
        </ext>
      </extLst>
    </cfRule>
  </conditionalFormatting>
  <conditionalFormatting sqref="S33">
    <cfRule type="colorScale" priority="1077">
      <colorScale>
        <cfvo type="min"/>
        <cfvo type="percentile" val="50"/>
        <cfvo type="max"/>
        <color rgb="FF63BE7B"/>
        <color rgb="FFFFEB84"/>
        <color rgb="FFF8696B"/>
      </colorScale>
    </cfRule>
  </conditionalFormatting>
  <conditionalFormatting sqref="S33">
    <cfRule type="dataBar" priority="1076">
      <dataBar>
        <cfvo type="min"/>
        <cfvo type="max"/>
        <color rgb="FF638EC6"/>
      </dataBar>
      <extLst>
        <ext xmlns:x14="http://schemas.microsoft.com/office/spreadsheetml/2009/9/main" uri="{B025F937-C7B1-47D3-B67F-A62EFF666E3E}">
          <x14:id>{C4CED8C7-C80B-AF4F-9104-8BE813D41C47}</x14:id>
        </ext>
      </extLst>
    </cfRule>
  </conditionalFormatting>
  <conditionalFormatting sqref="T32">
    <cfRule type="colorScale" priority="1075">
      <colorScale>
        <cfvo type="min"/>
        <cfvo type="percentile" val="50"/>
        <cfvo type="max"/>
        <color rgb="FF63BE7B"/>
        <color rgb="FFFFEB84"/>
        <color rgb="FFF8696B"/>
      </colorScale>
    </cfRule>
  </conditionalFormatting>
  <conditionalFormatting sqref="T32">
    <cfRule type="dataBar" priority="1074">
      <dataBar>
        <cfvo type="min"/>
        <cfvo type="max"/>
        <color rgb="FF638EC6"/>
      </dataBar>
      <extLst>
        <ext xmlns:x14="http://schemas.microsoft.com/office/spreadsheetml/2009/9/main" uri="{B025F937-C7B1-47D3-B67F-A62EFF666E3E}">
          <x14:id>{8578EF4E-EAAA-6343-8728-1B47A548BF2D}</x14:id>
        </ext>
      </extLst>
    </cfRule>
  </conditionalFormatting>
  <conditionalFormatting sqref="U31">
    <cfRule type="colorScale" priority="1073">
      <colorScale>
        <cfvo type="min"/>
        <cfvo type="percentile" val="50"/>
        <cfvo type="max"/>
        <color rgb="FF63BE7B"/>
        <color rgb="FFFFEB84"/>
        <color rgb="FFF8696B"/>
      </colorScale>
    </cfRule>
  </conditionalFormatting>
  <conditionalFormatting sqref="U31">
    <cfRule type="dataBar" priority="1072">
      <dataBar>
        <cfvo type="min"/>
        <cfvo type="max"/>
        <color rgb="FF638EC6"/>
      </dataBar>
      <extLst>
        <ext xmlns:x14="http://schemas.microsoft.com/office/spreadsheetml/2009/9/main" uri="{B025F937-C7B1-47D3-B67F-A62EFF666E3E}">
          <x14:id>{B5C756E8-8740-7A44-A072-5EBFE4E5EA00}</x14:id>
        </ext>
      </extLst>
    </cfRule>
  </conditionalFormatting>
  <conditionalFormatting sqref="V30">
    <cfRule type="colorScale" priority="1071">
      <colorScale>
        <cfvo type="min"/>
        <cfvo type="percentile" val="50"/>
        <cfvo type="max"/>
        <color rgb="FF63BE7B"/>
        <color rgb="FFFFEB84"/>
        <color rgb="FFF8696B"/>
      </colorScale>
    </cfRule>
  </conditionalFormatting>
  <conditionalFormatting sqref="V30">
    <cfRule type="dataBar" priority="1070">
      <dataBar>
        <cfvo type="min"/>
        <cfvo type="max"/>
        <color rgb="FF638EC6"/>
      </dataBar>
      <extLst>
        <ext xmlns:x14="http://schemas.microsoft.com/office/spreadsheetml/2009/9/main" uri="{B025F937-C7B1-47D3-B67F-A62EFF666E3E}">
          <x14:id>{56C5F3F2-DECF-894B-8890-D5AAAEA050F2}</x14:id>
        </ext>
      </extLst>
    </cfRule>
  </conditionalFormatting>
  <conditionalFormatting sqref="W29">
    <cfRule type="colorScale" priority="1069">
      <colorScale>
        <cfvo type="min"/>
        <cfvo type="percentile" val="50"/>
        <cfvo type="max"/>
        <color rgb="FF63BE7B"/>
        <color rgb="FFFFEB84"/>
        <color rgb="FFF8696B"/>
      </colorScale>
    </cfRule>
  </conditionalFormatting>
  <conditionalFormatting sqref="W29">
    <cfRule type="dataBar" priority="1068">
      <dataBar>
        <cfvo type="min"/>
        <cfvo type="max"/>
        <color rgb="FF638EC6"/>
      </dataBar>
      <extLst>
        <ext xmlns:x14="http://schemas.microsoft.com/office/spreadsheetml/2009/9/main" uri="{B025F937-C7B1-47D3-B67F-A62EFF666E3E}">
          <x14:id>{3C327E3B-E9E3-6641-A74E-D4DEF1C893F4}</x14:id>
        </ext>
      </extLst>
    </cfRule>
  </conditionalFormatting>
  <conditionalFormatting sqref="X28">
    <cfRule type="colorScale" priority="1067">
      <colorScale>
        <cfvo type="min"/>
        <cfvo type="percentile" val="50"/>
        <cfvo type="max"/>
        <color rgb="FF63BE7B"/>
        <color rgb="FFFFEB84"/>
        <color rgb="FFF8696B"/>
      </colorScale>
    </cfRule>
  </conditionalFormatting>
  <conditionalFormatting sqref="X28">
    <cfRule type="dataBar" priority="1066">
      <dataBar>
        <cfvo type="min"/>
        <cfvo type="max"/>
        <color rgb="FF638EC6"/>
      </dataBar>
      <extLst>
        <ext xmlns:x14="http://schemas.microsoft.com/office/spreadsheetml/2009/9/main" uri="{B025F937-C7B1-47D3-B67F-A62EFF666E3E}">
          <x14:id>{596E2C1C-C8C7-1642-B1E7-751194E94612}</x14:id>
        </ext>
      </extLst>
    </cfRule>
  </conditionalFormatting>
  <conditionalFormatting sqref="Y27">
    <cfRule type="colorScale" priority="1065">
      <colorScale>
        <cfvo type="min"/>
        <cfvo type="percentile" val="50"/>
        <cfvo type="max"/>
        <color rgb="FF63BE7B"/>
        <color rgb="FFFFEB84"/>
        <color rgb="FFF8696B"/>
      </colorScale>
    </cfRule>
  </conditionalFormatting>
  <conditionalFormatting sqref="Y27">
    <cfRule type="dataBar" priority="1064">
      <dataBar>
        <cfvo type="min"/>
        <cfvo type="max"/>
        <color rgb="FF638EC6"/>
      </dataBar>
      <extLst>
        <ext xmlns:x14="http://schemas.microsoft.com/office/spreadsheetml/2009/9/main" uri="{B025F937-C7B1-47D3-B67F-A62EFF666E3E}">
          <x14:id>{9A833034-DF17-3E4C-9482-4B94E40E9495}</x14:id>
        </ext>
      </extLst>
    </cfRule>
  </conditionalFormatting>
  <conditionalFormatting sqref="Z26">
    <cfRule type="colorScale" priority="1063">
      <colorScale>
        <cfvo type="min"/>
        <cfvo type="percentile" val="50"/>
        <cfvo type="max"/>
        <color rgb="FF63BE7B"/>
        <color rgb="FFFFEB84"/>
        <color rgb="FFF8696B"/>
      </colorScale>
    </cfRule>
  </conditionalFormatting>
  <conditionalFormatting sqref="Z26">
    <cfRule type="dataBar" priority="1062">
      <dataBar>
        <cfvo type="min"/>
        <cfvo type="max"/>
        <color rgb="FF638EC6"/>
      </dataBar>
      <extLst>
        <ext xmlns:x14="http://schemas.microsoft.com/office/spreadsheetml/2009/9/main" uri="{B025F937-C7B1-47D3-B67F-A62EFF666E3E}">
          <x14:id>{36623010-9270-C744-B5F6-EF8C04AEB266}</x14:id>
        </ext>
      </extLst>
    </cfRule>
  </conditionalFormatting>
  <conditionalFormatting sqref="AA25">
    <cfRule type="colorScale" priority="1061">
      <colorScale>
        <cfvo type="min"/>
        <cfvo type="percentile" val="50"/>
        <cfvo type="max"/>
        <color rgb="FF63BE7B"/>
        <color rgb="FFFFEB84"/>
        <color rgb="FFF8696B"/>
      </colorScale>
    </cfRule>
  </conditionalFormatting>
  <conditionalFormatting sqref="AA25">
    <cfRule type="dataBar" priority="1060">
      <dataBar>
        <cfvo type="min"/>
        <cfvo type="max"/>
        <color rgb="FF638EC6"/>
      </dataBar>
      <extLst>
        <ext xmlns:x14="http://schemas.microsoft.com/office/spreadsheetml/2009/9/main" uri="{B025F937-C7B1-47D3-B67F-A62EFF666E3E}">
          <x14:id>{22A02AE9-58C2-564E-BEB1-8D2D8AF63E86}</x14:id>
        </ext>
      </extLst>
    </cfRule>
  </conditionalFormatting>
  <conditionalFormatting sqref="AB24">
    <cfRule type="colorScale" priority="1059">
      <colorScale>
        <cfvo type="min"/>
        <cfvo type="percentile" val="50"/>
        <cfvo type="max"/>
        <color rgb="FF63BE7B"/>
        <color rgb="FFFFEB84"/>
        <color rgb="FFF8696B"/>
      </colorScale>
    </cfRule>
  </conditionalFormatting>
  <conditionalFormatting sqref="AB24">
    <cfRule type="dataBar" priority="1058">
      <dataBar>
        <cfvo type="min"/>
        <cfvo type="max"/>
        <color rgb="FF638EC6"/>
      </dataBar>
      <extLst>
        <ext xmlns:x14="http://schemas.microsoft.com/office/spreadsheetml/2009/9/main" uri="{B025F937-C7B1-47D3-B67F-A62EFF666E3E}">
          <x14:id>{0FCA8C48-A65E-B648-A9FA-C4EDECF271CE}</x14:id>
        </ext>
      </extLst>
    </cfRule>
  </conditionalFormatting>
  <conditionalFormatting sqref="AC23">
    <cfRule type="colorScale" priority="1057">
      <colorScale>
        <cfvo type="min"/>
        <cfvo type="percentile" val="50"/>
        <cfvo type="max"/>
        <color rgb="FF63BE7B"/>
        <color rgb="FFFFEB84"/>
        <color rgb="FFF8696B"/>
      </colorScale>
    </cfRule>
  </conditionalFormatting>
  <conditionalFormatting sqref="AC23">
    <cfRule type="dataBar" priority="1056">
      <dataBar>
        <cfvo type="min"/>
        <cfvo type="max"/>
        <color rgb="FF638EC6"/>
      </dataBar>
      <extLst>
        <ext xmlns:x14="http://schemas.microsoft.com/office/spreadsheetml/2009/9/main" uri="{B025F937-C7B1-47D3-B67F-A62EFF666E3E}">
          <x14:id>{F7227E4E-3C09-C449-9491-55AABF50CA90}</x14:id>
        </ext>
      </extLst>
    </cfRule>
  </conditionalFormatting>
  <conditionalFormatting sqref="AD22">
    <cfRule type="colorScale" priority="1055">
      <colorScale>
        <cfvo type="min"/>
        <cfvo type="percentile" val="50"/>
        <cfvo type="max"/>
        <color rgb="FF63BE7B"/>
        <color rgb="FFFFEB84"/>
        <color rgb="FFF8696B"/>
      </colorScale>
    </cfRule>
  </conditionalFormatting>
  <conditionalFormatting sqref="AD22">
    <cfRule type="dataBar" priority="1054">
      <dataBar>
        <cfvo type="min"/>
        <cfvo type="max"/>
        <color rgb="FF638EC6"/>
      </dataBar>
      <extLst>
        <ext xmlns:x14="http://schemas.microsoft.com/office/spreadsheetml/2009/9/main" uri="{B025F937-C7B1-47D3-B67F-A62EFF666E3E}">
          <x14:id>{5F38AC60-C825-184B-B4A1-71BBFFD6F5A7}</x14:id>
        </ext>
      </extLst>
    </cfRule>
  </conditionalFormatting>
  <conditionalFormatting sqref="M41">
    <cfRule type="dataBar" priority="1053">
      <dataBar>
        <cfvo type="min"/>
        <cfvo type="max"/>
        <color rgb="FF638EC6"/>
      </dataBar>
      <extLst>
        <ext xmlns:x14="http://schemas.microsoft.com/office/spreadsheetml/2009/9/main" uri="{B025F937-C7B1-47D3-B67F-A62EFF666E3E}">
          <x14:id>{680B5737-1724-7342-8DC5-C97846E867FD}</x14:id>
        </ext>
      </extLst>
    </cfRule>
  </conditionalFormatting>
  <conditionalFormatting sqref="N40">
    <cfRule type="colorScale" priority="1052">
      <colorScale>
        <cfvo type="min"/>
        <cfvo type="percentile" val="50"/>
        <cfvo type="max"/>
        <color rgb="FF63BE7B"/>
        <color rgb="FFFFEB84"/>
        <color rgb="FFF8696B"/>
      </colorScale>
    </cfRule>
  </conditionalFormatting>
  <conditionalFormatting sqref="N40">
    <cfRule type="dataBar" priority="1051">
      <dataBar>
        <cfvo type="min"/>
        <cfvo type="max"/>
        <color rgb="FF638EC6"/>
      </dataBar>
      <extLst>
        <ext xmlns:x14="http://schemas.microsoft.com/office/spreadsheetml/2009/9/main" uri="{B025F937-C7B1-47D3-B67F-A62EFF666E3E}">
          <x14:id>{11499AF4-8071-B044-A85C-D3162BC780F1}</x14:id>
        </ext>
      </extLst>
    </cfRule>
  </conditionalFormatting>
  <conditionalFormatting sqref="O39">
    <cfRule type="colorScale" priority="1050">
      <colorScale>
        <cfvo type="min"/>
        <cfvo type="percentile" val="50"/>
        <cfvo type="max"/>
        <color rgb="FF63BE7B"/>
        <color rgb="FFFFEB84"/>
        <color rgb="FFF8696B"/>
      </colorScale>
    </cfRule>
  </conditionalFormatting>
  <conditionalFormatting sqref="O39">
    <cfRule type="dataBar" priority="1049">
      <dataBar>
        <cfvo type="min"/>
        <cfvo type="max"/>
        <color rgb="FF638EC6"/>
      </dataBar>
      <extLst>
        <ext xmlns:x14="http://schemas.microsoft.com/office/spreadsheetml/2009/9/main" uri="{B025F937-C7B1-47D3-B67F-A62EFF666E3E}">
          <x14:id>{10BB7D48-0F19-1341-9702-61DC01D7CC29}</x14:id>
        </ext>
      </extLst>
    </cfRule>
  </conditionalFormatting>
  <conditionalFormatting sqref="P38">
    <cfRule type="colorScale" priority="1048">
      <colorScale>
        <cfvo type="min"/>
        <cfvo type="percentile" val="50"/>
        <cfvo type="max"/>
        <color rgb="FF63BE7B"/>
        <color rgb="FFFFEB84"/>
        <color rgb="FFF8696B"/>
      </colorScale>
    </cfRule>
  </conditionalFormatting>
  <conditionalFormatting sqref="P38">
    <cfRule type="dataBar" priority="1047">
      <dataBar>
        <cfvo type="min"/>
        <cfvo type="max"/>
        <color rgb="FF638EC6"/>
      </dataBar>
      <extLst>
        <ext xmlns:x14="http://schemas.microsoft.com/office/spreadsheetml/2009/9/main" uri="{B025F937-C7B1-47D3-B67F-A62EFF666E3E}">
          <x14:id>{E59DB663-B63D-1B41-A96F-EC2DA7075840}</x14:id>
        </ext>
      </extLst>
    </cfRule>
  </conditionalFormatting>
  <conditionalFormatting sqref="Q37">
    <cfRule type="colorScale" priority="1044">
      <colorScale>
        <cfvo type="min"/>
        <cfvo type="percentile" val="50"/>
        <cfvo type="max"/>
        <color rgb="FF63BE7B"/>
        <color rgb="FFFFEB84"/>
        <color rgb="FFF8696B"/>
      </colorScale>
    </cfRule>
  </conditionalFormatting>
  <conditionalFormatting sqref="Q37">
    <cfRule type="dataBar" priority="1043">
      <dataBar>
        <cfvo type="min"/>
        <cfvo type="max"/>
        <color rgb="FF638EC6"/>
      </dataBar>
      <extLst>
        <ext xmlns:x14="http://schemas.microsoft.com/office/spreadsheetml/2009/9/main" uri="{B025F937-C7B1-47D3-B67F-A62EFF666E3E}">
          <x14:id>{C938F74E-81AE-6344-8E7E-52B2F7458DE3}</x14:id>
        </ext>
      </extLst>
    </cfRule>
  </conditionalFormatting>
  <conditionalFormatting sqref="R36">
    <cfRule type="colorScale" priority="1042">
      <colorScale>
        <cfvo type="min"/>
        <cfvo type="percentile" val="50"/>
        <cfvo type="max"/>
        <color rgb="FF63BE7B"/>
        <color rgb="FFFFEB84"/>
        <color rgb="FFF8696B"/>
      </colorScale>
    </cfRule>
  </conditionalFormatting>
  <conditionalFormatting sqref="R36">
    <cfRule type="dataBar" priority="1041">
      <dataBar>
        <cfvo type="min"/>
        <cfvo type="max"/>
        <color rgb="FF638EC6"/>
      </dataBar>
      <extLst>
        <ext xmlns:x14="http://schemas.microsoft.com/office/spreadsheetml/2009/9/main" uri="{B025F937-C7B1-47D3-B67F-A62EFF666E3E}">
          <x14:id>{8686286E-47DC-124E-B562-EA9573BD09F3}</x14:id>
        </ext>
      </extLst>
    </cfRule>
  </conditionalFormatting>
  <conditionalFormatting sqref="S35">
    <cfRule type="colorScale" priority="1040">
      <colorScale>
        <cfvo type="min"/>
        <cfvo type="percentile" val="50"/>
        <cfvo type="max"/>
        <color rgb="FF63BE7B"/>
        <color rgb="FFFFEB84"/>
        <color rgb="FFF8696B"/>
      </colorScale>
    </cfRule>
  </conditionalFormatting>
  <conditionalFormatting sqref="S35">
    <cfRule type="dataBar" priority="1039">
      <dataBar>
        <cfvo type="min"/>
        <cfvo type="max"/>
        <color rgb="FF638EC6"/>
      </dataBar>
      <extLst>
        <ext xmlns:x14="http://schemas.microsoft.com/office/spreadsheetml/2009/9/main" uri="{B025F937-C7B1-47D3-B67F-A62EFF666E3E}">
          <x14:id>{8A72F7C0-6239-934A-8C66-E43AC467CD59}</x14:id>
        </ext>
      </extLst>
    </cfRule>
  </conditionalFormatting>
  <conditionalFormatting sqref="T34">
    <cfRule type="colorScale" priority="1038">
      <colorScale>
        <cfvo type="min"/>
        <cfvo type="percentile" val="50"/>
        <cfvo type="max"/>
        <color rgb="FF63BE7B"/>
        <color rgb="FFFFEB84"/>
        <color rgb="FFF8696B"/>
      </colorScale>
    </cfRule>
  </conditionalFormatting>
  <conditionalFormatting sqref="T34">
    <cfRule type="dataBar" priority="1037">
      <dataBar>
        <cfvo type="min"/>
        <cfvo type="max"/>
        <color rgb="FF638EC6"/>
      </dataBar>
      <extLst>
        <ext xmlns:x14="http://schemas.microsoft.com/office/spreadsheetml/2009/9/main" uri="{B025F937-C7B1-47D3-B67F-A62EFF666E3E}">
          <x14:id>{7A894689-699F-DC4E-B62B-F0C2C35848BA}</x14:id>
        </ext>
      </extLst>
    </cfRule>
  </conditionalFormatting>
  <conditionalFormatting sqref="U33">
    <cfRule type="colorScale" priority="1036">
      <colorScale>
        <cfvo type="min"/>
        <cfvo type="percentile" val="50"/>
        <cfvo type="max"/>
        <color rgb="FF63BE7B"/>
        <color rgb="FFFFEB84"/>
        <color rgb="FFF8696B"/>
      </colorScale>
    </cfRule>
  </conditionalFormatting>
  <conditionalFormatting sqref="U33">
    <cfRule type="dataBar" priority="1035">
      <dataBar>
        <cfvo type="min"/>
        <cfvo type="max"/>
        <color rgb="FF638EC6"/>
      </dataBar>
      <extLst>
        <ext xmlns:x14="http://schemas.microsoft.com/office/spreadsheetml/2009/9/main" uri="{B025F937-C7B1-47D3-B67F-A62EFF666E3E}">
          <x14:id>{135145C0-9208-4F4C-9C18-6A8FAFB17C92}</x14:id>
        </ext>
      </extLst>
    </cfRule>
  </conditionalFormatting>
  <conditionalFormatting sqref="V32">
    <cfRule type="colorScale" priority="1034">
      <colorScale>
        <cfvo type="min"/>
        <cfvo type="percentile" val="50"/>
        <cfvo type="max"/>
        <color rgb="FF63BE7B"/>
        <color rgb="FFFFEB84"/>
        <color rgb="FFF8696B"/>
      </colorScale>
    </cfRule>
  </conditionalFormatting>
  <conditionalFormatting sqref="V32">
    <cfRule type="dataBar" priority="1033">
      <dataBar>
        <cfvo type="min"/>
        <cfvo type="max"/>
        <color rgb="FF638EC6"/>
      </dataBar>
      <extLst>
        <ext xmlns:x14="http://schemas.microsoft.com/office/spreadsheetml/2009/9/main" uri="{B025F937-C7B1-47D3-B67F-A62EFF666E3E}">
          <x14:id>{535723A9-0AC4-9743-8C2A-78AD359DCFB0}</x14:id>
        </ext>
      </extLst>
    </cfRule>
  </conditionalFormatting>
  <conditionalFormatting sqref="W31">
    <cfRule type="colorScale" priority="1032">
      <colorScale>
        <cfvo type="min"/>
        <cfvo type="percentile" val="50"/>
        <cfvo type="max"/>
        <color rgb="FF63BE7B"/>
        <color rgb="FFFFEB84"/>
        <color rgb="FFF8696B"/>
      </colorScale>
    </cfRule>
  </conditionalFormatting>
  <conditionalFormatting sqref="W31">
    <cfRule type="dataBar" priority="1031">
      <dataBar>
        <cfvo type="min"/>
        <cfvo type="max"/>
        <color rgb="FF638EC6"/>
      </dataBar>
      <extLst>
        <ext xmlns:x14="http://schemas.microsoft.com/office/spreadsheetml/2009/9/main" uri="{B025F937-C7B1-47D3-B67F-A62EFF666E3E}">
          <x14:id>{01D2B7C1-27D9-8B41-92E9-3BE573935E6C}</x14:id>
        </ext>
      </extLst>
    </cfRule>
  </conditionalFormatting>
  <conditionalFormatting sqref="X30">
    <cfRule type="colorScale" priority="1030">
      <colorScale>
        <cfvo type="min"/>
        <cfvo type="percentile" val="50"/>
        <cfvo type="max"/>
        <color rgb="FF63BE7B"/>
        <color rgb="FFFFEB84"/>
        <color rgb="FFF8696B"/>
      </colorScale>
    </cfRule>
  </conditionalFormatting>
  <conditionalFormatting sqref="X30">
    <cfRule type="dataBar" priority="1029">
      <dataBar>
        <cfvo type="min"/>
        <cfvo type="max"/>
        <color rgb="FF638EC6"/>
      </dataBar>
      <extLst>
        <ext xmlns:x14="http://schemas.microsoft.com/office/spreadsheetml/2009/9/main" uri="{B025F937-C7B1-47D3-B67F-A62EFF666E3E}">
          <x14:id>{511C5282-E517-FB46-BE3B-B78D77BDF37B}</x14:id>
        </ext>
      </extLst>
    </cfRule>
  </conditionalFormatting>
  <conditionalFormatting sqref="Y29">
    <cfRule type="colorScale" priority="1028">
      <colorScale>
        <cfvo type="min"/>
        <cfvo type="percentile" val="50"/>
        <cfvo type="max"/>
        <color rgb="FF63BE7B"/>
        <color rgb="FFFFEB84"/>
        <color rgb="FFF8696B"/>
      </colorScale>
    </cfRule>
  </conditionalFormatting>
  <conditionalFormatting sqref="Y29">
    <cfRule type="dataBar" priority="1027">
      <dataBar>
        <cfvo type="min"/>
        <cfvo type="max"/>
        <color rgb="FF638EC6"/>
      </dataBar>
      <extLst>
        <ext xmlns:x14="http://schemas.microsoft.com/office/spreadsheetml/2009/9/main" uri="{B025F937-C7B1-47D3-B67F-A62EFF666E3E}">
          <x14:id>{1ED09BB9-D772-5544-8791-400C25544A0B}</x14:id>
        </ext>
      </extLst>
    </cfRule>
  </conditionalFormatting>
  <conditionalFormatting sqref="Z28">
    <cfRule type="colorScale" priority="1026">
      <colorScale>
        <cfvo type="min"/>
        <cfvo type="percentile" val="50"/>
        <cfvo type="max"/>
        <color rgb="FF63BE7B"/>
        <color rgb="FFFFEB84"/>
        <color rgb="FFF8696B"/>
      </colorScale>
    </cfRule>
  </conditionalFormatting>
  <conditionalFormatting sqref="Z28">
    <cfRule type="dataBar" priority="1025">
      <dataBar>
        <cfvo type="min"/>
        <cfvo type="max"/>
        <color rgb="FF638EC6"/>
      </dataBar>
      <extLst>
        <ext xmlns:x14="http://schemas.microsoft.com/office/spreadsheetml/2009/9/main" uri="{B025F937-C7B1-47D3-B67F-A62EFF666E3E}">
          <x14:id>{D7453C48-4926-2B43-8CED-D8B8B1BC3D0B}</x14:id>
        </ext>
      </extLst>
    </cfRule>
  </conditionalFormatting>
  <conditionalFormatting sqref="AA27">
    <cfRule type="colorScale" priority="1024">
      <colorScale>
        <cfvo type="min"/>
        <cfvo type="percentile" val="50"/>
        <cfvo type="max"/>
        <color rgb="FF63BE7B"/>
        <color rgb="FFFFEB84"/>
        <color rgb="FFF8696B"/>
      </colorScale>
    </cfRule>
  </conditionalFormatting>
  <conditionalFormatting sqref="AA27">
    <cfRule type="dataBar" priority="1023">
      <dataBar>
        <cfvo type="min"/>
        <cfvo type="max"/>
        <color rgb="FF638EC6"/>
      </dataBar>
      <extLst>
        <ext xmlns:x14="http://schemas.microsoft.com/office/spreadsheetml/2009/9/main" uri="{B025F937-C7B1-47D3-B67F-A62EFF666E3E}">
          <x14:id>{A08A1FC5-2413-6C4E-B92E-9E8C9E416742}</x14:id>
        </ext>
      </extLst>
    </cfRule>
  </conditionalFormatting>
  <conditionalFormatting sqref="AB26">
    <cfRule type="colorScale" priority="1022">
      <colorScale>
        <cfvo type="min"/>
        <cfvo type="percentile" val="50"/>
        <cfvo type="max"/>
        <color rgb="FF63BE7B"/>
        <color rgb="FFFFEB84"/>
        <color rgb="FFF8696B"/>
      </colorScale>
    </cfRule>
  </conditionalFormatting>
  <conditionalFormatting sqref="AB26">
    <cfRule type="dataBar" priority="1021">
      <dataBar>
        <cfvo type="min"/>
        <cfvo type="max"/>
        <color rgb="FF638EC6"/>
      </dataBar>
      <extLst>
        <ext xmlns:x14="http://schemas.microsoft.com/office/spreadsheetml/2009/9/main" uri="{B025F937-C7B1-47D3-B67F-A62EFF666E3E}">
          <x14:id>{FE98DFB9-BEFC-BB4D-B07E-4791657A5844}</x14:id>
        </ext>
      </extLst>
    </cfRule>
  </conditionalFormatting>
  <conditionalFormatting sqref="AC25">
    <cfRule type="colorScale" priority="1020">
      <colorScale>
        <cfvo type="min"/>
        <cfvo type="percentile" val="50"/>
        <cfvo type="max"/>
        <color rgb="FF63BE7B"/>
        <color rgb="FFFFEB84"/>
        <color rgb="FFF8696B"/>
      </colorScale>
    </cfRule>
  </conditionalFormatting>
  <conditionalFormatting sqref="AC25">
    <cfRule type="dataBar" priority="1019">
      <dataBar>
        <cfvo type="min"/>
        <cfvo type="max"/>
        <color rgb="FF638EC6"/>
      </dataBar>
      <extLst>
        <ext xmlns:x14="http://schemas.microsoft.com/office/spreadsheetml/2009/9/main" uri="{B025F937-C7B1-47D3-B67F-A62EFF666E3E}">
          <x14:id>{EBCE53B6-62CE-FD44-A0A7-F35B405583D3}</x14:id>
        </ext>
      </extLst>
    </cfRule>
  </conditionalFormatting>
  <conditionalFormatting sqref="AD24">
    <cfRule type="colorScale" priority="1018">
      <colorScale>
        <cfvo type="min"/>
        <cfvo type="percentile" val="50"/>
        <cfvo type="max"/>
        <color rgb="FF63BE7B"/>
        <color rgb="FFFFEB84"/>
        <color rgb="FFF8696B"/>
      </colorScale>
    </cfRule>
  </conditionalFormatting>
  <conditionalFormatting sqref="AD24">
    <cfRule type="dataBar" priority="1017">
      <dataBar>
        <cfvo type="min"/>
        <cfvo type="max"/>
        <color rgb="FF638EC6"/>
      </dataBar>
      <extLst>
        <ext xmlns:x14="http://schemas.microsoft.com/office/spreadsheetml/2009/9/main" uri="{B025F937-C7B1-47D3-B67F-A62EFF666E3E}">
          <x14:id>{4E7A30EE-3D8C-3341-A369-90B1A9EEA00C}</x14:id>
        </ext>
      </extLst>
    </cfRule>
  </conditionalFormatting>
  <conditionalFormatting sqref="M43">
    <cfRule type="dataBar" priority="1016">
      <dataBar>
        <cfvo type="min"/>
        <cfvo type="max"/>
        <color rgb="FF638EC6"/>
      </dataBar>
      <extLst>
        <ext xmlns:x14="http://schemas.microsoft.com/office/spreadsheetml/2009/9/main" uri="{B025F937-C7B1-47D3-B67F-A62EFF666E3E}">
          <x14:id>{3B461912-B900-0A4E-A842-C9E6111A5F2D}</x14:id>
        </ext>
      </extLst>
    </cfRule>
  </conditionalFormatting>
  <conditionalFormatting sqref="N42">
    <cfRule type="colorScale" priority="1015">
      <colorScale>
        <cfvo type="min"/>
        <cfvo type="percentile" val="50"/>
        <cfvo type="max"/>
        <color rgb="FF63BE7B"/>
        <color rgb="FFFFEB84"/>
        <color rgb="FFF8696B"/>
      </colorScale>
    </cfRule>
  </conditionalFormatting>
  <conditionalFormatting sqref="N42">
    <cfRule type="dataBar" priority="1014">
      <dataBar>
        <cfvo type="min"/>
        <cfvo type="max"/>
        <color rgb="FF638EC6"/>
      </dataBar>
      <extLst>
        <ext xmlns:x14="http://schemas.microsoft.com/office/spreadsheetml/2009/9/main" uri="{B025F937-C7B1-47D3-B67F-A62EFF666E3E}">
          <x14:id>{1C541079-4A27-274F-8936-DD698C3B4C10}</x14:id>
        </ext>
      </extLst>
    </cfRule>
  </conditionalFormatting>
  <conditionalFormatting sqref="O41">
    <cfRule type="colorScale" priority="1013">
      <colorScale>
        <cfvo type="min"/>
        <cfvo type="percentile" val="50"/>
        <cfvo type="max"/>
        <color rgb="FF63BE7B"/>
        <color rgb="FFFFEB84"/>
        <color rgb="FFF8696B"/>
      </colorScale>
    </cfRule>
  </conditionalFormatting>
  <conditionalFormatting sqref="O41">
    <cfRule type="dataBar" priority="1012">
      <dataBar>
        <cfvo type="min"/>
        <cfvo type="max"/>
        <color rgb="FF638EC6"/>
      </dataBar>
      <extLst>
        <ext xmlns:x14="http://schemas.microsoft.com/office/spreadsheetml/2009/9/main" uri="{B025F937-C7B1-47D3-B67F-A62EFF666E3E}">
          <x14:id>{C65BE452-3D7C-F748-8043-35EE1533B596}</x14:id>
        </ext>
      </extLst>
    </cfRule>
  </conditionalFormatting>
  <conditionalFormatting sqref="P40">
    <cfRule type="colorScale" priority="1011">
      <colorScale>
        <cfvo type="min"/>
        <cfvo type="percentile" val="50"/>
        <cfvo type="max"/>
        <color rgb="FF63BE7B"/>
        <color rgb="FFFFEB84"/>
        <color rgb="FFF8696B"/>
      </colorScale>
    </cfRule>
  </conditionalFormatting>
  <conditionalFormatting sqref="P40">
    <cfRule type="dataBar" priority="1010">
      <dataBar>
        <cfvo type="min"/>
        <cfvo type="max"/>
        <color rgb="FF638EC6"/>
      </dataBar>
      <extLst>
        <ext xmlns:x14="http://schemas.microsoft.com/office/spreadsheetml/2009/9/main" uri="{B025F937-C7B1-47D3-B67F-A62EFF666E3E}">
          <x14:id>{35145D6C-6728-FC45-883A-D61FDFF1D71F}</x14:id>
        </ext>
      </extLst>
    </cfRule>
  </conditionalFormatting>
  <conditionalFormatting sqref="Q39">
    <cfRule type="colorScale" priority="1009">
      <colorScale>
        <cfvo type="min"/>
        <cfvo type="percentile" val="50"/>
        <cfvo type="max"/>
        <color rgb="FF63BE7B"/>
        <color rgb="FFFFEB84"/>
        <color rgb="FFF8696B"/>
      </colorScale>
    </cfRule>
  </conditionalFormatting>
  <conditionalFormatting sqref="Q39">
    <cfRule type="dataBar" priority="1008">
      <dataBar>
        <cfvo type="min"/>
        <cfvo type="max"/>
        <color rgb="FF638EC6"/>
      </dataBar>
      <extLst>
        <ext xmlns:x14="http://schemas.microsoft.com/office/spreadsheetml/2009/9/main" uri="{B025F937-C7B1-47D3-B67F-A62EFF666E3E}">
          <x14:id>{473E33D5-567C-964B-AF6A-63C3E4DE125A}</x14:id>
        </ext>
      </extLst>
    </cfRule>
  </conditionalFormatting>
  <conditionalFormatting sqref="R38">
    <cfRule type="colorScale" priority="1007">
      <colorScale>
        <cfvo type="min"/>
        <cfvo type="percentile" val="50"/>
        <cfvo type="max"/>
        <color rgb="FF63BE7B"/>
        <color rgb="FFFFEB84"/>
        <color rgb="FFF8696B"/>
      </colorScale>
    </cfRule>
  </conditionalFormatting>
  <conditionalFormatting sqref="R38">
    <cfRule type="dataBar" priority="1006">
      <dataBar>
        <cfvo type="min"/>
        <cfvo type="max"/>
        <color rgb="FF638EC6"/>
      </dataBar>
      <extLst>
        <ext xmlns:x14="http://schemas.microsoft.com/office/spreadsheetml/2009/9/main" uri="{B025F937-C7B1-47D3-B67F-A62EFF666E3E}">
          <x14:id>{80A0121F-FCB7-B242-B27C-491A3668C269}</x14:id>
        </ext>
      </extLst>
    </cfRule>
  </conditionalFormatting>
  <conditionalFormatting sqref="S37">
    <cfRule type="colorScale" priority="1005">
      <colorScale>
        <cfvo type="min"/>
        <cfvo type="percentile" val="50"/>
        <cfvo type="max"/>
        <color rgb="FF63BE7B"/>
        <color rgb="FFFFEB84"/>
        <color rgb="FFF8696B"/>
      </colorScale>
    </cfRule>
  </conditionalFormatting>
  <conditionalFormatting sqref="S37">
    <cfRule type="dataBar" priority="1004">
      <dataBar>
        <cfvo type="min"/>
        <cfvo type="max"/>
        <color rgb="FF638EC6"/>
      </dataBar>
      <extLst>
        <ext xmlns:x14="http://schemas.microsoft.com/office/spreadsheetml/2009/9/main" uri="{B025F937-C7B1-47D3-B67F-A62EFF666E3E}">
          <x14:id>{CA08E8C9-4129-A343-BF72-A9C95AC2D8A9}</x14:id>
        </ext>
      </extLst>
    </cfRule>
  </conditionalFormatting>
  <conditionalFormatting sqref="T36">
    <cfRule type="colorScale" priority="1003">
      <colorScale>
        <cfvo type="min"/>
        <cfvo type="percentile" val="50"/>
        <cfvo type="max"/>
        <color rgb="FF63BE7B"/>
        <color rgb="FFFFEB84"/>
        <color rgb="FFF8696B"/>
      </colorScale>
    </cfRule>
  </conditionalFormatting>
  <conditionalFormatting sqref="T36">
    <cfRule type="dataBar" priority="1002">
      <dataBar>
        <cfvo type="min"/>
        <cfvo type="max"/>
        <color rgb="FF638EC6"/>
      </dataBar>
      <extLst>
        <ext xmlns:x14="http://schemas.microsoft.com/office/spreadsheetml/2009/9/main" uri="{B025F937-C7B1-47D3-B67F-A62EFF666E3E}">
          <x14:id>{9EC66955-708F-9347-91D8-C0340AF1DCA5}</x14:id>
        </ext>
      </extLst>
    </cfRule>
  </conditionalFormatting>
  <conditionalFormatting sqref="U35">
    <cfRule type="colorScale" priority="1001">
      <colorScale>
        <cfvo type="min"/>
        <cfvo type="percentile" val="50"/>
        <cfvo type="max"/>
        <color rgb="FF63BE7B"/>
        <color rgb="FFFFEB84"/>
        <color rgb="FFF8696B"/>
      </colorScale>
    </cfRule>
  </conditionalFormatting>
  <conditionalFormatting sqref="U35">
    <cfRule type="dataBar" priority="1000">
      <dataBar>
        <cfvo type="min"/>
        <cfvo type="max"/>
        <color rgb="FF638EC6"/>
      </dataBar>
      <extLst>
        <ext xmlns:x14="http://schemas.microsoft.com/office/spreadsheetml/2009/9/main" uri="{B025F937-C7B1-47D3-B67F-A62EFF666E3E}">
          <x14:id>{4B4FB426-65F9-F643-851C-981A33D7C4F4}</x14:id>
        </ext>
      </extLst>
    </cfRule>
  </conditionalFormatting>
  <conditionalFormatting sqref="V34">
    <cfRule type="colorScale" priority="999">
      <colorScale>
        <cfvo type="min"/>
        <cfvo type="percentile" val="50"/>
        <cfvo type="max"/>
        <color rgb="FF63BE7B"/>
        <color rgb="FFFFEB84"/>
        <color rgb="FFF8696B"/>
      </colorScale>
    </cfRule>
  </conditionalFormatting>
  <conditionalFormatting sqref="V34">
    <cfRule type="dataBar" priority="998">
      <dataBar>
        <cfvo type="min"/>
        <cfvo type="max"/>
        <color rgb="FF638EC6"/>
      </dataBar>
      <extLst>
        <ext xmlns:x14="http://schemas.microsoft.com/office/spreadsheetml/2009/9/main" uri="{B025F937-C7B1-47D3-B67F-A62EFF666E3E}">
          <x14:id>{88078357-7744-0F41-9D42-9545B5C19E26}</x14:id>
        </ext>
      </extLst>
    </cfRule>
  </conditionalFormatting>
  <conditionalFormatting sqref="W33">
    <cfRule type="colorScale" priority="997">
      <colorScale>
        <cfvo type="min"/>
        <cfvo type="percentile" val="50"/>
        <cfvo type="max"/>
        <color rgb="FF63BE7B"/>
        <color rgb="FFFFEB84"/>
        <color rgb="FFF8696B"/>
      </colorScale>
    </cfRule>
  </conditionalFormatting>
  <conditionalFormatting sqref="W33">
    <cfRule type="dataBar" priority="996">
      <dataBar>
        <cfvo type="min"/>
        <cfvo type="max"/>
        <color rgb="FF638EC6"/>
      </dataBar>
      <extLst>
        <ext xmlns:x14="http://schemas.microsoft.com/office/spreadsheetml/2009/9/main" uri="{B025F937-C7B1-47D3-B67F-A62EFF666E3E}">
          <x14:id>{15AC4EF2-523F-5048-94DE-B0C90509BC39}</x14:id>
        </ext>
      </extLst>
    </cfRule>
  </conditionalFormatting>
  <conditionalFormatting sqref="X32">
    <cfRule type="colorScale" priority="995">
      <colorScale>
        <cfvo type="min"/>
        <cfvo type="percentile" val="50"/>
        <cfvo type="max"/>
        <color rgb="FF63BE7B"/>
        <color rgb="FFFFEB84"/>
        <color rgb="FFF8696B"/>
      </colorScale>
    </cfRule>
  </conditionalFormatting>
  <conditionalFormatting sqref="X32">
    <cfRule type="dataBar" priority="994">
      <dataBar>
        <cfvo type="min"/>
        <cfvo type="max"/>
        <color rgb="FF638EC6"/>
      </dataBar>
      <extLst>
        <ext xmlns:x14="http://schemas.microsoft.com/office/spreadsheetml/2009/9/main" uri="{B025F937-C7B1-47D3-B67F-A62EFF666E3E}">
          <x14:id>{4E8C0C94-DFA7-9B42-B8BD-7023A97CD8FE}</x14:id>
        </ext>
      </extLst>
    </cfRule>
  </conditionalFormatting>
  <conditionalFormatting sqref="Y31">
    <cfRule type="colorScale" priority="993">
      <colorScale>
        <cfvo type="min"/>
        <cfvo type="percentile" val="50"/>
        <cfvo type="max"/>
        <color rgb="FF63BE7B"/>
        <color rgb="FFFFEB84"/>
        <color rgb="FFF8696B"/>
      </colorScale>
    </cfRule>
  </conditionalFormatting>
  <conditionalFormatting sqref="Y31">
    <cfRule type="dataBar" priority="992">
      <dataBar>
        <cfvo type="min"/>
        <cfvo type="max"/>
        <color rgb="FF638EC6"/>
      </dataBar>
      <extLst>
        <ext xmlns:x14="http://schemas.microsoft.com/office/spreadsheetml/2009/9/main" uri="{B025F937-C7B1-47D3-B67F-A62EFF666E3E}">
          <x14:id>{F7DEAF43-F474-854A-9E43-D37D76490264}</x14:id>
        </ext>
      </extLst>
    </cfRule>
  </conditionalFormatting>
  <conditionalFormatting sqref="Z30">
    <cfRule type="colorScale" priority="991">
      <colorScale>
        <cfvo type="min"/>
        <cfvo type="percentile" val="50"/>
        <cfvo type="max"/>
        <color rgb="FF63BE7B"/>
        <color rgb="FFFFEB84"/>
        <color rgb="FFF8696B"/>
      </colorScale>
    </cfRule>
  </conditionalFormatting>
  <conditionalFormatting sqref="Z30">
    <cfRule type="dataBar" priority="990">
      <dataBar>
        <cfvo type="min"/>
        <cfvo type="max"/>
        <color rgb="FF638EC6"/>
      </dataBar>
      <extLst>
        <ext xmlns:x14="http://schemas.microsoft.com/office/spreadsheetml/2009/9/main" uri="{B025F937-C7B1-47D3-B67F-A62EFF666E3E}">
          <x14:id>{59195F72-4F0B-6648-B794-FB73AA9267DA}</x14:id>
        </ext>
      </extLst>
    </cfRule>
  </conditionalFormatting>
  <conditionalFormatting sqref="AA29">
    <cfRule type="colorScale" priority="989">
      <colorScale>
        <cfvo type="min"/>
        <cfvo type="percentile" val="50"/>
        <cfvo type="max"/>
        <color rgb="FF63BE7B"/>
        <color rgb="FFFFEB84"/>
        <color rgb="FFF8696B"/>
      </colorScale>
    </cfRule>
  </conditionalFormatting>
  <conditionalFormatting sqref="AA29">
    <cfRule type="dataBar" priority="988">
      <dataBar>
        <cfvo type="min"/>
        <cfvo type="max"/>
        <color rgb="FF638EC6"/>
      </dataBar>
      <extLst>
        <ext xmlns:x14="http://schemas.microsoft.com/office/spreadsheetml/2009/9/main" uri="{B025F937-C7B1-47D3-B67F-A62EFF666E3E}">
          <x14:id>{D89AA9B7-FD9A-2C49-81B9-947DF8894B3A}</x14:id>
        </ext>
      </extLst>
    </cfRule>
  </conditionalFormatting>
  <conditionalFormatting sqref="AB28">
    <cfRule type="colorScale" priority="987">
      <colorScale>
        <cfvo type="min"/>
        <cfvo type="percentile" val="50"/>
        <cfvo type="max"/>
        <color rgb="FF63BE7B"/>
        <color rgb="FFFFEB84"/>
        <color rgb="FFF8696B"/>
      </colorScale>
    </cfRule>
  </conditionalFormatting>
  <conditionalFormatting sqref="AB28">
    <cfRule type="dataBar" priority="986">
      <dataBar>
        <cfvo type="min"/>
        <cfvo type="max"/>
        <color rgb="FF638EC6"/>
      </dataBar>
      <extLst>
        <ext xmlns:x14="http://schemas.microsoft.com/office/spreadsheetml/2009/9/main" uri="{B025F937-C7B1-47D3-B67F-A62EFF666E3E}">
          <x14:id>{6380EDC7-F3F4-1F48-80E2-5A35E58841D5}</x14:id>
        </ext>
      </extLst>
    </cfRule>
  </conditionalFormatting>
  <conditionalFormatting sqref="AC27">
    <cfRule type="colorScale" priority="985">
      <colorScale>
        <cfvo type="min"/>
        <cfvo type="percentile" val="50"/>
        <cfvo type="max"/>
        <color rgb="FF63BE7B"/>
        <color rgb="FFFFEB84"/>
        <color rgb="FFF8696B"/>
      </colorScale>
    </cfRule>
  </conditionalFormatting>
  <conditionalFormatting sqref="AC27">
    <cfRule type="dataBar" priority="984">
      <dataBar>
        <cfvo type="min"/>
        <cfvo type="max"/>
        <color rgb="FF638EC6"/>
      </dataBar>
      <extLst>
        <ext xmlns:x14="http://schemas.microsoft.com/office/spreadsheetml/2009/9/main" uri="{B025F937-C7B1-47D3-B67F-A62EFF666E3E}">
          <x14:id>{B6218F7D-BABE-9249-9F76-4994A48A0C82}</x14:id>
        </ext>
      </extLst>
    </cfRule>
  </conditionalFormatting>
  <conditionalFormatting sqref="AD26">
    <cfRule type="colorScale" priority="983">
      <colorScale>
        <cfvo type="min"/>
        <cfvo type="percentile" val="50"/>
        <cfvo type="max"/>
        <color rgb="FF63BE7B"/>
        <color rgb="FFFFEB84"/>
        <color rgb="FFF8696B"/>
      </colorScale>
    </cfRule>
  </conditionalFormatting>
  <conditionalFormatting sqref="AD26">
    <cfRule type="dataBar" priority="982">
      <dataBar>
        <cfvo type="min"/>
        <cfvo type="max"/>
        <color rgb="FF638EC6"/>
      </dataBar>
      <extLst>
        <ext xmlns:x14="http://schemas.microsoft.com/office/spreadsheetml/2009/9/main" uri="{B025F937-C7B1-47D3-B67F-A62EFF666E3E}">
          <x14:id>{CB83CF43-4F75-A646-875E-29BBC19973F0}</x14:id>
        </ext>
      </extLst>
    </cfRule>
  </conditionalFormatting>
  <conditionalFormatting sqref="M45">
    <cfRule type="dataBar" priority="981">
      <dataBar>
        <cfvo type="min"/>
        <cfvo type="max"/>
        <color rgb="FF638EC6"/>
      </dataBar>
      <extLst>
        <ext xmlns:x14="http://schemas.microsoft.com/office/spreadsheetml/2009/9/main" uri="{B025F937-C7B1-47D3-B67F-A62EFF666E3E}">
          <x14:id>{0FE4C404-CF92-FC4D-A660-B5BCB2831566}</x14:id>
        </ext>
      </extLst>
    </cfRule>
  </conditionalFormatting>
  <conditionalFormatting sqref="N44">
    <cfRule type="colorScale" priority="980">
      <colorScale>
        <cfvo type="min"/>
        <cfvo type="percentile" val="50"/>
        <cfvo type="max"/>
        <color rgb="FF63BE7B"/>
        <color rgb="FFFFEB84"/>
        <color rgb="FFF8696B"/>
      </colorScale>
    </cfRule>
  </conditionalFormatting>
  <conditionalFormatting sqref="N44">
    <cfRule type="dataBar" priority="979">
      <dataBar>
        <cfvo type="min"/>
        <cfvo type="max"/>
        <color rgb="FF638EC6"/>
      </dataBar>
      <extLst>
        <ext xmlns:x14="http://schemas.microsoft.com/office/spreadsheetml/2009/9/main" uri="{B025F937-C7B1-47D3-B67F-A62EFF666E3E}">
          <x14:id>{C482EA02-D78B-8C4D-94E3-762154F194E6}</x14:id>
        </ext>
      </extLst>
    </cfRule>
  </conditionalFormatting>
  <conditionalFormatting sqref="O43">
    <cfRule type="colorScale" priority="978">
      <colorScale>
        <cfvo type="min"/>
        <cfvo type="percentile" val="50"/>
        <cfvo type="max"/>
        <color rgb="FF63BE7B"/>
        <color rgb="FFFFEB84"/>
        <color rgb="FFF8696B"/>
      </colorScale>
    </cfRule>
  </conditionalFormatting>
  <conditionalFormatting sqref="O43">
    <cfRule type="dataBar" priority="977">
      <dataBar>
        <cfvo type="min"/>
        <cfvo type="max"/>
        <color rgb="FF638EC6"/>
      </dataBar>
      <extLst>
        <ext xmlns:x14="http://schemas.microsoft.com/office/spreadsheetml/2009/9/main" uri="{B025F937-C7B1-47D3-B67F-A62EFF666E3E}">
          <x14:id>{39FAAE4E-077A-C545-A196-A6E281DDAA9C}</x14:id>
        </ext>
      </extLst>
    </cfRule>
  </conditionalFormatting>
  <conditionalFormatting sqref="P42">
    <cfRule type="colorScale" priority="976">
      <colorScale>
        <cfvo type="min"/>
        <cfvo type="percentile" val="50"/>
        <cfvo type="max"/>
        <color rgb="FF63BE7B"/>
        <color rgb="FFFFEB84"/>
        <color rgb="FFF8696B"/>
      </colorScale>
    </cfRule>
  </conditionalFormatting>
  <conditionalFormatting sqref="P42">
    <cfRule type="dataBar" priority="975">
      <dataBar>
        <cfvo type="min"/>
        <cfvo type="max"/>
        <color rgb="FF638EC6"/>
      </dataBar>
      <extLst>
        <ext xmlns:x14="http://schemas.microsoft.com/office/spreadsheetml/2009/9/main" uri="{B025F937-C7B1-47D3-B67F-A62EFF666E3E}">
          <x14:id>{24C74DDB-51F1-C94F-9E90-FC1517F4267B}</x14:id>
        </ext>
      </extLst>
    </cfRule>
  </conditionalFormatting>
  <conditionalFormatting sqref="Q41">
    <cfRule type="colorScale" priority="974">
      <colorScale>
        <cfvo type="min"/>
        <cfvo type="percentile" val="50"/>
        <cfvo type="max"/>
        <color rgb="FF63BE7B"/>
        <color rgb="FFFFEB84"/>
        <color rgb="FFF8696B"/>
      </colorScale>
    </cfRule>
  </conditionalFormatting>
  <conditionalFormatting sqref="Q41">
    <cfRule type="dataBar" priority="973">
      <dataBar>
        <cfvo type="min"/>
        <cfvo type="max"/>
        <color rgb="FF638EC6"/>
      </dataBar>
      <extLst>
        <ext xmlns:x14="http://schemas.microsoft.com/office/spreadsheetml/2009/9/main" uri="{B025F937-C7B1-47D3-B67F-A62EFF666E3E}">
          <x14:id>{25C1C829-FFE5-404F-807E-1C7895D85678}</x14:id>
        </ext>
      </extLst>
    </cfRule>
  </conditionalFormatting>
  <conditionalFormatting sqref="R40">
    <cfRule type="colorScale" priority="972">
      <colorScale>
        <cfvo type="min"/>
        <cfvo type="percentile" val="50"/>
        <cfvo type="max"/>
        <color rgb="FF63BE7B"/>
        <color rgb="FFFFEB84"/>
        <color rgb="FFF8696B"/>
      </colorScale>
    </cfRule>
  </conditionalFormatting>
  <conditionalFormatting sqref="R40">
    <cfRule type="dataBar" priority="971">
      <dataBar>
        <cfvo type="min"/>
        <cfvo type="max"/>
        <color rgb="FF638EC6"/>
      </dataBar>
      <extLst>
        <ext xmlns:x14="http://schemas.microsoft.com/office/spreadsheetml/2009/9/main" uri="{B025F937-C7B1-47D3-B67F-A62EFF666E3E}">
          <x14:id>{9C5DD2C6-9672-1847-B067-B4AA0664EAF7}</x14:id>
        </ext>
      </extLst>
    </cfRule>
  </conditionalFormatting>
  <conditionalFormatting sqref="S39">
    <cfRule type="colorScale" priority="970">
      <colorScale>
        <cfvo type="min"/>
        <cfvo type="percentile" val="50"/>
        <cfvo type="max"/>
        <color rgb="FF63BE7B"/>
        <color rgb="FFFFEB84"/>
        <color rgb="FFF8696B"/>
      </colorScale>
    </cfRule>
  </conditionalFormatting>
  <conditionalFormatting sqref="S39">
    <cfRule type="dataBar" priority="969">
      <dataBar>
        <cfvo type="min"/>
        <cfvo type="max"/>
        <color rgb="FF638EC6"/>
      </dataBar>
      <extLst>
        <ext xmlns:x14="http://schemas.microsoft.com/office/spreadsheetml/2009/9/main" uri="{B025F937-C7B1-47D3-B67F-A62EFF666E3E}">
          <x14:id>{C5793F9E-4D42-B148-A646-631F2AEF3D88}</x14:id>
        </ext>
      </extLst>
    </cfRule>
  </conditionalFormatting>
  <conditionalFormatting sqref="T38">
    <cfRule type="colorScale" priority="968">
      <colorScale>
        <cfvo type="min"/>
        <cfvo type="percentile" val="50"/>
        <cfvo type="max"/>
        <color rgb="FF63BE7B"/>
        <color rgb="FFFFEB84"/>
        <color rgb="FFF8696B"/>
      </colorScale>
    </cfRule>
  </conditionalFormatting>
  <conditionalFormatting sqref="T38">
    <cfRule type="dataBar" priority="967">
      <dataBar>
        <cfvo type="min"/>
        <cfvo type="max"/>
        <color rgb="FF638EC6"/>
      </dataBar>
      <extLst>
        <ext xmlns:x14="http://schemas.microsoft.com/office/spreadsheetml/2009/9/main" uri="{B025F937-C7B1-47D3-B67F-A62EFF666E3E}">
          <x14:id>{1667F0B8-A882-904B-832B-60804E24DF6E}</x14:id>
        </ext>
      </extLst>
    </cfRule>
  </conditionalFormatting>
  <conditionalFormatting sqref="U37">
    <cfRule type="colorScale" priority="966">
      <colorScale>
        <cfvo type="min"/>
        <cfvo type="percentile" val="50"/>
        <cfvo type="max"/>
        <color rgb="FF63BE7B"/>
        <color rgb="FFFFEB84"/>
        <color rgb="FFF8696B"/>
      </colorScale>
    </cfRule>
  </conditionalFormatting>
  <conditionalFormatting sqref="U37">
    <cfRule type="dataBar" priority="965">
      <dataBar>
        <cfvo type="min"/>
        <cfvo type="max"/>
        <color rgb="FF638EC6"/>
      </dataBar>
      <extLst>
        <ext xmlns:x14="http://schemas.microsoft.com/office/spreadsheetml/2009/9/main" uri="{B025F937-C7B1-47D3-B67F-A62EFF666E3E}">
          <x14:id>{21A58A2D-728C-954D-B40A-5FF7E126C0B0}</x14:id>
        </ext>
      </extLst>
    </cfRule>
  </conditionalFormatting>
  <conditionalFormatting sqref="V36">
    <cfRule type="colorScale" priority="964">
      <colorScale>
        <cfvo type="min"/>
        <cfvo type="percentile" val="50"/>
        <cfvo type="max"/>
        <color rgb="FF63BE7B"/>
        <color rgb="FFFFEB84"/>
        <color rgb="FFF8696B"/>
      </colorScale>
    </cfRule>
  </conditionalFormatting>
  <conditionalFormatting sqref="V36">
    <cfRule type="dataBar" priority="963">
      <dataBar>
        <cfvo type="min"/>
        <cfvo type="max"/>
        <color rgb="FF638EC6"/>
      </dataBar>
      <extLst>
        <ext xmlns:x14="http://schemas.microsoft.com/office/spreadsheetml/2009/9/main" uri="{B025F937-C7B1-47D3-B67F-A62EFF666E3E}">
          <x14:id>{F9BEB026-3FD6-4044-BB4B-D5FBE32194E6}</x14:id>
        </ext>
      </extLst>
    </cfRule>
  </conditionalFormatting>
  <conditionalFormatting sqref="W35">
    <cfRule type="colorScale" priority="962">
      <colorScale>
        <cfvo type="min"/>
        <cfvo type="percentile" val="50"/>
        <cfvo type="max"/>
        <color rgb="FF63BE7B"/>
        <color rgb="FFFFEB84"/>
        <color rgb="FFF8696B"/>
      </colorScale>
    </cfRule>
  </conditionalFormatting>
  <conditionalFormatting sqref="W35">
    <cfRule type="dataBar" priority="961">
      <dataBar>
        <cfvo type="min"/>
        <cfvo type="max"/>
        <color rgb="FF638EC6"/>
      </dataBar>
      <extLst>
        <ext xmlns:x14="http://schemas.microsoft.com/office/spreadsheetml/2009/9/main" uri="{B025F937-C7B1-47D3-B67F-A62EFF666E3E}">
          <x14:id>{77D45E23-30D5-2745-9124-6A6521253BF6}</x14:id>
        </ext>
      </extLst>
    </cfRule>
  </conditionalFormatting>
  <conditionalFormatting sqref="X34">
    <cfRule type="colorScale" priority="960">
      <colorScale>
        <cfvo type="min"/>
        <cfvo type="percentile" val="50"/>
        <cfvo type="max"/>
        <color rgb="FF63BE7B"/>
        <color rgb="FFFFEB84"/>
        <color rgb="FFF8696B"/>
      </colorScale>
    </cfRule>
  </conditionalFormatting>
  <conditionalFormatting sqref="X34">
    <cfRule type="dataBar" priority="959">
      <dataBar>
        <cfvo type="min"/>
        <cfvo type="max"/>
        <color rgb="FF638EC6"/>
      </dataBar>
      <extLst>
        <ext xmlns:x14="http://schemas.microsoft.com/office/spreadsheetml/2009/9/main" uri="{B025F937-C7B1-47D3-B67F-A62EFF666E3E}">
          <x14:id>{B1FA783E-A260-A848-B99E-FB3F88F5693F}</x14:id>
        </ext>
      </extLst>
    </cfRule>
  </conditionalFormatting>
  <conditionalFormatting sqref="Y33">
    <cfRule type="colorScale" priority="958">
      <colorScale>
        <cfvo type="min"/>
        <cfvo type="percentile" val="50"/>
        <cfvo type="max"/>
        <color rgb="FF63BE7B"/>
        <color rgb="FFFFEB84"/>
        <color rgb="FFF8696B"/>
      </colorScale>
    </cfRule>
  </conditionalFormatting>
  <conditionalFormatting sqref="Y33">
    <cfRule type="dataBar" priority="957">
      <dataBar>
        <cfvo type="min"/>
        <cfvo type="max"/>
        <color rgb="FF638EC6"/>
      </dataBar>
      <extLst>
        <ext xmlns:x14="http://schemas.microsoft.com/office/spreadsheetml/2009/9/main" uri="{B025F937-C7B1-47D3-B67F-A62EFF666E3E}">
          <x14:id>{DF360C97-4B33-DE49-87B7-B12527A0329B}</x14:id>
        </ext>
      </extLst>
    </cfRule>
  </conditionalFormatting>
  <conditionalFormatting sqref="Z32">
    <cfRule type="colorScale" priority="956">
      <colorScale>
        <cfvo type="min"/>
        <cfvo type="percentile" val="50"/>
        <cfvo type="max"/>
        <color rgb="FF63BE7B"/>
        <color rgb="FFFFEB84"/>
        <color rgb="FFF8696B"/>
      </colorScale>
    </cfRule>
  </conditionalFormatting>
  <conditionalFormatting sqref="Z32">
    <cfRule type="dataBar" priority="955">
      <dataBar>
        <cfvo type="min"/>
        <cfvo type="max"/>
        <color rgb="FF638EC6"/>
      </dataBar>
      <extLst>
        <ext xmlns:x14="http://schemas.microsoft.com/office/spreadsheetml/2009/9/main" uri="{B025F937-C7B1-47D3-B67F-A62EFF666E3E}">
          <x14:id>{4D181BE2-5808-4B4D-B11F-4537414F12A1}</x14:id>
        </ext>
      </extLst>
    </cfRule>
  </conditionalFormatting>
  <conditionalFormatting sqref="AA31">
    <cfRule type="colorScale" priority="954">
      <colorScale>
        <cfvo type="min"/>
        <cfvo type="percentile" val="50"/>
        <cfvo type="max"/>
        <color rgb="FF63BE7B"/>
        <color rgb="FFFFEB84"/>
        <color rgb="FFF8696B"/>
      </colorScale>
    </cfRule>
  </conditionalFormatting>
  <conditionalFormatting sqref="AA31">
    <cfRule type="dataBar" priority="953">
      <dataBar>
        <cfvo type="min"/>
        <cfvo type="max"/>
        <color rgb="FF638EC6"/>
      </dataBar>
      <extLst>
        <ext xmlns:x14="http://schemas.microsoft.com/office/spreadsheetml/2009/9/main" uri="{B025F937-C7B1-47D3-B67F-A62EFF666E3E}">
          <x14:id>{9AE86926-040B-464B-B117-B5F21CB67957}</x14:id>
        </ext>
      </extLst>
    </cfRule>
  </conditionalFormatting>
  <conditionalFormatting sqref="AB30">
    <cfRule type="colorScale" priority="952">
      <colorScale>
        <cfvo type="min"/>
        <cfvo type="percentile" val="50"/>
        <cfvo type="max"/>
        <color rgb="FF63BE7B"/>
        <color rgb="FFFFEB84"/>
        <color rgb="FFF8696B"/>
      </colorScale>
    </cfRule>
  </conditionalFormatting>
  <conditionalFormatting sqref="AB30">
    <cfRule type="dataBar" priority="951">
      <dataBar>
        <cfvo type="min"/>
        <cfvo type="max"/>
        <color rgb="FF638EC6"/>
      </dataBar>
      <extLst>
        <ext xmlns:x14="http://schemas.microsoft.com/office/spreadsheetml/2009/9/main" uri="{B025F937-C7B1-47D3-B67F-A62EFF666E3E}">
          <x14:id>{FA6D28D6-2DF3-234B-8627-FDB9BF49705E}</x14:id>
        </ext>
      </extLst>
    </cfRule>
  </conditionalFormatting>
  <conditionalFormatting sqref="AC29">
    <cfRule type="colorScale" priority="950">
      <colorScale>
        <cfvo type="min"/>
        <cfvo type="percentile" val="50"/>
        <cfvo type="max"/>
        <color rgb="FF63BE7B"/>
        <color rgb="FFFFEB84"/>
        <color rgb="FFF8696B"/>
      </colorScale>
    </cfRule>
  </conditionalFormatting>
  <conditionalFormatting sqref="AC29">
    <cfRule type="dataBar" priority="949">
      <dataBar>
        <cfvo type="min"/>
        <cfvo type="max"/>
        <color rgb="FF638EC6"/>
      </dataBar>
      <extLst>
        <ext xmlns:x14="http://schemas.microsoft.com/office/spreadsheetml/2009/9/main" uri="{B025F937-C7B1-47D3-B67F-A62EFF666E3E}">
          <x14:id>{7C012326-4A7D-294C-903B-F0EFB36C9DE1}</x14:id>
        </ext>
      </extLst>
    </cfRule>
  </conditionalFormatting>
  <conditionalFormatting sqref="AD28">
    <cfRule type="colorScale" priority="948">
      <colorScale>
        <cfvo type="min"/>
        <cfvo type="percentile" val="50"/>
        <cfvo type="max"/>
        <color rgb="FF63BE7B"/>
        <color rgb="FFFFEB84"/>
        <color rgb="FFF8696B"/>
      </colorScale>
    </cfRule>
  </conditionalFormatting>
  <conditionalFormatting sqref="AD28">
    <cfRule type="dataBar" priority="947">
      <dataBar>
        <cfvo type="min"/>
        <cfvo type="max"/>
        <color rgb="FF638EC6"/>
      </dataBar>
      <extLst>
        <ext xmlns:x14="http://schemas.microsoft.com/office/spreadsheetml/2009/9/main" uri="{B025F937-C7B1-47D3-B67F-A62EFF666E3E}">
          <x14:id>{36CA148B-1715-A246-BF1A-841B6AA62F9D}</x14:id>
        </ext>
      </extLst>
    </cfRule>
  </conditionalFormatting>
  <conditionalFormatting sqref="M47">
    <cfRule type="dataBar" priority="946">
      <dataBar>
        <cfvo type="min"/>
        <cfvo type="max"/>
        <color rgb="FF638EC6"/>
      </dataBar>
      <extLst>
        <ext xmlns:x14="http://schemas.microsoft.com/office/spreadsheetml/2009/9/main" uri="{B025F937-C7B1-47D3-B67F-A62EFF666E3E}">
          <x14:id>{AA94F41F-0FE3-3143-8322-19D44BEACF0E}</x14:id>
        </ext>
      </extLst>
    </cfRule>
  </conditionalFormatting>
  <conditionalFormatting sqref="N46">
    <cfRule type="colorScale" priority="945">
      <colorScale>
        <cfvo type="min"/>
        <cfvo type="percentile" val="50"/>
        <cfvo type="max"/>
        <color rgb="FF63BE7B"/>
        <color rgb="FFFFEB84"/>
        <color rgb="FFF8696B"/>
      </colorScale>
    </cfRule>
  </conditionalFormatting>
  <conditionalFormatting sqref="N46">
    <cfRule type="dataBar" priority="944">
      <dataBar>
        <cfvo type="min"/>
        <cfvo type="max"/>
        <color rgb="FF638EC6"/>
      </dataBar>
      <extLst>
        <ext xmlns:x14="http://schemas.microsoft.com/office/spreadsheetml/2009/9/main" uri="{B025F937-C7B1-47D3-B67F-A62EFF666E3E}">
          <x14:id>{E70CD043-D015-FB43-B97C-33F426B00BFE}</x14:id>
        </ext>
      </extLst>
    </cfRule>
  </conditionalFormatting>
  <conditionalFormatting sqref="O45">
    <cfRule type="colorScale" priority="943">
      <colorScale>
        <cfvo type="min"/>
        <cfvo type="percentile" val="50"/>
        <cfvo type="max"/>
        <color rgb="FF63BE7B"/>
        <color rgb="FFFFEB84"/>
        <color rgb="FFF8696B"/>
      </colorScale>
    </cfRule>
  </conditionalFormatting>
  <conditionalFormatting sqref="O45">
    <cfRule type="dataBar" priority="942">
      <dataBar>
        <cfvo type="min"/>
        <cfvo type="max"/>
        <color rgb="FF638EC6"/>
      </dataBar>
      <extLst>
        <ext xmlns:x14="http://schemas.microsoft.com/office/spreadsheetml/2009/9/main" uri="{B025F937-C7B1-47D3-B67F-A62EFF666E3E}">
          <x14:id>{5CFB07CC-7D5B-0A47-8581-646F7DB03365}</x14:id>
        </ext>
      </extLst>
    </cfRule>
  </conditionalFormatting>
  <conditionalFormatting sqref="P44">
    <cfRule type="colorScale" priority="941">
      <colorScale>
        <cfvo type="min"/>
        <cfvo type="percentile" val="50"/>
        <cfvo type="max"/>
        <color rgb="FF63BE7B"/>
        <color rgb="FFFFEB84"/>
        <color rgb="FFF8696B"/>
      </colorScale>
    </cfRule>
  </conditionalFormatting>
  <conditionalFormatting sqref="P44">
    <cfRule type="dataBar" priority="940">
      <dataBar>
        <cfvo type="min"/>
        <cfvo type="max"/>
        <color rgb="FF638EC6"/>
      </dataBar>
      <extLst>
        <ext xmlns:x14="http://schemas.microsoft.com/office/spreadsheetml/2009/9/main" uri="{B025F937-C7B1-47D3-B67F-A62EFF666E3E}">
          <x14:id>{00ACD9C7-7EF3-BE45-872B-D6BB44B6AAFB}</x14:id>
        </ext>
      </extLst>
    </cfRule>
  </conditionalFormatting>
  <conditionalFormatting sqref="Q43">
    <cfRule type="colorScale" priority="939">
      <colorScale>
        <cfvo type="min"/>
        <cfvo type="percentile" val="50"/>
        <cfvo type="max"/>
        <color rgb="FF63BE7B"/>
        <color rgb="FFFFEB84"/>
        <color rgb="FFF8696B"/>
      </colorScale>
    </cfRule>
  </conditionalFormatting>
  <conditionalFormatting sqref="Q43">
    <cfRule type="dataBar" priority="938">
      <dataBar>
        <cfvo type="min"/>
        <cfvo type="max"/>
        <color rgb="FF638EC6"/>
      </dataBar>
      <extLst>
        <ext xmlns:x14="http://schemas.microsoft.com/office/spreadsheetml/2009/9/main" uri="{B025F937-C7B1-47D3-B67F-A62EFF666E3E}">
          <x14:id>{57311408-E1E6-B948-8958-773FB432D5AF}</x14:id>
        </ext>
      </extLst>
    </cfRule>
  </conditionalFormatting>
  <conditionalFormatting sqref="AD30 R42 AC31 AB32 AA33 Z34 Y35 X36 W37 V38 U39 T40 S41">
    <cfRule type="colorScale" priority="937">
      <colorScale>
        <cfvo type="min"/>
        <cfvo type="percentile" val="50"/>
        <cfvo type="max"/>
        <color rgb="FF63BE7B"/>
        <color rgb="FFFFEB84"/>
        <color rgb="FFF8696B"/>
      </colorScale>
    </cfRule>
  </conditionalFormatting>
  <conditionalFormatting sqref="AD30 R42 AC31 AB32 AA33 Z34 Y35 X36 W37 V38 U39 T40 S41">
    <cfRule type="dataBar" priority="936">
      <dataBar>
        <cfvo type="min"/>
        <cfvo type="max"/>
        <color rgb="FF638EC6"/>
      </dataBar>
      <extLst>
        <ext xmlns:x14="http://schemas.microsoft.com/office/spreadsheetml/2009/9/main" uri="{B025F937-C7B1-47D3-B67F-A62EFF666E3E}">
          <x14:id>{7E2160C5-0A04-6E49-9079-3029748DB3C6}</x14:id>
        </ext>
      </extLst>
    </cfRule>
  </conditionalFormatting>
  <conditionalFormatting sqref="M49 AD32 AC33 AB34 AA35 Z36 Y37 X38 W39 V40 U41 T42 S43 R44 Q45 P46 O47 N48">
    <cfRule type="dataBar" priority="935">
      <dataBar>
        <cfvo type="min"/>
        <cfvo type="max"/>
        <color rgb="FF638EC6"/>
      </dataBar>
      <extLst>
        <ext xmlns:x14="http://schemas.microsoft.com/office/spreadsheetml/2009/9/main" uri="{B025F937-C7B1-47D3-B67F-A62EFF666E3E}">
          <x14:id>{220CB974-646C-AF40-B144-C173DEF97082}</x14:id>
        </ext>
      </extLst>
    </cfRule>
  </conditionalFormatting>
  <conditionalFormatting sqref="N48 AD32 AC33 AB34 AA35 Z36 Y37 X38 W39 V40 U41 T42 S43 R44 Q45 P46 O47">
    <cfRule type="colorScale" priority="934">
      <colorScale>
        <cfvo type="min"/>
        <cfvo type="percentile" val="50"/>
        <cfvo type="max"/>
        <color rgb="FF63BE7B"/>
        <color rgb="FFFFEB84"/>
        <color rgb="FFF8696B"/>
      </colorScale>
    </cfRule>
  </conditionalFormatting>
  <conditionalFormatting sqref="M51 AD34 AC35 AB36 AA37 Z38 Y39 X40 W41 V42 U43 T44 S45 R46 Q47 P48 O49 N50">
    <cfRule type="dataBar" priority="933">
      <dataBar>
        <cfvo type="min"/>
        <cfvo type="max"/>
        <color rgb="FF638EC6"/>
      </dataBar>
      <extLst>
        <ext xmlns:x14="http://schemas.microsoft.com/office/spreadsheetml/2009/9/main" uri="{B025F937-C7B1-47D3-B67F-A62EFF666E3E}">
          <x14:id>{E52B21B5-B27B-B344-8B79-5F4C863BD008}</x14:id>
        </ext>
      </extLst>
    </cfRule>
  </conditionalFormatting>
  <conditionalFormatting sqref="N50 AD34 AC35 AB36 AA37 Z38 Y39 X40 W41 V42 U43 T44 S45 R46 Q47 P48 O49">
    <cfRule type="colorScale" priority="932">
      <colorScale>
        <cfvo type="min"/>
        <cfvo type="percentile" val="50"/>
        <cfvo type="max"/>
        <color rgb="FF63BE7B"/>
        <color rgb="FFFFEB84"/>
        <color rgb="FFF8696B"/>
      </colorScale>
    </cfRule>
  </conditionalFormatting>
  <conditionalFormatting sqref="M53 AD36 AC37 AB38 AA39 Z40 Y41 X42 W43 V44 U45 T46 S47 R48 Q49 P50 O51 N52">
    <cfRule type="dataBar" priority="931">
      <dataBar>
        <cfvo type="min"/>
        <cfvo type="max"/>
        <color rgb="FF638EC6"/>
      </dataBar>
      <extLst>
        <ext xmlns:x14="http://schemas.microsoft.com/office/spreadsheetml/2009/9/main" uri="{B025F937-C7B1-47D3-B67F-A62EFF666E3E}">
          <x14:id>{BFDC8FAF-3AA8-2D48-98EA-7858C026421C}</x14:id>
        </ext>
      </extLst>
    </cfRule>
  </conditionalFormatting>
  <conditionalFormatting sqref="N52 AD36 AC37 AB38 AA39 Z40 Y41 X42 W43 V44 U45 T46 S47 R48 Q49 P50 O51">
    <cfRule type="colorScale" priority="930">
      <colorScale>
        <cfvo type="min"/>
        <cfvo type="percentile" val="50"/>
        <cfvo type="max"/>
        <color rgb="FF63BE7B"/>
        <color rgb="FFFFEB84"/>
        <color rgb="FFF8696B"/>
      </colorScale>
    </cfRule>
  </conditionalFormatting>
  <conditionalFormatting sqref="O53 AD38 AC39 AB40 AA41 Z42 Y43 X44 W45 V46 U47 T48 S49 R50 Q51 P52">
    <cfRule type="dataBar" priority="925">
      <dataBar>
        <cfvo type="min"/>
        <cfvo type="max"/>
        <color rgb="FF638EC6"/>
      </dataBar>
      <extLst>
        <ext xmlns:x14="http://schemas.microsoft.com/office/spreadsheetml/2009/9/main" uri="{B025F937-C7B1-47D3-B67F-A62EFF666E3E}">
          <x14:id>{1C36E217-808D-F349-BA6E-B287468B5F12}</x14:id>
        </ext>
      </extLst>
    </cfRule>
  </conditionalFormatting>
  <conditionalFormatting sqref="O53 AD38 AC39 AB40 AA41 Z42 Y43 X44 W45 V46 U47 T48 S49 R50 Q51 P52">
    <cfRule type="colorScale" priority="924">
      <colorScale>
        <cfvo type="min"/>
        <cfvo type="percentile" val="50"/>
        <cfvo type="max"/>
        <color rgb="FF63BE7B"/>
        <color rgb="FFFFEB84"/>
        <color rgb="FFF8696B"/>
      </colorScale>
    </cfRule>
  </conditionalFormatting>
  <conditionalFormatting sqref="O55">
    <cfRule type="dataBar" priority="923">
      <dataBar>
        <cfvo type="min"/>
        <cfvo type="max"/>
        <color rgb="FF638EC6"/>
      </dataBar>
      <extLst>
        <ext xmlns:x14="http://schemas.microsoft.com/office/spreadsheetml/2009/9/main" uri="{B025F937-C7B1-47D3-B67F-A62EFF666E3E}">
          <x14:id>{062060D6-861E-CD45-8D35-F4F8BAE4A344}</x14:id>
        </ext>
      </extLst>
    </cfRule>
  </conditionalFormatting>
  <conditionalFormatting sqref="O55">
    <cfRule type="colorScale" priority="922">
      <colorScale>
        <cfvo type="min"/>
        <cfvo type="percentile" val="50"/>
        <cfvo type="max"/>
        <color rgb="FF63BE7B"/>
        <color rgb="FFFFEB84"/>
        <color rgb="FFF8696B"/>
      </colorScale>
    </cfRule>
  </conditionalFormatting>
  <conditionalFormatting sqref="P54">
    <cfRule type="dataBar" priority="921">
      <dataBar>
        <cfvo type="min"/>
        <cfvo type="max"/>
        <color rgb="FF638EC6"/>
      </dataBar>
      <extLst>
        <ext xmlns:x14="http://schemas.microsoft.com/office/spreadsheetml/2009/9/main" uri="{B025F937-C7B1-47D3-B67F-A62EFF666E3E}">
          <x14:id>{94EDBAAA-A1EB-AE40-B92C-C90BBCEF5A77}</x14:id>
        </ext>
      </extLst>
    </cfRule>
  </conditionalFormatting>
  <conditionalFormatting sqref="P54">
    <cfRule type="colorScale" priority="920">
      <colorScale>
        <cfvo type="min"/>
        <cfvo type="percentile" val="50"/>
        <cfvo type="max"/>
        <color rgb="FF63BE7B"/>
        <color rgb="FFFFEB84"/>
        <color rgb="FFF8696B"/>
      </colorScale>
    </cfRule>
  </conditionalFormatting>
  <conditionalFormatting sqref="Q53">
    <cfRule type="dataBar" priority="919">
      <dataBar>
        <cfvo type="min"/>
        <cfvo type="max"/>
        <color rgb="FF638EC6"/>
      </dataBar>
      <extLst>
        <ext xmlns:x14="http://schemas.microsoft.com/office/spreadsheetml/2009/9/main" uri="{B025F937-C7B1-47D3-B67F-A62EFF666E3E}">
          <x14:id>{15652E9C-6379-414D-B4FA-7C0E5F7A8D07}</x14:id>
        </ext>
      </extLst>
    </cfRule>
  </conditionalFormatting>
  <conditionalFormatting sqref="Q53">
    <cfRule type="colorScale" priority="918">
      <colorScale>
        <cfvo type="min"/>
        <cfvo type="percentile" val="50"/>
        <cfvo type="max"/>
        <color rgb="FF63BE7B"/>
        <color rgb="FFFFEB84"/>
        <color rgb="FFF8696B"/>
      </colorScale>
    </cfRule>
  </conditionalFormatting>
  <conditionalFormatting sqref="R52">
    <cfRule type="dataBar" priority="917">
      <dataBar>
        <cfvo type="min"/>
        <cfvo type="max"/>
        <color rgb="FF638EC6"/>
      </dataBar>
      <extLst>
        <ext xmlns:x14="http://schemas.microsoft.com/office/spreadsheetml/2009/9/main" uri="{B025F937-C7B1-47D3-B67F-A62EFF666E3E}">
          <x14:id>{1BB11F66-E060-1548-8BB4-061E345E3209}</x14:id>
        </ext>
      </extLst>
    </cfRule>
  </conditionalFormatting>
  <conditionalFormatting sqref="R52">
    <cfRule type="colorScale" priority="916">
      <colorScale>
        <cfvo type="min"/>
        <cfvo type="percentile" val="50"/>
        <cfvo type="max"/>
        <color rgb="FF63BE7B"/>
        <color rgb="FFFFEB84"/>
        <color rgb="FFF8696B"/>
      </colorScale>
    </cfRule>
  </conditionalFormatting>
  <conditionalFormatting sqref="S51">
    <cfRule type="dataBar" priority="915">
      <dataBar>
        <cfvo type="min"/>
        <cfvo type="max"/>
        <color rgb="FF638EC6"/>
      </dataBar>
      <extLst>
        <ext xmlns:x14="http://schemas.microsoft.com/office/spreadsheetml/2009/9/main" uri="{B025F937-C7B1-47D3-B67F-A62EFF666E3E}">
          <x14:id>{08E81895-E590-3B40-9AE4-500ECE349B82}</x14:id>
        </ext>
      </extLst>
    </cfRule>
  </conditionalFormatting>
  <conditionalFormatting sqref="S51">
    <cfRule type="colorScale" priority="914">
      <colorScale>
        <cfvo type="min"/>
        <cfvo type="percentile" val="50"/>
        <cfvo type="max"/>
        <color rgb="FF63BE7B"/>
        <color rgb="FFFFEB84"/>
        <color rgb="FFF8696B"/>
      </colorScale>
    </cfRule>
  </conditionalFormatting>
  <conditionalFormatting sqref="T50">
    <cfRule type="dataBar" priority="913">
      <dataBar>
        <cfvo type="min"/>
        <cfvo type="max"/>
        <color rgb="FF638EC6"/>
      </dataBar>
      <extLst>
        <ext xmlns:x14="http://schemas.microsoft.com/office/spreadsheetml/2009/9/main" uri="{B025F937-C7B1-47D3-B67F-A62EFF666E3E}">
          <x14:id>{D1462F80-1FD0-DE49-9AE4-7E62FC2DD8F1}</x14:id>
        </ext>
      </extLst>
    </cfRule>
  </conditionalFormatting>
  <conditionalFormatting sqref="T50">
    <cfRule type="colorScale" priority="912">
      <colorScale>
        <cfvo type="min"/>
        <cfvo type="percentile" val="50"/>
        <cfvo type="max"/>
        <color rgb="FF63BE7B"/>
        <color rgb="FFFFEB84"/>
        <color rgb="FFF8696B"/>
      </colorScale>
    </cfRule>
  </conditionalFormatting>
  <conditionalFormatting sqref="U49">
    <cfRule type="dataBar" priority="911">
      <dataBar>
        <cfvo type="min"/>
        <cfvo type="max"/>
        <color rgb="FF638EC6"/>
      </dataBar>
      <extLst>
        <ext xmlns:x14="http://schemas.microsoft.com/office/spreadsheetml/2009/9/main" uri="{B025F937-C7B1-47D3-B67F-A62EFF666E3E}">
          <x14:id>{F2E37713-7985-A245-8B79-E32F6B0DFC6F}</x14:id>
        </ext>
      </extLst>
    </cfRule>
  </conditionalFormatting>
  <conditionalFormatting sqref="U49">
    <cfRule type="colorScale" priority="910">
      <colorScale>
        <cfvo type="min"/>
        <cfvo type="percentile" val="50"/>
        <cfvo type="max"/>
        <color rgb="FF63BE7B"/>
        <color rgb="FFFFEB84"/>
        <color rgb="FFF8696B"/>
      </colorScale>
    </cfRule>
  </conditionalFormatting>
  <conditionalFormatting sqref="V48">
    <cfRule type="dataBar" priority="909">
      <dataBar>
        <cfvo type="min"/>
        <cfvo type="max"/>
        <color rgb="FF638EC6"/>
      </dataBar>
      <extLst>
        <ext xmlns:x14="http://schemas.microsoft.com/office/spreadsheetml/2009/9/main" uri="{B025F937-C7B1-47D3-B67F-A62EFF666E3E}">
          <x14:id>{DB41FB2A-C223-B44F-8C8B-96C39635B3AC}</x14:id>
        </ext>
      </extLst>
    </cfRule>
  </conditionalFormatting>
  <conditionalFormatting sqref="V48">
    <cfRule type="colorScale" priority="908">
      <colorScale>
        <cfvo type="min"/>
        <cfvo type="percentile" val="50"/>
        <cfvo type="max"/>
        <color rgb="FF63BE7B"/>
        <color rgb="FFFFEB84"/>
        <color rgb="FFF8696B"/>
      </colorScale>
    </cfRule>
  </conditionalFormatting>
  <conditionalFormatting sqref="W47">
    <cfRule type="dataBar" priority="907">
      <dataBar>
        <cfvo type="min"/>
        <cfvo type="max"/>
        <color rgb="FF638EC6"/>
      </dataBar>
      <extLst>
        <ext xmlns:x14="http://schemas.microsoft.com/office/spreadsheetml/2009/9/main" uri="{B025F937-C7B1-47D3-B67F-A62EFF666E3E}">
          <x14:id>{772C1C97-D5A9-8D47-947F-7EC77BEC6A08}</x14:id>
        </ext>
      </extLst>
    </cfRule>
  </conditionalFormatting>
  <conditionalFormatting sqref="W47">
    <cfRule type="colorScale" priority="906">
      <colorScale>
        <cfvo type="min"/>
        <cfvo type="percentile" val="50"/>
        <cfvo type="max"/>
        <color rgb="FF63BE7B"/>
        <color rgb="FFFFEB84"/>
        <color rgb="FFF8696B"/>
      </colorScale>
    </cfRule>
  </conditionalFormatting>
  <conditionalFormatting sqref="O57">
    <cfRule type="dataBar" priority="905">
      <dataBar>
        <cfvo type="min"/>
        <cfvo type="max"/>
        <color rgb="FF638EC6"/>
      </dataBar>
      <extLst>
        <ext xmlns:x14="http://schemas.microsoft.com/office/spreadsheetml/2009/9/main" uri="{B025F937-C7B1-47D3-B67F-A62EFF666E3E}">
          <x14:id>{F2AD9479-C030-9049-A245-3154D1075583}</x14:id>
        </ext>
      </extLst>
    </cfRule>
  </conditionalFormatting>
  <conditionalFormatting sqref="O57">
    <cfRule type="colorScale" priority="904">
      <colorScale>
        <cfvo type="min"/>
        <cfvo type="percentile" val="50"/>
        <cfvo type="max"/>
        <color rgb="FF63BE7B"/>
        <color rgb="FFFFEB84"/>
        <color rgb="FFF8696B"/>
      </colorScale>
    </cfRule>
  </conditionalFormatting>
  <conditionalFormatting sqref="P58">
    <cfRule type="dataBar" priority="903">
      <dataBar>
        <cfvo type="min"/>
        <cfvo type="max"/>
        <color rgb="FF638EC6"/>
      </dataBar>
      <extLst>
        <ext xmlns:x14="http://schemas.microsoft.com/office/spreadsheetml/2009/9/main" uri="{B025F937-C7B1-47D3-B67F-A62EFF666E3E}">
          <x14:id>{AC199957-9DD0-264C-B18D-EC1CB634029E}</x14:id>
        </ext>
      </extLst>
    </cfRule>
  </conditionalFormatting>
  <conditionalFormatting sqref="P58">
    <cfRule type="colorScale" priority="902">
      <colorScale>
        <cfvo type="min"/>
        <cfvo type="percentile" val="50"/>
        <cfvo type="max"/>
        <color rgb="FF63BE7B"/>
        <color rgb="FFFFEB84"/>
        <color rgb="FFF8696B"/>
      </colorScale>
    </cfRule>
  </conditionalFormatting>
  <conditionalFormatting sqref="Q59">
    <cfRule type="dataBar" priority="901">
      <dataBar>
        <cfvo type="min"/>
        <cfvo type="max"/>
        <color rgb="FF638EC6"/>
      </dataBar>
      <extLst>
        <ext xmlns:x14="http://schemas.microsoft.com/office/spreadsheetml/2009/9/main" uri="{B025F937-C7B1-47D3-B67F-A62EFF666E3E}">
          <x14:id>{2001B81A-AE28-5943-BBCC-E57F34538A09}</x14:id>
        </ext>
      </extLst>
    </cfRule>
  </conditionalFormatting>
  <conditionalFormatting sqref="Q59">
    <cfRule type="colorScale" priority="900">
      <colorScale>
        <cfvo type="min"/>
        <cfvo type="percentile" val="50"/>
        <cfvo type="max"/>
        <color rgb="FF63BE7B"/>
        <color rgb="FFFFEB84"/>
        <color rgb="FFF8696B"/>
      </colorScale>
    </cfRule>
  </conditionalFormatting>
  <conditionalFormatting sqref="R60">
    <cfRule type="dataBar" priority="899">
      <dataBar>
        <cfvo type="min"/>
        <cfvo type="max"/>
        <color rgb="FF638EC6"/>
      </dataBar>
      <extLst>
        <ext xmlns:x14="http://schemas.microsoft.com/office/spreadsheetml/2009/9/main" uri="{B025F937-C7B1-47D3-B67F-A62EFF666E3E}">
          <x14:id>{5558ADA3-1637-9045-B246-CE1EFEBEE8FF}</x14:id>
        </ext>
      </extLst>
    </cfRule>
  </conditionalFormatting>
  <conditionalFormatting sqref="R60">
    <cfRule type="colorScale" priority="898">
      <colorScale>
        <cfvo type="min"/>
        <cfvo type="percentile" val="50"/>
        <cfvo type="max"/>
        <color rgb="FF63BE7B"/>
        <color rgb="FFFFEB84"/>
        <color rgb="FFF8696B"/>
      </colorScale>
    </cfRule>
  </conditionalFormatting>
  <conditionalFormatting sqref="S61">
    <cfRule type="dataBar" priority="897">
      <dataBar>
        <cfvo type="min"/>
        <cfvo type="max"/>
        <color rgb="FF638EC6"/>
      </dataBar>
      <extLst>
        <ext xmlns:x14="http://schemas.microsoft.com/office/spreadsheetml/2009/9/main" uri="{B025F937-C7B1-47D3-B67F-A62EFF666E3E}">
          <x14:id>{6FA10FFE-9230-4443-8B83-4812AE6D9354}</x14:id>
        </ext>
      </extLst>
    </cfRule>
  </conditionalFormatting>
  <conditionalFormatting sqref="S61">
    <cfRule type="colorScale" priority="896">
      <colorScale>
        <cfvo type="min"/>
        <cfvo type="percentile" val="50"/>
        <cfvo type="max"/>
        <color rgb="FF63BE7B"/>
        <color rgb="FFFFEB84"/>
        <color rgb="FFF8696B"/>
      </colorScale>
    </cfRule>
  </conditionalFormatting>
  <conditionalFormatting sqref="T62">
    <cfRule type="dataBar" priority="895">
      <dataBar>
        <cfvo type="min"/>
        <cfvo type="max"/>
        <color rgb="FF638EC6"/>
      </dataBar>
      <extLst>
        <ext xmlns:x14="http://schemas.microsoft.com/office/spreadsheetml/2009/9/main" uri="{B025F937-C7B1-47D3-B67F-A62EFF666E3E}">
          <x14:id>{FA7426F7-FA86-F747-87B7-3FD41A009AAF}</x14:id>
        </ext>
      </extLst>
    </cfRule>
  </conditionalFormatting>
  <conditionalFormatting sqref="T62">
    <cfRule type="colorScale" priority="894">
      <colorScale>
        <cfvo type="min"/>
        <cfvo type="percentile" val="50"/>
        <cfvo type="max"/>
        <color rgb="FF63BE7B"/>
        <color rgb="FFFFEB84"/>
        <color rgb="FFF8696B"/>
      </colorScale>
    </cfRule>
  </conditionalFormatting>
  <conditionalFormatting sqref="U63">
    <cfRule type="dataBar" priority="893">
      <dataBar>
        <cfvo type="min"/>
        <cfvo type="max"/>
        <color rgb="FF638EC6"/>
      </dataBar>
      <extLst>
        <ext xmlns:x14="http://schemas.microsoft.com/office/spreadsheetml/2009/9/main" uri="{B025F937-C7B1-47D3-B67F-A62EFF666E3E}">
          <x14:id>{D064DA84-9EF8-7540-B31C-0FA037045A63}</x14:id>
        </ext>
      </extLst>
    </cfRule>
  </conditionalFormatting>
  <conditionalFormatting sqref="U63">
    <cfRule type="colorScale" priority="892">
      <colorScale>
        <cfvo type="min"/>
        <cfvo type="percentile" val="50"/>
        <cfvo type="max"/>
        <color rgb="FF63BE7B"/>
        <color rgb="FFFFEB84"/>
        <color rgb="FFF8696B"/>
      </colorScale>
    </cfRule>
  </conditionalFormatting>
  <conditionalFormatting sqref="V64">
    <cfRule type="dataBar" priority="891">
      <dataBar>
        <cfvo type="min"/>
        <cfvo type="max"/>
        <color rgb="FF638EC6"/>
      </dataBar>
      <extLst>
        <ext xmlns:x14="http://schemas.microsoft.com/office/spreadsheetml/2009/9/main" uri="{B025F937-C7B1-47D3-B67F-A62EFF666E3E}">
          <x14:id>{76BF34A4-62A3-F84B-885F-8B7B812D518D}</x14:id>
        </ext>
      </extLst>
    </cfRule>
  </conditionalFormatting>
  <conditionalFormatting sqref="V64">
    <cfRule type="colorScale" priority="890">
      <colorScale>
        <cfvo type="min"/>
        <cfvo type="percentile" val="50"/>
        <cfvo type="max"/>
        <color rgb="FF63BE7B"/>
        <color rgb="FFFFEB84"/>
        <color rgb="FFF8696B"/>
      </colorScale>
    </cfRule>
  </conditionalFormatting>
  <conditionalFormatting sqref="W65">
    <cfRule type="dataBar" priority="889">
      <dataBar>
        <cfvo type="min"/>
        <cfvo type="max"/>
        <color rgb="FF638EC6"/>
      </dataBar>
      <extLst>
        <ext xmlns:x14="http://schemas.microsoft.com/office/spreadsheetml/2009/9/main" uri="{B025F937-C7B1-47D3-B67F-A62EFF666E3E}">
          <x14:id>{1F4973C7-1D68-8147-9623-CD99408DB2DA}</x14:id>
        </ext>
      </extLst>
    </cfRule>
  </conditionalFormatting>
  <conditionalFormatting sqref="W65">
    <cfRule type="colorScale" priority="888">
      <colorScale>
        <cfvo type="min"/>
        <cfvo type="percentile" val="50"/>
        <cfvo type="max"/>
        <color rgb="FF63BE7B"/>
        <color rgb="FFFFEB84"/>
        <color rgb="FFF8696B"/>
      </colorScale>
    </cfRule>
  </conditionalFormatting>
  <conditionalFormatting sqref="X66">
    <cfRule type="dataBar" priority="887">
      <dataBar>
        <cfvo type="min"/>
        <cfvo type="max"/>
        <color rgb="FF638EC6"/>
      </dataBar>
      <extLst>
        <ext xmlns:x14="http://schemas.microsoft.com/office/spreadsheetml/2009/9/main" uri="{B025F937-C7B1-47D3-B67F-A62EFF666E3E}">
          <x14:id>{05ED3D5A-88B9-A440-9EFC-C5BDAD17A629}</x14:id>
        </ext>
      </extLst>
    </cfRule>
  </conditionalFormatting>
  <conditionalFormatting sqref="X66">
    <cfRule type="colorScale" priority="886">
      <colorScale>
        <cfvo type="min"/>
        <cfvo type="percentile" val="50"/>
        <cfvo type="max"/>
        <color rgb="FF63BE7B"/>
        <color rgb="FFFFEB84"/>
        <color rgb="FFF8696B"/>
      </colorScale>
    </cfRule>
  </conditionalFormatting>
  <conditionalFormatting sqref="Y67">
    <cfRule type="dataBar" priority="885">
      <dataBar>
        <cfvo type="min"/>
        <cfvo type="max"/>
        <color rgb="FF638EC6"/>
      </dataBar>
      <extLst>
        <ext xmlns:x14="http://schemas.microsoft.com/office/spreadsheetml/2009/9/main" uri="{B025F937-C7B1-47D3-B67F-A62EFF666E3E}">
          <x14:id>{9D65BC1C-BA72-BA4A-92D9-EAE8E834E4BA}</x14:id>
        </ext>
      </extLst>
    </cfRule>
  </conditionalFormatting>
  <conditionalFormatting sqref="Y67">
    <cfRule type="colorScale" priority="884">
      <colorScale>
        <cfvo type="min"/>
        <cfvo type="percentile" val="50"/>
        <cfvo type="max"/>
        <color rgb="FF63BE7B"/>
        <color rgb="FFFFEB84"/>
        <color rgb="FFF8696B"/>
      </colorScale>
    </cfRule>
  </conditionalFormatting>
  <conditionalFormatting sqref="Z68">
    <cfRule type="dataBar" priority="883">
      <dataBar>
        <cfvo type="min"/>
        <cfvo type="max"/>
        <color rgb="FF638EC6"/>
      </dataBar>
      <extLst>
        <ext xmlns:x14="http://schemas.microsoft.com/office/spreadsheetml/2009/9/main" uri="{B025F937-C7B1-47D3-B67F-A62EFF666E3E}">
          <x14:id>{0BE9D72C-1A9F-A240-B76B-0969E68072FA}</x14:id>
        </ext>
      </extLst>
    </cfRule>
  </conditionalFormatting>
  <conditionalFormatting sqref="Z68">
    <cfRule type="colorScale" priority="882">
      <colorScale>
        <cfvo type="min"/>
        <cfvo type="percentile" val="50"/>
        <cfvo type="max"/>
        <color rgb="FF63BE7B"/>
        <color rgb="FFFFEB84"/>
        <color rgb="FFF8696B"/>
      </colorScale>
    </cfRule>
  </conditionalFormatting>
  <conditionalFormatting sqref="AA69">
    <cfRule type="dataBar" priority="881">
      <dataBar>
        <cfvo type="min"/>
        <cfvo type="max"/>
        <color rgb="FF638EC6"/>
      </dataBar>
      <extLst>
        <ext xmlns:x14="http://schemas.microsoft.com/office/spreadsheetml/2009/9/main" uri="{B025F937-C7B1-47D3-B67F-A62EFF666E3E}">
          <x14:id>{BFAE30DF-A084-AD4C-AE2E-8E994EFF42B1}</x14:id>
        </ext>
      </extLst>
    </cfRule>
  </conditionalFormatting>
  <conditionalFormatting sqref="AA69">
    <cfRule type="colorScale" priority="880">
      <colorScale>
        <cfvo type="min"/>
        <cfvo type="percentile" val="50"/>
        <cfvo type="max"/>
        <color rgb="FF63BE7B"/>
        <color rgb="FFFFEB84"/>
        <color rgb="FFF8696B"/>
      </colorScale>
    </cfRule>
  </conditionalFormatting>
  <conditionalFormatting sqref="AB70">
    <cfRule type="dataBar" priority="879">
      <dataBar>
        <cfvo type="min"/>
        <cfvo type="max"/>
        <color rgb="FF638EC6"/>
      </dataBar>
      <extLst>
        <ext xmlns:x14="http://schemas.microsoft.com/office/spreadsheetml/2009/9/main" uri="{B025F937-C7B1-47D3-B67F-A62EFF666E3E}">
          <x14:id>{7F9A8A6D-947D-DA42-8A13-C8F3924331B8}</x14:id>
        </ext>
      </extLst>
    </cfRule>
  </conditionalFormatting>
  <conditionalFormatting sqref="AB70">
    <cfRule type="colorScale" priority="878">
      <colorScale>
        <cfvo type="min"/>
        <cfvo type="percentile" val="50"/>
        <cfvo type="max"/>
        <color rgb="FF63BE7B"/>
        <color rgb="FFFFEB84"/>
        <color rgb="FFF8696B"/>
      </colorScale>
    </cfRule>
  </conditionalFormatting>
  <conditionalFormatting sqref="AC71">
    <cfRule type="dataBar" priority="877">
      <dataBar>
        <cfvo type="min"/>
        <cfvo type="max"/>
        <color rgb="FF638EC6"/>
      </dataBar>
      <extLst>
        <ext xmlns:x14="http://schemas.microsoft.com/office/spreadsheetml/2009/9/main" uri="{B025F937-C7B1-47D3-B67F-A62EFF666E3E}">
          <x14:id>{E7E5B5D9-8758-104F-A761-BE7AB2F9A97B}</x14:id>
        </ext>
      </extLst>
    </cfRule>
  </conditionalFormatting>
  <conditionalFormatting sqref="AC71">
    <cfRule type="colorScale" priority="876">
      <colorScale>
        <cfvo type="min"/>
        <cfvo type="percentile" val="50"/>
        <cfvo type="max"/>
        <color rgb="FF63BE7B"/>
        <color rgb="FFFFEB84"/>
        <color rgb="FFF8696B"/>
      </colorScale>
    </cfRule>
  </conditionalFormatting>
  <conditionalFormatting sqref="AD72">
    <cfRule type="dataBar" priority="875">
      <dataBar>
        <cfvo type="min"/>
        <cfvo type="max"/>
        <color rgb="FF638EC6"/>
      </dataBar>
      <extLst>
        <ext xmlns:x14="http://schemas.microsoft.com/office/spreadsheetml/2009/9/main" uri="{B025F937-C7B1-47D3-B67F-A62EFF666E3E}">
          <x14:id>{BD96C725-273B-6D4D-AFF1-13F1F212AF6D}</x14:id>
        </ext>
      </extLst>
    </cfRule>
  </conditionalFormatting>
  <conditionalFormatting sqref="AD72">
    <cfRule type="colorScale" priority="874">
      <colorScale>
        <cfvo type="min"/>
        <cfvo type="percentile" val="50"/>
        <cfvo type="max"/>
        <color rgb="FF63BE7B"/>
        <color rgb="FFFFEB84"/>
        <color rgb="FFF8696B"/>
      </colorScale>
    </cfRule>
  </conditionalFormatting>
  <conditionalFormatting sqref="P56 AD70 AC69 AB68 AA67 Z66 Y65 X64 W63 V62 U61 T60 S59 R58 Q57">
    <cfRule type="dataBar" priority="873">
      <dataBar>
        <cfvo type="min"/>
        <cfvo type="max"/>
        <color rgb="FF638EC6"/>
      </dataBar>
      <extLst>
        <ext xmlns:x14="http://schemas.microsoft.com/office/spreadsheetml/2009/9/main" uri="{B025F937-C7B1-47D3-B67F-A62EFF666E3E}">
          <x14:id>{1DAC7CFE-BB51-E747-8231-D36DD50E0356}</x14:id>
        </ext>
      </extLst>
    </cfRule>
  </conditionalFormatting>
  <conditionalFormatting sqref="P56 AD70 AC69 AB68 AA67 Z66 Y65 X64 W63 V62 U61 T60 S59 R58 Q57">
    <cfRule type="colorScale" priority="872">
      <colorScale>
        <cfvo type="min"/>
        <cfvo type="percentile" val="50"/>
        <cfvo type="max"/>
        <color rgb="FF63BE7B"/>
        <color rgb="FFFFEB84"/>
        <color rgb="FFF8696B"/>
      </colorScale>
    </cfRule>
  </conditionalFormatting>
  <conditionalFormatting sqref="Q55 AD68 AC67 AB66 AA65 Z64 Y63 X62 W61 V60 U59 T58 S57 R56">
    <cfRule type="dataBar" priority="871">
      <dataBar>
        <cfvo type="min"/>
        <cfvo type="max"/>
        <color rgb="FF638EC6"/>
      </dataBar>
      <extLst>
        <ext xmlns:x14="http://schemas.microsoft.com/office/spreadsheetml/2009/9/main" uri="{B025F937-C7B1-47D3-B67F-A62EFF666E3E}">
          <x14:id>{24BF9EF9-8575-064F-BA24-7108655C9AB3}</x14:id>
        </ext>
      </extLst>
    </cfRule>
  </conditionalFormatting>
  <conditionalFormatting sqref="Q55 AD68 AC67 AB66 AA65 Z64 Y63 X62 W61 V60 U59 T58 S57 R56">
    <cfRule type="colorScale" priority="870">
      <colorScale>
        <cfvo type="min"/>
        <cfvo type="percentile" val="50"/>
        <cfvo type="max"/>
        <color rgb="FF63BE7B"/>
        <color rgb="FFFFEB84"/>
        <color rgb="FFF8696B"/>
      </colorScale>
    </cfRule>
  </conditionalFormatting>
  <conditionalFormatting sqref="R54 AD66 AC65 AB64 AA63 Z62 Y61 X60 W59 V58 U57 T56 S55">
    <cfRule type="dataBar" priority="869">
      <dataBar>
        <cfvo type="min"/>
        <cfvo type="max"/>
        <color rgb="FF638EC6"/>
      </dataBar>
      <extLst>
        <ext xmlns:x14="http://schemas.microsoft.com/office/spreadsheetml/2009/9/main" uri="{B025F937-C7B1-47D3-B67F-A62EFF666E3E}">
          <x14:id>{538CF2C4-5B80-E243-B713-E94BF644ECDD}</x14:id>
        </ext>
      </extLst>
    </cfRule>
  </conditionalFormatting>
  <conditionalFormatting sqref="R54 AD66 AC65 AB64 AA63 Z62 Y61 X60 W59 V58 U57 T56 S55">
    <cfRule type="colorScale" priority="868">
      <colorScale>
        <cfvo type="min"/>
        <cfvo type="percentile" val="50"/>
        <cfvo type="max"/>
        <color rgb="FF63BE7B"/>
        <color rgb="FFFFEB84"/>
        <color rgb="FFF8696B"/>
      </colorScale>
    </cfRule>
  </conditionalFormatting>
  <conditionalFormatting sqref="S53 AD64 AC63 AB62 AA61 Z60 Y59 X58 W57 V56 U55 T54">
    <cfRule type="dataBar" priority="867">
      <dataBar>
        <cfvo type="min"/>
        <cfvo type="max"/>
        <color rgb="FF638EC6"/>
      </dataBar>
      <extLst>
        <ext xmlns:x14="http://schemas.microsoft.com/office/spreadsheetml/2009/9/main" uri="{B025F937-C7B1-47D3-B67F-A62EFF666E3E}">
          <x14:id>{F79D66F1-F24A-3547-B0A0-C5D4DAB07A79}</x14:id>
        </ext>
      </extLst>
    </cfRule>
  </conditionalFormatting>
  <conditionalFormatting sqref="S53 AD64 AC63 AB62 AA61 Z60 Y59 X58 W57 V56 U55 T54">
    <cfRule type="colorScale" priority="866">
      <colorScale>
        <cfvo type="min"/>
        <cfvo type="percentile" val="50"/>
        <cfvo type="max"/>
        <color rgb="FF63BE7B"/>
        <color rgb="FFFFEB84"/>
        <color rgb="FFF8696B"/>
      </colorScale>
    </cfRule>
  </conditionalFormatting>
  <conditionalFormatting sqref="T52 AD62 AC61 AB60 AA59 Z58 Y57 X56 W55 V54 U53">
    <cfRule type="dataBar" priority="865">
      <dataBar>
        <cfvo type="min"/>
        <cfvo type="max"/>
        <color rgb="FF638EC6"/>
      </dataBar>
      <extLst>
        <ext xmlns:x14="http://schemas.microsoft.com/office/spreadsheetml/2009/9/main" uri="{B025F937-C7B1-47D3-B67F-A62EFF666E3E}">
          <x14:id>{F54CAF1F-5329-4446-8DAA-A1BCFC377CA7}</x14:id>
        </ext>
      </extLst>
    </cfRule>
  </conditionalFormatting>
  <conditionalFormatting sqref="T52 AD62 AC61 AB60 AA59 Z58 Y57 X56 W55 V54 U53">
    <cfRule type="colorScale" priority="864">
      <colorScale>
        <cfvo type="min"/>
        <cfvo type="percentile" val="50"/>
        <cfvo type="max"/>
        <color rgb="FF63BE7B"/>
        <color rgb="FFFFEB84"/>
        <color rgb="FFF8696B"/>
      </colorScale>
    </cfRule>
  </conditionalFormatting>
  <conditionalFormatting sqref="U51 AD60 AC59 AB58 AA57 Z56 Y55 X54 W53 V52">
    <cfRule type="dataBar" priority="863">
      <dataBar>
        <cfvo type="min"/>
        <cfvo type="max"/>
        <color rgb="FF638EC6"/>
      </dataBar>
      <extLst>
        <ext xmlns:x14="http://schemas.microsoft.com/office/spreadsheetml/2009/9/main" uri="{B025F937-C7B1-47D3-B67F-A62EFF666E3E}">
          <x14:id>{34CB41DC-1E0E-E84A-8B2C-77E539E57AA2}</x14:id>
        </ext>
      </extLst>
    </cfRule>
  </conditionalFormatting>
  <conditionalFormatting sqref="U51 AD60 AC59 AB58 AA57 Z56 Y55 X54 W53 V52">
    <cfRule type="colorScale" priority="862">
      <colorScale>
        <cfvo type="min"/>
        <cfvo type="percentile" val="50"/>
        <cfvo type="max"/>
        <color rgb="FF63BE7B"/>
        <color rgb="FFFFEB84"/>
        <color rgb="FFF8696B"/>
      </colorScale>
    </cfRule>
  </conditionalFormatting>
  <conditionalFormatting sqref="V50 AD58 AC57 AB56 AA55 Z54 Y53 X52 W51">
    <cfRule type="dataBar" priority="861">
      <dataBar>
        <cfvo type="min"/>
        <cfvo type="max"/>
        <color rgb="FF638EC6"/>
      </dataBar>
      <extLst>
        <ext xmlns:x14="http://schemas.microsoft.com/office/spreadsheetml/2009/9/main" uri="{B025F937-C7B1-47D3-B67F-A62EFF666E3E}">
          <x14:id>{4E96CFF3-0AC3-A446-AACF-E57CB2EF73C2}</x14:id>
        </ext>
      </extLst>
    </cfRule>
  </conditionalFormatting>
  <conditionalFormatting sqref="V50 AD58 AC57 AB56 AA55 Z54 Y53 X52 W51">
    <cfRule type="colorScale" priority="860">
      <colorScale>
        <cfvo type="min"/>
        <cfvo type="percentile" val="50"/>
        <cfvo type="max"/>
        <color rgb="FF63BE7B"/>
        <color rgb="FFFFEB84"/>
        <color rgb="FFF8696B"/>
      </colorScale>
    </cfRule>
  </conditionalFormatting>
  <conditionalFormatting sqref="W49 AD56 AC55 AB54 AA53 Z52 Y51 X50">
    <cfRule type="dataBar" priority="859">
      <dataBar>
        <cfvo type="min"/>
        <cfvo type="max"/>
        <color rgb="FF638EC6"/>
      </dataBar>
      <extLst>
        <ext xmlns:x14="http://schemas.microsoft.com/office/spreadsheetml/2009/9/main" uri="{B025F937-C7B1-47D3-B67F-A62EFF666E3E}">
          <x14:id>{9B3B1A8F-C1B6-154E-B2EC-5E2699A8ED5C}</x14:id>
        </ext>
      </extLst>
    </cfRule>
  </conditionalFormatting>
  <conditionalFormatting sqref="W49 AD56 AC55 AB54 AA53 Z52 Y51 X50">
    <cfRule type="colorScale" priority="858">
      <colorScale>
        <cfvo type="min"/>
        <cfvo type="percentile" val="50"/>
        <cfvo type="max"/>
        <color rgb="FF63BE7B"/>
        <color rgb="FFFFEB84"/>
        <color rgb="FFF8696B"/>
      </colorScale>
    </cfRule>
  </conditionalFormatting>
  <conditionalFormatting sqref="X48 AD54 AC53 AB52 AA51 Z50 Y49">
    <cfRule type="dataBar" priority="857">
      <dataBar>
        <cfvo type="min"/>
        <cfvo type="max"/>
        <color rgb="FF638EC6"/>
      </dataBar>
      <extLst>
        <ext xmlns:x14="http://schemas.microsoft.com/office/spreadsheetml/2009/9/main" uri="{B025F937-C7B1-47D3-B67F-A62EFF666E3E}">
          <x14:id>{23ED2AC1-FF25-5A4C-940E-5EBE6056D580}</x14:id>
        </ext>
      </extLst>
    </cfRule>
  </conditionalFormatting>
  <conditionalFormatting sqref="X48 AD54 AC53 AB52 AA51 Z50 Y49">
    <cfRule type="colorScale" priority="856">
      <colorScale>
        <cfvo type="min"/>
        <cfvo type="percentile" val="50"/>
        <cfvo type="max"/>
        <color rgb="FF63BE7B"/>
        <color rgb="FFFFEB84"/>
        <color rgb="FFF8696B"/>
      </colorScale>
    </cfRule>
  </conditionalFormatting>
  <conditionalFormatting sqref="X46 AD52 AC51 AB50 AA49 Z48 Y47">
    <cfRule type="dataBar" priority="855">
      <dataBar>
        <cfvo type="min"/>
        <cfvo type="max"/>
        <color rgb="FF638EC6"/>
      </dataBar>
      <extLst>
        <ext xmlns:x14="http://schemas.microsoft.com/office/spreadsheetml/2009/9/main" uri="{B025F937-C7B1-47D3-B67F-A62EFF666E3E}">
          <x14:id>{764E5FFA-4005-0D45-BEE2-12F632F855FF}</x14:id>
        </ext>
      </extLst>
    </cfRule>
  </conditionalFormatting>
  <conditionalFormatting sqref="X46 AD52 AC51 AB50 AA49 Z48 Y47">
    <cfRule type="colorScale" priority="854">
      <colorScale>
        <cfvo type="min"/>
        <cfvo type="percentile" val="50"/>
        <cfvo type="max"/>
        <color rgb="FF63BE7B"/>
        <color rgb="FFFFEB84"/>
        <color rgb="FFF8696B"/>
      </colorScale>
    </cfRule>
  </conditionalFormatting>
  <conditionalFormatting sqref="Y45 AD50 AC49 AB48 AA47 Z46">
    <cfRule type="dataBar" priority="853">
      <dataBar>
        <cfvo type="min"/>
        <cfvo type="max"/>
        <color rgb="FF638EC6"/>
      </dataBar>
      <extLst>
        <ext xmlns:x14="http://schemas.microsoft.com/office/spreadsheetml/2009/9/main" uri="{B025F937-C7B1-47D3-B67F-A62EFF666E3E}">
          <x14:id>{C936B0C9-9297-9241-9E85-6DA40CD3E39F}</x14:id>
        </ext>
      </extLst>
    </cfRule>
  </conditionalFormatting>
  <conditionalFormatting sqref="Y45 AD50 AC49 AB48 AA47 Z46">
    <cfRule type="colorScale" priority="852">
      <colorScale>
        <cfvo type="min"/>
        <cfvo type="percentile" val="50"/>
        <cfvo type="max"/>
        <color rgb="FF63BE7B"/>
        <color rgb="FFFFEB84"/>
        <color rgb="FFF8696B"/>
      </colorScale>
    </cfRule>
  </conditionalFormatting>
  <conditionalFormatting sqref="Z44 AD48 AC47 AB46 AA45">
    <cfRule type="dataBar" priority="851">
      <dataBar>
        <cfvo type="min"/>
        <cfvo type="max"/>
        <color rgb="FF638EC6"/>
      </dataBar>
      <extLst>
        <ext xmlns:x14="http://schemas.microsoft.com/office/spreadsheetml/2009/9/main" uri="{B025F937-C7B1-47D3-B67F-A62EFF666E3E}">
          <x14:id>{25838609-BE86-5B4F-95A3-0E27FA8BBD2C}</x14:id>
        </ext>
      </extLst>
    </cfRule>
  </conditionalFormatting>
  <conditionalFormatting sqref="Z44 AD48 AC47 AB46 AA45">
    <cfRule type="colorScale" priority="850">
      <colorScale>
        <cfvo type="min"/>
        <cfvo type="percentile" val="50"/>
        <cfvo type="max"/>
        <color rgb="FF63BE7B"/>
        <color rgb="FFFFEB84"/>
        <color rgb="FFF8696B"/>
      </colorScale>
    </cfRule>
  </conditionalFormatting>
  <conditionalFormatting sqref="AA43 AD46 AC45 AB44">
    <cfRule type="dataBar" priority="849">
      <dataBar>
        <cfvo type="min"/>
        <cfvo type="max"/>
        <color rgb="FF638EC6"/>
      </dataBar>
      <extLst>
        <ext xmlns:x14="http://schemas.microsoft.com/office/spreadsheetml/2009/9/main" uri="{B025F937-C7B1-47D3-B67F-A62EFF666E3E}">
          <x14:id>{74447C47-ABDA-BE4A-BFFE-73F8ABF985DB}</x14:id>
        </ext>
      </extLst>
    </cfRule>
  </conditionalFormatting>
  <conditionalFormatting sqref="AA43 AD46 AC45 AB44">
    <cfRule type="colorScale" priority="848">
      <colorScale>
        <cfvo type="min"/>
        <cfvo type="percentile" val="50"/>
        <cfvo type="max"/>
        <color rgb="FF63BE7B"/>
        <color rgb="FFFFEB84"/>
        <color rgb="FFF8696B"/>
      </colorScale>
    </cfRule>
  </conditionalFormatting>
  <conditionalFormatting sqref="AB42 AD44 AC43">
    <cfRule type="dataBar" priority="847">
      <dataBar>
        <cfvo type="min"/>
        <cfvo type="max"/>
        <color rgb="FF638EC6"/>
      </dataBar>
      <extLst>
        <ext xmlns:x14="http://schemas.microsoft.com/office/spreadsheetml/2009/9/main" uri="{B025F937-C7B1-47D3-B67F-A62EFF666E3E}">
          <x14:id>{1C6C6E88-BF6E-B341-AF11-0E1506F07869}</x14:id>
        </ext>
      </extLst>
    </cfRule>
  </conditionalFormatting>
  <conditionalFormatting sqref="AB42 AD44 AC43">
    <cfRule type="colorScale" priority="846">
      <colorScale>
        <cfvo type="min"/>
        <cfvo type="percentile" val="50"/>
        <cfvo type="max"/>
        <color rgb="FF63BE7B"/>
        <color rgb="FFFFEB84"/>
        <color rgb="FFF8696B"/>
      </colorScale>
    </cfRule>
  </conditionalFormatting>
  <conditionalFormatting sqref="AD42 AC41">
    <cfRule type="dataBar" priority="845">
      <dataBar>
        <cfvo type="min"/>
        <cfvo type="max"/>
        <color rgb="FF638EC6"/>
      </dataBar>
      <extLst>
        <ext xmlns:x14="http://schemas.microsoft.com/office/spreadsheetml/2009/9/main" uri="{B025F937-C7B1-47D3-B67F-A62EFF666E3E}">
          <x14:id>{F84BD197-2394-4F4A-81BE-27B6AA32A4F8}</x14:id>
        </ext>
      </extLst>
    </cfRule>
  </conditionalFormatting>
  <conditionalFormatting sqref="AD42 AC41">
    <cfRule type="colorScale" priority="844">
      <colorScale>
        <cfvo type="min"/>
        <cfvo type="percentile" val="50"/>
        <cfvo type="max"/>
        <color rgb="FF63BE7B"/>
        <color rgb="FFFFEB84"/>
        <color rgb="FFF8696B"/>
      </colorScale>
    </cfRule>
  </conditionalFormatting>
  <conditionalFormatting sqref="AD40">
    <cfRule type="dataBar" priority="843">
      <dataBar>
        <cfvo type="min"/>
        <cfvo type="max"/>
        <color rgb="FF638EC6"/>
      </dataBar>
      <extLst>
        <ext xmlns:x14="http://schemas.microsoft.com/office/spreadsheetml/2009/9/main" uri="{B025F937-C7B1-47D3-B67F-A62EFF666E3E}">
          <x14:id>{E172D499-82E8-2546-9075-C0BC7FC83C04}</x14:id>
        </ext>
      </extLst>
    </cfRule>
  </conditionalFormatting>
  <conditionalFormatting sqref="AD40">
    <cfRule type="colorScale" priority="842">
      <colorScale>
        <cfvo type="min"/>
        <cfvo type="percentile" val="50"/>
        <cfvo type="max"/>
        <color rgb="FF63BE7B"/>
        <color rgb="FFFFEB84"/>
        <color rgb="FFF8696B"/>
      </colorScale>
    </cfRule>
  </conditionalFormatting>
  <conditionalFormatting sqref="N31 S62 S60 S58 S56 S54 S52 S50 S48 S46 S44 S42 S40 S38 S36 S34 S32 S30 S28 S26 R61 R59 R57 R55 R53 R51 R49 R47 R45 R43 R41 R39 R37 R35 R33 R31 R29 R27 Q60 Q58 Q56 Q54 Q52 Q50 Q48 Q46 Q44 Q42 Q40 Q38 Q36 Q34 Q32 Q30 Q28 P59 P57 P55 P53 P51 P49 P47 P45 P43 P41 P39 P37 P35 P33 P31 P29 O58 O56 O54 O52 O50 O48 O46 O44 O42 O40 O38 O36 O34 O32 O30 N57 N55 N53 N51 N49 N47 N45 N43 N41 N39 N37 N35 N33">
    <cfRule type="colorScale" priority="838">
      <colorScale>
        <cfvo type="min"/>
        <cfvo type="percentile" val="50"/>
        <cfvo type="max"/>
        <color rgb="FF63BE7B"/>
        <color rgb="FFFFEB84"/>
        <color rgb="FFF8696B"/>
      </colorScale>
    </cfRule>
  </conditionalFormatting>
  <conditionalFormatting sqref="T25 T63 T61 T59 T57 T55 T53 T51 T49 T47 T45 T43 T41 T39 T37 T35 T33 T31 T29 T27">
    <cfRule type="colorScale" priority="837">
      <colorScale>
        <cfvo type="min"/>
        <cfvo type="percentile" val="50"/>
        <cfvo type="max"/>
        <color rgb="FF63BE7B"/>
        <color rgb="FFFFEB84"/>
        <color rgb="FFF8696B"/>
      </colorScale>
    </cfRule>
  </conditionalFormatting>
  <conditionalFormatting sqref="A91">
    <cfRule type="colorScale" priority="773">
      <colorScale>
        <cfvo type="min"/>
        <cfvo type="percentile" val="50"/>
        <cfvo type="max"/>
        <color rgb="FF63BE7B"/>
        <color rgb="FFFFEB84"/>
        <color rgb="FFF8696B"/>
      </colorScale>
    </cfRule>
  </conditionalFormatting>
  <conditionalFormatting sqref="A111:M112">
    <cfRule type="colorScale" priority="757">
      <colorScale>
        <cfvo type="min"/>
        <cfvo type="percentile" val="50"/>
        <cfvo type="max"/>
        <color rgb="FF63BE7B"/>
        <color rgb="FFFFEB84"/>
        <color rgb="FFF8696B"/>
      </colorScale>
    </cfRule>
  </conditionalFormatting>
  <conditionalFormatting sqref="U24 U64 U62 U60 U58 U56 U54 U52 U50 U48 U46 U44 U42 U40 U38 U36 U34 U32 U30 U28 U26">
    <cfRule type="colorScale" priority="756">
      <colorScale>
        <cfvo type="min"/>
        <cfvo type="percentile" val="50"/>
        <cfvo type="max"/>
        <color rgb="FF63BE7B"/>
        <color rgb="FFFFEB84"/>
        <color rgb="FFF8696B"/>
      </colorScale>
    </cfRule>
  </conditionalFormatting>
  <conditionalFormatting sqref="V23 V65 V63 V61 V59 V57 V55 V53 V51 V49 V47 V45 V43 V41 V39 V37 V35 V33 V31 V29 V27 V25">
    <cfRule type="colorScale" priority="755">
      <colorScale>
        <cfvo type="min"/>
        <cfvo type="percentile" val="50"/>
        <cfvo type="max"/>
        <color rgb="FF63BE7B"/>
        <color rgb="FFFFEB84"/>
        <color rgb="FFF8696B"/>
      </colorScale>
    </cfRule>
  </conditionalFormatting>
  <conditionalFormatting sqref="W22 W66 W64 W62 W60 W58 W56 W54 W52 W50 W48 W46 W44 W42 W40 W38 W36 W34 W32 W30 W28 W26 W24 X67">
    <cfRule type="colorScale" priority="754">
      <colorScale>
        <cfvo type="min"/>
        <cfvo type="percentile" val="50"/>
        <cfvo type="max"/>
        <color rgb="FF63BE7B"/>
        <color rgb="FFFFEB84"/>
        <color rgb="FFF8696B"/>
      </colorScale>
    </cfRule>
  </conditionalFormatting>
  <conditionalFormatting sqref="X21 X65 X63 X61 X59 X57 X55 X53 X51 X49 X47 X45 X43 X41 X39 X37 X35 X33 X31 X29 X27 X25 X23">
    <cfRule type="colorScale" priority="753">
      <colorScale>
        <cfvo type="min"/>
        <cfvo type="percentile" val="50"/>
        <cfvo type="max"/>
        <color rgb="FF63BE7B"/>
        <color rgb="FFFFEB84"/>
        <color rgb="FFF8696B"/>
      </colorScale>
    </cfRule>
  </conditionalFormatting>
  <conditionalFormatting sqref="M55">
    <cfRule type="dataBar" priority="654">
      <dataBar>
        <cfvo type="min"/>
        <cfvo type="max"/>
        <color rgb="FF638EC6"/>
      </dataBar>
      <extLst>
        <ext xmlns:x14="http://schemas.microsoft.com/office/spreadsheetml/2009/9/main" uri="{B025F937-C7B1-47D3-B67F-A62EFF666E3E}">
          <x14:id>{85470A3D-A2A2-4401-9A0C-C66AEBBF001A}</x14:id>
        </ext>
      </extLst>
    </cfRule>
  </conditionalFormatting>
  <conditionalFormatting sqref="AC98:AE98 AD97:AE97 AE96 N138:O138 AA100:AE100 Y102:AE102 W104:AE104 U106:AE106 S108:AE108 Q110:AE110 O112:AE112 Q138:AE138 O140:AE140 Q142:AE142 S144:AE144 U146:AE146 AB99:AE99 Z101:AE101 X103:AE103 V105:AE105 T107:AE107 R109:AE109 P111:AE111 N113:AE137 N139:AE139 P141:AE141 R143:AE143 T145:AE145 V147:AE147">
    <cfRule type="colorScale" priority="421">
      <colorScale>
        <cfvo type="min"/>
        <cfvo type="percentile" val="50"/>
        <cfvo type="max"/>
        <color rgb="FF63BE7B"/>
        <color rgb="FFFFEB84"/>
        <color rgb="FFF8696B"/>
      </colorScale>
    </cfRule>
  </conditionalFormatting>
  <conditionalFormatting sqref="Y149 X148 Z148 AB148 AD148 Z150 AA149 AA151 AB150 AB152 AC151 AC153 AD154 AD152 AD150 AC149">
    <cfRule type="colorScale" priority="420">
      <colorScale>
        <cfvo type="min"/>
        <cfvo type="percentile" val="50"/>
        <cfvo type="max"/>
        <color rgb="FF63BE7B"/>
        <color rgb="FFFFEB84"/>
        <color rgb="FFF8696B"/>
      </colorScale>
    </cfRule>
  </conditionalFormatting>
  <conditionalFormatting sqref="AE148:AE156">
    <cfRule type="colorScale" priority="419">
      <colorScale>
        <cfvo type="min"/>
        <cfvo type="percentile" val="50"/>
        <cfvo type="max"/>
        <color rgb="FF63BE7B"/>
        <color rgb="FFFFEB84"/>
        <color rgb="FFF8696B"/>
      </colorScale>
    </cfRule>
  </conditionalFormatting>
  <conditionalFormatting sqref="A114:M158">
    <cfRule type="colorScale" priority="1678">
      <colorScale>
        <cfvo type="min"/>
        <cfvo type="percentile" val="50"/>
        <cfvo type="max"/>
        <color rgb="FF63BE7B"/>
        <color rgb="FFFFEB84"/>
        <color rgb="FFF8696B"/>
      </colorScale>
    </cfRule>
  </conditionalFormatting>
  <conditionalFormatting sqref="A159">
    <cfRule type="colorScale" priority="417">
      <colorScale>
        <cfvo type="min"/>
        <cfvo type="percentile" val="50"/>
        <cfvo type="max"/>
        <color rgb="FF63BE7B"/>
        <color rgb="FFFFEB84"/>
        <color rgb="FFF8696B"/>
      </colorScale>
    </cfRule>
  </conditionalFormatting>
  <conditionalFormatting sqref="U177:AE177 R180:AE180 O183:AE183 P182:AE182 Q181:AE181 N184:AE184 T178:AE178 S179:AE179 AB170:AE170 AA171:AE171 W175:AE175 X174:AE174 Y173:AE173 V176:AE176 Z172:AE172 AC169:AE169 AD168:AE168 AE167 W219:AE219 X220:AE220 Y221:AE221 Z222:AE222 AA223:AE223 AB224:AE224 AC225:AE225 AD226:AE226 AE227 M185:AE209 N210:AE210 O211:AE211 P212:AE212 Q213:AE213 R214:AE214 S215:AE215 T216:AE216 U217:AE218">
    <cfRule type="colorScale" priority="20">
      <colorScale>
        <cfvo type="min"/>
        <cfvo type="percentile" val="50"/>
        <cfvo type="max"/>
        <color rgb="FF63BE7B"/>
        <color rgb="FFFFEB84"/>
        <color rgb="FFF8696B"/>
      </colorScale>
    </cfRule>
  </conditionalFormatting>
  <conditionalFormatting sqref="N32">
    <cfRule type="colorScale" priority="19">
      <colorScale>
        <cfvo type="min"/>
        <cfvo type="percentile" val="50"/>
        <cfvo type="max"/>
        <color rgb="FF63BE7B"/>
        <color rgb="FFFFEB84"/>
        <color rgb="FFF8696B"/>
      </colorScale>
    </cfRule>
  </conditionalFormatting>
  <conditionalFormatting sqref="N32">
    <cfRule type="dataBar" priority="18">
      <dataBar>
        <cfvo type="min"/>
        <cfvo type="max"/>
        <color rgb="FF638EC6"/>
      </dataBar>
      <extLst>
        <ext xmlns:x14="http://schemas.microsoft.com/office/spreadsheetml/2009/9/main" uri="{B025F937-C7B1-47D3-B67F-A62EFF666E3E}">
          <x14:id>{E37947BD-0E39-6D43-A537-8F4FF97418FE}</x14:id>
        </ext>
      </extLst>
    </cfRule>
  </conditionalFormatting>
  <conditionalFormatting sqref="N54">
    <cfRule type="colorScale" priority="17">
      <colorScale>
        <cfvo type="min"/>
        <cfvo type="percentile" val="50"/>
        <cfvo type="max"/>
        <color rgb="FF63BE7B"/>
        <color rgb="FFFFEB84"/>
        <color rgb="FFF8696B"/>
      </colorScale>
    </cfRule>
  </conditionalFormatting>
  <conditionalFormatting sqref="N54">
    <cfRule type="dataBar" priority="16">
      <dataBar>
        <cfvo type="min"/>
        <cfvo type="max"/>
        <color rgb="FF638EC6"/>
      </dataBar>
      <extLst>
        <ext xmlns:x14="http://schemas.microsoft.com/office/spreadsheetml/2009/9/main" uri="{B025F937-C7B1-47D3-B67F-A62EFF666E3E}">
          <x14:id>{10041F19-5019-FA4B-9E9C-1AAAE8CEE421}</x14:id>
        </ext>
      </extLst>
    </cfRule>
  </conditionalFormatting>
  <conditionalFormatting sqref="N56">
    <cfRule type="colorScale" priority="15">
      <colorScale>
        <cfvo type="min"/>
        <cfvo type="percentile" val="50"/>
        <cfvo type="max"/>
        <color rgb="FF63BE7B"/>
        <color rgb="FFFFEB84"/>
        <color rgb="FFF8696B"/>
      </colorScale>
    </cfRule>
  </conditionalFormatting>
  <conditionalFormatting sqref="N56">
    <cfRule type="dataBar" priority="14">
      <dataBar>
        <cfvo type="min"/>
        <cfvo type="max"/>
        <color rgb="FF638EC6"/>
      </dataBar>
      <extLst>
        <ext xmlns:x14="http://schemas.microsoft.com/office/spreadsheetml/2009/9/main" uri="{B025F937-C7B1-47D3-B67F-A62EFF666E3E}">
          <x14:id>{590DB93D-904D-2942-A824-F5DD73CECEF8}</x14:id>
        </ext>
      </extLst>
    </cfRule>
  </conditionalFormatting>
  <conditionalFormatting sqref="W148">
    <cfRule type="colorScale" priority="12">
      <colorScale>
        <cfvo type="min"/>
        <cfvo type="percentile" val="50"/>
        <cfvo type="max"/>
        <color rgb="FF63BE7B"/>
        <color rgb="FFFFEB84"/>
        <color rgb="FFF8696B"/>
      </colorScale>
    </cfRule>
  </conditionalFormatting>
  <conditionalFormatting sqref="X149">
    <cfRule type="colorScale" priority="11">
      <colorScale>
        <cfvo type="min"/>
        <cfvo type="percentile" val="50"/>
        <cfvo type="max"/>
        <color rgb="FF63BE7B"/>
        <color rgb="FFFFEB84"/>
        <color rgb="FFF8696B"/>
      </colorScale>
    </cfRule>
  </conditionalFormatting>
  <conditionalFormatting sqref="Y150 Y148">
    <cfRule type="colorScale" priority="10">
      <colorScale>
        <cfvo type="min"/>
        <cfvo type="percentile" val="50"/>
        <cfvo type="max"/>
        <color rgb="FF63BE7B"/>
        <color rgb="FFFFEB84"/>
        <color rgb="FFF8696B"/>
      </colorScale>
    </cfRule>
  </conditionalFormatting>
  <conditionalFormatting sqref="Z151 Z149">
    <cfRule type="colorScale" priority="9">
      <colorScale>
        <cfvo type="min"/>
        <cfvo type="percentile" val="50"/>
        <cfvo type="max"/>
        <color rgb="FF63BE7B"/>
        <color rgb="FFFFEB84"/>
        <color rgb="FFF8696B"/>
      </colorScale>
    </cfRule>
  </conditionalFormatting>
  <conditionalFormatting sqref="AA152 AA148 AA150">
    <cfRule type="colorScale" priority="7">
      <colorScale>
        <cfvo type="min"/>
        <cfvo type="percentile" val="50"/>
        <cfvo type="max"/>
        <color rgb="FF63BE7B"/>
        <color rgb="FFFFEB84"/>
        <color rgb="FFF8696B"/>
      </colorScale>
    </cfRule>
  </conditionalFormatting>
  <conditionalFormatting sqref="AB153 AB149 AB151">
    <cfRule type="colorScale" priority="6">
      <colorScale>
        <cfvo type="min"/>
        <cfvo type="percentile" val="50"/>
        <cfvo type="max"/>
        <color rgb="FF63BE7B"/>
        <color rgb="FFFFEB84"/>
        <color rgb="FFF8696B"/>
      </colorScale>
    </cfRule>
  </conditionalFormatting>
  <conditionalFormatting sqref="AC148">
    <cfRule type="colorScale" priority="5">
      <colorScale>
        <cfvo type="min"/>
        <cfvo type="percentile" val="50"/>
        <cfvo type="max"/>
        <color rgb="FF63BE7B"/>
        <color rgb="FFFFEB84"/>
        <color rgb="FFF8696B"/>
      </colorScale>
    </cfRule>
  </conditionalFormatting>
  <conditionalFormatting sqref="AC150">
    <cfRule type="colorScale" priority="4">
      <colorScale>
        <cfvo type="min"/>
        <cfvo type="percentile" val="50"/>
        <cfvo type="max"/>
        <color rgb="FF63BE7B"/>
        <color rgb="FFFFEB84"/>
        <color rgb="FFF8696B"/>
      </colorScale>
    </cfRule>
  </conditionalFormatting>
  <conditionalFormatting sqref="AC152">
    <cfRule type="colorScale" priority="3">
      <colorScale>
        <cfvo type="min"/>
        <cfvo type="percentile" val="50"/>
        <cfvo type="max"/>
        <color rgb="FF63BE7B"/>
        <color rgb="FFFFEB84"/>
        <color rgb="FFF8696B"/>
      </colorScale>
    </cfRule>
  </conditionalFormatting>
  <conditionalFormatting sqref="AC154">
    <cfRule type="colorScale" priority="2">
      <colorScale>
        <cfvo type="min"/>
        <cfvo type="percentile" val="50"/>
        <cfvo type="max"/>
        <color rgb="FF63BE7B"/>
        <color rgb="FFFFEB84"/>
        <color rgb="FFF8696B"/>
      </colorScale>
    </cfRule>
  </conditionalFormatting>
  <conditionalFormatting sqref="AD155 AD149 AD153 AD151">
    <cfRule type="colorScale" priority="1">
      <colorScale>
        <cfvo type="min"/>
        <cfvo type="percentile" val="50"/>
        <cfvo type="max"/>
        <color rgb="FF63BE7B"/>
        <color rgb="FFFFEB84"/>
        <color rgb="FFF8696B"/>
      </colorScale>
    </cfRule>
  </conditionalFormatting>
  <pageMargins left="0.7" right="0.7" top="0.75" bottom="0.75" header="0"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eadMeSheet">
                <anchor moveWithCells="1" sizeWithCells="1">
                  <from>
                    <xdr:col>6</xdr:col>
                    <xdr:colOff>861060</xdr:colOff>
                    <xdr:row>6</xdr:row>
                    <xdr:rowOff>175260</xdr:rowOff>
                  </from>
                  <to>
                    <xdr:col>8</xdr:col>
                    <xdr:colOff>441960</xdr:colOff>
                    <xdr:row>8</xdr:row>
                    <xdr:rowOff>175260</xdr:rowOff>
                  </to>
                </anchor>
              </controlPr>
            </control>
          </mc:Choice>
        </mc:AlternateContent>
        <mc:AlternateContent xmlns:mc="http://schemas.openxmlformats.org/markup-compatibility/2006">
          <mc:Choice Requires="x14">
            <control shapeId="3074" r:id="rId5" name="Button 2">
              <controlPr defaultSize="0" print="0" autoFill="0" autoPict="0" macro="[0]!InputsSheet">
                <anchor moveWithCells="1" sizeWithCells="1">
                  <from>
                    <xdr:col>9</xdr:col>
                    <xdr:colOff>289560</xdr:colOff>
                    <xdr:row>6</xdr:row>
                    <xdr:rowOff>152400</xdr:rowOff>
                  </from>
                  <to>
                    <xdr:col>11</xdr:col>
                    <xdr:colOff>60960</xdr:colOff>
                    <xdr:row>8</xdr:row>
                    <xdr:rowOff>175260</xdr:rowOff>
                  </to>
                </anchor>
              </controlPr>
            </control>
          </mc:Choice>
        </mc:AlternateContent>
        <mc:AlternateContent xmlns:mc="http://schemas.openxmlformats.org/markup-compatibility/2006">
          <mc:Choice Requires="x14">
            <control shapeId="3075" r:id="rId6" name="Button 3">
              <controlPr defaultSize="0" print="0" autoFill="0" autoPict="0" macro="[0]!HedgeRatio">
                <anchor moveWithCells="1" sizeWithCells="1">
                  <from>
                    <xdr:col>8</xdr:col>
                    <xdr:colOff>822960</xdr:colOff>
                    <xdr:row>1</xdr:row>
                    <xdr:rowOff>457200</xdr:rowOff>
                  </from>
                  <to>
                    <xdr:col>11</xdr:col>
                    <xdr:colOff>0</xdr:colOff>
                    <xdr:row>3</xdr:row>
                    <xdr:rowOff>137160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6034F81-819D-4571-8190-8AC5389B1564}">
            <x14:dataBar minLength="0" maxLength="100" border="1" negativeBarBorderColorSameAsPositive="0">
              <x14:cfvo type="autoMin"/>
              <x14:cfvo type="autoMax"/>
              <x14:borderColor rgb="FF638EC6"/>
              <x14:negativeFillColor rgb="FFFF0000"/>
              <x14:negativeBorderColor rgb="FFFF0000"/>
              <x14:axisColor rgb="FF000000"/>
            </x14:dataBar>
          </x14:cfRule>
          <xm:sqref>A43</xm:sqref>
        </x14:conditionalFormatting>
        <x14:conditionalFormatting xmlns:xm="http://schemas.microsoft.com/office/excel/2006/main">
          <x14:cfRule type="dataBar" id="{9ECE7C6F-6601-442B-9993-F92FF12E2AB0}">
            <x14:dataBar minLength="0" maxLength="100" border="1" negativeBarBorderColorSameAsPositive="0">
              <x14:cfvo type="autoMin"/>
              <x14:cfvo type="autoMax"/>
              <x14:borderColor rgb="FF638EC6"/>
              <x14:negativeFillColor rgb="FFFF0000"/>
              <x14:negativeBorderColor rgb="FFFF0000"/>
              <x14:axisColor rgb="FF000000"/>
            </x14:dataBar>
          </x14:cfRule>
          <xm:sqref>B44 B42 C41 C43 C45 D40 E39 D42 E41 D44 E43 D46 E45 E47</xm:sqref>
        </x14:conditionalFormatting>
        <x14:conditionalFormatting xmlns:xm="http://schemas.microsoft.com/office/excel/2006/main">
          <x14:cfRule type="dataBar" id="{1DC42844-2F38-4628-8CA4-B79254EF5AE4}">
            <x14:dataBar minLength="0" maxLength="100" border="1" negativeBarBorderColorSameAsPositive="0">
              <x14:cfvo type="autoMin"/>
              <x14:cfvo type="autoMax"/>
              <x14:borderColor rgb="FF638EC6"/>
              <x14:negativeFillColor rgb="FFFF0000"/>
              <x14:negativeBorderColor rgb="FFFF0000"/>
              <x14:axisColor rgb="FF000000"/>
            </x14:dataBar>
          </x14:cfRule>
          <xm:sqref>F38 I33 G37 H36 I35 J34 K33 L32</xm:sqref>
        </x14:conditionalFormatting>
        <x14:conditionalFormatting xmlns:xm="http://schemas.microsoft.com/office/excel/2006/main">
          <x14:cfRule type="dataBar" id="{9BC2B1BE-C468-472D-B449-499C39BD9910}">
            <x14:dataBar minLength="0" maxLength="100" border="1" negativeBarBorderColorSameAsPositive="0">
              <x14:cfvo type="autoMin"/>
              <x14:cfvo type="autoMax"/>
              <x14:borderColor rgb="FF638EC6"/>
              <x14:negativeFillColor rgb="FFFF0000"/>
              <x14:negativeBorderColor rgb="FFFF0000"/>
              <x14:axisColor rgb="FF000000"/>
            </x14:dataBar>
          </x14:cfRule>
          <xm:sqref>F35 F40 F42 F44 F46 F48 G49 G45 G47 G43 G41 G39 H38 I37 J36 K35 L34 L36 K37 J38 I39 H40 H42 I41 J40 K39 L38 L40 K41 J42 I43 H44 H46 J44 K43 L42 L44 K45 J46 I45 I47 H48 I49 H50 I51 J52 K53 L54 L52 K51 J50 K49 J48 K47 L46 L48 L50</xm:sqref>
        </x14:conditionalFormatting>
        <x14:conditionalFormatting xmlns:xm="http://schemas.microsoft.com/office/excel/2006/main">
          <x14:cfRule type="dataBar" id="{DB444870-357E-A64A-B0C5-7982E6550E06}">
            <x14:dataBar minLength="0" maxLength="100" border="1" negativeBarBorderColorSameAsPositive="0">
              <x14:cfvo type="autoMin"/>
              <x14:cfvo type="autoMax"/>
              <x14:borderColor rgb="FF638EC6"/>
              <x14:negativeFillColor rgb="FFFF0000"/>
              <x14:negativeBorderColor rgb="FFFF0000"/>
              <x14:axisColor rgb="FF000000"/>
            </x14:dataBar>
          </x14:cfRule>
          <xm:sqref>M31</xm:sqref>
        </x14:conditionalFormatting>
        <x14:conditionalFormatting xmlns:xm="http://schemas.microsoft.com/office/excel/2006/main">
          <x14:cfRule type="dataBar" id="{4B10186C-0E1D-164E-A182-340E94CDE769}">
            <x14:dataBar minLength="0" maxLength="100" border="1" negativeBarBorderColorSameAsPositive="0">
              <x14:cfvo type="autoMin"/>
              <x14:cfvo type="autoMax"/>
              <x14:borderColor rgb="FF638EC6"/>
              <x14:negativeFillColor rgb="FFFF0000"/>
              <x14:negativeBorderColor rgb="FFFF0000"/>
              <x14:axisColor rgb="FF000000"/>
            </x14:dataBar>
          </x14:cfRule>
          <xm:sqref>N30</xm:sqref>
        </x14:conditionalFormatting>
        <x14:conditionalFormatting xmlns:xm="http://schemas.microsoft.com/office/excel/2006/main">
          <x14:cfRule type="dataBar" id="{5C325698-6942-EE4C-BB85-C66914CAF5D5}">
            <x14:dataBar minLength="0" maxLength="100" border="1" negativeBarBorderColorSameAsPositive="0">
              <x14:cfvo type="autoMin"/>
              <x14:cfvo type="autoMax"/>
              <x14:borderColor rgb="FF638EC6"/>
              <x14:negativeFillColor rgb="FFFF0000"/>
              <x14:negativeBorderColor rgb="FFFF0000"/>
              <x14:axisColor rgb="FF000000"/>
            </x14:dataBar>
          </x14:cfRule>
          <xm:sqref>O29</xm:sqref>
        </x14:conditionalFormatting>
        <x14:conditionalFormatting xmlns:xm="http://schemas.microsoft.com/office/excel/2006/main">
          <x14:cfRule type="dataBar" id="{87019A2C-0491-564D-8A74-BD01623FD69E}">
            <x14:dataBar minLength="0" maxLength="100" border="1" negativeBarBorderColorSameAsPositive="0">
              <x14:cfvo type="autoMin"/>
              <x14:cfvo type="autoMax"/>
              <x14:borderColor rgb="FF638EC6"/>
              <x14:negativeFillColor rgb="FFFF0000"/>
              <x14:negativeBorderColor rgb="FFFF0000"/>
              <x14:axisColor rgb="FF000000"/>
            </x14:dataBar>
          </x14:cfRule>
          <xm:sqref>L32</xm:sqref>
        </x14:conditionalFormatting>
        <x14:conditionalFormatting xmlns:xm="http://schemas.microsoft.com/office/excel/2006/main">
          <x14:cfRule type="dataBar" id="{2370174D-1A03-E145-84B7-F5705BAFDDB9}">
            <x14:dataBar minLength="0" maxLength="100" border="1" negativeBarBorderColorSameAsPositive="0">
              <x14:cfvo type="autoMin"/>
              <x14:cfvo type="autoMax"/>
              <x14:borderColor rgb="FF638EC6"/>
              <x14:negativeFillColor rgb="FFFF0000"/>
              <x14:negativeBorderColor rgb="FFFF0000"/>
              <x14:axisColor rgb="FF000000"/>
            </x14:dataBar>
          </x14:cfRule>
          <xm:sqref>P28</xm:sqref>
        </x14:conditionalFormatting>
        <x14:conditionalFormatting xmlns:xm="http://schemas.microsoft.com/office/excel/2006/main">
          <x14:cfRule type="dataBar" id="{865FCDC7-7260-D449-A833-AA29FD57908A}">
            <x14:dataBar minLength="0" maxLength="100" border="1" negativeBarBorderColorSameAsPositive="0">
              <x14:cfvo type="autoMin"/>
              <x14:cfvo type="autoMax"/>
              <x14:borderColor rgb="FF638EC6"/>
              <x14:negativeFillColor rgb="FFFF0000"/>
              <x14:negativeBorderColor rgb="FFFF0000"/>
              <x14:axisColor rgb="FF000000"/>
            </x14:dataBar>
          </x14:cfRule>
          <xm:sqref>Q27</xm:sqref>
        </x14:conditionalFormatting>
        <x14:conditionalFormatting xmlns:xm="http://schemas.microsoft.com/office/excel/2006/main">
          <x14:cfRule type="dataBar" id="{A715B063-5551-354C-B33F-E434EDBD0F02}">
            <x14:dataBar minLength="0" maxLength="100" border="1" negativeBarBorderColorSameAsPositive="0">
              <x14:cfvo type="autoMin"/>
              <x14:cfvo type="autoMax"/>
              <x14:borderColor rgb="FF638EC6"/>
              <x14:negativeFillColor rgb="FFFF0000"/>
              <x14:negativeBorderColor rgb="FFFF0000"/>
              <x14:axisColor rgb="FF000000"/>
            </x14:dataBar>
          </x14:cfRule>
          <xm:sqref>R26</xm:sqref>
        </x14:conditionalFormatting>
        <x14:conditionalFormatting xmlns:xm="http://schemas.microsoft.com/office/excel/2006/main">
          <x14:cfRule type="dataBar" id="{23E8499C-1A1E-9246-ABA0-87569D3CDF63}">
            <x14:dataBar minLength="0" maxLength="100" border="1" negativeBarBorderColorSameAsPositive="0">
              <x14:cfvo type="autoMin"/>
              <x14:cfvo type="autoMax"/>
              <x14:borderColor rgb="FF638EC6"/>
              <x14:negativeFillColor rgb="FFFF0000"/>
              <x14:negativeBorderColor rgb="FFFF0000"/>
              <x14:axisColor rgb="FF000000"/>
            </x14:dataBar>
          </x14:cfRule>
          <xm:sqref>S25</xm:sqref>
        </x14:conditionalFormatting>
        <x14:conditionalFormatting xmlns:xm="http://schemas.microsoft.com/office/excel/2006/main">
          <x14:cfRule type="dataBar" id="{C60847C8-276A-D642-B829-346B7C331324}">
            <x14:dataBar minLength="0" maxLength="100" border="1" negativeBarBorderColorSameAsPositive="0">
              <x14:cfvo type="autoMin"/>
              <x14:cfvo type="autoMax"/>
              <x14:borderColor rgb="FF638EC6"/>
              <x14:negativeFillColor rgb="FFFF0000"/>
              <x14:negativeBorderColor rgb="FFFF0000"/>
              <x14:axisColor rgb="FF000000"/>
            </x14:dataBar>
          </x14:cfRule>
          <xm:sqref>T24</xm:sqref>
        </x14:conditionalFormatting>
        <x14:conditionalFormatting xmlns:xm="http://schemas.microsoft.com/office/excel/2006/main">
          <x14:cfRule type="dataBar" id="{2BC4D3AB-0040-BE4A-AD0A-368F510F6AA7}">
            <x14:dataBar minLength="0" maxLength="100" border="1" negativeBarBorderColorSameAsPositive="0">
              <x14:cfvo type="autoMin"/>
              <x14:cfvo type="autoMax"/>
              <x14:borderColor rgb="FF638EC6"/>
              <x14:negativeFillColor rgb="FFFF0000"/>
              <x14:negativeBorderColor rgb="FFFF0000"/>
              <x14:axisColor rgb="FF000000"/>
            </x14:dataBar>
          </x14:cfRule>
          <xm:sqref>U23</xm:sqref>
        </x14:conditionalFormatting>
        <x14:conditionalFormatting xmlns:xm="http://schemas.microsoft.com/office/excel/2006/main">
          <x14:cfRule type="dataBar" id="{56B8ADFB-8505-534D-89E0-CDB2DD3ADFB9}">
            <x14:dataBar minLength="0" maxLength="100" border="1" negativeBarBorderColorSameAsPositive="0">
              <x14:cfvo type="autoMin"/>
              <x14:cfvo type="autoMax"/>
              <x14:borderColor rgb="FF638EC6"/>
              <x14:negativeFillColor rgb="FFFF0000"/>
              <x14:negativeBorderColor rgb="FFFF0000"/>
              <x14:axisColor rgb="FF000000"/>
            </x14:dataBar>
          </x14:cfRule>
          <xm:sqref>V22</xm:sqref>
        </x14:conditionalFormatting>
        <x14:conditionalFormatting xmlns:xm="http://schemas.microsoft.com/office/excel/2006/main">
          <x14:cfRule type="dataBar" id="{BC5CE2F5-5AA2-F646-991D-DB0EE187DF86}">
            <x14:dataBar minLength="0" maxLength="100" border="1" negativeBarBorderColorSameAsPositive="0">
              <x14:cfvo type="autoMin"/>
              <x14:cfvo type="autoMax"/>
              <x14:borderColor rgb="FF638EC6"/>
              <x14:negativeFillColor rgb="FFFF0000"/>
              <x14:negativeBorderColor rgb="FFFF0000"/>
              <x14:axisColor rgb="FF000000"/>
            </x14:dataBar>
          </x14:cfRule>
          <xm:sqref>W21</xm:sqref>
        </x14:conditionalFormatting>
        <x14:conditionalFormatting xmlns:xm="http://schemas.microsoft.com/office/excel/2006/main">
          <x14:cfRule type="dataBar" id="{5AB53621-09A5-4A4F-AB08-146CDD2AA4E7}">
            <x14:dataBar minLength="0" maxLength="100" border="1" negativeBarBorderColorSameAsPositive="0">
              <x14:cfvo type="autoMin"/>
              <x14:cfvo type="autoMax"/>
              <x14:borderColor rgb="FF638EC6"/>
              <x14:negativeFillColor rgb="FFFF0000"/>
              <x14:negativeBorderColor rgb="FFFF0000"/>
              <x14:axisColor rgb="FF000000"/>
            </x14:dataBar>
          </x14:cfRule>
          <xm:sqref>X20</xm:sqref>
        </x14:conditionalFormatting>
        <x14:conditionalFormatting xmlns:xm="http://schemas.microsoft.com/office/excel/2006/main">
          <x14:cfRule type="dataBar" id="{1556FF38-55DE-5647-970C-3813A27D0B4E}">
            <x14:dataBar minLength="0" maxLength="100" border="1" negativeBarBorderColorSameAsPositive="0">
              <x14:cfvo type="autoMin"/>
              <x14:cfvo type="autoMax"/>
              <x14:borderColor rgb="FF638EC6"/>
              <x14:negativeFillColor rgb="FFFF0000"/>
              <x14:negativeBorderColor rgb="FFFF0000"/>
              <x14:axisColor rgb="FF000000"/>
            </x14:dataBar>
          </x14:cfRule>
          <xm:sqref>Y19</xm:sqref>
        </x14:conditionalFormatting>
        <x14:conditionalFormatting xmlns:xm="http://schemas.microsoft.com/office/excel/2006/main">
          <x14:cfRule type="dataBar" id="{905AB84C-863A-5E4F-8B5C-CCD79577BAB6}">
            <x14:dataBar minLength="0" maxLength="100" border="1" negativeBarBorderColorSameAsPositive="0">
              <x14:cfvo type="autoMin"/>
              <x14:cfvo type="autoMax"/>
              <x14:borderColor rgb="FF638EC6"/>
              <x14:negativeFillColor rgb="FFFF0000"/>
              <x14:negativeBorderColor rgb="FFFF0000"/>
              <x14:axisColor rgb="FF000000"/>
            </x14:dataBar>
          </x14:cfRule>
          <xm:sqref>Z18</xm:sqref>
        </x14:conditionalFormatting>
        <x14:conditionalFormatting xmlns:xm="http://schemas.microsoft.com/office/excel/2006/main">
          <x14:cfRule type="dataBar" id="{E50FFE7B-4682-8148-AC40-A250E13DB073}">
            <x14:dataBar minLength="0" maxLength="100" border="1" negativeBarBorderColorSameAsPositive="0">
              <x14:cfvo type="autoMin"/>
              <x14:cfvo type="autoMax"/>
              <x14:borderColor rgb="FF638EC6"/>
              <x14:negativeFillColor rgb="FFFF0000"/>
              <x14:negativeBorderColor rgb="FFFF0000"/>
              <x14:axisColor rgb="FF000000"/>
            </x14:dataBar>
          </x14:cfRule>
          <xm:sqref>AA17</xm:sqref>
        </x14:conditionalFormatting>
        <x14:conditionalFormatting xmlns:xm="http://schemas.microsoft.com/office/excel/2006/main">
          <x14:cfRule type="dataBar" id="{B3DC9428-EA9D-EF43-95B8-EA9025B54E18}">
            <x14:dataBar minLength="0" maxLength="100" border="1" negativeBarBorderColorSameAsPositive="0">
              <x14:cfvo type="autoMin"/>
              <x14:cfvo type="autoMax"/>
              <x14:borderColor rgb="FF638EC6"/>
              <x14:negativeFillColor rgb="FFFF0000"/>
              <x14:negativeBorderColor rgb="FFFF0000"/>
              <x14:axisColor rgb="FF000000"/>
            </x14:dataBar>
          </x14:cfRule>
          <xm:sqref>AB16</xm:sqref>
        </x14:conditionalFormatting>
        <x14:conditionalFormatting xmlns:xm="http://schemas.microsoft.com/office/excel/2006/main">
          <x14:cfRule type="dataBar" id="{39CB28E2-0862-2C49-AFF9-68B58443896D}">
            <x14:dataBar minLength="0" maxLength="100" border="1" negativeBarBorderColorSameAsPositive="0">
              <x14:cfvo type="autoMin"/>
              <x14:cfvo type="autoMax"/>
              <x14:borderColor rgb="FF638EC6"/>
              <x14:negativeFillColor rgb="FFFF0000"/>
              <x14:negativeBorderColor rgb="FFFF0000"/>
              <x14:axisColor rgb="FF000000"/>
            </x14:dataBar>
          </x14:cfRule>
          <xm:sqref>AC15</xm:sqref>
        </x14:conditionalFormatting>
        <x14:conditionalFormatting xmlns:xm="http://schemas.microsoft.com/office/excel/2006/main">
          <x14:cfRule type="dataBar" id="{01D9065C-853C-D947-8663-82E78664AE2F}">
            <x14:dataBar minLength="0" maxLength="100" border="1" negativeBarBorderColorSameAsPositive="0">
              <x14:cfvo type="autoMin"/>
              <x14:cfvo type="autoMax"/>
              <x14:borderColor rgb="FF638EC6"/>
              <x14:negativeFillColor rgb="FFFF0000"/>
              <x14:negativeBorderColor rgb="FFFF0000"/>
              <x14:axisColor rgb="FF000000"/>
            </x14:dataBar>
          </x14:cfRule>
          <xm:sqref>AD14</xm:sqref>
        </x14:conditionalFormatting>
        <x14:conditionalFormatting xmlns:xm="http://schemas.microsoft.com/office/excel/2006/main">
          <x14:cfRule type="dataBar" id="{EB65380F-7550-B14C-B0C7-F082523FBCD1}">
            <x14:dataBar minLength="0" maxLength="100" border="1" negativeBarBorderColorSameAsPositive="0">
              <x14:cfvo type="autoMin"/>
              <x14:cfvo type="autoMax"/>
              <x14:borderColor rgb="FF638EC6"/>
              <x14:negativeFillColor rgb="FFFF0000"/>
              <x14:negativeBorderColor rgb="FFFF0000"/>
              <x14:axisColor rgb="FF000000"/>
            </x14:dataBar>
          </x14:cfRule>
          <xm:sqref>AE13</xm:sqref>
        </x14:conditionalFormatting>
        <x14:conditionalFormatting xmlns:xm="http://schemas.microsoft.com/office/excel/2006/main">
          <x14:cfRule type="dataBar" id="{5AAB89F4-AFB2-AE49-8D4D-E89A7DFA2713}">
            <x14:dataBar minLength="0" maxLength="100" border="1" negativeBarBorderColorSameAsPositive="0">
              <x14:cfvo type="autoMin"/>
              <x14:cfvo type="autoMax"/>
              <x14:borderColor rgb="FF638EC6"/>
              <x14:negativeFillColor rgb="FFFF0000"/>
              <x14:negativeBorderColor rgb="FFFF0000"/>
              <x14:axisColor rgb="FF000000"/>
            </x14:dataBar>
          </x14:cfRule>
          <xm:sqref>M33</xm:sqref>
        </x14:conditionalFormatting>
        <x14:conditionalFormatting xmlns:xm="http://schemas.microsoft.com/office/excel/2006/main">
          <x14:cfRule type="dataBar" id="{4618C656-3647-A947-AE60-A247268C75C0}">
            <x14:dataBar minLength="0" maxLength="100" border="1" negativeBarBorderColorSameAsPositive="0">
              <x14:cfvo type="autoMin"/>
              <x14:cfvo type="autoMax"/>
              <x14:borderColor rgb="FF638EC6"/>
              <x14:negativeFillColor rgb="FFFF0000"/>
              <x14:negativeBorderColor rgb="FFFF0000"/>
              <x14:axisColor rgb="FF000000"/>
            </x14:dataBar>
          </x14:cfRule>
          <xm:sqref>O31</xm:sqref>
        </x14:conditionalFormatting>
        <x14:conditionalFormatting xmlns:xm="http://schemas.microsoft.com/office/excel/2006/main">
          <x14:cfRule type="dataBar" id="{DB662469-696A-AA47-959C-47ACC52BF60A}">
            <x14:dataBar minLength="0" maxLength="100" border="1" negativeBarBorderColorSameAsPositive="0">
              <x14:cfvo type="autoMin"/>
              <x14:cfvo type="autoMax"/>
              <x14:borderColor rgb="FF638EC6"/>
              <x14:negativeFillColor rgb="FFFF0000"/>
              <x14:negativeBorderColor rgb="FFFF0000"/>
              <x14:axisColor rgb="FF000000"/>
            </x14:dataBar>
          </x14:cfRule>
          <xm:sqref>P30</xm:sqref>
        </x14:conditionalFormatting>
        <x14:conditionalFormatting xmlns:xm="http://schemas.microsoft.com/office/excel/2006/main">
          <x14:cfRule type="dataBar" id="{180BC45E-BDC9-6D45-A328-B674A4339BF0}">
            <x14:dataBar minLength="0" maxLength="100" border="1" negativeBarBorderColorSameAsPositive="0">
              <x14:cfvo type="autoMin"/>
              <x14:cfvo type="autoMax"/>
              <x14:borderColor rgb="FF638EC6"/>
              <x14:negativeFillColor rgb="FFFF0000"/>
              <x14:negativeBorderColor rgb="FFFF0000"/>
              <x14:axisColor rgb="FF000000"/>
            </x14:dataBar>
          </x14:cfRule>
          <xm:sqref>Q29</xm:sqref>
        </x14:conditionalFormatting>
        <x14:conditionalFormatting xmlns:xm="http://schemas.microsoft.com/office/excel/2006/main">
          <x14:cfRule type="dataBar" id="{DC1D35C3-C5FB-A74C-BBF4-B9A90BDF6F8E}">
            <x14:dataBar minLength="0" maxLength="100" border="1" negativeBarBorderColorSameAsPositive="0">
              <x14:cfvo type="autoMin"/>
              <x14:cfvo type="autoMax"/>
              <x14:borderColor rgb="FF638EC6"/>
              <x14:negativeFillColor rgb="FFFF0000"/>
              <x14:negativeBorderColor rgb="FFFF0000"/>
              <x14:axisColor rgb="FF000000"/>
            </x14:dataBar>
          </x14:cfRule>
          <xm:sqref>R28</xm:sqref>
        </x14:conditionalFormatting>
        <x14:conditionalFormatting xmlns:xm="http://schemas.microsoft.com/office/excel/2006/main">
          <x14:cfRule type="dataBar" id="{9CD7DA1F-CEE6-E946-9DAA-3C62324128A0}">
            <x14:dataBar minLength="0" maxLength="100" border="1" negativeBarBorderColorSameAsPositive="0">
              <x14:cfvo type="autoMin"/>
              <x14:cfvo type="autoMax"/>
              <x14:borderColor rgb="FF638EC6"/>
              <x14:negativeFillColor rgb="FFFF0000"/>
              <x14:negativeBorderColor rgb="FFFF0000"/>
              <x14:axisColor rgb="FF000000"/>
            </x14:dataBar>
          </x14:cfRule>
          <xm:sqref>S27</xm:sqref>
        </x14:conditionalFormatting>
        <x14:conditionalFormatting xmlns:xm="http://schemas.microsoft.com/office/excel/2006/main">
          <x14:cfRule type="dataBar" id="{4346DC1A-EA4A-174E-A304-46C8DC19C3DD}">
            <x14:dataBar minLength="0" maxLength="100" border="1" negativeBarBorderColorSameAsPositive="0">
              <x14:cfvo type="autoMin"/>
              <x14:cfvo type="autoMax"/>
              <x14:borderColor rgb="FF638EC6"/>
              <x14:negativeFillColor rgb="FFFF0000"/>
              <x14:negativeBorderColor rgb="FFFF0000"/>
              <x14:axisColor rgb="FF000000"/>
            </x14:dataBar>
          </x14:cfRule>
          <xm:sqref>T26</xm:sqref>
        </x14:conditionalFormatting>
        <x14:conditionalFormatting xmlns:xm="http://schemas.microsoft.com/office/excel/2006/main">
          <x14:cfRule type="dataBar" id="{50D598F2-63C0-934A-A197-FB00599E39D3}">
            <x14:dataBar minLength="0" maxLength="100" border="1" negativeBarBorderColorSameAsPositive="0">
              <x14:cfvo type="autoMin"/>
              <x14:cfvo type="autoMax"/>
              <x14:borderColor rgb="FF638EC6"/>
              <x14:negativeFillColor rgb="FFFF0000"/>
              <x14:negativeBorderColor rgb="FFFF0000"/>
              <x14:axisColor rgb="FF000000"/>
            </x14:dataBar>
          </x14:cfRule>
          <xm:sqref>U25</xm:sqref>
        </x14:conditionalFormatting>
        <x14:conditionalFormatting xmlns:xm="http://schemas.microsoft.com/office/excel/2006/main">
          <x14:cfRule type="dataBar" id="{AAB6C466-5A1D-9B4D-937C-09CB40F09639}">
            <x14:dataBar minLength="0" maxLength="100" border="1" negativeBarBorderColorSameAsPositive="0">
              <x14:cfvo type="autoMin"/>
              <x14:cfvo type="autoMax"/>
              <x14:borderColor rgb="FF638EC6"/>
              <x14:negativeFillColor rgb="FFFF0000"/>
              <x14:negativeBorderColor rgb="FFFF0000"/>
              <x14:axisColor rgb="FF000000"/>
            </x14:dataBar>
          </x14:cfRule>
          <xm:sqref>V24</xm:sqref>
        </x14:conditionalFormatting>
        <x14:conditionalFormatting xmlns:xm="http://schemas.microsoft.com/office/excel/2006/main">
          <x14:cfRule type="dataBar" id="{47911459-71B3-1B41-ACD9-8B92A9776DC4}">
            <x14:dataBar minLength="0" maxLength="100" border="1" negativeBarBorderColorSameAsPositive="0">
              <x14:cfvo type="autoMin"/>
              <x14:cfvo type="autoMax"/>
              <x14:borderColor rgb="FF638EC6"/>
              <x14:negativeFillColor rgb="FFFF0000"/>
              <x14:negativeBorderColor rgb="FFFF0000"/>
              <x14:axisColor rgb="FF000000"/>
            </x14:dataBar>
          </x14:cfRule>
          <xm:sqref>W23</xm:sqref>
        </x14:conditionalFormatting>
        <x14:conditionalFormatting xmlns:xm="http://schemas.microsoft.com/office/excel/2006/main">
          <x14:cfRule type="dataBar" id="{B74F193B-E972-DF49-922F-8DF5D7AFC994}">
            <x14:dataBar minLength="0" maxLength="100" border="1" negativeBarBorderColorSameAsPositive="0">
              <x14:cfvo type="autoMin"/>
              <x14:cfvo type="autoMax"/>
              <x14:borderColor rgb="FF638EC6"/>
              <x14:negativeFillColor rgb="FFFF0000"/>
              <x14:negativeBorderColor rgb="FFFF0000"/>
              <x14:axisColor rgb="FF000000"/>
            </x14:dataBar>
          </x14:cfRule>
          <xm:sqref>X22</xm:sqref>
        </x14:conditionalFormatting>
        <x14:conditionalFormatting xmlns:xm="http://schemas.microsoft.com/office/excel/2006/main">
          <x14:cfRule type="dataBar" id="{DC107263-CD40-594E-9FFC-4FEE196E1951}">
            <x14:dataBar minLength="0" maxLength="100" border="1" negativeBarBorderColorSameAsPositive="0">
              <x14:cfvo type="autoMin"/>
              <x14:cfvo type="autoMax"/>
              <x14:borderColor rgb="FF638EC6"/>
              <x14:negativeFillColor rgb="FFFF0000"/>
              <x14:negativeBorderColor rgb="FFFF0000"/>
              <x14:axisColor rgb="FF000000"/>
            </x14:dataBar>
          </x14:cfRule>
          <xm:sqref>Y21</xm:sqref>
        </x14:conditionalFormatting>
        <x14:conditionalFormatting xmlns:xm="http://schemas.microsoft.com/office/excel/2006/main">
          <x14:cfRule type="dataBar" id="{59EAF9C5-68A2-0944-8A4E-C5883B853120}">
            <x14:dataBar minLength="0" maxLength="100" border="1" negativeBarBorderColorSameAsPositive="0">
              <x14:cfvo type="autoMin"/>
              <x14:cfvo type="autoMax"/>
              <x14:borderColor rgb="FF638EC6"/>
              <x14:negativeFillColor rgb="FFFF0000"/>
              <x14:negativeBorderColor rgb="FFFF0000"/>
              <x14:axisColor rgb="FF000000"/>
            </x14:dataBar>
          </x14:cfRule>
          <xm:sqref>Z20</xm:sqref>
        </x14:conditionalFormatting>
        <x14:conditionalFormatting xmlns:xm="http://schemas.microsoft.com/office/excel/2006/main">
          <x14:cfRule type="dataBar" id="{9FB89AF5-5FA2-7942-A85C-26F0AEFF3D60}">
            <x14:dataBar minLength="0" maxLength="100" border="1" negativeBarBorderColorSameAsPositive="0">
              <x14:cfvo type="autoMin"/>
              <x14:cfvo type="autoMax"/>
              <x14:borderColor rgb="FF638EC6"/>
              <x14:negativeFillColor rgb="FFFF0000"/>
              <x14:negativeBorderColor rgb="FFFF0000"/>
              <x14:axisColor rgb="FF000000"/>
            </x14:dataBar>
          </x14:cfRule>
          <xm:sqref>AA19</xm:sqref>
        </x14:conditionalFormatting>
        <x14:conditionalFormatting xmlns:xm="http://schemas.microsoft.com/office/excel/2006/main">
          <x14:cfRule type="dataBar" id="{7C554DA8-4021-F54B-A1BE-8BFEA2331901}">
            <x14:dataBar minLength="0" maxLength="100" border="1" negativeBarBorderColorSameAsPositive="0">
              <x14:cfvo type="autoMin"/>
              <x14:cfvo type="autoMax"/>
              <x14:borderColor rgb="FF638EC6"/>
              <x14:negativeFillColor rgb="FFFF0000"/>
              <x14:negativeBorderColor rgb="FFFF0000"/>
              <x14:axisColor rgb="FF000000"/>
            </x14:dataBar>
          </x14:cfRule>
          <xm:sqref>AB18</xm:sqref>
        </x14:conditionalFormatting>
        <x14:conditionalFormatting xmlns:xm="http://schemas.microsoft.com/office/excel/2006/main">
          <x14:cfRule type="dataBar" id="{1A1899A9-5A2D-8E4B-B6F4-351538CBB7E1}">
            <x14:dataBar minLength="0" maxLength="100" border="1" negativeBarBorderColorSameAsPositive="0">
              <x14:cfvo type="autoMin"/>
              <x14:cfvo type="autoMax"/>
              <x14:borderColor rgb="FF638EC6"/>
              <x14:negativeFillColor rgb="FFFF0000"/>
              <x14:negativeBorderColor rgb="FFFF0000"/>
              <x14:axisColor rgb="FF000000"/>
            </x14:dataBar>
          </x14:cfRule>
          <xm:sqref>AC17</xm:sqref>
        </x14:conditionalFormatting>
        <x14:conditionalFormatting xmlns:xm="http://schemas.microsoft.com/office/excel/2006/main">
          <x14:cfRule type="dataBar" id="{B3F91588-CB60-044A-A3E1-43E420116699}">
            <x14:dataBar minLength="0" maxLength="100" border="1" negativeBarBorderColorSameAsPositive="0">
              <x14:cfvo type="autoMin"/>
              <x14:cfvo type="autoMax"/>
              <x14:borderColor rgb="FF638EC6"/>
              <x14:negativeFillColor rgb="FFFF0000"/>
              <x14:negativeBorderColor rgb="FFFF0000"/>
              <x14:axisColor rgb="FF000000"/>
            </x14:dataBar>
          </x14:cfRule>
          <xm:sqref>AD16</xm:sqref>
        </x14:conditionalFormatting>
        <x14:conditionalFormatting xmlns:xm="http://schemas.microsoft.com/office/excel/2006/main">
          <x14:cfRule type="dataBar" id="{307A4303-C209-1C44-BA30-7F54E89921FF}">
            <x14:dataBar minLength="0" maxLength="100" border="1" negativeBarBorderColorSameAsPositive="0">
              <x14:cfvo type="autoMin"/>
              <x14:cfvo type="autoMax"/>
              <x14:borderColor rgb="FF638EC6"/>
              <x14:negativeFillColor rgb="FFFF0000"/>
              <x14:negativeBorderColor rgb="FFFF0000"/>
              <x14:axisColor rgb="FF000000"/>
            </x14:dataBar>
          </x14:cfRule>
          <xm:sqref>M35</xm:sqref>
        </x14:conditionalFormatting>
        <x14:conditionalFormatting xmlns:xm="http://schemas.microsoft.com/office/excel/2006/main">
          <x14:cfRule type="dataBar" id="{603623C3-DEE4-8D41-AC29-DAFD5586FC1A}">
            <x14:dataBar minLength="0" maxLength="100" border="1" negativeBarBorderColorSameAsPositive="0">
              <x14:cfvo type="autoMin"/>
              <x14:cfvo type="autoMax"/>
              <x14:borderColor rgb="FF638EC6"/>
              <x14:negativeFillColor rgb="FFFF0000"/>
              <x14:negativeBorderColor rgb="FFFF0000"/>
              <x14:axisColor rgb="FF000000"/>
            </x14:dataBar>
          </x14:cfRule>
          <xm:sqref>N34</xm:sqref>
        </x14:conditionalFormatting>
        <x14:conditionalFormatting xmlns:xm="http://schemas.microsoft.com/office/excel/2006/main">
          <x14:cfRule type="dataBar" id="{AEC68BB5-2280-D544-B4F6-8D2D3EEDF8DF}">
            <x14:dataBar minLength="0" maxLength="100" border="1" negativeBarBorderColorSameAsPositive="0">
              <x14:cfvo type="autoMin"/>
              <x14:cfvo type="autoMax"/>
              <x14:borderColor rgb="FF638EC6"/>
              <x14:negativeFillColor rgb="FFFF0000"/>
              <x14:negativeBorderColor rgb="FFFF0000"/>
              <x14:axisColor rgb="FF000000"/>
            </x14:dataBar>
          </x14:cfRule>
          <xm:sqref>O33</xm:sqref>
        </x14:conditionalFormatting>
        <x14:conditionalFormatting xmlns:xm="http://schemas.microsoft.com/office/excel/2006/main">
          <x14:cfRule type="dataBar" id="{AD8E1465-E599-4E42-AC32-C77D353FD370}">
            <x14:dataBar minLength="0" maxLength="100" border="1" negativeBarBorderColorSameAsPositive="0">
              <x14:cfvo type="autoMin"/>
              <x14:cfvo type="autoMax"/>
              <x14:borderColor rgb="FF638EC6"/>
              <x14:negativeFillColor rgb="FFFF0000"/>
              <x14:negativeBorderColor rgb="FFFF0000"/>
              <x14:axisColor rgb="FF000000"/>
            </x14:dataBar>
          </x14:cfRule>
          <xm:sqref>P32</xm:sqref>
        </x14:conditionalFormatting>
        <x14:conditionalFormatting xmlns:xm="http://schemas.microsoft.com/office/excel/2006/main">
          <x14:cfRule type="dataBar" id="{808B89A2-5294-1E4D-9B0A-9592938CA249}">
            <x14:dataBar minLength="0" maxLength="100" border="1" negativeBarBorderColorSameAsPositive="0">
              <x14:cfvo type="autoMin"/>
              <x14:cfvo type="autoMax"/>
              <x14:borderColor rgb="FF638EC6"/>
              <x14:negativeFillColor rgb="FFFF0000"/>
              <x14:negativeBorderColor rgb="FFFF0000"/>
              <x14:axisColor rgb="FF000000"/>
            </x14:dataBar>
          </x14:cfRule>
          <xm:sqref>Q31</xm:sqref>
        </x14:conditionalFormatting>
        <x14:conditionalFormatting xmlns:xm="http://schemas.microsoft.com/office/excel/2006/main">
          <x14:cfRule type="dataBar" id="{603F5D2B-950D-CA48-95F1-B5556B6CEF9F}">
            <x14:dataBar minLength="0" maxLength="100" border="1" negativeBarBorderColorSameAsPositive="0">
              <x14:cfvo type="autoMin"/>
              <x14:cfvo type="autoMax"/>
              <x14:borderColor rgb="FF638EC6"/>
              <x14:negativeFillColor rgb="FFFF0000"/>
              <x14:negativeBorderColor rgb="FFFF0000"/>
              <x14:axisColor rgb="FF000000"/>
            </x14:dataBar>
          </x14:cfRule>
          <xm:sqref>R30</xm:sqref>
        </x14:conditionalFormatting>
        <x14:conditionalFormatting xmlns:xm="http://schemas.microsoft.com/office/excel/2006/main">
          <x14:cfRule type="dataBar" id="{989ABCE8-92E3-A345-8989-B3FF9E52760D}">
            <x14:dataBar minLength="0" maxLength="100" border="1" negativeBarBorderColorSameAsPositive="0">
              <x14:cfvo type="autoMin"/>
              <x14:cfvo type="autoMax"/>
              <x14:borderColor rgb="FF638EC6"/>
              <x14:negativeFillColor rgb="FFFF0000"/>
              <x14:negativeBorderColor rgb="FFFF0000"/>
              <x14:axisColor rgb="FF000000"/>
            </x14:dataBar>
          </x14:cfRule>
          <xm:sqref>S29</xm:sqref>
        </x14:conditionalFormatting>
        <x14:conditionalFormatting xmlns:xm="http://schemas.microsoft.com/office/excel/2006/main">
          <x14:cfRule type="dataBar" id="{D0C778F4-135D-D448-BC4F-4320C8116596}">
            <x14:dataBar minLength="0" maxLength="100" border="1" negativeBarBorderColorSameAsPositive="0">
              <x14:cfvo type="autoMin"/>
              <x14:cfvo type="autoMax"/>
              <x14:borderColor rgb="FF638EC6"/>
              <x14:negativeFillColor rgb="FFFF0000"/>
              <x14:negativeBorderColor rgb="FFFF0000"/>
              <x14:axisColor rgb="FF000000"/>
            </x14:dataBar>
          </x14:cfRule>
          <xm:sqref>T28</xm:sqref>
        </x14:conditionalFormatting>
        <x14:conditionalFormatting xmlns:xm="http://schemas.microsoft.com/office/excel/2006/main">
          <x14:cfRule type="dataBar" id="{F1DA9A23-2D3F-1E48-9FF6-8696D82F09BC}">
            <x14:dataBar minLength="0" maxLength="100" border="1" negativeBarBorderColorSameAsPositive="0">
              <x14:cfvo type="autoMin"/>
              <x14:cfvo type="autoMax"/>
              <x14:borderColor rgb="FF638EC6"/>
              <x14:negativeFillColor rgb="FFFF0000"/>
              <x14:negativeBorderColor rgb="FFFF0000"/>
              <x14:axisColor rgb="FF000000"/>
            </x14:dataBar>
          </x14:cfRule>
          <xm:sqref>U27</xm:sqref>
        </x14:conditionalFormatting>
        <x14:conditionalFormatting xmlns:xm="http://schemas.microsoft.com/office/excel/2006/main">
          <x14:cfRule type="dataBar" id="{A9A89A02-FDCC-B54B-A596-D56DA5791376}">
            <x14:dataBar minLength="0" maxLength="100" border="1" negativeBarBorderColorSameAsPositive="0">
              <x14:cfvo type="autoMin"/>
              <x14:cfvo type="autoMax"/>
              <x14:borderColor rgb="FF638EC6"/>
              <x14:negativeFillColor rgb="FFFF0000"/>
              <x14:negativeBorderColor rgb="FFFF0000"/>
              <x14:axisColor rgb="FF000000"/>
            </x14:dataBar>
          </x14:cfRule>
          <xm:sqref>V26</xm:sqref>
        </x14:conditionalFormatting>
        <x14:conditionalFormatting xmlns:xm="http://schemas.microsoft.com/office/excel/2006/main">
          <x14:cfRule type="dataBar" id="{59B53E15-0787-934F-B15C-D7ED38BC899F}">
            <x14:dataBar minLength="0" maxLength="100" border="1" negativeBarBorderColorSameAsPositive="0">
              <x14:cfvo type="autoMin"/>
              <x14:cfvo type="autoMax"/>
              <x14:borderColor rgb="FF638EC6"/>
              <x14:negativeFillColor rgb="FFFF0000"/>
              <x14:negativeBorderColor rgb="FFFF0000"/>
              <x14:axisColor rgb="FF000000"/>
            </x14:dataBar>
          </x14:cfRule>
          <xm:sqref>W25</xm:sqref>
        </x14:conditionalFormatting>
        <x14:conditionalFormatting xmlns:xm="http://schemas.microsoft.com/office/excel/2006/main">
          <x14:cfRule type="dataBar" id="{546A2A47-B06D-9D42-A693-8C4B03B0C90C}">
            <x14:dataBar minLength="0" maxLength="100" border="1" negativeBarBorderColorSameAsPositive="0">
              <x14:cfvo type="autoMin"/>
              <x14:cfvo type="autoMax"/>
              <x14:borderColor rgb="FF638EC6"/>
              <x14:negativeFillColor rgb="FFFF0000"/>
              <x14:negativeBorderColor rgb="FFFF0000"/>
              <x14:axisColor rgb="FF000000"/>
            </x14:dataBar>
          </x14:cfRule>
          <xm:sqref>X24</xm:sqref>
        </x14:conditionalFormatting>
        <x14:conditionalFormatting xmlns:xm="http://schemas.microsoft.com/office/excel/2006/main">
          <x14:cfRule type="dataBar" id="{A499215D-84FB-4645-916B-90B5031C05C2}">
            <x14:dataBar minLength="0" maxLength="100" border="1" negativeBarBorderColorSameAsPositive="0">
              <x14:cfvo type="autoMin"/>
              <x14:cfvo type="autoMax"/>
              <x14:borderColor rgb="FF638EC6"/>
              <x14:negativeFillColor rgb="FFFF0000"/>
              <x14:negativeBorderColor rgb="FFFF0000"/>
              <x14:axisColor rgb="FF000000"/>
            </x14:dataBar>
          </x14:cfRule>
          <xm:sqref>Y23</xm:sqref>
        </x14:conditionalFormatting>
        <x14:conditionalFormatting xmlns:xm="http://schemas.microsoft.com/office/excel/2006/main">
          <x14:cfRule type="dataBar" id="{96E5BEB3-C7DA-1E4B-B035-FA71052A959B}">
            <x14:dataBar minLength="0" maxLength="100" border="1" negativeBarBorderColorSameAsPositive="0">
              <x14:cfvo type="autoMin"/>
              <x14:cfvo type="autoMax"/>
              <x14:borderColor rgb="FF638EC6"/>
              <x14:negativeFillColor rgb="FFFF0000"/>
              <x14:negativeBorderColor rgb="FFFF0000"/>
              <x14:axisColor rgb="FF000000"/>
            </x14:dataBar>
          </x14:cfRule>
          <xm:sqref>Z22</xm:sqref>
        </x14:conditionalFormatting>
        <x14:conditionalFormatting xmlns:xm="http://schemas.microsoft.com/office/excel/2006/main">
          <x14:cfRule type="dataBar" id="{E82EB742-D62B-FC48-A809-46E3A8938A85}">
            <x14:dataBar minLength="0" maxLength="100" border="1" negativeBarBorderColorSameAsPositive="0">
              <x14:cfvo type="autoMin"/>
              <x14:cfvo type="autoMax"/>
              <x14:borderColor rgb="FF638EC6"/>
              <x14:negativeFillColor rgb="FFFF0000"/>
              <x14:negativeBorderColor rgb="FFFF0000"/>
              <x14:axisColor rgb="FF000000"/>
            </x14:dataBar>
          </x14:cfRule>
          <xm:sqref>AA21</xm:sqref>
        </x14:conditionalFormatting>
        <x14:conditionalFormatting xmlns:xm="http://schemas.microsoft.com/office/excel/2006/main">
          <x14:cfRule type="dataBar" id="{D5EDA736-B719-AD48-82D8-0A764785CDCE}">
            <x14:dataBar minLength="0" maxLength="100" border="1" negativeBarBorderColorSameAsPositive="0">
              <x14:cfvo type="autoMin"/>
              <x14:cfvo type="autoMax"/>
              <x14:borderColor rgb="FF638EC6"/>
              <x14:negativeFillColor rgb="FFFF0000"/>
              <x14:negativeBorderColor rgb="FFFF0000"/>
              <x14:axisColor rgb="FF000000"/>
            </x14:dataBar>
          </x14:cfRule>
          <xm:sqref>AB20</xm:sqref>
        </x14:conditionalFormatting>
        <x14:conditionalFormatting xmlns:xm="http://schemas.microsoft.com/office/excel/2006/main">
          <x14:cfRule type="dataBar" id="{CEEFD2CE-413A-FB4C-A79D-AB812BC100B4}">
            <x14:dataBar minLength="0" maxLength="100" border="1" negativeBarBorderColorSameAsPositive="0">
              <x14:cfvo type="autoMin"/>
              <x14:cfvo type="autoMax"/>
              <x14:borderColor rgb="FF638EC6"/>
              <x14:negativeFillColor rgb="FFFF0000"/>
              <x14:negativeBorderColor rgb="FFFF0000"/>
              <x14:axisColor rgb="FF000000"/>
            </x14:dataBar>
          </x14:cfRule>
          <xm:sqref>AC19</xm:sqref>
        </x14:conditionalFormatting>
        <x14:conditionalFormatting xmlns:xm="http://schemas.microsoft.com/office/excel/2006/main">
          <x14:cfRule type="dataBar" id="{0093E679-813C-DC4F-AF63-290480A40C12}">
            <x14:dataBar minLength="0" maxLength="100" border="1" negativeBarBorderColorSameAsPositive="0">
              <x14:cfvo type="autoMin"/>
              <x14:cfvo type="autoMax"/>
              <x14:borderColor rgb="FF638EC6"/>
              <x14:negativeFillColor rgb="FFFF0000"/>
              <x14:negativeBorderColor rgb="FFFF0000"/>
              <x14:axisColor rgb="FF000000"/>
            </x14:dataBar>
          </x14:cfRule>
          <xm:sqref>AD18</xm:sqref>
        </x14:conditionalFormatting>
        <x14:conditionalFormatting xmlns:xm="http://schemas.microsoft.com/office/excel/2006/main">
          <x14:cfRule type="dataBar" id="{D400C4D5-C335-1F44-88E9-D1CBB9827220}">
            <x14:dataBar minLength="0" maxLength="100" border="1" negativeBarBorderColorSameAsPositive="0">
              <x14:cfvo type="autoMin"/>
              <x14:cfvo type="autoMax"/>
              <x14:borderColor rgb="FF638EC6"/>
              <x14:negativeFillColor rgb="FFFF0000"/>
              <x14:negativeBorderColor rgb="FFFF0000"/>
              <x14:axisColor rgb="FF000000"/>
            </x14:dataBar>
          </x14:cfRule>
          <xm:sqref>M37</xm:sqref>
        </x14:conditionalFormatting>
        <x14:conditionalFormatting xmlns:xm="http://schemas.microsoft.com/office/excel/2006/main">
          <x14:cfRule type="dataBar" id="{C7D1D5C0-BD40-8C4D-B7C6-5B2F104422EB}">
            <x14:dataBar minLength="0" maxLength="100" border="1" negativeBarBorderColorSameAsPositive="0">
              <x14:cfvo type="autoMin"/>
              <x14:cfvo type="autoMax"/>
              <x14:borderColor rgb="FF638EC6"/>
              <x14:negativeFillColor rgb="FFFF0000"/>
              <x14:negativeBorderColor rgb="FFFF0000"/>
              <x14:axisColor rgb="FF000000"/>
            </x14:dataBar>
          </x14:cfRule>
          <xm:sqref>N36</xm:sqref>
        </x14:conditionalFormatting>
        <x14:conditionalFormatting xmlns:xm="http://schemas.microsoft.com/office/excel/2006/main">
          <x14:cfRule type="dataBar" id="{EBB6A14D-2561-1840-8950-1648DE38C6BF}">
            <x14:dataBar minLength="0" maxLength="100" border="1" negativeBarBorderColorSameAsPositive="0">
              <x14:cfvo type="autoMin"/>
              <x14:cfvo type="autoMax"/>
              <x14:borderColor rgb="FF638EC6"/>
              <x14:negativeFillColor rgb="FFFF0000"/>
              <x14:negativeBorderColor rgb="FFFF0000"/>
              <x14:axisColor rgb="FF000000"/>
            </x14:dataBar>
          </x14:cfRule>
          <xm:sqref>O35</xm:sqref>
        </x14:conditionalFormatting>
        <x14:conditionalFormatting xmlns:xm="http://schemas.microsoft.com/office/excel/2006/main">
          <x14:cfRule type="dataBar" id="{D68ADF35-B7C2-C541-9EDF-CB48DB04BAD6}">
            <x14:dataBar minLength="0" maxLength="100" border="1" negativeBarBorderColorSameAsPositive="0">
              <x14:cfvo type="autoMin"/>
              <x14:cfvo type="autoMax"/>
              <x14:borderColor rgb="FF638EC6"/>
              <x14:negativeFillColor rgb="FFFF0000"/>
              <x14:negativeBorderColor rgb="FFFF0000"/>
              <x14:axisColor rgb="FF000000"/>
            </x14:dataBar>
          </x14:cfRule>
          <xm:sqref>P34</xm:sqref>
        </x14:conditionalFormatting>
        <x14:conditionalFormatting xmlns:xm="http://schemas.microsoft.com/office/excel/2006/main">
          <x14:cfRule type="dataBar" id="{746F6658-51DD-8043-AD1D-28249EC59D07}">
            <x14:dataBar minLength="0" maxLength="100" border="1" negativeBarBorderColorSameAsPositive="0">
              <x14:cfvo type="autoMin"/>
              <x14:cfvo type="autoMax"/>
              <x14:borderColor rgb="FF638EC6"/>
              <x14:negativeFillColor rgb="FFFF0000"/>
              <x14:negativeBorderColor rgb="FFFF0000"/>
              <x14:axisColor rgb="FF000000"/>
            </x14:dataBar>
          </x14:cfRule>
          <xm:sqref>Q33</xm:sqref>
        </x14:conditionalFormatting>
        <x14:conditionalFormatting xmlns:xm="http://schemas.microsoft.com/office/excel/2006/main">
          <x14:cfRule type="dataBar" id="{5748F5E9-F97B-4D46-BBB7-DD4A70A6E114}">
            <x14:dataBar minLength="0" maxLength="100" border="1" negativeBarBorderColorSameAsPositive="0">
              <x14:cfvo type="autoMin"/>
              <x14:cfvo type="autoMax"/>
              <x14:borderColor rgb="FF638EC6"/>
              <x14:negativeFillColor rgb="FFFF0000"/>
              <x14:negativeBorderColor rgb="FFFF0000"/>
              <x14:axisColor rgb="FF000000"/>
            </x14:dataBar>
          </x14:cfRule>
          <xm:sqref>R32</xm:sqref>
        </x14:conditionalFormatting>
        <x14:conditionalFormatting xmlns:xm="http://schemas.microsoft.com/office/excel/2006/main">
          <x14:cfRule type="dataBar" id="{F14DFEDF-74D7-AA4F-8D54-BE3CFD245D68}">
            <x14:dataBar minLength="0" maxLength="100" border="1" negativeBarBorderColorSameAsPositive="0">
              <x14:cfvo type="autoMin"/>
              <x14:cfvo type="autoMax"/>
              <x14:borderColor rgb="FF638EC6"/>
              <x14:negativeFillColor rgb="FFFF0000"/>
              <x14:negativeBorderColor rgb="FFFF0000"/>
              <x14:axisColor rgb="FF000000"/>
            </x14:dataBar>
          </x14:cfRule>
          <xm:sqref>S31</xm:sqref>
        </x14:conditionalFormatting>
        <x14:conditionalFormatting xmlns:xm="http://schemas.microsoft.com/office/excel/2006/main">
          <x14:cfRule type="dataBar" id="{337B662E-D8F1-5046-86EF-E9761611A2E3}">
            <x14:dataBar minLength="0" maxLength="100" border="1" negativeBarBorderColorSameAsPositive="0">
              <x14:cfvo type="autoMin"/>
              <x14:cfvo type="autoMax"/>
              <x14:borderColor rgb="FF638EC6"/>
              <x14:negativeFillColor rgb="FFFF0000"/>
              <x14:negativeBorderColor rgb="FFFF0000"/>
              <x14:axisColor rgb="FF000000"/>
            </x14:dataBar>
          </x14:cfRule>
          <xm:sqref>T30</xm:sqref>
        </x14:conditionalFormatting>
        <x14:conditionalFormatting xmlns:xm="http://schemas.microsoft.com/office/excel/2006/main">
          <x14:cfRule type="dataBar" id="{CA27F4F2-89B8-2C46-AB3E-BFD5E93ED5B3}">
            <x14:dataBar minLength="0" maxLength="100" border="1" negativeBarBorderColorSameAsPositive="0">
              <x14:cfvo type="autoMin"/>
              <x14:cfvo type="autoMax"/>
              <x14:borderColor rgb="FF638EC6"/>
              <x14:negativeFillColor rgb="FFFF0000"/>
              <x14:negativeBorderColor rgb="FFFF0000"/>
              <x14:axisColor rgb="FF000000"/>
            </x14:dataBar>
          </x14:cfRule>
          <xm:sqref>U29</xm:sqref>
        </x14:conditionalFormatting>
        <x14:conditionalFormatting xmlns:xm="http://schemas.microsoft.com/office/excel/2006/main">
          <x14:cfRule type="dataBar" id="{DA9DB647-A486-A34F-98ED-2E6DBD54609A}">
            <x14:dataBar minLength="0" maxLength="100" border="1" negativeBarBorderColorSameAsPositive="0">
              <x14:cfvo type="autoMin"/>
              <x14:cfvo type="autoMax"/>
              <x14:borderColor rgb="FF638EC6"/>
              <x14:negativeFillColor rgb="FFFF0000"/>
              <x14:negativeBorderColor rgb="FFFF0000"/>
              <x14:axisColor rgb="FF000000"/>
            </x14:dataBar>
          </x14:cfRule>
          <xm:sqref>V28</xm:sqref>
        </x14:conditionalFormatting>
        <x14:conditionalFormatting xmlns:xm="http://schemas.microsoft.com/office/excel/2006/main">
          <x14:cfRule type="dataBar" id="{7BFEFBAD-5590-E044-9DF8-E9AC518EFF60}">
            <x14:dataBar minLength="0" maxLength="100" border="1" negativeBarBorderColorSameAsPositive="0">
              <x14:cfvo type="autoMin"/>
              <x14:cfvo type="autoMax"/>
              <x14:borderColor rgb="FF638EC6"/>
              <x14:negativeFillColor rgb="FFFF0000"/>
              <x14:negativeBorderColor rgb="FFFF0000"/>
              <x14:axisColor rgb="FF000000"/>
            </x14:dataBar>
          </x14:cfRule>
          <xm:sqref>W27</xm:sqref>
        </x14:conditionalFormatting>
        <x14:conditionalFormatting xmlns:xm="http://schemas.microsoft.com/office/excel/2006/main">
          <x14:cfRule type="dataBar" id="{28C276B0-9949-1742-9290-2943B640B41C}">
            <x14:dataBar minLength="0" maxLength="100" border="1" negativeBarBorderColorSameAsPositive="0">
              <x14:cfvo type="autoMin"/>
              <x14:cfvo type="autoMax"/>
              <x14:borderColor rgb="FF638EC6"/>
              <x14:negativeFillColor rgb="FFFF0000"/>
              <x14:negativeBorderColor rgb="FFFF0000"/>
              <x14:axisColor rgb="FF000000"/>
            </x14:dataBar>
          </x14:cfRule>
          <xm:sqref>X26</xm:sqref>
        </x14:conditionalFormatting>
        <x14:conditionalFormatting xmlns:xm="http://schemas.microsoft.com/office/excel/2006/main">
          <x14:cfRule type="dataBar" id="{341392EE-8619-7147-BBE7-7C669F6A4F25}">
            <x14:dataBar minLength="0" maxLength="100" border="1" negativeBarBorderColorSameAsPositive="0">
              <x14:cfvo type="autoMin"/>
              <x14:cfvo type="autoMax"/>
              <x14:borderColor rgb="FF638EC6"/>
              <x14:negativeFillColor rgb="FFFF0000"/>
              <x14:negativeBorderColor rgb="FFFF0000"/>
              <x14:axisColor rgb="FF000000"/>
            </x14:dataBar>
          </x14:cfRule>
          <xm:sqref>Y25</xm:sqref>
        </x14:conditionalFormatting>
        <x14:conditionalFormatting xmlns:xm="http://schemas.microsoft.com/office/excel/2006/main">
          <x14:cfRule type="dataBar" id="{D82EE3B1-08E5-B446-9BBE-9009D1EF7440}">
            <x14:dataBar minLength="0" maxLength="100" border="1" negativeBarBorderColorSameAsPositive="0">
              <x14:cfvo type="autoMin"/>
              <x14:cfvo type="autoMax"/>
              <x14:borderColor rgb="FF638EC6"/>
              <x14:negativeFillColor rgb="FFFF0000"/>
              <x14:negativeBorderColor rgb="FFFF0000"/>
              <x14:axisColor rgb="FF000000"/>
            </x14:dataBar>
          </x14:cfRule>
          <xm:sqref>Z24</xm:sqref>
        </x14:conditionalFormatting>
        <x14:conditionalFormatting xmlns:xm="http://schemas.microsoft.com/office/excel/2006/main">
          <x14:cfRule type="dataBar" id="{6337AA54-E039-D244-A6A2-26D9D705BDBA}">
            <x14:dataBar minLength="0" maxLength="100" border="1" negativeBarBorderColorSameAsPositive="0">
              <x14:cfvo type="autoMin"/>
              <x14:cfvo type="autoMax"/>
              <x14:borderColor rgb="FF638EC6"/>
              <x14:negativeFillColor rgb="FFFF0000"/>
              <x14:negativeBorderColor rgb="FFFF0000"/>
              <x14:axisColor rgb="FF000000"/>
            </x14:dataBar>
          </x14:cfRule>
          <xm:sqref>AA23</xm:sqref>
        </x14:conditionalFormatting>
        <x14:conditionalFormatting xmlns:xm="http://schemas.microsoft.com/office/excel/2006/main">
          <x14:cfRule type="dataBar" id="{12395FCE-BC98-5749-A11C-D6A90B32ED32}">
            <x14:dataBar minLength="0" maxLength="100" border="1" negativeBarBorderColorSameAsPositive="0">
              <x14:cfvo type="autoMin"/>
              <x14:cfvo type="autoMax"/>
              <x14:borderColor rgb="FF638EC6"/>
              <x14:negativeFillColor rgb="FFFF0000"/>
              <x14:negativeBorderColor rgb="FFFF0000"/>
              <x14:axisColor rgb="FF000000"/>
            </x14:dataBar>
          </x14:cfRule>
          <xm:sqref>AB22</xm:sqref>
        </x14:conditionalFormatting>
        <x14:conditionalFormatting xmlns:xm="http://schemas.microsoft.com/office/excel/2006/main">
          <x14:cfRule type="dataBar" id="{03A87F84-B560-1F45-9693-3362F9E885E8}">
            <x14:dataBar minLength="0" maxLength="100" border="1" negativeBarBorderColorSameAsPositive="0">
              <x14:cfvo type="autoMin"/>
              <x14:cfvo type="autoMax"/>
              <x14:borderColor rgb="FF638EC6"/>
              <x14:negativeFillColor rgb="FFFF0000"/>
              <x14:negativeBorderColor rgb="FFFF0000"/>
              <x14:axisColor rgb="FF000000"/>
            </x14:dataBar>
          </x14:cfRule>
          <xm:sqref>AC21</xm:sqref>
        </x14:conditionalFormatting>
        <x14:conditionalFormatting xmlns:xm="http://schemas.microsoft.com/office/excel/2006/main">
          <x14:cfRule type="dataBar" id="{46512467-7230-F04F-9E0F-47F69E5D8F92}">
            <x14:dataBar minLength="0" maxLength="100" border="1" negativeBarBorderColorSameAsPositive="0">
              <x14:cfvo type="autoMin"/>
              <x14:cfvo type="autoMax"/>
              <x14:borderColor rgb="FF638EC6"/>
              <x14:negativeFillColor rgb="FFFF0000"/>
              <x14:negativeBorderColor rgb="FFFF0000"/>
              <x14:axisColor rgb="FF000000"/>
            </x14:dataBar>
          </x14:cfRule>
          <xm:sqref>AD20</xm:sqref>
        </x14:conditionalFormatting>
        <x14:conditionalFormatting xmlns:xm="http://schemas.microsoft.com/office/excel/2006/main">
          <x14:cfRule type="dataBar" id="{6B278E37-F3AA-394B-BE2A-388B301E4AF1}">
            <x14:dataBar minLength="0" maxLength="100" border="1" negativeBarBorderColorSameAsPositive="0">
              <x14:cfvo type="autoMin"/>
              <x14:cfvo type="autoMax"/>
              <x14:borderColor rgb="FF638EC6"/>
              <x14:negativeFillColor rgb="FFFF0000"/>
              <x14:negativeBorderColor rgb="FFFF0000"/>
              <x14:axisColor rgb="FF000000"/>
            </x14:dataBar>
          </x14:cfRule>
          <xm:sqref>M39</xm:sqref>
        </x14:conditionalFormatting>
        <x14:conditionalFormatting xmlns:xm="http://schemas.microsoft.com/office/excel/2006/main">
          <x14:cfRule type="dataBar" id="{1014E3D8-14A0-7240-99CD-D71402C2573D}">
            <x14:dataBar minLength="0" maxLength="100" border="1" negativeBarBorderColorSameAsPositive="0">
              <x14:cfvo type="autoMin"/>
              <x14:cfvo type="autoMax"/>
              <x14:borderColor rgb="FF638EC6"/>
              <x14:negativeFillColor rgb="FFFF0000"/>
              <x14:negativeBorderColor rgb="FFFF0000"/>
              <x14:axisColor rgb="FF000000"/>
            </x14:dataBar>
          </x14:cfRule>
          <xm:sqref>N38</xm:sqref>
        </x14:conditionalFormatting>
        <x14:conditionalFormatting xmlns:xm="http://schemas.microsoft.com/office/excel/2006/main">
          <x14:cfRule type="dataBar" id="{1D5DFC20-9A43-D04B-8FF8-EBAF30F9EAE1}">
            <x14:dataBar minLength="0" maxLength="100" border="1" negativeBarBorderColorSameAsPositive="0">
              <x14:cfvo type="autoMin"/>
              <x14:cfvo type="autoMax"/>
              <x14:borderColor rgb="FF638EC6"/>
              <x14:negativeFillColor rgb="FFFF0000"/>
              <x14:negativeBorderColor rgb="FFFF0000"/>
              <x14:axisColor rgb="FF000000"/>
            </x14:dataBar>
          </x14:cfRule>
          <xm:sqref>O37</xm:sqref>
        </x14:conditionalFormatting>
        <x14:conditionalFormatting xmlns:xm="http://schemas.microsoft.com/office/excel/2006/main">
          <x14:cfRule type="dataBar" id="{4F449A24-A84D-DF42-A2F6-7FE1843AC2BD}">
            <x14:dataBar minLength="0" maxLength="100" border="1" negativeBarBorderColorSameAsPositive="0">
              <x14:cfvo type="autoMin"/>
              <x14:cfvo type="autoMax"/>
              <x14:borderColor rgb="FF638EC6"/>
              <x14:negativeFillColor rgb="FFFF0000"/>
              <x14:negativeBorderColor rgb="FFFF0000"/>
              <x14:axisColor rgb="FF000000"/>
            </x14:dataBar>
          </x14:cfRule>
          <xm:sqref>P36</xm:sqref>
        </x14:conditionalFormatting>
        <x14:conditionalFormatting xmlns:xm="http://schemas.microsoft.com/office/excel/2006/main">
          <x14:cfRule type="dataBar" id="{D61FEA22-85D5-9443-BD4D-FAF9F674982E}">
            <x14:dataBar minLength="0" maxLength="100" border="1" negativeBarBorderColorSameAsPositive="0">
              <x14:cfvo type="autoMin"/>
              <x14:cfvo type="autoMax"/>
              <x14:borderColor rgb="FF638EC6"/>
              <x14:negativeFillColor rgb="FFFF0000"/>
              <x14:negativeBorderColor rgb="FFFF0000"/>
              <x14:axisColor rgb="FF000000"/>
            </x14:dataBar>
          </x14:cfRule>
          <xm:sqref>Q35</xm:sqref>
        </x14:conditionalFormatting>
        <x14:conditionalFormatting xmlns:xm="http://schemas.microsoft.com/office/excel/2006/main">
          <x14:cfRule type="dataBar" id="{C682D8F3-C1D1-9B47-81B0-3A64FDF0A93C}">
            <x14:dataBar minLength="0" maxLength="100" border="1" negativeBarBorderColorSameAsPositive="0">
              <x14:cfvo type="autoMin"/>
              <x14:cfvo type="autoMax"/>
              <x14:borderColor rgb="FF638EC6"/>
              <x14:negativeFillColor rgb="FFFF0000"/>
              <x14:negativeBorderColor rgb="FFFF0000"/>
              <x14:axisColor rgb="FF000000"/>
            </x14:dataBar>
          </x14:cfRule>
          <xm:sqref>R34</xm:sqref>
        </x14:conditionalFormatting>
        <x14:conditionalFormatting xmlns:xm="http://schemas.microsoft.com/office/excel/2006/main">
          <x14:cfRule type="dataBar" id="{C4CED8C7-C80B-AF4F-9104-8BE813D41C47}">
            <x14:dataBar minLength="0" maxLength="100" border="1" negativeBarBorderColorSameAsPositive="0">
              <x14:cfvo type="autoMin"/>
              <x14:cfvo type="autoMax"/>
              <x14:borderColor rgb="FF638EC6"/>
              <x14:negativeFillColor rgb="FFFF0000"/>
              <x14:negativeBorderColor rgb="FFFF0000"/>
              <x14:axisColor rgb="FF000000"/>
            </x14:dataBar>
          </x14:cfRule>
          <xm:sqref>S33</xm:sqref>
        </x14:conditionalFormatting>
        <x14:conditionalFormatting xmlns:xm="http://schemas.microsoft.com/office/excel/2006/main">
          <x14:cfRule type="dataBar" id="{8578EF4E-EAAA-6343-8728-1B47A548BF2D}">
            <x14:dataBar minLength="0" maxLength="100" border="1" negativeBarBorderColorSameAsPositive="0">
              <x14:cfvo type="autoMin"/>
              <x14:cfvo type="autoMax"/>
              <x14:borderColor rgb="FF638EC6"/>
              <x14:negativeFillColor rgb="FFFF0000"/>
              <x14:negativeBorderColor rgb="FFFF0000"/>
              <x14:axisColor rgb="FF000000"/>
            </x14:dataBar>
          </x14:cfRule>
          <xm:sqref>T32</xm:sqref>
        </x14:conditionalFormatting>
        <x14:conditionalFormatting xmlns:xm="http://schemas.microsoft.com/office/excel/2006/main">
          <x14:cfRule type="dataBar" id="{B5C756E8-8740-7A44-A072-5EBFE4E5EA00}">
            <x14:dataBar minLength="0" maxLength="100" border="1" negativeBarBorderColorSameAsPositive="0">
              <x14:cfvo type="autoMin"/>
              <x14:cfvo type="autoMax"/>
              <x14:borderColor rgb="FF638EC6"/>
              <x14:negativeFillColor rgb="FFFF0000"/>
              <x14:negativeBorderColor rgb="FFFF0000"/>
              <x14:axisColor rgb="FF000000"/>
            </x14:dataBar>
          </x14:cfRule>
          <xm:sqref>U31</xm:sqref>
        </x14:conditionalFormatting>
        <x14:conditionalFormatting xmlns:xm="http://schemas.microsoft.com/office/excel/2006/main">
          <x14:cfRule type="dataBar" id="{56C5F3F2-DECF-894B-8890-D5AAAEA050F2}">
            <x14:dataBar minLength="0" maxLength="100" border="1" negativeBarBorderColorSameAsPositive="0">
              <x14:cfvo type="autoMin"/>
              <x14:cfvo type="autoMax"/>
              <x14:borderColor rgb="FF638EC6"/>
              <x14:negativeFillColor rgb="FFFF0000"/>
              <x14:negativeBorderColor rgb="FFFF0000"/>
              <x14:axisColor rgb="FF000000"/>
            </x14:dataBar>
          </x14:cfRule>
          <xm:sqref>V30</xm:sqref>
        </x14:conditionalFormatting>
        <x14:conditionalFormatting xmlns:xm="http://schemas.microsoft.com/office/excel/2006/main">
          <x14:cfRule type="dataBar" id="{3C327E3B-E9E3-6641-A74E-D4DEF1C893F4}">
            <x14:dataBar minLength="0" maxLength="100" border="1" negativeBarBorderColorSameAsPositive="0">
              <x14:cfvo type="autoMin"/>
              <x14:cfvo type="autoMax"/>
              <x14:borderColor rgb="FF638EC6"/>
              <x14:negativeFillColor rgb="FFFF0000"/>
              <x14:negativeBorderColor rgb="FFFF0000"/>
              <x14:axisColor rgb="FF000000"/>
            </x14:dataBar>
          </x14:cfRule>
          <xm:sqref>W29</xm:sqref>
        </x14:conditionalFormatting>
        <x14:conditionalFormatting xmlns:xm="http://schemas.microsoft.com/office/excel/2006/main">
          <x14:cfRule type="dataBar" id="{596E2C1C-C8C7-1642-B1E7-751194E94612}">
            <x14:dataBar minLength="0" maxLength="100" border="1" negativeBarBorderColorSameAsPositive="0">
              <x14:cfvo type="autoMin"/>
              <x14:cfvo type="autoMax"/>
              <x14:borderColor rgb="FF638EC6"/>
              <x14:negativeFillColor rgb="FFFF0000"/>
              <x14:negativeBorderColor rgb="FFFF0000"/>
              <x14:axisColor rgb="FF000000"/>
            </x14:dataBar>
          </x14:cfRule>
          <xm:sqref>X28</xm:sqref>
        </x14:conditionalFormatting>
        <x14:conditionalFormatting xmlns:xm="http://schemas.microsoft.com/office/excel/2006/main">
          <x14:cfRule type="dataBar" id="{9A833034-DF17-3E4C-9482-4B94E40E9495}">
            <x14:dataBar minLength="0" maxLength="100" border="1" negativeBarBorderColorSameAsPositive="0">
              <x14:cfvo type="autoMin"/>
              <x14:cfvo type="autoMax"/>
              <x14:borderColor rgb="FF638EC6"/>
              <x14:negativeFillColor rgb="FFFF0000"/>
              <x14:negativeBorderColor rgb="FFFF0000"/>
              <x14:axisColor rgb="FF000000"/>
            </x14:dataBar>
          </x14:cfRule>
          <xm:sqref>Y27</xm:sqref>
        </x14:conditionalFormatting>
        <x14:conditionalFormatting xmlns:xm="http://schemas.microsoft.com/office/excel/2006/main">
          <x14:cfRule type="dataBar" id="{36623010-9270-C744-B5F6-EF8C04AEB266}">
            <x14:dataBar minLength="0" maxLength="100" border="1" negativeBarBorderColorSameAsPositive="0">
              <x14:cfvo type="autoMin"/>
              <x14:cfvo type="autoMax"/>
              <x14:borderColor rgb="FF638EC6"/>
              <x14:negativeFillColor rgb="FFFF0000"/>
              <x14:negativeBorderColor rgb="FFFF0000"/>
              <x14:axisColor rgb="FF000000"/>
            </x14:dataBar>
          </x14:cfRule>
          <xm:sqref>Z26</xm:sqref>
        </x14:conditionalFormatting>
        <x14:conditionalFormatting xmlns:xm="http://schemas.microsoft.com/office/excel/2006/main">
          <x14:cfRule type="dataBar" id="{22A02AE9-58C2-564E-BEB1-8D2D8AF63E86}">
            <x14:dataBar minLength="0" maxLength="100" border="1" negativeBarBorderColorSameAsPositive="0">
              <x14:cfvo type="autoMin"/>
              <x14:cfvo type="autoMax"/>
              <x14:borderColor rgb="FF638EC6"/>
              <x14:negativeFillColor rgb="FFFF0000"/>
              <x14:negativeBorderColor rgb="FFFF0000"/>
              <x14:axisColor rgb="FF000000"/>
            </x14:dataBar>
          </x14:cfRule>
          <xm:sqref>AA25</xm:sqref>
        </x14:conditionalFormatting>
        <x14:conditionalFormatting xmlns:xm="http://schemas.microsoft.com/office/excel/2006/main">
          <x14:cfRule type="dataBar" id="{0FCA8C48-A65E-B648-A9FA-C4EDECF271CE}">
            <x14:dataBar minLength="0" maxLength="100" border="1" negativeBarBorderColorSameAsPositive="0">
              <x14:cfvo type="autoMin"/>
              <x14:cfvo type="autoMax"/>
              <x14:borderColor rgb="FF638EC6"/>
              <x14:negativeFillColor rgb="FFFF0000"/>
              <x14:negativeBorderColor rgb="FFFF0000"/>
              <x14:axisColor rgb="FF000000"/>
            </x14:dataBar>
          </x14:cfRule>
          <xm:sqref>AB24</xm:sqref>
        </x14:conditionalFormatting>
        <x14:conditionalFormatting xmlns:xm="http://schemas.microsoft.com/office/excel/2006/main">
          <x14:cfRule type="dataBar" id="{F7227E4E-3C09-C449-9491-55AABF50CA90}">
            <x14:dataBar minLength="0" maxLength="100" border="1" negativeBarBorderColorSameAsPositive="0">
              <x14:cfvo type="autoMin"/>
              <x14:cfvo type="autoMax"/>
              <x14:borderColor rgb="FF638EC6"/>
              <x14:negativeFillColor rgb="FFFF0000"/>
              <x14:negativeBorderColor rgb="FFFF0000"/>
              <x14:axisColor rgb="FF000000"/>
            </x14:dataBar>
          </x14:cfRule>
          <xm:sqref>AC23</xm:sqref>
        </x14:conditionalFormatting>
        <x14:conditionalFormatting xmlns:xm="http://schemas.microsoft.com/office/excel/2006/main">
          <x14:cfRule type="dataBar" id="{5F38AC60-C825-184B-B4A1-71BBFFD6F5A7}">
            <x14:dataBar minLength="0" maxLength="100" border="1" negativeBarBorderColorSameAsPositive="0">
              <x14:cfvo type="autoMin"/>
              <x14:cfvo type="autoMax"/>
              <x14:borderColor rgb="FF638EC6"/>
              <x14:negativeFillColor rgb="FFFF0000"/>
              <x14:negativeBorderColor rgb="FFFF0000"/>
              <x14:axisColor rgb="FF000000"/>
            </x14:dataBar>
          </x14:cfRule>
          <xm:sqref>AD22</xm:sqref>
        </x14:conditionalFormatting>
        <x14:conditionalFormatting xmlns:xm="http://schemas.microsoft.com/office/excel/2006/main">
          <x14:cfRule type="dataBar" id="{680B5737-1724-7342-8DC5-C97846E867FD}">
            <x14:dataBar minLength="0" maxLength="100" border="1" negativeBarBorderColorSameAsPositive="0">
              <x14:cfvo type="autoMin"/>
              <x14:cfvo type="autoMax"/>
              <x14:borderColor rgb="FF638EC6"/>
              <x14:negativeFillColor rgb="FFFF0000"/>
              <x14:negativeBorderColor rgb="FFFF0000"/>
              <x14:axisColor rgb="FF000000"/>
            </x14:dataBar>
          </x14:cfRule>
          <xm:sqref>M41</xm:sqref>
        </x14:conditionalFormatting>
        <x14:conditionalFormatting xmlns:xm="http://schemas.microsoft.com/office/excel/2006/main">
          <x14:cfRule type="dataBar" id="{11499AF4-8071-B044-A85C-D3162BC780F1}">
            <x14:dataBar minLength="0" maxLength="100" border="1" negativeBarBorderColorSameAsPositive="0">
              <x14:cfvo type="autoMin"/>
              <x14:cfvo type="autoMax"/>
              <x14:borderColor rgb="FF638EC6"/>
              <x14:negativeFillColor rgb="FFFF0000"/>
              <x14:negativeBorderColor rgb="FFFF0000"/>
              <x14:axisColor rgb="FF000000"/>
            </x14:dataBar>
          </x14:cfRule>
          <xm:sqref>N40</xm:sqref>
        </x14:conditionalFormatting>
        <x14:conditionalFormatting xmlns:xm="http://schemas.microsoft.com/office/excel/2006/main">
          <x14:cfRule type="dataBar" id="{10BB7D48-0F19-1341-9702-61DC01D7CC29}">
            <x14:dataBar minLength="0" maxLength="100" border="1" negativeBarBorderColorSameAsPositive="0">
              <x14:cfvo type="autoMin"/>
              <x14:cfvo type="autoMax"/>
              <x14:borderColor rgb="FF638EC6"/>
              <x14:negativeFillColor rgb="FFFF0000"/>
              <x14:negativeBorderColor rgb="FFFF0000"/>
              <x14:axisColor rgb="FF000000"/>
            </x14:dataBar>
          </x14:cfRule>
          <xm:sqref>O39</xm:sqref>
        </x14:conditionalFormatting>
        <x14:conditionalFormatting xmlns:xm="http://schemas.microsoft.com/office/excel/2006/main">
          <x14:cfRule type="dataBar" id="{E59DB663-B63D-1B41-A96F-EC2DA7075840}">
            <x14:dataBar minLength="0" maxLength="100" border="1" negativeBarBorderColorSameAsPositive="0">
              <x14:cfvo type="autoMin"/>
              <x14:cfvo type="autoMax"/>
              <x14:borderColor rgb="FF638EC6"/>
              <x14:negativeFillColor rgb="FFFF0000"/>
              <x14:negativeBorderColor rgb="FFFF0000"/>
              <x14:axisColor rgb="FF000000"/>
            </x14:dataBar>
          </x14:cfRule>
          <xm:sqref>P38</xm:sqref>
        </x14:conditionalFormatting>
        <x14:conditionalFormatting xmlns:xm="http://schemas.microsoft.com/office/excel/2006/main">
          <x14:cfRule type="dataBar" id="{C938F74E-81AE-6344-8E7E-52B2F7458DE3}">
            <x14:dataBar minLength="0" maxLength="100" border="1" negativeBarBorderColorSameAsPositive="0">
              <x14:cfvo type="autoMin"/>
              <x14:cfvo type="autoMax"/>
              <x14:borderColor rgb="FF638EC6"/>
              <x14:negativeFillColor rgb="FFFF0000"/>
              <x14:negativeBorderColor rgb="FFFF0000"/>
              <x14:axisColor rgb="FF000000"/>
            </x14:dataBar>
          </x14:cfRule>
          <xm:sqref>Q37</xm:sqref>
        </x14:conditionalFormatting>
        <x14:conditionalFormatting xmlns:xm="http://schemas.microsoft.com/office/excel/2006/main">
          <x14:cfRule type="dataBar" id="{8686286E-47DC-124E-B562-EA9573BD09F3}">
            <x14:dataBar minLength="0" maxLength="100" border="1" negativeBarBorderColorSameAsPositive="0">
              <x14:cfvo type="autoMin"/>
              <x14:cfvo type="autoMax"/>
              <x14:borderColor rgb="FF638EC6"/>
              <x14:negativeFillColor rgb="FFFF0000"/>
              <x14:negativeBorderColor rgb="FFFF0000"/>
              <x14:axisColor rgb="FF000000"/>
            </x14:dataBar>
          </x14:cfRule>
          <xm:sqref>R36</xm:sqref>
        </x14:conditionalFormatting>
        <x14:conditionalFormatting xmlns:xm="http://schemas.microsoft.com/office/excel/2006/main">
          <x14:cfRule type="dataBar" id="{8A72F7C0-6239-934A-8C66-E43AC467CD59}">
            <x14:dataBar minLength="0" maxLength="100" border="1" negativeBarBorderColorSameAsPositive="0">
              <x14:cfvo type="autoMin"/>
              <x14:cfvo type="autoMax"/>
              <x14:borderColor rgb="FF638EC6"/>
              <x14:negativeFillColor rgb="FFFF0000"/>
              <x14:negativeBorderColor rgb="FFFF0000"/>
              <x14:axisColor rgb="FF000000"/>
            </x14:dataBar>
          </x14:cfRule>
          <xm:sqref>S35</xm:sqref>
        </x14:conditionalFormatting>
        <x14:conditionalFormatting xmlns:xm="http://schemas.microsoft.com/office/excel/2006/main">
          <x14:cfRule type="dataBar" id="{7A894689-699F-DC4E-B62B-F0C2C35848BA}">
            <x14:dataBar minLength="0" maxLength="100" border="1" negativeBarBorderColorSameAsPositive="0">
              <x14:cfvo type="autoMin"/>
              <x14:cfvo type="autoMax"/>
              <x14:borderColor rgb="FF638EC6"/>
              <x14:negativeFillColor rgb="FFFF0000"/>
              <x14:negativeBorderColor rgb="FFFF0000"/>
              <x14:axisColor rgb="FF000000"/>
            </x14:dataBar>
          </x14:cfRule>
          <xm:sqref>T34</xm:sqref>
        </x14:conditionalFormatting>
        <x14:conditionalFormatting xmlns:xm="http://schemas.microsoft.com/office/excel/2006/main">
          <x14:cfRule type="dataBar" id="{135145C0-9208-4F4C-9C18-6A8FAFB17C92}">
            <x14:dataBar minLength="0" maxLength="100" border="1" negativeBarBorderColorSameAsPositive="0">
              <x14:cfvo type="autoMin"/>
              <x14:cfvo type="autoMax"/>
              <x14:borderColor rgb="FF638EC6"/>
              <x14:negativeFillColor rgb="FFFF0000"/>
              <x14:negativeBorderColor rgb="FFFF0000"/>
              <x14:axisColor rgb="FF000000"/>
            </x14:dataBar>
          </x14:cfRule>
          <xm:sqref>U33</xm:sqref>
        </x14:conditionalFormatting>
        <x14:conditionalFormatting xmlns:xm="http://schemas.microsoft.com/office/excel/2006/main">
          <x14:cfRule type="dataBar" id="{535723A9-0AC4-9743-8C2A-78AD359DCFB0}">
            <x14:dataBar minLength="0" maxLength="100" border="1" negativeBarBorderColorSameAsPositive="0">
              <x14:cfvo type="autoMin"/>
              <x14:cfvo type="autoMax"/>
              <x14:borderColor rgb="FF638EC6"/>
              <x14:negativeFillColor rgb="FFFF0000"/>
              <x14:negativeBorderColor rgb="FFFF0000"/>
              <x14:axisColor rgb="FF000000"/>
            </x14:dataBar>
          </x14:cfRule>
          <xm:sqref>V32</xm:sqref>
        </x14:conditionalFormatting>
        <x14:conditionalFormatting xmlns:xm="http://schemas.microsoft.com/office/excel/2006/main">
          <x14:cfRule type="dataBar" id="{01D2B7C1-27D9-8B41-92E9-3BE573935E6C}">
            <x14:dataBar minLength="0" maxLength="100" border="1" negativeBarBorderColorSameAsPositive="0">
              <x14:cfvo type="autoMin"/>
              <x14:cfvo type="autoMax"/>
              <x14:borderColor rgb="FF638EC6"/>
              <x14:negativeFillColor rgb="FFFF0000"/>
              <x14:negativeBorderColor rgb="FFFF0000"/>
              <x14:axisColor rgb="FF000000"/>
            </x14:dataBar>
          </x14:cfRule>
          <xm:sqref>W31</xm:sqref>
        </x14:conditionalFormatting>
        <x14:conditionalFormatting xmlns:xm="http://schemas.microsoft.com/office/excel/2006/main">
          <x14:cfRule type="dataBar" id="{511C5282-E517-FB46-BE3B-B78D77BDF37B}">
            <x14:dataBar minLength="0" maxLength="100" border="1" negativeBarBorderColorSameAsPositive="0">
              <x14:cfvo type="autoMin"/>
              <x14:cfvo type="autoMax"/>
              <x14:borderColor rgb="FF638EC6"/>
              <x14:negativeFillColor rgb="FFFF0000"/>
              <x14:negativeBorderColor rgb="FFFF0000"/>
              <x14:axisColor rgb="FF000000"/>
            </x14:dataBar>
          </x14:cfRule>
          <xm:sqref>X30</xm:sqref>
        </x14:conditionalFormatting>
        <x14:conditionalFormatting xmlns:xm="http://schemas.microsoft.com/office/excel/2006/main">
          <x14:cfRule type="dataBar" id="{1ED09BB9-D772-5544-8791-400C25544A0B}">
            <x14:dataBar minLength="0" maxLength="100" border="1" negativeBarBorderColorSameAsPositive="0">
              <x14:cfvo type="autoMin"/>
              <x14:cfvo type="autoMax"/>
              <x14:borderColor rgb="FF638EC6"/>
              <x14:negativeFillColor rgb="FFFF0000"/>
              <x14:negativeBorderColor rgb="FFFF0000"/>
              <x14:axisColor rgb="FF000000"/>
            </x14:dataBar>
          </x14:cfRule>
          <xm:sqref>Y29</xm:sqref>
        </x14:conditionalFormatting>
        <x14:conditionalFormatting xmlns:xm="http://schemas.microsoft.com/office/excel/2006/main">
          <x14:cfRule type="dataBar" id="{D7453C48-4926-2B43-8CED-D8B8B1BC3D0B}">
            <x14:dataBar minLength="0" maxLength="100" border="1" negativeBarBorderColorSameAsPositive="0">
              <x14:cfvo type="autoMin"/>
              <x14:cfvo type="autoMax"/>
              <x14:borderColor rgb="FF638EC6"/>
              <x14:negativeFillColor rgb="FFFF0000"/>
              <x14:negativeBorderColor rgb="FFFF0000"/>
              <x14:axisColor rgb="FF000000"/>
            </x14:dataBar>
          </x14:cfRule>
          <xm:sqref>Z28</xm:sqref>
        </x14:conditionalFormatting>
        <x14:conditionalFormatting xmlns:xm="http://schemas.microsoft.com/office/excel/2006/main">
          <x14:cfRule type="dataBar" id="{A08A1FC5-2413-6C4E-B92E-9E8C9E416742}">
            <x14:dataBar minLength="0" maxLength="100" border="1" negativeBarBorderColorSameAsPositive="0">
              <x14:cfvo type="autoMin"/>
              <x14:cfvo type="autoMax"/>
              <x14:borderColor rgb="FF638EC6"/>
              <x14:negativeFillColor rgb="FFFF0000"/>
              <x14:negativeBorderColor rgb="FFFF0000"/>
              <x14:axisColor rgb="FF000000"/>
            </x14:dataBar>
          </x14:cfRule>
          <xm:sqref>AA27</xm:sqref>
        </x14:conditionalFormatting>
        <x14:conditionalFormatting xmlns:xm="http://schemas.microsoft.com/office/excel/2006/main">
          <x14:cfRule type="dataBar" id="{FE98DFB9-BEFC-BB4D-B07E-4791657A5844}">
            <x14:dataBar minLength="0" maxLength="100" border="1" negativeBarBorderColorSameAsPositive="0">
              <x14:cfvo type="autoMin"/>
              <x14:cfvo type="autoMax"/>
              <x14:borderColor rgb="FF638EC6"/>
              <x14:negativeFillColor rgb="FFFF0000"/>
              <x14:negativeBorderColor rgb="FFFF0000"/>
              <x14:axisColor rgb="FF000000"/>
            </x14:dataBar>
          </x14:cfRule>
          <xm:sqref>AB26</xm:sqref>
        </x14:conditionalFormatting>
        <x14:conditionalFormatting xmlns:xm="http://schemas.microsoft.com/office/excel/2006/main">
          <x14:cfRule type="dataBar" id="{EBCE53B6-62CE-FD44-A0A7-F35B405583D3}">
            <x14:dataBar minLength="0" maxLength="100" border="1" negativeBarBorderColorSameAsPositive="0">
              <x14:cfvo type="autoMin"/>
              <x14:cfvo type="autoMax"/>
              <x14:borderColor rgb="FF638EC6"/>
              <x14:negativeFillColor rgb="FFFF0000"/>
              <x14:negativeBorderColor rgb="FFFF0000"/>
              <x14:axisColor rgb="FF000000"/>
            </x14:dataBar>
          </x14:cfRule>
          <xm:sqref>AC25</xm:sqref>
        </x14:conditionalFormatting>
        <x14:conditionalFormatting xmlns:xm="http://schemas.microsoft.com/office/excel/2006/main">
          <x14:cfRule type="dataBar" id="{4E7A30EE-3D8C-3341-A369-90B1A9EEA00C}">
            <x14:dataBar minLength="0" maxLength="100" border="1" negativeBarBorderColorSameAsPositive="0">
              <x14:cfvo type="autoMin"/>
              <x14:cfvo type="autoMax"/>
              <x14:borderColor rgb="FF638EC6"/>
              <x14:negativeFillColor rgb="FFFF0000"/>
              <x14:negativeBorderColor rgb="FFFF0000"/>
              <x14:axisColor rgb="FF000000"/>
            </x14:dataBar>
          </x14:cfRule>
          <xm:sqref>AD24</xm:sqref>
        </x14:conditionalFormatting>
        <x14:conditionalFormatting xmlns:xm="http://schemas.microsoft.com/office/excel/2006/main">
          <x14:cfRule type="dataBar" id="{3B461912-B900-0A4E-A842-C9E6111A5F2D}">
            <x14:dataBar minLength="0" maxLength="100" border="1" negativeBarBorderColorSameAsPositive="0">
              <x14:cfvo type="autoMin"/>
              <x14:cfvo type="autoMax"/>
              <x14:borderColor rgb="FF638EC6"/>
              <x14:negativeFillColor rgb="FFFF0000"/>
              <x14:negativeBorderColor rgb="FFFF0000"/>
              <x14:axisColor rgb="FF000000"/>
            </x14:dataBar>
          </x14:cfRule>
          <xm:sqref>M43</xm:sqref>
        </x14:conditionalFormatting>
        <x14:conditionalFormatting xmlns:xm="http://schemas.microsoft.com/office/excel/2006/main">
          <x14:cfRule type="dataBar" id="{1C541079-4A27-274F-8936-DD698C3B4C10}">
            <x14:dataBar minLength="0" maxLength="100" border="1" negativeBarBorderColorSameAsPositive="0">
              <x14:cfvo type="autoMin"/>
              <x14:cfvo type="autoMax"/>
              <x14:borderColor rgb="FF638EC6"/>
              <x14:negativeFillColor rgb="FFFF0000"/>
              <x14:negativeBorderColor rgb="FFFF0000"/>
              <x14:axisColor rgb="FF000000"/>
            </x14:dataBar>
          </x14:cfRule>
          <xm:sqref>N42</xm:sqref>
        </x14:conditionalFormatting>
        <x14:conditionalFormatting xmlns:xm="http://schemas.microsoft.com/office/excel/2006/main">
          <x14:cfRule type="dataBar" id="{C65BE452-3D7C-F748-8043-35EE1533B596}">
            <x14:dataBar minLength="0" maxLength="100" border="1" negativeBarBorderColorSameAsPositive="0">
              <x14:cfvo type="autoMin"/>
              <x14:cfvo type="autoMax"/>
              <x14:borderColor rgb="FF638EC6"/>
              <x14:negativeFillColor rgb="FFFF0000"/>
              <x14:negativeBorderColor rgb="FFFF0000"/>
              <x14:axisColor rgb="FF000000"/>
            </x14:dataBar>
          </x14:cfRule>
          <xm:sqref>O41</xm:sqref>
        </x14:conditionalFormatting>
        <x14:conditionalFormatting xmlns:xm="http://schemas.microsoft.com/office/excel/2006/main">
          <x14:cfRule type="dataBar" id="{35145D6C-6728-FC45-883A-D61FDFF1D71F}">
            <x14:dataBar minLength="0" maxLength="100" border="1" negativeBarBorderColorSameAsPositive="0">
              <x14:cfvo type="autoMin"/>
              <x14:cfvo type="autoMax"/>
              <x14:borderColor rgb="FF638EC6"/>
              <x14:negativeFillColor rgb="FFFF0000"/>
              <x14:negativeBorderColor rgb="FFFF0000"/>
              <x14:axisColor rgb="FF000000"/>
            </x14:dataBar>
          </x14:cfRule>
          <xm:sqref>P40</xm:sqref>
        </x14:conditionalFormatting>
        <x14:conditionalFormatting xmlns:xm="http://schemas.microsoft.com/office/excel/2006/main">
          <x14:cfRule type="dataBar" id="{473E33D5-567C-964B-AF6A-63C3E4DE125A}">
            <x14:dataBar minLength="0" maxLength="100" border="1" negativeBarBorderColorSameAsPositive="0">
              <x14:cfvo type="autoMin"/>
              <x14:cfvo type="autoMax"/>
              <x14:borderColor rgb="FF638EC6"/>
              <x14:negativeFillColor rgb="FFFF0000"/>
              <x14:negativeBorderColor rgb="FFFF0000"/>
              <x14:axisColor rgb="FF000000"/>
            </x14:dataBar>
          </x14:cfRule>
          <xm:sqref>Q39</xm:sqref>
        </x14:conditionalFormatting>
        <x14:conditionalFormatting xmlns:xm="http://schemas.microsoft.com/office/excel/2006/main">
          <x14:cfRule type="dataBar" id="{80A0121F-FCB7-B242-B27C-491A3668C269}">
            <x14:dataBar minLength="0" maxLength="100" border="1" negativeBarBorderColorSameAsPositive="0">
              <x14:cfvo type="autoMin"/>
              <x14:cfvo type="autoMax"/>
              <x14:borderColor rgb="FF638EC6"/>
              <x14:negativeFillColor rgb="FFFF0000"/>
              <x14:negativeBorderColor rgb="FFFF0000"/>
              <x14:axisColor rgb="FF000000"/>
            </x14:dataBar>
          </x14:cfRule>
          <xm:sqref>R38</xm:sqref>
        </x14:conditionalFormatting>
        <x14:conditionalFormatting xmlns:xm="http://schemas.microsoft.com/office/excel/2006/main">
          <x14:cfRule type="dataBar" id="{CA08E8C9-4129-A343-BF72-A9C95AC2D8A9}">
            <x14:dataBar minLength="0" maxLength="100" border="1" negativeBarBorderColorSameAsPositive="0">
              <x14:cfvo type="autoMin"/>
              <x14:cfvo type="autoMax"/>
              <x14:borderColor rgb="FF638EC6"/>
              <x14:negativeFillColor rgb="FFFF0000"/>
              <x14:negativeBorderColor rgb="FFFF0000"/>
              <x14:axisColor rgb="FF000000"/>
            </x14:dataBar>
          </x14:cfRule>
          <xm:sqref>S37</xm:sqref>
        </x14:conditionalFormatting>
        <x14:conditionalFormatting xmlns:xm="http://schemas.microsoft.com/office/excel/2006/main">
          <x14:cfRule type="dataBar" id="{9EC66955-708F-9347-91D8-C0340AF1DCA5}">
            <x14:dataBar minLength="0" maxLength="100" border="1" negativeBarBorderColorSameAsPositive="0">
              <x14:cfvo type="autoMin"/>
              <x14:cfvo type="autoMax"/>
              <x14:borderColor rgb="FF638EC6"/>
              <x14:negativeFillColor rgb="FFFF0000"/>
              <x14:negativeBorderColor rgb="FFFF0000"/>
              <x14:axisColor rgb="FF000000"/>
            </x14:dataBar>
          </x14:cfRule>
          <xm:sqref>T36</xm:sqref>
        </x14:conditionalFormatting>
        <x14:conditionalFormatting xmlns:xm="http://schemas.microsoft.com/office/excel/2006/main">
          <x14:cfRule type="dataBar" id="{4B4FB426-65F9-F643-851C-981A33D7C4F4}">
            <x14:dataBar minLength="0" maxLength="100" border="1" negativeBarBorderColorSameAsPositive="0">
              <x14:cfvo type="autoMin"/>
              <x14:cfvo type="autoMax"/>
              <x14:borderColor rgb="FF638EC6"/>
              <x14:negativeFillColor rgb="FFFF0000"/>
              <x14:negativeBorderColor rgb="FFFF0000"/>
              <x14:axisColor rgb="FF000000"/>
            </x14:dataBar>
          </x14:cfRule>
          <xm:sqref>U35</xm:sqref>
        </x14:conditionalFormatting>
        <x14:conditionalFormatting xmlns:xm="http://schemas.microsoft.com/office/excel/2006/main">
          <x14:cfRule type="dataBar" id="{88078357-7744-0F41-9D42-9545B5C19E26}">
            <x14:dataBar minLength="0" maxLength="100" border="1" negativeBarBorderColorSameAsPositive="0">
              <x14:cfvo type="autoMin"/>
              <x14:cfvo type="autoMax"/>
              <x14:borderColor rgb="FF638EC6"/>
              <x14:negativeFillColor rgb="FFFF0000"/>
              <x14:negativeBorderColor rgb="FFFF0000"/>
              <x14:axisColor rgb="FF000000"/>
            </x14:dataBar>
          </x14:cfRule>
          <xm:sqref>V34</xm:sqref>
        </x14:conditionalFormatting>
        <x14:conditionalFormatting xmlns:xm="http://schemas.microsoft.com/office/excel/2006/main">
          <x14:cfRule type="dataBar" id="{15AC4EF2-523F-5048-94DE-B0C90509BC39}">
            <x14:dataBar minLength="0" maxLength="100" border="1" negativeBarBorderColorSameAsPositive="0">
              <x14:cfvo type="autoMin"/>
              <x14:cfvo type="autoMax"/>
              <x14:borderColor rgb="FF638EC6"/>
              <x14:negativeFillColor rgb="FFFF0000"/>
              <x14:negativeBorderColor rgb="FFFF0000"/>
              <x14:axisColor rgb="FF000000"/>
            </x14:dataBar>
          </x14:cfRule>
          <xm:sqref>W33</xm:sqref>
        </x14:conditionalFormatting>
        <x14:conditionalFormatting xmlns:xm="http://schemas.microsoft.com/office/excel/2006/main">
          <x14:cfRule type="dataBar" id="{4E8C0C94-DFA7-9B42-B8BD-7023A97CD8FE}">
            <x14:dataBar minLength="0" maxLength="100" border="1" negativeBarBorderColorSameAsPositive="0">
              <x14:cfvo type="autoMin"/>
              <x14:cfvo type="autoMax"/>
              <x14:borderColor rgb="FF638EC6"/>
              <x14:negativeFillColor rgb="FFFF0000"/>
              <x14:negativeBorderColor rgb="FFFF0000"/>
              <x14:axisColor rgb="FF000000"/>
            </x14:dataBar>
          </x14:cfRule>
          <xm:sqref>X32</xm:sqref>
        </x14:conditionalFormatting>
        <x14:conditionalFormatting xmlns:xm="http://schemas.microsoft.com/office/excel/2006/main">
          <x14:cfRule type="dataBar" id="{F7DEAF43-F474-854A-9E43-D37D76490264}">
            <x14:dataBar minLength="0" maxLength="100" border="1" negativeBarBorderColorSameAsPositive="0">
              <x14:cfvo type="autoMin"/>
              <x14:cfvo type="autoMax"/>
              <x14:borderColor rgb="FF638EC6"/>
              <x14:negativeFillColor rgb="FFFF0000"/>
              <x14:negativeBorderColor rgb="FFFF0000"/>
              <x14:axisColor rgb="FF000000"/>
            </x14:dataBar>
          </x14:cfRule>
          <xm:sqref>Y31</xm:sqref>
        </x14:conditionalFormatting>
        <x14:conditionalFormatting xmlns:xm="http://schemas.microsoft.com/office/excel/2006/main">
          <x14:cfRule type="dataBar" id="{59195F72-4F0B-6648-B794-FB73AA9267DA}">
            <x14:dataBar minLength="0" maxLength="100" border="1" negativeBarBorderColorSameAsPositive="0">
              <x14:cfvo type="autoMin"/>
              <x14:cfvo type="autoMax"/>
              <x14:borderColor rgb="FF638EC6"/>
              <x14:negativeFillColor rgb="FFFF0000"/>
              <x14:negativeBorderColor rgb="FFFF0000"/>
              <x14:axisColor rgb="FF000000"/>
            </x14:dataBar>
          </x14:cfRule>
          <xm:sqref>Z30</xm:sqref>
        </x14:conditionalFormatting>
        <x14:conditionalFormatting xmlns:xm="http://schemas.microsoft.com/office/excel/2006/main">
          <x14:cfRule type="dataBar" id="{D89AA9B7-FD9A-2C49-81B9-947DF8894B3A}">
            <x14:dataBar minLength="0" maxLength="100" border="1" negativeBarBorderColorSameAsPositive="0">
              <x14:cfvo type="autoMin"/>
              <x14:cfvo type="autoMax"/>
              <x14:borderColor rgb="FF638EC6"/>
              <x14:negativeFillColor rgb="FFFF0000"/>
              <x14:negativeBorderColor rgb="FFFF0000"/>
              <x14:axisColor rgb="FF000000"/>
            </x14:dataBar>
          </x14:cfRule>
          <xm:sqref>AA29</xm:sqref>
        </x14:conditionalFormatting>
        <x14:conditionalFormatting xmlns:xm="http://schemas.microsoft.com/office/excel/2006/main">
          <x14:cfRule type="dataBar" id="{6380EDC7-F3F4-1F48-80E2-5A35E58841D5}">
            <x14:dataBar minLength="0" maxLength="100" border="1" negativeBarBorderColorSameAsPositive="0">
              <x14:cfvo type="autoMin"/>
              <x14:cfvo type="autoMax"/>
              <x14:borderColor rgb="FF638EC6"/>
              <x14:negativeFillColor rgb="FFFF0000"/>
              <x14:negativeBorderColor rgb="FFFF0000"/>
              <x14:axisColor rgb="FF000000"/>
            </x14:dataBar>
          </x14:cfRule>
          <xm:sqref>AB28</xm:sqref>
        </x14:conditionalFormatting>
        <x14:conditionalFormatting xmlns:xm="http://schemas.microsoft.com/office/excel/2006/main">
          <x14:cfRule type="dataBar" id="{B6218F7D-BABE-9249-9F76-4994A48A0C82}">
            <x14:dataBar minLength="0" maxLength="100" border="1" negativeBarBorderColorSameAsPositive="0">
              <x14:cfvo type="autoMin"/>
              <x14:cfvo type="autoMax"/>
              <x14:borderColor rgb="FF638EC6"/>
              <x14:negativeFillColor rgb="FFFF0000"/>
              <x14:negativeBorderColor rgb="FFFF0000"/>
              <x14:axisColor rgb="FF000000"/>
            </x14:dataBar>
          </x14:cfRule>
          <xm:sqref>AC27</xm:sqref>
        </x14:conditionalFormatting>
        <x14:conditionalFormatting xmlns:xm="http://schemas.microsoft.com/office/excel/2006/main">
          <x14:cfRule type="dataBar" id="{CB83CF43-4F75-A646-875E-29BBC19973F0}">
            <x14:dataBar minLength="0" maxLength="100" border="1" negativeBarBorderColorSameAsPositive="0">
              <x14:cfvo type="autoMin"/>
              <x14:cfvo type="autoMax"/>
              <x14:borderColor rgb="FF638EC6"/>
              <x14:negativeFillColor rgb="FFFF0000"/>
              <x14:negativeBorderColor rgb="FFFF0000"/>
              <x14:axisColor rgb="FF000000"/>
            </x14:dataBar>
          </x14:cfRule>
          <xm:sqref>AD26</xm:sqref>
        </x14:conditionalFormatting>
        <x14:conditionalFormatting xmlns:xm="http://schemas.microsoft.com/office/excel/2006/main">
          <x14:cfRule type="dataBar" id="{0FE4C404-CF92-FC4D-A660-B5BCB2831566}">
            <x14:dataBar minLength="0" maxLength="100" border="1" negativeBarBorderColorSameAsPositive="0">
              <x14:cfvo type="autoMin"/>
              <x14:cfvo type="autoMax"/>
              <x14:borderColor rgb="FF638EC6"/>
              <x14:negativeFillColor rgb="FFFF0000"/>
              <x14:negativeBorderColor rgb="FFFF0000"/>
              <x14:axisColor rgb="FF000000"/>
            </x14:dataBar>
          </x14:cfRule>
          <xm:sqref>M45</xm:sqref>
        </x14:conditionalFormatting>
        <x14:conditionalFormatting xmlns:xm="http://schemas.microsoft.com/office/excel/2006/main">
          <x14:cfRule type="dataBar" id="{C482EA02-D78B-8C4D-94E3-762154F194E6}">
            <x14:dataBar minLength="0" maxLength="100" border="1" negativeBarBorderColorSameAsPositive="0">
              <x14:cfvo type="autoMin"/>
              <x14:cfvo type="autoMax"/>
              <x14:borderColor rgb="FF638EC6"/>
              <x14:negativeFillColor rgb="FFFF0000"/>
              <x14:negativeBorderColor rgb="FFFF0000"/>
              <x14:axisColor rgb="FF000000"/>
            </x14:dataBar>
          </x14:cfRule>
          <xm:sqref>N44</xm:sqref>
        </x14:conditionalFormatting>
        <x14:conditionalFormatting xmlns:xm="http://schemas.microsoft.com/office/excel/2006/main">
          <x14:cfRule type="dataBar" id="{39FAAE4E-077A-C545-A196-A6E281DDAA9C}">
            <x14:dataBar minLength="0" maxLength="100" border="1" negativeBarBorderColorSameAsPositive="0">
              <x14:cfvo type="autoMin"/>
              <x14:cfvo type="autoMax"/>
              <x14:borderColor rgb="FF638EC6"/>
              <x14:negativeFillColor rgb="FFFF0000"/>
              <x14:negativeBorderColor rgb="FFFF0000"/>
              <x14:axisColor rgb="FF000000"/>
            </x14:dataBar>
          </x14:cfRule>
          <xm:sqref>O43</xm:sqref>
        </x14:conditionalFormatting>
        <x14:conditionalFormatting xmlns:xm="http://schemas.microsoft.com/office/excel/2006/main">
          <x14:cfRule type="dataBar" id="{24C74DDB-51F1-C94F-9E90-FC1517F4267B}">
            <x14:dataBar minLength="0" maxLength="100" border="1" negativeBarBorderColorSameAsPositive="0">
              <x14:cfvo type="autoMin"/>
              <x14:cfvo type="autoMax"/>
              <x14:borderColor rgb="FF638EC6"/>
              <x14:negativeFillColor rgb="FFFF0000"/>
              <x14:negativeBorderColor rgb="FFFF0000"/>
              <x14:axisColor rgb="FF000000"/>
            </x14:dataBar>
          </x14:cfRule>
          <xm:sqref>P42</xm:sqref>
        </x14:conditionalFormatting>
        <x14:conditionalFormatting xmlns:xm="http://schemas.microsoft.com/office/excel/2006/main">
          <x14:cfRule type="dataBar" id="{25C1C829-FFE5-404F-807E-1C7895D85678}">
            <x14:dataBar minLength="0" maxLength="100" border="1" negativeBarBorderColorSameAsPositive="0">
              <x14:cfvo type="autoMin"/>
              <x14:cfvo type="autoMax"/>
              <x14:borderColor rgb="FF638EC6"/>
              <x14:negativeFillColor rgb="FFFF0000"/>
              <x14:negativeBorderColor rgb="FFFF0000"/>
              <x14:axisColor rgb="FF000000"/>
            </x14:dataBar>
          </x14:cfRule>
          <xm:sqref>Q41</xm:sqref>
        </x14:conditionalFormatting>
        <x14:conditionalFormatting xmlns:xm="http://schemas.microsoft.com/office/excel/2006/main">
          <x14:cfRule type="dataBar" id="{9C5DD2C6-9672-1847-B067-B4AA0664EAF7}">
            <x14:dataBar minLength="0" maxLength="100" border="1" negativeBarBorderColorSameAsPositive="0">
              <x14:cfvo type="autoMin"/>
              <x14:cfvo type="autoMax"/>
              <x14:borderColor rgb="FF638EC6"/>
              <x14:negativeFillColor rgb="FFFF0000"/>
              <x14:negativeBorderColor rgb="FFFF0000"/>
              <x14:axisColor rgb="FF000000"/>
            </x14:dataBar>
          </x14:cfRule>
          <xm:sqref>R40</xm:sqref>
        </x14:conditionalFormatting>
        <x14:conditionalFormatting xmlns:xm="http://schemas.microsoft.com/office/excel/2006/main">
          <x14:cfRule type="dataBar" id="{C5793F9E-4D42-B148-A646-631F2AEF3D88}">
            <x14:dataBar minLength="0" maxLength="100" border="1" negativeBarBorderColorSameAsPositive="0">
              <x14:cfvo type="autoMin"/>
              <x14:cfvo type="autoMax"/>
              <x14:borderColor rgb="FF638EC6"/>
              <x14:negativeFillColor rgb="FFFF0000"/>
              <x14:negativeBorderColor rgb="FFFF0000"/>
              <x14:axisColor rgb="FF000000"/>
            </x14:dataBar>
          </x14:cfRule>
          <xm:sqref>S39</xm:sqref>
        </x14:conditionalFormatting>
        <x14:conditionalFormatting xmlns:xm="http://schemas.microsoft.com/office/excel/2006/main">
          <x14:cfRule type="dataBar" id="{1667F0B8-A882-904B-832B-60804E24DF6E}">
            <x14:dataBar minLength="0" maxLength="100" border="1" negativeBarBorderColorSameAsPositive="0">
              <x14:cfvo type="autoMin"/>
              <x14:cfvo type="autoMax"/>
              <x14:borderColor rgb="FF638EC6"/>
              <x14:negativeFillColor rgb="FFFF0000"/>
              <x14:negativeBorderColor rgb="FFFF0000"/>
              <x14:axisColor rgb="FF000000"/>
            </x14:dataBar>
          </x14:cfRule>
          <xm:sqref>T38</xm:sqref>
        </x14:conditionalFormatting>
        <x14:conditionalFormatting xmlns:xm="http://schemas.microsoft.com/office/excel/2006/main">
          <x14:cfRule type="dataBar" id="{21A58A2D-728C-954D-B40A-5FF7E126C0B0}">
            <x14:dataBar minLength="0" maxLength="100" border="1" negativeBarBorderColorSameAsPositive="0">
              <x14:cfvo type="autoMin"/>
              <x14:cfvo type="autoMax"/>
              <x14:borderColor rgb="FF638EC6"/>
              <x14:negativeFillColor rgb="FFFF0000"/>
              <x14:negativeBorderColor rgb="FFFF0000"/>
              <x14:axisColor rgb="FF000000"/>
            </x14:dataBar>
          </x14:cfRule>
          <xm:sqref>U37</xm:sqref>
        </x14:conditionalFormatting>
        <x14:conditionalFormatting xmlns:xm="http://schemas.microsoft.com/office/excel/2006/main">
          <x14:cfRule type="dataBar" id="{F9BEB026-3FD6-4044-BB4B-D5FBE32194E6}">
            <x14:dataBar minLength="0" maxLength="100" border="1" negativeBarBorderColorSameAsPositive="0">
              <x14:cfvo type="autoMin"/>
              <x14:cfvo type="autoMax"/>
              <x14:borderColor rgb="FF638EC6"/>
              <x14:negativeFillColor rgb="FFFF0000"/>
              <x14:negativeBorderColor rgb="FFFF0000"/>
              <x14:axisColor rgb="FF000000"/>
            </x14:dataBar>
          </x14:cfRule>
          <xm:sqref>V36</xm:sqref>
        </x14:conditionalFormatting>
        <x14:conditionalFormatting xmlns:xm="http://schemas.microsoft.com/office/excel/2006/main">
          <x14:cfRule type="dataBar" id="{77D45E23-30D5-2745-9124-6A6521253BF6}">
            <x14:dataBar minLength="0" maxLength="100" border="1" negativeBarBorderColorSameAsPositive="0">
              <x14:cfvo type="autoMin"/>
              <x14:cfvo type="autoMax"/>
              <x14:borderColor rgb="FF638EC6"/>
              <x14:negativeFillColor rgb="FFFF0000"/>
              <x14:negativeBorderColor rgb="FFFF0000"/>
              <x14:axisColor rgb="FF000000"/>
            </x14:dataBar>
          </x14:cfRule>
          <xm:sqref>W35</xm:sqref>
        </x14:conditionalFormatting>
        <x14:conditionalFormatting xmlns:xm="http://schemas.microsoft.com/office/excel/2006/main">
          <x14:cfRule type="dataBar" id="{B1FA783E-A260-A848-B99E-FB3F88F5693F}">
            <x14:dataBar minLength="0" maxLength="100" border="1" negativeBarBorderColorSameAsPositive="0">
              <x14:cfvo type="autoMin"/>
              <x14:cfvo type="autoMax"/>
              <x14:borderColor rgb="FF638EC6"/>
              <x14:negativeFillColor rgb="FFFF0000"/>
              <x14:negativeBorderColor rgb="FFFF0000"/>
              <x14:axisColor rgb="FF000000"/>
            </x14:dataBar>
          </x14:cfRule>
          <xm:sqref>X34</xm:sqref>
        </x14:conditionalFormatting>
        <x14:conditionalFormatting xmlns:xm="http://schemas.microsoft.com/office/excel/2006/main">
          <x14:cfRule type="dataBar" id="{DF360C97-4B33-DE49-87B7-B12527A0329B}">
            <x14:dataBar minLength="0" maxLength="100" border="1" negativeBarBorderColorSameAsPositive="0">
              <x14:cfvo type="autoMin"/>
              <x14:cfvo type="autoMax"/>
              <x14:borderColor rgb="FF638EC6"/>
              <x14:negativeFillColor rgb="FFFF0000"/>
              <x14:negativeBorderColor rgb="FFFF0000"/>
              <x14:axisColor rgb="FF000000"/>
            </x14:dataBar>
          </x14:cfRule>
          <xm:sqref>Y33</xm:sqref>
        </x14:conditionalFormatting>
        <x14:conditionalFormatting xmlns:xm="http://schemas.microsoft.com/office/excel/2006/main">
          <x14:cfRule type="dataBar" id="{4D181BE2-5808-4B4D-B11F-4537414F12A1}">
            <x14:dataBar minLength="0" maxLength="100" border="1" negativeBarBorderColorSameAsPositive="0">
              <x14:cfvo type="autoMin"/>
              <x14:cfvo type="autoMax"/>
              <x14:borderColor rgb="FF638EC6"/>
              <x14:negativeFillColor rgb="FFFF0000"/>
              <x14:negativeBorderColor rgb="FFFF0000"/>
              <x14:axisColor rgb="FF000000"/>
            </x14:dataBar>
          </x14:cfRule>
          <xm:sqref>Z32</xm:sqref>
        </x14:conditionalFormatting>
        <x14:conditionalFormatting xmlns:xm="http://schemas.microsoft.com/office/excel/2006/main">
          <x14:cfRule type="dataBar" id="{9AE86926-040B-464B-B117-B5F21CB67957}">
            <x14:dataBar minLength="0" maxLength="100" border="1" negativeBarBorderColorSameAsPositive="0">
              <x14:cfvo type="autoMin"/>
              <x14:cfvo type="autoMax"/>
              <x14:borderColor rgb="FF638EC6"/>
              <x14:negativeFillColor rgb="FFFF0000"/>
              <x14:negativeBorderColor rgb="FFFF0000"/>
              <x14:axisColor rgb="FF000000"/>
            </x14:dataBar>
          </x14:cfRule>
          <xm:sqref>AA31</xm:sqref>
        </x14:conditionalFormatting>
        <x14:conditionalFormatting xmlns:xm="http://schemas.microsoft.com/office/excel/2006/main">
          <x14:cfRule type="dataBar" id="{FA6D28D6-2DF3-234B-8627-FDB9BF49705E}">
            <x14:dataBar minLength="0" maxLength="100" border="1" negativeBarBorderColorSameAsPositive="0">
              <x14:cfvo type="autoMin"/>
              <x14:cfvo type="autoMax"/>
              <x14:borderColor rgb="FF638EC6"/>
              <x14:negativeFillColor rgb="FFFF0000"/>
              <x14:negativeBorderColor rgb="FFFF0000"/>
              <x14:axisColor rgb="FF000000"/>
            </x14:dataBar>
          </x14:cfRule>
          <xm:sqref>AB30</xm:sqref>
        </x14:conditionalFormatting>
        <x14:conditionalFormatting xmlns:xm="http://schemas.microsoft.com/office/excel/2006/main">
          <x14:cfRule type="dataBar" id="{7C012326-4A7D-294C-903B-F0EFB36C9DE1}">
            <x14:dataBar minLength="0" maxLength="100" border="1" negativeBarBorderColorSameAsPositive="0">
              <x14:cfvo type="autoMin"/>
              <x14:cfvo type="autoMax"/>
              <x14:borderColor rgb="FF638EC6"/>
              <x14:negativeFillColor rgb="FFFF0000"/>
              <x14:negativeBorderColor rgb="FFFF0000"/>
              <x14:axisColor rgb="FF000000"/>
            </x14:dataBar>
          </x14:cfRule>
          <xm:sqref>AC29</xm:sqref>
        </x14:conditionalFormatting>
        <x14:conditionalFormatting xmlns:xm="http://schemas.microsoft.com/office/excel/2006/main">
          <x14:cfRule type="dataBar" id="{36CA148B-1715-A246-BF1A-841B6AA62F9D}">
            <x14:dataBar minLength="0" maxLength="100" border="1" negativeBarBorderColorSameAsPositive="0">
              <x14:cfvo type="autoMin"/>
              <x14:cfvo type="autoMax"/>
              <x14:borderColor rgb="FF638EC6"/>
              <x14:negativeFillColor rgb="FFFF0000"/>
              <x14:negativeBorderColor rgb="FFFF0000"/>
              <x14:axisColor rgb="FF000000"/>
            </x14:dataBar>
          </x14:cfRule>
          <xm:sqref>AD28</xm:sqref>
        </x14:conditionalFormatting>
        <x14:conditionalFormatting xmlns:xm="http://schemas.microsoft.com/office/excel/2006/main">
          <x14:cfRule type="dataBar" id="{AA94F41F-0FE3-3143-8322-19D44BEACF0E}">
            <x14:dataBar minLength="0" maxLength="100" border="1" negativeBarBorderColorSameAsPositive="0">
              <x14:cfvo type="autoMin"/>
              <x14:cfvo type="autoMax"/>
              <x14:borderColor rgb="FF638EC6"/>
              <x14:negativeFillColor rgb="FFFF0000"/>
              <x14:negativeBorderColor rgb="FFFF0000"/>
              <x14:axisColor rgb="FF000000"/>
            </x14:dataBar>
          </x14:cfRule>
          <xm:sqref>M47</xm:sqref>
        </x14:conditionalFormatting>
        <x14:conditionalFormatting xmlns:xm="http://schemas.microsoft.com/office/excel/2006/main">
          <x14:cfRule type="dataBar" id="{E70CD043-D015-FB43-B97C-33F426B00BFE}">
            <x14:dataBar minLength="0" maxLength="100" border="1" negativeBarBorderColorSameAsPositive="0">
              <x14:cfvo type="autoMin"/>
              <x14:cfvo type="autoMax"/>
              <x14:borderColor rgb="FF638EC6"/>
              <x14:negativeFillColor rgb="FFFF0000"/>
              <x14:negativeBorderColor rgb="FFFF0000"/>
              <x14:axisColor rgb="FF000000"/>
            </x14:dataBar>
          </x14:cfRule>
          <xm:sqref>N46</xm:sqref>
        </x14:conditionalFormatting>
        <x14:conditionalFormatting xmlns:xm="http://schemas.microsoft.com/office/excel/2006/main">
          <x14:cfRule type="dataBar" id="{5CFB07CC-7D5B-0A47-8581-646F7DB03365}">
            <x14:dataBar minLength="0" maxLength="100" border="1" negativeBarBorderColorSameAsPositive="0">
              <x14:cfvo type="autoMin"/>
              <x14:cfvo type="autoMax"/>
              <x14:borderColor rgb="FF638EC6"/>
              <x14:negativeFillColor rgb="FFFF0000"/>
              <x14:negativeBorderColor rgb="FFFF0000"/>
              <x14:axisColor rgb="FF000000"/>
            </x14:dataBar>
          </x14:cfRule>
          <xm:sqref>O45</xm:sqref>
        </x14:conditionalFormatting>
        <x14:conditionalFormatting xmlns:xm="http://schemas.microsoft.com/office/excel/2006/main">
          <x14:cfRule type="dataBar" id="{00ACD9C7-7EF3-BE45-872B-D6BB44B6AAFB}">
            <x14:dataBar minLength="0" maxLength="100" border="1" negativeBarBorderColorSameAsPositive="0">
              <x14:cfvo type="autoMin"/>
              <x14:cfvo type="autoMax"/>
              <x14:borderColor rgb="FF638EC6"/>
              <x14:negativeFillColor rgb="FFFF0000"/>
              <x14:negativeBorderColor rgb="FFFF0000"/>
              <x14:axisColor rgb="FF000000"/>
            </x14:dataBar>
          </x14:cfRule>
          <xm:sqref>P44</xm:sqref>
        </x14:conditionalFormatting>
        <x14:conditionalFormatting xmlns:xm="http://schemas.microsoft.com/office/excel/2006/main">
          <x14:cfRule type="dataBar" id="{57311408-E1E6-B948-8958-773FB432D5AF}">
            <x14:dataBar minLength="0" maxLength="100" border="1" negativeBarBorderColorSameAsPositive="0">
              <x14:cfvo type="autoMin"/>
              <x14:cfvo type="autoMax"/>
              <x14:borderColor rgb="FF638EC6"/>
              <x14:negativeFillColor rgb="FFFF0000"/>
              <x14:negativeBorderColor rgb="FFFF0000"/>
              <x14:axisColor rgb="FF000000"/>
            </x14:dataBar>
          </x14:cfRule>
          <xm:sqref>Q43</xm:sqref>
        </x14:conditionalFormatting>
        <x14:conditionalFormatting xmlns:xm="http://schemas.microsoft.com/office/excel/2006/main">
          <x14:cfRule type="dataBar" id="{7E2160C5-0A04-6E49-9079-3029748DB3C6}">
            <x14:dataBar minLength="0" maxLength="100" border="1" negativeBarBorderColorSameAsPositive="0">
              <x14:cfvo type="autoMin"/>
              <x14:cfvo type="autoMax"/>
              <x14:borderColor rgb="FF638EC6"/>
              <x14:negativeFillColor rgb="FFFF0000"/>
              <x14:negativeBorderColor rgb="FFFF0000"/>
              <x14:axisColor rgb="FF000000"/>
            </x14:dataBar>
          </x14:cfRule>
          <xm:sqref>AD30 R42 AC31 AB32 AA33 Z34 Y35 X36 W37 V38 U39 T40 S41</xm:sqref>
        </x14:conditionalFormatting>
        <x14:conditionalFormatting xmlns:xm="http://schemas.microsoft.com/office/excel/2006/main">
          <x14:cfRule type="dataBar" id="{220CB974-646C-AF40-B144-C173DEF97082}">
            <x14:dataBar minLength="0" maxLength="100" border="1" negativeBarBorderColorSameAsPositive="0">
              <x14:cfvo type="autoMin"/>
              <x14:cfvo type="autoMax"/>
              <x14:borderColor rgb="FF638EC6"/>
              <x14:negativeFillColor rgb="FFFF0000"/>
              <x14:negativeBorderColor rgb="FFFF0000"/>
              <x14:axisColor rgb="FF000000"/>
            </x14:dataBar>
          </x14:cfRule>
          <xm:sqref>M49 AD32 AC33 AB34 AA35 Z36 Y37 X38 W39 V40 U41 T42 S43 R44 Q45 P46 O47 N48</xm:sqref>
        </x14:conditionalFormatting>
        <x14:conditionalFormatting xmlns:xm="http://schemas.microsoft.com/office/excel/2006/main">
          <x14:cfRule type="dataBar" id="{E52B21B5-B27B-B344-8B79-5F4C863BD008}">
            <x14:dataBar minLength="0" maxLength="100" border="1" negativeBarBorderColorSameAsPositive="0">
              <x14:cfvo type="autoMin"/>
              <x14:cfvo type="autoMax"/>
              <x14:borderColor rgb="FF638EC6"/>
              <x14:negativeFillColor rgb="FFFF0000"/>
              <x14:negativeBorderColor rgb="FFFF0000"/>
              <x14:axisColor rgb="FF000000"/>
            </x14:dataBar>
          </x14:cfRule>
          <xm:sqref>M51 AD34 AC35 AB36 AA37 Z38 Y39 X40 W41 V42 U43 T44 S45 R46 Q47 P48 O49 N50</xm:sqref>
        </x14:conditionalFormatting>
        <x14:conditionalFormatting xmlns:xm="http://schemas.microsoft.com/office/excel/2006/main">
          <x14:cfRule type="dataBar" id="{BFDC8FAF-3AA8-2D48-98EA-7858C026421C}">
            <x14:dataBar minLength="0" maxLength="100" border="1" negativeBarBorderColorSameAsPositive="0">
              <x14:cfvo type="autoMin"/>
              <x14:cfvo type="autoMax"/>
              <x14:borderColor rgb="FF638EC6"/>
              <x14:negativeFillColor rgb="FFFF0000"/>
              <x14:negativeBorderColor rgb="FFFF0000"/>
              <x14:axisColor rgb="FF000000"/>
            </x14:dataBar>
          </x14:cfRule>
          <xm:sqref>M53 AD36 AC37 AB38 AA39 Z40 Y41 X42 W43 V44 U45 T46 S47 R48 Q49 P50 O51 N52</xm:sqref>
        </x14:conditionalFormatting>
        <x14:conditionalFormatting xmlns:xm="http://schemas.microsoft.com/office/excel/2006/main">
          <x14:cfRule type="dataBar" id="{1C36E217-808D-F349-BA6E-B287468B5F12}">
            <x14:dataBar minLength="0" maxLength="100" border="1" negativeBarBorderColorSameAsPositive="0">
              <x14:cfvo type="autoMin"/>
              <x14:cfvo type="autoMax"/>
              <x14:borderColor rgb="FF638EC6"/>
              <x14:negativeFillColor rgb="FFFF0000"/>
              <x14:negativeBorderColor rgb="FFFF0000"/>
              <x14:axisColor rgb="FF000000"/>
            </x14:dataBar>
          </x14:cfRule>
          <xm:sqref>O53 AD38 AC39 AB40 AA41 Z42 Y43 X44 W45 V46 U47 T48 S49 R50 Q51 P52</xm:sqref>
        </x14:conditionalFormatting>
        <x14:conditionalFormatting xmlns:xm="http://schemas.microsoft.com/office/excel/2006/main">
          <x14:cfRule type="dataBar" id="{062060D6-861E-CD45-8D35-F4F8BAE4A344}">
            <x14:dataBar minLength="0" maxLength="100" border="1" negativeBarBorderColorSameAsPositive="0">
              <x14:cfvo type="autoMin"/>
              <x14:cfvo type="autoMax"/>
              <x14:borderColor rgb="FF638EC6"/>
              <x14:negativeFillColor rgb="FFFF0000"/>
              <x14:negativeBorderColor rgb="FFFF0000"/>
              <x14:axisColor rgb="FF000000"/>
            </x14:dataBar>
          </x14:cfRule>
          <xm:sqref>O55</xm:sqref>
        </x14:conditionalFormatting>
        <x14:conditionalFormatting xmlns:xm="http://schemas.microsoft.com/office/excel/2006/main">
          <x14:cfRule type="dataBar" id="{94EDBAAA-A1EB-AE40-B92C-C90BBCEF5A77}">
            <x14:dataBar minLength="0" maxLength="100" border="1" negativeBarBorderColorSameAsPositive="0">
              <x14:cfvo type="autoMin"/>
              <x14:cfvo type="autoMax"/>
              <x14:borderColor rgb="FF638EC6"/>
              <x14:negativeFillColor rgb="FFFF0000"/>
              <x14:negativeBorderColor rgb="FFFF0000"/>
              <x14:axisColor rgb="FF000000"/>
            </x14:dataBar>
          </x14:cfRule>
          <xm:sqref>P54</xm:sqref>
        </x14:conditionalFormatting>
        <x14:conditionalFormatting xmlns:xm="http://schemas.microsoft.com/office/excel/2006/main">
          <x14:cfRule type="dataBar" id="{15652E9C-6379-414D-B4FA-7C0E5F7A8D07}">
            <x14:dataBar minLength="0" maxLength="100" border="1" negativeBarBorderColorSameAsPositive="0">
              <x14:cfvo type="autoMin"/>
              <x14:cfvo type="autoMax"/>
              <x14:borderColor rgb="FF638EC6"/>
              <x14:negativeFillColor rgb="FFFF0000"/>
              <x14:negativeBorderColor rgb="FFFF0000"/>
              <x14:axisColor rgb="FF000000"/>
            </x14:dataBar>
          </x14:cfRule>
          <xm:sqref>Q53</xm:sqref>
        </x14:conditionalFormatting>
        <x14:conditionalFormatting xmlns:xm="http://schemas.microsoft.com/office/excel/2006/main">
          <x14:cfRule type="dataBar" id="{1BB11F66-E060-1548-8BB4-061E345E3209}">
            <x14:dataBar minLength="0" maxLength="100" border="1" negativeBarBorderColorSameAsPositive="0">
              <x14:cfvo type="autoMin"/>
              <x14:cfvo type="autoMax"/>
              <x14:borderColor rgb="FF638EC6"/>
              <x14:negativeFillColor rgb="FFFF0000"/>
              <x14:negativeBorderColor rgb="FFFF0000"/>
              <x14:axisColor rgb="FF000000"/>
            </x14:dataBar>
          </x14:cfRule>
          <xm:sqref>R52</xm:sqref>
        </x14:conditionalFormatting>
        <x14:conditionalFormatting xmlns:xm="http://schemas.microsoft.com/office/excel/2006/main">
          <x14:cfRule type="dataBar" id="{08E81895-E590-3B40-9AE4-500ECE349B82}">
            <x14:dataBar minLength="0" maxLength="100" border="1" negativeBarBorderColorSameAsPositive="0">
              <x14:cfvo type="autoMin"/>
              <x14:cfvo type="autoMax"/>
              <x14:borderColor rgb="FF638EC6"/>
              <x14:negativeFillColor rgb="FFFF0000"/>
              <x14:negativeBorderColor rgb="FFFF0000"/>
              <x14:axisColor rgb="FF000000"/>
            </x14:dataBar>
          </x14:cfRule>
          <xm:sqref>S51</xm:sqref>
        </x14:conditionalFormatting>
        <x14:conditionalFormatting xmlns:xm="http://schemas.microsoft.com/office/excel/2006/main">
          <x14:cfRule type="dataBar" id="{D1462F80-1FD0-DE49-9AE4-7E62FC2DD8F1}">
            <x14:dataBar minLength="0" maxLength="100" border="1" negativeBarBorderColorSameAsPositive="0">
              <x14:cfvo type="autoMin"/>
              <x14:cfvo type="autoMax"/>
              <x14:borderColor rgb="FF638EC6"/>
              <x14:negativeFillColor rgb="FFFF0000"/>
              <x14:negativeBorderColor rgb="FFFF0000"/>
              <x14:axisColor rgb="FF000000"/>
            </x14:dataBar>
          </x14:cfRule>
          <xm:sqref>T50</xm:sqref>
        </x14:conditionalFormatting>
        <x14:conditionalFormatting xmlns:xm="http://schemas.microsoft.com/office/excel/2006/main">
          <x14:cfRule type="dataBar" id="{F2E37713-7985-A245-8B79-E32F6B0DFC6F}">
            <x14:dataBar minLength="0" maxLength="100" border="1" negativeBarBorderColorSameAsPositive="0">
              <x14:cfvo type="autoMin"/>
              <x14:cfvo type="autoMax"/>
              <x14:borderColor rgb="FF638EC6"/>
              <x14:negativeFillColor rgb="FFFF0000"/>
              <x14:negativeBorderColor rgb="FFFF0000"/>
              <x14:axisColor rgb="FF000000"/>
            </x14:dataBar>
          </x14:cfRule>
          <xm:sqref>U49</xm:sqref>
        </x14:conditionalFormatting>
        <x14:conditionalFormatting xmlns:xm="http://schemas.microsoft.com/office/excel/2006/main">
          <x14:cfRule type="dataBar" id="{DB41FB2A-C223-B44F-8C8B-96C39635B3AC}">
            <x14:dataBar minLength="0" maxLength="100" border="1" negativeBarBorderColorSameAsPositive="0">
              <x14:cfvo type="autoMin"/>
              <x14:cfvo type="autoMax"/>
              <x14:borderColor rgb="FF638EC6"/>
              <x14:negativeFillColor rgb="FFFF0000"/>
              <x14:negativeBorderColor rgb="FFFF0000"/>
              <x14:axisColor rgb="FF000000"/>
            </x14:dataBar>
          </x14:cfRule>
          <xm:sqref>V48</xm:sqref>
        </x14:conditionalFormatting>
        <x14:conditionalFormatting xmlns:xm="http://schemas.microsoft.com/office/excel/2006/main">
          <x14:cfRule type="dataBar" id="{772C1C97-D5A9-8D47-947F-7EC77BEC6A08}">
            <x14:dataBar minLength="0" maxLength="100" border="1" negativeBarBorderColorSameAsPositive="0">
              <x14:cfvo type="autoMin"/>
              <x14:cfvo type="autoMax"/>
              <x14:borderColor rgb="FF638EC6"/>
              <x14:negativeFillColor rgb="FFFF0000"/>
              <x14:negativeBorderColor rgb="FFFF0000"/>
              <x14:axisColor rgb="FF000000"/>
            </x14:dataBar>
          </x14:cfRule>
          <xm:sqref>W47</xm:sqref>
        </x14:conditionalFormatting>
        <x14:conditionalFormatting xmlns:xm="http://schemas.microsoft.com/office/excel/2006/main">
          <x14:cfRule type="dataBar" id="{F2AD9479-C030-9049-A245-3154D1075583}">
            <x14:dataBar minLength="0" maxLength="100" border="1" negativeBarBorderColorSameAsPositive="0">
              <x14:cfvo type="autoMin"/>
              <x14:cfvo type="autoMax"/>
              <x14:borderColor rgb="FF638EC6"/>
              <x14:negativeFillColor rgb="FFFF0000"/>
              <x14:negativeBorderColor rgb="FFFF0000"/>
              <x14:axisColor rgb="FF000000"/>
            </x14:dataBar>
          </x14:cfRule>
          <xm:sqref>O57</xm:sqref>
        </x14:conditionalFormatting>
        <x14:conditionalFormatting xmlns:xm="http://schemas.microsoft.com/office/excel/2006/main">
          <x14:cfRule type="dataBar" id="{AC199957-9DD0-264C-B18D-EC1CB634029E}">
            <x14:dataBar minLength="0" maxLength="100" border="1" negativeBarBorderColorSameAsPositive="0">
              <x14:cfvo type="autoMin"/>
              <x14:cfvo type="autoMax"/>
              <x14:borderColor rgb="FF638EC6"/>
              <x14:negativeFillColor rgb="FFFF0000"/>
              <x14:negativeBorderColor rgb="FFFF0000"/>
              <x14:axisColor rgb="FF000000"/>
            </x14:dataBar>
          </x14:cfRule>
          <xm:sqref>P58</xm:sqref>
        </x14:conditionalFormatting>
        <x14:conditionalFormatting xmlns:xm="http://schemas.microsoft.com/office/excel/2006/main">
          <x14:cfRule type="dataBar" id="{2001B81A-AE28-5943-BBCC-E57F34538A09}">
            <x14:dataBar minLength="0" maxLength="100" border="1" negativeBarBorderColorSameAsPositive="0">
              <x14:cfvo type="autoMin"/>
              <x14:cfvo type="autoMax"/>
              <x14:borderColor rgb="FF638EC6"/>
              <x14:negativeFillColor rgb="FFFF0000"/>
              <x14:negativeBorderColor rgb="FFFF0000"/>
              <x14:axisColor rgb="FF000000"/>
            </x14:dataBar>
          </x14:cfRule>
          <xm:sqref>Q59</xm:sqref>
        </x14:conditionalFormatting>
        <x14:conditionalFormatting xmlns:xm="http://schemas.microsoft.com/office/excel/2006/main">
          <x14:cfRule type="dataBar" id="{5558ADA3-1637-9045-B246-CE1EFEBEE8FF}">
            <x14:dataBar minLength="0" maxLength="100" border="1" negativeBarBorderColorSameAsPositive="0">
              <x14:cfvo type="autoMin"/>
              <x14:cfvo type="autoMax"/>
              <x14:borderColor rgb="FF638EC6"/>
              <x14:negativeFillColor rgb="FFFF0000"/>
              <x14:negativeBorderColor rgb="FFFF0000"/>
              <x14:axisColor rgb="FF000000"/>
            </x14:dataBar>
          </x14:cfRule>
          <xm:sqref>R60</xm:sqref>
        </x14:conditionalFormatting>
        <x14:conditionalFormatting xmlns:xm="http://schemas.microsoft.com/office/excel/2006/main">
          <x14:cfRule type="dataBar" id="{6FA10FFE-9230-4443-8B83-4812AE6D9354}">
            <x14:dataBar minLength="0" maxLength="100" border="1" negativeBarBorderColorSameAsPositive="0">
              <x14:cfvo type="autoMin"/>
              <x14:cfvo type="autoMax"/>
              <x14:borderColor rgb="FF638EC6"/>
              <x14:negativeFillColor rgb="FFFF0000"/>
              <x14:negativeBorderColor rgb="FFFF0000"/>
              <x14:axisColor rgb="FF000000"/>
            </x14:dataBar>
          </x14:cfRule>
          <xm:sqref>S61</xm:sqref>
        </x14:conditionalFormatting>
        <x14:conditionalFormatting xmlns:xm="http://schemas.microsoft.com/office/excel/2006/main">
          <x14:cfRule type="dataBar" id="{FA7426F7-FA86-F747-87B7-3FD41A009AAF}">
            <x14:dataBar minLength="0" maxLength="100" border="1" negativeBarBorderColorSameAsPositive="0">
              <x14:cfvo type="autoMin"/>
              <x14:cfvo type="autoMax"/>
              <x14:borderColor rgb="FF638EC6"/>
              <x14:negativeFillColor rgb="FFFF0000"/>
              <x14:negativeBorderColor rgb="FFFF0000"/>
              <x14:axisColor rgb="FF000000"/>
            </x14:dataBar>
          </x14:cfRule>
          <xm:sqref>T62</xm:sqref>
        </x14:conditionalFormatting>
        <x14:conditionalFormatting xmlns:xm="http://schemas.microsoft.com/office/excel/2006/main">
          <x14:cfRule type="dataBar" id="{D064DA84-9EF8-7540-B31C-0FA037045A63}">
            <x14:dataBar minLength="0" maxLength="100" border="1" negativeBarBorderColorSameAsPositive="0">
              <x14:cfvo type="autoMin"/>
              <x14:cfvo type="autoMax"/>
              <x14:borderColor rgb="FF638EC6"/>
              <x14:negativeFillColor rgb="FFFF0000"/>
              <x14:negativeBorderColor rgb="FFFF0000"/>
              <x14:axisColor rgb="FF000000"/>
            </x14:dataBar>
          </x14:cfRule>
          <xm:sqref>U63</xm:sqref>
        </x14:conditionalFormatting>
        <x14:conditionalFormatting xmlns:xm="http://schemas.microsoft.com/office/excel/2006/main">
          <x14:cfRule type="dataBar" id="{76BF34A4-62A3-F84B-885F-8B7B812D518D}">
            <x14:dataBar minLength="0" maxLength="100" border="1" negativeBarBorderColorSameAsPositive="0">
              <x14:cfvo type="autoMin"/>
              <x14:cfvo type="autoMax"/>
              <x14:borderColor rgb="FF638EC6"/>
              <x14:negativeFillColor rgb="FFFF0000"/>
              <x14:negativeBorderColor rgb="FFFF0000"/>
              <x14:axisColor rgb="FF000000"/>
            </x14:dataBar>
          </x14:cfRule>
          <xm:sqref>V64</xm:sqref>
        </x14:conditionalFormatting>
        <x14:conditionalFormatting xmlns:xm="http://schemas.microsoft.com/office/excel/2006/main">
          <x14:cfRule type="dataBar" id="{1F4973C7-1D68-8147-9623-CD99408DB2DA}">
            <x14:dataBar minLength="0" maxLength="100" border="1" negativeBarBorderColorSameAsPositive="0">
              <x14:cfvo type="autoMin"/>
              <x14:cfvo type="autoMax"/>
              <x14:borderColor rgb="FF638EC6"/>
              <x14:negativeFillColor rgb="FFFF0000"/>
              <x14:negativeBorderColor rgb="FFFF0000"/>
              <x14:axisColor rgb="FF000000"/>
            </x14:dataBar>
          </x14:cfRule>
          <xm:sqref>W65</xm:sqref>
        </x14:conditionalFormatting>
        <x14:conditionalFormatting xmlns:xm="http://schemas.microsoft.com/office/excel/2006/main">
          <x14:cfRule type="dataBar" id="{05ED3D5A-88B9-A440-9EFC-C5BDAD17A629}">
            <x14:dataBar minLength="0" maxLength="100" border="1" negativeBarBorderColorSameAsPositive="0">
              <x14:cfvo type="autoMin"/>
              <x14:cfvo type="autoMax"/>
              <x14:borderColor rgb="FF638EC6"/>
              <x14:negativeFillColor rgb="FFFF0000"/>
              <x14:negativeBorderColor rgb="FFFF0000"/>
              <x14:axisColor rgb="FF000000"/>
            </x14:dataBar>
          </x14:cfRule>
          <xm:sqref>X66</xm:sqref>
        </x14:conditionalFormatting>
        <x14:conditionalFormatting xmlns:xm="http://schemas.microsoft.com/office/excel/2006/main">
          <x14:cfRule type="dataBar" id="{9D65BC1C-BA72-BA4A-92D9-EAE8E834E4BA}">
            <x14:dataBar minLength="0" maxLength="100" border="1" negativeBarBorderColorSameAsPositive="0">
              <x14:cfvo type="autoMin"/>
              <x14:cfvo type="autoMax"/>
              <x14:borderColor rgb="FF638EC6"/>
              <x14:negativeFillColor rgb="FFFF0000"/>
              <x14:negativeBorderColor rgb="FFFF0000"/>
              <x14:axisColor rgb="FF000000"/>
            </x14:dataBar>
          </x14:cfRule>
          <xm:sqref>Y67</xm:sqref>
        </x14:conditionalFormatting>
        <x14:conditionalFormatting xmlns:xm="http://schemas.microsoft.com/office/excel/2006/main">
          <x14:cfRule type="dataBar" id="{0BE9D72C-1A9F-A240-B76B-0969E68072FA}">
            <x14:dataBar minLength="0" maxLength="100" border="1" negativeBarBorderColorSameAsPositive="0">
              <x14:cfvo type="autoMin"/>
              <x14:cfvo type="autoMax"/>
              <x14:borderColor rgb="FF638EC6"/>
              <x14:negativeFillColor rgb="FFFF0000"/>
              <x14:negativeBorderColor rgb="FFFF0000"/>
              <x14:axisColor rgb="FF000000"/>
            </x14:dataBar>
          </x14:cfRule>
          <xm:sqref>Z68</xm:sqref>
        </x14:conditionalFormatting>
        <x14:conditionalFormatting xmlns:xm="http://schemas.microsoft.com/office/excel/2006/main">
          <x14:cfRule type="dataBar" id="{BFAE30DF-A084-AD4C-AE2E-8E994EFF42B1}">
            <x14:dataBar minLength="0" maxLength="100" border="1" negativeBarBorderColorSameAsPositive="0">
              <x14:cfvo type="autoMin"/>
              <x14:cfvo type="autoMax"/>
              <x14:borderColor rgb="FF638EC6"/>
              <x14:negativeFillColor rgb="FFFF0000"/>
              <x14:negativeBorderColor rgb="FFFF0000"/>
              <x14:axisColor rgb="FF000000"/>
            </x14:dataBar>
          </x14:cfRule>
          <xm:sqref>AA69</xm:sqref>
        </x14:conditionalFormatting>
        <x14:conditionalFormatting xmlns:xm="http://schemas.microsoft.com/office/excel/2006/main">
          <x14:cfRule type="dataBar" id="{7F9A8A6D-947D-DA42-8A13-C8F3924331B8}">
            <x14:dataBar minLength="0" maxLength="100" border="1" negativeBarBorderColorSameAsPositive="0">
              <x14:cfvo type="autoMin"/>
              <x14:cfvo type="autoMax"/>
              <x14:borderColor rgb="FF638EC6"/>
              <x14:negativeFillColor rgb="FFFF0000"/>
              <x14:negativeBorderColor rgb="FFFF0000"/>
              <x14:axisColor rgb="FF000000"/>
            </x14:dataBar>
          </x14:cfRule>
          <xm:sqref>AB70</xm:sqref>
        </x14:conditionalFormatting>
        <x14:conditionalFormatting xmlns:xm="http://schemas.microsoft.com/office/excel/2006/main">
          <x14:cfRule type="dataBar" id="{E7E5B5D9-8758-104F-A761-BE7AB2F9A97B}">
            <x14:dataBar minLength="0" maxLength="100" border="1" negativeBarBorderColorSameAsPositive="0">
              <x14:cfvo type="autoMin"/>
              <x14:cfvo type="autoMax"/>
              <x14:borderColor rgb="FF638EC6"/>
              <x14:negativeFillColor rgb="FFFF0000"/>
              <x14:negativeBorderColor rgb="FFFF0000"/>
              <x14:axisColor rgb="FF000000"/>
            </x14:dataBar>
          </x14:cfRule>
          <xm:sqref>AC71</xm:sqref>
        </x14:conditionalFormatting>
        <x14:conditionalFormatting xmlns:xm="http://schemas.microsoft.com/office/excel/2006/main">
          <x14:cfRule type="dataBar" id="{BD96C725-273B-6D4D-AFF1-13F1F212AF6D}">
            <x14:dataBar minLength="0" maxLength="100" border="1" negativeBarBorderColorSameAsPositive="0">
              <x14:cfvo type="autoMin"/>
              <x14:cfvo type="autoMax"/>
              <x14:borderColor rgb="FF638EC6"/>
              <x14:negativeFillColor rgb="FFFF0000"/>
              <x14:negativeBorderColor rgb="FFFF0000"/>
              <x14:axisColor rgb="FF000000"/>
            </x14:dataBar>
          </x14:cfRule>
          <xm:sqref>AD72</xm:sqref>
        </x14:conditionalFormatting>
        <x14:conditionalFormatting xmlns:xm="http://schemas.microsoft.com/office/excel/2006/main">
          <x14:cfRule type="dataBar" id="{1DAC7CFE-BB51-E747-8231-D36DD50E0356}">
            <x14:dataBar minLength="0" maxLength="100" border="1" negativeBarBorderColorSameAsPositive="0">
              <x14:cfvo type="autoMin"/>
              <x14:cfvo type="autoMax"/>
              <x14:borderColor rgb="FF638EC6"/>
              <x14:negativeFillColor rgb="FFFF0000"/>
              <x14:negativeBorderColor rgb="FFFF0000"/>
              <x14:axisColor rgb="FF000000"/>
            </x14:dataBar>
          </x14:cfRule>
          <xm:sqref>P56 AD70 AC69 AB68 AA67 Z66 Y65 X64 W63 V62 U61 T60 S59 R58 Q57</xm:sqref>
        </x14:conditionalFormatting>
        <x14:conditionalFormatting xmlns:xm="http://schemas.microsoft.com/office/excel/2006/main">
          <x14:cfRule type="dataBar" id="{24BF9EF9-8575-064F-BA24-7108655C9AB3}">
            <x14:dataBar minLength="0" maxLength="100" border="1" negativeBarBorderColorSameAsPositive="0">
              <x14:cfvo type="autoMin"/>
              <x14:cfvo type="autoMax"/>
              <x14:borderColor rgb="FF638EC6"/>
              <x14:negativeFillColor rgb="FFFF0000"/>
              <x14:negativeBorderColor rgb="FFFF0000"/>
              <x14:axisColor rgb="FF000000"/>
            </x14:dataBar>
          </x14:cfRule>
          <xm:sqref>Q55 AD68 AC67 AB66 AA65 Z64 Y63 X62 W61 V60 U59 T58 S57 R56</xm:sqref>
        </x14:conditionalFormatting>
        <x14:conditionalFormatting xmlns:xm="http://schemas.microsoft.com/office/excel/2006/main">
          <x14:cfRule type="dataBar" id="{538CF2C4-5B80-E243-B713-E94BF644ECDD}">
            <x14:dataBar minLength="0" maxLength="100" border="1" negativeBarBorderColorSameAsPositive="0">
              <x14:cfvo type="autoMin"/>
              <x14:cfvo type="autoMax"/>
              <x14:borderColor rgb="FF638EC6"/>
              <x14:negativeFillColor rgb="FFFF0000"/>
              <x14:negativeBorderColor rgb="FFFF0000"/>
              <x14:axisColor rgb="FF000000"/>
            </x14:dataBar>
          </x14:cfRule>
          <xm:sqref>R54 AD66 AC65 AB64 AA63 Z62 Y61 X60 W59 V58 U57 T56 S55</xm:sqref>
        </x14:conditionalFormatting>
        <x14:conditionalFormatting xmlns:xm="http://schemas.microsoft.com/office/excel/2006/main">
          <x14:cfRule type="dataBar" id="{F79D66F1-F24A-3547-B0A0-C5D4DAB07A79}">
            <x14:dataBar minLength="0" maxLength="100" border="1" negativeBarBorderColorSameAsPositive="0">
              <x14:cfvo type="autoMin"/>
              <x14:cfvo type="autoMax"/>
              <x14:borderColor rgb="FF638EC6"/>
              <x14:negativeFillColor rgb="FFFF0000"/>
              <x14:negativeBorderColor rgb="FFFF0000"/>
              <x14:axisColor rgb="FF000000"/>
            </x14:dataBar>
          </x14:cfRule>
          <xm:sqref>S53 AD64 AC63 AB62 AA61 Z60 Y59 X58 W57 V56 U55 T54</xm:sqref>
        </x14:conditionalFormatting>
        <x14:conditionalFormatting xmlns:xm="http://schemas.microsoft.com/office/excel/2006/main">
          <x14:cfRule type="dataBar" id="{F54CAF1F-5329-4446-8DAA-A1BCFC377CA7}">
            <x14:dataBar minLength="0" maxLength="100" border="1" negativeBarBorderColorSameAsPositive="0">
              <x14:cfvo type="autoMin"/>
              <x14:cfvo type="autoMax"/>
              <x14:borderColor rgb="FF638EC6"/>
              <x14:negativeFillColor rgb="FFFF0000"/>
              <x14:negativeBorderColor rgb="FFFF0000"/>
              <x14:axisColor rgb="FF000000"/>
            </x14:dataBar>
          </x14:cfRule>
          <xm:sqref>T52 AD62 AC61 AB60 AA59 Z58 Y57 X56 W55 V54 U53</xm:sqref>
        </x14:conditionalFormatting>
        <x14:conditionalFormatting xmlns:xm="http://schemas.microsoft.com/office/excel/2006/main">
          <x14:cfRule type="dataBar" id="{34CB41DC-1E0E-E84A-8B2C-77E539E57AA2}">
            <x14:dataBar minLength="0" maxLength="100" border="1" negativeBarBorderColorSameAsPositive="0">
              <x14:cfvo type="autoMin"/>
              <x14:cfvo type="autoMax"/>
              <x14:borderColor rgb="FF638EC6"/>
              <x14:negativeFillColor rgb="FFFF0000"/>
              <x14:negativeBorderColor rgb="FFFF0000"/>
              <x14:axisColor rgb="FF000000"/>
            </x14:dataBar>
          </x14:cfRule>
          <xm:sqref>U51 AD60 AC59 AB58 AA57 Z56 Y55 X54 W53 V52</xm:sqref>
        </x14:conditionalFormatting>
        <x14:conditionalFormatting xmlns:xm="http://schemas.microsoft.com/office/excel/2006/main">
          <x14:cfRule type="dataBar" id="{4E96CFF3-0AC3-A446-AACF-E57CB2EF73C2}">
            <x14:dataBar minLength="0" maxLength="100" border="1" negativeBarBorderColorSameAsPositive="0">
              <x14:cfvo type="autoMin"/>
              <x14:cfvo type="autoMax"/>
              <x14:borderColor rgb="FF638EC6"/>
              <x14:negativeFillColor rgb="FFFF0000"/>
              <x14:negativeBorderColor rgb="FFFF0000"/>
              <x14:axisColor rgb="FF000000"/>
            </x14:dataBar>
          </x14:cfRule>
          <xm:sqref>V50 AD58 AC57 AB56 AA55 Z54 Y53 X52 W51</xm:sqref>
        </x14:conditionalFormatting>
        <x14:conditionalFormatting xmlns:xm="http://schemas.microsoft.com/office/excel/2006/main">
          <x14:cfRule type="dataBar" id="{9B3B1A8F-C1B6-154E-B2EC-5E2699A8ED5C}">
            <x14:dataBar minLength="0" maxLength="100" border="1" negativeBarBorderColorSameAsPositive="0">
              <x14:cfvo type="autoMin"/>
              <x14:cfvo type="autoMax"/>
              <x14:borderColor rgb="FF638EC6"/>
              <x14:negativeFillColor rgb="FFFF0000"/>
              <x14:negativeBorderColor rgb="FFFF0000"/>
              <x14:axisColor rgb="FF000000"/>
            </x14:dataBar>
          </x14:cfRule>
          <xm:sqref>W49 AD56 AC55 AB54 AA53 Z52 Y51 X50</xm:sqref>
        </x14:conditionalFormatting>
        <x14:conditionalFormatting xmlns:xm="http://schemas.microsoft.com/office/excel/2006/main">
          <x14:cfRule type="dataBar" id="{23ED2AC1-FF25-5A4C-940E-5EBE6056D580}">
            <x14:dataBar minLength="0" maxLength="100" border="1" negativeBarBorderColorSameAsPositive="0">
              <x14:cfvo type="autoMin"/>
              <x14:cfvo type="autoMax"/>
              <x14:borderColor rgb="FF638EC6"/>
              <x14:negativeFillColor rgb="FFFF0000"/>
              <x14:negativeBorderColor rgb="FFFF0000"/>
              <x14:axisColor rgb="FF000000"/>
            </x14:dataBar>
          </x14:cfRule>
          <xm:sqref>X48 AD54 AC53 AB52 AA51 Z50 Y49</xm:sqref>
        </x14:conditionalFormatting>
        <x14:conditionalFormatting xmlns:xm="http://schemas.microsoft.com/office/excel/2006/main">
          <x14:cfRule type="dataBar" id="{764E5FFA-4005-0D45-BEE2-12F632F855FF}">
            <x14:dataBar minLength="0" maxLength="100" border="1" negativeBarBorderColorSameAsPositive="0">
              <x14:cfvo type="autoMin"/>
              <x14:cfvo type="autoMax"/>
              <x14:borderColor rgb="FF638EC6"/>
              <x14:negativeFillColor rgb="FFFF0000"/>
              <x14:negativeBorderColor rgb="FFFF0000"/>
              <x14:axisColor rgb="FF000000"/>
            </x14:dataBar>
          </x14:cfRule>
          <xm:sqref>X46 AD52 AC51 AB50 AA49 Z48 Y47</xm:sqref>
        </x14:conditionalFormatting>
        <x14:conditionalFormatting xmlns:xm="http://schemas.microsoft.com/office/excel/2006/main">
          <x14:cfRule type="dataBar" id="{C936B0C9-9297-9241-9E85-6DA40CD3E39F}">
            <x14:dataBar minLength="0" maxLength="100" border="1" negativeBarBorderColorSameAsPositive="0">
              <x14:cfvo type="autoMin"/>
              <x14:cfvo type="autoMax"/>
              <x14:borderColor rgb="FF638EC6"/>
              <x14:negativeFillColor rgb="FFFF0000"/>
              <x14:negativeBorderColor rgb="FFFF0000"/>
              <x14:axisColor rgb="FF000000"/>
            </x14:dataBar>
          </x14:cfRule>
          <xm:sqref>Y45 AD50 AC49 AB48 AA47 Z46</xm:sqref>
        </x14:conditionalFormatting>
        <x14:conditionalFormatting xmlns:xm="http://schemas.microsoft.com/office/excel/2006/main">
          <x14:cfRule type="dataBar" id="{25838609-BE86-5B4F-95A3-0E27FA8BBD2C}">
            <x14:dataBar minLength="0" maxLength="100" border="1" negativeBarBorderColorSameAsPositive="0">
              <x14:cfvo type="autoMin"/>
              <x14:cfvo type="autoMax"/>
              <x14:borderColor rgb="FF638EC6"/>
              <x14:negativeFillColor rgb="FFFF0000"/>
              <x14:negativeBorderColor rgb="FFFF0000"/>
              <x14:axisColor rgb="FF000000"/>
            </x14:dataBar>
          </x14:cfRule>
          <xm:sqref>Z44 AD48 AC47 AB46 AA45</xm:sqref>
        </x14:conditionalFormatting>
        <x14:conditionalFormatting xmlns:xm="http://schemas.microsoft.com/office/excel/2006/main">
          <x14:cfRule type="dataBar" id="{74447C47-ABDA-BE4A-BFFE-73F8ABF985DB}">
            <x14:dataBar minLength="0" maxLength="100" border="1" negativeBarBorderColorSameAsPositive="0">
              <x14:cfvo type="autoMin"/>
              <x14:cfvo type="autoMax"/>
              <x14:borderColor rgb="FF638EC6"/>
              <x14:negativeFillColor rgb="FFFF0000"/>
              <x14:negativeBorderColor rgb="FFFF0000"/>
              <x14:axisColor rgb="FF000000"/>
            </x14:dataBar>
          </x14:cfRule>
          <xm:sqref>AA43 AD46 AC45 AB44</xm:sqref>
        </x14:conditionalFormatting>
        <x14:conditionalFormatting xmlns:xm="http://schemas.microsoft.com/office/excel/2006/main">
          <x14:cfRule type="dataBar" id="{1C6C6E88-BF6E-B341-AF11-0E1506F07869}">
            <x14:dataBar minLength="0" maxLength="100" border="1" negativeBarBorderColorSameAsPositive="0">
              <x14:cfvo type="autoMin"/>
              <x14:cfvo type="autoMax"/>
              <x14:borderColor rgb="FF638EC6"/>
              <x14:negativeFillColor rgb="FFFF0000"/>
              <x14:negativeBorderColor rgb="FFFF0000"/>
              <x14:axisColor rgb="FF000000"/>
            </x14:dataBar>
          </x14:cfRule>
          <xm:sqref>AB42 AD44 AC43</xm:sqref>
        </x14:conditionalFormatting>
        <x14:conditionalFormatting xmlns:xm="http://schemas.microsoft.com/office/excel/2006/main">
          <x14:cfRule type="dataBar" id="{F84BD197-2394-4F4A-81BE-27B6AA32A4F8}">
            <x14:dataBar minLength="0" maxLength="100" border="1" negativeBarBorderColorSameAsPositive="0">
              <x14:cfvo type="autoMin"/>
              <x14:cfvo type="autoMax"/>
              <x14:borderColor rgb="FF638EC6"/>
              <x14:negativeFillColor rgb="FFFF0000"/>
              <x14:negativeBorderColor rgb="FFFF0000"/>
              <x14:axisColor rgb="FF000000"/>
            </x14:dataBar>
          </x14:cfRule>
          <xm:sqref>AD42 AC41</xm:sqref>
        </x14:conditionalFormatting>
        <x14:conditionalFormatting xmlns:xm="http://schemas.microsoft.com/office/excel/2006/main">
          <x14:cfRule type="dataBar" id="{E172D499-82E8-2546-9075-C0BC7FC83C04}">
            <x14:dataBar minLength="0" maxLength="100" border="1" negativeBarBorderColorSameAsPositive="0">
              <x14:cfvo type="autoMin"/>
              <x14:cfvo type="autoMax"/>
              <x14:borderColor rgb="FF638EC6"/>
              <x14:negativeFillColor rgb="FFFF0000"/>
              <x14:negativeBorderColor rgb="FFFF0000"/>
              <x14:axisColor rgb="FF000000"/>
            </x14:dataBar>
          </x14:cfRule>
          <xm:sqref>AD40</xm:sqref>
        </x14:conditionalFormatting>
        <x14:conditionalFormatting xmlns:xm="http://schemas.microsoft.com/office/excel/2006/main">
          <x14:cfRule type="dataBar" id="{85470A3D-A2A2-4401-9A0C-C66AEBBF001A}">
            <x14:dataBar minLength="0" maxLength="100" border="1" negativeBarBorderColorSameAsPositive="0">
              <x14:cfvo type="autoMin"/>
              <x14:cfvo type="autoMax"/>
              <x14:borderColor rgb="FF638EC6"/>
              <x14:negativeFillColor rgb="FFFF0000"/>
              <x14:negativeBorderColor rgb="FFFF0000"/>
              <x14:axisColor rgb="FF000000"/>
            </x14:dataBar>
          </x14:cfRule>
          <xm:sqref>M55</xm:sqref>
        </x14:conditionalFormatting>
        <x14:conditionalFormatting xmlns:xm="http://schemas.microsoft.com/office/excel/2006/main">
          <x14:cfRule type="dataBar" id="{E37947BD-0E39-6D43-A537-8F4FF97418FE}">
            <x14:dataBar minLength="0" maxLength="100" border="1" negativeBarBorderColorSameAsPositive="0">
              <x14:cfvo type="autoMin"/>
              <x14:cfvo type="autoMax"/>
              <x14:borderColor rgb="FF638EC6"/>
              <x14:negativeFillColor rgb="FFFF0000"/>
              <x14:negativeBorderColor rgb="FFFF0000"/>
              <x14:axisColor rgb="FF000000"/>
            </x14:dataBar>
          </x14:cfRule>
          <xm:sqref>N32</xm:sqref>
        </x14:conditionalFormatting>
        <x14:conditionalFormatting xmlns:xm="http://schemas.microsoft.com/office/excel/2006/main">
          <x14:cfRule type="dataBar" id="{10041F19-5019-FA4B-9E9C-1AAAE8CEE421}">
            <x14:dataBar minLength="0" maxLength="100" border="1" negativeBarBorderColorSameAsPositive="0">
              <x14:cfvo type="autoMin"/>
              <x14:cfvo type="autoMax"/>
              <x14:borderColor rgb="FF638EC6"/>
              <x14:negativeFillColor rgb="FFFF0000"/>
              <x14:negativeBorderColor rgb="FFFF0000"/>
              <x14:axisColor rgb="FF000000"/>
            </x14:dataBar>
          </x14:cfRule>
          <xm:sqref>N54</xm:sqref>
        </x14:conditionalFormatting>
        <x14:conditionalFormatting xmlns:xm="http://schemas.microsoft.com/office/excel/2006/main">
          <x14:cfRule type="dataBar" id="{590DB93D-904D-2942-A824-F5DD73CECEF8}">
            <x14:dataBar minLength="0" maxLength="100" border="1" negativeBarBorderColorSameAsPositive="0">
              <x14:cfvo type="autoMin"/>
              <x14:cfvo type="autoMax"/>
              <x14:borderColor rgb="FF638EC6"/>
              <x14:negativeFillColor rgb="FFFF0000"/>
              <x14:negativeBorderColor rgb="FFFF0000"/>
              <x14:axisColor rgb="FF000000"/>
            </x14:dataBar>
          </x14:cfRule>
          <xm:sqref>N56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8F460-6EC0-1C4F-AE65-BBE180EB6596}">
  <sheetPr codeName="Feuil3"/>
  <dimension ref="A1:E1009"/>
  <sheetViews>
    <sheetView workbookViewId="0">
      <selection activeCell="H11" sqref="H11"/>
    </sheetView>
  </sheetViews>
  <sheetFormatPr baseColWidth="10" defaultColWidth="10.796875" defaultRowHeight="13.8"/>
  <cols>
    <col min="1" max="1" width="9.296875" style="144" bestFit="1" customWidth="1"/>
    <col min="2" max="2" width="14.296875" style="144" bestFit="1" customWidth="1"/>
    <col min="3" max="3" width="40.69921875" style="144" bestFit="1" customWidth="1"/>
    <col min="4" max="4" width="30" style="144" bestFit="1" customWidth="1"/>
    <col min="5" max="5" width="6.19921875" style="144" bestFit="1" customWidth="1"/>
    <col min="6" max="16384" width="10.796875" style="144"/>
  </cols>
  <sheetData>
    <row r="1" spans="1:5" ht="14.4" thickBot="1">
      <c r="B1" s="144" t="s">
        <v>74</v>
      </c>
    </row>
    <row r="2" spans="1:5" ht="14.4" thickBot="1">
      <c r="A2" s="144" t="s">
        <v>46</v>
      </c>
      <c r="B2" s="145">
        <v>100</v>
      </c>
      <c r="D2" s="146" t="s">
        <v>75</v>
      </c>
      <c r="E2" s="147">
        <v>43.99</v>
      </c>
    </row>
    <row r="3" spans="1:5">
      <c r="A3" s="144" t="s">
        <v>76</v>
      </c>
      <c r="B3" s="145">
        <v>65.254619329107143</v>
      </c>
    </row>
    <row r="4" spans="1:5">
      <c r="A4" s="144" t="s">
        <v>77</v>
      </c>
      <c r="B4" s="145">
        <v>0.1</v>
      </c>
    </row>
    <row r="5" spans="1:5">
      <c r="A5" s="144" t="s">
        <v>78</v>
      </c>
      <c r="B5" s="145">
        <v>0.2</v>
      </c>
    </row>
    <row r="6" spans="1:5">
      <c r="A6" s="144" t="s">
        <v>79</v>
      </c>
      <c r="B6" s="145">
        <v>30</v>
      </c>
    </row>
    <row r="7" spans="1:5">
      <c r="A7" s="144" t="s">
        <v>80</v>
      </c>
      <c r="B7" s="145">
        <v>1</v>
      </c>
    </row>
    <row r="8" spans="1:5">
      <c r="A8" s="144" t="s">
        <v>81</v>
      </c>
      <c r="B8" s="145">
        <v>1000</v>
      </c>
    </row>
    <row r="9" spans="1:5">
      <c r="A9" s="144" t="s">
        <v>82</v>
      </c>
      <c r="B9" s="144" t="s">
        <v>83</v>
      </c>
      <c r="C9" s="144" t="s">
        <v>84</v>
      </c>
    </row>
    <row r="10" spans="1:5">
      <c r="A10" s="144">
        <v>1</v>
      </c>
      <c r="B10" s="144">
        <v>112.6495895989171</v>
      </c>
      <c r="C10" s="144">
        <v>47.355490913268362</v>
      </c>
    </row>
    <row r="11" spans="1:5">
      <c r="A11" s="144">
        <v>2</v>
      </c>
      <c r="B11" s="144">
        <v>120.67935735459059</v>
      </c>
      <c r="C11" s="144">
        <v>55.378569983151614</v>
      </c>
    </row>
    <row r="12" spans="1:5">
      <c r="A12" s="144">
        <v>3</v>
      </c>
      <c r="B12" s="144">
        <v>112.92297546617458</v>
      </c>
      <c r="C12" s="144">
        <v>47.628649053869069</v>
      </c>
    </row>
    <row r="13" spans="1:5">
      <c r="A13" s="144">
        <v>4</v>
      </c>
      <c r="B13" s="144">
        <v>87.684870346503899</v>
      </c>
      <c r="C13" s="144">
        <v>22.411566927667568</v>
      </c>
    </row>
    <row r="14" spans="1:5">
      <c r="A14" s="144">
        <v>5</v>
      </c>
      <c r="B14" s="144">
        <v>70.790461812320402</v>
      </c>
      <c r="C14" s="144">
        <v>5.5312312027776187</v>
      </c>
    </row>
    <row r="15" spans="1:5">
      <c r="A15" s="144">
        <v>6</v>
      </c>
      <c r="B15" s="144">
        <v>90.199725380032504</v>
      </c>
      <c r="C15" s="144">
        <v>24.924327121639276</v>
      </c>
    </row>
    <row r="16" spans="1:5">
      <c r="A16" s="144">
        <v>7</v>
      </c>
      <c r="B16" s="144">
        <v>131.87742289463017</v>
      </c>
      <c r="C16" s="144">
        <v>66.567307689045194</v>
      </c>
    </row>
    <row r="17" spans="1:3">
      <c r="A17" s="144">
        <v>8</v>
      </c>
      <c r="B17" s="144">
        <v>99.006369630352481</v>
      </c>
      <c r="C17" s="144">
        <v>33.723635558764009</v>
      </c>
    </row>
    <row r="18" spans="1:3">
      <c r="A18" s="144">
        <v>9</v>
      </c>
      <c r="B18" s="144">
        <v>104.04673919828659</v>
      </c>
      <c r="C18" s="144">
        <v>38.759806568367111</v>
      </c>
    </row>
    <row r="19" spans="1:3">
      <c r="A19" s="144">
        <v>10</v>
      </c>
      <c r="B19" s="144">
        <v>103.22514583353946</v>
      </c>
      <c r="C19" s="144">
        <v>37.938897579561029</v>
      </c>
    </row>
    <row r="20" spans="1:3">
      <c r="A20" s="144">
        <v>11</v>
      </c>
      <c r="B20" s="144">
        <v>119.53956998053737</v>
      </c>
      <c r="C20" s="144">
        <v>54.239732036260499</v>
      </c>
    </row>
    <row r="21" spans="1:3">
      <c r="A21" s="144">
        <v>12</v>
      </c>
      <c r="B21" s="144">
        <v>103.66902632147432</v>
      </c>
      <c r="C21" s="144">
        <v>38.382408321171638</v>
      </c>
    </row>
    <row r="22" spans="1:3">
      <c r="A22" s="144">
        <v>13</v>
      </c>
      <c r="B22" s="144">
        <v>112.58225714187273</v>
      </c>
      <c r="C22" s="144">
        <v>47.288214543232023</v>
      </c>
    </row>
    <row r="23" spans="1:3">
      <c r="A23" s="144">
        <v>14</v>
      </c>
      <c r="B23" s="144">
        <v>107.03172515354538</v>
      </c>
      <c r="C23" s="144">
        <v>41.74230607149547</v>
      </c>
    </row>
    <row r="24" spans="1:3">
      <c r="A24" s="144">
        <v>15</v>
      </c>
      <c r="B24" s="144">
        <v>88.831596098016519</v>
      </c>
      <c r="C24" s="144">
        <v>23.557337472445344</v>
      </c>
    </row>
    <row r="25" spans="1:3">
      <c r="A25" s="144">
        <v>16</v>
      </c>
      <c r="B25" s="144">
        <v>131.48229483842215</v>
      </c>
      <c r="C25" s="144">
        <v>66.172508769058197</v>
      </c>
    </row>
    <row r="26" spans="1:3">
      <c r="A26" s="144">
        <v>17</v>
      </c>
      <c r="B26" s="144">
        <v>113.19577268123398</v>
      </c>
      <c r="C26" s="144">
        <v>47.901219032610868</v>
      </c>
    </row>
    <row r="27" spans="1:3">
      <c r="A27" s="144">
        <v>18</v>
      </c>
      <c r="B27" s="144">
        <v>89.893507995423562</v>
      </c>
      <c r="C27" s="144">
        <v>24.61836481188822</v>
      </c>
    </row>
    <row r="28" spans="1:3">
      <c r="A28" s="144">
        <v>19</v>
      </c>
      <c r="B28" s="144">
        <v>107.96643232957057</v>
      </c>
      <c r="C28" s="144">
        <v>42.676234649334937</v>
      </c>
    </row>
    <row r="29" spans="1:3">
      <c r="A29" s="144">
        <v>20</v>
      </c>
      <c r="B29" s="144">
        <v>119.58915783968338</v>
      </c>
      <c r="C29" s="144">
        <v>54.289278589403786</v>
      </c>
    </row>
    <row r="30" spans="1:3">
      <c r="A30" s="144">
        <v>21</v>
      </c>
      <c r="B30" s="144">
        <v>109.23485561741693</v>
      </c>
      <c r="C30" s="144">
        <v>43.943601358077196</v>
      </c>
    </row>
    <row r="31" spans="1:3">
      <c r="A31" s="144">
        <v>22</v>
      </c>
      <c r="B31" s="144">
        <v>98.080686786805472</v>
      </c>
      <c r="C31" s="144">
        <v>32.798723796258237</v>
      </c>
    </row>
    <row r="32" spans="1:3">
      <c r="A32" s="144">
        <v>23</v>
      </c>
      <c r="B32" s="144">
        <v>108.52219042549096</v>
      </c>
      <c r="C32" s="144">
        <v>43.2315298064267</v>
      </c>
    </row>
    <row r="33" spans="1:3">
      <c r="A33" s="144">
        <v>24</v>
      </c>
      <c r="B33" s="144">
        <v>102.00232094722399</v>
      </c>
      <c r="C33" s="144">
        <v>36.717091289510101</v>
      </c>
    </row>
    <row r="34" spans="1:3">
      <c r="A34" s="144">
        <v>25</v>
      </c>
      <c r="B34" s="144">
        <v>73.583135521058168</v>
      </c>
      <c r="C34" s="144">
        <v>8.3215786528338409</v>
      </c>
    </row>
    <row r="35" spans="1:3">
      <c r="A35" s="144">
        <v>26</v>
      </c>
      <c r="B35" s="144">
        <v>156.36205000164858</v>
      </c>
      <c r="C35" s="144">
        <v>91.031539439386648</v>
      </c>
    </row>
    <row r="36" spans="1:3">
      <c r="A36" s="144">
        <v>27</v>
      </c>
      <c r="B36" s="144">
        <v>90.211488757692365</v>
      </c>
      <c r="C36" s="144">
        <v>24.936080700567793</v>
      </c>
    </row>
    <row r="37" spans="1:3">
      <c r="A37" s="144">
        <v>28</v>
      </c>
      <c r="B37" s="144">
        <v>116.92826770881216</v>
      </c>
      <c r="C37" s="144">
        <v>51.630604943311361</v>
      </c>
    </row>
    <row r="38" spans="1:3">
      <c r="A38" s="144">
        <v>29</v>
      </c>
      <c r="B38" s="144">
        <v>73.257667419131124</v>
      </c>
      <c r="C38" s="144">
        <v>7.9963816613466978</v>
      </c>
    </row>
    <row r="39" spans="1:3">
      <c r="A39" s="144">
        <v>30</v>
      </c>
      <c r="B39" s="144">
        <v>104.67008463747388</v>
      </c>
      <c r="C39" s="144">
        <v>39.382632769401027</v>
      </c>
    </row>
    <row r="40" spans="1:3">
      <c r="A40" s="144">
        <v>31</v>
      </c>
      <c r="B40" s="144">
        <v>107.56423847471507</v>
      </c>
      <c r="C40" s="144">
        <v>42.27437581641329</v>
      </c>
    </row>
    <row r="41" spans="1:3">
      <c r="A41" s="144">
        <v>32</v>
      </c>
      <c r="B41" s="144">
        <v>128.1984243545046</v>
      </c>
      <c r="C41" s="144">
        <v>62.891373703961101</v>
      </c>
    </row>
    <row r="42" spans="1:3">
      <c r="A42" s="144">
        <v>33</v>
      </c>
      <c r="B42" s="144">
        <v>145.6928007726803</v>
      </c>
      <c r="C42" s="144">
        <v>80.371177547870928</v>
      </c>
    </row>
    <row r="43" spans="1:3">
      <c r="A43" s="144">
        <v>34</v>
      </c>
      <c r="B43" s="144">
        <v>163.2532990119972</v>
      </c>
      <c r="C43" s="144">
        <v>97.917048134356918</v>
      </c>
    </row>
    <row r="44" spans="1:3">
      <c r="A44" s="144">
        <v>35</v>
      </c>
      <c r="B44" s="144">
        <v>113.67320139458467</v>
      </c>
      <c r="C44" s="144">
        <v>48.378250054428257</v>
      </c>
    </row>
    <row r="45" spans="1:3">
      <c r="A45" s="144">
        <v>36</v>
      </c>
      <c r="B45" s="144">
        <v>83.963798413338267</v>
      </c>
      <c r="C45" s="144">
        <v>18.693594596099533</v>
      </c>
    </row>
    <row r="46" spans="1:3">
      <c r="A46" s="144">
        <v>37</v>
      </c>
      <c r="B46" s="144">
        <v>96.288905265292939</v>
      </c>
      <c r="C46" s="144">
        <v>31.00843480404005</v>
      </c>
    </row>
    <row r="47" spans="1:3">
      <c r="A47" s="144">
        <v>38</v>
      </c>
      <c r="B47" s="144">
        <v>103.19411178252753</v>
      </c>
      <c r="C47" s="144">
        <v>37.907889379485553</v>
      </c>
    </row>
    <row r="48" spans="1:3">
      <c r="A48" s="144">
        <v>39</v>
      </c>
      <c r="B48" s="144">
        <v>94.390810065407067</v>
      </c>
      <c r="C48" s="144">
        <v>29.111920691276282</v>
      </c>
    </row>
    <row r="49" spans="1:3">
      <c r="A49" s="144">
        <v>40</v>
      </c>
      <c r="B49" s="144">
        <v>143.04865685910192</v>
      </c>
      <c r="C49" s="144">
        <v>77.729236169703313</v>
      </c>
    </row>
    <row r="50" spans="1:3">
      <c r="A50" s="144">
        <v>41</v>
      </c>
      <c r="B50" s="144">
        <v>101.80292891288921</v>
      </c>
      <c r="C50" s="144">
        <v>36.517865345989819</v>
      </c>
    </row>
    <row r="51" spans="1:3">
      <c r="A51" s="144">
        <v>42</v>
      </c>
      <c r="B51" s="144">
        <v>100.60268156731398</v>
      </c>
      <c r="C51" s="144">
        <v>35.318617789899086</v>
      </c>
    </row>
    <row r="52" spans="1:3">
      <c r="A52" s="144">
        <v>43</v>
      </c>
      <c r="B52" s="144">
        <v>100.41048241999599</v>
      </c>
      <c r="C52" s="144">
        <v>35.126578741819912</v>
      </c>
    </row>
    <row r="53" spans="1:3">
      <c r="A53" s="144">
        <v>44</v>
      </c>
      <c r="B53" s="144">
        <v>128.0561624168638</v>
      </c>
      <c r="C53" s="144">
        <v>62.749230268552218</v>
      </c>
    </row>
    <row r="54" spans="1:3">
      <c r="A54" s="144">
        <v>45</v>
      </c>
      <c r="B54" s="144">
        <v>108.39046519065836</v>
      </c>
      <c r="C54" s="144">
        <v>43.0999142968979</v>
      </c>
    </row>
    <row r="55" spans="1:3">
      <c r="A55" s="144">
        <v>46</v>
      </c>
      <c r="B55" s="144">
        <v>106.34453668313026</v>
      </c>
      <c r="C55" s="144">
        <v>41.055690019598188</v>
      </c>
    </row>
    <row r="56" spans="1:3">
      <c r="A56" s="144">
        <v>47</v>
      </c>
      <c r="B56" s="144">
        <v>127.37521388156294</v>
      </c>
      <c r="C56" s="144">
        <v>62.068848953989317</v>
      </c>
    </row>
    <row r="57" spans="1:3">
      <c r="A57" s="144">
        <v>48</v>
      </c>
      <c r="B57" s="144">
        <v>112.45714172646684</v>
      </c>
      <c r="C57" s="144">
        <v>47.16320334724152</v>
      </c>
    </row>
    <row r="58" spans="1:3">
      <c r="A58" s="144">
        <v>49</v>
      </c>
      <c r="B58" s="144">
        <v>136.80078156913277</v>
      </c>
      <c r="C58" s="144">
        <v>71.486565273677144</v>
      </c>
    </row>
    <row r="59" spans="1:3">
      <c r="A59" s="144">
        <v>50</v>
      </c>
      <c r="B59" s="144">
        <v>117.41989917356145</v>
      </c>
      <c r="C59" s="144">
        <v>52.121826885831318</v>
      </c>
    </row>
    <row r="60" spans="1:3">
      <c r="A60" s="144">
        <v>51</v>
      </c>
      <c r="B60" s="144">
        <v>106.53948322954453</v>
      </c>
      <c r="C60" s="144">
        <v>41.250474178228089</v>
      </c>
    </row>
    <row r="61" spans="1:3">
      <c r="A61" s="144">
        <v>52</v>
      </c>
      <c r="B61" s="144">
        <v>113.37788476219814</v>
      </c>
      <c r="C61" s="144">
        <v>48.083179416723361</v>
      </c>
    </row>
    <row r="62" spans="1:3">
      <c r="A62" s="144">
        <v>53</v>
      </c>
      <c r="B62" s="144">
        <v>104.71945432307162</v>
      </c>
      <c r="C62" s="144">
        <v>39.431961330731589</v>
      </c>
    </row>
    <row r="63" spans="1:3">
      <c r="A63" s="144">
        <v>54</v>
      </c>
      <c r="B63" s="144">
        <v>155.88909505324185</v>
      </c>
      <c r="C63" s="144">
        <v>90.558978455928724</v>
      </c>
    </row>
    <row r="64" spans="1:3">
      <c r="A64" s="144">
        <v>55</v>
      </c>
      <c r="B64" s="144">
        <v>90.195927692516435</v>
      </c>
      <c r="C64" s="144">
        <v>24.920532597544526</v>
      </c>
    </row>
    <row r="65" spans="1:3">
      <c r="A65" s="144">
        <v>56</v>
      </c>
      <c r="B65" s="144">
        <v>114.48950500059236</v>
      </c>
      <c r="C65" s="144">
        <v>49.19387369079098</v>
      </c>
    </row>
    <row r="66" spans="1:3">
      <c r="A66" s="144">
        <v>57</v>
      </c>
      <c r="B66" s="144">
        <v>142.86661563380079</v>
      </c>
      <c r="C66" s="144">
        <v>77.547346582232066</v>
      </c>
    </row>
    <row r="67" spans="1:3">
      <c r="A67" s="144">
        <v>58</v>
      </c>
      <c r="B67" s="144">
        <v>91.387948765212357</v>
      </c>
      <c r="C67" s="144">
        <v>26.111560733127796</v>
      </c>
    </row>
    <row r="68" spans="1:3">
      <c r="A68" s="144">
        <v>59</v>
      </c>
      <c r="B68" s="144">
        <v>82.998710492521653</v>
      </c>
      <c r="C68" s="144">
        <v>17.729310580210022</v>
      </c>
    </row>
    <row r="69" spans="1:3">
      <c r="A69" s="144">
        <v>60</v>
      </c>
      <c r="B69" s="144">
        <v>101.77224262466007</v>
      </c>
      <c r="C69" s="144">
        <v>36.487204619015522</v>
      </c>
    </row>
    <row r="70" spans="1:3">
      <c r="A70" s="144">
        <v>61</v>
      </c>
      <c r="B70" s="144">
        <v>114.27304177074618</v>
      </c>
      <c r="C70" s="144">
        <v>48.977590771829696</v>
      </c>
    </row>
    <row r="71" spans="1:3">
      <c r="A71" s="144">
        <v>62</v>
      </c>
      <c r="B71" s="144">
        <v>127.34343453934193</v>
      </c>
      <c r="C71" s="144">
        <v>62.037096083522052</v>
      </c>
    </row>
    <row r="72" spans="1:3">
      <c r="A72" s="144">
        <v>63</v>
      </c>
      <c r="B72" s="144">
        <v>95.79970048518264</v>
      </c>
      <c r="C72" s="144">
        <v>30.519637524764246</v>
      </c>
    </row>
    <row r="73" spans="1:3">
      <c r="A73" s="144">
        <v>64</v>
      </c>
      <c r="B73" s="144">
        <v>124.97258074380848</v>
      </c>
      <c r="C73" s="144">
        <v>59.668217176500384</v>
      </c>
    </row>
    <row r="74" spans="1:3">
      <c r="A74" s="144">
        <v>65</v>
      </c>
      <c r="B74" s="144">
        <v>107.24528171779943</v>
      </c>
      <c r="C74" s="144">
        <v>41.955684746076969</v>
      </c>
    </row>
    <row r="75" spans="1:3">
      <c r="A75" s="144">
        <v>66</v>
      </c>
      <c r="B75" s="144">
        <v>89.473249925401788</v>
      </c>
      <c r="C75" s="144">
        <v>24.198456811042384</v>
      </c>
    </row>
    <row r="76" spans="1:3">
      <c r="A76" s="144">
        <v>67</v>
      </c>
      <c r="B76" s="144">
        <v>135.7751928494136</v>
      </c>
      <c r="C76" s="144">
        <v>70.461830855216107</v>
      </c>
    </row>
    <row r="77" spans="1:3">
      <c r="A77" s="144">
        <v>68</v>
      </c>
      <c r="B77" s="144">
        <v>108.80235125499361</v>
      </c>
      <c r="C77" s="144">
        <v>43.511457265822479</v>
      </c>
    </row>
    <row r="78" spans="1:3">
      <c r="A78" s="144">
        <v>69</v>
      </c>
      <c r="B78" s="144">
        <v>110.7033863869183</v>
      </c>
      <c r="C78" s="144">
        <v>45.410908861702225</v>
      </c>
    </row>
    <row r="79" spans="1:3">
      <c r="A79" s="144">
        <v>70</v>
      </c>
      <c r="B79" s="144">
        <v>152.39138450510831</v>
      </c>
      <c r="C79" s="144">
        <v>87.064181452439755</v>
      </c>
    </row>
    <row r="80" spans="1:3">
      <c r="A80" s="144">
        <v>71</v>
      </c>
      <c r="B80" s="144">
        <v>92.874358806623675</v>
      </c>
      <c r="C80" s="144">
        <v>27.596732615475865</v>
      </c>
    </row>
    <row r="81" spans="1:3">
      <c r="A81" s="144">
        <v>72</v>
      </c>
      <c r="B81" s="144">
        <v>153.61233497923598</v>
      </c>
      <c r="C81" s="144">
        <v>88.284114891662398</v>
      </c>
    </row>
    <row r="82" spans="1:3">
      <c r="A82" s="144">
        <v>73</v>
      </c>
      <c r="B82" s="144">
        <v>90.36188208341197</v>
      </c>
      <c r="C82" s="144">
        <v>25.086348750721367</v>
      </c>
    </row>
    <row r="83" spans="1:3">
      <c r="A83" s="144">
        <v>74</v>
      </c>
      <c r="B83" s="144">
        <v>127.96058235320105</v>
      </c>
      <c r="C83" s="144">
        <v>62.653729821764216</v>
      </c>
    </row>
    <row r="84" spans="1:3">
      <c r="A84" s="144">
        <v>75</v>
      </c>
      <c r="B84" s="144">
        <v>95.710277376599592</v>
      </c>
      <c r="C84" s="144">
        <v>30.430288904397283</v>
      </c>
    </row>
    <row r="85" spans="1:3">
      <c r="A85" s="144">
        <v>76</v>
      </c>
      <c r="B85" s="144">
        <v>112.48447046777856</v>
      </c>
      <c r="C85" s="144">
        <v>47.190509324088659</v>
      </c>
    </row>
    <row r="86" spans="1:3">
      <c r="A86" s="144">
        <v>77</v>
      </c>
      <c r="B86" s="144">
        <v>73.998944491152912</v>
      </c>
      <c r="C86" s="144">
        <v>8.7370412597915248</v>
      </c>
    </row>
    <row r="87" spans="1:3">
      <c r="A87" s="144">
        <v>78</v>
      </c>
      <c r="B87" s="144">
        <v>122.18316051114847</v>
      </c>
      <c r="C87" s="144">
        <v>56.881120492421218</v>
      </c>
    </row>
    <row r="88" spans="1:3">
      <c r="A88" s="144">
        <v>79</v>
      </c>
      <c r="B88" s="144">
        <v>134.5637563361573</v>
      </c>
      <c r="C88" s="144">
        <v>69.251403451866665</v>
      </c>
    </row>
    <row r="89" spans="1:3">
      <c r="A89" s="144">
        <v>80</v>
      </c>
      <c r="B89" s="144">
        <v>125.49600281384944</v>
      </c>
      <c r="C89" s="144">
        <v>60.191203243176282</v>
      </c>
    </row>
    <row r="90" spans="1:3">
      <c r="A90" s="144">
        <v>81</v>
      </c>
      <c r="B90" s="144">
        <v>102.917404869653</v>
      </c>
      <c r="C90" s="144">
        <v>37.631412959652977</v>
      </c>
    </row>
    <row r="91" spans="1:3">
      <c r="A91" s="144">
        <v>82</v>
      </c>
      <c r="B91" s="144">
        <v>137.69086640287017</v>
      </c>
      <c r="C91" s="144">
        <v>72.375908679024505</v>
      </c>
    </row>
    <row r="92" spans="1:3">
      <c r="A92" s="144">
        <v>83</v>
      </c>
      <c r="B92" s="144">
        <v>124.18425187856428</v>
      </c>
      <c r="C92" s="144">
        <v>58.88054497832794</v>
      </c>
    </row>
    <row r="93" spans="1:3">
      <c r="A93" s="144">
        <v>84</v>
      </c>
      <c r="B93" s="144">
        <v>106.6250130983091</v>
      </c>
      <c r="C93" s="144">
        <v>41.335932801791643</v>
      </c>
    </row>
    <row r="94" spans="1:3">
      <c r="A94" s="144">
        <v>85</v>
      </c>
      <c r="B94" s="144">
        <v>114.24810118430602</v>
      </c>
      <c r="C94" s="144">
        <v>48.952670960554052</v>
      </c>
    </row>
    <row r="95" spans="1:3">
      <c r="A95" s="144">
        <v>86</v>
      </c>
      <c r="B95" s="144">
        <v>130.66523754463171</v>
      </c>
      <c r="C95" s="144">
        <v>65.356132072724265</v>
      </c>
    </row>
    <row r="96" spans="1:3">
      <c r="A96" s="144">
        <v>87</v>
      </c>
      <c r="B96" s="144">
        <v>114.35949686203027</v>
      </c>
      <c r="C96" s="144">
        <v>49.063973847215181</v>
      </c>
    </row>
    <row r="97" spans="1:3">
      <c r="A97" s="144">
        <v>88</v>
      </c>
      <c r="B97" s="144">
        <v>138.17515027200929</v>
      </c>
      <c r="C97" s="144">
        <v>72.859789146380095</v>
      </c>
    </row>
    <row r="98" spans="1:3">
      <c r="A98" s="144">
        <v>89</v>
      </c>
      <c r="B98" s="144">
        <v>101.47731753111218</v>
      </c>
      <c r="C98" s="144">
        <v>36.192525194002819</v>
      </c>
    </row>
    <row r="99" spans="1:3">
      <c r="A99" s="144">
        <v>90</v>
      </c>
      <c r="B99" s="144">
        <v>89.169533539987754</v>
      </c>
      <c r="C99" s="144">
        <v>23.894993417188402</v>
      </c>
    </row>
    <row r="100" spans="1:3">
      <c r="A100" s="144">
        <v>91</v>
      </c>
      <c r="B100" s="144">
        <v>100.36394827925285</v>
      </c>
      <c r="C100" s="144">
        <v>35.080083363374193</v>
      </c>
    </row>
    <row r="101" spans="1:3">
      <c r="A101" s="144">
        <v>92</v>
      </c>
      <c r="B101" s="144">
        <v>84.865710479196181</v>
      </c>
      <c r="C101" s="144">
        <v>19.59475538164617</v>
      </c>
    </row>
    <row r="102" spans="1:3">
      <c r="A102" s="144">
        <v>93</v>
      </c>
      <c r="B102" s="144">
        <v>86.484122031923761</v>
      </c>
      <c r="C102" s="144">
        <v>21.211818819872203</v>
      </c>
    </row>
    <row r="103" spans="1:3">
      <c r="A103" s="144">
        <v>94</v>
      </c>
      <c r="B103" s="144">
        <v>139.96829483973357</v>
      </c>
      <c r="C103" s="144">
        <v>74.651440049411335</v>
      </c>
    </row>
    <row r="104" spans="1:3">
      <c r="A104" s="144">
        <v>95</v>
      </c>
      <c r="B104" s="144">
        <v>72.983489154804431</v>
      </c>
      <c r="C104" s="144">
        <v>7.7224317837325973</v>
      </c>
    </row>
    <row r="105" spans="1:3">
      <c r="A105" s="144">
        <v>96</v>
      </c>
      <c r="B105" s="144">
        <v>91.737223144646705</v>
      </c>
      <c r="C105" s="144">
        <v>26.460544171821429</v>
      </c>
    </row>
    <row r="106" spans="1:3">
      <c r="A106" s="144">
        <v>97</v>
      </c>
      <c r="B106" s="144">
        <v>139.38918144543493</v>
      </c>
      <c r="C106" s="144">
        <v>74.072809048582741</v>
      </c>
    </row>
    <row r="107" spans="1:3">
      <c r="A107" s="144">
        <v>98</v>
      </c>
      <c r="B107" s="144">
        <v>121.82608658329954</v>
      </c>
      <c r="C107" s="144">
        <v>56.524344002229263</v>
      </c>
    </row>
    <row r="108" spans="1:3">
      <c r="A108" s="144">
        <v>99</v>
      </c>
      <c r="B108" s="144">
        <v>112.19772933360774</v>
      </c>
      <c r="C108" s="144">
        <v>46.904007041327738</v>
      </c>
    </row>
    <row r="109" spans="1:3">
      <c r="A109" s="144">
        <v>100</v>
      </c>
      <c r="B109" s="144">
        <v>120.01671176242006</v>
      </c>
      <c r="C109" s="144">
        <v>54.71647636561984</v>
      </c>
    </row>
    <row r="110" spans="1:3">
      <c r="A110" s="144">
        <v>101</v>
      </c>
      <c r="B110" s="144">
        <v>125.78252676857444</v>
      </c>
      <c r="C110" s="144">
        <v>60.477488527398862</v>
      </c>
    </row>
    <row r="111" spans="1:3">
      <c r="A111" s="144">
        <v>102</v>
      </c>
      <c r="B111" s="144">
        <v>151.70657411310188</v>
      </c>
      <c r="C111" s="144">
        <v>86.379941498044644</v>
      </c>
    </row>
    <row r="112" spans="1:3">
      <c r="A112" s="144">
        <v>103</v>
      </c>
      <c r="B112" s="144">
        <v>132.48112557626354</v>
      </c>
      <c r="C112" s="144">
        <v>67.170507494671298</v>
      </c>
    </row>
    <row r="113" spans="1:3">
      <c r="A113" s="144">
        <v>104</v>
      </c>
      <c r="B113" s="144">
        <v>130.78470332330267</v>
      </c>
      <c r="C113" s="144">
        <v>65.475498338049306</v>
      </c>
    </row>
    <row r="114" spans="1:3">
      <c r="A114" s="144">
        <v>105</v>
      </c>
      <c r="B114" s="144">
        <v>102.1652688433019</v>
      </c>
      <c r="C114" s="144">
        <v>36.879903452238032</v>
      </c>
    </row>
    <row r="115" spans="1:3">
      <c r="A115" s="144">
        <v>106</v>
      </c>
      <c r="B115" s="144">
        <v>113.01145779476371</v>
      </c>
      <c r="C115" s="144">
        <v>47.717057677898886</v>
      </c>
    </row>
    <row r="116" spans="1:3">
      <c r="A116" s="144">
        <v>107</v>
      </c>
      <c r="B116" s="144">
        <v>122.50991576979186</v>
      </c>
      <c r="C116" s="144">
        <v>57.207603568440916</v>
      </c>
    </row>
    <row r="117" spans="1:3">
      <c r="A117" s="144">
        <v>108</v>
      </c>
      <c r="B117" s="144">
        <v>118.59111157638675</v>
      </c>
      <c r="C117" s="144">
        <v>53.292063684878968</v>
      </c>
    </row>
    <row r="118" spans="1:3">
      <c r="A118" s="144">
        <v>109</v>
      </c>
      <c r="B118" s="144">
        <v>78.741988040709472</v>
      </c>
      <c r="C118" s="144">
        <v>13.476133919489534</v>
      </c>
    </row>
    <row r="119" spans="1:3">
      <c r="A119" s="144">
        <v>110</v>
      </c>
      <c r="B119" s="144">
        <v>93.851667217413976</v>
      </c>
      <c r="C119" s="144">
        <v>28.573226941839465</v>
      </c>
    </row>
    <row r="120" spans="1:3">
      <c r="A120" s="144">
        <v>111</v>
      </c>
      <c r="B120" s="144">
        <v>95.626621329887456</v>
      </c>
      <c r="C120" s="144">
        <v>30.346702542018235</v>
      </c>
    </row>
    <row r="121" spans="1:3">
      <c r="A121" s="144">
        <v>112</v>
      </c>
      <c r="B121" s="144">
        <v>121.9574094305966</v>
      </c>
      <c r="C121" s="144">
        <v>56.655557459405784</v>
      </c>
    </row>
    <row r="122" spans="1:3">
      <c r="A122" s="144">
        <v>113</v>
      </c>
      <c r="B122" s="144">
        <v>172.7079224770028</v>
      </c>
      <c r="C122" s="144">
        <v>107.36379602841866</v>
      </c>
    </row>
    <row r="123" spans="1:3">
      <c r="A123" s="144">
        <v>114</v>
      </c>
      <c r="B123" s="144">
        <v>137.72171084527429</v>
      </c>
      <c r="C123" s="144">
        <v>72.406727428433513</v>
      </c>
    </row>
    <row r="124" spans="1:3">
      <c r="A124" s="144">
        <v>115</v>
      </c>
      <c r="B124" s="144">
        <v>74.311327945645871</v>
      </c>
      <c r="C124" s="144">
        <v>9.0491645031754278</v>
      </c>
    </row>
    <row r="125" spans="1:3">
      <c r="A125" s="144">
        <v>116</v>
      </c>
      <c r="B125" s="144">
        <v>132.023684111438</v>
      </c>
      <c r="C125" s="144">
        <v>66.713447072276722</v>
      </c>
    </row>
    <row r="126" spans="1:3">
      <c r="A126" s="144">
        <v>117</v>
      </c>
      <c r="B126" s="144">
        <v>113.91185416097962</v>
      </c>
      <c r="C126" s="144">
        <v>48.616704026360402</v>
      </c>
    </row>
    <row r="127" spans="1:3">
      <c r="A127" s="144">
        <v>118</v>
      </c>
      <c r="B127" s="144">
        <v>122.38129775547502</v>
      </c>
      <c r="C127" s="144">
        <v>57.079092691156042</v>
      </c>
    </row>
    <row r="128" spans="1:3">
      <c r="A128" s="144">
        <v>119</v>
      </c>
      <c r="B128" s="144">
        <v>160.35253114359131</v>
      </c>
      <c r="C128" s="144">
        <v>95.01869656557669</v>
      </c>
    </row>
    <row r="129" spans="1:3">
      <c r="A129" s="144">
        <v>120</v>
      </c>
      <c r="B129" s="144">
        <v>127.69003607130612</v>
      </c>
      <c r="C129" s="144">
        <v>62.383408901190613</v>
      </c>
    </row>
    <row r="130" spans="1:3">
      <c r="A130" s="144">
        <v>121</v>
      </c>
      <c r="B130" s="144">
        <v>89.616216540014378</v>
      </c>
      <c r="C130" s="144">
        <v>24.341304336436863</v>
      </c>
    </row>
    <row r="131" spans="1:3">
      <c r="A131" s="144">
        <v>122</v>
      </c>
      <c r="B131" s="144">
        <v>114.38213710232894</v>
      </c>
      <c r="C131" s="144">
        <v>49.086595228505942</v>
      </c>
    </row>
    <row r="132" spans="1:3">
      <c r="A132" s="144">
        <v>123</v>
      </c>
      <c r="B132" s="144">
        <v>99.685263962739569</v>
      </c>
      <c r="C132" s="144">
        <v>34.401964381535841</v>
      </c>
    </row>
    <row r="133" spans="1:3">
      <c r="A133" s="144">
        <v>124</v>
      </c>
      <c r="B133" s="144">
        <v>130.15662474997757</v>
      </c>
      <c r="C133" s="144">
        <v>64.84794294551304</v>
      </c>
    </row>
    <row r="134" spans="1:3">
      <c r="A134" s="144">
        <v>125</v>
      </c>
      <c r="B134" s="144">
        <v>113.26007386084342</v>
      </c>
      <c r="C134" s="144">
        <v>47.96546665022457</v>
      </c>
    </row>
    <row r="135" spans="1:3">
      <c r="A135" s="144">
        <v>126</v>
      </c>
      <c r="B135" s="144">
        <v>92.379992876776214</v>
      </c>
      <c r="C135" s="144">
        <v>27.102778485629447</v>
      </c>
    </row>
    <row r="136" spans="1:3">
      <c r="A136" s="144">
        <v>127</v>
      </c>
      <c r="B136" s="144">
        <v>92.955029124190332</v>
      </c>
      <c r="C136" s="144">
        <v>27.67733573578063</v>
      </c>
    </row>
    <row r="137" spans="1:3">
      <c r="A137" s="144">
        <v>128</v>
      </c>
      <c r="B137" s="144">
        <v>116.46077097425309</v>
      </c>
      <c r="C137" s="144">
        <v>51.163497627084254</v>
      </c>
    </row>
    <row r="138" spans="1:3">
      <c r="A138" s="144">
        <v>129</v>
      </c>
      <c r="B138" s="144">
        <v>94.045399900828343</v>
      </c>
      <c r="C138" s="144">
        <v>28.766798248600598</v>
      </c>
    </row>
    <row r="139" spans="1:3">
      <c r="A139" s="144">
        <v>130</v>
      </c>
      <c r="B139" s="144">
        <v>98.112399387158845</v>
      </c>
      <c r="C139" s="144">
        <v>32.830409980452906</v>
      </c>
    </row>
    <row r="140" spans="1:3">
      <c r="A140" s="144">
        <v>131</v>
      </c>
      <c r="B140" s="144">
        <v>96.270230642173985</v>
      </c>
      <c r="C140" s="144">
        <v>30.989775736624583</v>
      </c>
    </row>
    <row r="141" spans="1:3">
      <c r="A141" s="144">
        <v>132</v>
      </c>
      <c r="B141" s="144">
        <v>113.21618452529009</v>
      </c>
      <c r="C141" s="144">
        <v>47.921613873882414</v>
      </c>
    </row>
    <row r="142" spans="1:3">
      <c r="A142" s="144">
        <v>133</v>
      </c>
      <c r="B142" s="144">
        <v>136.5944721695563</v>
      </c>
      <c r="C142" s="144">
        <v>71.28042772698501</v>
      </c>
    </row>
    <row r="143" spans="1:3">
      <c r="A143" s="144">
        <v>134</v>
      </c>
      <c r="B143" s="144">
        <v>109.02018559274168</v>
      </c>
      <c r="C143" s="144">
        <v>43.729110150571678</v>
      </c>
    </row>
    <row r="144" spans="1:3">
      <c r="A144" s="144">
        <v>135</v>
      </c>
      <c r="B144" s="144">
        <v>132.57319075964551</v>
      </c>
      <c r="C144" s="144">
        <v>67.262495989025325</v>
      </c>
    </row>
    <row r="145" spans="1:3">
      <c r="A145" s="144">
        <v>136</v>
      </c>
      <c r="B145" s="144">
        <v>129.82143554905454</v>
      </c>
      <c r="C145" s="144">
        <v>64.513032952571308</v>
      </c>
    </row>
    <row r="146" spans="1:3">
      <c r="A146" s="144">
        <v>137</v>
      </c>
      <c r="B146" s="144">
        <v>116.32489617351209</v>
      </c>
      <c r="C146" s="144">
        <v>51.027736008178216</v>
      </c>
    </row>
    <row r="147" spans="1:3">
      <c r="A147" s="144">
        <v>138</v>
      </c>
      <c r="B147" s="144">
        <v>131.90824871252639</v>
      </c>
      <c r="C147" s="144">
        <v>66.598107829460261</v>
      </c>
    </row>
    <row r="148" spans="1:3">
      <c r="A148" s="144">
        <v>139</v>
      </c>
      <c r="B148" s="144">
        <v>88.048639378847398</v>
      </c>
      <c r="C148" s="144">
        <v>22.775032945424392</v>
      </c>
    </row>
    <row r="149" spans="1:3">
      <c r="A149" s="144">
        <v>140</v>
      </c>
      <c r="B149" s="144">
        <v>139.3126095241775</v>
      </c>
      <c r="C149" s="144">
        <v>73.996300910679608</v>
      </c>
    </row>
    <row r="150" spans="1:3">
      <c r="A150" s="144">
        <v>141</v>
      </c>
      <c r="B150" s="144">
        <v>118.9767108262199</v>
      </c>
      <c r="C150" s="144">
        <v>53.677341735855371</v>
      </c>
    </row>
    <row r="151" spans="1:3">
      <c r="A151" s="144">
        <v>142</v>
      </c>
      <c r="B151" s="144">
        <v>81.7822273886066</v>
      </c>
      <c r="C151" s="144">
        <v>16.51384078994224</v>
      </c>
    </row>
    <row r="152" spans="1:3">
      <c r="A152" s="144">
        <v>143</v>
      </c>
      <c r="B152" s="144">
        <v>139.93774981475715</v>
      </c>
      <c r="C152" s="144">
        <v>74.620920468019435</v>
      </c>
    </row>
    <row r="153" spans="1:3">
      <c r="A153" s="144">
        <v>144</v>
      </c>
      <c r="B153" s="144">
        <v>112.86011750425324</v>
      </c>
      <c r="C153" s="144">
        <v>47.565843451763051</v>
      </c>
    </row>
    <row r="154" spans="1:3">
      <c r="A154" s="144">
        <v>145</v>
      </c>
      <c r="B154" s="144">
        <v>89.923732867225567</v>
      </c>
      <c r="C154" s="144">
        <v>24.64856450678889</v>
      </c>
    </row>
    <row r="155" spans="1:3">
      <c r="A155" s="144">
        <v>146</v>
      </c>
      <c r="B155" s="144">
        <v>95.284384529483361</v>
      </c>
      <c r="C155" s="144">
        <v>30.00475082014859</v>
      </c>
    </row>
    <row r="156" spans="1:3">
      <c r="A156" s="144">
        <v>147</v>
      </c>
      <c r="B156" s="144">
        <v>116.88319670766575</v>
      </c>
      <c r="C156" s="144">
        <v>51.585571485687268</v>
      </c>
    </row>
    <row r="157" spans="1:3">
      <c r="A157" s="144">
        <v>148</v>
      </c>
      <c r="B157" s="144">
        <v>130.33535003888355</v>
      </c>
      <c r="C157" s="144">
        <v>65.026519358718431</v>
      </c>
    </row>
    <row r="158" spans="1:3">
      <c r="A158" s="144">
        <v>149</v>
      </c>
      <c r="B158" s="144">
        <v>95.026279356634035</v>
      </c>
      <c r="C158" s="144">
        <v>29.746860645348342</v>
      </c>
    </row>
    <row r="159" spans="1:3">
      <c r="A159" s="144">
        <v>150</v>
      </c>
      <c r="B159" s="144">
        <v>77.968189847989692</v>
      </c>
      <c r="C159" s="144">
        <v>12.702980289991711</v>
      </c>
    </row>
    <row r="160" spans="1:3">
      <c r="A160" s="144">
        <v>151</v>
      </c>
      <c r="B160" s="144">
        <v>133.68231723408161</v>
      </c>
      <c r="C160" s="144">
        <v>68.370698576405786</v>
      </c>
    </row>
    <row r="161" spans="1:3">
      <c r="A161" s="144">
        <v>152</v>
      </c>
      <c r="B161" s="144">
        <v>134.11813367879458</v>
      </c>
      <c r="C161" s="144">
        <v>68.806151992031303</v>
      </c>
    </row>
    <row r="162" spans="1:3">
      <c r="A162" s="144">
        <v>153</v>
      </c>
      <c r="B162" s="144">
        <v>124.08124434253639</v>
      </c>
      <c r="C162" s="144">
        <v>58.777623246156836</v>
      </c>
    </row>
    <row r="163" spans="1:3">
      <c r="A163" s="144">
        <v>154</v>
      </c>
      <c r="B163" s="144">
        <v>107.81093975357244</v>
      </c>
      <c r="C163" s="144">
        <v>42.520871596507995</v>
      </c>
    </row>
    <row r="164" spans="1:3">
      <c r="A164" s="144">
        <v>155</v>
      </c>
      <c r="B164" s="144">
        <v>95.132580902715461</v>
      </c>
      <c r="C164" s="144">
        <v>29.85307364370804</v>
      </c>
    </row>
    <row r="165" spans="1:3">
      <c r="A165" s="144">
        <v>156</v>
      </c>
      <c r="B165" s="144">
        <v>104.38168037709976</v>
      </c>
      <c r="C165" s="144">
        <v>39.09446874579799</v>
      </c>
    </row>
    <row r="166" spans="1:3">
      <c r="A166" s="144">
        <v>157</v>
      </c>
      <c r="B166" s="144">
        <v>80.659705871048843</v>
      </c>
      <c r="C166" s="144">
        <v>15.392254317326277</v>
      </c>
    </row>
    <row r="167" spans="1:3">
      <c r="A167" s="144">
        <v>158</v>
      </c>
      <c r="B167" s="144">
        <v>107.83396581835846</v>
      </c>
      <c r="C167" s="144">
        <v>42.543878480899636</v>
      </c>
    </row>
    <row r="168" spans="1:3">
      <c r="A168" s="144">
        <v>159</v>
      </c>
      <c r="B168" s="144">
        <v>91.371098193604936</v>
      </c>
      <c r="C168" s="144">
        <v>26.094724197814113</v>
      </c>
    </row>
    <row r="169" spans="1:3">
      <c r="A169" s="144">
        <v>160</v>
      </c>
      <c r="B169" s="144">
        <v>114.34644038775983</v>
      </c>
      <c r="C169" s="144">
        <v>49.050928248807722</v>
      </c>
    </row>
    <row r="170" spans="1:3">
      <c r="A170" s="144">
        <v>161</v>
      </c>
      <c r="B170" s="144">
        <v>98.790040718328385</v>
      </c>
      <c r="C170" s="144">
        <v>33.507486845739919</v>
      </c>
    </row>
    <row r="171" spans="1:3">
      <c r="A171" s="144">
        <v>162</v>
      </c>
      <c r="B171" s="144">
        <v>77.63187316237314</v>
      </c>
      <c r="C171" s="144">
        <v>12.366943751535644</v>
      </c>
    </row>
    <row r="172" spans="1:3">
      <c r="A172" s="144">
        <v>163</v>
      </c>
      <c r="B172" s="144">
        <v>89.031410492250572</v>
      </c>
      <c r="C172" s="144">
        <v>23.756985424044931</v>
      </c>
    </row>
    <row r="173" spans="1:3">
      <c r="A173" s="144">
        <v>164</v>
      </c>
      <c r="B173" s="144">
        <v>84.928092583729281</v>
      </c>
      <c r="C173" s="144">
        <v>19.657085522746598</v>
      </c>
    </row>
    <row r="174" spans="1:3">
      <c r="A174" s="144">
        <v>165</v>
      </c>
      <c r="B174" s="144">
        <v>139.33955834098828</v>
      </c>
      <c r="C174" s="144">
        <v>74.023227279497675</v>
      </c>
    </row>
    <row r="175" spans="1:3">
      <c r="A175" s="144">
        <v>166</v>
      </c>
      <c r="B175" s="144">
        <v>108.59982751374719</v>
      </c>
      <c r="C175" s="144">
        <v>43.309102224059217</v>
      </c>
    </row>
    <row r="176" spans="1:3">
      <c r="A176" s="144">
        <v>167</v>
      </c>
      <c r="B176" s="144">
        <v>97.698424054321791</v>
      </c>
      <c r="C176" s="144">
        <v>32.416779483358368</v>
      </c>
    </row>
    <row r="177" spans="1:3">
      <c r="A177" s="144">
        <v>168</v>
      </c>
      <c r="B177" s="144">
        <v>96.780365734838526</v>
      </c>
      <c r="C177" s="144">
        <v>31.499485893792951</v>
      </c>
    </row>
    <row r="178" spans="1:3">
      <c r="A178" s="144">
        <v>169</v>
      </c>
      <c r="B178" s="144">
        <v>79.973039500580484</v>
      </c>
      <c r="C178" s="144">
        <v>14.706159930473699</v>
      </c>
    </row>
    <row r="179" spans="1:3">
      <c r="A179" s="144">
        <v>170</v>
      </c>
      <c r="B179" s="144">
        <v>110.09993294393519</v>
      </c>
      <c r="C179" s="144">
        <v>44.80795808711401</v>
      </c>
    </row>
    <row r="180" spans="1:3">
      <c r="A180" s="144">
        <v>171</v>
      </c>
      <c r="B180" s="144">
        <v>87.210310747673006</v>
      </c>
      <c r="C180" s="144">
        <v>21.937402630437155</v>
      </c>
    </row>
    <row r="181" spans="1:3">
      <c r="A181" s="144">
        <v>172</v>
      </c>
      <c r="B181" s="144">
        <v>92.776787900802248</v>
      </c>
      <c r="C181" s="144">
        <v>27.499242984873245</v>
      </c>
    </row>
    <row r="182" spans="1:3">
      <c r="A182" s="144">
        <v>173</v>
      </c>
      <c r="B182" s="144">
        <v>110.95730866388789</v>
      </c>
      <c r="C182" s="144">
        <v>45.664619624917307</v>
      </c>
    </row>
    <row r="183" spans="1:3">
      <c r="A183" s="144">
        <v>174</v>
      </c>
      <c r="B183" s="144">
        <v>81.551389001917428</v>
      </c>
      <c r="C183" s="144">
        <v>16.283194688445352</v>
      </c>
    </row>
    <row r="184" spans="1:3">
      <c r="A184" s="144">
        <v>175</v>
      </c>
      <c r="B184" s="144">
        <v>86.657733035784517</v>
      </c>
      <c r="C184" s="144">
        <v>21.385285208161264</v>
      </c>
    </row>
    <row r="185" spans="1:3">
      <c r="A185" s="144">
        <v>176</v>
      </c>
      <c r="B185" s="144">
        <v>126.2563436914442</v>
      </c>
      <c r="C185" s="144">
        <v>60.950910767306972</v>
      </c>
    </row>
    <row r="186" spans="1:3">
      <c r="A186" s="144">
        <v>177</v>
      </c>
      <c r="B186" s="144">
        <v>111.69004359770197</v>
      </c>
      <c r="C186" s="144">
        <v>46.396744200637741</v>
      </c>
    </row>
    <row r="187" spans="1:3">
      <c r="A187" s="144">
        <v>178</v>
      </c>
      <c r="B187" s="144">
        <v>95.550293114792126</v>
      </c>
      <c r="C187" s="144">
        <v>30.270437907273326</v>
      </c>
    </row>
    <row r="188" spans="1:3">
      <c r="A188" s="144">
        <v>179</v>
      </c>
      <c r="B188" s="144">
        <v>133.55913990064207</v>
      </c>
      <c r="C188" s="144">
        <v>68.247623847986091</v>
      </c>
    </row>
    <row r="189" spans="1:3">
      <c r="A189" s="144">
        <v>180</v>
      </c>
      <c r="B189" s="144">
        <v>226.98227914460003</v>
      </c>
      <c r="C189" s="144">
        <v>161.59294290548857</v>
      </c>
    </row>
    <row r="190" spans="1:3">
      <c r="A190" s="144">
        <v>181</v>
      </c>
      <c r="B190" s="144">
        <v>122.55983557732949</v>
      </c>
      <c r="C190" s="144">
        <v>57.257481793467385</v>
      </c>
    </row>
    <row r="191" spans="1:3">
      <c r="A191" s="144">
        <v>182</v>
      </c>
      <c r="B191" s="144">
        <v>121.09540125599931</v>
      </c>
      <c r="C191" s="144">
        <v>55.794267325728718</v>
      </c>
    </row>
    <row r="192" spans="1:3">
      <c r="A192" s="144">
        <v>183</v>
      </c>
      <c r="B192" s="144">
        <v>91.690765895178941</v>
      </c>
      <c r="C192" s="144">
        <v>26.414125620601709</v>
      </c>
    </row>
    <row r="193" spans="1:3">
      <c r="A193" s="144">
        <v>184</v>
      </c>
      <c r="B193" s="144">
        <v>57.395511477361516</v>
      </c>
      <c r="C193" s="144">
        <v>0</v>
      </c>
    </row>
    <row r="194" spans="1:3">
      <c r="A194" s="144">
        <v>185</v>
      </c>
      <c r="B194" s="144">
        <v>144.4508253426668</v>
      </c>
      <c r="C194" s="144">
        <v>79.130236666260728</v>
      </c>
    </row>
    <row r="195" spans="1:3">
      <c r="A195" s="144">
        <v>186</v>
      </c>
      <c r="B195" s="144">
        <v>136.59208359244084</v>
      </c>
      <c r="C195" s="144">
        <v>71.278041139521349</v>
      </c>
    </row>
    <row r="196" spans="1:3">
      <c r="A196" s="144">
        <v>187</v>
      </c>
      <c r="B196" s="144">
        <v>101.21303375762817</v>
      </c>
      <c r="C196" s="144">
        <v>35.928461565256995</v>
      </c>
    </row>
    <row r="197" spans="1:3">
      <c r="A197" s="144">
        <v>188</v>
      </c>
      <c r="B197" s="144">
        <v>110.67002524271359</v>
      </c>
      <c r="C197" s="144">
        <v>45.377575506870507</v>
      </c>
    </row>
    <row r="198" spans="1:3">
      <c r="A198" s="144">
        <v>189</v>
      </c>
      <c r="B198" s="144">
        <v>95.521763254568668</v>
      </c>
      <c r="C198" s="144">
        <v>30.241931812029936</v>
      </c>
    </row>
    <row r="199" spans="1:3">
      <c r="A199" s="144">
        <v>190</v>
      </c>
      <c r="B199" s="144">
        <v>103.62046403828967</v>
      </c>
      <c r="C199" s="144">
        <v>38.33388648969909</v>
      </c>
    </row>
    <row r="200" spans="1:3">
      <c r="A200" s="144">
        <v>191</v>
      </c>
      <c r="B200" s="144">
        <v>116.87238752861656</v>
      </c>
      <c r="C200" s="144">
        <v>51.574771310535141</v>
      </c>
    </row>
    <row r="201" spans="1:3">
      <c r="A201" s="144">
        <v>192</v>
      </c>
      <c r="B201" s="144">
        <v>98.34261145026926</v>
      </c>
      <c r="C201" s="144">
        <v>33.060430280089939</v>
      </c>
    </row>
    <row r="202" spans="1:3">
      <c r="A202" s="144">
        <v>193</v>
      </c>
      <c r="B202" s="144">
        <v>120.21218494948096</v>
      </c>
      <c r="C202" s="144">
        <v>54.911786726211972</v>
      </c>
    </row>
    <row r="203" spans="1:3">
      <c r="A203" s="144">
        <v>194</v>
      </c>
      <c r="B203" s="144">
        <v>109.24976693020159</v>
      </c>
      <c r="C203" s="144">
        <v>43.958500249943974</v>
      </c>
    </row>
    <row r="204" spans="1:3">
      <c r="A204" s="144">
        <v>195</v>
      </c>
      <c r="B204" s="144">
        <v>107.76833617911598</v>
      </c>
      <c r="C204" s="144">
        <v>42.478303510241446</v>
      </c>
    </row>
    <row r="205" spans="1:3">
      <c r="A205" s="144">
        <v>196</v>
      </c>
      <c r="B205" s="144">
        <v>105.27130327942368</v>
      </c>
      <c r="C205" s="144">
        <v>39.983350604514364</v>
      </c>
    </row>
    <row r="206" spans="1:3">
      <c r="A206" s="144">
        <v>197</v>
      </c>
      <c r="B206" s="144">
        <v>103.45516994748409</v>
      </c>
      <c r="C206" s="144">
        <v>38.168730086591346</v>
      </c>
    </row>
    <row r="207" spans="1:3">
      <c r="A207" s="144">
        <v>198</v>
      </c>
      <c r="B207" s="144">
        <v>74.216496878449306</v>
      </c>
      <c r="C207" s="144">
        <v>8.9544124289498832</v>
      </c>
    </row>
    <row r="208" spans="1:3">
      <c r="A208" s="144">
        <v>199</v>
      </c>
      <c r="B208" s="144">
        <v>88.99394944003366</v>
      </c>
      <c r="C208" s="144">
        <v>23.719555576367835</v>
      </c>
    </row>
    <row r="209" spans="1:3">
      <c r="A209" s="144">
        <v>200</v>
      </c>
      <c r="B209" s="144">
        <v>155.78212815980484</v>
      </c>
      <c r="C209" s="144">
        <v>90.452100664438618</v>
      </c>
    </row>
    <row r="210" spans="1:3">
      <c r="A210" s="144">
        <v>201</v>
      </c>
      <c r="B210" s="144">
        <v>101.97866655683504</v>
      </c>
      <c r="C210" s="144">
        <v>36.693456602902089</v>
      </c>
    </row>
    <row r="211" spans="1:3">
      <c r="A211" s="144">
        <v>202</v>
      </c>
      <c r="B211" s="144">
        <v>108.49452600416295</v>
      </c>
      <c r="C211" s="144">
        <v>43.203888429180097</v>
      </c>
    </row>
    <row r="212" spans="1:3">
      <c r="A212" s="144">
        <v>203</v>
      </c>
      <c r="B212" s="144">
        <v>112.48885247493195</v>
      </c>
      <c r="C212" s="144">
        <v>47.19488768109052</v>
      </c>
    </row>
    <row r="213" spans="1:3">
      <c r="A213" s="144">
        <v>204</v>
      </c>
      <c r="B213" s="144">
        <v>140.0546648457628</v>
      </c>
      <c r="C213" s="144">
        <v>74.737738110416799</v>
      </c>
    </row>
    <row r="214" spans="1:3">
      <c r="A214" s="144">
        <v>205</v>
      </c>
      <c r="B214" s="144">
        <v>72.598602440726552</v>
      </c>
      <c r="C214" s="144">
        <v>7.3378656749790103</v>
      </c>
    </row>
    <row r="215" spans="1:3">
      <c r="A215" s="144">
        <v>206</v>
      </c>
      <c r="B215" s="144">
        <v>109.84959979953368</v>
      </c>
      <c r="C215" s="144">
        <v>44.557833466769075</v>
      </c>
    </row>
    <row r="216" spans="1:3">
      <c r="A216" s="144">
        <v>207</v>
      </c>
      <c r="B216" s="144">
        <v>120.88472829357825</v>
      </c>
      <c r="C216" s="144">
        <v>55.583769850979657</v>
      </c>
    </row>
    <row r="217" spans="1:3">
      <c r="A217" s="144">
        <v>208</v>
      </c>
      <c r="B217" s="144">
        <v>98.547516080660571</v>
      </c>
      <c r="C217" s="144">
        <v>33.265164227750276</v>
      </c>
    </row>
    <row r="218" spans="1:3">
      <c r="A218" s="144">
        <v>209</v>
      </c>
      <c r="B218" s="144">
        <v>98.987574441544496</v>
      </c>
      <c r="C218" s="144">
        <v>33.704856026089068</v>
      </c>
    </row>
    <row r="219" spans="1:3">
      <c r="A219" s="144">
        <v>210</v>
      </c>
      <c r="B219" s="144">
        <v>116.8624326347237</v>
      </c>
      <c r="C219" s="144">
        <v>51.564824708931596</v>
      </c>
    </row>
    <row r="220" spans="1:3">
      <c r="A220" s="144">
        <v>211</v>
      </c>
      <c r="B220" s="144">
        <v>88.069777447081563</v>
      </c>
      <c r="C220" s="144">
        <v>22.796153405939265</v>
      </c>
    </row>
    <row r="221" spans="1:3">
      <c r="A221" s="144">
        <v>212</v>
      </c>
      <c r="B221" s="144">
        <v>122.83212408355719</v>
      </c>
      <c r="C221" s="144">
        <v>57.529543487124926</v>
      </c>
    </row>
    <row r="222" spans="1:3">
      <c r="A222" s="144">
        <v>213</v>
      </c>
      <c r="B222" s="144">
        <v>88.615075026826133</v>
      </c>
      <c r="C222" s="144">
        <v>23.340996760320902</v>
      </c>
    </row>
    <row r="223" spans="1:3">
      <c r="A223" s="144">
        <v>214</v>
      </c>
      <c r="B223" s="144">
        <v>75.877650884019118</v>
      </c>
      <c r="C223" s="144">
        <v>10.614182716144454</v>
      </c>
    </row>
    <row r="224" spans="1:3">
      <c r="A224" s="144">
        <v>215</v>
      </c>
      <c r="B224" s="144">
        <v>89.335296761236108</v>
      </c>
      <c r="C224" s="144">
        <v>24.060618559959742</v>
      </c>
    </row>
    <row r="225" spans="1:3">
      <c r="A225" s="144">
        <v>216</v>
      </c>
      <c r="B225" s="144">
        <v>96.086052966593556</v>
      </c>
      <c r="C225" s="144">
        <v>30.805751478507648</v>
      </c>
    </row>
    <row r="226" spans="1:3">
      <c r="A226" s="144">
        <v>217</v>
      </c>
      <c r="B226" s="144">
        <v>122.53475707575812</v>
      </c>
      <c r="C226" s="144">
        <v>57.23242418194193</v>
      </c>
    </row>
    <row r="227" spans="1:3">
      <c r="A227" s="144">
        <v>218</v>
      </c>
      <c r="B227" s="144">
        <v>96.422815476716579</v>
      </c>
      <c r="C227" s="144">
        <v>31.142233470104522</v>
      </c>
    </row>
    <row r="228" spans="1:3">
      <c r="A228" s="144">
        <v>219</v>
      </c>
      <c r="B228" s="144">
        <v>92.347601539779006</v>
      </c>
      <c r="C228" s="144">
        <v>27.070414130169201</v>
      </c>
    </row>
    <row r="229" spans="1:3">
      <c r="A229" s="144">
        <v>220</v>
      </c>
      <c r="B229" s="144">
        <v>127.43286651038461</v>
      </c>
      <c r="C229" s="144">
        <v>62.126453558966347</v>
      </c>
    </row>
    <row r="230" spans="1:3">
      <c r="A230" s="144">
        <v>221</v>
      </c>
      <c r="B230" s="144">
        <v>142.11675845555723</v>
      </c>
      <c r="C230" s="144">
        <v>76.798114024675598</v>
      </c>
    </row>
    <row r="231" spans="1:3">
      <c r="A231" s="144">
        <v>222</v>
      </c>
      <c r="B231" s="144">
        <v>131.75418728444799</v>
      </c>
      <c r="C231" s="144">
        <v>66.444174732426575</v>
      </c>
    </row>
    <row r="232" spans="1:3">
      <c r="A232" s="144">
        <v>223</v>
      </c>
      <c r="B232" s="144">
        <v>102.91608689087084</v>
      </c>
      <c r="C232" s="144">
        <v>37.630096078728975</v>
      </c>
    </row>
    <row r="233" spans="1:3">
      <c r="A233" s="144">
        <v>224</v>
      </c>
      <c r="B233" s="144">
        <v>74.159733354619277</v>
      </c>
      <c r="C233" s="144">
        <v>8.8976961883522971</v>
      </c>
    </row>
    <row r="234" spans="1:3">
      <c r="A234" s="144">
        <v>225</v>
      </c>
      <c r="B234" s="144">
        <v>118.33212524501479</v>
      </c>
      <c r="C234" s="144">
        <v>53.033293085548991</v>
      </c>
    </row>
    <row r="235" spans="1:3">
      <c r="A235" s="144">
        <v>226</v>
      </c>
      <c r="B235" s="144">
        <v>101.12973491392782</v>
      </c>
      <c r="C235" s="144">
        <v>35.845232108344554</v>
      </c>
    </row>
    <row r="236" spans="1:3">
      <c r="A236" s="144">
        <v>227</v>
      </c>
      <c r="B236" s="144">
        <v>97.292544103157311</v>
      </c>
      <c r="C236" s="144">
        <v>32.011237624595125</v>
      </c>
    </row>
    <row r="237" spans="1:3">
      <c r="A237" s="144">
        <v>228</v>
      </c>
      <c r="B237" s="144">
        <v>167.01285312842472</v>
      </c>
      <c r="C237" s="144">
        <v>101.67347059405894</v>
      </c>
    </row>
    <row r="238" spans="1:3">
      <c r="A238" s="144">
        <v>229</v>
      </c>
      <c r="B238" s="144">
        <v>95.527067249845331</v>
      </c>
      <c r="C238" s="144">
        <v>30.24723138915169</v>
      </c>
    </row>
    <row r="239" spans="1:3">
      <c r="A239" s="144">
        <v>230</v>
      </c>
      <c r="B239" s="144">
        <v>95.811848700276286</v>
      </c>
      <c r="C239" s="144">
        <v>30.531775620562271</v>
      </c>
    </row>
    <row r="240" spans="1:3">
      <c r="A240" s="144">
        <v>231</v>
      </c>
      <c r="B240" s="144">
        <v>102.10292202100111</v>
      </c>
      <c r="C240" s="144">
        <v>36.817608563980293</v>
      </c>
    </row>
    <row r="241" spans="1:3">
      <c r="A241" s="144">
        <v>232</v>
      </c>
      <c r="B241" s="144">
        <v>99.424614183639818</v>
      </c>
      <c r="C241" s="144">
        <v>34.141531720107082</v>
      </c>
    </row>
    <row r="242" spans="1:3">
      <c r="A242" s="144">
        <v>233</v>
      </c>
      <c r="B242" s="144">
        <v>108.96200004418252</v>
      </c>
      <c r="C242" s="144">
        <v>43.670973069771939</v>
      </c>
    </row>
    <row r="243" spans="1:3">
      <c r="A243" s="144">
        <v>234</v>
      </c>
      <c r="B243" s="144">
        <v>83.253765779382249</v>
      </c>
      <c r="C243" s="144">
        <v>17.984153409534503</v>
      </c>
    </row>
    <row r="244" spans="1:3">
      <c r="A244" s="144">
        <v>235</v>
      </c>
      <c r="B244" s="144">
        <v>110.80249224674982</v>
      </c>
      <c r="C244" s="144">
        <v>45.50993216771942</v>
      </c>
    </row>
    <row r="245" spans="1:3">
      <c r="A245" s="144">
        <v>236</v>
      </c>
      <c r="B245" s="144">
        <v>125.21519739953501</v>
      </c>
      <c r="C245" s="144">
        <v>59.910631735898981</v>
      </c>
    </row>
    <row r="246" spans="1:3">
      <c r="A246" s="144">
        <v>237</v>
      </c>
      <c r="B246" s="144">
        <v>93.617720963955819</v>
      </c>
      <c r="C246" s="144">
        <v>28.339475562383743</v>
      </c>
    </row>
    <row r="247" spans="1:3">
      <c r="A247" s="144">
        <v>238</v>
      </c>
      <c r="B247" s="144">
        <v>108.15804457126171</v>
      </c>
      <c r="C247" s="144">
        <v>42.867687280671561</v>
      </c>
    </row>
    <row r="248" spans="1:3">
      <c r="A248" s="144">
        <v>239</v>
      </c>
      <c r="B248" s="144">
        <v>107.26950522569967</v>
      </c>
      <c r="C248" s="144">
        <v>41.979888076129235</v>
      </c>
    </row>
    <row r="249" spans="1:3">
      <c r="A249" s="144">
        <v>240</v>
      </c>
      <c r="B249" s="144">
        <v>130.57986120845138</v>
      </c>
      <c r="C249" s="144">
        <v>65.270826853854416</v>
      </c>
    </row>
    <row r="250" spans="1:3">
      <c r="A250" s="144">
        <v>241</v>
      </c>
      <c r="B250" s="144">
        <v>90.914413295300079</v>
      </c>
      <c r="C250" s="144">
        <v>25.638419711730737</v>
      </c>
    </row>
    <row r="251" spans="1:3">
      <c r="A251" s="144">
        <v>242</v>
      </c>
      <c r="B251" s="144">
        <v>138.01549724286721</v>
      </c>
      <c r="C251" s="144">
        <v>72.700269106009287</v>
      </c>
    </row>
    <row r="252" spans="1:3">
      <c r="A252" s="144">
        <v>243</v>
      </c>
      <c r="B252" s="144">
        <v>99.997539138546287</v>
      </c>
      <c r="C252" s="144">
        <v>34.713979436428154</v>
      </c>
    </row>
    <row r="253" spans="1:3">
      <c r="A253" s="144">
        <v>244</v>
      </c>
      <c r="B253" s="144">
        <v>171.68663143712311</v>
      </c>
      <c r="C253" s="144">
        <v>106.34335570988908</v>
      </c>
    </row>
    <row r="254" spans="1:3">
      <c r="A254" s="144">
        <v>245</v>
      </c>
      <c r="B254" s="144">
        <v>78.351774623468145</v>
      </c>
      <c r="C254" s="144">
        <v>13.086245544642768</v>
      </c>
    </row>
    <row r="255" spans="1:3">
      <c r="A255" s="144">
        <v>246</v>
      </c>
      <c r="B255" s="144">
        <v>125.48793993609395</v>
      </c>
      <c r="C255" s="144">
        <v>60.183147081686755</v>
      </c>
    </row>
    <row r="256" spans="1:3">
      <c r="A256" s="144">
        <v>247</v>
      </c>
      <c r="B256" s="144">
        <v>96.525283331426152</v>
      </c>
      <c r="C256" s="144">
        <v>31.244615970504405</v>
      </c>
    </row>
    <row r="257" spans="1:3">
      <c r="A257" s="144">
        <v>248</v>
      </c>
      <c r="B257" s="144">
        <v>110.3605539204674</v>
      </c>
      <c r="C257" s="144">
        <v>45.06836196996737</v>
      </c>
    </row>
    <row r="258" spans="1:3">
      <c r="A258" s="144">
        <v>249</v>
      </c>
      <c r="B258" s="144">
        <v>97.456414564919314</v>
      </c>
      <c r="C258" s="144">
        <v>32.174971584522659</v>
      </c>
    </row>
    <row r="259" spans="1:3">
      <c r="A259" s="144">
        <v>250</v>
      </c>
      <c r="B259" s="144">
        <v>117.66795752493546</v>
      </c>
      <c r="C259" s="144">
        <v>52.369678608019974</v>
      </c>
    </row>
    <row r="260" spans="1:3">
      <c r="A260" s="144">
        <v>251</v>
      </c>
      <c r="B260" s="144">
        <v>151.82642553142841</v>
      </c>
      <c r="C260" s="144">
        <v>86.49969308179277</v>
      </c>
    </row>
    <row r="261" spans="1:3">
      <c r="A261" s="144">
        <v>252</v>
      </c>
      <c r="B261" s="144">
        <v>93.251288886737541</v>
      </c>
      <c r="C261" s="144">
        <v>27.97334871803179</v>
      </c>
    </row>
    <row r="262" spans="1:3">
      <c r="A262" s="144">
        <v>253</v>
      </c>
      <c r="B262" s="144">
        <v>111.16303874181607</v>
      </c>
      <c r="C262" s="144">
        <v>45.870178332528099</v>
      </c>
    </row>
    <row r="263" spans="1:3">
      <c r="A263" s="144">
        <v>254</v>
      </c>
      <c r="B263" s="144">
        <v>131.06623623861631</v>
      </c>
      <c r="C263" s="144">
        <v>65.75679674032753</v>
      </c>
    </row>
    <row r="264" spans="1:3">
      <c r="A264" s="144">
        <v>255</v>
      </c>
      <c r="B264" s="144">
        <v>95.900210564763896</v>
      </c>
      <c r="C264" s="144">
        <v>30.620063880835488</v>
      </c>
    </row>
    <row r="265" spans="1:3">
      <c r="A265" s="144">
        <v>256</v>
      </c>
      <c r="B265" s="144">
        <v>122.87157260759722</v>
      </c>
      <c r="C265" s="144">
        <v>57.568959151088514</v>
      </c>
    </row>
    <row r="266" spans="1:3">
      <c r="A266" s="144">
        <v>257</v>
      </c>
      <c r="B266" s="144">
        <v>112.58081761514032</v>
      </c>
      <c r="C266" s="144">
        <v>47.286776215605528</v>
      </c>
    </row>
    <row r="267" spans="1:3">
      <c r="A267" s="144">
        <v>258</v>
      </c>
      <c r="B267" s="144">
        <v>120.62645450776721</v>
      </c>
      <c r="C267" s="144">
        <v>55.325711203669968</v>
      </c>
    </row>
    <row r="268" spans="1:3">
      <c r="A268" s="144">
        <v>259</v>
      </c>
      <c r="B268" s="144">
        <v>93.943781693433081</v>
      </c>
      <c r="C268" s="144">
        <v>28.665264687770531</v>
      </c>
    </row>
    <row r="269" spans="1:3">
      <c r="A269" s="144">
        <v>260</v>
      </c>
      <c r="B269" s="144">
        <v>87.889222142967739</v>
      </c>
      <c r="C269" s="144">
        <v>22.615748501903465</v>
      </c>
    </row>
    <row r="270" spans="1:3">
      <c r="A270" s="144">
        <v>261</v>
      </c>
      <c r="B270" s="144">
        <v>165.83181437159141</v>
      </c>
      <c r="C270" s="144">
        <v>100.49341562622064</v>
      </c>
    </row>
    <row r="271" spans="1:3">
      <c r="A271" s="144">
        <v>262</v>
      </c>
      <c r="B271" s="144">
        <v>145.89475082628041</v>
      </c>
      <c r="C271" s="144">
        <v>80.572959379861771</v>
      </c>
    </row>
    <row r="272" spans="1:3">
      <c r="A272" s="144">
        <v>263</v>
      </c>
      <c r="B272" s="144">
        <v>72.641837544928322</v>
      </c>
      <c r="C272" s="144">
        <v>7.3810647649352985</v>
      </c>
    </row>
    <row r="273" spans="1:3">
      <c r="A273" s="144">
        <v>264</v>
      </c>
      <c r="B273" s="144">
        <v>84.770833176244551</v>
      </c>
      <c r="C273" s="144">
        <v>19.499957110179309</v>
      </c>
    </row>
    <row r="274" spans="1:3">
      <c r="A274" s="144">
        <v>265</v>
      </c>
      <c r="B274" s="144">
        <v>105.88426914769636</v>
      </c>
      <c r="C274" s="144">
        <v>40.595805880673083</v>
      </c>
    </row>
    <row r="275" spans="1:3">
      <c r="A275" s="144">
        <v>266</v>
      </c>
      <c r="B275" s="144">
        <v>100.64439835954694</v>
      </c>
      <c r="C275" s="144">
        <v>35.360299832619496</v>
      </c>
    </row>
    <row r="276" spans="1:3">
      <c r="A276" s="144">
        <v>267</v>
      </c>
      <c r="B276" s="144">
        <v>92.515220485800882</v>
      </c>
      <c r="C276" s="144">
        <v>27.237893451920918</v>
      </c>
    </row>
    <row r="277" spans="1:3">
      <c r="A277" s="144">
        <v>268</v>
      </c>
      <c r="B277" s="144">
        <v>111.92865352187722</v>
      </c>
      <c r="C277" s="144">
        <v>46.635155366037175</v>
      </c>
    </row>
    <row r="278" spans="1:3">
      <c r="A278" s="144">
        <v>269</v>
      </c>
      <c r="B278" s="144">
        <v>119.05233424767707</v>
      </c>
      <c r="C278" s="144">
        <v>53.752902164045494</v>
      </c>
    </row>
    <row r="279" spans="1:3">
      <c r="A279" s="144">
        <v>270</v>
      </c>
      <c r="B279" s="144">
        <v>103.14755131550892</v>
      </c>
      <c r="C279" s="144">
        <v>37.86136769669379</v>
      </c>
    </row>
    <row r="280" spans="1:3">
      <c r="A280" s="144">
        <v>271</v>
      </c>
      <c r="B280" s="144">
        <v>78.937683391064766</v>
      </c>
      <c r="C280" s="144">
        <v>13.671666258317103</v>
      </c>
    </row>
    <row r="281" spans="1:3">
      <c r="A281" s="144">
        <v>272</v>
      </c>
      <c r="B281" s="144">
        <v>65.235690608783088</v>
      </c>
      <c r="C281" s="144">
        <v>0</v>
      </c>
    </row>
    <row r="282" spans="1:3">
      <c r="A282" s="144">
        <v>273</v>
      </c>
      <c r="B282" s="144">
        <v>95.19711137291651</v>
      </c>
      <c r="C282" s="144">
        <v>29.917550360917446</v>
      </c>
    </row>
    <row r="283" spans="1:3">
      <c r="A283" s="144">
        <v>274</v>
      </c>
      <c r="B283" s="144">
        <v>99.227370801629448</v>
      </c>
      <c r="C283" s="144">
        <v>33.94445263911345</v>
      </c>
    </row>
    <row r="284" spans="1:3">
      <c r="A284" s="144">
        <v>275</v>
      </c>
      <c r="B284" s="144">
        <v>86.905615686415771</v>
      </c>
      <c r="C284" s="144">
        <v>21.632961375963454</v>
      </c>
    </row>
    <row r="285" spans="1:3">
      <c r="A285" s="144">
        <v>276</v>
      </c>
      <c r="B285" s="144">
        <v>142.9384551244612</v>
      </c>
      <c r="C285" s="144">
        <v>77.6191262315876</v>
      </c>
    </row>
    <row r="286" spans="1:3">
      <c r="A286" s="144">
        <v>277</v>
      </c>
      <c r="B286" s="144">
        <v>131.12097317922345</v>
      </c>
      <c r="C286" s="144">
        <v>65.811488085818098</v>
      </c>
    </row>
    <row r="287" spans="1:3">
      <c r="A287" s="144">
        <v>278</v>
      </c>
      <c r="B287" s="144">
        <v>94.344136719874598</v>
      </c>
      <c r="C287" s="144">
        <v>29.0652862239969</v>
      </c>
    </row>
    <row r="288" spans="1:3">
      <c r="A288" s="144">
        <v>279</v>
      </c>
      <c r="B288" s="144">
        <v>121.73808147240395</v>
      </c>
      <c r="C288" s="144">
        <v>56.436412198377234</v>
      </c>
    </row>
    <row r="289" spans="1:3">
      <c r="A289" s="144">
        <v>280</v>
      </c>
      <c r="B289" s="144">
        <v>130.94789814906815</v>
      </c>
      <c r="C289" s="144">
        <v>65.638557224775795</v>
      </c>
    </row>
    <row r="290" spans="1:3">
      <c r="A290" s="144">
        <v>281</v>
      </c>
      <c r="B290" s="144">
        <v>71.649707909918021</v>
      </c>
      <c r="C290" s="144">
        <v>6.389761560227055</v>
      </c>
    </row>
    <row r="291" spans="1:3">
      <c r="A291" s="144">
        <v>282</v>
      </c>
      <c r="B291" s="144">
        <v>120.1994224085792</v>
      </c>
      <c r="C291" s="144">
        <v>54.899034816330762</v>
      </c>
    </row>
    <row r="292" spans="1:3">
      <c r="A292" s="144">
        <v>283</v>
      </c>
      <c r="B292" s="144">
        <v>145.72898961443482</v>
      </c>
      <c r="C292" s="144">
        <v>80.407336244819405</v>
      </c>
    </row>
    <row r="293" spans="1:3">
      <c r="A293" s="144">
        <v>284</v>
      </c>
      <c r="B293" s="144">
        <v>141.23348384839588</v>
      </c>
      <c r="C293" s="144">
        <v>75.915575173079489</v>
      </c>
    </row>
    <row r="294" spans="1:3">
      <c r="A294" s="144">
        <v>285</v>
      </c>
      <c r="B294" s="144">
        <v>77.566907188437582</v>
      </c>
      <c r="C294" s="144">
        <v>12.302031893360335</v>
      </c>
    </row>
    <row r="295" spans="1:3">
      <c r="A295" s="144">
        <v>286</v>
      </c>
      <c r="B295" s="144">
        <v>93.047976419302529</v>
      </c>
      <c r="C295" s="144">
        <v>27.770205607077973</v>
      </c>
    </row>
    <row r="296" spans="1:3">
      <c r="A296" s="144">
        <v>287</v>
      </c>
      <c r="B296" s="144">
        <v>101.1053231576395</v>
      </c>
      <c r="C296" s="144">
        <v>35.820840686712529</v>
      </c>
    </row>
    <row r="297" spans="1:3">
      <c r="A297" s="144">
        <v>288</v>
      </c>
      <c r="B297" s="144">
        <v>101.80437049656202</v>
      </c>
      <c r="C297" s="144">
        <v>36.5193057288433</v>
      </c>
    </row>
    <row r="298" spans="1:3">
      <c r="A298" s="144">
        <v>289</v>
      </c>
      <c r="B298" s="144">
        <v>92.337731874188151</v>
      </c>
      <c r="C298" s="144">
        <v>27.060552685873656</v>
      </c>
    </row>
    <row r="299" spans="1:3">
      <c r="A299" s="144">
        <v>290</v>
      </c>
      <c r="B299" s="144">
        <v>92.181764992129985</v>
      </c>
      <c r="C299" s="144">
        <v>26.904715722077079</v>
      </c>
    </row>
    <row r="300" spans="1:3">
      <c r="A300" s="144">
        <v>291</v>
      </c>
      <c r="B300" s="144">
        <v>114.65395641688713</v>
      </c>
      <c r="C300" s="144">
        <v>49.358188121324162</v>
      </c>
    </row>
    <row r="301" spans="1:3">
      <c r="A301" s="144">
        <v>292</v>
      </c>
      <c r="B301" s="144">
        <v>93.304577326594597</v>
      </c>
      <c r="C301" s="144">
        <v>28.026592769353424</v>
      </c>
    </row>
    <row r="302" spans="1:3">
      <c r="A302" s="144">
        <v>293</v>
      </c>
      <c r="B302" s="144">
        <v>122.18540761301063</v>
      </c>
      <c r="C302" s="144">
        <v>56.883365722478516</v>
      </c>
    </row>
    <row r="303" spans="1:3">
      <c r="A303" s="144">
        <v>294</v>
      </c>
      <c r="B303" s="144">
        <v>141.86397724531213</v>
      </c>
      <c r="C303" s="144">
        <v>76.545543377692155</v>
      </c>
    </row>
    <row r="304" spans="1:3">
      <c r="A304" s="144">
        <v>295</v>
      </c>
      <c r="B304" s="144">
        <v>106.11773025385783</v>
      </c>
      <c r="C304" s="144">
        <v>40.829072516953126</v>
      </c>
    </row>
    <row r="305" spans="1:3">
      <c r="A305" s="144">
        <v>296</v>
      </c>
      <c r="B305" s="144">
        <v>112.71634528935836</v>
      </c>
      <c r="C305" s="144">
        <v>47.422190997140206</v>
      </c>
    </row>
    <row r="306" spans="1:3">
      <c r="A306" s="144">
        <v>297</v>
      </c>
      <c r="B306" s="144">
        <v>138.39072084725046</v>
      </c>
      <c r="C306" s="144">
        <v>73.075180154305343</v>
      </c>
    </row>
    <row r="307" spans="1:3">
      <c r="A307" s="144">
        <v>298</v>
      </c>
      <c r="B307" s="144">
        <v>86.062313654364743</v>
      </c>
      <c r="C307" s="144">
        <v>20.790361802873917</v>
      </c>
    </row>
    <row r="308" spans="1:3">
      <c r="A308" s="144">
        <v>299</v>
      </c>
      <c r="B308" s="144">
        <v>79.650311070165159</v>
      </c>
      <c r="C308" s="144">
        <v>14.383700328389693</v>
      </c>
    </row>
    <row r="309" spans="1:3">
      <c r="A309" s="144">
        <v>300</v>
      </c>
      <c r="B309" s="144">
        <v>102.57978308769567</v>
      </c>
      <c r="C309" s="144">
        <v>37.294072411983393</v>
      </c>
    </row>
    <row r="310" spans="1:3">
      <c r="A310" s="144">
        <v>301</v>
      </c>
      <c r="B310" s="144">
        <v>90.308807059669135</v>
      </c>
      <c r="C310" s="144">
        <v>25.033317937741273</v>
      </c>
    </row>
    <row r="311" spans="1:3">
      <c r="A311" s="144">
        <v>302</v>
      </c>
      <c r="B311" s="144">
        <v>117.44420952803948</v>
      </c>
      <c r="C311" s="144">
        <v>52.146116990119374</v>
      </c>
    </row>
    <row r="312" spans="1:3">
      <c r="A312" s="144">
        <v>303</v>
      </c>
      <c r="B312" s="144">
        <v>108.9511915329886</v>
      </c>
      <c r="C312" s="144">
        <v>43.660173561918775</v>
      </c>
    </row>
    <row r="313" spans="1:3">
      <c r="A313" s="144">
        <v>304</v>
      </c>
      <c r="B313" s="144">
        <v>113.27461213190516</v>
      </c>
      <c r="C313" s="144">
        <v>47.979992811107032</v>
      </c>
    </row>
    <row r="314" spans="1:3">
      <c r="A314" s="144">
        <v>305</v>
      </c>
      <c r="B314" s="144">
        <v>118.36561276612434</v>
      </c>
      <c r="C314" s="144">
        <v>53.06675271201533</v>
      </c>
    </row>
    <row r="315" spans="1:3">
      <c r="A315" s="144">
        <v>306</v>
      </c>
      <c r="B315" s="144">
        <v>86.460535008977175</v>
      </c>
      <c r="C315" s="144">
        <v>21.188251444590406</v>
      </c>
    </row>
    <row r="316" spans="1:3">
      <c r="A316" s="144">
        <v>307</v>
      </c>
      <c r="B316" s="144">
        <v>97.579666540752612</v>
      </c>
      <c r="C316" s="144">
        <v>32.298120893160032</v>
      </c>
    </row>
    <row r="317" spans="1:3">
      <c r="A317" s="144">
        <v>308</v>
      </c>
      <c r="B317" s="144">
        <v>84.763380510499118</v>
      </c>
      <c r="C317" s="144">
        <v>19.492510652401652</v>
      </c>
    </row>
    <row r="318" spans="1:3">
      <c r="A318" s="144">
        <v>309</v>
      </c>
      <c r="B318" s="144">
        <v>122.03534087008535</v>
      </c>
      <c r="C318" s="144">
        <v>56.733423983080307</v>
      </c>
    </row>
    <row r="319" spans="1:3">
      <c r="A319" s="144">
        <v>310</v>
      </c>
      <c r="B319" s="144">
        <v>78.606479946607948</v>
      </c>
      <c r="C319" s="144">
        <v>13.340738701761408</v>
      </c>
    </row>
    <row r="320" spans="1:3">
      <c r="A320" s="144">
        <v>311</v>
      </c>
      <c r="B320" s="144">
        <v>111.31466756753251</v>
      </c>
      <c r="C320" s="144">
        <v>46.021680853524053</v>
      </c>
    </row>
    <row r="321" spans="1:3">
      <c r="A321" s="144">
        <v>312</v>
      </c>
      <c r="B321" s="144">
        <v>114.74309062645931</v>
      </c>
      <c r="C321" s="144">
        <v>49.447248083329143</v>
      </c>
    </row>
    <row r="322" spans="1:3">
      <c r="A322" s="144">
        <v>313</v>
      </c>
      <c r="B322" s="144">
        <v>76.395075354751938</v>
      </c>
      <c r="C322" s="144">
        <v>11.131176179429708</v>
      </c>
    </row>
    <row r="323" spans="1:3">
      <c r="A323" s="144">
        <v>314</v>
      </c>
      <c r="B323" s="144">
        <v>85.447045044926469</v>
      </c>
      <c r="C323" s="144">
        <v>20.175605703701237</v>
      </c>
    </row>
    <row r="324" spans="1:3">
      <c r="A324" s="144">
        <v>315</v>
      </c>
      <c r="B324" s="144">
        <v>93.286948839565397</v>
      </c>
      <c r="C324" s="144">
        <v>28.00897896661078</v>
      </c>
    </row>
    <row r="325" spans="1:3">
      <c r="A325" s="144">
        <v>316</v>
      </c>
      <c r="B325" s="144">
        <v>106.04348939785054</v>
      </c>
      <c r="C325" s="144">
        <v>40.754893502554921</v>
      </c>
    </row>
    <row r="326" spans="1:3">
      <c r="A326" s="144">
        <v>317</v>
      </c>
      <c r="B326" s="144">
        <v>80.423906745492587</v>
      </c>
      <c r="C326" s="144">
        <v>15.156651609189359</v>
      </c>
    </row>
    <row r="327" spans="1:3">
      <c r="A327" s="144">
        <v>318</v>
      </c>
      <c r="B327" s="144">
        <v>100.17088247896613</v>
      </c>
      <c r="C327" s="144">
        <v>34.887178384236265</v>
      </c>
    </row>
    <row r="328" spans="1:3">
      <c r="A328" s="144">
        <v>319</v>
      </c>
      <c r="B328" s="144">
        <v>108.91616692119337</v>
      </c>
      <c r="C328" s="144">
        <v>43.625178125142092</v>
      </c>
    </row>
    <row r="329" spans="1:3">
      <c r="A329" s="144">
        <v>320</v>
      </c>
      <c r="B329" s="144">
        <v>98.572435178015994</v>
      </c>
      <c r="C329" s="144">
        <v>33.290062567841296</v>
      </c>
    </row>
    <row r="330" spans="1:3">
      <c r="A330" s="144">
        <v>321</v>
      </c>
      <c r="B330" s="144">
        <v>69.66825157436017</v>
      </c>
      <c r="C330" s="144">
        <v>4.4099557504675699</v>
      </c>
    </row>
    <row r="331" spans="1:3">
      <c r="A331" s="144">
        <v>322</v>
      </c>
      <c r="B331" s="144">
        <v>79.535530347548899</v>
      </c>
      <c r="C331" s="144">
        <v>14.269015216532264</v>
      </c>
    </row>
    <row r="332" spans="1:3">
      <c r="A332" s="144">
        <v>323</v>
      </c>
      <c r="B332" s="144">
        <v>167.93559882084836</v>
      </c>
      <c r="C332" s="144">
        <v>102.59544765204772</v>
      </c>
    </row>
    <row r="333" spans="1:3">
      <c r="A333" s="144">
        <v>324</v>
      </c>
      <c r="B333" s="144">
        <v>83.649403140799308</v>
      </c>
      <c r="C333" s="144">
        <v>18.379461210486316</v>
      </c>
    </row>
    <row r="334" spans="1:3">
      <c r="A334" s="144">
        <v>325</v>
      </c>
      <c r="B334" s="144">
        <v>125.82706854598987</v>
      </c>
      <c r="C334" s="144">
        <v>60.521993202128051</v>
      </c>
    </row>
    <row r="335" spans="1:3">
      <c r="A335" s="144">
        <v>326</v>
      </c>
      <c r="B335" s="144">
        <v>114.33171142060536</v>
      </c>
      <c r="C335" s="144">
        <v>49.036211550679745</v>
      </c>
    </row>
    <row r="336" spans="1:3">
      <c r="A336" s="144">
        <v>327</v>
      </c>
      <c r="B336" s="144">
        <v>153.17875181503595</v>
      </c>
      <c r="C336" s="144">
        <v>87.85089289625796</v>
      </c>
    </row>
    <row r="337" spans="1:3">
      <c r="A337" s="144">
        <v>328</v>
      </c>
      <c r="B337" s="144">
        <v>90.659278902281812</v>
      </c>
      <c r="C337" s="144">
        <v>25.383497842142923</v>
      </c>
    </row>
    <row r="338" spans="1:3">
      <c r="A338" s="144">
        <v>329</v>
      </c>
      <c r="B338" s="144">
        <v>83.942092646191739</v>
      </c>
      <c r="C338" s="144">
        <v>18.671906909557659</v>
      </c>
    </row>
    <row r="339" spans="1:3">
      <c r="A339" s="144">
        <v>330</v>
      </c>
      <c r="B339" s="144">
        <v>106.71105685527276</v>
      </c>
      <c r="C339" s="144">
        <v>41.421904885492509</v>
      </c>
    </row>
    <row r="340" spans="1:3">
      <c r="A340" s="144">
        <v>331</v>
      </c>
      <c r="B340" s="144">
        <v>101.07716706916203</v>
      </c>
      <c r="C340" s="144">
        <v>35.792708051868416</v>
      </c>
    </row>
    <row r="341" spans="1:3">
      <c r="A341" s="144">
        <v>332</v>
      </c>
      <c r="B341" s="144">
        <v>101.26619451842618</v>
      </c>
      <c r="C341" s="144">
        <v>35.981578043874478</v>
      </c>
    </row>
    <row r="342" spans="1:3">
      <c r="A342" s="144">
        <v>333</v>
      </c>
      <c r="B342" s="144">
        <v>70.492055744878357</v>
      </c>
      <c r="C342" s="144">
        <v>5.233073703474</v>
      </c>
    </row>
    <row r="343" spans="1:3">
      <c r="A343" s="144">
        <v>334</v>
      </c>
      <c r="B343" s="144">
        <v>95.805284032887585</v>
      </c>
      <c r="C343" s="144">
        <v>30.52521642145096</v>
      </c>
    </row>
    <row r="344" spans="1:3">
      <c r="A344" s="144">
        <v>335</v>
      </c>
      <c r="B344" s="144">
        <v>116.07219574190918</v>
      </c>
      <c r="C344" s="144">
        <v>50.775246072549479</v>
      </c>
    </row>
    <row r="345" spans="1:3">
      <c r="A345" s="144">
        <v>336</v>
      </c>
      <c r="B345" s="144">
        <v>89.59803141614222</v>
      </c>
      <c r="C345" s="144">
        <v>24.323134360522072</v>
      </c>
    </row>
    <row r="346" spans="1:3">
      <c r="A346" s="144">
        <v>337</v>
      </c>
      <c r="B346" s="144">
        <v>115.32129974714942</v>
      </c>
      <c r="C346" s="144">
        <v>50.024975563796652</v>
      </c>
    </row>
    <row r="347" spans="1:3">
      <c r="A347" s="144">
        <v>338</v>
      </c>
      <c r="B347" s="144">
        <v>112.2920279011897</v>
      </c>
      <c r="C347" s="144">
        <v>46.998227059503506</v>
      </c>
    </row>
    <row r="348" spans="1:3">
      <c r="A348" s="144">
        <v>339</v>
      </c>
      <c r="B348" s="144">
        <v>159.62012521134304</v>
      </c>
      <c r="C348" s="144">
        <v>94.286900717368297</v>
      </c>
    </row>
    <row r="349" spans="1:3">
      <c r="A349" s="144">
        <v>340</v>
      </c>
      <c r="B349" s="144">
        <v>102.45297128606424</v>
      </c>
      <c r="C349" s="144">
        <v>37.167366242833673</v>
      </c>
    </row>
    <row r="350" spans="1:3">
      <c r="A350" s="144">
        <v>341</v>
      </c>
      <c r="B350" s="144">
        <v>129.97499129716118</v>
      </c>
      <c r="C350" s="144">
        <v>64.666460790857684</v>
      </c>
    </row>
    <row r="351" spans="1:3">
      <c r="A351" s="144">
        <v>342</v>
      </c>
      <c r="B351" s="144">
        <v>119.93649046109147</v>
      </c>
      <c r="C351" s="144">
        <v>54.636321887528808</v>
      </c>
    </row>
    <row r="352" spans="1:3">
      <c r="A352" s="144">
        <v>343</v>
      </c>
      <c r="B352" s="144">
        <v>85.188595309690101</v>
      </c>
      <c r="C352" s="144">
        <v>19.917371253529666</v>
      </c>
    </row>
    <row r="353" spans="1:3">
      <c r="A353" s="144">
        <v>344</v>
      </c>
      <c r="B353" s="144">
        <v>116.71689926305427</v>
      </c>
      <c r="C353" s="144">
        <v>51.419412564553504</v>
      </c>
    </row>
    <row r="354" spans="1:3">
      <c r="A354" s="144">
        <v>345</v>
      </c>
      <c r="B354" s="144">
        <v>113.30850052269636</v>
      </c>
      <c r="C354" s="144">
        <v>48.013852973336114</v>
      </c>
    </row>
    <row r="355" spans="1:3">
      <c r="A355" s="144">
        <v>346</v>
      </c>
      <c r="B355" s="144">
        <v>108.80180570173256</v>
      </c>
      <c r="C355" s="144">
        <v>43.510912166999773</v>
      </c>
    </row>
    <row r="356" spans="1:3">
      <c r="A356" s="144">
        <v>347</v>
      </c>
      <c r="B356" s="144">
        <v>98.544894599533862</v>
      </c>
      <c r="C356" s="144">
        <v>33.262544930281187</v>
      </c>
    </row>
    <row r="357" spans="1:3">
      <c r="A357" s="144">
        <v>348</v>
      </c>
      <c r="B357" s="144">
        <v>146.27774580885429</v>
      </c>
      <c r="C357" s="144">
        <v>80.955635332897614</v>
      </c>
    </row>
    <row r="358" spans="1:3">
      <c r="A358" s="144">
        <v>349</v>
      </c>
      <c r="B358" s="144">
        <v>125.82712306722968</v>
      </c>
      <c r="C358" s="144">
        <v>60.522047677952415</v>
      </c>
    </row>
    <row r="359" spans="1:3">
      <c r="A359" s="144">
        <v>350</v>
      </c>
      <c r="B359" s="144">
        <v>144.94828093742152</v>
      </c>
      <c r="C359" s="144">
        <v>79.627277887366148</v>
      </c>
    </row>
    <row r="360" spans="1:3">
      <c r="A360" s="144">
        <v>351</v>
      </c>
      <c r="B360" s="144">
        <v>95.247556139971479</v>
      </c>
      <c r="C360" s="144">
        <v>29.967953108177216</v>
      </c>
    </row>
    <row r="361" spans="1:3">
      <c r="A361" s="144">
        <v>352</v>
      </c>
      <c r="B361" s="144">
        <v>110.40698908439023</v>
      </c>
      <c r="C361" s="144">
        <v>45.114758454039119</v>
      </c>
    </row>
    <row r="362" spans="1:3">
      <c r="A362" s="144">
        <v>353</v>
      </c>
      <c r="B362" s="144">
        <v>122.66479769975382</v>
      </c>
      <c r="C362" s="144">
        <v>57.362356483891418</v>
      </c>
    </row>
    <row r="363" spans="1:3">
      <c r="A363" s="144">
        <v>354</v>
      </c>
      <c r="B363" s="144">
        <v>99.625242837439089</v>
      </c>
      <c r="C363" s="144">
        <v>34.341993253004894</v>
      </c>
    </row>
    <row r="364" spans="1:3">
      <c r="A364" s="144">
        <v>355</v>
      </c>
      <c r="B364" s="144">
        <v>114.02187044742998</v>
      </c>
      <c r="C364" s="144">
        <v>48.726628670761549</v>
      </c>
    </row>
    <row r="365" spans="1:3">
      <c r="A365" s="144">
        <v>356</v>
      </c>
      <c r="B365" s="144">
        <v>126.40931279951756</v>
      </c>
      <c r="C365" s="144">
        <v>61.103752454223127</v>
      </c>
    </row>
    <row r="366" spans="1:3">
      <c r="A366" s="144">
        <v>357</v>
      </c>
      <c r="B366" s="144">
        <v>109.20253655646535</v>
      </c>
      <c r="C366" s="144">
        <v>43.911309218457632</v>
      </c>
    </row>
    <row r="367" spans="1:3">
      <c r="A367" s="144">
        <v>358</v>
      </c>
      <c r="B367" s="144">
        <v>104.64561420500726</v>
      </c>
      <c r="C367" s="144">
        <v>39.358182720467148</v>
      </c>
    </row>
    <row r="368" spans="1:3">
      <c r="A368" s="144">
        <v>359</v>
      </c>
      <c r="B368" s="144">
        <v>151.47424290394963</v>
      </c>
      <c r="C368" s="144">
        <v>86.147803817585213</v>
      </c>
    </row>
    <row r="369" spans="1:3">
      <c r="A369" s="144">
        <v>360</v>
      </c>
      <c r="B369" s="144">
        <v>138.83822460610182</v>
      </c>
      <c r="C369" s="144">
        <v>73.522311148697753</v>
      </c>
    </row>
    <row r="370" spans="1:3">
      <c r="A370" s="144">
        <v>361</v>
      </c>
      <c r="B370" s="144">
        <v>101.28736462998617</v>
      </c>
      <c r="C370" s="144">
        <v>36.002730521023537</v>
      </c>
    </row>
    <row r="371" spans="1:3">
      <c r="A371" s="144">
        <v>362</v>
      </c>
      <c r="B371" s="144">
        <v>109.35949399040763</v>
      </c>
      <c r="C371" s="144">
        <v>44.068135909022267</v>
      </c>
    </row>
    <row r="372" spans="1:3">
      <c r="A372" s="144">
        <v>363</v>
      </c>
      <c r="B372" s="144">
        <v>162.70073801938079</v>
      </c>
      <c r="C372" s="144">
        <v>97.36494741742618</v>
      </c>
    </row>
    <row r="373" spans="1:3">
      <c r="A373" s="144">
        <v>364</v>
      </c>
      <c r="B373" s="144">
        <v>135.86366065123988</v>
      </c>
      <c r="C373" s="144">
        <v>70.550224964583663</v>
      </c>
    </row>
    <row r="374" spans="1:3">
      <c r="A374" s="144">
        <v>365</v>
      </c>
      <c r="B374" s="144">
        <v>79.002009123895775</v>
      </c>
      <c r="C374" s="144">
        <v>13.735938408699873</v>
      </c>
    </row>
    <row r="375" spans="1:3">
      <c r="A375" s="144">
        <v>366</v>
      </c>
      <c r="B375" s="144">
        <v>111.68067719769624</v>
      </c>
      <c r="C375" s="144">
        <v>46.387385602714033</v>
      </c>
    </row>
    <row r="376" spans="1:3">
      <c r="A376" s="144">
        <v>367</v>
      </c>
      <c r="B376" s="144">
        <v>116.6665767500259</v>
      </c>
      <c r="C376" s="144">
        <v>51.369131969484407</v>
      </c>
    </row>
    <row r="377" spans="1:3">
      <c r="A377" s="144">
        <v>368</v>
      </c>
      <c r="B377" s="144">
        <v>91.737891838101689</v>
      </c>
      <c r="C377" s="144">
        <v>26.461212308263985</v>
      </c>
    </row>
    <row r="378" spans="1:3">
      <c r="A378" s="144">
        <v>369</v>
      </c>
      <c r="B378" s="144">
        <v>98.012791391474551</v>
      </c>
      <c r="C378" s="144">
        <v>32.730884956855178</v>
      </c>
    </row>
    <row r="379" spans="1:3">
      <c r="A379" s="144">
        <v>370</v>
      </c>
      <c r="B379" s="144">
        <v>127.11547917197095</v>
      </c>
      <c r="C379" s="144">
        <v>61.80933059982803</v>
      </c>
    </row>
    <row r="380" spans="1:3">
      <c r="A380" s="144">
        <v>371</v>
      </c>
      <c r="B380" s="144">
        <v>83.140838837007124</v>
      </c>
      <c r="C380" s="144">
        <v>17.871320533744836</v>
      </c>
    </row>
    <row r="381" spans="1:3">
      <c r="A381" s="144">
        <v>372</v>
      </c>
      <c r="B381" s="144">
        <v>123.87240697940206</v>
      </c>
      <c r="C381" s="144">
        <v>58.56895984166561</v>
      </c>
    </row>
    <row r="382" spans="1:3">
      <c r="A382" s="144">
        <v>373</v>
      </c>
      <c r="B382" s="144">
        <v>116.91283551229429</v>
      </c>
      <c r="C382" s="144">
        <v>51.615185601600352</v>
      </c>
    </row>
    <row r="383" spans="1:3">
      <c r="A383" s="144">
        <v>374</v>
      </c>
      <c r="B383" s="144">
        <v>84.001935165439122</v>
      </c>
      <c r="C383" s="144">
        <v>18.731699580811885</v>
      </c>
    </row>
    <row r="384" spans="1:3">
      <c r="A384" s="144">
        <v>375</v>
      </c>
      <c r="B384" s="144">
        <v>119.11968550339404</v>
      </c>
      <c r="C384" s="144">
        <v>53.820197317095392</v>
      </c>
    </row>
    <row r="385" spans="1:3">
      <c r="A385" s="144">
        <v>376</v>
      </c>
      <c r="B385" s="144">
        <v>92.330679445751983</v>
      </c>
      <c r="C385" s="144">
        <v>27.053506132013105</v>
      </c>
    </row>
    <row r="386" spans="1:3">
      <c r="A386" s="144">
        <v>377</v>
      </c>
      <c r="B386" s="144">
        <v>92.729480638230669</v>
      </c>
      <c r="C386" s="144">
        <v>27.451975128598907</v>
      </c>
    </row>
    <row r="387" spans="1:3">
      <c r="A387" s="144">
        <v>378</v>
      </c>
      <c r="B387" s="144">
        <v>135.2963428539949</v>
      </c>
      <c r="C387" s="144">
        <v>69.983379735239083</v>
      </c>
    </row>
    <row r="388" spans="1:3">
      <c r="A388" s="144">
        <v>379</v>
      </c>
      <c r="B388" s="144">
        <v>120.64579794167751</v>
      </c>
      <c r="C388" s="144">
        <v>55.345038524766622</v>
      </c>
    </row>
    <row r="389" spans="1:3">
      <c r="A389" s="144">
        <v>380</v>
      </c>
      <c r="B389" s="144">
        <v>111.19077925744249</v>
      </c>
      <c r="C389" s="144">
        <v>45.897895740687609</v>
      </c>
    </row>
    <row r="390" spans="1:3">
      <c r="A390" s="144">
        <v>381</v>
      </c>
      <c r="B390" s="144">
        <v>129.3400685738907</v>
      </c>
      <c r="C390" s="144">
        <v>64.032066949458539</v>
      </c>
    </row>
    <row r="391" spans="1:3">
      <c r="A391" s="144">
        <v>382</v>
      </c>
      <c r="B391" s="144">
        <v>137.66211412889965</v>
      </c>
      <c r="C391" s="144">
        <v>72.347180355301631</v>
      </c>
    </row>
    <row r="392" spans="1:3">
      <c r="A392" s="144">
        <v>383</v>
      </c>
      <c r="B392" s="144">
        <v>78.128493772203512</v>
      </c>
      <c r="C392" s="144">
        <v>12.863150683247646</v>
      </c>
    </row>
    <row r="393" spans="1:3">
      <c r="A393" s="144">
        <v>384</v>
      </c>
      <c r="B393" s="144">
        <v>104.14057542889662</v>
      </c>
      <c r="C393" s="144">
        <v>38.853564634691288</v>
      </c>
    </row>
    <row r="394" spans="1:3">
      <c r="A394" s="144">
        <v>385</v>
      </c>
      <c r="B394" s="144">
        <v>70.966921920965433</v>
      </c>
      <c r="C394" s="144">
        <v>5.7075443225859672</v>
      </c>
    </row>
    <row r="395" spans="1:3">
      <c r="A395" s="144">
        <v>386</v>
      </c>
      <c r="B395" s="144">
        <v>112.31084485750362</v>
      </c>
      <c r="C395" s="144">
        <v>47.017028341552354</v>
      </c>
    </row>
    <row r="396" spans="1:3">
      <c r="A396" s="144">
        <v>387</v>
      </c>
      <c r="B396" s="144">
        <v>94.328653119554446</v>
      </c>
      <c r="C396" s="144">
        <v>29.049815521302257</v>
      </c>
    </row>
    <row r="397" spans="1:3">
      <c r="A397" s="144">
        <v>388</v>
      </c>
      <c r="B397" s="144">
        <v>140.19833949420178</v>
      </c>
      <c r="C397" s="144">
        <v>74.88129307985524</v>
      </c>
    </row>
    <row r="398" spans="1:3">
      <c r="A398" s="144">
        <v>389</v>
      </c>
      <c r="B398" s="144">
        <v>132.44159358169827</v>
      </c>
      <c r="C398" s="144">
        <v>67.131008429712267</v>
      </c>
    </row>
    <row r="399" spans="1:3">
      <c r="A399" s="144">
        <v>390</v>
      </c>
      <c r="B399" s="144">
        <v>89.723524500687304</v>
      </c>
      <c r="C399" s="144">
        <v>24.448522911058589</v>
      </c>
    </row>
    <row r="400" spans="1:3">
      <c r="A400" s="144">
        <v>391</v>
      </c>
      <c r="B400" s="144">
        <v>191.4476838114949</v>
      </c>
      <c r="C400" s="144">
        <v>126.08794740018651</v>
      </c>
    </row>
    <row r="401" spans="1:3">
      <c r="A401" s="144">
        <v>392</v>
      </c>
      <c r="B401" s="144">
        <v>136.74326376307923</v>
      </c>
      <c r="C401" s="144">
        <v>71.429095379162732</v>
      </c>
    </row>
    <row r="402" spans="1:3">
      <c r="A402" s="144">
        <v>393</v>
      </c>
      <c r="B402" s="144">
        <v>99.597670453223586</v>
      </c>
      <c r="C402" s="144">
        <v>34.314443836205157</v>
      </c>
    </row>
    <row r="403" spans="1:3">
      <c r="A403" s="144">
        <v>394</v>
      </c>
      <c r="B403" s="144">
        <v>122.84435312114704</v>
      </c>
      <c r="C403" s="144">
        <v>57.541762338095126</v>
      </c>
    </row>
    <row r="404" spans="1:3">
      <c r="A404" s="144">
        <v>395</v>
      </c>
      <c r="B404" s="144">
        <v>121.37168337183142</v>
      </c>
      <c r="C404" s="144">
        <v>56.070319302368958</v>
      </c>
    </row>
    <row r="405" spans="1:3">
      <c r="A405" s="144">
        <v>396</v>
      </c>
      <c r="B405" s="144">
        <v>108.13829935695927</v>
      </c>
      <c r="C405" s="144">
        <v>42.847958513860291</v>
      </c>
    </row>
    <row r="406" spans="1:3">
      <c r="A406" s="144">
        <v>397</v>
      </c>
      <c r="B406" s="144">
        <v>86.533766725485293</v>
      </c>
      <c r="C406" s="144">
        <v>21.261422160088721</v>
      </c>
    </row>
    <row r="407" spans="1:3">
      <c r="A407" s="144">
        <v>398</v>
      </c>
      <c r="B407" s="144">
        <v>111.11785828250078</v>
      </c>
      <c r="C407" s="144">
        <v>45.825035507912268</v>
      </c>
    </row>
    <row r="408" spans="1:3">
      <c r="A408" s="144">
        <v>399</v>
      </c>
      <c r="B408" s="144">
        <v>89.541306052184183</v>
      </c>
      <c r="C408" s="144">
        <v>24.266456248009831</v>
      </c>
    </row>
    <row r="409" spans="1:3">
      <c r="A409" s="144">
        <v>400</v>
      </c>
      <c r="B409" s="144">
        <v>106.79370591199817</v>
      </c>
      <c r="C409" s="144">
        <v>41.5044850966936</v>
      </c>
    </row>
    <row r="410" spans="1:3">
      <c r="A410" s="144">
        <v>401</v>
      </c>
      <c r="B410" s="144">
        <v>112.74444173801382</v>
      </c>
      <c r="C410" s="144">
        <v>47.45026404184145</v>
      </c>
    </row>
    <row r="411" spans="1:3">
      <c r="A411" s="144">
        <v>402</v>
      </c>
      <c r="B411" s="144">
        <v>97.257019780356501</v>
      </c>
      <c r="C411" s="144">
        <v>31.975742893065242</v>
      </c>
    </row>
    <row r="412" spans="1:3">
      <c r="A412" s="144">
        <v>403</v>
      </c>
      <c r="B412" s="144">
        <v>128.27526335079858</v>
      </c>
      <c r="C412" s="144">
        <v>62.968148694430973</v>
      </c>
    </row>
    <row r="413" spans="1:3">
      <c r="A413" s="144">
        <v>404</v>
      </c>
      <c r="B413" s="144">
        <v>102.92552764232151</v>
      </c>
      <c r="C413" s="144">
        <v>37.639528966163894</v>
      </c>
    </row>
    <row r="414" spans="1:3">
      <c r="A414" s="144">
        <v>405</v>
      </c>
      <c r="B414" s="144">
        <v>110.00434525163659</v>
      </c>
      <c r="C414" s="144">
        <v>44.712450018044713</v>
      </c>
    </row>
    <row r="415" spans="1:3">
      <c r="A415" s="144">
        <v>406</v>
      </c>
      <c r="B415" s="144">
        <v>103.4402082596048</v>
      </c>
      <c r="C415" s="144">
        <v>38.153780861591699</v>
      </c>
    </row>
    <row r="416" spans="1:3">
      <c r="A416" s="144">
        <v>407</v>
      </c>
      <c r="B416" s="144">
        <v>82.252873780602812</v>
      </c>
      <c r="C416" s="144">
        <v>16.984095139985289</v>
      </c>
    </row>
    <row r="417" spans="1:3">
      <c r="A417" s="144">
        <v>408</v>
      </c>
      <c r="B417" s="144">
        <v>59.230151594066463</v>
      </c>
      <c r="C417" s="144">
        <v>0</v>
      </c>
    </row>
    <row r="418" spans="1:3">
      <c r="A418" s="144">
        <v>409</v>
      </c>
      <c r="B418" s="144">
        <v>122.58335480070581</v>
      </c>
      <c r="C418" s="144">
        <v>57.280981425655014</v>
      </c>
    </row>
    <row r="419" spans="1:3">
      <c r="A419" s="144">
        <v>410</v>
      </c>
      <c r="B419" s="144">
        <v>88.191416144656188</v>
      </c>
      <c r="C419" s="144">
        <v>22.917690780156505</v>
      </c>
    </row>
    <row r="420" spans="1:3">
      <c r="A420" s="144">
        <v>411</v>
      </c>
      <c r="B420" s="144">
        <v>93.79756471715686</v>
      </c>
      <c r="C420" s="144">
        <v>28.519169508218855</v>
      </c>
    </row>
    <row r="421" spans="1:3">
      <c r="A421" s="144">
        <v>412</v>
      </c>
      <c r="B421" s="144">
        <v>155.50277211262593</v>
      </c>
      <c r="C421" s="144">
        <v>90.172977316994007</v>
      </c>
    </row>
    <row r="422" spans="1:3">
      <c r="A422" s="144">
        <v>413</v>
      </c>
      <c r="B422" s="144">
        <v>126.5504928582026</v>
      </c>
      <c r="C422" s="144">
        <v>61.244814911866506</v>
      </c>
    </row>
    <row r="423" spans="1:3">
      <c r="A423" s="144">
        <v>414</v>
      </c>
      <c r="B423" s="144">
        <v>98.648593147747548</v>
      </c>
      <c r="C423" s="144">
        <v>33.366157099034467</v>
      </c>
    </row>
    <row r="424" spans="1:3">
      <c r="A424" s="144">
        <v>415</v>
      </c>
      <c r="B424" s="144">
        <v>92.221811425624196</v>
      </c>
      <c r="C424" s="144">
        <v>26.944728797444526</v>
      </c>
    </row>
    <row r="425" spans="1:3">
      <c r="A425" s="144">
        <v>416</v>
      </c>
      <c r="B425" s="144">
        <v>114.26846825540053</v>
      </c>
      <c r="C425" s="144">
        <v>48.973021066159255</v>
      </c>
    </row>
    <row r="426" spans="1:3">
      <c r="A426" s="144">
        <v>417</v>
      </c>
      <c r="B426" s="144">
        <v>102.53846515623773</v>
      </c>
      <c r="C426" s="144">
        <v>37.252788897792477</v>
      </c>
    </row>
    <row r="427" spans="1:3">
      <c r="A427" s="144">
        <v>418</v>
      </c>
      <c r="B427" s="144">
        <v>83.191514801256133</v>
      </c>
      <c r="C427" s="144">
        <v>17.921954285614571</v>
      </c>
    </row>
    <row r="428" spans="1:3">
      <c r="A428" s="144">
        <v>419</v>
      </c>
      <c r="B428" s="144">
        <v>80.748066548572112</v>
      </c>
      <c r="C428" s="144">
        <v>15.480541391623879</v>
      </c>
    </row>
    <row r="429" spans="1:3">
      <c r="A429" s="144">
        <v>420</v>
      </c>
      <c r="B429" s="144">
        <v>170.64577663731737</v>
      </c>
      <c r="C429" s="144">
        <v>105.30336792777562</v>
      </c>
    </row>
    <row r="430" spans="1:3">
      <c r="A430" s="144">
        <v>421</v>
      </c>
      <c r="B430" s="144">
        <v>151.90891541722462</v>
      </c>
      <c r="C430" s="144">
        <v>86.582114254651842</v>
      </c>
    </row>
    <row r="431" spans="1:3">
      <c r="A431" s="144">
        <v>422</v>
      </c>
      <c r="B431" s="144">
        <v>119.71330096733695</v>
      </c>
      <c r="C431" s="144">
        <v>54.413318307544259</v>
      </c>
    </row>
    <row r="432" spans="1:3">
      <c r="A432" s="144">
        <v>423</v>
      </c>
      <c r="B432" s="144">
        <v>103.19648527833675</v>
      </c>
      <c r="C432" s="144">
        <v>37.910260898205507</v>
      </c>
    </row>
    <row r="433" spans="1:3">
      <c r="A433" s="144">
        <v>424</v>
      </c>
      <c r="B433" s="144">
        <v>104.19857773290543</v>
      </c>
      <c r="C433" s="144">
        <v>38.911518623580847</v>
      </c>
    </row>
    <row r="434" spans="1:3">
      <c r="A434" s="144">
        <v>425</v>
      </c>
      <c r="B434" s="144">
        <v>102.93942013776561</v>
      </c>
      <c r="C434" s="144">
        <v>37.653409889350897</v>
      </c>
    </row>
    <row r="435" spans="1:3">
      <c r="A435" s="144">
        <v>426</v>
      </c>
      <c r="B435" s="144">
        <v>91.740404347392314</v>
      </c>
      <c r="C435" s="144">
        <v>26.463722724669026</v>
      </c>
    </row>
    <row r="436" spans="1:3">
      <c r="A436" s="144">
        <v>427</v>
      </c>
      <c r="B436" s="144">
        <v>104.23532790987576</v>
      </c>
      <c r="C436" s="144">
        <v>38.948238188160637</v>
      </c>
    </row>
    <row r="437" spans="1:3">
      <c r="A437" s="144">
        <v>428</v>
      </c>
      <c r="B437" s="144">
        <v>122.94740935173982</v>
      </c>
      <c r="C437" s="144">
        <v>57.644732724269225</v>
      </c>
    </row>
    <row r="438" spans="1:3">
      <c r="A438" s="144">
        <v>429</v>
      </c>
      <c r="B438" s="144">
        <v>116.65458348263139</v>
      </c>
      <c r="C438" s="144">
        <v>51.35714869231623</v>
      </c>
    </row>
    <row r="439" spans="1:3">
      <c r="A439" s="144">
        <v>430</v>
      </c>
      <c r="B439" s="144">
        <v>80.870173710612463</v>
      </c>
      <c r="C439" s="144">
        <v>15.602546840082407</v>
      </c>
    </row>
    <row r="440" spans="1:3">
      <c r="A440" s="144">
        <v>431</v>
      </c>
      <c r="B440" s="144">
        <v>96.988792581510538</v>
      </c>
      <c r="C440" s="144">
        <v>31.707739123776403</v>
      </c>
    </row>
    <row r="441" spans="1:3">
      <c r="A441" s="144">
        <v>432</v>
      </c>
      <c r="B441" s="144">
        <v>81.972741764263233</v>
      </c>
      <c r="C441" s="144">
        <v>16.704196469751611</v>
      </c>
    </row>
    <row r="442" spans="1:3">
      <c r="A442" s="144">
        <v>433</v>
      </c>
      <c r="B442" s="144">
        <v>136.95841318773827</v>
      </c>
      <c r="C442" s="144">
        <v>71.64406558731848</v>
      </c>
    </row>
    <row r="443" spans="1:3">
      <c r="A443" s="144">
        <v>434</v>
      </c>
      <c r="B443" s="144">
        <v>83.521227214935323</v>
      </c>
      <c r="C443" s="144">
        <v>18.251392053400711</v>
      </c>
    </row>
    <row r="444" spans="1:3">
      <c r="A444" s="144">
        <v>435</v>
      </c>
      <c r="B444" s="144">
        <v>145.58386814740848</v>
      </c>
      <c r="C444" s="144">
        <v>80.262335661973509</v>
      </c>
    </row>
    <row r="445" spans="1:3">
      <c r="A445" s="144">
        <v>436</v>
      </c>
      <c r="B445" s="144">
        <v>121.62925823074168</v>
      </c>
      <c r="C445" s="144">
        <v>56.327679604974335</v>
      </c>
    </row>
    <row r="446" spans="1:3">
      <c r="A446" s="144">
        <v>437</v>
      </c>
      <c r="B446" s="144">
        <v>70.196106078757992</v>
      </c>
      <c r="C446" s="144">
        <v>4.9373705593436403</v>
      </c>
    </row>
    <row r="447" spans="1:3">
      <c r="A447" s="144">
        <v>438</v>
      </c>
      <c r="B447" s="144">
        <v>75.70494460379561</v>
      </c>
      <c r="C447" s="144">
        <v>10.441620297870328</v>
      </c>
    </row>
    <row r="448" spans="1:3">
      <c r="A448" s="144">
        <v>439</v>
      </c>
      <c r="B448" s="144">
        <v>122.6327825738306</v>
      </c>
      <c r="C448" s="144">
        <v>57.330368026126521</v>
      </c>
    </row>
    <row r="449" spans="1:3">
      <c r="A449" s="144">
        <v>440</v>
      </c>
      <c r="B449" s="144">
        <v>92.59317151939635</v>
      </c>
      <c r="C449" s="144">
        <v>27.315779553380537</v>
      </c>
    </row>
    <row r="450" spans="1:3">
      <c r="A450" s="144">
        <v>441</v>
      </c>
      <c r="B450" s="144">
        <v>105.00022313465573</v>
      </c>
      <c r="C450" s="144">
        <v>39.712496265768145</v>
      </c>
    </row>
    <row r="451" spans="1:3">
      <c r="A451" s="144">
        <v>442</v>
      </c>
      <c r="B451" s="144">
        <v>112.98317001834623</v>
      </c>
      <c r="C451" s="144">
        <v>47.688793464808995</v>
      </c>
    </row>
    <row r="452" spans="1:3">
      <c r="A452" s="144">
        <v>443</v>
      </c>
      <c r="B452" s="144">
        <v>136.37875348788364</v>
      </c>
      <c r="C452" s="144">
        <v>71.064888735998892</v>
      </c>
    </row>
    <row r="453" spans="1:3">
      <c r="A453" s="144">
        <v>444</v>
      </c>
      <c r="B453" s="144">
        <v>98.978311104816569</v>
      </c>
      <c r="C453" s="144">
        <v>33.69560040559287</v>
      </c>
    </row>
    <row r="454" spans="1:3">
      <c r="A454" s="144">
        <v>445</v>
      </c>
      <c r="B454" s="144">
        <v>112.61318276123269</v>
      </c>
      <c r="C454" s="144">
        <v>47.3191144019776</v>
      </c>
    </row>
    <row r="455" spans="1:3">
      <c r="A455" s="144">
        <v>446</v>
      </c>
      <c r="B455" s="144">
        <v>89.662385500210803</v>
      </c>
      <c r="C455" s="144">
        <v>24.387434838526229</v>
      </c>
    </row>
    <row r="456" spans="1:3">
      <c r="A456" s="144">
        <v>447</v>
      </c>
      <c r="B456" s="144">
        <v>85.724798586423319</v>
      </c>
      <c r="C456" s="144">
        <v>20.453127880328925</v>
      </c>
    </row>
    <row r="457" spans="1:3">
      <c r="A457" s="144">
        <v>448</v>
      </c>
      <c r="B457" s="144">
        <v>113.12237704439869</v>
      </c>
      <c r="C457" s="144">
        <v>47.827884533328763</v>
      </c>
    </row>
    <row r="458" spans="1:3">
      <c r="A458" s="144">
        <v>449</v>
      </c>
      <c r="B458" s="144">
        <v>110.18576330892711</v>
      </c>
      <c r="C458" s="144">
        <v>44.893716956595703</v>
      </c>
    </row>
    <row r="459" spans="1:3">
      <c r="A459" s="144">
        <v>450</v>
      </c>
      <c r="B459" s="144">
        <v>106.23498331029</v>
      </c>
      <c r="C459" s="144">
        <v>40.946227903206498</v>
      </c>
    </row>
    <row r="460" spans="1:3">
      <c r="A460" s="144">
        <v>451</v>
      </c>
      <c r="B460" s="144">
        <v>93.251189406080044</v>
      </c>
      <c r="C460" s="144">
        <v>27.97324932024031</v>
      </c>
    </row>
    <row r="461" spans="1:3">
      <c r="A461" s="144">
        <v>452</v>
      </c>
      <c r="B461" s="144">
        <v>82.140219030692037</v>
      </c>
      <c r="C461" s="144">
        <v>16.871534229927406</v>
      </c>
    </row>
    <row r="462" spans="1:3">
      <c r="A462" s="144">
        <v>453</v>
      </c>
      <c r="B462" s="144">
        <v>85.953894920398966</v>
      </c>
      <c r="C462" s="144">
        <v>20.682033380218172</v>
      </c>
    </row>
    <row r="463" spans="1:3">
      <c r="A463" s="144">
        <v>454</v>
      </c>
      <c r="B463" s="144">
        <v>127.01460722977667</v>
      </c>
      <c r="C463" s="144">
        <v>61.708542682570332</v>
      </c>
    </row>
    <row r="464" spans="1:3">
      <c r="A464" s="144">
        <v>455</v>
      </c>
      <c r="B464" s="144">
        <v>67.816180415068814</v>
      </c>
      <c r="C464" s="144">
        <v>2.5594273409072894</v>
      </c>
    </row>
    <row r="465" spans="1:3">
      <c r="A465" s="144">
        <v>456</v>
      </c>
      <c r="B465" s="144">
        <v>115.19755974704145</v>
      </c>
      <c r="C465" s="144">
        <v>49.901338637402091</v>
      </c>
    </row>
    <row r="466" spans="1:3">
      <c r="A466" s="144">
        <v>457</v>
      </c>
      <c r="B466" s="144">
        <v>91.84350644648336</v>
      </c>
      <c r="C466" s="144">
        <v>26.566738941133561</v>
      </c>
    </row>
    <row r="467" spans="1:3">
      <c r="A467" s="144">
        <v>458</v>
      </c>
      <c r="B467" s="144">
        <v>83.322849169415221</v>
      </c>
      <c r="C467" s="144">
        <v>18.05317925405641</v>
      </c>
    </row>
    <row r="468" spans="1:3">
      <c r="A468" s="144">
        <v>459</v>
      </c>
      <c r="B468" s="144">
        <v>107.14046363954203</v>
      </c>
      <c r="C468" s="144">
        <v>41.850953979833058</v>
      </c>
    </row>
    <row r="469" spans="1:3">
      <c r="A469" s="144">
        <v>460</v>
      </c>
      <c r="B469" s="144">
        <v>105.65485362795722</v>
      </c>
      <c r="C469" s="144">
        <v>40.366581460897685</v>
      </c>
    </row>
    <row r="470" spans="1:3">
      <c r="A470" s="144">
        <v>461</v>
      </c>
      <c r="B470" s="144">
        <v>146.0143988009429</v>
      </c>
      <c r="C470" s="144">
        <v>80.692507689411613</v>
      </c>
    </row>
    <row r="471" spans="1:3">
      <c r="A471" s="144">
        <v>462</v>
      </c>
      <c r="B471" s="144">
        <v>105.49941268045217</v>
      </c>
      <c r="C471" s="144">
        <v>40.211269993557991</v>
      </c>
    </row>
    <row r="472" spans="1:3">
      <c r="A472" s="144">
        <v>463</v>
      </c>
      <c r="B472" s="144">
        <v>111.64774115243792</v>
      </c>
      <c r="C472" s="144">
        <v>46.354476992727136</v>
      </c>
    </row>
    <row r="473" spans="1:3">
      <c r="A473" s="144">
        <v>464</v>
      </c>
      <c r="B473" s="144">
        <v>79.601881214681342</v>
      </c>
      <c r="C473" s="144">
        <v>14.335310814307526</v>
      </c>
    </row>
    <row r="474" spans="1:3">
      <c r="A474" s="144">
        <v>465</v>
      </c>
      <c r="B474" s="144">
        <v>103.13984404694071</v>
      </c>
      <c r="C474" s="144">
        <v>37.853666848173994</v>
      </c>
    </row>
    <row r="475" spans="1:3">
      <c r="A475" s="144">
        <v>466</v>
      </c>
      <c r="B475" s="144">
        <v>94.26203664719938</v>
      </c>
      <c r="C475" s="144">
        <v>28.983254539549861</v>
      </c>
    </row>
    <row r="476" spans="1:3">
      <c r="A476" s="144">
        <v>467</v>
      </c>
      <c r="B476" s="144">
        <v>129.73903521494719</v>
      </c>
      <c r="C476" s="144">
        <v>64.430701256805762</v>
      </c>
    </row>
    <row r="477" spans="1:3">
      <c r="A477" s="144">
        <v>468</v>
      </c>
      <c r="B477" s="144">
        <v>82.126960068745674</v>
      </c>
      <c r="C477" s="144">
        <v>16.858286312513467</v>
      </c>
    </row>
    <row r="478" spans="1:3">
      <c r="A478" s="144">
        <v>469</v>
      </c>
      <c r="B478" s="144">
        <v>153.14143973010971</v>
      </c>
      <c r="C478" s="144">
        <v>87.813611891783836</v>
      </c>
    </row>
    <row r="479" spans="1:3">
      <c r="A479" s="144">
        <v>470</v>
      </c>
      <c r="B479" s="144">
        <v>108.50558462024534</v>
      </c>
      <c r="C479" s="144">
        <v>43.214937833587818</v>
      </c>
    </row>
    <row r="480" spans="1:3">
      <c r="A480" s="144">
        <v>471</v>
      </c>
      <c r="B480" s="144">
        <v>96.271251603225053</v>
      </c>
      <c r="C480" s="144">
        <v>30.990795847229176</v>
      </c>
    </row>
    <row r="481" spans="1:3">
      <c r="A481" s="144">
        <v>472</v>
      </c>
      <c r="B481" s="144">
        <v>131.20976855270038</v>
      </c>
      <c r="C481" s="144">
        <v>65.900209493973634</v>
      </c>
    </row>
    <row r="482" spans="1:3">
      <c r="A482" s="144">
        <v>473</v>
      </c>
      <c r="B482" s="144">
        <v>98.701284818017029</v>
      </c>
      <c r="C482" s="144">
        <v>33.418804877869363</v>
      </c>
    </row>
    <row r="483" spans="1:3">
      <c r="A483" s="144">
        <v>474</v>
      </c>
      <c r="B483" s="144">
        <v>94.507813079056376</v>
      </c>
      <c r="C483" s="144">
        <v>29.22882624302898</v>
      </c>
    </row>
    <row r="484" spans="1:3">
      <c r="A484" s="144">
        <v>475</v>
      </c>
      <c r="B484" s="144">
        <v>135.34315772096474</v>
      </c>
      <c r="C484" s="144">
        <v>70.030155606070423</v>
      </c>
    </row>
    <row r="485" spans="1:3">
      <c r="A485" s="144">
        <v>476</v>
      </c>
      <c r="B485" s="144">
        <v>78.952916222213588</v>
      </c>
      <c r="C485" s="144">
        <v>13.686886400727676</v>
      </c>
    </row>
    <row r="486" spans="1:3">
      <c r="A486" s="144">
        <v>477</v>
      </c>
      <c r="B486" s="144">
        <v>102.17265039470473</v>
      </c>
      <c r="C486" s="144">
        <v>36.887278854910349</v>
      </c>
    </row>
    <row r="487" spans="1:3">
      <c r="A487" s="144">
        <v>478</v>
      </c>
      <c r="B487" s="144">
        <v>122.78899406926597</v>
      </c>
      <c r="C487" s="144">
        <v>57.486449399540739</v>
      </c>
    </row>
    <row r="488" spans="1:3">
      <c r="A488" s="144">
        <v>479</v>
      </c>
      <c r="B488" s="144">
        <v>118.87762113103967</v>
      </c>
      <c r="C488" s="144">
        <v>53.578334581024542</v>
      </c>
    </row>
    <row r="489" spans="1:3">
      <c r="A489" s="144">
        <v>480</v>
      </c>
      <c r="B489" s="144">
        <v>113.5882722971234</v>
      </c>
      <c r="C489" s="144">
        <v>48.293391701733789</v>
      </c>
    </row>
    <row r="490" spans="1:3">
      <c r="A490" s="144">
        <v>481</v>
      </c>
      <c r="B490" s="144">
        <v>92.565985027415664</v>
      </c>
      <c r="C490" s="144">
        <v>27.288615707372703</v>
      </c>
    </row>
    <row r="491" spans="1:3">
      <c r="A491" s="144">
        <v>482</v>
      </c>
      <c r="B491" s="144">
        <v>91.584355438769521</v>
      </c>
      <c r="C491" s="144">
        <v>26.307803802634815</v>
      </c>
    </row>
    <row r="492" spans="1:3">
      <c r="A492" s="144">
        <v>483</v>
      </c>
      <c r="B492" s="144">
        <v>154.2604200377157</v>
      </c>
      <c r="C492" s="144">
        <v>88.931660104227092</v>
      </c>
    </row>
    <row r="493" spans="1:3">
      <c r="A493" s="144">
        <v>484</v>
      </c>
      <c r="B493" s="144">
        <v>75.595587033365263</v>
      </c>
      <c r="C493" s="144">
        <v>10.332353820787839</v>
      </c>
    </row>
    <row r="494" spans="1:3">
      <c r="A494" s="144">
        <v>485</v>
      </c>
      <c r="B494" s="144">
        <v>83.957885466971646</v>
      </c>
      <c r="C494" s="144">
        <v>18.687686575135679</v>
      </c>
    </row>
    <row r="495" spans="1:3">
      <c r="A495" s="144">
        <v>486</v>
      </c>
      <c r="B495" s="144">
        <v>77.142091361807687</v>
      </c>
      <c r="C495" s="144">
        <v>11.877569932454767</v>
      </c>
    </row>
    <row r="496" spans="1:3">
      <c r="A496" s="144">
        <v>487</v>
      </c>
      <c r="B496" s="144">
        <v>132.34153273926555</v>
      </c>
      <c r="C496" s="144">
        <v>67.031030936581203</v>
      </c>
    </row>
    <row r="497" spans="1:3">
      <c r="A497" s="144">
        <v>488</v>
      </c>
      <c r="B497" s="144">
        <v>108.66441121084453</v>
      </c>
      <c r="C497" s="144">
        <v>43.373632123827647</v>
      </c>
    </row>
    <row r="498" spans="1:3">
      <c r="A498" s="144">
        <v>489</v>
      </c>
      <c r="B498" s="144">
        <v>93.118845240837118</v>
      </c>
      <c r="C498" s="144">
        <v>27.841015395861678</v>
      </c>
    </row>
    <row r="499" spans="1:3">
      <c r="A499" s="144">
        <v>490</v>
      </c>
      <c r="B499" s="144">
        <v>134.45466909436325</v>
      </c>
      <c r="C499" s="144">
        <v>69.142407078240453</v>
      </c>
    </row>
    <row r="500" spans="1:3">
      <c r="A500" s="144">
        <v>491</v>
      </c>
      <c r="B500" s="144">
        <v>101.561333325402</v>
      </c>
      <c r="C500" s="144">
        <v>36.276471004294784</v>
      </c>
    </row>
    <row r="501" spans="1:3">
      <c r="A501" s="144">
        <v>492</v>
      </c>
      <c r="B501" s="144">
        <v>137.37780374752955</v>
      </c>
      <c r="C501" s="144">
        <v>72.063106800557875</v>
      </c>
    </row>
    <row r="502" spans="1:3">
      <c r="A502" s="144">
        <v>493</v>
      </c>
      <c r="B502" s="144">
        <v>105.3829038920743</v>
      </c>
      <c r="C502" s="144">
        <v>40.094858255393895</v>
      </c>
    </row>
    <row r="503" spans="1:3">
      <c r="A503" s="144">
        <v>494</v>
      </c>
      <c r="B503" s="144">
        <v>125.16211090773741</v>
      </c>
      <c r="C503" s="144">
        <v>59.857589464416854</v>
      </c>
    </row>
    <row r="504" spans="1:3">
      <c r="A504" s="144">
        <v>495</v>
      </c>
      <c r="B504" s="144">
        <v>137.20028012556074</v>
      </c>
      <c r="C504" s="144">
        <v>71.88573105331767</v>
      </c>
    </row>
    <row r="505" spans="1:3">
      <c r="A505" s="144">
        <v>496</v>
      </c>
      <c r="B505" s="144">
        <v>118.37789181162049</v>
      </c>
      <c r="C505" s="144">
        <v>53.079021529235931</v>
      </c>
    </row>
    <row r="506" spans="1:3">
      <c r="A506" s="144">
        <v>497</v>
      </c>
      <c r="B506" s="144">
        <v>129.53791624011939</v>
      </c>
      <c r="C506" s="144">
        <v>64.229749811310057</v>
      </c>
    </row>
    <row r="507" spans="1:3">
      <c r="A507" s="144">
        <v>498</v>
      </c>
      <c r="B507" s="144">
        <v>84.589731618215524</v>
      </c>
      <c r="C507" s="144">
        <v>19.319006407250285</v>
      </c>
    </row>
    <row r="508" spans="1:3">
      <c r="A508" s="144">
        <v>499</v>
      </c>
      <c r="B508" s="144">
        <v>112.03305774846021</v>
      </c>
      <c r="C508" s="144">
        <v>46.73947262533941</v>
      </c>
    </row>
    <row r="509" spans="1:3">
      <c r="A509" s="144">
        <v>500</v>
      </c>
      <c r="B509" s="144">
        <v>89.022712610244</v>
      </c>
      <c r="C509" s="144">
        <v>23.748294787254107</v>
      </c>
    </row>
    <row r="510" spans="1:3">
      <c r="A510" s="144">
        <v>501</v>
      </c>
      <c r="B510" s="144">
        <v>85.051324156358618</v>
      </c>
      <c r="C510" s="144">
        <v>19.780214445175599</v>
      </c>
    </row>
    <row r="511" spans="1:3">
      <c r="A511" s="144">
        <v>502</v>
      </c>
      <c r="B511" s="144">
        <v>130.87583633341674</v>
      </c>
      <c r="C511" s="144">
        <v>65.566555435622917</v>
      </c>
    </row>
    <row r="512" spans="1:3">
      <c r="A512" s="144">
        <v>503</v>
      </c>
      <c r="B512" s="144">
        <v>134.99116639632089</v>
      </c>
      <c r="C512" s="144">
        <v>69.678457485345177</v>
      </c>
    </row>
    <row r="513" spans="1:3">
      <c r="A513" s="144">
        <v>504</v>
      </c>
      <c r="B513" s="144">
        <v>81.456678667968916</v>
      </c>
      <c r="C513" s="144">
        <v>16.188563246898727</v>
      </c>
    </row>
    <row r="514" spans="1:3">
      <c r="A514" s="144">
        <v>505</v>
      </c>
      <c r="B514" s="144">
        <v>114.52625009560354</v>
      </c>
      <c r="C514" s="144">
        <v>49.230588177644826</v>
      </c>
    </row>
    <row r="515" spans="1:3">
      <c r="A515" s="144">
        <v>506</v>
      </c>
      <c r="B515" s="144">
        <v>99.985288749669579</v>
      </c>
      <c r="C515" s="144">
        <v>34.701739251956418</v>
      </c>
    </row>
    <row r="516" spans="1:3">
      <c r="A516" s="144">
        <v>507</v>
      </c>
      <c r="B516" s="144">
        <v>120.48254139616049</v>
      </c>
      <c r="C516" s="144">
        <v>55.181917969700301</v>
      </c>
    </row>
    <row r="517" spans="1:3">
      <c r="A517" s="144">
        <v>508</v>
      </c>
      <c r="B517" s="144">
        <v>148.02336869375435</v>
      </c>
      <c r="C517" s="144">
        <v>82.699804138010975</v>
      </c>
    </row>
    <row r="518" spans="1:3">
      <c r="A518" s="144">
        <v>509</v>
      </c>
      <c r="B518" s="144">
        <v>85.759413675444208</v>
      </c>
      <c r="C518" s="144">
        <v>20.487714135458088</v>
      </c>
    </row>
    <row r="519" spans="1:3">
      <c r="A519" s="144">
        <v>510</v>
      </c>
      <c r="B519" s="144">
        <v>93.308266394809735</v>
      </c>
      <c r="C519" s="144">
        <v>28.030278764625621</v>
      </c>
    </row>
    <row r="520" spans="1:3">
      <c r="A520" s="144">
        <v>511</v>
      </c>
      <c r="B520" s="144">
        <v>122.35336006614313</v>
      </c>
      <c r="C520" s="144">
        <v>57.051178273534035</v>
      </c>
    </row>
    <row r="521" spans="1:3">
      <c r="A521" s="144">
        <v>512</v>
      </c>
      <c r="B521" s="144">
        <v>100.10895202364593</v>
      </c>
      <c r="C521" s="144">
        <v>34.82529951613116</v>
      </c>
    </row>
    <row r="522" spans="1:3">
      <c r="A522" s="144">
        <v>513</v>
      </c>
      <c r="B522" s="144">
        <v>91.153046703854656</v>
      </c>
      <c r="C522" s="144">
        <v>25.876854341947329</v>
      </c>
    </row>
    <row r="523" spans="1:3">
      <c r="A523" s="144">
        <v>514</v>
      </c>
      <c r="B523" s="144">
        <v>135.38413174808414</v>
      </c>
      <c r="C523" s="144">
        <v>70.071095502390364</v>
      </c>
    </row>
    <row r="524" spans="1:3">
      <c r="A524" s="144">
        <v>515</v>
      </c>
      <c r="B524" s="144">
        <v>150.60800044550197</v>
      </c>
      <c r="C524" s="144">
        <v>85.282282927157823</v>
      </c>
    </row>
    <row r="525" spans="1:3">
      <c r="A525" s="144">
        <v>516</v>
      </c>
      <c r="B525" s="144">
        <v>93.478178111634108</v>
      </c>
      <c r="C525" s="144">
        <v>28.200048947333379</v>
      </c>
    </row>
    <row r="526" spans="1:3">
      <c r="A526" s="144">
        <v>517</v>
      </c>
      <c r="B526" s="144">
        <v>140.1534455882352</v>
      </c>
      <c r="C526" s="144">
        <v>74.836436569893138</v>
      </c>
    </row>
    <row r="527" spans="1:3">
      <c r="A527" s="144">
        <v>518</v>
      </c>
      <c r="B527" s="144">
        <v>94.207076556423701</v>
      </c>
      <c r="C527" s="144">
        <v>28.928340229771763</v>
      </c>
    </row>
    <row r="528" spans="1:3">
      <c r="A528" s="144">
        <v>519</v>
      </c>
      <c r="B528" s="144">
        <v>139.51201178894775</v>
      </c>
      <c r="C528" s="144">
        <v>74.195537076113538</v>
      </c>
    </row>
    <row r="529" spans="1:3">
      <c r="A529" s="144">
        <v>520</v>
      </c>
      <c r="B529" s="144">
        <v>116.52687689117171</v>
      </c>
      <c r="C529" s="144">
        <v>51.229548478685842</v>
      </c>
    </row>
    <row r="530" spans="1:3">
      <c r="A530" s="144">
        <v>521</v>
      </c>
      <c r="B530" s="144">
        <v>91.166737574022832</v>
      </c>
      <c r="C530" s="144">
        <v>25.890533807809486</v>
      </c>
    </row>
    <row r="531" spans="1:3">
      <c r="A531" s="144">
        <v>522</v>
      </c>
      <c r="B531" s="144">
        <v>94.675621236556736</v>
      </c>
      <c r="C531" s="144">
        <v>29.396494618648632</v>
      </c>
    </row>
    <row r="532" spans="1:3">
      <c r="A532" s="144">
        <v>523</v>
      </c>
      <c r="B532" s="144">
        <v>130.90357666415181</v>
      </c>
      <c r="C532" s="144">
        <v>65.594272659045089</v>
      </c>
    </row>
    <row r="533" spans="1:3">
      <c r="A533" s="144">
        <v>524</v>
      </c>
      <c r="B533" s="144">
        <v>169.75413804420231</v>
      </c>
      <c r="C533" s="144">
        <v>104.41247205731075</v>
      </c>
    </row>
    <row r="534" spans="1:3">
      <c r="A534" s="144">
        <v>525</v>
      </c>
      <c r="B534" s="144">
        <v>104.39927287068706</v>
      </c>
      <c r="C534" s="144">
        <v>39.112046585080776</v>
      </c>
    </row>
    <row r="535" spans="1:3">
      <c r="A535" s="144">
        <v>526</v>
      </c>
      <c r="B535" s="144">
        <v>118.19389261968284</v>
      </c>
      <c r="C535" s="144">
        <v>52.895175606087371</v>
      </c>
    </row>
    <row r="536" spans="1:3">
      <c r="A536" s="144">
        <v>527</v>
      </c>
      <c r="B536" s="144">
        <v>104.34625159849296</v>
      </c>
      <c r="C536" s="144">
        <v>39.059069478875124</v>
      </c>
    </row>
    <row r="537" spans="1:3">
      <c r="A537" s="144">
        <v>528</v>
      </c>
      <c r="B537" s="144">
        <v>106.65717143102165</v>
      </c>
      <c r="C537" s="144">
        <v>41.368064347056588</v>
      </c>
    </row>
    <row r="538" spans="1:3">
      <c r="A538" s="144">
        <v>529</v>
      </c>
      <c r="B538" s="144">
        <v>98.260450686372337</v>
      </c>
      <c r="C538" s="144">
        <v>32.978337954976148</v>
      </c>
    </row>
    <row r="539" spans="1:3">
      <c r="A539" s="144">
        <v>530</v>
      </c>
      <c r="B539" s="144">
        <v>113.92070184249665</v>
      </c>
      <c r="C539" s="144">
        <v>48.625544337880775</v>
      </c>
    </row>
    <row r="540" spans="1:3">
      <c r="A540" s="144">
        <v>531</v>
      </c>
      <c r="B540" s="144">
        <v>129.576126546723</v>
      </c>
      <c r="C540" s="144">
        <v>64.267928289255295</v>
      </c>
    </row>
    <row r="541" spans="1:3">
      <c r="A541" s="144">
        <v>532</v>
      </c>
      <c r="B541" s="144">
        <v>147.05901139427081</v>
      </c>
      <c r="C541" s="144">
        <v>81.736250134857059</v>
      </c>
    </row>
    <row r="542" spans="1:3">
      <c r="A542" s="144">
        <v>533</v>
      </c>
      <c r="B542" s="144">
        <v>91.97036845505319</v>
      </c>
      <c r="C542" s="144">
        <v>26.693495275399989</v>
      </c>
    </row>
    <row r="543" spans="1:3">
      <c r="A543" s="144">
        <v>534</v>
      </c>
      <c r="B543" s="144">
        <v>121.95251392482102</v>
      </c>
      <c r="C543" s="144">
        <v>56.650666031518995</v>
      </c>
    </row>
    <row r="544" spans="1:3">
      <c r="A544" s="144">
        <v>535</v>
      </c>
      <c r="B544" s="144">
        <v>106.51639715656414</v>
      </c>
      <c r="C544" s="144">
        <v>41.227407335628072</v>
      </c>
    </row>
    <row r="545" spans="1:3">
      <c r="A545" s="144">
        <v>536</v>
      </c>
      <c r="B545" s="144">
        <v>117.08449877145902</v>
      </c>
      <c r="C545" s="144">
        <v>51.786705867637856</v>
      </c>
    </row>
    <row r="546" spans="1:3">
      <c r="A546" s="144">
        <v>537</v>
      </c>
      <c r="B546" s="144">
        <v>89.934015704356284</v>
      </c>
      <c r="C546" s="144">
        <v>24.658838778458104</v>
      </c>
    </row>
    <row r="547" spans="1:3">
      <c r="A547" s="144">
        <v>538</v>
      </c>
      <c r="B547" s="144">
        <v>103.71873684606842</v>
      </c>
      <c r="C547" s="144">
        <v>38.43207743758439</v>
      </c>
    </row>
    <row r="548" spans="1:3">
      <c r="A548" s="144">
        <v>539</v>
      </c>
      <c r="B548" s="144">
        <v>135.48748427964401</v>
      </c>
      <c r="C548" s="144">
        <v>70.174361942716928</v>
      </c>
    </row>
    <row r="549" spans="1:3">
      <c r="A549" s="144">
        <v>540</v>
      </c>
      <c r="B549" s="144">
        <v>95.340055186646367</v>
      </c>
      <c r="C549" s="144">
        <v>30.060375104422015</v>
      </c>
    </row>
    <row r="550" spans="1:3">
      <c r="A550" s="144">
        <v>541</v>
      </c>
      <c r="B550" s="144">
        <v>116.67865891194859</v>
      </c>
      <c r="C550" s="144">
        <v>51.381204067132863</v>
      </c>
    </row>
    <row r="551" spans="1:3">
      <c r="A551" s="144">
        <v>542</v>
      </c>
      <c r="B551" s="144">
        <v>109.94264955850062</v>
      </c>
      <c r="C551" s="144">
        <v>44.650805716570183</v>
      </c>
    </row>
    <row r="552" spans="1:3">
      <c r="A552" s="144">
        <v>543</v>
      </c>
      <c r="B552" s="144">
        <v>123.47488407296527</v>
      </c>
      <c r="C552" s="144">
        <v>58.171768066327061</v>
      </c>
    </row>
    <row r="553" spans="1:3">
      <c r="A553" s="144">
        <v>544</v>
      </c>
      <c r="B553" s="144">
        <v>85.0448964111159</v>
      </c>
      <c r="C553" s="144">
        <v>19.773792054156015</v>
      </c>
    </row>
    <row r="554" spans="1:3">
      <c r="A554" s="144">
        <v>545</v>
      </c>
      <c r="B554" s="144">
        <v>82.915825911685019</v>
      </c>
      <c r="C554" s="144">
        <v>17.646495041086045</v>
      </c>
    </row>
    <row r="555" spans="1:3">
      <c r="A555" s="144">
        <v>546</v>
      </c>
      <c r="B555" s="144">
        <v>90.508607600290304</v>
      </c>
      <c r="C555" s="144">
        <v>25.232952047267847</v>
      </c>
    </row>
    <row r="556" spans="1:3">
      <c r="A556" s="144">
        <v>547</v>
      </c>
      <c r="B556" s="144">
        <v>122.2567150749575</v>
      </c>
      <c r="C556" s="144">
        <v>56.954613786293088</v>
      </c>
    </row>
    <row r="557" spans="1:3">
      <c r="A557" s="144">
        <v>548</v>
      </c>
      <c r="B557" s="144">
        <v>106.76061922452001</v>
      </c>
      <c r="C557" s="144">
        <v>41.471425969969765</v>
      </c>
    </row>
    <row r="558" spans="1:3">
      <c r="A558" s="144">
        <v>549</v>
      </c>
      <c r="B558" s="144">
        <v>139.0278317201126</v>
      </c>
      <c r="C558" s="144">
        <v>73.711760322597712</v>
      </c>
    </row>
    <row r="559" spans="1:3">
      <c r="A559" s="144">
        <v>550</v>
      </c>
      <c r="B559" s="144">
        <v>131.73803689874333</v>
      </c>
      <c r="C559" s="144">
        <v>66.428037799770451</v>
      </c>
    </row>
    <row r="560" spans="1:3">
      <c r="A560" s="144">
        <v>551</v>
      </c>
      <c r="B560" s="144">
        <v>124.7682479582713</v>
      </c>
      <c r="C560" s="144">
        <v>59.464054597355307</v>
      </c>
    </row>
    <row r="561" spans="1:3">
      <c r="A561" s="144">
        <v>552</v>
      </c>
      <c r="B561" s="144">
        <v>113.5142594058095</v>
      </c>
      <c r="C561" s="144">
        <v>48.219440462137534</v>
      </c>
    </row>
    <row r="562" spans="1:3">
      <c r="A562" s="144">
        <v>553</v>
      </c>
      <c r="B562" s="144">
        <v>129.34641068110398</v>
      </c>
      <c r="C562" s="144">
        <v>64.038403773783983</v>
      </c>
    </row>
    <row r="563" spans="1:3">
      <c r="A563" s="144">
        <v>554</v>
      </c>
      <c r="B563" s="144">
        <v>116.20161032984562</v>
      </c>
      <c r="C563" s="144">
        <v>50.904552859919114</v>
      </c>
    </row>
    <row r="564" spans="1:3">
      <c r="A564" s="144">
        <v>555</v>
      </c>
      <c r="B564" s="144">
        <v>100.81807892865888</v>
      </c>
      <c r="C564" s="144">
        <v>35.533835728212843</v>
      </c>
    </row>
    <row r="565" spans="1:3">
      <c r="A565" s="144">
        <v>556</v>
      </c>
      <c r="B565" s="144">
        <v>103.18433843013949</v>
      </c>
      <c r="C565" s="144">
        <v>37.898124168165253</v>
      </c>
    </row>
    <row r="566" spans="1:3">
      <c r="A566" s="144">
        <v>557</v>
      </c>
      <c r="B566" s="144">
        <v>96.428114225240577</v>
      </c>
      <c r="C566" s="144">
        <v>31.147527804844085</v>
      </c>
    </row>
    <row r="567" spans="1:3">
      <c r="A567" s="144">
        <v>558</v>
      </c>
      <c r="B567" s="144">
        <v>97.786564453176936</v>
      </c>
      <c r="C567" s="144">
        <v>32.504846462476941</v>
      </c>
    </row>
    <row r="568" spans="1:3">
      <c r="A568" s="144">
        <v>559</v>
      </c>
      <c r="B568" s="144">
        <v>102.31218050176389</v>
      </c>
      <c r="C568" s="144">
        <v>37.026692735314789</v>
      </c>
    </row>
    <row r="569" spans="1:3">
      <c r="A569" s="144">
        <v>560</v>
      </c>
      <c r="B569" s="144">
        <v>99.126198274618886</v>
      </c>
      <c r="C569" s="144">
        <v>33.843364387422476</v>
      </c>
    </row>
    <row r="570" spans="1:3">
      <c r="A570" s="144">
        <v>561</v>
      </c>
      <c r="B570" s="144">
        <v>134.38720979056967</v>
      </c>
      <c r="C570" s="144">
        <v>69.075003967116501</v>
      </c>
    </row>
    <row r="571" spans="1:3">
      <c r="A571" s="144">
        <v>562</v>
      </c>
      <c r="B571" s="144">
        <v>118.86057350579505</v>
      </c>
      <c r="C571" s="144">
        <v>53.561301156216608</v>
      </c>
    </row>
    <row r="572" spans="1:3">
      <c r="A572" s="144">
        <v>563</v>
      </c>
      <c r="B572" s="144">
        <v>150.93116540777299</v>
      </c>
      <c r="C572" s="144">
        <v>85.60517869747251</v>
      </c>
    </row>
    <row r="573" spans="1:3">
      <c r="A573" s="144">
        <v>564</v>
      </c>
      <c r="B573" s="144">
        <v>107.20098044808152</v>
      </c>
      <c r="C573" s="144">
        <v>41.911420378705714</v>
      </c>
    </row>
    <row r="574" spans="1:3">
      <c r="A574" s="144">
        <v>565</v>
      </c>
      <c r="B574" s="144">
        <v>77.015274875249503</v>
      </c>
      <c r="C574" s="144">
        <v>11.750859082280774</v>
      </c>
    </row>
    <row r="575" spans="1:3">
      <c r="A575" s="144">
        <v>566</v>
      </c>
      <c r="B575" s="144">
        <v>117.48819578613357</v>
      </c>
      <c r="C575" s="144">
        <v>52.190066608267152</v>
      </c>
    </row>
    <row r="576" spans="1:3">
      <c r="A576" s="144">
        <v>567</v>
      </c>
      <c r="B576" s="144">
        <v>113.34461604623795</v>
      </c>
      <c r="C576" s="144">
        <v>48.049938413144709</v>
      </c>
    </row>
    <row r="577" spans="1:3">
      <c r="A577" s="144">
        <v>568</v>
      </c>
      <c r="B577" s="144">
        <v>110.6988352792099</v>
      </c>
      <c r="C577" s="144">
        <v>45.406361545003776</v>
      </c>
    </row>
    <row r="578" spans="1:3">
      <c r="A578" s="144">
        <v>569</v>
      </c>
      <c r="B578" s="144">
        <v>104.03382842990484</v>
      </c>
      <c r="C578" s="144">
        <v>38.746906554477363</v>
      </c>
    </row>
    <row r="579" spans="1:3">
      <c r="A579" s="144">
        <v>570</v>
      </c>
      <c r="B579" s="144">
        <v>94.779566308761787</v>
      </c>
      <c r="C579" s="144">
        <v>29.500353106042191</v>
      </c>
    </row>
    <row r="580" spans="1:3">
      <c r="A580" s="144">
        <v>571</v>
      </c>
      <c r="B580" s="144">
        <v>116.72367128955688</v>
      </c>
      <c r="C580" s="144">
        <v>51.42617895005143</v>
      </c>
    </row>
    <row r="581" spans="1:3">
      <c r="A581" s="144">
        <v>572</v>
      </c>
      <c r="B581" s="144">
        <v>100.85672567183921</v>
      </c>
      <c r="C581" s="144">
        <v>35.572450279189141</v>
      </c>
    </row>
    <row r="582" spans="1:3">
      <c r="A582" s="144">
        <v>573</v>
      </c>
      <c r="B582" s="144">
        <v>117.0612178267088</v>
      </c>
      <c r="C582" s="144">
        <v>51.763444315593503</v>
      </c>
    </row>
    <row r="583" spans="1:3">
      <c r="A583" s="144">
        <v>574</v>
      </c>
      <c r="B583" s="144">
        <v>111.04170886137346</v>
      </c>
      <c r="C583" s="144">
        <v>45.748949518202465</v>
      </c>
    </row>
    <row r="584" spans="1:3">
      <c r="A584" s="144">
        <v>575</v>
      </c>
      <c r="B584" s="144">
        <v>121.97284759052981</v>
      </c>
      <c r="C584" s="144">
        <v>56.670982759564701</v>
      </c>
    </row>
    <row r="585" spans="1:3">
      <c r="A585" s="144">
        <v>576</v>
      </c>
      <c r="B585" s="144">
        <v>148.39858145068129</v>
      </c>
      <c r="C585" s="144">
        <v>83.074704347886509</v>
      </c>
    </row>
    <row r="586" spans="1:3">
      <c r="A586" s="144">
        <v>577</v>
      </c>
      <c r="B586" s="144">
        <v>80.358414551123403</v>
      </c>
      <c r="C586" s="144">
        <v>15.091213968914786</v>
      </c>
    </row>
    <row r="587" spans="1:3">
      <c r="A587" s="144">
        <v>578</v>
      </c>
      <c r="B587" s="144">
        <v>130.97617710806841</v>
      </c>
      <c r="C587" s="144">
        <v>65.666812627793234</v>
      </c>
    </row>
    <row r="588" spans="1:3">
      <c r="A588" s="144">
        <v>579</v>
      </c>
      <c r="B588" s="144">
        <v>77.905256022856292</v>
      </c>
      <c r="C588" s="144">
        <v>12.640098887866635</v>
      </c>
    </row>
    <row r="589" spans="1:3">
      <c r="A589" s="144">
        <v>580</v>
      </c>
      <c r="B589" s="144">
        <v>67.982746586568183</v>
      </c>
      <c r="C589" s="144">
        <v>2.7258547650831564</v>
      </c>
    </row>
    <row r="590" spans="1:3">
      <c r="A590" s="144">
        <v>581</v>
      </c>
      <c r="B590" s="144">
        <v>97.868976156424409</v>
      </c>
      <c r="C590" s="144">
        <v>32.587189517912265</v>
      </c>
    </row>
    <row r="591" spans="1:3">
      <c r="A591" s="144">
        <v>582</v>
      </c>
      <c r="B591" s="144">
        <v>123.50827935278387</v>
      </c>
      <c r="C591" s="144">
        <v>58.205135528338182</v>
      </c>
    </row>
    <row r="592" spans="1:3">
      <c r="A592" s="144">
        <v>583</v>
      </c>
      <c r="B592" s="144">
        <v>94.291113929194523</v>
      </c>
      <c r="C592" s="144">
        <v>29.01230760057015</v>
      </c>
    </row>
    <row r="593" spans="1:3">
      <c r="A593" s="144">
        <v>584</v>
      </c>
      <c r="B593" s="144">
        <v>94.52581061662633</v>
      </c>
      <c r="C593" s="144">
        <v>29.24680878889837</v>
      </c>
    </row>
    <row r="594" spans="1:3">
      <c r="A594" s="144">
        <v>585</v>
      </c>
      <c r="B594" s="144">
        <v>132.66581035094853</v>
      </c>
      <c r="C594" s="144">
        <v>67.355038429486243</v>
      </c>
    </row>
    <row r="595" spans="1:3">
      <c r="A595" s="144">
        <v>586</v>
      </c>
      <c r="B595" s="144">
        <v>140.10477652344386</v>
      </c>
      <c r="C595" s="144">
        <v>74.787808045761508</v>
      </c>
    </row>
    <row r="596" spans="1:3">
      <c r="A596" s="144">
        <v>587</v>
      </c>
      <c r="B596" s="144">
        <v>94.398180979179827</v>
      </c>
      <c r="C596" s="144">
        <v>29.119285465179534</v>
      </c>
    </row>
    <row r="597" spans="1:3">
      <c r="A597" s="144">
        <v>588</v>
      </c>
      <c r="B597" s="144">
        <v>141.51892326986572</v>
      </c>
      <c r="C597" s="144">
        <v>76.200776827448166</v>
      </c>
    </row>
    <row r="598" spans="1:3">
      <c r="A598" s="144">
        <v>589</v>
      </c>
      <c r="B598" s="144">
        <v>98.318804808348588</v>
      </c>
      <c r="C598" s="144">
        <v>33.03664346877364</v>
      </c>
    </row>
    <row r="599" spans="1:3">
      <c r="A599" s="144">
        <v>590</v>
      </c>
      <c r="B599" s="144">
        <v>99.289799575508638</v>
      </c>
      <c r="C599" s="144">
        <v>34.00682941068505</v>
      </c>
    </row>
    <row r="600" spans="1:3">
      <c r="A600" s="144">
        <v>591</v>
      </c>
      <c r="B600" s="144">
        <v>103.23568157532259</v>
      </c>
      <c r="C600" s="144">
        <v>37.949424545216566</v>
      </c>
    </row>
    <row r="601" spans="1:3">
      <c r="A601" s="144">
        <v>592</v>
      </c>
      <c r="B601" s="144">
        <v>85.156386079904948</v>
      </c>
      <c r="C601" s="144">
        <v>19.88518885358868</v>
      </c>
    </row>
    <row r="602" spans="1:3">
      <c r="A602" s="144">
        <v>593</v>
      </c>
      <c r="B602" s="144">
        <v>84.378813617464189</v>
      </c>
      <c r="C602" s="144">
        <v>19.108264098284497</v>
      </c>
    </row>
    <row r="603" spans="1:3">
      <c r="A603" s="144">
        <v>594</v>
      </c>
      <c r="B603" s="144">
        <v>101.27827353981634</v>
      </c>
      <c r="C603" s="144">
        <v>35.993647003606426</v>
      </c>
    </row>
    <row r="604" spans="1:3">
      <c r="A604" s="144">
        <v>595</v>
      </c>
      <c r="B604" s="144">
        <v>98.285511947936172</v>
      </c>
      <c r="C604" s="144">
        <v>33.003378340854752</v>
      </c>
    </row>
    <row r="605" spans="1:3">
      <c r="A605" s="144">
        <v>596</v>
      </c>
      <c r="B605" s="144">
        <v>105.15743178420661</v>
      </c>
      <c r="C605" s="144">
        <v>39.869573962682246</v>
      </c>
    </row>
    <row r="606" spans="1:3">
      <c r="A606" s="144">
        <v>597</v>
      </c>
      <c r="B606" s="144">
        <v>85.561959169625723</v>
      </c>
      <c r="C606" s="144">
        <v>20.290424106519566</v>
      </c>
    </row>
    <row r="607" spans="1:3">
      <c r="A607" s="144">
        <v>598</v>
      </c>
      <c r="B607" s="144">
        <v>94.951838979230047</v>
      </c>
      <c r="C607" s="144">
        <v>29.672482275752014</v>
      </c>
    </row>
    <row r="608" spans="1:3">
      <c r="A608" s="144">
        <v>599</v>
      </c>
      <c r="B608" s="144">
        <v>105.43014868368225</v>
      </c>
      <c r="C608" s="144">
        <v>40.142063692742056</v>
      </c>
    </row>
    <row r="609" spans="1:3">
      <c r="A609" s="144">
        <v>600</v>
      </c>
      <c r="B609" s="144">
        <v>152.81956794665894</v>
      </c>
      <c r="C609" s="144">
        <v>87.492008223089272</v>
      </c>
    </row>
    <row r="610" spans="1:3">
      <c r="A610" s="144">
        <v>601</v>
      </c>
      <c r="B610" s="144">
        <v>123.90105846869881</v>
      </c>
      <c r="C610" s="144">
        <v>58.597587464666951</v>
      </c>
    </row>
    <row r="611" spans="1:3">
      <c r="A611" s="144">
        <v>602</v>
      </c>
      <c r="B611" s="144">
        <v>75.321507662949983</v>
      </c>
      <c r="C611" s="144">
        <v>10.058502754707886</v>
      </c>
    </row>
    <row r="612" spans="1:3">
      <c r="A612" s="144">
        <v>603</v>
      </c>
      <c r="B612" s="144">
        <v>107.00343442748748</v>
      </c>
      <c r="C612" s="144">
        <v>41.714038911222175</v>
      </c>
    </row>
    <row r="613" spans="1:3">
      <c r="A613" s="144">
        <v>604</v>
      </c>
      <c r="B613" s="144">
        <v>136.97823410827405</v>
      </c>
      <c r="C613" s="144">
        <v>71.663869997300836</v>
      </c>
    </row>
    <row r="614" spans="1:3">
      <c r="A614" s="144">
        <v>605</v>
      </c>
      <c r="B614" s="144">
        <v>96.981762675946214</v>
      </c>
      <c r="C614" s="144">
        <v>31.700715074026455</v>
      </c>
    </row>
    <row r="615" spans="1:3">
      <c r="A615" s="144">
        <v>606</v>
      </c>
      <c r="B615" s="144">
        <v>102.65529679075611</v>
      </c>
      <c r="C615" s="144">
        <v>37.369523213170702</v>
      </c>
    </row>
    <row r="616" spans="1:3">
      <c r="A616" s="144">
        <v>607</v>
      </c>
      <c r="B616" s="144">
        <v>82.329845448650758</v>
      </c>
      <c r="C616" s="144">
        <v>17.061002691695379</v>
      </c>
    </row>
    <row r="617" spans="1:3">
      <c r="A617" s="144">
        <v>608</v>
      </c>
      <c r="B617" s="144">
        <v>103.66830711501117</v>
      </c>
      <c r="C617" s="144">
        <v>38.381689713797563</v>
      </c>
    </row>
    <row r="618" spans="1:3">
      <c r="A618" s="144">
        <v>609</v>
      </c>
      <c r="B618" s="144">
        <v>93.194212170888306</v>
      </c>
      <c r="C618" s="144">
        <v>27.916319546299629</v>
      </c>
    </row>
    <row r="619" spans="1:3">
      <c r="A619" s="144">
        <v>610</v>
      </c>
      <c r="B619" s="144">
        <v>86.141529556211836</v>
      </c>
      <c r="C619" s="144">
        <v>20.869511718967352</v>
      </c>
    </row>
    <row r="620" spans="1:3">
      <c r="A620" s="144">
        <v>611</v>
      </c>
      <c r="B620" s="144">
        <v>107.70763022149087</v>
      </c>
      <c r="C620" s="144">
        <v>42.417648119841758</v>
      </c>
    </row>
    <row r="621" spans="1:3">
      <c r="A621" s="144">
        <v>612</v>
      </c>
      <c r="B621" s="144">
        <v>107.49243785589736</v>
      </c>
      <c r="C621" s="144">
        <v>42.202635006520758</v>
      </c>
    </row>
    <row r="622" spans="1:3">
      <c r="A622" s="144">
        <v>613</v>
      </c>
      <c r="B622" s="144">
        <v>115.58478661682892</v>
      </c>
      <c r="C622" s="144">
        <v>50.28824295254784</v>
      </c>
    </row>
    <row r="623" spans="1:3">
      <c r="A623" s="144">
        <v>614</v>
      </c>
      <c r="B623" s="144">
        <v>119.02931488795376</v>
      </c>
      <c r="C623" s="144">
        <v>53.729901979131341</v>
      </c>
    </row>
    <row r="624" spans="1:3">
      <c r="A624" s="144">
        <v>615</v>
      </c>
      <c r="B624" s="144">
        <v>160.21541094808563</v>
      </c>
      <c r="C624" s="144">
        <v>94.881690589302636</v>
      </c>
    </row>
    <row r="625" spans="1:3">
      <c r="A625" s="144">
        <v>616</v>
      </c>
      <c r="B625" s="144">
        <v>89.115173579868355</v>
      </c>
      <c r="C625" s="144">
        <v>23.840678738166027</v>
      </c>
    </row>
    <row r="626" spans="1:3">
      <c r="A626" s="144">
        <v>617</v>
      </c>
      <c r="B626" s="144">
        <v>113.89371240133214</v>
      </c>
      <c r="C626" s="144">
        <v>48.598577378548498</v>
      </c>
    </row>
    <row r="627" spans="1:3">
      <c r="A627" s="144">
        <v>618</v>
      </c>
      <c r="B627" s="144">
        <v>93.647329117456195</v>
      </c>
      <c r="C627" s="144">
        <v>28.369059052700624</v>
      </c>
    </row>
    <row r="628" spans="1:3">
      <c r="A628" s="144">
        <v>619</v>
      </c>
      <c r="B628" s="144">
        <v>126.42742891325913</v>
      </c>
      <c r="C628" s="144">
        <v>61.121853477491818</v>
      </c>
    </row>
    <row r="629" spans="1:3">
      <c r="A629" s="144">
        <v>620</v>
      </c>
      <c r="B629" s="144">
        <v>118.81352065657624</v>
      </c>
      <c r="C629" s="144">
        <v>53.51428750137223</v>
      </c>
    </row>
    <row r="630" spans="1:3">
      <c r="A630" s="144">
        <v>621</v>
      </c>
      <c r="B630" s="144">
        <v>107.80093320084339</v>
      </c>
      <c r="C630" s="144">
        <v>42.510873379099351</v>
      </c>
    </row>
    <row r="631" spans="1:3">
      <c r="A631" s="144">
        <v>622</v>
      </c>
      <c r="B631" s="144">
        <v>124.32414355077266</v>
      </c>
      <c r="C631" s="144">
        <v>59.02032012270282</v>
      </c>
    </row>
    <row r="632" spans="1:3">
      <c r="A632" s="144">
        <v>623</v>
      </c>
      <c r="B632" s="144">
        <v>97.427946737309867</v>
      </c>
      <c r="C632" s="144">
        <v>32.146527470220967</v>
      </c>
    </row>
    <row r="633" spans="1:3">
      <c r="A633" s="144">
        <v>624</v>
      </c>
      <c r="B633" s="144">
        <v>106.43722946936614</v>
      </c>
      <c r="C633" s="144">
        <v>41.1483055940216</v>
      </c>
    </row>
    <row r="634" spans="1:3">
      <c r="A634" s="144">
        <v>625</v>
      </c>
      <c r="B634" s="144">
        <v>101.88276494214479</v>
      </c>
      <c r="C634" s="144">
        <v>36.597634872934158</v>
      </c>
    </row>
    <row r="635" spans="1:3">
      <c r="A635" s="144">
        <v>626</v>
      </c>
      <c r="B635" s="144">
        <v>101.89455259760231</v>
      </c>
      <c r="C635" s="144">
        <v>36.609412709437265</v>
      </c>
    </row>
    <row r="636" spans="1:3">
      <c r="A636" s="144">
        <v>627</v>
      </c>
      <c r="B636" s="144">
        <v>144.37680631772321</v>
      </c>
      <c r="C636" s="144">
        <v>79.05627929814402</v>
      </c>
    </row>
    <row r="637" spans="1:3">
      <c r="A637" s="144">
        <v>628</v>
      </c>
      <c r="B637" s="144">
        <v>93.963931086088451</v>
      </c>
      <c r="C637" s="144">
        <v>28.685397296259726</v>
      </c>
    </row>
    <row r="638" spans="1:3">
      <c r="A638" s="144">
        <v>629</v>
      </c>
      <c r="B638" s="144">
        <v>99.986989155185384</v>
      </c>
      <c r="C638" s="144">
        <v>34.703438241057881</v>
      </c>
    </row>
    <row r="639" spans="1:3">
      <c r="A639" s="144">
        <v>630</v>
      </c>
      <c r="B639" s="144">
        <v>108.1866847470416</v>
      </c>
      <c r="C639" s="144">
        <v>42.896303599580037</v>
      </c>
    </row>
    <row r="640" spans="1:3">
      <c r="A640" s="144">
        <v>631</v>
      </c>
      <c r="B640" s="144">
        <v>109.88395994422274</v>
      </c>
      <c r="C640" s="144">
        <v>44.592164989931526</v>
      </c>
    </row>
    <row r="641" spans="1:3">
      <c r="A641" s="144">
        <v>632</v>
      </c>
      <c r="B641" s="144">
        <v>115.28218073241088</v>
      </c>
      <c r="C641" s="144">
        <v>49.985889134657839</v>
      </c>
    </row>
    <row r="642" spans="1:3">
      <c r="A642" s="144">
        <v>633</v>
      </c>
      <c r="B642" s="144">
        <v>103.15851542962811</v>
      </c>
      <c r="C642" s="144">
        <v>37.872322677857142</v>
      </c>
    </row>
    <row r="643" spans="1:3">
      <c r="A643" s="144">
        <v>634</v>
      </c>
      <c r="B643" s="144">
        <v>122.04962525454744</v>
      </c>
      <c r="C643" s="144">
        <v>56.747696468847153</v>
      </c>
    </row>
    <row r="644" spans="1:3">
      <c r="A644" s="144">
        <v>635</v>
      </c>
      <c r="B644" s="144">
        <v>84.071991139714427</v>
      </c>
      <c r="C644" s="144">
        <v>18.801697199426865</v>
      </c>
    </row>
    <row r="645" spans="1:3">
      <c r="A645" s="144">
        <v>636</v>
      </c>
      <c r="B645" s="144">
        <v>101.90371971322928</v>
      </c>
      <c r="C645" s="144">
        <v>36.61857218898335</v>
      </c>
    </row>
    <row r="646" spans="1:3">
      <c r="A646" s="144">
        <v>637</v>
      </c>
      <c r="B646" s="144">
        <v>157.57382409196677</v>
      </c>
      <c r="C646" s="144">
        <v>92.242304138600943</v>
      </c>
    </row>
    <row r="647" spans="1:3">
      <c r="A647" s="144">
        <v>638</v>
      </c>
      <c r="B647" s="144">
        <v>89.89490059381383</v>
      </c>
      <c r="C647" s="144">
        <v>24.619756250263237</v>
      </c>
    </row>
    <row r="648" spans="1:3">
      <c r="A648" s="144">
        <v>639</v>
      </c>
      <c r="B648" s="144">
        <v>149.00169831116349</v>
      </c>
      <c r="C648" s="144">
        <v>83.677318820342393</v>
      </c>
    </row>
    <row r="649" spans="1:3">
      <c r="A649" s="144">
        <v>640</v>
      </c>
      <c r="B649" s="144">
        <v>86.240581398884018</v>
      </c>
      <c r="C649" s="144">
        <v>20.968481052820756</v>
      </c>
    </row>
    <row r="650" spans="1:3">
      <c r="A650" s="144">
        <v>641</v>
      </c>
      <c r="B650" s="144">
        <v>108.44383872792216</v>
      </c>
      <c r="C650" s="144">
        <v>43.153243374741308</v>
      </c>
    </row>
    <row r="651" spans="1:3">
      <c r="A651" s="144">
        <v>642</v>
      </c>
      <c r="B651" s="144">
        <v>109.57747940520329</v>
      </c>
      <c r="C651" s="144">
        <v>44.285939744973959</v>
      </c>
    </row>
    <row r="652" spans="1:3">
      <c r="A652" s="144">
        <v>643</v>
      </c>
      <c r="B652" s="144">
        <v>77.957587986108337</v>
      </c>
      <c r="C652" s="144">
        <v>12.692387259315076</v>
      </c>
    </row>
    <row r="653" spans="1:3">
      <c r="A653" s="144">
        <v>644</v>
      </c>
      <c r="B653" s="144">
        <v>152.2804235967609</v>
      </c>
      <c r="C653" s="144">
        <v>86.953312972998575</v>
      </c>
    </row>
    <row r="654" spans="1:3">
      <c r="A654" s="144">
        <v>645</v>
      </c>
      <c r="B654" s="144">
        <v>103.98727381413391</v>
      </c>
      <c r="C654" s="144">
        <v>38.700390718059268</v>
      </c>
    </row>
    <row r="655" spans="1:3">
      <c r="A655" s="144">
        <v>646</v>
      </c>
      <c r="B655" s="144">
        <v>131.19978468850493</v>
      </c>
      <c r="C655" s="144">
        <v>65.890233946199359</v>
      </c>
    </row>
    <row r="656" spans="1:3">
      <c r="A656" s="144">
        <v>647</v>
      </c>
      <c r="B656" s="144">
        <v>118.66558665234489</v>
      </c>
      <c r="C656" s="144">
        <v>53.366476724126024</v>
      </c>
    </row>
    <row r="657" spans="1:3">
      <c r="A657" s="144">
        <v>648</v>
      </c>
      <c r="B657" s="144">
        <v>97.12114734786978</v>
      </c>
      <c r="C657" s="144">
        <v>31.839983640440767</v>
      </c>
    </row>
    <row r="658" spans="1:3">
      <c r="A658" s="144">
        <v>649</v>
      </c>
      <c r="B658" s="144">
        <v>102.08212006392644</v>
      </c>
      <c r="C658" s="144">
        <v>36.796823934648963</v>
      </c>
    </row>
    <row r="659" spans="1:3">
      <c r="A659" s="144">
        <v>650</v>
      </c>
      <c r="B659" s="144">
        <v>143.36851276457375</v>
      </c>
      <c r="C659" s="144">
        <v>78.048825639617476</v>
      </c>
    </row>
    <row r="660" spans="1:3">
      <c r="A660" s="144">
        <v>651</v>
      </c>
      <c r="B660" s="144">
        <v>78.077227753770146</v>
      </c>
      <c r="C660" s="144">
        <v>12.81192736870055</v>
      </c>
    </row>
    <row r="661" spans="1:3">
      <c r="A661" s="144">
        <v>652</v>
      </c>
      <c r="B661" s="144">
        <v>103.21987482982787</v>
      </c>
      <c r="C661" s="144">
        <v>37.933630966522834</v>
      </c>
    </row>
    <row r="662" spans="1:3">
      <c r="A662" s="144">
        <v>653</v>
      </c>
      <c r="B662" s="144">
        <v>129.09476517663637</v>
      </c>
      <c r="C662" s="144">
        <v>63.786967886550791</v>
      </c>
    </row>
    <row r="663" spans="1:3">
      <c r="A663" s="144">
        <v>654</v>
      </c>
      <c r="B663" s="144">
        <v>79.117147155202673</v>
      </c>
      <c r="C663" s="144">
        <v>13.850980531614729</v>
      </c>
    </row>
    <row r="664" spans="1:3">
      <c r="A664" s="144">
        <v>655</v>
      </c>
      <c r="B664" s="144">
        <v>111.94405105766012</v>
      </c>
      <c r="C664" s="144">
        <v>46.650540075885132</v>
      </c>
    </row>
    <row r="665" spans="1:3">
      <c r="A665" s="144">
        <v>656</v>
      </c>
      <c r="B665" s="144">
        <v>99.711300042735132</v>
      </c>
      <c r="C665" s="144">
        <v>34.427978773835868</v>
      </c>
    </row>
    <row r="666" spans="1:3">
      <c r="A666" s="144">
        <v>657</v>
      </c>
      <c r="B666" s="144">
        <v>119.92373197437843</v>
      </c>
      <c r="C666" s="144">
        <v>54.623574028459231</v>
      </c>
    </row>
    <row r="667" spans="1:3">
      <c r="A667" s="144">
        <v>658</v>
      </c>
      <c r="B667" s="144">
        <v>87.010550799041141</v>
      </c>
      <c r="C667" s="144">
        <v>21.73780907908732</v>
      </c>
    </row>
    <row r="668" spans="1:3">
      <c r="A668" s="144">
        <v>659</v>
      </c>
      <c r="B668" s="144">
        <v>93.699955574679251</v>
      </c>
      <c r="C668" s="144">
        <v>28.421641672810662</v>
      </c>
    </row>
    <row r="669" spans="1:3">
      <c r="A669" s="144">
        <v>660</v>
      </c>
      <c r="B669" s="144">
        <v>98.366303323191019</v>
      </c>
      <c r="C669" s="144">
        <v>33.084102418008328</v>
      </c>
    </row>
    <row r="670" spans="1:3">
      <c r="A670" s="144">
        <v>661</v>
      </c>
      <c r="B670" s="144">
        <v>92.394591092212252</v>
      </c>
      <c r="C670" s="144">
        <v>27.117364540953371</v>
      </c>
    </row>
    <row r="671" spans="1:3">
      <c r="A671" s="144">
        <v>662</v>
      </c>
      <c r="B671" s="144">
        <v>99.329085477085201</v>
      </c>
      <c r="C671" s="144">
        <v>34.046082587647447</v>
      </c>
    </row>
    <row r="672" spans="1:3">
      <c r="A672" s="144">
        <v>663</v>
      </c>
      <c r="B672" s="144">
        <v>90.120610883676235</v>
      </c>
      <c r="C672" s="144">
        <v>24.845278526567288</v>
      </c>
    </row>
    <row r="673" spans="1:3">
      <c r="A673" s="144">
        <v>664</v>
      </c>
      <c r="B673" s="144">
        <v>147.99654851995135</v>
      </c>
      <c r="C673" s="144">
        <v>82.673006305042833</v>
      </c>
    </row>
    <row r="674" spans="1:3">
      <c r="A674" s="144">
        <v>665</v>
      </c>
      <c r="B674" s="144">
        <v>90.197983250621064</v>
      </c>
      <c r="C674" s="144">
        <v>24.922586443397606</v>
      </c>
    </row>
    <row r="675" spans="1:3">
      <c r="A675" s="144">
        <v>666</v>
      </c>
      <c r="B675" s="144">
        <v>79.292910199279518</v>
      </c>
      <c r="C675" s="144">
        <v>14.026597167500062</v>
      </c>
    </row>
    <row r="676" spans="1:3">
      <c r="A676" s="144">
        <v>667</v>
      </c>
      <c r="B676" s="144">
        <v>165.98668274607812</v>
      </c>
      <c r="C676" s="144">
        <v>100.64815499748742</v>
      </c>
    </row>
    <row r="677" spans="1:3">
      <c r="A677" s="144">
        <v>668</v>
      </c>
      <c r="B677" s="144">
        <v>118.48922422517451</v>
      </c>
      <c r="C677" s="144">
        <v>53.190261204425013</v>
      </c>
    </row>
    <row r="678" spans="1:3">
      <c r="A678" s="144">
        <v>669</v>
      </c>
      <c r="B678" s="144">
        <v>84.315568853261254</v>
      </c>
      <c r="C678" s="144">
        <v>19.045072016097844</v>
      </c>
    </row>
    <row r="679" spans="1:3">
      <c r="A679" s="144">
        <v>670</v>
      </c>
      <c r="B679" s="144">
        <v>70.89737453142989</v>
      </c>
      <c r="C679" s="144">
        <v>5.6380548650666773</v>
      </c>
    </row>
    <row r="680" spans="1:3">
      <c r="A680" s="144">
        <v>671</v>
      </c>
      <c r="B680" s="144">
        <v>144.02238152864561</v>
      </c>
      <c r="C680" s="144">
        <v>78.702149740027323</v>
      </c>
    </row>
    <row r="681" spans="1:3">
      <c r="A681" s="144">
        <v>672</v>
      </c>
      <c r="B681" s="144">
        <v>127.22387293841892</v>
      </c>
      <c r="C681" s="144">
        <v>61.917634075763566</v>
      </c>
    </row>
    <row r="682" spans="1:3">
      <c r="A682" s="144">
        <v>673</v>
      </c>
      <c r="B682" s="144">
        <v>119.39700279079931</v>
      </c>
      <c r="C682" s="144">
        <v>54.09728360302514</v>
      </c>
    </row>
    <row r="683" spans="1:3">
      <c r="A683" s="144">
        <v>674</v>
      </c>
      <c r="B683" s="144">
        <v>93.878977129460523</v>
      </c>
      <c r="C683" s="144">
        <v>28.600514105105947</v>
      </c>
    </row>
    <row r="684" spans="1:3">
      <c r="A684" s="144">
        <v>675</v>
      </c>
      <c r="B684" s="144">
        <v>77.840229024947874</v>
      </c>
      <c r="C684" s="144">
        <v>12.575126056550593</v>
      </c>
    </row>
    <row r="685" spans="1:3">
      <c r="A685" s="144">
        <v>676</v>
      </c>
      <c r="B685" s="144">
        <v>119.30367292084918</v>
      </c>
      <c r="C685" s="144">
        <v>54.004031475569434</v>
      </c>
    </row>
    <row r="686" spans="1:3">
      <c r="A686" s="144">
        <v>677</v>
      </c>
      <c r="B686" s="144">
        <v>108.19314598324186</v>
      </c>
      <c r="C686" s="144">
        <v>42.902759453659662</v>
      </c>
    </row>
    <row r="687" spans="1:3">
      <c r="A687" s="144">
        <v>678</v>
      </c>
      <c r="B687" s="144">
        <v>144.28009729149048</v>
      </c>
      <c r="C687" s="144">
        <v>78.959650829196278</v>
      </c>
    </row>
    <row r="688" spans="1:3">
      <c r="A688" s="144">
        <v>679</v>
      </c>
      <c r="B688" s="144">
        <v>99.937807817907057</v>
      </c>
      <c r="C688" s="144">
        <v>34.654297871155173</v>
      </c>
    </row>
    <row r="689" spans="1:3">
      <c r="A689" s="144">
        <v>680</v>
      </c>
      <c r="B689" s="144">
        <v>68.79866000285196</v>
      </c>
      <c r="C689" s="144">
        <v>3.541088536744621</v>
      </c>
    </row>
    <row r="690" spans="1:3">
      <c r="A690" s="144">
        <v>681</v>
      </c>
      <c r="B690" s="144">
        <v>122.52154130139516</v>
      </c>
      <c r="C690" s="144">
        <v>57.219219416136738</v>
      </c>
    </row>
    <row r="691" spans="1:3">
      <c r="A691" s="144">
        <v>682</v>
      </c>
      <c r="B691" s="144">
        <v>102.61346796340159</v>
      </c>
      <c r="C691" s="144">
        <v>37.327729228652444</v>
      </c>
    </row>
    <row r="692" spans="1:3">
      <c r="A692" s="144">
        <v>683</v>
      </c>
      <c r="B692" s="144">
        <v>90.130034426722872</v>
      </c>
      <c r="C692" s="144">
        <v>24.85469421993254</v>
      </c>
    </row>
    <row r="693" spans="1:3">
      <c r="A693" s="144">
        <v>684</v>
      </c>
      <c r="B693" s="144">
        <v>180.69640356093433</v>
      </c>
      <c r="C693" s="144">
        <v>115.34562281778807</v>
      </c>
    </row>
    <row r="694" spans="1:3">
      <c r="A694" s="144">
        <v>685</v>
      </c>
      <c r="B694" s="144">
        <v>113.18413035716151</v>
      </c>
      <c r="C694" s="144">
        <v>47.889586406433779</v>
      </c>
    </row>
    <row r="695" spans="1:3">
      <c r="A695" s="144">
        <v>686</v>
      </c>
      <c r="B695" s="144">
        <v>131.26151974294606</v>
      </c>
      <c r="C695" s="144">
        <v>65.951917576191619</v>
      </c>
    </row>
    <row r="696" spans="1:3">
      <c r="A696" s="144">
        <v>687</v>
      </c>
      <c r="B696" s="144">
        <v>90.739591136887014</v>
      </c>
      <c r="C696" s="144">
        <v>25.463743177764403</v>
      </c>
    </row>
    <row r="697" spans="1:3">
      <c r="A697" s="144">
        <v>688</v>
      </c>
      <c r="B697" s="144">
        <v>145.41644985456549</v>
      </c>
      <c r="C697" s="144">
        <v>80.095056826259338</v>
      </c>
    </row>
    <row r="698" spans="1:3">
      <c r="A698" s="144">
        <v>689</v>
      </c>
      <c r="B698" s="144">
        <v>91.4913625697383</v>
      </c>
      <c r="C698" s="144">
        <v>26.2148883953809</v>
      </c>
    </row>
    <row r="699" spans="1:3">
      <c r="A699" s="144">
        <v>690</v>
      </c>
      <c r="B699" s="144">
        <v>137.75926332745161</v>
      </c>
      <c r="C699" s="144">
        <v>72.444248629911115</v>
      </c>
    </row>
    <row r="700" spans="1:3">
      <c r="A700" s="144">
        <v>691</v>
      </c>
      <c r="B700" s="144">
        <v>102.03912350940085</v>
      </c>
      <c r="C700" s="144">
        <v>36.753863195660266</v>
      </c>
    </row>
    <row r="701" spans="1:3">
      <c r="A701" s="144">
        <v>692</v>
      </c>
      <c r="B701" s="144">
        <v>109.85961067619637</v>
      </c>
      <c r="C701" s="144">
        <v>44.56783600450958</v>
      </c>
    </row>
    <row r="702" spans="1:3">
      <c r="A702" s="144">
        <v>693</v>
      </c>
      <c r="B702" s="144">
        <v>115.9851615286655</v>
      </c>
      <c r="C702" s="144">
        <v>50.688284357605013</v>
      </c>
    </row>
    <row r="703" spans="1:3">
      <c r="A703" s="144">
        <v>694</v>
      </c>
      <c r="B703" s="144">
        <v>70.041779869248586</v>
      </c>
      <c r="C703" s="144">
        <v>4.7831729014382169</v>
      </c>
    </row>
    <row r="704" spans="1:3">
      <c r="A704" s="144">
        <v>695</v>
      </c>
      <c r="B704" s="144">
        <v>123.08982113676353</v>
      </c>
      <c r="C704" s="144">
        <v>57.787025882240222</v>
      </c>
    </row>
    <row r="705" spans="1:3">
      <c r="A705" s="144">
        <v>696</v>
      </c>
      <c r="B705" s="144">
        <v>110.65801747884188</v>
      </c>
      <c r="C705" s="144">
        <v>45.365577745300492</v>
      </c>
    </row>
    <row r="706" spans="1:3">
      <c r="A706" s="144">
        <v>697</v>
      </c>
      <c r="B706" s="144">
        <v>116.27546818423679</v>
      </c>
      <c r="C706" s="144">
        <v>50.97834919173625</v>
      </c>
    </row>
    <row r="707" spans="1:3">
      <c r="A707" s="144">
        <v>698</v>
      </c>
      <c r="B707" s="144">
        <v>78.376050756612415</v>
      </c>
      <c r="C707" s="144">
        <v>13.110501456102956</v>
      </c>
    </row>
    <row r="708" spans="1:3">
      <c r="A708" s="144">
        <v>699</v>
      </c>
      <c r="B708" s="144">
        <v>135.29045131296238</v>
      </c>
      <c r="C708" s="144">
        <v>69.977493101778975</v>
      </c>
    </row>
    <row r="709" spans="1:3">
      <c r="A709" s="144">
        <v>700</v>
      </c>
      <c r="B709" s="144">
        <v>80.462111012133647</v>
      </c>
      <c r="C709" s="144">
        <v>15.194824052203238</v>
      </c>
    </row>
    <row r="710" spans="1:3">
      <c r="A710" s="144">
        <v>701</v>
      </c>
      <c r="B710" s="144">
        <v>95.84125361506733</v>
      </c>
      <c r="C710" s="144">
        <v>30.561156041464862</v>
      </c>
    </row>
    <row r="711" spans="1:3">
      <c r="A711" s="144">
        <v>702</v>
      </c>
      <c r="B711" s="144">
        <v>104.8458411996104</v>
      </c>
      <c r="C711" s="144">
        <v>39.558242928745408</v>
      </c>
    </row>
    <row r="712" spans="1:3">
      <c r="A712" s="144">
        <v>703</v>
      </c>
      <c r="B712" s="144">
        <v>121.10803235725417</v>
      </c>
      <c r="C712" s="144">
        <v>55.806887905450452</v>
      </c>
    </row>
    <row r="713" spans="1:3">
      <c r="A713" s="144">
        <v>704</v>
      </c>
      <c r="B713" s="144">
        <v>84.887392836246491</v>
      </c>
      <c r="C713" s="144">
        <v>19.616419677592109</v>
      </c>
    </row>
    <row r="714" spans="1:3">
      <c r="A714" s="144">
        <v>705</v>
      </c>
      <c r="B714" s="144">
        <v>93.477897269861359</v>
      </c>
      <c r="C714" s="144">
        <v>28.19976833949795</v>
      </c>
    </row>
    <row r="715" spans="1:3">
      <c r="A715" s="144">
        <v>706</v>
      </c>
      <c r="B715" s="144">
        <v>116.66518173292749</v>
      </c>
      <c r="C715" s="144">
        <v>51.367738114416007</v>
      </c>
    </row>
    <row r="716" spans="1:3">
      <c r="A716" s="144">
        <v>707</v>
      </c>
      <c r="B716" s="144">
        <v>125.24507841450014</v>
      </c>
      <c r="C716" s="144">
        <v>59.940487860390775</v>
      </c>
    </row>
    <row r="717" spans="1:3">
      <c r="A717" s="144">
        <v>708</v>
      </c>
      <c r="B717" s="144">
        <v>154.04970935238964</v>
      </c>
      <c r="C717" s="144">
        <v>88.721124937995683</v>
      </c>
    </row>
    <row r="718" spans="1:3">
      <c r="A718" s="144">
        <v>709</v>
      </c>
      <c r="B718" s="144">
        <v>82.893014326886771</v>
      </c>
      <c r="C718" s="144">
        <v>17.623702458023306</v>
      </c>
    </row>
    <row r="719" spans="1:3">
      <c r="A719" s="144">
        <v>710</v>
      </c>
      <c r="B719" s="144">
        <v>107.28560691636244</v>
      </c>
      <c r="C719" s="144">
        <v>41.99597635430576</v>
      </c>
    </row>
    <row r="720" spans="1:3">
      <c r="A720" s="144">
        <v>711</v>
      </c>
      <c r="B720" s="144">
        <v>84.998153468801647</v>
      </c>
      <c r="C720" s="144">
        <v>19.727088048068008</v>
      </c>
    </row>
    <row r="721" spans="1:3">
      <c r="A721" s="144">
        <v>712</v>
      </c>
      <c r="B721" s="144">
        <v>88.909649847678068</v>
      </c>
      <c r="C721" s="144">
        <v>23.635326204409978</v>
      </c>
    </row>
    <row r="722" spans="1:3">
      <c r="A722" s="144">
        <v>713</v>
      </c>
      <c r="B722" s="144">
        <v>127.28358837461769</v>
      </c>
      <c r="C722" s="144">
        <v>61.97729976982761</v>
      </c>
    </row>
    <row r="723" spans="1:3">
      <c r="A723" s="144">
        <v>714</v>
      </c>
      <c r="B723" s="144">
        <v>112.734474025034</v>
      </c>
      <c r="C723" s="144">
        <v>47.440304631829072</v>
      </c>
    </row>
    <row r="724" spans="1:3">
      <c r="A724" s="144">
        <v>715</v>
      </c>
      <c r="B724" s="144">
        <v>97.261765381566477</v>
      </c>
      <c r="C724" s="144">
        <v>31.980484541254864</v>
      </c>
    </row>
    <row r="725" spans="1:3">
      <c r="A725" s="144">
        <v>716</v>
      </c>
      <c r="B725" s="144">
        <v>82.289603272725586</v>
      </c>
      <c r="C725" s="144">
        <v>17.020794036947713</v>
      </c>
    </row>
    <row r="726" spans="1:3">
      <c r="A726" s="144">
        <v>717</v>
      </c>
      <c r="B726" s="144">
        <v>106.98819059284418</v>
      </c>
      <c r="C726" s="144">
        <v>41.69880777448288</v>
      </c>
    </row>
    <row r="727" spans="1:3">
      <c r="A727" s="144">
        <v>718</v>
      </c>
      <c r="B727" s="144">
        <v>137.31705439247347</v>
      </c>
      <c r="C727" s="144">
        <v>72.002408048876674</v>
      </c>
    </row>
    <row r="728" spans="1:3">
      <c r="A728" s="144">
        <v>719</v>
      </c>
      <c r="B728" s="144">
        <v>125.71743948294694</v>
      </c>
      <c r="C728" s="144">
        <v>60.412455458582578</v>
      </c>
    </row>
    <row r="729" spans="1:3">
      <c r="A729" s="144">
        <v>720</v>
      </c>
      <c r="B729" s="144">
        <v>136.50042629886019</v>
      </c>
      <c r="C729" s="144">
        <v>71.186460195202059</v>
      </c>
    </row>
    <row r="730" spans="1:3">
      <c r="A730" s="144">
        <v>721</v>
      </c>
      <c r="B730" s="144">
        <v>92.571088689789704</v>
      </c>
      <c r="C730" s="144">
        <v>27.293715118466377</v>
      </c>
    </row>
    <row r="731" spans="1:3">
      <c r="A731" s="144">
        <v>722</v>
      </c>
      <c r="B731" s="144">
        <v>87.307800558081155</v>
      </c>
      <c r="C731" s="144">
        <v>22.034811233177859</v>
      </c>
    </row>
    <row r="732" spans="1:3">
      <c r="A732" s="144">
        <v>723</v>
      </c>
      <c r="B732" s="144">
        <v>87.998058859935142</v>
      </c>
      <c r="C732" s="144">
        <v>22.724494559386759</v>
      </c>
    </row>
    <row r="733" spans="1:3">
      <c r="A733" s="144">
        <v>724</v>
      </c>
      <c r="B733" s="144">
        <v>169.61924287697204</v>
      </c>
      <c r="C733" s="144">
        <v>104.27768925589424</v>
      </c>
    </row>
    <row r="734" spans="1:3">
      <c r="A734" s="144">
        <v>725</v>
      </c>
      <c r="B734" s="144">
        <v>101.54215192418287</v>
      </c>
      <c r="C734" s="144">
        <v>36.257305580918313</v>
      </c>
    </row>
    <row r="735" spans="1:3">
      <c r="A735" s="144">
        <v>726</v>
      </c>
      <c r="B735" s="144">
        <v>99.397592994465967</v>
      </c>
      <c r="C735" s="144">
        <v>34.114533039211118</v>
      </c>
    </row>
    <row r="736" spans="1:3">
      <c r="A736" s="144">
        <v>727</v>
      </c>
      <c r="B736" s="144">
        <v>143.74039798684993</v>
      </c>
      <c r="C736" s="144">
        <v>78.420401086632708</v>
      </c>
    </row>
    <row r="737" spans="1:3">
      <c r="A737" s="144">
        <v>728</v>
      </c>
      <c r="B737" s="144">
        <v>117.1002330434076</v>
      </c>
      <c r="C737" s="144">
        <v>51.802427033154906</v>
      </c>
    </row>
    <row r="738" spans="1:3">
      <c r="A738" s="144">
        <v>729</v>
      </c>
      <c r="B738" s="144">
        <v>125.95237319999208</v>
      </c>
      <c r="C738" s="144">
        <v>60.647193479081729</v>
      </c>
    </row>
    <row r="739" spans="1:3">
      <c r="A739" s="144">
        <v>730</v>
      </c>
      <c r="B739" s="144">
        <v>121.45171062662779</v>
      </c>
      <c r="C739" s="144">
        <v>56.150279895565845</v>
      </c>
    </row>
    <row r="740" spans="1:3">
      <c r="A740" s="144">
        <v>731</v>
      </c>
      <c r="B740" s="144">
        <v>141.36005618803506</v>
      </c>
      <c r="C740" s="144">
        <v>76.042042079705496</v>
      </c>
    </row>
    <row r="741" spans="1:3">
      <c r="A741" s="144">
        <v>732</v>
      </c>
      <c r="B741" s="144">
        <v>140.3795351949222</v>
      </c>
      <c r="C741" s="144">
        <v>75.062337847056099</v>
      </c>
    </row>
    <row r="742" spans="1:3">
      <c r="A742" s="144">
        <v>733</v>
      </c>
      <c r="B742" s="144">
        <v>87.318383759596614</v>
      </c>
      <c r="C742" s="144">
        <v>22.045385619032423</v>
      </c>
    </row>
    <row r="743" spans="1:3">
      <c r="A743" s="144">
        <v>734</v>
      </c>
      <c r="B743" s="144">
        <v>99.559343993941013</v>
      </c>
      <c r="C743" s="144">
        <v>34.276149302334545</v>
      </c>
    </row>
    <row r="744" spans="1:3">
      <c r="A744" s="144">
        <v>735</v>
      </c>
      <c r="B744" s="144">
        <v>126.35380372408007</v>
      </c>
      <c r="C744" s="144">
        <v>61.048289617079867</v>
      </c>
    </row>
    <row r="745" spans="1:3">
      <c r="A745" s="144">
        <v>736</v>
      </c>
      <c r="B745" s="144">
        <v>86.810894780501542</v>
      </c>
      <c r="C745" s="144">
        <v>21.538319371257419</v>
      </c>
    </row>
    <row r="746" spans="1:3">
      <c r="A746" s="144">
        <v>737</v>
      </c>
      <c r="B746" s="144">
        <v>106.59379311236424</v>
      </c>
      <c r="C746" s="144">
        <v>41.304738821664472</v>
      </c>
    </row>
    <row r="747" spans="1:3">
      <c r="A747" s="144">
        <v>738</v>
      </c>
      <c r="B747" s="144">
        <v>86.924930442257846</v>
      </c>
      <c r="C747" s="144">
        <v>21.652260042880311</v>
      </c>
    </row>
    <row r="748" spans="1:3">
      <c r="A748" s="144">
        <v>739</v>
      </c>
      <c r="B748" s="144">
        <v>97.143813464113293</v>
      </c>
      <c r="C748" s="144">
        <v>31.862630876122072</v>
      </c>
    </row>
    <row r="749" spans="1:3">
      <c r="A749" s="144">
        <v>740</v>
      </c>
      <c r="B749" s="144">
        <v>115.63687793611157</v>
      </c>
      <c r="C749" s="144">
        <v>50.340290880479998</v>
      </c>
    </row>
    <row r="750" spans="1:3">
      <c r="A750" s="144">
        <v>741</v>
      </c>
      <c r="B750" s="144">
        <v>122.31851410585884</v>
      </c>
      <c r="C750" s="144">
        <v>57.01636133945405</v>
      </c>
    </row>
    <row r="751" spans="1:3">
      <c r="A751" s="144">
        <v>742</v>
      </c>
      <c r="B751" s="144">
        <v>166.44288127435365</v>
      </c>
      <c r="C751" s="144">
        <v>101.103973518681</v>
      </c>
    </row>
    <row r="752" spans="1:3">
      <c r="A752" s="144">
        <v>743</v>
      </c>
      <c r="B752" s="144">
        <v>79.597312200790398</v>
      </c>
      <c r="C752" s="144">
        <v>14.330745606342136</v>
      </c>
    </row>
    <row r="753" spans="1:3">
      <c r="A753" s="144">
        <v>744</v>
      </c>
      <c r="B753" s="144">
        <v>129.90361827421304</v>
      </c>
      <c r="C753" s="144">
        <v>64.595147220653246</v>
      </c>
    </row>
    <row r="754" spans="1:3">
      <c r="A754" s="144">
        <v>745</v>
      </c>
      <c r="B754" s="144">
        <v>92.174603432844407</v>
      </c>
      <c r="C754" s="144">
        <v>26.897560128271611</v>
      </c>
    </row>
    <row r="755" spans="1:3">
      <c r="A755" s="144">
        <v>746</v>
      </c>
      <c r="B755" s="144">
        <v>111.53969932124133</v>
      </c>
      <c r="C755" s="144">
        <v>46.246525158885774</v>
      </c>
    </row>
    <row r="756" spans="1:3">
      <c r="A756" s="144">
        <v>747</v>
      </c>
      <c r="B756" s="144">
        <v>103.78925476924344</v>
      </c>
      <c r="C756" s="144">
        <v>38.502536620302017</v>
      </c>
    </row>
    <row r="757" spans="1:3">
      <c r="A757" s="144">
        <v>748</v>
      </c>
      <c r="B757" s="144">
        <v>96.654877479417323</v>
      </c>
      <c r="C757" s="144">
        <v>31.374102168357723</v>
      </c>
    </row>
    <row r="758" spans="1:3">
      <c r="A758" s="144">
        <v>749</v>
      </c>
      <c r="B758" s="144">
        <v>129.01428267953125</v>
      </c>
      <c r="C758" s="144">
        <v>63.706552430255698</v>
      </c>
    </row>
    <row r="759" spans="1:3">
      <c r="A759" s="144">
        <v>750</v>
      </c>
      <c r="B759" s="144">
        <v>96.933091852176233</v>
      </c>
      <c r="C759" s="144">
        <v>31.652084792381384</v>
      </c>
    </row>
    <row r="760" spans="1:3">
      <c r="A760" s="144">
        <v>751</v>
      </c>
      <c r="B760" s="144">
        <v>96.481495978878669</v>
      </c>
      <c r="C760" s="144">
        <v>31.200865092217661</v>
      </c>
    </row>
    <row r="761" spans="1:3">
      <c r="A761" s="144">
        <v>752</v>
      </c>
      <c r="B761" s="144">
        <v>118.87433576141713</v>
      </c>
      <c r="C761" s="144">
        <v>53.575051948069571</v>
      </c>
    </row>
    <row r="762" spans="1:3">
      <c r="A762" s="144">
        <v>753</v>
      </c>
      <c r="B762" s="144">
        <v>88.595936621252079</v>
      </c>
      <c r="C762" s="144">
        <v>23.321874296774723</v>
      </c>
    </row>
    <row r="763" spans="1:3">
      <c r="A763" s="144">
        <v>754</v>
      </c>
      <c r="B763" s="144">
        <v>84.116460468479431</v>
      </c>
      <c r="C763" s="144">
        <v>18.846129485854348</v>
      </c>
    </row>
    <row r="764" spans="1:3">
      <c r="A764" s="144">
        <v>755</v>
      </c>
      <c r="B764" s="144">
        <v>105.37813898277857</v>
      </c>
      <c r="C764" s="144">
        <v>40.090097315201888</v>
      </c>
    </row>
    <row r="765" spans="1:3">
      <c r="A765" s="144">
        <v>756</v>
      </c>
      <c r="B765" s="144">
        <v>94.580636153648086</v>
      </c>
      <c r="C765" s="144">
        <v>29.301588657003965</v>
      </c>
    </row>
    <row r="766" spans="1:3">
      <c r="A766" s="144">
        <v>757</v>
      </c>
      <c r="B766" s="144">
        <v>92.01570874165094</v>
      </c>
      <c r="C766" s="144">
        <v>26.738797794164359</v>
      </c>
    </row>
    <row r="767" spans="1:3">
      <c r="A767" s="144">
        <v>758</v>
      </c>
      <c r="B767" s="144">
        <v>99.754652328704708</v>
      </c>
      <c r="C767" s="144">
        <v>34.471294947949168</v>
      </c>
    </row>
    <row r="768" spans="1:3">
      <c r="A768" s="144">
        <v>759</v>
      </c>
      <c r="B768" s="144">
        <v>86.137745220956049</v>
      </c>
      <c r="C768" s="144">
        <v>20.865730536010638</v>
      </c>
    </row>
    <row r="769" spans="1:3">
      <c r="A769" s="144">
        <v>760</v>
      </c>
      <c r="B769" s="144">
        <v>117.16273850354104</v>
      </c>
      <c r="C769" s="144">
        <v>51.864880427102158</v>
      </c>
    </row>
    <row r="770" spans="1:3">
      <c r="A770" s="144">
        <v>761</v>
      </c>
      <c r="B770" s="144">
        <v>106.12287905089407</v>
      </c>
      <c r="C770" s="144">
        <v>40.834217025112444</v>
      </c>
    </row>
    <row r="771" spans="1:3">
      <c r="A771" s="144">
        <v>762</v>
      </c>
      <c r="B771" s="144">
        <v>121.69908480903504</v>
      </c>
      <c r="C771" s="144">
        <v>56.397448018691058</v>
      </c>
    </row>
    <row r="772" spans="1:3">
      <c r="A772" s="144">
        <v>763</v>
      </c>
      <c r="B772" s="144">
        <v>129.88709923860253</v>
      </c>
      <c r="C772" s="144">
        <v>64.578641945171569</v>
      </c>
    </row>
    <row r="773" spans="1:3">
      <c r="A773" s="144">
        <v>764</v>
      </c>
      <c r="B773" s="144">
        <v>104.60347222513118</v>
      </c>
      <c r="C773" s="144">
        <v>39.316075844279069</v>
      </c>
    </row>
    <row r="774" spans="1:3">
      <c r="A774" s="144">
        <v>765</v>
      </c>
      <c r="B774" s="144">
        <v>139.7160039514597</v>
      </c>
      <c r="C774" s="144">
        <v>74.399359315967672</v>
      </c>
    </row>
    <row r="775" spans="1:3">
      <c r="A775" s="144">
        <v>766</v>
      </c>
      <c r="B775" s="144">
        <v>105.77055580483155</v>
      </c>
      <c r="C775" s="144">
        <v>40.482187259454491</v>
      </c>
    </row>
    <row r="776" spans="1:3">
      <c r="A776" s="144">
        <v>767</v>
      </c>
      <c r="B776" s="144">
        <v>103.963969721368</v>
      </c>
      <c r="C776" s="144">
        <v>38.677106037281206</v>
      </c>
    </row>
    <row r="777" spans="1:3">
      <c r="A777" s="144">
        <v>768</v>
      </c>
      <c r="B777" s="144">
        <v>142.43740754328579</v>
      </c>
      <c r="C777" s="144">
        <v>77.118496016136618</v>
      </c>
    </row>
    <row r="778" spans="1:3">
      <c r="A778" s="144">
        <v>769</v>
      </c>
      <c r="B778" s="144">
        <v>103.19505815739905</v>
      </c>
      <c r="C778" s="144">
        <v>37.908834966039855</v>
      </c>
    </row>
    <row r="779" spans="1:3">
      <c r="A779" s="144">
        <v>770</v>
      </c>
      <c r="B779" s="144">
        <v>106.75248755222867</v>
      </c>
      <c r="C779" s="144">
        <v>41.463301071249283</v>
      </c>
    </row>
    <row r="780" spans="1:3">
      <c r="A780" s="144">
        <v>771</v>
      </c>
      <c r="B780" s="144">
        <v>136.57552198230152</v>
      </c>
      <c r="C780" s="144">
        <v>71.26149332497485</v>
      </c>
    </row>
    <row r="781" spans="1:3">
      <c r="A781" s="144">
        <v>772</v>
      </c>
      <c r="B781" s="144">
        <v>92.418720952602243</v>
      </c>
      <c r="C781" s="144">
        <v>27.141474301502466</v>
      </c>
    </row>
    <row r="782" spans="1:3">
      <c r="A782" s="144">
        <v>773</v>
      </c>
      <c r="B782" s="144">
        <v>70.970507596553915</v>
      </c>
      <c r="C782" s="144">
        <v>5.7111270113561394</v>
      </c>
    </row>
    <row r="783" spans="1:3">
      <c r="A783" s="144">
        <v>774</v>
      </c>
      <c r="B783" s="144">
        <v>95.122861335863988</v>
      </c>
      <c r="C783" s="144">
        <v>29.843362173121697</v>
      </c>
    </row>
    <row r="784" spans="1:3">
      <c r="A784" s="144">
        <v>775</v>
      </c>
      <c r="B784" s="144">
        <v>99.200758835335265</v>
      </c>
      <c r="C784" s="144">
        <v>33.917862840220145</v>
      </c>
    </row>
    <row r="785" spans="1:3">
      <c r="A785" s="144">
        <v>776</v>
      </c>
      <c r="B785" s="144">
        <v>120.70042474301887</v>
      </c>
      <c r="C785" s="144">
        <v>55.3996198227359</v>
      </c>
    </row>
    <row r="786" spans="1:3">
      <c r="A786" s="144">
        <v>777</v>
      </c>
      <c r="B786" s="144">
        <v>84.540156041921648</v>
      </c>
      <c r="C786" s="144">
        <v>19.269472126727692</v>
      </c>
    </row>
    <row r="787" spans="1:3">
      <c r="A787" s="144">
        <v>778</v>
      </c>
      <c r="B787" s="144">
        <v>127.97811500058573</v>
      </c>
      <c r="C787" s="144">
        <v>62.671247864695445</v>
      </c>
    </row>
    <row r="788" spans="1:3">
      <c r="A788" s="144">
        <v>779</v>
      </c>
      <c r="B788" s="144">
        <v>115.93589814656319</v>
      </c>
      <c r="C788" s="144">
        <v>50.639062011220531</v>
      </c>
    </row>
    <row r="789" spans="1:3">
      <c r="A789" s="144">
        <v>780</v>
      </c>
      <c r="B789" s="144">
        <v>131.34973705583712</v>
      </c>
      <c r="C789" s="144">
        <v>66.040061405277768</v>
      </c>
    </row>
    <row r="790" spans="1:3">
      <c r="A790" s="144">
        <v>781</v>
      </c>
      <c r="B790" s="144">
        <v>116.93518026570194</v>
      </c>
      <c r="C790" s="144">
        <v>51.637511742136603</v>
      </c>
    </row>
    <row r="791" spans="1:3">
      <c r="A791" s="144">
        <v>782</v>
      </c>
      <c r="B791" s="144">
        <v>120.79790893253418</v>
      </c>
      <c r="C791" s="144">
        <v>55.497022809265893</v>
      </c>
    </row>
    <row r="792" spans="1:3">
      <c r="A792" s="144">
        <v>783</v>
      </c>
      <c r="B792" s="144">
        <v>135.97672453330571</v>
      </c>
      <c r="C792" s="144">
        <v>70.663194665995164</v>
      </c>
    </row>
    <row r="793" spans="1:3">
      <c r="A793" s="144">
        <v>784</v>
      </c>
      <c r="B793" s="144">
        <v>101.68162583486979</v>
      </c>
      <c r="C793" s="144">
        <v>36.396663311761316</v>
      </c>
    </row>
    <row r="794" spans="1:3">
      <c r="A794" s="144">
        <v>785</v>
      </c>
      <c r="B794" s="144">
        <v>118.35323058461006</v>
      </c>
      <c r="C794" s="144">
        <v>53.054380844687465</v>
      </c>
    </row>
    <row r="795" spans="1:3">
      <c r="A795" s="144">
        <v>786</v>
      </c>
      <c r="B795" s="144">
        <v>94.191570575779451</v>
      </c>
      <c r="C795" s="144">
        <v>28.912847165395522</v>
      </c>
    </row>
    <row r="796" spans="1:3">
      <c r="A796" s="144">
        <v>787</v>
      </c>
      <c r="B796" s="144">
        <v>124.19943386302361</v>
      </c>
      <c r="C796" s="144">
        <v>58.895714316403613</v>
      </c>
    </row>
    <row r="797" spans="1:3">
      <c r="A797" s="144">
        <v>788</v>
      </c>
      <c r="B797" s="144">
        <v>115.19550288063289</v>
      </c>
      <c r="C797" s="144">
        <v>49.89928348433488</v>
      </c>
    </row>
    <row r="798" spans="1:3">
      <c r="A798" s="144">
        <v>789</v>
      </c>
      <c r="B798" s="144">
        <v>118.54665177393952</v>
      </c>
      <c r="C798" s="144">
        <v>53.247640916833966</v>
      </c>
    </row>
    <row r="799" spans="1:3">
      <c r="A799" s="144">
        <v>790</v>
      </c>
      <c r="B799" s="144">
        <v>143.81025781261664</v>
      </c>
      <c r="C799" s="144">
        <v>78.49020272012811</v>
      </c>
    </row>
    <row r="800" spans="1:3">
      <c r="A800" s="144">
        <v>791</v>
      </c>
      <c r="B800" s="144">
        <v>99.936294198441331</v>
      </c>
      <c r="C800" s="144">
        <v>34.652785512513589</v>
      </c>
    </row>
    <row r="801" spans="1:3">
      <c r="A801" s="144">
        <v>792</v>
      </c>
      <c r="B801" s="144">
        <v>108.71015075880274</v>
      </c>
      <c r="C801" s="144">
        <v>43.419333571373265</v>
      </c>
    </row>
    <row r="802" spans="1:3">
      <c r="A802" s="144">
        <v>793</v>
      </c>
      <c r="B802" s="144">
        <v>92.166670856517896</v>
      </c>
      <c r="C802" s="144">
        <v>26.889634159671768</v>
      </c>
    </row>
    <row r="803" spans="1:3">
      <c r="A803" s="144">
        <v>794</v>
      </c>
      <c r="B803" s="144">
        <v>103.07414262991607</v>
      </c>
      <c r="C803" s="144">
        <v>37.788020159523548</v>
      </c>
    </row>
    <row r="804" spans="1:3">
      <c r="A804" s="144">
        <v>795</v>
      </c>
      <c r="B804" s="144">
        <v>105.16971389174408</v>
      </c>
      <c r="C804" s="144">
        <v>39.881845839393542</v>
      </c>
    </row>
    <row r="805" spans="1:3">
      <c r="A805" s="144">
        <v>796</v>
      </c>
      <c r="B805" s="144">
        <v>112.75979564878789</v>
      </c>
      <c r="C805" s="144">
        <v>47.46560516301961</v>
      </c>
    </row>
    <row r="806" spans="1:3">
      <c r="A806" s="144">
        <v>797</v>
      </c>
      <c r="B806" s="144">
        <v>131.25263737765243</v>
      </c>
      <c r="C806" s="144">
        <v>65.943042609785763</v>
      </c>
    </row>
    <row r="807" spans="1:3">
      <c r="A807" s="144">
        <v>798</v>
      </c>
      <c r="B807" s="144">
        <v>115.83412020072079</v>
      </c>
      <c r="C807" s="144">
        <v>50.53736884500325</v>
      </c>
    </row>
    <row r="808" spans="1:3">
      <c r="A808" s="144">
        <v>799</v>
      </c>
      <c r="B808" s="144">
        <v>120.87164810745817</v>
      </c>
      <c r="C808" s="144">
        <v>55.570700560474215</v>
      </c>
    </row>
    <row r="809" spans="1:3">
      <c r="A809" s="144">
        <v>800</v>
      </c>
      <c r="B809" s="144">
        <v>103.41898110928632</v>
      </c>
      <c r="C809" s="144">
        <v>38.132571393196656</v>
      </c>
    </row>
    <row r="810" spans="1:3">
      <c r="A810" s="144">
        <v>801</v>
      </c>
      <c r="B810" s="144">
        <v>101.09972436676578</v>
      </c>
      <c r="C810" s="144">
        <v>35.815246559554389</v>
      </c>
    </row>
    <row r="811" spans="1:3">
      <c r="A811" s="144">
        <v>802</v>
      </c>
      <c r="B811" s="144">
        <v>113.62630381416606</v>
      </c>
      <c r="C811" s="144">
        <v>48.33139153904731</v>
      </c>
    </row>
    <row r="812" spans="1:3">
      <c r="A812" s="144">
        <v>803</v>
      </c>
      <c r="B812" s="144">
        <v>89.69593266586493</v>
      </c>
      <c r="C812" s="144">
        <v>24.420954059854065</v>
      </c>
    </row>
    <row r="813" spans="1:3">
      <c r="A813" s="144">
        <v>804</v>
      </c>
      <c r="B813" s="144">
        <v>77.19711709575067</v>
      </c>
      <c r="C813" s="144">
        <v>11.932549830720315</v>
      </c>
    </row>
    <row r="814" spans="1:3">
      <c r="A814" s="144">
        <v>805</v>
      </c>
      <c r="B814" s="144">
        <v>88.61218188520921</v>
      </c>
      <c r="C814" s="144">
        <v>23.33810602865104</v>
      </c>
    </row>
    <row r="815" spans="1:3">
      <c r="A815" s="144">
        <v>806</v>
      </c>
      <c r="B815" s="144">
        <v>139.68072829076533</v>
      </c>
      <c r="C815" s="144">
        <v>74.364113039412132</v>
      </c>
    </row>
    <row r="816" spans="1:3">
      <c r="A816" s="144">
        <v>807</v>
      </c>
      <c r="B816" s="144">
        <v>144.44327056432914</v>
      </c>
      <c r="C816" s="144">
        <v>79.122688180949226</v>
      </c>
    </row>
    <row r="817" spans="1:3">
      <c r="A817" s="144">
        <v>808</v>
      </c>
      <c r="B817" s="144">
        <v>131.59352744386408</v>
      </c>
      <c r="C817" s="144">
        <v>66.28364871927397</v>
      </c>
    </row>
    <row r="818" spans="1:3">
      <c r="A818" s="144">
        <v>809</v>
      </c>
      <c r="B818" s="144">
        <v>118.14363513658203</v>
      </c>
      <c r="C818" s="144">
        <v>52.844959986776807</v>
      </c>
    </row>
    <row r="819" spans="1:3">
      <c r="A819" s="144">
        <v>810</v>
      </c>
      <c r="B819" s="144">
        <v>75.885024703094075</v>
      </c>
      <c r="C819" s="144">
        <v>10.621550392929823</v>
      </c>
    </row>
    <row r="820" spans="1:3">
      <c r="A820" s="144">
        <v>811</v>
      </c>
      <c r="B820" s="144">
        <v>107.84729237064055</v>
      </c>
      <c r="C820" s="144">
        <v>42.557193932347474</v>
      </c>
    </row>
    <row r="821" spans="1:3">
      <c r="A821" s="144">
        <v>812</v>
      </c>
      <c r="B821" s="144">
        <v>93.00857948828903</v>
      </c>
      <c r="C821" s="144">
        <v>27.730841493164625</v>
      </c>
    </row>
    <row r="822" spans="1:3">
      <c r="A822" s="144">
        <v>813</v>
      </c>
      <c r="B822" s="144">
        <v>76.357886546136541</v>
      </c>
      <c r="C822" s="144">
        <v>11.094018348578963</v>
      </c>
    </row>
    <row r="823" spans="1:3">
      <c r="A823" s="144">
        <v>814</v>
      </c>
      <c r="B823" s="144">
        <v>109.28205740610406</v>
      </c>
      <c r="C823" s="144">
        <v>43.990763828325385</v>
      </c>
    </row>
    <row r="824" spans="1:3">
      <c r="A824" s="144">
        <v>815</v>
      </c>
      <c r="B824" s="144">
        <v>90.911850796589803</v>
      </c>
      <c r="C824" s="144">
        <v>25.635859347546543</v>
      </c>
    </row>
    <row r="825" spans="1:3">
      <c r="A825" s="144">
        <v>816</v>
      </c>
      <c r="B825" s="144">
        <v>103.61981351167157</v>
      </c>
      <c r="C825" s="144">
        <v>38.333236504960688</v>
      </c>
    </row>
    <row r="826" spans="1:3">
      <c r="A826" s="144">
        <v>817</v>
      </c>
      <c r="B826" s="144">
        <v>74.996762978606185</v>
      </c>
      <c r="C826" s="144">
        <v>9.7340285782071199</v>
      </c>
    </row>
    <row r="827" spans="1:3">
      <c r="A827" s="144">
        <v>818</v>
      </c>
      <c r="B827" s="144">
        <v>117.1608176311029</v>
      </c>
      <c r="C827" s="144">
        <v>51.862961154724275</v>
      </c>
    </row>
    <row r="828" spans="1:3">
      <c r="A828" s="144">
        <v>819</v>
      </c>
      <c r="B828" s="144">
        <v>81.600658387161914</v>
      </c>
      <c r="C828" s="144">
        <v>16.332423032971473</v>
      </c>
    </row>
    <row r="829" spans="1:3">
      <c r="A829" s="144">
        <v>820</v>
      </c>
      <c r="B829" s="144">
        <v>81.171684500324261</v>
      </c>
      <c r="C829" s="144">
        <v>15.903806475464952</v>
      </c>
    </row>
    <row r="830" spans="1:3">
      <c r="A830" s="144">
        <v>821</v>
      </c>
      <c r="B830" s="144">
        <v>77.485820575004212</v>
      </c>
      <c r="C830" s="144">
        <v>12.221012823957569</v>
      </c>
    </row>
    <row r="831" spans="1:3">
      <c r="A831" s="144">
        <v>822</v>
      </c>
      <c r="B831" s="144">
        <v>82.711477136002927</v>
      </c>
      <c r="C831" s="144">
        <v>17.442316485115622</v>
      </c>
    </row>
    <row r="832" spans="1:3">
      <c r="A832" s="144">
        <v>823</v>
      </c>
      <c r="B832" s="144">
        <v>135.95146353635744</v>
      </c>
      <c r="C832" s="144">
        <v>70.637954711108932</v>
      </c>
    </row>
    <row r="833" spans="1:3">
      <c r="A833" s="144">
        <v>824</v>
      </c>
      <c r="B833" s="144">
        <v>90.060576229368678</v>
      </c>
      <c r="C833" s="144">
        <v>24.785293880298742</v>
      </c>
    </row>
    <row r="834" spans="1:3">
      <c r="A834" s="144">
        <v>825</v>
      </c>
      <c r="B834" s="144">
        <v>114.88288781959075</v>
      </c>
      <c r="C834" s="144">
        <v>49.586928827326858</v>
      </c>
    </row>
    <row r="835" spans="1:3">
      <c r="A835" s="144">
        <v>826</v>
      </c>
      <c r="B835" s="144">
        <v>116.52512372333982</v>
      </c>
      <c r="C835" s="144">
        <v>51.227796771218571</v>
      </c>
    </row>
    <row r="836" spans="1:3">
      <c r="A836" s="144">
        <v>827</v>
      </c>
      <c r="B836" s="144">
        <v>148.11970204545938</v>
      </c>
      <c r="C836" s="144">
        <v>82.796057245362718</v>
      </c>
    </row>
    <row r="837" spans="1:3">
      <c r="A837" s="144">
        <v>828</v>
      </c>
      <c r="B837" s="144">
        <v>101.21978364198834</v>
      </c>
      <c r="C837" s="144">
        <v>35.935205827056599</v>
      </c>
    </row>
    <row r="838" spans="1:3">
      <c r="A838" s="144">
        <v>829</v>
      </c>
      <c r="B838" s="144">
        <v>104.35220843595684</v>
      </c>
      <c r="C838" s="144">
        <v>39.06502135437556</v>
      </c>
    </row>
    <row r="839" spans="1:3">
      <c r="A839" s="144">
        <v>830</v>
      </c>
      <c r="B839" s="144">
        <v>110.82641209626529</v>
      </c>
      <c r="C839" s="144">
        <v>45.533832092330151</v>
      </c>
    </row>
    <row r="840" spans="1:3">
      <c r="A840" s="144">
        <v>831</v>
      </c>
      <c r="B840" s="144">
        <v>127.04101479325703</v>
      </c>
      <c r="C840" s="144">
        <v>61.734928248914535</v>
      </c>
    </row>
    <row r="841" spans="1:3">
      <c r="A841" s="144">
        <v>832</v>
      </c>
      <c r="B841" s="144">
        <v>85.663526984105062</v>
      </c>
      <c r="C841" s="144">
        <v>20.391907316410315</v>
      </c>
    </row>
    <row r="842" spans="1:3">
      <c r="A842" s="144">
        <v>833</v>
      </c>
      <c r="B842" s="144">
        <v>102.73386893999108</v>
      </c>
      <c r="C842" s="144">
        <v>37.448029912889062</v>
      </c>
    </row>
    <row r="843" spans="1:3">
      <c r="A843" s="144">
        <v>834</v>
      </c>
      <c r="B843" s="144">
        <v>120.28760897582241</v>
      </c>
      <c r="C843" s="144">
        <v>54.987147925379766</v>
      </c>
    </row>
    <row r="844" spans="1:3">
      <c r="A844" s="144">
        <v>835</v>
      </c>
      <c r="B844" s="144">
        <v>98.995806880200675</v>
      </c>
      <c r="C844" s="144">
        <v>33.713081607237392</v>
      </c>
    </row>
    <row r="845" spans="1:3">
      <c r="A845" s="144">
        <v>836</v>
      </c>
      <c r="B845" s="144">
        <v>130.97221532760975</v>
      </c>
      <c r="C845" s="144">
        <v>65.662854147443056</v>
      </c>
    </row>
    <row r="846" spans="1:3">
      <c r="A846" s="144">
        <v>837</v>
      </c>
      <c r="B846" s="144">
        <v>129.83313386685586</v>
      </c>
      <c r="C846" s="144">
        <v>64.524721525835247</v>
      </c>
    </row>
    <row r="847" spans="1:3">
      <c r="A847" s="144">
        <v>838</v>
      </c>
      <c r="B847" s="144">
        <v>78.620987190504266</v>
      </c>
      <c r="C847" s="144">
        <v>13.355233861323651</v>
      </c>
    </row>
    <row r="848" spans="1:3">
      <c r="A848" s="144">
        <v>839</v>
      </c>
      <c r="B848" s="144">
        <v>146.3052884517208</v>
      </c>
      <c r="C848" s="144">
        <v>80.9831550331225</v>
      </c>
    </row>
    <row r="849" spans="1:3">
      <c r="A849" s="144">
        <v>840</v>
      </c>
      <c r="B849" s="144">
        <v>109.64811980507437</v>
      </c>
      <c r="C849" s="144">
        <v>44.356521302366254</v>
      </c>
    </row>
    <row r="850" spans="1:3">
      <c r="A850" s="144">
        <v>841</v>
      </c>
      <c r="B850" s="144">
        <v>112.98037231504293</v>
      </c>
      <c r="C850" s="144">
        <v>47.685998091953955</v>
      </c>
    </row>
    <row r="851" spans="1:3">
      <c r="A851" s="144">
        <v>842</v>
      </c>
      <c r="B851" s="144">
        <v>100.31845288018422</v>
      </c>
      <c r="C851" s="144">
        <v>35.034625861345496</v>
      </c>
    </row>
    <row r="852" spans="1:3">
      <c r="A852" s="144">
        <v>843</v>
      </c>
      <c r="B852" s="144">
        <v>113.20411571472594</v>
      </c>
      <c r="C852" s="144">
        <v>47.909555116471012</v>
      </c>
    </row>
    <row r="853" spans="1:3">
      <c r="A853" s="144">
        <v>844</v>
      </c>
      <c r="B853" s="144">
        <v>132.56144917415705</v>
      </c>
      <c r="C853" s="144">
        <v>67.250764184115624</v>
      </c>
    </row>
    <row r="854" spans="1:3">
      <c r="A854" s="144">
        <v>845</v>
      </c>
      <c r="B854" s="144">
        <v>131.86078139842991</v>
      </c>
      <c r="C854" s="144">
        <v>66.550680054981726</v>
      </c>
    </row>
    <row r="855" spans="1:3">
      <c r="A855" s="144">
        <v>846</v>
      </c>
      <c r="B855" s="144">
        <v>98.714834487174329</v>
      </c>
      <c r="C855" s="144">
        <v>33.432343260339138</v>
      </c>
    </row>
    <row r="856" spans="1:3">
      <c r="A856" s="144">
        <v>847</v>
      </c>
      <c r="B856" s="144">
        <v>119.31486439401434</v>
      </c>
      <c r="C856" s="144">
        <v>54.015213626391798</v>
      </c>
    </row>
    <row r="857" spans="1:3">
      <c r="A857" s="144">
        <v>848</v>
      </c>
      <c r="B857" s="144">
        <v>95.702090357915822</v>
      </c>
      <c r="C857" s="144">
        <v>30.422108705387156</v>
      </c>
    </row>
    <row r="858" spans="1:3">
      <c r="A858" s="144">
        <v>849</v>
      </c>
      <c r="B858" s="144">
        <v>79.632260637467795</v>
      </c>
      <c r="C858" s="144">
        <v>14.365664931453805</v>
      </c>
    </row>
    <row r="859" spans="1:3">
      <c r="A859" s="144">
        <v>850</v>
      </c>
      <c r="B859" s="144">
        <v>93.882919560801668</v>
      </c>
      <c r="C859" s="144">
        <v>28.60445325245616</v>
      </c>
    </row>
    <row r="860" spans="1:3">
      <c r="A860" s="144">
        <v>851</v>
      </c>
      <c r="B860" s="144">
        <v>147.68194084366229</v>
      </c>
      <c r="C860" s="144">
        <v>82.358660692608922</v>
      </c>
    </row>
    <row r="861" spans="1:3">
      <c r="A861" s="144">
        <v>852</v>
      </c>
      <c r="B861" s="144">
        <v>121.23174027065808</v>
      </c>
      <c r="C861" s="144">
        <v>55.930492771868728</v>
      </c>
    </row>
    <row r="862" spans="1:3">
      <c r="A862" s="144">
        <v>853</v>
      </c>
      <c r="B862" s="144">
        <v>129.78851403560927</v>
      </c>
      <c r="C862" s="144">
        <v>64.480138862292662</v>
      </c>
    </row>
    <row r="863" spans="1:3">
      <c r="A863" s="144">
        <v>854</v>
      </c>
      <c r="B863" s="144">
        <v>90.648661347802232</v>
      </c>
      <c r="C863" s="144">
        <v>25.372889131939782</v>
      </c>
    </row>
    <row r="864" spans="1:3">
      <c r="A864" s="144">
        <v>855</v>
      </c>
      <c r="B864" s="144">
        <v>87.175625433596437</v>
      </c>
      <c r="C864" s="144">
        <v>21.902746208748816</v>
      </c>
    </row>
    <row r="865" spans="1:3">
      <c r="A865" s="144">
        <v>856</v>
      </c>
      <c r="B865" s="144">
        <v>101.11100361478285</v>
      </c>
      <c r="C865" s="144">
        <v>35.826516412113421</v>
      </c>
    </row>
    <row r="866" spans="1:3">
      <c r="A866" s="144">
        <v>857</v>
      </c>
      <c r="B866" s="144">
        <v>79.097268826757755</v>
      </c>
      <c r="C866" s="144">
        <v>13.831118761543236</v>
      </c>
    </row>
    <row r="867" spans="1:3">
      <c r="A867" s="144">
        <v>858</v>
      </c>
      <c r="B867" s="144">
        <v>134.23672690155871</v>
      </c>
      <c r="C867" s="144">
        <v>68.92464642827656</v>
      </c>
    </row>
    <row r="868" spans="1:3">
      <c r="A868" s="144">
        <v>859</v>
      </c>
      <c r="B868" s="144">
        <v>130.51633713908942</v>
      </c>
      <c r="C868" s="144">
        <v>65.207355699166087</v>
      </c>
    </row>
    <row r="869" spans="1:3">
      <c r="A869" s="144">
        <v>860</v>
      </c>
      <c r="B869" s="144">
        <v>126.45166098108398</v>
      </c>
      <c r="C869" s="144">
        <v>61.146065360338383</v>
      </c>
    </row>
    <row r="870" spans="1:3">
      <c r="A870" s="144">
        <v>861</v>
      </c>
      <c r="B870" s="144">
        <v>113.87676072113109</v>
      </c>
      <c r="C870" s="144">
        <v>48.581639818863252</v>
      </c>
    </row>
    <row r="871" spans="1:3">
      <c r="A871" s="144">
        <v>862</v>
      </c>
      <c r="B871" s="144">
        <v>131.93736402798709</v>
      </c>
      <c r="C871" s="144">
        <v>66.627198892264758</v>
      </c>
    </row>
    <row r="872" spans="1:3">
      <c r="A872" s="144">
        <v>863</v>
      </c>
      <c r="B872" s="144">
        <v>84.133530857094129</v>
      </c>
      <c r="C872" s="144">
        <v>18.863185655070772</v>
      </c>
    </row>
    <row r="873" spans="1:3">
      <c r="A873" s="144">
        <v>864</v>
      </c>
      <c r="B873" s="144">
        <v>121.80008447137222</v>
      </c>
      <c r="C873" s="144">
        <v>56.498363549702539</v>
      </c>
    </row>
    <row r="874" spans="1:3">
      <c r="A874" s="144">
        <v>865</v>
      </c>
      <c r="B874" s="144">
        <v>120.19557731844958</v>
      </c>
      <c r="C874" s="144">
        <v>54.895192929108184</v>
      </c>
    </row>
    <row r="875" spans="1:3">
      <c r="A875" s="144">
        <v>866</v>
      </c>
      <c r="B875" s="144">
        <v>136.79979086115847</v>
      </c>
      <c r="C875" s="144">
        <v>71.485575390948924</v>
      </c>
    </row>
    <row r="876" spans="1:3">
      <c r="A876" s="144">
        <v>867</v>
      </c>
      <c r="B876" s="144">
        <v>99.304271403142522</v>
      </c>
      <c r="C876" s="144">
        <v>34.021289183486111</v>
      </c>
    </row>
    <row r="877" spans="1:3">
      <c r="A877" s="144">
        <v>868</v>
      </c>
      <c r="B877" s="144">
        <v>92.188123594383228</v>
      </c>
      <c r="C877" s="144">
        <v>26.911069027702343</v>
      </c>
    </row>
    <row r="878" spans="1:3">
      <c r="A878" s="144">
        <v>869</v>
      </c>
      <c r="B878" s="144">
        <v>127.89364386665058</v>
      </c>
      <c r="C878" s="144">
        <v>62.586847094049794</v>
      </c>
    </row>
    <row r="879" spans="1:3">
      <c r="A879" s="144">
        <v>870</v>
      </c>
      <c r="B879" s="144">
        <v>97.832438190829947</v>
      </c>
      <c r="C879" s="144">
        <v>32.5506819879392</v>
      </c>
    </row>
    <row r="880" spans="1:3">
      <c r="A880" s="144">
        <v>871</v>
      </c>
      <c r="B880" s="144">
        <v>134.88852060633434</v>
      </c>
      <c r="C880" s="144">
        <v>69.575897197885951</v>
      </c>
    </row>
    <row r="881" spans="1:3">
      <c r="A881" s="144">
        <v>872</v>
      </c>
      <c r="B881" s="144">
        <v>108.63039552466454</v>
      </c>
      <c r="C881" s="144">
        <v>43.33964477224508</v>
      </c>
    </row>
    <row r="882" spans="1:3">
      <c r="A882" s="144">
        <v>873</v>
      </c>
      <c r="B882" s="144">
        <v>111.99235510123869</v>
      </c>
      <c r="C882" s="144">
        <v>46.698803882861633</v>
      </c>
    </row>
    <row r="883" spans="1:3">
      <c r="A883" s="144">
        <v>874</v>
      </c>
      <c r="B883" s="144">
        <v>81.049367300046399</v>
      </c>
      <c r="C883" s="144">
        <v>15.781591163727866</v>
      </c>
    </row>
    <row r="884" spans="1:3">
      <c r="A884" s="144">
        <v>875</v>
      </c>
      <c r="B884" s="144">
        <v>77.200798171521924</v>
      </c>
      <c r="C884" s="144">
        <v>11.936227840206223</v>
      </c>
    </row>
    <row r="885" spans="1:3">
      <c r="A885" s="144">
        <v>876</v>
      </c>
      <c r="B885" s="144">
        <v>119.33346349862128</v>
      </c>
      <c r="C885" s="144">
        <v>54.033797238201139</v>
      </c>
    </row>
    <row r="886" spans="1:3">
      <c r="A886" s="144">
        <v>877</v>
      </c>
      <c r="B886" s="144">
        <v>82.315500197465624</v>
      </c>
      <c r="C886" s="144">
        <v>17.046669389906626</v>
      </c>
    </row>
    <row r="887" spans="1:3">
      <c r="A887" s="144">
        <v>878</v>
      </c>
      <c r="B887" s="144">
        <v>114.52375934992457</v>
      </c>
      <c r="C887" s="144">
        <v>49.22809950672265</v>
      </c>
    </row>
    <row r="888" spans="1:3">
      <c r="A888" s="144">
        <v>879</v>
      </c>
      <c r="B888" s="144">
        <v>111.42460234691791</v>
      </c>
      <c r="C888" s="144">
        <v>46.131524058754493</v>
      </c>
    </row>
    <row r="889" spans="1:3">
      <c r="A889" s="144">
        <v>880</v>
      </c>
      <c r="B889" s="144">
        <v>96.087155500111749</v>
      </c>
      <c r="C889" s="144">
        <v>30.806853093630629</v>
      </c>
    </row>
    <row r="890" spans="1:3">
      <c r="A890" s="144">
        <v>881</v>
      </c>
      <c r="B890" s="144">
        <v>102.06850990652765</v>
      </c>
      <c r="C890" s="144">
        <v>36.783225114323571</v>
      </c>
    </row>
    <row r="891" spans="1:3">
      <c r="A891" s="144">
        <v>882</v>
      </c>
      <c r="B891" s="144">
        <v>90.748118680541694</v>
      </c>
      <c r="C891" s="144">
        <v>25.472263618092832</v>
      </c>
    </row>
    <row r="892" spans="1:3">
      <c r="A892" s="144">
        <v>883</v>
      </c>
      <c r="B892" s="144">
        <v>122.58341866719175</v>
      </c>
      <c r="C892" s="144">
        <v>57.281045238941061</v>
      </c>
    </row>
    <row r="893" spans="1:3">
      <c r="A893" s="144">
        <v>884</v>
      </c>
      <c r="B893" s="144">
        <v>144.76559488022892</v>
      </c>
      <c r="C893" s="144">
        <v>79.444744005139512</v>
      </c>
    </row>
    <row r="894" spans="1:3">
      <c r="A894" s="144">
        <v>885</v>
      </c>
      <c r="B894" s="144">
        <v>112.22159607838823</v>
      </c>
      <c r="C894" s="144">
        <v>46.927853905439008</v>
      </c>
    </row>
    <row r="895" spans="1:3">
      <c r="A895" s="144">
        <v>886</v>
      </c>
      <c r="B895" s="144">
        <v>109.47161988921167</v>
      </c>
      <c r="C895" s="144">
        <v>44.180168408499092</v>
      </c>
    </row>
    <row r="896" spans="1:3">
      <c r="A896" s="144">
        <v>887</v>
      </c>
      <c r="B896" s="144">
        <v>150.62135598412311</v>
      </c>
      <c r="C896" s="144">
        <v>85.295627340799498</v>
      </c>
    </row>
    <row r="897" spans="1:3">
      <c r="A897" s="144">
        <v>888</v>
      </c>
      <c r="B897" s="144">
        <v>105.84837582184922</v>
      </c>
      <c r="C897" s="144">
        <v>40.559942453471315</v>
      </c>
    </row>
    <row r="898" spans="1:3">
      <c r="A898" s="144">
        <v>889</v>
      </c>
      <c r="B898" s="144">
        <v>145.26473121125781</v>
      </c>
      <c r="C898" s="144">
        <v>79.94346456248897</v>
      </c>
    </row>
    <row r="899" spans="1:3">
      <c r="A899" s="144">
        <v>890</v>
      </c>
      <c r="B899" s="144">
        <v>82.131292032593166</v>
      </c>
      <c r="C899" s="144">
        <v>16.862614667894825</v>
      </c>
    </row>
    <row r="900" spans="1:3">
      <c r="A900" s="144">
        <v>891</v>
      </c>
      <c r="B900" s="144">
        <v>92.172118799789843</v>
      </c>
      <c r="C900" s="144">
        <v>26.895077564882111</v>
      </c>
    </row>
    <row r="901" spans="1:3">
      <c r="A901" s="144">
        <v>892</v>
      </c>
      <c r="B901" s="144">
        <v>85.185128969982486</v>
      </c>
      <c r="C901" s="144">
        <v>19.913907801235219</v>
      </c>
    </row>
    <row r="902" spans="1:3">
      <c r="A902" s="144">
        <v>893</v>
      </c>
      <c r="B902" s="144">
        <v>95.599462025317663</v>
      </c>
      <c r="C902" s="144">
        <v>30.319565860774556</v>
      </c>
    </row>
    <row r="903" spans="1:3">
      <c r="A903" s="144">
        <v>894</v>
      </c>
      <c r="B903" s="144">
        <v>96.289822380474533</v>
      </c>
      <c r="C903" s="144">
        <v>31.009351155277344</v>
      </c>
    </row>
    <row r="904" spans="1:3">
      <c r="A904" s="144">
        <v>895</v>
      </c>
      <c r="B904" s="144">
        <v>87.315372246511842</v>
      </c>
      <c r="C904" s="144">
        <v>22.042376614496515</v>
      </c>
    </row>
    <row r="905" spans="1:3">
      <c r="A905" s="144">
        <v>896</v>
      </c>
      <c r="B905" s="144">
        <v>75.226437730212211</v>
      </c>
      <c r="C905" s="144">
        <v>9.9635120139128368</v>
      </c>
    </row>
    <row r="906" spans="1:3">
      <c r="A906" s="144">
        <v>897</v>
      </c>
      <c r="B906" s="144">
        <v>102.73808759360983</v>
      </c>
      <c r="C906" s="144">
        <v>37.452245052427536</v>
      </c>
    </row>
    <row r="907" spans="1:3">
      <c r="A907" s="144">
        <v>898</v>
      </c>
      <c r="B907" s="144">
        <v>156.56035135401979</v>
      </c>
      <c r="C907" s="144">
        <v>91.229675609466398</v>
      </c>
    </row>
    <row r="908" spans="1:3">
      <c r="A908" s="144">
        <v>899</v>
      </c>
      <c r="B908" s="144">
        <v>128.10083602024034</v>
      </c>
      <c r="C908" s="144">
        <v>62.793866659433306</v>
      </c>
    </row>
    <row r="909" spans="1:3">
      <c r="A909" s="144">
        <v>900</v>
      </c>
      <c r="B909" s="144">
        <v>81.980854098239945</v>
      </c>
      <c r="C909" s="144">
        <v>16.712302046266011</v>
      </c>
    </row>
    <row r="910" spans="1:3">
      <c r="A910" s="144">
        <v>901</v>
      </c>
      <c r="B910" s="144">
        <v>110.19916632930092</v>
      </c>
      <c r="C910" s="144">
        <v>44.907108812438409</v>
      </c>
    </row>
    <row r="911" spans="1:3">
      <c r="A911" s="144">
        <v>902</v>
      </c>
      <c r="B911" s="144">
        <v>122.77404399378507</v>
      </c>
      <c r="C911" s="144">
        <v>57.471511777266521</v>
      </c>
    </row>
    <row r="912" spans="1:3">
      <c r="A912" s="144">
        <v>903</v>
      </c>
      <c r="B912" s="144">
        <v>126.9319624452317</v>
      </c>
      <c r="C912" s="144">
        <v>61.625966739991014</v>
      </c>
    </row>
    <row r="913" spans="1:3">
      <c r="A913" s="144">
        <v>904</v>
      </c>
      <c r="B913" s="144">
        <v>71.712666845669972</v>
      </c>
      <c r="C913" s="144">
        <v>6.4526680520538831</v>
      </c>
    </row>
    <row r="914" spans="1:3">
      <c r="A914" s="144">
        <v>905</v>
      </c>
      <c r="B914" s="144">
        <v>76.872096979087729</v>
      </c>
      <c r="C914" s="144">
        <v>11.607800451331729</v>
      </c>
    </row>
    <row r="915" spans="1:3">
      <c r="A915" s="144">
        <v>906</v>
      </c>
      <c r="B915" s="144">
        <v>112.62949852653098</v>
      </c>
      <c r="C915" s="144">
        <v>47.335416576468432</v>
      </c>
    </row>
    <row r="916" spans="1:3">
      <c r="A916" s="144">
        <v>907</v>
      </c>
      <c r="B916" s="144">
        <v>127.44132912466634</v>
      </c>
      <c r="C916" s="144">
        <v>62.134909124007095</v>
      </c>
    </row>
    <row r="917" spans="1:3">
      <c r="A917" s="144">
        <v>908</v>
      </c>
      <c r="B917" s="144">
        <v>124.12151432551173</v>
      </c>
      <c r="C917" s="144">
        <v>58.81785968479177</v>
      </c>
    </row>
    <row r="918" spans="1:3">
      <c r="A918" s="144">
        <v>909</v>
      </c>
      <c r="B918" s="144">
        <v>127.53174296788637</v>
      </c>
      <c r="C918" s="144">
        <v>62.225247653742755</v>
      </c>
    </row>
    <row r="919" spans="1:3">
      <c r="A919" s="144">
        <v>910</v>
      </c>
      <c r="B919" s="144">
        <v>133.31418162242335</v>
      </c>
      <c r="C919" s="144">
        <v>68.002869616634541</v>
      </c>
    </row>
    <row r="920" spans="1:3">
      <c r="A920" s="144">
        <v>911</v>
      </c>
      <c r="B920" s="144">
        <v>138.4224760777567</v>
      </c>
      <c r="C920" s="144">
        <v>73.106908933142549</v>
      </c>
    </row>
    <row r="921" spans="1:3">
      <c r="A921" s="144">
        <v>912</v>
      </c>
      <c r="B921" s="144">
        <v>143.28757042108592</v>
      </c>
      <c r="C921" s="144">
        <v>77.967950719985382</v>
      </c>
    </row>
    <row r="922" spans="1:3">
      <c r="A922" s="144">
        <v>913</v>
      </c>
      <c r="B922" s="144">
        <v>106.212136070665</v>
      </c>
      <c r="C922" s="144">
        <v>40.923399695016975</v>
      </c>
    </row>
    <row r="923" spans="1:3">
      <c r="A923" s="144">
        <v>914</v>
      </c>
      <c r="B923" s="144">
        <v>70.806949377752474</v>
      </c>
      <c r="C923" s="144">
        <v>5.54770503429509</v>
      </c>
    </row>
    <row r="924" spans="1:3">
      <c r="A924" s="144">
        <v>915</v>
      </c>
      <c r="B924" s="144">
        <v>189.27987834809565</v>
      </c>
      <c r="C924" s="144">
        <v>123.9219476888389</v>
      </c>
    </row>
    <row r="925" spans="1:3">
      <c r="A925" s="144">
        <v>916</v>
      </c>
      <c r="B925" s="144">
        <v>109.16672492502083</v>
      </c>
      <c r="C925" s="144">
        <v>43.875527417608176</v>
      </c>
    </row>
    <row r="926" spans="1:3">
      <c r="A926" s="144">
        <v>917</v>
      </c>
      <c r="B926" s="144">
        <v>106.73560348075875</v>
      </c>
      <c r="C926" s="144">
        <v>41.446431063978032</v>
      </c>
    </row>
    <row r="927" spans="1:3">
      <c r="A927" s="144">
        <v>918</v>
      </c>
      <c r="B927" s="144">
        <v>148.53077322803523</v>
      </c>
      <c r="C927" s="144">
        <v>83.206786011313156</v>
      </c>
    </row>
    <row r="928" spans="1:3">
      <c r="A928" s="144">
        <v>919</v>
      </c>
      <c r="B928" s="144">
        <v>120.60475761947791</v>
      </c>
      <c r="C928" s="144">
        <v>55.304032388589363</v>
      </c>
    </row>
    <row r="929" spans="1:3">
      <c r="A929" s="144">
        <v>920</v>
      </c>
      <c r="B929" s="144">
        <v>77.641623326921177</v>
      </c>
      <c r="C929" s="144">
        <v>12.376685794331092</v>
      </c>
    </row>
    <row r="930" spans="1:3">
      <c r="A930" s="144">
        <v>921</v>
      </c>
      <c r="B930" s="144">
        <v>108.39261005286789</v>
      </c>
      <c r="C930" s="144">
        <v>43.102057372466795</v>
      </c>
    </row>
    <row r="931" spans="1:3">
      <c r="A931" s="144">
        <v>922</v>
      </c>
      <c r="B931" s="144">
        <v>149.42453364307985</v>
      </c>
      <c r="C931" s="144">
        <v>84.099801936259212</v>
      </c>
    </row>
    <row r="932" spans="1:3">
      <c r="A932" s="144">
        <v>923</v>
      </c>
      <c r="B932" s="144">
        <v>99.477472863336999</v>
      </c>
      <c r="C932" s="144">
        <v>34.194346369253125</v>
      </c>
    </row>
    <row r="933" spans="1:3">
      <c r="A933" s="144">
        <v>924</v>
      </c>
      <c r="B933" s="144">
        <v>136.77812040107906</v>
      </c>
      <c r="C933" s="144">
        <v>71.463922982063877</v>
      </c>
    </row>
    <row r="934" spans="1:3">
      <c r="A934" s="144">
        <v>925</v>
      </c>
      <c r="B934" s="144">
        <v>97.552957806651989</v>
      </c>
      <c r="C934" s="144">
        <v>32.271434407066536</v>
      </c>
    </row>
    <row r="935" spans="1:3">
      <c r="A935" s="144">
        <v>926</v>
      </c>
      <c r="B935" s="144">
        <v>109.87321622967852</v>
      </c>
      <c r="C935" s="144">
        <v>44.58143022475334</v>
      </c>
    </row>
    <row r="936" spans="1:3">
      <c r="A936" s="144">
        <v>927</v>
      </c>
      <c r="B936" s="144">
        <v>136.50220621039796</v>
      </c>
      <c r="C936" s="144">
        <v>71.188238624098076</v>
      </c>
    </row>
    <row r="937" spans="1:3">
      <c r="A937" s="144">
        <v>928</v>
      </c>
      <c r="B937" s="144">
        <v>87.782723606770091</v>
      </c>
      <c r="C937" s="144">
        <v>22.509338677517594</v>
      </c>
    </row>
    <row r="938" spans="1:3">
      <c r="A938" s="144">
        <v>929</v>
      </c>
      <c r="B938" s="144">
        <v>92.174100164911763</v>
      </c>
      <c r="C938" s="144">
        <v>26.897057279554211</v>
      </c>
    </row>
    <row r="939" spans="1:3">
      <c r="A939" s="144">
        <v>930</v>
      </c>
      <c r="B939" s="144">
        <v>136.75511136639332</v>
      </c>
      <c r="C939" s="144">
        <v>71.440933113586681</v>
      </c>
    </row>
    <row r="940" spans="1:3">
      <c r="A940" s="144">
        <v>931</v>
      </c>
      <c r="B940" s="144">
        <v>155.68186825959668</v>
      </c>
      <c r="C940" s="144">
        <v>90.351924279344502</v>
      </c>
    </row>
    <row r="941" spans="1:3">
      <c r="A941" s="144">
        <v>932</v>
      </c>
      <c r="B941" s="144">
        <v>62.633043676156788</v>
      </c>
      <c r="C941" s="144">
        <v>0</v>
      </c>
    </row>
    <row r="942" spans="1:3">
      <c r="A942" s="144">
        <v>933</v>
      </c>
      <c r="B942" s="144">
        <v>80.414792243104444</v>
      </c>
      <c r="C942" s="144">
        <v>15.147544699055993</v>
      </c>
    </row>
    <row r="943" spans="1:3">
      <c r="A943" s="144">
        <v>934</v>
      </c>
      <c r="B943" s="144">
        <v>104.73395784010717</v>
      </c>
      <c r="C943" s="144">
        <v>39.44645276653749</v>
      </c>
    </row>
    <row r="944" spans="1:3">
      <c r="A944" s="144">
        <v>935</v>
      </c>
      <c r="B944" s="144">
        <v>101.3715585633814</v>
      </c>
      <c r="C944" s="144">
        <v>36.086854322033481</v>
      </c>
    </row>
    <row r="945" spans="1:3">
      <c r="A945" s="144">
        <v>936</v>
      </c>
      <c r="B945" s="144">
        <v>86.261215561991108</v>
      </c>
      <c r="C945" s="144">
        <v>20.989098027954576</v>
      </c>
    </row>
    <row r="946" spans="1:3">
      <c r="A946" s="144">
        <v>937</v>
      </c>
      <c r="B946" s="144">
        <v>103.49901004634897</v>
      </c>
      <c r="C946" s="144">
        <v>38.212533667258533</v>
      </c>
    </row>
    <row r="947" spans="1:3">
      <c r="A947" s="144">
        <v>938</v>
      </c>
      <c r="B947" s="144">
        <v>115.36704110755386</v>
      </c>
      <c r="C947" s="144">
        <v>50.070678822278758</v>
      </c>
    </row>
    <row r="948" spans="1:3">
      <c r="A948" s="144">
        <v>939</v>
      </c>
      <c r="B948" s="144">
        <v>130.39827554056012</v>
      </c>
      <c r="C948" s="144">
        <v>65.089392444319998</v>
      </c>
    </row>
    <row r="949" spans="1:3">
      <c r="A949" s="144">
        <v>940</v>
      </c>
      <c r="B949" s="144">
        <v>130.11332803889047</v>
      </c>
      <c r="C949" s="144">
        <v>64.804682299989111</v>
      </c>
    </row>
    <row r="950" spans="1:3">
      <c r="A950" s="144">
        <v>941</v>
      </c>
      <c r="B950" s="144">
        <v>81.953437668380374</v>
      </c>
      <c r="C950" s="144">
        <v>16.684908453914371</v>
      </c>
    </row>
    <row r="951" spans="1:3">
      <c r="A951" s="144">
        <v>942</v>
      </c>
      <c r="B951" s="144">
        <v>118.53530614381424</v>
      </c>
      <c r="C951" s="144">
        <v>53.236304737462099</v>
      </c>
    </row>
    <row r="952" spans="1:3">
      <c r="A952" s="144">
        <v>943</v>
      </c>
      <c r="B952" s="144">
        <v>129.37984600055921</v>
      </c>
      <c r="C952" s="144">
        <v>64.071811242079264</v>
      </c>
    </row>
    <row r="953" spans="1:3">
      <c r="A953" s="144">
        <v>944</v>
      </c>
      <c r="B953" s="144">
        <v>130.73628478897066</v>
      </c>
      <c r="C953" s="144">
        <v>65.427120135688597</v>
      </c>
    </row>
    <row r="954" spans="1:3">
      <c r="A954" s="144">
        <v>945</v>
      </c>
      <c r="B954" s="144">
        <v>83.025908476731345</v>
      </c>
      <c r="C954" s="144">
        <v>17.756485908873994</v>
      </c>
    </row>
    <row r="955" spans="1:3">
      <c r="A955" s="144">
        <v>946</v>
      </c>
      <c r="B955" s="144">
        <v>124.07084304375203</v>
      </c>
      <c r="C955" s="144">
        <v>58.767230611510904</v>
      </c>
    </row>
    <row r="956" spans="1:3">
      <c r="A956" s="144">
        <v>947</v>
      </c>
      <c r="B956" s="144">
        <v>98.593853017580727</v>
      </c>
      <c r="C956" s="144">
        <v>33.311462566641076</v>
      </c>
    </row>
    <row r="957" spans="1:3">
      <c r="A957" s="144">
        <v>948</v>
      </c>
      <c r="B957" s="144">
        <v>88.262937412737656</v>
      </c>
      <c r="C957" s="144">
        <v>22.989152472008119</v>
      </c>
    </row>
    <row r="958" spans="1:3">
      <c r="A958" s="144">
        <v>949</v>
      </c>
      <c r="B958" s="144">
        <v>137.5138559311589</v>
      </c>
      <c r="C958" s="144">
        <v>72.199045654594755</v>
      </c>
    </row>
    <row r="959" spans="1:3">
      <c r="A959" s="144">
        <v>950</v>
      </c>
      <c r="B959" s="144">
        <v>81.300602671833389</v>
      </c>
      <c r="C959" s="144">
        <v>16.032617259915309</v>
      </c>
    </row>
    <row r="960" spans="1:3">
      <c r="A960" s="144">
        <v>951</v>
      </c>
      <c r="B960" s="144">
        <v>97.925365887839675</v>
      </c>
      <c r="C960" s="144">
        <v>32.643532277459016</v>
      </c>
    </row>
    <row r="961" spans="1:3">
      <c r="A961" s="144">
        <v>952</v>
      </c>
      <c r="B961" s="144">
        <v>109.66963832048427</v>
      </c>
      <c r="C961" s="144">
        <v>44.378021893149608</v>
      </c>
    </row>
    <row r="962" spans="1:3">
      <c r="A962" s="144">
        <v>953</v>
      </c>
      <c r="B962" s="144">
        <v>101.9563324870777</v>
      </c>
      <c r="C962" s="144">
        <v>36.67114113711682</v>
      </c>
    </row>
    <row r="963" spans="1:3">
      <c r="A963" s="144">
        <v>954</v>
      </c>
      <c r="B963" s="144">
        <v>103.84040196982146</v>
      </c>
      <c r="C963" s="144">
        <v>38.553641215967396</v>
      </c>
    </row>
    <row r="964" spans="1:3">
      <c r="A964" s="144">
        <v>955</v>
      </c>
      <c r="B964" s="144">
        <v>127.68152533901048</v>
      </c>
      <c r="C964" s="144">
        <v>62.374905258217581</v>
      </c>
    </row>
    <row r="965" spans="1:3">
      <c r="A965" s="144">
        <v>956</v>
      </c>
      <c r="B965" s="144">
        <v>135.087491888134</v>
      </c>
      <c r="C965" s="144">
        <v>69.774702739352165</v>
      </c>
    </row>
    <row r="966" spans="1:3">
      <c r="A966" s="144">
        <v>957</v>
      </c>
      <c r="B966" s="144">
        <v>102.33840747418151</v>
      </c>
      <c r="C966" s="144">
        <v>37.052897861026118</v>
      </c>
    </row>
    <row r="967" spans="1:3">
      <c r="A967" s="144">
        <v>958</v>
      </c>
      <c r="B967" s="144">
        <v>119.23895403112988</v>
      </c>
      <c r="C967" s="144">
        <v>53.939366495792633</v>
      </c>
    </row>
    <row r="968" spans="1:3">
      <c r="A968" s="144">
        <v>959</v>
      </c>
      <c r="B968" s="144">
        <v>84.102835204692809</v>
      </c>
      <c r="C968" s="144">
        <v>18.832515571724535</v>
      </c>
    </row>
    <row r="969" spans="1:3">
      <c r="A969" s="144">
        <v>960</v>
      </c>
      <c r="B969" s="144">
        <v>109.78607401104193</v>
      </c>
      <c r="C969" s="144">
        <v>44.494360594382968</v>
      </c>
    </row>
    <row r="970" spans="1:3">
      <c r="A970" s="144">
        <v>961</v>
      </c>
      <c r="B970" s="144">
        <v>154.14814975400668</v>
      </c>
      <c r="C970" s="144">
        <v>88.819483340115909</v>
      </c>
    </row>
    <row r="971" spans="1:3">
      <c r="A971" s="144">
        <v>962</v>
      </c>
      <c r="B971" s="144">
        <v>94.143748762180095</v>
      </c>
      <c r="C971" s="144">
        <v>28.865065186707316</v>
      </c>
    </row>
    <row r="972" spans="1:3">
      <c r="A972" s="144">
        <v>963</v>
      </c>
      <c r="B972" s="144">
        <v>114.86548971643857</v>
      </c>
      <c r="C972" s="144">
        <v>49.569545216554644</v>
      </c>
    </row>
    <row r="973" spans="1:3">
      <c r="A973" s="144">
        <v>964</v>
      </c>
      <c r="B973" s="144">
        <v>112.43685608497763</v>
      </c>
      <c r="C973" s="144">
        <v>47.142934603411888</v>
      </c>
    </row>
    <row r="974" spans="1:3">
      <c r="A974" s="144">
        <v>965</v>
      </c>
      <c r="B974" s="144">
        <v>88.503398037203979</v>
      </c>
      <c r="C974" s="144">
        <v>23.229412796090802</v>
      </c>
    </row>
    <row r="975" spans="1:3">
      <c r="A975" s="144">
        <v>966</v>
      </c>
      <c r="B975" s="144">
        <v>131.94717785513686</v>
      </c>
      <c r="C975" s="144">
        <v>66.637004544631864</v>
      </c>
    </row>
    <row r="976" spans="1:3">
      <c r="A976" s="144">
        <v>967</v>
      </c>
      <c r="B976" s="144">
        <v>81.58146757330654</v>
      </c>
      <c r="C976" s="144">
        <v>16.313248204799354</v>
      </c>
    </row>
    <row r="977" spans="1:3">
      <c r="A977" s="144">
        <v>968</v>
      </c>
      <c r="B977" s="144">
        <v>88.917496724117086</v>
      </c>
      <c r="C977" s="144">
        <v>23.64316654450915</v>
      </c>
    </row>
    <row r="978" spans="1:3">
      <c r="A978" s="144">
        <v>969</v>
      </c>
      <c r="B978" s="144">
        <v>93.226932719895501</v>
      </c>
      <c r="C978" s="144">
        <v>27.949012839540799</v>
      </c>
    </row>
    <row r="979" spans="1:3">
      <c r="A979" s="144">
        <v>970</v>
      </c>
      <c r="B979" s="144">
        <v>77.041204573496358</v>
      </c>
      <c r="C979" s="144">
        <v>11.776767181446624</v>
      </c>
    </row>
    <row r="980" spans="1:3">
      <c r="A980" s="144">
        <v>971</v>
      </c>
      <c r="B980" s="144">
        <v>102.44139953397119</v>
      </c>
      <c r="C980" s="144">
        <v>37.155804129850516</v>
      </c>
    </row>
    <row r="981" spans="1:3">
      <c r="A981" s="144">
        <v>972</v>
      </c>
      <c r="B981" s="144">
        <v>121.47548065829908</v>
      </c>
      <c r="C981" s="144">
        <v>56.174030127128603</v>
      </c>
    </row>
    <row r="982" spans="1:3">
      <c r="A982" s="144">
        <v>973</v>
      </c>
      <c r="B982" s="144">
        <v>89.263842578569708</v>
      </c>
      <c r="C982" s="144">
        <v>23.989223897641974</v>
      </c>
    </row>
    <row r="983" spans="1:3">
      <c r="A983" s="144">
        <v>974</v>
      </c>
      <c r="B983" s="144">
        <v>72.873727429322486</v>
      </c>
      <c r="C983" s="144">
        <v>7.6127614882540939</v>
      </c>
    </row>
    <row r="984" spans="1:3">
      <c r="A984" s="144">
        <v>975</v>
      </c>
      <c r="B984" s="144">
        <v>79.424598278188682</v>
      </c>
      <c r="C984" s="144">
        <v>14.158175552055798</v>
      </c>
    </row>
    <row r="985" spans="1:3">
      <c r="A985" s="144">
        <v>976</v>
      </c>
      <c r="B985" s="144">
        <v>87.795016839487516</v>
      </c>
      <c r="C985" s="144">
        <v>22.52162167014172</v>
      </c>
    </row>
    <row r="986" spans="1:3">
      <c r="A986" s="144">
        <v>977</v>
      </c>
      <c r="B986" s="144">
        <v>102.54987689550222</v>
      </c>
      <c r="C986" s="144">
        <v>37.264191131235556</v>
      </c>
    </row>
    <row r="987" spans="1:3">
      <c r="A987" s="144">
        <v>978</v>
      </c>
      <c r="B987" s="144">
        <v>124.20534593158482</v>
      </c>
      <c r="C987" s="144">
        <v>58.901621460293249</v>
      </c>
    </row>
    <row r="988" spans="1:3">
      <c r="A988" s="144">
        <v>979</v>
      </c>
      <c r="B988" s="144">
        <v>69.916171036189013</v>
      </c>
      <c r="C988" s="144">
        <v>4.6576686988041285</v>
      </c>
    </row>
    <row r="989" spans="1:3">
      <c r="A989" s="144">
        <v>980</v>
      </c>
      <c r="B989" s="144">
        <v>113.50643659117779</v>
      </c>
      <c r="C989" s="144">
        <v>48.211624163802519</v>
      </c>
    </row>
    <row r="990" spans="1:3">
      <c r="A990" s="144">
        <v>981</v>
      </c>
      <c r="B990" s="144">
        <v>65.897296393165092</v>
      </c>
      <c r="C990" s="144">
        <v>0.64214172292768545</v>
      </c>
    </row>
    <row r="991" spans="1:3">
      <c r="A991" s="144">
        <v>982</v>
      </c>
      <c r="B991" s="144">
        <v>95.982804625541405</v>
      </c>
      <c r="C991" s="144">
        <v>30.702589141899548</v>
      </c>
    </row>
    <row r="992" spans="1:3">
      <c r="A992" s="144">
        <v>983</v>
      </c>
      <c r="B992" s="144">
        <v>105.25004274003821</v>
      </c>
      <c r="C992" s="144">
        <v>39.962107774864975</v>
      </c>
    </row>
    <row r="993" spans="1:3">
      <c r="A993" s="144">
        <v>984</v>
      </c>
      <c r="B993" s="144">
        <v>96.337037704499153</v>
      </c>
      <c r="C993" s="144">
        <v>31.056527149588266</v>
      </c>
    </row>
    <row r="994" spans="1:3">
      <c r="A994" s="144">
        <v>985</v>
      </c>
      <c r="B994" s="144">
        <v>84.957897623214862</v>
      </c>
      <c r="C994" s="144">
        <v>19.686865735045373</v>
      </c>
    </row>
    <row r="995" spans="1:3">
      <c r="A995" s="144">
        <v>986</v>
      </c>
      <c r="B995" s="144">
        <v>70.539637814124859</v>
      </c>
      <c r="C995" s="144">
        <v>5.2806161375130936</v>
      </c>
    </row>
    <row r="996" spans="1:3">
      <c r="A996" s="144">
        <v>987</v>
      </c>
      <c r="B996" s="144">
        <v>99.633319069260992</v>
      </c>
      <c r="C996" s="144">
        <v>34.350062757437087</v>
      </c>
    </row>
    <row r="997" spans="1:3">
      <c r="A997" s="144">
        <v>988</v>
      </c>
      <c r="B997" s="144">
        <v>153.16632816920333</v>
      </c>
      <c r="C997" s="144">
        <v>87.838479599150958</v>
      </c>
    </row>
    <row r="998" spans="1:3">
      <c r="A998" s="144">
        <v>989</v>
      </c>
      <c r="B998" s="144">
        <v>78.338693981729151</v>
      </c>
      <c r="C998" s="144">
        <v>13.073175798897928</v>
      </c>
    </row>
    <row r="999" spans="1:3">
      <c r="A999" s="144">
        <v>990</v>
      </c>
      <c r="B999" s="144">
        <v>100.07284074840069</v>
      </c>
      <c r="C999" s="144">
        <v>34.789218321080149</v>
      </c>
    </row>
    <row r="1000" spans="1:3">
      <c r="A1000" s="144">
        <v>991</v>
      </c>
      <c r="B1000" s="144">
        <v>99.535687881625563</v>
      </c>
      <c r="C1000" s="144">
        <v>34.252512895234382</v>
      </c>
    </row>
    <row r="1001" spans="1:3">
      <c r="A1001" s="144">
        <v>992</v>
      </c>
      <c r="B1001" s="144">
        <v>120.59134704123026</v>
      </c>
      <c r="C1001" s="144">
        <v>55.290632981168436</v>
      </c>
    </row>
    <row r="1002" spans="1:3">
      <c r="A1002" s="144">
        <v>993</v>
      </c>
      <c r="B1002" s="144">
        <v>81.31140513251124</v>
      </c>
      <c r="C1002" s="144">
        <v>16.04341072229241</v>
      </c>
    </row>
    <row r="1003" spans="1:3">
      <c r="A1003" s="144">
        <v>994</v>
      </c>
      <c r="B1003" s="144">
        <v>114.16323426296118</v>
      </c>
      <c r="C1003" s="144">
        <v>48.86787473218417</v>
      </c>
    </row>
    <row r="1004" spans="1:3">
      <c r="A1004" s="144">
        <v>995</v>
      </c>
      <c r="B1004" s="144">
        <v>124.80413479436805</v>
      </c>
      <c r="C1004" s="144">
        <v>59.499911540212558</v>
      </c>
    </row>
    <row r="1005" spans="1:3">
      <c r="A1005" s="144">
        <v>996</v>
      </c>
      <c r="B1005" s="144">
        <v>103.03155421149506</v>
      </c>
      <c r="C1005" s="144">
        <v>37.745467216667691</v>
      </c>
    </row>
    <row r="1006" spans="1:3">
      <c r="A1006" s="144">
        <v>997</v>
      </c>
      <c r="B1006" s="144">
        <v>113.28522425949404</v>
      </c>
      <c r="C1006" s="144">
        <v>47.990596098940003</v>
      </c>
    </row>
    <row r="1007" spans="1:3">
      <c r="A1007" s="144">
        <v>998</v>
      </c>
      <c r="B1007" s="144">
        <v>100.87500909446617</v>
      </c>
      <c r="C1007" s="144">
        <v>35.590718471977219</v>
      </c>
    </row>
    <row r="1008" spans="1:3">
      <c r="A1008" s="144">
        <v>999</v>
      </c>
      <c r="B1008" s="144">
        <v>134.04245804774632</v>
      </c>
      <c r="C1008" s="144">
        <v>68.730539397739946</v>
      </c>
    </row>
    <row r="1009" spans="1:3">
      <c r="A1009" s="144">
        <v>1000</v>
      </c>
      <c r="B1009" s="144">
        <v>101.90070970259113</v>
      </c>
      <c r="C1009" s="144">
        <v>36.615564685642546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1]!Run_MC">
                <anchor moveWithCells="1" sizeWithCells="1">
                  <from>
                    <xdr:col>7</xdr:col>
                    <xdr:colOff>167640</xdr:colOff>
                    <xdr:row>5</xdr:row>
                    <xdr:rowOff>99060</xdr:rowOff>
                  </from>
                  <to>
                    <xdr:col>8</xdr:col>
                    <xdr:colOff>670560</xdr:colOff>
                    <xdr:row>8</xdr:row>
                    <xdr:rowOff>129540</xdr:rowOff>
                  </to>
                </anchor>
              </controlPr>
            </control>
          </mc:Choice>
        </mc:AlternateContent>
        <mc:AlternateContent xmlns:mc="http://schemas.openxmlformats.org/markup-compatibility/2006">
          <mc:Choice Requires="x14">
            <control shapeId="11266" r:id="rId4" name="Button 2">
              <controlPr defaultSize="0" print="0" autoFill="0" autoPict="0" macro="[0]!Run_Py">
                <anchor moveWithCells="1" sizeWithCells="1">
                  <from>
                    <xdr:col>7</xdr:col>
                    <xdr:colOff>259080</xdr:colOff>
                    <xdr:row>10</xdr:row>
                    <xdr:rowOff>7620</xdr:rowOff>
                  </from>
                  <to>
                    <xdr:col>8</xdr:col>
                    <xdr:colOff>777240</xdr:colOff>
                    <xdr:row>13</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CE109D-B7A5-4D45-827B-65DD93AAB673}">
  <sheetPr codeName="Sheet6"/>
  <dimension ref="A3:AE31"/>
  <sheetViews>
    <sheetView topLeftCell="A13" workbookViewId="0">
      <selection activeCell="C31" sqref="C31"/>
    </sheetView>
  </sheetViews>
  <sheetFormatPr baseColWidth="10" defaultColWidth="11" defaultRowHeight="13.8"/>
  <cols>
    <col min="1" max="1" width="14" customWidth="1"/>
  </cols>
  <sheetData>
    <row r="3" spans="18:31">
      <c r="AE3">
        <v>206.05169363397019</v>
      </c>
    </row>
    <row r="4" spans="18:31">
      <c r="AD4">
        <v>200.79955833844636</v>
      </c>
    </row>
    <row r="5" spans="18:31">
      <c r="AC5">
        <v>195.6812968523341</v>
      </c>
    </row>
    <row r="6" spans="18:31">
      <c r="AB6">
        <v>190.69349681173989</v>
      </c>
    </row>
    <row r="7" spans="18:31">
      <c r="AA7">
        <v>185.83283283189922</v>
      </c>
    </row>
    <row r="8" spans="18:31">
      <c r="Z8">
        <v>181.09606429013033</v>
      </c>
    </row>
    <row r="9" spans="18:31">
      <c r="Y9">
        <v>176.48003316529883</v>
      </c>
    </row>
    <row r="10" spans="18:31">
      <c r="X10">
        <v>171.98166193235369</v>
      </c>
    </row>
    <row r="11" spans="18:31">
      <c r="W11">
        <v>167.59795151052947</v>
      </c>
    </row>
    <row r="12" spans="18:31">
      <c r="V12">
        <v>163.32597926384847</v>
      </c>
    </row>
    <row r="13" spans="18:31">
      <c r="U13">
        <v>159.16289705258811</v>
      </c>
    </row>
    <row r="14" spans="18:31">
      <c r="T14">
        <v>155.10592933441592</v>
      </c>
    </row>
    <row r="15" spans="18:31">
      <c r="S15">
        <v>151.15237131392504</v>
      </c>
    </row>
    <row r="16" spans="18:31">
      <c r="R16">
        <v>147.29958713933718</v>
      </c>
    </row>
    <row r="17" spans="1:17">
      <c r="Q17">
        <v>143.54500814517036</v>
      </c>
    </row>
    <row r="18" spans="1:17">
      <c r="P18">
        <v>139.88613113970024</v>
      </c>
    </row>
    <row r="19" spans="1:17">
      <c r="O19">
        <v>136.32051673607288</v>
      </c>
    </row>
    <row r="20" spans="1:17">
      <c r="N20">
        <v>132.84578772595646</v>
      </c>
    </row>
    <row r="21" spans="1:17">
      <c r="M21">
        <v>129.45962749464772</v>
      </c>
    </row>
    <row r="22" spans="1:17">
      <c r="L22">
        <v>126.15977847657631</v>
      </c>
    </row>
    <row r="23" spans="1:17">
      <c r="K23">
        <v>122.9440406501775</v>
      </c>
    </row>
    <row r="24" spans="1:17">
      <c r="J24">
        <v>119.81027007112968</v>
      </c>
    </row>
    <row r="25" spans="1:17">
      <c r="I25">
        <v>116.75637744297862</v>
      </c>
    </row>
    <row r="26" spans="1:17">
      <c r="H26">
        <v>113.78032672419592</v>
      </c>
    </row>
    <row r="27" spans="1:17">
      <c r="G27">
        <v>110.88013377074249</v>
      </c>
    </row>
    <row r="28" spans="1:17">
      <c r="F28">
        <v>108.05386501323245</v>
      </c>
    </row>
    <row r="29" spans="1:17">
      <c r="E29">
        <v>105.29963616781518</v>
      </c>
    </row>
    <row r="30" spans="1:17">
      <c r="D30">
        <v>102.6156109799163</v>
      </c>
    </row>
    <row r="31" spans="1:17">
      <c r="A31">
        <v>100</v>
      </c>
      <c r="C31">
        <v>100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B1:P1000"/>
  <sheetViews>
    <sheetView showGridLines="0" zoomScale="80" workbookViewId="0">
      <selection activeCell="A3" sqref="A3"/>
    </sheetView>
  </sheetViews>
  <sheetFormatPr baseColWidth="10" defaultColWidth="12.69921875" defaultRowHeight="15" customHeight="1"/>
  <cols>
    <col min="1" max="2" width="7.69921875" customWidth="1"/>
    <col min="3" max="3" width="35.796875" customWidth="1"/>
    <col min="4" max="4" width="9.296875" customWidth="1"/>
    <col min="5" max="8" width="7.69921875" customWidth="1"/>
    <col min="9" max="9" width="83.19921875" customWidth="1"/>
    <col min="10" max="26" width="7.69921875" customWidth="1"/>
  </cols>
  <sheetData>
    <row r="1" spans="2:16" ht="60" customHeight="1">
      <c r="B1" s="16" t="s">
        <v>32</v>
      </c>
    </row>
    <row r="2" spans="2:16" ht="14.4">
      <c r="B2" s="164" t="s">
        <v>33</v>
      </c>
      <c r="C2" s="165"/>
      <c r="D2" s="165"/>
      <c r="E2" s="160"/>
      <c r="F2" s="5"/>
      <c r="G2" s="5"/>
      <c r="H2" s="12"/>
    </row>
    <row r="3" spans="2:16" ht="14.4">
      <c r="B3" s="30"/>
      <c r="C3" s="31"/>
      <c r="D3" s="31"/>
      <c r="E3" s="32"/>
      <c r="I3" s="33"/>
      <c r="J3" s="34"/>
      <c r="K3" s="34"/>
      <c r="L3" s="34"/>
      <c r="M3" s="34"/>
      <c r="N3" s="34"/>
      <c r="O3" s="34"/>
      <c r="P3" s="34"/>
    </row>
    <row r="4" spans="2:16" ht="14.4">
      <c r="B4" s="35"/>
      <c r="C4" s="21" t="s">
        <v>34</v>
      </c>
      <c r="D4" s="36">
        <f>(LN(Stock/Exercise)+(Rate-dividend_rate+(Sigma^2)/2)*Time)/(Sigma*SQRT(Time))</f>
        <v>-0.34499855939410312</v>
      </c>
      <c r="E4" s="37"/>
      <c r="I4" s="38" t="str">
        <f>GetCF(d_1)</f>
        <v>D4:  =(LN(Stock/Exercise)+(Rate-dividend_rate+(Sigma^2)/2)*Time)/(Sigma*SQRT(Time))</v>
      </c>
      <c r="J4" s="34"/>
      <c r="K4" s="34"/>
      <c r="L4" s="34"/>
      <c r="M4" s="34"/>
      <c r="N4" s="34"/>
      <c r="O4" s="34"/>
      <c r="P4" s="34"/>
    </row>
    <row r="5" spans="2:16" ht="14.4">
      <c r="B5" s="35"/>
      <c r="C5" s="21" t="s">
        <v>35</v>
      </c>
      <c r="D5" s="36">
        <f>(LN(Stock/Exercise)+(Rate-dividend_rate-(Sigma^2)/2)*Time)/(Sigma*SQRT(Time))</f>
        <v>-0.48641991563141262</v>
      </c>
      <c r="E5" s="37"/>
      <c r="I5" s="38" t="str">
        <f>GetCF(d_2)</f>
        <v>D5:  =(LN(Stock/Exercise)+(Rate-dividend_rate-(Sigma^2)/2)*Time)/(Sigma*SQRT(Time))</v>
      </c>
      <c r="J5" s="34"/>
      <c r="K5" s="34"/>
      <c r="L5" s="34"/>
      <c r="M5" s="34"/>
      <c r="N5" s="34"/>
      <c r="O5" s="34"/>
      <c r="P5" s="34"/>
    </row>
    <row r="6" spans="2:16" ht="14.4">
      <c r="B6" s="35"/>
      <c r="C6" s="21" t="s">
        <v>36</v>
      </c>
      <c r="D6" s="36">
        <f>_xlfn.NORM.S.DIST(d_1,TRUE)</f>
        <v>0.36504772687945547</v>
      </c>
      <c r="E6" s="37"/>
      <c r="I6" s="38" t="str">
        <f>GetCF(Nd_1)</f>
        <v>D6:  =NORM.S.DIST(d_1,TRUE)</v>
      </c>
      <c r="J6" s="34"/>
      <c r="K6" s="34"/>
      <c r="L6" s="34"/>
      <c r="M6" s="34"/>
      <c r="N6" s="34"/>
      <c r="O6" s="34"/>
      <c r="P6" s="34"/>
    </row>
    <row r="7" spans="2:16" ht="14.4">
      <c r="B7" s="35"/>
      <c r="C7" s="21" t="s">
        <v>37</v>
      </c>
      <c r="D7" s="36">
        <f>_xlfn.NORM.S.DIST(d_2,TRUE)</f>
        <v>0.31333473652456167</v>
      </c>
      <c r="E7" s="37"/>
      <c r="I7" s="38" t="str">
        <f>GetCF(Nd_2)</f>
        <v>D7:  =NORM.S.DIST(d_2,TRUE)</v>
      </c>
      <c r="J7" s="34"/>
      <c r="K7" s="34"/>
      <c r="L7" s="34"/>
      <c r="M7" s="34"/>
      <c r="N7" s="34"/>
      <c r="O7" s="34"/>
      <c r="P7" s="34"/>
    </row>
    <row r="8" spans="2:16" ht="14.4">
      <c r="B8" s="35"/>
      <c r="C8" s="21" t="s">
        <v>38</v>
      </c>
      <c r="D8" s="36">
        <f>_xlfn.NORM.S.DIST(-d_1,TRUE)</f>
        <v>0.63495227312054459</v>
      </c>
      <c r="E8" s="37"/>
      <c r="I8" s="38" t="str">
        <f>GetCF(Nminusd_1)</f>
        <v>D8:  =NORM.S.DIST(-d_1,TRUE)</v>
      </c>
      <c r="J8" s="34"/>
      <c r="K8" s="34"/>
      <c r="L8" s="34"/>
      <c r="M8" s="34"/>
      <c r="N8" s="34"/>
      <c r="O8" s="34"/>
      <c r="P8" s="34"/>
    </row>
    <row r="9" spans="2:16" ht="14.4">
      <c r="B9" s="35"/>
      <c r="C9" s="21" t="s">
        <v>39</v>
      </c>
      <c r="D9" s="36">
        <f>_xlfn.NORM.S.DIST(-d_2,TRUE)</f>
        <v>0.68666526347543833</v>
      </c>
      <c r="E9" s="37"/>
      <c r="I9" s="38" t="str">
        <f>GetCF(Nminusd_2)</f>
        <v>D9:  =NORM.S.DIST(-d_2,TRUE)</v>
      </c>
      <c r="J9" s="34"/>
      <c r="K9" s="34"/>
      <c r="L9" s="34"/>
      <c r="M9" s="34"/>
      <c r="N9" s="34"/>
      <c r="O9" s="34"/>
      <c r="P9" s="34"/>
    </row>
    <row r="10" spans="2:16" ht="14.25" hidden="1" customHeight="1">
      <c r="B10" s="35"/>
      <c r="C10" s="39" t="s">
        <v>40</v>
      </c>
      <c r="D10" s="40">
        <f>Stock*Nd_1*EXP(-dividend_rate*Time)-Exercise*EXP(-Rate*Time)*Nd_2</f>
        <v>3.2252302617094912</v>
      </c>
      <c r="E10" s="37"/>
      <c r="I10" s="38" t="str">
        <f t="shared" ref="I10:I11" si="0">GetCF(D10)</f>
        <v>D10:  =Stock*Nd_1*EXP(-dividend_rate*Time)-Exercise*EXP(-Rate*Time)*Nd_2</v>
      </c>
      <c r="J10" s="34"/>
      <c r="K10" s="34"/>
      <c r="L10" s="34"/>
      <c r="M10" s="34"/>
      <c r="N10" s="34"/>
      <c r="O10" s="34"/>
      <c r="P10" s="34"/>
    </row>
    <row r="11" spans="2:16" ht="14.4" hidden="1">
      <c r="B11" s="35"/>
      <c r="C11" s="39" t="s">
        <v>12</v>
      </c>
      <c r="D11" s="41">
        <f>Exercise*EXP(-Rate*Time)*Nminusd_2-Stock*Nminusd_1*EXP(-dividend_rate*Time)</f>
        <v>9.1903466166348551</v>
      </c>
      <c r="E11" s="37"/>
      <c r="I11" s="38" t="str">
        <f t="shared" si="0"/>
        <v>D11:  =Exercise*EXP(-Rate*Time)*Nminusd_2-Stock*Nminusd_1*EXP(-dividend_rate*Time)</v>
      </c>
      <c r="J11" s="34"/>
      <c r="K11" s="34"/>
      <c r="L11" s="34"/>
      <c r="M11" s="34"/>
      <c r="N11" s="34"/>
      <c r="O11" s="34"/>
      <c r="P11" s="34"/>
    </row>
    <row r="12" spans="2:16" ht="28.8">
      <c r="B12" s="42"/>
      <c r="C12" s="43" t="s">
        <v>41</v>
      </c>
      <c r="D12" s="44">
        <f>IF(bs_option_type="Call",Stock*Nd_1*EXP(-dividend_rate*Time)-Exercise*EXP(-Rate*Time)*Nd_2,IF(bs_option_type="Put",Exercise*EXP(-Rate*Time)*Nminusd_2-Stock*Nminusd_1*EXP(-dividend_rate*Time),"Please choose an option type (Call or Put)"))</f>
        <v>9.1903466166348551</v>
      </c>
      <c r="E12" s="45"/>
      <c r="I12" s="46" t="str">
        <f>"If it's a call then we calculate as the following: "&amp;RIGHT(GetCF(D10),LEN(GetCF(D10))-FIND("=",GetCF(D10)))</f>
        <v>If it's a call then we calculate as the following: Stock*Nd_1*EXP(-dividend_rate*Time)-Exercise*EXP(-Rate*Time)*Nd_2</v>
      </c>
      <c r="J12" s="34"/>
      <c r="K12" s="34"/>
      <c r="L12" s="34"/>
      <c r="M12" s="34"/>
      <c r="N12" s="34"/>
      <c r="O12" s="34"/>
      <c r="P12" s="34"/>
    </row>
    <row r="13" spans="2:16" ht="28.8">
      <c r="I13" s="46" t="str">
        <f>"when it's a put, we use the following expression: "&amp;RIGHT(GetCF(D11),LEN(GetCF(D11))-FIND("=",GetCF(D11)))</f>
        <v>when it's a put, we use the following expression: Exercise*EXP(-Rate*Time)*Nminusd_2-Stock*Nminusd_1*EXP(-dividend_rate*Time)</v>
      </c>
      <c r="J13" s="34"/>
      <c r="K13" s="34"/>
      <c r="L13" s="34"/>
      <c r="M13" s="34"/>
      <c r="N13" s="34"/>
      <c r="O13" s="34"/>
      <c r="P13" s="34"/>
    </row>
    <row r="14" spans="2:16" ht="14.4">
      <c r="C14" s="47" t="s">
        <v>42</v>
      </c>
      <c r="D14" s="44">
        <v>5.0171698948859103</v>
      </c>
    </row>
    <row r="16" spans="2:16" ht="28.8">
      <c r="C16" s="48" t="s">
        <v>43</v>
      </c>
      <c r="D16" s="23" t="b">
        <f>vba_bs_result=D12</f>
        <v>0</v>
      </c>
      <c r="E16" s="49"/>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B2:E2"/>
  </mergeCells>
  <conditionalFormatting sqref="D16">
    <cfRule type="cellIs" dxfId="8" priority="1" operator="equal">
      <formula>"FALSE"</formula>
    </cfRule>
  </conditionalFormatting>
  <conditionalFormatting sqref="D16">
    <cfRule type="containsText" dxfId="7" priority="2" operator="containsText" text="TRUE">
      <formula>NOT(ISERROR(SEARCH(("TRUE"),(D16))))</formula>
    </cfRule>
  </conditionalFormatting>
  <pageMargins left="0.7" right="0.7" top="0.75" bottom="0.75" header="0" footer="0"/>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adMeSheet">
                <anchor moveWithCells="1" sizeWithCells="1">
                  <from>
                    <xdr:col>5</xdr:col>
                    <xdr:colOff>205740</xdr:colOff>
                    <xdr:row>2</xdr:row>
                    <xdr:rowOff>99060</xdr:rowOff>
                  </from>
                  <to>
                    <xdr:col>7</xdr:col>
                    <xdr:colOff>518160</xdr:colOff>
                    <xdr:row>5</xdr:row>
                    <xdr:rowOff>0</xdr:rowOff>
                  </to>
                </anchor>
              </controlPr>
            </control>
          </mc:Choice>
        </mc:AlternateContent>
        <mc:AlternateContent xmlns:mc="http://schemas.openxmlformats.org/markup-compatibility/2006">
          <mc:Choice Requires="x14">
            <control shapeId="5122" r:id="rId4" name="Button 2">
              <controlPr defaultSize="0" print="0" autoFill="0" autoPict="0" macro="[0]!InputsSheet">
                <anchor moveWithCells="1" sizeWithCells="1">
                  <from>
                    <xdr:col>5</xdr:col>
                    <xdr:colOff>190500</xdr:colOff>
                    <xdr:row>6</xdr:row>
                    <xdr:rowOff>137160</xdr:rowOff>
                  </from>
                  <to>
                    <xdr:col>7</xdr:col>
                    <xdr:colOff>495300</xdr:colOff>
                    <xdr:row>11</xdr:row>
                    <xdr:rowOff>60960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96095-CDAA-44CC-87AC-3B920D246D26}">
  <sheetPr codeName="Feuil1"/>
  <dimension ref="A1:N3105"/>
  <sheetViews>
    <sheetView workbookViewId="0">
      <selection activeCell="E3" sqref="E3"/>
    </sheetView>
  </sheetViews>
  <sheetFormatPr baseColWidth="10" defaultColWidth="10.69921875" defaultRowHeight="13.8"/>
  <cols>
    <col min="5" max="5" width="30.796875" customWidth="1"/>
    <col min="6" max="6" width="25" customWidth="1"/>
    <col min="11" max="11" width="15.796875" customWidth="1"/>
    <col min="12" max="12" width="18.19921875" customWidth="1"/>
    <col min="13" max="13" width="18.796875" customWidth="1"/>
    <col min="14" max="14" width="18.69921875" customWidth="1"/>
  </cols>
  <sheetData>
    <row r="1" spans="1:14" s="55" customFormat="1"/>
    <row r="2" spans="1:14" s="55" customFormat="1" ht="37.799999999999997">
      <c r="E2" s="75"/>
      <c r="F2" s="75" t="s">
        <v>59</v>
      </c>
    </row>
    <row r="3" spans="1:14" s="55" customFormat="1" ht="38.4" thickBot="1">
      <c r="E3" s="75"/>
      <c r="F3" s="75"/>
    </row>
    <row r="4" spans="1:14" s="55" customFormat="1" ht="38.4" thickBot="1">
      <c r="A4" s="166" t="s">
        <v>50</v>
      </c>
      <c r="B4" s="167"/>
      <c r="C4" s="167"/>
      <c r="D4" s="167"/>
      <c r="E4" s="167"/>
      <c r="F4" s="168"/>
      <c r="H4" s="169" t="s">
        <v>60</v>
      </c>
      <c r="I4" s="170"/>
      <c r="J4" s="170"/>
      <c r="K4" s="170"/>
      <c r="L4" s="170"/>
      <c r="M4" s="170"/>
      <c r="N4" s="171"/>
    </row>
    <row r="5" spans="1:14" s="55" customFormat="1"/>
    <row r="6" spans="1:14" ht="15" thickBot="1">
      <c r="A6" s="66" t="s">
        <v>57</v>
      </c>
      <c r="B6" s="63"/>
      <c r="C6" s="63"/>
      <c r="D6" s="62"/>
      <c r="E6" s="62"/>
      <c r="F6" s="62"/>
      <c r="G6" s="62"/>
      <c r="H6" s="62"/>
      <c r="I6" s="62"/>
      <c r="J6" s="62"/>
    </row>
    <row r="7" spans="1:14" ht="14.4">
      <c r="A7" s="67" t="s">
        <v>58</v>
      </c>
      <c r="B7" s="64" t="s">
        <v>44</v>
      </c>
      <c r="C7" s="77" t="s">
        <v>51</v>
      </c>
      <c r="D7" s="79" t="s">
        <v>62</v>
      </c>
      <c r="E7" s="105" t="s">
        <v>63</v>
      </c>
      <c r="F7" s="105" t="s">
        <v>55</v>
      </c>
      <c r="G7" s="62"/>
      <c r="H7" s="89" t="s">
        <v>58</v>
      </c>
      <c r="I7" s="90" t="s">
        <v>44</v>
      </c>
      <c r="J7" s="90" t="s">
        <v>51</v>
      </c>
      <c r="K7" s="91" t="s">
        <v>52</v>
      </c>
      <c r="L7" s="92" t="s">
        <v>53</v>
      </c>
      <c r="M7" s="93" t="s">
        <v>54</v>
      </c>
      <c r="N7" s="94" t="s">
        <v>61</v>
      </c>
    </row>
    <row r="8" spans="1:14" ht="14.4">
      <c r="A8" s="68">
        <v>44487</v>
      </c>
      <c r="B8" s="65">
        <v>113.78</v>
      </c>
      <c r="C8" s="80">
        <v>125898</v>
      </c>
      <c r="D8" s="83">
        <v>-9.7476066144474016E-3</v>
      </c>
      <c r="E8" s="114">
        <v>0.15921839645963498</v>
      </c>
      <c r="F8" s="114">
        <v>2.2184189094642332E-2</v>
      </c>
      <c r="G8" s="62"/>
      <c r="H8" s="95">
        <v>43830</v>
      </c>
      <c r="I8" s="78">
        <v>130.47999999999999</v>
      </c>
      <c r="J8" s="81">
        <v>272778</v>
      </c>
      <c r="K8" s="85">
        <v>1.8</v>
      </c>
      <c r="L8" s="87">
        <v>1.3795217657878604E-2</v>
      </c>
      <c r="M8" s="88">
        <v>1.8820362880159498E-2</v>
      </c>
      <c r="N8" s="96">
        <v>1.8645451045686053E-2</v>
      </c>
    </row>
    <row r="9" spans="1:14" ht="14.4">
      <c r="A9" s="68">
        <v>44484</v>
      </c>
      <c r="B9" s="65">
        <v>114.9</v>
      </c>
      <c r="C9" s="80">
        <v>1541664</v>
      </c>
      <c r="D9" s="83">
        <v>1.3585038814396766E-2</v>
      </c>
      <c r="E9" s="106"/>
      <c r="F9" s="115" t="s">
        <v>56</v>
      </c>
      <c r="G9" s="62"/>
      <c r="H9" s="95">
        <v>43465</v>
      </c>
      <c r="I9" s="78">
        <v>83.96</v>
      </c>
      <c r="J9" s="81">
        <v>426473</v>
      </c>
      <c r="K9" s="85">
        <v>1.65</v>
      </c>
      <c r="L9" s="87">
        <v>1.96522153406384E-2</v>
      </c>
      <c r="M9" s="86"/>
      <c r="N9" s="97"/>
    </row>
    <row r="10" spans="1:14" ht="15" thickBot="1">
      <c r="A10" s="68">
        <v>44483</v>
      </c>
      <c r="B10" s="65">
        <v>113.36</v>
      </c>
      <c r="C10" s="80">
        <v>1286858</v>
      </c>
      <c r="D10" s="83">
        <v>9.0795798468932265E-3</v>
      </c>
      <c r="E10" s="76"/>
      <c r="F10" s="116">
        <v>0.35216308429232845</v>
      </c>
      <c r="G10" s="62"/>
      <c r="H10" s="95">
        <v>43098</v>
      </c>
      <c r="I10" s="78">
        <v>83</v>
      </c>
      <c r="J10" s="81">
        <v>1578785</v>
      </c>
      <c r="K10" s="85">
        <v>1.5</v>
      </c>
      <c r="L10" s="87">
        <v>1.8072289156626505E-2</v>
      </c>
      <c r="M10" s="86"/>
      <c r="N10" s="97"/>
    </row>
    <row r="11" spans="1:14" ht="14.4">
      <c r="A11" s="68">
        <v>44482</v>
      </c>
      <c r="B11" s="65">
        <v>112.34</v>
      </c>
      <c r="C11" s="80">
        <v>1246440</v>
      </c>
      <c r="D11" s="83">
        <v>-7.9477216531260719E-3</v>
      </c>
      <c r="E11" s="62"/>
      <c r="F11" s="62"/>
      <c r="G11" s="62"/>
      <c r="H11" s="95">
        <v>42734</v>
      </c>
      <c r="I11" s="78">
        <v>62.84</v>
      </c>
      <c r="J11" s="81">
        <v>1215943</v>
      </c>
      <c r="K11" s="85">
        <v>1.35</v>
      </c>
      <c r="L11" s="87">
        <v>2.1483131763208149E-2</v>
      </c>
      <c r="M11" s="86"/>
      <c r="N11" s="97"/>
    </row>
    <row r="12" spans="1:14" ht="14.4">
      <c r="A12" s="68">
        <v>44481</v>
      </c>
      <c r="B12" s="65">
        <v>113.24</v>
      </c>
      <c r="C12" s="80">
        <v>1212402</v>
      </c>
      <c r="D12" s="83">
        <v>-5.0957652433667455E-3</v>
      </c>
      <c r="E12" s="69"/>
      <c r="F12" s="62"/>
      <c r="G12" s="62"/>
      <c r="H12" s="95">
        <v>42369</v>
      </c>
      <c r="I12" s="78">
        <v>62</v>
      </c>
      <c r="J12" s="81">
        <v>409212</v>
      </c>
      <c r="K12" s="85">
        <v>1.3</v>
      </c>
      <c r="L12" s="87">
        <v>2.0967741935483872E-2</v>
      </c>
      <c r="M12" s="86"/>
      <c r="N12" s="97"/>
    </row>
    <row r="13" spans="1:14" ht="14.4">
      <c r="A13" s="68">
        <v>44480</v>
      </c>
      <c r="B13" s="65">
        <v>113.82</v>
      </c>
      <c r="C13" s="80">
        <v>785366</v>
      </c>
      <c r="D13" s="83">
        <v>5.2994170641229577E-3</v>
      </c>
      <c r="E13" s="62"/>
      <c r="F13" s="62"/>
      <c r="G13" s="62"/>
      <c r="H13" s="95">
        <v>42004</v>
      </c>
      <c r="I13" s="78">
        <v>41.35</v>
      </c>
      <c r="J13" s="81">
        <v>511732</v>
      </c>
      <c r="K13" s="85">
        <v>1.2</v>
      </c>
      <c r="L13" s="87">
        <v>2.9020556227327687E-2</v>
      </c>
      <c r="M13" s="86"/>
      <c r="N13" s="97"/>
    </row>
    <row r="14" spans="1:14" ht="14.4">
      <c r="A14" s="68">
        <v>44477</v>
      </c>
      <c r="B14" s="65">
        <v>113.22</v>
      </c>
      <c r="C14" s="80">
        <v>1301126</v>
      </c>
      <c r="D14" s="83">
        <v>-8.5814360770578579E-3</v>
      </c>
      <c r="E14" s="62"/>
      <c r="F14" s="62"/>
      <c r="G14" s="62"/>
      <c r="H14" s="95">
        <v>41639</v>
      </c>
      <c r="I14" s="78">
        <v>55.81</v>
      </c>
      <c r="J14" s="81">
        <v>357259</v>
      </c>
      <c r="K14" s="85">
        <v>0.75</v>
      </c>
      <c r="L14" s="87">
        <v>1.3438451890342233E-2</v>
      </c>
      <c r="M14" s="86"/>
      <c r="N14" s="97"/>
    </row>
    <row r="15" spans="1:14" ht="14.4">
      <c r="A15" s="68">
        <v>44476</v>
      </c>
      <c r="B15" s="65">
        <v>114.2</v>
      </c>
      <c r="C15" s="80">
        <v>1465696</v>
      </c>
      <c r="D15" s="83">
        <v>6.8770939869511327E-3</v>
      </c>
      <c r="E15" s="62"/>
      <c r="F15" s="62"/>
      <c r="G15" s="62"/>
      <c r="H15" s="95">
        <v>41274</v>
      </c>
      <c r="I15" s="78">
        <v>29.5</v>
      </c>
      <c r="J15" s="81">
        <v>474607</v>
      </c>
      <c r="K15" s="85">
        <v>0.6</v>
      </c>
      <c r="L15" s="87">
        <v>2.0338983050847456E-2</v>
      </c>
      <c r="M15" s="86"/>
      <c r="N15" s="97"/>
    </row>
    <row r="16" spans="1:14" ht="15" thickBot="1">
      <c r="A16" s="68">
        <v>44475</v>
      </c>
      <c r="B16" s="65">
        <v>113.42</v>
      </c>
      <c r="C16" s="80">
        <v>1592220</v>
      </c>
      <c r="D16" s="83">
        <v>-1.4424748001390264E-2</v>
      </c>
      <c r="E16" s="62"/>
      <c r="F16" s="62"/>
      <c r="G16" s="62"/>
      <c r="H16" s="98">
        <v>40543</v>
      </c>
      <c r="I16" s="99">
        <v>17.440000000000001</v>
      </c>
      <c r="J16" s="100">
        <v>452496</v>
      </c>
      <c r="K16" s="101">
        <v>0.22</v>
      </c>
      <c r="L16" s="102">
        <v>1.2614678899082568E-2</v>
      </c>
      <c r="M16" s="103"/>
      <c r="N16" s="104"/>
    </row>
    <row r="17" spans="1:10" ht="14.4">
      <c r="A17" s="68">
        <v>44474</v>
      </c>
      <c r="B17" s="65">
        <v>115.08</v>
      </c>
      <c r="C17" s="80">
        <v>1344477</v>
      </c>
      <c r="D17" s="83">
        <v>1.2493401372514423E-2</v>
      </c>
      <c r="E17" s="62"/>
      <c r="F17" s="62"/>
      <c r="G17" s="62"/>
      <c r="H17" s="62"/>
      <c r="I17" s="62"/>
      <c r="J17" s="62"/>
    </row>
    <row r="18" spans="1:10" ht="14.4">
      <c r="A18" s="68">
        <v>44473</v>
      </c>
      <c r="B18" s="65">
        <v>113.66</v>
      </c>
      <c r="C18" s="80">
        <v>1545522</v>
      </c>
      <c r="D18" s="83">
        <v>-2.5047177903585571E-2</v>
      </c>
      <c r="E18" s="62"/>
      <c r="F18" s="62"/>
      <c r="G18" s="62"/>
      <c r="H18" s="62"/>
      <c r="I18" s="62"/>
      <c r="J18" s="62"/>
    </row>
    <row r="19" spans="1:10" ht="14.4">
      <c r="A19" s="68">
        <v>44470</v>
      </c>
      <c r="B19" s="65">
        <v>116.58</v>
      </c>
      <c r="C19" s="80">
        <v>1638193</v>
      </c>
      <c r="D19" s="83">
        <v>1.2858384013900936E-2</v>
      </c>
      <c r="E19" s="62"/>
      <c r="F19" s="62"/>
      <c r="G19" s="62"/>
      <c r="H19" s="62"/>
      <c r="I19" s="62"/>
      <c r="J19" s="62"/>
    </row>
    <row r="20" spans="1:10" ht="14.4">
      <c r="A20" s="68">
        <v>44469</v>
      </c>
      <c r="B20" s="65">
        <v>115.1</v>
      </c>
      <c r="C20" s="80">
        <v>1891572</v>
      </c>
      <c r="D20" s="83">
        <v>-1.8755328218243883E-2</v>
      </c>
      <c r="E20" s="62"/>
      <c r="F20" s="62"/>
      <c r="G20" s="62"/>
      <c r="H20" s="62"/>
      <c r="I20" s="62"/>
      <c r="J20" s="62"/>
    </row>
    <row r="21" spans="1:10" ht="14.4">
      <c r="A21" s="68">
        <v>44468</v>
      </c>
      <c r="B21" s="65">
        <v>117.3</v>
      </c>
      <c r="C21" s="80">
        <v>1856224</v>
      </c>
      <c r="D21" s="83">
        <v>3.4756527875793974E-2</v>
      </c>
      <c r="E21" s="62"/>
      <c r="F21" s="62"/>
      <c r="G21" s="62"/>
      <c r="H21" s="62"/>
      <c r="I21" s="62"/>
      <c r="J21" s="62"/>
    </row>
    <row r="22" spans="1:10" ht="14.4">
      <c r="A22" s="68">
        <v>44467</v>
      </c>
      <c r="B22" s="65">
        <v>113.36</v>
      </c>
      <c r="C22" s="80">
        <v>1789397</v>
      </c>
      <c r="D22" s="83">
        <v>-3.3094506994199913E-2</v>
      </c>
      <c r="E22" s="82"/>
    </row>
    <row r="23" spans="1:10" ht="14.4">
      <c r="A23" s="68">
        <v>44466</v>
      </c>
      <c r="B23" s="65">
        <v>117.24</v>
      </c>
      <c r="C23" s="80">
        <v>1577958</v>
      </c>
      <c r="D23" s="83">
        <v>1.5944540727902856E-2</v>
      </c>
      <c r="E23" s="82"/>
    </row>
    <row r="24" spans="1:10" ht="14.4">
      <c r="A24" s="68">
        <v>44463</v>
      </c>
      <c r="B24" s="65">
        <v>115.4</v>
      </c>
      <c r="C24" s="80">
        <v>974686</v>
      </c>
      <c r="D24" s="83">
        <v>-1.097017483716145E-2</v>
      </c>
      <c r="E24" s="82"/>
    </row>
    <row r="25" spans="1:10" ht="14.4">
      <c r="A25" s="68">
        <v>44462</v>
      </c>
      <c r="B25" s="65">
        <v>116.68</v>
      </c>
      <c r="C25" s="80">
        <v>1211204</v>
      </c>
      <c r="D25" s="83">
        <v>7.2513812154695323E-3</v>
      </c>
      <c r="E25" s="82"/>
    </row>
    <row r="26" spans="1:10" ht="14.4">
      <c r="A26" s="68">
        <v>44461</v>
      </c>
      <c r="B26" s="65">
        <v>115.84</v>
      </c>
      <c r="C26" s="80">
        <v>1225883</v>
      </c>
      <c r="D26" s="83">
        <v>2.2598870056497189E-2</v>
      </c>
      <c r="E26" s="82"/>
    </row>
    <row r="27" spans="1:10" ht="14.4">
      <c r="A27" s="68">
        <v>44460</v>
      </c>
      <c r="B27" s="65">
        <v>113.28</v>
      </c>
      <c r="C27" s="80">
        <v>1539371</v>
      </c>
      <c r="D27" s="83">
        <v>1.1970698588529505E-2</v>
      </c>
      <c r="E27" s="82"/>
    </row>
    <row r="28" spans="1:10" ht="14.4">
      <c r="A28" s="68">
        <v>44459</v>
      </c>
      <c r="B28" s="65">
        <v>111.94</v>
      </c>
      <c r="C28" s="80">
        <v>2416938</v>
      </c>
      <c r="D28" s="83">
        <v>-9.7310686482662279E-3</v>
      </c>
      <c r="E28" s="82"/>
    </row>
    <row r="29" spans="1:10" ht="14.4">
      <c r="A29" s="68">
        <v>44456</v>
      </c>
      <c r="B29" s="65">
        <v>113.04</v>
      </c>
      <c r="C29" s="80">
        <v>3390435</v>
      </c>
      <c r="D29" s="83">
        <v>-1.6016713091921875E-2</v>
      </c>
      <c r="E29" s="82"/>
    </row>
    <row r="30" spans="1:10" ht="14.4">
      <c r="A30" s="68">
        <v>44455</v>
      </c>
      <c r="B30" s="65">
        <v>114.88</v>
      </c>
      <c r="C30" s="80">
        <v>1445194</v>
      </c>
      <c r="D30" s="83">
        <v>2.2427910288358888E-2</v>
      </c>
      <c r="E30" s="82"/>
    </row>
    <row r="31" spans="1:10" ht="14.4">
      <c r="A31" s="68">
        <v>44454</v>
      </c>
      <c r="B31" s="65">
        <v>112.36</v>
      </c>
      <c r="C31" s="80">
        <v>1054477</v>
      </c>
      <c r="D31" s="83">
        <v>-3.5473572188720048E-3</v>
      </c>
      <c r="E31" s="82"/>
    </row>
    <row r="32" spans="1:10" ht="14.4">
      <c r="A32" s="68">
        <v>44453</v>
      </c>
      <c r="B32" s="65">
        <v>112.76</v>
      </c>
      <c r="C32" s="80">
        <v>1132942</v>
      </c>
      <c r="D32" s="83">
        <v>-2.0159888773027435E-2</v>
      </c>
      <c r="E32" s="82"/>
    </row>
    <row r="33" spans="1:5" ht="14.4">
      <c r="A33" s="68">
        <v>44452</v>
      </c>
      <c r="B33" s="65">
        <v>115.08</v>
      </c>
      <c r="C33" s="80">
        <v>1047597</v>
      </c>
      <c r="D33" s="83">
        <v>6.2959076600210828E-3</v>
      </c>
      <c r="E33" s="82"/>
    </row>
    <row r="34" spans="1:5" ht="14.4">
      <c r="A34" s="68">
        <v>44449</v>
      </c>
      <c r="B34" s="65">
        <v>114.36</v>
      </c>
      <c r="C34" s="80">
        <v>1161466</v>
      </c>
      <c r="D34" s="83">
        <v>-7.2916666666666963E-3</v>
      </c>
      <c r="E34" s="82"/>
    </row>
    <row r="35" spans="1:5" ht="14.4">
      <c r="A35" s="68">
        <v>44448</v>
      </c>
      <c r="B35" s="65">
        <v>115.2</v>
      </c>
      <c r="C35" s="80">
        <v>1168922</v>
      </c>
      <c r="D35" s="83">
        <v>1.3014421385860064E-2</v>
      </c>
      <c r="E35" s="82"/>
    </row>
    <row r="36" spans="1:5" ht="14.4">
      <c r="A36" s="68">
        <v>44447</v>
      </c>
      <c r="B36" s="65">
        <v>113.72</v>
      </c>
      <c r="C36" s="80">
        <v>1134101</v>
      </c>
      <c r="D36" s="83">
        <v>-3.3304119193688919E-3</v>
      </c>
      <c r="E36" s="82"/>
    </row>
    <row r="37" spans="1:5" ht="14.4">
      <c r="A37" s="68">
        <v>44446</v>
      </c>
      <c r="B37" s="65">
        <v>114.1</v>
      </c>
      <c r="C37" s="80">
        <v>892841</v>
      </c>
      <c r="D37" s="83">
        <v>-1.536071798412153E-2</v>
      </c>
      <c r="E37" s="82"/>
    </row>
    <row r="38" spans="1:5" ht="14.4">
      <c r="A38" s="68">
        <v>44445</v>
      </c>
      <c r="B38" s="65">
        <v>115.88</v>
      </c>
      <c r="C38" s="80">
        <v>641283</v>
      </c>
      <c r="D38" s="83">
        <v>1.2229210342417751E-2</v>
      </c>
      <c r="E38" s="82"/>
    </row>
    <row r="39" spans="1:5" ht="14.4">
      <c r="A39" s="68">
        <v>44442</v>
      </c>
      <c r="B39" s="65">
        <v>114.48</v>
      </c>
      <c r="C39" s="80">
        <v>896433</v>
      </c>
      <c r="D39" s="83">
        <v>-1.9695153279671196E-2</v>
      </c>
      <c r="E39" s="82"/>
    </row>
    <row r="40" spans="1:5" ht="14.4">
      <c r="A40" s="68">
        <v>44441</v>
      </c>
      <c r="B40" s="65">
        <v>116.78</v>
      </c>
      <c r="C40" s="80">
        <v>938576</v>
      </c>
      <c r="D40" s="83">
        <v>-1.0338983050847461E-2</v>
      </c>
      <c r="E40" s="82"/>
    </row>
    <row r="41" spans="1:5" ht="14.4">
      <c r="A41" s="68">
        <v>44440</v>
      </c>
      <c r="B41" s="65">
        <v>118</v>
      </c>
      <c r="C41" s="80">
        <v>1478587</v>
      </c>
      <c r="D41" s="83">
        <v>1.9878997407087207E-2</v>
      </c>
      <c r="E41" s="82"/>
    </row>
    <row r="42" spans="1:5" ht="14.4">
      <c r="A42" s="68">
        <v>44439</v>
      </c>
      <c r="B42" s="65">
        <v>115.7</v>
      </c>
      <c r="C42" s="80">
        <v>1518227</v>
      </c>
      <c r="D42" s="83">
        <v>7.3132509141564661E-3</v>
      </c>
      <c r="E42" s="82"/>
    </row>
    <row r="43" spans="1:5" ht="14.4">
      <c r="A43" s="68">
        <v>44438</v>
      </c>
      <c r="B43" s="65">
        <v>114.86</v>
      </c>
      <c r="C43" s="80">
        <v>505387</v>
      </c>
      <c r="D43" s="83">
        <v>-1.3910624239262814E-3</v>
      </c>
      <c r="E43" s="82"/>
    </row>
    <row r="44" spans="1:5" ht="14.4">
      <c r="A44" s="68">
        <v>44435</v>
      </c>
      <c r="B44" s="65">
        <v>115.02</v>
      </c>
      <c r="C44" s="80">
        <v>669090</v>
      </c>
      <c r="D44" s="83">
        <v>1.7391304347813552E-4</v>
      </c>
      <c r="E44" s="82"/>
    </row>
    <row r="45" spans="1:5" ht="14.4">
      <c r="A45" s="68">
        <v>44434</v>
      </c>
      <c r="B45" s="65">
        <v>115</v>
      </c>
      <c r="C45" s="80">
        <v>686226</v>
      </c>
      <c r="D45" s="83">
        <v>-7.9365079365079083E-3</v>
      </c>
      <c r="E45" s="82"/>
    </row>
    <row r="46" spans="1:5" ht="14.4">
      <c r="A46" s="68">
        <v>44433</v>
      </c>
      <c r="B46" s="65">
        <v>115.92</v>
      </c>
      <c r="C46" s="80">
        <v>1279245</v>
      </c>
      <c r="D46" s="83">
        <v>2.1681649920676893E-2</v>
      </c>
      <c r="E46" s="82"/>
    </row>
    <row r="47" spans="1:5" ht="14.4">
      <c r="A47" s="68">
        <v>44432</v>
      </c>
      <c r="B47" s="65">
        <v>113.46</v>
      </c>
      <c r="C47" s="80">
        <v>847802</v>
      </c>
      <c r="D47" s="83">
        <v>1.5574650912996812E-2</v>
      </c>
      <c r="E47" s="82"/>
    </row>
    <row r="48" spans="1:5" ht="14.4">
      <c r="A48" s="68">
        <v>44431</v>
      </c>
      <c r="B48" s="65">
        <v>111.72</v>
      </c>
      <c r="C48" s="80">
        <v>795534</v>
      </c>
      <c r="D48" s="83">
        <v>1.1223750905141161E-2</v>
      </c>
      <c r="E48" s="82"/>
    </row>
    <row r="49" spans="1:5" ht="14.4">
      <c r="A49" s="68">
        <v>44428</v>
      </c>
      <c r="B49" s="65">
        <v>110.48</v>
      </c>
      <c r="C49" s="80">
        <v>989618</v>
      </c>
      <c r="D49" s="83">
        <v>3.9985459832787562E-3</v>
      </c>
      <c r="E49" s="82"/>
    </row>
    <row r="50" spans="1:5" ht="14.4">
      <c r="A50" s="68">
        <v>44427</v>
      </c>
      <c r="B50" s="65">
        <v>110.04</v>
      </c>
      <c r="C50" s="80">
        <v>1616551</v>
      </c>
      <c r="D50" s="83">
        <v>-3.1508537229360978E-2</v>
      </c>
      <c r="E50" s="82"/>
    </row>
    <row r="51" spans="1:5" ht="14.4">
      <c r="A51" s="68">
        <v>44426</v>
      </c>
      <c r="B51" s="65">
        <v>113.62</v>
      </c>
      <c r="C51" s="80">
        <v>904719</v>
      </c>
      <c r="D51" s="83">
        <v>7.0459749867879395E-4</v>
      </c>
      <c r="E51" s="82"/>
    </row>
    <row r="52" spans="1:5" ht="14.4">
      <c r="A52" s="68">
        <v>44425</v>
      </c>
      <c r="B52" s="65">
        <v>113.54</v>
      </c>
      <c r="C52" s="80">
        <v>924576</v>
      </c>
      <c r="D52" s="83">
        <v>-9.4224393648577598E-3</v>
      </c>
      <c r="E52" s="82"/>
    </row>
    <row r="53" spans="1:5" ht="14.4">
      <c r="A53" s="68">
        <v>44424</v>
      </c>
      <c r="B53" s="65">
        <v>114.62</v>
      </c>
      <c r="C53" s="80">
        <v>611241</v>
      </c>
      <c r="D53" s="83">
        <v>-7.103257103257099E-3</v>
      </c>
      <c r="E53" s="82"/>
    </row>
    <row r="54" spans="1:5" ht="14.4">
      <c r="A54" s="68">
        <v>44421</v>
      </c>
      <c r="B54" s="65">
        <v>115.44</v>
      </c>
      <c r="C54" s="80">
        <v>681571</v>
      </c>
      <c r="D54" s="83">
        <v>1.214223764093747E-3</v>
      </c>
      <c r="E54" s="82"/>
    </row>
    <row r="55" spans="1:5" ht="14.4">
      <c r="A55" s="68">
        <v>44420</v>
      </c>
      <c r="B55" s="65">
        <v>115.3</v>
      </c>
      <c r="C55" s="80">
        <v>817945</v>
      </c>
      <c r="D55" s="83">
        <v>-3.6294503975112802E-3</v>
      </c>
      <c r="E55" s="82"/>
    </row>
    <row r="56" spans="1:5" ht="14.4">
      <c r="A56" s="68">
        <v>44419</v>
      </c>
      <c r="B56" s="65">
        <v>115.72</v>
      </c>
      <c r="C56" s="80">
        <v>712806</v>
      </c>
      <c r="D56" s="83">
        <v>4.8627995831886928E-3</v>
      </c>
      <c r="E56" s="82"/>
    </row>
    <row r="57" spans="1:5" ht="14.4">
      <c r="A57" s="68">
        <v>44418</v>
      </c>
      <c r="B57" s="65">
        <v>115.16</v>
      </c>
      <c r="C57" s="80">
        <v>916010</v>
      </c>
      <c r="D57" s="83">
        <v>3.4855350296270071E-3</v>
      </c>
      <c r="E57" s="82"/>
    </row>
    <row r="58" spans="1:5" ht="14.4">
      <c r="A58" s="68">
        <v>44417</v>
      </c>
      <c r="B58" s="65">
        <v>114.76</v>
      </c>
      <c r="C58" s="80">
        <v>753338</v>
      </c>
      <c r="D58" s="83">
        <v>-1.8306244653550019E-2</v>
      </c>
      <c r="E58" s="82"/>
    </row>
    <row r="59" spans="1:5" ht="14.4">
      <c r="A59" s="68">
        <v>44414</v>
      </c>
      <c r="B59" s="65">
        <v>116.9</v>
      </c>
      <c r="C59" s="80">
        <v>1045415</v>
      </c>
      <c r="D59" s="83">
        <v>2.2290809327847327E-3</v>
      </c>
      <c r="E59" s="82"/>
    </row>
    <row r="60" spans="1:5" ht="14.4">
      <c r="A60" s="68">
        <v>44413</v>
      </c>
      <c r="B60" s="65">
        <v>116.64</v>
      </c>
      <c r="C60" s="80">
        <v>1227423</v>
      </c>
      <c r="D60" s="83">
        <v>1.9224047535826738E-2</v>
      </c>
      <c r="E60" s="82"/>
    </row>
    <row r="61" spans="1:5" ht="14.4">
      <c r="A61" s="68">
        <v>44412</v>
      </c>
      <c r="B61" s="65">
        <v>114.44</v>
      </c>
      <c r="C61" s="80">
        <v>1536356</v>
      </c>
      <c r="D61" s="83">
        <v>-2.9621885345879617E-3</v>
      </c>
      <c r="E61" s="82"/>
    </row>
    <row r="62" spans="1:5" ht="14.4">
      <c r="A62" s="68">
        <v>44411</v>
      </c>
      <c r="B62" s="65">
        <v>114.78</v>
      </c>
      <c r="C62" s="80">
        <v>1446369</v>
      </c>
      <c r="D62" s="83">
        <v>-1.7126220243192325E-2</v>
      </c>
      <c r="E62" s="82"/>
    </row>
    <row r="63" spans="1:5" ht="14.4">
      <c r="A63" s="68">
        <v>44410</v>
      </c>
      <c r="B63" s="65">
        <v>116.78</v>
      </c>
      <c r="C63" s="80">
        <v>1114904</v>
      </c>
      <c r="D63" s="83">
        <v>9.3344857389801028E-3</v>
      </c>
      <c r="E63" s="82"/>
    </row>
    <row r="64" spans="1:5" ht="14.4">
      <c r="A64" s="68">
        <v>44407</v>
      </c>
      <c r="B64" s="65">
        <v>115.7</v>
      </c>
      <c r="C64" s="80">
        <v>2047519</v>
      </c>
      <c r="D64" s="83">
        <v>-2.586206896551646E-3</v>
      </c>
      <c r="E64" s="82"/>
    </row>
    <row r="65" spans="1:5" ht="14.4">
      <c r="A65" s="68">
        <v>44406</v>
      </c>
      <c r="B65" s="65">
        <v>116</v>
      </c>
      <c r="C65" s="80">
        <v>2705991</v>
      </c>
      <c r="D65" s="83">
        <v>6.0711188204682909E-3</v>
      </c>
      <c r="E65" s="82"/>
    </row>
    <row r="66" spans="1:5" ht="14.4">
      <c r="A66" s="68">
        <v>44405</v>
      </c>
      <c r="B66" s="65">
        <v>115.3</v>
      </c>
      <c r="C66" s="80">
        <v>1651513</v>
      </c>
      <c r="D66" s="83">
        <v>2.6531339031339085E-2</v>
      </c>
      <c r="E66" s="82"/>
    </row>
    <row r="67" spans="1:5" ht="14.4">
      <c r="A67" s="68">
        <v>44404</v>
      </c>
      <c r="B67" s="65">
        <v>112.32</v>
      </c>
      <c r="C67" s="80">
        <v>1244190</v>
      </c>
      <c r="D67" s="83">
        <v>2.8571428571428914E-3</v>
      </c>
      <c r="E67" s="82"/>
    </row>
    <row r="68" spans="1:5" ht="14.4">
      <c r="A68" s="68">
        <v>44403</v>
      </c>
      <c r="B68" s="65">
        <v>112</v>
      </c>
      <c r="C68" s="80">
        <v>1176450</v>
      </c>
      <c r="D68" s="83">
        <v>4.484304932735439E-3</v>
      </c>
      <c r="E68" s="82"/>
    </row>
    <row r="69" spans="1:5" ht="14.4">
      <c r="A69" s="68">
        <v>44400</v>
      </c>
      <c r="B69" s="65">
        <v>111.5</v>
      </c>
      <c r="C69" s="80">
        <v>2048605</v>
      </c>
      <c r="D69" s="83">
        <v>1.8078889700511303E-2</v>
      </c>
      <c r="E69" s="82"/>
    </row>
    <row r="70" spans="1:5" ht="14.4">
      <c r="A70" s="68">
        <v>44399</v>
      </c>
      <c r="B70" s="65">
        <v>109.52</v>
      </c>
      <c r="C70" s="80">
        <v>1324149</v>
      </c>
      <c r="D70" s="83">
        <v>-1.0122921185827916E-2</v>
      </c>
      <c r="E70" s="82"/>
    </row>
    <row r="71" spans="1:5" ht="14.4">
      <c r="A71" s="68">
        <v>44398</v>
      </c>
      <c r="B71" s="65">
        <v>110.64</v>
      </c>
      <c r="C71" s="80">
        <v>2105827</v>
      </c>
      <c r="D71" s="83">
        <v>4.3773584905660412E-2</v>
      </c>
      <c r="E71" s="82"/>
    </row>
    <row r="72" spans="1:5" ht="14.4">
      <c r="A72" s="68">
        <v>44397</v>
      </c>
      <c r="B72" s="65">
        <v>106</v>
      </c>
      <c r="C72" s="80">
        <v>1915970</v>
      </c>
      <c r="D72" s="83">
        <v>2.3363583703417623E-2</v>
      </c>
      <c r="E72" s="82"/>
    </row>
    <row r="73" spans="1:5" ht="14.4">
      <c r="A73" s="68">
        <v>44396</v>
      </c>
      <c r="B73" s="65">
        <v>103.58</v>
      </c>
      <c r="C73" s="80">
        <v>3974206</v>
      </c>
      <c r="D73" s="83">
        <v>-6.3810556760665271E-2</v>
      </c>
      <c r="E73" s="82"/>
    </row>
    <row r="74" spans="1:5" ht="14.4">
      <c r="A74" s="68">
        <v>44393</v>
      </c>
      <c r="B74" s="65">
        <v>110.64</v>
      </c>
      <c r="C74" s="80">
        <v>1556374</v>
      </c>
      <c r="D74" s="83">
        <v>2.1739130434781373E-3</v>
      </c>
      <c r="E74" s="82"/>
    </row>
    <row r="75" spans="1:5" ht="14.4">
      <c r="A75" s="68">
        <v>44392</v>
      </c>
      <c r="B75" s="65">
        <v>110.4</v>
      </c>
      <c r="C75" s="80">
        <v>1673725</v>
      </c>
      <c r="D75" s="83">
        <v>-5.2261668769147951E-3</v>
      </c>
      <c r="E75" s="82"/>
    </row>
    <row r="76" spans="1:5" ht="14.4">
      <c r="A76" s="68">
        <v>44391</v>
      </c>
      <c r="B76" s="65">
        <v>110.98</v>
      </c>
      <c r="C76" s="80">
        <v>1057178</v>
      </c>
      <c r="D76" s="83">
        <v>-2.3372887450556767E-3</v>
      </c>
      <c r="E76" s="82"/>
    </row>
    <row r="77" spans="1:5" ht="14.4">
      <c r="A77" s="68">
        <v>44390</v>
      </c>
      <c r="B77" s="65">
        <v>111.24</v>
      </c>
      <c r="C77" s="80">
        <v>1387125</v>
      </c>
      <c r="D77" s="83">
        <v>-8.5561497326204217E-3</v>
      </c>
      <c r="E77" s="82"/>
    </row>
    <row r="78" spans="1:5" ht="14.4">
      <c r="A78" s="68">
        <v>44389</v>
      </c>
      <c r="B78" s="65">
        <v>112.2</v>
      </c>
      <c r="C78" s="80">
        <v>1521422</v>
      </c>
      <c r="D78" s="83">
        <v>-4.9663001064207402E-3</v>
      </c>
      <c r="E78" s="82"/>
    </row>
    <row r="79" spans="1:5" ht="14.4">
      <c r="A79" s="68">
        <v>44386</v>
      </c>
      <c r="B79" s="65">
        <v>112.76</v>
      </c>
      <c r="C79" s="80">
        <v>1837644</v>
      </c>
      <c r="D79" s="83">
        <v>3.4305631994129504E-2</v>
      </c>
      <c r="E79" s="82"/>
    </row>
    <row r="80" spans="1:5" ht="14.4">
      <c r="A80" s="68">
        <v>44385</v>
      </c>
      <c r="B80" s="65">
        <v>109.02</v>
      </c>
      <c r="C80" s="80">
        <v>2112437</v>
      </c>
      <c r="D80" s="83">
        <v>-7.2846476051721121E-3</v>
      </c>
      <c r="E80" s="82"/>
    </row>
    <row r="81" spans="1:5" ht="14.4">
      <c r="A81" s="68">
        <v>44384</v>
      </c>
      <c r="B81" s="65">
        <v>109.82</v>
      </c>
      <c r="C81" s="80">
        <v>1549039</v>
      </c>
      <c r="D81" s="83">
        <v>-9.5598845598845461E-3</v>
      </c>
      <c r="E81" s="82"/>
    </row>
    <row r="82" spans="1:5" ht="14.4">
      <c r="A82" s="68">
        <v>44383</v>
      </c>
      <c r="B82" s="65">
        <v>110.88</v>
      </c>
      <c r="C82" s="80">
        <v>1090015</v>
      </c>
      <c r="D82" s="83">
        <v>-1.945525291828798E-2</v>
      </c>
      <c r="E82" s="82"/>
    </row>
    <row r="83" spans="1:5" ht="14.4">
      <c r="A83" s="68">
        <v>44382</v>
      </c>
      <c r="B83" s="65">
        <v>113.08</v>
      </c>
      <c r="C83" s="80">
        <v>919942</v>
      </c>
      <c r="D83" s="83">
        <v>7.6635180894670807E-3</v>
      </c>
      <c r="E83" s="82"/>
    </row>
    <row r="84" spans="1:5" ht="14.4">
      <c r="A84" s="68">
        <v>44379</v>
      </c>
      <c r="B84" s="65">
        <v>112.22</v>
      </c>
      <c r="C84" s="80">
        <v>1648830</v>
      </c>
      <c r="D84" s="83">
        <v>2.1110100090991679E-2</v>
      </c>
      <c r="E84" s="82"/>
    </row>
    <row r="85" spans="1:5" ht="14.4">
      <c r="A85" s="68">
        <v>44378</v>
      </c>
      <c r="B85" s="65">
        <v>109.9</v>
      </c>
      <c r="C85" s="80">
        <v>1245443</v>
      </c>
      <c r="D85" s="83">
        <v>1.3463666543710895E-2</v>
      </c>
      <c r="E85" s="82"/>
    </row>
    <row r="86" spans="1:5" ht="14.4">
      <c r="A86" s="68">
        <v>44377</v>
      </c>
      <c r="B86" s="65">
        <v>108.44</v>
      </c>
      <c r="C86" s="80">
        <v>1986579</v>
      </c>
      <c r="D86" s="83">
        <v>1.8407212622088664E-2</v>
      </c>
      <c r="E86" s="82"/>
    </row>
    <row r="87" spans="1:5" ht="14.4">
      <c r="A87" s="68">
        <v>44376</v>
      </c>
      <c r="B87" s="65">
        <v>106.48</v>
      </c>
      <c r="C87" s="80">
        <v>1505310</v>
      </c>
      <c r="D87" s="83">
        <v>-5.7889822595703633E-3</v>
      </c>
      <c r="E87" s="82"/>
    </row>
    <row r="88" spans="1:5" ht="14.4">
      <c r="A88" s="68">
        <v>44375</v>
      </c>
      <c r="B88" s="65">
        <v>107.1</v>
      </c>
      <c r="C88" s="80">
        <v>1510341</v>
      </c>
      <c r="D88" s="83">
        <v>-2.9187817258883197E-2</v>
      </c>
      <c r="E88" s="82"/>
    </row>
    <row r="89" spans="1:5" ht="14.4">
      <c r="A89" s="68">
        <v>44372</v>
      </c>
      <c r="B89" s="65">
        <v>110.32</v>
      </c>
      <c r="C89" s="80">
        <v>1443544</v>
      </c>
      <c r="D89" s="83">
        <v>-1.4295925661186648E-2</v>
      </c>
      <c r="E89" s="82"/>
    </row>
    <row r="90" spans="1:5" ht="14.4">
      <c r="A90" s="68">
        <v>44371</v>
      </c>
      <c r="B90" s="65">
        <v>111.92</v>
      </c>
      <c r="C90" s="80">
        <v>1232312</v>
      </c>
      <c r="D90" s="83">
        <v>5.5705300988320161E-3</v>
      </c>
      <c r="E90" s="82"/>
    </row>
    <row r="91" spans="1:5" ht="14.4">
      <c r="A91" s="68">
        <v>44370</v>
      </c>
      <c r="B91" s="65">
        <v>111.3</v>
      </c>
      <c r="C91" s="80">
        <v>1089417</v>
      </c>
      <c r="D91" s="83">
        <v>-1.1896306818181879E-2</v>
      </c>
      <c r="E91" s="82"/>
    </row>
    <row r="92" spans="1:5" ht="14.4">
      <c r="A92" s="68">
        <v>44369</v>
      </c>
      <c r="B92" s="65">
        <v>112.64</v>
      </c>
      <c r="C92" s="80">
        <v>1121429</v>
      </c>
      <c r="D92" s="83">
        <v>-2.4796315975912364E-3</v>
      </c>
      <c r="E92" s="82"/>
    </row>
    <row r="93" spans="1:5" ht="14.4">
      <c r="A93" s="68">
        <v>44368</v>
      </c>
      <c r="B93" s="65">
        <v>112.92</v>
      </c>
      <c r="C93" s="80">
        <v>1176178</v>
      </c>
      <c r="D93" s="83">
        <v>1.7743080198722172E-3</v>
      </c>
      <c r="E93" s="82"/>
    </row>
    <row r="94" spans="1:5" ht="14.4">
      <c r="A94" s="68">
        <v>44365</v>
      </c>
      <c r="B94" s="65">
        <v>112.72</v>
      </c>
      <c r="C94" s="80">
        <v>2224730</v>
      </c>
      <c r="D94" s="83">
        <v>-1.6404886561954601E-2</v>
      </c>
      <c r="E94" s="82"/>
    </row>
    <row r="95" spans="1:5" ht="14.4">
      <c r="A95" s="68">
        <v>44364</v>
      </c>
      <c r="B95" s="65">
        <v>114.6</v>
      </c>
      <c r="C95" s="80">
        <v>1441039</v>
      </c>
      <c r="D95" s="83">
        <v>4.5582047685834848E-3</v>
      </c>
      <c r="E95" s="82"/>
    </row>
    <row r="96" spans="1:5" ht="14.4">
      <c r="A96" s="68">
        <v>44363</v>
      </c>
      <c r="B96" s="65">
        <v>114.08</v>
      </c>
      <c r="C96" s="80">
        <v>1660779</v>
      </c>
      <c r="D96" s="83">
        <v>7.9519349708427889E-3</v>
      </c>
      <c r="E96" s="82"/>
    </row>
    <row r="97" spans="1:5" ht="14.4">
      <c r="A97" s="68">
        <v>44362</v>
      </c>
      <c r="B97" s="65">
        <v>113.18</v>
      </c>
      <c r="C97" s="80">
        <v>1405518</v>
      </c>
      <c r="D97" s="83">
        <v>6.9395017793594249E-3</v>
      </c>
      <c r="E97" s="82"/>
    </row>
    <row r="98" spans="1:5" ht="14.4">
      <c r="A98" s="68">
        <v>44361</v>
      </c>
      <c r="B98" s="65">
        <v>112.4</v>
      </c>
      <c r="C98" s="80">
        <v>1015695</v>
      </c>
      <c r="D98" s="83">
        <v>3.5599857600576712E-4</v>
      </c>
      <c r="E98" s="82"/>
    </row>
    <row r="99" spans="1:5" ht="14.4">
      <c r="A99" s="68">
        <v>44358</v>
      </c>
      <c r="B99" s="65">
        <v>112.36</v>
      </c>
      <c r="C99" s="80">
        <v>1806452</v>
      </c>
      <c r="D99" s="83">
        <v>1.6648570394498741E-2</v>
      </c>
      <c r="E99" s="82"/>
    </row>
    <row r="100" spans="1:5" ht="14.4">
      <c r="A100" s="68">
        <v>44357</v>
      </c>
      <c r="B100" s="65">
        <v>110.52</v>
      </c>
      <c r="C100" s="80">
        <v>1046648</v>
      </c>
      <c r="D100" s="83">
        <v>-7.2332730560575875E-4</v>
      </c>
      <c r="E100" s="82"/>
    </row>
    <row r="101" spans="1:5" ht="14.4">
      <c r="A101" s="68">
        <v>44356</v>
      </c>
      <c r="B101" s="65">
        <v>110.6</v>
      </c>
      <c r="C101" s="80">
        <v>1035299</v>
      </c>
      <c r="D101" s="83">
        <v>9.0497737556560764E-4</v>
      </c>
      <c r="E101" s="82"/>
    </row>
    <row r="102" spans="1:5" ht="14.4">
      <c r="A102" s="68">
        <v>44355</v>
      </c>
      <c r="B102" s="65">
        <v>110.5</v>
      </c>
      <c r="C102" s="80">
        <v>1171363</v>
      </c>
      <c r="D102" s="83">
        <v>-7.3661516349262657E-3</v>
      </c>
      <c r="E102" s="82"/>
    </row>
    <row r="103" spans="1:5" ht="14.4">
      <c r="A103" s="68">
        <v>44354</v>
      </c>
      <c r="B103" s="65">
        <v>111.32</v>
      </c>
      <c r="C103" s="80">
        <v>1094346</v>
      </c>
      <c r="D103" s="83">
        <v>1.2736535662299708E-2</v>
      </c>
      <c r="E103" s="82"/>
    </row>
    <row r="104" spans="1:5" ht="14.4">
      <c r="A104" s="68">
        <v>44351</v>
      </c>
      <c r="B104" s="65">
        <v>109.92</v>
      </c>
      <c r="C104" s="80">
        <v>1244330</v>
      </c>
      <c r="D104" s="83">
        <v>1.2752778283839916E-3</v>
      </c>
      <c r="E104" s="82"/>
    </row>
    <row r="105" spans="1:5" ht="14.4">
      <c r="A105" s="68">
        <v>44350</v>
      </c>
      <c r="B105" s="65">
        <v>109.78</v>
      </c>
      <c r="C105" s="80">
        <v>1084375</v>
      </c>
      <c r="D105" s="83">
        <v>-8.3107497741644609E-3</v>
      </c>
      <c r="E105" s="82"/>
    </row>
    <row r="106" spans="1:5" ht="14.4">
      <c r="A106" s="68">
        <v>44349</v>
      </c>
      <c r="B106" s="65">
        <v>110.7</v>
      </c>
      <c r="C106" s="80">
        <v>1660110</v>
      </c>
      <c r="D106" s="83">
        <v>1.7837440235380697E-2</v>
      </c>
      <c r="E106" s="82"/>
    </row>
    <row r="107" spans="1:5" ht="14.4">
      <c r="A107" s="68">
        <v>44348</v>
      </c>
      <c r="B107" s="65">
        <v>108.76</v>
      </c>
      <c r="C107" s="80">
        <v>1489206</v>
      </c>
      <c r="D107" s="83">
        <v>1.9688730545659228E-2</v>
      </c>
      <c r="E107" s="82"/>
    </row>
    <row r="108" spans="1:5" ht="14.4">
      <c r="A108" s="68">
        <v>44347</v>
      </c>
      <c r="B108" s="65">
        <v>106.66</v>
      </c>
      <c r="C108" s="80">
        <v>916534</v>
      </c>
      <c r="D108" s="83">
        <v>-1.2407407407407423E-2</v>
      </c>
      <c r="E108" s="82"/>
    </row>
    <row r="109" spans="1:5" ht="14.4">
      <c r="A109" s="68">
        <v>44344</v>
      </c>
      <c r="B109" s="65">
        <v>108</v>
      </c>
      <c r="C109" s="80">
        <v>2237227</v>
      </c>
      <c r="D109" s="83">
        <v>1.2373453318335059E-2</v>
      </c>
      <c r="E109" s="82"/>
    </row>
    <row r="110" spans="1:5" ht="14.4">
      <c r="A110" s="68">
        <v>44343</v>
      </c>
      <c r="B110" s="65">
        <v>106.68</v>
      </c>
      <c r="C110" s="80">
        <v>5430363</v>
      </c>
      <c r="D110" s="83">
        <v>9.2249411282891325E-2</v>
      </c>
      <c r="E110" s="82"/>
    </row>
    <row r="111" spans="1:5" ht="14.4">
      <c r="A111" s="68">
        <v>44342</v>
      </c>
      <c r="B111" s="65">
        <v>97.67</v>
      </c>
      <c r="C111" s="80">
        <v>995643</v>
      </c>
      <c r="D111" s="83">
        <v>5.4560428247889536E-3</v>
      </c>
      <c r="E111" s="82"/>
    </row>
    <row r="112" spans="1:5" ht="14.4">
      <c r="A112" s="68">
        <v>44341</v>
      </c>
      <c r="B112" s="65">
        <v>97.14</v>
      </c>
      <c r="C112" s="80">
        <v>1314019</v>
      </c>
      <c r="D112" s="83">
        <v>-1.1398330958681147E-2</v>
      </c>
      <c r="E112" s="82"/>
    </row>
    <row r="113" spans="1:5" ht="14.4">
      <c r="A113" s="68">
        <v>44340</v>
      </c>
      <c r="B113" s="65">
        <v>98.26</v>
      </c>
      <c r="C113" s="80">
        <v>661841</v>
      </c>
      <c r="D113" s="83">
        <v>3.5747114697171067E-3</v>
      </c>
      <c r="E113" s="82"/>
    </row>
    <row r="114" spans="1:5" ht="14.4">
      <c r="A114" s="68">
        <v>44337</v>
      </c>
      <c r="B114" s="65">
        <v>97.91</v>
      </c>
      <c r="C114" s="80">
        <v>1454579</v>
      </c>
      <c r="D114" s="83">
        <v>1.4506268780437148E-2</v>
      </c>
      <c r="E114" s="82"/>
    </row>
    <row r="115" spans="1:5" ht="14.4">
      <c r="A115" s="68">
        <v>44336</v>
      </c>
      <c r="B115" s="65">
        <v>96.51</v>
      </c>
      <c r="C115" s="80">
        <v>1291926</v>
      </c>
      <c r="D115" s="83">
        <v>1.5253524090048431E-2</v>
      </c>
      <c r="E115" s="82"/>
    </row>
    <row r="116" spans="1:5" ht="14.4">
      <c r="A116" s="68">
        <v>44335</v>
      </c>
      <c r="B116" s="65">
        <v>95.06</v>
      </c>
      <c r="C116" s="80">
        <v>1947475</v>
      </c>
      <c r="D116" s="83">
        <v>-2.1412394482190678E-2</v>
      </c>
      <c r="E116" s="82"/>
    </row>
    <row r="117" spans="1:5" ht="14.4">
      <c r="A117" s="68">
        <v>44334</v>
      </c>
      <c r="B117" s="65">
        <v>97.14</v>
      </c>
      <c r="C117" s="80">
        <v>1469378</v>
      </c>
      <c r="D117" s="83">
        <v>2.4767801857583649E-3</v>
      </c>
      <c r="E117" s="82"/>
    </row>
    <row r="118" spans="1:5" ht="14.4">
      <c r="A118" s="68">
        <v>44333</v>
      </c>
      <c r="B118" s="65">
        <v>96.9</v>
      </c>
      <c r="C118" s="80">
        <v>1087269</v>
      </c>
      <c r="D118" s="83">
        <v>-2.6815305815004353E-2</v>
      </c>
      <c r="E118" s="82"/>
    </row>
    <row r="119" spans="1:5" ht="14.4">
      <c r="A119" s="68">
        <v>44330</v>
      </c>
      <c r="B119" s="65">
        <v>99.57</v>
      </c>
      <c r="C119" s="80">
        <v>1525622</v>
      </c>
      <c r="D119" s="83">
        <v>3.7187499999999929E-2</v>
      </c>
      <c r="E119" s="82"/>
    </row>
    <row r="120" spans="1:5" ht="14.4">
      <c r="A120" s="68">
        <v>44329</v>
      </c>
      <c r="B120" s="65">
        <v>96</v>
      </c>
      <c r="C120" s="80">
        <v>1211617</v>
      </c>
      <c r="D120" s="83">
        <v>-5.7995028997515075E-3</v>
      </c>
      <c r="E120" s="82"/>
    </row>
    <row r="121" spans="1:5" ht="14.4">
      <c r="A121" s="68">
        <v>44328</v>
      </c>
      <c r="B121" s="65">
        <v>96.56</v>
      </c>
      <c r="C121" s="80">
        <v>1448836</v>
      </c>
      <c r="D121" s="83">
        <v>6.8821689259646046E-3</v>
      </c>
      <c r="E121" s="82"/>
    </row>
    <row r="122" spans="1:5" ht="14.4">
      <c r="A122" s="68">
        <v>44327</v>
      </c>
      <c r="B122" s="65">
        <v>95.9</v>
      </c>
      <c r="C122" s="80">
        <v>2063036</v>
      </c>
      <c r="D122" s="83">
        <v>-2.5010166734444783E-2</v>
      </c>
      <c r="E122" s="82"/>
    </row>
    <row r="123" spans="1:5" ht="14.4">
      <c r="A123" s="68">
        <v>44326</v>
      </c>
      <c r="B123" s="65">
        <v>98.36</v>
      </c>
      <c r="C123" s="80">
        <v>1031069</v>
      </c>
      <c r="D123" s="83">
        <v>-1.0165700925079957E-4</v>
      </c>
      <c r="E123" s="82"/>
    </row>
    <row r="124" spans="1:5" ht="14.4">
      <c r="A124" s="68">
        <v>44323</v>
      </c>
      <c r="B124" s="65">
        <v>98.37</v>
      </c>
      <c r="C124" s="80">
        <v>1139121</v>
      </c>
      <c r="D124" s="83">
        <v>1.6744186046511622E-2</v>
      </c>
      <c r="E124" s="82"/>
    </row>
    <row r="125" spans="1:5" ht="14.4">
      <c r="A125" s="68">
        <v>44322</v>
      </c>
      <c r="B125" s="65">
        <v>96.75</v>
      </c>
      <c r="C125" s="80">
        <v>1838181</v>
      </c>
      <c r="D125" s="83">
        <v>1.8639328984157988E-3</v>
      </c>
      <c r="E125" s="82"/>
    </row>
    <row r="126" spans="1:5" ht="14.4">
      <c r="A126" s="68">
        <v>44321</v>
      </c>
      <c r="B126" s="65">
        <v>96.57</v>
      </c>
      <c r="C126" s="80">
        <v>2282437</v>
      </c>
      <c r="D126" s="83">
        <v>-1.6540887005066507E-3</v>
      </c>
      <c r="E126" s="82"/>
    </row>
    <row r="127" spans="1:5" ht="14.4">
      <c r="A127" s="68">
        <v>44320</v>
      </c>
      <c r="B127" s="65">
        <v>96.73</v>
      </c>
      <c r="C127" s="80">
        <v>2254082</v>
      </c>
      <c r="D127" s="83">
        <v>-3.1828645781203035E-2</v>
      </c>
      <c r="E127" s="82"/>
    </row>
    <row r="128" spans="1:5" ht="14.4">
      <c r="A128" s="68">
        <v>44319</v>
      </c>
      <c r="B128" s="65">
        <v>99.91</v>
      </c>
      <c r="C128" s="80">
        <v>1004726</v>
      </c>
      <c r="D128" s="83">
        <v>-3.0018010806487361E-4</v>
      </c>
      <c r="E128" s="82"/>
    </row>
    <row r="129" spans="1:5" ht="14.4">
      <c r="A129" s="68">
        <v>44316</v>
      </c>
      <c r="B129" s="65">
        <v>99.94</v>
      </c>
      <c r="C129" s="80">
        <v>1707401</v>
      </c>
      <c r="D129" s="83">
        <v>-6.0000000000004494E-4</v>
      </c>
      <c r="E129" s="82"/>
    </row>
    <row r="130" spans="1:5" ht="14.4">
      <c r="A130" s="68">
        <v>44315</v>
      </c>
      <c r="B130" s="65">
        <v>100</v>
      </c>
      <c r="C130" s="80">
        <v>1725985</v>
      </c>
      <c r="D130" s="83">
        <v>7.0493454179254567E-3</v>
      </c>
      <c r="E130" s="82"/>
    </row>
    <row r="131" spans="1:5" ht="14.4">
      <c r="A131" s="68">
        <v>44314</v>
      </c>
      <c r="B131" s="65">
        <v>99.3</v>
      </c>
      <c r="C131" s="80">
        <v>1394580</v>
      </c>
      <c r="D131" s="83">
        <v>-4.9103116544745307E-3</v>
      </c>
      <c r="E131" s="82"/>
    </row>
    <row r="132" spans="1:5" ht="14.4">
      <c r="A132" s="68">
        <v>44313</v>
      </c>
      <c r="B132" s="65">
        <v>99.79</v>
      </c>
      <c r="C132" s="80">
        <v>933554</v>
      </c>
      <c r="D132" s="83">
        <v>-1.4322402212564089E-2</v>
      </c>
      <c r="E132" s="82"/>
    </row>
    <row r="133" spans="1:5" ht="14.4">
      <c r="A133" s="68">
        <v>44312</v>
      </c>
      <c r="B133" s="65">
        <v>101.24</v>
      </c>
      <c r="C133" s="80">
        <v>1297965</v>
      </c>
      <c r="D133" s="83">
        <v>2.8234816169002697E-2</v>
      </c>
      <c r="E133" s="82"/>
    </row>
    <row r="134" spans="1:5" ht="14.4">
      <c r="A134" s="68">
        <v>44309</v>
      </c>
      <c r="B134" s="65">
        <v>98.46</v>
      </c>
      <c r="C134" s="80">
        <v>1526193</v>
      </c>
      <c r="D134" s="83">
        <v>-1.2536355430749158E-2</v>
      </c>
      <c r="E134" s="82"/>
    </row>
    <row r="135" spans="1:5" ht="14.4">
      <c r="A135" s="68">
        <v>44308</v>
      </c>
      <c r="B135" s="65">
        <v>99.71</v>
      </c>
      <c r="C135" s="80">
        <v>1588552</v>
      </c>
      <c r="D135" s="83">
        <v>2.0259899723728436E-2</v>
      </c>
      <c r="E135" s="82"/>
    </row>
    <row r="136" spans="1:5" ht="14.4">
      <c r="A136" s="68">
        <v>44307</v>
      </c>
      <c r="B136" s="65">
        <v>97.73</v>
      </c>
      <c r="C136" s="80">
        <v>1730581</v>
      </c>
      <c r="D136" s="83">
        <v>-2.1441698999387082E-3</v>
      </c>
      <c r="E136" s="82"/>
    </row>
    <row r="137" spans="1:5" ht="14.4">
      <c r="A137" s="68">
        <v>44306</v>
      </c>
      <c r="B137" s="65">
        <v>97.94</v>
      </c>
      <c r="C137" s="80">
        <v>2030955</v>
      </c>
      <c r="D137" s="83">
        <v>-4.6348588120740053E-2</v>
      </c>
      <c r="E137" s="82"/>
    </row>
    <row r="138" spans="1:5" ht="14.4">
      <c r="A138" s="68">
        <v>44305</v>
      </c>
      <c r="B138" s="65">
        <v>102.7</v>
      </c>
      <c r="C138" s="80">
        <v>1106840</v>
      </c>
      <c r="D138" s="83">
        <v>-9.4521604938272441E-3</v>
      </c>
      <c r="E138" s="82"/>
    </row>
    <row r="139" spans="1:5" ht="14.4">
      <c r="A139" s="68">
        <v>44302</v>
      </c>
      <c r="B139" s="65">
        <v>103.68</v>
      </c>
      <c r="C139" s="80">
        <v>1730699</v>
      </c>
      <c r="D139" s="83">
        <v>8.168028004667427E-3</v>
      </c>
      <c r="E139" s="82"/>
    </row>
    <row r="140" spans="1:5" ht="14.4">
      <c r="A140" s="68">
        <v>44301</v>
      </c>
      <c r="B140" s="65">
        <v>102.84</v>
      </c>
      <c r="C140" s="80">
        <v>1929003</v>
      </c>
      <c r="D140" s="83">
        <v>2.6142486529634912E-2</v>
      </c>
      <c r="E140" s="82"/>
    </row>
    <row r="141" spans="1:5" ht="14.4">
      <c r="A141" s="68">
        <v>44300</v>
      </c>
      <c r="B141" s="65">
        <v>100.22</v>
      </c>
      <c r="C141" s="80">
        <v>1184415</v>
      </c>
      <c r="D141" s="83">
        <v>1.8495934959349425E-2</v>
      </c>
      <c r="E141" s="82"/>
    </row>
    <row r="142" spans="1:5" ht="14.4">
      <c r="A142" s="68">
        <v>44299</v>
      </c>
      <c r="B142" s="65">
        <v>98.4</v>
      </c>
      <c r="C142" s="80">
        <v>1667017</v>
      </c>
      <c r="D142" s="83">
        <v>-1.501501501501501E-2</v>
      </c>
      <c r="E142" s="82"/>
    </row>
    <row r="143" spans="1:5" ht="14.4">
      <c r="A143" s="68">
        <v>44298</v>
      </c>
      <c r="B143" s="65">
        <v>99.9</v>
      </c>
      <c r="C143" s="80">
        <v>1461248</v>
      </c>
      <c r="D143" s="83">
        <v>-1.186943620178027E-2</v>
      </c>
      <c r="E143" s="82"/>
    </row>
    <row r="144" spans="1:5" ht="14.4">
      <c r="A144" s="68">
        <v>44295</v>
      </c>
      <c r="B144" s="65">
        <v>101.1</v>
      </c>
      <c r="C144" s="80">
        <v>1976032</v>
      </c>
      <c r="D144" s="83">
        <v>2.9761904761904656E-3</v>
      </c>
      <c r="E144" s="82"/>
    </row>
    <row r="145" spans="1:5" ht="14.4">
      <c r="A145" s="68">
        <v>44294</v>
      </c>
      <c r="B145" s="65">
        <v>100.8</v>
      </c>
      <c r="C145" s="80">
        <v>1227715</v>
      </c>
      <c r="D145" s="83">
        <v>2.5860354087923199E-3</v>
      </c>
      <c r="E145" s="82"/>
    </row>
    <row r="146" spans="1:5" ht="14.4">
      <c r="A146" s="68">
        <v>44293</v>
      </c>
      <c r="B146" s="65">
        <v>100.54</v>
      </c>
      <c r="C146" s="80">
        <v>1071145</v>
      </c>
      <c r="D146" s="83">
        <v>-1.5888778550148253E-3</v>
      </c>
      <c r="E146" s="82"/>
    </row>
    <row r="147" spans="1:5" ht="14.4">
      <c r="A147" s="68">
        <v>44292</v>
      </c>
      <c r="B147" s="65">
        <v>100.7</v>
      </c>
      <c r="C147" s="80">
        <v>1516580</v>
      </c>
      <c r="D147" s="83">
        <v>2.7882891854211778E-3</v>
      </c>
      <c r="E147" s="82"/>
    </row>
    <row r="148" spans="1:5" ht="14.4">
      <c r="A148" s="68">
        <v>44287</v>
      </c>
      <c r="B148" s="65">
        <v>100.42</v>
      </c>
      <c r="C148" s="80">
        <v>1883358</v>
      </c>
      <c r="D148" s="83">
        <v>4.0190594572198091E-2</v>
      </c>
      <c r="E148" s="82"/>
    </row>
    <row r="149" spans="1:5" ht="14.4">
      <c r="A149" s="68">
        <v>44286</v>
      </c>
      <c r="B149" s="65">
        <v>96.54</v>
      </c>
      <c r="C149" s="80">
        <v>1827776</v>
      </c>
      <c r="D149" s="83">
        <v>-1.1873080859774787E-2</v>
      </c>
      <c r="E149" s="82"/>
    </row>
    <row r="150" spans="1:5" ht="14.4">
      <c r="A150" s="68">
        <v>44285</v>
      </c>
      <c r="B150" s="65">
        <v>97.7</v>
      </c>
      <c r="C150" s="80">
        <v>1639176</v>
      </c>
      <c r="D150" s="83">
        <v>3.0800821355236874E-3</v>
      </c>
      <c r="E150" s="82"/>
    </row>
    <row r="151" spans="1:5" ht="14.4">
      <c r="A151" s="68">
        <v>44284</v>
      </c>
      <c r="B151" s="65">
        <v>97.4</v>
      </c>
      <c r="C151" s="80">
        <v>1014054</v>
      </c>
      <c r="D151" s="83">
        <v>-2.866502866502918E-3</v>
      </c>
      <c r="E151" s="82"/>
    </row>
    <row r="152" spans="1:5" ht="14.4">
      <c r="A152" s="68">
        <v>44281</v>
      </c>
      <c r="B152" s="65">
        <v>97.68</v>
      </c>
      <c r="C152" s="80">
        <v>1937074</v>
      </c>
      <c r="D152" s="83">
        <v>1.233288423670853E-2</v>
      </c>
      <c r="E152" s="82"/>
    </row>
    <row r="153" spans="1:5" ht="14.4">
      <c r="A153" s="68">
        <v>44280</v>
      </c>
      <c r="B153" s="65">
        <v>96.49</v>
      </c>
      <c r="C153" s="80">
        <v>1733605</v>
      </c>
      <c r="D153" s="83">
        <v>5.4183599041366381E-3</v>
      </c>
      <c r="E153" s="82"/>
    </row>
    <row r="154" spans="1:5" ht="14.4">
      <c r="A154" s="68">
        <v>44279</v>
      </c>
      <c r="B154" s="65">
        <v>95.97</v>
      </c>
      <c r="C154" s="80">
        <v>1803009</v>
      </c>
      <c r="D154" s="83">
        <v>7.9823547946644702E-3</v>
      </c>
      <c r="E154" s="82"/>
    </row>
    <row r="155" spans="1:5" ht="14.4">
      <c r="A155" s="68">
        <v>44278</v>
      </c>
      <c r="B155" s="65">
        <v>95.21</v>
      </c>
      <c r="C155" s="80">
        <v>1482214</v>
      </c>
      <c r="D155" s="83">
        <v>-1.9161429895951376E-2</v>
      </c>
      <c r="E155" s="82"/>
    </row>
    <row r="156" spans="1:5" ht="14.4">
      <c r="A156" s="68">
        <v>44277</v>
      </c>
      <c r="B156" s="65">
        <v>97.07</v>
      </c>
      <c r="C156" s="80">
        <v>1103498</v>
      </c>
      <c r="D156" s="83">
        <v>-2.7737826176290614E-3</v>
      </c>
      <c r="E156" s="82"/>
    </row>
    <row r="157" spans="1:5" ht="14.4">
      <c r="A157" s="68">
        <v>44274</v>
      </c>
      <c r="B157" s="65">
        <v>97.34</v>
      </c>
      <c r="C157" s="80">
        <v>3764747</v>
      </c>
      <c r="D157" s="83">
        <v>-3.7190900098911905E-2</v>
      </c>
      <c r="E157" s="82"/>
    </row>
    <row r="158" spans="1:5" ht="14.4">
      <c r="A158" s="68">
        <v>44273</v>
      </c>
      <c r="B158" s="65">
        <v>101.1</v>
      </c>
      <c r="C158" s="80">
        <v>1347315</v>
      </c>
      <c r="D158" s="83">
        <v>9.9009900990099098E-4</v>
      </c>
      <c r="E158" s="82"/>
    </row>
    <row r="159" spans="1:5" ht="14.4">
      <c r="A159" s="68">
        <v>44272</v>
      </c>
      <c r="B159" s="65">
        <v>101</v>
      </c>
      <c r="C159" s="80">
        <v>1423575</v>
      </c>
      <c r="D159" s="83">
        <v>-7.6635881312635545E-3</v>
      </c>
      <c r="E159" s="82"/>
    </row>
    <row r="160" spans="1:5" ht="14.4">
      <c r="A160" s="68">
        <v>44271</v>
      </c>
      <c r="B160" s="65">
        <v>101.78</v>
      </c>
      <c r="C160" s="80">
        <v>1957658</v>
      </c>
      <c r="D160" s="83">
        <v>1.7800000000000038E-2</v>
      </c>
      <c r="E160" s="82"/>
    </row>
    <row r="161" spans="1:5" ht="14.4">
      <c r="A161" s="68">
        <v>44270</v>
      </c>
      <c r="B161" s="65">
        <v>100</v>
      </c>
      <c r="C161" s="80">
        <v>1437703</v>
      </c>
      <c r="D161" s="83">
        <v>0</v>
      </c>
      <c r="E161" s="82"/>
    </row>
    <row r="162" spans="1:5" ht="14.4">
      <c r="A162" s="68">
        <v>44267</v>
      </c>
      <c r="B162" s="65">
        <v>100</v>
      </c>
      <c r="C162" s="80">
        <v>1932352</v>
      </c>
      <c r="D162" s="83">
        <v>8.7763542822556495E-3</v>
      </c>
      <c r="E162" s="82"/>
    </row>
    <row r="163" spans="1:5" ht="14.4">
      <c r="A163" s="68">
        <v>44266</v>
      </c>
      <c r="B163" s="65">
        <v>99.13</v>
      </c>
      <c r="C163" s="80">
        <v>1743287</v>
      </c>
      <c r="D163" s="83">
        <v>1.4142842711384329E-3</v>
      </c>
      <c r="E163" s="82"/>
    </row>
    <row r="164" spans="1:5" ht="14.4">
      <c r="A164" s="68">
        <v>44265</v>
      </c>
      <c r="B164" s="65">
        <v>98.99</v>
      </c>
      <c r="C164" s="80">
        <v>1691917</v>
      </c>
      <c r="D164" s="83">
        <v>-1.2667065629363705E-2</v>
      </c>
      <c r="E164" s="82"/>
    </row>
    <row r="165" spans="1:5" ht="14.4">
      <c r="A165" s="68">
        <v>44264</v>
      </c>
      <c r="B165" s="65">
        <v>100.26</v>
      </c>
      <c r="C165" s="80">
        <v>1739101</v>
      </c>
      <c r="D165" s="83">
        <v>-2.5865499403102676E-3</v>
      </c>
      <c r="E165" s="82"/>
    </row>
    <row r="166" spans="1:5" ht="14.4">
      <c r="A166" s="68">
        <v>44263</v>
      </c>
      <c r="B166" s="65">
        <v>100.52</v>
      </c>
      <c r="C166" s="80">
        <v>2654406</v>
      </c>
      <c r="D166" s="83">
        <v>5.3447914483336856E-2</v>
      </c>
      <c r="E166" s="82"/>
    </row>
    <row r="167" spans="1:5" ht="14.4">
      <c r="A167" s="68">
        <v>44260</v>
      </c>
      <c r="B167" s="65">
        <v>95.42</v>
      </c>
      <c r="C167" s="80">
        <v>2464071</v>
      </c>
      <c r="D167" s="83">
        <v>-4.8654037886340928E-2</v>
      </c>
      <c r="E167" s="82"/>
    </row>
    <row r="168" spans="1:5" ht="14.4">
      <c r="A168" s="68">
        <v>44259</v>
      </c>
      <c r="B168" s="65">
        <v>100.3</v>
      </c>
      <c r="C168" s="80">
        <v>2008727</v>
      </c>
      <c r="D168" s="83">
        <v>-1.5926737009754888E-3</v>
      </c>
      <c r="E168" s="82"/>
    </row>
    <row r="169" spans="1:5" ht="14.4">
      <c r="A169" s="68">
        <v>44258</v>
      </c>
      <c r="B169" s="65">
        <v>100.46</v>
      </c>
      <c r="C169" s="80">
        <v>1522786</v>
      </c>
      <c r="D169" s="83">
        <v>1.3723511604439853E-2</v>
      </c>
      <c r="E169" s="82"/>
    </row>
    <row r="170" spans="1:5" ht="14.4">
      <c r="A170" s="68">
        <v>44257</v>
      </c>
      <c r="B170" s="65">
        <v>99.1</v>
      </c>
      <c r="C170" s="80">
        <v>1532642</v>
      </c>
      <c r="D170" s="83">
        <v>-1.5693285657528921E-2</v>
      </c>
      <c r="E170" s="82"/>
    </row>
    <row r="171" spans="1:5" ht="14.4">
      <c r="A171" s="68">
        <v>44256</v>
      </c>
      <c r="B171" s="65">
        <v>100.68</v>
      </c>
      <c r="C171" s="80">
        <v>2102766</v>
      </c>
      <c r="D171" s="83">
        <v>4.973412574288405E-2</v>
      </c>
      <c r="E171" s="82"/>
    </row>
    <row r="172" spans="1:5" ht="14.4">
      <c r="A172" s="68">
        <v>44253</v>
      </c>
      <c r="B172" s="65">
        <v>95.91</v>
      </c>
      <c r="C172" s="80">
        <v>2253924</v>
      </c>
      <c r="D172" s="83">
        <v>-3.0526634994440638E-2</v>
      </c>
      <c r="E172" s="82"/>
    </row>
    <row r="173" spans="1:5" ht="14.4">
      <c r="A173" s="68">
        <v>44252</v>
      </c>
      <c r="B173" s="65">
        <v>98.93</v>
      </c>
      <c r="C173" s="80">
        <v>2564953</v>
      </c>
      <c r="D173" s="83">
        <v>-3.6896417445482776E-2</v>
      </c>
      <c r="E173" s="82"/>
    </row>
    <row r="174" spans="1:5" ht="14.4">
      <c r="A174" s="68">
        <v>44251</v>
      </c>
      <c r="B174" s="65">
        <v>102.72</v>
      </c>
      <c r="C174" s="80">
        <v>2957767</v>
      </c>
      <c r="D174" s="83">
        <v>3.8100050530570861E-2</v>
      </c>
      <c r="E174" s="82"/>
    </row>
    <row r="175" spans="1:5" ht="14.4">
      <c r="A175" s="68">
        <v>44250</v>
      </c>
      <c r="B175" s="65">
        <v>98.95</v>
      </c>
      <c r="C175" s="80">
        <v>4339464</v>
      </c>
      <c r="D175" s="83">
        <v>3.2881002087682631E-2</v>
      </c>
      <c r="E175" s="82"/>
    </row>
    <row r="176" spans="1:5" ht="14.4">
      <c r="A176" s="68">
        <v>44249</v>
      </c>
      <c r="B176" s="65">
        <v>95.8</v>
      </c>
      <c r="C176" s="80">
        <v>2318571</v>
      </c>
      <c r="D176" s="83">
        <v>4.3914133158984514E-2</v>
      </c>
      <c r="E176" s="82"/>
    </row>
    <row r="177" spans="1:5" ht="14.4">
      <c r="A177" s="68">
        <v>44246</v>
      </c>
      <c r="B177" s="65">
        <v>91.77</v>
      </c>
      <c r="C177" s="80">
        <v>2259103</v>
      </c>
      <c r="D177" s="83">
        <v>5.2579691094314374E-3</v>
      </c>
      <c r="E177" s="82"/>
    </row>
    <row r="178" spans="1:5" ht="14.4">
      <c r="A178" s="68">
        <v>44245</v>
      </c>
      <c r="B178" s="65">
        <v>91.29</v>
      </c>
      <c r="C178" s="80">
        <v>2466402</v>
      </c>
      <c r="D178" s="83">
        <v>-2.7795527156549538E-2</v>
      </c>
      <c r="E178" s="82"/>
    </row>
    <row r="179" spans="1:5" ht="14.4">
      <c r="A179" s="68">
        <v>44244</v>
      </c>
      <c r="B179" s="65">
        <v>93.9</v>
      </c>
      <c r="C179" s="80">
        <v>1441968</v>
      </c>
      <c r="D179" s="83">
        <v>1.0660980810235365E-3</v>
      </c>
      <c r="E179" s="82"/>
    </row>
    <row r="180" spans="1:5" ht="14.4">
      <c r="A180" s="68">
        <v>44243</v>
      </c>
      <c r="B180" s="65">
        <v>93.8</v>
      </c>
      <c r="C180" s="80">
        <v>1136036</v>
      </c>
      <c r="D180" s="83">
        <v>1.3878509661577887E-3</v>
      </c>
      <c r="E180" s="82"/>
    </row>
    <row r="181" spans="1:5" ht="14.4">
      <c r="A181" s="68">
        <v>44242</v>
      </c>
      <c r="B181" s="65">
        <v>93.67</v>
      </c>
      <c r="C181" s="80">
        <v>1195215</v>
      </c>
      <c r="D181" s="83">
        <v>1.5833423706756333E-2</v>
      </c>
      <c r="E181" s="82"/>
    </row>
    <row r="182" spans="1:5" ht="14.4">
      <c r="A182" s="68">
        <v>44239</v>
      </c>
      <c r="B182" s="65">
        <v>92.21</v>
      </c>
      <c r="C182" s="80">
        <v>1389406</v>
      </c>
      <c r="D182" s="83">
        <v>1.0852883139662373E-2</v>
      </c>
      <c r="E182" s="82"/>
    </row>
    <row r="183" spans="1:5" ht="14.4">
      <c r="A183" s="68">
        <v>44238</v>
      </c>
      <c r="B183" s="65">
        <v>91.22</v>
      </c>
      <c r="C183" s="80">
        <v>1142713</v>
      </c>
      <c r="D183" s="83">
        <v>-5.1259679354346277E-3</v>
      </c>
      <c r="E183" s="82"/>
    </row>
    <row r="184" spans="1:5" ht="14.4">
      <c r="A184" s="68">
        <v>44237</v>
      </c>
      <c r="B184" s="65">
        <v>91.69</v>
      </c>
      <c r="C184" s="80">
        <v>1157173</v>
      </c>
      <c r="D184" s="83">
        <v>-8.4351681626473329E-3</v>
      </c>
      <c r="E184" s="82"/>
    </row>
    <row r="185" spans="1:5" ht="14.4">
      <c r="A185" s="68">
        <v>44236</v>
      </c>
      <c r="B185" s="65">
        <v>92.47</v>
      </c>
      <c r="C185" s="80">
        <v>1325928</v>
      </c>
      <c r="D185" s="83">
        <v>-1.4914243102162605E-2</v>
      </c>
      <c r="E185" s="82"/>
    </row>
    <row r="186" spans="1:5" ht="14.4">
      <c r="A186" s="68">
        <v>44235</v>
      </c>
      <c r="B186" s="65">
        <v>93.87</v>
      </c>
      <c r="C186" s="80">
        <v>1368441</v>
      </c>
      <c r="D186" s="83">
        <v>4.81695568400764E-3</v>
      </c>
      <c r="E186" s="82"/>
    </row>
    <row r="187" spans="1:5" ht="14.4">
      <c r="A187" s="68">
        <v>44232</v>
      </c>
      <c r="B187" s="65">
        <v>93.42</v>
      </c>
      <c r="C187" s="80">
        <v>2275049</v>
      </c>
      <c r="D187" s="83">
        <v>3.4371643394199847E-3</v>
      </c>
      <c r="E187" s="82"/>
    </row>
    <row r="188" spans="1:5" ht="14.4">
      <c r="A188" s="68">
        <v>44231</v>
      </c>
      <c r="B188" s="65">
        <v>93.1</v>
      </c>
      <c r="C188" s="80">
        <v>1992215</v>
      </c>
      <c r="D188" s="83">
        <v>3.6632891660171474E-2</v>
      </c>
      <c r="E188" s="82"/>
    </row>
    <row r="189" spans="1:5" ht="14.4">
      <c r="A189" s="68">
        <v>44230</v>
      </c>
      <c r="B189" s="65">
        <v>89.81</v>
      </c>
      <c r="C189" s="80">
        <v>1742351</v>
      </c>
      <c r="D189" s="83">
        <v>1.3771306016480356E-2</v>
      </c>
      <c r="E189" s="82"/>
    </row>
    <row r="190" spans="1:5" ht="14.4">
      <c r="A190" s="68">
        <v>44229</v>
      </c>
      <c r="B190" s="65">
        <v>88.59</v>
      </c>
      <c r="C190" s="80">
        <v>3010345</v>
      </c>
      <c r="D190" s="83">
        <v>6.5936710383828645E-2</v>
      </c>
      <c r="E190" s="82"/>
    </row>
    <row r="191" spans="1:5" ht="14.4">
      <c r="A191" s="68">
        <v>44228</v>
      </c>
      <c r="B191" s="65">
        <v>83.11</v>
      </c>
      <c r="C191" s="80">
        <v>1738516</v>
      </c>
      <c r="D191" s="83">
        <v>-1.0817307692307931E-3</v>
      </c>
      <c r="E191" s="82"/>
    </row>
    <row r="192" spans="1:5" ht="14.4">
      <c r="A192" s="68">
        <v>44225</v>
      </c>
      <c r="B192" s="65">
        <v>83.2</v>
      </c>
      <c r="C192" s="80">
        <v>3536944</v>
      </c>
      <c r="D192" s="83">
        <v>-2.2900763358778664E-2</v>
      </c>
      <c r="E192" s="82"/>
    </row>
    <row r="193" spans="1:5" ht="14.4">
      <c r="A193" s="68">
        <v>44224</v>
      </c>
      <c r="B193" s="65">
        <v>85.15</v>
      </c>
      <c r="C193" s="80">
        <v>3080959</v>
      </c>
      <c r="D193" s="83">
        <v>9.3646277856804794E-3</v>
      </c>
      <c r="E193" s="82"/>
    </row>
    <row r="194" spans="1:5" ht="14.4">
      <c r="A194" s="68">
        <v>44223</v>
      </c>
      <c r="B194" s="65">
        <v>84.36</v>
      </c>
      <c r="C194" s="80">
        <v>2738586</v>
      </c>
      <c r="D194" s="83">
        <v>-1.0903974674639549E-2</v>
      </c>
      <c r="E194" s="82"/>
    </row>
    <row r="195" spans="1:5" ht="14.4">
      <c r="A195" s="68">
        <v>44222</v>
      </c>
      <c r="B195" s="65">
        <v>85.29</v>
      </c>
      <c r="C195" s="80">
        <v>2013721</v>
      </c>
      <c r="D195" s="83">
        <v>4.9487451396252879E-3</v>
      </c>
      <c r="E195" s="82"/>
    </row>
    <row r="196" spans="1:5" ht="14.4">
      <c r="A196" s="68">
        <v>44221</v>
      </c>
      <c r="B196" s="65">
        <v>84.87</v>
      </c>
      <c r="C196" s="80">
        <v>3028873</v>
      </c>
      <c r="D196" s="83">
        <v>-4.4579533941236038E-2</v>
      </c>
      <c r="E196" s="82"/>
    </row>
    <row r="197" spans="1:5" ht="14.4">
      <c r="A197" s="68">
        <v>44218</v>
      </c>
      <c r="B197" s="65">
        <v>88.83</v>
      </c>
      <c r="C197" s="80">
        <v>1500933</v>
      </c>
      <c r="D197" s="83">
        <v>-5.9310653536257529E-3</v>
      </c>
      <c r="E197" s="82"/>
    </row>
    <row r="198" spans="1:5" ht="14.4">
      <c r="A198" s="68">
        <v>44217</v>
      </c>
      <c r="B198" s="65">
        <v>89.36</v>
      </c>
      <c r="C198" s="80">
        <v>1786910</v>
      </c>
      <c r="D198" s="83">
        <v>-3.3005086029650466E-2</v>
      </c>
      <c r="E198" s="82"/>
    </row>
    <row r="199" spans="1:5" ht="14.4">
      <c r="A199" s="68">
        <v>44216</v>
      </c>
      <c r="B199" s="65">
        <v>92.41</v>
      </c>
      <c r="C199" s="80">
        <v>1384857</v>
      </c>
      <c r="D199" s="83">
        <v>1.2157721796276055E-2</v>
      </c>
      <c r="E199" s="82"/>
    </row>
    <row r="200" spans="1:5" ht="14.4">
      <c r="A200" s="68">
        <v>44215</v>
      </c>
      <c r="B200" s="65">
        <v>91.3</v>
      </c>
      <c r="C200" s="80">
        <v>1302168</v>
      </c>
      <c r="D200" s="83">
        <v>1.2062726176116367E-3</v>
      </c>
      <c r="E200" s="82"/>
    </row>
    <row r="201" spans="1:5" ht="14.4">
      <c r="A201" s="68">
        <v>44214</v>
      </c>
      <c r="B201" s="65">
        <v>91.19</v>
      </c>
      <c r="C201" s="80">
        <v>1199645</v>
      </c>
      <c r="D201" s="83">
        <v>-1.4694759589411133E-2</v>
      </c>
      <c r="E201" s="82"/>
    </row>
    <row r="202" spans="1:5" ht="14.4">
      <c r="A202" s="68">
        <v>44211</v>
      </c>
      <c r="B202" s="65">
        <v>92.55</v>
      </c>
      <c r="C202" s="80">
        <v>2298870</v>
      </c>
      <c r="D202" s="83">
        <v>-7.5067024128686599E-3</v>
      </c>
      <c r="E202" s="82"/>
    </row>
    <row r="203" spans="1:5" ht="14.4">
      <c r="A203" s="68">
        <v>44210</v>
      </c>
      <c r="B203" s="65">
        <v>93.25</v>
      </c>
      <c r="C203" s="80">
        <v>2536958</v>
      </c>
      <c r="D203" s="83">
        <v>4.6459432162495817E-2</v>
      </c>
      <c r="E203" s="82"/>
    </row>
    <row r="204" spans="1:5" ht="14.4">
      <c r="A204" s="68">
        <v>44209</v>
      </c>
      <c r="B204" s="65">
        <v>89.11</v>
      </c>
      <c r="C204" s="80">
        <v>1751184</v>
      </c>
      <c r="D204" s="83">
        <v>-9.4486438417074048E-3</v>
      </c>
      <c r="E204" s="82"/>
    </row>
    <row r="205" spans="1:5" ht="14.4">
      <c r="A205" s="68">
        <v>44208</v>
      </c>
      <c r="B205" s="65">
        <v>89.96</v>
      </c>
      <c r="C205" s="80">
        <v>1572946</v>
      </c>
      <c r="D205" s="83">
        <v>2.0049008687903491E-3</v>
      </c>
      <c r="E205" s="82"/>
    </row>
    <row r="206" spans="1:5" ht="14.4">
      <c r="A206" s="68">
        <v>44207</v>
      </c>
      <c r="B206" s="65">
        <v>89.78</v>
      </c>
      <c r="C206" s="80">
        <v>2214256</v>
      </c>
      <c r="D206" s="83">
        <v>-3.5516093229743806E-3</v>
      </c>
      <c r="E206" s="82"/>
    </row>
    <row r="207" spans="1:5" ht="14.4">
      <c r="A207" s="68">
        <v>44204</v>
      </c>
      <c r="B207" s="65">
        <v>90.1</v>
      </c>
      <c r="C207" s="80">
        <v>1856095</v>
      </c>
      <c r="D207" s="83">
        <v>5.355947333184341E-3</v>
      </c>
      <c r="E207" s="82"/>
    </row>
    <row r="208" spans="1:5" ht="14.4">
      <c r="A208" s="68">
        <v>44203</v>
      </c>
      <c r="B208" s="65">
        <v>89.62</v>
      </c>
      <c r="C208" s="80">
        <v>1320055</v>
      </c>
      <c r="D208" s="83">
        <v>-6.0995896639680636E-3</v>
      </c>
      <c r="E208" s="82"/>
    </row>
    <row r="209" spans="1:5" ht="14.4">
      <c r="A209" s="68">
        <v>44202</v>
      </c>
      <c r="B209" s="65">
        <v>90.17</v>
      </c>
      <c r="C209" s="80">
        <v>1498665</v>
      </c>
      <c r="D209" s="83">
        <v>3.7849270844929617E-3</v>
      </c>
      <c r="E209" s="82"/>
    </row>
    <row r="210" spans="1:5" ht="14.4">
      <c r="A210" s="68">
        <v>44201</v>
      </c>
      <c r="B210" s="65">
        <v>89.83</v>
      </c>
      <c r="C210" s="80">
        <v>1567333</v>
      </c>
      <c r="D210" s="83">
        <v>-6.6748247858494647E-4</v>
      </c>
      <c r="E210" s="82"/>
    </row>
    <row r="211" spans="1:5" ht="14.4">
      <c r="A211" s="68">
        <v>44200</v>
      </c>
      <c r="B211" s="65">
        <v>89.89</v>
      </c>
      <c r="C211" s="80">
        <v>1854889</v>
      </c>
      <c r="D211" s="83">
        <v>1.2252171975941639E-3</v>
      </c>
      <c r="E211" s="82"/>
    </row>
    <row r="212" spans="1:5" ht="14.4">
      <c r="A212" s="68">
        <v>44196</v>
      </c>
      <c r="B212" s="65">
        <v>89.78</v>
      </c>
      <c r="C212" s="80">
        <v>470045</v>
      </c>
      <c r="D212" s="83">
        <v>-1.6109589041095829E-2</v>
      </c>
      <c r="E212" s="82"/>
    </row>
    <row r="213" spans="1:5" ht="14.4">
      <c r="A213" s="68">
        <v>44195</v>
      </c>
      <c r="B213" s="65">
        <v>91.25</v>
      </c>
      <c r="C213" s="80">
        <v>1001345</v>
      </c>
      <c r="D213" s="83">
        <v>-1.9555173525303449E-2</v>
      </c>
      <c r="E213" s="82"/>
    </row>
    <row r="214" spans="1:5" ht="14.4">
      <c r="A214" s="68">
        <v>44194</v>
      </c>
      <c r="B214" s="65">
        <v>93.07</v>
      </c>
      <c r="C214" s="80">
        <v>967733</v>
      </c>
      <c r="D214" s="83">
        <v>1.1850402261361026E-2</v>
      </c>
      <c r="E214" s="82"/>
    </row>
    <row r="215" spans="1:5" ht="14.4">
      <c r="A215" s="68">
        <v>44193</v>
      </c>
      <c r="B215" s="65">
        <v>91.98</v>
      </c>
      <c r="C215" s="80">
        <v>935395</v>
      </c>
      <c r="D215" s="83">
        <v>-6.5189048239899794E-4</v>
      </c>
      <c r="E215" s="82"/>
    </row>
    <row r="216" spans="1:5" ht="14.4">
      <c r="A216" s="68">
        <v>44189</v>
      </c>
      <c r="B216" s="65">
        <v>92.04</v>
      </c>
      <c r="C216" s="80">
        <v>352865</v>
      </c>
      <c r="D216" s="83">
        <v>9.7879282218604757E-4</v>
      </c>
      <c r="E216" s="82"/>
    </row>
    <row r="217" spans="1:5" ht="14.4">
      <c r="A217" s="68">
        <v>44188</v>
      </c>
      <c r="B217" s="65">
        <v>91.95</v>
      </c>
      <c r="C217" s="80">
        <v>1561928</v>
      </c>
      <c r="D217" s="83">
        <v>4.5599272231066745E-2</v>
      </c>
      <c r="E217" s="82"/>
    </row>
    <row r="218" spans="1:5" ht="14.4">
      <c r="A218" s="68">
        <v>44187</v>
      </c>
      <c r="B218" s="65">
        <v>87.94</v>
      </c>
      <c r="C218" s="80">
        <v>1691985</v>
      </c>
      <c r="D218" s="83">
        <v>1.6177490177952336E-2</v>
      </c>
      <c r="E218" s="82"/>
    </row>
    <row r="219" spans="1:5" ht="14.4">
      <c r="A219" s="68">
        <v>44186</v>
      </c>
      <c r="B219" s="65">
        <v>86.54</v>
      </c>
      <c r="C219" s="80">
        <v>3398767</v>
      </c>
      <c r="D219" s="83">
        <v>-2.7640449438202208E-2</v>
      </c>
      <c r="E219" s="82"/>
    </row>
    <row r="220" spans="1:5" ht="14.4">
      <c r="A220" s="68">
        <v>44183</v>
      </c>
      <c r="B220" s="65">
        <v>89</v>
      </c>
      <c r="C220" s="80">
        <v>3297694</v>
      </c>
      <c r="D220" s="83">
        <v>-1.5268864793095749E-2</v>
      </c>
      <c r="E220" s="82"/>
    </row>
    <row r="221" spans="1:5" ht="14.4">
      <c r="A221" s="68">
        <v>44182</v>
      </c>
      <c r="B221" s="65">
        <v>90.38</v>
      </c>
      <c r="C221" s="80">
        <v>1487973</v>
      </c>
      <c r="D221" s="83">
        <v>-3.6379671480541997E-3</v>
      </c>
      <c r="E221" s="82"/>
    </row>
    <row r="222" spans="1:5" ht="14.4">
      <c r="A222" s="68">
        <v>44181</v>
      </c>
      <c r="B222" s="65">
        <v>90.71</v>
      </c>
      <c r="C222" s="80">
        <v>1735232</v>
      </c>
      <c r="D222" s="83">
        <v>-7.2233774761958358E-3</v>
      </c>
      <c r="E222" s="82"/>
    </row>
    <row r="223" spans="1:5" ht="14.4">
      <c r="A223" s="68">
        <v>44180</v>
      </c>
      <c r="B223" s="65">
        <v>91.37</v>
      </c>
      <c r="C223" s="80">
        <v>2055691</v>
      </c>
      <c r="D223" s="83">
        <v>-7.387289516566975E-3</v>
      </c>
      <c r="E223" s="82"/>
    </row>
    <row r="224" spans="1:5" ht="14.4">
      <c r="A224" s="68">
        <v>44179</v>
      </c>
      <c r="B224" s="65">
        <v>92.05</v>
      </c>
      <c r="C224" s="80">
        <v>1698577</v>
      </c>
      <c r="D224" s="83">
        <v>-1.5186028853454436E-3</v>
      </c>
      <c r="E224" s="82"/>
    </row>
    <row r="225" spans="1:5" ht="14.4">
      <c r="A225" s="68">
        <v>44176</v>
      </c>
      <c r="B225" s="65">
        <v>92.19</v>
      </c>
      <c r="C225" s="80">
        <v>1774037</v>
      </c>
      <c r="D225" s="83">
        <v>-1.6325224071703004E-2</v>
      </c>
      <c r="E225" s="82"/>
    </row>
    <row r="226" spans="1:5" ht="14.4">
      <c r="A226" s="68">
        <v>44175</v>
      </c>
      <c r="B226" s="65">
        <v>93.72</v>
      </c>
      <c r="C226" s="80">
        <v>1687673</v>
      </c>
      <c r="D226" s="83">
        <v>1.3890372903087034E-3</v>
      </c>
      <c r="E226" s="82"/>
    </row>
    <row r="227" spans="1:5" ht="14.4">
      <c r="A227" s="68">
        <v>44174</v>
      </c>
      <c r="B227" s="65">
        <v>93.59</v>
      </c>
      <c r="C227" s="80">
        <v>1365525</v>
      </c>
      <c r="D227" s="83">
        <v>-1.203420247017839E-2</v>
      </c>
      <c r="E227" s="82"/>
    </row>
    <row r="228" spans="1:5" ht="14.4">
      <c r="A228" s="68">
        <v>44173</v>
      </c>
      <c r="B228" s="65">
        <v>94.73</v>
      </c>
      <c r="C228" s="80">
        <v>1346764</v>
      </c>
      <c r="D228" s="83">
        <v>-5.0414872387353205E-3</v>
      </c>
      <c r="E228" s="82"/>
    </row>
    <row r="229" spans="1:5" ht="14.4">
      <c r="A229" s="68">
        <v>44172</v>
      </c>
      <c r="B229" s="65">
        <v>95.21</v>
      </c>
      <c r="C229" s="80">
        <v>1631950</v>
      </c>
      <c r="D229" s="83">
        <v>-1.0702410640066495E-2</v>
      </c>
      <c r="E229" s="82"/>
    </row>
    <row r="230" spans="1:5" ht="14.4">
      <c r="A230" s="68">
        <v>44169</v>
      </c>
      <c r="B230" s="65">
        <v>96.24</v>
      </c>
      <c r="C230" s="80">
        <v>2485380</v>
      </c>
      <c r="D230" s="83">
        <v>1.3052631578947205E-2</v>
      </c>
      <c r="E230" s="82"/>
    </row>
    <row r="231" spans="1:5" ht="14.4">
      <c r="A231" s="68">
        <v>44168</v>
      </c>
      <c r="B231" s="65">
        <v>95</v>
      </c>
      <c r="C231" s="80">
        <v>2495805</v>
      </c>
      <c r="D231" s="83">
        <v>4.029785370127037E-2</v>
      </c>
      <c r="E231" s="82"/>
    </row>
    <row r="232" spans="1:5" ht="14.4">
      <c r="A232" s="68">
        <v>44167</v>
      </c>
      <c r="B232" s="65">
        <v>91.32</v>
      </c>
      <c r="C232" s="80">
        <v>1943603</v>
      </c>
      <c r="D232" s="83">
        <v>2.147651006711393E-2</v>
      </c>
      <c r="E232" s="82"/>
    </row>
    <row r="233" spans="1:5" ht="14.4">
      <c r="A233" s="68">
        <v>44166</v>
      </c>
      <c r="B233" s="65">
        <v>89.4</v>
      </c>
      <c r="C233" s="80">
        <v>2001688</v>
      </c>
      <c r="D233" s="83">
        <v>1.9035677647327054E-2</v>
      </c>
      <c r="E233" s="82"/>
    </row>
    <row r="234" spans="1:5" ht="14.4">
      <c r="A234" s="68">
        <v>44165</v>
      </c>
      <c r="B234" s="65">
        <v>87.73</v>
      </c>
      <c r="C234" s="80">
        <v>3524562</v>
      </c>
      <c r="D234" s="83">
        <v>-2.5222222222222146E-2</v>
      </c>
      <c r="E234" s="82"/>
    </row>
    <row r="235" spans="1:5" ht="14.4">
      <c r="A235" s="68">
        <v>44162</v>
      </c>
      <c r="B235" s="65">
        <v>90</v>
      </c>
      <c r="C235" s="80">
        <v>2070142</v>
      </c>
      <c r="D235" s="83">
        <v>2.2271714922048602E-3</v>
      </c>
      <c r="E235" s="82"/>
    </row>
    <row r="236" spans="1:5" ht="14.4">
      <c r="A236" s="68">
        <v>44161</v>
      </c>
      <c r="B236" s="65">
        <v>89.8</v>
      </c>
      <c r="C236" s="80">
        <v>1877723</v>
      </c>
      <c r="D236" s="83">
        <v>-1.8579234972677661E-2</v>
      </c>
      <c r="E236" s="82"/>
    </row>
    <row r="237" spans="1:5" ht="14.4">
      <c r="A237" s="68">
        <v>44160</v>
      </c>
      <c r="B237" s="65">
        <v>91.5</v>
      </c>
      <c r="C237" s="80">
        <v>2783332</v>
      </c>
      <c r="D237" s="83">
        <v>-2.1390374331550777E-2</v>
      </c>
      <c r="E237" s="82"/>
    </row>
    <row r="238" spans="1:5" ht="14.4">
      <c r="A238" s="68">
        <v>44159</v>
      </c>
      <c r="B238" s="65">
        <v>93.5</v>
      </c>
      <c r="C238" s="80">
        <v>3279891</v>
      </c>
      <c r="D238" s="83">
        <v>3.7275349456401097E-2</v>
      </c>
      <c r="E238" s="82"/>
    </row>
    <row r="239" spans="1:5" ht="14.4">
      <c r="A239" s="68">
        <v>44158</v>
      </c>
      <c r="B239" s="65">
        <v>90.14</v>
      </c>
      <c r="C239" s="80">
        <v>1928740</v>
      </c>
      <c r="D239" s="83">
        <v>1.6922382671480163E-2</v>
      </c>
      <c r="E239" s="82"/>
    </row>
    <row r="240" spans="1:5" ht="14.4">
      <c r="A240" s="68">
        <v>44155</v>
      </c>
      <c r="B240" s="65">
        <v>88.64</v>
      </c>
      <c r="C240" s="80">
        <v>2253690</v>
      </c>
      <c r="D240" s="83">
        <v>-7.7241688122691166E-3</v>
      </c>
      <c r="E240" s="82"/>
    </row>
    <row r="241" spans="1:5" ht="14.4">
      <c r="A241" s="68">
        <v>44154</v>
      </c>
      <c r="B241" s="65">
        <v>89.33</v>
      </c>
      <c r="C241" s="80">
        <v>2360085</v>
      </c>
      <c r="D241" s="83">
        <v>-7.4444444444444757E-3</v>
      </c>
      <c r="E241" s="82"/>
    </row>
    <row r="242" spans="1:5" ht="14.4">
      <c r="A242" s="68">
        <v>44153</v>
      </c>
      <c r="B242" s="65">
        <v>90</v>
      </c>
      <c r="C242" s="80">
        <v>2642183</v>
      </c>
      <c r="D242" s="83">
        <v>-9.990009990010762E-4</v>
      </c>
      <c r="E242" s="82"/>
    </row>
    <row r="243" spans="1:5" ht="14.4">
      <c r="A243" s="68">
        <v>44152</v>
      </c>
      <c r="B243" s="65">
        <v>90.09</v>
      </c>
      <c r="C243" s="80">
        <v>2891922</v>
      </c>
      <c r="D243" s="83">
        <v>1.0000000000001119E-3</v>
      </c>
      <c r="E243" s="82"/>
    </row>
    <row r="244" spans="1:5" ht="14.4">
      <c r="A244" s="68">
        <v>44151</v>
      </c>
      <c r="B244" s="65">
        <v>90</v>
      </c>
      <c r="C244" s="80">
        <v>3884774</v>
      </c>
      <c r="D244" s="83">
        <v>5.1893408134642272E-2</v>
      </c>
      <c r="E244" s="82"/>
    </row>
    <row r="245" spans="1:5" ht="14.4">
      <c r="A245" s="68">
        <v>44148</v>
      </c>
      <c r="B245" s="65">
        <v>85.56</v>
      </c>
      <c r="C245" s="80">
        <v>2420350</v>
      </c>
      <c r="D245" s="83">
        <v>1.1227987235551407E-2</v>
      </c>
      <c r="E245" s="82"/>
    </row>
    <row r="246" spans="1:5" ht="14.4">
      <c r="A246" s="68">
        <v>44147</v>
      </c>
      <c r="B246" s="65">
        <v>84.61</v>
      </c>
      <c r="C246" s="80">
        <v>2822386</v>
      </c>
      <c r="D246" s="83">
        <v>-2.7471264367816106E-2</v>
      </c>
      <c r="E246" s="82"/>
    </row>
    <row r="247" spans="1:5" ht="14.4">
      <c r="A247" s="68">
        <v>44146</v>
      </c>
      <c r="B247" s="65">
        <v>87</v>
      </c>
      <c r="C247" s="80">
        <v>3265918</v>
      </c>
      <c r="D247" s="83">
        <v>-1.0464058234758933E-2</v>
      </c>
      <c r="E247" s="82"/>
    </row>
    <row r="248" spans="1:5" ht="14.4">
      <c r="A248" s="68">
        <v>44145</v>
      </c>
      <c r="B248" s="65">
        <v>87.92</v>
      </c>
      <c r="C248" s="80">
        <v>7232758</v>
      </c>
      <c r="D248" s="83">
        <v>5.9277108433734904E-2</v>
      </c>
      <c r="E248" s="82"/>
    </row>
    <row r="249" spans="1:5" ht="14.4">
      <c r="A249" s="68">
        <v>44144</v>
      </c>
      <c r="B249" s="65">
        <v>83</v>
      </c>
      <c r="C249" s="80">
        <v>10568937</v>
      </c>
      <c r="D249" s="83">
        <v>0.18571428571428572</v>
      </c>
      <c r="E249" s="82"/>
    </row>
    <row r="250" spans="1:5" ht="14.4">
      <c r="A250" s="68">
        <v>44141</v>
      </c>
      <c r="B250" s="65">
        <v>70</v>
      </c>
      <c r="C250" s="80">
        <v>2672747</v>
      </c>
      <c r="D250" s="83">
        <v>-5.3992611537367896E-3</v>
      </c>
      <c r="E250" s="82"/>
    </row>
    <row r="251" spans="1:5" ht="14.4">
      <c r="A251" s="68">
        <v>44140</v>
      </c>
      <c r="B251" s="65">
        <v>70.38</v>
      </c>
      <c r="C251" s="80">
        <v>2203607</v>
      </c>
      <c r="D251" s="83">
        <v>2.6246719160105014E-2</v>
      </c>
      <c r="E251" s="82"/>
    </row>
    <row r="252" spans="1:5" ht="14.4">
      <c r="A252" s="68">
        <v>44139</v>
      </c>
      <c r="B252" s="65">
        <v>68.58</v>
      </c>
      <c r="C252" s="80">
        <v>2874383</v>
      </c>
      <c r="D252" s="83">
        <v>3.4701267350633724E-2</v>
      </c>
      <c r="E252" s="82"/>
    </row>
    <row r="253" spans="1:5" ht="14.4">
      <c r="A253" s="68">
        <v>44138</v>
      </c>
      <c r="B253" s="65">
        <v>66.28</v>
      </c>
      <c r="C253" s="80">
        <v>2549566</v>
      </c>
      <c r="D253" s="83">
        <v>5.0562688223173113E-2</v>
      </c>
      <c r="E253" s="82"/>
    </row>
    <row r="254" spans="1:5" ht="14.4">
      <c r="A254" s="68">
        <v>44137</v>
      </c>
      <c r="B254" s="65">
        <v>63.09</v>
      </c>
      <c r="C254" s="80">
        <v>1840502</v>
      </c>
      <c r="D254" s="83">
        <v>7.9884965649463791E-3</v>
      </c>
      <c r="E254" s="82"/>
    </row>
    <row r="255" spans="1:5" ht="14.4">
      <c r="A255" s="68">
        <v>44134</v>
      </c>
      <c r="B255" s="65">
        <v>62.59</v>
      </c>
      <c r="C255" s="80">
        <v>2533525</v>
      </c>
      <c r="D255" s="83">
        <v>1.7723577235772447E-2</v>
      </c>
      <c r="E255" s="82"/>
    </row>
    <row r="256" spans="1:5" ht="14.4">
      <c r="A256" s="68">
        <v>44133</v>
      </c>
      <c r="B256" s="65">
        <v>61.5</v>
      </c>
      <c r="C256" s="80">
        <v>3558316</v>
      </c>
      <c r="D256" s="83">
        <v>-4.3710539096649681E-3</v>
      </c>
      <c r="E256" s="82"/>
    </row>
    <row r="257" spans="1:5" ht="14.4">
      <c r="A257" s="68">
        <v>44132</v>
      </c>
      <c r="B257" s="65">
        <v>61.77</v>
      </c>
      <c r="C257" s="80">
        <v>3855312</v>
      </c>
      <c r="D257" s="83">
        <v>-3.4843749999999951E-2</v>
      </c>
      <c r="E257" s="82"/>
    </row>
    <row r="258" spans="1:5" ht="14.4">
      <c r="A258" s="68">
        <v>44131</v>
      </c>
      <c r="B258" s="65">
        <v>64</v>
      </c>
      <c r="C258" s="80">
        <v>2483118</v>
      </c>
      <c r="D258" s="83">
        <v>-2.8094153378891318E-2</v>
      </c>
      <c r="E258" s="82"/>
    </row>
    <row r="259" spans="1:5" ht="14.4">
      <c r="A259" s="68">
        <v>44130</v>
      </c>
      <c r="B259" s="65">
        <v>65.849999999999994</v>
      </c>
      <c r="C259" s="80">
        <v>3086066</v>
      </c>
      <c r="D259" s="83">
        <v>-3.2044686167867265E-2</v>
      </c>
      <c r="E259" s="82"/>
    </row>
    <row r="260" spans="1:5" ht="14.4">
      <c r="A260" s="68">
        <v>44127</v>
      </c>
      <c r="B260" s="65">
        <v>68.03</v>
      </c>
      <c r="C260" s="80">
        <v>3398269</v>
      </c>
      <c r="D260" s="83">
        <v>5.5546935608999259E-2</v>
      </c>
      <c r="E260" s="82"/>
    </row>
    <row r="261" spans="1:5" ht="14.4">
      <c r="A261" s="68">
        <v>44126</v>
      </c>
      <c r="B261" s="65">
        <v>64.45</v>
      </c>
      <c r="C261" s="80">
        <v>1983309</v>
      </c>
      <c r="D261" s="83">
        <v>6.0880424601936767E-3</v>
      </c>
      <c r="E261" s="82"/>
    </row>
    <row r="262" spans="1:5" ht="14.4">
      <c r="A262" s="68">
        <v>44125</v>
      </c>
      <c r="B262" s="65">
        <v>64.06</v>
      </c>
      <c r="C262" s="80">
        <v>2110298</v>
      </c>
      <c r="D262" s="83">
        <v>-4.3023603226770124E-2</v>
      </c>
      <c r="E262" s="82"/>
    </row>
    <row r="263" spans="1:5" ht="14.4">
      <c r="A263" s="68">
        <v>44124</v>
      </c>
      <c r="B263" s="65">
        <v>66.94</v>
      </c>
      <c r="C263" s="80">
        <v>2501202</v>
      </c>
      <c r="D263" s="83">
        <v>1.1331016769904778E-2</v>
      </c>
      <c r="E263" s="82"/>
    </row>
    <row r="264" spans="1:5" ht="14.4">
      <c r="A264" s="68">
        <v>44123</v>
      </c>
      <c r="B264" s="65">
        <v>66.19</v>
      </c>
      <c r="C264" s="80">
        <v>1199317</v>
      </c>
      <c r="D264" s="83">
        <v>2.8753497046938081E-2</v>
      </c>
      <c r="E264" s="82"/>
    </row>
    <row r="265" spans="1:5" ht="14.4">
      <c r="A265" s="68">
        <v>44120</v>
      </c>
      <c r="B265" s="65">
        <v>64.34</v>
      </c>
      <c r="C265" s="80">
        <v>2602485</v>
      </c>
      <c r="D265" s="83">
        <v>4.1268813723903675E-2</v>
      </c>
      <c r="E265" s="82"/>
    </row>
    <row r="266" spans="1:5" ht="14.4">
      <c r="A266" s="68">
        <v>44119</v>
      </c>
      <c r="B266" s="65">
        <v>61.79</v>
      </c>
      <c r="C266" s="80">
        <v>2544700</v>
      </c>
      <c r="D266" s="83">
        <v>-5.7924376508446951E-3</v>
      </c>
      <c r="E266" s="82"/>
    </row>
    <row r="267" spans="1:5" ht="14.4">
      <c r="A267" s="68">
        <v>44118</v>
      </c>
      <c r="B267" s="65">
        <v>62.15</v>
      </c>
      <c r="C267" s="80">
        <v>2589403</v>
      </c>
      <c r="D267" s="83">
        <v>-2.4026381909547756E-2</v>
      </c>
      <c r="E267" s="82"/>
    </row>
    <row r="268" spans="1:5" ht="14.4">
      <c r="A268" s="68">
        <v>44117</v>
      </c>
      <c r="B268" s="65">
        <v>63.68</v>
      </c>
      <c r="C268" s="80">
        <v>2160265</v>
      </c>
      <c r="D268" s="83">
        <v>-3.5005303833914203E-2</v>
      </c>
      <c r="E268" s="82"/>
    </row>
    <row r="269" spans="1:5" ht="14.4">
      <c r="A269" s="68">
        <v>44116</v>
      </c>
      <c r="B269" s="65">
        <v>65.989999999999995</v>
      </c>
      <c r="C269" s="80">
        <v>1691699</v>
      </c>
      <c r="D269" s="83">
        <v>-1.1829889188379794E-2</v>
      </c>
      <c r="E269" s="82"/>
    </row>
    <row r="270" spans="1:5" ht="14.4">
      <c r="A270" s="68">
        <v>44113</v>
      </c>
      <c r="B270" s="65">
        <v>66.78</v>
      </c>
      <c r="C270" s="80">
        <v>2064860</v>
      </c>
      <c r="D270" s="83">
        <v>-2.0920502092049986E-3</v>
      </c>
      <c r="E270" s="82"/>
    </row>
    <row r="271" spans="1:5" ht="14.4">
      <c r="A271" s="68">
        <v>44112</v>
      </c>
      <c r="B271" s="65">
        <v>66.92</v>
      </c>
      <c r="C271" s="80">
        <v>1669083</v>
      </c>
      <c r="D271" s="83">
        <v>3.2983508245876259E-3</v>
      </c>
      <c r="E271" s="82"/>
    </row>
    <row r="272" spans="1:5" ht="14.4">
      <c r="A272" s="68">
        <v>44111</v>
      </c>
      <c r="B272" s="65">
        <v>66.7</v>
      </c>
      <c r="C272" s="80">
        <v>1914374</v>
      </c>
      <c r="D272" s="83">
        <v>-1.5788697063597312E-2</v>
      </c>
      <c r="E272" s="82"/>
    </row>
    <row r="273" spans="1:5" ht="14.4">
      <c r="A273" s="68">
        <v>44110</v>
      </c>
      <c r="B273" s="65">
        <v>67.77</v>
      </c>
      <c r="C273" s="80">
        <v>2265095</v>
      </c>
      <c r="D273" s="83">
        <v>2.9939209726443705E-2</v>
      </c>
      <c r="E273" s="82"/>
    </row>
    <row r="274" spans="1:5" ht="14.4">
      <c r="A274" s="68">
        <v>44109</v>
      </c>
      <c r="B274" s="65">
        <v>65.8</v>
      </c>
      <c r="C274" s="80">
        <v>1605420</v>
      </c>
      <c r="D274" s="83">
        <v>1.8260600433302354E-2</v>
      </c>
      <c r="E274" s="82"/>
    </row>
    <row r="275" spans="1:5" ht="14.4">
      <c r="A275" s="68">
        <v>44106</v>
      </c>
      <c r="B275" s="65">
        <v>64.62</v>
      </c>
      <c r="C275" s="80">
        <v>2299021</v>
      </c>
      <c r="D275" s="83">
        <v>-4.3143297380585643E-3</v>
      </c>
      <c r="E275" s="82"/>
    </row>
    <row r="276" spans="1:5" ht="14.4">
      <c r="A276" s="68">
        <v>44105</v>
      </c>
      <c r="B276" s="65">
        <v>64.900000000000006</v>
      </c>
      <c r="C276" s="80">
        <v>2489597</v>
      </c>
      <c r="D276" s="83">
        <v>4.5593684549702029E-2</v>
      </c>
      <c r="E276" s="82"/>
    </row>
    <row r="277" spans="1:5" ht="14.4">
      <c r="A277" s="68">
        <v>44104</v>
      </c>
      <c r="B277" s="65">
        <v>62.07</v>
      </c>
      <c r="C277" s="80">
        <v>2016150</v>
      </c>
      <c r="D277" s="83">
        <v>-8.3080364275444074E-3</v>
      </c>
      <c r="E277" s="82"/>
    </row>
    <row r="278" spans="1:5" ht="14.4">
      <c r="A278" s="68">
        <v>44103</v>
      </c>
      <c r="B278" s="65">
        <v>62.59</v>
      </c>
      <c r="C278" s="80">
        <v>1820433</v>
      </c>
      <c r="D278" s="83">
        <v>4.4936607286150121E-3</v>
      </c>
      <c r="E278" s="82"/>
    </row>
    <row r="279" spans="1:5" ht="14.4">
      <c r="A279" s="68">
        <v>44102</v>
      </c>
      <c r="B279" s="65">
        <v>62.31</v>
      </c>
      <c r="C279" s="80">
        <v>2246798</v>
      </c>
      <c r="D279" s="83">
        <v>3.8153948683772088E-2</v>
      </c>
      <c r="E279" s="82"/>
    </row>
    <row r="280" spans="1:5" ht="14.4">
      <c r="A280" s="68">
        <v>44099</v>
      </c>
      <c r="B280" s="65">
        <v>60.02</v>
      </c>
      <c r="C280" s="80">
        <v>2495747</v>
      </c>
      <c r="D280" s="83">
        <v>6.2028499580888408E-3</v>
      </c>
      <c r="E280" s="82"/>
    </row>
    <row r="281" spans="1:5" ht="14.4">
      <c r="A281" s="68">
        <v>44098</v>
      </c>
      <c r="B281" s="65">
        <v>59.65</v>
      </c>
      <c r="C281" s="80">
        <v>3239813</v>
      </c>
      <c r="D281" s="83">
        <v>-3.4633435831040615E-2</v>
      </c>
      <c r="E281" s="82"/>
    </row>
    <row r="282" spans="1:5" ht="14.4">
      <c r="A282" s="68">
        <v>44097</v>
      </c>
      <c r="B282" s="65">
        <v>61.79</v>
      </c>
      <c r="C282" s="80">
        <v>2237429</v>
      </c>
      <c r="D282" s="83">
        <v>-9.2993426326759554E-3</v>
      </c>
      <c r="E282" s="82"/>
    </row>
    <row r="283" spans="1:5" ht="14.4">
      <c r="A283" s="68">
        <v>44096</v>
      </c>
      <c r="B283" s="65">
        <v>62.37</v>
      </c>
      <c r="C283" s="80">
        <v>3342559</v>
      </c>
      <c r="D283" s="83">
        <v>-2.6837260102980265E-2</v>
      </c>
      <c r="E283" s="82"/>
    </row>
    <row r="284" spans="1:5" ht="14.4">
      <c r="A284" s="68">
        <v>44095</v>
      </c>
      <c r="B284" s="65">
        <v>64.09</v>
      </c>
      <c r="C284" s="80">
        <v>3175014</v>
      </c>
      <c r="D284" s="83">
        <v>-6.5743440233235972E-2</v>
      </c>
      <c r="E284" s="82"/>
    </row>
    <row r="285" spans="1:5" ht="14.4">
      <c r="A285" s="68">
        <v>44092</v>
      </c>
      <c r="B285" s="65">
        <v>68.599999999999994</v>
      </c>
      <c r="C285" s="80">
        <v>3993509</v>
      </c>
      <c r="D285" s="83">
        <v>-3.5433070866141891E-2</v>
      </c>
      <c r="E285" s="82"/>
    </row>
    <row r="286" spans="1:5" ht="14.4">
      <c r="A286" s="68">
        <v>44091</v>
      </c>
      <c r="B286" s="65">
        <v>71.12</v>
      </c>
      <c r="C286" s="80">
        <v>1531358</v>
      </c>
      <c r="D286" s="83">
        <v>4.661675377878316E-3</v>
      </c>
      <c r="E286" s="82"/>
    </row>
    <row r="287" spans="1:5" ht="14.4">
      <c r="A287" s="68">
        <v>44090</v>
      </c>
      <c r="B287" s="65">
        <v>70.790000000000006</v>
      </c>
      <c r="C287" s="80">
        <v>1642471</v>
      </c>
      <c r="D287" s="83">
        <v>1.8854346574553871E-2</v>
      </c>
      <c r="E287" s="82"/>
    </row>
    <row r="288" spans="1:5" ht="14.4">
      <c r="A288" s="68">
        <v>44089</v>
      </c>
      <c r="B288" s="65">
        <v>69.48</v>
      </c>
      <c r="C288" s="80">
        <v>1716297</v>
      </c>
      <c r="D288" s="83">
        <v>-2.579921480650571E-2</v>
      </c>
      <c r="E288" s="82"/>
    </row>
    <row r="289" spans="1:5" ht="14.4">
      <c r="A289" s="68">
        <v>44088</v>
      </c>
      <c r="B289" s="65">
        <v>71.319999999999993</v>
      </c>
      <c r="C289" s="80">
        <v>1691025</v>
      </c>
      <c r="D289" s="83">
        <v>3.6326649229875052E-2</v>
      </c>
      <c r="E289" s="82"/>
    </row>
    <row r="290" spans="1:5" ht="14.4">
      <c r="A290" s="68">
        <v>44085</v>
      </c>
      <c r="B290" s="65">
        <v>68.819999999999993</v>
      </c>
      <c r="C290" s="80">
        <v>1609414</v>
      </c>
      <c r="D290" s="83">
        <v>-8.9285714285715079E-3</v>
      </c>
      <c r="E290" s="82"/>
    </row>
    <row r="291" spans="1:5" ht="14.4">
      <c r="A291" s="68">
        <v>44084</v>
      </c>
      <c r="B291" s="65">
        <v>69.44</v>
      </c>
      <c r="C291" s="80">
        <v>1540101</v>
      </c>
      <c r="D291" s="83">
        <v>7.2056492289940266E-4</v>
      </c>
      <c r="E291" s="82"/>
    </row>
    <row r="292" spans="1:5" ht="14.4">
      <c r="A292" s="68">
        <v>44083</v>
      </c>
      <c r="B292" s="65">
        <v>69.39</v>
      </c>
      <c r="C292" s="80">
        <v>2973903</v>
      </c>
      <c r="D292" s="83">
        <v>-1.9638315908448667E-2</v>
      </c>
      <c r="E292" s="82"/>
    </row>
    <row r="293" spans="1:5" ht="14.4">
      <c r="A293" s="68">
        <v>44082</v>
      </c>
      <c r="B293" s="65">
        <v>70.78</v>
      </c>
      <c r="C293" s="80">
        <v>1965586</v>
      </c>
      <c r="D293" s="83">
        <v>-4.0531381320319859E-2</v>
      </c>
      <c r="E293" s="82"/>
    </row>
    <row r="294" spans="1:5" ht="14.4">
      <c r="A294" s="68">
        <v>44081</v>
      </c>
      <c r="B294" s="65">
        <v>73.77</v>
      </c>
      <c r="C294" s="80">
        <v>1687917</v>
      </c>
      <c r="D294" s="83">
        <v>5.7179707652622369E-2</v>
      </c>
      <c r="E294" s="82"/>
    </row>
    <row r="295" spans="1:5" ht="14.4">
      <c r="A295" s="68">
        <v>44078</v>
      </c>
      <c r="B295" s="65">
        <v>69.78</v>
      </c>
      <c r="C295" s="80">
        <v>2020741</v>
      </c>
      <c r="D295" s="83">
        <v>-2.4055944055944023E-2</v>
      </c>
      <c r="E295" s="82"/>
    </row>
    <row r="296" spans="1:5" ht="14.4">
      <c r="A296" s="68">
        <v>44077</v>
      </c>
      <c r="B296" s="65">
        <v>71.5</v>
      </c>
      <c r="C296" s="80">
        <v>2596847</v>
      </c>
      <c r="D296" s="83">
        <v>-8.0466148723640218E-3</v>
      </c>
      <c r="E296" s="82"/>
    </row>
    <row r="297" spans="1:5" ht="14.4">
      <c r="A297" s="68">
        <v>44076</v>
      </c>
      <c r="B297" s="65">
        <v>72.08</v>
      </c>
      <c r="C297" s="80">
        <v>2273300</v>
      </c>
      <c r="D297" s="83">
        <v>3.6078769584591219E-2</v>
      </c>
      <c r="E297" s="82"/>
    </row>
    <row r="298" spans="1:5" ht="14.4">
      <c r="A298" s="68">
        <v>44075</v>
      </c>
      <c r="B298" s="65">
        <v>69.569999999999993</v>
      </c>
      <c r="C298" s="80">
        <v>2386066</v>
      </c>
      <c r="D298" s="83">
        <v>1.0604299825682562E-2</v>
      </c>
      <c r="E298" s="82"/>
    </row>
    <row r="299" spans="1:5" ht="14.4">
      <c r="A299" s="68">
        <v>44074</v>
      </c>
      <c r="B299" s="65">
        <v>68.84</v>
      </c>
      <c r="C299" s="80">
        <v>2212248</v>
      </c>
      <c r="D299" s="83">
        <v>-3.6394176931690891E-2</v>
      </c>
      <c r="E299" s="82"/>
    </row>
    <row r="300" spans="1:5" ht="14.4">
      <c r="A300" s="68">
        <v>44071</v>
      </c>
      <c r="B300" s="65">
        <v>71.44</v>
      </c>
      <c r="C300" s="80">
        <v>1768097</v>
      </c>
      <c r="D300" s="83">
        <v>-9.2913604215781875E-3</v>
      </c>
      <c r="E300" s="82"/>
    </row>
    <row r="301" spans="1:5" ht="14.4">
      <c r="A301" s="68">
        <v>44070</v>
      </c>
      <c r="B301" s="65">
        <v>72.11</v>
      </c>
      <c r="C301" s="80">
        <v>2056024</v>
      </c>
      <c r="D301" s="83">
        <v>2.6623006833712992E-2</v>
      </c>
      <c r="E301" s="82"/>
    </row>
    <row r="302" spans="1:5" ht="14.4">
      <c r="A302" s="68">
        <v>44069</v>
      </c>
      <c r="B302" s="65">
        <v>70.239999999999995</v>
      </c>
      <c r="C302" s="80">
        <v>1454869</v>
      </c>
      <c r="D302" s="83">
        <v>-1.8446059250978308E-2</v>
      </c>
      <c r="E302" s="82"/>
    </row>
    <row r="303" spans="1:5" ht="14.4">
      <c r="A303" s="68">
        <v>44068</v>
      </c>
      <c r="B303" s="65">
        <v>71.56</v>
      </c>
      <c r="C303" s="80">
        <v>1890052</v>
      </c>
      <c r="D303" s="83">
        <v>-7.4895977808597802E-3</v>
      </c>
      <c r="E303" s="82"/>
    </row>
    <row r="304" spans="1:5" ht="14.4">
      <c r="A304" s="68">
        <v>44067</v>
      </c>
      <c r="B304" s="65">
        <v>72.099999999999994</v>
      </c>
      <c r="C304" s="80">
        <v>1837871</v>
      </c>
      <c r="D304" s="83">
        <v>4.371742906774756E-2</v>
      </c>
      <c r="E304" s="82"/>
    </row>
    <row r="305" spans="1:5" ht="14.4">
      <c r="A305" s="68">
        <v>44064</v>
      </c>
      <c r="B305" s="65">
        <v>69.08</v>
      </c>
      <c r="C305" s="80">
        <v>1911917</v>
      </c>
      <c r="D305" s="83">
        <v>-1.3011421136330803E-3</v>
      </c>
      <c r="E305" s="82"/>
    </row>
    <row r="306" spans="1:5" ht="14.4">
      <c r="A306" s="68">
        <v>44063</v>
      </c>
      <c r="B306" s="65">
        <v>69.17</v>
      </c>
      <c r="C306" s="80">
        <v>1494100</v>
      </c>
      <c r="D306" s="83">
        <v>-1.5373665480427068E-2</v>
      </c>
      <c r="E306" s="82"/>
    </row>
    <row r="307" spans="1:5" ht="14.4">
      <c r="A307" s="68">
        <v>44062</v>
      </c>
      <c r="B307" s="65">
        <v>70.25</v>
      </c>
      <c r="C307" s="80">
        <v>1257818</v>
      </c>
      <c r="D307" s="83">
        <v>1.4733497038855958E-2</v>
      </c>
      <c r="E307" s="82"/>
    </row>
    <row r="308" spans="1:5" ht="14.4">
      <c r="A308" s="68">
        <v>44061</v>
      </c>
      <c r="B308" s="65">
        <v>69.23</v>
      </c>
      <c r="C308" s="80">
        <v>1746225</v>
      </c>
      <c r="D308" s="83">
        <v>-3.0935050391937224E-2</v>
      </c>
      <c r="E308" s="82"/>
    </row>
    <row r="309" spans="1:5" ht="14.4">
      <c r="A309" s="68">
        <v>44060</v>
      </c>
      <c r="B309" s="65">
        <v>71.44</v>
      </c>
      <c r="C309" s="80">
        <v>1244566</v>
      </c>
      <c r="D309" s="83">
        <v>-9.2913604215781875E-3</v>
      </c>
      <c r="E309" s="82"/>
    </row>
    <row r="310" spans="1:5" ht="14.4">
      <c r="A310" s="68">
        <v>44057</v>
      </c>
      <c r="B310" s="65">
        <v>72.11</v>
      </c>
      <c r="C310" s="80">
        <v>1475525</v>
      </c>
      <c r="D310" s="83">
        <v>-1.6234652114597514E-2</v>
      </c>
      <c r="E310" s="82"/>
    </row>
    <row r="311" spans="1:5" ht="14.4">
      <c r="A311" s="68">
        <v>44056</v>
      </c>
      <c r="B311" s="65">
        <v>73.3</v>
      </c>
      <c r="C311" s="80">
        <v>1755844</v>
      </c>
      <c r="D311" s="83">
        <v>-2.1623064602242503E-2</v>
      </c>
      <c r="E311" s="82"/>
    </row>
    <row r="312" spans="1:5" ht="14.4">
      <c r="A312" s="68">
        <v>44055</v>
      </c>
      <c r="B312" s="65">
        <v>74.92</v>
      </c>
      <c r="C312" s="80">
        <v>1907292</v>
      </c>
      <c r="D312" s="83">
        <v>-1.6539774218955139E-2</v>
      </c>
      <c r="E312" s="82"/>
    </row>
    <row r="313" spans="1:5" ht="14.4">
      <c r="A313" s="68">
        <v>44054</v>
      </c>
      <c r="B313" s="65">
        <v>76.180000000000007</v>
      </c>
      <c r="C313" s="80">
        <v>3123354</v>
      </c>
      <c r="D313" s="83">
        <v>5.717457674160431E-2</v>
      </c>
      <c r="E313" s="82"/>
    </row>
    <row r="314" spans="1:5" ht="14.4">
      <c r="A314" s="68">
        <v>44053</v>
      </c>
      <c r="B314" s="65">
        <v>72.06</v>
      </c>
      <c r="C314" s="80">
        <v>2375364</v>
      </c>
      <c r="D314" s="83">
        <v>3.9826839826839988E-2</v>
      </c>
      <c r="E314" s="82"/>
    </row>
    <row r="315" spans="1:5" ht="14.4">
      <c r="A315" s="68">
        <v>44050</v>
      </c>
      <c r="B315" s="65">
        <v>69.3</v>
      </c>
      <c r="C315" s="80">
        <v>1518079</v>
      </c>
      <c r="D315" s="83">
        <v>1.4195814429972087E-2</v>
      </c>
      <c r="E315" s="82"/>
    </row>
    <row r="316" spans="1:5" ht="14.4">
      <c r="A316" s="68">
        <v>44049</v>
      </c>
      <c r="B316" s="65">
        <v>68.33</v>
      </c>
      <c r="C316" s="80">
        <v>2431328</v>
      </c>
      <c r="D316" s="83">
        <v>5.2964543180815671E-3</v>
      </c>
      <c r="E316" s="82"/>
    </row>
    <row r="317" spans="1:5" ht="14.4">
      <c r="A317" s="68">
        <v>44048</v>
      </c>
      <c r="B317" s="65">
        <v>67.97</v>
      </c>
      <c r="C317" s="80">
        <v>1931247</v>
      </c>
      <c r="D317" s="83">
        <v>3.4866017052375131E-2</v>
      </c>
      <c r="E317" s="82"/>
    </row>
    <row r="318" spans="1:5" ht="14.4">
      <c r="A318" s="68">
        <v>44047</v>
      </c>
      <c r="B318" s="65">
        <v>65.680000000000007</v>
      </c>
      <c r="C318" s="80">
        <v>2316976</v>
      </c>
      <c r="D318" s="83">
        <v>3.0597834614781272E-2</v>
      </c>
      <c r="E318" s="82"/>
    </row>
    <row r="319" spans="1:5" ht="14.4">
      <c r="A319" s="68">
        <v>44046</v>
      </c>
      <c r="B319" s="65">
        <v>63.73</v>
      </c>
      <c r="C319" s="80">
        <v>2563330</v>
      </c>
      <c r="D319" s="83">
        <v>2.7737461699725907E-2</v>
      </c>
      <c r="E319" s="82"/>
    </row>
    <row r="320" spans="1:5" ht="14.4">
      <c r="A320" s="68">
        <v>44043</v>
      </c>
      <c r="B320" s="65">
        <v>62.01</v>
      </c>
      <c r="C320" s="80">
        <v>2660929</v>
      </c>
      <c r="D320" s="83">
        <v>-2.0997789706346803E-2</v>
      </c>
      <c r="E320" s="82"/>
    </row>
    <row r="321" spans="1:5" ht="14.4">
      <c r="A321" s="68">
        <v>44042</v>
      </c>
      <c r="B321" s="65">
        <v>63.34</v>
      </c>
      <c r="C321" s="80">
        <v>3218359</v>
      </c>
      <c r="D321" s="83">
        <v>1.8655516243164971E-2</v>
      </c>
      <c r="E321" s="82"/>
    </row>
    <row r="322" spans="1:5" ht="14.4">
      <c r="A322" s="68">
        <v>44041</v>
      </c>
      <c r="B322" s="65">
        <v>62.18</v>
      </c>
      <c r="C322" s="80">
        <v>1945867</v>
      </c>
      <c r="D322" s="83">
        <v>-2.6155050900548149E-2</v>
      </c>
      <c r="E322" s="82"/>
    </row>
    <row r="323" spans="1:5" ht="14.4">
      <c r="A323" s="68">
        <v>44040</v>
      </c>
      <c r="B323" s="65">
        <v>63.85</v>
      </c>
      <c r="C323" s="80">
        <v>1918092</v>
      </c>
      <c r="D323" s="83">
        <v>3.116925064599485E-2</v>
      </c>
      <c r="E323" s="82"/>
    </row>
    <row r="324" spans="1:5" ht="14.4">
      <c r="A324" s="68">
        <v>44039</v>
      </c>
      <c r="B324" s="65">
        <v>61.92</v>
      </c>
      <c r="C324" s="80">
        <v>2302830</v>
      </c>
      <c r="D324" s="83">
        <v>-3.1440638198029114E-2</v>
      </c>
      <c r="E324" s="82"/>
    </row>
    <row r="325" spans="1:5" ht="14.4">
      <c r="A325" s="68">
        <v>44036</v>
      </c>
      <c r="B325" s="65">
        <v>63.93</v>
      </c>
      <c r="C325" s="80">
        <v>2093318</v>
      </c>
      <c r="D325" s="83">
        <v>-2.0680147058823595E-2</v>
      </c>
      <c r="E325" s="82"/>
    </row>
    <row r="326" spans="1:5" ht="14.4">
      <c r="A326" s="68">
        <v>44035</v>
      </c>
      <c r="B326" s="65">
        <v>65.28</v>
      </c>
      <c r="C326" s="80">
        <v>1945594</v>
      </c>
      <c r="D326" s="83">
        <v>-2.7268663388466674E-2</v>
      </c>
      <c r="E326" s="82"/>
    </row>
    <row r="327" spans="1:5" ht="14.4">
      <c r="A327" s="68">
        <v>44034</v>
      </c>
      <c r="B327" s="65">
        <v>67.11</v>
      </c>
      <c r="C327" s="80">
        <v>1890217</v>
      </c>
      <c r="D327" s="83">
        <v>-1.3813372520205647E-2</v>
      </c>
      <c r="E327" s="82"/>
    </row>
    <row r="328" spans="1:5" ht="14.4">
      <c r="A328" s="68">
        <v>44033</v>
      </c>
      <c r="B328" s="65">
        <v>68.05</v>
      </c>
      <c r="C328" s="80">
        <v>2197989</v>
      </c>
      <c r="D328" s="83">
        <v>3.5611018109876769E-2</v>
      </c>
      <c r="E328" s="82"/>
    </row>
    <row r="329" spans="1:5" ht="14.4">
      <c r="A329" s="68">
        <v>44032</v>
      </c>
      <c r="B329" s="65">
        <v>65.709999999999994</v>
      </c>
      <c r="C329" s="80">
        <v>1512486</v>
      </c>
      <c r="D329" s="83">
        <v>-2.8831562974205305E-3</v>
      </c>
      <c r="E329" s="82"/>
    </row>
    <row r="330" spans="1:5" ht="14.4">
      <c r="A330" s="68">
        <v>44029</v>
      </c>
      <c r="B330" s="65">
        <v>65.900000000000006</v>
      </c>
      <c r="C330" s="80">
        <v>2228828</v>
      </c>
      <c r="D330" s="83">
        <v>-1.6417910447761086E-2</v>
      </c>
      <c r="E330" s="82"/>
    </row>
    <row r="331" spans="1:5" ht="14.4">
      <c r="A331" s="68">
        <v>44028</v>
      </c>
      <c r="B331" s="65">
        <v>67</v>
      </c>
      <c r="C331" s="80">
        <v>2035858</v>
      </c>
      <c r="D331" s="83">
        <v>-3.2071655590869663E-2</v>
      </c>
      <c r="E331" s="82"/>
    </row>
    <row r="332" spans="1:5" ht="14.4">
      <c r="A332" s="68">
        <v>44027</v>
      </c>
      <c r="B332" s="65">
        <v>69.22</v>
      </c>
      <c r="C332" s="80">
        <v>5094971</v>
      </c>
      <c r="D332" s="83">
        <v>4.6251511487303443E-2</v>
      </c>
      <c r="E332" s="82"/>
    </row>
    <row r="333" spans="1:5" ht="14.4">
      <c r="A333" s="68">
        <v>44026</v>
      </c>
      <c r="B333" s="65">
        <v>66.16</v>
      </c>
      <c r="C333" s="80">
        <v>2402161</v>
      </c>
      <c r="D333" s="83">
        <v>-2.4907885040530542E-2</v>
      </c>
      <c r="E333" s="82"/>
    </row>
    <row r="334" spans="1:5" ht="14.4">
      <c r="A334" s="68">
        <v>44025</v>
      </c>
      <c r="B334" s="65">
        <v>67.849999999999994</v>
      </c>
      <c r="C334" s="80">
        <v>2148001</v>
      </c>
      <c r="D334" s="83">
        <v>3.6669213139801204E-2</v>
      </c>
      <c r="E334" s="82"/>
    </row>
    <row r="335" spans="1:5" ht="14.4">
      <c r="A335" s="68">
        <v>44022</v>
      </c>
      <c r="B335" s="65">
        <v>65.45</v>
      </c>
      <c r="C335" s="80">
        <v>2412795</v>
      </c>
      <c r="D335" s="83">
        <v>3.527364757987983E-2</v>
      </c>
      <c r="E335" s="82"/>
    </row>
    <row r="336" spans="1:5" ht="14.4">
      <c r="A336" s="68">
        <v>44021</v>
      </c>
      <c r="B336" s="65">
        <v>63.22</v>
      </c>
      <c r="C336" s="80">
        <v>2470846</v>
      </c>
      <c r="D336" s="83">
        <v>-3.9647577092510988E-2</v>
      </c>
      <c r="E336" s="82"/>
    </row>
    <row r="337" spans="1:5" ht="14.4">
      <c r="A337" s="68">
        <v>44020</v>
      </c>
      <c r="B337" s="65">
        <v>65.83</v>
      </c>
      <c r="C337" s="80">
        <v>1977311</v>
      </c>
      <c r="D337" s="83">
        <v>-2.1842496285289781E-2</v>
      </c>
      <c r="E337" s="82"/>
    </row>
    <row r="338" spans="1:5" ht="14.4">
      <c r="A338" s="68">
        <v>44019</v>
      </c>
      <c r="B338" s="65">
        <v>67.3</v>
      </c>
      <c r="C338" s="80">
        <v>1608022</v>
      </c>
      <c r="D338" s="83">
        <v>-6.2020082693443612E-3</v>
      </c>
      <c r="E338" s="82"/>
    </row>
    <row r="339" spans="1:5" ht="14.4">
      <c r="A339" s="68">
        <v>44018</v>
      </c>
      <c r="B339" s="65">
        <v>67.72</v>
      </c>
      <c r="C339" s="80">
        <v>2437984</v>
      </c>
      <c r="D339" s="83">
        <v>3.184519274721942E-2</v>
      </c>
      <c r="E339" s="82"/>
    </row>
    <row r="340" spans="1:5" ht="14.4">
      <c r="A340" s="68">
        <v>44015</v>
      </c>
      <c r="B340" s="65">
        <v>65.63</v>
      </c>
      <c r="C340" s="80">
        <v>1574888</v>
      </c>
      <c r="D340" s="83">
        <v>-1.1745219093510006E-2</v>
      </c>
      <c r="E340" s="82"/>
    </row>
    <row r="341" spans="1:5" ht="14.4">
      <c r="A341" s="68">
        <v>44014</v>
      </c>
      <c r="B341" s="65">
        <v>66.41</v>
      </c>
      <c r="C341" s="80">
        <v>2989535</v>
      </c>
      <c r="D341" s="83">
        <v>3.4584826296931048E-2</v>
      </c>
      <c r="E341" s="82"/>
    </row>
    <row r="342" spans="1:5" ht="14.4">
      <c r="A342" s="68">
        <v>44013</v>
      </c>
      <c r="B342" s="65">
        <v>64.19</v>
      </c>
      <c r="C342" s="80">
        <v>2876580</v>
      </c>
      <c r="D342" s="83">
        <v>1.0547858942065336E-2</v>
      </c>
      <c r="E342" s="82"/>
    </row>
    <row r="343" spans="1:5" ht="14.4">
      <c r="A343" s="68">
        <v>44012</v>
      </c>
      <c r="B343" s="65">
        <v>63.52</v>
      </c>
      <c r="C343" s="80">
        <v>2988582</v>
      </c>
      <c r="D343" s="83">
        <v>2.6835043409629833E-3</v>
      </c>
      <c r="E343" s="82"/>
    </row>
    <row r="344" spans="1:5" ht="14.4">
      <c r="A344" s="68">
        <v>44011</v>
      </c>
      <c r="B344" s="65">
        <v>63.35</v>
      </c>
      <c r="C344" s="80">
        <v>3287317</v>
      </c>
      <c r="D344" s="83">
        <v>2.3755656108597201E-2</v>
      </c>
      <c r="E344" s="82"/>
    </row>
    <row r="345" spans="1:5" ht="14.4">
      <c r="A345" s="68">
        <v>44008</v>
      </c>
      <c r="B345" s="65">
        <v>61.88</v>
      </c>
      <c r="C345" s="80">
        <v>3309535</v>
      </c>
      <c r="D345" s="83">
        <v>-3.1914893617021267E-2</v>
      </c>
      <c r="E345" s="82"/>
    </row>
    <row r="346" spans="1:5" ht="14.4">
      <c r="A346" s="68">
        <v>44007</v>
      </c>
      <c r="B346" s="65">
        <v>63.92</v>
      </c>
      <c r="C346" s="80">
        <v>3561513</v>
      </c>
      <c r="D346" s="83">
        <v>1.5086549150389095E-2</v>
      </c>
      <c r="E346" s="82"/>
    </row>
    <row r="347" spans="1:5" ht="14.4">
      <c r="A347" s="68">
        <v>44006</v>
      </c>
      <c r="B347" s="65">
        <v>62.97</v>
      </c>
      <c r="C347" s="80">
        <v>3412357</v>
      </c>
      <c r="D347" s="83">
        <v>-5.6770521270221752E-2</v>
      </c>
      <c r="E347" s="82"/>
    </row>
    <row r="348" spans="1:5" ht="14.4">
      <c r="A348" s="68">
        <v>44005</v>
      </c>
      <c r="B348" s="65">
        <v>66.760000000000005</v>
      </c>
      <c r="C348" s="80">
        <v>3046980</v>
      </c>
      <c r="D348" s="83">
        <v>-7.4338388343740958E-3</v>
      </c>
      <c r="E348" s="82"/>
    </row>
    <row r="349" spans="1:5" ht="14.4">
      <c r="A349" s="68">
        <v>44004</v>
      </c>
      <c r="B349" s="65">
        <v>67.260000000000005</v>
      </c>
      <c r="C349" s="80">
        <v>2118878</v>
      </c>
      <c r="D349" s="83">
        <v>-2.3235550392099791E-2</v>
      </c>
      <c r="E349" s="82"/>
    </row>
    <row r="350" spans="1:5" ht="14.4">
      <c r="A350" s="68">
        <v>44001</v>
      </c>
      <c r="B350" s="65">
        <v>68.86</v>
      </c>
      <c r="C350" s="80">
        <v>5582655</v>
      </c>
      <c r="D350" s="83">
        <v>1.5334709525213874E-2</v>
      </c>
      <c r="E350" s="82"/>
    </row>
    <row r="351" spans="1:5" ht="14.4">
      <c r="A351" s="68">
        <v>44000</v>
      </c>
      <c r="B351" s="65">
        <v>67.819999999999993</v>
      </c>
      <c r="C351" s="80">
        <v>3997334</v>
      </c>
      <c r="D351" s="83">
        <v>-2.7670250896057458E-2</v>
      </c>
      <c r="E351" s="82"/>
    </row>
    <row r="352" spans="1:5" ht="14.4">
      <c r="A352" s="68">
        <v>43999</v>
      </c>
      <c r="B352" s="65">
        <v>69.75</v>
      </c>
      <c r="C352" s="80">
        <v>3408687</v>
      </c>
      <c r="D352" s="83">
        <v>-1.1456394099956801E-3</v>
      </c>
      <c r="E352" s="82"/>
    </row>
    <row r="353" spans="1:5" ht="14.4">
      <c r="A353" s="68">
        <v>43998</v>
      </c>
      <c r="B353" s="65">
        <v>69.83</v>
      </c>
      <c r="C353" s="80">
        <v>5092018</v>
      </c>
      <c r="D353" s="83">
        <v>2.6911764705882302E-2</v>
      </c>
      <c r="E353" s="82"/>
    </row>
    <row r="354" spans="1:5" ht="14.4">
      <c r="A354" s="68">
        <v>43997</v>
      </c>
      <c r="B354" s="65">
        <v>68</v>
      </c>
      <c r="C354" s="80">
        <v>3675595</v>
      </c>
      <c r="D354" s="83">
        <v>1.5683345780433067E-2</v>
      </c>
      <c r="E354" s="82"/>
    </row>
    <row r="355" spans="1:5" ht="14.4">
      <c r="A355" s="68">
        <v>43994</v>
      </c>
      <c r="B355" s="65">
        <v>66.95</v>
      </c>
      <c r="C355" s="80">
        <v>5584757</v>
      </c>
      <c r="D355" s="83">
        <v>-1.6403220996122903E-3</v>
      </c>
      <c r="E355" s="82"/>
    </row>
    <row r="356" spans="1:5" ht="14.4">
      <c r="A356" s="68">
        <v>43993</v>
      </c>
      <c r="B356" s="65">
        <v>67.06</v>
      </c>
      <c r="C356" s="80">
        <v>6610324</v>
      </c>
      <c r="D356" s="83">
        <v>-0.10538954108858045</v>
      </c>
      <c r="E356" s="82"/>
    </row>
    <row r="357" spans="1:5" ht="14.4">
      <c r="A357" s="68">
        <v>43992</v>
      </c>
      <c r="B357" s="65">
        <v>74.959999999999994</v>
      </c>
      <c r="C357" s="80">
        <v>4459277</v>
      </c>
      <c r="D357" s="83">
        <v>-9.3828465706357056E-3</v>
      </c>
      <c r="E357" s="82"/>
    </row>
    <row r="358" spans="1:5" ht="14.4">
      <c r="A358" s="68">
        <v>43991</v>
      </c>
      <c r="B358" s="65">
        <v>75.67</v>
      </c>
      <c r="C358" s="80">
        <v>7255504</v>
      </c>
      <c r="D358" s="83">
        <v>-7.6181174459772905E-2</v>
      </c>
      <c r="E358" s="82"/>
    </row>
    <row r="359" spans="1:5" ht="14.4">
      <c r="A359" s="68">
        <v>43990</v>
      </c>
      <c r="B359" s="65">
        <v>81.91</v>
      </c>
      <c r="C359" s="80">
        <v>6926062</v>
      </c>
      <c r="D359" s="83">
        <v>1.1484317115336928E-2</v>
      </c>
      <c r="E359" s="82"/>
    </row>
    <row r="360" spans="1:5" ht="14.4">
      <c r="A360" s="68">
        <v>43987</v>
      </c>
      <c r="B360" s="65">
        <v>80.98</v>
      </c>
      <c r="C360" s="80">
        <v>9357529</v>
      </c>
      <c r="D360" s="83">
        <v>0.12503473186996383</v>
      </c>
      <c r="E360" s="82"/>
    </row>
    <row r="361" spans="1:5" ht="14.4">
      <c r="A361" s="68">
        <v>43986</v>
      </c>
      <c r="B361" s="65">
        <v>71.98</v>
      </c>
      <c r="C361" s="80">
        <v>6944413</v>
      </c>
      <c r="D361" s="83">
        <v>5.2185353018564751E-2</v>
      </c>
      <c r="E361" s="82"/>
    </row>
    <row r="362" spans="1:5" ht="14.4">
      <c r="A362" s="68">
        <v>43985</v>
      </c>
      <c r="B362" s="65">
        <v>68.41</v>
      </c>
      <c r="C362" s="80">
        <v>5333349</v>
      </c>
      <c r="D362" s="83">
        <v>7.3940345368916693E-2</v>
      </c>
      <c r="E362" s="82"/>
    </row>
    <row r="363" spans="1:5" ht="14.4">
      <c r="A363" s="68">
        <v>43984</v>
      </c>
      <c r="B363" s="65">
        <v>63.7</v>
      </c>
      <c r="C363" s="80">
        <v>3938126</v>
      </c>
      <c r="D363" s="83">
        <v>7.1668909825033822E-2</v>
      </c>
      <c r="E363" s="82"/>
    </row>
    <row r="364" spans="1:5" ht="14.4">
      <c r="A364" s="68">
        <v>43983</v>
      </c>
      <c r="B364" s="65">
        <v>59.44</v>
      </c>
      <c r="C364" s="80">
        <v>2304131</v>
      </c>
      <c r="D364" s="83">
        <v>4.8324514991181511E-2</v>
      </c>
      <c r="E364" s="82"/>
    </row>
    <row r="365" spans="1:5" ht="14.4">
      <c r="A365" s="68">
        <v>43980</v>
      </c>
      <c r="B365" s="65">
        <v>56.7</v>
      </c>
      <c r="C365" s="80">
        <v>3864580</v>
      </c>
      <c r="D365" s="83">
        <v>-5.6886227544910128E-2</v>
      </c>
      <c r="E365" s="82"/>
    </row>
    <row r="366" spans="1:5" ht="14.4">
      <c r="A366" s="68">
        <v>43979</v>
      </c>
      <c r="B366" s="65">
        <v>60.12</v>
      </c>
      <c r="C366" s="80">
        <v>4058210</v>
      </c>
      <c r="D366" s="83">
        <v>-1.6522165876002082E-2</v>
      </c>
      <c r="E366" s="82"/>
    </row>
    <row r="367" spans="1:5" ht="14.4">
      <c r="A367" s="68">
        <v>43978</v>
      </c>
      <c r="B367" s="65">
        <v>61.13</v>
      </c>
      <c r="C367" s="80">
        <v>4407751</v>
      </c>
      <c r="D367" s="83">
        <v>-2.6747333227193137E-2</v>
      </c>
      <c r="E367" s="82"/>
    </row>
    <row r="368" spans="1:5" ht="14.4">
      <c r="A368" s="68">
        <v>43977</v>
      </c>
      <c r="B368" s="65">
        <v>62.81</v>
      </c>
      <c r="C368" s="80">
        <v>5591691</v>
      </c>
      <c r="D368" s="83">
        <v>7.1111869031377895E-2</v>
      </c>
      <c r="E368" s="82"/>
    </row>
    <row r="369" spans="1:5" ht="14.4">
      <c r="A369" s="68">
        <v>43976</v>
      </c>
      <c r="B369" s="65">
        <v>58.64</v>
      </c>
      <c r="C369" s="80">
        <v>3477619</v>
      </c>
      <c r="D369" s="83">
        <v>8.5122131754256092E-2</v>
      </c>
      <c r="E369" s="82"/>
    </row>
    <row r="370" spans="1:5" ht="14.4">
      <c r="A370" s="68">
        <v>43973</v>
      </c>
      <c r="B370" s="65">
        <v>54.04</v>
      </c>
      <c r="C370" s="80">
        <v>3006906</v>
      </c>
      <c r="D370" s="83">
        <v>-1.1161939615736527E-2</v>
      </c>
      <c r="E370" s="82"/>
    </row>
    <row r="371" spans="1:5" ht="14.4">
      <c r="A371" s="68">
        <v>43972</v>
      </c>
      <c r="B371" s="65">
        <v>54.65</v>
      </c>
      <c r="C371" s="80">
        <v>2440212</v>
      </c>
      <c r="D371" s="83">
        <v>-7.2661217075385975E-3</v>
      </c>
      <c r="E371" s="82"/>
    </row>
    <row r="372" spans="1:5" ht="14.4">
      <c r="A372" s="68">
        <v>43971</v>
      </c>
      <c r="B372" s="65">
        <v>55.05</v>
      </c>
      <c r="C372" s="80">
        <v>2979573</v>
      </c>
      <c r="D372" s="83">
        <v>1.5120781855061827E-2</v>
      </c>
      <c r="E372" s="82"/>
    </row>
    <row r="373" spans="1:5" ht="14.4">
      <c r="A373" s="68">
        <v>43970</v>
      </c>
      <c r="B373" s="65">
        <v>54.23</v>
      </c>
      <c r="C373" s="80">
        <v>4179278</v>
      </c>
      <c r="D373" s="83">
        <v>-2.0057824358511112E-2</v>
      </c>
      <c r="E373" s="82"/>
    </row>
    <row r="374" spans="1:5" ht="14.4">
      <c r="A374" s="68">
        <v>43969</v>
      </c>
      <c r="B374" s="65">
        <v>55.34</v>
      </c>
      <c r="C374" s="80">
        <v>3792875</v>
      </c>
      <c r="D374" s="83">
        <v>0.12228756844453459</v>
      </c>
      <c r="E374" s="82"/>
    </row>
    <row r="375" spans="1:5" ht="14.4">
      <c r="A375" s="68">
        <v>43966</v>
      </c>
      <c r="B375" s="65">
        <v>49.31</v>
      </c>
      <c r="C375" s="80">
        <v>2592698</v>
      </c>
      <c r="D375" s="83">
        <v>-1.1427425821972759E-2</v>
      </c>
      <c r="E375" s="82"/>
    </row>
    <row r="376" spans="1:5" ht="14.4">
      <c r="A376" s="68">
        <v>43965</v>
      </c>
      <c r="B376" s="65">
        <v>49.88</v>
      </c>
      <c r="C376" s="80">
        <v>3419641</v>
      </c>
      <c r="D376" s="83">
        <v>5.6451612903225534E-3</v>
      </c>
      <c r="E376" s="82"/>
    </row>
    <row r="377" spans="1:5" ht="14.4">
      <c r="A377" s="68">
        <v>43964</v>
      </c>
      <c r="B377" s="65">
        <v>49.6</v>
      </c>
      <c r="C377" s="80">
        <v>3583071</v>
      </c>
      <c r="D377" s="83">
        <v>-3.162827020695036E-2</v>
      </c>
      <c r="E377" s="82"/>
    </row>
    <row r="378" spans="1:5" ht="14.4">
      <c r="A378" s="68">
        <v>43963</v>
      </c>
      <c r="B378" s="65">
        <v>51.22</v>
      </c>
      <c r="C378" s="80">
        <v>3642869</v>
      </c>
      <c r="D378" s="83">
        <v>-6.0183486238532091E-2</v>
      </c>
      <c r="E378" s="82"/>
    </row>
    <row r="379" spans="1:5" ht="14.4">
      <c r="A379" s="68">
        <v>43962</v>
      </c>
      <c r="B379" s="65">
        <v>54.5</v>
      </c>
      <c r="C379" s="80">
        <v>2054691</v>
      </c>
      <c r="D379" s="83">
        <v>-2.800071339397181E-2</v>
      </c>
      <c r="E379" s="82"/>
    </row>
    <row r="380" spans="1:5" ht="14.4">
      <c r="A380" s="68">
        <v>43959</v>
      </c>
      <c r="B380" s="65">
        <v>56.07</v>
      </c>
      <c r="C380" s="80">
        <v>1293610</v>
      </c>
      <c r="D380" s="83">
        <v>5.7399103139013086E-3</v>
      </c>
      <c r="E380" s="82"/>
    </row>
    <row r="381" spans="1:5" ht="14.4">
      <c r="A381" s="68">
        <v>43958</v>
      </c>
      <c r="B381" s="65">
        <v>55.75</v>
      </c>
      <c r="C381" s="80">
        <v>1949715</v>
      </c>
      <c r="D381" s="83">
        <v>3.8175046554934866E-2</v>
      </c>
      <c r="E381" s="82"/>
    </row>
    <row r="382" spans="1:5" ht="14.4">
      <c r="A382" s="68">
        <v>43957</v>
      </c>
      <c r="B382" s="65">
        <v>53.7</v>
      </c>
      <c r="C382" s="80">
        <v>2373641</v>
      </c>
      <c r="D382" s="83">
        <v>-4.8547129695251545E-2</v>
      </c>
      <c r="E382" s="82"/>
    </row>
    <row r="383" spans="1:5" ht="14.4">
      <c r="A383" s="68">
        <v>43956</v>
      </c>
      <c r="B383" s="65">
        <v>56.44</v>
      </c>
      <c r="C383" s="80">
        <v>2531046</v>
      </c>
      <c r="D383" s="83">
        <v>2.6181818181818084E-2</v>
      </c>
      <c r="E383" s="82"/>
    </row>
    <row r="384" spans="1:5" ht="14.4">
      <c r="A384" s="68">
        <v>43955</v>
      </c>
      <c r="B384" s="65">
        <v>55</v>
      </c>
      <c r="C384" s="80">
        <v>3824066</v>
      </c>
      <c r="D384" s="83">
        <v>-4.9758120248790672E-2</v>
      </c>
      <c r="E384" s="82"/>
    </row>
    <row r="385" spans="1:5" ht="14.4">
      <c r="A385" s="68">
        <v>43951</v>
      </c>
      <c r="B385" s="65">
        <v>57.88</v>
      </c>
      <c r="C385" s="80">
        <v>5434805</v>
      </c>
      <c r="D385" s="83">
        <v>-8.7343723240280724E-3</v>
      </c>
      <c r="E385" s="82"/>
    </row>
    <row r="386" spans="1:5" ht="14.4">
      <c r="A386" s="68">
        <v>43950</v>
      </c>
      <c r="B386" s="65">
        <v>58.39</v>
      </c>
      <c r="C386" s="80">
        <v>4838851</v>
      </c>
      <c r="D386" s="83">
        <v>0.10419818456883512</v>
      </c>
      <c r="E386" s="82"/>
    </row>
    <row r="387" spans="1:5" ht="14.4">
      <c r="A387" s="68">
        <v>43949</v>
      </c>
      <c r="B387" s="65">
        <v>52.88</v>
      </c>
      <c r="C387" s="80">
        <v>3707630</v>
      </c>
      <c r="D387" s="83">
        <v>3.5441550812610245E-2</v>
      </c>
      <c r="E387" s="82"/>
    </row>
    <row r="388" spans="1:5" ht="14.4">
      <c r="A388" s="68">
        <v>43948</v>
      </c>
      <c r="B388" s="65">
        <v>51.07</v>
      </c>
      <c r="C388" s="80">
        <v>3880637</v>
      </c>
      <c r="D388" s="83">
        <v>-2.4264424914023697E-2</v>
      </c>
      <c r="E388" s="82"/>
    </row>
    <row r="389" spans="1:5" ht="14.4">
      <c r="A389" s="68">
        <v>43945</v>
      </c>
      <c r="B389" s="65">
        <v>52.34</v>
      </c>
      <c r="C389" s="80">
        <v>2081357</v>
      </c>
      <c r="D389" s="83">
        <v>-3.5207373271889386E-2</v>
      </c>
      <c r="E389" s="82"/>
    </row>
    <row r="390" spans="1:5" ht="14.4">
      <c r="A390" s="68">
        <v>43944</v>
      </c>
      <c r="B390" s="65">
        <v>54.25</v>
      </c>
      <c r="C390" s="80">
        <v>1805786</v>
      </c>
      <c r="D390" s="83">
        <v>1.3450401643937848E-2</v>
      </c>
      <c r="E390" s="82"/>
    </row>
    <row r="391" spans="1:5" ht="14.4">
      <c r="A391" s="68">
        <v>43943</v>
      </c>
      <c r="B391" s="65">
        <v>53.53</v>
      </c>
      <c r="C391" s="80">
        <v>2009235</v>
      </c>
      <c r="D391" s="83">
        <v>3.0215550423402515E-2</v>
      </c>
      <c r="E391" s="82"/>
    </row>
    <row r="392" spans="1:5" ht="14.4">
      <c r="A392" s="68">
        <v>43942</v>
      </c>
      <c r="B392" s="65">
        <v>51.96</v>
      </c>
      <c r="C392" s="80">
        <v>3277862</v>
      </c>
      <c r="D392" s="83">
        <v>-6.580366774541524E-2</v>
      </c>
      <c r="E392" s="82"/>
    </row>
    <row r="393" spans="1:5" ht="14.4">
      <c r="A393" s="68">
        <v>43941</v>
      </c>
      <c r="B393" s="65">
        <v>55.62</v>
      </c>
      <c r="C393" s="80">
        <v>2355583</v>
      </c>
      <c r="D393" s="83">
        <v>-2.0774647887323971E-2</v>
      </c>
      <c r="E393" s="82"/>
    </row>
    <row r="394" spans="1:5" ht="14.4">
      <c r="A394" s="68">
        <v>43938</v>
      </c>
      <c r="B394" s="65">
        <v>56.8</v>
      </c>
      <c r="C394" s="80">
        <v>4630925</v>
      </c>
      <c r="D394" s="83">
        <v>6.7669172932330657E-2</v>
      </c>
      <c r="E394" s="82"/>
    </row>
    <row r="395" spans="1:5" ht="14.4">
      <c r="A395" s="68">
        <v>43937</v>
      </c>
      <c r="B395" s="65">
        <v>53.2</v>
      </c>
      <c r="C395" s="80">
        <v>3224520</v>
      </c>
      <c r="D395" s="83">
        <v>-2.9197080291970656E-2</v>
      </c>
      <c r="E395" s="82"/>
    </row>
    <row r="396" spans="1:5" ht="14.4">
      <c r="A396" s="68">
        <v>43936</v>
      </c>
      <c r="B396" s="65">
        <v>54.8</v>
      </c>
      <c r="C396" s="80">
        <v>3149765</v>
      </c>
      <c r="D396" s="83">
        <v>-8.666666666666667E-2</v>
      </c>
      <c r="E396" s="82"/>
    </row>
    <row r="397" spans="1:5" ht="14.4">
      <c r="A397" s="68">
        <v>43935</v>
      </c>
      <c r="B397" s="65">
        <v>60</v>
      </c>
      <c r="C397" s="80">
        <v>3251938</v>
      </c>
      <c r="D397" s="83">
        <v>-1.6393442622950838E-2</v>
      </c>
      <c r="E397" s="82"/>
    </row>
    <row r="398" spans="1:5" ht="14.4">
      <c r="A398" s="68">
        <v>43930</v>
      </c>
      <c r="B398" s="65">
        <v>61</v>
      </c>
      <c r="C398" s="80">
        <v>5865210</v>
      </c>
      <c r="D398" s="83">
        <v>1.9896338404948866E-2</v>
      </c>
      <c r="E398" s="82"/>
    </row>
    <row r="399" spans="1:5" ht="14.4">
      <c r="A399" s="68">
        <v>43929</v>
      </c>
      <c r="B399" s="65">
        <v>59.81</v>
      </c>
      <c r="C399" s="80">
        <v>3689182</v>
      </c>
      <c r="D399" s="83">
        <v>4.8562412342216144E-2</v>
      </c>
      <c r="E399" s="82"/>
    </row>
    <row r="400" spans="1:5" ht="14.4">
      <c r="A400" s="68">
        <v>43928</v>
      </c>
      <c r="B400" s="65">
        <v>57.04</v>
      </c>
      <c r="C400" s="80">
        <v>4725986</v>
      </c>
      <c r="D400" s="83">
        <v>6.5570708014197621E-2</v>
      </c>
      <c r="E400" s="82"/>
    </row>
    <row r="401" spans="1:5" ht="14.4">
      <c r="A401" s="68">
        <v>43927</v>
      </c>
      <c r="B401" s="65">
        <v>53.53</v>
      </c>
      <c r="C401" s="80">
        <v>4536814</v>
      </c>
      <c r="D401" s="83">
        <v>8.1304918695081163E-2</v>
      </c>
      <c r="E401" s="82"/>
    </row>
    <row r="402" spans="1:5" ht="14.4">
      <c r="A402" s="68">
        <v>43924</v>
      </c>
      <c r="B402" s="65">
        <v>49.505000000000003</v>
      </c>
      <c r="C402" s="80">
        <v>3611057</v>
      </c>
      <c r="D402" s="83">
        <v>-1.5217823751740633E-2</v>
      </c>
      <c r="E402" s="82"/>
    </row>
    <row r="403" spans="1:5" ht="14.4">
      <c r="A403" s="68">
        <v>43923</v>
      </c>
      <c r="B403" s="65">
        <v>50.27</v>
      </c>
      <c r="C403" s="80">
        <v>4727133</v>
      </c>
      <c r="D403" s="83">
        <v>-3.6973180076628309E-2</v>
      </c>
      <c r="E403" s="82"/>
    </row>
    <row r="404" spans="1:5" ht="14.4">
      <c r="A404" s="68">
        <v>43922</v>
      </c>
      <c r="B404" s="65">
        <v>52.2</v>
      </c>
      <c r="C404" s="80">
        <v>5473512</v>
      </c>
      <c r="D404" s="83">
        <v>-0.12032355915065718</v>
      </c>
      <c r="E404" s="82"/>
    </row>
    <row r="405" spans="1:5" ht="14.4">
      <c r="A405" s="68">
        <v>43921</v>
      </c>
      <c r="B405" s="65">
        <v>59.34</v>
      </c>
      <c r="C405" s="80">
        <v>4388129</v>
      </c>
      <c r="D405" s="83">
        <v>-2.6095519448547488E-2</v>
      </c>
      <c r="E405" s="82"/>
    </row>
    <row r="406" spans="1:5" ht="14.4">
      <c r="A406" s="68">
        <v>43920</v>
      </c>
      <c r="B406" s="65">
        <v>60.93</v>
      </c>
      <c r="C406" s="80">
        <v>3942743</v>
      </c>
      <c r="D406" s="83">
        <v>-0.10620507554642811</v>
      </c>
      <c r="E406" s="82"/>
    </row>
    <row r="407" spans="1:5" ht="14.4">
      <c r="A407" s="68">
        <v>43917</v>
      </c>
      <c r="B407" s="65">
        <v>68.17</v>
      </c>
      <c r="C407" s="80">
        <v>4577544</v>
      </c>
      <c r="D407" s="83">
        <v>-5.699266841886852E-2</v>
      </c>
      <c r="E407" s="82"/>
    </row>
    <row r="408" spans="1:5" ht="14.4">
      <c r="A408" s="68">
        <v>43916</v>
      </c>
      <c r="B408" s="65">
        <v>72.290000000000006</v>
      </c>
      <c r="C408" s="80">
        <v>6003754</v>
      </c>
      <c r="D408" s="83">
        <v>0.20463256123979345</v>
      </c>
      <c r="E408" s="82"/>
    </row>
    <row r="409" spans="1:5" ht="14.4">
      <c r="A409" s="68">
        <v>43915</v>
      </c>
      <c r="B409" s="65">
        <v>60.01</v>
      </c>
      <c r="C409" s="80">
        <v>6861866</v>
      </c>
      <c r="D409" s="83">
        <v>7.1989996427295422E-2</v>
      </c>
      <c r="E409" s="82"/>
    </row>
    <row r="410" spans="1:5" ht="14.4">
      <c r="A410" s="68">
        <v>43914</v>
      </c>
      <c r="B410" s="65">
        <v>55.98</v>
      </c>
      <c r="C410" s="80">
        <v>5917619</v>
      </c>
      <c r="D410" s="83">
        <v>1.7818181818181733E-2</v>
      </c>
      <c r="E410" s="82"/>
    </row>
    <row r="411" spans="1:5" ht="14.4">
      <c r="A411" s="68">
        <v>43913</v>
      </c>
      <c r="B411" s="65">
        <v>55</v>
      </c>
      <c r="C411" s="80">
        <v>5709289</v>
      </c>
      <c r="D411" s="83">
        <v>-0.13766070868610847</v>
      </c>
      <c r="E411" s="82"/>
    </row>
    <row r="412" spans="1:5" ht="14.4">
      <c r="A412" s="68">
        <v>43910</v>
      </c>
      <c r="B412" s="65">
        <v>63.78</v>
      </c>
      <c r="C412" s="80">
        <v>6513253</v>
      </c>
      <c r="D412" s="83">
        <v>0.18704634282523736</v>
      </c>
      <c r="E412" s="82"/>
    </row>
    <row r="413" spans="1:5" ht="14.4">
      <c r="A413" s="68">
        <v>43909</v>
      </c>
      <c r="B413" s="65">
        <v>53.73</v>
      </c>
      <c r="C413" s="80">
        <v>5948316</v>
      </c>
      <c r="D413" s="83">
        <v>9.5077957811066982E-2</v>
      </c>
      <c r="E413" s="82"/>
    </row>
    <row r="414" spans="1:5" ht="14.4">
      <c r="A414" s="68">
        <v>43908</v>
      </c>
      <c r="B414" s="65">
        <v>49.064999999999998</v>
      </c>
      <c r="C414" s="80">
        <v>7222873</v>
      </c>
      <c r="D414" s="83">
        <v>-0.22168464467005078</v>
      </c>
      <c r="E414" s="82"/>
    </row>
    <row r="415" spans="1:5" ht="14.4">
      <c r="A415" s="68">
        <v>43907</v>
      </c>
      <c r="B415" s="65">
        <v>63.04</v>
      </c>
      <c r="C415" s="80">
        <v>4556332</v>
      </c>
      <c r="D415" s="83">
        <v>-8.6376811594202962E-2</v>
      </c>
      <c r="E415" s="82"/>
    </row>
    <row r="416" spans="1:5" ht="14.4">
      <c r="A416" s="68">
        <v>43906</v>
      </c>
      <c r="B416" s="65">
        <v>69</v>
      </c>
      <c r="C416" s="80">
        <v>5587845</v>
      </c>
      <c r="D416" s="83">
        <v>-7.1707251446253228E-2</v>
      </c>
      <c r="E416" s="82"/>
    </row>
    <row r="417" spans="1:5" ht="14.4">
      <c r="A417" s="68">
        <v>43903</v>
      </c>
      <c r="B417" s="65">
        <v>74.33</v>
      </c>
      <c r="C417" s="80">
        <v>5478797</v>
      </c>
      <c r="D417" s="83">
        <v>4.1619955156950716E-2</v>
      </c>
      <c r="E417" s="82"/>
    </row>
    <row r="418" spans="1:5" ht="14.4">
      <c r="A418" s="68">
        <v>43902</v>
      </c>
      <c r="B418" s="65">
        <v>71.36</v>
      </c>
      <c r="C418" s="80">
        <v>6948250</v>
      </c>
      <c r="D418" s="83">
        <v>-0.16732788798133025</v>
      </c>
      <c r="E418" s="82"/>
    </row>
    <row r="419" spans="1:5" ht="14.4">
      <c r="A419" s="68">
        <v>43901</v>
      </c>
      <c r="B419" s="65">
        <v>85.7</v>
      </c>
      <c r="C419" s="80">
        <v>4037128</v>
      </c>
      <c r="D419" s="83">
        <v>-4.3740236554340561E-2</v>
      </c>
      <c r="E419" s="82"/>
    </row>
    <row r="420" spans="1:5" ht="14.4">
      <c r="A420" s="68">
        <v>43900</v>
      </c>
      <c r="B420" s="65">
        <v>89.62</v>
      </c>
      <c r="C420" s="80">
        <v>4342684</v>
      </c>
      <c r="D420" s="83">
        <v>-4.1115679519945214E-3</v>
      </c>
      <c r="E420" s="82"/>
    </row>
    <row r="421" spans="1:5" ht="14.4">
      <c r="A421" s="68">
        <v>43899</v>
      </c>
      <c r="B421" s="65">
        <v>89.99</v>
      </c>
      <c r="C421" s="80">
        <v>6098900</v>
      </c>
      <c r="D421" s="83">
        <v>-9.5577889447236219E-2</v>
      </c>
      <c r="E421" s="82"/>
    </row>
    <row r="422" spans="1:5" ht="14.4">
      <c r="A422" s="68">
        <v>43896</v>
      </c>
      <c r="B422" s="65">
        <v>99.5</v>
      </c>
      <c r="C422" s="80">
        <v>4273436</v>
      </c>
      <c r="D422" s="83">
        <v>-7.6308949127367187E-2</v>
      </c>
      <c r="E422" s="82"/>
    </row>
    <row r="423" spans="1:5" ht="14.4">
      <c r="A423" s="68">
        <v>43895</v>
      </c>
      <c r="B423" s="65">
        <v>107.72</v>
      </c>
      <c r="C423" s="80">
        <v>2689493</v>
      </c>
      <c r="D423" s="83">
        <v>-2.919971160778656E-2</v>
      </c>
      <c r="E423" s="82"/>
    </row>
    <row r="424" spans="1:5" ht="14.4">
      <c r="A424" s="68">
        <v>43894</v>
      </c>
      <c r="B424" s="65">
        <v>110.96</v>
      </c>
      <c r="C424" s="80">
        <v>2046426</v>
      </c>
      <c r="D424" s="83">
        <v>-1.0346057795219465E-2</v>
      </c>
      <c r="E424" s="82"/>
    </row>
    <row r="425" spans="1:5" ht="14.4">
      <c r="A425" s="68">
        <v>43893</v>
      </c>
      <c r="B425" s="65">
        <v>112.12</v>
      </c>
      <c r="C425" s="80">
        <v>4116304</v>
      </c>
      <c r="D425" s="83">
        <v>4.181378925850221E-2</v>
      </c>
      <c r="E425" s="82"/>
    </row>
    <row r="426" spans="1:5" ht="14.4">
      <c r="A426" s="68">
        <v>43892</v>
      </c>
      <c r="B426" s="65">
        <v>107.62</v>
      </c>
      <c r="C426" s="80">
        <v>4352851</v>
      </c>
      <c r="D426" s="83">
        <v>-4.4403330249768169E-3</v>
      </c>
      <c r="E426" s="82"/>
    </row>
    <row r="427" spans="1:5" ht="14.4">
      <c r="A427" s="68">
        <v>43889</v>
      </c>
      <c r="B427" s="65">
        <v>108.1</v>
      </c>
      <c r="C427" s="80">
        <v>5697178</v>
      </c>
      <c r="D427" s="83">
        <v>-6.0000000000000053E-2</v>
      </c>
      <c r="E427" s="82"/>
    </row>
    <row r="428" spans="1:5" ht="14.4">
      <c r="A428" s="68">
        <v>43888</v>
      </c>
      <c r="B428" s="65">
        <v>115</v>
      </c>
      <c r="C428" s="80">
        <v>3604297</v>
      </c>
      <c r="D428" s="83">
        <v>-4.6118115461181164E-2</v>
      </c>
      <c r="E428" s="82"/>
    </row>
    <row r="429" spans="1:5" ht="14.4">
      <c r="A429" s="68">
        <v>43887</v>
      </c>
      <c r="B429" s="65">
        <v>120.56</v>
      </c>
      <c r="C429" s="80">
        <v>2641213</v>
      </c>
      <c r="D429" s="83">
        <v>-2.4121741945928421E-2</v>
      </c>
      <c r="E429" s="82"/>
    </row>
    <row r="430" spans="1:5" ht="14.4">
      <c r="A430" s="68">
        <v>43886</v>
      </c>
      <c r="B430" s="65">
        <v>123.54</v>
      </c>
      <c r="C430" s="80">
        <v>2168881</v>
      </c>
      <c r="D430" s="83">
        <v>-6.7534973468402759E-3</v>
      </c>
      <c r="E430" s="82"/>
    </row>
    <row r="431" spans="1:5" ht="14.4">
      <c r="A431" s="68">
        <v>43885</v>
      </c>
      <c r="B431" s="65">
        <v>124.38</v>
      </c>
      <c r="C431" s="80">
        <v>2631098</v>
      </c>
      <c r="D431" s="83">
        <v>-4.9373280342402959E-2</v>
      </c>
      <c r="E431" s="82"/>
    </row>
    <row r="432" spans="1:5" ht="14.4">
      <c r="A432" s="68">
        <v>43882</v>
      </c>
      <c r="B432" s="65">
        <v>130.84</v>
      </c>
      <c r="C432" s="80">
        <v>1237311</v>
      </c>
      <c r="D432" s="83">
        <v>-7.1331006222491444E-3</v>
      </c>
      <c r="E432" s="82"/>
    </row>
    <row r="433" spans="1:5" ht="14.4">
      <c r="A433" s="68">
        <v>43881</v>
      </c>
      <c r="B433" s="65">
        <v>131.78</v>
      </c>
      <c r="C433" s="80">
        <v>1095571</v>
      </c>
      <c r="D433" s="83">
        <v>-1.5174506828541379E-4</v>
      </c>
      <c r="E433" s="82"/>
    </row>
    <row r="434" spans="1:5" ht="14.4">
      <c r="A434" s="68">
        <v>43880</v>
      </c>
      <c r="B434" s="65">
        <v>131.80000000000001</v>
      </c>
      <c r="C434" s="80">
        <v>1221803</v>
      </c>
      <c r="D434" s="83">
        <v>1.1822508828497114E-2</v>
      </c>
      <c r="E434" s="82"/>
    </row>
    <row r="435" spans="1:5" ht="14.4">
      <c r="A435" s="68">
        <v>43879</v>
      </c>
      <c r="B435" s="65">
        <v>130.26</v>
      </c>
      <c r="C435" s="80">
        <v>1225040</v>
      </c>
      <c r="D435" s="83">
        <v>-5.4970224461750039E-3</v>
      </c>
      <c r="E435" s="82"/>
    </row>
    <row r="436" spans="1:5" ht="14.4">
      <c r="A436" s="68">
        <v>43878</v>
      </c>
      <c r="B436" s="65">
        <v>130.97999999999999</v>
      </c>
      <c r="C436" s="80">
        <v>1239666</v>
      </c>
      <c r="D436" s="83">
        <v>8.6246727244723154E-3</v>
      </c>
      <c r="E436" s="82"/>
    </row>
    <row r="437" spans="1:5" ht="14.4">
      <c r="A437" s="68">
        <v>43875</v>
      </c>
      <c r="B437" s="65">
        <v>129.86000000000001</v>
      </c>
      <c r="C437" s="80">
        <v>1759988</v>
      </c>
      <c r="D437" s="83">
        <v>-2.2138554216867501E-2</v>
      </c>
      <c r="E437" s="82"/>
    </row>
    <row r="438" spans="1:5" ht="14.4">
      <c r="A438" s="68">
        <v>43874</v>
      </c>
      <c r="B438" s="65">
        <v>132.80000000000001</v>
      </c>
      <c r="C438" s="80">
        <v>2023142</v>
      </c>
      <c r="D438" s="83">
        <v>-2.7818448023425923E-2</v>
      </c>
      <c r="E438" s="82"/>
    </row>
    <row r="439" spans="1:5" ht="14.4">
      <c r="A439" s="68">
        <v>43873</v>
      </c>
      <c r="B439" s="65">
        <v>136.6</v>
      </c>
      <c r="C439" s="80">
        <v>1323454</v>
      </c>
      <c r="D439" s="83">
        <v>-1.0144927536231974E-2</v>
      </c>
      <c r="E439" s="82"/>
    </row>
    <row r="440" spans="1:5" ht="14.4">
      <c r="A440" s="68">
        <v>43872</v>
      </c>
      <c r="B440" s="65">
        <v>138</v>
      </c>
      <c r="C440" s="80">
        <v>976754</v>
      </c>
      <c r="D440" s="83">
        <v>1.0101010101010166E-2</v>
      </c>
      <c r="E440" s="82"/>
    </row>
    <row r="441" spans="1:5" ht="14.4">
      <c r="A441" s="68">
        <v>43871</v>
      </c>
      <c r="B441" s="65">
        <v>136.62</v>
      </c>
      <c r="C441" s="80">
        <v>668866</v>
      </c>
      <c r="D441" s="83">
        <v>-1.1697616610615302E-3</v>
      </c>
      <c r="E441" s="82"/>
    </row>
    <row r="442" spans="1:5" ht="14.4">
      <c r="A442" s="68">
        <v>43868</v>
      </c>
      <c r="B442" s="65">
        <v>136.78</v>
      </c>
      <c r="C442" s="80">
        <v>905844</v>
      </c>
      <c r="D442" s="83">
        <v>-1.6058394160584077E-3</v>
      </c>
      <c r="E442" s="82"/>
    </row>
    <row r="443" spans="1:5" ht="14.4">
      <c r="A443" s="68">
        <v>43867</v>
      </c>
      <c r="B443" s="65">
        <v>137</v>
      </c>
      <c r="C443" s="80">
        <v>840490</v>
      </c>
      <c r="D443" s="83">
        <v>8.7668030391596652E-4</v>
      </c>
      <c r="E443" s="82"/>
    </row>
    <row r="444" spans="1:5" ht="14.4">
      <c r="A444" s="68">
        <v>43866</v>
      </c>
      <c r="B444" s="65">
        <v>136.88</v>
      </c>
      <c r="C444" s="80">
        <v>1471991</v>
      </c>
      <c r="D444" s="83">
        <v>-8.1159420289855788E-3</v>
      </c>
      <c r="E444" s="82"/>
    </row>
    <row r="445" spans="1:5" ht="14.4">
      <c r="A445" s="68">
        <v>43865</v>
      </c>
      <c r="B445" s="65">
        <v>138</v>
      </c>
      <c r="C445" s="80">
        <v>1125014</v>
      </c>
      <c r="D445" s="83">
        <v>3.2315978456014305E-2</v>
      </c>
      <c r="E445" s="82"/>
    </row>
    <row r="446" spans="1:5" ht="14.4">
      <c r="A446" s="68">
        <v>43864</v>
      </c>
      <c r="B446" s="65">
        <v>133.68</v>
      </c>
      <c r="C446" s="80">
        <v>753424</v>
      </c>
      <c r="D446" s="83">
        <v>3.3023116181327694E-3</v>
      </c>
      <c r="E446" s="82"/>
    </row>
    <row r="447" spans="1:5" ht="14.4">
      <c r="A447" s="68">
        <v>43861</v>
      </c>
      <c r="B447" s="65">
        <v>133.24</v>
      </c>
      <c r="C447" s="80">
        <v>1207948</v>
      </c>
      <c r="D447" s="83">
        <v>-9.3680297397769063E-3</v>
      </c>
      <c r="E447" s="82"/>
    </row>
    <row r="448" spans="1:5" ht="14.4">
      <c r="A448" s="68">
        <v>43860</v>
      </c>
      <c r="B448" s="65">
        <v>134.5</v>
      </c>
      <c r="C448" s="80">
        <v>1090153</v>
      </c>
      <c r="D448" s="83">
        <v>-1.5084944346807294E-2</v>
      </c>
      <c r="E448" s="82"/>
    </row>
    <row r="449" spans="1:7" ht="14.4">
      <c r="A449" s="68">
        <v>43859</v>
      </c>
      <c r="B449" s="65">
        <v>136.56</v>
      </c>
      <c r="C449" s="80">
        <v>1045204</v>
      </c>
      <c r="D449" s="83">
        <v>1.7282479141835561E-2</v>
      </c>
      <c r="E449" s="82"/>
    </row>
    <row r="450" spans="1:7" ht="14.4">
      <c r="A450" s="68">
        <v>43858</v>
      </c>
      <c r="B450" s="65">
        <v>134.24</v>
      </c>
      <c r="C450" s="80">
        <v>1433803</v>
      </c>
      <c r="D450" s="83">
        <v>1.0082768999247538E-2</v>
      </c>
      <c r="E450" s="82"/>
    </row>
    <row r="451" spans="1:7" ht="14.4">
      <c r="A451" s="68">
        <v>43857</v>
      </c>
      <c r="B451" s="65">
        <v>132.9</v>
      </c>
      <c r="C451" s="80">
        <v>1804728</v>
      </c>
      <c r="D451" s="83">
        <v>-4.388489208633084E-2</v>
      </c>
      <c r="E451" s="82"/>
    </row>
    <row r="452" spans="1:7" ht="14.4">
      <c r="A452" s="68">
        <v>43854</v>
      </c>
      <c r="B452" s="65">
        <v>139</v>
      </c>
      <c r="C452" s="80">
        <v>1462261</v>
      </c>
      <c r="D452" s="83">
        <v>2.356406480117812E-2</v>
      </c>
      <c r="E452" s="82"/>
    </row>
    <row r="453" spans="1:7" ht="14.4">
      <c r="A453" s="68">
        <v>43853</v>
      </c>
      <c r="B453" s="65">
        <v>135.80000000000001</v>
      </c>
      <c r="C453" s="80">
        <v>985427</v>
      </c>
      <c r="D453" s="83">
        <v>-1.5799391216118175E-2</v>
      </c>
      <c r="E453" s="82"/>
    </row>
    <row r="454" spans="1:7" ht="14.4">
      <c r="A454" s="68">
        <v>43852</v>
      </c>
      <c r="B454" s="65">
        <v>137.97999999999999</v>
      </c>
      <c r="C454" s="80">
        <v>1191568</v>
      </c>
      <c r="D454" s="83">
        <v>1.1583577712609872E-2</v>
      </c>
      <c r="E454" s="62"/>
      <c r="F454" s="62"/>
      <c r="G454" s="62"/>
    </row>
    <row r="455" spans="1:7" ht="14.4">
      <c r="A455" s="68">
        <v>43851</v>
      </c>
      <c r="B455" s="65">
        <v>136.4</v>
      </c>
      <c r="C455" s="80">
        <v>817707</v>
      </c>
      <c r="D455" s="83">
        <v>-1.0877447425670761E-2</v>
      </c>
      <c r="E455" s="62"/>
      <c r="F455" s="62"/>
      <c r="G455" s="62"/>
    </row>
    <row r="456" spans="1:7" ht="14.4">
      <c r="A456" s="68">
        <v>43850</v>
      </c>
      <c r="B456" s="65">
        <v>137.9</v>
      </c>
      <c r="C456" s="80">
        <v>706794</v>
      </c>
      <c r="D456" s="83">
        <v>8.1883316274309337E-3</v>
      </c>
      <c r="E456" s="62"/>
      <c r="F456" s="62"/>
      <c r="G456" s="62"/>
    </row>
    <row r="457" spans="1:7" ht="14.4">
      <c r="A457" s="68">
        <v>43847</v>
      </c>
      <c r="B457" s="65">
        <v>136.78</v>
      </c>
      <c r="C457" s="80">
        <v>1061143</v>
      </c>
      <c r="D457" s="83">
        <v>2.5337331334332802E-2</v>
      </c>
      <c r="E457" s="62"/>
      <c r="F457" s="62"/>
      <c r="G457" s="62"/>
    </row>
    <row r="458" spans="1:7" ht="14.4">
      <c r="A458" s="68">
        <v>43846</v>
      </c>
      <c r="B458" s="65">
        <v>133.4</v>
      </c>
      <c r="C458" s="80">
        <v>912337</v>
      </c>
      <c r="D458" s="83">
        <v>-6.4054819007893782E-3</v>
      </c>
      <c r="E458" s="62"/>
      <c r="F458" s="62"/>
      <c r="G458" s="62"/>
    </row>
    <row r="459" spans="1:7" ht="14.4">
      <c r="A459" s="68">
        <v>43845</v>
      </c>
      <c r="B459" s="65">
        <v>134.26</v>
      </c>
      <c r="C459" s="80">
        <v>881425</v>
      </c>
      <c r="D459" s="83">
        <v>-6.2176165803109473E-3</v>
      </c>
      <c r="E459" s="62"/>
      <c r="F459" s="62"/>
      <c r="G459" s="62"/>
    </row>
    <row r="460" spans="1:7" ht="14.4">
      <c r="A460" s="68">
        <v>43844</v>
      </c>
      <c r="B460" s="65">
        <v>135.1</v>
      </c>
      <c r="C460" s="80">
        <v>1236698</v>
      </c>
      <c r="D460" s="83">
        <v>-1.4801657785679101E-4</v>
      </c>
      <c r="E460" s="62"/>
      <c r="F460" s="62"/>
      <c r="G460" s="62"/>
    </row>
    <row r="461" spans="1:7" ht="14.4">
      <c r="A461" s="68">
        <v>43843</v>
      </c>
      <c r="B461" s="65">
        <v>135.12</v>
      </c>
      <c r="C461" s="80">
        <v>1024311</v>
      </c>
      <c r="D461" s="83">
        <v>5.2075583990478513E-3</v>
      </c>
      <c r="E461" s="62"/>
      <c r="F461" s="62"/>
      <c r="G461" s="62"/>
    </row>
    <row r="462" spans="1:7" ht="14.4">
      <c r="A462" s="68">
        <v>43840</v>
      </c>
      <c r="B462" s="65">
        <v>134.41999999999999</v>
      </c>
      <c r="C462" s="80">
        <v>649571</v>
      </c>
      <c r="D462" s="83">
        <v>-3.7058997924696024E-3</v>
      </c>
      <c r="E462" s="62"/>
      <c r="F462" s="62"/>
      <c r="G462" s="62"/>
    </row>
    <row r="463" spans="1:7" ht="14.4">
      <c r="A463" s="68">
        <v>43839</v>
      </c>
      <c r="B463" s="65">
        <v>134.91999999999999</v>
      </c>
      <c r="C463" s="80">
        <v>815627</v>
      </c>
      <c r="D463" s="83">
        <v>4.0184551272510749E-3</v>
      </c>
      <c r="E463" s="62"/>
      <c r="F463" s="62"/>
      <c r="G463" s="62"/>
    </row>
    <row r="464" spans="1:7" ht="14.4">
      <c r="A464" s="68">
        <v>43838</v>
      </c>
      <c r="B464" s="65">
        <v>134.38</v>
      </c>
      <c r="C464" s="80">
        <v>1281161</v>
      </c>
      <c r="D464" s="83">
        <v>1.8030303030303063E-2</v>
      </c>
      <c r="E464" s="62"/>
      <c r="F464" s="62"/>
      <c r="G464" s="62"/>
    </row>
    <row r="465" spans="1:7" ht="14.4">
      <c r="A465" s="68">
        <v>43837</v>
      </c>
      <c r="B465" s="65">
        <v>132</v>
      </c>
      <c r="C465" s="80">
        <v>976037</v>
      </c>
      <c r="D465" s="83">
        <v>-1.0939607372995708E-2</v>
      </c>
      <c r="E465" s="62"/>
      <c r="F465" s="62"/>
      <c r="G465" s="62"/>
    </row>
    <row r="466" spans="1:7" ht="14.4">
      <c r="A466" s="68">
        <v>43836</v>
      </c>
      <c r="B466" s="65">
        <v>133.46</v>
      </c>
      <c r="C466" s="80">
        <v>719626</v>
      </c>
      <c r="D466" s="83">
        <v>-4.3270665472991965E-3</v>
      </c>
      <c r="E466" s="62"/>
      <c r="F466" s="62"/>
      <c r="G466" s="62"/>
    </row>
    <row r="467" spans="1:7" ht="14.4">
      <c r="A467" s="68">
        <v>43833</v>
      </c>
      <c r="B467" s="65">
        <v>134.04</v>
      </c>
      <c r="C467" s="80">
        <v>830258</v>
      </c>
      <c r="D467" s="83">
        <v>3.8945476333132056E-3</v>
      </c>
      <c r="E467" s="62"/>
      <c r="F467" s="62"/>
      <c r="G467" s="62"/>
    </row>
    <row r="468" spans="1:7" ht="14.4">
      <c r="A468" s="68">
        <v>43832</v>
      </c>
      <c r="B468" s="65">
        <v>133.52000000000001</v>
      </c>
      <c r="C468" s="80">
        <v>1254852</v>
      </c>
      <c r="D468" s="83">
        <v>2.3298589822195126E-2</v>
      </c>
      <c r="E468" s="62"/>
      <c r="F468" s="62"/>
      <c r="G468" s="62"/>
    </row>
    <row r="469" spans="1:7" ht="14.4">
      <c r="A469" s="71">
        <v>43830</v>
      </c>
      <c r="B469" s="72">
        <v>130.47999999999999</v>
      </c>
      <c r="C469" s="81">
        <v>272778</v>
      </c>
      <c r="D469" s="84">
        <v>3.6923076923076614E-3</v>
      </c>
      <c r="E469" s="74"/>
      <c r="F469" s="74"/>
      <c r="G469" s="73" t="e">
        <v>#REF!</v>
      </c>
    </row>
    <row r="470" spans="1:7" ht="14.4">
      <c r="A470" s="68">
        <v>43829</v>
      </c>
      <c r="B470" s="65">
        <v>130</v>
      </c>
      <c r="C470" s="80">
        <v>847345</v>
      </c>
      <c r="D470" s="83">
        <v>-2.4609843937575038E-2</v>
      </c>
      <c r="E470" s="82"/>
    </row>
    <row r="471" spans="1:7" ht="14.4">
      <c r="A471" s="68">
        <v>43826</v>
      </c>
      <c r="B471" s="65">
        <v>133.28</v>
      </c>
      <c r="C471" s="80">
        <v>693498</v>
      </c>
      <c r="D471" s="83">
        <v>1.05152471083092E-3</v>
      </c>
      <c r="E471" s="82"/>
    </row>
    <row r="472" spans="1:7" ht="14.4">
      <c r="A472" s="68">
        <v>43823</v>
      </c>
      <c r="B472" s="65">
        <v>133.13999999999999</v>
      </c>
      <c r="C472" s="80">
        <v>214381</v>
      </c>
      <c r="D472" s="83">
        <v>2.7112516945322351E-3</v>
      </c>
      <c r="E472" s="82"/>
    </row>
    <row r="473" spans="1:7" ht="14.4">
      <c r="A473" s="68">
        <v>43822</v>
      </c>
      <c r="B473" s="65">
        <v>132.78</v>
      </c>
      <c r="C473" s="80">
        <v>779143</v>
      </c>
      <c r="D473" s="83">
        <v>6.8243858052776663E-3</v>
      </c>
      <c r="E473" s="82"/>
    </row>
    <row r="474" spans="1:7" ht="14.4">
      <c r="A474" s="68">
        <v>43819</v>
      </c>
      <c r="B474" s="65">
        <v>131.88</v>
      </c>
      <c r="C474" s="80">
        <v>2250131</v>
      </c>
      <c r="D474" s="83">
        <v>8.1027365846200183E-3</v>
      </c>
      <c r="E474" s="82"/>
    </row>
    <row r="475" spans="1:7" ht="14.4">
      <c r="A475" s="68">
        <v>43818</v>
      </c>
      <c r="B475" s="65">
        <v>130.82</v>
      </c>
      <c r="C475" s="80">
        <v>1293684</v>
      </c>
      <c r="D475" s="83">
        <v>7.6499388004891422E-4</v>
      </c>
      <c r="E475" s="82"/>
    </row>
    <row r="476" spans="1:7" ht="14.4">
      <c r="A476" s="68">
        <v>43817</v>
      </c>
      <c r="B476" s="65">
        <v>130.72</v>
      </c>
      <c r="C476" s="80">
        <v>1724054</v>
      </c>
      <c r="D476" s="83">
        <v>-5.9315589353612364E-3</v>
      </c>
      <c r="E476" s="82"/>
    </row>
    <row r="477" spans="1:7" ht="14.4">
      <c r="A477" s="68">
        <v>43816</v>
      </c>
      <c r="B477" s="65">
        <v>131.5</v>
      </c>
      <c r="C477" s="80">
        <v>2058897</v>
      </c>
      <c r="D477" s="83">
        <v>1.7644327503482549E-2</v>
      </c>
      <c r="E477" s="82"/>
    </row>
    <row r="478" spans="1:7" ht="14.4">
      <c r="A478" s="68">
        <v>43815</v>
      </c>
      <c r="B478" s="65">
        <v>129.22</v>
      </c>
      <c r="C478" s="80">
        <v>1551759</v>
      </c>
      <c r="D478" s="83">
        <v>2.6370135027799835E-2</v>
      </c>
      <c r="E478" s="82"/>
    </row>
    <row r="479" spans="1:7" ht="14.4">
      <c r="A479" s="68">
        <v>43812</v>
      </c>
      <c r="B479" s="65">
        <v>125.9</v>
      </c>
      <c r="C479" s="80">
        <v>1716714</v>
      </c>
      <c r="D479" s="83">
        <v>1.4014175257732076E-2</v>
      </c>
      <c r="E479" s="82"/>
    </row>
    <row r="480" spans="1:7" ht="14.4">
      <c r="A480" s="68">
        <v>43811</v>
      </c>
      <c r="B480" s="65">
        <v>124.16</v>
      </c>
      <c r="C480" s="80">
        <v>1330270</v>
      </c>
      <c r="D480" s="83">
        <v>1.290322580645098E-3</v>
      </c>
      <c r="E480" s="82"/>
    </row>
    <row r="481" spans="1:5" ht="14.4">
      <c r="A481" s="68">
        <v>43810</v>
      </c>
      <c r="B481" s="65">
        <v>124</v>
      </c>
      <c r="C481" s="80">
        <v>1122774</v>
      </c>
      <c r="D481" s="83">
        <v>-1.7710513604894951E-3</v>
      </c>
      <c r="E481" s="82"/>
    </row>
    <row r="482" spans="1:5" ht="14.4">
      <c r="A482" s="68">
        <v>43809</v>
      </c>
      <c r="B482" s="65">
        <v>124.22</v>
      </c>
      <c r="C482" s="80">
        <v>1488075</v>
      </c>
      <c r="D482" s="83">
        <v>-5.7627661277412923E-3</v>
      </c>
      <c r="E482" s="82"/>
    </row>
    <row r="483" spans="1:5" ht="14.4">
      <c r="A483" s="68">
        <v>43808</v>
      </c>
      <c r="B483" s="65">
        <v>124.94</v>
      </c>
      <c r="C483" s="80">
        <v>1309613</v>
      </c>
      <c r="D483" s="83">
        <v>-1.6530226700251949E-2</v>
      </c>
      <c r="E483" s="82"/>
    </row>
    <row r="484" spans="1:5" ht="14.4">
      <c r="A484" s="68">
        <v>43805</v>
      </c>
      <c r="B484" s="65">
        <v>127.04</v>
      </c>
      <c r="C484" s="80">
        <v>1126397</v>
      </c>
      <c r="D484" s="83">
        <v>3.1496062992131257E-4</v>
      </c>
      <c r="E484" s="82"/>
    </row>
    <row r="485" spans="1:5" ht="14.4">
      <c r="A485" s="68">
        <v>43804</v>
      </c>
      <c r="B485" s="65">
        <v>127</v>
      </c>
      <c r="C485" s="80">
        <v>1298325</v>
      </c>
      <c r="D485" s="83">
        <v>-7.6574464760118532E-3</v>
      </c>
      <c r="E485" s="82"/>
    </row>
    <row r="486" spans="1:5" ht="14.4">
      <c r="A486" s="68">
        <v>43803</v>
      </c>
      <c r="B486" s="65">
        <v>127.98</v>
      </c>
      <c r="C486" s="80">
        <v>2347993</v>
      </c>
      <c r="D486" s="83">
        <v>3.1597614057714107E-2</v>
      </c>
      <c r="E486" s="82"/>
    </row>
    <row r="487" spans="1:5" ht="14.4">
      <c r="A487" s="68">
        <v>43802</v>
      </c>
      <c r="B487" s="65">
        <v>124.06</v>
      </c>
      <c r="C487" s="80">
        <v>2874629</v>
      </c>
      <c r="D487" s="83">
        <v>-4.4074587763908157E-2</v>
      </c>
      <c r="E487" s="82"/>
    </row>
    <row r="488" spans="1:5" ht="14.4">
      <c r="A488" s="68">
        <v>43801</v>
      </c>
      <c r="B488" s="65">
        <v>129.78</v>
      </c>
      <c r="C488" s="80">
        <v>1991605</v>
      </c>
      <c r="D488" s="83">
        <v>-2.7136431784107962E-2</v>
      </c>
      <c r="E488" s="82"/>
    </row>
    <row r="489" spans="1:5" ht="14.4">
      <c r="A489" s="68">
        <v>43798</v>
      </c>
      <c r="B489" s="65">
        <v>133.4</v>
      </c>
      <c r="C489" s="80">
        <v>1529398</v>
      </c>
      <c r="D489" s="83">
        <v>-1.6464601107618604E-3</v>
      </c>
      <c r="E489" s="82"/>
    </row>
    <row r="490" spans="1:5" ht="14.4">
      <c r="A490" s="68">
        <v>43797</v>
      </c>
      <c r="B490" s="65">
        <v>133.62</v>
      </c>
      <c r="C490" s="80">
        <v>555840</v>
      </c>
      <c r="D490" s="83">
        <v>-2.3891294609525993E-3</v>
      </c>
      <c r="E490" s="82"/>
    </row>
    <row r="491" spans="1:5" ht="14.4">
      <c r="A491" s="68">
        <v>43796</v>
      </c>
      <c r="B491" s="65">
        <v>133.94</v>
      </c>
      <c r="C491" s="80">
        <v>869935</v>
      </c>
      <c r="D491" s="83">
        <v>-1.2824292452830233E-2</v>
      </c>
      <c r="E491" s="82"/>
    </row>
    <row r="492" spans="1:5" ht="14.4">
      <c r="A492" s="68">
        <v>43795</v>
      </c>
      <c r="B492" s="65">
        <v>135.68</v>
      </c>
      <c r="C492" s="80">
        <v>1458490</v>
      </c>
      <c r="D492" s="83">
        <v>8.1735770545399156E-3</v>
      </c>
      <c r="E492" s="82"/>
    </row>
    <row r="493" spans="1:5" ht="14.4">
      <c r="A493" s="68">
        <v>43794</v>
      </c>
      <c r="B493" s="65">
        <v>134.58000000000001</v>
      </c>
      <c r="C493" s="80">
        <v>766245</v>
      </c>
      <c r="D493" s="83">
        <v>6.5818997756172948E-3</v>
      </c>
      <c r="E493" s="82"/>
    </row>
    <row r="494" spans="1:5" ht="14.4">
      <c r="A494" s="68">
        <v>43791</v>
      </c>
      <c r="B494" s="65">
        <v>133.69999999999999</v>
      </c>
      <c r="C494" s="80">
        <v>710551</v>
      </c>
      <c r="D494" s="83">
        <v>-2.5365562518651075E-3</v>
      </c>
      <c r="E494" s="82"/>
    </row>
    <row r="495" spans="1:5" ht="14.4">
      <c r="A495" s="68">
        <v>43790</v>
      </c>
      <c r="B495" s="65">
        <v>134.04</v>
      </c>
      <c r="C495" s="80">
        <v>1012179</v>
      </c>
      <c r="D495" s="83">
        <v>-7.8460399703923489E-3</v>
      </c>
      <c r="E495" s="82"/>
    </row>
    <row r="496" spans="1:5" ht="14.4">
      <c r="A496" s="68">
        <v>43789</v>
      </c>
      <c r="B496" s="65">
        <v>135.1</v>
      </c>
      <c r="C496" s="80">
        <v>756966</v>
      </c>
      <c r="D496" s="83">
        <v>-1.4781966001479185E-3</v>
      </c>
      <c r="E496" s="82"/>
    </row>
    <row r="497" spans="1:5" ht="14.4">
      <c r="A497" s="68">
        <v>43788</v>
      </c>
      <c r="B497" s="65">
        <v>135.30000000000001</v>
      </c>
      <c r="C497" s="80">
        <v>820254</v>
      </c>
      <c r="D497" s="83">
        <v>6.6964285714286031E-3</v>
      </c>
      <c r="E497" s="82"/>
    </row>
    <row r="498" spans="1:5" ht="14.4">
      <c r="A498" s="68">
        <v>43787</v>
      </c>
      <c r="B498" s="65">
        <v>134.4</v>
      </c>
      <c r="C498" s="80">
        <v>1076652</v>
      </c>
      <c r="D498" s="83">
        <v>-1.4662756598240456E-2</v>
      </c>
      <c r="E498" s="82"/>
    </row>
    <row r="499" spans="1:5" ht="14.4">
      <c r="A499" s="68">
        <v>43784</v>
      </c>
      <c r="B499" s="65">
        <v>136.4</v>
      </c>
      <c r="C499" s="80">
        <v>1126477</v>
      </c>
      <c r="D499" s="83">
        <v>3.9746798174591369E-3</v>
      </c>
      <c r="E499" s="82"/>
    </row>
    <row r="500" spans="1:5" ht="14.4">
      <c r="A500" s="68">
        <v>43783</v>
      </c>
      <c r="B500" s="65">
        <v>135.86000000000001</v>
      </c>
      <c r="C500" s="80">
        <v>685658</v>
      </c>
      <c r="D500" s="83">
        <v>2.6568265682658243E-3</v>
      </c>
      <c r="E500" s="82"/>
    </row>
    <row r="501" spans="1:5" ht="14.4">
      <c r="A501" s="68">
        <v>43782</v>
      </c>
      <c r="B501" s="65">
        <v>135.5</v>
      </c>
      <c r="C501" s="80">
        <v>1005889</v>
      </c>
      <c r="D501" s="83">
        <v>6.0885060885060849E-3</v>
      </c>
      <c r="E501" s="82"/>
    </row>
    <row r="502" spans="1:5" ht="14.4">
      <c r="A502" s="68">
        <v>43781</v>
      </c>
      <c r="B502" s="65">
        <v>134.68</v>
      </c>
      <c r="C502" s="80">
        <v>1117643</v>
      </c>
      <c r="D502" s="83">
        <v>1.3698630136986356E-2</v>
      </c>
      <c r="E502" s="82"/>
    </row>
    <row r="503" spans="1:5" ht="14.4">
      <c r="A503" s="68">
        <v>43780</v>
      </c>
      <c r="B503" s="65">
        <v>132.86000000000001</v>
      </c>
      <c r="C503" s="80">
        <v>717859</v>
      </c>
      <c r="D503" s="83">
        <v>-7.5210589651020232E-4</v>
      </c>
      <c r="E503" s="82"/>
    </row>
    <row r="504" spans="1:5" ht="14.4">
      <c r="A504" s="68">
        <v>43777</v>
      </c>
      <c r="B504" s="65">
        <v>132.96</v>
      </c>
      <c r="C504" s="80">
        <v>1001098</v>
      </c>
      <c r="D504" s="83">
        <v>5.1406108255216409E-3</v>
      </c>
      <c r="E504" s="82"/>
    </row>
    <row r="505" spans="1:5" ht="14.4">
      <c r="A505" s="68">
        <v>43776</v>
      </c>
      <c r="B505" s="65">
        <v>132.28</v>
      </c>
      <c r="C505" s="80">
        <v>1033920</v>
      </c>
      <c r="D505" s="83">
        <v>9.4627594627594291E-3</v>
      </c>
      <c r="E505" s="82"/>
    </row>
    <row r="506" spans="1:5" ht="14.4">
      <c r="A506" s="68">
        <v>43775</v>
      </c>
      <c r="B506" s="65">
        <v>131.04</v>
      </c>
      <c r="C506" s="80">
        <v>1034298</v>
      </c>
      <c r="D506" s="83">
        <v>7.0703965570242389E-3</v>
      </c>
      <c r="E506" s="82"/>
    </row>
    <row r="507" spans="1:5" ht="14.4">
      <c r="A507" s="68">
        <v>43774</v>
      </c>
      <c r="B507" s="65">
        <v>130.12</v>
      </c>
      <c r="C507" s="80">
        <v>1098427</v>
      </c>
      <c r="D507" s="83">
        <v>-5.502904310608403E-3</v>
      </c>
      <c r="E507" s="82"/>
    </row>
    <row r="508" spans="1:5" ht="14.4">
      <c r="A508" s="68">
        <v>43773</v>
      </c>
      <c r="B508" s="65">
        <v>130.84</v>
      </c>
      <c r="C508" s="80">
        <v>1231104</v>
      </c>
      <c r="D508" s="83">
        <v>6.6164025234651813E-3</v>
      </c>
      <c r="E508" s="82"/>
    </row>
    <row r="509" spans="1:5" ht="14.4">
      <c r="A509" s="68">
        <v>43770</v>
      </c>
      <c r="B509" s="65">
        <v>129.97999999999999</v>
      </c>
      <c r="C509" s="80">
        <v>1372617</v>
      </c>
      <c r="D509" s="83">
        <v>1.2147640554430739E-2</v>
      </c>
      <c r="E509" s="82"/>
    </row>
    <row r="510" spans="1:5" ht="14.4">
      <c r="A510" s="68">
        <v>43769</v>
      </c>
      <c r="B510" s="65">
        <v>128.41999999999999</v>
      </c>
      <c r="C510" s="80">
        <v>1987720</v>
      </c>
      <c r="D510" s="83">
        <v>-1.2001846437913577E-2</v>
      </c>
      <c r="E510" s="82"/>
    </row>
    <row r="511" spans="1:5" ht="14.4">
      <c r="A511" s="68">
        <v>43768</v>
      </c>
      <c r="B511" s="65">
        <v>129.97999999999999</v>
      </c>
      <c r="C511" s="80">
        <v>2393868</v>
      </c>
      <c r="D511" s="83">
        <v>3.3555979643765887E-2</v>
      </c>
      <c r="E511" s="82"/>
    </row>
    <row r="512" spans="1:5" ht="14.4">
      <c r="A512" s="68">
        <v>43767</v>
      </c>
      <c r="B512" s="65">
        <v>125.76</v>
      </c>
      <c r="C512" s="80">
        <v>1827547</v>
      </c>
      <c r="D512" s="83">
        <v>8.6621751684312631E-3</v>
      </c>
      <c r="E512" s="82"/>
    </row>
    <row r="513" spans="1:5" ht="14.4">
      <c r="A513" s="68">
        <v>43766</v>
      </c>
      <c r="B513" s="65">
        <v>124.68</v>
      </c>
      <c r="C513" s="80">
        <v>914618</v>
      </c>
      <c r="D513" s="83">
        <v>9.3911917098445929E-3</v>
      </c>
      <c r="E513" s="82"/>
    </row>
    <row r="514" spans="1:5" ht="14.4">
      <c r="A514" s="68">
        <v>43763</v>
      </c>
      <c r="B514" s="65">
        <v>123.52</v>
      </c>
      <c r="C514" s="80">
        <v>699180</v>
      </c>
      <c r="D514" s="83">
        <v>1.030590544740706E-2</v>
      </c>
      <c r="E514" s="82"/>
    </row>
    <row r="515" spans="1:5" ht="14.4">
      <c r="A515" s="68">
        <v>43762</v>
      </c>
      <c r="B515" s="65">
        <v>122.26</v>
      </c>
      <c r="C515" s="80">
        <v>849238</v>
      </c>
      <c r="D515" s="83">
        <v>1.7476697736351632E-2</v>
      </c>
      <c r="E515" s="82"/>
    </row>
    <row r="516" spans="1:5" ht="14.4">
      <c r="A516" s="68">
        <v>43761</v>
      </c>
      <c r="B516" s="65">
        <v>120.16</v>
      </c>
      <c r="C516" s="80">
        <v>1055759</v>
      </c>
      <c r="D516" s="83">
        <v>-1.3950434925324218E-2</v>
      </c>
      <c r="E516" s="82"/>
    </row>
    <row r="517" spans="1:5" ht="14.4">
      <c r="A517" s="68">
        <v>43760</v>
      </c>
      <c r="B517" s="65">
        <v>121.86</v>
      </c>
      <c r="C517" s="80">
        <v>1191168</v>
      </c>
      <c r="D517" s="83">
        <v>-1.1475409836065875E-3</v>
      </c>
      <c r="E517" s="82"/>
    </row>
    <row r="518" spans="1:5" ht="14.4">
      <c r="A518" s="68">
        <v>43759</v>
      </c>
      <c r="B518" s="65">
        <v>122</v>
      </c>
      <c r="C518" s="80">
        <v>1082580</v>
      </c>
      <c r="D518" s="83">
        <v>1.3289036544850363E-2</v>
      </c>
      <c r="E518" s="82"/>
    </row>
    <row r="519" spans="1:5" ht="14.4">
      <c r="A519" s="68">
        <v>43756</v>
      </c>
      <c r="B519" s="65">
        <v>120.4</v>
      </c>
      <c r="C519" s="80">
        <v>1178061</v>
      </c>
      <c r="D519" s="83">
        <v>4.6728971962617383E-3</v>
      </c>
      <c r="E519" s="82"/>
    </row>
    <row r="520" spans="1:5" ht="14.4">
      <c r="A520" s="68">
        <v>43755</v>
      </c>
      <c r="B520" s="65">
        <v>119.84</v>
      </c>
      <c r="C520" s="80">
        <v>1169680</v>
      </c>
      <c r="D520" s="83">
        <v>4.3580288300368863E-3</v>
      </c>
      <c r="E520" s="82"/>
    </row>
    <row r="521" spans="1:5" ht="14.4">
      <c r="A521" s="68">
        <v>43754</v>
      </c>
      <c r="B521" s="65">
        <v>119.32</v>
      </c>
      <c r="C521" s="80">
        <v>844506</v>
      </c>
      <c r="D521" s="83">
        <v>-1.0046885465505584E-3</v>
      </c>
      <c r="E521" s="82"/>
    </row>
    <row r="522" spans="1:5" ht="14.4">
      <c r="A522" s="68">
        <v>43753</v>
      </c>
      <c r="B522" s="65">
        <v>119.44</v>
      </c>
      <c r="C522" s="80">
        <v>1194631</v>
      </c>
      <c r="D522" s="83">
        <v>9.6365173288250894E-3</v>
      </c>
      <c r="E522" s="82"/>
    </row>
    <row r="523" spans="1:5" ht="14.4">
      <c r="A523" s="68">
        <v>43752</v>
      </c>
      <c r="B523" s="65">
        <v>118.3</v>
      </c>
      <c r="C523" s="80">
        <v>647740</v>
      </c>
      <c r="D523" s="83">
        <v>-4.8788694481830541E-3</v>
      </c>
      <c r="E523" s="82"/>
    </row>
    <row r="524" spans="1:5" ht="14.4">
      <c r="A524" s="68">
        <v>43749</v>
      </c>
      <c r="B524" s="65">
        <v>118.88</v>
      </c>
      <c r="C524" s="80">
        <v>1192461</v>
      </c>
      <c r="D524" s="83">
        <v>8.141112618724522E-3</v>
      </c>
      <c r="E524" s="82"/>
    </row>
    <row r="525" spans="1:5" ht="14.4">
      <c r="A525" s="68">
        <v>43748</v>
      </c>
      <c r="B525" s="65">
        <v>117.92</v>
      </c>
      <c r="C525" s="80">
        <v>947625</v>
      </c>
      <c r="D525" s="83">
        <v>4.6004430056227896E-3</v>
      </c>
      <c r="E525" s="82"/>
    </row>
    <row r="526" spans="1:5" ht="14.4">
      <c r="A526" s="68">
        <v>43747</v>
      </c>
      <c r="B526" s="65">
        <v>117.38</v>
      </c>
      <c r="C526" s="80">
        <v>1063658</v>
      </c>
      <c r="D526" s="83">
        <v>-2.7187765505523043E-3</v>
      </c>
      <c r="E526" s="82"/>
    </row>
    <row r="527" spans="1:5" ht="14.4">
      <c r="A527" s="68">
        <v>43746</v>
      </c>
      <c r="B527" s="65">
        <v>117.7</v>
      </c>
      <c r="C527" s="80">
        <v>1331108</v>
      </c>
      <c r="D527" s="83">
        <v>4.0948643576181887E-3</v>
      </c>
      <c r="E527" s="82"/>
    </row>
    <row r="528" spans="1:5" ht="14.4">
      <c r="A528" s="68">
        <v>43745</v>
      </c>
      <c r="B528" s="65">
        <v>117.22</v>
      </c>
      <c r="C528" s="80">
        <v>789409</v>
      </c>
      <c r="D528" s="83">
        <v>-4.7546272711835869E-3</v>
      </c>
      <c r="E528" s="82"/>
    </row>
    <row r="529" spans="1:5" ht="14.4">
      <c r="A529" s="68">
        <v>43742</v>
      </c>
      <c r="B529" s="65">
        <v>117.78</v>
      </c>
      <c r="C529" s="80">
        <v>1239220</v>
      </c>
      <c r="D529" s="83">
        <v>-1.2078510317060864E-2</v>
      </c>
      <c r="E529" s="82"/>
    </row>
    <row r="530" spans="1:5" ht="14.4">
      <c r="A530" s="68">
        <v>43741</v>
      </c>
      <c r="B530" s="65">
        <v>119.22</v>
      </c>
      <c r="C530" s="80">
        <v>2224977</v>
      </c>
      <c r="D530" s="83">
        <v>4.2497376705141754E-2</v>
      </c>
      <c r="E530" s="82"/>
    </row>
    <row r="531" spans="1:5" ht="14.4">
      <c r="A531" s="68">
        <v>43740</v>
      </c>
      <c r="B531" s="65">
        <v>114.36</v>
      </c>
      <c r="C531" s="80">
        <v>1574583</v>
      </c>
      <c r="D531" s="83">
        <v>-2.0387185197875635E-2</v>
      </c>
      <c r="E531" s="82"/>
    </row>
    <row r="532" spans="1:5" ht="14.4">
      <c r="A532" s="68">
        <v>43739</v>
      </c>
      <c r="B532" s="65">
        <v>116.74</v>
      </c>
      <c r="C532" s="80">
        <v>1419321</v>
      </c>
      <c r="D532" s="83">
        <v>-2.0637583892617495E-2</v>
      </c>
      <c r="E532" s="82"/>
    </row>
    <row r="533" spans="1:5" ht="14.4">
      <c r="A533" s="68">
        <v>43738</v>
      </c>
      <c r="B533" s="65">
        <v>119.2</v>
      </c>
      <c r="C533" s="80">
        <v>1268603</v>
      </c>
      <c r="D533" s="83">
        <v>1.6806722689075571E-3</v>
      </c>
      <c r="E533" s="82"/>
    </row>
    <row r="534" spans="1:5" ht="14.4">
      <c r="A534" s="68">
        <v>43735</v>
      </c>
      <c r="B534" s="65">
        <v>119</v>
      </c>
      <c r="C534" s="80">
        <v>1304700</v>
      </c>
      <c r="D534" s="83">
        <v>-4.5173163794546278E-3</v>
      </c>
      <c r="E534" s="82"/>
    </row>
    <row r="535" spans="1:5" ht="14.4">
      <c r="A535" s="68">
        <v>43734</v>
      </c>
      <c r="B535" s="65">
        <v>119.54</v>
      </c>
      <c r="C535" s="80">
        <v>1048743</v>
      </c>
      <c r="D535" s="83">
        <v>-1.1739417989417911E-2</v>
      </c>
      <c r="E535" s="82"/>
    </row>
    <row r="536" spans="1:5" ht="14.4">
      <c r="A536" s="68">
        <v>43733</v>
      </c>
      <c r="B536" s="65">
        <v>120.96</v>
      </c>
      <c r="C536" s="80">
        <v>1277126</v>
      </c>
      <c r="D536" s="83">
        <v>1.8181818181818077E-2</v>
      </c>
      <c r="E536" s="82"/>
    </row>
    <row r="537" spans="1:5" ht="14.4">
      <c r="A537" s="68">
        <v>43732</v>
      </c>
      <c r="B537" s="65">
        <v>118.8</v>
      </c>
      <c r="C537" s="80">
        <v>998744</v>
      </c>
      <c r="D537" s="83">
        <v>-8.3472454090149917E-3</v>
      </c>
      <c r="E537" s="82"/>
    </row>
    <row r="538" spans="1:5" ht="14.4">
      <c r="A538" s="68">
        <v>43731</v>
      </c>
      <c r="B538" s="65">
        <v>119.8</v>
      </c>
      <c r="C538" s="80">
        <v>1406075</v>
      </c>
      <c r="D538" s="83">
        <v>-2.4979184013321776E-3</v>
      </c>
      <c r="E538" s="82"/>
    </row>
    <row r="539" spans="1:5" ht="14.4">
      <c r="A539" s="68">
        <v>43728</v>
      </c>
      <c r="B539" s="65">
        <v>120.1</v>
      </c>
      <c r="C539" s="80">
        <v>3206085</v>
      </c>
      <c r="D539" s="83">
        <v>-3.2076079948420433E-2</v>
      </c>
      <c r="E539" s="82"/>
    </row>
    <row r="540" spans="1:5" ht="14.4">
      <c r="A540" s="68">
        <v>43727</v>
      </c>
      <c r="B540" s="65">
        <v>124.08</v>
      </c>
      <c r="C540" s="80">
        <v>857922</v>
      </c>
      <c r="D540" s="83">
        <v>1.0258915486077269E-2</v>
      </c>
      <c r="E540" s="82"/>
    </row>
    <row r="541" spans="1:5" ht="14.4">
      <c r="A541" s="68">
        <v>43726</v>
      </c>
      <c r="B541" s="65">
        <v>122.82</v>
      </c>
      <c r="C541" s="80">
        <v>983968</v>
      </c>
      <c r="D541" s="83">
        <v>7.0514922925548618E-3</v>
      </c>
      <c r="E541" s="82"/>
    </row>
    <row r="542" spans="1:5" ht="14.4">
      <c r="A542" s="68">
        <v>43725</v>
      </c>
      <c r="B542" s="65">
        <v>121.96</v>
      </c>
      <c r="C542" s="80">
        <v>982862</v>
      </c>
      <c r="D542" s="83">
        <v>5.9386341141536292E-3</v>
      </c>
      <c r="E542" s="82"/>
    </row>
    <row r="543" spans="1:5" ht="14.4">
      <c r="A543" s="68">
        <v>43724</v>
      </c>
      <c r="B543" s="65">
        <v>121.24</v>
      </c>
      <c r="C543" s="80">
        <v>1617882</v>
      </c>
      <c r="D543" s="83">
        <v>-3.3944223107569726E-2</v>
      </c>
      <c r="E543" s="82"/>
    </row>
    <row r="544" spans="1:5" ht="14.4">
      <c r="A544" s="68">
        <v>43721</v>
      </c>
      <c r="B544" s="65">
        <v>125.5</v>
      </c>
      <c r="C544" s="80">
        <v>1176707</v>
      </c>
      <c r="D544" s="83">
        <v>5.4478448966512882E-3</v>
      </c>
      <c r="E544" s="82"/>
    </row>
    <row r="545" spans="1:5" ht="14.4">
      <c r="A545" s="68">
        <v>43720</v>
      </c>
      <c r="B545" s="65">
        <v>124.82</v>
      </c>
      <c r="C545" s="80">
        <v>1155604</v>
      </c>
      <c r="D545" s="83">
        <v>1.0688259109311593E-2</v>
      </c>
      <c r="E545" s="82"/>
    </row>
    <row r="546" spans="1:5" ht="14.4">
      <c r="A546" s="68">
        <v>43719</v>
      </c>
      <c r="B546" s="65">
        <v>123.5</v>
      </c>
      <c r="C546" s="80">
        <v>840873</v>
      </c>
      <c r="D546" s="83">
        <v>9.8119378577268268E-3</v>
      </c>
      <c r="E546" s="82"/>
    </row>
    <row r="547" spans="1:5" ht="14.4">
      <c r="A547" s="68">
        <v>43718</v>
      </c>
      <c r="B547" s="65">
        <v>122.3</v>
      </c>
      <c r="C547" s="80">
        <v>1316005</v>
      </c>
      <c r="D547" s="83">
        <v>-3.5793125197098763E-2</v>
      </c>
      <c r="E547" s="82"/>
    </row>
    <row r="548" spans="1:5" ht="14.4">
      <c r="A548" s="68">
        <v>43717</v>
      </c>
      <c r="B548" s="65">
        <v>126.84</v>
      </c>
      <c r="C548" s="80">
        <v>752032</v>
      </c>
      <c r="D548" s="83">
        <v>1.8957345971564177E-3</v>
      </c>
      <c r="E548" s="82"/>
    </row>
    <row r="549" spans="1:5" ht="14.4">
      <c r="A549" s="68">
        <v>43714</v>
      </c>
      <c r="B549" s="65">
        <v>126.6</v>
      </c>
      <c r="C549" s="80">
        <v>840371</v>
      </c>
      <c r="D549" s="83">
        <v>-5.655042412818112E-3</v>
      </c>
      <c r="E549" s="82"/>
    </row>
    <row r="550" spans="1:5" ht="14.4">
      <c r="A550" s="68">
        <v>43713</v>
      </c>
      <c r="B550" s="65">
        <v>127.32</v>
      </c>
      <c r="C550" s="80">
        <v>811224</v>
      </c>
      <c r="D550" s="83">
        <v>8.8748019017432789E-3</v>
      </c>
      <c r="E550" s="82"/>
    </row>
    <row r="551" spans="1:5" ht="14.4">
      <c r="A551" s="68">
        <v>43712</v>
      </c>
      <c r="B551" s="65">
        <v>126.2</v>
      </c>
      <c r="C551" s="80">
        <v>638872</v>
      </c>
      <c r="D551" s="83">
        <v>1.2678542770020895E-2</v>
      </c>
      <c r="E551" s="82"/>
    </row>
    <row r="552" spans="1:5" ht="14.4">
      <c r="A552" s="68">
        <v>43711</v>
      </c>
      <c r="B552" s="65">
        <v>124.62</v>
      </c>
      <c r="C552" s="80">
        <v>619706</v>
      </c>
      <c r="D552" s="83">
        <v>-1.0952380952380936E-2</v>
      </c>
      <c r="E552" s="82"/>
    </row>
    <row r="553" spans="1:5" ht="14.4">
      <c r="A553" s="68">
        <v>43710</v>
      </c>
      <c r="B553" s="65">
        <v>126</v>
      </c>
      <c r="C553" s="80">
        <v>489160</v>
      </c>
      <c r="D553" s="83">
        <v>5.2656773575874283E-3</v>
      </c>
      <c r="E553" s="82"/>
    </row>
    <row r="554" spans="1:5" ht="14.4">
      <c r="A554" s="68">
        <v>43707</v>
      </c>
      <c r="B554" s="65">
        <v>125.34</v>
      </c>
      <c r="C554" s="80">
        <v>899281</v>
      </c>
      <c r="D554" s="83">
        <v>4.7892720306519365E-4</v>
      </c>
      <c r="E554" s="82"/>
    </row>
    <row r="555" spans="1:5" ht="14.4">
      <c r="A555" s="68">
        <v>43706</v>
      </c>
      <c r="B555" s="65">
        <v>125.28</v>
      </c>
      <c r="C555" s="80">
        <v>973076</v>
      </c>
      <c r="D555" s="83">
        <v>3.0263157894736992E-2</v>
      </c>
      <c r="E555" s="82"/>
    </row>
    <row r="556" spans="1:5" ht="14.4">
      <c r="A556" s="68">
        <v>43705</v>
      </c>
      <c r="B556" s="65">
        <v>121.6</v>
      </c>
      <c r="C556" s="80">
        <v>645687</v>
      </c>
      <c r="D556" s="83">
        <v>-7.8328981723237989E-3</v>
      </c>
      <c r="E556" s="82"/>
    </row>
    <row r="557" spans="1:5" ht="14.4">
      <c r="A557" s="68">
        <v>43704</v>
      </c>
      <c r="B557" s="65">
        <v>122.56</v>
      </c>
      <c r="C557" s="80">
        <v>797067</v>
      </c>
      <c r="D557" s="83">
        <v>-2.2793878215564556E-3</v>
      </c>
      <c r="E557" s="82"/>
    </row>
    <row r="558" spans="1:5" ht="14.4">
      <c r="A558" s="68">
        <v>43703</v>
      </c>
      <c r="B558" s="65">
        <v>122.84</v>
      </c>
      <c r="C558" s="80">
        <v>620473</v>
      </c>
      <c r="D558" s="83">
        <v>1.7941608220517491E-3</v>
      </c>
      <c r="E558" s="82"/>
    </row>
    <row r="559" spans="1:5" ht="14.4">
      <c r="A559" s="68">
        <v>43700</v>
      </c>
      <c r="B559" s="65">
        <v>122.62</v>
      </c>
      <c r="C559" s="80">
        <v>1109352</v>
      </c>
      <c r="D559" s="83">
        <v>-1.4467127471467611E-2</v>
      </c>
      <c r="E559" s="82"/>
    </row>
    <row r="560" spans="1:5" ht="14.4">
      <c r="A560" s="68">
        <v>43699</v>
      </c>
      <c r="B560" s="65">
        <v>124.42</v>
      </c>
      <c r="C560" s="80">
        <v>1018327</v>
      </c>
      <c r="D560" s="83">
        <v>-2.7968749999999987E-2</v>
      </c>
      <c r="E560" s="82"/>
    </row>
    <row r="561" spans="1:5" ht="14.4">
      <c r="A561" s="68">
        <v>43698</v>
      </c>
      <c r="B561" s="65">
        <v>128</v>
      </c>
      <c r="C561" s="80">
        <v>698994</v>
      </c>
      <c r="D561" s="83">
        <v>1.4263074484944571E-2</v>
      </c>
      <c r="E561" s="82"/>
    </row>
    <row r="562" spans="1:5" ht="14.4">
      <c r="A562" s="68">
        <v>43697</v>
      </c>
      <c r="B562" s="65">
        <v>126.2</v>
      </c>
      <c r="C562" s="80">
        <v>999387</v>
      </c>
      <c r="D562" s="83">
        <v>1.138002885077749E-2</v>
      </c>
      <c r="E562" s="82"/>
    </row>
    <row r="563" spans="1:5" ht="14.4">
      <c r="A563" s="68">
        <v>43696</v>
      </c>
      <c r="B563" s="65">
        <v>124.78</v>
      </c>
      <c r="C563" s="80">
        <v>950546</v>
      </c>
      <c r="D563" s="83">
        <v>1.4306616810274786E-2</v>
      </c>
      <c r="E563" s="82"/>
    </row>
    <row r="564" spans="1:5" ht="14.4">
      <c r="A564" s="68">
        <v>43693</v>
      </c>
      <c r="B564" s="65">
        <v>123.02</v>
      </c>
      <c r="C564" s="80">
        <v>1119050</v>
      </c>
      <c r="D564" s="83">
        <v>5.065359477124165E-3</v>
      </c>
      <c r="E564" s="82"/>
    </row>
    <row r="565" spans="1:5" ht="14.4">
      <c r="A565" s="68">
        <v>43692</v>
      </c>
      <c r="B565" s="65">
        <v>122.4</v>
      </c>
      <c r="C565" s="80">
        <v>1055062</v>
      </c>
      <c r="D565" s="83">
        <v>4.5961917268548813E-3</v>
      </c>
      <c r="E565" s="82"/>
    </row>
    <row r="566" spans="1:5" ht="14.4">
      <c r="A566" s="68">
        <v>43691</v>
      </c>
      <c r="B566" s="65">
        <v>121.84</v>
      </c>
      <c r="C566" s="80">
        <v>1330499</v>
      </c>
      <c r="D566" s="83">
        <v>-3.7446674040132688E-2</v>
      </c>
      <c r="E566" s="82"/>
    </row>
    <row r="567" spans="1:5" ht="14.4">
      <c r="A567" s="68">
        <v>43690</v>
      </c>
      <c r="B567" s="65">
        <v>126.58</v>
      </c>
      <c r="C567" s="80">
        <v>1356044</v>
      </c>
      <c r="D567" s="83">
        <v>1.1022364217252445E-2</v>
      </c>
      <c r="E567" s="82"/>
    </row>
    <row r="568" spans="1:5" ht="14.4">
      <c r="A568" s="68">
        <v>43689</v>
      </c>
      <c r="B568" s="65">
        <v>125.2</v>
      </c>
      <c r="C568" s="80">
        <v>728771</v>
      </c>
      <c r="D568" s="83">
        <v>6.3938618925840629E-4</v>
      </c>
      <c r="E568" s="82"/>
    </row>
    <row r="569" spans="1:5" ht="14.4">
      <c r="A569" s="68">
        <v>43686</v>
      </c>
      <c r="B569" s="65">
        <v>125.12</v>
      </c>
      <c r="C569" s="80">
        <v>993641</v>
      </c>
      <c r="D569" s="83">
        <v>-1.6042780748663055E-2</v>
      </c>
      <c r="E569" s="82"/>
    </row>
    <row r="570" spans="1:5" ht="14.4">
      <c r="A570" s="68">
        <v>43685</v>
      </c>
      <c r="B570" s="65">
        <v>127.16</v>
      </c>
      <c r="C570" s="80">
        <v>1539909</v>
      </c>
      <c r="D570" s="83">
        <v>4.2295081967212989E-2</v>
      </c>
      <c r="E570" s="82"/>
    </row>
    <row r="571" spans="1:5" ht="14.4">
      <c r="A571" s="68">
        <v>43684</v>
      </c>
      <c r="B571" s="65">
        <v>122</v>
      </c>
      <c r="C571" s="80">
        <v>1497201</v>
      </c>
      <c r="D571" s="83">
        <v>1.7344896597731863E-2</v>
      </c>
      <c r="E571" s="82"/>
    </row>
    <row r="572" spans="1:5" ht="14.4">
      <c r="A572" s="68">
        <v>43683</v>
      </c>
      <c r="B572" s="65">
        <v>119.92</v>
      </c>
      <c r="C572" s="80">
        <v>1618056</v>
      </c>
      <c r="D572" s="83">
        <v>-6.4623032311516004E-3</v>
      </c>
      <c r="E572" s="82"/>
    </row>
    <row r="573" spans="1:5" ht="14.4">
      <c r="A573" s="68">
        <v>43682</v>
      </c>
      <c r="B573" s="65">
        <v>120.7</v>
      </c>
      <c r="C573" s="80">
        <v>2089151</v>
      </c>
      <c r="D573" s="83">
        <v>-2.1404248419004346E-2</v>
      </c>
      <c r="E573" s="82"/>
    </row>
    <row r="574" spans="1:5" ht="14.4">
      <c r="A574" s="68">
        <v>43679</v>
      </c>
      <c r="B574" s="65">
        <v>123.34</v>
      </c>
      <c r="C574" s="80">
        <v>2475378</v>
      </c>
      <c r="D574" s="83">
        <v>-4.6978828619996804E-2</v>
      </c>
      <c r="E574" s="82"/>
    </row>
    <row r="575" spans="1:5" ht="14.4">
      <c r="A575" s="68">
        <v>43678</v>
      </c>
      <c r="B575" s="65">
        <v>129.41999999999999</v>
      </c>
      <c r="C575" s="80">
        <v>1296566</v>
      </c>
      <c r="D575" s="83">
        <v>1.062002186475075E-2</v>
      </c>
      <c r="E575" s="82"/>
    </row>
    <row r="576" spans="1:5" ht="14.4">
      <c r="A576" s="68">
        <v>43677</v>
      </c>
      <c r="B576" s="65">
        <v>128.06</v>
      </c>
      <c r="C576" s="80">
        <v>1547913</v>
      </c>
      <c r="D576" s="83">
        <v>2.6620732853115392E-3</v>
      </c>
      <c r="E576" s="82"/>
    </row>
    <row r="577" spans="1:5" ht="14.4">
      <c r="A577" s="68">
        <v>43676</v>
      </c>
      <c r="B577" s="65">
        <v>127.72</v>
      </c>
      <c r="C577" s="80">
        <v>1259431</v>
      </c>
      <c r="D577" s="83">
        <v>-1.8142681426814411E-2</v>
      </c>
      <c r="E577" s="82"/>
    </row>
    <row r="578" spans="1:5" ht="14.4">
      <c r="A578" s="68">
        <v>43675</v>
      </c>
      <c r="B578" s="65">
        <v>130.08000000000001</v>
      </c>
      <c r="C578" s="80">
        <v>767765</v>
      </c>
      <c r="D578" s="83">
        <v>-7.0229007633586527E-3</v>
      </c>
      <c r="E578" s="82"/>
    </row>
    <row r="579" spans="1:5" ht="14.4">
      <c r="A579" s="68">
        <v>43672</v>
      </c>
      <c r="B579" s="65">
        <v>131</v>
      </c>
      <c r="C579" s="80">
        <v>787658</v>
      </c>
      <c r="D579" s="83">
        <v>3.8314176245211051E-3</v>
      </c>
      <c r="E579" s="82"/>
    </row>
    <row r="580" spans="1:5" ht="14.4">
      <c r="A580" s="68">
        <v>43671</v>
      </c>
      <c r="B580" s="65">
        <v>130.5</v>
      </c>
      <c r="C580" s="80">
        <v>1303089</v>
      </c>
      <c r="D580" s="83">
        <v>-1.1063958775386573E-2</v>
      </c>
      <c r="E580" s="82"/>
    </row>
    <row r="581" spans="1:5" ht="14.4">
      <c r="A581" s="68">
        <v>43670</v>
      </c>
      <c r="B581" s="65">
        <v>131.96</v>
      </c>
      <c r="C581" s="80">
        <v>891454</v>
      </c>
      <c r="D581" s="83">
        <v>-4.9766249434474163E-3</v>
      </c>
      <c r="E581" s="82"/>
    </row>
    <row r="582" spans="1:5" ht="14.4">
      <c r="A582" s="68">
        <v>43669</v>
      </c>
      <c r="B582" s="65">
        <v>132.62</v>
      </c>
      <c r="C582" s="80">
        <v>1151374</v>
      </c>
      <c r="D582" s="83">
        <v>1.4224533496482117E-2</v>
      </c>
      <c r="E582" s="82"/>
    </row>
    <row r="583" spans="1:5" ht="14.4">
      <c r="A583" s="68">
        <v>43668</v>
      </c>
      <c r="B583" s="65">
        <v>130.76</v>
      </c>
      <c r="C583" s="80">
        <v>909190</v>
      </c>
      <c r="D583" s="83">
        <v>-5.6273764258555348E-3</v>
      </c>
      <c r="E583" s="82"/>
    </row>
    <row r="584" spans="1:5" ht="14.4">
      <c r="A584" s="68">
        <v>43665</v>
      </c>
      <c r="B584" s="65">
        <v>131.5</v>
      </c>
      <c r="C584" s="80">
        <v>1110654</v>
      </c>
      <c r="D584" s="83">
        <v>-4.5420136260407862E-3</v>
      </c>
      <c r="E584" s="82"/>
    </row>
    <row r="585" spans="1:5" ht="14.4">
      <c r="A585" s="68">
        <v>43664</v>
      </c>
      <c r="B585" s="65">
        <v>132.1</v>
      </c>
      <c r="C585" s="80">
        <v>918163</v>
      </c>
      <c r="D585" s="83">
        <v>1.0609275538040475E-3</v>
      </c>
      <c r="E585" s="82"/>
    </row>
    <row r="586" spans="1:5" ht="14.4">
      <c r="A586" s="68">
        <v>43663</v>
      </c>
      <c r="B586" s="65">
        <v>131.96</v>
      </c>
      <c r="C586" s="80">
        <v>1084788</v>
      </c>
      <c r="D586" s="83">
        <v>6.2528595394237829E-3</v>
      </c>
      <c r="E586" s="82"/>
    </row>
    <row r="587" spans="1:5" ht="14.4">
      <c r="A587" s="68">
        <v>43662</v>
      </c>
      <c r="B587" s="65">
        <v>131.13999999999999</v>
      </c>
      <c r="C587" s="80">
        <v>1035676</v>
      </c>
      <c r="D587" s="83">
        <v>1.5015479876161031E-2</v>
      </c>
      <c r="E587" s="82"/>
    </row>
    <row r="588" spans="1:5" ht="14.4">
      <c r="A588" s="68">
        <v>43661</v>
      </c>
      <c r="B588" s="65">
        <v>129.19999999999999</v>
      </c>
      <c r="C588" s="80">
        <v>973647</v>
      </c>
      <c r="D588" s="83">
        <v>1.1904761904761862E-2</v>
      </c>
      <c r="E588" s="82"/>
    </row>
    <row r="589" spans="1:5" ht="14.4">
      <c r="A589" s="68">
        <v>43658</v>
      </c>
      <c r="B589" s="65">
        <v>127.68</v>
      </c>
      <c r="C589" s="80">
        <v>1023854</v>
      </c>
      <c r="D589" s="83">
        <v>1.3494205429433359E-2</v>
      </c>
      <c r="E589" s="82"/>
    </row>
    <row r="590" spans="1:5" ht="14.4">
      <c r="A590" s="68">
        <v>43657</v>
      </c>
      <c r="B590" s="65">
        <v>125.98</v>
      </c>
      <c r="C590" s="80">
        <v>727473</v>
      </c>
      <c r="D590" s="83">
        <v>1.112523839796653E-3</v>
      </c>
      <c r="E590" s="82"/>
    </row>
    <row r="591" spans="1:5" ht="14.4">
      <c r="A591" s="68">
        <v>43656</v>
      </c>
      <c r="B591" s="65">
        <v>125.84</v>
      </c>
      <c r="C591" s="80">
        <v>1016895</v>
      </c>
      <c r="D591" s="83">
        <v>1.4020950846092006E-2</v>
      </c>
      <c r="E591" s="82"/>
    </row>
    <row r="592" spans="1:5" ht="14.4">
      <c r="A592" s="68">
        <v>43655</v>
      </c>
      <c r="B592" s="65">
        <v>124.1</v>
      </c>
      <c r="C592" s="80">
        <v>666957</v>
      </c>
      <c r="D592" s="83">
        <v>1.4525500322788432E-3</v>
      </c>
      <c r="E592" s="82"/>
    </row>
    <row r="593" spans="1:5" ht="14.4">
      <c r="A593" s="68">
        <v>43654</v>
      </c>
      <c r="B593" s="65">
        <v>123.92</v>
      </c>
      <c r="C593" s="80">
        <v>788487</v>
      </c>
      <c r="D593" s="83">
        <v>-5.2978006100496966E-3</v>
      </c>
      <c r="E593" s="82"/>
    </row>
    <row r="594" spans="1:5" ht="14.4">
      <c r="A594" s="68">
        <v>43651</v>
      </c>
      <c r="B594" s="65">
        <v>124.58</v>
      </c>
      <c r="C594" s="80">
        <v>724073</v>
      </c>
      <c r="D594" s="83">
        <v>-6.3806029669803976E-3</v>
      </c>
      <c r="E594" s="82"/>
    </row>
    <row r="595" spans="1:5" ht="14.4">
      <c r="A595" s="68">
        <v>43650</v>
      </c>
      <c r="B595" s="65">
        <v>125.38</v>
      </c>
      <c r="C595" s="80">
        <v>454665</v>
      </c>
      <c r="D595" s="83">
        <v>-2.0694046482012673E-3</v>
      </c>
      <c r="E595" s="82"/>
    </row>
    <row r="596" spans="1:5" ht="14.4">
      <c r="A596" s="68">
        <v>43649</v>
      </c>
      <c r="B596" s="65">
        <v>125.64</v>
      </c>
      <c r="C596" s="80">
        <v>675445</v>
      </c>
      <c r="D596" s="83">
        <v>1.3552758954501476E-2</v>
      </c>
      <c r="E596" s="82"/>
    </row>
    <row r="597" spans="1:5" ht="14.4">
      <c r="A597" s="68">
        <v>43648</v>
      </c>
      <c r="B597" s="65">
        <v>123.96</v>
      </c>
      <c r="C597" s="80">
        <v>1028534</v>
      </c>
      <c r="D597" s="83">
        <v>-2.7353177795655936E-3</v>
      </c>
      <c r="E597" s="82"/>
    </row>
    <row r="598" spans="1:5" ht="14.4">
      <c r="A598" s="68">
        <v>43647</v>
      </c>
      <c r="B598" s="65">
        <v>124.3</v>
      </c>
      <c r="C598" s="80">
        <v>849429</v>
      </c>
      <c r="D598" s="83">
        <v>-3.0478023740777571E-3</v>
      </c>
      <c r="E598" s="82"/>
    </row>
    <row r="599" spans="1:5" ht="14.4">
      <c r="A599" s="68">
        <v>43644</v>
      </c>
      <c r="B599" s="65">
        <v>124.68</v>
      </c>
      <c r="C599" s="80">
        <v>1108817</v>
      </c>
      <c r="D599" s="83">
        <v>6.4578624475299939E-3</v>
      </c>
      <c r="E599" s="82"/>
    </row>
    <row r="600" spans="1:5" ht="14.4">
      <c r="A600" s="68">
        <v>43643</v>
      </c>
      <c r="B600" s="65">
        <v>123.88</v>
      </c>
      <c r="C600" s="80">
        <v>995489</v>
      </c>
      <c r="D600" s="83">
        <v>-1.3222877170622982E-2</v>
      </c>
      <c r="E600" s="82"/>
    </row>
    <row r="601" spans="1:5" ht="14.4">
      <c r="A601" s="68">
        <v>43642</v>
      </c>
      <c r="B601" s="65">
        <v>125.54</v>
      </c>
      <c r="C601" s="80">
        <v>1028633</v>
      </c>
      <c r="D601" s="83">
        <v>2.8758587633808119E-3</v>
      </c>
      <c r="E601" s="82"/>
    </row>
    <row r="602" spans="1:5" ht="14.4">
      <c r="A602" s="68">
        <v>43641</v>
      </c>
      <c r="B602" s="65">
        <v>125.18</v>
      </c>
      <c r="C602" s="80">
        <v>1068534</v>
      </c>
      <c r="D602" s="83">
        <v>1.5576829466169118E-2</v>
      </c>
      <c r="E602" s="82"/>
    </row>
    <row r="603" spans="1:5" ht="14.4">
      <c r="A603" s="68">
        <v>43640</v>
      </c>
      <c r="B603" s="65">
        <v>123.26</v>
      </c>
      <c r="C603" s="80">
        <v>839580</v>
      </c>
      <c r="D603" s="83">
        <v>3.9094315035022031E-3</v>
      </c>
      <c r="E603" s="82"/>
    </row>
    <row r="604" spans="1:5" ht="14.4">
      <c r="A604" s="68">
        <v>43637</v>
      </c>
      <c r="B604" s="65">
        <v>122.78</v>
      </c>
      <c r="C604" s="80">
        <v>2456772</v>
      </c>
      <c r="D604" s="83">
        <v>-5.5078567957232982E-3</v>
      </c>
      <c r="E604" s="82"/>
    </row>
    <row r="605" spans="1:5" ht="14.4">
      <c r="A605" s="68">
        <v>43636</v>
      </c>
      <c r="B605" s="65">
        <v>123.46</v>
      </c>
      <c r="C605" s="80">
        <v>1751922</v>
      </c>
      <c r="D605" s="83">
        <v>3.739837398373913E-3</v>
      </c>
      <c r="E605" s="82"/>
    </row>
    <row r="606" spans="1:5" ht="14.4">
      <c r="A606" s="68">
        <v>43635</v>
      </c>
      <c r="B606" s="65">
        <v>123</v>
      </c>
      <c r="C606" s="80">
        <v>1646889</v>
      </c>
      <c r="D606" s="83">
        <v>-1.9607843137254832E-2</v>
      </c>
      <c r="E606" s="82"/>
    </row>
    <row r="607" spans="1:5" ht="14.4">
      <c r="A607" s="68">
        <v>43634</v>
      </c>
      <c r="B607" s="65">
        <v>125.46</v>
      </c>
      <c r="C607" s="80">
        <v>1679579</v>
      </c>
      <c r="D607" s="83">
        <v>3.6799999999999056E-3</v>
      </c>
      <c r="E607" s="82"/>
    </row>
    <row r="608" spans="1:5" ht="14.4">
      <c r="A608" s="68">
        <v>43633</v>
      </c>
      <c r="B608" s="65">
        <v>125</v>
      </c>
      <c r="C608" s="80">
        <v>1368430</v>
      </c>
      <c r="D608" s="83">
        <v>2.1074987747100149E-2</v>
      </c>
      <c r="E608" s="82"/>
    </row>
    <row r="609" spans="1:5" ht="14.4">
      <c r="A609" s="68">
        <v>43630</v>
      </c>
      <c r="B609" s="65">
        <v>122.42</v>
      </c>
      <c r="C609" s="80">
        <v>873534</v>
      </c>
      <c r="D609" s="83">
        <v>-1.9566280776128764E-3</v>
      </c>
      <c r="E609" s="82"/>
    </row>
    <row r="610" spans="1:5" ht="14.4">
      <c r="A610" s="68">
        <v>43629</v>
      </c>
      <c r="B610" s="65">
        <v>122.66</v>
      </c>
      <c r="C610" s="80">
        <v>890365</v>
      </c>
      <c r="D610" s="83">
        <v>3.1076218514882736E-3</v>
      </c>
      <c r="E610" s="82"/>
    </row>
    <row r="611" spans="1:5" ht="14.4">
      <c r="A611" s="68">
        <v>43628</v>
      </c>
      <c r="B611" s="65">
        <v>122.28</v>
      </c>
      <c r="C611" s="80">
        <v>924062</v>
      </c>
      <c r="D611" s="83">
        <v>-9.0761750405187192E-3</v>
      </c>
      <c r="E611" s="82"/>
    </row>
    <row r="612" spans="1:5" ht="14.4">
      <c r="A612" s="68">
        <v>43627</v>
      </c>
      <c r="B612" s="65">
        <v>123.4</v>
      </c>
      <c r="C612" s="80">
        <v>1125280</v>
      </c>
      <c r="D612" s="83">
        <v>1.9329258219064949E-2</v>
      </c>
      <c r="E612" s="82"/>
    </row>
    <row r="613" spans="1:5" ht="14.4">
      <c r="A613" s="68">
        <v>43626</v>
      </c>
      <c r="B613" s="65">
        <v>121.06</v>
      </c>
      <c r="C613" s="80">
        <v>507749</v>
      </c>
      <c r="D613" s="83">
        <v>1.1577902745616431E-3</v>
      </c>
      <c r="E613" s="82"/>
    </row>
    <row r="614" spans="1:5" ht="14.4">
      <c r="A614" s="68">
        <v>43623</v>
      </c>
      <c r="B614" s="65">
        <v>120.92</v>
      </c>
      <c r="C614" s="80">
        <v>1199498</v>
      </c>
      <c r="D614" s="83">
        <v>2.5093251949813489E-2</v>
      </c>
      <c r="E614" s="82"/>
    </row>
    <row r="615" spans="1:5" ht="14.4">
      <c r="A615" s="68">
        <v>43622</v>
      </c>
      <c r="B615" s="65">
        <v>117.96</v>
      </c>
      <c r="C615" s="80">
        <v>1025038</v>
      </c>
      <c r="D615" s="83">
        <v>-6.2342038753160356E-3</v>
      </c>
      <c r="E615" s="82"/>
    </row>
    <row r="616" spans="1:5" ht="14.4">
      <c r="A616" s="68">
        <v>43621</v>
      </c>
      <c r="B616" s="65">
        <v>118.7</v>
      </c>
      <c r="C616" s="80">
        <v>1234756</v>
      </c>
      <c r="D616" s="83">
        <v>1.8568534773801826E-3</v>
      </c>
      <c r="E616" s="82"/>
    </row>
    <row r="617" spans="1:5" ht="14.4">
      <c r="A617" s="68">
        <v>43620</v>
      </c>
      <c r="B617" s="65">
        <v>118.48</v>
      </c>
      <c r="C617" s="80">
        <v>1259997</v>
      </c>
      <c r="D617" s="83">
        <v>1.1266643905770035E-2</v>
      </c>
      <c r="E617" s="82"/>
    </row>
    <row r="618" spans="1:5" ht="14.4">
      <c r="A618" s="68">
        <v>43619</v>
      </c>
      <c r="B618" s="65">
        <v>117.16</v>
      </c>
      <c r="C618" s="80">
        <v>1158939</v>
      </c>
      <c r="D618" s="83">
        <v>2.0024377503047086E-2</v>
      </c>
      <c r="E618" s="82"/>
    </row>
    <row r="619" spans="1:5" ht="14.4">
      <c r="A619" s="68">
        <v>43616</v>
      </c>
      <c r="B619" s="65">
        <v>114.86</v>
      </c>
      <c r="C619" s="80">
        <v>1422449</v>
      </c>
      <c r="D619" s="83">
        <v>-3.2974661575840836E-3</v>
      </c>
      <c r="E619" s="82"/>
    </row>
    <row r="620" spans="1:5" ht="14.4">
      <c r="A620" s="68">
        <v>43615</v>
      </c>
      <c r="B620" s="65">
        <v>115.24</v>
      </c>
      <c r="C620" s="80">
        <v>527329</v>
      </c>
      <c r="D620" s="83">
        <v>7.5187969924812581E-3</v>
      </c>
      <c r="E620" s="82"/>
    </row>
    <row r="621" spans="1:5" ht="14.4">
      <c r="A621" s="68">
        <v>43614</v>
      </c>
      <c r="B621" s="65">
        <v>114.38</v>
      </c>
      <c r="C621" s="80">
        <v>1460847</v>
      </c>
      <c r="D621" s="83">
        <v>-1.6678129298486888E-2</v>
      </c>
      <c r="E621" s="82"/>
    </row>
    <row r="622" spans="1:5" ht="14.4">
      <c r="A622" s="68">
        <v>43613</v>
      </c>
      <c r="B622" s="65">
        <v>116.32</v>
      </c>
      <c r="C622" s="80">
        <v>1121118</v>
      </c>
      <c r="D622" s="83">
        <v>-4.4505306401918521E-3</v>
      </c>
      <c r="E622" s="82"/>
    </row>
    <row r="623" spans="1:5" ht="14.4">
      <c r="A623" s="68">
        <v>43612</v>
      </c>
      <c r="B623" s="65">
        <v>116.84</v>
      </c>
      <c r="C623" s="80">
        <v>314712</v>
      </c>
      <c r="D623" s="83">
        <v>2.5742234425947252E-3</v>
      </c>
      <c r="E623" s="82"/>
    </row>
    <row r="624" spans="1:5" ht="14.4">
      <c r="A624" s="68">
        <v>43609</v>
      </c>
      <c r="B624" s="65">
        <v>116.54</v>
      </c>
      <c r="C624" s="80">
        <v>941761</v>
      </c>
      <c r="D624" s="83">
        <v>1.4449860724234043E-2</v>
      </c>
      <c r="E624" s="82"/>
    </row>
    <row r="625" spans="1:5" ht="14.4">
      <c r="A625" s="68">
        <v>43608</v>
      </c>
      <c r="B625" s="65">
        <v>114.88</v>
      </c>
      <c r="C625" s="80">
        <v>1292608</v>
      </c>
      <c r="D625" s="83">
        <v>-2.8252410759600721E-2</v>
      </c>
      <c r="E625" s="82"/>
    </row>
    <row r="626" spans="1:5" ht="14.4">
      <c r="A626" s="68">
        <v>43607</v>
      </c>
      <c r="B626" s="65">
        <v>118.22</v>
      </c>
      <c r="C626" s="80">
        <v>841620</v>
      </c>
      <c r="D626" s="83">
        <v>-3.3823778116015557E-4</v>
      </c>
      <c r="E626" s="82"/>
    </row>
    <row r="627" spans="1:5" ht="14.4">
      <c r="A627" s="68">
        <v>43606</v>
      </c>
      <c r="B627" s="65">
        <v>118.26</v>
      </c>
      <c r="C627" s="80">
        <v>797261</v>
      </c>
      <c r="D627" s="83">
        <v>-6.8861269734631358E-3</v>
      </c>
      <c r="E627" s="82"/>
    </row>
    <row r="628" spans="1:5" ht="14.4">
      <c r="A628" s="68">
        <v>43605</v>
      </c>
      <c r="B628" s="65">
        <v>119.08</v>
      </c>
      <c r="C628" s="80">
        <v>880698</v>
      </c>
      <c r="D628" s="83">
        <v>-1.5867768595041354E-2</v>
      </c>
      <c r="E628" s="82"/>
    </row>
    <row r="629" spans="1:5" ht="14.4">
      <c r="A629" s="68">
        <v>43602</v>
      </c>
      <c r="B629" s="65">
        <v>121</v>
      </c>
      <c r="C629" s="80">
        <v>1346495</v>
      </c>
      <c r="D629" s="83">
        <v>-1.2244897959183709E-2</v>
      </c>
      <c r="E629" s="82"/>
    </row>
    <row r="630" spans="1:5" ht="14.4">
      <c r="A630" s="68">
        <v>43601</v>
      </c>
      <c r="B630" s="65">
        <v>122.5</v>
      </c>
      <c r="C630" s="80">
        <v>1171146</v>
      </c>
      <c r="D630" s="83">
        <v>1.3401720714758536E-2</v>
      </c>
      <c r="E630" s="82"/>
    </row>
    <row r="631" spans="1:5" ht="14.4">
      <c r="A631" s="68">
        <v>43600</v>
      </c>
      <c r="B631" s="65">
        <v>120.88</v>
      </c>
      <c r="C631" s="80">
        <v>1225273</v>
      </c>
      <c r="D631" s="83">
        <v>1.5798319327731125E-2</v>
      </c>
      <c r="E631" s="82"/>
    </row>
    <row r="632" spans="1:5" ht="14.4">
      <c r="A632" s="68">
        <v>43599</v>
      </c>
      <c r="B632" s="65">
        <v>119</v>
      </c>
      <c r="C632" s="80">
        <v>1080454</v>
      </c>
      <c r="D632" s="83">
        <v>3.0124653739612262E-2</v>
      </c>
      <c r="E632" s="82"/>
    </row>
    <row r="633" spans="1:5" ht="14.4">
      <c r="A633" s="68">
        <v>43598</v>
      </c>
      <c r="B633" s="65">
        <v>115.52</v>
      </c>
      <c r="C633" s="80">
        <v>1187754</v>
      </c>
      <c r="D633" s="83">
        <v>-1.6851063829787294E-2</v>
      </c>
      <c r="E633" s="82"/>
    </row>
    <row r="634" spans="1:5" ht="14.4">
      <c r="A634" s="68">
        <v>43595</v>
      </c>
      <c r="B634" s="65">
        <v>117.5</v>
      </c>
      <c r="C634" s="80">
        <v>1146292</v>
      </c>
      <c r="D634" s="83">
        <v>5.9931506849315586E-3</v>
      </c>
      <c r="E634" s="82"/>
    </row>
    <row r="635" spans="1:5" ht="14.4">
      <c r="A635" s="68">
        <v>43594</v>
      </c>
      <c r="B635" s="65">
        <v>116.8</v>
      </c>
      <c r="C635" s="80">
        <v>1071567</v>
      </c>
      <c r="D635" s="83">
        <v>-1.6835016835016869E-2</v>
      </c>
      <c r="E635" s="82"/>
    </row>
    <row r="636" spans="1:5" ht="14.4">
      <c r="A636" s="68">
        <v>43593</v>
      </c>
      <c r="B636" s="65">
        <v>118.8</v>
      </c>
      <c r="C636" s="80">
        <v>1135884</v>
      </c>
      <c r="D636" s="83">
        <v>1.0719754977029039E-2</v>
      </c>
      <c r="E636" s="82"/>
    </row>
    <row r="637" spans="1:5" ht="14.4">
      <c r="A637" s="68">
        <v>43592</v>
      </c>
      <c r="B637" s="65">
        <v>117.54</v>
      </c>
      <c r="C637" s="80">
        <v>1245034</v>
      </c>
      <c r="D637" s="83">
        <v>-1.8045112781954864E-2</v>
      </c>
      <c r="E637" s="82"/>
    </row>
    <row r="638" spans="1:5" ht="14.4">
      <c r="A638" s="68">
        <v>43591</v>
      </c>
      <c r="B638" s="65">
        <v>119.7</v>
      </c>
      <c r="C638" s="80">
        <v>943587</v>
      </c>
      <c r="D638" s="83">
        <v>1.1709601873537423E-3</v>
      </c>
      <c r="E638" s="82"/>
    </row>
    <row r="639" spans="1:5" ht="14.4">
      <c r="A639" s="68">
        <v>43588</v>
      </c>
      <c r="B639" s="65">
        <v>119.56</v>
      </c>
      <c r="C639" s="80">
        <v>919711</v>
      </c>
      <c r="D639" s="83">
        <v>-3.500583430571802E-3</v>
      </c>
      <c r="E639" s="82"/>
    </row>
    <row r="640" spans="1:5" ht="14.4">
      <c r="A640" s="68">
        <v>43587</v>
      </c>
      <c r="B640" s="65">
        <v>119.98</v>
      </c>
      <c r="C640" s="80">
        <v>1602622</v>
      </c>
      <c r="D640" s="83">
        <v>-1.5589104036757395E-2</v>
      </c>
      <c r="E640" s="82"/>
    </row>
    <row r="641" spans="1:5" ht="14.4">
      <c r="A641" s="68">
        <v>43585</v>
      </c>
      <c r="B641" s="65">
        <v>121.88</v>
      </c>
      <c r="C641" s="80">
        <v>1391362</v>
      </c>
      <c r="D641" s="83">
        <v>-9.2667858884734056E-3</v>
      </c>
      <c r="E641" s="82"/>
    </row>
    <row r="642" spans="1:5" ht="14.4">
      <c r="A642" s="68">
        <v>43584</v>
      </c>
      <c r="B642" s="65">
        <v>123.02</v>
      </c>
      <c r="C642" s="80">
        <v>1069541</v>
      </c>
      <c r="D642" s="83">
        <v>9.5191203019857618E-3</v>
      </c>
      <c r="E642" s="82"/>
    </row>
    <row r="643" spans="1:5" ht="14.4">
      <c r="A643" s="68">
        <v>43581</v>
      </c>
      <c r="B643" s="65">
        <v>121.86</v>
      </c>
      <c r="C643" s="80">
        <v>1018510</v>
      </c>
      <c r="D643" s="83">
        <v>-3.2813781788354479E-4</v>
      </c>
      <c r="E643" s="82"/>
    </row>
    <row r="644" spans="1:5" ht="14.4">
      <c r="A644" s="68">
        <v>43580</v>
      </c>
      <c r="B644" s="65">
        <v>121.9</v>
      </c>
      <c r="C644" s="80">
        <v>891406</v>
      </c>
      <c r="D644" s="83">
        <v>-2.4549918166939522E-3</v>
      </c>
      <c r="E644" s="82"/>
    </row>
    <row r="645" spans="1:5" ht="14.4">
      <c r="A645" s="68">
        <v>43579</v>
      </c>
      <c r="B645" s="65">
        <v>122.2</v>
      </c>
      <c r="C645" s="80">
        <v>882275</v>
      </c>
      <c r="D645" s="83">
        <v>-4.8859934853420217E-3</v>
      </c>
      <c r="E645" s="82"/>
    </row>
    <row r="646" spans="1:5" ht="14.4">
      <c r="A646" s="68">
        <v>43578</v>
      </c>
      <c r="B646" s="65">
        <v>122.8</v>
      </c>
      <c r="C646" s="80">
        <v>1424239</v>
      </c>
      <c r="D646" s="83">
        <v>2.1290751829674104E-2</v>
      </c>
      <c r="E646" s="82"/>
    </row>
    <row r="647" spans="1:5" ht="14.4">
      <c r="A647" s="68">
        <v>43573</v>
      </c>
      <c r="B647" s="65">
        <v>120.24</v>
      </c>
      <c r="C647" s="80">
        <v>2066169</v>
      </c>
      <c r="D647" s="83">
        <v>1.0080645161290258E-2</v>
      </c>
      <c r="E647" s="82"/>
    </row>
    <row r="648" spans="1:5" ht="14.4">
      <c r="A648" s="68">
        <v>43572</v>
      </c>
      <c r="B648" s="65">
        <v>119.04</v>
      </c>
      <c r="C648" s="80">
        <v>1333637</v>
      </c>
      <c r="D648" s="83">
        <v>9.4979647218453866E-3</v>
      </c>
      <c r="E648" s="82"/>
    </row>
    <row r="649" spans="1:5" ht="14.4">
      <c r="A649" s="68">
        <v>43571</v>
      </c>
      <c r="B649" s="65">
        <v>117.92</v>
      </c>
      <c r="C649" s="80">
        <v>900262</v>
      </c>
      <c r="D649" s="83">
        <v>5.8000682360970224E-3</v>
      </c>
      <c r="E649" s="82"/>
    </row>
    <row r="650" spans="1:5" ht="14.4">
      <c r="A650" s="68">
        <v>43570</v>
      </c>
      <c r="B650" s="65">
        <v>117.24</v>
      </c>
      <c r="C650" s="80">
        <v>702766</v>
      </c>
      <c r="D650" s="83">
        <v>-1.1467116357504192E-2</v>
      </c>
      <c r="E650" s="82"/>
    </row>
    <row r="651" spans="1:5" ht="14.4">
      <c r="A651" s="68">
        <v>43567</v>
      </c>
      <c r="B651" s="65">
        <v>118.6</v>
      </c>
      <c r="C651" s="80">
        <v>935016</v>
      </c>
      <c r="D651" s="83">
        <v>9.3617021276595214E-3</v>
      </c>
      <c r="E651" s="82"/>
    </row>
    <row r="652" spans="1:5" ht="14.4">
      <c r="A652" s="68">
        <v>43566</v>
      </c>
      <c r="B652" s="65">
        <v>117.5</v>
      </c>
      <c r="C652" s="80">
        <v>935093</v>
      </c>
      <c r="D652" s="83">
        <v>8.5836909871244149E-3</v>
      </c>
      <c r="E652" s="82"/>
    </row>
    <row r="653" spans="1:5" ht="14.4">
      <c r="A653" s="68">
        <v>43565</v>
      </c>
      <c r="B653" s="65">
        <v>116.5</v>
      </c>
      <c r="C653" s="80">
        <v>1420843</v>
      </c>
      <c r="D653" s="83">
        <v>-1.6877637130801704E-2</v>
      </c>
      <c r="E653" s="82"/>
    </row>
    <row r="654" spans="1:5" ht="14.4">
      <c r="A654" s="68">
        <v>43564</v>
      </c>
      <c r="B654" s="65">
        <v>118.5</v>
      </c>
      <c r="C654" s="80">
        <v>1453576</v>
      </c>
      <c r="D654" s="83">
        <v>-1.8552261056816288E-2</v>
      </c>
      <c r="E654" s="82"/>
    </row>
    <row r="655" spans="1:5" ht="14.4">
      <c r="A655" s="68">
        <v>43563</v>
      </c>
      <c r="B655" s="65">
        <v>120.74</v>
      </c>
      <c r="C655" s="80">
        <v>1502349</v>
      </c>
      <c r="D655" s="83">
        <v>1.7357600269632512E-2</v>
      </c>
      <c r="E655" s="82"/>
    </row>
    <row r="656" spans="1:5" ht="14.4">
      <c r="A656" s="68">
        <v>43560</v>
      </c>
      <c r="B656" s="65">
        <v>118.68</v>
      </c>
      <c r="C656" s="80">
        <v>1614315</v>
      </c>
      <c r="D656" s="83">
        <v>7.2992700729928028E-3</v>
      </c>
      <c r="E656" s="82"/>
    </row>
    <row r="657" spans="1:5" ht="14.4">
      <c r="A657" s="68">
        <v>43559</v>
      </c>
      <c r="B657" s="65">
        <v>117.82</v>
      </c>
      <c r="C657" s="80">
        <v>1152087</v>
      </c>
      <c r="D657" s="83">
        <v>-6.0738991057871505E-3</v>
      </c>
      <c r="E657" s="82"/>
    </row>
    <row r="658" spans="1:5" ht="14.4">
      <c r="A658" s="68">
        <v>43558</v>
      </c>
      <c r="B658" s="65">
        <v>118.54</v>
      </c>
      <c r="C658" s="80">
        <v>1214807</v>
      </c>
      <c r="D658" s="83">
        <v>1.1260876983449908E-2</v>
      </c>
      <c r="E658" s="82"/>
    </row>
    <row r="659" spans="1:5" ht="14.4">
      <c r="A659" s="68">
        <v>43557</v>
      </c>
      <c r="B659" s="65">
        <v>117.22</v>
      </c>
      <c r="C659" s="80">
        <v>1368037</v>
      </c>
      <c r="D659" s="83">
        <v>-4.5855978260870289E-3</v>
      </c>
      <c r="E659" s="82"/>
    </row>
    <row r="660" spans="1:5" ht="14.4">
      <c r="A660" s="68">
        <v>43556</v>
      </c>
      <c r="B660" s="65">
        <v>117.76</v>
      </c>
      <c r="C660" s="80">
        <v>962091</v>
      </c>
      <c r="D660" s="83">
        <v>-1.1874469889736616E-3</v>
      </c>
      <c r="E660" s="82"/>
    </row>
    <row r="661" spans="1:5" ht="14.4">
      <c r="A661" s="68">
        <v>43553</v>
      </c>
      <c r="B661" s="65">
        <v>117.9</v>
      </c>
      <c r="C661" s="80">
        <v>1220119</v>
      </c>
      <c r="D661" s="83">
        <v>1.4106313435403361E-2</v>
      </c>
      <c r="E661" s="82"/>
    </row>
    <row r="662" spans="1:5" ht="14.4">
      <c r="A662" s="68">
        <v>43552</v>
      </c>
      <c r="B662" s="65">
        <v>116.26</v>
      </c>
      <c r="C662" s="80">
        <v>950323</v>
      </c>
      <c r="D662" s="83">
        <v>6.7544163491513043E-3</v>
      </c>
      <c r="E662" s="82"/>
    </row>
    <row r="663" spans="1:5" ht="14.4">
      <c r="A663" s="68">
        <v>43551</v>
      </c>
      <c r="B663" s="65">
        <v>115.48</v>
      </c>
      <c r="C663" s="80">
        <v>1104628</v>
      </c>
      <c r="D663" s="83">
        <v>-7.3921265257005375E-3</v>
      </c>
      <c r="E663" s="82"/>
    </row>
    <row r="664" spans="1:5" ht="14.4">
      <c r="A664" s="68">
        <v>43550</v>
      </c>
      <c r="B664" s="65">
        <v>116.34</v>
      </c>
      <c r="C664" s="80">
        <v>1254958</v>
      </c>
      <c r="D664" s="83">
        <v>2.0168361978253113E-2</v>
      </c>
      <c r="E664" s="82"/>
    </row>
    <row r="665" spans="1:5" ht="14.4">
      <c r="A665" s="68">
        <v>43549</v>
      </c>
      <c r="B665" s="65">
        <v>114.04</v>
      </c>
      <c r="C665" s="80">
        <v>1607484</v>
      </c>
      <c r="D665" s="83">
        <v>-4.8865619546246686E-3</v>
      </c>
      <c r="E665" s="82"/>
    </row>
    <row r="666" spans="1:5" ht="14.4">
      <c r="A666" s="68">
        <v>43546</v>
      </c>
      <c r="B666" s="65">
        <v>114.6</v>
      </c>
      <c r="C666" s="80">
        <v>1548212</v>
      </c>
      <c r="D666" s="83">
        <v>-3.3400809716599311E-2</v>
      </c>
      <c r="E666" s="82"/>
    </row>
    <row r="667" spans="1:5" ht="14.4">
      <c r="A667" s="68">
        <v>43545</v>
      </c>
      <c r="B667" s="65">
        <v>118.56</v>
      </c>
      <c r="C667" s="80">
        <v>991764</v>
      </c>
      <c r="D667" s="83">
        <v>5.9392499575767754E-3</v>
      </c>
      <c r="E667" s="82"/>
    </row>
    <row r="668" spans="1:5" ht="14.4">
      <c r="A668" s="68">
        <v>43544</v>
      </c>
      <c r="B668" s="65">
        <v>117.86</v>
      </c>
      <c r="C668" s="80">
        <v>1651569</v>
      </c>
      <c r="D668" s="83">
        <v>-9.5798319327731196E-3</v>
      </c>
      <c r="E668" s="82"/>
    </row>
    <row r="669" spans="1:5" ht="14.4">
      <c r="A669" s="68">
        <v>43543</v>
      </c>
      <c r="B669" s="65">
        <v>119</v>
      </c>
      <c r="C669" s="80">
        <v>1217304</v>
      </c>
      <c r="D669" s="83">
        <v>8.4745762711864181E-3</v>
      </c>
      <c r="E669" s="82"/>
    </row>
    <row r="670" spans="1:5" ht="14.4">
      <c r="A670" s="68">
        <v>43542</v>
      </c>
      <c r="B670" s="65">
        <v>118</v>
      </c>
      <c r="C670" s="80">
        <v>974655</v>
      </c>
      <c r="D670" s="83">
        <v>2.7192386131882351E-3</v>
      </c>
      <c r="E670" s="82"/>
    </row>
    <row r="671" spans="1:5" ht="14.4">
      <c r="A671" s="68">
        <v>43539</v>
      </c>
      <c r="B671" s="65">
        <v>117.68</v>
      </c>
      <c r="C671" s="80">
        <v>3463099</v>
      </c>
      <c r="D671" s="83">
        <v>5.811965811965969E-3</v>
      </c>
      <c r="E671" s="82"/>
    </row>
    <row r="672" spans="1:5" ht="14.4">
      <c r="A672" s="68">
        <v>43538</v>
      </c>
      <c r="B672" s="65">
        <v>117</v>
      </c>
      <c r="C672" s="80">
        <v>1698454</v>
      </c>
      <c r="D672" s="83">
        <v>1.0266940451746365E-3</v>
      </c>
      <c r="E672" s="82"/>
    </row>
    <row r="673" spans="1:5" ht="14.4">
      <c r="A673" s="68">
        <v>43537</v>
      </c>
      <c r="B673" s="65">
        <v>116.88</v>
      </c>
      <c r="C673" s="80">
        <v>2334138</v>
      </c>
      <c r="D673" s="83">
        <v>2.0073311223599122E-2</v>
      </c>
      <c r="E673" s="82"/>
    </row>
    <row r="674" spans="1:5" ht="14.4">
      <c r="A674" s="68">
        <v>43536</v>
      </c>
      <c r="B674" s="65">
        <v>114.58</v>
      </c>
      <c r="C674" s="80">
        <v>1614290</v>
      </c>
      <c r="D674" s="83">
        <v>1.4341359773371254E-2</v>
      </c>
      <c r="E674" s="82"/>
    </row>
    <row r="675" spans="1:5" ht="14.4">
      <c r="A675" s="68">
        <v>43535</v>
      </c>
      <c r="B675" s="65">
        <v>112.96</v>
      </c>
      <c r="C675" s="80">
        <v>1217340</v>
      </c>
      <c r="D675" s="83">
        <v>1.2912482065997155E-2</v>
      </c>
      <c r="E675" s="82"/>
    </row>
    <row r="676" spans="1:5" ht="14.4">
      <c r="A676" s="68">
        <v>43532</v>
      </c>
      <c r="B676" s="65">
        <v>111.52</v>
      </c>
      <c r="C676" s="80">
        <v>1678207</v>
      </c>
      <c r="D676" s="83">
        <v>-1.0821358878836285E-2</v>
      </c>
      <c r="E676" s="82"/>
    </row>
    <row r="677" spans="1:5" ht="14.4">
      <c r="A677" s="68">
        <v>43531</v>
      </c>
      <c r="B677" s="65">
        <v>112.74</v>
      </c>
      <c r="C677" s="80">
        <v>1682374</v>
      </c>
      <c r="D677" s="83">
        <v>-8.6176574041505472E-3</v>
      </c>
      <c r="E677" s="82"/>
    </row>
    <row r="678" spans="1:5" ht="14.4">
      <c r="A678" s="68">
        <v>43530</v>
      </c>
      <c r="B678" s="65">
        <v>113.72</v>
      </c>
      <c r="C678" s="80">
        <v>1035032</v>
      </c>
      <c r="D678" s="83">
        <v>4.2387848816674012E-3</v>
      </c>
      <c r="E678" s="82"/>
    </row>
    <row r="679" spans="1:5" ht="14.4">
      <c r="A679" s="68">
        <v>43529</v>
      </c>
      <c r="B679" s="65">
        <v>113.24</v>
      </c>
      <c r="C679" s="80">
        <v>1510042</v>
      </c>
      <c r="D679" s="83">
        <v>-6.8409051043676339E-3</v>
      </c>
      <c r="E679" s="82"/>
    </row>
    <row r="680" spans="1:5" ht="14.4">
      <c r="A680" s="68">
        <v>43528</v>
      </c>
      <c r="B680" s="65">
        <v>114.02</v>
      </c>
      <c r="C680" s="80">
        <v>1133867</v>
      </c>
      <c r="D680" s="83">
        <v>1.0535557506583526E-3</v>
      </c>
      <c r="E680" s="82"/>
    </row>
    <row r="681" spans="1:5" ht="14.4">
      <c r="A681" s="68">
        <v>43525</v>
      </c>
      <c r="B681" s="65">
        <v>113.9</v>
      </c>
      <c r="C681" s="80">
        <v>1263899</v>
      </c>
      <c r="D681" s="83">
        <v>2.640845070422726E-3</v>
      </c>
      <c r="E681" s="82"/>
    </row>
    <row r="682" spans="1:5" ht="14.4">
      <c r="A682" s="68">
        <v>43524</v>
      </c>
      <c r="B682" s="65">
        <v>113.6</v>
      </c>
      <c r="C682" s="80">
        <v>1473561</v>
      </c>
      <c r="D682" s="83">
        <v>1.2339150361360129E-3</v>
      </c>
      <c r="E682" s="82"/>
    </row>
    <row r="683" spans="1:5" ht="14.4">
      <c r="A683" s="68">
        <v>43523</v>
      </c>
      <c r="B683" s="65">
        <v>113.46</v>
      </c>
      <c r="C683" s="80">
        <v>1255186</v>
      </c>
      <c r="D683" s="83">
        <v>3.005657708627929E-3</v>
      </c>
      <c r="E683" s="82"/>
    </row>
    <row r="684" spans="1:5" ht="14.4">
      <c r="A684" s="68">
        <v>43522</v>
      </c>
      <c r="B684" s="65">
        <v>113.12</v>
      </c>
      <c r="C684" s="80">
        <v>1162067</v>
      </c>
      <c r="D684" s="83">
        <v>-1.9410622904535435E-3</v>
      </c>
      <c r="E684" s="82"/>
    </row>
    <row r="685" spans="1:5" ht="14.4">
      <c r="A685" s="68">
        <v>43521</v>
      </c>
      <c r="B685" s="65">
        <v>113.34</v>
      </c>
      <c r="C685" s="80">
        <v>1312486</v>
      </c>
      <c r="D685" s="83">
        <v>-3.1662269129287823E-3</v>
      </c>
      <c r="E685" s="82"/>
    </row>
    <row r="686" spans="1:5" ht="14.4">
      <c r="A686" s="68">
        <v>43518</v>
      </c>
      <c r="B686" s="65">
        <v>113.7</v>
      </c>
      <c r="C686" s="80">
        <v>1662516</v>
      </c>
      <c r="D686" s="83">
        <v>2.1012931034482873E-2</v>
      </c>
      <c r="E686" s="82"/>
    </row>
    <row r="687" spans="1:5" ht="14.4">
      <c r="A687" s="68">
        <v>43517</v>
      </c>
      <c r="B687" s="65">
        <v>111.36</v>
      </c>
      <c r="C687" s="80">
        <v>1937817</v>
      </c>
      <c r="D687" s="83">
        <v>2.1598272138227959E-3</v>
      </c>
      <c r="E687" s="82"/>
    </row>
    <row r="688" spans="1:5" ht="14.4">
      <c r="A688" s="68">
        <v>43516</v>
      </c>
      <c r="B688" s="65">
        <v>111.12</v>
      </c>
      <c r="C688" s="80">
        <v>1530872</v>
      </c>
      <c r="D688" s="83">
        <v>-1.7995321216479621E-4</v>
      </c>
      <c r="E688" s="82"/>
    </row>
    <row r="689" spans="1:5" ht="14.4">
      <c r="A689" s="68">
        <v>43515</v>
      </c>
      <c r="B689" s="65">
        <v>111.14</v>
      </c>
      <c r="C689" s="80">
        <v>1663311</v>
      </c>
      <c r="D689" s="83">
        <v>-1.0785547366529702E-3</v>
      </c>
      <c r="E689" s="82"/>
    </row>
    <row r="690" spans="1:5" ht="14.4">
      <c r="A690" s="68">
        <v>43514</v>
      </c>
      <c r="B690" s="65">
        <v>111.26</v>
      </c>
      <c r="C690" s="80">
        <v>1336861</v>
      </c>
      <c r="D690" s="83">
        <v>2.5229771129933187E-3</v>
      </c>
      <c r="E690" s="82"/>
    </row>
    <row r="691" spans="1:5" ht="14.4">
      <c r="A691" s="68">
        <v>43511</v>
      </c>
      <c r="B691" s="65">
        <v>110.98</v>
      </c>
      <c r="C691" s="80">
        <v>2474676</v>
      </c>
      <c r="D691" s="83">
        <v>3.5454375816383665E-2</v>
      </c>
      <c r="E691" s="82"/>
    </row>
    <row r="692" spans="1:5" ht="14.4">
      <c r="A692" s="68">
        <v>43510</v>
      </c>
      <c r="B692" s="65">
        <v>107.18</v>
      </c>
      <c r="C692" s="80">
        <v>3418594</v>
      </c>
      <c r="D692" s="83">
        <v>2.6825062272466171E-2</v>
      </c>
      <c r="E692" s="82"/>
    </row>
    <row r="693" spans="1:5" ht="14.4">
      <c r="A693" s="68">
        <v>43509</v>
      </c>
      <c r="B693" s="65">
        <v>104.38</v>
      </c>
      <c r="C693" s="80">
        <v>1810340</v>
      </c>
      <c r="D693" s="83">
        <v>1.5567230978789537E-2</v>
      </c>
      <c r="E693" s="82"/>
    </row>
    <row r="694" spans="1:5" ht="14.4">
      <c r="A694" s="68">
        <v>43508</v>
      </c>
      <c r="B694" s="65">
        <v>102.78</v>
      </c>
      <c r="C694" s="80">
        <v>1384956</v>
      </c>
      <c r="D694" s="83">
        <v>7.6470588235293402E-3</v>
      </c>
      <c r="E694" s="82"/>
    </row>
    <row r="695" spans="1:5" ht="14.4">
      <c r="A695" s="68">
        <v>43507</v>
      </c>
      <c r="B695" s="65">
        <v>102</v>
      </c>
      <c r="C695" s="80">
        <v>1314998</v>
      </c>
      <c r="D695" s="83">
        <v>2.061236742045236E-2</v>
      </c>
      <c r="E695" s="82"/>
    </row>
    <row r="696" spans="1:5" ht="14.4">
      <c r="A696" s="68">
        <v>43504</v>
      </c>
      <c r="B696" s="65">
        <v>99.94</v>
      </c>
      <c r="C696" s="80">
        <v>1262531</v>
      </c>
      <c r="D696" s="83">
        <v>1.1018731844134599E-3</v>
      </c>
      <c r="E696" s="82"/>
    </row>
    <row r="697" spans="1:5" ht="14.4">
      <c r="A697" s="68">
        <v>43503</v>
      </c>
      <c r="B697" s="65">
        <v>99.83</v>
      </c>
      <c r="C697" s="80">
        <v>1491323</v>
      </c>
      <c r="D697" s="83">
        <v>-2.2041536050156685E-2</v>
      </c>
      <c r="E697" s="82"/>
    </row>
    <row r="698" spans="1:5" ht="14.4">
      <c r="A698" s="68">
        <v>43502</v>
      </c>
      <c r="B698" s="65">
        <v>102.08</v>
      </c>
      <c r="C698" s="80">
        <v>892011</v>
      </c>
      <c r="D698" s="83">
        <v>7.8431372549014888E-4</v>
      </c>
      <c r="E698" s="82"/>
    </row>
    <row r="699" spans="1:5" ht="14.4">
      <c r="A699" s="68">
        <v>43501</v>
      </c>
      <c r="B699" s="65">
        <v>102</v>
      </c>
      <c r="C699" s="80">
        <v>1373286</v>
      </c>
      <c r="D699" s="83">
        <v>5.9171597633136397E-3</v>
      </c>
      <c r="E699" s="82"/>
    </row>
    <row r="700" spans="1:5" ht="14.4">
      <c r="A700" s="68">
        <v>43500</v>
      </c>
      <c r="B700" s="65">
        <v>101.4</v>
      </c>
      <c r="C700" s="80">
        <v>986555</v>
      </c>
      <c r="D700" s="83">
        <v>2.7689873417722222E-3</v>
      </c>
      <c r="E700" s="82"/>
    </row>
    <row r="701" spans="1:5" ht="14.4">
      <c r="A701" s="68">
        <v>43497</v>
      </c>
      <c r="B701" s="65">
        <v>101.12</v>
      </c>
      <c r="C701" s="80">
        <v>1587528</v>
      </c>
      <c r="D701" s="83">
        <v>8.9802434643784235E-3</v>
      </c>
      <c r="E701" s="82"/>
    </row>
    <row r="702" spans="1:5" ht="14.4">
      <c r="A702" s="68">
        <v>43496</v>
      </c>
      <c r="B702" s="65">
        <v>100.22</v>
      </c>
      <c r="C702" s="80">
        <v>2125869</v>
      </c>
      <c r="D702" s="83">
        <v>1.2323232323232292E-2</v>
      </c>
      <c r="E702" s="82"/>
    </row>
    <row r="703" spans="1:5" ht="14.4">
      <c r="A703" s="68">
        <v>43495</v>
      </c>
      <c r="B703" s="65">
        <v>99</v>
      </c>
      <c r="C703" s="80">
        <v>2213713</v>
      </c>
      <c r="D703" s="83">
        <v>3.0713170223841679E-2</v>
      </c>
      <c r="E703" s="82"/>
    </row>
    <row r="704" spans="1:5" ht="14.4">
      <c r="A704" s="68">
        <v>43494</v>
      </c>
      <c r="B704" s="65">
        <v>96.05</v>
      </c>
      <c r="C704" s="80">
        <v>919305</v>
      </c>
      <c r="D704" s="83">
        <v>6.6023894361768587E-3</v>
      </c>
      <c r="E704" s="82"/>
    </row>
    <row r="705" spans="1:7" ht="14.4">
      <c r="A705" s="68">
        <v>43493</v>
      </c>
      <c r="B705" s="65">
        <v>95.42</v>
      </c>
      <c r="C705" s="80">
        <v>986063</v>
      </c>
      <c r="D705" s="83">
        <v>-1.1294166407626149E-2</v>
      </c>
      <c r="E705" s="82"/>
    </row>
    <row r="706" spans="1:7" ht="14.4">
      <c r="A706" s="68">
        <v>43490</v>
      </c>
      <c r="B706" s="65">
        <v>96.51</v>
      </c>
      <c r="C706" s="80">
        <v>1575939</v>
      </c>
      <c r="D706" s="83">
        <v>6.1509591326105451E-3</v>
      </c>
      <c r="E706" s="82"/>
    </row>
    <row r="707" spans="1:7" ht="14.4">
      <c r="A707" s="68">
        <v>43489</v>
      </c>
      <c r="B707" s="65">
        <v>95.92</v>
      </c>
      <c r="C707" s="80">
        <v>1534265</v>
      </c>
      <c r="D707" s="83">
        <v>2.2492271612834402E-2</v>
      </c>
      <c r="E707" s="82"/>
    </row>
    <row r="708" spans="1:7" ht="14.4">
      <c r="A708" s="68">
        <v>43488</v>
      </c>
      <c r="B708" s="65">
        <v>93.81</v>
      </c>
      <c r="C708" s="80">
        <v>1313183</v>
      </c>
      <c r="D708" s="83">
        <v>-9.9208443271767699E-3</v>
      </c>
      <c r="E708" s="82"/>
    </row>
    <row r="709" spans="1:7" ht="14.4">
      <c r="A709" s="68">
        <v>43487</v>
      </c>
      <c r="B709" s="65">
        <v>94.75</v>
      </c>
      <c r="C709" s="80">
        <v>1284328</v>
      </c>
      <c r="D709" s="83">
        <v>2.6455026455025621E-3</v>
      </c>
      <c r="E709" s="82"/>
    </row>
    <row r="710" spans="1:7" ht="14.4">
      <c r="A710" s="68">
        <v>43486</v>
      </c>
      <c r="B710" s="65">
        <v>94.5</v>
      </c>
      <c r="C710" s="80">
        <v>735952</v>
      </c>
      <c r="D710" s="83">
        <v>8.9686098654708779E-3</v>
      </c>
      <c r="E710" s="62"/>
      <c r="F710" s="62"/>
      <c r="G710" s="62"/>
    </row>
    <row r="711" spans="1:7" ht="14.4">
      <c r="A711" s="68">
        <v>43483</v>
      </c>
      <c r="B711" s="65">
        <v>93.66</v>
      </c>
      <c r="C711" s="80">
        <v>1498962</v>
      </c>
      <c r="D711" s="83">
        <v>2.0706190061028584E-2</v>
      </c>
      <c r="E711" s="62"/>
      <c r="F711" s="62"/>
      <c r="G711" s="62"/>
    </row>
    <row r="712" spans="1:7" ht="14.4">
      <c r="A712" s="68">
        <v>43482</v>
      </c>
      <c r="B712" s="65">
        <v>91.76</v>
      </c>
      <c r="C712" s="80">
        <v>1196890</v>
      </c>
      <c r="D712" s="83">
        <v>-8.4287875513291421E-3</v>
      </c>
      <c r="E712" s="62"/>
      <c r="F712" s="62"/>
      <c r="G712" s="62"/>
    </row>
    <row r="713" spans="1:7" ht="14.4">
      <c r="A713" s="68">
        <v>43481</v>
      </c>
      <c r="B713" s="65">
        <v>92.54</v>
      </c>
      <c r="C713" s="80">
        <v>1383158</v>
      </c>
      <c r="D713" s="83">
        <v>2.491604376557266E-3</v>
      </c>
      <c r="E713" s="62"/>
      <c r="F713" s="62"/>
      <c r="G713" s="62"/>
    </row>
    <row r="714" spans="1:7" ht="14.4">
      <c r="A714" s="68">
        <v>43480</v>
      </c>
      <c r="B714" s="65">
        <v>92.31</v>
      </c>
      <c r="C714" s="80">
        <v>1870631</v>
      </c>
      <c r="D714" s="83">
        <v>2.6693360026693425E-2</v>
      </c>
      <c r="E714" s="62"/>
      <c r="F714" s="62"/>
      <c r="G714" s="62"/>
    </row>
    <row r="715" spans="1:7" ht="14.4">
      <c r="A715" s="68">
        <v>43479</v>
      </c>
      <c r="B715" s="65">
        <v>89.91</v>
      </c>
      <c r="C715" s="80">
        <v>1339132</v>
      </c>
      <c r="D715" s="83">
        <v>1.731160896130346E-2</v>
      </c>
      <c r="E715" s="62"/>
      <c r="F715" s="62"/>
      <c r="G715" s="62"/>
    </row>
    <row r="716" spans="1:7" ht="14.4">
      <c r="A716" s="68">
        <v>43476</v>
      </c>
      <c r="B716" s="65">
        <v>88.38</v>
      </c>
      <c r="C716" s="80">
        <v>1184652</v>
      </c>
      <c r="D716" s="83">
        <v>-1.3726146635420156E-2</v>
      </c>
      <c r="E716" s="62"/>
      <c r="F716" s="62"/>
      <c r="G716" s="62"/>
    </row>
    <row r="717" spans="1:7" ht="14.4">
      <c r="A717" s="68">
        <v>43475</v>
      </c>
      <c r="B717" s="65">
        <v>89.61</v>
      </c>
      <c r="C717" s="80">
        <v>1321653</v>
      </c>
      <c r="D717" s="83">
        <v>-7.8055307760938053E-4</v>
      </c>
      <c r="E717" s="62"/>
      <c r="F717" s="62"/>
      <c r="G717" s="62"/>
    </row>
    <row r="718" spans="1:7" ht="14.4">
      <c r="A718" s="68">
        <v>43474</v>
      </c>
      <c r="B718" s="65">
        <v>89.68</v>
      </c>
      <c r="C718" s="80">
        <v>2365398</v>
      </c>
      <c r="D718" s="83">
        <v>3.4968263127524546E-2</v>
      </c>
      <c r="E718" s="62"/>
      <c r="F718" s="62"/>
      <c r="G718" s="62"/>
    </row>
    <row r="719" spans="1:7" ht="14.4">
      <c r="A719" s="68">
        <v>43473</v>
      </c>
      <c r="B719" s="65">
        <v>86.65</v>
      </c>
      <c r="C719" s="80">
        <v>2533915</v>
      </c>
      <c r="D719" s="83">
        <v>3.6979415988511288E-2</v>
      </c>
      <c r="E719" s="62"/>
      <c r="F719" s="62"/>
      <c r="G719" s="62"/>
    </row>
    <row r="720" spans="1:7" ht="14.4">
      <c r="A720" s="68">
        <v>43472</v>
      </c>
      <c r="B720" s="65">
        <v>83.56</v>
      </c>
      <c r="C720" s="80">
        <v>1428948</v>
      </c>
      <c r="D720" s="83">
        <v>-1.8327067669172914E-2</v>
      </c>
      <c r="E720" s="62"/>
      <c r="F720" s="62"/>
      <c r="G720" s="62"/>
    </row>
    <row r="721" spans="1:7" ht="14.4">
      <c r="A721" s="68">
        <v>43469</v>
      </c>
      <c r="B721" s="65">
        <v>85.12</v>
      </c>
      <c r="C721" s="80">
        <v>2006859</v>
      </c>
      <c r="D721" s="83">
        <v>4.8146779953207819E-2</v>
      </c>
      <c r="E721" s="62"/>
      <c r="F721" s="62"/>
      <c r="G721" s="62"/>
    </row>
    <row r="722" spans="1:7" ht="14.4">
      <c r="A722" s="68">
        <v>43468</v>
      </c>
      <c r="B722" s="65">
        <v>81.209999999999994</v>
      </c>
      <c r="C722" s="80">
        <v>1964509</v>
      </c>
      <c r="D722" s="83">
        <v>-3.5166924082214668E-2</v>
      </c>
      <c r="E722" s="62"/>
      <c r="F722" s="62"/>
      <c r="G722" s="62"/>
    </row>
    <row r="723" spans="1:7" ht="14.4">
      <c r="A723" s="68">
        <v>43467</v>
      </c>
      <c r="B723" s="65">
        <v>84.17</v>
      </c>
      <c r="C723" s="80">
        <v>1483033</v>
      </c>
      <c r="D723" s="83">
        <v>2.5011910433541118E-3</v>
      </c>
      <c r="E723" s="62"/>
      <c r="F723" s="62"/>
      <c r="G723" s="62"/>
    </row>
    <row r="724" spans="1:7" ht="14.4">
      <c r="A724" s="71">
        <v>43465</v>
      </c>
      <c r="B724" s="72">
        <v>83.96</v>
      </c>
      <c r="C724" s="81">
        <v>426473</v>
      </c>
      <c r="D724" s="84">
        <v>2.3877745940781292E-3</v>
      </c>
      <c r="E724" s="74"/>
      <c r="F724" s="74"/>
      <c r="G724" s="73" t="e">
        <v>#REF!</v>
      </c>
    </row>
    <row r="725" spans="1:7" ht="14.4">
      <c r="A725" s="68">
        <v>43462</v>
      </c>
      <c r="B725" s="65">
        <v>83.76</v>
      </c>
      <c r="C725" s="80">
        <v>1257945</v>
      </c>
      <c r="D725" s="83">
        <v>2.0219244823386218E-2</v>
      </c>
      <c r="E725" s="62"/>
      <c r="F725" s="62"/>
      <c r="G725" s="62"/>
    </row>
    <row r="726" spans="1:7" ht="14.4">
      <c r="A726" s="68">
        <v>43461</v>
      </c>
      <c r="B726" s="65">
        <v>82.1</v>
      </c>
      <c r="C726" s="80">
        <v>1611466</v>
      </c>
      <c r="D726" s="83">
        <v>5.7576871248314898E-3</v>
      </c>
      <c r="E726" s="82"/>
    </row>
    <row r="727" spans="1:7" ht="14.4">
      <c r="A727" s="68">
        <v>43458</v>
      </c>
      <c r="B727" s="65">
        <v>81.63</v>
      </c>
      <c r="C727" s="80">
        <v>392591</v>
      </c>
      <c r="D727" s="83">
        <v>-1.7689530685920607E-2</v>
      </c>
      <c r="E727" s="82"/>
    </row>
    <row r="728" spans="1:7" ht="14.4">
      <c r="A728" s="68">
        <v>43455</v>
      </c>
      <c r="B728" s="65">
        <v>83.1</v>
      </c>
      <c r="C728" s="80">
        <v>3670837</v>
      </c>
      <c r="D728" s="83">
        <v>-2.7601104044162605E-3</v>
      </c>
      <c r="E728" s="82"/>
    </row>
    <row r="729" spans="1:7" ht="14.4">
      <c r="A729" s="68">
        <v>43454</v>
      </c>
      <c r="B729" s="65">
        <v>83.33</v>
      </c>
      <c r="C729" s="80">
        <v>3558647</v>
      </c>
      <c r="D729" s="83">
        <v>-4.4380733944954232E-2</v>
      </c>
      <c r="E729" s="82"/>
    </row>
    <row r="730" spans="1:7" ht="14.4">
      <c r="A730" s="68">
        <v>43453</v>
      </c>
      <c r="B730" s="65">
        <v>87.2</v>
      </c>
      <c r="C730" s="80">
        <v>1731218</v>
      </c>
      <c r="D730" s="83">
        <v>-1.6356457980823524E-2</v>
      </c>
      <c r="E730" s="82"/>
    </row>
    <row r="731" spans="1:7" ht="14.4">
      <c r="A731" s="68">
        <v>43452</v>
      </c>
      <c r="B731" s="65">
        <v>88.65</v>
      </c>
      <c r="C731" s="80">
        <v>1654569</v>
      </c>
      <c r="D731" s="83">
        <v>1.1409013120365019E-2</v>
      </c>
      <c r="E731" s="82"/>
    </row>
    <row r="732" spans="1:7" ht="14.4">
      <c r="A732" s="68">
        <v>43451</v>
      </c>
      <c r="B732" s="65">
        <v>87.65</v>
      </c>
      <c r="C732" s="80">
        <v>1316386</v>
      </c>
      <c r="D732" s="83">
        <v>-1.1503326942596148E-2</v>
      </c>
      <c r="E732" s="82"/>
    </row>
    <row r="733" spans="1:7" ht="14.4">
      <c r="A733" s="68">
        <v>43448</v>
      </c>
      <c r="B733" s="65">
        <v>88.67</v>
      </c>
      <c r="C733" s="80">
        <v>2106031</v>
      </c>
      <c r="D733" s="83">
        <v>-1.4449260864732638E-2</v>
      </c>
      <c r="E733" s="82"/>
    </row>
    <row r="734" spans="1:7" ht="14.4">
      <c r="A734" s="68">
        <v>43447</v>
      </c>
      <c r="B734" s="65">
        <v>89.97</v>
      </c>
      <c r="C734" s="80">
        <v>1739620</v>
      </c>
      <c r="D734" s="83">
        <v>-1.6506340183646717E-2</v>
      </c>
      <c r="E734" s="82"/>
    </row>
    <row r="735" spans="1:7" ht="14.4">
      <c r="A735" s="68">
        <v>43446</v>
      </c>
      <c r="B735" s="65">
        <v>91.48</v>
      </c>
      <c r="C735" s="80">
        <v>2067671</v>
      </c>
      <c r="D735" s="83">
        <v>3.2505643340857926E-2</v>
      </c>
      <c r="E735" s="82"/>
    </row>
    <row r="736" spans="1:7" ht="14.4">
      <c r="A736" s="68">
        <v>43445</v>
      </c>
      <c r="B736" s="65">
        <v>88.6</v>
      </c>
      <c r="C736" s="80">
        <v>1605717</v>
      </c>
      <c r="D736" s="83">
        <v>1.2687164247342508E-2</v>
      </c>
      <c r="E736" s="82"/>
    </row>
    <row r="737" spans="1:5" ht="14.4">
      <c r="A737" s="68">
        <v>43444</v>
      </c>
      <c r="B737" s="65">
        <v>87.49</v>
      </c>
      <c r="C737" s="80">
        <v>1787443</v>
      </c>
      <c r="D737" s="83">
        <v>-1.7738857078702153E-2</v>
      </c>
      <c r="E737" s="82"/>
    </row>
    <row r="738" spans="1:5" ht="14.4">
      <c r="A738" s="68">
        <v>43441</v>
      </c>
      <c r="B738" s="65">
        <v>89.07</v>
      </c>
      <c r="C738" s="80">
        <v>1517734</v>
      </c>
      <c r="D738" s="83">
        <v>4.8510830324908216E-3</v>
      </c>
      <c r="E738" s="82"/>
    </row>
    <row r="739" spans="1:5" ht="14.4">
      <c r="A739" s="68">
        <v>43440</v>
      </c>
      <c r="B739" s="65">
        <v>88.64</v>
      </c>
      <c r="C739" s="80">
        <v>2054120</v>
      </c>
      <c r="D739" s="83">
        <v>-3.9757339399848379E-2</v>
      </c>
      <c r="E739" s="82"/>
    </row>
    <row r="740" spans="1:5" ht="14.4">
      <c r="A740" s="68">
        <v>43439</v>
      </c>
      <c r="B740" s="65">
        <v>92.31</v>
      </c>
      <c r="C740" s="80">
        <v>1192729</v>
      </c>
      <c r="D740" s="83">
        <v>-2.0791344011880653E-2</v>
      </c>
      <c r="E740" s="82"/>
    </row>
    <row r="741" spans="1:5" ht="14.4">
      <c r="A741" s="68">
        <v>43438</v>
      </c>
      <c r="B741" s="65">
        <v>94.27</v>
      </c>
      <c r="C741" s="80">
        <v>1354279</v>
      </c>
      <c r="D741" s="83">
        <v>-1.4942528735632288E-2</v>
      </c>
      <c r="E741" s="82"/>
    </row>
    <row r="742" spans="1:5" ht="14.4">
      <c r="A742" s="68">
        <v>43437</v>
      </c>
      <c r="B742" s="65">
        <v>95.7</v>
      </c>
      <c r="C742" s="80">
        <v>1246570</v>
      </c>
      <c r="D742" s="83">
        <v>1.1414077362079889E-2</v>
      </c>
      <c r="E742" s="82"/>
    </row>
    <row r="743" spans="1:5" ht="14.4">
      <c r="A743" s="68">
        <v>43434</v>
      </c>
      <c r="B743" s="65">
        <v>94.62</v>
      </c>
      <c r="C743" s="80">
        <v>1370144</v>
      </c>
      <c r="D743" s="83">
        <v>-2.5300442757747454E-3</v>
      </c>
      <c r="E743" s="82"/>
    </row>
    <row r="744" spans="1:5" ht="14.4">
      <c r="A744" s="68">
        <v>43433</v>
      </c>
      <c r="B744" s="65">
        <v>94.86</v>
      </c>
      <c r="C744" s="80">
        <v>1819874</v>
      </c>
      <c r="D744" s="83">
        <v>1.4545454545454639E-2</v>
      </c>
      <c r="E744" s="82"/>
    </row>
    <row r="745" spans="1:5" ht="14.4">
      <c r="A745" s="68">
        <v>43432</v>
      </c>
      <c r="B745" s="65">
        <v>93.5</v>
      </c>
      <c r="C745" s="80">
        <v>1231357</v>
      </c>
      <c r="D745" s="83">
        <v>-2.1344717182497641E-3</v>
      </c>
      <c r="E745" s="82"/>
    </row>
    <row r="746" spans="1:5" ht="14.4">
      <c r="A746" s="68">
        <v>43431</v>
      </c>
      <c r="B746" s="65">
        <v>93.7</v>
      </c>
      <c r="C746" s="80">
        <v>1306476</v>
      </c>
      <c r="D746" s="83">
        <v>1.2823252831801746E-3</v>
      </c>
      <c r="E746" s="82"/>
    </row>
    <row r="747" spans="1:5" ht="14.4">
      <c r="A747" s="68">
        <v>43430</v>
      </c>
      <c r="B747" s="65">
        <v>93.58</v>
      </c>
      <c r="C747" s="80">
        <v>1261680</v>
      </c>
      <c r="D747" s="83">
        <v>1.8199336259501209E-3</v>
      </c>
      <c r="E747" s="82"/>
    </row>
    <row r="748" spans="1:5" ht="14.4">
      <c r="A748" s="68">
        <v>43427</v>
      </c>
      <c r="B748" s="65">
        <v>93.41</v>
      </c>
      <c r="C748" s="80">
        <v>901392</v>
      </c>
      <c r="D748" s="83">
        <v>1.1697173183147447E-2</v>
      </c>
      <c r="E748" s="82"/>
    </row>
    <row r="749" spans="1:5" ht="14.4">
      <c r="A749" s="68">
        <v>43426</v>
      </c>
      <c r="B749" s="65">
        <v>92.33</v>
      </c>
      <c r="C749" s="80">
        <v>791079</v>
      </c>
      <c r="D749" s="83">
        <v>-9.0157776108189536E-3</v>
      </c>
      <c r="E749" s="82"/>
    </row>
    <row r="750" spans="1:5" ht="14.4">
      <c r="A750" s="68">
        <v>43425</v>
      </c>
      <c r="B750" s="65">
        <v>93.17</v>
      </c>
      <c r="C750" s="80">
        <v>1473760</v>
      </c>
      <c r="D750" s="83">
        <v>2.3059185242121583E-2</v>
      </c>
      <c r="E750" s="82"/>
    </row>
    <row r="751" spans="1:5" ht="14.4">
      <c r="A751" s="68">
        <v>43424</v>
      </c>
      <c r="B751" s="65">
        <v>91.07</v>
      </c>
      <c r="C751" s="80">
        <v>1772439</v>
      </c>
      <c r="D751" s="83">
        <v>-1.6203953764718615E-2</v>
      </c>
      <c r="E751" s="82"/>
    </row>
    <row r="752" spans="1:5" ht="14.4">
      <c r="A752" s="68">
        <v>43423</v>
      </c>
      <c r="B752" s="65">
        <v>92.57</v>
      </c>
      <c r="C752" s="80">
        <v>1260960</v>
      </c>
      <c r="D752" s="83">
        <v>-3.4449348692001669E-3</v>
      </c>
      <c r="E752" s="82"/>
    </row>
    <row r="753" spans="1:5" ht="14.4">
      <c r="A753" s="68">
        <v>43420</v>
      </c>
      <c r="B753" s="65">
        <v>92.89</v>
      </c>
      <c r="C753" s="80">
        <v>1497327</v>
      </c>
      <c r="D753" s="83">
        <v>-1.0334540805454928E-2</v>
      </c>
      <c r="E753" s="82"/>
    </row>
    <row r="754" spans="1:5" ht="14.4">
      <c r="A754" s="68">
        <v>43419</v>
      </c>
      <c r="B754" s="65">
        <v>93.86</v>
      </c>
      <c r="C754" s="80">
        <v>1396280</v>
      </c>
      <c r="D754" s="83">
        <v>-1.7481419449387636E-2</v>
      </c>
      <c r="E754" s="82"/>
    </row>
    <row r="755" spans="1:5" ht="14.4">
      <c r="A755" s="68">
        <v>43418</v>
      </c>
      <c r="B755" s="65">
        <v>95.53</v>
      </c>
      <c r="C755" s="80">
        <v>1460615</v>
      </c>
      <c r="D755" s="83">
        <v>-9.2304501140841877E-3</v>
      </c>
      <c r="E755" s="82"/>
    </row>
    <row r="756" spans="1:5" ht="14.4">
      <c r="A756" s="68">
        <v>43417</v>
      </c>
      <c r="B756" s="65">
        <v>96.42</v>
      </c>
      <c r="C756" s="80">
        <v>1377906</v>
      </c>
      <c r="D756" s="83">
        <v>2.1506515520711922E-2</v>
      </c>
      <c r="E756" s="82"/>
    </row>
    <row r="757" spans="1:5" ht="14.4">
      <c r="A757" s="68">
        <v>43416</v>
      </c>
      <c r="B757" s="65">
        <v>94.39</v>
      </c>
      <c r="C757" s="80">
        <v>973198</v>
      </c>
      <c r="D757" s="83">
        <v>-3.0629488804394533E-3</v>
      </c>
      <c r="E757" s="82"/>
    </row>
    <row r="758" spans="1:5" ht="14.4">
      <c r="A758" s="68">
        <v>43413</v>
      </c>
      <c r="B758" s="65">
        <v>94.68</v>
      </c>
      <c r="C758" s="80">
        <v>1236728</v>
      </c>
      <c r="D758" s="83">
        <v>-1.0141139571353874E-2</v>
      </c>
      <c r="E758" s="82"/>
    </row>
    <row r="759" spans="1:5" ht="14.4">
      <c r="A759" s="68">
        <v>43412</v>
      </c>
      <c r="B759" s="65">
        <v>95.65</v>
      </c>
      <c r="C759" s="80">
        <v>1182886</v>
      </c>
      <c r="D759" s="83">
        <v>-4.5790404828806031E-3</v>
      </c>
      <c r="E759" s="82"/>
    </row>
    <row r="760" spans="1:5" ht="14.4">
      <c r="A760" s="68">
        <v>43411</v>
      </c>
      <c r="B760" s="65">
        <v>96.09</v>
      </c>
      <c r="C760" s="80">
        <v>1152082</v>
      </c>
      <c r="D760" s="83">
        <v>2.503912363067462E-3</v>
      </c>
      <c r="E760" s="82"/>
    </row>
    <row r="761" spans="1:5" ht="14.4">
      <c r="A761" s="68">
        <v>43410</v>
      </c>
      <c r="B761" s="65">
        <v>95.85</v>
      </c>
      <c r="C761" s="80">
        <v>1340977</v>
      </c>
      <c r="D761" s="83">
        <v>4.9276577898931251E-3</v>
      </c>
      <c r="E761" s="82"/>
    </row>
    <row r="762" spans="1:5" ht="14.4">
      <c r="A762" s="68">
        <v>43409</v>
      </c>
      <c r="B762" s="65">
        <v>95.38</v>
      </c>
      <c r="C762" s="80">
        <v>1217718</v>
      </c>
      <c r="D762" s="83">
        <v>-2.4056061081477731E-3</v>
      </c>
      <c r="E762" s="82"/>
    </row>
    <row r="763" spans="1:5" ht="14.4">
      <c r="A763" s="68">
        <v>43406</v>
      </c>
      <c r="B763" s="65">
        <v>95.61</v>
      </c>
      <c r="C763" s="80">
        <v>1694118</v>
      </c>
      <c r="D763" s="83">
        <v>-9.2227979274611682E-3</v>
      </c>
      <c r="E763" s="82"/>
    </row>
    <row r="764" spans="1:5" ht="14.4">
      <c r="A764" s="68">
        <v>43405</v>
      </c>
      <c r="B764" s="65">
        <v>96.5</v>
      </c>
      <c r="C764" s="80">
        <v>1878563</v>
      </c>
      <c r="D764" s="83">
        <v>-1.2383584075324916E-2</v>
      </c>
      <c r="E764" s="82"/>
    </row>
    <row r="765" spans="1:5" ht="14.4">
      <c r="A765" s="68">
        <v>43404</v>
      </c>
      <c r="B765" s="65">
        <v>97.71</v>
      </c>
      <c r="C765" s="80">
        <v>3915169</v>
      </c>
      <c r="D765" s="83">
        <v>4.0575079872204434E-2</v>
      </c>
      <c r="E765" s="82"/>
    </row>
    <row r="766" spans="1:5" ht="14.4">
      <c r="A766" s="68">
        <v>43403</v>
      </c>
      <c r="B766" s="65">
        <v>93.9</v>
      </c>
      <c r="C766" s="80">
        <v>2644992</v>
      </c>
      <c r="D766" s="83">
        <v>-2.0139830950641646E-2</v>
      </c>
      <c r="E766" s="82"/>
    </row>
    <row r="767" spans="1:5" ht="14.4">
      <c r="A767" s="68">
        <v>43402</v>
      </c>
      <c r="B767" s="65">
        <v>95.83</v>
      </c>
      <c r="C767" s="80">
        <v>1467805</v>
      </c>
      <c r="D767" s="83">
        <v>-3.3281331253250945E-3</v>
      </c>
      <c r="E767" s="82"/>
    </row>
    <row r="768" spans="1:5" ht="14.4">
      <c r="A768" s="68">
        <v>43399</v>
      </c>
      <c r="B768" s="65">
        <v>96.15</v>
      </c>
      <c r="C768" s="80">
        <v>3184210</v>
      </c>
      <c r="D768" s="83">
        <v>-1.8276495813763449E-2</v>
      </c>
      <c r="E768" s="82"/>
    </row>
    <row r="769" spans="1:5" ht="14.4">
      <c r="A769" s="68">
        <v>43398</v>
      </c>
      <c r="B769" s="65">
        <v>97.94</v>
      </c>
      <c r="C769" s="80">
        <v>2271247</v>
      </c>
      <c r="D769" s="83">
        <v>2.7594166404364628E-2</v>
      </c>
      <c r="E769" s="82"/>
    </row>
    <row r="770" spans="1:5" ht="14.4">
      <c r="A770" s="68">
        <v>43397</v>
      </c>
      <c r="B770" s="65">
        <v>95.31</v>
      </c>
      <c r="C770" s="80">
        <v>2651513</v>
      </c>
      <c r="D770" s="83">
        <v>1.2428298279158811E-2</v>
      </c>
      <c r="E770" s="82"/>
    </row>
    <row r="771" spans="1:5" ht="14.4">
      <c r="A771" s="68">
        <v>43396</v>
      </c>
      <c r="B771" s="65">
        <v>94.14</v>
      </c>
      <c r="C771" s="80">
        <v>2542403</v>
      </c>
      <c r="D771" s="83">
        <v>-2.2531408991797286E-2</v>
      </c>
      <c r="E771" s="82"/>
    </row>
    <row r="772" spans="1:5" ht="14.4">
      <c r="A772" s="68">
        <v>43395</v>
      </c>
      <c r="B772" s="65">
        <v>96.31</v>
      </c>
      <c r="C772" s="80">
        <v>1441080</v>
      </c>
      <c r="D772" s="83">
        <v>-1.674323634507402E-2</v>
      </c>
      <c r="E772" s="82"/>
    </row>
    <row r="773" spans="1:5" ht="14.4">
      <c r="A773" s="68">
        <v>43392</v>
      </c>
      <c r="B773" s="65">
        <v>97.95</v>
      </c>
      <c r="C773" s="80">
        <v>2488856</v>
      </c>
      <c r="D773" s="83">
        <v>-1.3694491994763913E-2</v>
      </c>
      <c r="E773" s="82"/>
    </row>
    <row r="774" spans="1:5" ht="14.4">
      <c r="A774" s="68">
        <v>43391</v>
      </c>
      <c r="B774" s="65">
        <v>99.31</v>
      </c>
      <c r="C774" s="80">
        <v>1630849</v>
      </c>
      <c r="D774" s="83">
        <v>-1.5367836605195251E-2</v>
      </c>
      <c r="E774" s="82"/>
    </row>
    <row r="775" spans="1:5" ht="14.4">
      <c r="A775" s="68">
        <v>43390</v>
      </c>
      <c r="B775" s="65">
        <v>100.86</v>
      </c>
      <c r="C775" s="80">
        <v>1286634</v>
      </c>
      <c r="D775" s="83">
        <v>-8.4545812033032242E-3</v>
      </c>
      <c r="E775" s="82"/>
    </row>
    <row r="776" spans="1:5" ht="14.4">
      <c r="A776" s="68">
        <v>43389</v>
      </c>
      <c r="B776" s="65">
        <v>101.72</v>
      </c>
      <c r="C776" s="80">
        <v>1877647</v>
      </c>
      <c r="D776" s="83">
        <v>3.9975462631632652E-2</v>
      </c>
      <c r="E776" s="82"/>
    </row>
    <row r="777" spans="1:5" ht="14.4">
      <c r="A777" s="68">
        <v>43388</v>
      </c>
      <c r="B777" s="65">
        <v>97.81</v>
      </c>
      <c r="C777" s="80">
        <v>1822785</v>
      </c>
      <c r="D777" s="83">
        <v>-2.4436465190504686E-2</v>
      </c>
      <c r="E777" s="82"/>
    </row>
    <row r="778" spans="1:5" ht="14.4">
      <c r="A778" s="68">
        <v>43385</v>
      </c>
      <c r="B778" s="65">
        <v>100.26</v>
      </c>
      <c r="C778" s="80">
        <v>2510746</v>
      </c>
      <c r="D778" s="83">
        <v>3.0103770677078145E-2</v>
      </c>
      <c r="E778" s="82"/>
    </row>
    <row r="779" spans="1:5" ht="14.4">
      <c r="A779" s="68">
        <v>43384</v>
      </c>
      <c r="B779" s="65">
        <v>97.33</v>
      </c>
      <c r="C779" s="80">
        <v>3507915</v>
      </c>
      <c r="D779" s="83">
        <v>-1.676937064349926E-2</v>
      </c>
      <c r="E779" s="82"/>
    </row>
    <row r="780" spans="1:5" ht="14.4">
      <c r="A780" s="68">
        <v>43383</v>
      </c>
      <c r="B780" s="65">
        <v>98.99</v>
      </c>
      <c r="C780" s="80">
        <v>1831247</v>
      </c>
      <c r="D780" s="83">
        <v>-3.4243902439024421E-2</v>
      </c>
      <c r="E780" s="82"/>
    </row>
    <row r="781" spans="1:5" ht="14.4">
      <c r="A781" s="68">
        <v>43382</v>
      </c>
      <c r="B781" s="65">
        <v>102.5</v>
      </c>
      <c r="C781" s="80">
        <v>1306812</v>
      </c>
      <c r="D781" s="83">
        <v>-1.0808724184520391E-2</v>
      </c>
      <c r="E781" s="82"/>
    </row>
    <row r="782" spans="1:5" ht="14.4">
      <c r="A782" s="68">
        <v>43381</v>
      </c>
      <c r="B782" s="65">
        <v>103.62</v>
      </c>
      <c r="C782" s="80">
        <v>1659963</v>
      </c>
      <c r="D782" s="83">
        <v>-3.6538461538461187E-3</v>
      </c>
      <c r="E782" s="82"/>
    </row>
    <row r="783" spans="1:5" ht="14.4">
      <c r="A783" s="68">
        <v>43378</v>
      </c>
      <c r="B783" s="65">
        <v>104</v>
      </c>
      <c r="C783" s="80">
        <v>1067060</v>
      </c>
      <c r="D783" s="83">
        <v>-1.1970359110773376E-2</v>
      </c>
      <c r="E783" s="82"/>
    </row>
    <row r="784" spans="1:5" ht="14.4">
      <c r="A784" s="68">
        <v>43377</v>
      </c>
      <c r="B784" s="65">
        <v>105.26</v>
      </c>
      <c r="C784" s="80">
        <v>1429096</v>
      </c>
      <c r="D784" s="83">
        <v>-1.6813002054922421E-2</v>
      </c>
      <c r="E784" s="82"/>
    </row>
    <row r="785" spans="1:5" ht="14.4">
      <c r="A785" s="68">
        <v>43376</v>
      </c>
      <c r="B785" s="65">
        <v>107.06</v>
      </c>
      <c r="C785" s="80">
        <v>1167252</v>
      </c>
      <c r="D785" s="83">
        <v>1.3058289174867399E-2</v>
      </c>
      <c r="E785" s="82"/>
    </row>
    <row r="786" spans="1:5" ht="14.4">
      <c r="A786" s="68">
        <v>43375</v>
      </c>
      <c r="B786" s="65">
        <v>105.68</v>
      </c>
      <c r="C786" s="80">
        <v>1403390</v>
      </c>
      <c r="D786" s="83">
        <v>-1.6014897579143428E-2</v>
      </c>
      <c r="E786" s="82"/>
    </row>
    <row r="787" spans="1:5" ht="14.4">
      <c r="A787" s="68">
        <v>43374</v>
      </c>
      <c r="B787" s="65">
        <v>107.4</v>
      </c>
      <c r="C787" s="80">
        <v>824742</v>
      </c>
      <c r="D787" s="83">
        <v>-7.2102052135329942E-3</v>
      </c>
      <c r="E787" s="82"/>
    </row>
    <row r="788" spans="1:5" ht="14.4">
      <c r="A788" s="68">
        <v>43371</v>
      </c>
      <c r="B788" s="65">
        <v>108.18</v>
      </c>
      <c r="C788" s="80">
        <v>1341147</v>
      </c>
      <c r="D788" s="83">
        <v>-6.6115702479339067E-3</v>
      </c>
      <c r="E788" s="82"/>
    </row>
    <row r="789" spans="1:5" ht="14.4">
      <c r="A789" s="68">
        <v>43370</v>
      </c>
      <c r="B789" s="65">
        <v>108.9</v>
      </c>
      <c r="C789" s="80">
        <v>991492</v>
      </c>
      <c r="D789" s="83">
        <v>3.8716814159291957E-3</v>
      </c>
      <c r="E789" s="82"/>
    </row>
    <row r="790" spans="1:5" ht="14.4">
      <c r="A790" s="68">
        <v>43369</v>
      </c>
      <c r="B790" s="65">
        <v>108.48</v>
      </c>
      <c r="C790" s="80">
        <v>1980047</v>
      </c>
      <c r="D790" s="83">
        <v>3.2356299961933788E-2</v>
      </c>
      <c r="E790" s="82"/>
    </row>
    <row r="791" spans="1:5" ht="14.4">
      <c r="A791" s="68">
        <v>43368</v>
      </c>
      <c r="B791" s="65">
        <v>105.08</v>
      </c>
      <c r="C791" s="80">
        <v>1148229</v>
      </c>
      <c r="D791" s="83">
        <v>-8.4921683336479648E-3</v>
      </c>
      <c r="E791" s="82"/>
    </row>
    <row r="792" spans="1:5" ht="14.4">
      <c r="A792" s="68">
        <v>43367</v>
      </c>
      <c r="B792" s="65">
        <v>105.98</v>
      </c>
      <c r="C792" s="80">
        <v>914960</v>
      </c>
      <c r="D792" s="83">
        <v>-7.6779026217227431E-3</v>
      </c>
      <c r="E792" s="82"/>
    </row>
    <row r="793" spans="1:5" ht="14.4">
      <c r="A793" s="68">
        <v>43364</v>
      </c>
      <c r="B793" s="65">
        <v>106.8</v>
      </c>
      <c r="C793" s="80">
        <v>2857242</v>
      </c>
      <c r="D793" s="83">
        <v>3.1936877700544652E-3</v>
      </c>
      <c r="E793" s="82"/>
    </row>
    <row r="794" spans="1:5" ht="14.4">
      <c r="A794" s="68">
        <v>43363</v>
      </c>
      <c r="B794" s="65">
        <v>106.46</v>
      </c>
      <c r="C794" s="80">
        <v>1186046</v>
      </c>
      <c r="D794" s="83">
        <v>9.4020308386610907E-4</v>
      </c>
      <c r="E794" s="82"/>
    </row>
    <row r="795" spans="1:5" ht="14.4">
      <c r="A795" s="68">
        <v>43362</v>
      </c>
      <c r="B795" s="65">
        <v>106.36</v>
      </c>
      <c r="C795" s="80">
        <v>759543</v>
      </c>
      <c r="D795" s="83">
        <v>1.3531541833428751E-2</v>
      </c>
      <c r="E795" s="82"/>
    </row>
    <row r="796" spans="1:5" ht="14.4">
      <c r="A796" s="68">
        <v>43361</v>
      </c>
      <c r="B796" s="65">
        <v>104.94</v>
      </c>
      <c r="C796" s="80">
        <v>1107930</v>
      </c>
      <c r="D796" s="83">
        <v>-1.279397930385695E-2</v>
      </c>
      <c r="E796" s="82"/>
    </row>
    <row r="797" spans="1:5" ht="14.4">
      <c r="A797" s="68">
        <v>43360</v>
      </c>
      <c r="B797" s="65">
        <v>106.3</v>
      </c>
      <c r="C797" s="80">
        <v>783738</v>
      </c>
      <c r="D797" s="83">
        <v>9.416195856872811E-4</v>
      </c>
      <c r="E797" s="82"/>
    </row>
    <row r="798" spans="1:5" ht="14.4">
      <c r="A798" s="68">
        <v>43357</v>
      </c>
      <c r="B798" s="65">
        <v>106.2</v>
      </c>
      <c r="C798" s="80">
        <v>673082</v>
      </c>
      <c r="D798" s="83">
        <v>5.3010223400227208E-3</v>
      </c>
      <c r="E798" s="82"/>
    </row>
    <row r="799" spans="1:5" ht="14.4">
      <c r="A799" s="68">
        <v>43356</v>
      </c>
      <c r="B799" s="65">
        <v>105.64</v>
      </c>
      <c r="C799" s="80">
        <v>1415024</v>
      </c>
      <c r="D799" s="83">
        <v>-9.934395501405846E-3</v>
      </c>
      <c r="E799" s="82"/>
    </row>
    <row r="800" spans="1:5" ht="14.4">
      <c r="A800" s="68">
        <v>43355</v>
      </c>
      <c r="B800" s="65">
        <v>106.7</v>
      </c>
      <c r="C800" s="80">
        <v>839003</v>
      </c>
      <c r="D800" s="83">
        <v>-5.6200824278762607E-4</v>
      </c>
      <c r="E800" s="82"/>
    </row>
    <row r="801" spans="1:5" ht="14.4">
      <c r="A801" s="68">
        <v>43354</v>
      </c>
      <c r="B801" s="65">
        <v>106.76</v>
      </c>
      <c r="C801" s="80">
        <v>1071759</v>
      </c>
      <c r="D801" s="83">
        <v>1.8702290076336059E-2</v>
      </c>
      <c r="E801" s="82"/>
    </row>
    <row r="802" spans="1:5" ht="14.4">
      <c r="A802" s="68">
        <v>43353</v>
      </c>
      <c r="B802" s="65">
        <v>104.8</v>
      </c>
      <c r="C802" s="80">
        <v>766076</v>
      </c>
      <c r="D802" s="83">
        <v>-3.8153376573835107E-4</v>
      </c>
      <c r="E802" s="82"/>
    </row>
    <row r="803" spans="1:5" ht="14.4">
      <c r="A803" s="68">
        <v>43350</v>
      </c>
      <c r="B803" s="65">
        <v>104.84</v>
      </c>
      <c r="C803" s="80">
        <v>895199</v>
      </c>
      <c r="D803" s="83">
        <v>5.3701572688915622E-3</v>
      </c>
      <c r="E803" s="82"/>
    </row>
    <row r="804" spans="1:5" ht="14.4">
      <c r="A804" s="68">
        <v>43349</v>
      </c>
      <c r="B804" s="65">
        <v>104.28</v>
      </c>
      <c r="C804" s="80">
        <v>1308310</v>
      </c>
      <c r="D804" s="83">
        <v>1.2427184466019536E-2</v>
      </c>
      <c r="E804" s="82"/>
    </row>
    <row r="805" spans="1:5" ht="14.4">
      <c r="A805" s="68">
        <v>43348</v>
      </c>
      <c r="B805" s="65">
        <v>103</v>
      </c>
      <c r="C805" s="80">
        <v>1386865</v>
      </c>
      <c r="D805" s="83">
        <v>-2.0540129326740209E-2</v>
      </c>
      <c r="E805" s="82"/>
    </row>
    <row r="806" spans="1:5" ht="14.4">
      <c r="A806" s="68">
        <v>43347</v>
      </c>
      <c r="B806" s="65">
        <v>105.16</v>
      </c>
      <c r="C806" s="80">
        <v>1204594</v>
      </c>
      <c r="D806" s="83">
        <v>-2.1767441860465198E-2</v>
      </c>
      <c r="E806" s="82"/>
    </row>
    <row r="807" spans="1:5" ht="14.4">
      <c r="A807" s="68">
        <v>43346</v>
      </c>
      <c r="B807" s="65">
        <v>107.5</v>
      </c>
      <c r="C807" s="80">
        <v>595428</v>
      </c>
      <c r="D807" s="83">
        <v>1.1669489930359545E-2</v>
      </c>
      <c r="E807" s="82"/>
    </row>
    <row r="808" spans="1:5" ht="14.4">
      <c r="A808" s="68">
        <v>43343</v>
      </c>
      <c r="B808" s="65">
        <v>106.26</v>
      </c>
      <c r="C808" s="80">
        <v>1479511</v>
      </c>
      <c r="D808" s="83">
        <v>-2.4958708019820142E-2</v>
      </c>
      <c r="E808" s="82"/>
    </row>
    <row r="809" spans="1:5" ht="14.4">
      <c r="A809" s="68">
        <v>43342</v>
      </c>
      <c r="B809" s="65">
        <v>108.98</v>
      </c>
      <c r="C809" s="80">
        <v>895351</v>
      </c>
      <c r="D809" s="83">
        <v>-9.8128293658004129E-3</v>
      </c>
      <c r="E809" s="82"/>
    </row>
    <row r="810" spans="1:5" ht="14.4">
      <c r="A810" s="68">
        <v>43341</v>
      </c>
      <c r="B810" s="65">
        <v>110.06</v>
      </c>
      <c r="C810" s="80">
        <v>1146675</v>
      </c>
      <c r="D810" s="83">
        <v>1.0095447870778429E-2</v>
      </c>
      <c r="E810" s="82"/>
    </row>
    <row r="811" spans="1:5" ht="14.4">
      <c r="A811" s="68">
        <v>43340</v>
      </c>
      <c r="B811" s="65">
        <v>108.96</v>
      </c>
      <c r="C811" s="80">
        <v>1141016</v>
      </c>
      <c r="D811" s="83">
        <v>8.8888888888887241E-3</v>
      </c>
      <c r="E811" s="82"/>
    </row>
    <row r="812" spans="1:5" ht="14.4">
      <c r="A812" s="68">
        <v>43339</v>
      </c>
      <c r="B812" s="65">
        <v>108</v>
      </c>
      <c r="C812" s="80">
        <v>1003751</v>
      </c>
      <c r="D812" s="83">
        <v>4.6511627906977715E-3</v>
      </c>
      <c r="E812" s="82"/>
    </row>
    <row r="813" spans="1:5" ht="14.4">
      <c r="A813" s="68">
        <v>43336</v>
      </c>
      <c r="B813" s="65">
        <v>107.5</v>
      </c>
      <c r="C813" s="80">
        <v>929551</v>
      </c>
      <c r="D813" s="83">
        <v>-2.2275849266752967E-3</v>
      </c>
      <c r="E813" s="82"/>
    </row>
    <row r="814" spans="1:5" ht="14.4">
      <c r="A814" s="68">
        <v>43335</v>
      </c>
      <c r="B814" s="65">
        <v>107.74</v>
      </c>
      <c r="C814" s="80">
        <v>611202</v>
      </c>
      <c r="D814" s="83">
        <v>3.9135296310099932E-3</v>
      </c>
      <c r="E814" s="82"/>
    </row>
    <row r="815" spans="1:5" ht="14.4">
      <c r="A815" s="68">
        <v>43334</v>
      </c>
      <c r="B815" s="65">
        <v>107.32</v>
      </c>
      <c r="C815" s="80">
        <v>1008537</v>
      </c>
      <c r="D815" s="83">
        <v>-1.3028103480364761E-3</v>
      </c>
      <c r="E815" s="82"/>
    </row>
    <row r="816" spans="1:5" ht="14.4">
      <c r="A816" s="68">
        <v>43333</v>
      </c>
      <c r="B816" s="65">
        <v>107.46</v>
      </c>
      <c r="C816" s="80">
        <v>729822</v>
      </c>
      <c r="D816" s="83">
        <v>-3.8932146829810943E-3</v>
      </c>
      <c r="E816" s="82"/>
    </row>
    <row r="817" spans="1:5" ht="14.4">
      <c r="A817" s="68">
        <v>43332</v>
      </c>
      <c r="B817" s="65">
        <v>107.88</v>
      </c>
      <c r="C817" s="80">
        <v>628975</v>
      </c>
      <c r="D817" s="83">
        <v>1.4853323431116561E-3</v>
      </c>
      <c r="E817" s="82"/>
    </row>
    <row r="818" spans="1:5" ht="14.4">
      <c r="A818" s="68">
        <v>43329</v>
      </c>
      <c r="B818" s="65">
        <v>107.72</v>
      </c>
      <c r="C818" s="80">
        <v>641480</v>
      </c>
      <c r="D818" s="83">
        <v>1.4875418371140814E-3</v>
      </c>
      <c r="E818" s="82"/>
    </row>
    <row r="819" spans="1:5" ht="14.4">
      <c r="A819" s="68">
        <v>43328</v>
      </c>
      <c r="B819" s="65">
        <v>107.56</v>
      </c>
      <c r="C819" s="80">
        <v>989496</v>
      </c>
      <c r="D819" s="83">
        <v>2.2239118038395844E-2</v>
      </c>
      <c r="E819" s="82"/>
    </row>
    <row r="820" spans="1:5" ht="14.4">
      <c r="A820" s="68">
        <v>43327</v>
      </c>
      <c r="B820" s="65">
        <v>105.22</v>
      </c>
      <c r="C820" s="80">
        <v>1494385</v>
      </c>
      <c r="D820" s="83">
        <v>-2.5740740740740731E-2</v>
      </c>
      <c r="E820" s="82"/>
    </row>
    <row r="821" spans="1:5" ht="14.4">
      <c r="A821" s="68">
        <v>43326</v>
      </c>
      <c r="B821" s="65">
        <v>108</v>
      </c>
      <c r="C821" s="80">
        <v>667568</v>
      </c>
      <c r="D821" s="83">
        <v>-9.2506938020342488E-4</v>
      </c>
      <c r="E821" s="82"/>
    </row>
    <row r="822" spans="1:5" ht="14.4">
      <c r="A822" s="68">
        <v>43325</v>
      </c>
      <c r="B822" s="65">
        <v>108.1</v>
      </c>
      <c r="C822" s="80">
        <v>788303</v>
      </c>
      <c r="D822" s="83">
        <v>5.3943452380951218E-3</v>
      </c>
      <c r="E822" s="82"/>
    </row>
    <row r="823" spans="1:5" ht="14.4">
      <c r="A823" s="68">
        <v>43322</v>
      </c>
      <c r="B823" s="65">
        <v>107.52</v>
      </c>
      <c r="C823" s="80">
        <v>1240233</v>
      </c>
      <c r="D823" s="83">
        <v>-1.0491441192711171E-2</v>
      </c>
      <c r="E823" s="82"/>
    </row>
    <row r="824" spans="1:5" ht="14.4">
      <c r="A824" s="68">
        <v>43321</v>
      </c>
      <c r="B824" s="65">
        <v>108.66</v>
      </c>
      <c r="C824" s="80">
        <v>626095</v>
      </c>
      <c r="D824" s="83">
        <v>7.0435588507877789E-3</v>
      </c>
      <c r="E824" s="82"/>
    </row>
    <row r="825" spans="1:5" ht="14.4">
      <c r="A825" s="68">
        <v>43320</v>
      </c>
      <c r="B825" s="65">
        <v>107.9</v>
      </c>
      <c r="C825" s="80">
        <v>792973</v>
      </c>
      <c r="D825" s="83">
        <v>-1.0091743119265972E-2</v>
      </c>
      <c r="E825" s="82"/>
    </row>
    <row r="826" spans="1:5" ht="14.4">
      <c r="A826" s="68">
        <v>43319</v>
      </c>
      <c r="B826" s="65">
        <v>109</v>
      </c>
      <c r="C826" s="80">
        <v>993504</v>
      </c>
      <c r="D826" s="83">
        <v>1.0944166202930816E-2</v>
      </c>
      <c r="E826" s="82"/>
    </row>
    <row r="827" spans="1:5" ht="14.4">
      <c r="A827" s="68">
        <v>43318</v>
      </c>
      <c r="B827" s="65">
        <v>107.82</v>
      </c>
      <c r="C827" s="80">
        <v>913835</v>
      </c>
      <c r="D827" s="83">
        <v>5.5679287305121505E-4</v>
      </c>
      <c r="E827" s="82"/>
    </row>
    <row r="828" spans="1:5" ht="14.4">
      <c r="A828" s="68">
        <v>43315</v>
      </c>
      <c r="B828" s="65">
        <v>107.76</v>
      </c>
      <c r="C828" s="80">
        <v>887302</v>
      </c>
      <c r="D828" s="83">
        <v>1.2021036814425345E-2</v>
      </c>
      <c r="E828" s="82"/>
    </row>
    <row r="829" spans="1:5" ht="14.4">
      <c r="A829" s="68">
        <v>43314</v>
      </c>
      <c r="B829" s="65">
        <v>106.48</v>
      </c>
      <c r="C829" s="80">
        <v>1467538</v>
      </c>
      <c r="D829" s="83">
        <v>-1.1257035647278535E-3</v>
      </c>
      <c r="E829" s="82"/>
    </row>
    <row r="830" spans="1:5" ht="14.4">
      <c r="A830" s="68">
        <v>43313</v>
      </c>
      <c r="B830" s="65">
        <v>106.6</v>
      </c>
      <c r="C830" s="80">
        <v>871755</v>
      </c>
      <c r="D830" s="83">
        <v>5.6603773584904538E-3</v>
      </c>
      <c r="E830" s="82"/>
    </row>
    <row r="831" spans="1:5" ht="14.4">
      <c r="A831" s="68">
        <v>43312</v>
      </c>
      <c r="B831" s="65">
        <v>106</v>
      </c>
      <c r="C831" s="80">
        <v>1113224</v>
      </c>
      <c r="D831" s="83">
        <v>-1.0085917071348538E-2</v>
      </c>
      <c r="E831" s="82"/>
    </row>
    <row r="832" spans="1:5" ht="14.4">
      <c r="A832" s="68">
        <v>43311</v>
      </c>
      <c r="B832" s="65">
        <v>107.08</v>
      </c>
      <c r="C832" s="80">
        <v>872564</v>
      </c>
      <c r="D832" s="83">
        <v>-1.9413919413919456E-2</v>
      </c>
      <c r="E832" s="82"/>
    </row>
    <row r="833" spans="1:5" ht="14.4">
      <c r="A833" s="68">
        <v>43308</v>
      </c>
      <c r="B833" s="65">
        <v>109.2</v>
      </c>
      <c r="C833" s="80">
        <v>1437079</v>
      </c>
      <c r="D833" s="83">
        <v>-3.8314176245211051E-3</v>
      </c>
      <c r="E833" s="82"/>
    </row>
    <row r="834" spans="1:5" ht="14.4">
      <c r="A834" s="68">
        <v>43307</v>
      </c>
      <c r="B834" s="65">
        <v>109.62</v>
      </c>
      <c r="C834" s="80">
        <v>2014197</v>
      </c>
      <c r="D834" s="83">
        <v>4.4995233555767289E-2</v>
      </c>
      <c r="E834" s="82"/>
    </row>
    <row r="835" spans="1:5" ht="14.4">
      <c r="A835" s="68">
        <v>43306</v>
      </c>
      <c r="B835" s="65">
        <v>104.9</v>
      </c>
      <c r="C835" s="80">
        <v>1352553</v>
      </c>
      <c r="D835" s="83">
        <v>-1.0190602000377358E-2</v>
      </c>
      <c r="E835" s="82"/>
    </row>
    <row r="836" spans="1:5" ht="14.4">
      <c r="A836" s="68">
        <v>43305</v>
      </c>
      <c r="B836" s="65">
        <v>105.98</v>
      </c>
      <c r="C836" s="80">
        <v>1020922</v>
      </c>
      <c r="D836" s="83">
        <v>5.312084993359889E-3</v>
      </c>
      <c r="E836" s="82"/>
    </row>
    <row r="837" spans="1:5" ht="14.4">
      <c r="A837" s="68">
        <v>43304</v>
      </c>
      <c r="B837" s="65">
        <v>105.42</v>
      </c>
      <c r="C837" s="80">
        <v>812845</v>
      </c>
      <c r="D837" s="83">
        <v>-3.2148260211800617E-3</v>
      </c>
      <c r="E837" s="82"/>
    </row>
    <row r="838" spans="1:5" ht="14.4">
      <c r="A838" s="68">
        <v>43301</v>
      </c>
      <c r="B838" s="65">
        <v>105.76</v>
      </c>
      <c r="C838" s="80">
        <v>1932871</v>
      </c>
      <c r="D838" s="83">
        <v>-1.2327231976092534E-2</v>
      </c>
      <c r="E838" s="82"/>
    </row>
    <row r="839" spans="1:5" ht="14.4">
      <c r="A839" s="68">
        <v>43300</v>
      </c>
      <c r="B839" s="65">
        <v>107.08</v>
      </c>
      <c r="C839" s="80">
        <v>1202954</v>
      </c>
      <c r="D839" s="83">
        <v>-1.1194029850746245E-3</v>
      </c>
      <c r="E839" s="82"/>
    </row>
    <row r="840" spans="1:5" ht="14.4">
      <c r="A840" s="68">
        <v>43299</v>
      </c>
      <c r="B840" s="65">
        <v>107.2</v>
      </c>
      <c r="C840" s="80">
        <v>1338633</v>
      </c>
      <c r="D840" s="83">
        <v>-4.2727103845439096E-3</v>
      </c>
      <c r="E840" s="82"/>
    </row>
    <row r="841" spans="1:5" ht="14.4">
      <c r="A841" s="68">
        <v>43298</v>
      </c>
      <c r="B841" s="65">
        <v>107.66</v>
      </c>
      <c r="C841" s="80">
        <v>944038</v>
      </c>
      <c r="D841" s="83">
        <v>6.7327473349541034E-3</v>
      </c>
      <c r="E841" s="82"/>
    </row>
    <row r="842" spans="1:5" ht="14.4">
      <c r="A842" s="68">
        <v>43297</v>
      </c>
      <c r="B842" s="65">
        <v>106.94</v>
      </c>
      <c r="C842" s="80">
        <v>843342</v>
      </c>
      <c r="D842" s="83">
        <v>-4.283054003724418E-3</v>
      </c>
      <c r="E842" s="82"/>
    </row>
    <row r="843" spans="1:5" ht="14.4">
      <c r="A843" s="68">
        <v>43294</v>
      </c>
      <c r="B843" s="65">
        <v>107.4</v>
      </c>
      <c r="C843" s="80">
        <v>1710296</v>
      </c>
      <c r="D843" s="83">
        <v>2.1495149324709972E-2</v>
      </c>
      <c r="E843" s="82"/>
    </row>
    <row r="844" spans="1:5" ht="14.4">
      <c r="A844" s="68">
        <v>43293</v>
      </c>
      <c r="B844" s="65">
        <v>105.14</v>
      </c>
      <c r="C844" s="80">
        <v>1617009</v>
      </c>
      <c r="D844" s="83">
        <v>1.9391118867558621E-2</v>
      </c>
      <c r="E844" s="82"/>
    </row>
    <row r="845" spans="1:5" ht="14.4">
      <c r="A845" s="68">
        <v>43292</v>
      </c>
      <c r="B845" s="65">
        <v>103.14</v>
      </c>
      <c r="C845" s="80">
        <v>1448989</v>
      </c>
      <c r="D845" s="83">
        <v>-1.9353590090962491E-3</v>
      </c>
      <c r="E845" s="82"/>
    </row>
    <row r="846" spans="1:5" ht="14.4">
      <c r="A846" s="68">
        <v>43291</v>
      </c>
      <c r="B846" s="65">
        <v>103.34</v>
      </c>
      <c r="C846" s="80">
        <v>1898106</v>
      </c>
      <c r="D846" s="83">
        <v>3.9637826961770539E-2</v>
      </c>
      <c r="E846" s="82"/>
    </row>
    <row r="847" spans="1:5" ht="14.4">
      <c r="A847" s="68">
        <v>43290</v>
      </c>
      <c r="B847" s="65">
        <v>99.4</v>
      </c>
      <c r="C847" s="80">
        <v>976457</v>
      </c>
      <c r="D847" s="83">
        <v>9.1370558375634126E-3</v>
      </c>
      <c r="E847" s="82"/>
    </row>
    <row r="848" spans="1:5" ht="14.4">
      <c r="A848" s="68">
        <v>43287</v>
      </c>
      <c r="B848" s="65">
        <v>98.5</v>
      </c>
      <c r="C848" s="80">
        <v>1425002</v>
      </c>
      <c r="D848" s="83">
        <v>7.7757315326376641E-3</v>
      </c>
      <c r="E848" s="82"/>
    </row>
    <row r="849" spans="1:5" ht="14.4">
      <c r="A849" s="68">
        <v>43286</v>
      </c>
      <c r="B849" s="65">
        <v>97.74</v>
      </c>
      <c r="C849" s="80">
        <v>1337173</v>
      </c>
      <c r="D849" s="83">
        <v>-2.6530612244898277E-3</v>
      </c>
      <c r="E849" s="82"/>
    </row>
    <row r="850" spans="1:5" ht="14.4">
      <c r="A850" s="68">
        <v>43285</v>
      </c>
      <c r="B850" s="65">
        <v>98</v>
      </c>
      <c r="C850" s="80">
        <v>790159</v>
      </c>
      <c r="D850" s="83">
        <v>2.4549918166938411E-3</v>
      </c>
      <c r="E850" s="82"/>
    </row>
    <row r="851" spans="1:5" ht="14.4">
      <c r="A851" s="68">
        <v>43284</v>
      </c>
      <c r="B851" s="65">
        <v>97.76</v>
      </c>
      <c r="C851" s="80">
        <v>1106359</v>
      </c>
      <c r="D851" s="83">
        <v>5.1171835022012502E-4</v>
      </c>
      <c r="E851" s="82"/>
    </row>
    <row r="852" spans="1:5" ht="14.4">
      <c r="A852" s="68">
        <v>43283</v>
      </c>
      <c r="B852" s="65">
        <v>97.71</v>
      </c>
      <c r="C852" s="80">
        <v>1658934</v>
      </c>
      <c r="D852" s="83">
        <v>-2.5433871932974417E-2</v>
      </c>
      <c r="E852" s="82"/>
    </row>
    <row r="853" spans="1:5" ht="14.4">
      <c r="A853" s="68">
        <v>43280</v>
      </c>
      <c r="B853" s="65">
        <v>100.26</v>
      </c>
      <c r="C853" s="80">
        <v>1495038</v>
      </c>
      <c r="D853" s="83">
        <v>2.1810028536485948E-2</v>
      </c>
      <c r="E853" s="82"/>
    </row>
    <row r="854" spans="1:5" ht="14.4">
      <c r="A854" s="68">
        <v>43279</v>
      </c>
      <c r="B854" s="65">
        <v>98.12</v>
      </c>
      <c r="C854" s="80">
        <v>1810824</v>
      </c>
      <c r="D854" s="83">
        <v>-9.8890010090816327E-3</v>
      </c>
      <c r="E854" s="82"/>
    </row>
    <row r="855" spans="1:5" ht="14.4">
      <c r="A855" s="68">
        <v>43278</v>
      </c>
      <c r="B855" s="65">
        <v>99.1</v>
      </c>
      <c r="C855" s="80">
        <v>1779672</v>
      </c>
      <c r="D855" s="83">
        <v>2.7155887230513986E-2</v>
      </c>
      <c r="E855" s="82"/>
    </row>
    <row r="856" spans="1:5" ht="14.4">
      <c r="A856" s="68">
        <v>43277</v>
      </c>
      <c r="B856" s="65">
        <v>96.48</v>
      </c>
      <c r="C856" s="80">
        <v>1338259</v>
      </c>
      <c r="D856" s="83">
        <v>-3.923188106545461E-3</v>
      </c>
      <c r="E856" s="82"/>
    </row>
    <row r="857" spans="1:5" ht="14.4">
      <c r="A857" s="68">
        <v>43276</v>
      </c>
      <c r="B857" s="65">
        <v>96.86</v>
      </c>
      <c r="C857" s="80">
        <v>1074718</v>
      </c>
      <c r="D857" s="83">
        <v>-3.7559618441971421E-2</v>
      </c>
      <c r="E857" s="82"/>
    </row>
    <row r="858" spans="1:5" ht="14.4">
      <c r="A858" s="68">
        <v>43273</v>
      </c>
      <c r="B858" s="65">
        <v>100.64</v>
      </c>
      <c r="C858" s="80">
        <v>1430276</v>
      </c>
      <c r="D858" s="83">
        <v>2.0793183892889644E-2</v>
      </c>
      <c r="E858" s="82"/>
    </row>
    <row r="859" spans="1:5" ht="14.4">
      <c r="A859" s="68">
        <v>43272</v>
      </c>
      <c r="B859" s="65">
        <v>98.59</v>
      </c>
      <c r="C859" s="80">
        <v>1692520</v>
      </c>
      <c r="D859" s="83">
        <v>-1.2915498598317865E-2</v>
      </c>
      <c r="E859" s="82"/>
    </row>
    <row r="860" spans="1:5" ht="14.4">
      <c r="A860" s="68">
        <v>43271</v>
      </c>
      <c r="B860" s="65">
        <v>99.88</v>
      </c>
      <c r="C860" s="80">
        <v>1369803</v>
      </c>
      <c r="D860" s="83">
        <v>-4.5844129958143576E-3</v>
      </c>
      <c r="E860" s="82"/>
    </row>
    <row r="861" spans="1:5" ht="14.4">
      <c r="A861" s="68">
        <v>43270</v>
      </c>
      <c r="B861" s="65">
        <v>100.34</v>
      </c>
      <c r="C861" s="80">
        <v>1695805</v>
      </c>
      <c r="D861" s="83">
        <v>-1.5309126594700739E-2</v>
      </c>
      <c r="E861" s="82"/>
    </row>
    <row r="862" spans="1:5" ht="14.4">
      <c r="A862" s="68">
        <v>43269</v>
      </c>
      <c r="B862" s="65">
        <v>101.9</v>
      </c>
      <c r="C862" s="80">
        <v>1274617</v>
      </c>
      <c r="D862" s="83">
        <v>-1.6409266409266321E-2</v>
      </c>
      <c r="E862" s="82"/>
    </row>
    <row r="863" spans="1:5" ht="14.4">
      <c r="A863" s="68">
        <v>43266</v>
      </c>
      <c r="B863" s="65">
        <v>103.6</v>
      </c>
      <c r="C863" s="80">
        <v>2914883</v>
      </c>
      <c r="D863" s="83">
        <v>-9.1813312930375535E-3</v>
      </c>
      <c r="E863" s="82"/>
    </row>
    <row r="864" spans="1:5" ht="14.4">
      <c r="A864" s="68">
        <v>43265</v>
      </c>
      <c r="B864" s="65">
        <v>104.56</v>
      </c>
      <c r="C864" s="80">
        <v>2163334</v>
      </c>
      <c r="D864" s="83">
        <v>4.3721301657017264E-2</v>
      </c>
      <c r="E864" s="82"/>
    </row>
    <row r="865" spans="1:5" ht="14.4">
      <c r="A865" s="68">
        <v>43264</v>
      </c>
      <c r="B865" s="65">
        <v>100.18</v>
      </c>
      <c r="C865" s="80">
        <v>1087974</v>
      </c>
      <c r="D865" s="83">
        <v>-2.9856687898088818E-3</v>
      </c>
      <c r="E865" s="82"/>
    </row>
    <row r="866" spans="1:5" ht="14.4">
      <c r="A866" s="68">
        <v>43263</v>
      </c>
      <c r="B866" s="65">
        <v>100.48</v>
      </c>
      <c r="C866" s="80">
        <v>923524</v>
      </c>
      <c r="D866" s="83">
        <v>-4.1625371655104049E-3</v>
      </c>
      <c r="E866" s="82"/>
    </row>
    <row r="867" spans="1:5" ht="14.4">
      <c r="A867" s="68">
        <v>43262</v>
      </c>
      <c r="B867" s="65">
        <v>100.9</v>
      </c>
      <c r="C867" s="80">
        <v>1117898</v>
      </c>
      <c r="D867" s="83">
        <v>0</v>
      </c>
      <c r="E867" s="82"/>
    </row>
    <row r="868" spans="1:5" ht="14.4">
      <c r="A868" s="68">
        <v>43259</v>
      </c>
      <c r="B868" s="65">
        <v>100.9</v>
      </c>
      <c r="C868" s="80">
        <v>1391071</v>
      </c>
      <c r="D868" s="83">
        <v>1.2543903662819877E-2</v>
      </c>
      <c r="E868" s="82"/>
    </row>
    <row r="869" spans="1:5" ht="14.4">
      <c r="A869" s="68">
        <v>43258</v>
      </c>
      <c r="B869" s="65">
        <v>99.65</v>
      </c>
      <c r="C869" s="80">
        <v>1002940</v>
      </c>
      <c r="D869" s="83">
        <v>-3.4999999999999476E-3</v>
      </c>
      <c r="E869" s="82"/>
    </row>
    <row r="870" spans="1:5" ht="14.4">
      <c r="A870" s="68">
        <v>43257</v>
      </c>
      <c r="B870" s="65">
        <v>100</v>
      </c>
      <c r="C870" s="80">
        <v>1127330</v>
      </c>
      <c r="D870" s="83">
        <v>1.0305112143867312E-2</v>
      </c>
      <c r="E870" s="82"/>
    </row>
    <row r="871" spans="1:5" ht="14.4">
      <c r="A871" s="68">
        <v>43256</v>
      </c>
      <c r="B871" s="65">
        <v>98.98</v>
      </c>
      <c r="C871" s="80">
        <v>1114674</v>
      </c>
      <c r="D871" s="83">
        <v>-5.8256327842506339E-3</v>
      </c>
      <c r="E871" s="82"/>
    </row>
    <row r="872" spans="1:5" ht="14.4">
      <c r="A872" s="68">
        <v>43255</v>
      </c>
      <c r="B872" s="65">
        <v>99.56</v>
      </c>
      <c r="C872" s="80">
        <v>1061667</v>
      </c>
      <c r="D872" s="83">
        <v>1.7104336452360425E-3</v>
      </c>
      <c r="E872" s="82"/>
    </row>
    <row r="873" spans="1:5" ht="14.4">
      <c r="A873" s="68">
        <v>43252</v>
      </c>
      <c r="B873" s="65">
        <v>99.39</v>
      </c>
      <c r="C873" s="80">
        <v>1498403</v>
      </c>
      <c r="D873" s="83">
        <v>2.137498715445485E-2</v>
      </c>
      <c r="E873" s="82"/>
    </row>
    <row r="874" spans="1:5" ht="14.4">
      <c r="A874" s="68">
        <v>43251</v>
      </c>
      <c r="B874" s="65">
        <v>97.31</v>
      </c>
      <c r="C874" s="80">
        <v>2036282</v>
      </c>
      <c r="D874" s="83">
        <v>5.9960715393363451E-3</v>
      </c>
      <c r="E874" s="82"/>
    </row>
    <row r="875" spans="1:5" ht="14.4">
      <c r="A875" s="68">
        <v>43250</v>
      </c>
      <c r="B875" s="65">
        <v>96.73</v>
      </c>
      <c r="C875" s="80">
        <v>1276639</v>
      </c>
      <c r="D875" s="83">
        <v>-6.0624743115493818E-3</v>
      </c>
      <c r="E875" s="82"/>
    </row>
    <row r="876" spans="1:5" ht="14.4">
      <c r="A876" s="68">
        <v>43249</v>
      </c>
      <c r="B876" s="65">
        <v>97.32</v>
      </c>
      <c r="C876" s="80">
        <v>1540976</v>
      </c>
      <c r="D876" s="83">
        <v>1.2345679012344402E-3</v>
      </c>
      <c r="E876" s="82"/>
    </row>
    <row r="877" spans="1:5" ht="14.4">
      <c r="A877" s="68">
        <v>43248</v>
      </c>
      <c r="B877" s="65">
        <v>97.2</v>
      </c>
      <c r="C877" s="80">
        <v>733763</v>
      </c>
      <c r="D877" s="83">
        <v>-1.028408512371437E-2</v>
      </c>
      <c r="E877" s="82"/>
    </row>
    <row r="878" spans="1:5" ht="14.4">
      <c r="A878" s="68">
        <v>43245</v>
      </c>
      <c r="B878" s="65">
        <v>98.21</v>
      </c>
      <c r="C878" s="80">
        <v>1281193</v>
      </c>
      <c r="D878" s="83">
        <v>-1.423487544483959E-3</v>
      </c>
      <c r="E878" s="82"/>
    </row>
    <row r="879" spans="1:5" ht="14.4">
      <c r="A879" s="68">
        <v>43244</v>
      </c>
      <c r="B879" s="65">
        <v>98.35</v>
      </c>
      <c r="C879" s="80">
        <v>930778</v>
      </c>
      <c r="D879" s="83">
        <v>-6.1641067097817359E-3</v>
      </c>
      <c r="E879" s="82"/>
    </row>
    <row r="880" spans="1:5" ht="14.4">
      <c r="A880" s="68">
        <v>43243</v>
      </c>
      <c r="B880" s="65">
        <v>98.96</v>
      </c>
      <c r="C880" s="80">
        <v>1350053</v>
      </c>
      <c r="D880" s="83">
        <v>-1.6888535664613569E-2</v>
      </c>
      <c r="E880" s="82"/>
    </row>
    <row r="881" spans="1:5" ht="14.4">
      <c r="A881" s="68">
        <v>43242</v>
      </c>
      <c r="B881" s="65">
        <v>100.66</v>
      </c>
      <c r="C881" s="80">
        <v>1362260</v>
      </c>
      <c r="D881" s="83">
        <v>-1.586986708986271E-3</v>
      </c>
      <c r="E881" s="82"/>
    </row>
    <row r="882" spans="1:5" ht="14.4">
      <c r="A882" s="68">
        <v>43241</v>
      </c>
      <c r="B882" s="65">
        <v>100.82</v>
      </c>
      <c r="C882" s="80">
        <v>1330566</v>
      </c>
      <c r="D882" s="83">
        <v>3.0457890433360557E-2</v>
      </c>
      <c r="E882" s="82"/>
    </row>
    <row r="883" spans="1:5" ht="14.4">
      <c r="A883" s="68">
        <v>43238</v>
      </c>
      <c r="B883" s="65">
        <v>97.84</v>
      </c>
      <c r="C883" s="80">
        <v>2456175</v>
      </c>
      <c r="D883" s="83">
        <v>-1.4288630332720542E-3</v>
      </c>
      <c r="E883" s="82"/>
    </row>
    <row r="884" spans="1:5" ht="14.4">
      <c r="A884" s="68">
        <v>43237</v>
      </c>
      <c r="B884" s="65">
        <v>97.98</v>
      </c>
      <c r="C884" s="80">
        <v>1249890</v>
      </c>
      <c r="D884" s="83">
        <v>1.6495487083722393E-2</v>
      </c>
      <c r="E884" s="82"/>
    </row>
    <row r="885" spans="1:5" ht="14.4">
      <c r="A885" s="68">
        <v>43236</v>
      </c>
      <c r="B885" s="65">
        <v>96.39</v>
      </c>
      <c r="C885" s="80">
        <v>1448715</v>
      </c>
      <c r="D885" s="83">
        <v>1.4545454545453751E-3</v>
      </c>
      <c r="E885" s="82"/>
    </row>
    <row r="886" spans="1:5" ht="14.4">
      <c r="A886" s="68">
        <v>43235</v>
      </c>
      <c r="B886" s="65">
        <v>96.25</v>
      </c>
      <c r="C886" s="80">
        <v>2059938</v>
      </c>
      <c r="D886" s="83">
        <v>-8.5496497733827947E-3</v>
      </c>
      <c r="E886" s="82"/>
    </row>
    <row r="887" spans="1:5" ht="14.4">
      <c r="A887" s="68">
        <v>43234</v>
      </c>
      <c r="B887" s="65">
        <v>97.08</v>
      </c>
      <c r="C887" s="80">
        <v>1726805</v>
      </c>
      <c r="D887" s="83">
        <v>-2.3831070889894446E-2</v>
      </c>
      <c r="E887" s="82"/>
    </row>
    <row r="888" spans="1:5" ht="14.4">
      <c r="A888" s="68">
        <v>43231</v>
      </c>
      <c r="B888" s="65">
        <v>99.45</v>
      </c>
      <c r="C888" s="80">
        <v>838606</v>
      </c>
      <c r="D888" s="83">
        <v>-1.8066847335139746E-3</v>
      </c>
      <c r="E888" s="82"/>
    </row>
    <row r="889" spans="1:5" ht="14.4">
      <c r="A889" s="68">
        <v>43230</v>
      </c>
      <c r="B889" s="65">
        <v>99.63</v>
      </c>
      <c r="C889" s="80">
        <v>789718</v>
      </c>
      <c r="D889" s="83">
        <v>4.7398144413068888E-3</v>
      </c>
      <c r="E889" s="82"/>
    </row>
    <row r="890" spans="1:5" ht="14.4">
      <c r="A890" s="68">
        <v>43229</v>
      </c>
      <c r="B890" s="65">
        <v>99.16</v>
      </c>
      <c r="C890" s="80">
        <v>1420703</v>
      </c>
      <c r="D890" s="83">
        <v>-1.0774142059058245E-2</v>
      </c>
      <c r="E890" s="82"/>
    </row>
    <row r="891" spans="1:5" ht="14.4">
      <c r="A891" s="68">
        <v>43228</v>
      </c>
      <c r="B891" s="65">
        <v>100.24</v>
      </c>
      <c r="C891" s="80">
        <v>1126291</v>
      </c>
      <c r="D891" s="83">
        <v>-1.7924716191993761E-3</v>
      </c>
      <c r="E891" s="82"/>
    </row>
    <row r="892" spans="1:5" ht="14.4">
      <c r="A892" s="68">
        <v>43227</v>
      </c>
      <c r="B892" s="65">
        <v>100.42</v>
      </c>
      <c r="C892" s="80">
        <v>1173678</v>
      </c>
      <c r="D892" s="83">
        <v>1.7529638261222003E-2</v>
      </c>
      <c r="E892" s="82"/>
    </row>
    <row r="893" spans="1:5" ht="14.4">
      <c r="A893" s="68">
        <v>43224</v>
      </c>
      <c r="B893" s="65">
        <v>98.69</v>
      </c>
      <c r="C893" s="80">
        <v>1300971</v>
      </c>
      <c r="D893" s="83">
        <v>6.4246379767489703E-3</v>
      </c>
      <c r="E893" s="82"/>
    </row>
    <row r="894" spans="1:5" ht="14.4">
      <c r="A894" s="68">
        <v>43223</v>
      </c>
      <c r="B894" s="65">
        <v>98.06</v>
      </c>
      <c r="C894" s="80">
        <v>1373661</v>
      </c>
      <c r="D894" s="83">
        <v>-1.0196798205353019E-4</v>
      </c>
      <c r="E894" s="82"/>
    </row>
    <row r="895" spans="1:5" ht="14.4">
      <c r="A895" s="68">
        <v>43222</v>
      </c>
      <c r="B895" s="65">
        <v>98.07</v>
      </c>
      <c r="C895" s="80">
        <v>2075219</v>
      </c>
      <c r="D895" s="83">
        <v>6.8788501026693094E-3</v>
      </c>
      <c r="E895" s="82"/>
    </row>
    <row r="896" spans="1:5" ht="14.4">
      <c r="A896" s="68">
        <v>43220</v>
      </c>
      <c r="B896" s="65">
        <v>97.4</v>
      </c>
      <c r="C896" s="80">
        <v>2205472</v>
      </c>
      <c r="D896" s="83">
        <v>4.8488600020633044E-3</v>
      </c>
      <c r="E896" s="82"/>
    </row>
    <row r="897" spans="1:5" ht="14.4">
      <c r="A897" s="68">
        <v>43217</v>
      </c>
      <c r="B897" s="65">
        <v>96.93</v>
      </c>
      <c r="C897" s="80">
        <v>2214905</v>
      </c>
      <c r="D897" s="83">
        <v>1.4973821989528791E-2</v>
      </c>
      <c r="E897" s="82"/>
    </row>
    <row r="898" spans="1:5" ht="14.4">
      <c r="A898" s="68">
        <v>43216</v>
      </c>
      <c r="B898" s="65">
        <v>95.5</v>
      </c>
      <c r="C898" s="80">
        <v>1789280</v>
      </c>
      <c r="D898" s="83">
        <v>5.5807096977993353E-3</v>
      </c>
      <c r="E898" s="82"/>
    </row>
    <row r="899" spans="1:5" ht="14.4">
      <c r="A899" s="68">
        <v>43215</v>
      </c>
      <c r="B899" s="65">
        <v>94.97</v>
      </c>
      <c r="C899" s="80">
        <v>2341877</v>
      </c>
      <c r="D899" s="83">
        <v>-1.7991934649984387E-2</v>
      </c>
      <c r="E899" s="82"/>
    </row>
    <row r="900" spans="1:5" ht="14.4">
      <c r="A900" s="68">
        <v>43214</v>
      </c>
      <c r="B900" s="65">
        <v>96.71</v>
      </c>
      <c r="C900" s="80">
        <v>1910574</v>
      </c>
      <c r="D900" s="83">
        <v>5.71963394342756E-3</v>
      </c>
      <c r="E900" s="82"/>
    </row>
    <row r="901" spans="1:5" ht="14.4">
      <c r="A901" s="68">
        <v>43213</v>
      </c>
      <c r="B901" s="65">
        <v>96.16</v>
      </c>
      <c r="C901" s="80">
        <v>1367855</v>
      </c>
      <c r="D901" s="83">
        <v>2.1131995327599018E-2</v>
      </c>
      <c r="E901" s="82"/>
    </row>
    <row r="902" spans="1:5" ht="14.4">
      <c r="A902" s="68">
        <v>43210</v>
      </c>
      <c r="B902" s="65">
        <v>94.17</v>
      </c>
      <c r="C902" s="80">
        <v>2037611</v>
      </c>
      <c r="D902" s="83">
        <v>-7.4278438030550564E-4</v>
      </c>
      <c r="E902" s="82"/>
    </row>
    <row r="903" spans="1:5" ht="14.4">
      <c r="A903" s="68">
        <v>43209</v>
      </c>
      <c r="B903" s="65">
        <v>94.24</v>
      </c>
      <c r="C903" s="80">
        <v>1129502</v>
      </c>
      <c r="D903" s="83">
        <v>-3.8054968287526414E-3</v>
      </c>
      <c r="E903" s="82"/>
    </row>
    <row r="904" spans="1:5" ht="14.4">
      <c r="A904" s="68">
        <v>43208</v>
      </c>
      <c r="B904" s="65">
        <v>94.6</v>
      </c>
      <c r="C904" s="80">
        <v>1675107</v>
      </c>
      <c r="D904" s="83">
        <v>1.6330038676407366E-2</v>
      </c>
      <c r="E904" s="82"/>
    </row>
    <row r="905" spans="1:5" ht="14.4">
      <c r="A905" s="68">
        <v>43207</v>
      </c>
      <c r="B905" s="65">
        <v>93.08</v>
      </c>
      <c r="C905" s="80">
        <v>1799910</v>
      </c>
      <c r="D905" s="83">
        <v>2.9873865899535224E-2</v>
      </c>
      <c r="E905" s="82"/>
    </row>
    <row r="906" spans="1:5" ht="14.4">
      <c r="A906" s="68">
        <v>43206</v>
      </c>
      <c r="B906" s="65">
        <v>90.38</v>
      </c>
      <c r="C906" s="80">
        <v>1286645</v>
      </c>
      <c r="D906" s="83">
        <v>-1.2240437158470008E-2</v>
      </c>
      <c r="E906" s="82"/>
    </row>
    <row r="907" spans="1:5" ht="14.4">
      <c r="A907" s="68">
        <v>43203</v>
      </c>
      <c r="B907" s="65">
        <v>91.5</v>
      </c>
      <c r="C907" s="80">
        <v>1848098</v>
      </c>
      <c r="D907" s="83">
        <v>-1.570567986230631E-2</v>
      </c>
      <c r="E907" s="82"/>
    </row>
    <row r="908" spans="1:5" ht="14.4">
      <c r="A908" s="68">
        <v>43202</v>
      </c>
      <c r="B908" s="65">
        <v>92.96</v>
      </c>
      <c r="C908" s="80">
        <v>2055722</v>
      </c>
      <c r="D908" s="83">
        <v>5.7340690252081217E-3</v>
      </c>
      <c r="E908" s="82"/>
    </row>
    <row r="909" spans="1:5" ht="14.4">
      <c r="A909" s="68">
        <v>43201</v>
      </c>
      <c r="B909" s="65">
        <v>92.43</v>
      </c>
      <c r="C909" s="80">
        <v>1962224</v>
      </c>
      <c r="D909" s="83">
        <v>-3.1335149863760181E-2</v>
      </c>
      <c r="E909" s="82"/>
    </row>
    <row r="910" spans="1:5" ht="14.4">
      <c r="A910" s="68">
        <v>43200</v>
      </c>
      <c r="B910" s="65">
        <v>95.42</v>
      </c>
      <c r="C910" s="80">
        <v>1549328</v>
      </c>
      <c r="D910" s="83">
        <v>1.0805084745762583E-2</v>
      </c>
      <c r="E910" s="82"/>
    </row>
    <row r="911" spans="1:5" ht="14.4">
      <c r="A911" s="68">
        <v>43199</v>
      </c>
      <c r="B911" s="65">
        <v>94.4</v>
      </c>
      <c r="C911" s="80">
        <v>1162527</v>
      </c>
      <c r="D911" s="83">
        <v>0</v>
      </c>
      <c r="E911" s="82"/>
    </row>
    <row r="912" spans="1:5" ht="14.4">
      <c r="A912" s="68">
        <v>43196</v>
      </c>
      <c r="B912" s="65">
        <v>94.4</v>
      </c>
      <c r="C912" s="80">
        <v>1011322</v>
      </c>
      <c r="D912" s="83">
        <v>-4.9541477811742007E-3</v>
      </c>
      <c r="E912" s="82"/>
    </row>
    <row r="913" spans="1:5" ht="14.4">
      <c r="A913" s="68">
        <v>43195</v>
      </c>
      <c r="B913" s="65">
        <v>94.87</v>
      </c>
      <c r="C913" s="80">
        <v>2241922</v>
      </c>
      <c r="D913" s="83">
        <v>2.2195884064217353E-2</v>
      </c>
      <c r="E913" s="82"/>
    </row>
    <row r="914" spans="1:5" ht="14.4">
      <c r="A914" s="68">
        <v>43194</v>
      </c>
      <c r="B914" s="65">
        <v>92.81</v>
      </c>
      <c r="C914" s="80">
        <v>2566788</v>
      </c>
      <c r="D914" s="83">
        <v>-8.4401709401709102E-3</v>
      </c>
      <c r="E914" s="82"/>
    </row>
    <row r="915" spans="1:5" ht="14.4">
      <c r="A915" s="68">
        <v>43193</v>
      </c>
      <c r="B915" s="65">
        <v>93.6</v>
      </c>
      <c r="C915" s="80">
        <v>1394820</v>
      </c>
      <c r="D915" s="83">
        <v>-2.1321961620469621E-3</v>
      </c>
      <c r="E915" s="82"/>
    </row>
    <row r="916" spans="1:5" ht="14.4">
      <c r="A916" s="68">
        <v>43188</v>
      </c>
      <c r="B916" s="65">
        <v>93.8</v>
      </c>
      <c r="C916" s="80">
        <v>1787075</v>
      </c>
      <c r="D916" s="83">
        <v>-1.9153011278996157E-3</v>
      </c>
      <c r="E916" s="82"/>
    </row>
    <row r="917" spans="1:5" ht="14.4">
      <c r="A917" s="68">
        <v>43187</v>
      </c>
      <c r="B917" s="65">
        <v>93.98</v>
      </c>
      <c r="C917" s="80">
        <v>2342711</v>
      </c>
      <c r="D917" s="83">
        <v>-1.1777076761303795E-2</v>
      </c>
      <c r="E917" s="82"/>
    </row>
    <row r="918" spans="1:5" ht="14.4">
      <c r="A918" s="68">
        <v>43186</v>
      </c>
      <c r="B918" s="65">
        <v>95.1</v>
      </c>
      <c r="C918" s="80">
        <v>1603029</v>
      </c>
      <c r="D918" s="83">
        <v>2.390180878552961E-2</v>
      </c>
      <c r="E918" s="82"/>
    </row>
    <row r="919" spans="1:5" ht="14.4">
      <c r="A919" s="68">
        <v>43185</v>
      </c>
      <c r="B919" s="65">
        <v>92.88</v>
      </c>
      <c r="C919" s="80">
        <v>2156370</v>
      </c>
      <c r="D919" s="83">
        <v>-4.3047783039185106E-4</v>
      </c>
      <c r="E919" s="82"/>
    </row>
    <row r="920" spans="1:5" ht="14.4">
      <c r="A920" s="68">
        <v>43182</v>
      </c>
      <c r="B920" s="65">
        <v>92.92</v>
      </c>
      <c r="C920" s="80">
        <v>2232114</v>
      </c>
      <c r="D920" s="83">
        <v>-1.8070379372292056E-2</v>
      </c>
      <c r="E920" s="82"/>
    </row>
    <row r="921" spans="1:5" ht="14.4">
      <c r="A921" s="68">
        <v>43181</v>
      </c>
      <c r="B921" s="65">
        <v>94.63</v>
      </c>
      <c r="C921" s="80">
        <v>2307587</v>
      </c>
      <c r="D921" s="83">
        <v>-9.2136949010576119E-3</v>
      </c>
      <c r="E921" s="82"/>
    </row>
    <row r="922" spans="1:5" ht="14.4">
      <c r="A922" s="68">
        <v>43180</v>
      </c>
      <c r="B922" s="65">
        <v>95.51</v>
      </c>
      <c r="C922" s="80">
        <v>1306085</v>
      </c>
      <c r="D922" s="83">
        <v>-9.5405993985274717E-3</v>
      </c>
      <c r="E922" s="82"/>
    </row>
    <row r="923" spans="1:5" ht="14.4">
      <c r="A923" s="68">
        <v>43179</v>
      </c>
      <c r="B923" s="65">
        <v>96.43</v>
      </c>
      <c r="C923" s="80">
        <v>1527789</v>
      </c>
      <c r="D923" s="83">
        <v>2.1179709837975125E-2</v>
      </c>
      <c r="E923" s="82"/>
    </row>
    <row r="924" spans="1:5" ht="14.4">
      <c r="A924" s="68">
        <v>43178</v>
      </c>
      <c r="B924" s="65">
        <v>94.43</v>
      </c>
      <c r="C924" s="80">
        <v>1454271</v>
      </c>
      <c r="D924" s="83">
        <v>-1.6354166666666559E-2</v>
      </c>
      <c r="E924" s="82"/>
    </row>
    <row r="925" spans="1:5" ht="14.4">
      <c r="A925" s="68">
        <v>43175</v>
      </c>
      <c r="B925" s="65">
        <v>96</v>
      </c>
      <c r="C925" s="80">
        <v>4240400</v>
      </c>
      <c r="D925" s="83">
        <v>-8.6741016109046498E-3</v>
      </c>
      <c r="E925" s="82"/>
    </row>
    <row r="926" spans="1:5" ht="14.4">
      <c r="A926" s="68">
        <v>43174</v>
      </c>
      <c r="B926" s="65">
        <v>96.84</v>
      </c>
      <c r="C926" s="80">
        <v>1492138</v>
      </c>
      <c r="D926" s="83">
        <v>1.6692913385826902E-2</v>
      </c>
      <c r="E926" s="82"/>
    </row>
    <row r="927" spans="1:5" ht="14.4">
      <c r="A927" s="68">
        <v>43173</v>
      </c>
      <c r="B927" s="65">
        <v>95.25</v>
      </c>
      <c r="C927" s="80">
        <v>1548763</v>
      </c>
      <c r="D927" s="83">
        <v>-4.2860129625758026E-3</v>
      </c>
      <c r="E927" s="82"/>
    </row>
    <row r="928" spans="1:5" ht="14.4">
      <c r="A928" s="68">
        <v>43172</v>
      </c>
      <c r="B928" s="65">
        <v>95.66</v>
      </c>
      <c r="C928" s="80">
        <v>1460828</v>
      </c>
      <c r="D928" s="83">
        <v>-2.1904662563889676E-3</v>
      </c>
      <c r="E928" s="82"/>
    </row>
    <row r="929" spans="1:5" ht="14.4">
      <c r="A929" s="68">
        <v>43171</v>
      </c>
      <c r="B929" s="65">
        <v>95.87</v>
      </c>
      <c r="C929" s="80">
        <v>1824223</v>
      </c>
      <c r="D929" s="83">
        <v>-2.5017797213464754E-2</v>
      </c>
      <c r="E929" s="82"/>
    </row>
    <row r="930" spans="1:5" ht="14.4">
      <c r="A930" s="68">
        <v>43168</v>
      </c>
      <c r="B930" s="65">
        <v>98.33</v>
      </c>
      <c r="C930" s="80">
        <v>1667528</v>
      </c>
      <c r="D930" s="83">
        <v>1.2771655165310536E-2</v>
      </c>
      <c r="E930" s="82"/>
    </row>
    <row r="931" spans="1:5" ht="14.4">
      <c r="A931" s="68">
        <v>43167</v>
      </c>
      <c r="B931" s="65">
        <v>97.09</v>
      </c>
      <c r="C931" s="80">
        <v>1708289</v>
      </c>
      <c r="D931" s="83">
        <v>1.4312578353531169E-2</v>
      </c>
      <c r="E931" s="82"/>
    </row>
    <row r="932" spans="1:5" ht="14.4">
      <c r="A932" s="68">
        <v>43166</v>
      </c>
      <c r="B932" s="65">
        <v>95.72</v>
      </c>
      <c r="C932" s="80">
        <v>1496982</v>
      </c>
      <c r="D932" s="83">
        <v>-4.1614648356221862E-3</v>
      </c>
      <c r="E932" s="82"/>
    </row>
    <row r="933" spans="1:5" ht="14.4">
      <c r="A933" s="68">
        <v>43165</v>
      </c>
      <c r="B933" s="65">
        <v>96.12</v>
      </c>
      <c r="C933" s="80">
        <v>2005926</v>
      </c>
      <c r="D933" s="83">
        <v>3.8642297650131052E-3</v>
      </c>
      <c r="E933" s="82"/>
    </row>
    <row r="934" spans="1:5" ht="14.4">
      <c r="A934" s="68">
        <v>43164</v>
      </c>
      <c r="B934" s="65">
        <v>95.75</v>
      </c>
      <c r="C934" s="80">
        <v>1883059</v>
      </c>
      <c r="D934" s="83">
        <v>1.915912719531665E-2</v>
      </c>
      <c r="E934" s="82"/>
    </row>
    <row r="935" spans="1:5" ht="14.4">
      <c r="A935" s="68">
        <v>43161</v>
      </c>
      <c r="B935" s="65">
        <v>93.95</v>
      </c>
      <c r="C935" s="80">
        <v>2660441</v>
      </c>
      <c r="D935" s="83">
        <v>-3.2440782698249127E-2</v>
      </c>
      <c r="E935" s="82"/>
    </row>
    <row r="936" spans="1:5" ht="14.4">
      <c r="A936" s="68">
        <v>43160</v>
      </c>
      <c r="B936" s="65">
        <v>97.1</v>
      </c>
      <c r="C936" s="80">
        <v>1760776</v>
      </c>
      <c r="D936" s="83">
        <v>-1.2609314622737511E-2</v>
      </c>
      <c r="E936" s="82"/>
    </row>
    <row r="937" spans="1:5" ht="14.4">
      <c r="A937" s="68">
        <v>43159</v>
      </c>
      <c r="B937" s="65">
        <v>98.34</v>
      </c>
      <c r="C937" s="80">
        <v>1718890</v>
      </c>
      <c r="D937" s="83">
        <v>-3.74835376354965E-3</v>
      </c>
      <c r="E937" s="82"/>
    </row>
    <row r="938" spans="1:5" ht="14.4">
      <c r="A938" s="68">
        <v>43158</v>
      </c>
      <c r="B938" s="65">
        <v>98.71</v>
      </c>
      <c r="C938" s="80">
        <v>2326711</v>
      </c>
      <c r="D938" s="83">
        <v>-2.3246411966848513E-3</v>
      </c>
      <c r="E938" s="82"/>
    </row>
    <row r="939" spans="1:5" ht="14.4">
      <c r="A939" s="68">
        <v>43157</v>
      </c>
      <c r="B939" s="65">
        <v>98.94</v>
      </c>
      <c r="C939" s="80">
        <v>1886721</v>
      </c>
      <c r="D939" s="83">
        <v>6.5106815869786505E-3</v>
      </c>
      <c r="E939" s="82"/>
    </row>
    <row r="940" spans="1:5" ht="14.4">
      <c r="A940" s="68">
        <v>43154</v>
      </c>
      <c r="B940" s="65">
        <v>98.3</v>
      </c>
      <c r="C940" s="80">
        <v>1401492</v>
      </c>
      <c r="D940" s="83">
        <v>6.1412487205732003E-3</v>
      </c>
      <c r="E940" s="82"/>
    </row>
    <row r="941" spans="1:5" ht="14.4">
      <c r="A941" s="68">
        <v>43153</v>
      </c>
      <c r="B941" s="65">
        <v>97.7</v>
      </c>
      <c r="C941" s="80">
        <v>1946425</v>
      </c>
      <c r="D941" s="83">
        <v>4.0958427196402525E-4</v>
      </c>
      <c r="E941" s="82"/>
    </row>
    <row r="942" spans="1:5" ht="14.4">
      <c r="A942" s="68">
        <v>43152</v>
      </c>
      <c r="B942" s="65">
        <v>97.66</v>
      </c>
      <c r="C942" s="80">
        <v>2045573</v>
      </c>
      <c r="D942" s="83">
        <v>6.9079286524384997E-3</v>
      </c>
      <c r="E942" s="82"/>
    </row>
    <row r="943" spans="1:5" ht="14.4">
      <c r="A943" s="68">
        <v>43151</v>
      </c>
      <c r="B943" s="65">
        <v>96.99</v>
      </c>
      <c r="C943" s="80">
        <v>2250827</v>
      </c>
      <c r="D943" s="83">
        <v>2.2130888397091208E-2</v>
      </c>
      <c r="E943" s="82"/>
    </row>
    <row r="944" spans="1:5" ht="14.4">
      <c r="A944" s="68">
        <v>43150</v>
      </c>
      <c r="B944" s="65">
        <v>94.89</v>
      </c>
      <c r="C944" s="80">
        <v>1575164</v>
      </c>
      <c r="D944" s="83">
        <v>-6.6994661362922425E-3</v>
      </c>
      <c r="E944" s="82"/>
    </row>
    <row r="945" spans="1:5" ht="14.4">
      <c r="A945" s="68">
        <v>43147</v>
      </c>
      <c r="B945" s="65">
        <v>95.53</v>
      </c>
      <c r="C945" s="80">
        <v>3480413</v>
      </c>
      <c r="D945" s="83">
        <v>2.9196293902176373E-2</v>
      </c>
      <c r="E945" s="82"/>
    </row>
    <row r="946" spans="1:5" ht="14.4">
      <c r="A946" s="68">
        <v>43146</v>
      </c>
      <c r="B946" s="65">
        <v>92.82</v>
      </c>
      <c r="C946" s="80">
        <v>5873239</v>
      </c>
      <c r="D946" s="83">
        <v>0.10276820719971469</v>
      </c>
      <c r="E946" s="82"/>
    </row>
    <row r="947" spans="1:5" ht="14.4">
      <c r="A947" s="68">
        <v>43145</v>
      </c>
      <c r="B947" s="65">
        <v>84.17</v>
      </c>
      <c r="C947" s="80">
        <v>2325684</v>
      </c>
      <c r="D947" s="83">
        <v>1.2266987372218763E-2</v>
      </c>
      <c r="E947" s="82"/>
    </row>
    <row r="948" spans="1:5" ht="14.4">
      <c r="A948" s="68">
        <v>43144</v>
      </c>
      <c r="B948" s="65">
        <v>83.15</v>
      </c>
      <c r="C948" s="80">
        <v>2150253</v>
      </c>
      <c r="D948" s="83">
        <v>7.6345128453709776E-3</v>
      </c>
      <c r="E948" s="82"/>
    </row>
    <row r="949" spans="1:5" ht="14.4">
      <c r="A949" s="68">
        <v>43143</v>
      </c>
      <c r="B949" s="65">
        <v>82.52</v>
      </c>
      <c r="C949" s="80">
        <v>2890116</v>
      </c>
      <c r="D949" s="83">
        <v>-1.2209719894661353E-2</v>
      </c>
      <c r="E949" s="82"/>
    </row>
    <row r="950" spans="1:5" ht="14.4">
      <c r="A950" s="68">
        <v>43140</v>
      </c>
      <c r="B950" s="65">
        <v>83.54</v>
      </c>
      <c r="C950" s="80">
        <v>3554261</v>
      </c>
      <c r="D950" s="83">
        <v>-2.3038241141386973E-2</v>
      </c>
      <c r="E950" s="82"/>
    </row>
    <row r="951" spans="1:5" ht="14.4">
      <c r="A951" s="68">
        <v>43139</v>
      </c>
      <c r="B951" s="65">
        <v>85.51</v>
      </c>
      <c r="C951" s="80">
        <v>2627891</v>
      </c>
      <c r="D951" s="83">
        <v>-3.2692307692307687E-2</v>
      </c>
      <c r="E951" s="82"/>
    </row>
    <row r="952" spans="1:5" ht="14.4">
      <c r="A952" s="68">
        <v>43138</v>
      </c>
      <c r="B952" s="65">
        <v>88.4</v>
      </c>
      <c r="C952" s="80">
        <v>2662190</v>
      </c>
      <c r="D952" s="83">
        <v>3.9877661451593882E-2</v>
      </c>
      <c r="E952" s="82"/>
    </row>
    <row r="953" spans="1:5" ht="14.4">
      <c r="A953" s="68">
        <v>43137</v>
      </c>
      <c r="B953" s="65">
        <v>85.01</v>
      </c>
      <c r="C953" s="80">
        <v>4166870</v>
      </c>
      <c r="D953" s="83">
        <v>-1.836027713625854E-2</v>
      </c>
      <c r="E953" s="82"/>
    </row>
    <row r="954" spans="1:5" ht="14.4">
      <c r="A954" s="68">
        <v>43136</v>
      </c>
      <c r="B954" s="65">
        <v>86.6</v>
      </c>
      <c r="C954" s="80">
        <v>2275453</v>
      </c>
      <c r="D954" s="83">
        <v>-1.557349096282834E-2</v>
      </c>
      <c r="E954" s="82"/>
    </row>
    <row r="955" spans="1:5" ht="14.4">
      <c r="A955" s="68">
        <v>43133</v>
      </c>
      <c r="B955" s="65">
        <v>87.97</v>
      </c>
      <c r="C955" s="80">
        <v>2700960</v>
      </c>
      <c r="D955" s="83">
        <v>-3.5099265109136857E-2</v>
      </c>
      <c r="E955" s="82"/>
    </row>
    <row r="956" spans="1:5" ht="14.4">
      <c r="A956" s="68">
        <v>43132</v>
      </c>
      <c r="B956" s="65">
        <v>91.17</v>
      </c>
      <c r="C956" s="80">
        <v>1963564</v>
      </c>
      <c r="D956" s="83">
        <v>-1.4378378378378409E-2</v>
      </c>
      <c r="E956" s="82"/>
    </row>
    <row r="957" spans="1:5" ht="14.4">
      <c r="A957" s="68">
        <v>43131</v>
      </c>
      <c r="B957" s="65">
        <v>92.5</v>
      </c>
      <c r="C957" s="80">
        <v>2051737</v>
      </c>
      <c r="D957" s="83">
        <v>3.0066815144766279E-2</v>
      </c>
      <c r="E957" s="82"/>
    </row>
    <row r="958" spans="1:5" ht="14.4">
      <c r="A958" s="68">
        <v>43130</v>
      </c>
      <c r="B958" s="65">
        <v>89.8</v>
      </c>
      <c r="C958" s="80">
        <v>1353425</v>
      </c>
      <c r="D958" s="83">
        <v>-6.8568900685689327E-3</v>
      </c>
      <c r="E958" s="82"/>
    </row>
    <row r="959" spans="1:5" ht="14.4">
      <c r="A959" s="68">
        <v>43129</v>
      </c>
      <c r="B959" s="65">
        <v>90.42</v>
      </c>
      <c r="C959" s="80">
        <v>1589726</v>
      </c>
      <c r="D959" s="83">
        <v>9.6025011165699059E-3</v>
      </c>
      <c r="E959" s="82"/>
    </row>
    <row r="960" spans="1:5" ht="14.4">
      <c r="A960" s="68">
        <v>43126</v>
      </c>
      <c r="B960" s="65">
        <v>89.56</v>
      </c>
      <c r="C960" s="80">
        <v>1688553</v>
      </c>
      <c r="D960" s="83">
        <v>1.7727272727272814E-2</v>
      </c>
      <c r="E960" s="82"/>
    </row>
    <row r="961" spans="1:7" ht="14.4">
      <c r="A961" s="68">
        <v>43125</v>
      </c>
      <c r="B961" s="65">
        <v>88</v>
      </c>
      <c r="C961" s="80">
        <v>2766900</v>
      </c>
      <c r="D961" s="83">
        <v>-2.7624309392265234E-2</v>
      </c>
      <c r="E961" s="82"/>
    </row>
    <row r="962" spans="1:7" ht="14.4">
      <c r="A962" s="68">
        <v>43124</v>
      </c>
      <c r="B962" s="65">
        <v>90.5</v>
      </c>
      <c r="C962" s="80">
        <v>1770657</v>
      </c>
      <c r="D962" s="83">
        <v>-1.7372421281215966E-2</v>
      </c>
      <c r="E962" s="82"/>
    </row>
    <row r="963" spans="1:7" ht="14.4">
      <c r="A963" s="68">
        <v>43123</v>
      </c>
      <c r="B963" s="65">
        <v>92.1</v>
      </c>
      <c r="C963" s="80">
        <v>1848638</v>
      </c>
      <c r="D963" s="83">
        <v>-1.2332439678284235E-2</v>
      </c>
      <c r="E963" s="82"/>
    </row>
    <row r="964" spans="1:7" ht="14.4">
      <c r="A964" s="68">
        <v>43122</v>
      </c>
      <c r="B964" s="65">
        <v>93.25</v>
      </c>
      <c r="C964" s="80">
        <v>1866217</v>
      </c>
      <c r="D964" s="83">
        <v>4.9574307576247811E-3</v>
      </c>
      <c r="E964" s="82"/>
    </row>
    <row r="965" spans="1:7" ht="14.4">
      <c r="A965" s="68">
        <v>43119</v>
      </c>
      <c r="B965" s="65">
        <v>92.79</v>
      </c>
      <c r="C965" s="80">
        <v>2523329</v>
      </c>
      <c r="D965" s="83">
        <v>2.6438053097345149E-2</v>
      </c>
      <c r="E965" s="82"/>
    </row>
    <row r="966" spans="1:7" ht="14.4">
      <c r="A966" s="68">
        <v>43118</v>
      </c>
      <c r="B966" s="65">
        <v>90.4</v>
      </c>
      <c r="C966" s="80">
        <v>2656032</v>
      </c>
      <c r="D966" s="83">
        <v>7.3545798974816723E-3</v>
      </c>
      <c r="E966" s="62"/>
      <c r="F966" s="62"/>
      <c r="G966" s="62"/>
    </row>
    <row r="967" spans="1:7" ht="14.4">
      <c r="A967" s="68">
        <v>43117</v>
      </c>
      <c r="B967" s="65">
        <v>89.74</v>
      </c>
      <c r="C967" s="80">
        <v>1287333</v>
      </c>
      <c r="D967" s="83">
        <v>-2.5564076914527112E-3</v>
      </c>
      <c r="E967" s="62"/>
      <c r="F967" s="62"/>
      <c r="G967" s="62"/>
    </row>
    <row r="968" spans="1:7" ht="14.4">
      <c r="A968" s="68">
        <v>43116</v>
      </c>
      <c r="B968" s="65">
        <v>89.97</v>
      </c>
      <c r="C968" s="80">
        <v>1621132</v>
      </c>
      <c r="D968" s="83">
        <v>-3.3333333333329662E-4</v>
      </c>
      <c r="E968" s="62"/>
      <c r="F968" s="62"/>
      <c r="G968" s="62"/>
    </row>
    <row r="969" spans="1:7" ht="14.4">
      <c r="A969" s="68">
        <v>43115</v>
      </c>
      <c r="B969" s="65">
        <v>90</v>
      </c>
      <c r="C969" s="80">
        <v>1374298</v>
      </c>
      <c r="D969" s="83">
        <v>-4.4247787610620648E-3</v>
      </c>
      <c r="E969" s="62"/>
      <c r="F969" s="62"/>
      <c r="G969" s="62"/>
    </row>
    <row r="970" spans="1:7" ht="14.4">
      <c r="A970" s="68">
        <v>43112</v>
      </c>
      <c r="B970" s="65">
        <v>90.4</v>
      </c>
      <c r="C970" s="80">
        <v>1301019</v>
      </c>
      <c r="D970" s="83">
        <v>4.2212841590758554E-3</v>
      </c>
      <c r="E970" s="62"/>
      <c r="F970" s="62"/>
      <c r="G970" s="62"/>
    </row>
    <row r="971" spans="1:7" ht="14.4">
      <c r="A971" s="68">
        <v>43111</v>
      </c>
      <c r="B971" s="65">
        <v>90.02</v>
      </c>
      <c r="C971" s="80">
        <v>2816239</v>
      </c>
      <c r="D971" s="83">
        <v>-2.76946936966882E-3</v>
      </c>
      <c r="E971" s="62"/>
      <c r="F971" s="62"/>
      <c r="G971" s="62"/>
    </row>
    <row r="972" spans="1:7" ht="14.4">
      <c r="A972" s="68">
        <v>43110</v>
      </c>
      <c r="B972" s="65">
        <v>90.27</v>
      </c>
      <c r="C972" s="80">
        <v>2630181</v>
      </c>
      <c r="D972" s="83">
        <v>3.9019337016574562E-2</v>
      </c>
      <c r="E972" s="62"/>
      <c r="F972" s="62"/>
      <c r="G972" s="62"/>
    </row>
    <row r="973" spans="1:7" ht="14.4">
      <c r="A973" s="68">
        <v>43109</v>
      </c>
      <c r="B973" s="65">
        <v>86.88</v>
      </c>
      <c r="C973" s="80">
        <v>1117093</v>
      </c>
      <c r="D973" s="83">
        <v>3.0016162549064695E-3</v>
      </c>
      <c r="E973" s="62"/>
      <c r="F973" s="62"/>
      <c r="G973" s="62"/>
    </row>
    <row r="974" spans="1:7" ht="14.4">
      <c r="A974" s="68">
        <v>43108</v>
      </c>
      <c r="B974" s="65">
        <v>86.62</v>
      </c>
      <c r="C974" s="80">
        <v>1330866</v>
      </c>
      <c r="D974" s="83">
        <v>1.1915887850467488E-2</v>
      </c>
      <c r="E974" s="62"/>
      <c r="F974" s="62"/>
      <c r="G974" s="62"/>
    </row>
    <row r="975" spans="1:7" ht="14.4">
      <c r="A975" s="68">
        <v>43105</v>
      </c>
      <c r="B975" s="65">
        <v>85.6</v>
      </c>
      <c r="C975" s="80">
        <v>1689901</v>
      </c>
      <c r="D975" s="83">
        <v>-2.5635050104870771E-3</v>
      </c>
      <c r="E975" s="62"/>
      <c r="F975" s="62"/>
      <c r="G975" s="62"/>
    </row>
    <row r="976" spans="1:7" ht="14.4">
      <c r="A976" s="68">
        <v>43104</v>
      </c>
      <c r="B976" s="65">
        <v>85.82</v>
      </c>
      <c r="C976" s="80">
        <v>1796349</v>
      </c>
      <c r="D976" s="83">
        <v>2.020922491678534E-2</v>
      </c>
      <c r="E976" s="62"/>
      <c r="F976" s="62"/>
      <c r="G976" s="62"/>
    </row>
    <row r="977" spans="1:7" ht="14.4">
      <c r="A977" s="68">
        <v>43103</v>
      </c>
      <c r="B977" s="65">
        <v>84.12</v>
      </c>
      <c r="C977" s="80">
        <v>1623702</v>
      </c>
      <c r="D977" s="83">
        <v>1.6555891238670739E-2</v>
      </c>
      <c r="E977" s="62"/>
      <c r="F977" s="62"/>
      <c r="G977" s="62"/>
    </row>
    <row r="978" spans="1:7" ht="14.4">
      <c r="A978" s="68">
        <v>43102</v>
      </c>
      <c r="B978" s="65">
        <v>82.75</v>
      </c>
      <c r="C978" s="80">
        <v>1372454</v>
      </c>
      <c r="D978" s="83">
        <v>-3.0120481927711218E-3</v>
      </c>
      <c r="E978" s="62"/>
      <c r="F978" s="62"/>
      <c r="G978" s="62"/>
    </row>
    <row r="979" spans="1:7" ht="14.4">
      <c r="A979" s="71">
        <v>43098</v>
      </c>
      <c r="B979" s="72">
        <v>83</v>
      </c>
      <c r="C979" s="81">
        <v>1578785</v>
      </c>
      <c r="D979" s="84">
        <v>-1.0727056019070424E-2</v>
      </c>
      <c r="E979" s="74"/>
      <c r="F979" s="74"/>
      <c r="G979" s="73" t="e">
        <v>#REF!</v>
      </c>
    </row>
    <row r="980" spans="1:7" ht="14.4">
      <c r="A980" s="68">
        <v>43097</v>
      </c>
      <c r="B980" s="65">
        <v>83.9</v>
      </c>
      <c r="C980" s="80">
        <v>1024248</v>
      </c>
      <c r="D980" s="83">
        <v>-1.572031909901439E-2</v>
      </c>
      <c r="E980" s="62"/>
      <c r="F980" s="62"/>
      <c r="G980" s="62"/>
    </row>
    <row r="981" spans="1:7" ht="14.4">
      <c r="A981" s="68">
        <v>43096</v>
      </c>
      <c r="B981" s="65">
        <v>85.24</v>
      </c>
      <c r="C981" s="80">
        <v>932890</v>
      </c>
      <c r="D981" s="83">
        <v>8.1608515671200976E-3</v>
      </c>
      <c r="E981" s="62"/>
      <c r="F981" s="62"/>
      <c r="G981" s="62"/>
    </row>
    <row r="982" spans="1:7" ht="14.4">
      <c r="A982" s="68">
        <v>43091</v>
      </c>
      <c r="B982" s="65">
        <v>84.55</v>
      </c>
      <c r="C982" s="80">
        <v>873485</v>
      </c>
      <c r="D982" s="83">
        <v>-4.3570419218088574E-3</v>
      </c>
      <c r="E982" s="82"/>
    </row>
    <row r="983" spans="1:7" ht="14.4">
      <c r="A983" s="68">
        <v>43090</v>
      </c>
      <c r="B983" s="65">
        <v>84.92</v>
      </c>
      <c r="C983" s="80">
        <v>1356310</v>
      </c>
      <c r="D983" s="83">
        <v>1.4150943396227245E-3</v>
      </c>
      <c r="E983" s="82"/>
    </row>
    <row r="984" spans="1:7" ht="14.4">
      <c r="A984" s="68">
        <v>43089</v>
      </c>
      <c r="B984" s="65">
        <v>84.8</v>
      </c>
      <c r="C984" s="80">
        <v>1500312</v>
      </c>
      <c r="D984" s="83">
        <v>-1.0155246877553425E-2</v>
      </c>
      <c r="E984" s="82"/>
    </row>
    <row r="985" spans="1:7" ht="14.4">
      <c r="A985" s="68">
        <v>43088</v>
      </c>
      <c r="B985" s="65">
        <v>85.67</v>
      </c>
      <c r="C985" s="80">
        <v>1155519</v>
      </c>
      <c r="D985" s="83">
        <v>-9.9387495666243275E-3</v>
      </c>
      <c r="E985" s="82"/>
    </row>
    <row r="986" spans="1:7" ht="14.4">
      <c r="A986" s="68">
        <v>43087</v>
      </c>
      <c r="B986" s="65">
        <v>86.53</v>
      </c>
      <c r="C986" s="80">
        <v>1339134</v>
      </c>
      <c r="D986" s="83">
        <v>1.5014662756598351E-2</v>
      </c>
      <c r="E986" s="82"/>
    </row>
    <row r="987" spans="1:7" ht="14.4">
      <c r="A987" s="68">
        <v>43084</v>
      </c>
      <c r="B987" s="65">
        <v>85.25</v>
      </c>
      <c r="C987" s="80">
        <v>5085521</v>
      </c>
      <c r="D987" s="83">
        <v>-1.0546051089759256E-3</v>
      </c>
      <c r="E987" s="82"/>
    </row>
    <row r="988" spans="1:7" ht="14.4">
      <c r="A988" s="68">
        <v>43083</v>
      </c>
      <c r="B988" s="65">
        <v>85.34</v>
      </c>
      <c r="C988" s="80">
        <v>1902549</v>
      </c>
      <c r="D988" s="83">
        <v>-1.0550724637681141E-2</v>
      </c>
      <c r="E988" s="82"/>
    </row>
    <row r="989" spans="1:7" ht="14.4">
      <c r="A989" s="68">
        <v>43082</v>
      </c>
      <c r="B989" s="65">
        <v>86.25</v>
      </c>
      <c r="C989" s="80">
        <v>1390206</v>
      </c>
      <c r="D989" s="83">
        <v>-1.1234666972371965E-2</v>
      </c>
      <c r="E989" s="82"/>
    </row>
    <row r="990" spans="1:7" ht="14.4">
      <c r="A990" s="68">
        <v>43081</v>
      </c>
      <c r="B990" s="65">
        <v>87.23</v>
      </c>
      <c r="C990" s="80">
        <v>1186451</v>
      </c>
      <c r="D990" s="83">
        <v>1.5128593040847127E-2</v>
      </c>
      <c r="E990" s="82"/>
    </row>
    <row r="991" spans="1:7" ht="14.4">
      <c r="A991" s="68">
        <v>43080</v>
      </c>
      <c r="B991" s="65">
        <v>85.93</v>
      </c>
      <c r="C991" s="80">
        <v>1591753</v>
      </c>
      <c r="D991" s="83">
        <v>-2.0963882875697726E-2</v>
      </c>
      <c r="E991" s="82"/>
    </row>
    <row r="992" spans="1:7" ht="14.4">
      <c r="A992" s="68">
        <v>43077</v>
      </c>
      <c r="B992" s="65">
        <v>87.77</v>
      </c>
      <c r="C992" s="80">
        <v>1264048</v>
      </c>
      <c r="D992" s="83">
        <v>-2.8402635764599449E-3</v>
      </c>
      <c r="E992" s="82"/>
    </row>
    <row r="993" spans="1:5" ht="14.4">
      <c r="A993" s="68">
        <v>43076</v>
      </c>
      <c r="B993" s="65">
        <v>88.02</v>
      </c>
      <c r="C993" s="80">
        <v>1462679</v>
      </c>
      <c r="D993" s="83">
        <v>-9.4530722484807983E-3</v>
      </c>
      <c r="E993" s="82"/>
    </row>
    <row r="994" spans="1:5" ht="14.4">
      <c r="A994" s="68">
        <v>43075</v>
      </c>
      <c r="B994" s="65">
        <v>88.86</v>
      </c>
      <c r="C994" s="80">
        <v>1315476</v>
      </c>
      <c r="D994" s="83">
        <v>3.2742463588122384E-3</v>
      </c>
      <c r="E994" s="82"/>
    </row>
    <row r="995" spans="1:5" ht="14.4">
      <c r="A995" s="68">
        <v>43074</v>
      </c>
      <c r="B995" s="65">
        <v>88.57</v>
      </c>
      <c r="C995" s="80">
        <v>1385214</v>
      </c>
      <c r="D995" s="83">
        <v>7.9663138727663618E-3</v>
      </c>
      <c r="E995" s="82"/>
    </row>
    <row r="996" spans="1:5" ht="14.4">
      <c r="A996" s="68">
        <v>43073</v>
      </c>
      <c r="B996" s="65">
        <v>87.87</v>
      </c>
      <c r="C996" s="80">
        <v>1741336</v>
      </c>
      <c r="D996" s="83">
        <v>3.000820536865545E-2</v>
      </c>
      <c r="E996" s="82"/>
    </row>
    <row r="997" spans="1:5" ht="14.4">
      <c r="A997" s="68">
        <v>43070</v>
      </c>
      <c r="B997" s="65">
        <v>85.31</v>
      </c>
      <c r="C997" s="80">
        <v>2055769</v>
      </c>
      <c r="D997" s="83">
        <v>-2.2683010654141467E-2</v>
      </c>
      <c r="E997" s="82"/>
    </row>
    <row r="998" spans="1:5" ht="14.4">
      <c r="A998" s="68">
        <v>43069</v>
      </c>
      <c r="B998" s="65">
        <v>87.29</v>
      </c>
      <c r="C998" s="80">
        <v>2161119</v>
      </c>
      <c r="D998" s="83">
        <v>0</v>
      </c>
      <c r="E998" s="82"/>
    </row>
    <row r="999" spans="1:5" ht="14.4">
      <c r="A999" s="68">
        <v>43068</v>
      </c>
      <c r="B999" s="65">
        <v>87.29</v>
      </c>
      <c r="C999" s="80">
        <v>1485386</v>
      </c>
      <c r="D999" s="83">
        <v>5.2977081653806657E-3</v>
      </c>
      <c r="E999" s="82"/>
    </row>
    <row r="1000" spans="1:5" ht="14.4">
      <c r="A1000" s="68">
        <v>43067</v>
      </c>
      <c r="B1000" s="65">
        <v>86.83</v>
      </c>
      <c r="C1000" s="80">
        <v>1222274</v>
      </c>
      <c r="D1000" s="83">
        <v>1.330376940133049E-2</v>
      </c>
      <c r="E1000" s="82"/>
    </row>
    <row r="1001" spans="1:5" ht="14.4">
      <c r="A1001" s="68">
        <v>43066</v>
      </c>
      <c r="B1001" s="65">
        <v>85.69</v>
      </c>
      <c r="C1001" s="80">
        <v>1011712</v>
      </c>
      <c r="D1001" s="83">
        <v>-1.2820512820512775E-3</v>
      </c>
      <c r="E1001" s="82"/>
    </row>
    <row r="1002" spans="1:5" ht="14.4">
      <c r="A1002" s="68">
        <v>43063</v>
      </c>
      <c r="B1002" s="65">
        <v>85.8</v>
      </c>
      <c r="C1002" s="80">
        <v>951963</v>
      </c>
      <c r="D1002" s="83">
        <v>-1.0478519035976852E-3</v>
      </c>
      <c r="E1002" s="82"/>
    </row>
    <row r="1003" spans="1:5" ht="14.4">
      <c r="A1003" s="68">
        <v>43062</v>
      </c>
      <c r="B1003" s="65">
        <v>85.89</v>
      </c>
      <c r="C1003" s="80">
        <v>917728</v>
      </c>
      <c r="D1003" s="83">
        <v>6.5627563576702297E-3</v>
      </c>
      <c r="E1003" s="82"/>
    </row>
    <row r="1004" spans="1:5" ht="14.4">
      <c r="A1004" s="68">
        <v>43061</v>
      </c>
      <c r="B1004" s="65">
        <v>85.33</v>
      </c>
      <c r="C1004" s="80">
        <v>1315358</v>
      </c>
      <c r="D1004" s="83">
        <v>-8.0213903743314718E-3</v>
      </c>
      <c r="E1004" s="82"/>
    </row>
    <row r="1005" spans="1:5" ht="14.4">
      <c r="A1005" s="68">
        <v>43060</v>
      </c>
      <c r="B1005" s="65">
        <v>86.02</v>
      </c>
      <c r="C1005" s="80">
        <v>1400629</v>
      </c>
      <c r="D1005" s="83">
        <v>9.6244131455398563E-3</v>
      </c>
      <c r="E1005" s="82"/>
    </row>
    <row r="1006" spans="1:5" ht="14.4">
      <c r="A1006" s="68">
        <v>43059</v>
      </c>
      <c r="B1006" s="65">
        <v>85.2</v>
      </c>
      <c r="C1006" s="80">
        <v>1115602</v>
      </c>
      <c r="D1006" s="83">
        <v>3.7700282752122227E-3</v>
      </c>
      <c r="E1006" s="82"/>
    </row>
    <row r="1007" spans="1:5" ht="14.4">
      <c r="A1007" s="68">
        <v>43056</v>
      </c>
      <c r="B1007" s="65">
        <v>84.88</v>
      </c>
      <c r="C1007" s="80">
        <v>1303346</v>
      </c>
      <c r="D1007" s="83">
        <v>-7.1353374663702951E-3</v>
      </c>
      <c r="E1007" s="82"/>
    </row>
    <row r="1008" spans="1:5" ht="14.4">
      <c r="A1008" s="68">
        <v>43055</v>
      </c>
      <c r="B1008" s="65">
        <v>85.49</v>
      </c>
      <c r="C1008" s="80">
        <v>1517840</v>
      </c>
      <c r="D1008" s="83">
        <v>-1.1695906432751535E-4</v>
      </c>
      <c r="E1008" s="82"/>
    </row>
    <row r="1009" spans="1:5" ht="14.4">
      <c r="A1009" s="68">
        <v>43054</v>
      </c>
      <c r="B1009" s="65">
        <v>85.5</v>
      </c>
      <c r="C1009" s="80">
        <v>3015548</v>
      </c>
      <c r="D1009" s="83">
        <v>2.3461814699545114E-2</v>
      </c>
      <c r="E1009" s="82"/>
    </row>
    <row r="1010" spans="1:5" ht="14.4">
      <c r="A1010" s="68">
        <v>43053</v>
      </c>
      <c r="B1010" s="65">
        <v>83.54</v>
      </c>
      <c r="C1010" s="80">
        <v>1522192</v>
      </c>
      <c r="D1010" s="83">
        <v>3.4834834834835959E-3</v>
      </c>
      <c r="E1010" s="82"/>
    </row>
    <row r="1011" spans="1:5" ht="14.4">
      <c r="A1011" s="68">
        <v>43052</v>
      </c>
      <c r="B1011" s="65">
        <v>83.25</v>
      </c>
      <c r="C1011" s="80">
        <v>1611483</v>
      </c>
      <c r="D1011" s="83">
        <v>-5.6139512661251834E-3</v>
      </c>
      <c r="E1011" s="82"/>
    </row>
    <row r="1012" spans="1:5" ht="14.4">
      <c r="A1012" s="68">
        <v>43049</v>
      </c>
      <c r="B1012" s="65">
        <v>83.72</v>
      </c>
      <c r="C1012" s="80">
        <v>1564466</v>
      </c>
      <c r="D1012" s="83">
        <v>-4.1631973355535923E-3</v>
      </c>
      <c r="E1012" s="82"/>
    </row>
    <row r="1013" spans="1:5" ht="14.4">
      <c r="A1013" s="68">
        <v>43048</v>
      </c>
      <c r="B1013" s="65">
        <v>84.07</v>
      </c>
      <c r="C1013" s="80">
        <v>1963728</v>
      </c>
      <c r="D1013" s="83">
        <v>-1.6264919260472799E-2</v>
      </c>
      <c r="E1013" s="82"/>
    </row>
    <row r="1014" spans="1:5" ht="14.4">
      <c r="A1014" s="68">
        <v>43047</v>
      </c>
      <c r="B1014" s="65">
        <v>85.46</v>
      </c>
      <c r="C1014" s="80">
        <v>1554544</v>
      </c>
      <c r="D1014" s="83">
        <v>-1.0879629629629739E-2</v>
      </c>
      <c r="E1014" s="82"/>
    </row>
    <row r="1015" spans="1:5" ht="14.4">
      <c r="A1015" s="68">
        <v>43046</v>
      </c>
      <c r="B1015" s="65">
        <v>86.4</v>
      </c>
      <c r="C1015" s="80">
        <v>1243787</v>
      </c>
      <c r="D1015" s="83">
        <v>-2.5398291387670469E-3</v>
      </c>
      <c r="E1015" s="82"/>
    </row>
    <row r="1016" spans="1:5" ht="14.4">
      <c r="A1016" s="68">
        <v>43045</v>
      </c>
      <c r="B1016" s="65">
        <v>86.62</v>
      </c>
      <c r="C1016" s="80">
        <v>1130253</v>
      </c>
      <c r="D1016" s="83">
        <v>-6.3095101525754149E-3</v>
      </c>
      <c r="E1016" s="82"/>
    </row>
    <row r="1017" spans="1:5" ht="14.4">
      <c r="A1017" s="68">
        <v>43042</v>
      </c>
      <c r="B1017" s="65">
        <v>87.17</v>
      </c>
      <c r="C1017" s="80">
        <v>1498114</v>
      </c>
      <c r="D1017" s="83">
        <v>8.7952783242681853E-3</v>
      </c>
      <c r="E1017" s="82"/>
    </row>
    <row r="1018" spans="1:5" ht="14.4">
      <c r="A1018" s="68">
        <v>43041</v>
      </c>
      <c r="B1018" s="65">
        <v>86.41</v>
      </c>
      <c r="C1018" s="80">
        <v>1704866</v>
      </c>
      <c r="D1018" s="83">
        <v>-1.1100938429846607E-2</v>
      </c>
      <c r="E1018" s="82"/>
    </row>
    <row r="1019" spans="1:5" ht="14.4">
      <c r="A1019" s="68">
        <v>43040</v>
      </c>
      <c r="B1019" s="65">
        <v>87.38</v>
      </c>
      <c r="C1019" s="80">
        <v>1663464</v>
      </c>
      <c r="D1019" s="83">
        <v>-4.2165242165242978E-3</v>
      </c>
      <c r="E1019" s="82"/>
    </row>
    <row r="1020" spans="1:5" ht="14.4">
      <c r="A1020" s="68">
        <v>43039</v>
      </c>
      <c r="B1020" s="65">
        <v>87.75</v>
      </c>
      <c r="C1020" s="80">
        <v>3186345</v>
      </c>
      <c r="D1020" s="83">
        <v>3.5887144374926239E-2</v>
      </c>
      <c r="E1020" s="82"/>
    </row>
    <row r="1021" spans="1:5" ht="14.4">
      <c r="A1021" s="68">
        <v>43038</v>
      </c>
      <c r="B1021" s="65">
        <v>84.71</v>
      </c>
      <c r="C1021" s="80">
        <v>2219520</v>
      </c>
      <c r="D1021" s="83">
        <v>-2.1372458410351292E-2</v>
      </c>
      <c r="E1021" s="82"/>
    </row>
    <row r="1022" spans="1:5" ht="14.4">
      <c r="A1022" s="68">
        <v>43035</v>
      </c>
      <c r="B1022" s="65">
        <v>86.56</v>
      </c>
      <c r="C1022" s="80">
        <v>3112118</v>
      </c>
      <c r="D1022" s="83">
        <v>8.7402400652605294E-3</v>
      </c>
      <c r="E1022" s="82"/>
    </row>
    <row r="1023" spans="1:5" ht="14.4">
      <c r="A1023" s="68">
        <v>43034</v>
      </c>
      <c r="B1023" s="65">
        <v>85.81</v>
      </c>
      <c r="C1023" s="80">
        <v>2146664</v>
      </c>
      <c r="D1023" s="83">
        <v>2.8034024200311425E-2</v>
      </c>
      <c r="E1023" s="82"/>
    </row>
    <row r="1024" spans="1:5" ht="14.4">
      <c r="A1024" s="68">
        <v>43033</v>
      </c>
      <c r="B1024" s="65">
        <v>83.47</v>
      </c>
      <c r="C1024" s="80">
        <v>2036221</v>
      </c>
      <c r="D1024" s="83">
        <v>2.6426426426426897E-3</v>
      </c>
      <c r="E1024" s="82"/>
    </row>
    <row r="1025" spans="1:5" ht="14.4">
      <c r="A1025" s="68">
        <v>43032</v>
      </c>
      <c r="B1025" s="65">
        <v>83.25</v>
      </c>
      <c r="C1025" s="80">
        <v>2887232</v>
      </c>
      <c r="D1025" s="83">
        <v>2.4111206790503159E-2</v>
      </c>
      <c r="E1025" s="82"/>
    </row>
    <row r="1026" spans="1:5" ht="14.4">
      <c r="A1026" s="68">
        <v>43031</v>
      </c>
      <c r="B1026" s="65">
        <v>81.290000000000006</v>
      </c>
      <c r="C1026" s="80">
        <v>944252</v>
      </c>
      <c r="D1026" s="83">
        <v>7.0614469772052324E-3</v>
      </c>
      <c r="E1026" s="82"/>
    </row>
    <row r="1027" spans="1:5" ht="14.4">
      <c r="A1027" s="68">
        <v>43028</v>
      </c>
      <c r="B1027" s="65">
        <v>80.72</v>
      </c>
      <c r="C1027" s="80">
        <v>1511806</v>
      </c>
      <c r="D1027" s="83">
        <v>0</v>
      </c>
      <c r="E1027" s="82"/>
    </row>
    <row r="1028" spans="1:5" ht="14.4">
      <c r="A1028" s="68">
        <v>43027</v>
      </c>
      <c r="B1028" s="65">
        <v>80.72</v>
      </c>
      <c r="C1028" s="80">
        <v>2118635</v>
      </c>
      <c r="D1028" s="83">
        <v>-5.1762385999507554E-3</v>
      </c>
      <c r="E1028" s="82"/>
    </row>
    <row r="1029" spans="1:5" ht="14.4">
      <c r="A1029" s="68">
        <v>43026</v>
      </c>
      <c r="B1029" s="65">
        <v>81.14</v>
      </c>
      <c r="C1029" s="80">
        <v>1707224</v>
      </c>
      <c r="D1029" s="83">
        <v>4.3322193340760151E-3</v>
      </c>
      <c r="E1029" s="82"/>
    </row>
    <row r="1030" spans="1:5" ht="14.4">
      <c r="A1030" s="68">
        <v>43025</v>
      </c>
      <c r="B1030" s="65">
        <v>80.790000000000006</v>
      </c>
      <c r="C1030" s="80">
        <v>3367017</v>
      </c>
      <c r="D1030" s="83">
        <v>4.8267808485792374E-2</v>
      </c>
      <c r="E1030" s="82"/>
    </row>
    <row r="1031" spans="1:5" ht="14.4">
      <c r="A1031" s="68">
        <v>43024</v>
      </c>
      <c r="B1031" s="65">
        <v>77.069999999999993</v>
      </c>
      <c r="C1031" s="80">
        <v>1634343</v>
      </c>
      <c r="D1031" s="83">
        <v>-1.6839378238343583E-3</v>
      </c>
      <c r="E1031" s="82"/>
    </row>
    <row r="1032" spans="1:5" ht="14.4">
      <c r="A1032" s="68">
        <v>43021</v>
      </c>
      <c r="B1032" s="65">
        <v>77.2</v>
      </c>
      <c r="C1032" s="80">
        <v>1700450</v>
      </c>
      <c r="D1032" s="83">
        <v>-1.2282497441146289E-2</v>
      </c>
      <c r="E1032" s="82"/>
    </row>
    <row r="1033" spans="1:5" ht="14.4">
      <c r="A1033" s="68">
        <v>43020</v>
      </c>
      <c r="B1033" s="65">
        <v>78.16</v>
      </c>
      <c r="C1033" s="80">
        <v>1544613</v>
      </c>
      <c r="D1033" s="83">
        <v>2.1797666367482371E-3</v>
      </c>
      <c r="E1033" s="82"/>
    </row>
    <row r="1034" spans="1:5" ht="14.4">
      <c r="A1034" s="68">
        <v>43019</v>
      </c>
      <c r="B1034" s="65">
        <v>77.989999999999995</v>
      </c>
      <c r="C1034" s="80">
        <v>2461122</v>
      </c>
      <c r="D1034" s="83">
        <v>-1.0781329274480056E-2</v>
      </c>
      <c r="E1034" s="82"/>
    </row>
    <row r="1035" spans="1:5" ht="14.4">
      <c r="A1035" s="68">
        <v>43018</v>
      </c>
      <c r="B1035" s="65">
        <v>78.84</v>
      </c>
      <c r="C1035" s="80">
        <v>2020919</v>
      </c>
      <c r="D1035" s="83">
        <v>-7.5528700906343227E-3</v>
      </c>
      <c r="E1035" s="82"/>
    </row>
    <row r="1036" spans="1:5" ht="14.4">
      <c r="A1036" s="68">
        <v>43017</v>
      </c>
      <c r="B1036" s="65">
        <v>79.44</v>
      </c>
      <c r="C1036" s="80">
        <v>3248461</v>
      </c>
      <c r="D1036" s="83">
        <v>-2.2517534145441109E-2</v>
      </c>
      <c r="E1036" s="82"/>
    </row>
    <row r="1037" spans="1:5" ht="14.4">
      <c r="A1037" s="68">
        <v>43014</v>
      </c>
      <c r="B1037" s="65">
        <v>81.27</v>
      </c>
      <c r="C1037" s="80">
        <v>1912323</v>
      </c>
      <c r="D1037" s="83">
        <v>-6.4792176039120131E-3</v>
      </c>
      <c r="E1037" s="82"/>
    </row>
    <row r="1038" spans="1:5" ht="14.4">
      <c r="A1038" s="68">
        <v>43013</v>
      </c>
      <c r="B1038" s="65">
        <v>81.8</v>
      </c>
      <c r="C1038" s="80">
        <v>1802178</v>
      </c>
      <c r="D1038" s="83">
        <v>-4.1392744095447576E-3</v>
      </c>
      <c r="E1038" s="82"/>
    </row>
    <row r="1039" spans="1:5" ht="14.4">
      <c r="A1039" s="68">
        <v>43012</v>
      </c>
      <c r="B1039" s="65">
        <v>82.14</v>
      </c>
      <c r="C1039" s="80">
        <v>1593589</v>
      </c>
      <c r="D1039" s="83">
        <v>6.12444879960794E-3</v>
      </c>
      <c r="E1039" s="82"/>
    </row>
    <row r="1040" spans="1:5" ht="14.4">
      <c r="A1040" s="68">
        <v>43011</v>
      </c>
      <c r="B1040" s="65">
        <v>81.64</v>
      </c>
      <c r="C1040" s="80">
        <v>1227678</v>
      </c>
      <c r="D1040" s="83">
        <v>1.2903225806451646E-2</v>
      </c>
      <c r="E1040" s="82"/>
    </row>
    <row r="1041" spans="1:5" ht="14.4">
      <c r="A1041" s="68">
        <v>43010</v>
      </c>
      <c r="B1041" s="65">
        <v>80.599999999999994</v>
      </c>
      <c r="C1041" s="80">
        <v>1355099</v>
      </c>
      <c r="D1041" s="83">
        <v>2.3628901877874586E-3</v>
      </c>
      <c r="E1041" s="82"/>
    </row>
    <row r="1042" spans="1:5" ht="14.4">
      <c r="A1042" s="68">
        <v>43007</v>
      </c>
      <c r="B1042" s="65">
        <v>80.41</v>
      </c>
      <c r="C1042" s="80">
        <v>2099116</v>
      </c>
      <c r="D1042" s="83">
        <v>5.1250000000000462E-3</v>
      </c>
      <c r="E1042" s="82"/>
    </row>
    <row r="1043" spans="1:5" ht="14.4">
      <c r="A1043" s="68">
        <v>43006</v>
      </c>
      <c r="B1043" s="65">
        <v>80</v>
      </c>
      <c r="C1043" s="80">
        <v>1722169</v>
      </c>
      <c r="D1043" s="83">
        <v>-4.6037078511883545E-3</v>
      </c>
      <c r="E1043" s="82"/>
    </row>
    <row r="1044" spans="1:5" ht="14.4">
      <c r="A1044" s="68">
        <v>43005</v>
      </c>
      <c r="B1044" s="65">
        <v>80.37</v>
      </c>
      <c r="C1044" s="80">
        <v>2242300</v>
      </c>
      <c r="D1044" s="83">
        <v>2.0182787509520184E-2</v>
      </c>
      <c r="E1044" s="82"/>
    </row>
    <row r="1045" spans="1:5" ht="14.4">
      <c r="A1045" s="68">
        <v>43004</v>
      </c>
      <c r="B1045" s="65">
        <v>78.78</v>
      </c>
      <c r="C1045" s="80">
        <v>1960532</v>
      </c>
      <c r="D1045" s="83">
        <v>1.2076053442959811E-2</v>
      </c>
      <c r="E1045" s="82"/>
    </row>
    <row r="1046" spans="1:5" ht="14.4">
      <c r="A1046" s="68">
        <v>43003</v>
      </c>
      <c r="B1046" s="65">
        <v>77.84</v>
      </c>
      <c r="C1046" s="80">
        <v>1800310</v>
      </c>
      <c r="D1046" s="83">
        <v>6.4649599172486027E-3</v>
      </c>
      <c r="E1046" s="82"/>
    </row>
    <row r="1047" spans="1:5" ht="14.4">
      <c r="A1047" s="68">
        <v>43000</v>
      </c>
      <c r="B1047" s="65">
        <v>77.34</v>
      </c>
      <c r="C1047" s="80">
        <v>2421931</v>
      </c>
      <c r="D1047" s="83">
        <v>-2.8365136668385693E-3</v>
      </c>
      <c r="E1047" s="82"/>
    </row>
    <row r="1048" spans="1:5" ht="14.4">
      <c r="A1048" s="68">
        <v>42999</v>
      </c>
      <c r="B1048" s="65">
        <v>77.56</v>
      </c>
      <c r="C1048" s="80">
        <v>2946892</v>
      </c>
      <c r="D1048" s="83">
        <v>3.9817669928944976E-2</v>
      </c>
      <c r="E1048" s="82"/>
    </row>
    <row r="1049" spans="1:5" ht="14.4">
      <c r="A1049" s="68">
        <v>42998</v>
      </c>
      <c r="B1049" s="65">
        <v>74.59</v>
      </c>
      <c r="C1049" s="80">
        <v>1528932</v>
      </c>
      <c r="D1049" s="83">
        <v>7.972972972972947E-3</v>
      </c>
      <c r="E1049" s="82"/>
    </row>
    <row r="1050" spans="1:5" ht="14.4">
      <c r="A1050" s="68">
        <v>42997</v>
      </c>
      <c r="B1050" s="65">
        <v>74</v>
      </c>
      <c r="C1050" s="80">
        <v>1900806</v>
      </c>
      <c r="D1050" s="83">
        <v>5.4347826086957873E-3</v>
      </c>
      <c r="E1050" s="82"/>
    </row>
    <row r="1051" spans="1:5" ht="14.4">
      <c r="A1051" s="68">
        <v>42996</v>
      </c>
      <c r="B1051" s="65">
        <v>73.599999999999994</v>
      </c>
      <c r="C1051" s="80">
        <v>1712269</v>
      </c>
      <c r="D1051" s="83">
        <v>2.2222222222222143E-2</v>
      </c>
      <c r="E1051" s="82"/>
    </row>
    <row r="1052" spans="1:5" ht="14.4">
      <c r="A1052" s="68">
        <v>42993</v>
      </c>
      <c r="B1052" s="65">
        <v>72</v>
      </c>
      <c r="C1052" s="80">
        <v>5985680</v>
      </c>
      <c r="D1052" s="83">
        <v>1.294316263365225E-2</v>
      </c>
      <c r="E1052" s="82"/>
    </row>
    <row r="1053" spans="1:5" ht="14.4">
      <c r="A1053" s="68">
        <v>42992</v>
      </c>
      <c r="B1053" s="65">
        <v>71.08</v>
      </c>
      <c r="C1053" s="80">
        <v>1753735</v>
      </c>
      <c r="D1053" s="83">
        <v>1.8322762508808932E-3</v>
      </c>
      <c r="E1053" s="82"/>
    </row>
    <row r="1054" spans="1:5" ht="14.4">
      <c r="A1054" s="68">
        <v>42991</v>
      </c>
      <c r="B1054" s="65">
        <v>70.95</v>
      </c>
      <c r="C1054" s="80">
        <v>1670190</v>
      </c>
      <c r="D1054" s="83">
        <v>3.9620772605066801E-3</v>
      </c>
      <c r="E1054" s="82"/>
    </row>
    <row r="1055" spans="1:5" ht="14.4">
      <c r="A1055" s="68">
        <v>42990</v>
      </c>
      <c r="B1055" s="65">
        <v>70.67</v>
      </c>
      <c r="C1055" s="80">
        <v>2558609</v>
      </c>
      <c r="D1055" s="83">
        <v>-2.1180457497880223E-3</v>
      </c>
      <c r="E1055" s="82"/>
    </row>
    <row r="1056" spans="1:5" ht="14.4">
      <c r="A1056" s="68">
        <v>42989</v>
      </c>
      <c r="B1056" s="65">
        <v>70.819999999999993</v>
      </c>
      <c r="C1056" s="80">
        <v>1315227</v>
      </c>
      <c r="D1056" s="83">
        <v>4.5390070921984549E-3</v>
      </c>
      <c r="E1056" s="82"/>
    </row>
    <row r="1057" spans="1:5" ht="14.4">
      <c r="A1057" s="68">
        <v>42986</v>
      </c>
      <c r="B1057" s="65">
        <v>70.5</v>
      </c>
      <c r="C1057" s="80">
        <v>1252913</v>
      </c>
      <c r="D1057" s="83">
        <v>9.9389464716725939E-4</v>
      </c>
      <c r="E1057" s="82"/>
    </row>
    <row r="1058" spans="1:5" ht="14.4">
      <c r="A1058" s="68">
        <v>42985</v>
      </c>
      <c r="B1058" s="65">
        <v>70.430000000000007</v>
      </c>
      <c r="C1058" s="80">
        <v>1968192</v>
      </c>
      <c r="D1058" s="83">
        <v>-1.3723568127713026E-2</v>
      </c>
      <c r="E1058" s="82"/>
    </row>
    <row r="1059" spans="1:5" ht="14.4">
      <c r="A1059" s="68">
        <v>42984</v>
      </c>
      <c r="B1059" s="65">
        <v>71.41</v>
      </c>
      <c r="C1059" s="80">
        <v>1181595</v>
      </c>
      <c r="D1059" s="83">
        <v>2.3862998315553607E-3</v>
      </c>
      <c r="E1059" s="82"/>
    </row>
    <row r="1060" spans="1:5" ht="14.4">
      <c r="A1060" s="68">
        <v>42983</v>
      </c>
      <c r="B1060" s="65">
        <v>71.239999999999995</v>
      </c>
      <c r="C1060" s="80">
        <v>845190</v>
      </c>
      <c r="D1060" s="83">
        <v>2.1100014066675055E-3</v>
      </c>
      <c r="E1060" s="82"/>
    </row>
    <row r="1061" spans="1:5" ht="14.4">
      <c r="A1061" s="68">
        <v>42982</v>
      </c>
      <c r="B1061" s="65">
        <v>71.09</v>
      </c>
      <c r="C1061" s="80">
        <v>532563</v>
      </c>
      <c r="D1061" s="83">
        <v>-2.9453015427769458E-3</v>
      </c>
      <c r="E1061" s="82"/>
    </row>
    <row r="1062" spans="1:5" ht="14.4">
      <c r="A1062" s="68">
        <v>42979</v>
      </c>
      <c r="B1062" s="65">
        <v>71.3</v>
      </c>
      <c r="C1062" s="80">
        <v>1721058</v>
      </c>
      <c r="D1062" s="83">
        <v>9.7719869706840434E-3</v>
      </c>
      <c r="E1062" s="82"/>
    </row>
    <row r="1063" spans="1:5" ht="14.4">
      <c r="A1063" s="68">
        <v>42978</v>
      </c>
      <c r="B1063" s="65">
        <v>70.61</v>
      </c>
      <c r="C1063" s="80">
        <v>1604178</v>
      </c>
      <c r="D1063" s="83">
        <v>1.1459676264145457E-2</v>
      </c>
      <c r="E1063" s="82"/>
    </row>
    <row r="1064" spans="1:5" ht="14.4">
      <c r="A1064" s="68">
        <v>42977</v>
      </c>
      <c r="B1064" s="65">
        <v>69.81</v>
      </c>
      <c r="C1064" s="80">
        <v>1060053</v>
      </c>
      <c r="D1064" s="83">
        <v>1.5861466821885939E-2</v>
      </c>
      <c r="E1064" s="82"/>
    </row>
    <row r="1065" spans="1:5" ht="14.4">
      <c r="A1065" s="68">
        <v>42976</v>
      </c>
      <c r="B1065" s="65">
        <v>68.72</v>
      </c>
      <c r="C1065" s="80">
        <v>1811805</v>
      </c>
      <c r="D1065" s="83">
        <v>-2.0664101467863794E-2</v>
      </c>
      <c r="E1065" s="82"/>
    </row>
    <row r="1066" spans="1:5" ht="14.4">
      <c r="A1066" s="68">
        <v>42975</v>
      </c>
      <c r="B1066" s="65">
        <v>70.17</v>
      </c>
      <c r="C1066" s="80">
        <v>635646</v>
      </c>
      <c r="D1066" s="83">
        <v>-9.7375105842506526E-3</v>
      </c>
      <c r="E1066" s="82"/>
    </row>
    <row r="1067" spans="1:5" ht="14.4">
      <c r="A1067" s="68">
        <v>42972</v>
      </c>
      <c r="B1067" s="65">
        <v>70.86</v>
      </c>
      <c r="C1067" s="80">
        <v>1122032</v>
      </c>
      <c r="D1067" s="83">
        <v>6.9631945431289921E-3</v>
      </c>
      <c r="E1067" s="82"/>
    </row>
    <row r="1068" spans="1:5" ht="14.4">
      <c r="A1068" s="68">
        <v>42971</v>
      </c>
      <c r="B1068" s="65">
        <v>70.37</v>
      </c>
      <c r="C1068" s="80">
        <v>1189469</v>
      </c>
      <c r="D1068" s="83">
        <v>-6.2138116085298511E-3</v>
      </c>
      <c r="E1068" s="82"/>
    </row>
    <row r="1069" spans="1:5" ht="14.4">
      <c r="A1069" s="68">
        <v>42970</v>
      </c>
      <c r="B1069" s="65">
        <v>70.81</v>
      </c>
      <c r="C1069" s="80">
        <v>856121</v>
      </c>
      <c r="D1069" s="83">
        <v>-6.1754385964911673E-3</v>
      </c>
      <c r="E1069" s="82"/>
    </row>
    <row r="1070" spans="1:5" ht="14.4">
      <c r="A1070" s="68">
        <v>42969</v>
      </c>
      <c r="B1070" s="65">
        <v>71.25</v>
      </c>
      <c r="C1070" s="80">
        <v>1071112</v>
      </c>
      <c r="D1070" s="83">
        <v>5.7876905702991532E-3</v>
      </c>
      <c r="E1070" s="82"/>
    </row>
    <row r="1071" spans="1:5" ht="14.4">
      <c r="A1071" s="68">
        <v>42968</v>
      </c>
      <c r="B1071" s="65">
        <v>70.84</v>
      </c>
      <c r="C1071" s="80">
        <v>1230288</v>
      </c>
      <c r="D1071" s="83">
        <v>-9.2307692307691536E-3</v>
      </c>
      <c r="E1071" s="82"/>
    </row>
    <row r="1072" spans="1:5" ht="14.4">
      <c r="A1072" s="68">
        <v>42965</v>
      </c>
      <c r="B1072" s="65">
        <v>71.5</v>
      </c>
      <c r="C1072" s="80">
        <v>1858123</v>
      </c>
      <c r="D1072" s="83">
        <v>-9.5581105416262524E-3</v>
      </c>
      <c r="E1072" s="82"/>
    </row>
    <row r="1073" spans="1:5" ht="14.4">
      <c r="A1073" s="68">
        <v>42964</v>
      </c>
      <c r="B1073" s="65">
        <v>72.19</v>
      </c>
      <c r="C1073" s="80">
        <v>1850067</v>
      </c>
      <c r="D1073" s="83">
        <v>-9.4676180021953105E-3</v>
      </c>
      <c r="E1073" s="82"/>
    </row>
    <row r="1074" spans="1:5" ht="14.4">
      <c r="A1074" s="68">
        <v>42963</v>
      </c>
      <c r="B1074" s="65">
        <v>72.88</v>
      </c>
      <c r="C1074" s="80">
        <v>1481599</v>
      </c>
      <c r="D1074" s="83">
        <v>7.4647497926456641E-3</v>
      </c>
      <c r="E1074" s="82"/>
    </row>
    <row r="1075" spans="1:5" ht="14.4">
      <c r="A1075" s="68">
        <v>42962</v>
      </c>
      <c r="B1075" s="65">
        <v>72.34</v>
      </c>
      <c r="C1075" s="80">
        <v>985503</v>
      </c>
      <c r="D1075" s="83">
        <v>8.6447295036253813E-3</v>
      </c>
      <c r="E1075" s="82"/>
    </row>
    <row r="1076" spans="1:5" ht="14.4">
      <c r="A1076" s="68">
        <v>42961</v>
      </c>
      <c r="B1076" s="65">
        <v>71.72</v>
      </c>
      <c r="C1076" s="80">
        <v>931951</v>
      </c>
      <c r="D1076" s="83">
        <v>1.3710247349823401E-2</v>
      </c>
      <c r="E1076" s="82"/>
    </row>
    <row r="1077" spans="1:5" ht="14.4">
      <c r="A1077" s="68">
        <v>42958</v>
      </c>
      <c r="B1077" s="65">
        <v>70.75</v>
      </c>
      <c r="C1077" s="80">
        <v>1701738</v>
      </c>
      <c r="D1077" s="83">
        <v>-3.5211267605633756E-3</v>
      </c>
      <c r="E1077" s="82"/>
    </row>
    <row r="1078" spans="1:5" ht="14.4">
      <c r="A1078" s="68">
        <v>42957</v>
      </c>
      <c r="B1078" s="65">
        <v>71</v>
      </c>
      <c r="C1078" s="80">
        <v>1252798</v>
      </c>
      <c r="D1078" s="83">
        <v>-6.8541054692963232E-3</v>
      </c>
      <c r="E1078" s="82"/>
    </row>
    <row r="1079" spans="1:5" ht="14.4">
      <c r="A1079" s="68">
        <v>42956</v>
      </c>
      <c r="B1079" s="65">
        <v>71.489999999999995</v>
      </c>
      <c r="C1079" s="80">
        <v>1606046</v>
      </c>
      <c r="D1079" s="83">
        <v>-8.597975315490336E-3</v>
      </c>
      <c r="E1079" s="82"/>
    </row>
    <row r="1080" spans="1:5" ht="14.4">
      <c r="A1080" s="68">
        <v>42955</v>
      </c>
      <c r="B1080" s="65">
        <v>72.11</v>
      </c>
      <c r="C1080" s="80">
        <v>1250049</v>
      </c>
      <c r="D1080" s="83">
        <v>-4.4180588154081324E-3</v>
      </c>
      <c r="E1080" s="82"/>
    </row>
    <row r="1081" spans="1:5" ht="14.4">
      <c r="A1081" s="68">
        <v>42954</v>
      </c>
      <c r="B1081" s="65">
        <v>72.430000000000007</v>
      </c>
      <c r="C1081" s="80">
        <v>1207571</v>
      </c>
      <c r="D1081" s="83">
        <v>-1.2138570649208758E-2</v>
      </c>
      <c r="E1081" s="82"/>
    </row>
    <row r="1082" spans="1:5" ht="14.4">
      <c r="A1082" s="68">
        <v>42951</v>
      </c>
      <c r="B1082" s="65">
        <v>73.319999999999993</v>
      </c>
      <c r="C1082" s="80">
        <v>1756136</v>
      </c>
      <c r="D1082" s="83">
        <v>2.8619528619528545E-2</v>
      </c>
      <c r="E1082" s="82"/>
    </row>
    <row r="1083" spans="1:5" ht="14.4">
      <c r="A1083" s="68">
        <v>42950</v>
      </c>
      <c r="B1083" s="65">
        <v>71.28</v>
      </c>
      <c r="C1083" s="80">
        <v>1428208</v>
      </c>
      <c r="D1083" s="83">
        <v>3.8022813688212143E-3</v>
      </c>
      <c r="E1083" s="82"/>
    </row>
    <row r="1084" spans="1:5" ht="14.4">
      <c r="A1084" s="68">
        <v>42949</v>
      </c>
      <c r="B1084" s="65">
        <v>71.010000000000005</v>
      </c>
      <c r="C1084" s="80">
        <v>1526417</v>
      </c>
      <c r="D1084" s="83">
        <v>-1.4160766347355191E-2</v>
      </c>
      <c r="E1084" s="82"/>
    </row>
    <row r="1085" spans="1:5" ht="14.4">
      <c r="A1085" s="68">
        <v>42948</v>
      </c>
      <c r="B1085" s="65">
        <v>72.03</v>
      </c>
      <c r="C1085" s="80">
        <v>1619840</v>
      </c>
      <c r="D1085" s="83">
        <v>2.0254957507082283E-2</v>
      </c>
      <c r="E1085" s="82"/>
    </row>
    <row r="1086" spans="1:5" ht="14.4">
      <c r="A1086" s="68">
        <v>42947</v>
      </c>
      <c r="B1086" s="65">
        <v>70.599999999999994</v>
      </c>
      <c r="C1086" s="80">
        <v>2298622</v>
      </c>
      <c r="D1086" s="83">
        <v>-2.4592428847748038E-2</v>
      </c>
      <c r="E1086" s="82"/>
    </row>
    <row r="1087" spans="1:5" ht="14.4">
      <c r="A1087" s="68">
        <v>42944</v>
      </c>
      <c r="B1087" s="65">
        <v>72.38</v>
      </c>
      <c r="C1087" s="80">
        <v>2280881</v>
      </c>
      <c r="D1087" s="83">
        <v>1.5220700152207556E-3</v>
      </c>
      <c r="E1087" s="82"/>
    </row>
    <row r="1088" spans="1:5" ht="14.4">
      <c r="A1088" s="68">
        <v>42943</v>
      </c>
      <c r="B1088" s="65">
        <v>72.27</v>
      </c>
      <c r="C1088" s="80">
        <v>3596345</v>
      </c>
      <c r="D1088" s="83">
        <v>-3.1882116543871519E-2</v>
      </c>
      <c r="E1088" s="82"/>
    </row>
    <row r="1089" spans="1:5" ht="14.4">
      <c r="A1089" s="68">
        <v>42942</v>
      </c>
      <c r="B1089" s="65">
        <v>74.650000000000006</v>
      </c>
      <c r="C1089" s="80">
        <v>2222491</v>
      </c>
      <c r="D1089" s="83">
        <v>2.7812198815916345E-2</v>
      </c>
      <c r="E1089" s="82"/>
    </row>
    <row r="1090" spans="1:5" ht="14.4">
      <c r="A1090" s="68">
        <v>42941</v>
      </c>
      <c r="B1090" s="65">
        <v>72.63</v>
      </c>
      <c r="C1090" s="80">
        <v>1647862</v>
      </c>
      <c r="D1090" s="83">
        <v>1.396063102052203E-2</v>
      </c>
      <c r="E1090" s="82"/>
    </row>
    <row r="1091" spans="1:5" ht="14.4">
      <c r="A1091" s="68">
        <v>42940</v>
      </c>
      <c r="B1091" s="65">
        <v>71.63</v>
      </c>
      <c r="C1091" s="80">
        <v>1346583</v>
      </c>
      <c r="D1091" s="83">
        <v>3.6429872495444826E-3</v>
      </c>
      <c r="E1091" s="82"/>
    </row>
    <row r="1092" spans="1:5" ht="14.4">
      <c r="A1092" s="68">
        <v>42937</v>
      </c>
      <c r="B1092" s="65">
        <v>71.37</v>
      </c>
      <c r="C1092" s="80">
        <v>2615668</v>
      </c>
      <c r="D1092" s="83">
        <v>-1.3681592039800905E-2</v>
      </c>
      <c r="E1092" s="82"/>
    </row>
    <row r="1093" spans="1:5" ht="14.4">
      <c r="A1093" s="68">
        <v>42936</v>
      </c>
      <c r="B1093" s="65">
        <v>72.36</v>
      </c>
      <c r="C1093" s="80">
        <v>1974974</v>
      </c>
      <c r="D1093" s="83">
        <v>-1.8048581897136651E-2</v>
      </c>
      <c r="E1093" s="82"/>
    </row>
    <row r="1094" spans="1:5" ht="14.4">
      <c r="A1094" s="68">
        <v>42935</v>
      </c>
      <c r="B1094" s="65">
        <v>73.69</v>
      </c>
      <c r="C1094" s="80">
        <v>1678068</v>
      </c>
      <c r="D1094" s="83">
        <v>1.697488269390024E-2</v>
      </c>
      <c r="E1094" s="82"/>
    </row>
    <row r="1095" spans="1:5" ht="14.4">
      <c r="A1095" s="68">
        <v>42934</v>
      </c>
      <c r="B1095" s="65">
        <v>72.459999999999994</v>
      </c>
      <c r="C1095" s="80">
        <v>1872482</v>
      </c>
      <c r="D1095" s="83">
        <v>-1.6023900054318418E-2</v>
      </c>
      <c r="E1095" s="82"/>
    </row>
    <row r="1096" spans="1:5" ht="14.4">
      <c r="A1096" s="68">
        <v>42933</v>
      </c>
      <c r="B1096" s="65">
        <v>73.64</v>
      </c>
      <c r="C1096" s="80">
        <v>1365925</v>
      </c>
      <c r="D1096" s="83">
        <v>-1.2339055793991416E-2</v>
      </c>
      <c r="E1096" s="82"/>
    </row>
    <row r="1097" spans="1:5" ht="14.4">
      <c r="A1097" s="68">
        <v>42930</v>
      </c>
      <c r="B1097" s="65">
        <v>74.56</v>
      </c>
      <c r="C1097" s="80">
        <v>1282579</v>
      </c>
      <c r="D1097" s="83">
        <v>-5.8666666666666867E-3</v>
      </c>
      <c r="E1097" s="82"/>
    </row>
    <row r="1098" spans="1:5" ht="14.4">
      <c r="A1098" s="68">
        <v>42929</v>
      </c>
      <c r="B1098" s="65">
        <v>75</v>
      </c>
      <c r="C1098" s="80">
        <v>1193906</v>
      </c>
      <c r="D1098" s="83">
        <v>4.8231511254019921E-3</v>
      </c>
      <c r="E1098" s="82"/>
    </row>
    <row r="1099" spans="1:5" ht="14.4">
      <c r="A1099" s="68">
        <v>42928</v>
      </c>
      <c r="B1099" s="65">
        <v>74.64</v>
      </c>
      <c r="C1099" s="80">
        <v>1783606</v>
      </c>
      <c r="D1099" s="83">
        <v>2.6867275658248868E-3</v>
      </c>
      <c r="E1099" s="82"/>
    </row>
    <row r="1100" spans="1:5" ht="14.4">
      <c r="A1100" s="68">
        <v>42927</v>
      </c>
      <c r="B1100" s="65">
        <v>74.44</v>
      </c>
      <c r="C1100" s="80">
        <v>1121368</v>
      </c>
      <c r="D1100" s="83">
        <v>1.0758472296934496E-3</v>
      </c>
      <c r="E1100" s="82"/>
    </row>
    <row r="1101" spans="1:5" ht="14.4">
      <c r="A1101" s="68">
        <v>42926</v>
      </c>
      <c r="B1101" s="65">
        <v>74.36</v>
      </c>
      <c r="C1101" s="80">
        <v>918705</v>
      </c>
      <c r="D1101" s="83">
        <v>3.5087719298245723E-3</v>
      </c>
      <c r="E1101" s="82"/>
    </row>
    <row r="1102" spans="1:5" ht="14.4">
      <c r="A1102" s="68">
        <v>42923</v>
      </c>
      <c r="B1102" s="65">
        <v>74.099999999999994</v>
      </c>
      <c r="C1102" s="80">
        <v>1455702</v>
      </c>
      <c r="D1102" s="83">
        <v>-4.0469445568602769E-4</v>
      </c>
      <c r="E1102" s="82"/>
    </row>
    <row r="1103" spans="1:5" ht="14.4">
      <c r="A1103" s="68">
        <v>42922</v>
      </c>
      <c r="B1103" s="65">
        <v>74.13</v>
      </c>
      <c r="C1103" s="80">
        <v>2021366</v>
      </c>
      <c r="D1103" s="83">
        <v>2.9765931538356938E-3</v>
      </c>
      <c r="E1103" s="82"/>
    </row>
    <row r="1104" spans="1:5" ht="14.4">
      <c r="A1104" s="68">
        <v>42921</v>
      </c>
      <c r="B1104" s="65">
        <v>73.91</v>
      </c>
      <c r="C1104" s="80">
        <v>1634111</v>
      </c>
      <c r="D1104" s="83">
        <v>1.1080711354309214E-2</v>
      </c>
      <c r="E1104" s="82"/>
    </row>
    <row r="1105" spans="1:5" ht="14.4">
      <c r="A1105" s="68">
        <v>42920</v>
      </c>
      <c r="B1105" s="65">
        <v>73.099999999999994</v>
      </c>
      <c r="C1105" s="80">
        <v>928386</v>
      </c>
      <c r="D1105" s="83">
        <v>0</v>
      </c>
      <c r="E1105" s="82"/>
    </row>
    <row r="1106" spans="1:5" ht="14.4">
      <c r="A1106" s="68">
        <v>42919</v>
      </c>
      <c r="B1106" s="65">
        <v>73.099999999999994</v>
      </c>
      <c r="C1106" s="80">
        <v>1203565</v>
      </c>
      <c r="D1106" s="83">
        <v>1.5277777777777724E-2</v>
      </c>
      <c r="E1106" s="82"/>
    </row>
    <row r="1107" spans="1:5" ht="14.4">
      <c r="A1107" s="68">
        <v>42916</v>
      </c>
      <c r="B1107" s="65">
        <v>72</v>
      </c>
      <c r="C1107" s="80">
        <v>2020251</v>
      </c>
      <c r="D1107" s="83">
        <v>-3.0462475768484598E-3</v>
      </c>
      <c r="E1107" s="82"/>
    </row>
    <row r="1108" spans="1:5" ht="14.4">
      <c r="A1108" s="68">
        <v>42915</v>
      </c>
      <c r="B1108" s="65">
        <v>72.22</v>
      </c>
      <c r="C1108" s="80">
        <v>2917366</v>
      </c>
      <c r="D1108" s="83">
        <v>-2.1409214092140916E-2</v>
      </c>
      <c r="E1108" s="82"/>
    </row>
    <row r="1109" spans="1:5" ht="14.4">
      <c r="A1109" s="68">
        <v>42914</v>
      </c>
      <c r="B1109" s="65">
        <v>73.8</v>
      </c>
      <c r="C1109" s="80">
        <v>2237554</v>
      </c>
      <c r="D1109" s="83">
        <v>-9.129967776584369E-3</v>
      </c>
      <c r="E1109" s="82"/>
    </row>
    <row r="1110" spans="1:5" ht="14.4">
      <c r="A1110" s="68">
        <v>42913</v>
      </c>
      <c r="B1110" s="65">
        <v>74.48</v>
      </c>
      <c r="C1110" s="80">
        <v>1823710</v>
      </c>
      <c r="D1110" s="83">
        <v>-1.9354838709677358E-2</v>
      </c>
      <c r="E1110" s="82"/>
    </row>
    <row r="1111" spans="1:5" ht="14.4">
      <c r="A1111" s="68">
        <v>42912</v>
      </c>
      <c r="B1111" s="65">
        <v>75.95</v>
      </c>
      <c r="C1111" s="80">
        <v>1341540</v>
      </c>
      <c r="D1111" s="83">
        <v>3.3025099075296716E-3</v>
      </c>
      <c r="E1111" s="82"/>
    </row>
    <row r="1112" spans="1:5" ht="14.4">
      <c r="A1112" s="68">
        <v>42909</v>
      </c>
      <c r="B1112" s="65">
        <v>75.7</v>
      </c>
      <c r="C1112" s="80">
        <v>1390598</v>
      </c>
      <c r="D1112" s="83">
        <v>8.7953091684433993E-3</v>
      </c>
      <c r="E1112" s="82"/>
    </row>
    <row r="1113" spans="1:5" ht="14.4">
      <c r="A1113" s="68">
        <v>42908</v>
      </c>
      <c r="B1113" s="65">
        <v>75.040000000000006</v>
      </c>
      <c r="C1113" s="80">
        <v>1168764</v>
      </c>
      <c r="D1113" s="83">
        <v>-2.7906976744185297E-3</v>
      </c>
      <c r="E1113" s="82"/>
    </row>
    <row r="1114" spans="1:5" ht="14.4">
      <c r="A1114" s="68">
        <v>42907</v>
      </c>
      <c r="B1114" s="65">
        <v>75.25</v>
      </c>
      <c r="C1114" s="80">
        <v>1616636</v>
      </c>
      <c r="D1114" s="83">
        <v>-9.2165898617512232E-3</v>
      </c>
      <c r="E1114" s="82"/>
    </row>
    <row r="1115" spans="1:5" ht="14.4">
      <c r="A1115" s="68">
        <v>42906</v>
      </c>
      <c r="B1115" s="65">
        <v>75.95</v>
      </c>
      <c r="C1115" s="80">
        <v>1901702</v>
      </c>
      <c r="D1115" s="83">
        <v>-5.8900523560210249E-3</v>
      </c>
      <c r="E1115" s="82"/>
    </row>
    <row r="1116" spans="1:5" ht="14.4">
      <c r="A1116" s="68">
        <v>42905</v>
      </c>
      <c r="B1116" s="65">
        <v>76.400000000000006</v>
      </c>
      <c r="C1116" s="80">
        <v>1754422</v>
      </c>
      <c r="D1116" s="83">
        <v>1.9618310423061613E-2</v>
      </c>
      <c r="E1116" s="82"/>
    </row>
    <row r="1117" spans="1:5" ht="14.4">
      <c r="A1117" s="68">
        <v>42902</v>
      </c>
      <c r="B1117" s="65">
        <v>74.930000000000007</v>
      </c>
      <c r="C1117" s="80">
        <v>2946719</v>
      </c>
      <c r="D1117" s="83">
        <v>2.2516375545851508E-2</v>
      </c>
      <c r="E1117" s="82"/>
    </row>
    <row r="1118" spans="1:5" ht="14.4">
      <c r="A1118" s="68">
        <v>42901</v>
      </c>
      <c r="B1118" s="65">
        <v>73.28</v>
      </c>
      <c r="C1118" s="80">
        <v>2453122</v>
      </c>
      <c r="D1118" s="83">
        <v>-2.4623985092506295E-2</v>
      </c>
      <c r="E1118" s="82"/>
    </row>
    <row r="1119" spans="1:5" ht="14.4">
      <c r="A1119" s="68">
        <v>42900</v>
      </c>
      <c r="B1119" s="65">
        <v>75.13</v>
      </c>
      <c r="C1119" s="80">
        <v>1554647</v>
      </c>
      <c r="D1119" s="83">
        <v>7.1045576407506861E-3</v>
      </c>
      <c r="E1119" s="82"/>
    </row>
    <row r="1120" spans="1:5" ht="14.4">
      <c r="A1120" s="68">
        <v>42899</v>
      </c>
      <c r="B1120" s="65">
        <v>74.599999999999994</v>
      </c>
      <c r="C1120" s="80">
        <v>950069</v>
      </c>
      <c r="D1120" s="83">
        <v>4.4432476100713103E-3</v>
      </c>
      <c r="E1120" s="82"/>
    </row>
    <row r="1121" spans="1:5" ht="14.4">
      <c r="A1121" s="68">
        <v>42898</v>
      </c>
      <c r="B1121" s="65">
        <v>74.27</v>
      </c>
      <c r="C1121" s="80">
        <v>1453664</v>
      </c>
      <c r="D1121" s="83">
        <v>-1.5117358440525086E-2</v>
      </c>
      <c r="E1121" s="82"/>
    </row>
    <row r="1122" spans="1:5" ht="14.4">
      <c r="A1122" s="68">
        <v>42895</v>
      </c>
      <c r="B1122" s="65">
        <v>75.41</v>
      </c>
      <c r="C1122" s="80">
        <v>1696443</v>
      </c>
      <c r="D1122" s="83">
        <v>2.2508474576271142E-2</v>
      </c>
      <c r="E1122" s="82"/>
    </row>
    <row r="1123" spans="1:5" ht="14.4">
      <c r="A1123" s="68">
        <v>42894</v>
      </c>
      <c r="B1123" s="65">
        <v>73.75</v>
      </c>
      <c r="C1123" s="80">
        <v>2064322</v>
      </c>
      <c r="D1123" s="83">
        <v>3.8110793521164421E-3</v>
      </c>
      <c r="E1123" s="82"/>
    </row>
    <row r="1124" spans="1:5" ht="14.4">
      <c r="A1124" s="68">
        <v>42893</v>
      </c>
      <c r="B1124" s="65">
        <v>73.47</v>
      </c>
      <c r="C1124" s="80">
        <v>2075635</v>
      </c>
      <c r="D1124" s="83">
        <v>-1.6465863453815288E-2</v>
      </c>
      <c r="E1124" s="82"/>
    </row>
    <row r="1125" spans="1:5" ht="14.4">
      <c r="A1125" s="68">
        <v>42892</v>
      </c>
      <c r="B1125" s="65">
        <v>74.7</v>
      </c>
      <c r="C1125" s="80">
        <v>1778237</v>
      </c>
      <c r="D1125" s="83">
        <v>-8.0256821829860492E-4</v>
      </c>
      <c r="E1125" s="82"/>
    </row>
    <row r="1126" spans="1:5" ht="14.4">
      <c r="A1126" s="68">
        <v>42891</v>
      </c>
      <c r="B1126" s="65">
        <v>74.760000000000005</v>
      </c>
      <c r="C1126" s="80">
        <v>1393976</v>
      </c>
      <c r="D1126" s="83">
        <v>-1.1111111111110961E-2</v>
      </c>
      <c r="E1126" s="82"/>
    </row>
    <row r="1127" spans="1:5" ht="14.4">
      <c r="A1127" s="68">
        <v>42888</v>
      </c>
      <c r="B1127" s="65">
        <v>75.599999999999994</v>
      </c>
      <c r="C1127" s="80">
        <v>1548696</v>
      </c>
      <c r="D1127" s="83">
        <v>4.9182506978597829E-3</v>
      </c>
      <c r="E1127" s="82"/>
    </row>
    <row r="1128" spans="1:5" ht="14.4">
      <c r="A1128" s="68">
        <v>42887</v>
      </c>
      <c r="B1128" s="65">
        <v>75.23</v>
      </c>
      <c r="C1128" s="80">
        <v>1903343</v>
      </c>
      <c r="D1128" s="83">
        <v>2.9560695223758149E-2</v>
      </c>
      <c r="E1128" s="82"/>
    </row>
    <row r="1129" spans="1:5" ht="14.4">
      <c r="A1129" s="68">
        <v>42886</v>
      </c>
      <c r="B1129" s="65">
        <v>73.069999999999993</v>
      </c>
      <c r="C1129" s="80">
        <v>2291693</v>
      </c>
      <c r="D1129" s="83">
        <v>-2.729630135116734E-3</v>
      </c>
      <c r="E1129" s="82"/>
    </row>
    <row r="1130" spans="1:5" ht="14.4">
      <c r="A1130" s="68">
        <v>42885</v>
      </c>
      <c r="B1130" s="65">
        <v>73.27</v>
      </c>
      <c r="C1130" s="80">
        <v>1022310</v>
      </c>
      <c r="D1130" s="83">
        <v>-6.1041779706999533E-3</v>
      </c>
      <c r="E1130" s="82"/>
    </row>
    <row r="1131" spans="1:5" ht="14.4">
      <c r="A1131" s="68">
        <v>42884</v>
      </c>
      <c r="B1131" s="65">
        <v>73.72</v>
      </c>
      <c r="C1131" s="80">
        <v>496934</v>
      </c>
      <c r="D1131" s="83">
        <v>-2.4357239512856621E-3</v>
      </c>
      <c r="E1131" s="82"/>
    </row>
    <row r="1132" spans="1:5" ht="14.4">
      <c r="A1132" s="68">
        <v>42881</v>
      </c>
      <c r="B1132" s="65">
        <v>73.900000000000006</v>
      </c>
      <c r="C1132" s="80">
        <v>1287651</v>
      </c>
      <c r="D1132" s="83">
        <v>1.0943912448700521E-2</v>
      </c>
      <c r="E1132" s="82"/>
    </row>
    <row r="1133" spans="1:5" ht="14.4">
      <c r="A1133" s="68">
        <v>42880</v>
      </c>
      <c r="B1133" s="65">
        <v>73.099999999999994</v>
      </c>
      <c r="C1133" s="80">
        <v>1188382</v>
      </c>
      <c r="D1133" s="83">
        <v>9.3896713615022609E-3</v>
      </c>
      <c r="E1133" s="82"/>
    </row>
    <row r="1134" spans="1:5" ht="14.4">
      <c r="A1134" s="68">
        <v>42879</v>
      </c>
      <c r="B1134" s="65">
        <v>72.42</v>
      </c>
      <c r="C1134" s="80">
        <v>1453146</v>
      </c>
      <c r="D1134" s="83">
        <v>1.3810247203438486E-4</v>
      </c>
      <c r="E1134" s="82"/>
    </row>
    <row r="1135" spans="1:5" ht="14.4">
      <c r="A1135" s="68">
        <v>42878</v>
      </c>
      <c r="B1135" s="65">
        <v>72.41</v>
      </c>
      <c r="C1135" s="80">
        <v>1472739</v>
      </c>
      <c r="D1135" s="83">
        <v>-3.0290513561889165E-3</v>
      </c>
      <c r="E1135" s="82"/>
    </row>
    <row r="1136" spans="1:5" ht="14.4">
      <c r="A1136" s="68">
        <v>42877</v>
      </c>
      <c r="B1136" s="65">
        <v>72.63</v>
      </c>
      <c r="C1136" s="80">
        <v>1346452</v>
      </c>
      <c r="D1136" s="83">
        <v>-1.5319956616052233E-2</v>
      </c>
      <c r="E1136" s="82"/>
    </row>
    <row r="1137" spans="1:5" ht="14.4">
      <c r="A1137" s="68">
        <v>42874</v>
      </c>
      <c r="B1137" s="65">
        <v>73.760000000000005</v>
      </c>
      <c r="C1137" s="80">
        <v>1879911</v>
      </c>
      <c r="D1137" s="83">
        <v>7.3750341436766842E-3</v>
      </c>
      <c r="E1137" s="82"/>
    </row>
    <row r="1138" spans="1:5" ht="14.4">
      <c r="A1138" s="68">
        <v>42873</v>
      </c>
      <c r="B1138" s="65">
        <v>73.22</v>
      </c>
      <c r="C1138" s="80">
        <v>2246008</v>
      </c>
      <c r="D1138" s="83">
        <v>6.7372473532241184E-3</v>
      </c>
      <c r="E1138" s="82"/>
    </row>
    <row r="1139" spans="1:5" ht="14.4">
      <c r="A1139" s="68">
        <v>42872</v>
      </c>
      <c r="B1139" s="65">
        <v>72.73</v>
      </c>
      <c r="C1139" s="80">
        <v>2506050</v>
      </c>
      <c r="D1139" s="83">
        <v>-1.9679202048793587E-2</v>
      </c>
      <c r="E1139" s="82"/>
    </row>
    <row r="1140" spans="1:5" ht="14.4">
      <c r="A1140" s="68">
        <v>42871</v>
      </c>
      <c r="B1140" s="65">
        <v>74.19</v>
      </c>
      <c r="C1140" s="80">
        <v>1916654</v>
      </c>
      <c r="D1140" s="83">
        <v>-1.0771509357748732E-3</v>
      </c>
      <c r="E1140" s="82"/>
    </row>
    <row r="1141" spans="1:5" ht="14.4">
      <c r="A1141" s="68">
        <v>42870</v>
      </c>
      <c r="B1141" s="65">
        <v>74.27</v>
      </c>
      <c r="C1141" s="80">
        <v>1451526</v>
      </c>
      <c r="D1141" s="83">
        <v>-2.5517056137522864E-3</v>
      </c>
      <c r="E1141" s="82"/>
    </row>
    <row r="1142" spans="1:5" ht="14.4">
      <c r="A1142" s="68">
        <v>42867</v>
      </c>
      <c r="B1142" s="65">
        <v>74.459999999999994</v>
      </c>
      <c r="C1142" s="80">
        <v>1549001</v>
      </c>
      <c r="D1142" s="83">
        <v>6.2162162162160417E-3</v>
      </c>
      <c r="E1142" s="82"/>
    </row>
    <row r="1143" spans="1:5" ht="14.4">
      <c r="A1143" s="68">
        <v>42866</v>
      </c>
      <c r="B1143" s="65">
        <v>74</v>
      </c>
      <c r="C1143" s="80">
        <v>2034389</v>
      </c>
      <c r="D1143" s="83">
        <v>-1.6480595427963762E-2</v>
      </c>
      <c r="E1143" s="82"/>
    </row>
    <row r="1144" spans="1:5" ht="14.4">
      <c r="A1144" s="68">
        <v>42865</v>
      </c>
      <c r="B1144" s="65">
        <v>75.239999999999995</v>
      </c>
      <c r="C1144" s="80">
        <v>1626911</v>
      </c>
      <c r="D1144" s="83">
        <v>-3.4437086092715674E-3</v>
      </c>
      <c r="E1144" s="82"/>
    </row>
    <row r="1145" spans="1:5" ht="14.4">
      <c r="A1145" s="68">
        <v>42864</v>
      </c>
      <c r="B1145" s="65">
        <v>75.5</v>
      </c>
      <c r="C1145" s="80">
        <v>1843290</v>
      </c>
      <c r="D1145" s="83">
        <v>1.193475666357191E-3</v>
      </c>
      <c r="E1145" s="82"/>
    </row>
    <row r="1146" spans="1:5" ht="14.4">
      <c r="A1146" s="68">
        <v>42863</v>
      </c>
      <c r="B1146" s="65">
        <v>75.41</v>
      </c>
      <c r="C1146" s="80">
        <v>1865781</v>
      </c>
      <c r="D1146" s="83">
        <v>-6.1939905113336247E-3</v>
      </c>
      <c r="E1146" s="82"/>
    </row>
    <row r="1147" spans="1:5" ht="14.4">
      <c r="A1147" s="68">
        <v>42860</v>
      </c>
      <c r="B1147" s="65">
        <v>75.88</v>
      </c>
      <c r="C1147" s="80">
        <v>2373314</v>
      </c>
      <c r="D1147" s="83">
        <v>1.1328801812608313E-2</v>
      </c>
      <c r="E1147" s="82"/>
    </row>
    <row r="1148" spans="1:5" ht="14.4">
      <c r="A1148" s="68">
        <v>42859</v>
      </c>
      <c r="B1148" s="65">
        <v>75.03</v>
      </c>
      <c r="C1148" s="80">
        <v>3074091</v>
      </c>
      <c r="D1148" s="83">
        <v>1.5016233766233844E-2</v>
      </c>
      <c r="E1148" s="82"/>
    </row>
    <row r="1149" spans="1:5" ht="14.4">
      <c r="A1149" s="68">
        <v>42858</v>
      </c>
      <c r="B1149" s="65">
        <v>73.92</v>
      </c>
      <c r="C1149" s="80">
        <v>1892839</v>
      </c>
      <c r="D1149" s="83">
        <v>-9.7789685197589016E-3</v>
      </c>
      <c r="E1149" s="82"/>
    </row>
    <row r="1150" spans="1:5" ht="14.4">
      <c r="A1150" s="68">
        <v>42857</v>
      </c>
      <c r="B1150" s="65">
        <v>74.650000000000006</v>
      </c>
      <c r="C1150" s="80">
        <v>1514930</v>
      </c>
      <c r="D1150" s="83">
        <v>5.6580897211371273E-3</v>
      </c>
      <c r="E1150" s="82"/>
    </row>
    <row r="1151" spans="1:5" ht="14.4">
      <c r="A1151" s="68">
        <v>42853</v>
      </c>
      <c r="B1151" s="65">
        <v>74.23</v>
      </c>
      <c r="C1151" s="80">
        <v>2041707</v>
      </c>
      <c r="D1151" s="83">
        <v>-1.0266666666666646E-2</v>
      </c>
      <c r="E1151" s="82"/>
    </row>
    <row r="1152" spans="1:5" ht="14.4">
      <c r="A1152" s="68">
        <v>42852</v>
      </c>
      <c r="B1152" s="65">
        <v>75</v>
      </c>
      <c r="C1152" s="80">
        <v>2791834</v>
      </c>
      <c r="D1152" s="83">
        <v>1.2282359292752121E-2</v>
      </c>
      <c r="E1152" s="82"/>
    </row>
    <row r="1153" spans="1:5" ht="14.4">
      <c r="A1153" s="68">
        <v>42851</v>
      </c>
      <c r="B1153" s="65">
        <v>74.09</v>
      </c>
      <c r="C1153" s="80">
        <v>2711216</v>
      </c>
      <c r="D1153" s="83">
        <v>-1.3495276653163746E-4</v>
      </c>
      <c r="E1153" s="82"/>
    </row>
    <row r="1154" spans="1:5" ht="14.4">
      <c r="A1154" s="68">
        <v>42850</v>
      </c>
      <c r="B1154" s="65">
        <v>74.099999999999994</v>
      </c>
      <c r="C1154" s="80">
        <v>2035966</v>
      </c>
      <c r="D1154" s="83">
        <v>1.8929150892375013E-3</v>
      </c>
      <c r="E1154" s="82"/>
    </row>
    <row r="1155" spans="1:5" ht="14.4">
      <c r="A1155" s="68">
        <v>42849</v>
      </c>
      <c r="B1155" s="65">
        <v>73.959999999999994</v>
      </c>
      <c r="C1155" s="80">
        <v>3392539</v>
      </c>
      <c r="D1155" s="83">
        <v>3.3393880117367658E-2</v>
      </c>
      <c r="E1155" s="82"/>
    </row>
    <row r="1156" spans="1:5" ht="14.4">
      <c r="A1156" s="68">
        <v>42846</v>
      </c>
      <c r="B1156" s="65">
        <v>71.569999999999993</v>
      </c>
      <c r="C1156" s="80">
        <v>2834463</v>
      </c>
      <c r="D1156" s="83">
        <v>-9.6859000968589903E-3</v>
      </c>
      <c r="E1156" s="82"/>
    </row>
    <row r="1157" spans="1:5" ht="14.4">
      <c r="A1157" s="68">
        <v>42845</v>
      </c>
      <c r="B1157" s="65">
        <v>72.27</v>
      </c>
      <c r="C1157" s="80">
        <v>2341444</v>
      </c>
      <c r="D1157" s="83">
        <v>3.3314269373748928E-2</v>
      </c>
      <c r="E1157" s="82"/>
    </row>
    <row r="1158" spans="1:5" ht="14.4">
      <c r="A1158" s="68">
        <v>42844</v>
      </c>
      <c r="B1158" s="65">
        <v>69.94</v>
      </c>
      <c r="C1158" s="80">
        <v>1324250</v>
      </c>
      <c r="D1158" s="83">
        <v>5.8967352222061287E-3</v>
      </c>
      <c r="E1158" s="82"/>
    </row>
    <row r="1159" spans="1:5" ht="14.4">
      <c r="A1159" s="68">
        <v>42843</v>
      </c>
      <c r="B1159" s="65">
        <v>69.53</v>
      </c>
      <c r="C1159" s="80">
        <v>2099125</v>
      </c>
      <c r="D1159" s="83">
        <v>-2.5234824057198901E-2</v>
      </c>
      <c r="E1159" s="82"/>
    </row>
    <row r="1160" spans="1:5" ht="14.4">
      <c r="A1160" s="68">
        <v>42838</v>
      </c>
      <c r="B1160" s="65">
        <v>71.33</v>
      </c>
      <c r="C1160" s="80">
        <v>1754341</v>
      </c>
      <c r="D1160" s="83">
        <v>-8.3414430696511221E-3</v>
      </c>
      <c r="E1160" s="82"/>
    </row>
    <row r="1161" spans="1:5" ht="14.4">
      <c r="A1161" s="68">
        <v>42837</v>
      </c>
      <c r="B1161" s="65">
        <v>71.930000000000007</v>
      </c>
      <c r="C1161" s="80">
        <v>1625849</v>
      </c>
      <c r="D1161" s="83">
        <v>8.8359046283310594E-3</v>
      </c>
      <c r="E1161" s="82"/>
    </row>
    <row r="1162" spans="1:5" ht="14.4">
      <c r="A1162" s="68">
        <v>42836</v>
      </c>
      <c r="B1162" s="65">
        <v>71.3</v>
      </c>
      <c r="C1162" s="80">
        <v>1967151</v>
      </c>
      <c r="D1162" s="83">
        <v>2.9540019693345965E-3</v>
      </c>
      <c r="E1162" s="82"/>
    </row>
    <row r="1163" spans="1:5" ht="14.4">
      <c r="A1163" s="68">
        <v>42835</v>
      </c>
      <c r="B1163" s="65">
        <v>71.09</v>
      </c>
      <c r="C1163" s="80">
        <v>1920441</v>
      </c>
      <c r="D1163" s="83">
        <v>-1.9448275862068876E-2</v>
      </c>
      <c r="E1163" s="82"/>
    </row>
    <row r="1164" spans="1:5" ht="14.4">
      <c r="A1164" s="68">
        <v>42832</v>
      </c>
      <c r="B1164" s="65">
        <v>72.5</v>
      </c>
      <c r="C1164" s="80">
        <v>1424663</v>
      </c>
      <c r="D1164" s="83">
        <v>-2.7578599007160864E-4</v>
      </c>
      <c r="E1164" s="82"/>
    </row>
    <row r="1165" spans="1:5" ht="14.4">
      <c r="A1165" s="68">
        <v>42831</v>
      </c>
      <c r="B1165" s="65">
        <v>72.52</v>
      </c>
      <c r="C1165" s="80">
        <v>1382952</v>
      </c>
      <c r="D1165" s="83">
        <v>1.3273718038284255E-2</v>
      </c>
      <c r="E1165" s="82"/>
    </row>
    <row r="1166" spans="1:5" ht="14.4">
      <c r="A1166" s="68">
        <v>42830</v>
      </c>
      <c r="B1166" s="65">
        <v>71.569999999999993</v>
      </c>
      <c r="C1166" s="80">
        <v>1311847</v>
      </c>
      <c r="D1166" s="83">
        <v>-3.4809245335560846E-3</v>
      </c>
      <c r="E1166" s="82"/>
    </row>
    <row r="1167" spans="1:5" ht="14.4">
      <c r="A1167" s="68">
        <v>42829</v>
      </c>
      <c r="B1167" s="65">
        <v>71.819999999999993</v>
      </c>
      <c r="C1167" s="80">
        <v>1165031</v>
      </c>
      <c r="D1167" s="83">
        <v>6.4461883408071241E-3</v>
      </c>
      <c r="E1167" s="82"/>
    </row>
    <row r="1168" spans="1:5" ht="14.4">
      <c r="A1168" s="68">
        <v>42828</v>
      </c>
      <c r="B1168" s="65">
        <v>71.36</v>
      </c>
      <c r="C1168" s="80">
        <v>1272288</v>
      </c>
      <c r="D1168" s="83">
        <v>4.2058040095338534E-4</v>
      </c>
      <c r="E1168" s="82"/>
    </row>
    <row r="1169" spans="1:5" ht="14.4">
      <c r="A1169" s="68">
        <v>42825</v>
      </c>
      <c r="B1169" s="65">
        <v>71.33</v>
      </c>
      <c r="C1169" s="80">
        <v>2074757</v>
      </c>
      <c r="D1169" s="83">
        <v>-4.3271915131212202E-3</v>
      </c>
      <c r="E1169" s="82"/>
    </row>
    <row r="1170" spans="1:5" ht="14.4">
      <c r="A1170" s="68">
        <v>42824</v>
      </c>
      <c r="B1170" s="65">
        <v>71.64</v>
      </c>
      <c r="C1170" s="80">
        <v>1117112</v>
      </c>
      <c r="D1170" s="83">
        <v>2.7925160569663987E-4</v>
      </c>
      <c r="E1170" s="82"/>
    </row>
    <row r="1171" spans="1:5" ht="14.4">
      <c r="A1171" s="68">
        <v>42823</v>
      </c>
      <c r="B1171" s="65">
        <v>71.62</v>
      </c>
      <c r="C1171" s="80">
        <v>1341066</v>
      </c>
      <c r="D1171" s="83">
        <v>1.115346604546108E-2</v>
      </c>
      <c r="E1171" s="82"/>
    </row>
    <row r="1172" spans="1:5" ht="14.4">
      <c r="A1172" s="68">
        <v>42822</v>
      </c>
      <c r="B1172" s="65">
        <v>70.83</v>
      </c>
      <c r="C1172" s="80">
        <v>1089990</v>
      </c>
      <c r="D1172" s="83">
        <v>2.1635655560363398E-2</v>
      </c>
      <c r="E1172" s="82"/>
    </row>
    <row r="1173" spans="1:5" ht="14.4">
      <c r="A1173" s="68">
        <v>42821</v>
      </c>
      <c r="B1173" s="65">
        <v>69.33</v>
      </c>
      <c r="C1173" s="80">
        <v>1342929</v>
      </c>
      <c r="D1173" s="83">
        <v>-9.8543273350470972E-3</v>
      </c>
      <c r="E1173" s="82"/>
    </row>
    <row r="1174" spans="1:5" ht="14.4">
      <c r="A1174" s="68">
        <v>42818</v>
      </c>
      <c r="B1174" s="65">
        <v>70.02</v>
      </c>
      <c r="C1174" s="80">
        <v>1138325</v>
      </c>
      <c r="D1174" s="83">
        <v>2.4337866857551127E-3</v>
      </c>
      <c r="E1174" s="82"/>
    </row>
    <row r="1175" spans="1:5" ht="14.4">
      <c r="A1175" s="68">
        <v>42817</v>
      </c>
      <c r="B1175" s="65">
        <v>69.849999999999994</v>
      </c>
      <c r="C1175" s="80">
        <v>1459948</v>
      </c>
      <c r="D1175" s="83">
        <v>1.3788098693758855E-2</v>
      </c>
      <c r="E1175" s="82"/>
    </row>
    <row r="1176" spans="1:5" ht="14.4">
      <c r="A1176" s="68">
        <v>42816</v>
      </c>
      <c r="B1176" s="65">
        <v>68.900000000000006</v>
      </c>
      <c r="C1176" s="80">
        <v>1942474</v>
      </c>
      <c r="D1176" s="83">
        <v>-1.019968395345483E-2</v>
      </c>
      <c r="E1176" s="82"/>
    </row>
    <row r="1177" spans="1:5" ht="14.4">
      <c r="A1177" s="68">
        <v>42815</v>
      </c>
      <c r="B1177" s="65">
        <v>69.61</v>
      </c>
      <c r="C1177" s="80">
        <v>1691796</v>
      </c>
      <c r="D1177" s="83">
        <v>-1.4022662889518367E-2</v>
      </c>
      <c r="E1177" s="82"/>
    </row>
    <row r="1178" spans="1:5" ht="14.4">
      <c r="A1178" s="68">
        <v>42814</v>
      </c>
      <c r="B1178" s="65">
        <v>70.599999999999994</v>
      </c>
      <c r="C1178" s="80">
        <v>1052748</v>
      </c>
      <c r="D1178" s="83">
        <v>8.4273675189256991E-3</v>
      </c>
      <c r="E1178" s="82"/>
    </row>
    <row r="1179" spans="1:5" ht="14.4">
      <c r="A1179" s="68">
        <v>42811</v>
      </c>
      <c r="B1179" s="65">
        <v>70.010000000000005</v>
      </c>
      <c r="C1179" s="80">
        <v>2785113</v>
      </c>
      <c r="D1179" s="83">
        <v>-4.9744172825467725E-3</v>
      </c>
      <c r="E1179" s="82"/>
    </row>
    <row r="1180" spans="1:5" ht="14.4">
      <c r="A1180" s="68">
        <v>42810</v>
      </c>
      <c r="B1180" s="65">
        <v>70.36</v>
      </c>
      <c r="C1180" s="80">
        <v>1547533</v>
      </c>
      <c r="D1180" s="83">
        <v>-9.9389464716748144E-4</v>
      </c>
      <c r="E1180" s="82"/>
    </row>
    <row r="1181" spans="1:5" ht="14.4">
      <c r="A1181" s="68">
        <v>42809</v>
      </c>
      <c r="B1181" s="65">
        <v>70.430000000000007</v>
      </c>
      <c r="C1181" s="80">
        <v>1397171</v>
      </c>
      <c r="D1181" s="83">
        <v>3.2763532763533387E-3</v>
      </c>
      <c r="E1181" s="82"/>
    </row>
    <row r="1182" spans="1:5" ht="14.4">
      <c r="A1182" s="68">
        <v>42808</v>
      </c>
      <c r="B1182" s="65">
        <v>70.2</v>
      </c>
      <c r="C1182" s="80">
        <v>1031487</v>
      </c>
      <c r="D1182" s="83">
        <v>3.5739814152966343E-3</v>
      </c>
      <c r="E1182" s="82"/>
    </row>
    <row r="1183" spans="1:5" ht="14.4">
      <c r="A1183" s="68">
        <v>42807</v>
      </c>
      <c r="B1183" s="65">
        <v>69.95</v>
      </c>
      <c r="C1183" s="80">
        <v>942671</v>
      </c>
      <c r="D1183" s="83">
        <v>-1.5700827861833133E-3</v>
      </c>
      <c r="E1183" s="82"/>
    </row>
    <row r="1184" spans="1:5" ht="14.4">
      <c r="A1184" s="68">
        <v>42804</v>
      </c>
      <c r="B1184" s="65">
        <v>70.06</v>
      </c>
      <c r="C1184" s="80">
        <v>1299185</v>
      </c>
      <c r="D1184" s="83">
        <v>0</v>
      </c>
      <c r="E1184" s="82"/>
    </row>
    <row r="1185" spans="1:5" ht="14.4">
      <c r="A1185" s="68">
        <v>42803</v>
      </c>
      <c r="B1185" s="65">
        <v>70.06</v>
      </c>
      <c r="C1185" s="80">
        <v>1559193</v>
      </c>
      <c r="D1185" s="83">
        <v>-5.8180786150133779E-3</v>
      </c>
      <c r="E1185" s="82"/>
    </row>
    <row r="1186" spans="1:5" ht="14.4">
      <c r="A1186" s="68">
        <v>42802</v>
      </c>
      <c r="B1186" s="65">
        <v>70.47</v>
      </c>
      <c r="C1186" s="80">
        <v>1262311</v>
      </c>
      <c r="D1186" s="83">
        <v>3.9891722467588764E-3</v>
      </c>
      <c r="E1186" s="82"/>
    </row>
    <row r="1187" spans="1:5" ht="14.4">
      <c r="A1187" s="68">
        <v>42801</v>
      </c>
      <c r="B1187" s="65">
        <v>70.19</v>
      </c>
      <c r="C1187" s="80">
        <v>1942419</v>
      </c>
      <c r="D1187" s="83">
        <v>-1.2104152005629865E-2</v>
      </c>
      <c r="E1187" s="82"/>
    </row>
    <row r="1188" spans="1:5" ht="14.4">
      <c r="A1188" s="68">
        <v>42800</v>
      </c>
      <c r="B1188" s="65">
        <v>71.05</v>
      </c>
      <c r="C1188" s="80">
        <v>1926655</v>
      </c>
      <c r="D1188" s="83">
        <v>-1.6861036953773612E-3</v>
      </c>
      <c r="E1188" s="82"/>
    </row>
    <row r="1189" spans="1:5" ht="14.4">
      <c r="A1189" s="68">
        <v>42797</v>
      </c>
      <c r="B1189" s="65">
        <v>71.17</v>
      </c>
      <c r="C1189" s="80">
        <v>1968675</v>
      </c>
      <c r="D1189" s="83">
        <v>-7.3919107391910988E-3</v>
      </c>
      <c r="E1189" s="82"/>
    </row>
    <row r="1190" spans="1:5" ht="14.4">
      <c r="A1190" s="68">
        <v>42796</v>
      </c>
      <c r="B1190" s="65">
        <v>71.7</v>
      </c>
      <c r="C1190" s="80">
        <v>1590954</v>
      </c>
      <c r="D1190" s="83">
        <v>8.1552305961754001E-3</v>
      </c>
      <c r="E1190" s="82"/>
    </row>
    <row r="1191" spans="1:5" ht="14.4">
      <c r="A1191" s="68">
        <v>42795</v>
      </c>
      <c r="B1191" s="65">
        <v>71.12</v>
      </c>
      <c r="C1191" s="80">
        <v>2496301</v>
      </c>
      <c r="D1191" s="83">
        <v>2.5966532025389677E-2</v>
      </c>
      <c r="E1191" s="82"/>
    </row>
    <row r="1192" spans="1:5" ht="14.4">
      <c r="A1192" s="68">
        <v>42794</v>
      </c>
      <c r="B1192" s="65">
        <v>69.319999999999993</v>
      </c>
      <c r="C1192" s="80">
        <v>2297393</v>
      </c>
      <c r="D1192" s="83">
        <v>1.4191660570592513E-2</v>
      </c>
      <c r="E1192" s="82"/>
    </row>
    <row r="1193" spans="1:5" ht="14.4">
      <c r="A1193" s="68">
        <v>42793</v>
      </c>
      <c r="B1193" s="65">
        <v>68.349999999999994</v>
      </c>
      <c r="C1193" s="80">
        <v>1563780</v>
      </c>
      <c r="D1193" s="83">
        <v>0</v>
      </c>
      <c r="E1193" s="82"/>
    </row>
    <row r="1194" spans="1:5" ht="14.4">
      <c r="A1194" s="68">
        <v>42790</v>
      </c>
      <c r="B1194" s="65">
        <v>68.349999999999994</v>
      </c>
      <c r="C1194" s="80">
        <v>2537992</v>
      </c>
      <c r="D1194" s="83">
        <v>-1.0137581462708267E-2</v>
      </c>
      <c r="E1194" s="82"/>
    </row>
    <row r="1195" spans="1:5" ht="14.4">
      <c r="A1195" s="68">
        <v>42789</v>
      </c>
      <c r="B1195" s="65">
        <v>69.05</v>
      </c>
      <c r="C1195" s="80">
        <v>2859863</v>
      </c>
      <c r="D1195" s="83">
        <v>3.5232383808095902E-2</v>
      </c>
      <c r="E1195" s="82"/>
    </row>
    <row r="1196" spans="1:5" ht="14.4">
      <c r="A1196" s="68">
        <v>42788</v>
      </c>
      <c r="B1196" s="65">
        <v>66.7</v>
      </c>
      <c r="C1196" s="80">
        <v>3178074</v>
      </c>
      <c r="D1196" s="83">
        <v>-8.0309339678761305E-3</v>
      </c>
      <c r="E1196" s="82"/>
    </row>
    <row r="1197" spans="1:5" ht="14.4">
      <c r="A1197" s="68">
        <v>42787</v>
      </c>
      <c r="B1197" s="65">
        <v>67.239999999999995</v>
      </c>
      <c r="C1197" s="80">
        <v>1796213</v>
      </c>
      <c r="D1197" s="83">
        <v>1.0671877348564562E-2</v>
      </c>
      <c r="E1197" s="82"/>
    </row>
    <row r="1198" spans="1:5" ht="14.4">
      <c r="A1198" s="68">
        <v>42786</v>
      </c>
      <c r="B1198" s="65">
        <v>66.53</v>
      </c>
      <c r="C1198" s="80">
        <v>1250908</v>
      </c>
      <c r="D1198" s="83">
        <v>1.7278287461773623E-2</v>
      </c>
      <c r="E1198" s="82"/>
    </row>
    <row r="1199" spans="1:5" ht="14.4">
      <c r="A1199" s="68">
        <v>42783</v>
      </c>
      <c r="B1199" s="65">
        <v>65.400000000000006</v>
      </c>
      <c r="C1199" s="80">
        <v>1805130</v>
      </c>
      <c r="D1199" s="83">
        <v>-5.6256651968981108E-3</v>
      </c>
      <c r="E1199" s="82"/>
    </row>
    <row r="1200" spans="1:5" ht="14.4">
      <c r="A1200" s="68">
        <v>42782</v>
      </c>
      <c r="B1200" s="65">
        <v>65.77</v>
      </c>
      <c r="C1200" s="80">
        <v>1689453</v>
      </c>
      <c r="D1200" s="83">
        <v>-8.2931242460795307E-3</v>
      </c>
      <c r="E1200" s="82"/>
    </row>
    <row r="1201" spans="1:5" ht="14.4">
      <c r="A1201" s="68">
        <v>42781</v>
      </c>
      <c r="B1201" s="65">
        <v>66.319999999999993</v>
      </c>
      <c r="C1201" s="80">
        <v>1488267</v>
      </c>
      <c r="D1201" s="83">
        <v>1.6613804561245171E-3</v>
      </c>
      <c r="E1201" s="82"/>
    </row>
    <row r="1202" spans="1:5" ht="14.4">
      <c r="A1202" s="68">
        <v>42780</v>
      </c>
      <c r="B1202" s="65">
        <v>66.209999999999994</v>
      </c>
      <c r="C1202" s="80">
        <v>1361242</v>
      </c>
      <c r="D1202" s="83">
        <v>5.4669703872436415E-3</v>
      </c>
      <c r="E1202" s="82"/>
    </row>
    <row r="1203" spans="1:5" ht="14.4">
      <c r="A1203" s="68">
        <v>42779</v>
      </c>
      <c r="B1203" s="65">
        <v>65.849999999999994</v>
      </c>
      <c r="C1203" s="80">
        <v>1622878</v>
      </c>
      <c r="D1203" s="83">
        <v>2.2674328311849568E-2</v>
      </c>
      <c r="E1203" s="82"/>
    </row>
    <row r="1204" spans="1:5" ht="14.4">
      <c r="A1204" s="68">
        <v>42776</v>
      </c>
      <c r="B1204" s="65">
        <v>64.39</v>
      </c>
      <c r="C1204" s="80">
        <v>1354851</v>
      </c>
      <c r="D1204" s="83">
        <v>6.0937500000000089E-3</v>
      </c>
      <c r="E1204" s="82"/>
    </row>
    <row r="1205" spans="1:5" ht="14.4">
      <c r="A1205" s="68">
        <v>42775</v>
      </c>
      <c r="B1205" s="65">
        <v>64</v>
      </c>
      <c r="C1205" s="80">
        <v>1493430</v>
      </c>
      <c r="D1205" s="83">
        <v>1.9595348096224319E-2</v>
      </c>
      <c r="E1205" s="82"/>
    </row>
    <row r="1206" spans="1:5" ht="14.4">
      <c r="A1206" s="68">
        <v>42774</v>
      </c>
      <c r="B1206" s="65">
        <v>62.77</v>
      </c>
      <c r="C1206" s="80">
        <v>1602170</v>
      </c>
      <c r="D1206" s="83">
        <v>-1.7493638676844281E-3</v>
      </c>
      <c r="E1206" s="82"/>
    </row>
    <row r="1207" spans="1:5" ht="14.4">
      <c r="A1207" s="68">
        <v>42773</v>
      </c>
      <c r="B1207" s="65">
        <v>62.88</v>
      </c>
      <c r="C1207" s="80">
        <v>1594809</v>
      </c>
      <c r="D1207" s="83">
        <v>-3.6444303596894212E-3</v>
      </c>
      <c r="E1207" s="82"/>
    </row>
    <row r="1208" spans="1:5" ht="14.4">
      <c r="A1208" s="68">
        <v>42772</v>
      </c>
      <c r="B1208" s="65">
        <v>63.11</v>
      </c>
      <c r="C1208" s="80">
        <v>1550256</v>
      </c>
      <c r="D1208" s="83">
        <v>7.9289565493168013E-4</v>
      </c>
      <c r="E1208" s="82"/>
    </row>
    <row r="1209" spans="1:5" ht="14.4">
      <c r="A1209" s="68">
        <v>42769</v>
      </c>
      <c r="B1209" s="65">
        <v>63.06</v>
      </c>
      <c r="C1209" s="80">
        <v>1476569</v>
      </c>
      <c r="D1209" s="83">
        <v>3.5009548058562157E-3</v>
      </c>
      <c r="E1209" s="82"/>
    </row>
    <row r="1210" spans="1:5" ht="14.4">
      <c r="A1210" s="68">
        <v>42768</v>
      </c>
      <c r="B1210" s="65">
        <v>62.84</v>
      </c>
      <c r="C1210" s="80">
        <v>1634905</v>
      </c>
      <c r="D1210" s="83">
        <v>-4.1204437400950145E-3</v>
      </c>
      <c r="E1210" s="82"/>
    </row>
    <row r="1211" spans="1:5" ht="14.4">
      <c r="A1211" s="68">
        <v>42767</v>
      </c>
      <c r="B1211" s="65">
        <v>63.1</v>
      </c>
      <c r="C1211" s="80">
        <v>1638153</v>
      </c>
      <c r="D1211" s="83">
        <v>5.4174633524537441E-3</v>
      </c>
      <c r="E1211" s="82"/>
    </row>
    <row r="1212" spans="1:5" ht="14.4">
      <c r="A1212" s="68">
        <v>42766</v>
      </c>
      <c r="B1212" s="65">
        <v>62.76</v>
      </c>
      <c r="C1212" s="80">
        <v>1919417</v>
      </c>
      <c r="D1212" s="83">
        <v>-8.3741507347132593E-3</v>
      </c>
      <c r="E1212" s="82"/>
    </row>
    <row r="1213" spans="1:5" ht="14.4">
      <c r="A1213" s="68">
        <v>42765</v>
      </c>
      <c r="B1213" s="65">
        <v>63.29</v>
      </c>
      <c r="C1213" s="80">
        <v>1814170</v>
      </c>
      <c r="D1213" s="83">
        <v>-2.1339106231637595E-2</v>
      </c>
      <c r="E1213" s="82"/>
    </row>
    <row r="1214" spans="1:5" ht="14.4">
      <c r="A1214" s="68">
        <v>42762</v>
      </c>
      <c r="B1214" s="65">
        <v>64.67</v>
      </c>
      <c r="C1214" s="80">
        <v>1136342</v>
      </c>
      <c r="D1214" s="83">
        <v>-3.6974272069018044E-3</v>
      </c>
      <c r="E1214" s="82"/>
    </row>
    <row r="1215" spans="1:5" ht="14.4">
      <c r="A1215" s="68">
        <v>42761</v>
      </c>
      <c r="B1215" s="65">
        <v>64.91</v>
      </c>
      <c r="C1215" s="80">
        <v>1800381</v>
      </c>
      <c r="D1215" s="83">
        <v>-7.3405719528980562E-3</v>
      </c>
      <c r="E1215" s="82"/>
    </row>
    <row r="1216" spans="1:5" ht="14.4">
      <c r="A1216" s="68">
        <v>42760</v>
      </c>
      <c r="B1216" s="65">
        <v>65.39</v>
      </c>
      <c r="C1216" s="80">
        <v>1932070</v>
      </c>
      <c r="D1216" s="83">
        <v>-2.5930445393532731E-3</v>
      </c>
      <c r="E1216" s="82"/>
    </row>
    <row r="1217" spans="1:7" ht="14.4">
      <c r="A1217" s="68">
        <v>42759</v>
      </c>
      <c r="B1217" s="65">
        <v>65.56</v>
      </c>
      <c r="C1217" s="80">
        <v>1400523</v>
      </c>
      <c r="D1217" s="83">
        <v>1.6806722689075571E-3</v>
      </c>
      <c r="E1217" s="82"/>
    </row>
    <row r="1218" spans="1:7" ht="14.4">
      <c r="A1218" s="68">
        <v>42758</v>
      </c>
      <c r="B1218" s="65">
        <v>65.45</v>
      </c>
      <c r="C1218" s="80">
        <v>1615128</v>
      </c>
      <c r="D1218" s="83">
        <v>1.6835016835017313E-3</v>
      </c>
      <c r="E1218" s="82"/>
    </row>
    <row r="1219" spans="1:7" ht="14.4">
      <c r="A1219" s="68">
        <v>42755</v>
      </c>
      <c r="B1219" s="65">
        <v>65.34</v>
      </c>
      <c r="C1219" s="80">
        <v>2218246</v>
      </c>
      <c r="D1219" s="83">
        <v>-2.1380574221135928E-3</v>
      </c>
      <c r="E1219" s="82"/>
    </row>
    <row r="1220" spans="1:7" ht="14.4">
      <c r="A1220" s="68">
        <v>42754</v>
      </c>
      <c r="B1220" s="65">
        <v>65.48</v>
      </c>
      <c r="C1220" s="80">
        <v>2143368</v>
      </c>
      <c r="D1220" s="83">
        <v>9.8704503392967879E-3</v>
      </c>
      <c r="E1220" s="82"/>
    </row>
    <row r="1221" spans="1:7" ht="14.4">
      <c r="A1221" s="68">
        <v>42753</v>
      </c>
      <c r="B1221" s="65">
        <v>64.84</v>
      </c>
      <c r="C1221" s="80">
        <v>1697190</v>
      </c>
      <c r="D1221" s="83">
        <v>-7.8041315990817761E-3</v>
      </c>
      <c r="E1221" s="82"/>
    </row>
    <row r="1222" spans="1:7" ht="14.4">
      <c r="A1222" s="68">
        <v>42752</v>
      </c>
      <c r="B1222" s="65">
        <v>65.349999999999994</v>
      </c>
      <c r="C1222" s="80">
        <v>1819558</v>
      </c>
      <c r="D1222" s="83">
        <v>2.6081620128872718E-3</v>
      </c>
      <c r="E1222" s="62"/>
      <c r="F1222" s="62"/>
      <c r="G1222" s="62"/>
    </row>
    <row r="1223" spans="1:7" ht="14.4">
      <c r="A1223" s="68">
        <v>42751</v>
      </c>
      <c r="B1223" s="65">
        <v>65.180000000000007</v>
      </c>
      <c r="C1223" s="80">
        <v>997832</v>
      </c>
      <c r="D1223" s="83">
        <v>-7.0079219987810859E-3</v>
      </c>
      <c r="E1223" s="62"/>
      <c r="F1223" s="62"/>
      <c r="G1223" s="62"/>
    </row>
    <row r="1224" spans="1:7" ht="14.4">
      <c r="A1224" s="68">
        <v>42748</v>
      </c>
      <c r="B1224" s="65">
        <v>65.64</v>
      </c>
      <c r="C1224" s="80">
        <v>1630054</v>
      </c>
      <c r="D1224" s="83">
        <v>1.4685422785592817E-2</v>
      </c>
      <c r="E1224" s="62"/>
      <c r="F1224" s="62"/>
      <c r="G1224" s="62"/>
    </row>
    <row r="1225" spans="1:7" ht="14.4">
      <c r="A1225" s="68">
        <v>42747</v>
      </c>
      <c r="B1225" s="65">
        <v>64.69</v>
      </c>
      <c r="C1225" s="80">
        <v>1754768</v>
      </c>
      <c r="D1225" s="83">
        <v>-1.1762908646501646E-2</v>
      </c>
      <c r="E1225" s="62"/>
      <c r="F1225" s="62"/>
      <c r="G1225" s="62"/>
    </row>
    <row r="1226" spans="1:7" ht="14.4">
      <c r="A1226" s="68">
        <v>42746</v>
      </c>
      <c r="B1226" s="65">
        <v>65.459999999999994</v>
      </c>
      <c r="C1226" s="80">
        <v>2154981</v>
      </c>
      <c r="D1226" s="83">
        <v>3.9877300613495592E-3</v>
      </c>
      <c r="E1226" s="62"/>
      <c r="F1226" s="62"/>
      <c r="G1226" s="62"/>
    </row>
    <row r="1227" spans="1:7" ht="14.4">
      <c r="A1227" s="68">
        <v>42745</v>
      </c>
      <c r="B1227" s="65">
        <v>65.2</v>
      </c>
      <c r="C1227" s="80">
        <v>1873665</v>
      </c>
      <c r="D1227" s="83">
        <v>-1.225490196078427E-3</v>
      </c>
      <c r="E1227" s="62"/>
      <c r="F1227" s="62"/>
      <c r="G1227" s="62"/>
    </row>
    <row r="1228" spans="1:7" ht="14.4">
      <c r="A1228" s="68">
        <v>42744</v>
      </c>
      <c r="B1228" s="65">
        <v>65.28</v>
      </c>
      <c r="C1228" s="80">
        <v>1802559</v>
      </c>
      <c r="D1228" s="83">
        <v>2.149217070924081E-3</v>
      </c>
      <c r="E1228" s="62"/>
      <c r="F1228" s="62"/>
      <c r="G1228" s="62"/>
    </row>
    <row r="1229" spans="1:7" ht="14.4">
      <c r="A1229" s="68">
        <v>42741</v>
      </c>
      <c r="B1229" s="65">
        <v>65.14</v>
      </c>
      <c r="C1229" s="80">
        <v>1962633</v>
      </c>
      <c r="D1229" s="83">
        <v>8.3591331269350366E-3</v>
      </c>
      <c r="E1229" s="62"/>
      <c r="F1229" s="62"/>
      <c r="G1229" s="62"/>
    </row>
    <row r="1230" spans="1:7" ht="14.4">
      <c r="A1230" s="68">
        <v>42740</v>
      </c>
      <c r="B1230" s="65">
        <v>64.599999999999994</v>
      </c>
      <c r="C1230" s="80">
        <v>2332246</v>
      </c>
      <c r="D1230" s="83">
        <v>1.8927444794952564E-2</v>
      </c>
      <c r="E1230" s="62"/>
      <c r="F1230" s="62"/>
      <c r="G1230" s="62"/>
    </row>
    <row r="1231" spans="1:7" ht="14.4">
      <c r="A1231" s="68">
        <v>42739</v>
      </c>
      <c r="B1231" s="65">
        <v>63.4</v>
      </c>
      <c r="C1231" s="80">
        <v>1734908</v>
      </c>
      <c r="D1231" s="83">
        <v>-1.5748031496063408E-3</v>
      </c>
      <c r="E1231" s="62"/>
      <c r="F1231" s="62"/>
      <c r="G1231" s="62"/>
    </row>
    <row r="1232" spans="1:7" ht="14.4">
      <c r="A1232" s="68">
        <v>42738</v>
      </c>
      <c r="B1232" s="65">
        <v>63.5</v>
      </c>
      <c r="C1232" s="80">
        <v>2076307</v>
      </c>
      <c r="D1232" s="83">
        <v>1.0824578159821741E-2</v>
      </c>
      <c r="E1232" s="62"/>
      <c r="F1232" s="62"/>
      <c r="G1232" s="62"/>
    </row>
    <row r="1233" spans="1:7" ht="14.4">
      <c r="A1233" s="68">
        <v>42737</v>
      </c>
      <c r="B1233" s="65">
        <v>62.82</v>
      </c>
      <c r="C1233" s="80">
        <v>594839</v>
      </c>
      <c r="D1233" s="83">
        <v>-3.1826861871420142E-4</v>
      </c>
      <c r="E1233" s="62"/>
      <c r="F1233" s="62"/>
      <c r="G1233" s="62"/>
    </row>
    <row r="1234" spans="1:7" ht="14.4">
      <c r="A1234" s="71">
        <v>42734</v>
      </c>
      <c r="B1234" s="72">
        <v>62.84</v>
      </c>
      <c r="C1234" s="81">
        <v>1215943</v>
      </c>
      <c r="D1234" s="84">
        <v>7.6972418216805227E-3</v>
      </c>
      <c r="E1234" s="74"/>
      <c r="F1234" s="74"/>
      <c r="G1234" s="73" t="e">
        <v>#REF!</v>
      </c>
    </row>
    <row r="1235" spans="1:7" ht="14.4">
      <c r="A1235" s="68">
        <v>42733</v>
      </c>
      <c r="B1235" s="65">
        <v>62.36</v>
      </c>
      <c r="C1235" s="80">
        <v>803596</v>
      </c>
      <c r="D1235" s="83">
        <v>-5.7397959183673741E-3</v>
      </c>
      <c r="E1235" s="62"/>
      <c r="F1235" s="62"/>
      <c r="G1235" s="62"/>
    </row>
    <row r="1236" spans="1:7" ht="14.4">
      <c r="A1236" s="68">
        <v>42732</v>
      </c>
      <c r="B1236" s="65">
        <v>62.72</v>
      </c>
      <c r="C1236" s="80">
        <v>881555</v>
      </c>
      <c r="D1236" s="83">
        <v>-3.1786395422759295E-3</v>
      </c>
      <c r="E1236" s="62"/>
      <c r="F1236" s="62"/>
      <c r="G1236" s="62"/>
    </row>
    <row r="1237" spans="1:7" ht="14.4">
      <c r="A1237" s="68">
        <v>42731</v>
      </c>
      <c r="B1237" s="65">
        <v>62.92</v>
      </c>
      <c r="C1237" s="80">
        <v>500179</v>
      </c>
      <c r="D1237" s="83">
        <v>3.1796502384739966E-4</v>
      </c>
      <c r="E1237" s="62"/>
      <c r="F1237" s="62"/>
      <c r="G1237" s="62"/>
    </row>
    <row r="1238" spans="1:7" ht="14.4">
      <c r="A1238" s="68">
        <v>42727</v>
      </c>
      <c r="B1238" s="65">
        <v>62.9</v>
      </c>
      <c r="C1238" s="80">
        <v>775843</v>
      </c>
      <c r="D1238" s="83">
        <v>2.8698979591836871E-3</v>
      </c>
      <c r="E1238" s="82"/>
    </row>
    <row r="1239" spans="1:7" ht="14.4">
      <c r="A1239" s="68">
        <v>42726</v>
      </c>
      <c r="B1239" s="65">
        <v>62.72</v>
      </c>
      <c r="C1239" s="80">
        <v>1758530</v>
      </c>
      <c r="D1239" s="83">
        <v>-4.4444444444444731E-3</v>
      </c>
      <c r="E1239" s="82"/>
    </row>
    <row r="1240" spans="1:7" ht="14.4">
      <c r="A1240" s="68">
        <v>42725</v>
      </c>
      <c r="B1240" s="65">
        <v>63</v>
      </c>
      <c r="C1240" s="80">
        <v>1695783</v>
      </c>
      <c r="D1240" s="83">
        <v>-1.3157894736842146E-2</v>
      </c>
      <c r="E1240" s="82"/>
    </row>
    <row r="1241" spans="1:7" ht="14.4">
      <c r="A1241" s="68">
        <v>42724</v>
      </c>
      <c r="B1241" s="65">
        <v>63.84</v>
      </c>
      <c r="C1241" s="80">
        <v>2101962</v>
      </c>
      <c r="D1241" s="83">
        <v>9.3280632411067987E-3</v>
      </c>
      <c r="E1241" s="82"/>
    </row>
    <row r="1242" spans="1:7" ht="14.4">
      <c r="A1242" s="68">
        <v>42723</v>
      </c>
      <c r="B1242" s="65">
        <v>63.25</v>
      </c>
      <c r="C1242" s="80">
        <v>1997858</v>
      </c>
      <c r="D1242" s="83">
        <v>-1.4490495481458532E-2</v>
      </c>
      <c r="E1242" s="82"/>
    </row>
    <row r="1243" spans="1:7" ht="14.4">
      <c r="A1243" s="68">
        <v>42720</v>
      </c>
      <c r="B1243" s="65">
        <v>64.180000000000007</v>
      </c>
      <c r="C1243" s="80">
        <v>5086102</v>
      </c>
      <c r="D1243" s="83">
        <v>1.2480499219971186E-3</v>
      </c>
      <c r="E1243" s="82"/>
    </row>
    <row r="1244" spans="1:7" ht="14.4">
      <c r="A1244" s="68">
        <v>42719</v>
      </c>
      <c r="B1244" s="65">
        <v>64.099999999999994</v>
      </c>
      <c r="C1244" s="80">
        <v>3983443</v>
      </c>
      <c r="D1244" s="83">
        <v>2.7243589743589647E-2</v>
      </c>
      <c r="E1244" s="82"/>
    </row>
    <row r="1245" spans="1:7" ht="14.4">
      <c r="A1245" s="68">
        <v>42718</v>
      </c>
      <c r="B1245" s="65">
        <v>62.4</v>
      </c>
      <c r="C1245" s="80">
        <v>2022188</v>
      </c>
      <c r="D1245" s="83">
        <v>-7.1599045346062429E-3</v>
      </c>
      <c r="E1245" s="82"/>
    </row>
    <row r="1246" spans="1:7" ht="14.4">
      <c r="A1246" s="68">
        <v>42717</v>
      </c>
      <c r="B1246" s="65">
        <v>62.85</v>
      </c>
      <c r="C1246" s="80">
        <v>3806669</v>
      </c>
      <c r="D1246" s="83">
        <v>3.9702233250620278E-2</v>
      </c>
      <c r="E1246" s="82"/>
    </row>
    <row r="1247" spans="1:7" ht="14.4">
      <c r="A1247" s="68">
        <v>42716</v>
      </c>
      <c r="B1247" s="65">
        <v>60.45</v>
      </c>
      <c r="C1247" s="80">
        <v>2140698</v>
      </c>
      <c r="D1247" s="83">
        <v>1.460221550855989E-2</v>
      </c>
      <c r="E1247" s="82"/>
    </row>
    <row r="1248" spans="1:7" ht="14.4">
      <c r="A1248" s="68">
        <v>42713</v>
      </c>
      <c r="B1248" s="65">
        <v>59.58</v>
      </c>
      <c r="C1248" s="80">
        <v>1926839</v>
      </c>
      <c r="D1248" s="83">
        <v>4.3830074173971667E-3</v>
      </c>
      <c r="E1248" s="82"/>
    </row>
    <row r="1249" spans="1:5" ht="14.4">
      <c r="A1249" s="68">
        <v>42712</v>
      </c>
      <c r="B1249" s="65">
        <v>59.32</v>
      </c>
      <c r="C1249" s="80">
        <v>2617346</v>
      </c>
      <c r="D1249" s="83">
        <v>1.2632297712529938E-2</v>
      </c>
      <c r="E1249" s="82"/>
    </row>
    <row r="1250" spans="1:5" ht="14.4">
      <c r="A1250" s="68">
        <v>42711</v>
      </c>
      <c r="B1250" s="65">
        <v>58.58</v>
      </c>
      <c r="C1250" s="80">
        <v>2950648</v>
      </c>
      <c r="D1250" s="83">
        <v>-1.380471380471382E-2</v>
      </c>
      <c r="E1250" s="82"/>
    </row>
    <row r="1251" spans="1:5" ht="14.4">
      <c r="A1251" s="68">
        <v>42710</v>
      </c>
      <c r="B1251" s="65">
        <v>59.4</v>
      </c>
      <c r="C1251" s="80">
        <v>2151687</v>
      </c>
      <c r="D1251" s="83">
        <v>-8.0160320641283755E-3</v>
      </c>
      <c r="E1251" s="82"/>
    </row>
    <row r="1252" spans="1:5" ht="14.4">
      <c r="A1252" s="68">
        <v>42709</v>
      </c>
      <c r="B1252" s="65">
        <v>59.88</v>
      </c>
      <c r="C1252" s="80">
        <v>1911000</v>
      </c>
      <c r="D1252" s="83">
        <v>1.5087302932700553E-2</v>
      </c>
      <c r="E1252" s="82"/>
    </row>
    <row r="1253" spans="1:5" ht="14.4">
      <c r="A1253" s="68">
        <v>42706</v>
      </c>
      <c r="B1253" s="65">
        <v>58.99</v>
      </c>
      <c r="C1253" s="80">
        <v>2624607</v>
      </c>
      <c r="D1253" s="83">
        <v>-1.7651956702747662E-2</v>
      </c>
      <c r="E1253" s="82"/>
    </row>
    <row r="1254" spans="1:5" ht="14.4">
      <c r="A1254" s="68">
        <v>42705</v>
      </c>
      <c r="B1254" s="65">
        <v>60.05</v>
      </c>
      <c r="C1254" s="80">
        <v>2137738</v>
      </c>
      <c r="D1254" s="83">
        <v>-3.6502405840386221E-3</v>
      </c>
      <c r="E1254" s="82"/>
    </row>
    <row r="1255" spans="1:5" ht="14.4">
      <c r="A1255" s="68">
        <v>42704</v>
      </c>
      <c r="B1255" s="65">
        <v>60.27</v>
      </c>
      <c r="C1255" s="80">
        <v>2346424</v>
      </c>
      <c r="D1255" s="83">
        <v>-2.6476915439350712E-3</v>
      </c>
      <c r="E1255" s="82"/>
    </row>
    <row r="1256" spans="1:5" ht="14.4">
      <c r="A1256" s="68">
        <v>42703</v>
      </c>
      <c r="B1256" s="65">
        <v>60.43</v>
      </c>
      <c r="C1256" s="80">
        <v>1806188</v>
      </c>
      <c r="D1256" s="83">
        <v>6.328059950041709E-3</v>
      </c>
      <c r="E1256" s="82"/>
    </row>
    <row r="1257" spans="1:5" ht="14.4">
      <c r="A1257" s="68">
        <v>42702</v>
      </c>
      <c r="B1257" s="65">
        <v>60.05</v>
      </c>
      <c r="C1257" s="80">
        <v>1980670</v>
      </c>
      <c r="D1257" s="83">
        <v>-4.3110595257835893E-3</v>
      </c>
      <c r="E1257" s="82"/>
    </row>
    <row r="1258" spans="1:5" ht="14.4">
      <c r="A1258" s="68">
        <v>42699</v>
      </c>
      <c r="B1258" s="65">
        <v>60.31</v>
      </c>
      <c r="C1258" s="80">
        <v>1367036</v>
      </c>
      <c r="D1258" s="83">
        <v>4.497001998667649E-3</v>
      </c>
      <c r="E1258" s="82"/>
    </row>
    <row r="1259" spans="1:5" ht="14.4">
      <c r="A1259" s="68">
        <v>42698</v>
      </c>
      <c r="B1259" s="65">
        <v>60.04</v>
      </c>
      <c r="C1259" s="80">
        <v>1870516</v>
      </c>
      <c r="D1259" s="83">
        <v>4.3492806958849162E-3</v>
      </c>
      <c r="E1259" s="82"/>
    </row>
    <row r="1260" spans="1:5" ht="14.4">
      <c r="A1260" s="68">
        <v>42697</v>
      </c>
      <c r="B1260" s="65">
        <v>59.78</v>
      </c>
      <c r="C1260" s="80">
        <v>3200839</v>
      </c>
      <c r="D1260" s="83">
        <v>2.3630136986301453E-2</v>
      </c>
      <c r="E1260" s="82"/>
    </row>
    <row r="1261" spans="1:5" ht="14.4">
      <c r="A1261" s="68">
        <v>42696</v>
      </c>
      <c r="B1261" s="65">
        <v>58.4</v>
      </c>
      <c r="C1261" s="80">
        <v>2497154</v>
      </c>
      <c r="D1261" s="83">
        <v>1.2482662968099856E-2</v>
      </c>
      <c r="E1261" s="82"/>
    </row>
    <row r="1262" spans="1:5" ht="14.4">
      <c r="A1262" s="68">
        <v>42695</v>
      </c>
      <c r="B1262" s="65">
        <v>57.68</v>
      </c>
      <c r="C1262" s="80">
        <v>2777491</v>
      </c>
      <c r="D1262" s="83">
        <v>4.4170890658942863E-2</v>
      </c>
      <c r="E1262" s="82"/>
    </row>
    <row r="1263" spans="1:5" ht="14.4">
      <c r="A1263" s="68">
        <v>42692</v>
      </c>
      <c r="B1263" s="65">
        <v>55.24</v>
      </c>
      <c r="C1263" s="80">
        <v>2047907</v>
      </c>
      <c r="D1263" s="83">
        <v>-5.2224023050603252E-3</v>
      </c>
      <c r="E1263" s="82"/>
    </row>
    <row r="1264" spans="1:5" ht="14.4">
      <c r="A1264" s="68">
        <v>42691</v>
      </c>
      <c r="B1264" s="65">
        <v>55.53</v>
      </c>
      <c r="C1264" s="80">
        <v>1680754</v>
      </c>
      <c r="D1264" s="83">
        <v>1.2951477562933356E-2</v>
      </c>
      <c r="E1264" s="82"/>
    </row>
    <row r="1265" spans="1:5" ht="14.4">
      <c r="A1265" s="68">
        <v>42690</v>
      </c>
      <c r="B1265" s="65">
        <v>54.82</v>
      </c>
      <c r="C1265" s="80">
        <v>2289687</v>
      </c>
      <c r="D1265" s="83">
        <v>-2.9219054365149599E-2</v>
      </c>
      <c r="E1265" s="82"/>
    </row>
    <row r="1266" spans="1:5" ht="14.4">
      <c r="A1266" s="68">
        <v>42689</v>
      </c>
      <c r="B1266" s="65">
        <v>56.47</v>
      </c>
      <c r="C1266" s="80">
        <v>2113821</v>
      </c>
      <c r="D1266" s="83">
        <v>1.7739932588256568E-3</v>
      </c>
      <c r="E1266" s="82"/>
    </row>
    <row r="1267" spans="1:5" ht="14.4">
      <c r="A1267" s="68">
        <v>42688</v>
      </c>
      <c r="B1267" s="65">
        <v>56.37</v>
      </c>
      <c r="C1267" s="80">
        <v>2440317</v>
      </c>
      <c r="D1267" s="83">
        <v>2.9401022644265806E-2</v>
      </c>
      <c r="E1267" s="82"/>
    </row>
    <row r="1268" spans="1:5" ht="14.4">
      <c r="A1268" s="68">
        <v>42685</v>
      </c>
      <c r="B1268" s="65">
        <v>54.76</v>
      </c>
      <c r="C1268" s="80">
        <v>1443238</v>
      </c>
      <c r="D1268" s="83">
        <v>-1.0659439927732661E-2</v>
      </c>
      <c r="E1268" s="82"/>
    </row>
    <row r="1269" spans="1:5" ht="14.4">
      <c r="A1269" s="68">
        <v>42684</v>
      </c>
      <c r="B1269" s="65">
        <v>55.35</v>
      </c>
      <c r="C1269" s="80">
        <v>3773862</v>
      </c>
      <c r="D1269" s="83">
        <v>2.0088462956137088E-2</v>
      </c>
      <c r="E1269" s="82"/>
    </row>
    <row r="1270" spans="1:5" ht="14.4">
      <c r="A1270" s="68">
        <v>42683</v>
      </c>
      <c r="B1270" s="65">
        <v>54.26</v>
      </c>
      <c r="C1270" s="80">
        <v>3335069</v>
      </c>
      <c r="D1270" s="83">
        <v>2.7262400605831072E-2</v>
      </c>
      <c r="E1270" s="82"/>
    </row>
    <row r="1271" spans="1:5" ht="14.4">
      <c r="A1271" s="68">
        <v>42682</v>
      </c>
      <c r="B1271" s="65">
        <v>52.82</v>
      </c>
      <c r="C1271" s="80">
        <v>1936975</v>
      </c>
      <c r="D1271" s="83">
        <v>-6.2088428974599319E-3</v>
      </c>
      <c r="E1271" s="82"/>
    </row>
    <row r="1272" spans="1:5" ht="14.4">
      <c r="A1272" s="68">
        <v>42681</v>
      </c>
      <c r="B1272" s="65">
        <v>53.15</v>
      </c>
      <c r="C1272" s="80">
        <v>1668234</v>
      </c>
      <c r="D1272" s="83">
        <v>2.3690292758089315E-2</v>
      </c>
      <c r="E1272" s="82"/>
    </row>
    <row r="1273" spans="1:5" ht="14.4">
      <c r="A1273" s="68">
        <v>42678</v>
      </c>
      <c r="B1273" s="65">
        <v>51.92</v>
      </c>
      <c r="C1273" s="80">
        <v>1718126</v>
      </c>
      <c r="D1273" s="83">
        <v>-3.072196620583667E-3</v>
      </c>
      <c r="E1273" s="82"/>
    </row>
    <row r="1274" spans="1:5" ht="14.4">
      <c r="A1274" s="68">
        <v>42677</v>
      </c>
      <c r="B1274" s="65">
        <v>52.08</v>
      </c>
      <c r="C1274" s="80">
        <v>1284607</v>
      </c>
      <c r="D1274" s="83">
        <v>-9.6976611523104106E-3</v>
      </c>
      <c r="E1274" s="82"/>
    </row>
    <row r="1275" spans="1:5" ht="14.4">
      <c r="A1275" s="68">
        <v>42676</v>
      </c>
      <c r="B1275" s="65">
        <v>52.59</v>
      </c>
      <c r="C1275" s="80">
        <v>1672488</v>
      </c>
      <c r="D1275" s="83">
        <v>-1.369092273068262E-2</v>
      </c>
      <c r="E1275" s="82"/>
    </row>
    <row r="1276" spans="1:5" ht="14.4">
      <c r="A1276" s="68">
        <v>42675</v>
      </c>
      <c r="B1276" s="65">
        <v>53.32</v>
      </c>
      <c r="C1276" s="80">
        <v>1471384</v>
      </c>
      <c r="D1276" s="83">
        <v>-1.532779316712829E-2</v>
      </c>
      <c r="E1276" s="82"/>
    </row>
    <row r="1277" spans="1:5" ht="14.4">
      <c r="A1277" s="68">
        <v>42674</v>
      </c>
      <c r="B1277" s="65">
        <v>54.15</v>
      </c>
      <c r="C1277" s="80">
        <v>2045307</v>
      </c>
      <c r="D1277" s="83">
        <v>-1.5454545454545499E-2</v>
      </c>
      <c r="E1277" s="82"/>
    </row>
    <row r="1278" spans="1:5" ht="14.4">
      <c r="A1278" s="68">
        <v>42671</v>
      </c>
      <c r="B1278" s="65">
        <v>55</v>
      </c>
      <c r="C1278" s="80">
        <v>2147076</v>
      </c>
      <c r="D1278" s="83">
        <v>-8.1154192966637062E-3</v>
      </c>
      <c r="E1278" s="82"/>
    </row>
    <row r="1279" spans="1:5" ht="14.4">
      <c r="A1279" s="68">
        <v>42670</v>
      </c>
      <c r="B1279" s="65">
        <v>55.45</v>
      </c>
      <c r="C1279" s="80">
        <v>2509713</v>
      </c>
      <c r="D1279" s="83">
        <v>9.0252707581228719E-4</v>
      </c>
      <c r="E1279" s="82"/>
    </row>
    <row r="1280" spans="1:5" ht="14.4">
      <c r="A1280" s="68">
        <v>42669</v>
      </c>
      <c r="B1280" s="65">
        <v>55.4</v>
      </c>
      <c r="C1280" s="80">
        <v>3933335</v>
      </c>
      <c r="D1280" s="83">
        <v>3.7647499531747508E-2</v>
      </c>
      <c r="E1280" s="82"/>
    </row>
    <row r="1281" spans="1:5" ht="14.4">
      <c r="A1281" s="68">
        <v>42668</v>
      </c>
      <c r="B1281" s="65">
        <v>53.39</v>
      </c>
      <c r="C1281" s="80">
        <v>3265107</v>
      </c>
      <c r="D1281" s="83">
        <v>-2.6262994710924636E-2</v>
      </c>
      <c r="E1281" s="82"/>
    </row>
    <row r="1282" spans="1:5" ht="14.4">
      <c r="A1282" s="68">
        <v>42667</v>
      </c>
      <c r="B1282" s="65">
        <v>54.83</v>
      </c>
      <c r="C1282" s="80">
        <v>1691755</v>
      </c>
      <c r="D1282" s="83">
        <v>1.0504976041282754E-2</v>
      </c>
      <c r="E1282" s="82"/>
    </row>
    <row r="1283" spans="1:5" ht="14.4">
      <c r="A1283" s="68">
        <v>42664</v>
      </c>
      <c r="B1283" s="65">
        <v>54.26</v>
      </c>
      <c r="C1283" s="80">
        <v>2059661</v>
      </c>
      <c r="D1283" s="83">
        <v>-1.8426386585601584E-4</v>
      </c>
      <c r="E1283" s="82"/>
    </row>
    <row r="1284" spans="1:5" ht="14.4">
      <c r="A1284" s="68">
        <v>42663</v>
      </c>
      <c r="B1284" s="65">
        <v>54.27</v>
      </c>
      <c r="C1284" s="80">
        <v>1944450</v>
      </c>
      <c r="D1284" s="83">
        <v>2.5863661555514117E-3</v>
      </c>
      <c r="E1284" s="82"/>
    </row>
    <row r="1285" spans="1:5" ht="14.4">
      <c r="A1285" s="68">
        <v>42662</v>
      </c>
      <c r="B1285" s="65">
        <v>54.13</v>
      </c>
      <c r="C1285" s="80">
        <v>1300353</v>
      </c>
      <c r="D1285" s="83">
        <v>9.3231400335633818E-3</v>
      </c>
      <c r="E1285" s="82"/>
    </row>
    <row r="1286" spans="1:5" ht="14.4">
      <c r="A1286" s="68">
        <v>42661</v>
      </c>
      <c r="B1286" s="65">
        <v>53.63</v>
      </c>
      <c r="C1286" s="80">
        <v>1661161</v>
      </c>
      <c r="D1286" s="83">
        <v>1.7453993549611191E-2</v>
      </c>
      <c r="E1286" s="82"/>
    </row>
    <row r="1287" spans="1:5" ht="14.4">
      <c r="A1287" s="68">
        <v>42660</v>
      </c>
      <c r="B1287" s="65">
        <v>52.71</v>
      </c>
      <c r="C1287" s="80">
        <v>1547620</v>
      </c>
      <c r="D1287" s="83">
        <v>2.0912547528517678E-3</v>
      </c>
      <c r="E1287" s="82"/>
    </row>
    <row r="1288" spans="1:5" ht="14.4">
      <c r="A1288" s="68">
        <v>42657</v>
      </c>
      <c r="B1288" s="65">
        <v>52.6</v>
      </c>
      <c r="C1288" s="80">
        <v>2349514</v>
      </c>
      <c r="D1288" s="83">
        <v>3.4338038916443825E-3</v>
      </c>
      <c r="E1288" s="82"/>
    </row>
    <row r="1289" spans="1:5" ht="14.4">
      <c r="A1289" s="68">
        <v>42656</v>
      </c>
      <c r="B1289" s="65">
        <v>52.42</v>
      </c>
      <c r="C1289" s="80">
        <v>2058276</v>
      </c>
      <c r="D1289" s="83">
        <v>-1.1432926829267887E-3</v>
      </c>
      <c r="E1289" s="82"/>
    </row>
    <row r="1290" spans="1:5" ht="14.4">
      <c r="A1290" s="68">
        <v>42655</v>
      </c>
      <c r="B1290" s="65">
        <v>52.48</v>
      </c>
      <c r="C1290" s="80">
        <v>1823512</v>
      </c>
      <c r="D1290" s="83">
        <v>-1.0371487837073423E-2</v>
      </c>
      <c r="E1290" s="82"/>
    </row>
    <row r="1291" spans="1:5" ht="14.4">
      <c r="A1291" s="68">
        <v>42654</v>
      </c>
      <c r="B1291" s="65">
        <v>53.03</v>
      </c>
      <c r="C1291" s="80">
        <v>2883787</v>
      </c>
      <c r="D1291" s="83">
        <v>-2.3927848334253543E-2</v>
      </c>
      <c r="E1291" s="82"/>
    </row>
    <row r="1292" spans="1:5" ht="14.4">
      <c r="A1292" s="68">
        <v>42653</v>
      </c>
      <c r="B1292" s="65">
        <v>54.33</v>
      </c>
      <c r="C1292" s="80">
        <v>1225772</v>
      </c>
      <c r="D1292" s="83">
        <v>9.2885008359651078E-3</v>
      </c>
      <c r="E1292" s="82"/>
    </row>
    <row r="1293" spans="1:5" ht="14.4">
      <c r="A1293" s="68">
        <v>42650</v>
      </c>
      <c r="B1293" s="65">
        <v>53.83</v>
      </c>
      <c r="C1293" s="80">
        <v>1974540</v>
      </c>
      <c r="D1293" s="83">
        <v>-1.1023332720926038E-2</v>
      </c>
      <c r="E1293" s="82"/>
    </row>
    <row r="1294" spans="1:5" ht="14.4">
      <c r="A1294" s="68">
        <v>42649</v>
      </c>
      <c r="B1294" s="65">
        <v>54.43</v>
      </c>
      <c r="C1294" s="80">
        <v>1852426</v>
      </c>
      <c r="D1294" s="83">
        <v>-1.1801016702977507E-2</v>
      </c>
      <c r="E1294" s="82"/>
    </row>
    <row r="1295" spans="1:5" ht="14.4">
      <c r="A1295" s="68">
        <v>42648</v>
      </c>
      <c r="B1295" s="65">
        <v>55.08</v>
      </c>
      <c r="C1295" s="80">
        <v>1632242</v>
      </c>
      <c r="D1295" s="83">
        <v>4.1932543299907366E-3</v>
      </c>
      <c r="E1295" s="82"/>
    </row>
    <row r="1296" spans="1:5" ht="14.4">
      <c r="A1296" s="68">
        <v>42647</v>
      </c>
      <c r="B1296" s="65">
        <v>54.85</v>
      </c>
      <c r="C1296" s="80">
        <v>1742148</v>
      </c>
      <c r="D1296" s="83">
        <v>2.0655005582433938E-2</v>
      </c>
      <c r="E1296" s="82"/>
    </row>
    <row r="1297" spans="1:5" ht="14.4">
      <c r="A1297" s="68">
        <v>42646</v>
      </c>
      <c r="B1297" s="65">
        <v>53.74</v>
      </c>
      <c r="C1297" s="80">
        <v>741270</v>
      </c>
      <c r="D1297" s="83">
        <v>-1.857355126300142E-3</v>
      </c>
      <c r="E1297" s="82"/>
    </row>
    <row r="1298" spans="1:5" ht="14.4">
      <c r="A1298" s="68">
        <v>42643</v>
      </c>
      <c r="B1298" s="65">
        <v>53.84</v>
      </c>
      <c r="C1298" s="80">
        <v>2246480</v>
      </c>
      <c r="D1298" s="83">
        <v>1.0131332082551792E-2</v>
      </c>
      <c r="E1298" s="82"/>
    </row>
    <row r="1299" spans="1:5" ht="14.4">
      <c r="A1299" s="68">
        <v>42642</v>
      </c>
      <c r="B1299" s="65">
        <v>53.3</v>
      </c>
      <c r="C1299" s="80">
        <v>1292491</v>
      </c>
      <c r="D1299" s="83">
        <v>1.1193321950293988E-2</v>
      </c>
      <c r="E1299" s="82"/>
    </row>
    <row r="1300" spans="1:5" ht="14.4">
      <c r="A1300" s="68">
        <v>42641</v>
      </c>
      <c r="B1300" s="65">
        <v>52.71</v>
      </c>
      <c r="C1300" s="80">
        <v>1549301</v>
      </c>
      <c r="D1300" s="83">
        <v>1.0932105868814768E-2</v>
      </c>
      <c r="E1300" s="82"/>
    </row>
    <row r="1301" spans="1:5" ht="14.4">
      <c r="A1301" s="68">
        <v>42640</v>
      </c>
      <c r="B1301" s="65">
        <v>52.14</v>
      </c>
      <c r="C1301" s="80">
        <v>1511661</v>
      </c>
      <c r="D1301" s="83">
        <v>-6.6679367498571063E-3</v>
      </c>
      <c r="E1301" s="82"/>
    </row>
    <row r="1302" spans="1:5" ht="14.4">
      <c r="A1302" s="68">
        <v>42639</v>
      </c>
      <c r="B1302" s="65">
        <v>52.49</v>
      </c>
      <c r="C1302" s="80">
        <v>1827168</v>
      </c>
      <c r="D1302" s="83">
        <v>-2.4530756364987916E-2</v>
      </c>
      <c r="E1302" s="82"/>
    </row>
    <row r="1303" spans="1:5" ht="14.4">
      <c r="A1303" s="68">
        <v>42636</v>
      </c>
      <c r="B1303" s="65">
        <v>53.81</v>
      </c>
      <c r="C1303" s="80">
        <v>1439977</v>
      </c>
      <c r="D1303" s="83">
        <v>1.6753536857780915E-3</v>
      </c>
      <c r="E1303" s="82"/>
    </row>
    <row r="1304" spans="1:5" ht="14.4">
      <c r="A1304" s="68">
        <v>42635</v>
      </c>
      <c r="B1304" s="65">
        <v>53.72</v>
      </c>
      <c r="C1304" s="80">
        <v>2086233</v>
      </c>
      <c r="D1304" s="83">
        <v>2.0322886989553757E-2</v>
      </c>
      <c r="E1304" s="82"/>
    </row>
    <row r="1305" spans="1:5" ht="14.4">
      <c r="A1305" s="68">
        <v>42634</v>
      </c>
      <c r="B1305" s="65">
        <v>52.65</v>
      </c>
      <c r="C1305" s="80">
        <v>1193493</v>
      </c>
      <c r="D1305" s="83">
        <v>3.4305317324185847E-3</v>
      </c>
      <c r="E1305" s="82"/>
    </row>
    <row r="1306" spans="1:5" ht="14.4">
      <c r="A1306" s="68">
        <v>42633</v>
      </c>
      <c r="B1306" s="65">
        <v>52.47</v>
      </c>
      <c r="C1306" s="80">
        <v>1118211</v>
      </c>
      <c r="D1306" s="83">
        <v>-6.6262779250284565E-3</v>
      </c>
      <c r="E1306" s="82"/>
    </row>
    <row r="1307" spans="1:5" ht="14.4">
      <c r="A1307" s="68">
        <v>42632</v>
      </c>
      <c r="B1307" s="65">
        <v>52.82</v>
      </c>
      <c r="C1307" s="80">
        <v>1677182</v>
      </c>
      <c r="D1307" s="83">
        <v>4.564473183719997E-3</v>
      </c>
      <c r="E1307" s="82"/>
    </row>
    <row r="1308" spans="1:5" ht="14.4">
      <c r="A1308" s="68">
        <v>42629</v>
      </c>
      <c r="B1308" s="65">
        <v>52.58</v>
      </c>
      <c r="C1308" s="80">
        <v>4023510</v>
      </c>
      <c r="D1308" s="83">
        <v>-4.3552357508048756E-3</v>
      </c>
      <c r="E1308" s="82"/>
    </row>
    <row r="1309" spans="1:5" ht="14.4">
      <c r="A1309" s="68">
        <v>42628</v>
      </c>
      <c r="B1309" s="65">
        <v>52.81</v>
      </c>
      <c r="C1309" s="80">
        <v>2259516</v>
      </c>
      <c r="D1309" s="83">
        <v>-4.711647191858237E-3</v>
      </c>
      <c r="E1309" s="82"/>
    </row>
    <row r="1310" spans="1:5" ht="14.4">
      <c r="A1310" s="68">
        <v>42627</v>
      </c>
      <c r="B1310" s="65">
        <v>53.06</v>
      </c>
      <c r="C1310" s="80">
        <v>2050740</v>
      </c>
      <c r="D1310" s="83">
        <v>-1.4121144555927168E-2</v>
      </c>
      <c r="E1310" s="82"/>
    </row>
    <row r="1311" spans="1:5" ht="14.4">
      <c r="A1311" s="68">
        <v>42626</v>
      </c>
      <c r="B1311" s="65">
        <v>53.82</v>
      </c>
      <c r="C1311" s="80">
        <v>1550369</v>
      </c>
      <c r="D1311" s="83">
        <v>-1.2477064220183465E-2</v>
      </c>
      <c r="E1311" s="82"/>
    </row>
    <row r="1312" spans="1:5" ht="14.4">
      <c r="A1312" s="68">
        <v>42625</v>
      </c>
      <c r="B1312" s="65">
        <v>54.5</v>
      </c>
      <c r="C1312" s="80">
        <v>2296790</v>
      </c>
      <c r="D1312" s="83">
        <v>-2.0312780873629421E-2</v>
      </c>
      <c r="E1312" s="82"/>
    </row>
    <row r="1313" spans="1:5" ht="14.4">
      <c r="A1313" s="68">
        <v>42622</v>
      </c>
      <c r="B1313" s="65">
        <v>55.63</v>
      </c>
      <c r="C1313" s="80">
        <v>2329269</v>
      </c>
      <c r="D1313" s="83">
        <v>2.3423423423423184E-3</v>
      </c>
      <c r="E1313" s="82"/>
    </row>
    <row r="1314" spans="1:5" ht="14.4">
      <c r="A1314" s="68">
        <v>42621</v>
      </c>
      <c r="B1314" s="65">
        <v>55.5</v>
      </c>
      <c r="C1314" s="80">
        <v>2850333</v>
      </c>
      <c r="D1314" s="83">
        <v>1.3698630136986356E-2</v>
      </c>
      <c r="E1314" s="82"/>
    </row>
    <row r="1315" spans="1:5" ht="14.4">
      <c r="A1315" s="68">
        <v>42620</v>
      </c>
      <c r="B1315" s="65">
        <v>54.75</v>
      </c>
      <c r="C1315" s="80">
        <v>1697911</v>
      </c>
      <c r="D1315" s="83">
        <v>6.4338235294116863E-3</v>
      </c>
      <c r="E1315" s="82"/>
    </row>
    <row r="1316" spans="1:5" ht="14.4">
      <c r="A1316" s="68">
        <v>42619</v>
      </c>
      <c r="B1316" s="65">
        <v>54.4</v>
      </c>
      <c r="C1316" s="80">
        <v>2197597</v>
      </c>
      <c r="D1316" s="83">
        <v>1.0025993316004511E-2</v>
      </c>
      <c r="E1316" s="82"/>
    </row>
    <row r="1317" spans="1:5" ht="14.4">
      <c r="A1317" s="68">
        <v>42618</v>
      </c>
      <c r="B1317" s="65">
        <v>53.86</v>
      </c>
      <c r="C1317" s="80">
        <v>1468401</v>
      </c>
      <c r="D1317" s="83">
        <v>1.2596352697875624E-2</v>
      </c>
      <c r="E1317" s="82"/>
    </row>
    <row r="1318" spans="1:5" ht="14.4">
      <c r="A1318" s="68">
        <v>42615</v>
      </c>
      <c r="B1318" s="65">
        <v>53.19</v>
      </c>
      <c r="C1318" s="80">
        <v>1845849</v>
      </c>
      <c r="D1318" s="83">
        <v>2.5843780135004657E-2</v>
      </c>
      <c r="E1318" s="82"/>
    </row>
    <row r="1319" spans="1:5" ht="14.4">
      <c r="A1319" s="68">
        <v>42614</v>
      </c>
      <c r="B1319" s="65">
        <v>51.85</v>
      </c>
      <c r="C1319" s="80">
        <v>1609600</v>
      </c>
      <c r="D1319" s="83">
        <v>-8.4146108242493245E-3</v>
      </c>
      <c r="E1319" s="82"/>
    </row>
    <row r="1320" spans="1:5" ht="14.4">
      <c r="A1320" s="68">
        <v>42613</v>
      </c>
      <c r="B1320" s="65">
        <v>52.29</v>
      </c>
      <c r="C1320" s="80">
        <v>2233225</v>
      </c>
      <c r="D1320" s="83">
        <v>1.6524105754276874E-2</v>
      </c>
      <c r="E1320" s="82"/>
    </row>
    <row r="1321" spans="1:5" ht="14.4">
      <c r="A1321" s="68">
        <v>42612</v>
      </c>
      <c r="B1321" s="65">
        <v>51.44</v>
      </c>
      <c r="C1321" s="80">
        <v>1506347</v>
      </c>
      <c r="D1321" s="83">
        <v>2.7290448343080254E-3</v>
      </c>
      <c r="E1321" s="82"/>
    </row>
    <row r="1322" spans="1:5" ht="14.4">
      <c r="A1322" s="68">
        <v>42611</v>
      </c>
      <c r="B1322" s="65">
        <v>51.3</v>
      </c>
      <c r="C1322" s="80">
        <v>895224</v>
      </c>
      <c r="D1322" s="83">
        <v>5.0940438871474036E-3</v>
      </c>
      <c r="E1322" s="82"/>
    </row>
    <row r="1323" spans="1:5" ht="14.4">
      <c r="A1323" s="68">
        <v>42608</v>
      </c>
      <c r="B1323" s="65">
        <v>51.04</v>
      </c>
      <c r="C1323" s="80">
        <v>1133912</v>
      </c>
      <c r="D1323" s="83">
        <v>9.6933728981207778E-3</v>
      </c>
      <c r="E1323" s="82"/>
    </row>
    <row r="1324" spans="1:5" ht="14.4">
      <c r="A1324" s="68">
        <v>42607</v>
      </c>
      <c r="B1324" s="65">
        <v>50.55</v>
      </c>
      <c r="C1324" s="80">
        <v>1168283</v>
      </c>
      <c r="D1324" s="83">
        <v>-1.2888107791447001E-2</v>
      </c>
      <c r="E1324" s="82"/>
    </row>
    <row r="1325" spans="1:5" ht="14.4">
      <c r="A1325" s="68">
        <v>42606</v>
      </c>
      <c r="B1325" s="65">
        <v>51.21</v>
      </c>
      <c r="C1325" s="80">
        <v>1250402</v>
      </c>
      <c r="D1325" s="83">
        <v>1.2055335968379488E-2</v>
      </c>
      <c r="E1325" s="82"/>
    </row>
    <row r="1326" spans="1:5" ht="14.4">
      <c r="A1326" s="68">
        <v>42605</v>
      </c>
      <c r="B1326" s="65">
        <v>50.6</v>
      </c>
      <c r="C1326" s="80">
        <v>1389824</v>
      </c>
      <c r="D1326" s="83">
        <v>1.2506253126563172E-2</v>
      </c>
      <c r="E1326" s="82"/>
    </row>
    <row r="1327" spans="1:5" ht="14.4">
      <c r="A1327" s="68">
        <v>42604</v>
      </c>
      <c r="B1327" s="65">
        <v>49.975000000000001</v>
      </c>
      <c r="C1327" s="80">
        <v>1701962</v>
      </c>
      <c r="D1327" s="83">
        <v>2.3064580826313019E-3</v>
      </c>
      <c r="E1327" s="82"/>
    </row>
    <row r="1328" spans="1:5" ht="14.4">
      <c r="A1328" s="68">
        <v>42601</v>
      </c>
      <c r="B1328" s="65">
        <v>49.86</v>
      </c>
      <c r="C1328" s="80">
        <v>1913687</v>
      </c>
      <c r="D1328" s="83">
        <v>-2.8000000000000247E-3</v>
      </c>
      <c r="E1328" s="82"/>
    </row>
    <row r="1329" spans="1:5" ht="14.4">
      <c r="A1329" s="68">
        <v>42600</v>
      </c>
      <c r="B1329" s="65">
        <v>50</v>
      </c>
      <c r="C1329" s="80">
        <v>2297949</v>
      </c>
      <c r="D1329" s="83">
        <v>-1.3612152298283609E-2</v>
      </c>
      <c r="E1329" s="82"/>
    </row>
    <row r="1330" spans="1:5" ht="14.4">
      <c r="A1330" s="68">
        <v>42599</v>
      </c>
      <c r="B1330" s="65">
        <v>50.69</v>
      </c>
      <c r="C1330" s="80">
        <v>1436602</v>
      </c>
      <c r="D1330" s="83">
        <v>-1.5536997475237957E-2</v>
      </c>
      <c r="E1330" s="82"/>
    </row>
    <row r="1331" spans="1:5" ht="14.4">
      <c r="A1331" s="68">
        <v>42598</v>
      </c>
      <c r="B1331" s="65">
        <v>51.49</v>
      </c>
      <c r="C1331" s="80">
        <v>1699009</v>
      </c>
      <c r="D1331" s="83">
        <v>-1.5110941086457497E-2</v>
      </c>
      <c r="E1331" s="82"/>
    </row>
    <row r="1332" spans="1:5" ht="14.4">
      <c r="A1332" s="68">
        <v>42597</v>
      </c>
      <c r="B1332" s="65">
        <v>52.28</v>
      </c>
      <c r="C1332" s="80">
        <v>914110</v>
      </c>
      <c r="D1332" s="83">
        <v>4.8049202383240175E-3</v>
      </c>
      <c r="E1332" s="82"/>
    </row>
    <row r="1333" spans="1:5" ht="14.4">
      <c r="A1333" s="68">
        <v>42594</v>
      </c>
      <c r="B1333" s="65">
        <v>52.03</v>
      </c>
      <c r="C1333" s="80">
        <v>1103502</v>
      </c>
      <c r="D1333" s="83">
        <v>3.6651234567901536E-3</v>
      </c>
      <c r="E1333" s="82"/>
    </row>
    <row r="1334" spans="1:5" ht="14.4">
      <c r="A1334" s="68">
        <v>42593</v>
      </c>
      <c r="B1334" s="65">
        <v>51.84</v>
      </c>
      <c r="C1334" s="80">
        <v>1289892</v>
      </c>
      <c r="D1334" s="83">
        <v>1.2499999999999956E-2</v>
      </c>
      <c r="E1334" s="82"/>
    </row>
    <row r="1335" spans="1:5" ht="14.4">
      <c r="A1335" s="68">
        <v>42592</v>
      </c>
      <c r="B1335" s="65">
        <v>51.2</v>
      </c>
      <c r="C1335" s="80">
        <v>1280319</v>
      </c>
      <c r="D1335" s="83">
        <v>1.9569471624265589E-3</v>
      </c>
      <c r="E1335" s="82"/>
    </row>
    <row r="1336" spans="1:5" ht="14.4">
      <c r="A1336" s="68">
        <v>42591</v>
      </c>
      <c r="B1336" s="65">
        <v>51.1</v>
      </c>
      <c r="C1336" s="80">
        <v>2085484</v>
      </c>
      <c r="D1336" s="83">
        <v>1.5097338100913849E-2</v>
      </c>
      <c r="E1336" s="82"/>
    </row>
    <row r="1337" spans="1:5" ht="14.4">
      <c r="A1337" s="68">
        <v>42590</v>
      </c>
      <c r="B1337" s="65">
        <v>50.34</v>
      </c>
      <c r="C1337" s="80">
        <v>1460112</v>
      </c>
      <c r="D1337" s="83">
        <v>-1.2941176470588123E-2</v>
      </c>
      <c r="E1337" s="82"/>
    </row>
    <row r="1338" spans="1:5" ht="14.4">
      <c r="A1338" s="68">
        <v>42587</v>
      </c>
      <c r="B1338" s="65">
        <v>51</v>
      </c>
      <c r="C1338" s="80">
        <v>1863512</v>
      </c>
      <c r="D1338" s="83">
        <v>7.905138339920903E-3</v>
      </c>
      <c r="E1338" s="82"/>
    </row>
    <row r="1339" spans="1:5" ht="14.4">
      <c r="A1339" s="68">
        <v>42586</v>
      </c>
      <c r="B1339" s="65">
        <v>50.6</v>
      </c>
      <c r="C1339" s="80">
        <v>1294118</v>
      </c>
      <c r="D1339" s="83">
        <v>2.7744748315496892E-3</v>
      </c>
      <c r="E1339" s="82"/>
    </row>
    <row r="1340" spans="1:5" ht="14.4">
      <c r="A1340" s="68">
        <v>42585</v>
      </c>
      <c r="B1340" s="65">
        <v>50.46</v>
      </c>
      <c r="C1340" s="80">
        <v>2070505</v>
      </c>
      <c r="D1340" s="83">
        <v>-1.5606710885680775E-2</v>
      </c>
      <c r="E1340" s="82"/>
    </row>
    <row r="1341" spans="1:5" ht="14.4">
      <c r="A1341" s="68">
        <v>42584</v>
      </c>
      <c r="B1341" s="65">
        <v>51.26</v>
      </c>
      <c r="C1341" s="80">
        <v>1452157</v>
      </c>
      <c r="D1341" s="83">
        <v>-1.8947368421052713E-2</v>
      </c>
      <c r="E1341" s="82"/>
    </row>
    <row r="1342" spans="1:5" ht="14.4">
      <c r="A1342" s="68">
        <v>42583</v>
      </c>
      <c r="B1342" s="65">
        <v>52.25</v>
      </c>
      <c r="C1342" s="80">
        <v>1478246</v>
      </c>
      <c r="D1342" s="83">
        <v>-7.2202166064982976E-3</v>
      </c>
      <c r="E1342" s="82"/>
    </row>
    <row r="1343" spans="1:5" ht="14.4">
      <c r="A1343" s="68">
        <v>42580</v>
      </c>
      <c r="B1343" s="65">
        <v>52.63</v>
      </c>
      <c r="C1343" s="80">
        <v>2116271</v>
      </c>
      <c r="D1343" s="83">
        <v>-1.7547134590255697E-2</v>
      </c>
      <c r="E1343" s="82"/>
    </row>
    <row r="1344" spans="1:5" ht="14.4">
      <c r="A1344" s="68">
        <v>42579</v>
      </c>
      <c r="B1344" s="65">
        <v>53.57</v>
      </c>
      <c r="C1344" s="80">
        <v>2170833</v>
      </c>
      <c r="D1344" s="83">
        <v>-7.9629629629629495E-3</v>
      </c>
      <c r="E1344" s="82"/>
    </row>
    <row r="1345" spans="1:5" ht="14.4">
      <c r="A1345" s="68">
        <v>42578</v>
      </c>
      <c r="B1345" s="65">
        <v>54</v>
      </c>
      <c r="C1345" s="80">
        <v>3331492</v>
      </c>
      <c r="D1345" s="83">
        <v>4.4487427466150864E-2</v>
      </c>
      <c r="E1345" s="82"/>
    </row>
    <row r="1346" spans="1:5" ht="14.4">
      <c r="A1346" s="68">
        <v>42577</v>
      </c>
      <c r="B1346" s="65">
        <v>51.7</v>
      </c>
      <c r="C1346" s="80">
        <v>1786257</v>
      </c>
      <c r="D1346" s="83">
        <v>1.2137823022709604E-2</v>
      </c>
      <c r="E1346" s="82"/>
    </row>
    <row r="1347" spans="1:5" ht="14.4">
      <c r="A1347" s="68">
        <v>42576</v>
      </c>
      <c r="B1347" s="65">
        <v>51.08</v>
      </c>
      <c r="C1347" s="80">
        <v>2164103</v>
      </c>
      <c r="D1347" s="83">
        <v>-6.225680933852118E-3</v>
      </c>
      <c r="E1347" s="82"/>
    </row>
    <row r="1348" spans="1:5" ht="14.4">
      <c r="A1348" s="68">
        <v>42573</v>
      </c>
      <c r="B1348" s="65">
        <v>51.4</v>
      </c>
      <c r="C1348" s="80">
        <v>2067414</v>
      </c>
      <c r="D1348" s="83">
        <v>-1.1728513747356284E-2</v>
      </c>
      <c r="E1348" s="82"/>
    </row>
    <row r="1349" spans="1:5" ht="14.4">
      <c r="A1349" s="68">
        <v>42572</v>
      </c>
      <c r="B1349" s="65">
        <v>52.01</v>
      </c>
      <c r="C1349" s="80">
        <v>1679837</v>
      </c>
      <c r="D1349" s="83">
        <v>-1.719576719576732E-2</v>
      </c>
      <c r="E1349" s="82"/>
    </row>
    <row r="1350" spans="1:5" ht="14.4">
      <c r="A1350" s="68">
        <v>42571</v>
      </c>
      <c r="B1350" s="65">
        <v>52.92</v>
      </c>
      <c r="C1350" s="80">
        <v>1586046</v>
      </c>
      <c r="D1350" s="83">
        <v>1.243543141381287E-2</v>
      </c>
      <c r="E1350" s="82"/>
    </row>
    <row r="1351" spans="1:5" ht="14.4">
      <c r="A1351" s="68">
        <v>42570</v>
      </c>
      <c r="B1351" s="65">
        <v>52.27</v>
      </c>
      <c r="C1351" s="80">
        <v>1426851</v>
      </c>
      <c r="D1351" s="83">
        <v>1.340996168582409E-3</v>
      </c>
      <c r="E1351" s="82"/>
    </row>
    <row r="1352" spans="1:5" ht="14.4">
      <c r="A1352" s="68">
        <v>42569</v>
      </c>
      <c r="B1352" s="65">
        <v>52.2</v>
      </c>
      <c r="C1352" s="80">
        <v>1278447</v>
      </c>
      <c r="D1352" s="83">
        <v>-7.7931952100360746E-3</v>
      </c>
      <c r="E1352" s="82"/>
    </row>
    <row r="1353" spans="1:5" ht="14.4">
      <c r="A1353" s="68">
        <v>42566</v>
      </c>
      <c r="B1353" s="65">
        <v>52.61</v>
      </c>
      <c r="C1353" s="80">
        <v>1678197</v>
      </c>
      <c r="D1353" s="83">
        <v>-1.4424878231547478E-2</v>
      </c>
      <c r="E1353" s="82"/>
    </row>
    <row r="1354" spans="1:5" ht="14.4">
      <c r="A1354" s="68">
        <v>42565</v>
      </c>
      <c r="B1354" s="65">
        <v>53.38</v>
      </c>
      <c r="C1354" s="80">
        <v>2183315</v>
      </c>
      <c r="D1354" s="83">
        <v>4.8945783132530174E-3</v>
      </c>
      <c r="E1354" s="82"/>
    </row>
    <row r="1355" spans="1:5" ht="14.4">
      <c r="A1355" s="68">
        <v>42564</v>
      </c>
      <c r="B1355" s="65">
        <v>53.12</v>
      </c>
      <c r="C1355" s="80">
        <v>3390070</v>
      </c>
      <c r="D1355" s="83">
        <v>1.7429611185596494E-2</v>
      </c>
      <c r="E1355" s="82"/>
    </row>
    <row r="1356" spans="1:5" ht="14.4">
      <c r="A1356" s="68">
        <v>42563</v>
      </c>
      <c r="B1356" s="65">
        <v>52.21</v>
      </c>
      <c r="C1356" s="80">
        <v>2989003</v>
      </c>
      <c r="D1356" s="83">
        <v>4.0039840637450252E-2</v>
      </c>
      <c r="E1356" s="82"/>
    </row>
    <row r="1357" spans="1:5" ht="14.4">
      <c r="A1357" s="68">
        <v>42562</v>
      </c>
      <c r="B1357" s="65">
        <v>50.2</v>
      </c>
      <c r="C1357" s="80">
        <v>2919840</v>
      </c>
      <c r="D1357" s="83">
        <v>2.3862941056496112E-2</v>
      </c>
      <c r="E1357" s="82"/>
    </row>
    <row r="1358" spans="1:5" ht="14.4">
      <c r="A1358" s="68">
        <v>42559</v>
      </c>
      <c r="B1358" s="65">
        <v>49.03</v>
      </c>
      <c r="C1358" s="80">
        <v>2531678</v>
      </c>
      <c r="D1358" s="83">
        <v>-4.0774719673797311E-4</v>
      </c>
      <c r="E1358" s="82"/>
    </row>
    <row r="1359" spans="1:5" ht="14.4">
      <c r="A1359" s="68">
        <v>42558</v>
      </c>
      <c r="B1359" s="65">
        <v>49.05</v>
      </c>
      <c r="C1359" s="80">
        <v>1788051</v>
      </c>
      <c r="D1359" s="83">
        <v>1.1966164637920329E-2</v>
      </c>
      <c r="E1359" s="82"/>
    </row>
    <row r="1360" spans="1:5" ht="14.4">
      <c r="A1360" s="68">
        <v>42557</v>
      </c>
      <c r="B1360" s="65">
        <v>48.47</v>
      </c>
      <c r="C1360" s="80">
        <v>2939821</v>
      </c>
      <c r="D1360" s="83">
        <v>-2.6120152702431287E-2</v>
      </c>
      <c r="E1360" s="82"/>
    </row>
    <row r="1361" spans="1:5" ht="14.4">
      <c r="A1361" s="68">
        <v>42556</v>
      </c>
      <c r="B1361" s="65">
        <v>49.77</v>
      </c>
      <c r="C1361" s="80">
        <v>2563251</v>
      </c>
      <c r="D1361" s="83">
        <v>-2.9635406511990592E-2</v>
      </c>
      <c r="E1361" s="82"/>
    </row>
    <row r="1362" spans="1:5" ht="14.4">
      <c r="A1362" s="68">
        <v>42555</v>
      </c>
      <c r="B1362" s="65">
        <v>51.29</v>
      </c>
      <c r="C1362" s="80">
        <v>983116</v>
      </c>
      <c r="D1362" s="83">
        <v>-3.6907536907536675E-3</v>
      </c>
      <c r="E1362" s="82"/>
    </row>
    <row r="1363" spans="1:5" ht="14.4">
      <c r="A1363" s="68">
        <v>42552</v>
      </c>
      <c r="B1363" s="65">
        <v>51.48</v>
      </c>
      <c r="C1363" s="80">
        <v>1833698</v>
      </c>
      <c r="D1363" s="83">
        <v>-4.8327856176300088E-3</v>
      </c>
      <c r="E1363" s="82"/>
    </row>
    <row r="1364" spans="1:5" ht="14.4">
      <c r="A1364" s="68">
        <v>42551</v>
      </c>
      <c r="B1364" s="65">
        <v>51.73</v>
      </c>
      <c r="C1364" s="80">
        <v>2815103</v>
      </c>
      <c r="D1364" s="83">
        <v>-3.8513383400732293E-3</v>
      </c>
      <c r="E1364" s="82"/>
    </row>
    <row r="1365" spans="1:5" ht="14.4">
      <c r="A1365" s="68">
        <v>42550</v>
      </c>
      <c r="B1365" s="65">
        <v>51.93</v>
      </c>
      <c r="C1365" s="80">
        <v>2129924</v>
      </c>
      <c r="D1365" s="83">
        <v>1.6043827039718295E-2</v>
      </c>
      <c r="E1365" s="82"/>
    </row>
    <row r="1366" spans="1:5" ht="14.4">
      <c r="A1366" s="68">
        <v>42549</v>
      </c>
      <c r="B1366" s="65">
        <v>51.11</v>
      </c>
      <c r="C1366" s="80">
        <v>2481580</v>
      </c>
      <c r="D1366" s="83">
        <v>2.3838141025640969E-2</v>
      </c>
      <c r="E1366" s="82"/>
    </row>
    <row r="1367" spans="1:5" ht="14.4">
      <c r="A1367" s="68">
        <v>42548</v>
      </c>
      <c r="B1367" s="65">
        <v>49.92</v>
      </c>
      <c r="C1367" s="80">
        <v>4755583</v>
      </c>
      <c r="D1367" s="83">
        <v>-4.2026482440990165E-2</v>
      </c>
      <c r="E1367" s="82"/>
    </row>
    <row r="1368" spans="1:5" ht="14.4">
      <c r="A1368" s="68">
        <v>42545</v>
      </c>
      <c r="B1368" s="65">
        <v>52.11</v>
      </c>
      <c r="C1368" s="80">
        <v>7026939</v>
      </c>
      <c r="D1368" s="83">
        <v>-6.1588330632090793E-2</v>
      </c>
      <c r="E1368" s="82"/>
    </row>
    <row r="1369" spans="1:5" ht="14.4">
      <c r="A1369" s="68">
        <v>42544</v>
      </c>
      <c r="B1369" s="65">
        <v>55.53</v>
      </c>
      <c r="C1369" s="80">
        <v>2358776</v>
      </c>
      <c r="D1369" s="83">
        <v>1.983471074380172E-2</v>
      </c>
      <c r="E1369" s="82"/>
    </row>
    <row r="1370" spans="1:5" ht="14.4">
      <c r="A1370" s="68">
        <v>42543</v>
      </c>
      <c r="B1370" s="65">
        <v>54.45</v>
      </c>
      <c r="C1370" s="80">
        <v>1837873</v>
      </c>
      <c r="D1370" s="83">
        <v>1.6556291390728006E-3</v>
      </c>
      <c r="E1370" s="82"/>
    </row>
    <row r="1371" spans="1:5" ht="14.4">
      <c r="A1371" s="68">
        <v>42542</v>
      </c>
      <c r="B1371" s="65">
        <v>54.36</v>
      </c>
      <c r="C1371" s="80">
        <v>2292739</v>
      </c>
      <c r="D1371" s="83">
        <v>1.9696117051209772E-2</v>
      </c>
      <c r="E1371" s="82"/>
    </row>
    <row r="1372" spans="1:5" ht="14.4">
      <c r="A1372" s="68">
        <v>42541</v>
      </c>
      <c r="B1372" s="65">
        <v>53.31</v>
      </c>
      <c r="C1372" s="80">
        <v>2534731</v>
      </c>
      <c r="D1372" s="83">
        <v>4.8790084595711214E-2</v>
      </c>
      <c r="E1372" s="82"/>
    </row>
    <row r="1373" spans="1:5" ht="14.4">
      <c r="A1373" s="68">
        <v>42538</v>
      </c>
      <c r="B1373" s="65">
        <v>50.83</v>
      </c>
      <c r="C1373" s="80">
        <v>4071643</v>
      </c>
      <c r="D1373" s="83">
        <v>6.7340067340067034E-3</v>
      </c>
      <c r="E1373" s="82"/>
    </row>
    <row r="1374" spans="1:5" ht="14.4">
      <c r="A1374" s="68">
        <v>42537</v>
      </c>
      <c r="B1374" s="65">
        <v>50.49</v>
      </c>
      <c r="C1374" s="80">
        <v>3211773</v>
      </c>
      <c r="D1374" s="83">
        <v>-2.2837236307335029E-2</v>
      </c>
      <c r="E1374" s="82"/>
    </row>
    <row r="1375" spans="1:5" ht="14.4">
      <c r="A1375" s="68">
        <v>42536</v>
      </c>
      <c r="B1375" s="65">
        <v>51.67</v>
      </c>
      <c r="C1375" s="80">
        <v>2586441</v>
      </c>
      <c r="D1375" s="83">
        <v>1.3534719497842351E-2</v>
      </c>
      <c r="E1375" s="82"/>
    </row>
    <row r="1376" spans="1:5" ht="14.4">
      <c r="A1376" s="68">
        <v>42535</v>
      </c>
      <c r="B1376" s="65">
        <v>50.98</v>
      </c>
      <c r="C1376" s="80">
        <v>3260958</v>
      </c>
      <c r="D1376" s="83">
        <v>-5.6563292373709162E-3</v>
      </c>
      <c r="E1376" s="82"/>
    </row>
    <row r="1377" spans="1:5" ht="14.4">
      <c r="A1377" s="68">
        <v>42534</v>
      </c>
      <c r="B1377" s="65">
        <v>51.27</v>
      </c>
      <c r="C1377" s="80">
        <v>2349084</v>
      </c>
      <c r="D1377" s="83">
        <v>-2.6395746296999478E-2</v>
      </c>
      <c r="E1377" s="82"/>
    </row>
    <row r="1378" spans="1:5" ht="14.4">
      <c r="A1378" s="68">
        <v>42531</v>
      </c>
      <c r="B1378" s="65">
        <v>52.66</v>
      </c>
      <c r="C1378" s="80">
        <v>2330848</v>
      </c>
      <c r="D1378" s="83">
        <v>-1.3857677902621712E-2</v>
      </c>
      <c r="E1378" s="82"/>
    </row>
    <row r="1379" spans="1:5" ht="14.4">
      <c r="A1379" s="68">
        <v>42530</v>
      </c>
      <c r="B1379" s="65">
        <v>53.4</v>
      </c>
      <c r="C1379" s="80">
        <v>1470865</v>
      </c>
      <c r="D1379" s="83">
        <v>-3.9171796306659568E-3</v>
      </c>
      <c r="E1379" s="82"/>
    </row>
    <row r="1380" spans="1:5" ht="14.4">
      <c r="A1380" s="68">
        <v>42529</v>
      </c>
      <c r="B1380" s="65">
        <v>53.61</v>
      </c>
      <c r="C1380" s="80">
        <v>1777107</v>
      </c>
      <c r="D1380" s="83">
        <v>1.868809568305041E-3</v>
      </c>
      <c r="E1380" s="82"/>
    </row>
    <row r="1381" spans="1:5" ht="14.4">
      <c r="A1381" s="68">
        <v>42528</v>
      </c>
      <c r="B1381" s="65">
        <v>53.51</v>
      </c>
      <c r="C1381" s="80">
        <v>1628597</v>
      </c>
      <c r="D1381" s="83">
        <v>9.0514802941730199E-3</v>
      </c>
      <c r="E1381" s="82"/>
    </row>
    <row r="1382" spans="1:5" ht="14.4">
      <c r="A1382" s="68">
        <v>42527</v>
      </c>
      <c r="B1382" s="65">
        <v>53.03</v>
      </c>
      <c r="C1382" s="80">
        <v>1378597</v>
      </c>
      <c r="D1382" s="83">
        <v>-5.9981255857544102E-3</v>
      </c>
      <c r="E1382" s="82"/>
    </row>
    <row r="1383" spans="1:5" ht="14.4">
      <c r="A1383" s="68">
        <v>42524</v>
      </c>
      <c r="B1383" s="65">
        <v>53.35</v>
      </c>
      <c r="C1383" s="80">
        <v>3892697</v>
      </c>
      <c r="D1383" s="83">
        <v>-3.5262206148282016E-2</v>
      </c>
      <c r="E1383" s="82"/>
    </row>
    <row r="1384" spans="1:5" ht="14.4">
      <c r="A1384" s="68">
        <v>42523</v>
      </c>
      <c r="B1384" s="65">
        <v>55.3</v>
      </c>
      <c r="C1384" s="80">
        <v>1708528</v>
      </c>
      <c r="D1384" s="83">
        <v>-1.1440829460135915E-2</v>
      </c>
      <c r="E1384" s="82"/>
    </row>
    <row r="1385" spans="1:5" ht="14.4">
      <c r="A1385" s="68">
        <v>42522</v>
      </c>
      <c r="B1385" s="65">
        <v>55.94</v>
      </c>
      <c r="C1385" s="80">
        <v>1470447</v>
      </c>
      <c r="D1385" s="83">
        <v>-1.428061406640535E-3</v>
      </c>
      <c r="E1385" s="82"/>
    </row>
    <row r="1386" spans="1:5" ht="14.4">
      <c r="A1386" s="68">
        <v>42521</v>
      </c>
      <c r="B1386" s="65">
        <v>56.02</v>
      </c>
      <c r="C1386" s="80">
        <v>1713844</v>
      </c>
      <c r="D1386" s="83">
        <v>-4.9733570159856688E-3</v>
      </c>
      <c r="E1386" s="82"/>
    </row>
    <row r="1387" spans="1:5" ht="14.4">
      <c r="A1387" s="68">
        <v>42520</v>
      </c>
      <c r="B1387" s="65">
        <v>56.3</v>
      </c>
      <c r="C1387" s="80">
        <v>806003</v>
      </c>
      <c r="D1387" s="83">
        <v>4.9982149232414841E-3</v>
      </c>
      <c r="E1387" s="82"/>
    </row>
    <row r="1388" spans="1:5" ht="14.4">
      <c r="A1388" s="68">
        <v>42517</v>
      </c>
      <c r="B1388" s="65">
        <v>56.02</v>
      </c>
      <c r="C1388" s="80">
        <v>1239938</v>
      </c>
      <c r="D1388" s="83">
        <v>3.5714285714294469E-4</v>
      </c>
      <c r="E1388" s="82"/>
    </row>
    <row r="1389" spans="1:5" ht="14.4">
      <c r="A1389" s="68">
        <v>42516</v>
      </c>
      <c r="B1389" s="65">
        <v>56</v>
      </c>
      <c r="C1389" s="80">
        <v>1435141</v>
      </c>
      <c r="D1389" s="83">
        <v>-1.2484394506866447E-3</v>
      </c>
      <c r="E1389" s="82"/>
    </row>
    <row r="1390" spans="1:5" ht="14.4">
      <c r="A1390" s="68">
        <v>42515</v>
      </c>
      <c r="B1390" s="65">
        <v>56.07</v>
      </c>
      <c r="C1390" s="80">
        <v>1946781</v>
      </c>
      <c r="D1390" s="83">
        <v>1.2499999999999734E-3</v>
      </c>
      <c r="E1390" s="82"/>
    </row>
    <row r="1391" spans="1:5" ht="14.4">
      <c r="A1391" s="68">
        <v>42514</v>
      </c>
      <c r="B1391" s="65">
        <v>56</v>
      </c>
      <c r="C1391" s="80">
        <v>2559628</v>
      </c>
      <c r="D1391" s="83">
        <v>2.6769343601026785E-2</v>
      </c>
      <c r="E1391" s="82"/>
    </row>
    <row r="1392" spans="1:5" ht="14.4">
      <c r="A1392" s="68">
        <v>42513</v>
      </c>
      <c r="B1392" s="65">
        <v>54.54</v>
      </c>
      <c r="C1392" s="80">
        <v>2033661</v>
      </c>
      <c r="D1392" s="83">
        <v>2.3892666789193662E-3</v>
      </c>
      <c r="E1392" s="82"/>
    </row>
    <row r="1393" spans="1:5" ht="14.4">
      <c r="A1393" s="68">
        <v>42510</v>
      </c>
      <c r="B1393" s="65">
        <v>54.41</v>
      </c>
      <c r="C1393" s="80">
        <v>2114660</v>
      </c>
      <c r="D1393" s="83">
        <v>2.0251265704106514E-2</v>
      </c>
      <c r="E1393" s="82"/>
    </row>
    <row r="1394" spans="1:5" ht="14.4">
      <c r="A1394" s="68">
        <v>42509</v>
      </c>
      <c r="B1394" s="65">
        <v>53.33</v>
      </c>
      <c r="C1394" s="80">
        <v>2300482</v>
      </c>
      <c r="D1394" s="83">
        <v>2.2552151851156221E-3</v>
      </c>
      <c r="E1394" s="82"/>
    </row>
    <row r="1395" spans="1:5" ht="14.4">
      <c r="A1395" s="68">
        <v>42508</v>
      </c>
      <c r="B1395" s="65">
        <v>53.21</v>
      </c>
      <c r="C1395" s="80">
        <v>3008699</v>
      </c>
      <c r="D1395" s="83">
        <v>-1.7903285345145736E-2</v>
      </c>
      <c r="E1395" s="82"/>
    </row>
    <row r="1396" spans="1:5" ht="14.4">
      <c r="A1396" s="68">
        <v>42507</v>
      </c>
      <c r="B1396" s="65">
        <v>54.18</v>
      </c>
      <c r="C1396" s="80">
        <v>1854799</v>
      </c>
      <c r="D1396" s="83">
        <v>-1.2575177692728201E-2</v>
      </c>
      <c r="E1396" s="82"/>
    </row>
    <row r="1397" spans="1:5" ht="14.4">
      <c r="A1397" s="68">
        <v>42506</v>
      </c>
      <c r="B1397" s="65">
        <v>54.87</v>
      </c>
      <c r="C1397" s="80">
        <v>1035761</v>
      </c>
      <c r="D1397" s="83">
        <v>-4.8966267682264419E-3</v>
      </c>
      <c r="E1397" s="82"/>
    </row>
    <row r="1398" spans="1:5" ht="14.4">
      <c r="A1398" s="68">
        <v>42503</v>
      </c>
      <c r="B1398" s="65">
        <v>55.14</v>
      </c>
      <c r="C1398" s="80">
        <v>2091778</v>
      </c>
      <c r="D1398" s="83">
        <v>-1.6295491580662347E-3</v>
      </c>
      <c r="E1398" s="82"/>
    </row>
    <row r="1399" spans="1:5" ht="14.4">
      <c r="A1399" s="68">
        <v>42502</v>
      </c>
      <c r="B1399" s="65">
        <v>55.23</v>
      </c>
      <c r="C1399" s="80">
        <v>1911652</v>
      </c>
      <c r="D1399" s="83">
        <v>-4.6855289241305442E-3</v>
      </c>
      <c r="E1399" s="82"/>
    </row>
    <row r="1400" spans="1:5" ht="14.4">
      <c r="A1400" s="68">
        <v>42501</v>
      </c>
      <c r="B1400" s="65">
        <v>55.49</v>
      </c>
      <c r="C1400" s="80">
        <v>1775122</v>
      </c>
      <c r="D1400" s="83">
        <v>-1.0801080108009398E-3</v>
      </c>
      <c r="E1400" s="82"/>
    </row>
    <row r="1401" spans="1:5" ht="14.4">
      <c r="A1401" s="68">
        <v>42500</v>
      </c>
      <c r="B1401" s="65">
        <v>55.55</v>
      </c>
      <c r="C1401" s="80">
        <v>2199357</v>
      </c>
      <c r="D1401" s="83">
        <v>2.1515262964324933E-2</v>
      </c>
      <c r="E1401" s="82"/>
    </row>
    <row r="1402" spans="1:5" ht="14.4">
      <c r="A1402" s="68">
        <v>42499</v>
      </c>
      <c r="B1402" s="65">
        <v>54.38</v>
      </c>
      <c r="C1402" s="80">
        <v>1449413</v>
      </c>
      <c r="D1402" s="83">
        <v>6.4778826577827076E-3</v>
      </c>
      <c r="E1402" s="82"/>
    </row>
    <row r="1403" spans="1:5" ht="14.4">
      <c r="A1403" s="68">
        <v>42496</v>
      </c>
      <c r="B1403" s="65">
        <v>54.03</v>
      </c>
      <c r="C1403" s="80">
        <v>1869087</v>
      </c>
      <c r="D1403" s="83">
        <v>1.8511662347275859E-4</v>
      </c>
      <c r="E1403" s="82"/>
    </row>
    <row r="1404" spans="1:5" ht="14.4">
      <c r="A1404" s="68">
        <v>42495</v>
      </c>
      <c r="B1404" s="65">
        <v>54.02</v>
      </c>
      <c r="C1404" s="80">
        <v>1763205</v>
      </c>
      <c r="D1404" s="83">
        <v>1.4460093896713655E-2</v>
      </c>
      <c r="E1404" s="82"/>
    </row>
    <row r="1405" spans="1:5" ht="14.4">
      <c r="A1405" s="68">
        <v>42494</v>
      </c>
      <c r="B1405" s="65">
        <v>53.25</v>
      </c>
      <c r="C1405" s="80">
        <v>1977834</v>
      </c>
      <c r="D1405" s="83">
        <v>-5.7879014189694544E-3</v>
      </c>
      <c r="E1405" s="82"/>
    </row>
    <row r="1406" spans="1:5" ht="14.4">
      <c r="A1406" s="68">
        <v>42493</v>
      </c>
      <c r="B1406" s="65">
        <v>53.56</v>
      </c>
      <c r="C1406" s="80">
        <v>2401779</v>
      </c>
      <c r="D1406" s="83">
        <v>-1.2718894009216553E-2</v>
      </c>
      <c r="E1406" s="82"/>
    </row>
    <row r="1407" spans="1:5" ht="14.4">
      <c r="A1407" s="68">
        <v>42492</v>
      </c>
      <c r="B1407" s="65">
        <v>54.25</v>
      </c>
      <c r="C1407" s="80">
        <v>2278229</v>
      </c>
      <c r="D1407" s="83">
        <v>-6.5921992309100341E-3</v>
      </c>
      <c r="E1407" s="82"/>
    </row>
    <row r="1408" spans="1:5" ht="14.4">
      <c r="A1408" s="68">
        <v>42489</v>
      </c>
      <c r="B1408" s="65">
        <v>54.61</v>
      </c>
      <c r="C1408" s="80">
        <v>3477629</v>
      </c>
      <c r="D1408" s="83">
        <v>-2.0799713107405471E-2</v>
      </c>
      <c r="E1408" s="82"/>
    </row>
    <row r="1409" spans="1:5" ht="14.4">
      <c r="A1409" s="68">
        <v>42488</v>
      </c>
      <c r="B1409" s="65">
        <v>55.77</v>
      </c>
      <c r="C1409" s="80">
        <v>5913874</v>
      </c>
      <c r="D1409" s="83">
        <v>-4.6014368799178862E-2</v>
      </c>
      <c r="E1409" s="82"/>
    </row>
    <row r="1410" spans="1:5" ht="14.4">
      <c r="A1410" s="68">
        <v>42487</v>
      </c>
      <c r="B1410" s="65">
        <v>58.46</v>
      </c>
      <c r="C1410" s="80">
        <v>1778081</v>
      </c>
      <c r="D1410" s="83">
        <v>3.9498540271338811E-3</v>
      </c>
      <c r="E1410" s="82"/>
    </row>
    <row r="1411" spans="1:5" ht="14.4">
      <c r="A1411" s="68">
        <v>42486</v>
      </c>
      <c r="B1411" s="65">
        <v>58.23</v>
      </c>
      <c r="C1411" s="80">
        <v>2081188</v>
      </c>
      <c r="D1411" s="83">
        <v>-6.9918144611187394E-3</v>
      </c>
      <c r="E1411" s="82"/>
    </row>
    <row r="1412" spans="1:5" ht="14.4">
      <c r="A1412" s="68">
        <v>42485</v>
      </c>
      <c r="B1412" s="65">
        <v>58.64</v>
      </c>
      <c r="C1412" s="80">
        <v>2544514</v>
      </c>
      <c r="D1412" s="83">
        <v>8.0797662025098305E-3</v>
      </c>
      <c r="E1412" s="82"/>
    </row>
    <row r="1413" spans="1:5" ht="14.4">
      <c r="A1413" s="68">
        <v>42482</v>
      </c>
      <c r="B1413" s="65">
        <v>58.17</v>
      </c>
      <c r="C1413" s="80">
        <v>1433411</v>
      </c>
      <c r="D1413" s="83">
        <v>-1.7188037126159017E-4</v>
      </c>
      <c r="E1413" s="82"/>
    </row>
    <row r="1414" spans="1:5" ht="14.4">
      <c r="A1414" s="68">
        <v>42481</v>
      </c>
      <c r="B1414" s="65">
        <v>58.18</v>
      </c>
      <c r="C1414" s="80">
        <v>2481564</v>
      </c>
      <c r="D1414" s="83">
        <v>1.2530455969369969E-2</v>
      </c>
      <c r="E1414" s="82"/>
    </row>
    <row r="1415" spans="1:5" ht="14.4">
      <c r="A1415" s="68">
        <v>42480</v>
      </c>
      <c r="B1415" s="65">
        <v>57.46</v>
      </c>
      <c r="C1415" s="80">
        <v>2243063</v>
      </c>
      <c r="D1415" s="83">
        <v>1.3942140118508028E-3</v>
      </c>
      <c r="E1415" s="82"/>
    </row>
    <row r="1416" spans="1:5" ht="14.4">
      <c r="A1416" s="68">
        <v>42479</v>
      </c>
      <c r="B1416" s="65">
        <v>57.38</v>
      </c>
      <c r="C1416" s="80">
        <v>2554636</v>
      </c>
      <c r="D1416" s="83">
        <v>9.5003518648839602E-3</v>
      </c>
      <c r="E1416" s="82"/>
    </row>
    <row r="1417" spans="1:5" ht="14.4">
      <c r="A1417" s="68">
        <v>42478</v>
      </c>
      <c r="B1417" s="65">
        <v>56.84</v>
      </c>
      <c r="C1417" s="80">
        <v>1532370</v>
      </c>
      <c r="D1417" s="83">
        <v>4.5952633439378943E-3</v>
      </c>
      <c r="E1417" s="82"/>
    </row>
    <row r="1418" spans="1:5" ht="14.4">
      <c r="A1418" s="68">
        <v>42475</v>
      </c>
      <c r="B1418" s="65">
        <v>56.58</v>
      </c>
      <c r="C1418" s="80">
        <v>2261862</v>
      </c>
      <c r="D1418" s="83">
        <v>-5.0993493933532141E-3</v>
      </c>
      <c r="E1418" s="82"/>
    </row>
    <row r="1419" spans="1:5" ht="14.4">
      <c r="A1419" s="68">
        <v>42474</v>
      </c>
      <c r="B1419" s="65">
        <v>56.87</v>
      </c>
      <c r="C1419" s="80">
        <v>2904890</v>
      </c>
      <c r="D1419" s="83">
        <v>-1.2844992188856152E-2</v>
      </c>
      <c r="E1419" s="82"/>
    </row>
    <row r="1420" spans="1:5" ht="14.4">
      <c r="A1420" s="68">
        <v>42473</v>
      </c>
      <c r="B1420" s="65">
        <v>57.61</v>
      </c>
      <c r="C1420" s="80">
        <v>3003025</v>
      </c>
      <c r="D1420" s="83">
        <v>2.7465667915106184E-2</v>
      </c>
      <c r="E1420" s="82"/>
    </row>
    <row r="1421" spans="1:5" ht="14.4">
      <c r="A1421" s="68">
        <v>42472</v>
      </c>
      <c r="B1421" s="65">
        <v>56.07</v>
      </c>
      <c r="C1421" s="80">
        <v>2563434</v>
      </c>
      <c r="D1421" s="83">
        <v>-4.9689440993788692E-3</v>
      </c>
      <c r="E1421" s="82"/>
    </row>
    <row r="1422" spans="1:5" ht="14.4">
      <c r="A1422" s="68">
        <v>42471</v>
      </c>
      <c r="B1422" s="65">
        <v>56.35</v>
      </c>
      <c r="C1422" s="80">
        <v>2234395</v>
      </c>
      <c r="D1422" s="83">
        <v>-2.0170405146930914E-2</v>
      </c>
      <c r="E1422" s="82"/>
    </row>
    <row r="1423" spans="1:5" ht="14.4">
      <c r="A1423" s="68">
        <v>42468</v>
      </c>
      <c r="B1423" s="65">
        <v>57.51</v>
      </c>
      <c r="C1423" s="80">
        <v>2028869</v>
      </c>
      <c r="D1423" s="83">
        <v>1.3570673246386944E-2</v>
      </c>
      <c r="E1423" s="82"/>
    </row>
    <row r="1424" spans="1:5" ht="14.4">
      <c r="A1424" s="68">
        <v>42467</v>
      </c>
      <c r="B1424" s="65">
        <v>56.74</v>
      </c>
      <c r="C1424" s="80">
        <v>2758453</v>
      </c>
      <c r="D1424" s="83">
        <v>4.9592631951824728E-3</v>
      </c>
      <c r="E1424" s="82"/>
    </row>
    <row r="1425" spans="1:5" ht="14.4">
      <c r="A1425" s="68">
        <v>42466</v>
      </c>
      <c r="B1425" s="65">
        <v>56.46</v>
      </c>
      <c r="C1425" s="80">
        <v>1618373</v>
      </c>
      <c r="D1425" s="83">
        <v>5.3163211057949411E-4</v>
      </c>
      <c r="E1425" s="82"/>
    </row>
    <row r="1426" spans="1:5" ht="14.4">
      <c r="A1426" s="68">
        <v>42465</v>
      </c>
      <c r="B1426" s="65">
        <v>56.43</v>
      </c>
      <c r="C1426" s="80">
        <v>2152593</v>
      </c>
      <c r="D1426" s="83">
        <v>-1.5526866713189147E-2</v>
      </c>
      <c r="E1426" s="82"/>
    </row>
    <row r="1427" spans="1:5" ht="14.4">
      <c r="A1427" s="68">
        <v>42464</v>
      </c>
      <c r="B1427" s="65">
        <v>57.32</v>
      </c>
      <c r="C1427" s="80">
        <v>1758047</v>
      </c>
      <c r="D1427" s="83">
        <v>5.967005967006056E-3</v>
      </c>
      <c r="E1427" s="82"/>
    </row>
    <row r="1428" spans="1:5" ht="14.4">
      <c r="A1428" s="68">
        <v>42461</v>
      </c>
      <c r="B1428" s="65">
        <v>56.98</v>
      </c>
      <c r="C1428" s="80">
        <v>4244681</v>
      </c>
      <c r="D1428" s="83">
        <v>-2.3479005998286229E-2</v>
      </c>
      <c r="E1428" s="82"/>
    </row>
    <row r="1429" spans="1:5" ht="14.4">
      <c r="A1429" s="68">
        <v>42460</v>
      </c>
      <c r="B1429" s="65">
        <v>58.35</v>
      </c>
      <c r="C1429" s="80">
        <v>3013404</v>
      </c>
      <c r="D1429" s="83">
        <v>-2.685123415610402E-2</v>
      </c>
      <c r="E1429" s="82"/>
    </row>
    <row r="1430" spans="1:5" ht="14.4">
      <c r="A1430" s="68">
        <v>42459</v>
      </c>
      <c r="B1430" s="65">
        <v>59.96</v>
      </c>
      <c r="C1430" s="80">
        <v>2337592</v>
      </c>
      <c r="D1430" s="83">
        <v>-1.4987510407992177E-3</v>
      </c>
      <c r="E1430" s="82"/>
    </row>
    <row r="1431" spans="1:5" ht="14.4">
      <c r="A1431" s="68">
        <v>42458</v>
      </c>
      <c r="B1431" s="65">
        <v>60.05</v>
      </c>
      <c r="C1431" s="80">
        <v>1753055</v>
      </c>
      <c r="D1431" s="83">
        <v>4.6846243935083631E-3</v>
      </c>
      <c r="E1431" s="82"/>
    </row>
    <row r="1432" spans="1:5" ht="14.4">
      <c r="A1432" s="68">
        <v>42453</v>
      </c>
      <c r="B1432" s="65">
        <v>59.77</v>
      </c>
      <c r="C1432" s="80">
        <v>2429178</v>
      </c>
      <c r="D1432" s="83">
        <v>-2.5436165008967837E-2</v>
      </c>
      <c r="E1432" s="82"/>
    </row>
    <row r="1433" spans="1:5" ht="14.4">
      <c r="A1433" s="68">
        <v>42452</v>
      </c>
      <c r="B1433" s="65">
        <v>61.33</v>
      </c>
      <c r="C1433" s="80">
        <v>1632864</v>
      </c>
      <c r="D1433" s="83">
        <v>1.3061224489796519E-3</v>
      </c>
      <c r="E1433" s="82"/>
    </row>
    <row r="1434" spans="1:5" ht="14.4">
      <c r="A1434" s="68">
        <v>42451</v>
      </c>
      <c r="B1434" s="65">
        <v>61.25</v>
      </c>
      <c r="C1434" s="80">
        <v>2050333</v>
      </c>
      <c r="D1434" s="83">
        <v>6.0775295663599849E-3</v>
      </c>
      <c r="E1434" s="82"/>
    </row>
    <row r="1435" spans="1:5" ht="14.4">
      <c r="A1435" s="68">
        <v>42450</v>
      </c>
      <c r="B1435" s="65">
        <v>60.88</v>
      </c>
      <c r="C1435" s="80">
        <v>1744813</v>
      </c>
      <c r="D1435" s="83">
        <v>4.6204620462046986E-3</v>
      </c>
      <c r="E1435" s="82"/>
    </row>
    <row r="1436" spans="1:5" ht="14.4">
      <c r="A1436" s="68">
        <v>42447</v>
      </c>
      <c r="B1436" s="65">
        <v>60.6</v>
      </c>
      <c r="C1436" s="80">
        <v>4095864</v>
      </c>
      <c r="D1436" s="83">
        <v>1.7974130690408208E-2</v>
      </c>
      <c r="E1436" s="82"/>
    </row>
    <row r="1437" spans="1:5" ht="14.4">
      <c r="A1437" s="68">
        <v>42446</v>
      </c>
      <c r="B1437" s="65">
        <v>59.53</v>
      </c>
      <c r="C1437" s="80">
        <v>3847697</v>
      </c>
      <c r="D1437" s="83">
        <v>-2.0565975649884827E-2</v>
      </c>
      <c r="E1437" s="82"/>
    </row>
    <row r="1438" spans="1:5" ht="14.4">
      <c r="A1438" s="68">
        <v>42445</v>
      </c>
      <c r="B1438" s="65">
        <v>60.78</v>
      </c>
      <c r="C1438" s="80">
        <v>1560656</v>
      </c>
      <c r="D1438" s="83">
        <v>8.1273843091722586E-3</v>
      </c>
      <c r="E1438" s="82"/>
    </row>
    <row r="1439" spans="1:5" ht="14.4">
      <c r="A1439" s="68">
        <v>42444</v>
      </c>
      <c r="B1439" s="65">
        <v>60.29</v>
      </c>
      <c r="C1439" s="80">
        <v>1652283</v>
      </c>
      <c r="D1439" s="83">
        <v>-1.9864260883959428E-3</v>
      </c>
      <c r="E1439" s="82"/>
    </row>
    <row r="1440" spans="1:5" ht="14.4">
      <c r="A1440" s="68">
        <v>42443</v>
      </c>
      <c r="B1440" s="65">
        <v>60.41</v>
      </c>
      <c r="C1440" s="80">
        <v>1623061</v>
      </c>
      <c r="D1440" s="83">
        <v>4.6565774155993278E-3</v>
      </c>
      <c r="E1440" s="82"/>
    </row>
    <row r="1441" spans="1:5" ht="14.4">
      <c r="A1441" s="68">
        <v>42440</v>
      </c>
      <c r="B1441" s="65">
        <v>60.13</v>
      </c>
      <c r="C1441" s="80">
        <v>2325757</v>
      </c>
      <c r="D1441" s="83">
        <v>3.2451923076923128E-2</v>
      </c>
      <c r="E1441" s="82"/>
    </row>
    <row r="1442" spans="1:5" ht="14.4">
      <c r="A1442" s="68">
        <v>42439</v>
      </c>
      <c r="B1442" s="65">
        <v>58.24</v>
      </c>
      <c r="C1442" s="80">
        <v>4853296</v>
      </c>
      <c r="D1442" s="83">
        <v>-3.9577836411609502E-2</v>
      </c>
      <c r="E1442" s="82"/>
    </row>
    <row r="1443" spans="1:5" ht="14.4">
      <c r="A1443" s="68">
        <v>42438</v>
      </c>
      <c r="B1443" s="65">
        <v>60.64</v>
      </c>
      <c r="C1443" s="80">
        <v>1835286</v>
      </c>
      <c r="D1443" s="83">
        <v>4.9496782709135267E-4</v>
      </c>
      <c r="E1443" s="82"/>
    </row>
    <row r="1444" spans="1:5" ht="14.4">
      <c r="A1444" s="68">
        <v>42437</v>
      </c>
      <c r="B1444" s="65">
        <v>60.61</v>
      </c>
      <c r="C1444" s="80">
        <v>2737929</v>
      </c>
      <c r="D1444" s="83">
        <v>-1.4150943396226356E-2</v>
      </c>
      <c r="E1444" s="82"/>
    </row>
    <row r="1445" spans="1:5" ht="14.4">
      <c r="A1445" s="68">
        <v>42436</v>
      </c>
      <c r="B1445" s="65">
        <v>61.48</v>
      </c>
      <c r="C1445" s="80">
        <v>1634442</v>
      </c>
      <c r="D1445" s="83">
        <v>-9.9838969404187905E-3</v>
      </c>
      <c r="E1445" s="82"/>
    </row>
    <row r="1446" spans="1:5" ht="14.4">
      <c r="A1446" s="68">
        <v>42433</v>
      </c>
      <c r="B1446" s="65">
        <v>62.1</v>
      </c>
      <c r="C1446" s="80">
        <v>2665546</v>
      </c>
      <c r="D1446" s="83">
        <v>2.1885798913937826E-2</v>
      </c>
      <c r="E1446" s="82"/>
    </row>
    <row r="1447" spans="1:5" ht="14.4">
      <c r="A1447" s="68">
        <v>42432</v>
      </c>
      <c r="B1447" s="65">
        <v>60.77</v>
      </c>
      <c r="C1447" s="80">
        <v>2167026</v>
      </c>
      <c r="D1447" s="83">
        <v>3.7991410637596701E-3</v>
      </c>
      <c r="E1447" s="82"/>
    </row>
    <row r="1448" spans="1:5" ht="14.4">
      <c r="A1448" s="68">
        <v>42431</v>
      </c>
      <c r="B1448" s="65">
        <v>60.54</v>
      </c>
      <c r="C1448" s="80">
        <v>2026951</v>
      </c>
      <c r="D1448" s="83">
        <v>-4.2763157894736281E-3</v>
      </c>
      <c r="E1448" s="82"/>
    </row>
    <row r="1449" spans="1:5" ht="14.4">
      <c r="A1449" s="68">
        <v>42430</v>
      </c>
      <c r="B1449" s="65">
        <v>60.8</v>
      </c>
      <c r="C1449" s="80">
        <v>2582728</v>
      </c>
      <c r="D1449" s="83">
        <v>1.7062562730010056E-2</v>
      </c>
      <c r="E1449" s="82"/>
    </row>
    <row r="1450" spans="1:5" ht="14.4">
      <c r="A1450" s="68">
        <v>42429</v>
      </c>
      <c r="B1450" s="65">
        <v>59.78</v>
      </c>
      <c r="C1450" s="80">
        <v>2927387</v>
      </c>
      <c r="D1450" s="83">
        <v>3.9471396278908166E-2</v>
      </c>
      <c r="E1450" s="82"/>
    </row>
    <row r="1451" spans="1:5" ht="14.4">
      <c r="A1451" s="68">
        <v>42426</v>
      </c>
      <c r="B1451" s="65">
        <v>57.51</v>
      </c>
      <c r="C1451" s="80">
        <v>2578270</v>
      </c>
      <c r="D1451" s="83">
        <v>2.440299808262214E-3</v>
      </c>
      <c r="E1451" s="82"/>
    </row>
    <row r="1452" spans="1:5" ht="14.4">
      <c r="A1452" s="68">
        <v>42425</v>
      </c>
      <c r="B1452" s="65">
        <v>57.37</v>
      </c>
      <c r="C1452" s="80">
        <v>4211284</v>
      </c>
      <c r="D1452" s="83">
        <v>4.4040036396724158E-2</v>
      </c>
      <c r="E1452" s="82"/>
    </row>
    <row r="1453" spans="1:5" ht="14.4">
      <c r="A1453" s="68">
        <v>42424</v>
      </c>
      <c r="B1453" s="65">
        <v>54.95</v>
      </c>
      <c r="C1453" s="80">
        <v>3991289</v>
      </c>
      <c r="D1453" s="83">
        <v>-8.3017505865365937E-3</v>
      </c>
      <c r="E1453" s="82"/>
    </row>
    <row r="1454" spans="1:5" ht="14.4">
      <c r="A1454" s="68">
        <v>42423</v>
      </c>
      <c r="B1454" s="65">
        <v>55.41</v>
      </c>
      <c r="C1454" s="80">
        <v>2401782</v>
      </c>
      <c r="D1454" s="83">
        <v>-1.3178984861976883E-2</v>
      </c>
      <c r="E1454" s="82"/>
    </row>
    <row r="1455" spans="1:5" ht="14.4">
      <c r="A1455" s="68">
        <v>42422</v>
      </c>
      <c r="B1455" s="65">
        <v>56.15</v>
      </c>
      <c r="C1455" s="80">
        <v>1570156</v>
      </c>
      <c r="D1455" s="83">
        <v>1.6289592760180938E-2</v>
      </c>
      <c r="E1455" s="82"/>
    </row>
    <row r="1456" spans="1:5" ht="14.4">
      <c r="A1456" s="68">
        <v>42419</v>
      </c>
      <c r="B1456" s="65">
        <v>55.25</v>
      </c>
      <c r="C1456" s="80">
        <v>2202138</v>
      </c>
      <c r="D1456" s="83">
        <v>-1.07430617726052E-2</v>
      </c>
      <c r="E1456" s="82"/>
    </row>
    <row r="1457" spans="1:5" ht="14.4">
      <c r="A1457" s="68">
        <v>42418</v>
      </c>
      <c r="B1457" s="65">
        <v>55.85</v>
      </c>
      <c r="C1457" s="80">
        <v>2492698</v>
      </c>
      <c r="D1457" s="83">
        <v>1.4532243415077195E-2</v>
      </c>
      <c r="E1457" s="82"/>
    </row>
    <row r="1458" spans="1:5" ht="14.4">
      <c r="A1458" s="68">
        <v>42417</v>
      </c>
      <c r="B1458" s="65">
        <v>55.05</v>
      </c>
      <c r="C1458" s="80">
        <v>2650522</v>
      </c>
      <c r="D1458" s="83">
        <v>2.3614726664187291E-2</v>
      </c>
      <c r="E1458" s="82"/>
    </row>
    <row r="1459" spans="1:5" ht="14.4">
      <c r="A1459" s="68">
        <v>42416</v>
      </c>
      <c r="B1459" s="65">
        <v>53.78</v>
      </c>
      <c r="C1459" s="80">
        <v>2320494</v>
      </c>
      <c r="D1459" s="83">
        <v>7.4934432371673854E-3</v>
      </c>
      <c r="E1459" s="82"/>
    </row>
    <row r="1460" spans="1:5" ht="14.4">
      <c r="A1460" s="68">
        <v>42415</v>
      </c>
      <c r="B1460" s="65">
        <v>53.38</v>
      </c>
      <c r="C1460" s="80">
        <v>2460695</v>
      </c>
      <c r="D1460" s="83">
        <v>4.0343013057883459E-2</v>
      </c>
      <c r="E1460" s="82"/>
    </row>
    <row r="1461" spans="1:5" ht="14.4">
      <c r="A1461" s="68">
        <v>42412</v>
      </c>
      <c r="B1461" s="65">
        <v>51.31</v>
      </c>
      <c r="C1461" s="80">
        <v>3133440</v>
      </c>
      <c r="D1461" s="83">
        <v>2.7021617293835121E-2</v>
      </c>
      <c r="E1461" s="82"/>
    </row>
    <row r="1462" spans="1:5" ht="14.4">
      <c r="A1462" s="68">
        <v>42411</v>
      </c>
      <c r="B1462" s="65">
        <v>49.96</v>
      </c>
      <c r="C1462" s="80">
        <v>4946346</v>
      </c>
      <c r="D1462" s="83">
        <v>-4.601871300362792E-2</v>
      </c>
      <c r="E1462" s="82"/>
    </row>
    <row r="1463" spans="1:5" ht="14.4">
      <c r="A1463" s="68">
        <v>42410</v>
      </c>
      <c r="B1463" s="65">
        <v>52.37</v>
      </c>
      <c r="C1463" s="80">
        <v>4183995</v>
      </c>
      <c r="D1463" s="83">
        <v>2.2452167122217759E-2</v>
      </c>
      <c r="E1463" s="82"/>
    </row>
    <row r="1464" spans="1:5" ht="14.4">
      <c r="A1464" s="68">
        <v>42409</v>
      </c>
      <c r="B1464" s="65">
        <v>51.22</v>
      </c>
      <c r="C1464" s="80">
        <v>4128321</v>
      </c>
      <c r="D1464" s="83">
        <v>1.7602190494816483E-3</v>
      </c>
      <c r="E1464" s="82"/>
    </row>
    <row r="1465" spans="1:5" ht="14.4">
      <c r="A1465" s="68">
        <v>42408</v>
      </c>
      <c r="B1465" s="65">
        <v>51.13</v>
      </c>
      <c r="C1465" s="80">
        <v>5271400</v>
      </c>
      <c r="D1465" s="83">
        <v>-5.4199038105808395E-2</v>
      </c>
      <c r="E1465" s="82"/>
    </row>
    <row r="1466" spans="1:5" ht="14.4">
      <c r="A1466" s="68">
        <v>42405</v>
      </c>
      <c r="B1466" s="65">
        <v>54.06</v>
      </c>
      <c r="C1466" s="80">
        <v>3863611</v>
      </c>
      <c r="D1466" s="83">
        <v>4.645976584278122E-3</v>
      </c>
      <c r="E1466" s="82"/>
    </row>
    <row r="1467" spans="1:5" ht="14.4">
      <c r="A1467" s="68">
        <v>42404</v>
      </c>
      <c r="B1467" s="65">
        <v>53.81</v>
      </c>
      <c r="C1467" s="80">
        <v>4043452</v>
      </c>
      <c r="D1467" s="83">
        <v>-1.6697588126158847E-3</v>
      </c>
      <c r="E1467" s="82"/>
    </row>
    <row r="1468" spans="1:5" ht="14.4">
      <c r="A1468" s="68">
        <v>42403</v>
      </c>
      <c r="B1468" s="65">
        <v>53.9</v>
      </c>
      <c r="C1468" s="80">
        <v>3362369</v>
      </c>
      <c r="D1468" s="83">
        <v>-2.6196928635953132E-2</v>
      </c>
      <c r="E1468" s="82"/>
    </row>
    <row r="1469" spans="1:5" ht="14.4">
      <c r="A1469" s="68">
        <v>42402</v>
      </c>
      <c r="B1469" s="65">
        <v>55.35</v>
      </c>
      <c r="C1469" s="80">
        <v>3272342</v>
      </c>
      <c r="D1469" s="83">
        <v>-4.3215211754537575E-2</v>
      </c>
      <c r="E1469" s="82"/>
    </row>
    <row r="1470" spans="1:5" ht="14.4">
      <c r="A1470" s="68">
        <v>42401</v>
      </c>
      <c r="B1470" s="65">
        <v>57.85</v>
      </c>
      <c r="C1470" s="80">
        <v>2509473</v>
      </c>
      <c r="D1470" s="83">
        <v>5.1885160844000744E-4</v>
      </c>
      <c r="E1470" s="82"/>
    </row>
    <row r="1471" spans="1:5" ht="14.4">
      <c r="A1471" s="68">
        <v>42398</v>
      </c>
      <c r="B1471" s="65">
        <v>57.82</v>
      </c>
      <c r="C1471" s="80">
        <v>3303063</v>
      </c>
      <c r="D1471" s="83">
        <v>5.0890585241730291E-2</v>
      </c>
      <c r="E1471" s="82"/>
    </row>
    <row r="1472" spans="1:5" ht="14.4">
      <c r="A1472" s="68">
        <v>42397</v>
      </c>
      <c r="B1472" s="65">
        <v>55.02</v>
      </c>
      <c r="C1472" s="80">
        <v>3467010</v>
      </c>
      <c r="D1472" s="83">
        <v>-7.933645870897954E-3</v>
      </c>
      <c r="E1472" s="82"/>
    </row>
    <row r="1473" spans="1:7" ht="14.4">
      <c r="A1473" s="68">
        <v>42396</v>
      </c>
      <c r="B1473" s="65">
        <v>55.46</v>
      </c>
      <c r="C1473" s="80">
        <v>4672140</v>
      </c>
      <c r="D1473" s="83">
        <v>-3.4134447927551381E-2</v>
      </c>
      <c r="E1473" s="82"/>
    </row>
    <row r="1474" spans="1:7" ht="14.4">
      <c r="A1474" s="68">
        <v>42395</v>
      </c>
      <c r="B1474" s="65">
        <v>57.42</v>
      </c>
      <c r="C1474" s="80">
        <v>2017387</v>
      </c>
      <c r="D1474" s="83">
        <v>1.7445917655269927E-3</v>
      </c>
      <c r="E1474" s="82"/>
    </row>
    <row r="1475" spans="1:7" ht="14.4">
      <c r="A1475" s="68">
        <v>42394</v>
      </c>
      <c r="B1475" s="65">
        <v>57.32</v>
      </c>
      <c r="C1475" s="80">
        <v>2388659</v>
      </c>
      <c r="D1475" s="83">
        <v>6.4969271290604702E-3</v>
      </c>
      <c r="E1475" s="82"/>
    </row>
    <row r="1476" spans="1:7" ht="14.4">
      <c r="A1476" s="68">
        <v>42391</v>
      </c>
      <c r="B1476" s="65">
        <v>56.95</v>
      </c>
      <c r="C1476" s="80">
        <v>3188157</v>
      </c>
      <c r="D1476" s="83">
        <v>2.5571763010985071E-2</v>
      </c>
      <c r="E1476" s="82"/>
    </row>
    <row r="1477" spans="1:7" ht="14.4">
      <c r="A1477" s="68">
        <v>42390</v>
      </c>
      <c r="B1477" s="65">
        <v>55.53</v>
      </c>
      <c r="C1477" s="80">
        <v>3935676</v>
      </c>
      <c r="D1477" s="83">
        <v>2.1523178807947074E-2</v>
      </c>
      <c r="E1477" s="82"/>
    </row>
    <row r="1478" spans="1:7" ht="14.4">
      <c r="A1478" s="68">
        <v>42389</v>
      </c>
      <c r="B1478" s="65">
        <v>54.36</v>
      </c>
      <c r="C1478" s="80">
        <v>3779226</v>
      </c>
      <c r="D1478" s="83">
        <v>-4.1607898448518976E-2</v>
      </c>
      <c r="E1478" s="62"/>
      <c r="F1478" s="62"/>
      <c r="G1478" s="62"/>
    </row>
    <row r="1479" spans="1:7" ht="14.4">
      <c r="A1479" s="68">
        <v>42388</v>
      </c>
      <c r="B1479" s="65">
        <v>56.72</v>
      </c>
      <c r="C1479" s="80">
        <v>2117953</v>
      </c>
      <c r="D1479" s="83">
        <v>1.5577439570277463E-2</v>
      </c>
      <c r="E1479" s="62"/>
      <c r="F1479" s="62"/>
      <c r="G1479" s="62"/>
    </row>
    <row r="1480" spans="1:7" ht="14.4">
      <c r="A1480" s="68">
        <v>42387</v>
      </c>
      <c r="B1480" s="65">
        <v>55.85</v>
      </c>
      <c r="C1480" s="80">
        <v>1963450</v>
      </c>
      <c r="D1480" s="83">
        <v>-5.3428317008014092E-3</v>
      </c>
      <c r="E1480" s="62"/>
      <c r="F1480" s="62"/>
      <c r="G1480" s="62"/>
    </row>
    <row r="1481" spans="1:7" ht="14.4">
      <c r="A1481" s="68">
        <v>42384</v>
      </c>
      <c r="B1481" s="65">
        <v>56.15</v>
      </c>
      <c r="C1481" s="80">
        <v>4890291</v>
      </c>
      <c r="D1481" s="83">
        <v>-3.20634373383899E-2</v>
      </c>
      <c r="E1481" s="62"/>
      <c r="F1481" s="62"/>
      <c r="G1481" s="62"/>
    </row>
    <row r="1482" spans="1:7" ht="14.4">
      <c r="A1482" s="68">
        <v>42383</v>
      </c>
      <c r="B1482" s="65">
        <v>58.01</v>
      </c>
      <c r="C1482" s="80">
        <v>3691074</v>
      </c>
      <c r="D1482" s="83">
        <v>-2.4878130778282159E-2</v>
      </c>
      <c r="E1482" s="62"/>
      <c r="F1482" s="62"/>
      <c r="G1482" s="62"/>
    </row>
    <row r="1483" spans="1:7" ht="14.4">
      <c r="A1483" s="68">
        <v>42382</v>
      </c>
      <c r="B1483" s="65">
        <v>59.49</v>
      </c>
      <c r="C1483" s="80">
        <v>3133704</v>
      </c>
      <c r="D1483" s="83">
        <v>8.3050847457626364E-3</v>
      </c>
      <c r="E1483" s="62"/>
      <c r="F1483" s="62"/>
      <c r="G1483" s="62"/>
    </row>
    <row r="1484" spans="1:7" ht="14.4">
      <c r="A1484" s="68">
        <v>42381</v>
      </c>
      <c r="B1484" s="65">
        <v>59</v>
      </c>
      <c r="C1484" s="80">
        <v>3976466</v>
      </c>
      <c r="D1484" s="83">
        <v>1.5315780416451652E-2</v>
      </c>
      <c r="E1484" s="62"/>
      <c r="F1484" s="62"/>
      <c r="G1484" s="62"/>
    </row>
    <row r="1485" spans="1:7" ht="14.4">
      <c r="A1485" s="68">
        <v>42380</v>
      </c>
      <c r="B1485" s="65">
        <v>58.11</v>
      </c>
      <c r="C1485" s="80">
        <v>2885702</v>
      </c>
      <c r="D1485" s="83">
        <v>-1.1061946902654829E-2</v>
      </c>
      <c r="E1485" s="62"/>
      <c r="F1485" s="62"/>
      <c r="G1485" s="62"/>
    </row>
    <row r="1486" spans="1:7" ht="14.4">
      <c r="A1486" s="68">
        <v>42377</v>
      </c>
      <c r="B1486" s="65">
        <v>58.76</v>
      </c>
      <c r="C1486" s="80">
        <v>2906559</v>
      </c>
      <c r="D1486" s="83">
        <v>-2.131912058627583E-2</v>
      </c>
      <c r="E1486" s="62"/>
      <c r="F1486" s="62"/>
      <c r="G1486" s="62"/>
    </row>
    <row r="1487" spans="1:7" ht="14.4">
      <c r="A1487" s="68">
        <v>42376</v>
      </c>
      <c r="B1487" s="65">
        <v>60.04</v>
      </c>
      <c r="C1487" s="80">
        <v>2581611</v>
      </c>
      <c r="D1487" s="83">
        <v>-2.007507752570592E-2</v>
      </c>
      <c r="E1487" s="62"/>
      <c r="F1487" s="62"/>
      <c r="G1487" s="62"/>
    </row>
    <row r="1488" spans="1:7" ht="14.4">
      <c r="A1488" s="68">
        <v>42375</v>
      </c>
      <c r="B1488" s="65">
        <v>61.27</v>
      </c>
      <c r="C1488" s="80">
        <v>2196204</v>
      </c>
      <c r="D1488" s="83">
        <v>-1.3206635529070754E-2</v>
      </c>
      <c r="E1488" s="62"/>
      <c r="F1488" s="62"/>
      <c r="G1488" s="62"/>
    </row>
    <row r="1489" spans="1:7" ht="14.4">
      <c r="A1489" s="68">
        <v>42374</v>
      </c>
      <c r="B1489" s="65">
        <v>62.09</v>
      </c>
      <c r="C1489" s="80">
        <v>3154541</v>
      </c>
      <c r="D1489" s="83">
        <v>2.02103187643774E-2</v>
      </c>
      <c r="E1489" s="62"/>
      <c r="F1489" s="62"/>
      <c r="G1489" s="62"/>
    </row>
    <row r="1490" spans="1:7" ht="14.4">
      <c r="A1490" s="68">
        <v>42373</v>
      </c>
      <c r="B1490" s="65">
        <v>60.86</v>
      </c>
      <c r="C1490" s="80">
        <v>2885672</v>
      </c>
      <c r="D1490" s="83">
        <v>-1.838709677419359E-2</v>
      </c>
      <c r="E1490" s="62"/>
      <c r="F1490" s="62"/>
      <c r="G1490" s="62"/>
    </row>
    <row r="1491" spans="1:7" ht="14.4">
      <c r="A1491" s="71">
        <v>42369</v>
      </c>
      <c r="B1491" s="72">
        <v>62</v>
      </c>
      <c r="C1491" s="81">
        <v>409212</v>
      </c>
      <c r="D1491" s="84">
        <v>-9.2681367849152263E-3</v>
      </c>
      <c r="E1491" s="74"/>
      <c r="F1491" s="74"/>
      <c r="G1491" s="73" t="e">
        <v>#REF!</v>
      </c>
    </row>
    <row r="1492" spans="1:7" ht="14.4">
      <c r="A1492" s="68">
        <v>42368</v>
      </c>
      <c r="B1492" s="65">
        <v>62.58</v>
      </c>
      <c r="C1492" s="80">
        <v>1178738</v>
      </c>
      <c r="D1492" s="83">
        <v>-7.454401268834232E-3</v>
      </c>
      <c r="E1492" s="62"/>
      <c r="F1492" s="62"/>
      <c r="G1492" s="62"/>
    </row>
    <row r="1493" spans="1:7" ht="14.4">
      <c r="A1493" s="68">
        <v>42367</v>
      </c>
      <c r="B1493" s="65">
        <v>63.05</v>
      </c>
      <c r="C1493" s="80">
        <v>1417901</v>
      </c>
      <c r="D1493" s="83">
        <v>2.1714470912331807E-2</v>
      </c>
      <c r="E1493" s="62"/>
      <c r="F1493" s="62"/>
      <c r="G1493" s="62"/>
    </row>
    <row r="1494" spans="1:7" ht="14.4">
      <c r="A1494" s="68">
        <v>42366</v>
      </c>
      <c r="B1494" s="65">
        <v>61.71</v>
      </c>
      <c r="C1494" s="80">
        <v>781866</v>
      </c>
      <c r="D1494" s="83">
        <v>-7.0796460176990594E-3</v>
      </c>
      <c r="E1494" s="82"/>
    </row>
    <row r="1495" spans="1:7" ht="14.4">
      <c r="A1495" s="68">
        <v>42362</v>
      </c>
      <c r="B1495" s="65">
        <v>62.15</v>
      </c>
      <c r="C1495" s="80">
        <v>322046</v>
      </c>
      <c r="D1495" s="83">
        <v>-6.8712048577820317E-3</v>
      </c>
      <c r="E1495" s="82"/>
    </row>
    <row r="1496" spans="1:7" ht="14.4">
      <c r="A1496" s="68">
        <v>42361</v>
      </c>
      <c r="B1496" s="65">
        <v>62.58</v>
      </c>
      <c r="C1496" s="80">
        <v>1938482</v>
      </c>
      <c r="D1496" s="83">
        <v>1.0985460420032345E-2</v>
      </c>
      <c r="E1496" s="82"/>
    </row>
    <row r="1497" spans="1:7" ht="14.4">
      <c r="A1497" s="68">
        <v>42360</v>
      </c>
      <c r="B1497" s="65">
        <v>61.9</v>
      </c>
      <c r="C1497" s="80">
        <v>2041101</v>
      </c>
      <c r="D1497" s="83">
        <v>-3.2299741602070942E-4</v>
      </c>
      <c r="E1497" s="82"/>
    </row>
    <row r="1498" spans="1:7" ht="14.4">
      <c r="A1498" s="68">
        <v>42359</v>
      </c>
      <c r="B1498" s="65">
        <v>61.92</v>
      </c>
      <c r="C1498" s="80">
        <v>2398413</v>
      </c>
      <c r="D1498" s="83">
        <v>-2.1182421751501646E-2</v>
      </c>
      <c r="E1498" s="82"/>
    </row>
    <row r="1499" spans="1:7" ht="14.4">
      <c r="A1499" s="68">
        <v>42356</v>
      </c>
      <c r="B1499" s="65">
        <v>63.26</v>
      </c>
      <c r="C1499" s="80">
        <v>4059339</v>
      </c>
      <c r="D1499" s="83">
        <v>-2.8711807154920943E-2</v>
      </c>
      <c r="E1499" s="82"/>
    </row>
    <row r="1500" spans="1:7" ht="14.4">
      <c r="A1500" s="68">
        <v>42355</v>
      </c>
      <c r="B1500" s="65">
        <v>65.13</v>
      </c>
      <c r="C1500" s="80">
        <v>2735628</v>
      </c>
      <c r="D1500" s="83">
        <v>1.1492467774498971E-2</v>
      </c>
      <c r="E1500" s="82"/>
    </row>
    <row r="1501" spans="1:7" ht="14.4">
      <c r="A1501" s="68">
        <v>42354</v>
      </c>
      <c r="B1501" s="65">
        <v>64.39</v>
      </c>
      <c r="C1501" s="80">
        <v>2426738</v>
      </c>
      <c r="D1501" s="83">
        <v>1.9797275894836819E-2</v>
      </c>
      <c r="E1501" s="82"/>
    </row>
    <row r="1502" spans="1:7" ht="14.4">
      <c r="A1502" s="68">
        <v>42353</v>
      </c>
      <c r="B1502" s="65">
        <v>63.14</v>
      </c>
      <c r="C1502" s="80">
        <v>3433031</v>
      </c>
      <c r="D1502" s="83">
        <v>3.0016313213703238E-2</v>
      </c>
      <c r="E1502" s="82"/>
    </row>
    <row r="1503" spans="1:7" ht="14.4">
      <c r="A1503" s="68">
        <v>42352</v>
      </c>
      <c r="B1503" s="65">
        <v>61.3</v>
      </c>
      <c r="C1503" s="80">
        <v>2705807</v>
      </c>
      <c r="D1503" s="83">
        <v>-1.5735388567758579E-2</v>
      </c>
      <c r="E1503" s="82"/>
    </row>
    <row r="1504" spans="1:7" ht="14.4">
      <c r="A1504" s="68">
        <v>42349</v>
      </c>
      <c r="B1504" s="65">
        <v>62.28</v>
      </c>
      <c r="C1504" s="80">
        <v>2837745</v>
      </c>
      <c r="D1504" s="83">
        <v>-2.9604238080398915E-2</v>
      </c>
      <c r="E1504" s="82"/>
    </row>
    <row r="1505" spans="1:5" ht="14.4">
      <c r="A1505" s="68">
        <v>42348</v>
      </c>
      <c r="B1505" s="65">
        <v>64.180000000000007</v>
      </c>
      <c r="C1505" s="80">
        <v>1795007</v>
      </c>
      <c r="D1505" s="83">
        <v>1.0867853205229316E-2</v>
      </c>
      <c r="E1505" s="82"/>
    </row>
    <row r="1506" spans="1:5" ht="14.4">
      <c r="A1506" s="68">
        <v>42347</v>
      </c>
      <c r="B1506" s="65">
        <v>63.49</v>
      </c>
      <c r="C1506" s="80">
        <v>2114173</v>
      </c>
      <c r="D1506" s="83">
        <v>-1.8853345696182799E-2</v>
      </c>
      <c r="E1506" s="82"/>
    </row>
    <row r="1507" spans="1:5" ht="14.4">
      <c r="A1507" s="68">
        <v>42346</v>
      </c>
      <c r="B1507" s="65">
        <v>64.709999999999994</v>
      </c>
      <c r="C1507" s="80">
        <v>2132119</v>
      </c>
      <c r="D1507" s="83">
        <v>-1.7908635604795942E-2</v>
      </c>
      <c r="E1507" s="82"/>
    </row>
    <row r="1508" spans="1:5" ht="14.4">
      <c r="A1508" s="68">
        <v>42345</v>
      </c>
      <c r="B1508" s="65">
        <v>65.89</v>
      </c>
      <c r="C1508" s="80">
        <v>2051149</v>
      </c>
      <c r="D1508" s="83">
        <v>2.9370410873301056E-2</v>
      </c>
      <c r="E1508" s="82"/>
    </row>
    <row r="1509" spans="1:5" ht="14.4">
      <c r="A1509" s="68">
        <v>42342</v>
      </c>
      <c r="B1509" s="65">
        <v>64.010000000000005</v>
      </c>
      <c r="C1509" s="80">
        <v>3097108</v>
      </c>
      <c r="D1509" s="83">
        <v>5.4979579013509916E-3</v>
      </c>
      <c r="E1509" s="82"/>
    </row>
    <row r="1510" spans="1:5" ht="14.4">
      <c r="A1510" s="68">
        <v>42341</v>
      </c>
      <c r="B1510" s="65">
        <v>63.66</v>
      </c>
      <c r="C1510" s="80">
        <v>6203169</v>
      </c>
      <c r="D1510" s="83">
        <v>-5.2678571428571574E-2</v>
      </c>
      <c r="E1510" s="82"/>
    </row>
    <row r="1511" spans="1:5" ht="14.4">
      <c r="A1511" s="68">
        <v>42340</v>
      </c>
      <c r="B1511" s="65">
        <v>67.2</v>
      </c>
      <c r="C1511" s="80">
        <v>1437294</v>
      </c>
      <c r="D1511" s="83">
        <v>-7.4349442379173514E-4</v>
      </c>
      <c r="E1511" s="82"/>
    </row>
    <row r="1512" spans="1:5" ht="14.4">
      <c r="A1512" s="68">
        <v>42339</v>
      </c>
      <c r="B1512" s="65">
        <v>67.25</v>
      </c>
      <c r="C1512" s="80">
        <v>2219478</v>
      </c>
      <c r="D1512" s="83">
        <v>-1.7387492694330819E-2</v>
      </c>
      <c r="E1512" s="82"/>
    </row>
    <row r="1513" spans="1:5" ht="14.4">
      <c r="A1513" s="68">
        <v>42338</v>
      </c>
      <c r="B1513" s="65">
        <v>68.44</v>
      </c>
      <c r="C1513" s="80">
        <v>1716185</v>
      </c>
      <c r="D1513" s="83">
        <v>7.2111846946283364E-3</v>
      </c>
      <c r="E1513" s="82"/>
    </row>
    <row r="1514" spans="1:5" ht="14.4">
      <c r="A1514" s="68">
        <v>42335</v>
      </c>
      <c r="B1514" s="65">
        <v>67.95</v>
      </c>
      <c r="C1514" s="80">
        <v>1488540</v>
      </c>
      <c r="D1514" s="83">
        <v>-2.9347028613353476E-3</v>
      </c>
      <c r="E1514" s="82"/>
    </row>
    <row r="1515" spans="1:5" ht="14.4">
      <c r="A1515" s="68">
        <v>42334</v>
      </c>
      <c r="B1515" s="65">
        <v>68.150000000000006</v>
      </c>
      <c r="C1515" s="80">
        <v>1647209</v>
      </c>
      <c r="D1515" s="83">
        <v>1.6405667412378921E-2</v>
      </c>
      <c r="E1515" s="82"/>
    </row>
    <row r="1516" spans="1:5" ht="14.4">
      <c r="A1516" s="68">
        <v>42333</v>
      </c>
      <c r="B1516" s="65">
        <v>67.05</v>
      </c>
      <c r="C1516" s="80">
        <v>2614825</v>
      </c>
      <c r="D1516" s="83">
        <v>2.2259490776032731E-2</v>
      </c>
      <c r="E1516" s="82"/>
    </row>
    <row r="1517" spans="1:5" ht="14.4">
      <c r="A1517" s="68">
        <v>42332</v>
      </c>
      <c r="B1517" s="65">
        <v>65.59</v>
      </c>
      <c r="C1517" s="80">
        <v>2531675</v>
      </c>
      <c r="D1517" s="83">
        <v>-1.4128964376972752E-2</v>
      </c>
      <c r="E1517" s="82"/>
    </row>
    <row r="1518" spans="1:5" ht="14.4">
      <c r="A1518" s="68">
        <v>42331</v>
      </c>
      <c r="B1518" s="65">
        <v>66.53</v>
      </c>
      <c r="C1518" s="80">
        <v>1804364</v>
      </c>
      <c r="D1518" s="83">
        <v>1.6561276723878748E-3</v>
      </c>
      <c r="E1518" s="82"/>
    </row>
    <row r="1519" spans="1:5" ht="14.4">
      <c r="A1519" s="68">
        <v>42328</v>
      </c>
      <c r="B1519" s="65">
        <v>66.42</v>
      </c>
      <c r="C1519" s="80">
        <v>2123447</v>
      </c>
      <c r="D1519" s="83">
        <v>8.3497798694398551E-3</v>
      </c>
      <c r="E1519" s="82"/>
    </row>
    <row r="1520" spans="1:5" ht="14.4">
      <c r="A1520" s="68">
        <v>42327</v>
      </c>
      <c r="B1520" s="65">
        <v>65.87</v>
      </c>
      <c r="C1520" s="80">
        <v>2456397</v>
      </c>
      <c r="D1520" s="83">
        <v>1.3681970203709426E-3</v>
      </c>
      <c r="E1520" s="82"/>
    </row>
    <row r="1521" spans="1:5" ht="14.4">
      <c r="A1521" s="68">
        <v>42326</v>
      </c>
      <c r="B1521" s="65">
        <v>65.78</v>
      </c>
      <c r="C1521" s="80">
        <v>2318226</v>
      </c>
      <c r="D1521" s="83">
        <v>-5.893909626719096E-3</v>
      </c>
      <c r="E1521" s="82"/>
    </row>
    <row r="1522" spans="1:5" ht="14.4">
      <c r="A1522" s="68">
        <v>42325</v>
      </c>
      <c r="B1522" s="65">
        <v>66.17</v>
      </c>
      <c r="C1522" s="80">
        <v>2966483</v>
      </c>
      <c r="D1522" s="83">
        <v>4.2704065553104353E-2</v>
      </c>
      <c r="E1522" s="82"/>
    </row>
    <row r="1523" spans="1:5" ht="14.4">
      <c r="A1523" s="68">
        <v>42324</v>
      </c>
      <c r="B1523" s="65">
        <v>63.46</v>
      </c>
      <c r="C1523" s="80">
        <v>1873815</v>
      </c>
      <c r="D1523" s="83">
        <v>-1.1018416496143546E-3</v>
      </c>
      <c r="E1523" s="82"/>
    </row>
    <row r="1524" spans="1:5" ht="14.4">
      <c r="A1524" s="68">
        <v>42321</v>
      </c>
      <c r="B1524" s="65">
        <v>63.53</v>
      </c>
      <c r="C1524" s="80">
        <v>1990529</v>
      </c>
      <c r="D1524" s="83">
        <v>-8.2734935997502701E-3</v>
      </c>
      <c r="E1524" s="82"/>
    </row>
    <row r="1525" spans="1:5" ht="14.4">
      <c r="A1525" s="68">
        <v>42320</v>
      </c>
      <c r="B1525" s="65">
        <v>64.06</v>
      </c>
      <c r="C1525" s="80">
        <v>3096343</v>
      </c>
      <c r="D1525" s="83">
        <v>-3.7415477084898452E-2</v>
      </c>
      <c r="E1525" s="82"/>
    </row>
    <row r="1526" spans="1:5" ht="14.4">
      <c r="A1526" s="68">
        <v>42319</v>
      </c>
      <c r="B1526" s="65">
        <v>66.55</v>
      </c>
      <c r="C1526" s="80">
        <v>1407624</v>
      </c>
      <c r="D1526" s="83">
        <v>8.0278703423204423E-3</v>
      </c>
      <c r="E1526" s="82"/>
    </row>
    <row r="1527" spans="1:5" ht="14.4">
      <c r="A1527" s="68">
        <v>42318</v>
      </c>
      <c r="B1527" s="65">
        <v>66.02</v>
      </c>
      <c r="C1527" s="80">
        <v>1731106</v>
      </c>
      <c r="D1527" s="83">
        <v>9.4801223241589572E-3</v>
      </c>
      <c r="E1527" s="82"/>
    </row>
    <row r="1528" spans="1:5" ht="14.4">
      <c r="A1528" s="68">
        <v>42317</v>
      </c>
      <c r="B1528" s="65">
        <v>65.400000000000006</v>
      </c>
      <c r="C1528" s="80">
        <v>1621405</v>
      </c>
      <c r="D1528" s="83">
        <v>-1.0590015128592922E-2</v>
      </c>
      <c r="E1528" s="82"/>
    </row>
    <row r="1529" spans="1:5" ht="14.4">
      <c r="A1529" s="68">
        <v>42314</v>
      </c>
      <c r="B1529" s="65">
        <v>66.099999999999994</v>
      </c>
      <c r="C1529" s="80">
        <v>3242457</v>
      </c>
      <c r="D1529" s="83">
        <v>2.3219814241486114E-2</v>
      </c>
      <c r="E1529" s="82"/>
    </row>
    <row r="1530" spans="1:5" ht="14.4">
      <c r="A1530" s="68">
        <v>42313</v>
      </c>
      <c r="B1530" s="65">
        <v>64.599999999999994</v>
      </c>
      <c r="C1530" s="80">
        <v>1962295</v>
      </c>
      <c r="D1530" s="83">
        <v>9.2173097953442973E-3</v>
      </c>
      <c r="E1530" s="82"/>
    </row>
    <row r="1531" spans="1:5" ht="14.4">
      <c r="A1531" s="68">
        <v>42312</v>
      </c>
      <c r="B1531" s="65">
        <v>64.010000000000005</v>
      </c>
      <c r="C1531" s="80">
        <v>2259763</v>
      </c>
      <c r="D1531" s="83">
        <v>1.233591649533472E-2</v>
      </c>
      <c r="E1531" s="82"/>
    </row>
    <row r="1532" spans="1:5" ht="14.4">
      <c r="A1532" s="68">
        <v>42311</v>
      </c>
      <c r="B1532" s="65">
        <v>63.23</v>
      </c>
      <c r="C1532" s="80">
        <v>1892925</v>
      </c>
      <c r="D1532" s="83">
        <v>-5.6612674948892661E-3</v>
      </c>
      <c r="E1532" s="82"/>
    </row>
    <row r="1533" spans="1:5" ht="14.4">
      <c r="A1533" s="68">
        <v>42310</v>
      </c>
      <c r="B1533" s="65">
        <v>63.59</v>
      </c>
      <c r="C1533" s="80">
        <v>1888898</v>
      </c>
      <c r="D1533" s="83">
        <v>3.6300505050506082E-3</v>
      </c>
      <c r="E1533" s="82"/>
    </row>
    <row r="1534" spans="1:5" ht="14.4">
      <c r="A1534" s="68">
        <v>42307</v>
      </c>
      <c r="B1534" s="65">
        <v>63.36</v>
      </c>
      <c r="C1534" s="80">
        <v>4441193</v>
      </c>
      <c r="D1534" s="83">
        <v>4.3994068215521542E-2</v>
      </c>
      <c r="E1534" s="82"/>
    </row>
    <row r="1535" spans="1:5" ht="14.4">
      <c r="A1535" s="68">
        <v>42306</v>
      </c>
      <c r="B1535" s="65">
        <v>60.69</v>
      </c>
      <c r="C1535" s="80">
        <v>2625267</v>
      </c>
      <c r="D1535" s="83">
        <v>1.7946997651794749E-2</v>
      </c>
      <c r="E1535" s="82"/>
    </row>
    <row r="1536" spans="1:5" ht="14.4">
      <c r="A1536" s="68">
        <v>42305</v>
      </c>
      <c r="B1536" s="65">
        <v>59.62</v>
      </c>
      <c r="C1536" s="80">
        <v>2125416</v>
      </c>
      <c r="D1536" s="83">
        <v>8.4573748308525154E-3</v>
      </c>
      <c r="E1536" s="82"/>
    </row>
    <row r="1537" spans="1:5" ht="14.4">
      <c r="A1537" s="68">
        <v>42304</v>
      </c>
      <c r="B1537" s="65">
        <v>59.12</v>
      </c>
      <c r="C1537" s="80">
        <v>1798187</v>
      </c>
      <c r="D1537" s="83">
        <v>-1.3844870725604808E-2</v>
      </c>
      <c r="E1537" s="82"/>
    </row>
    <row r="1538" spans="1:5" ht="14.4">
      <c r="A1538" s="68">
        <v>42303</v>
      </c>
      <c r="B1538" s="65">
        <v>59.95</v>
      </c>
      <c r="C1538" s="80">
        <v>2080517</v>
      </c>
      <c r="D1538" s="83">
        <v>-3.6563071297989191E-3</v>
      </c>
      <c r="E1538" s="82"/>
    </row>
    <row r="1539" spans="1:5" ht="14.4">
      <c r="A1539" s="68">
        <v>42300</v>
      </c>
      <c r="B1539" s="65">
        <v>60.17</v>
      </c>
      <c r="C1539" s="80">
        <v>3932694</v>
      </c>
      <c r="D1539" s="83">
        <v>4.6070931849791386E-2</v>
      </c>
      <c r="E1539" s="82"/>
    </row>
    <row r="1540" spans="1:5" ht="14.4">
      <c r="A1540" s="68">
        <v>42299</v>
      </c>
      <c r="B1540" s="65">
        <v>57.52</v>
      </c>
      <c r="C1540" s="80">
        <v>3901564</v>
      </c>
      <c r="D1540" s="83">
        <v>2.2032693674484793E-2</v>
      </c>
      <c r="E1540" s="82"/>
    </row>
    <row r="1541" spans="1:5" ht="14.4">
      <c r="A1541" s="68">
        <v>42298</v>
      </c>
      <c r="B1541" s="65">
        <v>56.28</v>
      </c>
      <c r="C1541" s="80">
        <v>2253659</v>
      </c>
      <c r="D1541" s="83">
        <v>2.2714882791204705E-2</v>
      </c>
      <c r="E1541" s="82"/>
    </row>
    <row r="1542" spans="1:5" ht="14.4">
      <c r="A1542" s="68">
        <v>42297</v>
      </c>
      <c r="B1542" s="65">
        <v>55.03</v>
      </c>
      <c r="C1542" s="80">
        <v>1596520</v>
      </c>
      <c r="D1542" s="83">
        <v>-6.8579678758345919E-3</v>
      </c>
      <c r="E1542" s="82"/>
    </row>
    <row r="1543" spans="1:5" ht="14.4">
      <c r="A1543" s="68">
        <v>42296</v>
      </c>
      <c r="B1543" s="65">
        <v>55.41</v>
      </c>
      <c r="C1543" s="80">
        <v>1627404</v>
      </c>
      <c r="D1543" s="83">
        <v>-2.160994057266441E-3</v>
      </c>
      <c r="E1543" s="82"/>
    </row>
    <row r="1544" spans="1:5" ht="14.4">
      <c r="A1544" s="68">
        <v>42293</v>
      </c>
      <c r="B1544" s="65">
        <v>55.53</v>
      </c>
      <c r="C1544" s="80">
        <v>3213294</v>
      </c>
      <c r="D1544" s="83">
        <v>1.833852924995405E-2</v>
      </c>
      <c r="E1544" s="82"/>
    </row>
    <row r="1545" spans="1:5" ht="14.4">
      <c r="A1545" s="68">
        <v>42292</v>
      </c>
      <c r="B1545" s="65">
        <v>54.53</v>
      </c>
      <c r="C1545" s="80">
        <v>4109791</v>
      </c>
      <c r="D1545" s="83">
        <v>-2.8332145402708453E-2</v>
      </c>
      <c r="E1545" s="82"/>
    </row>
    <row r="1546" spans="1:5" ht="14.4">
      <c r="A1546" s="68">
        <v>42291</v>
      </c>
      <c r="B1546" s="65">
        <v>56.12</v>
      </c>
      <c r="C1546" s="80">
        <v>1884917</v>
      </c>
      <c r="D1546" s="83">
        <v>-8.3053543028804855E-3</v>
      </c>
      <c r="E1546" s="82"/>
    </row>
    <row r="1547" spans="1:5" ht="14.4">
      <c r="A1547" s="68">
        <v>42290</v>
      </c>
      <c r="B1547" s="65">
        <v>56.59</v>
      </c>
      <c r="C1547" s="80">
        <v>2008046</v>
      </c>
      <c r="D1547" s="83">
        <v>6.9395017793594249E-3</v>
      </c>
      <c r="E1547" s="82"/>
    </row>
    <row r="1548" spans="1:5" ht="14.4">
      <c r="A1548" s="68">
        <v>42289</v>
      </c>
      <c r="B1548" s="65">
        <v>56.2</v>
      </c>
      <c r="C1548" s="80">
        <v>2039239</v>
      </c>
      <c r="D1548" s="83">
        <v>-2.4474917549036523E-2</v>
      </c>
      <c r="E1548" s="82"/>
    </row>
    <row r="1549" spans="1:5" ht="14.4">
      <c r="A1549" s="68">
        <v>42286</v>
      </c>
      <c r="B1549" s="65">
        <v>57.61</v>
      </c>
      <c r="C1549" s="80">
        <v>2577289</v>
      </c>
      <c r="D1549" s="83">
        <v>9.1084252933963938E-3</v>
      </c>
      <c r="E1549" s="82"/>
    </row>
    <row r="1550" spans="1:5" ht="14.4">
      <c r="A1550" s="68">
        <v>42285</v>
      </c>
      <c r="B1550" s="65">
        <v>57.09</v>
      </c>
      <c r="C1550" s="80">
        <v>1926533</v>
      </c>
      <c r="D1550" s="83">
        <v>3.3391915641476366E-3</v>
      </c>
      <c r="E1550" s="82"/>
    </row>
    <row r="1551" spans="1:5" ht="14.4">
      <c r="A1551" s="68">
        <v>42284</v>
      </c>
      <c r="B1551" s="65">
        <v>56.9</v>
      </c>
      <c r="C1551" s="80">
        <v>2112801</v>
      </c>
      <c r="D1551" s="83">
        <v>-1.0533707865169051E-3</v>
      </c>
      <c r="E1551" s="82"/>
    </row>
    <row r="1552" spans="1:5" ht="14.4">
      <c r="A1552" s="68">
        <v>42283</v>
      </c>
      <c r="B1552" s="65">
        <v>56.96</v>
      </c>
      <c r="C1552" s="80">
        <v>1770373</v>
      </c>
      <c r="D1552" s="83">
        <v>6.1826532414768209E-3</v>
      </c>
      <c r="E1552" s="82"/>
    </row>
    <row r="1553" spans="1:5" ht="14.4">
      <c r="A1553" s="68">
        <v>42282</v>
      </c>
      <c r="B1553" s="65">
        <v>56.61</v>
      </c>
      <c r="C1553" s="80">
        <v>2461246</v>
      </c>
      <c r="D1553" s="83">
        <v>3.5296269202633512E-2</v>
      </c>
      <c r="E1553" s="82"/>
    </row>
    <row r="1554" spans="1:5" ht="14.4">
      <c r="A1554" s="68">
        <v>42279</v>
      </c>
      <c r="B1554" s="65">
        <v>54.68</v>
      </c>
      <c r="C1554" s="80">
        <v>2973563</v>
      </c>
      <c r="D1554" s="83">
        <v>2.1101774042950661E-2</v>
      </c>
      <c r="E1554" s="82"/>
    </row>
    <row r="1555" spans="1:5" ht="14.4">
      <c r="A1555" s="68">
        <v>42278</v>
      </c>
      <c r="B1555" s="65">
        <v>53.55</v>
      </c>
      <c r="C1555" s="80">
        <v>2783191</v>
      </c>
      <c r="D1555" s="83">
        <v>1.2096012096012076E-2</v>
      </c>
      <c r="E1555" s="82"/>
    </row>
    <row r="1556" spans="1:5" ht="14.4">
      <c r="A1556" s="68">
        <v>42277</v>
      </c>
      <c r="B1556" s="65">
        <v>52.91</v>
      </c>
      <c r="C1556" s="80">
        <v>3717706</v>
      </c>
      <c r="D1556" s="83">
        <v>1.2437810945273631E-2</v>
      </c>
      <c r="E1556" s="82"/>
    </row>
    <row r="1557" spans="1:5" ht="14.4">
      <c r="A1557" s="68">
        <v>42276</v>
      </c>
      <c r="B1557" s="65">
        <v>52.26</v>
      </c>
      <c r="C1557" s="80">
        <v>2267480</v>
      </c>
      <c r="D1557" s="83">
        <v>-4.3817870070490539E-3</v>
      </c>
      <c r="E1557" s="82"/>
    </row>
    <row r="1558" spans="1:5" ht="14.4">
      <c r="A1558" s="68">
        <v>42275</v>
      </c>
      <c r="B1558" s="65">
        <v>52.49</v>
      </c>
      <c r="C1558" s="80">
        <v>2614294</v>
      </c>
      <c r="D1558" s="83">
        <v>-3.0834564254061947E-2</v>
      </c>
      <c r="E1558" s="82"/>
    </row>
    <row r="1559" spans="1:5" ht="14.4">
      <c r="A1559" s="68">
        <v>42272</v>
      </c>
      <c r="B1559" s="65">
        <v>54.16</v>
      </c>
      <c r="C1559" s="80">
        <v>3170974</v>
      </c>
      <c r="D1559" s="83">
        <v>4.4148833622517758E-2</v>
      </c>
      <c r="E1559" s="82"/>
    </row>
    <row r="1560" spans="1:5" ht="14.4">
      <c r="A1560" s="68">
        <v>42271</v>
      </c>
      <c r="B1560" s="65">
        <v>51.87</v>
      </c>
      <c r="C1560" s="80">
        <v>4420116</v>
      </c>
      <c r="D1560" s="83">
        <v>-2.6646650403452821E-2</v>
      </c>
      <c r="E1560" s="82"/>
    </row>
    <row r="1561" spans="1:5" ht="14.4">
      <c r="A1561" s="68">
        <v>42270</v>
      </c>
      <c r="B1561" s="65">
        <v>53.29</v>
      </c>
      <c r="C1561" s="80">
        <v>1812314</v>
      </c>
      <c r="D1561" s="83">
        <v>3.5781544256119346E-3</v>
      </c>
      <c r="E1561" s="82"/>
    </row>
    <row r="1562" spans="1:5" ht="14.4">
      <c r="A1562" s="68">
        <v>42269</v>
      </c>
      <c r="B1562" s="65">
        <v>53.1</v>
      </c>
      <c r="C1562" s="80">
        <v>2930157</v>
      </c>
      <c r="D1562" s="83">
        <v>-3.4545454545454546E-2</v>
      </c>
      <c r="E1562" s="82"/>
    </row>
    <row r="1563" spans="1:5" ht="14.4">
      <c r="A1563" s="68">
        <v>42268</v>
      </c>
      <c r="B1563" s="65">
        <v>55</v>
      </c>
      <c r="C1563" s="80">
        <v>2158121</v>
      </c>
      <c r="D1563" s="83">
        <v>1.065784638000733E-2</v>
      </c>
      <c r="E1563" s="82"/>
    </row>
    <row r="1564" spans="1:5" ht="14.4">
      <c r="A1564" s="68">
        <v>42265</v>
      </c>
      <c r="B1564" s="65">
        <v>54.42</v>
      </c>
      <c r="C1564" s="80">
        <v>5417232</v>
      </c>
      <c r="D1564" s="83">
        <v>-3.3735795454545414E-2</v>
      </c>
      <c r="E1564" s="82"/>
    </row>
    <row r="1565" spans="1:5" ht="14.4">
      <c r="A1565" s="68">
        <v>42264</v>
      </c>
      <c r="B1565" s="65">
        <v>56.32</v>
      </c>
      <c r="C1565" s="80">
        <v>1837043</v>
      </c>
      <c r="D1565" s="83">
        <v>1.131262345124795E-2</v>
      </c>
      <c r="E1565" s="82"/>
    </row>
    <row r="1566" spans="1:5" ht="14.4">
      <c r="A1566" s="68">
        <v>42263</v>
      </c>
      <c r="B1566" s="65">
        <v>55.69</v>
      </c>
      <c r="C1566" s="80">
        <v>1949821</v>
      </c>
      <c r="D1566" s="83">
        <v>1.1442063203777719E-2</v>
      </c>
      <c r="E1566" s="82"/>
    </row>
    <row r="1567" spans="1:5" ht="14.4">
      <c r="A1567" s="68">
        <v>42262</v>
      </c>
      <c r="B1567" s="65">
        <v>55.06</v>
      </c>
      <c r="C1567" s="80">
        <v>2096065</v>
      </c>
      <c r="D1567" s="83">
        <v>1.0089891762979253E-2</v>
      </c>
      <c r="E1567" s="82"/>
    </row>
    <row r="1568" spans="1:5" ht="14.4">
      <c r="A1568" s="68">
        <v>42261</v>
      </c>
      <c r="B1568" s="65">
        <v>54.51</v>
      </c>
      <c r="C1568" s="80">
        <v>2651764</v>
      </c>
      <c r="D1568" s="83">
        <v>-1.9075040489472728E-2</v>
      </c>
      <c r="E1568" s="82"/>
    </row>
    <row r="1569" spans="1:5" ht="14.4">
      <c r="A1569" s="68">
        <v>42258</v>
      </c>
      <c r="B1569" s="65">
        <v>55.57</v>
      </c>
      <c r="C1569" s="80">
        <v>2392723</v>
      </c>
      <c r="D1569" s="83">
        <v>-1.6460176991150433E-2</v>
      </c>
      <c r="E1569" s="82"/>
    </row>
    <row r="1570" spans="1:5" ht="14.4">
      <c r="A1570" s="68">
        <v>42257</v>
      </c>
      <c r="B1570" s="65">
        <v>56.5</v>
      </c>
      <c r="C1570" s="80">
        <v>2119119</v>
      </c>
      <c r="D1570" s="83">
        <v>-1.4305652477320296E-2</v>
      </c>
      <c r="E1570" s="82"/>
    </row>
    <row r="1571" spans="1:5" ht="14.4">
      <c r="A1571" s="68">
        <v>42256</v>
      </c>
      <c r="B1571" s="65">
        <v>57.32</v>
      </c>
      <c r="C1571" s="80">
        <v>2235448</v>
      </c>
      <c r="D1571" s="83">
        <v>2.5585972445875793E-2</v>
      </c>
      <c r="E1571" s="82"/>
    </row>
    <row r="1572" spans="1:5" ht="14.4">
      <c r="A1572" s="68">
        <v>42255</v>
      </c>
      <c r="B1572" s="65">
        <v>55.89</v>
      </c>
      <c r="C1572" s="80">
        <v>1700051</v>
      </c>
      <c r="D1572" s="83">
        <v>1.0121091632026014E-2</v>
      </c>
      <c r="E1572" s="82"/>
    </row>
    <row r="1573" spans="1:5" ht="14.4">
      <c r="A1573" s="68">
        <v>42254</v>
      </c>
      <c r="B1573" s="65">
        <v>55.33</v>
      </c>
      <c r="C1573" s="80">
        <v>1575189</v>
      </c>
      <c r="D1573" s="83">
        <v>1.8076644974684974E-4</v>
      </c>
      <c r="E1573" s="82"/>
    </row>
    <row r="1574" spans="1:5" ht="14.4">
      <c r="A1574" s="68">
        <v>42251</v>
      </c>
      <c r="B1574" s="65">
        <v>55.32</v>
      </c>
      <c r="C1574" s="80">
        <v>3001644</v>
      </c>
      <c r="D1574" s="83">
        <v>-3.6908077994428967E-2</v>
      </c>
      <c r="E1574" s="82"/>
    </row>
    <row r="1575" spans="1:5" ht="14.4">
      <c r="A1575" s="68">
        <v>42250</v>
      </c>
      <c r="B1575" s="65">
        <v>57.44</v>
      </c>
      <c r="C1575" s="80">
        <v>3139748</v>
      </c>
      <c r="D1575" s="83">
        <v>3.0129124820659881E-2</v>
      </c>
      <c r="E1575" s="82"/>
    </row>
    <row r="1576" spans="1:5" ht="14.4">
      <c r="A1576" s="68">
        <v>42249</v>
      </c>
      <c r="B1576" s="65">
        <v>55.76</v>
      </c>
      <c r="C1576" s="80">
        <v>2587116</v>
      </c>
      <c r="D1576" s="83">
        <v>-1.3271987258892226E-2</v>
      </c>
      <c r="E1576" s="82"/>
    </row>
    <row r="1577" spans="1:5" ht="14.4">
      <c r="A1577" s="68">
        <v>42248</v>
      </c>
      <c r="B1577" s="65">
        <v>56.51</v>
      </c>
      <c r="C1577" s="80">
        <v>3606211</v>
      </c>
      <c r="D1577" s="83">
        <v>-2.7199173695989121E-2</v>
      </c>
      <c r="E1577" s="82"/>
    </row>
    <row r="1578" spans="1:5" ht="14.4">
      <c r="A1578" s="68">
        <v>42247</v>
      </c>
      <c r="B1578" s="65">
        <v>58.09</v>
      </c>
      <c r="C1578" s="80">
        <v>1592516</v>
      </c>
      <c r="D1578" s="83">
        <v>-3.2601235415236074E-3</v>
      </c>
      <c r="E1578" s="82"/>
    </row>
    <row r="1579" spans="1:5" ht="14.4">
      <c r="A1579" s="68">
        <v>42244</v>
      </c>
      <c r="B1579" s="65">
        <v>58.28</v>
      </c>
      <c r="C1579" s="80">
        <v>2594392</v>
      </c>
      <c r="D1579" s="83">
        <v>6.3892246589536406E-3</v>
      </c>
      <c r="E1579" s="82"/>
    </row>
    <row r="1580" spans="1:5" ht="14.4">
      <c r="A1580" s="68">
        <v>42243</v>
      </c>
      <c r="B1580" s="65">
        <v>57.91</v>
      </c>
      <c r="C1580" s="80">
        <v>3522336</v>
      </c>
      <c r="D1580" s="83">
        <v>3.5586552217453438E-2</v>
      </c>
      <c r="E1580" s="82"/>
    </row>
    <row r="1581" spans="1:5" ht="14.4">
      <c r="A1581" s="68">
        <v>42242</v>
      </c>
      <c r="B1581" s="65">
        <v>55.92</v>
      </c>
      <c r="C1581" s="80">
        <v>4134979</v>
      </c>
      <c r="D1581" s="83">
        <v>-4.982206405694023E-3</v>
      </c>
      <c r="E1581" s="82"/>
    </row>
    <row r="1582" spans="1:5" ht="14.4">
      <c r="A1582" s="68">
        <v>42241</v>
      </c>
      <c r="B1582" s="65">
        <v>56.2</v>
      </c>
      <c r="C1582" s="80">
        <v>6225807</v>
      </c>
      <c r="D1582" s="83">
        <v>2.7422303473491727E-2</v>
      </c>
      <c r="E1582" s="82"/>
    </row>
    <row r="1583" spans="1:5" ht="14.4">
      <c r="A1583" s="68">
        <v>42240</v>
      </c>
      <c r="B1583" s="65">
        <v>54.7</v>
      </c>
      <c r="C1583" s="80">
        <v>9049547</v>
      </c>
      <c r="D1583" s="83">
        <v>-4.6872277400243911E-2</v>
      </c>
      <c r="E1583" s="82"/>
    </row>
    <row r="1584" spans="1:5" ht="14.4">
      <c r="A1584" s="68">
        <v>42237</v>
      </c>
      <c r="B1584" s="65">
        <v>57.39</v>
      </c>
      <c r="C1584" s="80">
        <v>4347632</v>
      </c>
      <c r="D1584" s="83">
        <v>-4.5091514143094868E-2</v>
      </c>
      <c r="E1584" s="82"/>
    </row>
    <row r="1585" spans="1:5" ht="14.4">
      <c r="A1585" s="68">
        <v>42236</v>
      </c>
      <c r="B1585" s="65">
        <v>60.1</v>
      </c>
      <c r="C1585" s="80">
        <v>3119727</v>
      </c>
      <c r="D1585" s="83">
        <v>-2.8451341739411551E-2</v>
      </c>
      <c r="E1585" s="82"/>
    </row>
    <row r="1586" spans="1:5" ht="14.4">
      <c r="A1586" s="68">
        <v>42235</v>
      </c>
      <c r="B1586" s="65">
        <v>61.86</v>
      </c>
      <c r="C1586" s="80">
        <v>1750478</v>
      </c>
      <c r="D1586" s="83">
        <v>-1.7471410419313882E-2</v>
      </c>
      <c r="E1586" s="82"/>
    </row>
    <row r="1587" spans="1:5" ht="14.4">
      <c r="A1587" s="68">
        <v>42234</v>
      </c>
      <c r="B1587" s="65">
        <v>62.96</v>
      </c>
      <c r="C1587" s="80">
        <v>1750900</v>
      </c>
      <c r="D1587" s="83">
        <v>-7.935248373273085E-4</v>
      </c>
      <c r="E1587" s="82"/>
    </row>
    <row r="1588" spans="1:5" ht="14.4">
      <c r="A1588" s="68">
        <v>42233</v>
      </c>
      <c r="B1588" s="65">
        <v>63.01</v>
      </c>
      <c r="C1588" s="80">
        <v>1806220</v>
      </c>
      <c r="D1588" s="83">
        <v>9.7756410256411019E-3</v>
      </c>
      <c r="E1588" s="82"/>
    </row>
    <row r="1589" spans="1:5" ht="14.4">
      <c r="A1589" s="68">
        <v>42230</v>
      </c>
      <c r="B1589" s="65">
        <v>62.4</v>
      </c>
      <c r="C1589" s="80">
        <v>2330199</v>
      </c>
      <c r="D1589" s="83">
        <v>-8.0064051241002243E-4</v>
      </c>
      <c r="E1589" s="82"/>
    </row>
    <row r="1590" spans="1:5" ht="14.4">
      <c r="A1590" s="68">
        <v>42229</v>
      </c>
      <c r="B1590" s="65">
        <v>62.45</v>
      </c>
      <c r="C1590" s="80">
        <v>2369607</v>
      </c>
      <c r="D1590" s="83">
        <v>2.4610336341263306E-2</v>
      </c>
      <c r="E1590" s="82"/>
    </row>
    <row r="1591" spans="1:5" ht="14.4">
      <c r="A1591" s="68">
        <v>42228</v>
      </c>
      <c r="B1591" s="65">
        <v>60.95</v>
      </c>
      <c r="C1591" s="80">
        <v>4916535</v>
      </c>
      <c r="D1591" s="83">
        <v>-5.1804604853764702E-2</v>
      </c>
      <c r="E1591" s="82"/>
    </row>
    <row r="1592" spans="1:5" ht="14.4">
      <c r="A1592" s="68">
        <v>42227</v>
      </c>
      <c r="B1592" s="65">
        <v>64.28</v>
      </c>
      <c r="C1592" s="80">
        <v>2686036</v>
      </c>
      <c r="D1592" s="83">
        <v>-2.7975200362921449E-2</v>
      </c>
      <c r="E1592" s="82"/>
    </row>
    <row r="1593" spans="1:5" ht="14.4">
      <c r="A1593" s="68">
        <v>42226</v>
      </c>
      <c r="B1593" s="65">
        <v>66.13</v>
      </c>
      <c r="C1593" s="80">
        <v>2096107</v>
      </c>
      <c r="D1593" s="83">
        <v>-5.5639097744361043E-3</v>
      </c>
      <c r="E1593" s="82"/>
    </row>
    <row r="1594" spans="1:5" ht="14.4">
      <c r="A1594" s="68">
        <v>42223</v>
      </c>
      <c r="B1594" s="65">
        <v>66.5</v>
      </c>
      <c r="C1594" s="80">
        <v>1474812</v>
      </c>
      <c r="D1594" s="83">
        <v>-1.012206013694561E-2</v>
      </c>
      <c r="E1594" s="82"/>
    </row>
    <row r="1595" spans="1:5" ht="14.4">
      <c r="A1595" s="68">
        <v>42222</v>
      </c>
      <c r="B1595" s="65">
        <v>67.180000000000007</v>
      </c>
      <c r="C1595" s="80">
        <v>1771972</v>
      </c>
      <c r="D1595" s="83">
        <v>6.7435935860933327E-3</v>
      </c>
      <c r="E1595" s="82"/>
    </row>
    <row r="1596" spans="1:5" ht="14.4">
      <c r="A1596" s="68">
        <v>42221</v>
      </c>
      <c r="B1596" s="65">
        <v>66.73</v>
      </c>
      <c r="C1596" s="80">
        <v>2236967</v>
      </c>
      <c r="D1596" s="83">
        <v>2.8355678841115894E-2</v>
      </c>
      <c r="E1596" s="82"/>
    </row>
    <row r="1597" spans="1:5" ht="14.4">
      <c r="A1597" s="68">
        <v>42220</v>
      </c>
      <c r="B1597" s="65">
        <v>64.89</v>
      </c>
      <c r="C1597" s="80">
        <v>1579576</v>
      </c>
      <c r="D1597" s="83">
        <v>-1.2779552715655007E-2</v>
      </c>
      <c r="E1597" s="82"/>
    </row>
    <row r="1598" spans="1:5" ht="14.4">
      <c r="A1598" s="68">
        <v>42219</v>
      </c>
      <c r="B1598" s="65">
        <v>65.73</v>
      </c>
      <c r="C1598" s="80">
        <v>1744636</v>
      </c>
      <c r="D1598" s="83">
        <v>1.7492260061919618E-2</v>
      </c>
      <c r="E1598" s="82"/>
    </row>
    <row r="1599" spans="1:5" ht="14.4">
      <c r="A1599" s="68">
        <v>42216</v>
      </c>
      <c r="B1599" s="65">
        <v>64.599999999999994</v>
      </c>
      <c r="C1599" s="80">
        <v>4138690</v>
      </c>
      <c r="D1599" s="83">
        <v>3.5090530363723671E-2</v>
      </c>
      <c r="E1599" s="82"/>
    </row>
    <row r="1600" spans="1:5" ht="14.4">
      <c r="A1600" s="68">
        <v>42215</v>
      </c>
      <c r="B1600" s="65">
        <v>62.41</v>
      </c>
      <c r="C1600" s="80">
        <v>2340130</v>
      </c>
      <c r="D1600" s="83">
        <v>4.6683837733418887E-3</v>
      </c>
      <c r="E1600" s="82"/>
    </row>
    <row r="1601" spans="1:5" ht="14.4">
      <c r="A1601" s="68">
        <v>42214</v>
      </c>
      <c r="B1601" s="65">
        <v>62.12</v>
      </c>
      <c r="C1601" s="80">
        <v>1849188</v>
      </c>
      <c r="D1601" s="83">
        <v>1.4535358484403016E-2</v>
      </c>
      <c r="E1601" s="82"/>
    </row>
    <row r="1602" spans="1:5" ht="14.4">
      <c r="A1602" s="68">
        <v>42213</v>
      </c>
      <c r="B1602" s="65">
        <v>61.23</v>
      </c>
      <c r="C1602" s="80">
        <v>1911258</v>
      </c>
      <c r="D1602" s="83">
        <v>1.5422885572139222E-2</v>
      </c>
      <c r="E1602" s="82"/>
    </row>
    <row r="1603" spans="1:5" ht="14.4">
      <c r="A1603" s="68">
        <v>42212</v>
      </c>
      <c r="B1603" s="65">
        <v>60.3</v>
      </c>
      <c r="C1603" s="80">
        <v>2975792</v>
      </c>
      <c r="D1603" s="83">
        <v>-4.3767840152236004E-2</v>
      </c>
      <c r="E1603" s="82"/>
    </row>
    <row r="1604" spans="1:5" ht="14.4">
      <c r="A1604" s="68">
        <v>42209</v>
      </c>
      <c r="B1604" s="65">
        <v>63.06</v>
      </c>
      <c r="C1604" s="80">
        <v>1530116</v>
      </c>
      <c r="D1604" s="83">
        <v>3.1725888324873885E-4</v>
      </c>
      <c r="E1604" s="82"/>
    </row>
    <row r="1605" spans="1:5" ht="14.4">
      <c r="A1605" s="68">
        <v>42208</v>
      </c>
      <c r="B1605" s="65">
        <v>63.04</v>
      </c>
      <c r="C1605" s="80">
        <v>1619670</v>
      </c>
      <c r="D1605" s="83">
        <v>-5.050505050505083E-3</v>
      </c>
      <c r="E1605" s="82"/>
    </row>
    <row r="1606" spans="1:5" ht="14.4">
      <c r="A1606" s="68">
        <v>42207</v>
      </c>
      <c r="B1606" s="65">
        <v>63.36</v>
      </c>
      <c r="C1606" s="80">
        <v>1809474</v>
      </c>
      <c r="D1606" s="83">
        <v>-1.1235955056179803E-2</v>
      </c>
      <c r="E1606" s="82"/>
    </row>
    <row r="1607" spans="1:5" ht="14.4">
      <c r="A1607" s="68">
        <v>42206</v>
      </c>
      <c r="B1607" s="65">
        <v>64.08</v>
      </c>
      <c r="C1607" s="80">
        <v>1658317</v>
      </c>
      <c r="D1607" s="83">
        <v>-1.0194624652455908E-2</v>
      </c>
      <c r="E1607" s="82"/>
    </row>
    <row r="1608" spans="1:5" ht="14.4">
      <c r="A1608" s="68">
        <v>42205</v>
      </c>
      <c r="B1608" s="65">
        <v>64.739999999999995</v>
      </c>
      <c r="C1608" s="80">
        <v>1917334</v>
      </c>
      <c r="D1608" s="83">
        <v>1.3921113689092657E-3</v>
      </c>
      <c r="E1608" s="82"/>
    </row>
    <row r="1609" spans="1:5" ht="14.4">
      <c r="A1609" s="68">
        <v>42202</v>
      </c>
      <c r="B1609" s="65">
        <v>64.650000000000006</v>
      </c>
      <c r="C1609" s="80">
        <v>2014852</v>
      </c>
      <c r="D1609" s="83">
        <v>-7.2174447174446765E-3</v>
      </c>
      <c r="E1609" s="82"/>
    </row>
    <row r="1610" spans="1:5" ht="14.4">
      <c r="A1610" s="68">
        <v>42201</v>
      </c>
      <c r="B1610" s="65">
        <v>65.12</v>
      </c>
      <c r="C1610" s="80">
        <v>2346903</v>
      </c>
      <c r="D1610" s="83">
        <v>2.2452504317789446E-2</v>
      </c>
      <c r="E1610" s="82"/>
    </row>
    <row r="1611" spans="1:5" ht="14.4">
      <c r="A1611" s="68">
        <v>42200</v>
      </c>
      <c r="B1611" s="65">
        <v>63.69</v>
      </c>
      <c r="C1611" s="80">
        <v>1635750</v>
      </c>
      <c r="D1611" s="83">
        <v>1.288167938931295E-2</v>
      </c>
      <c r="E1611" s="82"/>
    </row>
    <row r="1612" spans="1:5" ht="14.4">
      <c r="A1612" s="68">
        <v>42199</v>
      </c>
      <c r="B1612" s="65">
        <v>62.88</v>
      </c>
      <c r="C1612" s="80">
        <v>1276987</v>
      </c>
      <c r="D1612" s="83">
        <v>9.633911368015502E-3</v>
      </c>
      <c r="E1612" s="82"/>
    </row>
    <row r="1613" spans="1:5" ht="14.4">
      <c r="A1613" s="68">
        <v>42198</v>
      </c>
      <c r="B1613" s="65">
        <v>62.28</v>
      </c>
      <c r="C1613" s="80">
        <v>2620930</v>
      </c>
      <c r="D1613" s="83">
        <v>3.1125827814569629E-2</v>
      </c>
      <c r="E1613" s="82"/>
    </row>
    <row r="1614" spans="1:5" ht="14.4">
      <c r="A1614" s="68">
        <v>42195</v>
      </c>
      <c r="B1614" s="65">
        <v>60.4</v>
      </c>
      <c r="C1614" s="80">
        <v>2763636</v>
      </c>
      <c r="D1614" s="83">
        <v>3.0716723549488067E-2</v>
      </c>
      <c r="E1614" s="82"/>
    </row>
    <row r="1615" spans="1:5" ht="14.4">
      <c r="A1615" s="68">
        <v>42194</v>
      </c>
      <c r="B1615" s="65">
        <v>58.6</v>
      </c>
      <c r="C1615" s="80">
        <v>2179406</v>
      </c>
      <c r="D1615" s="83">
        <v>2.5192442267319981E-2</v>
      </c>
      <c r="E1615" s="82"/>
    </row>
    <row r="1616" spans="1:5" ht="14.4">
      <c r="A1616" s="68">
        <v>42193</v>
      </c>
      <c r="B1616" s="65">
        <v>57.16</v>
      </c>
      <c r="C1616" s="80">
        <v>2889838</v>
      </c>
      <c r="D1616" s="83">
        <v>9.5372659837513751E-3</v>
      </c>
      <c r="E1616" s="82"/>
    </row>
    <row r="1617" spans="1:5" ht="14.4">
      <c r="A1617" s="68">
        <v>42192</v>
      </c>
      <c r="B1617" s="65">
        <v>56.62</v>
      </c>
      <c r="C1617" s="80">
        <v>3404999</v>
      </c>
      <c r="D1617" s="83">
        <v>-3.0147310722850373E-2</v>
      </c>
      <c r="E1617" s="82"/>
    </row>
    <row r="1618" spans="1:5" ht="14.4">
      <c r="A1618" s="68">
        <v>42191</v>
      </c>
      <c r="B1618" s="65">
        <v>58.38</v>
      </c>
      <c r="C1618" s="80">
        <v>2979146</v>
      </c>
      <c r="D1618" s="83">
        <v>-1.4017902381354475E-2</v>
      </c>
      <c r="E1618" s="82"/>
    </row>
    <row r="1619" spans="1:5" ht="14.4">
      <c r="A1619" s="68">
        <v>42188</v>
      </c>
      <c r="B1619" s="65">
        <v>59.21</v>
      </c>
      <c r="C1619" s="80">
        <v>2062176</v>
      </c>
      <c r="D1619" s="83">
        <v>-5.2083333333333703E-3</v>
      </c>
      <c r="E1619" s="82"/>
    </row>
    <row r="1620" spans="1:5" ht="14.4">
      <c r="A1620" s="68">
        <v>42187</v>
      </c>
      <c r="B1620" s="65">
        <v>59.52</v>
      </c>
      <c r="C1620" s="80">
        <v>1903264</v>
      </c>
      <c r="D1620" s="83">
        <v>-1.4079840980619429E-2</v>
      </c>
      <c r="E1620" s="82"/>
    </row>
    <row r="1621" spans="1:5" ht="14.4">
      <c r="A1621" s="68">
        <v>42186</v>
      </c>
      <c r="B1621" s="65">
        <v>60.37</v>
      </c>
      <c r="C1621" s="80">
        <v>4189932</v>
      </c>
      <c r="D1621" s="83">
        <v>3.7285223367697462E-2</v>
      </c>
      <c r="E1621" s="82"/>
    </row>
    <row r="1622" spans="1:5" ht="14.4">
      <c r="A1622" s="68">
        <v>42185</v>
      </c>
      <c r="B1622" s="65">
        <v>58.2</v>
      </c>
      <c r="C1622" s="80">
        <v>3960975</v>
      </c>
      <c r="D1622" s="83">
        <v>-1.8549747048903775E-2</v>
      </c>
      <c r="E1622" s="82"/>
    </row>
    <row r="1623" spans="1:5" ht="14.4">
      <c r="A1623" s="68">
        <v>42184</v>
      </c>
      <c r="B1623" s="65">
        <v>59.3</v>
      </c>
      <c r="C1623" s="80">
        <v>3818093</v>
      </c>
      <c r="D1623" s="83">
        <v>-3.5929117216712769E-2</v>
      </c>
      <c r="E1623" s="82"/>
    </row>
    <row r="1624" spans="1:5" ht="14.4">
      <c r="A1624" s="68">
        <v>42181</v>
      </c>
      <c r="B1624" s="65">
        <v>61.51</v>
      </c>
      <c r="C1624" s="80">
        <v>2427603</v>
      </c>
      <c r="D1624" s="83">
        <v>-5.1754811580139171E-3</v>
      </c>
      <c r="E1624" s="82"/>
    </row>
    <row r="1625" spans="1:5" ht="14.4">
      <c r="A1625" s="68">
        <v>42180</v>
      </c>
      <c r="B1625" s="65">
        <v>61.83</v>
      </c>
      <c r="C1625" s="80">
        <v>3518802</v>
      </c>
      <c r="D1625" s="83">
        <v>2.2694115739989584E-3</v>
      </c>
      <c r="E1625" s="82"/>
    </row>
    <row r="1626" spans="1:5" ht="14.4">
      <c r="A1626" s="68">
        <v>42179</v>
      </c>
      <c r="B1626" s="65">
        <v>61.69</v>
      </c>
      <c r="C1626" s="80">
        <v>2810227</v>
      </c>
      <c r="D1626" s="83">
        <v>-4.8394902403614548E-3</v>
      </c>
      <c r="E1626" s="82"/>
    </row>
    <row r="1627" spans="1:5" ht="14.4">
      <c r="A1627" s="68">
        <v>42178</v>
      </c>
      <c r="B1627" s="65">
        <v>61.99</v>
      </c>
      <c r="C1627" s="80">
        <v>2608448</v>
      </c>
      <c r="D1627" s="83">
        <v>2.226253298153047E-2</v>
      </c>
      <c r="E1627" s="82"/>
    </row>
    <row r="1628" spans="1:5" ht="14.4">
      <c r="A1628" s="68">
        <v>42177</v>
      </c>
      <c r="B1628" s="65">
        <v>60.64</v>
      </c>
      <c r="C1628" s="80">
        <v>3793439</v>
      </c>
      <c r="D1628" s="83">
        <v>2.8842891075670174E-2</v>
      </c>
      <c r="E1628" s="82"/>
    </row>
    <row r="1629" spans="1:5" ht="14.4">
      <c r="A1629" s="68">
        <v>42174</v>
      </c>
      <c r="B1629" s="65">
        <v>58.94</v>
      </c>
      <c r="C1629" s="80">
        <v>4783481</v>
      </c>
      <c r="D1629" s="83">
        <v>2.1667533368001424E-2</v>
      </c>
      <c r="E1629" s="82"/>
    </row>
    <row r="1630" spans="1:5" ht="14.4">
      <c r="A1630" s="68">
        <v>42173</v>
      </c>
      <c r="B1630" s="65">
        <v>57.69</v>
      </c>
      <c r="C1630" s="80">
        <v>4128000</v>
      </c>
      <c r="D1630" s="83">
        <v>-4.6583850931677384E-3</v>
      </c>
      <c r="E1630" s="82"/>
    </row>
    <row r="1631" spans="1:5" ht="14.4">
      <c r="A1631" s="68">
        <v>42172</v>
      </c>
      <c r="B1631" s="65">
        <v>57.96</v>
      </c>
      <c r="C1631" s="80">
        <v>2585767</v>
      </c>
      <c r="D1631" s="83">
        <v>-2.3749368367862456E-2</v>
      </c>
      <c r="E1631" s="82"/>
    </row>
    <row r="1632" spans="1:5" ht="14.4">
      <c r="A1632" s="68">
        <v>42171</v>
      </c>
      <c r="B1632" s="65">
        <v>59.37</v>
      </c>
      <c r="C1632" s="80">
        <v>3418757</v>
      </c>
      <c r="D1632" s="83">
        <v>1.3493000505986341E-3</v>
      </c>
      <c r="E1632" s="82"/>
    </row>
    <row r="1633" spans="1:5" ht="14.4">
      <c r="A1633" s="68">
        <v>42170</v>
      </c>
      <c r="B1633" s="65">
        <v>59.29</v>
      </c>
      <c r="C1633" s="80">
        <v>2739965</v>
      </c>
      <c r="D1633" s="83">
        <v>-1.9027134348113761E-2</v>
      </c>
      <c r="E1633" s="82"/>
    </row>
    <row r="1634" spans="1:5" ht="14.4">
      <c r="A1634" s="68">
        <v>42167</v>
      </c>
      <c r="B1634" s="65">
        <v>60.44</v>
      </c>
      <c r="C1634" s="80">
        <v>2785727</v>
      </c>
      <c r="D1634" s="83">
        <v>-1.6436126932465545E-2</v>
      </c>
      <c r="E1634" s="82"/>
    </row>
    <row r="1635" spans="1:5" ht="14.4">
      <c r="A1635" s="68">
        <v>42166</v>
      </c>
      <c r="B1635" s="65">
        <v>61.45</v>
      </c>
      <c r="C1635" s="80">
        <v>2729206</v>
      </c>
      <c r="D1635" s="83">
        <v>1.5199074838922799E-2</v>
      </c>
      <c r="E1635" s="82"/>
    </row>
    <row r="1636" spans="1:5" ht="14.4">
      <c r="A1636" s="68">
        <v>42165</v>
      </c>
      <c r="B1636" s="65">
        <v>60.53</v>
      </c>
      <c r="C1636" s="80">
        <v>2397338</v>
      </c>
      <c r="D1636" s="83">
        <v>2.6802374893977854E-2</v>
      </c>
      <c r="E1636" s="82"/>
    </row>
    <row r="1637" spans="1:5" ht="14.4">
      <c r="A1637" s="68">
        <v>42164</v>
      </c>
      <c r="B1637" s="65">
        <v>58.95</v>
      </c>
      <c r="C1637" s="80">
        <v>2884534</v>
      </c>
      <c r="D1637" s="83">
        <v>-3.3812341504648735E-3</v>
      </c>
      <c r="E1637" s="82"/>
    </row>
    <row r="1638" spans="1:5" ht="14.4">
      <c r="A1638" s="68">
        <v>42163</v>
      </c>
      <c r="B1638" s="65">
        <v>59.15</v>
      </c>
      <c r="C1638" s="80">
        <v>2012815</v>
      </c>
      <c r="D1638" s="83">
        <v>-8.5484411666107984E-3</v>
      </c>
      <c r="E1638" s="82"/>
    </row>
    <row r="1639" spans="1:5" ht="14.4">
      <c r="A1639" s="68">
        <v>42160</v>
      </c>
      <c r="B1639" s="65">
        <v>59.66</v>
      </c>
      <c r="C1639" s="80">
        <v>3033031</v>
      </c>
      <c r="D1639" s="83">
        <v>-1.8265591574790352E-2</v>
      </c>
      <c r="E1639" s="82"/>
    </row>
    <row r="1640" spans="1:5" ht="14.4">
      <c r="A1640" s="68">
        <v>42159</v>
      </c>
      <c r="B1640" s="65">
        <v>60.77</v>
      </c>
      <c r="C1640" s="80">
        <v>2650730</v>
      </c>
      <c r="D1640" s="83">
        <v>-1.0743936187530445E-2</v>
      </c>
      <c r="E1640" s="82"/>
    </row>
    <row r="1641" spans="1:5" ht="14.4">
      <c r="A1641" s="68">
        <v>42158</v>
      </c>
      <c r="B1641" s="65">
        <v>61.43</v>
      </c>
      <c r="C1641" s="80">
        <v>2468752</v>
      </c>
      <c r="D1641" s="83">
        <v>-1.3006015282067684E-3</v>
      </c>
      <c r="E1641" s="82"/>
    </row>
    <row r="1642" spans="1:5" ht="14.4">
      <c r="A1642" s="68">
        <v>42157</v>
      </c>
      <c r="B1642" s="65">
        <v>61.51</v>
      </c>
      <c r="C1642" s="80">
        <v>2618030</v>
      </c>
      <c r="D1642" s="83">
        <v>-5.014558395341373E-3</v>
      </c>
      <c r="E1642" s="82"/>
    </row>
    <row r="1643" spans="1:5" ht="14.4">
      <c r="A1643" s="68">
        <v>42156</v>
      </c>
      <c r="B1643" s="65">
        <v>61.82</v>
      </c>
      <c r="C1643" s="80">
        <v>2572274</v>
      </c>
      <c r="D1643" s="83">
        <v>-2.903225806451637E-3</v>
      </c>
      <c r="E1643" s="82"/>
    </row>
    <row r="1644" spans="1:5" ht="14.4">
      <c r="A1644" s="68">
        <v>42153</v>
      </c>
      <c r="B1644" s="65">
        <v>62</v>
      </c>
      <c r="C1644" s="80">
        <v>3487927</v>
      </c>
      <c r="D1644" s="83">
        <v>-4.0841584158415878E-2</v>
      </c>
      <c r="E1644" s="82"/>
    </row>
    <row r="1645" spans="1:5" ht="14.4">
      <c r="A1645" s="68">
        <v>42152</v>
      </c>
      <c r="B1645" s="65">
        <v>64.64</v>
      </c>
      <c r="C1645" s="80">
        <v>1745158</v>
      </c>
      <c r="D1645" s="83">
        <v>-9.5004596996629553E-3</v>
      </c>
      <c r="E1645" s="82"/>
    </row>
    <row r="1646" spans="1:5" ht="14.4">
      <c r="A1646" s="68">
        <v>42151</v>
      </c>
      <c r="B1646" s="65">
        <v>65.260000000000005</v>
      </c>
      <c r="C1646" s="80">
        <v>3451740</v>
      </c>
      <c r="D1646" s="83">
        <v>2.7878406048196691E-2</v>
      </c>
      <c r="E1646" s="82"/>
    </row>
    <row r="1647" spans="1:5" ht="14.4">
      <c r="A1647" s="68">
        <v>42150</v>
      </c>
      <c r="B1647" s="65">
        <v>63.49</v>
      </c>
      <c r="C1647" s="80">
        <v>2885149</v>
      </c>
      <c r="D1647" s="83">
        <v>2.0517676767677351E-3</v>
      </c>
      <c r="E1647" s="82"/>
    </row>
    <row r="1648" spans="1:5" ht="14.4">
      <c r="A1648" s="68">
        <v>42149</v>
      </c>
      <c r="B1648" s="65">
        <v>63.36</v>
      </c>
      <c r="C1648" s="80">
        <v>752324</v>
      </c>
      <c r="D1648" s="83">
        <v>-5.8057429781891434E-3</v>
      </c>
      <c r="E1648" s="82"/>
    </row>
    <row r="1649" spans="1:5" ht="14.4">
      <c r="A1649" s="68">
        <v>42146</v>
      </c>
      <c r="B1649" s="65">
        <v>63.73</v>
      </c>
      <c r="C1649" s="80">
        <v>2184433</v>
      </c>
      <c r="D1649" s="83">
        <v>-3.2843290584922968E-3</v>
      </c>
      <c r="E1649" s="82"/>
    </row>
    <row r="1650" spans="1:5" ht="14.4">
      <c r="A1650" s="68">
        <v>42145</v>
      </c>
      <c r="B1650" s="65">
        <v>63.94</v>
      </c>
      <c r="C1650" s="80">
        <v>1445504</v>
      </c>
      <c r="D1650" s="83">
        <v>9.4726870855699197E-3</v>
      </c>
      <c r="E1650" s="82"/>
    </row>
    <row r="1651" spans="1:5" ht="14.4">
      <c r="A1651" s="68">
        <v>42144</v>
      </c>
      <c r="B1651" s="65">
        <v>63.34</v>
      </c>
      <c r="C1651" s="80">
        <v>1972699</v>
      </c>
      <c r="D1651" s="83">
        <v>8.4381467919121267E-3</v>
      </c>
      <c r="E1651" s="82"/>
    </row>
    <row r="1652" spans="1:5" ht="14.4">
      <c r="A1652" s="68">
        <v>42143</v>
      </c>
      <c r="B1652" s="65">
        <v>62.81</v>
      </c>
      <c r="C1652" s="80">
        <v>3256897</v>
      </c>
      <c r="D1652" s="83">
        <v>2.1300813008130026E-2</v>
      </c>
      <c r="E1652" s="82"/>
    </row>
    <row r="1653" spans="1:5" ht="14.4">
      <c r="A1653" s="68">
        <v>42142</v>
      </c>
      <c r="B1653" s="65">
        <v>61.5</v>
      </c>
      <c r="C1653" s="80">
        <v>2017404</v>
      </c>
      <c r="D1653" s="83">
        <v>1.0515938218862875E-2</v>
      </c>
      <c r="E1653" s="82"/>
    </row>
    <row r="1654" spans="1:5" ht="14.4">
      <c r="A1654" s="68">
        <v>42139</v>
      </c>
      <c r="B1654" s="65">
        <v>60.86</v>
      </c>
      <c r="C1654" s="80">
        <v>3202079</v>
      </c>
      <c r="D1654" s="83">
        <v>-1.6428454082462185E-4</v>
      </c>
      <c r="E1654" s="82"/>
    </row>
    <row r="1655" spans="1:5" ht="14.4">
      <c r="A1655" s="68">
        <v>42138</v>
      </c>
      <c r="B1655" s="65">
        <v>60.87</v>
      </c>
      <c r="C1655" s="80">
        <v>2359017</v>
      </c>
      <c r="D1655" s="83">
        <v>1.112956810631216E-2</v>
      </c>
      <c r="E1655" s="82"/>
    </row>
    <row r="1656" spans="1:5" ht="14.4">
      <c r="A1656" s="68">
        <v>42137</v>
      </c>
      <c r="B1656" s="65">
        <v>60.2</v>
      </c>
      <c r="C1656" s="80">
        <v>2602835</v>
      </c>
      <c r="D1656" s="83">
        <v>-8.4005929830340831E-3</v>
      </c>
      <c r="E1656" s="82"/>
    </row>
    <row r="1657" spans="1:5" ht="14.4">
      <c r="A1657" s="68">
        <v>42136</v>
      </c>
      <c r="B1657" s="65">
        <v>60.71</v>
      </c>
      <c r="C1657" s="80">
        <v>3248673</v>
      </c>
      <c r="D1657" s="83">
        <v>-2.2225801256240962E-2</v>
      </c>
      <c r="E1657" s="82"/>
    </row>
    <row r="1658" spans="1:5" ht="14.4">
      <c r="A1658" s="68">
        <v>42135</v>
      </c>
      <c r="B1658" s="65">
        <v>62.09</v>
      </c>
      <c r="C1658" s="80">
        <v>3850548</v>
      </c>
      <c r="D1658" s="83">
        <v>-2.0662460567823282E-2</v>
      </c>
      <c r="E1658" s="82"/>
    </row>
    <row r="1659" spans="1:5" ht="14.4">
      <c r="A1659" s="68">
        <v>42132</v>
      </c>
      <c r="B1659" s="65">
        <v>63.4</v>
      </c>
      <c r="C1659" s="80">
        <v>3394340</v>
      </c>
      <c r="D1659" s="83">
        <v>5.0364479787939009E-2</v>
      </c>
      <c r="E1659" s="82"/>
    </row>
    <row r="1660" spans="1:5" ht="14.4">
      <c r="A1660" s="68">
        <v>42131</v>
      </c>
      <c r="B1660" s="65">
        <v>60.36</v>
      </c>
      <c r="C1660" s="80">
        <v>3092654</v>
      </c>
      <c r="D1660" s="83">
        <v>1.3271400132712774E-3</v>
      </c>
      <c r="E1660" s="82"/>
    </row>
    <row r="1661" spans="1:5" ht="14.4">
      <c r="A1661" s="68">
        <v>42130</v>
      </c>
      <c r="B1661" s="65">
        <v>60.28</v>
      </c>
      <c r="C1661" s="80">
        <v>3512195</v>
      </c>
      <c r="D1661" s="83">
        <v>6.3439065108514825E-3</v>
      </c>
      <c r="E1661" s="82"/>
    </row>
    <row r="1662" spans="1:5" ht="14.4">
      <c r="A1662" s="68">
        <v>42129</v>
      </c>
      <c r="B1662" s="65">
        <v>59.9</v>
      </c>
      <c r="C1662" s="80">
        <v>3343254</v>
      </c>
      <c r="D1662" s="83">
        <v>-2.759740259740262E-2</v>
      </c>
      <c r="E1662" s="82"/>
    </row>
    <row r="1663" spans="1:5" ht="14.4">
      <c r="A1663" s="68">
        <v>42128</v>
      </c>
      <c r="B1663" s="65">
        <v>61.6</v>
      </c>
      <c r="C1663" s="80">
        <v>1979364</v>
      </c>
      <c r="D1663" s="83">
        <v>-6.4516129032258229E-3</v>
      </c>
      <c r="E1663" s="82"/>
    </row>
    <row r="1664" spans="1:5" ht="14.4">
      <c r="A1664" s="68">
        <v>42124</v>
      </c>
      <c r="B1664" s="65">
        <v>62</v>
      </c>
      <c r="C1664" s="80">
        <v>4115032</v>
      </c>
      <c r="D1664" s="83">
        <v>2.3440079234070765E-2</v>
      </c>
      <c r="E1664" s="82"/>
    </row>
    <row r="1665" spans="1:5" ht="14.4">
      <c r="A1665" s="68">
        <v>42123</v>
      </c>
      <c r="B1665" s="65">
        <v>60.58</v>
      </c>
      <c r="C1665" s="80">
        <v>3605381</v>
      </c>
      <c r="D1665" s="83">
        <v>-3.6883942766295696E-2</v>
      </c>
      <c r="E1665" s="82"/>
    </row>
    <row r="1666" spans="1:5" ht="14.4">
      <c r="A1666" s="68">
        <v>42122</v>
      </c>
      <c r="B1666" s="65">
        <v>62.9</v>
      </c>
      <c r="C1666" s="80">
        <v>3506310</v>
      </c>
      <c r="D1666" s="83">
        <v>-4.3346007604562753E-2</v>
      </c>
      <c r="E1666" s="82"/>
    </row>
    <row r="1667" spans="1:5" ht="14.4">
      <c r="A1667" s="68">
        <v>42121</v>
      </c>
      <c r="B1667" s="65">
        <v>65.75</v>
      </c>
      <c r="C1667" s="80">
        <v>2607996</v>
      </c>
      <c r="D1667" s="83">
        <v>9.3644458090267335E-3</v>
      </c>
      <c r="E1667" s="82"/>
    </row>
    <row r="1668" spans="1:5" ht="14.4">
      <c r="A1668" s="68">
        <v>42118</v>
      </c>
      <c r="B1668" s="65">
        <v>65.14</v>
      </c>
      <c r="C1668" s="80">
        <v>3488833</v>
      </c>
      <c r="D1668" s="83">
        <v>-7.6173065204143686E-3</v>
      </c>
      <c r="E1668" s="82"/>
    </row>
    <row r="1669" spans="1:5" ht="14.4">
      <c r="A1669" s="68">
        <v>42117</v>
      </c>
      <c r="B1669" s="65">
        <v>65.64</v>
      </c>
      <c r="C1669" s="80">
        <v>3841382</v>
      </c>
      <c r="D1669" s="83">
        <v>-2.4316109422491961E-3</v>
      </c>
      <c r="E1669" s="82"/>
    </row>
    <row r="1670" spans="1:5" ht="14.4">
      <c r="A1670" s="68">
        <v>42116</v>
      </c>
      <c r="B1670" s="65">
        <v>65.8</v>
      </c>
      <c r="C1670" s="80">
        <v>3382709</v>
      </c>
      <c r="D1670" s="83">
        <v>1.9522776572667988E-2</v>
      </c>
      <c r="E1670" s="82"/>
    </row>
    <row r="1671" spans="1:5" ht="14.4">
      <c r="A1671" s="68">
        <v>42115</v>
      </c>
      <c r="B1671" s="65">
        <v>64.540000000000006</v>
      </c>
      <c r="C1671" s="80">
        <v>2790356</v>
      </c>
      <c r="D1671" s="83">
        <v>2.2658849627634314E-2</v>
      </c>
      <c r="E1671" s="82"/>
    </row>
    <row r="1672" spans="1:5" ht="14.4">
      <c r="A1672" s="68">
        <v>42114</v>
      </c>
      <c r="B1672" s="65">
        <v>63.11</v>
      </c>
      <c r="C1672" s="80">
        <v>1728463</v>
      </c>
      <c r="D1672" s="83">
        <v>1.4956577677709859E-2</v>
      </c>
      <c r="E1672" s="82"/>
    </row>
    <row r="1673" spans="1:5" ht="14.4">
      <c r="A1673" s="68">
        <v>42111</v>
      </c>
      <c r="B1673" s="65">
        <v>62.18</v>
      </c>
      <c r="C1673" s="80">
        <v>3345186</v>
      </c>
      <c r="D1673" s="83">
        <v>-2.7981866499921848E-2</v>
      </c>
      <c r="E1673" s="82"/>
    </row>
    <row r="1674" spans="1:5" ht="14.4">
      <c r="A1674" s="68">
        <v>42110</v>
      </c>
      <c r="B1674" s="65">
        <v>63.97</v>
      </c>
      <c r="C1674" s="80">
        <v>3911402</v>
      </c>
      <c r="D1674" s="83">
        <v>1.9767256496094454E-2</v>
      </c>
      <c r="E1674" s="82"/>
    </row>
    <row r="1675" spans="1:5" ht="14.4">
      <c r="A1675" s="68">
        <v>42109</v>
      </c>
      <c r="B1675" s="65">
        <v>62.73</v>
      </c>
      <c r="C1675" s="80">
        <v>2450935</v>
      </c>
      <c r="D1675" s="83">
        <v>2.6173728120399087E-2</v>
      </c>
      <c r="E1675" s="82"/>
    </row>
    <row r="1676" spans="1:5" ht="14.4">
      <c r="A1676" s="68">
        <v>42108</v>
      </c>
      <c r="B1676" s="65">
        <v>61.13</v>
      </c>
      <c r="C1676" s="80">
        <v>2920754</v>
      </c>
      <c r="D1676" s="83">
        <v>-2.6437330785156865E-2</v>
      </c>
      <c r="E1676" s="82"/>
    </row>
    <row r="1677" spans="1:5" ht="14.4">
      <c r="A1677" s="68">
        <v>42107</v>
      </c>
      <c r="B1677" s="65">
        <v>62.79</v>
      </c>
      <c r="C1677" s="80">
        <v>2217918</v>
      </c>
      <c r="D1677" s="83">
        <v>1.4214181876918142E-2</v>
      </c>
      <c r="E1677" s="82"/>
    </row>
    <row r="1678" spans="1:5" ht="14.4">
      <c r="A1678" s="68">
        <v>42104</v>
      </c>
      <c r="B1678" s="65">
        <v>61.91</v>
      </c>
      <c r="C1678" s="80">
        <v>1700265</v>
      </c>
      <c r="D1678" s="83">
        <v>1.0445568793863158E-2</v>
      </c>
      <c r="E1678" s="82"/>
    </row>
    <row r="1679" spans="1:5" ht="14.4">
      <c r="A1679" s="68">
        <v>42103</v>
      </c>
      <c r="B1679" s="65">
        <v>61.27</v>
      </c>
      <c r="C1679" s="80">
        <v>1779222</v>
      </c>
      <c r="D1679" s="83">
        <v>2.048634243837455E-2</v>
      </c>
      <c r="E1679" s="82"/>
    </row>
    <row r="1680" spans="1:5" ht="14.4">
      <c r="A1680" s="68">
        <v>42102</v>
      </c>
      <c r="B1680" s="65">
        <v>60.04</v>
      </c>
      <c r="C1680" s="80">
        <v>1408507</v>
      </c>
      <c r="D1680" s="83">
        <v>-5.9602649006622599E-3</v>
      </c>
      <c r="E1680" s="82"/>
    </row>
    <row r="1681" spans="1:5" ht="14.4">
      <c r="A1681" s="68">
        <v>42101</v>
      </c>
      <c r="B1681" s="65">
        <v>60.4</v>
      </c>
      <c r="C1681" s="80">
        <v>1855001</v>
      </c>
      <c r="D1681" s="83">
        <v>-5.9249506254114293E-3</v>
      </c>
      <c r="E1681" s="82"/>
    </row>
    <row r="1682" spans="1:5" ht="14.4">
      <c r="A1682" s="68">
        <v>42096</v>
      </c>
      <c r="B1682" s="65">
        <v>60.76</v>
      </c>
      <c r="C1682" s="80">
        <v>1137046</v>
      </c>
      <c r="D1682" s="83">
        <v>-2.4626498111968154E-3</v>
      </c>
      <c r="E1682" s="82"/>
    </row>
    <row r="1683" spans="1:5" ht="14.4">
      <c r="A1683" s="68">
        <v>42095</v>
      </c>
      <c r="B1683" s="65">
        <v>60.91</v>
      </c>
      <c r="C1683" s="80">
        <v>1820660</v>
      </c>
      <c r="D1683" s="83">
        <v>7.7763070814029778E-3</v>
      </c>
      <c r="E1683" s="82"/>
    </row>
    <row r="1684" spans="1:5" ht="14.4">
      <c r="A1684" s="68">
        <v>42094</v>
      </c>
      <c r="B1684" s="65">
        <v>60.44</v>
      </c>
      <c r="C1684" s="80">
        <v>2340555</v>
      </c>
      <c r="D1684" s="83">
        <v>-1.22569047229939E-2</v>
      </c>
      <c r="E1684" s="82"/>
    </row>
    <row r="1685" spans="1:5" ht="14.4">
      <c r="A1685" s="68">
        <v>42093</v>
      </c>
      <c r="B1685" s="65">
        <v>61.19</v>
      </c>
      <c r="C1685" s="80">
        <v>2009482</v>
      </c>
      <c r="D1685" s="83">
        <v>1.2911769574573739E-2</v>
      </c>
      <c r="E1685" s="82"/>
    </row>
    <row r="1686" spans="1:5" ht="14.4">
      <c r="A1686" s="68">
        <v>42090</v>
      </c>
      <c r="B1686" s="65">
        <v>60.41</v>
      </c>
      <c r="C1686" s="80">
        <v>2905348</v>
      </c>
      <c r="D1686" s="83">
        <v>4.4895244429663528E-3</v>
      </c>
      <c r="E1686" s="82"/>
    </row>
    <row r="1687" spans="1:5" ht="14.4">
      <c r="A1687" s="68">
        <v>42089</v>
      </c>
      <c r="B1687" s="65">
        <v>60.14</v>
      </c>
      <c r="C1687" s="80">
        <v>3237783</v>
      </c>
      <c r="D1687" s="83">
        <v>2.1226014603498156E-2</v>
      </c>
      <c r="E1687" s="82"/>
    </row>
    <row r="1688" spans="1:5" ht="14.4">
      <c r="A1688" s="68">
        <v>42088</v>
      </c>
      <c r="B1688" s="65">
        <v>58.89</v>
      </c>
      <c r="C1688" s="80">
        <v>3098932</v>
      </c>
      <c r="D1688" s="83">
        <v>-2.3545017410048108E-2</v>
      </c>
      <c r="E1688" s="82"/>
    </row>
    <row r="1689" spans="1:5" ht="14.4">
      <c r="A1689" s="68">
        <v>42087</v>
      </c>
      <c r="B1689" s="65">
        <v>60.31</v>
      </c>
      <c r="C1689" s="80">
        <v>5095155</v>
      </c>
      <c r="D1689" s="83">
        <v>5.1666666666667638E-3</v>
      </c>
      <c r="E1689" s="82"/>
    </row>
    <row r="1690" spans="1:5" ht="14.4">
      <c r="A1690" s="68">
        <v>42086</v>
      </c>
      <c r="B1690" s="65">
        <v>60</v>
      </c>
      <c r="C1690" s="80">
        <v>3139983</v>
      </c>
      <c r="D1690" s="83">
        <v>-2.2801302931596101E-2</v>
      </c>
      <c r="E1690" s="82"/>
    </row>
    <row r="1691" spans="1:5" ht="14.4">
      <c r="A1691" s="68">
        <v>42083</v>
      </c>
      <c r="B1691" s="65">
        <v>61.4</v>
      </c>
      <c r="C1691" s="80">
        <v>3602871</v>
      </c>
      <c r="D1691" s="83">
        <v>5.2390307793057644E-3</v>
      </c>
      <c r="E1691" s="82"/>
    </row>
    <row r="1692" spans="1:5" ht="14.4">
      <c r="A1692" s="68">
        <v>42082</v>
      </c>
      <c r="B1692" s="65">
        <v>61.08</v>
      </c>
      <c r="C1692" s="80">
        <v>2906434</v>
      </c>
      <c r="D1692" s="83">
        <v>-1.7976793593724727E-3</v>
      </c>
      <c r="E1692" s="82"/>
    </row>
    <row r="1693" spans="1:5" ht="14.4">
      <c r="A1693" s="68">
        <v>42081</v>
      </c>
      <c r="B1693" s="65">
        <v>61.19</v>
      </c>
      <c r="C1693" s="80">
        <v>3099599</v>
      </c>
      <c r="D1693" s="83">
        <v>3.4437520498524776E-3</v>
      </c>
      <c r="E1693" s="82"/>
    </row>
    <row r="1694" spans="1:5" ht="14.4">
      <c r="A1694" s="68">
        <v>42080</v>
      </c>
      <c r="B1694" s="65">
        <v>60.98</v>
      </c>
      <c r="C1694" s="80">
        <v>4210185</v>
      </c>
      <c r="D1694" s="83">
        <v>-4.5098653304102787E-2</v>
      </c>
      <c r="E1694" s="82"/>
    </row>
    <row r="1695" spans="1:5" ht="14.4">
      <c r="A1695" s="68">
        <v>42079</v>
      </c>
      <c r="B1695" s="65">
        <v>63.86</v>
      </c>
      <c r="C1695" s="80">
        <v>2903861</v>
      </c>
      <c r="D1695" s="83">
        <v>4.7199496538703478E-3</v>
      </c>
      <c r="E1695" s="82"/>
    </row>
    <row r="1696" spans="1:5" ht="14.4">
      <c r="A1696" s="68">
        <v>42076</v>
      </c>
      <c r="B1696" s="65">
        <v>63.56</v>
      </c>
      <c r="C1696" s="80">
        <v>3415498</v>
      </c>
      <c r="D1696" s="83">
        <v>2.3840206185567148E-2</v>
      </c>
      <c r="E1696" s="82"/>
    </row>
    <row r="1697" spans="1:5" ht="14.4">
      <c r="A1697" s="68">
        <v>42075</v>
      </c>
      <c r="B1697" s="65">
        <v>62.08</v>
      </c>
      <c r="C1697" s="80">
        <v>3119244</v>
      </c>
      <c r="D1697" s="83">
        <v>1.0581149275598278E-2</v>
      </c>
      <c r="E1697" s="82"/>
    </row>
    <row r="1698" spans="1:5" ht="14.4">
      <c r="A1698" s="68">
        <v>42074</v>
      </c>
      <c r="B1698" s="65">
        <v>61.43</v>
      </c>
      <c r="C1698" s="80">
        <v>3256951</v>
      </c>
      <c r="D1698" s="83">
        <v>4.3308423913043459E-2</v>
      </c>
      <c r="E1698" s="82"/>
    </row>
    <row r="1699" spans="1:5" ht="14.4">
      <c r="A1699" s="68">
        <v>42073</v>
      </c>
      <c r="B1699" s="65">
        <v>58.88</v>
      </c>
      <c r="C1699" s="80">
        <v>3101036</v>
      </c>
      <c r="D1699" s="83">
        <v>0</v>
      </c>
      <c r="E1699" s="82"/>
    </row>
    <row r="1700" spans="1:5" ht="14.4">
      <c r="A1700" s="68">
        <v>42072</v>
      </c>
      <c r="B1700" s="65">
        <v>58.88</v>
      </c>
      <c r="C1700" s="80">
        <v>1917367</v>
      </c>
      <c r="D1700" s="83">
        <v>-9.0878492090205043E-3</v>
      </c>
      <c r="E1700" s="82"/>
    </row>
    <row r="1701" spans="1:5" ht="14.4">
      <c r="A1701" s="68">
        <v>42069</v>
      </c>
      <c r="B1701" s="65">
        <v>59.42</v>
      </c>
      <c r="C1701" s="80">
        <v>3360543</v>
      </c>
      <c r="D1701" s="83">
        <v>3.5466981928728991E-3</v>
      </c>
      <c r="E1701" s="82"/>
    </row>
    <row r="1702" spans="1:5" ht="14.4">
      <c r="A1702" s="68">
        <v>42068</v>
      </c>
      <c r="B1702" s="65">
        <v>59.21</v>
      </c>
      <c r="C1702" s="80">
        <v>4599758</v>
      </c>
      <c r="D1702" s="83">
        <v>4.7593772116065081E-2</v>
      </c>
      <c r="E1702" s="82"/>
    </row>
    <row r="1703" spans="1:5" ht="14.4">
      <c r="A1703" s="68">
        <v>42067</v>
      </c>
      <c r="B1703" s="65">
        <v>56.52</v>
      </c>
      <c r="C1703" s="80">
        <v>3085353</v>
      </c>
      <c r="D1703" s="83">
        <v>2.0216606498195011E-2</v>
      </c>
      <c r="E1703" s="82"/>
    </row>
    <row r="1704" spans="1:5" ht="14.4">
      <c r="A1704" s="68">
        <v>42066</v>
      </c>
      <c r="B1704" s="65">
        <v>55.4</v>
      </c>
      <c r="C1704" s="80">
        <v>2417019</v>
      </c>
      <c r="D1704" s="83">
        <v>-1.2301658049563291E-2</v>
      </c>
      <c r="E1704" s="82"/>
    </row>
    <row r="1705" spans="1:5" ht="14.4">
      <c r="A1705" s="68">
        <v>42065</v>
      </c>
      <c r="B1705" s="65">
        <v>56.09</v>
      </c>
      <c r="C1705" s="80">
        <v>3133916</v>
      </c>
      <c r="D1705" s="83">
        <v>1.3735767214892558E-2</v>
      </c>
      <c r="E1705" s="82"/>
    </row>
    <row r="1706" spans="1:5" ht="14.4">
      <c r="A1706" s="68">
        <v>42062</v>
      </c>
      <c r="B1706" s="65">
        <v>55.33</v>
      </c>
      <c r="C1706" s="80">
        <v>7164236</v>
      </c>
      <c r="D1706" s="83">
        <v>7.1663761379043178E-2</v>
      </c>
      <c r="E1706" s="82"/>
    </row>
    <row r="1707" spans="1:5" ht="14.4">
      <c r="A1707" s="68">
        <v>42061</v>
      </c>
      <c r="B1707" s="65">
        <v>51.63</v>
      </c>
      <c r="C1707" s="80">
        <v>2128171</v>
      </c>
      <c r="D1707" s="83">
        <v>4.4747081712062098E-3</v>
      </c>
      <c r="E1707" s="82"/>
    </row>
    <row r="1708" spans="1:5" ht="14.4">
      <c r="A1708" s="68">
        <v>42060</v>
      </c>
      <c r="B1708" s="65">
        <v>51.4</v>
      </c>
      <c r="C1708" s="80">
        <v>2069140</v>
      </c>
      <c r="D1708" s="83">
        <v>-8.6788813886210514E-3</v>
      </c>
      <c r="E1708" s="82"/>
    </row>
    <row r="1709" spans="1:5" ht="14.4">
      <c r="A1709" s="68">
        <v>42059</v>
      </c>
      <c r="B1709" s="65">
        <v>51.85</v>
      </c>
      <c r="C1709" s="80">
        <v>2488759</v>
      </c>
      <c r="D1709" s="83">
        <v>-1.8735806207418659E-2</v>
      </c>
      <c r="E1709" s="82"/>
    </row>
    <row r="1710" spans="1:5" ht="14.4">
      <c r="A1710" s="68">
        <v>42058</v>
      </c>
      <c r="B1710" s="65">
        <v>52.84</v>
      </c>
      <c r="C1710" s="80">
        <v>1880919</v>
      </c>
      <c r="D1710" s="83">
        <v>7.2436141822340705E-3</v>
      </c>
      <c r="E1710" s="82"/>
    </row>
    <row r="1711" spans="1:5" ht="14.4">
      <c r="A1711" s="68">
        <v>42055</v>
      </c>
      <c r="B1711" s="65">
        <v>52.46</v>
      </c>
      <c r="C1711" s="80">
        <v>2769517</v>
      </c>
      <c r="D1711" s="83">
        <v>9.0402000384688375E-3</v>
      </c>
      <c r="E1711" s="82"/>
    </row>
    <row r="1712" spans="1:5" ht="14.4">
      <c r="A1712" s="68">
        <v>42054</v>
      </c>
      <c r="B1712" s="65">
        <v>51.99</v>
      </c>
      <c r="C1712" s="80">
        <v>1817126</v>
      </c>
      <c r="D1712" s="83">
        <v>1.1675423234092319E-2</v>
      </c>
      <c r="E1712" s="82"/>
    </row>
    <row r="1713" spans="1:5" ht="14.4">
      <c r="A1713" s="68">
        <v>42053</v>
      </c>
      <c r="B1713" s="65">
        <v>51.39</v>
      </c>
      <c r="C1713" s="80">
        <v>1835841</v>
      </c>
      <c r="D1713" s="83">
        <v>1.4209591474245054E-2</v>
      </c>
      <c r="E1713" s="82"/>
    </row>
    <row r="1714" spans="1:5" ht="14.4">
      <c r="A1714" s="68">
        <v>42052</v>
      </c>
      <c r="B1714" s="65">
        <v>50.67</v>
      </c>
      <c r="C1714" s="80">
        <v>1861650</v>
      </c>
      <c r="D1714" s="83">
        <v>4.3607532210108157E-3</v>
      </c>
      <c r="E1714" s="82"/>
    </row>
    <row r="1715" spans="1:5" ht="14.4">
      <c r="A1715" s="68">
        <v>42051</v>
      </c>
      <c r="B1715" s="65">
        <v>50.45</v>
      </c>
      <c r="C1715" s="80">
        <v>1845654</v>
      </c>
      <c r="D1715" s="83">
        <v>1.407035175879412E-2</v>
      </c>
      <c r="E1715" s="82"/>
    </row>
    <row r="1716" spans="1:5" ht="14.4">
      <c r="A1716" s="68">
        <v>42048</v>
      </c>
      <c r="B1716" s="65">
        <v>49.75</v>
      </c>
      <c r="C1716" s="80">
        <v>2540087</v>
      </c>
      <c r="D1716" s="83">
        <v>-5.0226017076837604E-4</v>
      </c>
      <c r="E1716" s="82"/>
    </row>
    <row r="1717" spans="1:5" ht="14.4">
      <c r="A1717" s="68">
        <v>42047</v>
      </c>
      <c r="B1717" s="65">
        <v>49.774999999999999</v>
      </c>
      <c r="C1717" s="80">
        <v>1976894</v>
      </c>
      <c r="D1717" s="83">
        <v>7.1833265884255759E-3</v>
      </c>
      <c r="E1717" s="82"/>
    </row>
    <row r="1718" spans="1:5" ht="14.4">
      <c r="A1718" s="68">
        <v>42046</v>
      </c>
      <c r="B1718" s="65">
        <v>49.42</v>
      </c>
      <c r="C1718" s="80">
        <v>1823991</v>
      </c>
      <c r="D1718" s="83">
        <v>-6.3335679099225661E-3</v>
      </c>
      <c r="E1718" s="82"/>
    </row>
    <row r="1719" spans="1:5" ht="14.4">
      <c r="A1719" s="68">
        <v>42045</v>
      </c>
      <c r="B1719" s="65">
        <v>49.734999999999999</v>
      </c>
      <c r="C1719" s="80">
        <v>3340873</v>
      </c>
      <c r="D1719" s="83">
        <v>3.1097750596040141E-2</v>
      </c>
      <c r="E1719" s="82"/>
    </row>
    <row r="1720" spans="1:5" ht="14.4">
      <c r="A1720" s="68">
        <v>42044</v>
      </c>
      <c r="B1720" s="65">
        <v>48.234999999999999</v>
      </c>
      <c r="C1720" s="80">
        <v>2569266</v>
      </c>
      <c r="D1720" s="83">
        <v>-2.2753128555176305E-3</v>
      </c>
      <c r="E1720" s="82"/>
    </row>
    <row r="1721" spans="1:5" ht="14.4">
      <c r="A1721" s="68">
        <v>42041</v>
      </c>
      <c r="B1721" s="65">
        <v>48.344999999999999</v>
      </c>
      <c r="C1721" s="80">
        <v>2177587</v>
      </c>
      <c r="D1721" s="83">
        <v>-1.3426977897128545E-3</v>
      </c>
      <c r="E1721" s="82"/>
    </row>
    <row r="1722" spans="1:5" ht="14.4">
      <c r="A1722" s="68">
        <v>42040</v>
      </c>
      <c r="B1722" s="65">
        <v>48.41</v>
      </c>
      <c r="C1722" s="80">
        <v>2708767</v>
      </c>
      <c r="D1722" s="83">
        <v>1.6269549700850261E-2</v>
      </c>
      <c r="E1722" s="82"/>
    </row>
    <row r="1723" spans="1:5" ht="14.4">
      <c r="A1723" s="68">
        <v>42039</v>
      </c>
      <c r="B1723" s="65">
        <v>47.634999999999998</v>
      </c>
      <c r="C1723" s="80">
        <v>2689667</v>
      </c>
      <c r="D1723" s="83">
        <v>8.2548417821992626E-3</v>
      </c>
      <c r="E1723" s="82"/>
    </row>
    <row r="1724" spans="1:5" ht="14.4">
      <c r="A1724" s="68">
        <v>42038</v>
      </c>
      <c r="B1724" s="65">
        <v>47.244999999999997</v>
      </c>
      <c r="C1724" s="80">
        <v>3064365</v>
      </c>
      <c r="D1724" s="83">
        <v>8.0008534243651841E-3</v>
      </c>
      <c r="E1724" s="82"/>
    </row>
    <row r="1725" spans="1:5" ht="14.4">
      <c r="A1725" s="68">
        <v>42037</v>
      </c>
      <c r="B1725" s="65">
        <v>46.87</v>
      </c>
      <c r="C1725" s="80">
        <v>2830148</v>
      </c>
      <c r="D1725" s="83">
        <v>-6.9915254237289393E-3</v>
      </c>
      <c r="E1725" s="82"/>
    </row>
    <row r="1726" spans="1:5" ht="14.4">
      <c r="A1726" s="68">
        <v>42034</v>
      </c>
      <c r="B1726" s="65">
        <v>47.2</v>
      </c>
      <c r="C1726" s="80">
        <v>6279555</v>
      </c>
      <c r="D1726" s="83">
        <v>-2.2268254790264064E-2</v>
      </c>
      <c r="E1726" s="82"/>
    </row>
    <row r="1727" spans="1:5" ht="14.4">
      <c r="A1727" s="68">
        <v>42033</v>
      </c>
      <c r="B1727" s="65">
        <v>48.274999999999999</v>
      </c>
      <c r="C1727" s="80">
        <v>4444319</v>
      </c>
      <c r="D1727" s="83">
        <v>-1.3890307425186377E-2</v>
      </c>
      <c r="E1727" s="82"/>
    </row>
    <row r="1728" spans="1:5" ht="14.4">
      <c r="A1728" s="68">
        <v>42032</v>
      </c>
      <c r="B1728" s="65">
        <v>48.954999999999998</v>
      </c>
      <c r="C1728" s="80">
        <v>3778406</v>
      </c>
      <c r="D1728" s="83">
        <v>-2.343590788669303E-3</v>
      </c>
      <c r="E1728" s="82"/>
    </row>
    <row r="1729" spans="1:7" ht="14.4">
      <c r="A1729" s="68">
        <v>42031</v>
      </c>
      <c r="B1729" s="65">
        <v>49.07</v>
      </c>
      <c r="C1729" s="80">
        <v>4591955</v>
      </c>
      <c r="D1729" s="83">
        <v>-2.1340247307538918E-2</v>
      </c>
      <c r="E1729" s="82"/>
    </row>
    <row r="1730" spans="1:7" ht="14.4">
      <c r="A1730" s="68">
        <v>42030</v>
      </c>
      <c r="B1730" s="65">
        <v>50.14</v>
      </c>
      <c r="C1730" s="80">
        <v>6342198</v>
      </c>
      <c r="D1730" s="83">
        <v>1.745129870129869E-2</v>
      </c>
      <c r="E1730" s="82"/>
    </row>
    <row r="1731" spans="1:7" ht="14.4">
      <c r="A1731" s="68">
        <v>42027</v>
      </c>
      <c r="B1731" s="65">
        <v>49.28</v>
      </c>
      <c r="C1731" s="80">
        <v>6911057</v>
      </c>
      <c r="D1731" s="83">
        <v>4.120008451299384E-2</v>
      </c>
      <c r="E1731" s="82"/>
    </row>
    <row r="1732" spans="1:7" ht="14.4">
      <c r="A1732" s="68">
        <v>42026</v>
      </c>
      <c r="B1732" s="65">
        <v>47.33</v>
      </c>
      <c r="C1732" s="80">
        <v>4747740</v>
      </c>
      <c r="D1732" s="83">
        <v>1.0892780862879148E-2</v>
      </c>
      <c r="E1732" s="82"/>
    </row>
    <row r="1733" spans="1:7" ht="14.4">
      <c r="A1733" s="68">
        <v>42025</v>
      </c>
      <c r="B1733" s="65">
        <v>46.82</v>
      </c>
      <c r="C1733" s="80">
        <v>3842891</v>
      </c>
      <c r="D1733" s="83">
        <v>-5.5225148683092362E-3</v>
      </c>
      <c r="E1733" s="82"/>
    </row>
    <row r="1734" spans="1:7" ht="14.4">
      <c r="A1734" s="68">
        <v>42024</v>
      </c>
      <c r="B1734" s="65">
        <v>47.08</v>
      </c>
      <c r="C1734" s="80">
        <v>2755590</v>
      </c>
      <c r="D1734" s="83">
        <v>9.2175777063236985E-3</v>
      </c>
      <c r="E1734" s="62"/>
      <c r="F1734" s="62"/>
      <c r="G1734" s="62"/>
    </row>
    <row r="1735" spans="1:7" ht="14.4">
      <c r="A1735" s="68">
        <v>42023</v>
      </c>
      <c r="B1735" s="65">
        <v>46.65</v>
      </c>
      <c r="C1735" s="80">
        <v>2071579</v>
      </c>
      <c r="D1735" s="83">
        <v>5.4962819269317453E-3</v>
      </c>
      <c r="E1735" s="62"/>
      <c r="F1735" s="62"/>
      <c r="G1735" s="62"/>
    </row>
    <row r="1736" spans="1:7" ht="14.4">
      <c r="A1736" s="68">
        <v>42020</v>
      </c>
      <c r="B1736" s="65">
        <v>46.395000000000003</v>
      </c>
      <c r="C1736" s="80">
        <v>3860675</v>
      </c>
      <c r="D1736" s="83">
        <v>2.7015344715799472E-3</v>
      </c>
      <c r="E1736" s="62"/>
      <c r="F1736" s="62"/>
      <c r="G1736" s="62"/>
    </row>
    <row r="1737" spans="1:7" ht="14.4">
      <c r="A1737" s="68">
        <v>42019</v>
      </c>
      <c r="B1737" s="65">
        <v>46.27</v>
      </c>
      <c r="C1737" s="80">
        <v>5004208</v>
      </c>
      <c r="D1737" s="83">
        <v>2.5033229951262781E-2</v>
      </c>
      <c r="E1737" s="62"/>
      <c r="F1737" s="62"/>
      <c r="G1737" s="62"/>
    </row>
    <row r="1738" spans="1:7" ht="14.4">
      <c r="A1738" s="68">
        <v>42018</v>
      </c>
      <c r="B1738" s="65">
        <v>45.14</v>
      </c>
      <c r="C1738" s="80">
        <v>2928718</v>
      </c>
      <c r="D1738" s="83">
        <v>-9.3273345769778748E-3</v>
      </c>
      <c r="E1738" s="62"/>
      <c r="F1738" s="62"/>
      <c r="G1738" s="62"/>
    </row>
    <row r="1739" spans="1:7" ht="14.4">
      <c r="A1739" s="68">
        <v>42017</v>
      </c>
      <c r="B1739" s="65">
        <v>45.564999999999998</v>
      </c>
      <c r="C1739" s="80">
        <v>3761440</v>
      </c>
      <c r="D1739" s="83">
        <v>1.3681868743047776E-2</v>
      </c>
      <c r="E1739" s="62"/>
      <c r="F1739" s="62"/>
      <c r="G1739" s="62"/>
    </row>
    <row r="1740" spans="1:7" ht="14.4">
      <c r="A1740" s="68">
        <v>42016</v>
      </c>
      <c r="B1740" s="65">
        <v>44.95</v>
      </c>
      <c r="C1740" s="80">
        <v>3308396</v>
      </c>
      <c r="D1740" s="83">
        <v>8.9786756453424932E-3</v>
      </c>
      <c r="E1740" s="62"/>
      <c r="F1740" s="62"/>
      <c r="G1740" s="62"/>
    </row>
    <row r="1741" spans="1:7" ht="14.4">
      <c r="A1741" s="68">
        <v>42013</v>
      </c>
      <c r="B1741" s="65">
        <v>44.55</v>
      </c>
      <c r="C1741" s="80">
        <v>4179216</v>
      </c>
      <c r="D1741" s="83">
        <v>-1.4707508570164896E-2</v>
      </c>
      <c r="E1741" s="62"/>
      <c r="F1741" s="62"/>
      <c r="G1741" s="62"/>
    </row>
    <row r="1742" spans="1:7" ht="14.4">
      <c r="A1742" s="68">
        <v>42012</v>
      </c>
      <c r="B1742" s="65">
        <v>45.215000000000003</v>
      </c>
      <c r="C1742" s="80">
        <v>4548325</v>
      </c>
      <c r="D1742" s="83">
        <v>3.4076615208690653E-2</v>
      </c>
      <c r="E1742" s="62"/>
      <c r="F1742" s="62"/>
      <c r="G1742" s="62"/>
    </row>
    <row r="1743" spans="1:7" ht="14.4">
      <c r="A1743" s="68">
        <v>42011</v>
      </c>
      <c r="B1743" s="65">
        <v>43.725000000000001</v>
      </c>
      <c r="C1743" s="80">
        <v>4236974</v>
      </c>
      <c r="D1743" s="83">
        <v>2.6047166490672291E-2</v>
      </c>
      <c r="E1743" s="62"/>
      <c r="F1743" s="62"/>
      <c r="G1743" s="62"/>
    </row>
    <row r="1744" spans="1:7" ht="14.4">
      <c r="A1744" s="68">
        <v>42010</v>
      </c>
      <c r="B1744" s="65">
        <v>42.615000000000002</v>
      </c>
      <c r="C1744" s="80">
        <v>4835966</v>
      </c>
      <c r="D1744" s="83">
        <v>2.3169267707082941E-2</v>
      </c>
      <c r="E1744" s="62"/>
      <c r="F1744" s="62"/>
      <c r="G1744" s="62"/>
    </row>
    <row r="1745" spans="1:7" ht="14.4">
      <c r="A1745" s="68">
        <v>42009</v>
      </c>
      <c r="B1745" s="65">
        <v>41.65</v>
      </c>
      <c r="C1745" s="80">
        <v>4467274</v>
      </c>
      <c r="D1745" s="83">
        <v>3.0102347983143041E-3</v>
      </c>
      <c r="E1745" s="62"/>
      <c r="F1745" s="62"/>
      <c r="G1745" s="62"/>
    </row>
    <row r="1746" spans="1:7" ht="14.4">
      <c r="A1746" s="68">
        <v>42006</v>
      </c>
      <c r="B1746" s="65">
        <v>41.524999999999999</v>
      </c>
      <c r="C1746" s="80">
        <v>1903339</v>
      </c>
      <c r="D1746" s="83">
        <v>4.232164449818443E-3</v>
      </c>
      <c r="E1746" s="62"/>
      <c r="F1746" s="62"/>
      <c r="G1746" s="62"/>
    </row>
    <row r="1747" spans="1:7" ht="14.4">
      <c r="A1747" s="71">
        <v>42004</v>
      </c>
      <c r="B1747" s="72">
        <v>41.35</v>
      </c>
      <c r="C1747" s="81">
        <v>511732</v>
      </c>
      <c r="D1747" s="84">
        <v>1.0014655593551636E-2</v>
      </c>
      <c r="E1747" s="74"/>
      <c r="F1747" s="74"/>
      <c r="G1747" s="73" t="e">
        <v>#REF!</v>
      </c>
    </row>
    <row r="1748" spans="1:7" ht="14.4">
      <c r="A1748" s="68">
        <v>42003</v>
      </c>
      <c r="B1748" s="65">
        <v>40.94</v>
      </c>
      <c r="C1748" s="80">
        <v>1368751</v>
      </c>
      <c r="D1748" s="83">
        <v>-1.4087898856110836E-2</v>
      </c>
      <c r="E1748" s="62"/>
      <c r="F1748" s="62"/>
      <c r="G1748" s="62"/>
    </row>
    <row r="1749" spans="1:7" ht="14.4">
      <c r="A1749" s="68">
        <v>42002</v>
      </c>
      <c r="B1749" s="65">
        <v>41.524999999999999</v>
      </c>
      <c r="C1749" s="80">
        <v>1926527</v>
      </c>
      <c r="D1749" s="83">
        <v>-1.2039489525650371E-4</v>
      </c>
      <c r="E1749" s="62"/>
      <c r="F1749" s="62"/>
      <c r="G1749" s="62"/>
    </row>
    <row r="1750" spans="1:7" ht="14.4">
      <c r="A1750" s="68">
        <v>41997</v>
      </c>
      <c r="B1750" s="65">
        <v>41.53</v>
      </c>
      <c r="C1750" s="80">
        <v>404444</v>
      </c>
      <c r="D1750" s="83">
        <v>-5.0311451844753385E-3</v>
      </c>
      <c r="E1750" s="82"/>
    </row>
    <row r="1751" spans="1:7" ht="14.4">
      <c r="A1751" s="68">
        <v>41996</v>
      </c>
      <c r="B1751" s="65">
        <v>41.74</v>
      </c>
      <c r="C1751" s="80">
        <v>2215586</v>
      </c>
      <c r="D1751" s="83">
        <v>6.5107306486618111E-3</v>
      </c>
      <c r="E1751" s="82"/>
    </row>
    <row r="1752" spans="1:7" ht="14.4">
      <c r="A1752" s="68">
        <v>41995</v>
      </c>
      <c r="B1752" s="65">
        <v>41.47</v>
      </c>
      <c r="C1752" s="80">
        <v>1820868</v>
      </c>
      <c r="D1752" s="83">
        <v>-5.2770448548812299E-3</v>
      </c>
      <c r="E1752" s="82"/>
    </row>
    <row r="1753" spans="1:7" ht="14.4">
      <c r="A1753" s="68">
        <v>41992</v>
      </c>
      <c r="B1753" s="65">
        <v>41.69</v>
      </c>
      <c r="C1753" s="80">
        <v>4270155</v>
      </c>
      <c r="D1753" s="83">
        <v>-3.8231780167264917E-3</v>
      </c>
      <c r="E1753" s="82"/>
    </row>
    <row r="1754" spans="1:7" ht="14.4">
      <c r="A1754" s="68">
        <v>41991</v>
      </c>
      <c r="B1754" s="65">
        <v>41.85</v>
      </c>
      <c r="C1754" s="80">
        <v>4142686</v>
      </c>
      <c r="D1754" s="83">
        <v>2.19780219780219E-2</v>
      </c>
      <c r="E1754" s="82"/>
    </row>
    <row r="1755" spans="1:7" ht="14.4">
      <c r="A1755" s="68">
        <v>41990</v>
      </c>
      <c r="B1755" s="65">
        <v>40.950000000000003</v>
      </c>
      <c r="C1755" s="80">
        <v>3400401</v>
      </c>
      <c r="D1755" s="83">
        <v>-3.6616623947272053E-4</v>
      </c>
      <c r="E1755" s="82"/>
    </row>
    <row r="1756" spans="1:7" ht="14.4">
      <c r="A1756" s="68">
        <v>41989</v>
      </c>
      <c r="B1756" s="65">
        <v>40.965000000000003</v>
      </c>
      <c r="C1756" s="80">
        <v>6806150</v>
      </c>
      <c r="D1756" s="83">
        <v>1.0358860525342184E-2</v>
      </c>
      <c r="E1756" s="82"/>
    </row>
    <row r="1757" spans="1:7" ht="14.4">
      <c r="A1757" s="68">
        <v>41988</v>
      </c>
      <c r="B1757" s="65">
        <v>40.545000000000002</v>
      </c>
      <c r="C1757" s="80">
        <v>5197234</v>
      </c>
      <c r="D1757" s="83">
        <v>-4.0530582166543594E-3</v>
      </c>
      <c r="E1757" s="82"/>
    </row>
    <row r="1758" spans="1:7" ht="14.4">
      <c r="A1758" s="68">
        <v>41985</v>
      </c>
      <c r="B1758" s="65">
        <v>40.71</v>
      </c>
      <c r="C1758" s="80">
        <v>7842102</v>
      </c>
      <c r="D1758" s="83">
        <v>-1.4762826718296207E-2</v>
      </c>
      <c r="E1758" s="82"/>
    </row>
    <row r="1759" spans="1:7" ht="14.4">
      <c r="A1759" s="68">
        <v>41984</v>
      </c>
      <c r="B1759" s="65">
        <v>41.32</v>
      </c>
      <c r="C1759" s="80">
        <v>13448598</v>
      </c>
      <c r="D1759" s="83">
        <v>-4.2964678633468423E-2</v>
      </c>
      <c r="E1759" s="82"/>
    </row>
    <row r="1760" spans="1:7" ht="14.4">
      <c r="A1760" s="68">
        <v>41983</v>
      </c>
      <c r="B1760" s="65">
        <v>43.174999999999997</v>
      </c>
      <c r="C1760" s="80">
        <v>12534873</v>
      </c>
      <c r="D1760" s="83">
        <v>-0.10416018259155524</v>
      </c>
      <c r="E1760" s="82"/>
    </row>
    <row r="1761" spans="1:5" ht="14.4">
      <c r="A1761" s="68">
        <v>41982</v>
      </c>
      <c r="B1761" s="65">
        <v>48.195</v>
      </c>
      <c r="C1761" s="80">
        <v>2454925</v>
      </c>
      <c r="D1761" s="83">
        <v>-2.0128087831655983E-2</v>
      </c>
      <c r="E1761" s="82"/>
    </row>
    <row r="1762" spans="1:5" ht="14.4">
      <c r="A1762" s="68">
        <v>41981</v>
      </c>
      <c r="B1762" s="65">
        <v>49.185000000000002</v>
      </c>
      <c r="C1762" s="80">
        <v>1684241</v>
      </c>
      <c r="D1762" s="83">
        <v>-1.294400963275133E-2</v>
      </c>
      <c r="E1762" s="82"/>
    </row>
    <row r="1763" spans="1:5" ht="14.4">
      <c r="A1763" s="68">
        <v>41978</v>
      </c>
      <c r="B1763" s="65">
        <v>49.83</v>
      </c>
      <c r="C1763" s="80">
        <v>2901406</v>
      </c>
      <c r="D1763" s="83">
        <v>3.446128295619677E-2</v>
      </c>
      <c r="E1763" s="82"/>
    </row>
    <row r="1764" spans="1:5" ht="14.4">
      <c r="A1764" s="68">
        <v>41977</v>
      </c>
      <c r="B1764" s="65">
        <v>48.17</v>
      </c>
      <c r="C1764" s="80">
        <v>3267887</v>
      </c>
      <c r="D1764" s="83">
        <v>-5.2658750645326879E-3</v>
      </c>
      <c r="E1764" s="82"/>
    </row>
    <row r="1765" spans="1:5" ht="14.4">
      <c r="A1765" s="68">
        <v>41976</v>
      </c>
      <c r="B1765" s="65">
        <v>48.424999999999997</v>
      </c>
      <c r="C1765" s="80">
        <v>1796419</v>
      </c>
      <c r="D1765" s="83">
        <v>-5.0339017875489223E-3</v>
      </c>
      <c r="E1765" s="82"/>
    </row>
    <row r="1766" spans="1:5" ht="14.4">
      <c r="A1766" s="68">
        <v>41975</v>
      </c>
      <c r="B1766" s="65">
        <v>48.67</v>
      </c>
      <c r="C1766" s="80">
        <v>1753669</v>
      </c>
      <c r="D1766" s="83">
        <v>-1.5386193455738661E-3</v>
      </c>
      <c r="E1766" s="82"/>
    </row>
    <row r="1767" spans="1:5" ht="14.4">
      <c r="A1767" s="68">
        <v>41974</v>
      </c>
      <c r="B1767" s="65">
        <v>48.744999999999997</v>
      </c>
      <c r="C1767" s="80">
        <v>1866036</v>
      </c>
      <c r="D1767" s="83">
        <v>-5.102561485865853E-3</v>
      </c>
      <c r="E1767" s="82"/>
    </row>
    <row r="1768" spans="1:5" ht="14.4">
      <c r="A1768" s="68">
        <v>41971</v>
      </c>
      <c r="B1768" s="65">
        <v>48.994999999999997</v>
      </c>
      <c r="C1768" s="80">
        <v>2616684</v>
      </c>
      <c r="D1768" s="83">
        <v>-1.5967061658967663E-2</v>
      </c>
      <c r="E1768" s="82"/>
    </row>
    <row r="1769" spans="1:5" ht="14.4">
      <c r="A1769" s="68">
        <v>41970</v>
      </c>
      <c r="B1769" s="65">
        <v>49.79</v>
      </c>
      <c r="C1769" s="80">
        <v>1550766</v>
      </c>
      <c r="D1769" s="83">
        <v>8.2008707097296352E-3</v>
      </c>
      <c r="E1769" s="82"/>
    </row>
    <row r="1770" spans="1:5" ht="14.4">
      <c r="A1770" s="68">
        <v>41969</v>
      </c>
      <c r="B1770" s="65">
        <v>49.384999999999998</v>
      </c>
      <c r="C1770" s="80">
        <v>1425215</v>
      </c>
      <c r="D1770" s="83">
        <v>-3.8325769036814394E-3</v>
      </c>
      <c r="E1770" s="82"/>
    </row>
    <row r="1771" spans="1:5" ht="14.4">
      <c r="A1771" s="68">
        <v>41968</v>
      </c>
      <c r="B1771" s="65">
        <v>49.575000000000003</v>
      </c>
      <c r="C1771" s="80">
        <v>2087101</v>
      </c>
      <c r="D1771" s="83">
        <v>1.1631466176920791E-2</v>
      </c>
      <c r="E1771" s="82"/>
    </row>
    <row r="1772" spans="1:5" ht="14.4">
      <c r="A1772" s="68">
        <v>41967</v>
      </c>
      <c r="B1772" s="65">
        <v>49.005000000000003</v>
      </c>
      <c r="C1772" s="80">
        <v>3126885</v>
      </c>
      <c r="D1772" s="83">
        <v>1.5121698601760825E-2</v>
      </c>
      <c r="E1772" s="82"/>
    </row>
    <row r="1773" spans="1:5" ht="14.4">
      <c r="A1773" s="68">
        <v>41964</v>
      </c>
      <c r="B1773" s="65">
        <v>48.274999999999999</v>
      </c>
      <c r="C1773" s="80">
        <v>3664538</v>
      </c>
      <c r="D1773" s="83">
        <v>3.0196329492104157E-2</v>
      </c>
      <c r="E1773" s="82"/>
    </row>
    <row r="1774" spans="1:5" ht="14.4">
      <c r="A1774" s="68">
        <v>41963</v>
      </c>
      <c r="B1774" s="65">
        <v>46.86</v>
      </c>
      <c r="C1774" s="80">
        <v>2409537</v>
      </c>
      <c r="D1774" s="83">
        <v>-2.9787234042553123E-3</v>
      </c>
      <c r="E1774" s="82"/>
    </row>
    <row r="1775" spans="1:5" ht="14.4">
      <c r="A1775" s="68">
        <v>41962</v>
      </c>
      <c r="B1775" s="65">
        <v>47</v>
      </c>
      <c r="C1775" s="80">
        <v>2195197</v>
      </c>
      <c r="D1775" s="83">
        <v>5.5626872058194277E-3</v>
      </c>
      <c r="E1775" s="82"/>
    </row>
    <row r="1776" spans="1:5" ht="14.4">
      <c r="A1776" s="68">
        <v>41961</v>
      </c>
      <c r="B1776" s="65">
        <v>46.74</v>
      </c>
      <c r="C1776" s="80">
        <v>3483413</v>
      </c>
      <c r="D1776" s="83">
        <v>-2.51329648555636E-2</v>
      </c>
      <c r="E1776" s="82"/>
    </row>
    <row r="1777" spans="1:5" ht="14.4">
      <c r="A1777" s="68">
        <v>41960</v>
      </c>
      <c r="B1777" s="65">
        <v>47.945</v>
      </c>
      <c r="C1777" s="80">
        <v>2692168</v>
      </c>
      <c r="D1777" s="83">
        <v>-1.052522959446911E-2</v>
      </c>
      <c r="E1777" s="82"/>
    </row>
    <row r="1778" spans="1:5" ht="14.4">
      <c r="A1778" s="68">
        <v>41957</v>
      </c>
      <c r="B1778" s="65">
        <v>48.454999999999998</v>
      </c>
      <c r="C1778" s="80">
        <v>4616390</v>
      </c>
      <c r="D1778" s="83">
        <v>1.5828092243186376E-2</v>
      </c>
      <c r="E1778" s="82"/>
    </row>
    <row r="1779" spans="1:5" ht="14.4">
      <c r="A1779" s="68">
        <v>41956</v>
      </c>
      <c r="B1779" s="65">
        <v>47.7</v>
      </c>
      <c r="C1779" s="80">
        <v>2690626</v>
      </c>
      <c r="D1779" s="83">
        <v>-7.2840790842870762E-3</v>
      </c>
      <c r="E1779" s="82"/>
    </row>
    <row r="1780" spans="1:5" ht="14.4">
      <c r="A1780" s="68">
        <v>41955</v>
      </c>
      <c r="B1780" s="65">
        <v>48.05</v>
      </c>
      <c r="C1780" s="80">
        <v>2136671</v>
      </c>
      <c r="D1780" s="83">
        <v>-1.2332990750256956E-2</v>
      </c>
      <c r="E1780" s="82"/>
    </row>
    <row r="1781" spans="1:5" ht="14.4">
      <c r="A1781" s="68">
        <v>41954</v>
      </c>
      <c r="B1781" s="65">
        <v>48.65</v>
      </c>
      <c r="C1781" s="80">
        <v>1876155</v>
      </c>
      <c r="D1781" s="83">
        <v>5.6847545219638196E-3</v>
      </c>
      <c r="E1781" s="82"/>
    </row>
    <row r="1782" spans="1:5" ht="14.4">
      <c r="A1782" s="68">
        <v>41953</v>
      </c>
      <c r="B1782" s="65">
        <v>48.375</v>
      </c>
      <c r="C1782" s="80">
        <v>1868028</v>
      </c>
      <c r="D1782" s="83">
        <v>2.7985074626866169E-3</v>
      </c>
      <c r="E1782" s="82"/>
    </row>
    <row r="1783" spans="1:5" ht="14.4">
      <c r="A1783" s="68">
        <v>41950</v>
      </c>
      <c r="B1783" s="65">
        <v>48.24</v>
      </c>
      <c r="C1783" s="80">
        <v>2413621</v>
      </c>
      <c r="D1783" s="83">
        <v>-3.4087387666563718E-3</v>
      </c>
      <c r="E1783" s="82"/>
    </row>
    <row r="1784" spans="1:5" ht="14.4">
      <c r="A1784" s="68">
        <v>41949</v>
      </c>
      <c r="B1784" s="65">
        <v>48.405000000000001</v>
      </c>
      <c r="C1784" s="80">
        <v>3165957</v>
      </c>
      <c r="D1784" s="83">
        <v>1.22333751568382E-2</v>
      </c>
      <c r="E1784" s="82"/>
    </row>
    <row r="1785" spans="1:5" ht="14.4">
      <c r="A1785" s="68">
        <v>41948</v>
      </c>
      <c r="B1785" s="65">
        <v>47.82</v>
      </c>
      <c r="C1785" s="80">
        <v>2077599</v>
      </c>
      <c r="D1785" s="83">
        <v>2.0051194539249195E-2</v>
      </c>
      <c r="E1785" s="82"/>
    </row>
    <row r="1786" spans="1:5" ht="14.4">
      <c r="A1786" s="68">
        <v>41947</v>
      </c>
      <c r="B1786" s="65">
        <v>46.88</v>
      </c>
      <c r="C1786" s="80">
        <v>2376176</v>
      </c>
      <c r="D1786" s="83">
        <v>-1.4090431125131309E-2</v>
      </c>
      <c r="E1786" s="82"/>
    </row>
    <row r="1787" spans="1:5" ht="14.4">
      <c r="A1787" s="68">
        <v>41946</v>
      </c>
      <c r="B1787" s="65">
        <v>47.55</v>
      </c>
      <c r="C1787" s="80">
        <v>2077246</v>
      </c>
      <c r="D1787" s="83">
        <v>-1.0504201680673342E-3</v>
      </c>
      <c r="E1787" s="82"/>
    </row>
    <row r="1788" spans="1:5" ht="14.4">
      <c r="A1788" s="68">
        <v>41943</v>
      </c>
      <c r="B1788" s="65">
        <v>47.6</v>
      </c>
      <c r="C1788" s="80">
        <v>3612634</v>
      </c>
      <c r="D1788" s="83">
        <v>3.6924082343971154E-2</v>
      </c>
      <c r="E1788" s="82"/>
    </row>
    <row r="1789" spans="1:5" ht="14.4">
      <c r="A1789" s="68">
        <v>41942</v>
      </c>
      <c r="B1789" s="65">
        <v>45.905000000000001</v>
      </c>
      <c r="C1789" s="80">
        <v>3109545</v>
      </c>
      <c r="D1789" s="83">
        <v>2.2925764192140985E-3</v>
      </c>
      <c r="E1789" s="82"/>
    </row>
    <row r="1790" spans="1:5" ht="14.4">
      <c r="A1790" s="68">
        <v>41941</v>
      </c>
      <c r="B1790" s="65">
        <v>45.8</v>
      </c>
      <c r="C1790" s="80">
        <v>2312120</v>
      </c>
      <c r="D1790" s="83">
        <v>8.4773753165252597E-3</v>
      </c>
      <c r="E1790" s="82"/>
    </row>
    <row r="1791" spans="1:5" ht="14.4">
      <c r="A1791" s="68">
        <v>41940</v>
      </c>
      <c r="B1791" s="65">
        <v>45.414999999999999</v>
      </c>
      <c r="C1791" s="80">
        <v>2296543</v>
      </c>
      <c r="D1791" s="83">
        <v>1.4633601429848042E-2</v>
      </c>
      <c r="E1791" s="82"/>
    </row>
    <row r="1792" spans="1:5" ht="14.4">
      <c r="A1792" s="68">
        <v>41939</v>
      </c>
      <c r="B1792" s="65">
        <v>44.76</v>
      </c>
      <c r="C1792" s="80">
        <v>2452021</v>
      </c>
      <c r="D1792" s="83">
        <v>-1.1702362552439838E-2</v>
      </c>
      <c r="E1792" s="82"/>
    </row>
    <row r="1793" spans="1:5" ht="14.4">
      <c r="A1793" s="68">
        <v>41936</v>
      </c>
      <c r="B1793" s="65">
        <v>45.29</v>
      </c>
      <c r="C1793" s="80">
        <v>2085574</v>
      </c>
      <c r="D1793" s="83">
        <v>-5.3804765564949841E-3</v>
      </c>
      <c r="E1793" s="82"/>
    </row>
    <row r="1794" spans="1:5" ht="14.4">
      <c r="A1794" s="68">
        <v>41935</v>
      </c>
      <c r="B1794" s="65">
        <v>45.534999999999997</v>
      </c>
      <c r="C1794" s="80">
        <v>2654542</v>
      </c>
      <c r="D1794" s="83">
        <v>7.1886750718865855E-3</v>
      </c>
      <c r="E1794" s="82"/>
    </row>
    <row r="1795" spans="1:5" ht="14.4">
      <c r="A1795" s="68">
        <v>41934</v>
      </c>
      <c r="B1795" s="65">
        <v>45.21</v>
      </c>
      <c r="C1795" s="80">
        <v>3341269</v>
      </c>
      <c r="D1795" s="83">
        <v>7.6897358742895605E-3</v>
      </c>
      <c r="E1795" s="82"/>
    </row>
    <row r="1796" spans="1:5" ht="14.4">
      <c r="A1796" s="68">
        <v>41933</v>
      </c>
      <c r="B1796" s="65">
        <v>44.865000000000002</v>
      </c>
      <c r="C1796" s="80">
        <v>3143762</v>
      </c>
      <c r="D1796" s="83">
        <v>2.7364323334096552E-2</v>
      </c>
      <c r="E1796" s="82"/>
    </row>
    <row r="1797" spans="1:5" ht="14.4">
      <c r="A1797" s="68">
        <v>41932</v>
      </c>
      <c r="B1797" s="65">
        <v>43.67</v>
      </c>
      <c r="C1797" s="80">
        <v>2507536</v>
      </c>
      <c r="D1797" s="83">
        <v>-6.5969062784348997E-3</v>
      </c>
      <c r="E1797" s="82"/>
    </row>
    <row r="1798" spans="1:5" ht="14.4">
      <c r="A1798" s="68">
        <v>41929</v>
      </c>
      <c r="B1798" s="65">
        <v>43.96</v>
      </c>
      <c r="C1798" s="80">
        <v>5999401</v>
      </c>
      <c r="D1798" s="83">
        <v>2.8304093567251387E-2</v>
      </c>
      <c r="E1798" s="82"/>
    </row>
    <row r="1799" spans="1:5" ht="14.4">
      <c r="A1799" s="68">
        <v>41928</v>
      </c>
      <c r="B1799" s="65">
        <v>42.75</v>
      </c>
      <c r="C1799" s="80">
        <v>8008544</v>
      </c>
      <c r="D1799" s="83">
        <v>-2.1739130434782705E-2</v>
      </c>
      <c r="E1799" s="82"/>
    </row>
    <row r="1800" spans="1:5" ht="14.4">
      <c r="A1800" s="68">
        <v>41927</v>
      </c>
      <c r="B1800" s="65">
        <v>43.7</v>
      </c>
      <c r="C1800" s="80">
        <v>4677802</v>
      </c>
      <c r="D1800" s="83">
        <v>-4.8033983226228094E-2</v>
      </c>
      <c r="E1800" s="82"/>
    </row>
    <row r="1801" spans="1:5" ht="14.4">
      <c r="A1801" s="68">
        <v>41926</v>
      </c>
      <c r="B1801" s="65">
        <v>45.905000000000001</v>
      </c>
      <c r="C1801" s="80">
        <v>3034247</v>
      </c>
      <c r="D1801" s="83">
        <v>9.8999010009901411E-3</v>
      </c>
      <c r="E1801" s="82"/>
    </row>
    <row r="1802" spans="1:5" ht="14.4">
      <c r="A1802" s="68">
        <v>41925</v>
      </c>
      <c r="B1802" s="65">
        <v>45.454999999999998</v>
      </c>
      <c r="C1802" s="80">
        <v>2882153</v>
      </c>
      <c r="D1802" s="83">
        <v>3.3010563380275748E-4</v>
      </c>
      <c r="E1802" s="82"/>
    </row>
    <row r="1803" spans="1:5" ht="14.4">
      <c r="A1803" s="68">
        <v>41922</v>
      </c>
      <c r="B1803" s="65">
        <v>45.44</v>
      </c>
      <c r="C1803" s="80">
        <v>5102960</v>
      </c>
      <c r="D1803" s="83">
        <v>-4.6002190580504143E-3</v>
      </c>
      <c r="E1803" s="82"/>
    </row>
    <row r="1804" spans="1:5" ht="14.4">
      <c r="A1804" s="68">
        <v>41921</v>
      </c>
      <c r="B1804" s="65">
        <v>45.65</v>
      </c>
      <c r="C1804" s="80">
        <v>4885904</v>
      </c>
      <c r="D1804" s="83">
        <v>-4.0563261874737244E-2</v>
      </c>
      <c r="E1804" s="82"/>
    </row>
    <row r="1805" spans="1:5" ht="14.4">
      <c r="A1805" s="68">
        <v>41920</v>
      </c>
      <c r="B1805" s="65">
        <v>47.58</v>
      </c>
      <c r="C1805" s="80">
        <v>3314996</v>
      </c>
      <c r="D1805" s="83">
        <v>-2.1189055749845753E-2</v>
      </c>
      <c r="E1805" s="82"/>
    </row>
    <row r="1806" spans="1:5" ht="14.4">
      <c r="A1806" s="68">
        <v>41919</v>
      </c>
      <c r="B1806" s="65">
        <v>48.61</v>
      </c>
      <c r="C1806" s="80">
        <v>3499897</v>
      </c>
      <c r="D1806" s="83">
        <v>-2.6339509263895833E-2</v>
      </c>
      <c r="E1806" s="82"/>
    </row>
    <row r="1807" spans="1:5" ht="14.4">
      <c r="A1807" s="68">
        <v>41918</v>
      </c>
      <c r="B1807" s="65">
        <v>49.924999999999997</v>
      </c>
      <c r="C1807" s="80">
        <v>2368745</v>
      </c>
      <c r="D1807" s="83">
        <v>6.9584509883016121E-3</v>
      </c>
      <c r="E1807" s="82"/>
    </row>
    <row r="1808" spans="1:5" ht="14.4">
      <c r="A1808" s="68">
        <v>41915</v>
      </c>
      <c r="B1808" s="65">
        <v>49.58</v>
      </c>
      <c r="C1808" s="80">
        <v>2972224</v>
      </c>
      <c r="D1808" s="83">
        <v>3.5721746396490506E-2</v>
      </c>
      <c r="E1808" s="82"/>
    </row>
    <row r="1809" spans="1:5" ht="14.4">
      <c r="A1809" s="68">
        <v>41914</v>
      </c>
      <c r="B1809" s="65">
        <v>47.87</v>
      </c>
      <c r="C1809" s="80">
        <v>3597859</v>
      </c>
      <c r="D1809" s="83">
        <v>-2.48523120798535E-2</v>
      </c>
      <c r="E1809" s="82"/>
    </row>
    <row r="1810" spans="1:5" ht="14.4">
      <c r="A1810" s="68">
        <v>41913</v>
      </c>
      <c r="B1810" s="65">
        <v>49.09</v>
      </c>
      <c r="C1810" s="80">
        <v>2499382</v>
      </c>
      <c r="D1810" s="83">
        <v>-1.4652749899638606E-2</v>
      </c>
      <c r="E1810" s="82"/>
    </row>
    <row r="1811" spans="1:5" ht="14.4">
      <c r="A1811" s="68">
        <v>41912</v>
      </c>
      <c r="B1811" s="65">
        <v>49.82</v>
      </c>
      <c r="C1811" s="80">
        <v>3535123</v>
      </c>
      <c r="D1811" s="83">
        <v>2.6052929667387481E-2</v>
      </c>
      <c r="E1811" s="82"/>
    </row>
    <row r="1812" spans="1:5" ht="14.4">
      <c r="A1812" s="68">
        <v>41911</v>
      </c>
      <c r="B1812" s="65">
        <v>48.555</v>
      </c>
      <c r="C1812" s="80">
        <v>2181374</v>
      </c>
      <c r="D1812" s="83">
        <v>-1.5910012160518905E-2</v>
      </c>
      <c r="E1812" s="82"/>
    </row>
    <row r="1813" spans="1:5" ht="14.4">
      <c r="A1813" s="68">
        <v>41908</v>
      </c>
      <c r="B1813" s="65">
        <v>49.34</v>
      </c>
      <c r="C1813" s="80">
        <v>2442716</v>
      </c>
      <c r="D1813" s="83">
        <v>1.5644298065047524E-2</v>
      </c>
      <c r="E1813" s="82"/>
    </row>
    <row r="1814" spans="1:5" ht="14.4">
      <c r="A1814" s="68">
        <v>41907</v>
      </c>
      <c r="B1814" s="65">
        <v>48.58</v>
      </c>
      <c r="C1814" s="80">
        <v>4296960</v>
      </c>
      <c r="D1814" s="83">
        <v>2.1876314682372611E-2</v>
      </c>
      <c r="E1814" s="82"/>
    </row>
    <row r="1815" spans="1:5" ht="14.4">
      <c r="A1815" s="68">
        <v>41906</v>
      </c>
      <c r="B1815" s="65">
        <v>47.54</v>
      </c>
      <c r="C1815" s="80">
        <v>2714549</v>
      </c>
      <c r="D1815" s="83">
        <v>8.4210526315797729E-4</v>
      </c>
      <c r="E1815" s="82"/>
    </row>
    <row r="1816" spans="1:5" ht="14.4">
      <c r="A1816" s="68">
        <v>41905</v>
      </c>
      <c r="B1816" s="65">
        <v>47.5</v>
      </c>
      <c r="C1816" s="80">
        <v>3100667</v>
      </c>
      <c r="D1816" s="83">
        <v>-3.3865554764568317E-2</v>
      </c>
      <c r="E1816" s="82"/>
    </row>
    <row r="1817" spans="1:5" ht="14.4">
      <c r="A1817" s="68">
        <v>41904</v>
      </c>
      <c r="B1817" s="65">
        <v>49.164999999999999</v>
      </c>
      <c r="C1817" s="80">
        <v>1612406</v>
      </c>
      <c r="D1817" s="83">
        <v>-4.3539894694208936E-3</v>
      </c>
      <c r="E1817" s="82"/>
    </row>
    <row r="1818" spans="1:5" ht="14.4">
      <c r="A1818" s="68">
        <v>41901</v>
      </c>
      <c r="B1818" s="65">
        <v>49.38</v>
      </c>
      <c r="C1818" s="80">
        <v>3278037</v>
      </c>
      <c r="D1818" s="83">
        <v>-3.4308779011098522E-3</v>
      </c>
      <c r="E1818" s="82"/>
    </row>
    <row r="1819" spans="1:5" ht="14.4">
      <c r="A1819" s="68">
        <v>41900</v>
      </c>
      <c r="B1819" s="65">
        <v>49.55</v>
      </c>
      <c r="C1819" s="80">
        <v>1968423</v>
      </c>
      <c r="D1819" s="83">
        <v>1.5368852459016313E-2</v>
      </c>
      <c r="E1819" s="82"/>
    </row>
    <row r="1820" spans="1:5" ht="14.4">
      <c r="A1820" s="68">
        <v>41899</v>
      </c>
      <c r="B1820" s="65">
        <v>48.8</v>
      </c>
      <c r="C1820" s="80">
        <v>1709545</v>
      </c>
      <c r="D1820" s="83">
        <v>-5.5023435907887164E-3</v>
      </c>
      <c r="E1820" s="82"/>
    </row>
    <row r="1821" spans="1:5" ht="14.4">
      <c r="A1821" s="68">
        <v>41898</v>
      </c>
      <c r="B1821" s="65">
        <v>49.07</v>
      </c>
      <c r="C1821" s="80">
        <v>2145634</v>
      </c>
      <c r="D1821" s="83">
        <v>3.066230580539564E-3</v>
      </c>
      <c r="E1821" s="82"/>
    </row>
    <row r="1822" spans="1:5" ht="14.4">
      <c r="A1822" s="68">
        <v>41897</v>
      </c>
      <c r="B1822" s="65">
        <v>48.92</v>
      </c>
      <c r="C1822" s="80">
        <v>1450698</v>
      </c>
      <c r="D1822" s="83">
        <v>8.6597938144330477E-3</v>
      </c>
      <c r="E1822" s="82"/>
    </row>
    <row r="1823" spans="1:5" ht="14.4">
      <c r="A1823" s="68">
        <v>41894</v>
      </c>
      <c r="B1823" s="65">
        <v>48.5</v>
      </c>
      <c r="C1823" s="80">
        <v>2341948</v>
      </c>
      <c r="D1823" s="83">
        <v>6.1196971268540068E-3</v>
      </c>
      <c r="E1823" s="82"/>
    </row>
    <row r="1824" spans="1:5" ht="14.4">
      <c r="A1824" s="68">
        <v>41893</v>
      </c>
      <c r="B1824" s="65">
        <v>48.204999999999998</v>
      </c>
      <c r="C1824" s="80">
        <v>1816204</v>
      </c>
      <c r="D1824" s="83">
        <v>-4.0289256198347001E-3</v>
      </c>
      <c r="E1824" s="82"/>
    </row>
    <row r="1825" spans="1:5" ht="14.4">
      <c r="A1825" s="68">
        <v>41892</v>
      </c>
      <c r="B1825" s="65">
        <v>48.4</v>
      </c>
      <c r="C1825" s="80">
        <v>1680707</v>
      </c>
      <c r="D1825" s="83">
        <v>-3.9102696027990547E-3</v>
      </c>
      <c r="E1825" s="82"/>
    </row>
    <row r="1826" spans="1:5" ht="14.4">
      <c r="A1826" s="68">
        <v>41891</v>
      </c>
      <c r="B1826" s="65">
        <v>48.59</v>
      </c>
      <c r="C1826" s="80">
        <v>1871914</v>
      </c>
      <c r="D1826" s="83">
        <v>-6.1362241767232151E-3</v>
      </c>
      <c r="E1826" s="82"/>
    </row>
    <row r="1827" spans="1:5" ht="14.4">
      <c r="A1827" s="68">
        <v>41890</v>
      </c>
      <c r="B1827" s="65">
        <v>48.89</v>
      </c>
      <c r="C1827" s="80">
        <v>2039253</v>
      </c>
      <c r="D1827" s="83">
        <v>-6.0988005692212965E-3</v>
      </c>
      <c r="E1827" s="82"/>
    </row>
    <row r="1828" spans="1:5" ht="14.4">
      <c r="A1828" s="68">
        <v>41887</v>
      </c>
      <c r="B1828" s="65">
        <v>49.19</v>
      </c>
      <c r="C1828" s="80">
        <v>3328196</v>
      </c>
      <c r="D1828" s="83">
        <v>6.4450127877238028E-3</v>
      </c>
      <c r="E1828" s="82"/>
    </row>
    <row r="1829" spans="1:5" ht="14.4">
      <c r="A1829" s="68">
        <v>41886</v>
      </c>
      <c r="B1829" s="65">
        <v>48.875</v>
      </c>
      <c r="C1829" s="80">
        <v>4091483</v>
      </c>
      <c r="D1829" s="83">
        <v>3.2534065701911974E-2</v>
      </c>
      <c r="E1829" s="82"/>
    </row>
    <row r="1830" spans="1:5" ht="14.4">
      <c r="A1830" s="68">
        <v>41885</v>
      </c>
      <c r="B1830" s="65">
        <v>47.335000000000001</v>
      </c>
      <c r="C1830" s="80">
        <v>2293339</v>
      </c>
      <c r="D1830" s="83">
        <v>7.1276595744680371E-3</v>
      </c>
      <c r="E1830" s="82"/>
    </row>
    <row r="1831" spans="1:5" ht="14.4">
      <c r="A1831" s="68">
        <v>41884</v>
      </c>
      <c r="B1831" s="65">
        <v>47</v>
      </c>
      <c r="C1831" s="80">
        <v>1608293</v>
      </c>
      <c r="D1831" s="83">
        <v>4.2735042735042583E-3</v>
      </c>
      <c r="E1831" s="82"/>
    </row>
    <row r="1832" spans="1:5" ht="14.4">
      <c r="A1832" s="68">
        <v>41883</v>
      </c>
      <c r="B1832" s="65">
        <v>46.8</v>
      </c>
      <c r="C1832" s="80">
        <v>1443266</v>
      </c>
      <c r="D1832" s="83">
        <v>-1.0682619378277192E-4</v>
      </c>
      <c r="E1832" s="82"/>
    </row>
    <row r="1833" spans="1:5" ht="14.4">
      <c r="A1833" s="68">
        <v>41880</v>
      </c>
      <c r="B1833" s="65">
        <v>46.805</v>
      </c>
      <c r="C1833" s="80">
        <v>1729514</v>
      </c>
      <c r="D1833" s="83">
        <v>4.399141630901271E-3</v>
      </c>
      <c r="E1833" s="82"/>
    </row>
    <row r="1834" spans="1:5" ht="14.4">
      <c r="A1834" s="68">
        <v>41879</v>
      </c>
      <c r="B1834" s="65">
        <v>46.6</v>
      </c>
      <c r="C1834" s="80">
        <v>1859206</v>
      </c>
      <c r="D1834" s="83">
        <v>-3.528279696354053E-3</v>
      </c>
      <c r="E1834" s="82"/>
    </row>
    <row r="1835" spans="1:5" ht="14.4">
      <c r="A1835" s="68">
        <v>41878</v>
      </c>
      <c r="B1835" s="65">
        <v>46.765000000000001</v>
      </c>
      <c r="C1835" s="80">
        <v>2014430</v>
      </c>
      <c r="D1835" s="83">
        <v>4.7266086582875566E-3</v>
      </c>
      <c r="E1835" s="82"/>
    </row>
    <row r="1836" spans="1:5" ht="14.4">
      <c r="A1836" s="68">
        <v>41877</v>
      </c>
      <c r="B1836" s="65">
        <v>46.545000000000002</v>
      </c>
      <c r="C1836" s="80">
        <v>2442912</v>
      </c>
      <c r="D1836" s="83">
        <v>1.3059092393078675E-2</v>
      </c>
      <c r="E1836" s="82"/>
    </row>
    <row r="1837" spans="1:5" ht="14.4">
      <c r="A1837" s="68">
        <v>41876</v>
      </c>
      <c r="B1837" s="65">
        <v>45.945</v>
      </c>
      <c r="C1837" s="80">
        <v>1871039</v>
      </c>
      <c r="D1837" s="83">
        <v>2.7162977867203342E-2</v>
      </c>
      <c r="E1837" s="82"/>
    </row>
    <row r="1838" spans="1:5" ht="14.4">
      <c r="A1838" s="68">
        <v>41873</v>
      </c>
      <c r="B1838" s="65">
        <v>44.73</v>
      </c>
      <c r="C1838" s="80">
        <v>1920865</v>
      </c>
      <c r="D1838" s="83">
        <v>1.0070493454177321E-3</v>
      </c>
      <c r="E1838" s="82"/>
    </row>
    <row r="1839" spans="1:5" ht="14.4">
      <c r="A1839" s="68">
        <v>41872</v>
      </c>
      <c r="B1839" s="65">
        <v>44.685000000000002</v>
      </c>
      <c r="C1839" s="80">
        <v>2075823</v>
      </c>
      <c r="D1839" s="83">
        <v>4.1573033707864582E-3</v>
      </c>
      <c r="E1839" s="82"/>
    </row>
    <row r="1840" spans="1:5" ht="14.4">
      <c r="A1840" s="68">
        <v>41871</v>
      </c>
      <c r="B1840" s="65">
        <v>44.5</v>
      </c>
      <c r="C1840" s="80">
        <v>2128099</v>
      </c>
      <c r="D1840" s="83">
        <v>-3.4710558728026086E-3</v>
      </c>
      <c r="E1840" s="82"/>
    </row>
    <row r="1841" spans="1:5" ht="14.4">
      <c r="A1841" s="68">
        <v>41870</v>
      </c>
      <c r="B1841" s="65">
        <v>44.655000000000001</v>
      </c>
      <c r="C1841" s="80">
        <v>1909543</v>
      </c>
      <c r="D1841" s="83">
        <v>1.1896668932698917E-2</v>
      </c>
      <c r="E1841" s="82"/>
    </row>
    <row r="1842" spans="1:5" ht="14.4">
      <c r="A1842" s="68">
        <v>41869</v>
      </c>
      <c r="B1842" s="65">
        <v>44.13</v>
      </c>
      <c r="C1842" s="80">
        <v>1623400</v>
      </c>
      <c r="D1842" s="83">
        <v>1.5182884748102143E-2</v>
      </c>
      <c r="E1842" s="82"/>
    </row>
    <row r="1843" spans="1:5" ht="14.4">
      <c r="A1843" s="68">
        <v>41866</v>
      </c>
      <c r="B1843" s="65">
        <v>43.47</v>
      </c>
      <c r="C1843" s="80">
        <v>2749705</v>
      </c>
      <c r="D1843" s="83">
        <v>-3.0959752321980671E-3</v>
      </c>
      <c r="E1843" s="82"/>
    </row>
    <row r="1844" spans="1:5" ht="14.4">
      <c r="A1844" s="68">
        <v>41865</v>
      </c>
      <c r="B1844" s="65">
        <v>43.604999999999997</v>
      </c>
      <c r="C1844" s="80">
        <v>1767026</v>
      </c>
      <c r="D1844" s="83">
        <v>1.1834319526627279E-2</v>
      </c>
      <c r="E1844" s="82"/>
    </row>
    <row r="1845" spans="1:5" ht="14.4">
      <c r="A1845" s="68">
        <v>41864</v>
      </c>
      <c r="B1845" s="65">
        <v>43.094999999999999</v>
      </c>
      <c r="C1845" s="80">
        <v>1683542</v>
      </c>
      <c r="D1845" s="83">
        <v>9.2904424573214683E-4</v>
      </c>
      <c r="E1845" s="82"/>
    </row>
    <row r="1846" spans="1:5" ht="14.4">
      <c r="A1846" s="68">
        <v>41863</v>
      </c>
      <c r="B1846" s="65">
        <v>43.055</v>
      </c>
      <c r="C1846" s="80">
        <v>2315527</v>
      </c>
      <c r="D1846" s="83">
        <v>-6.6905064021224314E-3</v>
      </c>
      <c r="E1846" s="82"/>
    </row>
    <row r="1847" spans="1:5" ht="14.4">
      <c r="A1847" s="68">
        <v>41862</v>
      </c>
      <c r="B1847" s="65">
        <v>43.344999999999999</v>
      </c>
      <c r="C1847" s="80">
        <v>2209816</v>
      </c>
      <c r="D1847" s="83">
        <v>2.6767736586521318E-2</v>
      </c>
      <c r="E1847" s="82"/>
    </row>
    <row r="1848" spans="1:5" ht="14.4">
      <c r="A1848" s="68">
        <v>41859</v>
      </c>
      <c r="B1848" s="65">
        <v>42.215000000000003</v>
      </c>
      <c r="C1848" s="80">
        <v>2157772</v>
      </c>
      <c r="D1848" s="83">
        <v>-8.1062030075187419E-3</v>
      </c>
      <c r="E1848" s="82"/>
    </row>
    <row r="1849" spans="1:5" ht="14.4">
      <c r="A1849" s="68">
        <v>41858</v>
      </c>
      <c r="B1849" s="65">
        <v>42.56</v>
      </c>
      <c r="C1849" s="80">
        <v>2747244</v>
      </c>
      <c r="D1849" s="83">
        <v>-9.8871699430033155E-3</v>
      </c>
      <c r="E1849" s="82"/>
    </row>
    <row r="1850" spans="1:5" ht="14.4">
      <c r="A1850" s="68">
        <v>41857</v>
      </c>
      <c r="B1850" s="65">
        <v>42.984999999999999</v>
      </c>
      <c r="C1850" s="80">
        <v>3926549</v>
      </c>
      <c r="D1850" s="83">
        <v>1.2603062426383982E-2</v>
      </c>
      <c r="E1850" s="82"/>
    </row>
    <row r="1851" spans="1:5" ht="14.4">
      <c r="A1851" s="68">
        <v>41856</v>
      </c>
      <c r="B1851" s="65">
        <v>42.45</v>
      </c>
      <c r="C1851" s="80">
        <v>3425125</v>
      </c>
      <c r="D1851" s="83">
        <v>-3.2871566095327154E-3</v>
      </c>
      <c r="E1851" s="82"/>
    </row>
    <row r="1852" spans="1:5" ht="14.4">
      <c r="A1852" s="68">
        <v>41855</v>
      </c>
      <c r="B1852" s="65">
        <v>42.59</v>
      </c>
      <c r="C1852" s="80">
        <v>2443497</v>
      </c>
      <c r="D1852" s="83">
        <v>-1.9917984768598185E-3</v>
      </c>
      <c r="E1852" s="82"/>
    </row>
    <row r="1853" spans="1:5" ht="14.4">
      <c r="A1853" s="68">
        <v>41852</v>
      </c>
      <c r="B1853" s="65">
        <v>42.674999999999997</v>
      </c>
      <c r="C1853" s="80">
        <v>4678199</v>
      </c>
      <c r="D1853" s="83">
        <v>-1.5797970479704881E-2</v>
      </c>
      <c r="E1853" s="82"/>
    </row>
    <row r="1854" spans="1:5" ht="14.4">
      <c r="A1854" s="68">
        <v>41851</v>
      </c>
      <c r="B1854" s="65">
        <v>43.36</v>
      </c>
      <c r="C1854" s="80">
        <v>4806448</v>
      </c>
      <c r="D1854" s="83">
        <v>-3.6444444444444501E-2</v>
      </c>
      <c r="E1854" s="82"/>
    </row>
    <row r="1855" spans="1:5" ht="14.4">
      <c r="A1855" s="68">
        <v>41850</v>
      </c>
      <c r="B1855" s="65">
        <v>45</v>
      </c>
      <c r="C1855" s="80">
        <v>4859575</v>
      </c>
      <c r="D1855" s="83">
        <v>3.0101865628934465E-2</v>
      </c>
      <c r="E1855" s="82"/>
    </row>
    <row r="1856" spans="1:5" ht="14.4">
      <c r="A1856" s="68">
        <v>41849</v>
      </c>
      <c r="B1856" s="65">
        <v>43.685000000000002</v>
      </c>
      <c r="C1856" s="80">
        <v>3767017</v>
      </c>
      <c r="D1856" s="83">
        <v>-7.6101771921853745E-3</v>
      </c>
      <c r="E1856" s="82"/>
    </row>
    <row r="1857" spans="1:5" ht="14.4">
      <c r="A1857" s="68">
        <v>41848</v>
      </c>
      <c r="B1857" s="65">
        <v>44.02</v>
      </c>
      <c r="C1857" s="80">
        <v>2921934</v>
      </c>
      <c r="D1857" s="83">
        <v>-1.0786516853932504E-2</v>
      </c>
      <c r="E1857" s="82"/>
    </row>
    <row r="1858" spans="1:5" ht="14.4">
      <c r="A1858" s="68">
        <v>41845</v>
      </c>
      <c r="B1858" s="65">
        <v>44.5</v>
      </c>
      <c r="C1858" s="80">
        <v>2639624</v>
      </c>
      <c r="D1858" s="83">
        <v>-1.895943562610225E-2</v>
      </c>
      <c r="E1858" s="82"/>
    </row>
    <row r="1859" spans="1:5" ht="14.4">
      <c r="A1859" s="68">
        <v>41844</v>
      </c>
      <c r="B1859" s="65">
        <v>45.36</v>
      </c>
      <c r="C1859" s="80">
        <v>2579869</v>
      </c>
      <c r="D1859" s="83">
        <v>9.6828046744574792E-3</v>
      </c>
      <c r="E1859" s="82"/>
    </row>
    <row r="1860" spans="1:5" ht="14.4">
      <c r="A1860" s="68">
        <v>41843</v>
      </c>
      <c r="B1860" s="65">
        <v>44.924999999999997</v>
      </c>
      <c r="C1860" s="80">
        <v>3960185</v>
      </c>
      <c r="D1860" s="83">
        <v>1.1710392973764083E-2</v>
      </c>
      <c r="E1860" s="82"/>
    </row>
    <row r="1861" spans="1:5" ht="14.4">
      <c r="A1861" s="68">
        <v>41842</v>
      </c>
      <c r="B1861" s="65">
        <v>44.405000000000001</v>
      </c>
      <c r="C1861" s="80">
        <v>3959439</v>
      </c>
      <c r="D1861" s="83">
        <v>2.5756525756525761E-2</v>
      </c>
      <c r="E1861" s="82"/>
    </row>
    <row r="1862" spans="1:5" ht="14.4">
      <c r="A1862" s="68">
        <v>41841</v>
      </c>
      <c r="B1862" s="65">
        <v>43.29</v>
      </c>
      <c r="C1862" s="80">
        <v>3488965</v>
      </c>
      <c r="D1862" s="83">
        <v>-2.6753597122302075E-2</v>
      </c>
      <c r="E1862" s="82"/>
    </row>
    <row r="1863" spans="1:5" ht="14.4">
      <c r="A1863" s="68">
        <v>41838</v>
      </c>
      <c r="B1863" s="65">
        <v>44.48</v>
      </c>
      <c r="C1863" s="80">
        <v>3335312</v>
      </c>
      <c r="D1863" s="83">
        <v>-1.111605157847928E-2</v>
      </c>
      <c r="E1863" s="82"/>
    </row>
    <row r="1864" spans="1:5" ht="14.4">
      <c r="A1864" s="68">
        <v>41837</v>
      </c>
      <c r="B1864" s="65">
        <v>44.98</v>
      </c>
      <c r="C1864" s="80">
        <v>3151815</v>
      </c>
      <c r="D1864" s="83">
        <v>-8.3774250440917797E-3</v>
      </c>
      <c r="E1864" s="82"/>
    </row>
    <row r="1865" spans="1:5" ht="14.4">
      <c r="A1865" s="68">
        <v>41836</v>
      </c>
      <c r="B1865" s="65">
        <v>45.36</v>
      </c>
      <c r="C1865" s="80">
        <v>6809033</v>
      </c>
      <c r="D1865" s="83">
        <v>-2.4621008493710406E-2</v>
      </c>
      <c r="E1865" s="82"/>
    </row>
    <row r="1866" spans="1:5" ht="14.4">
      <c r="A1866" s="68">
        <v>41835</v>
      </c>
      <c r="B1866" s="65">
        <v>46.505000000000003</v>
      </c>
      <c r="C1866" s="80">
        <v>3111367</v>
      </c>
      <c r="D1866" s="83">
        <v>-1.3365864007637507E-2</v>
      </c>
      <c r="E1866" s="82"/>
    </row>
    <row r="1867" spans="1:5" ht="14.4">
      <c r="A1867" s="68">
        <v>41834</v>
      </c>
      <c r="B1867" s="65">
        <v>47.134999999999998</v>
      </c>
      <c r="C1867" s="80">
        <v>3010768</v>
      </c>
      <c r="D1867" s="83">
        <v>5.30672893228612E-4</v>
      </c>
      <c r="E1867" s="82"/>
    </row>
    <row r="1868" spans="1:5" ht="14.4">
      <c r="A1868" s="68">
        <v>41831</v>
      </c>
      <c r="B1868" s="65">
        <v>47.11</v>
      </c>
      <c r="C1868" s="80">
        <v>3465348</v>
      </c>
      <c r="D1868" s="83">
        <v>6.301399124212459E-3</v>
      </c>
      <c r="E1868" s="82"/>
    </row>
    <row r="1869" spans="1:5" ht="14.4">
      <c r="A1869" s="68">
        <v>41830</v>
      </c>
      <c r="B1869" s="65">
        <v>46.814999999999998</v>
      </c>
      <c r="C1869" s="80">
        <v>3314275</v>
      </c>
      <c r="D1869" s="83">
        <v>-4.0421231783853706E-3</v>
      </c>
      <c r="E1869" s="82"/>
    </row>
    <row r="1870" spans="1:5" ht="14.4">
      <c r="A1870" s="68">
        <v>41829</v>
      </c>
      <c r="B1870" s="65">
        <v>47.005000000000003</v>
      </c>
      <c r="C1870" s="80">
        <v>3099722</v>
      </c>
      <c r="D1870" s="83">
        <v>3.2013659161242991E-3</v>
      </c>
      <c r="E1870" s="82"/>
    </row>
    <row r="1871" spans="1:5" ht="14.4">
      <c r="A1871" s="68">
        <v>41828</v>
      </c>
      <c r="B1871" s="65">
        <v>46.854999999999997</v>
      </c>
      <c r="C1871" s="80">
        <v>3338014</v>
      </c>
      <c r="D1871" s="83">
        <v>-8.4647127288118851E-3</v>
      </c>
      <c r="E1871" s="82"/>
    </row>
    <row r="1872" spans="1:5" ht="14.4">
      <c r="A1872" s="68">
        <v>41827</v>
      </c>
      <c r="B1872" s="65">
        <v>47.255000000000003</v>
      </c>
      <c r="C1872" s="80">
        <v>1837572</v>
      </c>
      <c r="D1872" s="83">
        <v>-1.5007816571130816E-2</v>
      </c>
      <c r="E1872" s="82"/>
    </row>
    <row r="1873" spans="1:5" ht="14.4">
      <c r="A1873" s="68">
        <v>41824</v>
      </c>
      <c r="B1873" s="65">
        <v>47.975000000000001</v>
      </c>
      <c r="C1873" s="80">
        <v>2418687</v>
      </c>
      <c r="D1873" s="83">
        <v>4.3965246519417356E-3</v>
      </c>
      <c r="E1873" s="82"/>
    </row>
    <row r="1874" spans="1:5" ht="14.4">
      <c r="A1874" s="68">
        <v>41823</v>
      </c>
      <c r="B1874" s="65">
        <v>47.765000000000001</v>
      </c>
      <c r="C1874" s="80">
        <v>3319367</v>
      </c>
      <c r="D1874" s="83">
        <v>1.004440685134278E-2</v>
      </c>
      <c r="E1874" s="82"/>
    </row>
    <row r="1875" spans="1:5" ht="14.4">
      <c r="A1875" s="68">
        <v>41822</v>
      </c>
      <c r="B1875" s="65">
        <v>47.29</v>
      </c>
      <c r="C1875" s="80">
        <v>3762844</v>
      </c>
      <c r="D1875" s="83">
        <v>-1.3661487120659066E-2</v>
      </c>
      <c r="E1875" s="82"/>
    </row>
    <row r="1876" spans="1:5" ht="14.4">
      <c r="A1876" s="68">
        <v>41821</v>
      </c>
      <c r="B1876" s="65">
        <v>47.945</v>
      </c>
      <c r="C1876" s="80">
        <v>3791864</v>
      </c>
      <c r="D1876" s="83">
        <v>-2.0331017572537746E-2</v>
      </c>
      <c r="E1876" s="82"/>
    </row>
    <row r="1877" spans="1:5" ht="14.4">
      <c r="A1877" s="68">
        <v>41820</v>
      </c>
      <c r="B1877" s="65">
        <v>48.94</v>
      </c>
      <c r="C1877" s="80">
        <v>2483550</v>
      </c>
      <c r="D1877" s="83">
        <v>-7.1008318117264935E-3</v>
      </c>
      <c r="E1877" s="82"/>
    </row>
    <row r="1878" spans="1:5" ht="14.4">
      <c r="A1878" s="68">
        <v>41817</v>
      </c>
      <c r="B1878" s="65">
        <v>49.29</v>
      </c>
      <c r="C1878" s="80">
        <v>1779301</v>
      </c>
      <c r="D1878" s="83">
        <v>1.5555784485423052E-2</v>
      </c>
      <c r="E1878" s="82"/>
    </row>
    <row r="1879" spans="1:5" ht="14.4">
      <c r="A1879" s="68">
        <v>41816</v>
      </c>
      <c r="B1879" s="65">
        <v>48.534999999999997</v>
      </c>
      <c r="C1879" s="80">
        <v>2534982</v>
      </c>
      <c r="D1879" s="83">
        <v>-1.0499490316004056E-2</v>
      </c>
      <c r="E1879" s="82"/>
    </row>
    <row r="1880" spans="1:5" ht="14.4">
      <c r="A1880" s="68">
        <v>41815</v>
      </c>
      <c r="B1880" s="65">
        <v>49.05</v>
      </c>
      <c r="C1880" s="80">
        <v>2662707</v>
      </c>
      <c r="D1880" s="83">
        <v>1.0204081632652073E-3</v>
      </c>
      <c r="E1880" s="82"/>
    </row>
    <row r="1881" spans="1:5" ht="14.4">
      <c r="A1881" s="68">
        <v>41814</v>
      </c>
      <c r="B1881" s="65">
        <v>49</v>
      </c>
      <c r="C1881" s="80">
        <v>2018382</v>
      </c>
      <c r="D1881" s="83">
        <v>-7.1927869516765774E-3</v>
      </c>
      <c r="E1881" s="82"/>
    </row>
    <row r="1882" spans="1:5" ht="14.4">
      <c r="A1882" s="68">
        <v>41813</v>
      </c>
      <c r="B1882" s="65">
        <v>49.354999999999997</v>
      </c>
      <c r="C1882" s="80">
        <v>2817163</v>
      </c>
      <c r="D1882" s="83">
        <v>-1.6636780235106619E-2</v>
      </c>
      <c r="E1882" s="82"/>
    </row>
    <row r="1883" spans="1:5" ht="14.4">
      <c r="A1883" s="68">
        <v>41810</v>
      </c>
      <c r="B1883" s="65">
        <v>50.19</v>
      </c>
      <c r="C1883" s="80">
        <v>3209837</v>
      </c>
      <c r="D1883" s="83">
        <v>-8.1027667984190366E-3</v>
      </c>
      <c r="E1883" s="82"/>
    </row>
    <row r="1884" spans="1:5" ht="14.4">
      <c r="A1884" s="68">
        <v>41809</v>
      </c>
      <c r="B1884" s="65">
        <v>50.6</v>
      </c>
      <c r="C1884" s="80">
        <v>2476200</v>
      </c>
      <c r="D1884" s="83">
        <v>9.5770151636074274E-3</v>
      </c>
      <c r="E1884" s="82"/>
    </row>
    <row r="1885" spans="1:5" ht="14.4">
      <c r="A1885" s="68">
        <v>41808</v>
      </c>
      <c r="B1885" s="65">
        <v>50.12</v>
      </c>
      <c r="C1885" s="80">
        <v>1938650</v>
      </c>
      <c r="D1885" s="83">
        <v>-1.2219156484036375E-2</v>
      </c>
      <c r="E1885" s="82"/>
    </row>
    <row r="1886" spans="1:5" ht="14.4">
      <c r="A1886" s="68">
        <v>41807</v>
      </c>
      <c r="B1886" s="65">
        <v>50.74</v>
      </c>
      <c r="C1886" s="80">
        <v>2142459</v>
      </c>
      <c r="D1886" s="83">
        <v>3.9572615749901008E-3</v>
      </c>
      <c r="E1886" s="82"/>
    </row>
    <row r="1887" spans="1:5" ht="14.4">
      <c r="A1887" s="68">
        <v>41806</v>
      </c>
      <c r="B1887" s="65">
        <v>50.54</v>
      </c>
      <c r="C1887" s="80">
        <v>1969334</v>
      </c>
      <c r="D1887" s="83">
        <v>-1.4430577223088936E-2</v>
      </c>
      <c r="E1887" s="82"/>
    </row>
    <row r="1888" spans="1:5" ht="14.4">
      <c r="A1888" s="68">
        <v>41803</v>
      </c>
      <c r="B1888" s="65">
        <v>51.28</v>
      </c>
      <c r="C1888" s="80">
        <v>1941607</v>
      </c>
      <c r="D1888" s="83">
        <v>-1.0802469135802517E-2</v>
      </c>
      <c r="E1888" s="82"/>
    </row>
    <row r="1889" spans="1:5" ht="14.4">
      <c r="A1889" s="68">
        <v>41802</v>
      </c>
      <c r="B1889" s="65">
        <v>51.84</v>
      </c>
      <c r="C1889" s="80">
        <v>1945227</v>
      </c>
      <c r="D1889" s="83">
        <v>-7.0867649875502314E-3</v>
      </c>
      <c r="E1889" s="82"/>
    </row>
    <row r="1890" spans="1:5" ht="14.4">
      <c r="A1890" s="68">
        <v>41801</v>
      </c>
      <c r="B1890" s="65">
        <v>52.21</v>
      </c>
      <c r="C1890" s="80">
        <v>5042034</v>
      </c>
      <c r="D1890" s="83">
        <v>-3.0814924819008715E-2</v>
      </c>
      <c r="E1890" s="82"/>
    </row>
    <row r="1891" spans="1:5" ht="14.4">
      <c r="A1891" s="68">
        <v>41800</v>
      </c>
      <c r="B1891" s="65">
        <v>53.87</v>
      </c>
      <c r="C1891" s="80">
        <v>1703527</v>
      </c>
      <c r="D1891" s="83">
        <v>1.2213453588876266E-2</v>
      </c>
      <c r="E1891" s="82"/>
    </row>
    <row r="1892" spans="1:5" ht="14.4">
      <c r="A1892" s="68">
        <v>41799</v>
      </c>
      <c r="B1892" s="65">
        <v>53.22</v>
      </c>
      <c r="C1892" s="80">
        <v>1002275</v>
      </c>
      <c r="D1892" s="83">
        <v>-8.7539579065002426E-3</v>
      </c>
      <c r="E1892" s="82"/>
    </row>
    <row r="1893" spans="1:5" ht="14.4">
      <c r="A1893" s="68">
        <v>41796</v>
      </c>
      <c r="B1893" s="65">
        <v>53.69</v>
      </c>
      <c r="C1893" s="80">
        <v>2090559</v>
      </c>
      <c r="D1893" s="83">
        <v>3.9267015706805353E-3</v>
      </c>
      <c r="E1893" s="82"/>
    </row>
    <row r="1894" spans="1:5" ht="14.4">
      <c r="A1894" s="68">
        <v>41795</v>
      </c>
      <c r="B1894" s="65">
        <v>53.48</v>
      </c>
      <c r="C1894" s="80">
        <v>2800867</v>
      </c>
      <c r="D1894" s="83">
        <v>1.7697431018077969E-2</v>
      </c>
      <c r="E1894" s="82"/>
    </row>
    <row r="1895" spans="1:5" ht="14.4">
      <c r="A1895" s="68">
        <v>41794</v>
      </c>
      <c r="B1895" s="65">
        <v>52.55</v>
      </c>
      <c r="C1895" s="80">
        <v>1233307</v>
      </c>
      <c r="D1895" s="83">
        <v>-2.4677296886864708E-3</v>
      </c>
      <c r="E1895" s="82"/>
    </row>
    <row r="1896" spans="1:5" ht="14.4">
      <c r="A1896" s="68">
        <v>41793</v>
      </c>
      <c r="B1896" s="65">
        <v>52.68</v>
      </c>
      <c r="C1896" s="80">
        <v>1271265</v>
      </c>
      <c r="D1896" s="83">
        <v>-1.1446800525426903E-2</v>
      </c>
      <c r="E1896" s="82"/>
    </row>
    <row r="1897" spans="1:5" ht="14.4">
      <c r="A1897" s="68">
        <v>41792</v>
      </c>
      <c r="B1897" s="65">
        <v>53.29</v>
      </c>
      <c r="C1897" s="80">
        <v>2625524</v>
      </c>
      <c r="D1897" s="83">
        <v>1.2925299372742893E-2</v>
      </c>
      <c r="E1897" s="82"/>
    </row>
    <row r="1898" spans="1:5" ht="14.4">
      <c r="A1898" s="68">
        <v>41789</v>
      </c>
      <c r="B1898" s="65">
        <v>52.61</v>
      </c>
      <c r="C1898" s="80">
        <v>1733650</v>
      </c>
      <c r="D1898" s="83">
        <v>-7.5973409306739903E-4</v>
      </c>
      <c r="E1898" s="82"/>
    </row>
    <row r="1899" spans="1:5" ht="14.4">
      <c r="A1899" s="68">
        <v>41788</v>
      </c>
      <c r="B1899" s="65">
        <v>52.65</v>
      </c>
      <c r="C1899" s="80">
        <v>1276512</v>
      </c>
      <c r="D1899" s="83">
        <v>-8.847891566265087E-3</v>
      </c>
      <c r="E1899" s="82"/>
    </row>
    <row r="1900" spans="1:5" ht="14.4">
      <c r="A1900" s="68">
        <v>41787</v>
      </c>
      <c r="B1900" s="65">
        <v>53.12</v>
      </c>
      <c r="C1900" s="80">
        <v>2165997</v>
      </c>
      <c r="D1900" s="83">
        <v>7.2051573758058485E-3</v>
      </c>
      <c r="E1900" s="82"/>
    </row>
    <row r="1901" spans="1:5" ht="14.4">
      <c r="A1901" s="68">
        <v>41786</v>
      </c>
      <c r="B1901" s="65">
        <v>52.74</v>
      </c>
      <c r="C1901" s="80">
        <v>2601200</v>
      </c>
      <c r="D1901" s="83">
        <v>1.9130434782608674E-2</v>
      </c>
      <c r="E1901" s="82"/>
    </row>
    <row r="1902" spans="1:5" ht="14.4">
      <c r="A1902" s="68">
        <v>41785</v>
      </c>
      <c r="B1902" s="65">
        <v>51.75</v>
      </c>
      <c r="C1902" s="80">
        <v>971686</v>
      </c>
      <c r="D1902" s="83">
        <v>3.1013762357046115E-3</v>
      </c>
      <c r="E1902" s="82"/>
    </row>
    <row r="1903" spans="1:5" ht="14.4">
      <c r="A1903" s="68">
        <v>41782</v>
      </c>
      <c r="B1903" s="65">
        <v>51.59</v>
      </c>
      <c r="C1903" s="80">
        <v>1833373</v>
      </c>
      <c r="D1903" s="83">
        <v>1.0577864838393847E-2</v>
      </c>
      <c r="E1903" s="82"/>
    </row>
    <row r="1904" spans="1:5" ht="14.4">
      <c r="A1904" s="68">
        <v>41781</v>
      </c>
      <c r="B1904" s="65">
        <v>51.05</v>
      </c>
      <c r="C1904" s="80">
        <v>2173196</v>
      </c>
      <c r="D1904" s="83">
        <v>1.3298928146089573E-2</v>
      </c>
      <c r="E1904" s="82"/>
    </row>
    <row r="1905" spans="1:5" ht="14.4">
      <c r="A1905" s="68">
        <v>41780</v>
      </c>
      <c r="B1905" s="65">
        <v>50.38</v>
      </c>
      <c r="C1905" s="80">
        <v>1932679</v>
      </c>
      <c r="D1905" s="83">
        <v>-4.3478260869564966E-3</v>
      </c>
      <c r="E1905" s="82"/>
    </row>
    <row r="1906" spans="1:5" ht="14.4">
      <c r="A1906" s="68">
        <v>41779</v>
      </c>
      <c r="B1906" s="65">
        <v>50.6</v>
      </c>
      <c r="C1906" s="80">
        <v>2433338</v>
      </c>
      <c r="D1906" s="83">
        <v>-1.4029618082618822E-2</v>
      </c>
      <c r="E1906" s="82"/>
    </row>
    <row r="1907" spans="1:5" ht="14.4">
      <c r="A1907" s="68">
        <v>41778</v>
      </c>
      <c r="B1907" s="65">
        <v>51.32</v>
      </c>
      <c r="C1907" s="80">
        <v>2669821</v>
      </c>
      <c r="D1907" s="83">
        <v>1.8860432797300097E-2</v>
      </c>
      <c r="E1907" s="82"/>
    </row>
    <row r="1908" spans="1:5" ht="14.4">
      <c r="A1908" s="68">
        <v>41775</v>
      </c>
      <c r="B1908" s="65">
        <v>50.37</v>
      </c>
      <c r="C1908" s="80">
        <v>2904581</v>
      </c>
      <c r="D1908" s="83">
        <v>-9.439528023598931E-3</v>
      </c>
      <c r="E1908" s="82"/>
    </row>
    <row r="1909" spans="1:5" ht="14.4">
      <c r="A1909" s="68">
        <v>41774</v>
      </c>
      <c r="B1909" s="65">
        <v>50.85</v>
      </c>
      <c r="C1909" s="80">
        <v>2743758</v>
      </c>
      <c r="D1909" s="83">
        <v>-2.1550894746969362E-2</v>
      </c>
      <c r="E1909" s="82"/>
    </row>
    <row r="1910" spans="1:5" ht="14.4">
      <c r="A1910" s="68">
        <v>41773</v>
      </c>
      <c r="B1910" s="65">
        <v>51.97</v>
      </c>
      <c r="C1910" s="80">
        <v>2203411</v>
      </c>
      <c r="D1910" s="83">
        <v>-1.084887704606019E-2</v>
      </c>
      <c r="E1910" s="82"/>
    </row>
    <row r="1911" spans="1:5" ht="14.4">
      <c r="A1911" s="68">
        <v>41772</v>
      </c>
      <c r="B1911" s="65">
        <v>52.54</v>
      </c>
      <c r="C1911" s="80">
        <v>5405943</v>
      </c>
      <c r="D1911" s="83">
        <v>6.1628611840775838E-2</v>
      </c>
      <c r="E1911" s="82"/>
    </row>
    <row r="1912" spans="1:5" ht="14.4">
      <c r="A1912" s="68">
        <v>41771</v>
      </c>
      <c r="B1912" s="65">
        <v>49.49</v>
      </c>
      <c r="C1912" s="80">
        <v>2757696</v>
      </c>
      <c r="D1912" s="83">
        <v>1.7057131113851431E-2</v>
      </c>
      <c r="E1912" s="82"/>
    </row>
    <row r="1913" spans="1:5" ht="14.4">
      <c r="A1913" s="68">
        <v>41768</v>
      </c>
      <c r="B1913" s="65">
        <v>48.66</v>
      </c>
      <c r="C1913" s="80">
        <v>2219115</v>
      </c>
      <c r="D1913" s="83">
        <v>1.3375861714166604E-3</v>
      </c>
      <c r="E1913" s="82"/>
    </row>
    <row r="1914" spans="1:5" ht="14.4">
      <c r="A1914" s="68">
        <v>41767</v>
      </c>
      <c r="B1914" s="65">
        <v>48.594999999999999</v>
      </c>
      <c r="C1914" s="80">
        <v>2776321</v>
      </c>
      <c r="D1914" s="83">
        <v>8.2380805272364022E-4</v>
      </c>
      <c r="E1914" s="82"/>
    </row>
    <row r="1915" spans="1:5" ht="14.4">
      <c r="A1915" s="68">
        <v>41766</v>
      </c>
      <c r="B1915" s="65">
        <v>48.555</v>
      </c>
      <c r="C1915" s="80">
        <v>2303893</v>
      </c>
      <c r="D1915" s="83">
        <v>-5.9371481216091704E-3</v>
      </c>
      <c r="E1915" s="82"/>
    </row>
    <row r="1916" spans="1:5" ht="14.4">
      <c r="A1916" s="68">
        <v>41765</v>
      </c>
      <c r="B1916" s="65">
        <v>48.844999999999999</v>
      </c>
      <c r="C1916" s="80">
        <v>1742446</v>
      </c>
      <c r="D1916" s="83">
        <v>-5.9021064414368496E-3</v>
      </c>
      <c r="E1916" s="82"/>
    </row>
    <row r="1917" spans="1:5" ht="14.4">
      <c r="A1917" s="68">
        <v>41764</v>
      </c>
      <c r="B1917" s="65">
        <v>49.134999999999998</v>
      </c>
      <c r="C1917" s="80">
        <v>2154924</v>
      </c>
      <c r="D1917" s="83">
        <v>-2.3350253807107313E-3</v>
      </c>
      <c r="E1917" s="82"/>
    </row>
    <row r="1918" spans="1:5" ht="14.4">
      <c r="A1918" s="68">
        <v>41761</v>
      </c>
      <c r="B1918" s="65">
        <v>49.25</v>
      </c>
      <c r="C1918" s="80">
        <v>2189419</v>
      </c>
      <c r="D1918" s="83">
        <v>-4.8494645382906043E-3</v>
      </c>
      <c r="E1918" s="82"/>
    </row>
    <row r="1919" spans="1:5" ht="14.4">
      <c r="A1919" s="68">
        <v>41759</v>
      </c>
      <c r="B1919" s="65">
        <v>49.49</v>
      </c>
      <c r="C1919" s="80">
        <v>3058674</v>
      </c>
      <c r="D1919" s="83">
        <v>-1.1978438810141823E-2</v>
      </c>
      <c r="E1919" s="82"/>
    </row>
    <row r="1920" spans="1:5" ht="14.4">
      <c r="A1920" s="68">
        <v>41758</v>
      </c>
      <c r="B1920" s="65">
        <v>50.09</v>
      </c>
      <c r="C1920" s="80">
        <v>1343224</v>
      </c>
      <c r="D1920" s="83">
        <v>-6.1507936507935179E-3</v>
      </c>
      <c r="E1920" s="82"/>
    </row>
    <row r="1921" spans="1:5" ht="14.4">
      <c r="A1921" s="68">
        <v>41757</v>
      </c>
      <c r="B1921" s="65">
        <v>50.4</v>
      </c>
      <c r="C1921" s="80">
        <v>1386296</v>
      </c>
      <c r="D1921" s="83">
        <v>0</v>
      </c>
      <c r="E1921" s="82"/>
    </row>
    <row r="1922" spans="1:5" ht="14.4">
      <c r="A1922" s="68">
        <v>41754</v>
      </c>
      <c r="B1922" s="65">
        <v>50.4</v>
      </c>
      <c r="C1922" s="80">
        <v>1142789</v>
      </c>
      <c r="D1922" s="83">
        <v>-9.4339622641510523E-3</v>
      </c>
      <c r="E1922" s="82"/>
    </row>
    <row r="1923" spans="1:5" ht="14.4">
      <c r="A1923" s="68">
        <v>41753</v>
      </c>
      <c r="B1923" s="65">
        <v>50.88</v>
      </c>
      <c r="C1923" s="80">
        <v>1692272</v>
      </c>
      <c r="D1923" s="83">
        <v>-1.1778563015311105E-3</v>
      </c>
      <c r="E1923" s="82"/>
    </row>
    <row r="1924" spans="1:5" ht="14.4">
      <c r="A1924" s="68">
        <v>41752</v>
      </c>
      <c r="B1924" s="65">
        <v>50.94</v>
      </c>
      <c r="C1924" s="80">
        <v>2173992</v>
      </c>
      <c r="D1924" s="83">
        <v>-8.3706443449483858E-3</v>
      </c>
      <c r="E1924" s="82"/>
    </row>
    <row r="1925" spans="1:5" ht="14.4">
      <c r="A1925" s="68">
        <v>41751</v>
      </c>
      <c r="B1925" s="65">
        <v>51.37</v>
      </c>
      <c r="C1925" s="80">
        <v>2406706</v>
      </c>
      <c r="D1925" s="83">
        <v>7.7927138125843953E-4</v>
      </c>
      <c r="E1925" s="82"/>
    </row>
    <row r="1926" spans="1:5" ht="14.4">
      <c r="A1926" s="68">
        <v>41746</v>
      </c>
      <c r="B1926" s="65">
        <v>51.33</v>
      </c>
      <c r="C1926" s="80">
        <v>1812538</v>
      </c>
      <c r="D1926" s="83">
        <v>1.4627396718718932E-2</v>
      </c>
      <c r="E1926" s="82"/>
    </row>
    <row r="1927" spans="1:5" ht="14.4">
      <c r="A1927" s="68">
        <v>41745</v>
      </c>
      <c r="B1927" s="65">
        <v>50.59</v>
      </c>
      <c r="C1927" s="80">
        <v>2576014</v>
      </c>
      <c r="D1927" s="83">
        <v>3.1186302486750916E-2</v>
      </c>
      <c r="E1927" s="82"/>
    </row>
    <row r="1928" spans="1:5" ht="14.4">
      <c r="A1928" s="68">
        <v>41744</v>
      </c>
      <c r="B1928" s="65">
        <v>49.06</v>
      </c>
      <c r="C1928" s="80">
        <v>2615645</v>
      </c>
      <c r="D1928" s="83">
        <v>1.1223344556676729E-3</v>
      </c>
      <c r="E1928" s="82"/>
    </row>
    <row r="1929" spans="1:5" ht="14.4">
      <c r="A1929" s="68">
        <v>41743</v>
      </c>
      <c r="B1929" s="65">
        <v>49.005000000000003</v>
      </c>
      <c r="C1929" s="80">
        <v>4137397</v>
      </c>
      <c r="D1929" s="83">
        <v>-1.6260162601625883E-2</v>
      </c>
      <c r="E1929" s="82"/>
    </row>
    <row r="1930" spans="1:5" ht="14.4">
      <c r="A1930" s="68">
        <v>41740</v>
      </c>
      <c r="B1930" s="65">
        <v>49.814999999999998</v>
      </c>
      <c r="C1930" s="80">
        <v>3378770</v>
      </c>
      <c r="D1930" s="83">
        <v>-5.0928699820251833E-3</v>
      </c>
      <c r="E1930" s="82"/>
    </row>
    <row r="1931" spans="1:5" ht="14.4">
      <c r="A1931" s="68">
        <v>41739</v>
      </c>
      <c r="B1931" s="65">
        <v>50.07</v>
      </c>
      <c r="C1931" s="80">
        <v>2654407</v>
      </c>
      <c r="D1931" s="83">
        <v>-1.8620148961191796E-2</v>
      </c>
      <c r="E1931" s="82"/>
    </row>
    <row r="1932" spans="1:5" ht="14.4">
      <c r="A1932" s="68">
        <v>41738</v>
      </c>
      <c r="B1932" s="65">
        <v>51.02</v>
      </c>
      <c r="C1932" s="80">
        <v>1936047</v>
      </c>
      <c r="D1932" s="83">
        <v>-6.4264849074975317E-3</v>
      </c>
      <c r="E1932" s="82"/>
    </row>
    <row r="1933" spans="1:5" ht="14.4">
      <c r="A1933" s="68">
        <v>41737</v>
      </c>
      <c r="B1933" s="65">
        <v>51.35</v>
      </c>
      <c r="C1933" s="80">
        <v>4467679</v>
      </c>
      <c r="D1933" s="83">
        <v>-3.6946736684171033E-2</v>
      </c>
      <c r="E1933" s="82"/>
    </row>
    <row r="1934" spans="1:5" ht="14.4">
      <c r="A1934" s="68">
        <v>41736</v>
      </c>
      <c r="B1934" s="65">
        <v>53.32</v>
      </c>
      <c r="C1934" s="80">
        <v>2069307</v>
      </c>
      <c r="D1934" s="83">
        <v>-1.25925925925926E-2</v>
      </c>
      <c r="E1934" s="82"/>
    </row>
    <row r="1935" spans="1:5" ht="14.4">
      <c r="A1935" s="68">
        <v>41733</v>
      </c>
      <c r="B1935" s="65">
        <v>54</v>
      </c>
      <c r="C1935" s="80">
        <v>2240449</v>
      </c>
      <c r="D1935" s="83">
        <v>1.6566265060240948E-2</v>
      </c>
      <c r="E1935" s="82"/>
    </row>
    <row r="1936" spans="1:5" ht="14.4">
      <c r="A1936" s="68">
        <v>41732</v>
      </c>
      <c r="B1936" s="65">
        <v>53.12</v>
      </c>
      <c r="C1936" s="80">
        <v>2598749</v>
      </c>
      <c r="D1936" s="83">
        <v>1.2002286149742636E-2</v>
      </c>
      <c r="E1936" s="82"/>
    </row>
    <row r="1937" spans="1:5" ht="14.4">
      <c r="A1937" s="68">
        <v>41731</v>
      </c>
      <c r="B1937" s="65">
        <v>52.49</v>
      </c>
      <c r="C1937" s="80">
        <v>1239399</v>
      </c>
      <c r="D1937" s="83">
        <v>-7.1874408927556921E-3</v>
      </c>
      <c r="E1937" s="82"/>
    </row>
    <row r="1938" spans="1:5" ht="14.4">
      <c r="A1938" s="68">
        <v>41730</v>
      </c>
      <c r="B1938" s="65">
        <v>52.87</v>
      </c>
      <c r="C1938" s="80">
        <v>1998970</v>
      </c>
      <c r="D1938" s="83">
        <v>1.6926331986920395E-2</v>
      </c>
      <c r="E1938" s="82"/>
    </row>
    <row r="1939" spans="1:5" ht="14.4">
      <c r="A1939" s="68">
        <v>41729</v>
      </c>
      <c r="B1939" s="65">
        <v>51.99</v>
      </c>
      <c r="C1939" s="80">
        <v>1800277</v>
      </c>
      <c r="D1939" s="83">
        <v>-1.1596958174904914E-2</v>
      </c>
      <c r="E1939" s="82"/>
    </row>
    <row r="1940" spans="1:5" ht="14.4">
      <c r="A1940" s="68">
        <v>41726</v>
      </c>
      <c r="B1940" s="65">
        <v>52.6</v>
      </c>
      <c r="C1940" s="80">
        <v>1694701</v>
      </c>
      <c r="D1940" s="83">
        <v>7.6628352490422103E-3</v>
      </c>
      <c r="E1940" s="82"/>
    </row>
    <row r="1941" spans="1:5" ht="14.4">
      <c r="A1941" s="68">
        <v>41725</v>
      </c>
      <c r="B1941" s="65">
        <v>52.2</v>
      </c>
      <c r="C1941" s="80">
        <v>2237425</v>
      </c>
      <c r="D1941" s="83">
        <v>-1.2485811577752526E-2</v>
      </c>
      <c r="E1941" s="82"/>
    </row>
    <row r="1942" spans="1:5" ht="14.4">
      <c r="A1942" s="68">
        <v>41724</v>
      </c>
      <c r="B1942" s="65">
        <v>52.86</v>
      </c>
      <c r="C1942" s="80">
        <v>2091304</v>
      </c>
      <c r="D1942" s="83">
        <v>1.6343010959430915E-2</v>
      </c>
      <c r="E1942" s="82"/>
    </row>
    <row r="1943" spans="1:5" ht="14.4">
      <c r="A1943" s="68">
        <v>41723</v>
      </c>
      <c r="B1943" s="65">
        <v>52.01</v>
      </c>
      <c r="C1943" s="80">
        <v>1930280</v>
      </c>
      <c r="D1943" s="83">
        <v>1.6217272372020197E-2</v>
      </c>
      <c r="E1943" s="82"/>
    </row>
    <row r="1944" spans="1:5" ht="14.4">
      <c r="A1944" s="68">
        <v>41722</v>
      </c>
      <c r="B1944" s="65">
        <v>51.18</v>
      </c>
      <c r="C1944" s="80">
        <v>1912844</v>
      </c>
      <c r="D1944" s="83">
        <v>-1.387283236994219E-2</v>
      </c>
      <c r="E1944" s="82"/>
    </row>
    <row r="1945" spans="1:5" ht="14.4">
      <c r="A1945" s="68">
        <v>41719</v>
      </c>
      <c r="B1945" s="65">
        <v>51.9</v>
      </c>
      <c r="C1945" s="80">
        <v>4349839</v>
      </c>
      <c r="D1945" s="83">
        <v>-1.1428571428571455E-2</v>
      </c>
      <c r="E1945" s="82"/>
    </row>
    <row r="1946" spans="1:5" ht="14.4">
      <c r="A1946" s="68">
        <v>41718</v>
      </c>
      <c r="B1946" s="65">
        <v>52.5</v>
      </c>
      <c r="C1946" s="80">
        <v>2585363</v>
      </c>
      <c r="D1946" s="83">
        <v>2.2793687901811799E-2</v>
      </c>
      <c r="E1946" s="82"/>
    </row>
    <row r="1947" spans="1:5" ht="14.4">
      <c r="A1947" s="68">
        <v>41717</v>
      </c>
      <c r="B1947" s="65">
        <v>51.33</v>
      </c>
      <c r="C1947" s="80">
        <v>3408191</v>
      </c>
      <c r="D1947" s="83">
        <v>1.543026706231454E-2</v>
      </c>
      <c r="E1947" s="82"/>
    </row>
    <row r="1948" spans="1:5" ht="14.4">
      <c r="A1948" s="68">
        <v>41716</v>
      </c>
      <c r="B1948" s="65">
        <v>50.55</v>
      </c>
      <c r="C1948" s="80">
        <v>2497590</v>
      </c>
      <c r="D1948" s="83">
        <v>3.7728355837967076E-3</v>
      </c>
      <c r="E1948" s="82"/>
    </row>
    <row r="1949" spans="1:5" ht="14.4">
      <c r="A1949" s="68">
        <v>41715</v>
      </c>
      <c r="B1949" s="65">
        <v>50.36</v>
      </c>
      <c r="C1949" s="80">
        <v>2288878</v>
      </c>
      <c r="D1949" s="83">
        <v>8.0064051240993361E-3</v>
      </c>
      <c r="E1949" s="82"/>
    </row>
    <row r="1950" spans="1:5" ht="14.4">
      <c r="A1950" s="68">
        <v>41712</v>
      </c>
      <c r="B1950" s="65">
        <v>49.96</v>
      </c>
      <c r="C1950" s="80">
        <v>4347338</v>
      </c>
      <c r="D1950" s="83">
        <v>-2.9934144881260671E-3</v>
      </c>
      <c r="E1950" s="82"/>
    </row>
    <row r="1951" spans="1:5" ht="14.4">
      <c r="A1951" s="68">
        <v>41711</v>
      </c>
      <c r="B1951" s="65">
        <v>50.11</v>
      </c>
      <c r="C1951" s="80">
        <v>3319068</v>
      </c>
      <c r="D1951" s="83">
        <v>1.9960079840308786E-4</v>
      </c>
      <c r="E1951" s="82"/>
    </row>
    <row r="1952" spans="1:5" ht="14.4">
      <c r="A1952" s="68">
        <v>41710</v>
      </c>
      <c r="B1952" s="65">
        <v>50.1</v>
      </c>
      <c r="C1952" s="80">
        <v>3214766</v>
      </c>
      <c r="D1952" s="83">
        <v>-5.1628276409848572E-3</v>
      </c>
      <c r="E1952" s="82"/>
    </row>
    <row r="1953" spans="1:5" ht="14.4">
      <c r="A1953" s="68">
        <v>41709</v>
      </c>
      <c r="B1953" s="65">
        <v>50.36</v>
      </c>
      <c r="C1953" s="80">
        <v>1929159</v>
      </c>
      <c r="D1953" s="83">
        <v>-2.574767280649648E-3</v>
      </c>
      <c r="E1953" s="82"/>
    </row>
    <row r="1954" spans="1:5" ht="14.4">
      <c r="A1954" s="68">
        <v>41708</v>
      </c>
      <c r="B1954" s="65">
        <v>50.49</v>
      </c>
      <c r="C1954" s="80">
        <v>3676565</v>
      </c>
      <c r="D1954" s="83">
        <v>-1.598129019684269E-2</v>
      </c>
      <c r="E1954" s="82"/>
    </row>
    <row r="1955" spans="1:5" ht="14.4">
      <c r="A1955" s="68">
        <v>41705</v>
      </c>
      <c r="B1955" s="65">
        <v>51.31</v>
      </c>
      <c r="C1955" s="80">
        <v>3579832</v>
      </c>
      <c r="D1955" s="83">
        <v>-3.1155589123867067E-2</v>
      </c>
      <c r="E1955" s="82"/>
    </row>
    <row r="1956" spans="1:5" ht="14.4">
      <c r="A1956" s="68">
        <v>41704</v>
      </c>
      <c r="B1956" s="65">
        <v>52.96</v>
      </c>
      <c r="C1956" s="80">
        <v>1972086</v>
      </c>
      <c r="D1956" s="83">
        <v>3.9810426540285437E-3</v>
      </c>
      <c r="E1956" s="82"/>
    </row>
    <row r="1957" spans="1:5" ht="14.4">
      <c r="A1957" s="68">
        <v>41703</v>
      </c>
      <c r="B1957" s="65">
        <v>52.75</v>
      </c>
      <c r="C1957" s="80">
        <v>2306782</v>
      </c>
      <c r="D1957" s="83">
        <v>-1.1431784107945986E-2</v>
      </c>
      <c r="E1957" s="82"/>
    </row>
    <row r="1958" spans="1:5" ht="14.4">
      <c r="A1958" s="68">
        <v>41702</v>
      </c>
      <c r="B1958" s="65">
        <v>53.36</v>
      </c>
      <c r="C1958" s="80">
        <v>2573847</v>
      </c>
      <c r="D1958" s="83">
        <v>3.2108317214700088E-2</v>
      </c>
      <c r="E1958" s="82"/>
    </row>
    <row r="1959" spans="1:5" ht="14.4">
      <c r="A1959" s="68">
        <v>41701</v>
      </c>
      <c r="B1959" s="65">
        <v>51.7</v>
      </c>
      <c r="C1959" s="80">
        <v>3185980</v>
      </c>
      <c r="D1959" s="83">
        <v>-3.1653867765499166E-2</v>
      </c>
      <c r="E1959" s="82"/>
    </row>
    <row r="1960" spans="1:5" ht="14.4">
      <c r="A1960" s="68">
        <v>41698</v>
      </c>
      <c r="B1960" s="65">
        <v>53.39</v>
      </c>
      <c r="C1960" s="80">
        <v>2835805</v>
      </c>
      <c r="D1960" s="83">
        <v>-7.2517664559316186E-3</v>
      </c>
      <c r="E1960" s="82"/>
    </row>
    <row r="1961" spans="1:5" ht="14.4">
      <c r="A1961" s="68">
        <v>41697</v>
      </c>
      <c r="B1961" s="65">
        <v>53.78</v>
      </c>
      <c r="C1961" s="80">
        <v>2659975</v>
      </c>
      <c r="D1961" s="83">
        <v>-3.5204743375949477E-3</v>
      </c>
      <c r="E1961" s="82"/>
    </row>
    <row r="1962" spans="1:5" ht="14.4">
      <c r="A1962" s="68">
        <v>41696</v>
      </c>
      <c r="B1962" s="65">
        <v>53.97</v>
      </c>
      <c r="C1962" s="80">
        <v>5671497</v>
      </c>
      <c r="D1962" s="83">
        <v>1.6192807380907448E-2</v>
      </c>
      <c r="E1962" s="82"/>
    </row>
    <row r="1963" spans="1:5" ht="14.4">
      <c r="A1963" s="68">
        <v>41695</v>
      </c>
      <c r="B1963" s="65">
        <v>53.11</v>
      </c>
      <c r="C1963" s="80">
        <v>2551572</v>
      </c>
      <c r="D1963" s="83">
        <v>7.5372149990582393E-4</v>
      </c>
      <c r="E1963" s="82"/>
    </row>
    <row r="1964" spans="1:5" ht="14.4">
      <c r="A1964" s="68">
        <v>41694</v>
      </c>
      <c r="B1964" s="65">
        <v>53.07</v>
      </c>
      <c r="C1964" s="80">
        <v>1688500</v>
      </c>
      <c r="D1964" s="83">
        <v>1.3172966781214157E-2</v>
      </c>
      <c r="E1964" s="82"/>
    </row>
    <row r="1965" spans="1:5" ht="14.4">
      <c r="A1965" s="68">
        <v>41691</v>
      </c>
      <c r="B1965" s="65">
        <v>52.38</v>
      </c>
      <c r="C1965" s="80">
        <v>2027528</v>
      </c>
      <c r="D1965" s="83">
        <v>-3.6142286475175922E-3</v>
      </c>
      <c r="E1965" s="82"/>
    </row>
    <row r="1966" spans="1:5" ht="14.4">
      <c r="A1966" s="68">
        <v>41690</v>
      </c>
      <c r="B1966" s="65">
        <v>52.57</v>
      </c>
      <c r="C1966" s="80">
        <v>2398654</v>
      </c>
      <c r="D1966" s="83">
        <v>-5.1097653292960787E-3</v>
      </c>
      <c r="E1966" s="82"/>
    </row>
    <row r="1967" spans="1:5" ht="14.4">
      <c r="A1967" s="68">
        <v>41689</v>
      </c>
      <c r="B1967" s="65">
        <v>52.84</v>
      </c>
      <c r="C1967" s="80">
        <v>2075277</v>
      </c>
      <c r="D1967" s="83">
        <v>-2.6425066062664149E-3</v>
      </c>
      <c r="E1967" s="82"/>
    </row>
    <row r="1968" spans="1:5" ht="14.4">
      <c r="A1968" s="68">
        <v>41688</v>
      </c>
      <c r="B1968" s="65">
        <v>52.98</v>
      </c>
      <c r="C1968" s="80">
        <v>1875071</v>
      </c>
      <c r="D1968" s="83">
        <v>5.3130929791269654E-3</v>
      </c>
      <c r="E1968" s="82"/>
    </row>
    <row r="1969" spans="1:5" ht="14.4">
      <c r="A1969" s="68">
        <v>41687</v>
      </c>
      <c r="B1969" s="65">
        <v>52.7</v>
      </c>
      <c r="C1969" s="80">
        <v>1080275</v>
      </c>
      <c r="D1969" s="83">
        <v>-9.3984962406015171E-3</v>
      </c>
      <c r="E1969" s="82"/>
    </row>
    <row r="1970" spans="1:5" ht="14.4">
      <c r="A1970" s="68">
        <v>41684</v>
      </c>
      <c r="B1970" s="65">
        <v>53.2</v>
      </c>
      <c r="C1970" s="80">
        <v>2344846</v>
      </c>
      <c r="D1970" s="83">
        <v>2.0525609054287353E-2</v>
      </c>
      <c r="E1970" s="82"/>
    </row>
    <row r="1971" spans="1:5" ht="14.4">
      <c r="A1971" s="68">
        <v>41683</v>
      </c>
      <c r="B1971" s="65">
        <v>52.13</v>
      </c>
      <c r="C1971" s="80">
        <v>3610104</v>
      </c>
      <c r="D1971" s="83">
        <v>-2.0848985725018809E-2</v>
      </c>
      <c r="E1971" s="82"/>
    </row>
    <row r="1972" spans="1:5" ht="14.4">
      <c r="A1972" s="68">
        <v>41682</v>
      </c>
      <c r="B1972" s="65">
        <v>53.24</v>
      </c>
      <c r="C1972" s="80">
        <v>2378859</v>
      </c>
      <c r="D1972" s="83">
        <v>-6.7164179104477473E-3</v>
      </c>
      <c r="E1972" s="82"/>
    </row>
    <row r="1973" spans="1:5" ht="14.4">
      <c r="A1973" s="68">
        <v>41681</v>
      </c>
      <c r="B1973" s="65">
        <v>53.6</v>
      </c>
      <c r="C1973" s="80">
        <v>2436105</v>
      </c>
      <c r="D1973" s="83">
        <v>2.1925643469971279E-2</v>
      </c>
      <c r="E1973" s="82"/>
    </row>
    <row r="1974" spans="1:5" ht="14.4">
      <c r="A1974" s="68">
        <v>41680</v>
      </c>
      <c r="B1974" s="65">
        <v>52.45</v>
      </c>
      <c r="C1974" s="80">
        <v>1912240</v>
      </c>
      <c r="D1974" s="83">
        <v>-1.1426394972385845E-3</v>
      </c>
      <c r="E1974" s="82"/>
    </row>
    <row r="1975" spans="1:5" ht="14.4">
      <c r="A1975" s="68">
        <v>41677</v>
      </c>
      <c r="B1975" s="65">
        <v>52.51</v>
      </c>
      <c r="C1975" s="80">
        <v>2534569</v>
      </c>
      <c r="D1975" s="83">
        <v>5.9386973180075575E-3</v>
      </c>
      <c r="E1975" s="82"/>
    </row>
    <row r="1976" spans="1:5" ht="14.4">
      <c r="A1976" s="68">
        <v>41676</v>
      </c>
      <c r="B1976" s="65">
        <v>52.2</v>
      </c>
      <c r="C1976" s="80">
        <v>3828370</v>
      </c>
      <c r="D1976" s="83">
        <v>2.1126760563380476E-2</v>
      </c>
      <c r="E1976" s="82"/>
    </row>
    <row r="1977" spans="1:5" ht="14.4">
      <c r="A1977" s="68">
        <v>41675</v>
      </c>
      <c r="B1977" s="65">
        <v>51.12</v>
      </c>
      <c r="C1977" s="80">
        <v>2706276</v>
      </c>
      <c r="D1977" s="83">
        <v>-1.9938650306748462E-2</v>
      </c>
      <c r="E1977" s="82"/>
    </row>
    <row r="1978" spans="1:5" ht="14.4">
      <c r="A1978" s="68">
        <v>41674</v>
      </c>
      <c r="B1978" s="65">
        <v>52.16</v>
      </c>
      <c r="C1978" s="80">
        <v>2928233</v>
      </c>
      <c r="D1978" s="83">
        <v>3.4628703347441281E-3</v>
      </c>
      <c r="E1978" s="82"/>
    </row>
    <row r="1979" spans="1:5" ht="14.4">
      <c r="A1979" s="68">
        <v>41673</v>
      </c>
      <c r="B1979" s="65">
        <v>51.98</v>
      </c>
      <c r="C1979" s="80">
        <v>3076103</v>
      </c>
      <c r="D1979" s="83">
        <v>-1.1974909712982318E-2</v>
      </c>
      <c r="E1979" s="82"/>
    </row>
    <row r="1980" spans="1:5" ht="14.4">
      <c r="A1980" s="68">
        <v>41670</v>
      </c>
      <c r="B1980" s="65">
        <v>52.61</v>
      </c>
      <c r="C1980" s="80">
        <v>2972858</v>
      </c>
      <c r="D1980" s="83">
        <v>-1.1090225563909817E-2</v>
      </c>
      <c r="E1980" s="82"/>
    </row>
    <row r="1981" spans="1:5" ht="14.4">
      <c r="A1981" s="68">
        <v>41669</v>
      </c>
      <c r="B1981" s="65">
        <v>53.2</v>
      </c>
      <c r="C1981" s="80">
        <v>3424838</v>
      </c>
      <c r="D1981" s="83">
        <v>-6.721433905899965E-3</v>
      </c>
      <c r="E1981" s="82"/>
    </row>
    <row r="1982" spans="1:5" ht="14.4">
      <c r="A1982" s="68">
        <v>41668</v>
      </c>
      <c r="B1982" s="65">
        <v>53.56</v>
      </c>
      <c r="C1982" s="80">
        <v>4086681</v>
      </c>
      <c r="D1982" s="83">
        <v>-2.3162502279773789E-2</v>
      </c>
      <c r="E1982" s="82"/>
    </row>
    <row r="1983" spans="1:5" ht="14.4">
      <c r="A1983" s="68">
        <v>41667</v>
      </c>
      <c r="B1983" s="65">
        <v>54.83</v>
      </c>
      <c r="C1983" s="80">
        <v>4630335</v>
      </c>
      <c r="D1983" s="83">
        <v>3.9234268385140325E-2</v>
      </c>
      <c r="E1983" s="82"/>
    </row>
    <row r="1984" spans="1:5" ht="14.4">
      <c r="A1984" s="68">
        <v>41666</v>
      </c>
      <c r="B1984" s="65">
        <v>52.76</v>
      </c>
      <c r="C1984" s="80">
        <v>4122234</v>
      </c>
      <c r="D1984" s="83">
        <v>-3.7893141341427405E-4</v>
      </c>
      <c r="E1984" s="82"/>
    </row>
    <row r="1985" spans="1:7" ht="14.4">
      <c r="A1985" s="68">
        <v>41663</v>
      </c>
      <c r="B1985" s="65">
        <v>52.78</v>
      </c>
      <c r="C1985" s="80">
        <v>5389498</v>
      </c>
      <c r="D1985" s="83">
        <v>-3.8615664845172981E-2</v>
      </c>
      <c r="E1985" s="82"/>
    </row>
    <row r="1986" spans="1:7" ht="14.4">
      <c r="A1986" s="68">
        <v>41662</v>
      </c>
      <c r="B1986" s="65">
        <v>54.9</v>
      </c>
      <c r="C1986" s="80">
        <v>3807263</v>
      </c>
      <c r="D1986" s="83">
        <v>-3.8528896672504476E-2</v>
      </c>
      <c r="E1986" s="82"/>
    </row>
    <row r="1987" spans="1:7" ht="14.4">
      <c r="A1987" s="68">
        <v>41661</v>
      </c>
      <c r="B1987" s="65">
        <v>57.1</v>
      </c>
      <c r="C1987" s="80">
        <v>1878025</v>
      </c>
      <c r="D1987" s="83">
        <v>1.7543859649122862E-3</v>
      </c>
      <c r="E1987" s="82"/>
    </row>
    <row r="1988" spans="1:7" ht="14.4">
      <c r="A1988" s="68">
        <v>41660</v>
      </c>
      <c r="B1988" s="65">
        <v>57</v>
      </c>
      <c r="C1988" s="80">
        <v>1401657</v>
      </c>
      <c r="D1988" s="83">
        <v>-1.7540782318892223E-4</v>
      </c>
      <c r="E1988" s="82"/>
    </row>
    <row r="1989" spans="1:7" ht="14.4">
      <c r="A1989" s="68">
        <v>41659</v>
      </c>
      <c r="B1989" s="65">
        <v>57.01</v>
      </c>
      <c r="C1989" s="80">
        <v>1191117</v>
      </c>
      <c r="D1989" s="83">
        <v>-3.5069261792042283E-4</v>
      </c>
      <c r="E1989" s="82"/>
    </row>
    <row r="1990" spans="1:7" ht="14.4">
      <c r="A1990" s="68">
        <v>41656</v>
      </c>
      <c r="B1990" s="65">
        <v>57.03</v>
      </c>
      <c r="C1990" s="80">
        <v>2265980</v>
      </c>
      <c r="D1990" s="83">
        <v>7.0187752237238499E-4</v>
      </c>
      <c r="E1990" s="62"/>
      <c r="F1990" s="62"/>
      <c r="G1990" s="62"/>
    </row>
    <row r="1991" spans="1:7" ht="14.4">
      <c r="A1991" s="68">
        <v>41655</v>
      </c>
      <c r="B1991" s="65">
        <v>56.99</v>
      </c>
      <c r="C1991" s="80">
        <v>3706175</v>
      </c>
      <c r="D1991" s="83">
        <v>6.1793785310735316E-3</v>
      </c>
      <c r="E1991" s="62"/>
      <c r="F1991" s="62"/>
      <c r="G1991" s="62"/>
    </row>
    <row r="1992" spans="1:7" ht="14.4">
      <c r="A1992" s="68">
        <v>41654</v>
      </c>
      <c r="B1992" s="65">
        <v>56.64</v>
      </c>
      <c r="C1992" s="80">
        <v>2071765</v>
      </c>
      <c r="D1992" s="83">
        <v>9.6256684491977662E-3</v>
      </c>
      <c r="E1992" s="62"/>
      <c r="F1992" s="62"/>
      <c r="G1992" s="62"/>
    </row>
    <row r="1993" spans="1:7" ht="14.4">
      <c r="A1993" s="68">
        <v>41653</v>
      </c>
      <c r="B1993" s="65">
        <v>56.1</v>
      </c>
      <c r="C1993" s="80">
        <v>1783292</v>
      </c>
      <c r="D1993" s="83">
        <v>5.7368232341341585E-3</v>
      </c>
      <c r="E1993" s="62"/>
      <c r="F1993" s="62"/>
      <c r="G1993" s="62"/>
    </row>
    <row r="1994" spans="1:7" ht="14.4">
      <c r="A1994" s="68">
        <v>41652</v>
      </c>
      <c r="B1994" s="65">
        <v>55.78</v>
      </c>
      <c r="C1994" s="80">
        <v>1376794</v>
      </c>
      <c r="D1994" s="83">
        <v>9.0448625180896691E-3</v>
      </c>
      <c r="E1994" s="62"/>
      <c r="F1994" s="62"/>
      <c r="G1994" s="62"/>
    </row>
    <row r="1995" spans="1:7" ht="14.4">
      <c r="A1995" s="68">
        <v>41649</v>
      </c>
      <c r="B1995" s="65">
        <v>55.28</v>
      </c>
      <c r="C1995" s="80">
        <v>1546833</v>
      </c>
      <c r="D1995" s="83">
        <v>1.0418570645220226E-2</v>
      </c>
      <c r="E1995" s="62"/>
      <c r="F1995" s="62"/>
      <c r="G1995" s="62"/>
    </row>
    <row r="1996" spans="1:7" ht="14.4">
      <c r="A1996" s="68">
        <v>41648</v>
      </c>
      <c r="B1996" s="65">
        <v>54.71</v>
      </c>
      <c r="C1996" s="80">
        <v>1891736</v>
      </c>
      <c r="D1996" s="83">
        <v>-1.1562782294489593E-2</v>
      </c>
      <c r="E1996" s="62"/>
      <c r="F1996" s="62"/>
      <c r="G1996" s="62"/>
    </row>
    <row r="1997" spans="1:7" ht="14.4">
      <c r="A1997" s="68">
        <v>41647</v>
      </c>
      <c r="B1997" s="65">
        <v>55.35</v>
      </c>
      <c r="C1997" s="80">
        <v>1837218</v>
      </c>
      <c r="D1997" s="83">
        <v>-1.0016097299230808E-2</v>
      </c>
      <c r="E1997" s="62"/>
      <c r="F1997" s="62"/>
      <c r="G1997" s="62"/>
    </row>
    <row r="1998" spans="1:7" ht="14.4">
      <c r="A1998" s="68">
        <v>41646</v>
      </c>
      <c r="B1998" s="65">
        <v>55.91</v>
      </c>
      <c r="C1998" s="80">
        <v>1950728</v>
      </c>
      <c r="D1998" s="83">
        <v>8.6595706296228592E-3</v>
      </c>
      <c r="E1998" s="62"/>
      <c r="F1998" s="62"/>
      <c r="G1998" s="62"/>
    </row>
    <row r="1999" spans="1:7" ht="14.4">
      <c r="A1999" s="68">
        <v>41645</v>
      </c>
      <c r="B1999" s="65">
        <v>55.43</v>
      </c>
      <c r="C1999" s="80">
        <v>1664844</v>
      </c>
      <c r="D1999" s="83">
        <v>-1.7198581560283643E-2</v>
      </c>
      <c r="E1999" s="62"/>
      <c r="F1999" s="62"/>
      <c r="G1999" s="62"/>
    </row>
    <row r="2000" spans="1:7" ht="14.4">
      <c r="A2000" s="68">
        <v>41642</v>
      </c>
      <c r="B2000" s="65">
        <v>56.4</v>
      </c>
      <c r="C2000" s="80">
        <v>1332941</v>
      </c>
      <c r="D2000" s="83">
        <v>-2.6525198938991412E-3</v>
      </c>
      <c r="E2000" s="62"/>
      <c r="F2000" s="62"/>
      <c r="G2000" s="62"/>
    </row>
    <row r="2001" spans="1:7" ht="14.4">
      <c r="A2001" s="68">
        <v>41641</v>
      </c>
      <c r="B2001" s="65">
        <v>56.55</v>
      </c>
      <c r="C2001" s="80">
        <v>1875512</v>
      </c>
      <c r="D2001" s="83">
        <v>1.3259272531804145E-2</v>
      </c>
      <c r="E2001" s="62"/>
      <c r="F2001" s="62"/>
      <c r="G2001" s="62"/>
    </row>
    <row r="2002" spans="1:7" ht="14.4">
      <c r="A2002" s="71">
        <v>41639</v>
      </c>
      <c r="B2002" s="72">
        <v>55.81</v>
      </c>
      <c r="C2002" s="81">
        <v>357259</v>
      </c>
      <c r="D2002" s="84">
        <v>1.4354925533823781E-3</v>
      </c>
      <c r="E2002" s="74"/>
      <c r="F2002" s="74"/>
      <c r="G2002" s="73" t="e">
        <v>#REF!</v>
      </c>
    </row>
    <row r="2003" spans="1:7" ht="14.4">
      <c r="A2003" s="68">
        <v>41638</v>
      </c>
      <c r="B2003" s="65">
        <v>55.73</v>
      </c>
      <c r="C2003" s="80">
        <v>1068150</v>
      </c>
      <c r="D2003" s="83">
        <v>-9.0682788051209551E-3</v>
      </c>
      <c r="E2003" s="62"/>
      <c r="F2003" s="62"/>
      <c r="G2003" s="62"/>
    </row>
    <row r="2004" spans="1:7" ht="14.4">
      <c r="A2004" s="68">
        <v>41635</v>
      </c>
      <c r="B2004" s="65">
        <v>56.24</v>
      </c>
      <c r="C2004" s="80">
        <v>1391177</v>
      </c>
      <c r="D2004" s="83">
        <v>1.6028495102404783E-3</v>
      </c>
      <c r="E2004" s="62"/>
      <c r="F2004" s="62"/>
      <c r="G2004" s="62"/>
    </row>
    <row r="2005" spans="1:7" ht="14.4">
      <c r="A2005" s="68">
        <v>41632</v>
      </c>
      <c r="B2005" s="65">
        <v>56.15</v>
      </c>
      <c r="C2005" s="80">
        <v>263456</v>
      </c>
      <c r="D2005" s="83">
        <v>4.2926131282419178E-3</v>
      </c>
      <c r="E2005" s="62"/>
      <c r="F2005" s="62"/>
      <c r="G2005" s="62"/>
    </row>
    <row r="2006" spans="1:7" ht="14.4">
      <c r="A2006" s="68">
        <v>41631</v>
      </c>
      <c r="B2006" s="65">
        <v>55.91</v>
      </c>
      <c r="C2006" s="80">
        <v>1038147</v>
      </c>
      <c r="D2006" s="83">
        <v>1.7889087656519642E-4</v>
      </c>
      <c r="E2006" s="82"/>
    </row>
    <row r="2007" spans="1:7" ht="14.4">
      <c r="A2007" s="68">
        <v>41628</v>
      </c>
      <c r="B2007" s="65">
        <v>55.9</v>
      </c>
      <c r="C2007" s="80">
        <v>3188628</v>
      </c>
      <c r="D2007" s="83">
        <v>1.0744985673352137E-3</v>
      </c>
      <c r="E2007" s="82"/>
    </row>
    <row r="2008" spans="1:7" ht="14.4">
      <c r="A2008" s="68">
        <v>41627</v>
      </c>
      <c r="B2008" s="65">
        <v>55.84</v>
      </c>
      <c r="C2008" s="80">
        <v>2189815</v>
      </c>
      <c r="D2008" s="83">
        <v>1.5272727272727327E-2</v>
      </c>
      <c r="E2008" s="82"/>
    </row>
    <row r="2009" spans="1:7" ht="14.4">
      <c r="A2009" s="68">
        <v>41626</v>
      </c>
      <c r="B2009" s="65">
        <v>55</v>
      </c>
      <c r="C2009" s="80">
        <v>1959369</v>
      </c>
      <c r="D2009" s="83">
        <v>1.0286554004408588E-2</v>
      </c>
      <c r="E2009" s="82"/>
    </row>
    <row r="2010" spans="1:7" ht="14.4">
      <c r="A2010" s="68">
        <v>41625</v>
      </c>
      <c r="B2010" s="65">
        <v>54.44</v>
      </c>
      <c r="C2010" s="80">
        <v>1662717</v>
      </c>
      <c r="D2010" s="83">
        <v>-1.7683146878383349E-2</v>
      </c>
      <c r="E2010" s="82"/>
    </row>
    <row r="2011" spans="1:7" ht="14.4">
      <c r="A2011" s="68">
        <v>41624</v>
      </c>
      <c r="B2011" s="65">
        <v>55.42</v>
      </c>
      <c r="C2011" s="80">
        <v>2828929</v>
      </c>
      <c r="D2011" s="83">
        <v>2.7628407194511428E-2</v>
      </c>
      <c r="E2011" s="82"/>
    </row>
    <row r="2012" spans="1:7" ht="14.4">
      <c r="A2012" s="68">
        <v>41621</v>
      </c>
      <c r="B2012" s="65">
        <v>53.93</v>
      </c>
      <c r="C2012" s="80">
        <v>2520940</v>
      </c>
      <c r="D2012" s="83">
        <v>7.6606875934228658E-3</v>
      </c>
      <c r="E2012" s="82"/>
    </row>
    <row r="2013" spans="1:7" ht="14.4">
      <c r="A2013" s="68">
        <v>41620</v>
      </c>
      <c r="B2013" s="65">
        <v>53.52</v>
      </c>
      <c r="C2013" s="80">
        <v>3920211</v>
      </c>
      <c r="D2013" s="83">
        <v>1.2485811577752637E-2</v>
      </c>
      <c r="E2013" s="82"/>
    </row>
    <row r="2014" spans="1:7" ht="14.4">
      <c r="A2014" s="68">
        <v>41619</v>
      </c>
      <c r="B2014" s="65">
        <v>52.86</v>
      </c>
      <c r="C2014" s="80">
        <v>6298555</v>
      </c>
      <c r="D2014" s="83">
        <v>7.48271655144368E-2</v>
      </c>
      <c r="E2014" s="82"/>
    </row>
    <row r="2015" spans="1:7" ht="14.4">
      <c r="A2015" s="68">
        <v>41618</v>
      </c>
      <c r="B2015" s="65">
        <v>49.18</v>
      </c>
      <c r="C2015" s="80">
        <v>3709883</v>
      </c>
      <c r="D2015" s="83">
        <v>-2.5945731828084795E-2</v>
      </c>
      <c r="E2015" s="82"/>
    </row>
    <row r="2016" spans="1:7" ht="14.4">
      <c r="A2016" s="68">
        <v>41617</v>
      </c>
      <c r="B2016" s="65">
        <v>50.49</v>
      </c>
      <c r="C2016" s="80">
        <v>2263147</v>
      </c>
      <c r="D2016" s="83">
        <v>8.1869009584665253E-3</v>
      </c>
      <c r="E2016" s="82"/>
    </row>
    <row r="2017" spans="1:5" ht="14.4">
      <c r="A2017" s="68">
        <v>41614</v>
      </c>
      <c r="B2017" s="65">
        <v>50.08</v>
      </c>
      <c r="C2017" s="80">
        <v>2047433</v>
      </c>
      <c r="D2017" s="83">
        <v>3.7077863513377274E-3</v>
      </c>
      <c r="E2017" s="82"/>
    </row>
    <row r="2018" spans="1:5" ht="14.4">
      <c r="A2018" s="68">
        <v>41613</v>
      </c>
      <c r="B2018" s="65">
        <v>49.895000000000003</v>
      </c>
      <c r="C2018" s="80">
        <v>2345572</v>
      </c>
      <c r="D2018" s="83">
        <v>-1.4711690363349073E-2</v>
      </c>
      <c r="E2018" s="82"/>
    </row>
    <row r="2019" spans="1:5" ht="14.4">
      <c r="A2019" s="68">
        <v>41612</v>
      </c>
      <c r="B2019" s="65">
        <v>50.64</v>
      </c>
      <c r="C2019" s="80">
        <v>2708665</v>
      </c>
      <c r="D2019" s="83">
        <v>-9.5834148249560602E-3</v>
      </c>
      <c r="E2019" s="82"/>
    </row>
    <row r="2020" spans="1:5" ht="14.4">
      <c r="A2020" s="68">
        <v>41611</v>
      </c>
      <c r="B2020" s="65">
        <v>51.13</v>
      </c>
      <c r="C2020" s="80">
        <v>2246193</v>
      </c>
      <c r="D2020" s="83">
        <v>-3.7099811676082894E-2</v>
      </c>
      <c r="E2020" s="82"/>
    </row>
    <row r="2021" spans="1:5" ht="14.4">
      <c r="A2021" s="68">
        <v>41610</v>
      </c>
      <c r="B2021" s="65">
        <v>53.1</v>
      </c>
      <c r="C2021" s="80">
        <v>1508227</v>
      </c>
      <c r="D2021" s="83">
        <v>1.6073478760046056E-2</v>
      </c>
      <c r="E2021" s="82"/>
    </row>
    <row r="2022" spans="1:5" ht="14.4">
      <c r="A2022" s="68">
        <v>41607</v>
      </c>
      <c r="B2022" s="65">
        <v>52.26</v>
      </c>
      <c r="C2022" s="80">
        <v>1065573</v>
      </c>
      <c r="D2022" s="83">
        <v>-7.7843174482628008E-3</v>
      </c>
      <c r="E2022" s="82"/>
    </row>
    <row r="2023" spans="1:5" ht="14.4">
      <c r="A2023" s="68">
        <v>41606</v>
      </c>
      <c r="B2023" s="65">
        <v>52.67</v>
      </c>
      <c r="C2023" s="80">
        <v>900327</v>
      </c>
      <c r="D2023" s="83">
        <v>5.7284704983771029E-3</v>
      </c>
      <c r="E2023" s="82"/>
    </row>
    <row r="2024" spans="1:5" ht="14.4">
      <c r="A2024" s="68">
        <v>41605</v>
      </c>
      <c r="B2024" s="65">
        <v>52.37</v>
      </c>
      <c r="C2024" s="80">
        <v>1648019</v>
      </c>
      <c r="D2024" s="83">
        <v>1.6301183776440853E-2</v>
      </c>
      <c r="E2024" s="82"/>
    </row>
    <row r="2025" spans="1:5" ht="14.4">
      <c r="A2025" s="68">
        <v>41604</v>
      </c>
      <c r="B2025" s="65">
        <v>51.53</v>
      </c>
      <c r="C2025" s="80">
        <v>2068869</v>
      </c>
      <c r="D2025" s="83">
        <v>-1.340225923798577E-2</v>
      </c>
      <c r="E2025" s="82"/>
    </row>
    <row r="2026" spans="1:5" ht="14.4">
      <c r="A2026" s="68">
        <v>41603</v>
      </c>
      <c r="B2026" s="65">
        <v>52.23</v>
      </c>
      <c r="C2026" s="80">
        <v>1242264</v>
      </c>
      <c r="D2026" s="83">
        <v>9.4704290684188841E-3</v>
      </c>
      <c r="E2026" s="82"/>
    </row>
    <row r="2027" spans="1:5" ht="14.4">
      <c r="A2027" s="68">
        <v>41600</v>
      </c>
      <c r="B2027" s="65">
        <v>51.74</v>
      </c>
      <c r="C2027" s="80">
        <v>1575006</v>
      </c>
      <c r="D2027" s="83">
        <v>6.418984633340008E-3</v>
      </c>
      <c r="E2027" s="82"/>
    </row>
    <row r="2028" spans="1:5" ht="14.4">
      <c r="A2028" s="68">
        <v>41599</v>
      </c>
      <c r="B2028" s="65">
        <v>51.41</v>
      </c>
      <c r="C2028" s="80">
        <v>1998864</v>
      </c>
      <c r="D2028" s="83">
        <v>-1.4756611728631741E-2</v>
      </c>
      <c r="E2028" s="82"/>
    </row>
    <row r="2029" spans="1:5" ht="14.4">
      <c r="A2029" s="68">
        <v>41598</v>
      </c>
      <c r="B2029" s="65">
        <v>52.18</v>
      </c>
      <c r="C2029" s="80">
        <v>1346379</v>
      </c>
      <c r="D2029" s="83">
        <v>-3.4377387318563768E-3</v>
      </c>
      <c r="E2029" s="82"/>
    </row>
    <row r="2030" spans="1:5" ht="14.4">
      <c r="A2030" s="68">
        <v>41597</v>
      </c>
      <c r="B2030" s="65">
        <v>52.36</v>
      </c>
      <c r="C2030" s="80">
        <v>1661002</v>
      </c>
      <c r="D2030" s="83">
        <v>-1.5974440894568676E-2</v>
      </c>
      <c r="E2030" s="82"/>
    </row>
    <row r="2031" spans="1:5" ht="14.4">
      <c r="A2031" s="68">
        <v>41596</v>
      </c>
      <c r="B2031" s="65">
        <v>53.21</v>
      </c>
      <c r="C2031" s="80">
        <v>3006263</v>
      </c>
      <c r="D2031" s="83">
        <v>2.4254090471607315E-2</v>
      </c>
      <c r="E2031" s="82"/>
    </row>
    <row r="2032" spans="1:5" ht="14.4">
      <c r="A2032" s="68">
        <v>41593</v>
      </c>
      <c r="B2032" s="65">
        <v>51.95</v>
      </c>
      <c r="C2032" s="80">
        <v>2479068</v>
      </c>
      <c r="D2032" s="83">
        <v>-1.4979142965491077E-2</v>
      </c>
      <c r="E2032" s="82"/>
    </row>
    <row r="2033" spans="1:5" ht="14.4">
      <c r="A2033" s="68">
        <v>41592</v>
      </c>
      <c r="B2033" s="65">
        <v>52.74</v>
      </c>
      <c r="C2033" s="80">
        <v>5078971</v>
      </c>
      <c r="D2033" s="83">
        <v>1.893353941267395E-2</v>
      </c>
      <c r="E2033" s="82"/>
    </row>
    <row r="2034" spans="1:5" ht="14.4">
      <c r="A2034" s="68">
        <v>41591</v>
      </c>
      <c r="B2034" s="65">
        <v>51.76</v>
      </c>
      <c r="C2034" s="80">
        <v>3134271</v>
      </c>
      <c r="D2034" s="83">
        <v>-1.1270296084049725E-2</v>
      </c>
      <c r="E2034" s="82"/>
    </row>
    <row r="2035" spans="1:5" ht="14.4">
      <c r="A2035" s="68">
        <v>41590</v>
      </c>
      <c r="B2035" s="65">
        <v>52.35</v>
      </c>
      <c r="C2035" s="80">
        <v>2519023</v>
      </c>
      <c r="D2035" s="83">
        <v>-2.695167286245348E-2</v>
      </c>
      <c r="E2035" s="82"/>
    </row>
    <row r="2036" spans="1:5" ht="14.4">
      <c r="A2036" s="68">
        <v>41589</v>
      </c>
      <c r="B2036" s="65">
        <v>53.8</v>
      </c>
      <c r="C2036" s="80">
        <v>1446062</v>
      </c>
      <c r="D2036" s="83">
        <v>6.7365269461077126E-3</v>
      </c>
      <c r="E2036" s="82"/>
    </row>
    <row r="2037" spans="1:5" ht="14.4">
      <c r="A2037" s="68">
        <v>41586</v>
      </c>
      <c r="B2037" s="65">
        <v>53.44</v>
      </c>
      <c r="C2037" s="80">
        <v>2599071</v>
      </c>
      <c r="D2037" s="83">
        <v>-3.7285607755407346E-3</v>
      </c>
      <c r="E2037" s="82"/>
    </row>
    <row r="2038" spans="1:5" ht="14.4">
      <c r="A2038" s="68">
        <v>41585</v>
      </c>
      <c r="B2038" s="65">
        <v>53.64</v>
      </c>
      <c r="C2038" s="80">
        <v>2726152</v>
      </c>
      <c r="D2038" s="83">
        <v>2.4294524387964422E-3</v>
      </c>
      <c r="E2038" s="82"/>
    </row>
    <row r="2039" spans="1:5" ht="14.4">
      <c r="A2039" s="68">
        <v>41584</v>
      </c>
      <c r="B2039" s="65">
        <v>53.51</v>
      </c>
      <c r="C2039" s="80">
        <v>2026409</v>
      </c>
      <c r="D2039" s="83">
        <v>1.6141283706798459E-2</v>
      </c>
      <c r="E2039" s="82"/>
    </row>
    <row r="2040" spans="1:5" ht="14.4">
      <c r="A2040" s="68">
        <v>41583</v>
      </c>
      <c r="B2040" s="65">
        <v>52.66</v>
      </c>
      <c r="C2040" s="80">
        <v>2705203</v>
      </c>
      <c r="D2040" s="83">
        <v>1.2497596616035445E-2</v>
      </c>
      <c r="E2040" s="82"/>
    </row>
    <row r="2041" spans="1:5" ht="14.4">
      <c r="A2041" s="68">
        <v>41582</v>
      </c>
      <c r="B2041" s="65">
        <v>52.01</v>
      </c>
      <c r="C2041" s="80">
        <v>2145068</v>
      </c>
      <c r="D2041" s="83">
        <v>2.7662517289073207E-2</v>
      </c>
      <c r="E2041" s="82"/>
    </row>
    <row r="2042" spans="1:5" ht="14.4">
      <c r="A2042" s="68">
        <v>41579</v>
      </c>
      <c r="B2042" s="65">
        <v>50.61</v>
      </c>
      <c r="C2042" s="80">
        <v>2496864</v>
      </c>
      <c r="D2042" s="83">
        <v>0</v>
      </c>
      <c r="E2042" s="82"/>
    </row>
    <row r="2043" spans="1:5" ht="14.4">
      <c r="A2043" s="68">
        <v>41578</v>
      </c>
      <c r="B2043" s="65">
        <v>50.61</v>
      </c>
      <c r="C2043" s="80">
        <v>2794922</v>
      </c>
      <c r="D2043" s="83">
        <v>6.5632458233890745E-3</v>
      </c>
      <c r="E2043" s="82"/>
    </row>
    <row r="2044" spans="1:5" ht="14.4">
      <c r="A2044" s="68">
        <v>41577</v>
      </c>
      <c r="B2044" s="65">
        <v>50.28</v>
      </c>
      <c r="C2044" s="80">
        <v>2497227</v>
      </c>
      <c r="D2044" s="83">
        <v>1.9258057976890397E-2</v>
      </c>
      <c r="E2044" s="82"/>
    </row>
    <row r="2045" spans="1:5" ht="14.4">
      <c r="A2045" s="68">
        <v>41576</v>
      </c>
      <c r="B2045" s="65">
        <v>49.33</v>
      </c>
      <c r="C2045" s="80">
        <v>1768137</v>
      </c>
      <c r="D2045" s="83">
        <v>1.4185855263157743E-2</v>
      </c>
      <c r="E2045" s="82"/>
    </row>
    <row r="2046" spans="1:5" ht="14.4">
      <c r="A2046" s="68">
        <v>41575</v>
      </c>
      <c r="B2046" s="65">
        <v>48.64</v>
      </c>
      <c r="C2046" s="80">
        <v>1485558</v>
      </c>
      <c r="D2046" s="83">
        <v>-8.1566068515497303E-3</v>
      </c>
      <c r="E2046" s="82"/>
    </row>
    <row r="2047" spans="1:5" ht="14.4">
      <c r="A2047" s="68">
        <v>41572</v>
      </c>
      <c r="B2047" s="65">
        <v>49.04</v>
      </c>
      <c r="C2047" s="80">
        <v>1784910</v>
      </c>
      <c r="D2047" s="83">
        <v>1.3223140495867813E-2</v>
      </c>
      <c r="E2047" s="82"/>
    </row>
    <row r="2048" spans="1:5" ht="14.4">
      <c r="A2048" s="68">
        <v>41571</v>
      </c>
      <c r="B2048" s="65">
        <v>48.4</v>
      </c>
      <c r="C2048" s="80">
        <v>2066874</v>
      </c>
      <c r="D2048" s="83">
        <v>2.3255813953488413E-2</v>
      </c>
      <c r="E2048" s="82"/>
    </row>
    <row r="2049" spans="1:5" ht="14.4">
      <c r="A2049" s="68">
        <v>41570</v>
      </c>
      <c r="B2049" s="65">
        <v>47.3</v>
      </c>
      <c r="C2049" s="80">
        <v>2534202</v>
      </c>
      <c r="D2049" s="83">
        <v>-8.1778150555672502E-3</v>
      </c>
      <c r="E2049" s="82"/>
    </row>
    <row r="2050" spans="1:5" ht="14.4">
      <c r="A2050" s="68">
        <v>41569</v>
      </c>
      <c r="B2050" s="65">
        <v>47.69</v>
      </c>
      <c r="C2050" s="80">
        <v>2162216</v>
      </c>
      <c r="D2050" s="83">
        <v>-6.9755335762623494E-3</v>
      </c>
      <c r="E2050" s="82"/>
    </row>
    <row r="2051" spans="1:5" ht="14.4">
      <c r="A2051" s="68">
        <v>41568</v>
      </c>
      <c r="B2051" s="65">
        <v>48.024999999999999</v>
      </c>
      <c r="C2051" s="80">
        <v>1830926</v>
      </c>
      <c r="D2051" s="83">
        <v>-1.9097222222222321E-2</v>
      </c>
      <c r="E2051" s="82"/>
    </row>
    <row r="2052" spans="1:5" ht="14.4">
      <c r="A2052" s="68">
        <v>41565</v>
      </c>
      <c r="B2052" s="65">
        <v>48.96</v>
      </c>
      <c r="C2052" s="80">
        <v>2052359</v>
      </c>
      <c r="D2052" s="83">
        <v>1.021355617455888E-2</v>
      </c>
      <c r="E2052" s="82"/>
    </row>
    <row r="2053" spans="1:5" ht="14.4">
      <c r="A2053" s="68">
        <v>41564</v>
      </c>
      <c r="B2053" s="65">
        <v>48.465000000000003</v>
      </c>
      <c r="C2053" s="80">
        <v>1914856</v>
      </c>
      <c r="D2053" s="83">
        <v>3.1046258925799819E-3</v>
      </c>
      <c r="E2053" s="82"/>
    </row>
    <row r="2054" spans="1:5" ht="14.4">
      <c r="A2054" s="68">
        <v>41563</v>
      </c>
      <c r="B2054" s="65">
        <v>48.314999999999998</v>
      </c>
      <c r="C2054" s="80">
        <v>1518694</v>
      </c>
      <c r="D2054" s="83">
        <v>-4.6353522867738084E-3</v>
      </c>
      <c r="E2054" s="82"/>
    </row>
    <row r="2055" spans="1:5" ht="14.4">
      <c r="A2055" s="68">
        <v>41562</v>
      </c>
      <c r="B2055" s="65">
        <v>48.54</v>
      </c>
      <c r="C2055" s="80">
        <v>1848129</v>
      </c>
      <c r="D2055" s="83">
        <v>-7.7677841373672285E-3</v>
      </c>
      <c r="E2055" s="82"/>
    </row>
    <row r="2056" spans="1:5" ht="14.4">
      <c r="A2056" s="68">
        <v>41561</v>
      </c>
      <c r="B2056" s="65">
        <v>48.92</v>
      </c>
      <c r="C2056" s="80">
        <v>1217599</v>
      </c>
      <c r="D2056" s="83">
        <v>3.0756612671725136E-3</v>
      </c>
      <c r="E2056" s="82"/>
    </row>
    <row r="2057" spans="1:5" ht="14.4">
      <c r="A2057" s="68">
        <v>41558</v>
      </c>
      <c r="B2057" s="65">
        <v>48.77</v>
      </c>
      <c r="C2057" s="80">
        <v>1954816</v>
      </c>
      <c r="D2057" s="83">
        <v>9.7308488612837252E-3</v>
      </c>
      <c r="E2057" s="82"/>
    </row>
    <row r="2058" spans="1:5" ht="14.4">
      <c r="A2058" s="68">
        <v>41557</v>
      </c>
      <c r="B2058" s="65">
        <v>48.3</v>
      </c>
      <c r="C2058" s="80">
        <v>2764975</v>
      </c>
      <c r="D2058" s="83">
        <v>7.6144779388753747E-3</v>
      </c>
      <c r="E2058" s="82"/>
    </row>
    <row r="2059" spans="1:5" ht="14.4">
      <c r="A2059" s="68">
        <v>41556</v>
      </c>
      <c r="B2059" s="65">
        <v>47.935000000000002</v>
      </c>
      <c r="C2059" s="80">
        <v>2482727</v>
      </c>
      <c r="D2059" s="83">
        <v>-2.1634860700071368E-2</v>
      </c>
      <c r="E2059" s="82"/>
    </row>
    <row r="2060" spans="1:5" ht="14.4">
      <c r="A2060" s="68">
        <v>41555</v>
      </c>
      <c r="B2060" s="65">
        <v>48.994999999999997</v>
      </c>
      <c r="C2060" s="80">
        <v>2631239</v>
      </c>
      <c r="D2060" s="83">
        <v>-2.5944333996023805E-2</v>
      </c>
      <c r="E2060" s="82"/>
    </row>
    <row r="2061" spans="1:5" ht="14.4">
      <c r="A2061" s="68">
        <v>41554</v>
      </c>
      <c r="B2061" s="65">
        <v>50.3</v>
      </c>
      <c r="C2061" s="80">
        <v>3140692</v>
      </c>
      <c r="D2061" s="83">
        <v>2.2149969518390433E-2</v>
      </c>
      <c r="E2061" s="82"/>
    </row>
    <row r="2062" spans="1:5" ht="14.4">
      <c r="A2062" s="68">
        <v>41551</v>
      </c>
      <c r="B2062" s="65">
        <v>49.21</v>
      </c>
      <c r="C2062" s="80">
        <v>1796721</v>
      </c>
      <c r="D2062" s="83">
        <v>1.275982712492274E-2</v>
      </c>
      <c r="E2062" s="82"/>
    </row>
    <row r="2063" spans="1:5" ht="14.4">
      <c r="A2063" s="68">
        <v>41550</v>
      </c>
      <c r="B2063" s="65">
        <v>48.59</v>
      </c>
      <c r="C2063" s="80">
        <v>1819598</v>
      </c>
      <c r="D2063" s="83">
        <v>3.0880082346884663E-4</v>
      </c>
      <c r="E2063" s="82"/>
    </row>
    <row r="2064" spans="1:5" ht="14.4">
      <c r="A2064" s="68">
        <v>41549</v>
      </c>
      <c r="B2064" s="65">
        <v>48.575000000000003</v>
      </c>
      <c r="C2064" s="80">
        <v>2122793</v>
      </c>
      <c r="D2064" s="83">
        <v>4.9653460225509427E-3</v>
      </c>
      <c r="E2064" s="82"/>
    </row>
    <row r="2065" spans="1:5" ht="14.4">
      <c r="A2065" s="68">
        <v>41548</v>
      </c>
      <c r="B2065" s="65">
        <v>48.335000000000001</v>
      </c>
      <c r="C2065" s="80">
        <v>2276455</v>
      </c>
      <c r="D2065" s="83">
        <v>2.6329758997770458E-2</v>
      </c>
      <c r="E2065" s="82"/>
    </row>
    <row r="2066" spans="1:5" ht="14.4">
      <c r="A2066" s="68">
        <v>41547</v>
      </c>
      <c r="B2066" s="65">
        <v>47.094999999999999</v>
      </c>
      <c r="C2066" s="80">
        <v>1766626</v>
      </c>
      <c r="D2066" s="83">
        <v>-7.4815595363540988E-3</v>
      </c>
      <c r="E2066" s="82"/>
    </row>
    <row r="2067" spans="1:5" ht="14.4">
      <c r="A2067" s="68">
        <v>41544</v>
      </c>
      <c r="B2067" s="65">
        <v>47.45</v>
      </c>
      <c r="C2067" s="80">
        <v>1876019</v>
      </c>
      <c r="D2067" s="83">
        <v>9.145044661845958E-3</v>
      </c>
      <c r="E2067" s="82"/>
    </row>
    <row r="2068" spans="1:5" ht="14.4">
      <c r="A2068" s="68">
        <v>41543</v>
      </c>
      <c r="B2068" s="65">
        <v>47.02</v>
      </c>
      <c r="C2068" s="80">
        <v>1978781</v>
      </c>
      <c r="D2068" s="83">
        <v>8.7963956232568474E-3</v>
      </c>
      <c r="E2068" s="82"/>
    </row>
    <row r="2069" spans="1:5" ht="14.4">
      <c r="A2069" s="68">
        <v>41542</v>
      </c>
      <c r="B2069" s="65">
        <v>46.61</v>
      </c>
      <c r="C2069" s="80">
        <v>2312883</v>
      </c>
      <c r="D2069" s="83">
        <v>1.1062906724511823E-2</v>
      </c>
      <c r="E2069" s="82"/>
    </row>
    <row r="2070" spans="1:5" ht="14.4">
      <c r="A2070" s="68">
        <v>41541</v>
      </c>
      <c r="B2070" s="65">
        <v>46.1</v>
      </c>
      <c r="C2070" s="80">
        <v>2005559</v>
      </c>
      <c r="D2070" s="83">
        <v>2.0649929355505137E-3</v>
      </c>
      <c r="E2070" s="82"/>
    </row>
    <row r="2071" spans="1:5" ht="14.4">
      <c r="A2071" s="68">
        <v>41540</v>
      </c>
      <c r="B2071" s="65">
        <v>46.005000000000003</v>
      </c>
      <c r="C2071" s="80">
        <v>2183106</v>
      </c>
      <c r="D2071" s="83">
        <v>-2.0440753752794638E-2</v>
      </c>
      <c r="E2071" s="82"/>
    </row>
    <row r="2072" spans="1:5" ht="14.4">
      <c r="A2072" s="68">
        <v>41537</v>
      </c>
      <c r="B2072" s="65">
        <v>46.965000000000003</v>
      </c>
      <c r="C2072" s="80">
        <v>6332698</v>
      </c>
      <c r="D2072" s="83">
        <v>-6.0317460317459437E-3</v>
      </c>
      <c r="E2072" s="82"/>
    </row>
    <row r="2073" spans="1:5" ht="14.4">
      <c r="A2073" s="68">
        <v>41536</v>
      </c>
      <c r="B2073" s="65">
        <v>47.25</v>
      </c>
      <c r="C2073" s="80">
        <v>3242998</v>
      </c>
      <c r="D2073" s="83">
        <v>1.7332328560663246E-2</v>
      </c>
      <c r="E2073" s="82"/>
    </row>
    <row r="2074" spans="1:5" ht="14.4">
      <c r="A2074" s="68">
        <v>41535</v>
      </c>
      <c r="B2074" s="65">
        <v>46.445</v>
      </c>
      <c r="C2074" s="80">
        <v>1980234</v>
      </c>
      <c r="D2074" s="83">
        <v>2.9822616407982228E-2</v>
      </c>
      <c r="E2074" s="82"/>
    </row>
    <row r="2075" spans="1:5" ht="14.4">
      <c r="A2075" s="68">
        <v>41534</v>
      </c>
      <c r="B2075" s="65">
        <v>45.1</v>
      </c>
      <c r="C2075" s="80">
        <v>1442157</v>
      </c>
      <c r="D2075" s="83">
        <v>4.4365572315885338E-4</v>
      </c>
      <c r="E2075" s="82"/>
    </row>
    <row r="2076" spans="1:5" ht="14.4">
      <c r="A2076" s="68">
        <v>41533</v>
      </c>
      <c r="B2076" s="65">
        <v>45.08</v>
      </c>
      <c r="C2076" s="80">
        <v>1762082</v>
      </c>
      <c r="D2076" s="83">
        <v>6.1377078451065881E-3</v>
      </c>
      <c r="E2076" s="82"/>
    </row>
    <row r="2077" spans="1:5" ht="14.4">
      <c r="A2077" s="68">
        <v>41530</v>
      </c>
      <c r="B2077" s="65">
        <v>44.805</v>
      </c>
      <c r="C2077" s="80">
        <v>1764052</v>
      </c>
      <c r="D2077" s="83">
        <v>-9.8342541436464703E-3</v>
      </c>
      <c r="E2077" s="82"/>
    </row>
    <row r="2078" spans="1:5" ht="14.4">
      <c r="A2078" s="68">
        <v>41529</v>
      </c>
      <c r="B2078" s="65">
        <v>45.25</v>
      </c>
      <c r="C2078" s="80">
        <v>2411128</v>
      </c>
      <c r="D2078" s="83">
        <v>-1.641125964569079E-2</v>
      </c>
      <c r="E2078" s="82"/>
    </row>
    <row r="2079" spans="1:5" ht="14.4">
      <c r="A2079" s="68">
        <v>41528</v>
      </c>
      <c r="B2079" s="65">
        <v>46.005000000000003</v>
      </c>
      <c r="C2079" s="80">
        <v>2234328</v>
      </c>
      <c r="D2079" s="83">
        <v>-7.3362822310928388E-3</v>
      </c>
      <c r="E2079" s="82"/>
    </row>
    <row r="2080" spans="1:5" ht="14.4">
      <c r="A2080" s="68">
        <v>41527</v>
      </c>
      <c r="B2080" s="65">
        <v>46.344999999999999</v>
      </c>
      <c r="C2080" s="80">
        <v>2387247</v>
      </c>
      <c r="D2080" s="83">
        <v>1.9019349164467902E-2</v>
      </c>
      <c r="E2080" s="82"/>
    </row>
    <row r="2081" spans="1:5" ht="14.4">
      <c r="A2081" s="68">
        <v>41526</v>
      </c>
      <c r="B2081" s="65">
        <v>45.48</v>
      </c>
      <c r="C2081" s="80">
        <v>1099409</v>
      </c>
      <c r="D2081" s="83">
        <v>1.98281559814939E-3</v>
      </c>
      <c r="E2081" s="82"/>
    </row>
    <row r="2082" spans="1:5" ht="14.4">
      <c r="A2082" s="68">
        <v>41523</v>
      </c>
      <c r="B2082" s="65">
        <v>45.39</v>
      </c>
      <c r="C2082" s="80">
        <v>1589466</v>
      </c>
      <c r="D2082" s="83">
        <v>6.6533599467730742E-3</v>
      </c>
      <c r="E2082" s="82"/>
    </row>
    <row r="2083" spans="1:5" ht="14.4">
      <c r="A2083" s="68">
        <v>41522</v>
      </c>
      <c r="B2083" s="65">
        <v>45.09</v>
      </c>
      <c r="C2083" s="80">
        <v>1387417</v>
      </c>
      <c r="D2083" s="83">
        <v>1.0420168067226898E-2</v>
      </c>
      <c r="E2083" s="82"/>
    </row>
    <row r="2084" spans="1:5" ht="14.4">
      <c r="A2084" s="68">
        <v>41521</v>
      </c>
      <c r="B2084" s="65">
        <v>44.625</v>
      </c>
      <c r="C2084" s="80">
        <v>1691057</v>
      </c>
      <c r="D2084" s="83">
        <v>7.1090047393365108E-3</v>
      </c>
      <c r="E2084" s="82"/>
    </row>
    <row r="2085" spans="1:5" ht="14.4">
      <c r="A2085" s="68">
        <v>41520</v>
      </c>
      <c r="B2085" s="65">
        <v>44.31</v>
      </c>
      <c r="C2085" s="80">
        <v>1532516</v>
      </c>
      <c r="D2085" s="83">
        <v>-7.614781634938339E-3</v>
      </c>
      <c r="E2085" s="82"/>
    </row>
    <row r="2086" spans="1:5" ht="14.4">
      <c r="A2086" s="68">
        <v>41519</v>
      </c>
      <c r="B2086" s="65">
        <v>44.65</v>
      </c>
      <c r="C2086" s="80">
        <v>1739667</v>
      </c>
      <c r="D2086" s="83">
        <v>2.3965141612200425E-2</v>
      </c>
      <c r="E2086" s="82"/>
    </row>
    <row r="2087" spans="1:5" ht="14.4">
      <c r="A2087" s="68">
        <v>41516</v>
      </c>
      <c r="B2087" s="65">
        <v>43.604999999999997</v>
      </c>
      <c r="C2087" s="80">
        <v>2273019</v>
      </c>
      <c r="D2087" s="83">
        <v>4.6077640824788713E-3</v>
      </c>
      <c r="E2087" s="82"/>
    </row>
    <row r="2088" spans="1:5" ht="14.4">
      <c r="A2088" s="68">
        <v>41515</v>
      </c>
      <c r="B2088" s="65">
        <v>43.405000000000001</v>
      </c>
      <c r="C2088" s="80">
        <v>1784353</v>
      </c>
      <c r="D2088" s="83">
        <v>1.6748653080346676E-2</v>
      </c>
      <c r="E2088" s="82"/>
    </row>
    <row r="2089" spans="1:5" ht="14.4">
      <c r="A2089" s="68">
        <v>41514</v>
      </c>
      <c r="B2089" s="65">
        <v>42.69</v>
      </c>
      <c r="C2089" s="80">
        <v>2907332</v>
      </c>
      <c r="D2089" s="83">
        <v>-2.4785836664762972E-2</v>
      </c>
      <c r="E2089" s="82"/>
    </row>
    <row r="2090" spans="1:5" ht="14.4">
      <c r="A2090" s="68">
        <v>41513</v>
      </c>
      <c r="B2090" s="65">
        <v>43.774999999999999</v>
      </c>
      <c r="C2090" s="80">
        <v>2862768</v>
      </c>
      <c r="D2090" s="83">
        <v>-1.6402651387484646E-2</v>
      </c>
      <c r="E2090" s="82"/>
    </row>
    <row r="2091" spans="1:5" ht="14.4">
      <c r="A2091" s="68">
        <v>41512</v>
      </c>
      <c r="B2091" s="65">
        <v>44.505000000000003</v>
      </c>
      <c r="C2091" s="80">
        <v>597311</v>
      </c>
      <c r="D2091" s="83">
        <v>1.2373453318335059E-3</v>
      </c>
      <c r="E2091" s="82"/>
    </row>
    <row r="2092" spans="1:5" ht="14.4">
      <c r="A2092" s="68">
        <v>41509</v>
      </c>
      <c r="B2092" s="65">
        <v>44.45</v>
      </c>
      <c r="C2092" s="80">
        <v>989546</v>
      </c>
      <c r="D2092" s="83">
        <v>1.0342084327764622E-2</v>
      </c>
      <c r="E2092" s="82"/>
    </row>
    <row r="2093" spans="1:5" ht="14.4">
      <c r="A2093" s="68">
        <v>41508</v>
      </c>
      <c r="B2093" s="65">
        <v>43.994999999999997</v>
      </c>
      <c r="C2093" s="80">
        <v>2017260</v>
      </c>
      <c r="D2093" s="83">
        <v>1.2193719084320653E-2</v>
      </c>
      <c r="E2093" s="82"/>
    </row>
    <row r="2094" spans="1:5" ht="14.4">
      <c r="A2094" s="68">
        <v>41507</v>
      </c>
      <c r="B2094" s="65">
        <v>43.465000000000003</v>
      </c>
      <c r="C2094" s="80">
        <v>1385074</v>
      </c>
      <c r="D2094" s="83">
        <v>-1.0810195721438154E-2</v>
      </c>
      <c r="E2094" s="82"/>
    </row>
    <row r="2095" spans="1:5" ht="14.4">
      <c r="A2095" s="68">
        <v>41506</v>
      </c>
      <c r="B2095" s="65">
        <v>43.94</v>
      </c>
      <c r="C2095" s="80">
        <v>1997454</v>
      </c>
      <c r="D2095" s="83">
        <v>-2.0944741532976985E-2</v>
      </c>
      <c r="E2095" s="82"/>
    </row>
    <row r="2096" spans="1:5" ht="14.4">
      <c r="A2096" s="68">
        <v>41505</v>
      </c>
      <c r="B2096" s="65">
        <v>44.88</v>
      </c>
      <c r="C2096" s="80">
        <v>1224341</v>
      </c>
      <c r="D2096" s="83">
        <v>-7.1894701913504111E-3</v>
      </c>
      <c r="E2096" s="82"/>
    </row>
    <row r="2097" spans="1:5" ht="14.4">
      <c r="A2097" s="68">
        <v>41502</v>
      </c>
      <c r="B2097" s="65">
        <v>45.204999999999998</v>
      </c>
      <c r="C2097" s="80">
        <v>2234531</v>
      </c>
      <c r="D2097" s="83">
        <v>2.1059632010640428E-3</v>
      </c>
      <c r="E2097" s="82"/>
    </row>
    <row r="2098" spans="1:5" ht="14.4">
      <c r="A2098" s="68">
        <v>41501</v>
      </c>
      <c r="B2098" s="65">
        <v>45.11</v>
      </c>
      <c r="C2098" s="80">
        <v>1939857</v>
      </c>
      <c r="D2098" s="83">
        <v>1.3318534961155315E-3</v>
      </c>
      <c r="E2098" s="82"/>
    </row>
    <row r="2099" spans="1:5" ht="14.4">
      <c r="A2099" s="68">
        <v>41500</v>
      </c>
      <c r="B2099" s="65">
        <v>45.05</v>
      </c>
      <c r="C2099" s="80">
        <v>2131129</v>
      </c>
      <c r="D2099" s="83">
        <v>1.1336850376024055E-2</v>
      </c>
      <c r="E2099" s="82"/>
    </row>
    <row r="2100" spans="1:5" ht="14.4">
      <c r="A2100" s="68">
        <v>41499</v>
      </c>
      <c r="B2100" s="65">
        <v>44.545000000000002</v>
      </c>
      <c r="C2100" s="80">
        <v>1780375</v>
      </c>
      <c r="D2100" s="83">
        <v>-8.789497107254074E-3</v>
      </c>
      <c r="E2100" s="82"/>
    </row>
    <row r="2101" spans="1:5" ht="14.4">
      <c r="A2101" s="68">
        <v>41498</v>
      </c>
      <c r="B2101" s="65">
        <v>44.94</v>
      </c>
      <c r="C2101" s="80">
        <v>1684855</v>
      </c>
      <c r="D2101" s="83">
        <v>-2.2086824067022115E-2</v>
      </c>
      <c r="E2101" s="82"/>
    </row>
    <row r="2102" spans="1:5" ht="14.4">
      <c r="A2102" s="68">
        <v>41495</v>
      </c>
      <c r="B2102" s="65">
        <v>45.954999999999998</v>
      </c>
      <c r="C2102" s="80">
        <v>1557013</v>
      </c>
      <c r="D2102" s="83">
        <v>2.7274710888065545E-3</v>
      </c>
      <c r="E2102" s="82"/>
    </row>
    <row r="2103" spans="1:5" ht="14.4">
      <c r="A2103" s="68">
        <v>41494</v>
      </c>
      <c r="B2103" s="65">
        <v>45.83</v>
      </c>
      <c r="C2103" s="80">
        <v>1489360</v>
      </c>
      <c r="D2103" s="83">
        <v>4.6032441911443289E-3</v>
      </c>
      <c r="E2103" s="82"/>
    </row>
    <row r="2104" spans="1:5" ht="14.4">
      <c r="A2104" s="68">
        <v>41493</v>
      </c>
      <c r="B2104" s="65">
        <v>45.62</v>
      </c>
      <c r="C2104" s="80">
        <v>2214203</v>
      </c>
      <c r="D2104" s="83">
        <v>4.7351613258450609E-3</v>
      </c>
      <c r="E2104" s="82"/>
    </row>
    <row r="2105" spans="1:5" ht="14.4">
      <c r="A2105" s="68">
        <v>41492</v>
      </c>
      <c r="B2105" s="65">
        <v>45.405000000000001</v>
      </c>
      <c r="C2105" s="80">
        <v>2804882</v>
      </c>
      <c r="D2105" s="83">
        <v>1.3730743469524409E-2</v>
      </c>
      <c r="E2105" s="82"/>
    </row>
    <row r="2106" spans="1:5" ht="14.4">
      <c r="A2106" s="68">
        <v>41491</v>
      </c>
      <c r="B2106" s="65">
        <v>44.79</v>
      </c>
      <c r="C2106" s="80">
        <v>2058881</v>
      </c>
      <c r="D2106" s="83">
        <v>-5.8817001442681427E-3</v>
      </c>
      <c r="E2106" s="82"/>
    </row>
    <row r="2107" spans="1:5" ht="14.4">
      <c r="A2107" s="68">
        <v>41488</v>
      </c>
      <c r="B2107" s="65">
        <v>45.055</v>
      </c>
      <c r="C2107" s="80">
        <v>2261250</v>
      </c>
      <c r="D2107" s="83">
        <v>-4.8591938155714276E-3</v>
      </c>
      <c r="E2107" s="82"/>
    </row>
    <row r="2108" spans="1:5" ht="14.4">
      <c r="A2108" s="68">
        <v>41487</v>
      </c>
      <c r="B2108" s="65">
        <v>45.274999999999999</v>
      </c>
      <c r="C2108" s="80">
        <v>2567179</v>
      </c>
      <c r="D2108" s="83">
        <v>8.6888715606550093E-3</v>
      </c>
      <c r="E2108" s="82"/>
    </row>
    <row r="2109" spans="1:5" ht="14.4">
      <c r="A2109" s="68">
        <v>41486</v>
      </c>
      <c r="B2109" s="65">
        <v>44.884999999999998</v>
      </c>
      <c r="C2109" s="80">
        <v>4996391</v>
      </c>
      <c r="D2109" s="83">
        <v>1.3892026202846131E-2</v>
      </c>
      <c r="E2109" s="82"/>
    </row>
    <row r="2110" spans="1:5" ht="14.4">
      <c r="A2110" s="68">
        <v>41485</v>
      </c>
      <c r="B2110" s="65">
        <v>44.27</v>
      </c>
      <c r="C2110" s="80">
        <v>2328383</v>
      </c>
      <c r="D2110" s="83">
        <v>-1.6912842485059532E-3</v>
      </c>
      <c r="E2110" s="82"/>
    </row>
    <row r="2111" spans="1:5" ht="14.4">
      <c r="A2111" s="68">
        <v>41484</v>
      </c>
      <c r="B2111" s="65">
        <v>44.344999999999999</v>
      </c>
      <c r="C2111" s="80">
        <v>3242432</v>
      </c>
      <c r="D2111" s="83">
        <v>3.961965134706702E-3</v>
      </c>
      <c r="E2111" s="82"/>
    </row>
    <row r="2112" spans="1:5" ht="14.4">
      <c r="A2112" s="68">
        <v>41481</v>
      </c>
      <c r="B2112" s="65">
        <v>44.17</v>
      </c>
      <c r="C2112" s="80">
        <v>3025523</v>
      </c>
      <c r="D2112" s="83">
        <v>1.6570771001150675E-2</v>
      </c>
      <c r="E2112" s="82"/>
    </row>
    <row r="2113" spans="1:5" ht="14.4">
      <c r="A2113" s="68">
        <v>41480</v>
      </c>
      <c r="B2113" s="65">
        <v>43.45</v>
      </c>
      <c r="C2113" s="80">
        <v>2870016</v>
      </c>
      <c r="D2113" s="83">
        <v>2.6701323251417719E-2</v>
      </c>
      <c r="E2113" s="82"/>
    </row>
    <row r="2114" spans="1:5" ht="14.4">
      <c r="A2114" s="68">
        <v>41479</v>
      </c>
      <c r="B2114" s="65">
        <v>42.32</v>
      </c>
      <c r="C2114" s="80">
        <v>2450219</v>
      </c>
      <c r="D2114" s="83">
        <v>2.1311863604074333E-3</v>
      </c>
      <c r="E2114" s="82"/>
    </row>
    <row r="2115" spans="1:5" ht="14.4">
      <c r="A2115" s="68">
        <v>41478</v>
      </c>
      <c r="B2115" s="65">
        <v>42.23</v>
      </c>
      <c r="C2115" s="80">
        <v>1485092</v>
      </c>
      <c r="D2115" s="83">
        <v>-7.9868451961475628E-3</v>
      </c>
      <c r="E2115" s="82"/>
    </row>
    <row r="2116" spans="1:5" ht="14.4">
      <c r="A2116" s="68">
        <v>41477</v>
      </c>
      <c r="B2116" s="65">
        <v>42.57</v>
      </c>
      <c r="C2116" s="80">
        <v>1081362</v>
      </c>
      <c r="D2116" s="83">
        <v>-1.6416510318949529E-3</v>
      </c>
      <c r="E2116" s="82"/>
    </row>
    <row r="2117" spans="1:5" ht="14.4">
      <c r="A2117" s="68">
        <v>41474</v>
      </c>
      <c r="B2117" s="65">
        <v>42.64</v>
      </c>
      <c r="C2117" s="80">
        <v>2836970</v>
      </c>
      <c r="D2117" s="83">
        <v>1.0067511548027985E-2</v>
      </c>
      <c r="E2117" s="82"/>
    </row>
    <row r="2118" spans="1:5" ht="14.4">
      <c r="A2118" s="68">
        <v>41473</v>
      </c>
      <c r="B2118" s="65">
        <v>42.215000000000003</v>
      </c>
      <c r="C2118" s="80">
        <v>2388882</v>
      </c>
      <c r="D2118" s="83">
        <v>1.3322131541046778E-2</v>
      </c>
      <c r="E2118" s="82"/>
    </row>
    <row r="2119" spans="1:5" ht="14.4">
      <c r="A2119" s="68">
        <v>41472</v>
      </c>
      <c r="B2119" s="65">
        <v>41.66</v>
      </c>
      <c r="C2119" s="80">
        <v>2747420</v>
      </c>
      <c r="D2119" s="83">
        <v>8.4084084084068422E-4</v>
      </c>
      <c r="E2119" s="82"/>
    </row>
    <row r="2120" spans="1:5" ht="14.4">
      <c r="A2120" s="68">
        <v>41471</v>
      </c>
      <c r="B2120" s="65">
        <v>41.625</v>
      </c>
      <c r="C2120" s="80">
        <v>1735639</v>
      </c>
      <c r="D2120" s="83">
        <v>-5.1386233269599124E-3</v>
      </c>
      <c r="E2120" s="82"/>
    </row>
    <row r="2121" spans="1:5" ht="14.4">
      <c r="A2121" s="68">
        <v>41470</v>
      </c>
      <c r="B2121" s="65">
        <v>41.84</v>
      </c>
      <c r="C2121" s="80">
        <v>1646518</v>
      </c>
      <c r="D2121" s="83">
        <v>1.3811485340440965E-2</v>
      </c>
      <c r="E2121" s="82"/>
    </row>
    <row r="2122" spans="1:5" ht="14.4">
      <c r="A2122" s="68">
        <v>41467</v>
      </c>
      <c r="B2122" s="65">
        <v>41.27</v>
      </c>
      <c r="C2122" s="80">
        <v>1853044</v>
      </c>
      <c r="D2122" s="83">
        <v>-2.1760154738876825E-3</v>
      </c>
      <c r="E2122" s="82"/>
    </row>
    <row r="2123" spans="1:5" ht="14.4">
      <c r="A2123" s="68">
        <v>41466</v>
      </c>
      <c r="B2123" s="65">
        <v>41.36</v>
      </c>
      <c r="C2123" s="80">
        <v>2152178</v>
      </c>
      <c r="D2123" s="83">
        <v>-3.6135870874487441E-3</v>
      </c>
      <c r="E2123" s="82"/>
    </row>
    <row r="2124" spans="1:5" ht="14.4">
      <c r="A2124" s="68">
        <v>41465</v>
      </c>
      <c r="B2124" s="65">
        <v>41.51</v>
      </c>
      <c r="C2124" s="80">
        <v>1634191</v>
      </c>
      <c r="D2124" s="83">
        <v>-5.1527860994607932E-3</v>
      </c>
      <c r="E2124" s="82"/>
    </row>
    <row r="2125" spans="1:5" ht="14.4">
      <c r="A2125" s="68">
        <v>41464</v>
      </c>
      <c r="B2125" s="65">
        <v>41.725000000000001</v>
      </c>
      <c r="C2125" s="80">
        <v>1540284</v>
      </c>
      <c r="D2125" s="83">
        <v>1.5602496399425014E-3</v>
      </c>
      <c r="E2125" s="82"/>
    </row>
    <row r="2126" spans="1:5" ht="14.4">
      <c r="A2126" s="68">
        <v>41463</v>
      </c>
      <c r="B2126" s="65">
        <v>41.66</v>
      </c>
      <c r="C2126" s="80">
        <v>2096223</v>
      </c>
      <c r="D2126" s="83">
        <v>1.116504854368916E-2</v>
      </c>
      <c r="E2126" s="82"/>
    </row>
    <row r="2127" spans="1:5" ht="14.4">
      <c r="A2127" s="68">
        <v>41460</v>
      </c>
      <c r="B2127" s="65">
        <v>41.2</v>
      </c>
      <c r="C2127" s="80">
        <v>1684359</v>
      </c>
      <c r="D2127" s="83">
        <v>-1.1990407673860948E-2</v>
      </c>
      <c r="E2127" s="82"/>
    </row>
    <row r="2128" spans="1:5" ht="14.4">
      <c r="A2128" s="68">
        <v>41459</v>
      </c>
      <c r="B2128" s="65">
        <v>41.7</v>
      </c>
      <c r="C2128" s="80">
        <v>2697682</v>
      </c>
      <c r="D2128" s="83">
        <v>3.6411084876351474E-2</v>
      </c>
      <c r="E2128" s="82"/>
    </row>
    <row r="2129" spans="1:5" ht="14.4">
      <c r="A2129" s="68">
        <v>41458</v>
      </c>
      <c r="B2129" s="65">
        <v>40.234999999999999</v>
      </c>
      <c r="C2129" s="80">
        <v>2436894</v>
      </c>
      <c r="D2129" s="83">
        <v>-1.360627604805098E-2</v>
      </c>
      <c r="E2129" s="82"/>
    </row>
    <row r="2130" spans="1:5" ht="14.4">
      <c r="A2130" s="68">
        <v>41457</v>
      </c>
      <c r="B2130" s="65">
        <v>40.79</v>
      </c>
      <c r="C2130" s="80">
        <v>1876329</v>
      </c>
      <c r="D2130" s="83">
        <v>-1.0191701043436141E-2</v>
      </c>
      <c r="E2130" s="82"/>
    </row>
    <row r="2131" spans="1:5" ht="14.4">
      <c r="A2131" s="68">
        <v>41456</v>
      </c>
      <c r="B2131" s="65">
        <v>41.21</v>
      </c>
      <c r="C2131" s="80">
        <v>3082547</v>
      </c>
      <c r="D2131" s="83">
        <v>3.5309874589066759E-3</v>
      </c>
      <c r="E2131" s="82"/>
    </row>
    <row r="2132" spans="1:5" ht="14.4">
      <c r="A2132" s="68">
        <v>41453</v>
      </c>
      <c r="B2132" s="65">
        <v>41.064999999999998</v>
      </c>
      <c r="C2132" s="80">
        <v>3061937</v>
      </c>
      <c r="D2132" s="83">
        <v>-1.1910490856593015E-2</v>
      </c>
      <c r="E2132" s="82"/>
    </row>
    <row r="2133" spans="1:5" ht="14.4">
      <c r="A2133" s="68">
        <v>41452</v>
      </c>
      <c r="B2133" s="65">
        <v>41.56</v>
      </c>
      <c r="C2133" s="80">
        <v>2379185</v>
      </c>
      <c r="D2133" s="83">
        <v>4.5927000241721139E-3</v>
      </c>
      <c r="E2133" s="82"/>
    </row>
    <row r="2134" spans="1:5" ht="14.4">
      <c r="A2134" s="68">
        <v>41451</v>
      </c>
      <c r="B2134" s="65">
        <v>41.37</v>
      </c>
      <c r="C2134" s="80">
        <v>2844191</v>
      </c>
      <c r="D2134" s="83">
        <v>1.5339305436249839E-2</v>
      </c>
      <c r="E2134" s="82"/>
    </row>
    <row r="2135" spans="1:5" ht="14.4">
      <c r="A2135" s="68">
        <v>41450</v>
      </c>
      <c r="B2135" s="65">
        <v>40.744999999999997</v>
      </c>
      <c r="C2135" s="80">
        <v>2472854</v>
      </c>
      <c r="D2135" s="83">
        <v>2.8654380207018271E-2</v>
      </c>
      <c r="E2135" s="82"/>
    </row>
    <row r="2136" spans="1:5" ht="14.4">
      <c r="A2136" s="68">
        <v>41449</v>
      </c>
      <c r="B2136" s="65">
        <v>39.61</v>
      </c>
      <c r="C2136" s="80">
        <v>3744579</v>
      </c>
      <c r="D2136" s="83">
        <v>-2.7975460122699358E-2</v>
      </c>
      <c r="E2136" s="82"/>
    </row>
    <row r="2137" spans="1:5" ht="14.4">
      <c r="A2137" s="68">
        <v>41446</v>
      </c>
      <c r="B2137" s="65">
        <v>40.75</v>
      </c>
      <c r="C2137" s="80">
        <v>7470931</v>
      </c>
      <c r="D2137" s="83">
        <v>-1.2480310190233879E-2</v>
      </c>
      <c r="E2137" s="82"/>
    </row>
    <row r="2138" spans="1:5" ht="14.4">
      <c r="A2138" s="68">
        <v>41445</v>
      </c>
      <c r="B2138" s="65">
        <v>41.265000000000001</v>
      </c>
      <c r="C2138" s="80">
        <v>3941456</v>
      </c>
      <c r="D2138" s="83">
        <v>-2.4583382578891366E-2</v>
      </c>
      <c r="E2138" s="82"/>
    </row>
    <row r="2139" spans="1:5" ht="14.4">
      <c r="A2139" s="68">
        <v>41444</v>
      </c>
      <c r="B2139" s="65">
        <v>42.305</v>
      </c>
      <c r="C2139" s="80">
        <v>3200605</v>
      </c>
      <c r="D2139" s="83">
        <v>-1.9582850521436823E-2</v>
      </c>
      <c r="E2139" s="82"/>
    </row>
    <row r="2140" spans="1:5" ht="14.4">
      <c r="A2140" s="68">
        <v>41443</v>
      </c>
      <c r="B2140" s="65">
        <v>43.15</v>
      </c>
      <c r="C2140" s="80">
        <v>2001250</v>
      </c>
      <c r="D2140" s="83">
        <v>3.4883720930232176E-3</v>
      </c>
      <c r="E2140" s="82"/>
    </row>
    <row r="2141" spans="1:5" ht="14.4">
      <c r="A2141" s="68">
        <v>41442</v>
      </c>
      <c r="B2141" s="65">
        <v>43</v>
      </c>
      <c r="C2141" s="80">
        <v>2312405</v>
      </c>
      <c r="D2141" s="83">
        <v>3.7348272642390157E-3</v>
      </c>
      <c r="E2141" s="82"/>
    </row>
    <row r="2142" spans="1:5" ht="14.4">
      <c r="A2142" s="68">
        <v>41439</v>
      </c>
      <c r="B2142" s="65">
        <v>42.84</v>
      </c>
      <c r="C2142" s="80">
        <v>2010989</v>
      </c>
      <c r="D2142" s="83">
        <v>-3.836763167073598E-3</v>
      </c>
      <c r="E2142" s="82"/>
    </row>
    <row r="2143" spans="1:5" ht="14.4">
      <c r="A2143" s="68">
        <v>41438</v>
      </c>
      <c r="B2143" s="65">
        <v>43.005000000000003</v>
      </c>
      <c r="C2143" s="80">
        <v>2080705</v>
      </c>
      <c r="D2143" s="83">
        <v>2.3258518432389685E-4</v>
      </c>
      <c r="E2143" s="82"/>
    </row>
    <row r="2144" spans="1:5" ht="14.4">
      <c r="A2144" s="68">
        <v>41437</v>
      </c>
      <c r="B2144" s="65">
        <v>42.994999999999997</v>
      </c>
      <c r="C2144" s="80">
        <v>2271884</v>
      </c>
      <c r="D2144" s="83">
        <v>1.5589937404039134E-2</v>
      </c>
      <c r="E2144" s="82"/>
    </row>
    <row r="2145" spans="1:5" ht="14.4">
      <c r="A2145" s="68">
        <v>41436</v>
      </c>
      <c r="B2145" s="65">
        <v>42.335000000000001</v>
      </c>
      <c r="C2145" s="80">
        <v>2329885</v>
      </c>
      <c r="D2145" s="83">
        <v>-1.5694024645431237E-2</v>
      </c>
      <c r="E2145" s="82"/>
    </row>
    <row r="2146" spans="1:5" ht="14.4">
      <c r="A2146" s="68">
        <v>41435</v>
      </c>
      <c r="B2146" s="65">
        <v>43.01</v>
      </c>
      <c r="C2146" s="80">
        <v>1712629</v>
      </c>
      <c r="D2146" s="83">
        <v>-9.5567069660333903E-3</v>
      </c>
      <c r="E2146" s="82"/>
    </row>
    <row r="2147" spans="1:5" ht="14.4">
      <c r="A2147" s="68">
        <v>41432</v>
      </c>
      <c r="B2147" s="65">
        <v>43.424999999999997</v>
      </c>
      <c r="C2147" s="80">
        <v>2726368</v>
      </c>
      <c r="D2147" s="83">
        <v>3.59017175572518E-2</v>
      </c>
      <c r="E2147" s="82"/>
    </row>
    <row r="2148" spans="1:5" ht="14.4">
      <c r="A2148" s="68">
        <v>41431</v>
      </c>
      <c r="B2148" s="65">
        <v>41.92</v>
      </c>
      <c r="C2148" s="80">
        <v>1737282</v>
      </c>
      <c r="D2148" s="83">
        <v>-1.2368948050418105E-2</v>
      </c>
      <c r="E2148" s="82"/>
    </row>
    <row r="2149" spans="1:5" ht="14.4">
      <c r="A2149" s="68">
        <v>41430</v>
      </c>
      <c r="B2149" s="65">
        <v>42.445</v>
      </c>
      <c r="C2149" s="80">
        <v>1896826</v>
      </c>
      <c r="D2149" s="83">
        <v>-2.0311598384304741E-2</v>
      </c>
      <c r="E2149" s="82"/>
    </row>
    <row r="2150" spans="1:5" ht="14.4">
      <c r="A2150" s="68">
        <v>41429</v>
      </c>
      <c r="B2150" s="65">
        <v>43.325000000000003</v>
      </c>
      <c r="C2150" s="80">
        <v>1547071</v>
      </c>
      <c r="D2150" s="83">
        <v>-1.3829664630631289E-3</v>
      </c>
      <c r="E2150" s="82"/>
    </row>
    <row r="2151" spans="1:5" ht="14.4">
      <c r="A2151" s="68">
        <v>41428</v>
      </c>
      <c r="B2151" s="65">
        <v>43.384999999999998</v>
      </c>
      <c r="C2151" s="80">
        <v>2430425</v>
      </c>
      <c r="D2151" s="83">
        <v>-2.3959505061867392E-2</v>
      </c>
      <c r="E2151" s="82"/>
    </row>
    <row r="2152" spans="1:5" ht="14.4">
      <c r="A2152" s="68">
        <v>41425</v>
      </c>
      <c r="B2152" s="65">
        <v>44.45</v>
      </c>
      <c r="C2152" s="80">
        <v>10733430</v>
      </c>
      <c r="D2152" s="83">
        <v>4.6332918973897019E-3</v>
      </c>
      <c r="E2152" s="82"/>
    </row>
    <row r="2153" spans="1:5" ht="14.4">
      <c r="A2153" s="68">
        <v>41424</v>
      </c>
      <c r="B2153" s="65">
        <v>44.244999999999997</v>
      </c>
      <c r="C2153" s="80">
        <v>2039093</v>
      </c>
      <c r="D2153" s="83">
        <v>1.0180995475110866E-3</v>
      </c>
      <c r="E2153" s="82"/>
    </row>
    <row r="2154" spans="1:5" ht="14.4">
      <c r="A2154" s="68">
        <v>41423</v>
      </c>
      <c r="B2154" s="65">
        <v>44.2</v>
      </c>
      <c r="C2154" s="80">
        <v>4228263</v>
      </c>
      <c r="D2154" s="83">
        <v>9.1324200913243114E-3</v>
      </c>
      <c r="E2154" s="82"/>
    </row>
    <row r="2155" spans="1:5" ht="14.4">
      <c r="A2155" s="68">
        <v>41422</v>
      </c>
      <c r="B2155" s="65">
        <v>43.8</v>
      </c>
      <c r="C2155" s="80">
        <v>2706716</v>
      </c>
      <c r="D2155" s="83">
        <v>2.8289705364479278E-2</v>
      </c>
      <c r="E2155" s="82"/>
    </row>
    <row r="2156" spans="1:5" ht="14.4">
      <c r="A2156" s="68">
        <v>41421</v>
      </c>
      <c r="B2156" s="65">
        <v>42.594999999999999</v>
      </c>
      <c r="C2156" s="80">
        <v>876325</v>
      </c>
      <c r="D2156" s="83">
        <v>1.6460905349793276E-3</v>
      </c>
      <c r="E2156" s="82"/>
    </row>
    <row r="2157" spans="1:5" ht="14.4">
      <c r="A2157" s="68">
        <v>41418</v>
      </c>
      <c r="B2157" s="65">
        <v>42.524999999999999</v>
      </c>
      <c r="C2157" s="80">
        <v>1384365</v>
      </c>
      <c r="D2157" s="83">
        <v>1.2018086625416258E-2</v>
      </c>
      <c r="E2157" s="82"/>
    </row>
    <row r="2158" spans="1:5" ht="14.4">
      <c r="A2158" s="68">
        <v>41417</v>
      </c>
      <c r="B2158" s="65">
        <v>42.02</v>
      </c>
      <c r="C2158" s="80">
        <v>2755654</v>
      </c>
      <c r="D2158" s="83">
        <v>-2.5058004640371223E-2</v>
      </c>
      <c r="E2158" s="82"/>
    </row>
    <row r="2159" spans="1:5" ht="14.4">
      <c r="A2159" s="68">
        <v>41416</v>
      </c>
      <c r="B2159" s="65">
        <v>43.1</v>
      </c>
      <c r="C2159" s="80">
        <v>1737715</v>
      </c>
      <c r="D2159" s="83">
        <v>5.8038305281482572E-4</v>
      </c>
      <c r="E2159" s="82"/>
    </row>
    <row r="2160" spans="1:5" ht="14.4">
      <c r="A2160" s="68">
        <v>41415</v>
      </c>
      <c r="B2160" s="65">
        <v>43.075000000000003</v>
      </c>
      <c r="C2160" s="80">
        <v>2153559</v>
      </c>
      <c r="D2160" s="83">
        <v>-2.0850225877445672E-3</v>
      </c>
      <c r="E2160" s="82"/>
    </row>
    <row r="2161" spans="1:5" ht="14.4">
      <c r="A2161" s="68">
        <v>41414</v>
      </c>
      <c r="B2161" s="65">
        <v>43.164999999999999</v>
      </c>
      <c r="C2161" s="80">
        <v>1394240</v>
      </c>
      <c r="D2161" s="83">
        <v>-3.1177829099306997E-3</v>
      </c>
      <c r="E2161" s="82"/>
    </row>
    <row r="2162" spans="1:5" ht="14.4">
      <c r="A2162" s="68">
        <v>41411</v>
      </c>
      <c r="B2162" s="65">
        <v>43.3</v>
      </c>
      <c r="C2162" s="80">
        <v>3449904</v>
      </c>
      <c r="D2162" s="83">
        <v>0</v>
      </c>
      <c r="E2162" s="82"/>
    </row>
    <row r="2163" spans="1:5" ht="14.4">
      <c r="A2163" s="68">
        <v>41410</v>
      </c>
      <c r="B2163" s="65">
        <v>43.3</v>
      </c>
      <c r="C2163" s="80">
        <v>2513485</v>
      </c>
      <c r="D2163" s="83">
        <v>4.2908500521858794E-3</v>
      </c>
      <c r="E2163" s="82"/>
    </row>
    <row r="2164" spans="1:5" ht="14.4">
      <c r="A2164" s="68">
        <v>41409</v>
      </c>
      <c r="B2164" s="65">
        <v>43.115000000000002</v>
      </c>
      <c r="C2164" s="80">
        <v>2875866</v>
      </c>
      <c r="D2164" s="83">
        <v>1.5904806786050996E-2</v>
      </c>
      <c r="E2164" s="82"/>
    </row>
    <row r="2165" spans="1:5" ht="14.4">
      <c r="A2165" s="68">
        <v>41408</v>
      </c>
      <c r="B2165" s="65">
        <v>42.44</v>
      </c>
      <c r="C2165" s="80">
        <v>4563592</v>
      </c>
      <c r="D2165" s="83">
        <v>3.0097087378640586E-2</v>
      </c>
      <c r="E2165" s="82"/>
    </row>
    <row r="2166" spans="1:5" ht="14.4">
      <c r="A2166" s="68">
        <v>41407</v>
      </c>
      <c r="B2166" s="65">
        <v>41.2</v>
      </c>
      <c r="C2166" s="80">
        <v>2600409</v>
      </c>
      <c r="D2166" s="83">
        <v>-7.4680799807274045E-3</v>
      </c>
      <c r="E2166" s="82"/>
    </row>
    <row r="2167" spans="1:5" ht="14.4">
      <c r="A2167" s="68">
        <v>41404</v>
      </c>
      <c r="B2167" s="65">
        <v>41.51</v>
      </c>
      <c r="C2167" s="80">
        <v>2277938</v>
      </c>
      <c r="D2167" s="83">
        <v>4.2337002540220325E-3</v>
      </c>
      <c r="E2167" s="82"/>
    </row>
    <row r="2168" spans="1:5" ht="14.4">
      <c r="A2168" s="68">
        <v>41403</v>
      </c>
      <c r="B2168" s="65">
        <v>41.335000000000001</v>
      </c>
      <c r="C2168" s="80">
        <v>1391174</v>
      </c>
      <c r="D2168" s="83">
        <v>2.0606060606060961E-3</v>
      </c>
      <c r="E2168" s="82"/>
    </row>
    <row r="2169" spans="1:5" ht="14.4">
      <c r="A2169" s="68">
        <v>41402</v>
      </c>
      <c r="B2169" s="65">
        <v>41.25</v>
      </c>
      <c r="C2169" s="80">
        <v>2001279</v>
      </c>
      <c r="D2169" s="83">
        <v>1.2891344383056946E-2</v>
      </c>
      <c r="E2169" s="82"/>
    </row>
    <row r="2170" spans="1:5" ht="14.4">
      <c r="A2170" s="68">
        <v>41401</v>
      </c>
      <c r="B2170" s="65">
        <v>40.725000000000001</v>
      </c>
      <c r="C2170" s="80">
        <v>1897659</v>
      </c>
      <c r="D2170" s="83">
        <v>0</v>
      </c>
      <c r="E2170" s="82"/>
    </row>
    <row r="2171" spans="1:5" ht="14.4">
      <c r="A2171" s="68">
        <v>41400</v>
      </c>
      <c r="B2171" s="65">
        <v>40.725000000000001</v>
      </c>
      <c r="C2171" s="80">
        <v>733349</v>
      </c>
      <c r="D2171" s="83">
        <v>-3.0599755201958789E-3</v>
      </c>
      <c r="E2171" s="82"/>
    </row>
    <row r="2172" spans="1:5" ht="14.4">
      <c r="A2172" s="68">
        <v>41397</v>
      </c>
      <c r="B2172" s="65">
        <v>40.85</v>
      </c>
      <c r="C2172" s="80">
        <v>2001860</v>
      </c>
      <c r="D2172" s="83">
        <v>1.2266138025027962E-2</v>
      </c>
      <c r="E2172" s="82"/>
    </row>
    <row r="2173" spans="1:5" ht="14.4">
      <c r="A2173" s="68">
        <v>41396</v>
      </c>
      <c r="B2173" s="65">
        <v>40.354999999999997</v>
      </c>
      <c r="C2173" s="80">
        <v>2341439</v>
      </c>
      <c r="D2173" s="83">
        <v>6.2336367036528451E-3</v>
      </c>
      <c r="E2173" s="82"/>
    </row>
    <row r="2174" spans="1:5" ht="14.4">
      <c r="A2174" s="68">
        <v>41394</v>
      </c>
      <c r="B2174" s="65">
        <v>40.104999999999997</v>
      </c>
      <c r="C2174" s="80">
        <v>2391942</v>
      </c>
      <c r="D2174" s="83">
        <v>6.0203185751912525E-3</v>
      </c>
      <c r="E2174" s="82"/>
    </row>
    <row r="2175" spans="1:5" ht="14.4">
      <c r="A2175" s="68">
        <v>41393</v>
      </c>
      <c r="B2175" s="65">
        <v>39.865000000000002</v>
      </c>
      <c r="C2175" s="80">
        <v>2825732</v>
      </c>
      <c r="D2175" s="83">
        <v>-3.3749999999999059E-3</v>
      </c>
      <c r="E2175" s="82"/>
    </row>
    <row r="2176" spans="1:5" ht="14.4">
      <c r="A2176" s="68">
        <v>41390</v>
      </c>
      <c r="B2176" s="65">
        <v>40</v>
      </c>
      <c r="C2176" s="80">
        <v>5110324</v>
      </c>
      <c r="D2176" s="83">
        <v>-1.5990159901599021E-2</v>
      </c>
      <c r="E2176" s="82"/>
    </row>
    <row r="2177" spans="1:5" ht="14.4">
      <c r="A2177" s="68">
        <v>41389</v>
      </c>
      <c r="B2177" s="65">
        <v>40.65</v>
      </c>
      <c r="C2177" s="80">
        <v>2138015</v>
      </c>
      <c r="D2177" s="83">
        <v>-6.3554143241261185E-3</v>
      </c>
      <c r="E2177" s="82"/>
    </row>
    <row r="2178" spans="1:5" ht="14.4">
      <c r="A2178" s="68">
        <v>41388</v>
      </c>
      <c r="B2178" s="65">
        <v>40.909999999999997</v>
      </c>
      <c r="C2178" s="80">
        <v>2780375</v>
      </c>
      <c r="D2178" s="83">
        <v>7.2633263572570161E-3</v>
      </c>
      <c r="E2178" s="82"/>
    </row>
    <row r="2179" spans="1:5" ht="14.4">
      <c r="A2179" s="68">
        <v>41387</v>
      </c>
      <c r="B2179" s="65">
        <v>40.615000000000002</v>
      </c>
      <c r="C2179" s="80">
        <v>4458794</v>
      </c>
      <c r="D2179" s="83">
        <v>3.0968397004695891E-2</v>
      </c>
      <c r="E2179" s="82"/>
    </row>
    <row r="2180" spans="1:5" ht="14.4">
      <c r="A2180" s="68">
        <v>41386</v>
      </c>
      <c r="B2180" s="65">
        <v>39.395000000000003</v>
      </c>
      <c r="C2180" s="80">
        <v>3274549</v>
      </c>
      <c r="D2180" s="83">
        <v>-1.3398447282744752E-2</v>
      </c>
      <c r="E2180" s="82"/>
    </row>
    <row r="2181" spans="1:5" ht="14.4">
      <c r="A2181" s="68">
        <v>41383</v>
      </c>
      <c r="B2181" s="65">
        <v>39.93</v>
      </c>
      <c r="C2181" s="80">
        <v>4721286</v>
      </c>
      <c r="D2181" s="83">
        <v>2.92563474674572E-2</v>
      </c>
      <c r="E2181" s="82"/>
    </row>
    <row r="2182" spans="1:5" ht="14.4">
      <c r="A2182" s="68">
        <v>41382</v>
      </c>
      <c r="B2182" s="65">
        <v>38.795000000000002</v>
      </c>
      <c r="C2182" s="80">
        <v>4213754</v>
      </c>
      <c r="D2182" s="83">
        <v>-5.2564102564102155E-3</v>
      </c>
      <c r="E2182" s="82"/>
    </row>
    <row r="2183" spans="1:5" ht="14.4">
      <c r="A2183" s="68">
        <v>41381</v>
      </c>
      <c r="B2183" s="65">
        <v>39</v>
      </c>
      <c r="C2183" s="80">
        <v>13448819</v>
      </c>
      <c r="D2183" s="83">
        <v>4.85280279607474E-2</v>
      </c>
      <c r="E2183" s="82"/>
    </row>
    <row r="2184" spans="1:5" ht="14.4">
      <c r="A2184" s="68">
        <v>41380</v>
      </c>
      <c r="B2184" s="65">
        <v>37.195</v>
      </c>
      <c r="C2184" s="80">
        <v>2100546</v>
      </c>
      <c r="D2184" s="83">
        <v>-8.2655645913878306E-3</v>
      </c>
      <c r="E2184" s="82"/>
    </row>
    <row r="2185" spans="1:5" ht="14.4">
      <c r="A2185" s="68">
        <v>41379</v>
      </c>
      <c r="B2185" s="65">
        <v>37.505000000000003</v>
      </c>
      <c r="C2185" s="80">
        <v>1813612</v>
      </c>
      <c r="D2185" s="83">
        <v>-3.9835347231442775E-3</v>
      </c>
      <c r="E2185" s="82"/>
    </row>
    <row r="2186" spans="1:5" ht="14.4">
      <c r="A2186" s="68">
        <v>41376</v>
      </c>
      <c r="B2186" s="65">
        <v>37.655000000000001</v>
      </c>
      <c r="C2186" s="80">
        <v>2510289</v>
      </c>
      <c r="D2186" s="83">
        <v>-1.889004689942686E-2</v>
      </c>
      <c r="E2186" s="82"/>
    </row>
    <row r="2187" spans="1:5" ht="14.4">
      <c r="A2187" s="68">
        <v>41375</v>
      </c>
      <c r="B2187" s="65">
        <v>38.380000000000003</v>
      </c>
      <c r="C2187" s="80">
        <v>2367993</v>
      </c>
      <c r="D2187" s="83">
        <v>-2.4691358024691024E-3</v>
      </c>
      <c r="E2187" s="82"/>
    </row>
    <row r="2188" spans="1:5" ht="14.4">
      <c r="A2188" s="68">
        <v>41374</v>
      </c>
      <c r="B2188" s="65">
        <v>38.475000000000001</v>
      </c>
      <c r="C2188" s="80">
        <v>3341475</v>
      </c>
      <c r="D2188" s="83">
        <v>2.3271276595744572E-2</v>
      </c>
      <c r="E2188" s="82"/>
    </row>
    <row r="2189" spans="1:5" ht="14.4">
      <c r="A2189" s="68">
        <v>41373</v>
      </c>
      <c r="B2189" s="65">
        <v>37.6</v>
      </c>
      <c r="C2189" s="80">
        <v>10143905</v>
      </c>
      <c r="D2189" s="83">
        <v>-2.8674761043657959E-2</v>
      </c>
      <c r="E2189" s="82"/>
    </row>
    <row r="2190" spans="1:5" ht="14.4">
      <c r="A2190" s="68">
        <v>41372</v>
      </c>
      <c r="B2190" s="65">
        <v>38.71</v>
      </c>
      <c r="C2190" s="80">
        <v>2451022</v>
      </c>
      <c r="D2190" s="83">
        <v>1.1233019853709392E-2</v>
      </c>
      <c r="E2190" s="82"/>
    </row>
    <row r="2191" spans="1:5" ht="14.4">
      <c r="A2191" s="68">
        <v>41369</v>
      </c>
      <c r="B2191" s="65">
        <v>38.28</v>
      </c>
      <c r="C2191" s="80">
        <v>3755064</v>
      </c>
      <c r="D2191" s="83">
        <v>-2.4713375796178272E-2</v>
      </c>
      <c r="E2191" s="82"/>
    </row>
    <row r="2192" spans="1:5" ht="14.4">
      <c r="A2192" s="68">
        <v>41368</v>
      </c>
      <c r="B2192" s="65">
        <v>39.25</v>
      </c>
      <c r="C2192" s="80">
        <v>3950693</v>
      </c>
      <c r="D2192" s="83">
        <v>-2.6899714887814619E-2</v>
      </c>
      <c r="E2192" s="82"/>
    </row>
    <row r="2193" spans="1:5" ht="14.4">
      <c r="A2193" s="68">
        <v>41367</v>
      </c>
      <c r="B2193" s="65">
        <v>40.335000000000001</v>
      </c>
      <c r="C2193" s="80">
        <v>2481741</v>
      </c>
      <c r="D2193" s="83">
        <v>-1.8971178402043098E-2</v>
      </c>
      <c r="E2193" s="82"/>
    </row>
    <row r="2194" spans="1:5" ht="14.4">
      <c r="A2194" s="68">
        <v>41366</v>
      </c>
      <c r="B2194" s="65">
        <v>41.115000000000002</v>
      </c>
      <c r="C2194" s="80">
        <v>2830362</v>
      </c>
      <c r="D2194" s="83">
        <v>3.5642317380352617E-2</v>
      </c>
      <c r="E2194" s="82"/>
    </row>
    <row r="2195" spans="1:5" ht="14.4">
      <c r="A2195" s="68">
        <v>41361</v>
      </c>
      <c r="B2195" s="65">
        <v>39.700000000000003</v>
      </c>
      <c r="C2195" s="80">
        <v>3368033</v>
      </c>
      <c r="D2195" s="83">
        <v>8.8239001638723558E-4</v>
      </c>
      <c r="E2195" s="82"/>
    </row>
    <row r="2196" spans="1:5" ht="14.4">
      <c r="A2196" s="68">
        <v>41360</v>
      </c>
      <c r="B2196" s="65">
        <v>39.664999999999999</v>
      </c>
      <c r="C2196" s="80">
        <v>3348435</v>
      </c>
      <c r="D2196" s="83">
        <v>-3.078802687843607E-2</v>
      </c>
      <c r="E2196" s="82"/>
    </row>
    <row r="2197" spans="1:5" ht="14.4">
      <c r="A2197" s="68">
        <v>41359</v>
      </c>
      <c r="B2197" s="65">
        <v>40.924999999999997</v>
      </c>
      <c r="C2197" s="80">
        <v>1996213</v>
      </c>
      <c r="D2197" s="83">
        <v>-1.2784947533470037E-2</v>
      </c>
      <c r="E2197" s="82"/>
    </row>
    <row r="2198" spans="1:5" ht="14.4">
      <c r="A2198" s="68">
        <v>41358</v>
      </c>
      <c r="B2198" s="65">
        <v>41.454999999999998</v>
      </c>
      <c r="C2198" s="80">
        <v>2238240</v>
      </c>
      <c r="D2198" s="83">
        <v>2.5392986698911102E-3</v>
      </c>
      <c r="E2198" s="82"/>
    </row>
    <row r="2199" spans="1:5" ht="14.4">
      <c r="A2199" s="68">
        <v>41355</v>
      </c>
      <c r="B2199" s="65">
        <v>41.35</v>
      </c>
      <c r="C2199" s="80">
        <v>2224734</v>
      </c>
      <c r="D2199" s="83">
        <v>1.7470472440944906E-2</v>
      </c>
      <c r="E2199" s="82"/>
    </row>
    <row r="2200" spans="1:5" ht="14.4">
      <c r="A2200" s="68">
        <v>41354</v>
      </c>
      <c r="B2200" s="65">
        <v>40.64</v>
      </c>
      <c r="C2200" s="80">
        <v>2222872</v>
      </c>
      <c r="D2200" s="83">
        <v>-1.7289324144601492E-2</v>
      </c>
      <c r="E2200" s="82"/>
    </row>
    <row r="2201" spans="1:5" ht="14.4">
      <c r="A2201" s="68">
        <v>41353</v>
      </c>
      <c r="B2201" s="65">
        <v>41.354999999999997</v>
      </c>
      <c r="C2201" s="80">
        <v>2799679</v>
      </c>
      <c r="D2201" s="83">
        <v>-8.0355001199328147E-3</v>
      </c>
      <c r="E2201" s="82"/>
    </row>
    <row r="2202" spans="1:5" ht="14.4">
      <c r="A2202" s="68">
        <v>41352</v>
      </c>
      <c r="B2202" s="65">
        <v>41.69</v>
      </c>
      <c r="C2202" s="80">
        <v>2396216</v>
      </c>
      <c r="D2202" s="83">
        <v>-8.5612366230677361E-3</v>
      </c>
      <c r="E2202" s="82"/>
    </row>
    <row r="2203" spans="1:5" ht="14.4">
      <c r="A2203" s="68">
        <v>41351</v>
      </c>
      <c r="B2203" s="65">
        <v>42.05</v>
      </c>
      <c r="C2203" s="80">
        <v>5375988</v>
      </c>
      <c r="D2203" s="83">
        <v>-1.2563109075965806E-2</v>
      </c>
      <c r="E2203" s="82"/>
    </row>
    <row r="2204" spans="1:5" ht="14.4">
      <c r="A2204" s="68">
        <v>41348</v>
      </c>
      <c r="B2204" s="65">
        <v>42.585000000000001</v>
      </c>
      <c r="C2204" s="80">
        <v>26899993</v>
      </c>
      <c r="D2204" s="83">
        <v>1.5258076051972935E-2</v>
      </c>
      <c r="E2204" s="82"/>
    </row>
    <row r="2205" spans="1:5" ht="14.4">
      <c r="A2205" s="68">
        <v>41347</v>
      </c>
      <c r="B2205" s="65">
        <v>41.945</v>
      </c>
      <c r="C2205" s="80">
        <v>2633767</v>
      </c>
      <c r="D2205" s="83">
        <v>3.4688995215310658E-3</v>
      </c>
      <c r="E2205" s="82"/>
    </row>
    <row r="2206" spans="1:5" ht="14.4">
      <c r="A2206" s="68">
        <v>41346</v>
      </c>
      <c r="B2206" s="65">
        <v>41.8</v>
      </c>
      <c r="C2206" s="80">
        <v>2620488</v>
      </c>
      <c r="D2206" s="83">
        <v>1.6660586160768487E-2</v>
      </c>
      <c r="E2206" s="82"/>
    </row>
    <row r="2207" spans="1:5" ht="14.4">
      <c r="A2207" s="68">
        <v>41345</v>
      </c>
      <c r="B2207" s="65">
        <v>41.115000000000002</v>
      </c>
      <c r="C2207" s="80">
        <v>1910965</v>
      </c>
      <c r="D2207" s="83">
        <v>1.4684106614017756E-2</v>
      </c>
      <c r="E2207" s="82"/>
    </row>
    <row r="2208" spans="1:5" ht="14.4">
      <c r="A2208" s="68">
        <v>41344</v>
      </c>
      <c r="B2208" s="65">
        <v>40.520000000000003</v>
      </c>
      <c r="C2208" s="80">
        <v>1930375</v>
      </c>
      <c r="D2208" s="83">
        <v>1.3000000000000123E-2</v>
      </c>
      <c r="E2208" s="82"/>
    </row>
    <row r="2209" spans="1:5" ht="14.4">
      <c r="A2209" s="68">
        <v>41341</v>
      </c>
      <c r="B2209" s="65">
        <v>40</v>
      </c>
      <c r="C2209" s="80">
        <v>2199118</v>
      </c>
      <c r="D2209" s="83">
        <v>2.5006251562875725E-4</v>
      </c>
      <c r="E2209" s="82"/>
    </row>
    <row r="2210" spans="1:5" ht="14.4">
      <c r="A2210" s="68">
        <v>41340</v>
      </c>
      <c r="B2210" s="65">
        <v>39.99</v>
      </c>
      <c r="C2210" s="80">
        <v>2442476</v>
      </c>
      <c r="D2210" s="83">
        <v>1.4073792316470213E-2</v>
      </c>
      <c r="E2210" s="82"/>
    </row>
    <row r="2211" spans="1:5" ht="14.4">
      <c r="A2211" s="68">
        <v>41339</v>
      </c>
      <c r="B2211" s="65">
        <v>39.435000000000002</v>
      </c>
      <c r="C2211" s="80">
        <v>2007919</v>
      </c>
      <c r="D2211" s="83">
        <v>8.8832487309664643E-4</v>
      </c>
      <c r="E2211" s="82"/>
    </row>
    <row r="2212" spans="1:5" ht="14.4">
      <c r="A2212" s="68">
        <v>41338</v>
      </c>
      <c r="B2212" s="65">
        <v>39.4</v>
      </c>
      <c r="C2212" s="80">
        <v>2347769</v>
      </c>
      <c r="D2212" s="83">
        <v>-1.253132832080206E-2</v>
      </c>
      <c r="E2212" s="82"/>
    </row>
    <row r="2213" spans="1:5" ht="14.4">
      <c r="A2213" s="68">
        <v>41337</v>
      </c>
      <c r="B2213" s="65">
        <v>39.9</v>
      </c>
      <c r="C2213" s="80">
        <v>2724613</v>
      </c>
      <c r="D2213" s="83">
        <v>2.4390243902438824E-2</v>
      </c>
      <c r="E2213" s="82"/>
    </row>
    <row r="2214" spans="1:5" ht="14.4">
      <c r="A2214" s="68">
        <v>41334</v>
      </c>
      <c r="B2214" s="65">
        <v>38.950000000000003</v>
      </c>
      <c r="C2214" s="80">
        <v>2734471</v>
      </c>
      <c r="D2214" s="83">
        <v>-5.8703420112301563E-3</v>
      </c>
      <c r="E2214" s="82"/>
    </row>
    <row r="2215" spans="1:5" ht="14.4">
      <c r="A2215" s="68">
        <v>41333</v>
      </c>
      <c r="B2215" s="65">
        <v>39.18</v>
      </c>
      <c r="C2215" s="80">
        <v>7888501</v>
      </c>
      <c r="D2215" s="83">
        <v>5.4927302100161501E-2</v>
      </c>
      <c r="E2215" s="82"/>
    </row>
    <row r="2216" spans="1:5" ht="14.4">
      <c r="A2216" s="68">
        <v>41332</v>
      </c>
      <c r="B2216" s="65">
        <v>37.14</v>
      </c>
      <c r="C2216" s="80">
        <v>7553622</v>
      </c>
      <c r="D2216" s="83">
        <v>6.5251685070988108E-2</v>
      </c>
      <c r="E2216" s="82"/>
    </row>
    <row r="2217" spans="1:5" ht="14.4">
      <c r="A2217" s="68">
        <v>41331</v>
      </c>
      <c r="B2217" s="65">
        <v>34.865000000000002</v>
      </c>
      <c r="C2217" s="80">
        <v>1866903</v>
      </c>
      <c r="D2217" s="83">
        <v>-1.8992684299380946E-2</v>
      </c>
      <c r="E2217" s="82"/>
    </row>
    <row r="2218" spans="1:5" ht="14.4">
      <c r="A2218" s="68">
        <v>41330</v>
      </c>
      <c r="B2218" s="65">
        <v>35.54</v>
      </c>
      <c r="C2218" s="80">
        <v>1311746</v>
      </c>
      <c r="D2218" s="83">
        <v>-9.7520200612984942E-3</v>
      </c>
      <c r="E2218" s="82"/>
    </row>
    <row r="2219" spans="1:5" ht="14.4">
      <c r="A2219" s="68">
        <v>41327</v>
      </c>
      <c r="B2219" s="65">
        <v>35.89</v>
      </c>
      <c r="C2219" s="80">
        <v>1835389</v>
      </c>
      <c r="D2219" s="83">
        <v>1.6713881019830179E-2</v>
      </c>
      <c r="E2219" s="82"/>
    </row>
    <row r="2220" spans="1:5" ht="14.4">
      <c r="A2220" s="68">
        <v>41326</v>
      </c>
      <c r="B2220" s="65">
        <v>35.299999999999997</v>
      </c>
      <c r="C2220" s="80">
        <v>1539162</v>
      </c>
      <c r="D2220" s="83">
        <v>-2.6206896551724257E-2</v>
      </c>
      <c r="E2220" s="82"/>
    </row>
    <row r="2221" spans="1:5" ht="14.4">
      <c r="A2221" s="68">
        <v>41325</v>
      </c>
      <c r="B2221" s="65">
        <v>36.25</v>
      </c>
      <c r="C2221" s="80">
        <v>2201378</v>
      </c>
      <c r="D2221" s="83">
        <v>1.3702460850111953E-2</v>
      </c>
      <c r="E2221" s="82"/>
    </row>
    <row r="2222" spans="1:5" ht="14.4">
      <c r="A2222" s="68">
        <v>41324</v>
      </c>
      <c r="B2222" s="65">
        <v>35.76</v>
      </c>
      <c r="C2222" s="80">
        <v>1539428</v>
      </c>
      <c r="D2222" s="83">
        <v>1.5909090909090873E-2</v>
      </c>
      <c r="E2222" s="82"/>
    </row>
    <row r="2223" spans="1:5" ht="14.4">
      <c r="A2223" s="68">
        <v>41323</v>
      </c>
      <c r="B2223" s="65">
        <v>35.200000000000003</v>
      </c>
      <c r="C2223" s="80">
        <v>1022608</v>
      </c>
      <c r="D2223" s="83">
        <v>8.740507235993622E-3</v>
      </c>
      <c r="E2223" s="82"/>
    </row>
    <row r="2224" spans="1:5" ht="14.4">
      <c r="A2224" s="68">
        <v>41320</v>
      </c>
      <c r="B2224" s="65">
        <v>34.895000000000003</v>
      </c>
      <c r="C2224" s="80">
        <v>1513167</v>
      </c>
      <c r="D2224" s="83">
        <v>2.8665615594114513E-4</v>
      </c>
      <c r="E2224" s="82"/>
    </row>
    <row r="2225" spans="1:5" ht="14.4">
      <c r="A2225" s="68">
        <v>41319</v>
      </c>
      <c r="B2225" s="65">
        <v>34.884999999999998</v>
      </c>
      <c r="C2225" s="80">
        <v>1219593</v>
      </c>
      <c r="D2225" s="83">
        <v>-8.2444918265813794E-3</v>
      </c>
      <c r="E2225" s="82"/>
    </row>
    <row r="2226" spans="1:5" ht="14.4">
      <c r="A2226" s="68">
        <v>41318</v>
      </c>
      <c r="B2226" s="65">
        <v>35.174999999999997</v>
      </c>
      <c r="C2226" s="80">
        <v>1091348</v>
      </c>
      <c r="D2226" s="83">
        <v>5.8621675722045907E-3</v>
      </c>
      <c r="E2226" s="82"/>
    </row>
    <row r="2227" spans="1:5" ht="14.4">
      <c r="A2227" s="68">
        <v>41317</v>
      </c>
      <c r="B2227" s="65">
        <v>34.97</v>
      </c>
      <c r="C2227" s="80">
        <v>1232483</v>
      </c>
      <c r="D2227" s="83">
        <v>5.8967352222061287E-3</v>
      </c>
      <c r="E2227" s="82"/>
    </row>
    <row r="2228" spans="1:5" ht="14.4">
      <c r="A2228" s="68">
        <v>41316</v>
      </c>
      <c r="B2228" s="65">
        <v>34.765000000000001</v>
      </c>
      <c r="C2228" s="80">
        <v>1292085</v>
      </c>
      <c r="D2228" s="83">
        <v>-7.98972749322302E-3</v>
      </c>
      <c r="E2228" s="82"/>
    </row>
    <row r="2229" spans="1:5" ht="14.4">
      <c r="A2229" s="68">
        <v>41313</v>
      </c>
      <c r="B2229" s="65">
        <v>35.045000000000002</v>
      </c>
      <c r="C2229" s="80">
        <v>1066617</v>
      </c>
      <c r="D2229" s="83">
        <v>-7.3643959779067236E-3</v>
      </c>
      <c r="E2229" s="82"/>
    </row>
    <row r="2230" spans="1:5" ht="14.4">
      <c r="A2230" s="68">
        <v>41312</v>
      </c>
      <c r="B2230" s="65">
        <v>35.305</v>
      </c>
      <c r="C2230" s="80">
        <v>1642660</v>
      </c>
      <c r="D2230" s="83">
        <v>1.378320172290004E-2</v>
      </c>
      <c r="E2230" s="82"/>
    </row>
    <row r="2231" spans="1:5" ht="14.4">
      <c r="A2231" s="68">
        <v>41311</v>
      </c>
      <c r="B2231" s="65">
        <v>34.825000000000003</v>
      </c>
      <c r="C2231" s="80">
        <v>1772348</v>
      </c>
      <c r="D2231" s="83">
        <v>-3.1487047373693899E-3</v>
      </c>
      <c r="E2231" s="82"/>
    </row>
    <row r="2232" spans="1:5" ht="14.4">
      <c r="A2232" s="68">
        <v>41310</v>
      </c>
      <c r="B2232" s="65">
        <v>34.935000000000002</v>
      </c>
      <c r="C2232" s="80">
        <v>1378391</v>
      </c>
      <c r="D2232" s="83">
        <v>3.3026995979323903E-3</v>
      </c>
      <c r="E2232" s="82"/>
    </row>
    <row r="2233" spans="1:5" ht="14.4">
      <c r="A2233" s="68">
        <v>41309</v>
      </c>
      <c r="B2233" s="65">
        <v>34.82</v>
      </c>
      <c r="C2233" s="80">
        <v>1943529</v>
      </c>
      <c r="D2233" s="83">
        <v>-1.0514350667803263E-2</v>
      </c>
      <c r="E2233" s="82"/>
    </row>
    <row r="2234" spans="1:5" ht="14.4">
      <c r="A2234" s="68">
        <v>41306</v>
      </c>
      <c r="B2234" s="65">
        <v>35.19</v>
      </c>
      <c r="C2234" s="80">
        <v>2579467</v>
      </c>
      <c r="D2234" s="83">
        <v>1.6905071521456483E-2</v>
      </c>
      <c r="E2234" s="82"/>
    </row>
    <row r="2235" spans="1:5" ht="14.4">
      <c r="A2235" s="68">
        <v>41305</v>
      </c>
      <c r="B2235" s="65">
        <v>34.604999999999997</v>
      </c>
      <c r="C2235" s="80">
        <v>1742410</v>
      </c>
      <c r="D2235" s="83">
        <v>6.2518173887757822E-3</v>
      </c>
      <c r="E2235" s="82"/>
    </row>
    <row r="2236" spans="1:5" ht="14.4">
      <c r="A2236" s="68">
        <v>41304</v>
      </c>
      <c r="B2236" s="65">
        <v>34.39</v>
      </c>
      <c r="C2236" s="80">
        <v>3019976</v>
      </c>
      <c r="D2236" s="83">
        <v>-2.5779036827195401E-2</v>
      </c>
      <c r="E2236" s="82"/>
    </row>
    <row r="2237" spans="1:5" ht="14.4">
      <c r="A2237" s="68">
        <v>41303</v>
      </c>
      <c r="B2237" s="65">
        <v>35.299999999999997</v>
      </c>
      <c r="C2237" s="80">
        <v>1910214</v>
      </c>
      <c r="D2237" s="83">
        <v>-1.2172939694977014E-2</v>
      </c>
      <c r="E2237" s="82"/>
    </row>
    <row r="2238" spans="1:5" ht="14.4">
      <c r="A2238" s="68">
        <v>41302</v>
      </c>
      <c r="B2238" s="65">
        <v>35.734999999999999</v>
      </c>
      <c r="C2238" s="80">
        <v>3566623</v>
      </c>
      <c r="D2238" s="83">
        <v>2.7310622394710382E-2</v>
      </c>
      <c r="E2238" s="82"/>
    </row>
    <row r="2239" spans="1:5" ht="14.4">
      <c r="A2239" s="68">
        <v>41299</v>
      </c>
      <c r="B2239" s="65">
        <v>34.784999999999997</v>
      </c>
      <c r="C2239" s="80">
        <v>1704842</v>
      </c>
      <c r="D2239" s="83">
        <v>2.8830906732015826E-3</v>
      </c>
      <c r="E2239" s="82"/>
    </row>
    <row r="2240" spans="1:5" ht="14.4">
      <c r="A2240" s="68">
        <v>41298</v>
      </c>
      <c r="B2240" s="65">
        <v>34.685000000000002</v>
      </c>
      <c r="C2240" s="80">
        <v>1724079</v>
      </c>
      <c r="D2240" s="83">
        <v>-2.0140986908359082E-3</v>
      </c>
      <c r="E2240" s="82"/>
    </row>
    <row r="2241" spans="1:7" ht="14.4">
      <c r="A2241" s="68">
        <v>41297</v>
      </c>
      <c r="B2241" s="65">
        <v>34.755000000000003</v>
      </c>
      <c r="C2241" s="80">
        <v>2057351</v>
      </c>
      <c r="D2241" s="83">
        <v>-6.9999999999998952E-3</v>
      </c>
      <c r="E2241" s="82"/>
    </row>
    <row r="2242" spans="1:7" ht="14.4">
      <c r="A2242" s="68">
        <v>41296</v>
      </c>
      <c r="B2242" s="65">
        <v>35</v>
      </c>
      <c r="C2242" s="80">
        <v>3005038</v>
      </c>
      <c r="D2242" s="83">
        <v>2.011075488195857E-2</v>
      </c>
      <c r="E2242" s="82"/>
    </row>
    <row r="2243" spans="1:7" ht="14.4">
      <c r="A2243" s="68">
        <v>41295</v>
      </c>
      <c r="B2243" s="65">
        <v>34.31</v>
      </c>
      <c r="C2243" s="80">
        <v>2416236</v>
      </c>
      <c r="D2243" s="83">
        <v>-8.3815028901733646E-3</v>
      </c>
      <c r="E2243" s="82"/>
    </row>
    <row r="2244" spans="1:7" ht="14.4">
      <c r="A2244" s="68">
        <v>41292</v>
      </c>
      <c r="B2244" s="65">
        <v>34.6</v>
      </c>
      <c r="C2244" s="80">
        <v>5299720</v>
      </c>
      <c r="D2244" s="83">
        <v>2.6706231454005858E-2</v>
      </c>
      <c r="E2244" s="82"/>
    </row>
    <row r="2245" spans="1:7" ht="14.4">
      <c r="A2245" s="68">
        <v>41291</v>
      </c>
      <c r="B2245" s="65">
        <v>33.700000000000003</v>
      </c>
      <c r="C2245" s="80">
        <v>4084908</v>
      </c>
      <c r="D2245" s="83">
        <v>3.9001079081239398E-2</v>
      </c>
      <c r="E2245" s="82"/>
    </row>
    <row r="2246" spans="1:7" ht="14.4">
      <c r="A2246" s="68">
        <v>41290</v>
      </c>
      <c r="B2246" s="65">
        <v>32.435000000000002</v>
      </c>
      <c r="C2246" s="80">
        <v>2511592</v>
      </c>
      <c r="D2246" s="83">
        <v>9.0216207808369031E-3</v>
      </c>
      <c r="E2246" s="62"/>
      <c r="F2246" s="62"/>
      <c r="G2246" s="62"/>
    </row>
    <row r="2247" spans="1:7" ht="14.4">
      <c r="A2247" s="68">
        <v>41289</v>
      </c>
      <c r="B2247" s="65">
        <v>32.145000000000003</v>
      </c>
      <c r="C2247" s="80">
        <v>1452018</v>
      </c>
      <c r="D2247" s="83">
        <v>-1.5552099533422403E-4</v>
      </c>
      <c r="E2247" s="62"/>
      <c r="F2247" s="62"/>
      <c r="G2247" s="62"/>
    </row>
    <row r="2248" spans="1:7" ht="14.4">
      <c r="A2248" s="68">
        <v>41288</v>
      </c>
      <c r="B2248" s="65">
        <v>32.15</v>
      </c>
      <c r="C2248" s="80">
        <v>1102963</v>
      </c>
      <c r="D2248" s="83">
        <v>-4.4898591113176067E-3</v>
      </c>
      <c r="E2248" s="62"/>
      <c r="F2248" s="62"/>
      <c r="G2248" s="62"/>
    </row>
    <row r="2249" spans="1:7" ht="14.4">
      <c r="A2249" s="68">
        <v>41285</v>
      </c>
      <c r="B2249" s="65">
        <v>32.295000000000002</v>
      </c>
      <c r="C2249" s="80">
        <v>1641004</v>
      </c>
      <c r="D2249" s="83">
        <v>7.9588014981273325E-3</v>
      </c>
      <c r="E2249" s="62"/>
      <c r="F2249" s="62"/>
      <c r="G2249" s="62"/>
    </row>
    <row r="2250" spans="1:7" ht="14.4">
      <c r="A2250" s="68">
        <v>41284</v>
      </c>
      <c r="B2250" s="65">
        <v>32.04</v>
      </c>
      <c r="C2250" s="80">
        <v>2723918</v>
      </c>
      <c r="D2250" s="83">
        <v>-2.6459143968872167E-3</v>
      </c>
      <c r="E2250" s="62"/>
      <c r="F2250" s="62"/>
      <c r="G2250" s="62"/>
    </row>
    <row r="2251" spans="1:7" ht="14.4">
      <c r="A2251" s="68">
        <v>41283</v>
      </c>
      <c r="B2251" s="65">
        <v>32.125</v>
      </c>
      <c r="C2251" s="80">
        <v>3593140</v>
      </c>
      <c r="D2251" s="83">
        <v>3.8803556992724308E-2</v>
      </c>
      <c r="E2251" s="62"/>
      <c r="F2251" s="62"/>
      <c r="G2251" s="62"/>
    </row>
    <row r="2252" spans="1:7" ht="14.4">
      <c r="A2252" s="68">
        <v>41282</v>
      </c>
      <c r="B2252" s="65">
        <v>30.925000000000001</v>
      </c>
      <c r="C2252" s="80">
        <v>1911342</v>
      </c>
      <c r="D2252" s="83">
        <v>5.6910569105690367E-3</v>
      </c>
      <c r="E2252" s="62"/>
      <c r="F2252" s="62"/>
      <c r="G2252" s="62"/>
    </row>
    <row r="2253" spans="1:7" ht="14.4">
      <c r="A2253" s="68">
        <v>41281</v>
      </c>
      <c r="B2253" s="65">
        <v>30.75</v>
      </c>
      <c r="C2253" s="80">
        <v>1370626</v>
      </c>
      <c r="D2253" s="83">
        <v>-1.6233766233766378E-3</v>
      </c>
      <c r="E2253" s="62"/>
      <c r="F2253" s="62"/>
      <c r="G2253" s="62"/>
    </row>
    <row r="2254" spans="1:7" ht="14.4">
      <c r="A2254" s="68">
        <v>41278</v>
      </c>
      <c r="B2254" s="65">
        <v>30.8</v>
      </c>
      <c r="C2254" s="80">
        <v>1547823</v>
      </c>
      <c r="D2254" s="83">
        <v>1.9867549668874274E-2</v>
      </c>
      <c r="E2254" s="62"/>
      <c r="F2254" s="62"/>
      <c r="G2254" s="62"/>
    </row>
    <row r="2255" spans="1:7" ht="14.4">
      <c r="A2255" s="68">
        <v>41277</v>
      </c>
      <c r="B2255" s="65">
        <v>30.2</v>
      </c>
      <c r="C2255" s="80">
        <v>802652</v>
      </c>
      <c r="D2255" s="83">
        <v>4.4902710793279788E-3</v>
      </c>
      <c r="E2255" s="62"/>
      <c r="F2255" s="62"/>
      <c r="G2255" s="62"/>
    </row>
    <row r="2256" spans="1:7" ht="14.4">
      <c r="A2256" s="68">
        <v>41276</v>
      </c>
      <c r="B2256" s="65">
        <v>30.065000000000001</v>
      </c>
      <c r="C2256" s="80">
        <v>1526764</v>
      </c>
      <c r="D2256" s="83">
        <v>1.9152542372881332E-2</v>
      </c>
      <c r="E2256" s="62"/>
      <c r="F2256" s="62"/>
      <c r="G2256" s="62"/>
    </row>
    <row r="2257" spans="1:7" ht="14.4">
      <c r="A2257" s="71">
        <v>41274</v>
      </c>
      <c r="B2257" s="72">
        <v>29.5</v>
      </c>
      <c r="C2257" s="81">
        <v>474607</v>
      </c>
      <c r="D2257" s="84">
        <v>3.572036060554451E-3</v>
      </c>
      <c r="E2257" s="74"/>
      <c r="F2257" s="74"/>
      <c r="G2257" s="73" t="e">
        <v>#REF!</v>
      </c>
    </row>
    <row r="2258" spans="1:7" ht="14.4">
      <c r="A2258" s="68">
        <v>41271</v>
      </c>
      <c r="B2258" s="65">
        <v>29.395</v>
      </c>
      <c r="C2258" s="80">
        <v>836694</v>
      </c>
      <c r="D2258" s="83">
        <v>-8.098532141049497E-3</v>
      </c>
      <c r="E2258" s="62"/>
      <c r="F2258" s="62"/>
      <c r="G2258" s="62"/>
    </row>
    <row r="2259" spans="1:7" ht="14.4">
      <c r="A2259" s="68">
        <v>41270</v>
      </c>
      <c r="B2259" s="65">
        <v>29.635000000000002</v>
      </c>
      <c r="C2259" s="80">
        <v>836124</v>
      </c>
      <c r="D2259" s="83">
        <v>-4.2002688172042557E-3</v>
      </c>
      <c r="E2259" s="62"/>
      <c r="F2259" s="62"/>
      <c r="G2259" s="62"/>
    </row>
    <row r="2260" spans="1:7" ht="14.4">
      <c r="A2260" s="68">
        <v>41267</v>
      </c>
      <c r="B2260" s="65">
        <v>29.76</v>
      </c>
      <c r="C2260" s="80">
        <v>708557</v>
      </c>
      <c r="D2260" s="83">
        <v>-7.8346391065177157E-3</v>
      </c>
      <c r="E2260" s="62"/>
      <c r="F2260" s="62"/>
      <c r="G2260" s="62"/>
    </row>
    <row r="2261" spans="1:7" ht="14.4">
      <c r="A2261" s="68">
        <v>41264</v>
      </c>
      <c r="B2261" s="65">
        <v>29.995000000000001</v>
      </c>
      <c r="C2261" s="80">
        <v>2355747</v>
      </c>
      <c r="D2261" s="83">
        <v>4.1848008034817141E-3</v>
      </c>
      <c r="E2261" s="62"/>
      <c r="F2261" s="62"/>
      <c r="G2261" s="62"/>
    </row>
    <row r="2262" spans="1:7" ht="14.4">
      <c r="A2262" s="68">
        <v>41263</v>
      </c>
      <c r="B2262" s="65">
        <v>29.87</v>
      </c>
      <c r="C2262" s="80">
        <v>1385987</v>
      </c>
      <c r="D2262" s="83">
        <v>-4.3333333333333002E-3</v>
      </c>
      <c r="E2262" s="82"/>
    </row>
    <row r="2263" spans="1:7" ht="14.4">
      <c r="A2263" s="68">
        <v>41262</v>
      </c>
      <c r="B2263" s="65">
        <v>30</v>
      </c>
      <c r="C2263" s="80">
        <v>1544053</v>
      </c>
      <c r="D2263" s="83">
        <v>4.5203415369161615E-3</v>
      </c>
      <c r="E2263" s="82"/>
    </row>
    <row r="2264" spans="1:7" ht="14.4">
      <c r="A2264" s="68">
        <v>41261</v>
      </c>
      <c r="B2264" s="65">
        <v>29.864999999999998</v>
      </c>
      <c r="C2264" s="80">
        <v>2409190</v>
      </c>
      <c r="D2264" s="83">
        <v>2.5936104431466767E-2</v>
      </c>
      <c r="E2264" s="82"/>
    </row>
    <row r="2265" spans="1:7" ht="14.4">
      <c r="A2265" s="68">
        <v>41260</v>
      </c>
      <c r="B2265" s="65">
        <v>29.11</v>
      </c>
      <c r="C2265" s="80">
        <v>1485552</v>
      </c>
      <c r="D2265" s="83">
        <v>6.5698478561548868E-3</v>
      </c>
      <c r="E2265" s="82"/>
    </row>
    <row r="2266" spans="1:7" ht="14.4">
      <c r="A2266" s="68">
        <v>41257</v>
      </c>
      <c r="B2266" s="65">
        <v>28.92</v>
      </c>
      <c r="C2266" s="80">
        <v>1941252</v>
      </c>
      <c r="D2266" s="83">
        <v>-1.0943912448700299E-2</v>
      </c>
      <c r="E2266" s="82"/>
    </row>
    <row r="2267" spans="1:7" ht="14.4">
      <c r="A2267" s="68">
        <v>41256</v>
      </c>
      <c r="B2267" s="65">
        <v>29.24</v>
      </c>
      <c r="C2267" s="80">
        <v>1582285</v>
      </c>
      <c r="D2267" s="83">
        <v>-5.7803468208093012E-3</v>
      </c>
      <c r="E2267" s="82"/>
    </row>
    <row r="2268" spans="1:7" ht="14.4">
      <c r="A2268" s="68">
        <v>41255</v>
      </c>
      <c r="B2268" s="65">
        <v>29.41</v>
      </c>
      <c r="C2268" s="80">
        <v>1434592</v>
      </c>
      <c r="D2268" s="83">
        <v>1.5324365741529178E-3</v>
      </c>
      <c r="E2268" s="82"/>
    </row>
    <row r="2269" spans="1:7" ht="14.4">
      <c r="A2269" s="68">
        <v>41254</v>
      </c>
      <c r="B2269" s="65">
        <v>29.364999999999998</v>
      </c>
      <c r="C2269" s="80">
        <v>1484050</v>
      </c>
      <c r="D2269" s="83">
        <v>-9.946055293324374E-3</v>
      </c>
      <c r="E2269" s="82"/>
    </row>
    <row r="2270" spans="1:7" ht="14.4">
      <c r="A2270" s="68">
        <v>41253</v>
      </c>
      <c r="B2270" s="65">
        <v>29.66</v>
      </c>
      <c r="C2270" s="80">
        <v>1920581</v>
      </c>
      <c r="D2270" s="83">
        <v>-4.530961570733405E-3</v>
      </c>
      <c r="E2270" s="82"/>
    </row>
    <row r="2271" spans="1:7" ht="14.4">
      <c r="A2271" s="68">
        <v>41250</v>
      </c>
      <c r="B2271" s="65">
        <v>29.795000000000002</v>
      </c>
      <c r="C2271" s="80">
        <v>2356640</v>
      </c>
      <c r="D2271" s="83">
        <v>1.3435374149660007E-2</v>
      </c>
      <c r="E2271" s="82"/>
    </row>
    <row r="2272" spans="1:7" ht="14.4">
      <c r="A2272" s="68">
        <v>41249</v>
      </c>
      <c r="B2272" s="65">
        <v>29.4</v>
      </c>
      <c r="C2272" s="80">
        <v>10615604</v>
      </c>
      <c r="D2272" s="83">
        <v>7.9691516709511578E-2</v>
      </c>
      <c r="E2272" s="82"/>
    </row>
    <row r="2273" spans="1:5" ht="14.4">
      <c r="A2273" s="68">
        <v>41248</v>
      </c>
      <c r="B2273" s="65">
        <v>27.23</v>
      </c>
      <c r="C2273" s="80">
        <v>2963112</v>
      </c>
      <c r="D2273" s="83">
        <v>2.4647224835371739E-2</v>
      </c>
      <c r="E2273" s="82"/>
    </row>
    <row r="2274" spans="1:5" ht="14.4">
      <c r="A2274" s="68">
        <v>41247</v>
      </c>
      <c r="B2274" s="65">
        <v>26.574999999999999</v>
      </c>
      <c r="C2274" s="80">
        <v>6876889</v>
      </c>
      <c r="D2274" s="83">
        <v>4.9158631121195562E-3</v>
      </c>
      <c r="E2274" s="82"/>
    </row>
    <row r="2275" spans="1:5" ht="14.4">
      <c r="A2275" s="68">
        <v>41246</v>
      </c>
      <c r="B2275" s="65">
        <v>26.445</v>
      </c>
      <c r="C2275" s="80">
        <v>3592691</v>
      </c>
      <c r="D2275" s="83">
        <v>2.1436848203939762E-2</v>
      </c>
      <c r="E2275" s="82"/>
    </row>
    <row r="2276" spans="1:5" ht="14.4">
      <c r="A2276" s="68">
        <v>41243</v>
      </c>
      <c r="B2276" s="65">
        <v>25.89</v>
      </c>
      <c r="C2276" s="80">
        <v>2891120</v>
      </c>
      <c r="D2276" s="83">
        <v>2.3522435263886088E-2</v>
      </c>
      <c r="E2276" s="82"/>
    </row>
    <row r="2277" spans="1:5" ht="14.4">
      <c r="A2277" s="68">
        <v>41242</v>
      </c>
      <c r="B2277" s="65">
        <v>25.295000000000002</v>
      </c>
      <c r="C2277" s="80">
        <v>1738984</v>
      </c>
      <c r="D2277" s="83">
        <v>1.9754081838339044E-2</v>
      </c>
      <c r="E2277" s="82"/>
    </row>
    <row r="2278" spans="1:5" ht="14.4">
      <c r="A2278" s="68">
        <v>41241</v>
      </c>
      <c r="B2278" s="65">
        <v>24.805</v>
      </c>
      <c r="C2278" s="80">
        <v>2029714</v>
      </c>
      <c r="D2278" s="83">
        <v>1.7223703096165499E-2</v>
      </c>
      <c r="E2278" s="82"/>
    </row>
    <row r="2279" spans="1:5" ht="14.4">
      <c r="A2279" s="68">
        <v>41240</v>
      </c>
      <c r="B2279" s="65">
        <v>24.385000000000002</v>
      </c>
      <c r="C2279" s="80">
        <v>1813388</v>
      </c>
      <c r="D2279" s="83">
        <v>-7.3274984734378323E-3</v>
      </c>
      <c r="E2279" s="82"/>
    </row>
    <row r="2280" spans="1:5" ht="14.4">
      <c r="A2280" s="68">
        <v>41239</v>
      </c>
      <c r="B2280" s="65">
        <v>24.565000000000001</v>
      </c>
      <c r="C2280" s="80">
        <v>2143606</v>
      </c>
      <c r="D2280" s="83">
        <v>-1.3255673830086301E-2</v>
      </c>
      <c r="E2280" s="82"/>
    </row>
    <row r="2281" spans="1:5" ht="14.4">
      <c r="A2281" s="68">
        <v>41236</v>
      </c>
      <c r="B2281" s="65">
        <v>24.895</v>
      </c>
      <c r="C2281" s="80">
        <v>3054774</v>
      </c>
      <c r="D2281" s="83">
        <v>-1.3668779714738455E-2</v>
      </c>
      <c r="E2281" s="82"/>
    </row>
    <row r="2282" spans="1:5" ht="14.4">
      <c r="A2282" s="68">
        <v>41235</v>
      </c>
      <c r="B2282" s="65">
        <v>25.24</v>
      </c>
      <c r="C2282" s="80">
        <v>1501963</v>
      </c>
      <c r="D2282" s="83">
        <v>-6.4947844912419672E-3</v>
      </c>
      <c r="E2282" s="82"/>
    </row>
    <row r="2283" spans="1:5" ht="14.4">
      <c r="A2283" s="68">
        <v>41234</v>
      </c>
      <c r="B2283" s="65">
        <v>25.405000000000001</v>
      </c>
      <c r="C2283" s="80">
        <v>1537850</v>
      </c>
      <c r="D2283" s="83">
        <v>-3.1391014322149635E-3</v>
      </c>
      <c r="E2283" s="82"/>
    </row>
    <row r="2284" spans="1:5" ht="14.4">
      <c r="A2284" s="68">
        <v>41233</v>
      </c>
      <c r="B2284" s="65">
        <v>25.484999999999999</v>
      </c>
      <c r="C2284" s="80">
        <v>1606858</v>
      </c>
      <c r="D2284" s="83">
        <v>-3.7138389366692115E-3</v>
      </c>
      <c r="E2284" s="82"/>
    </row>
    <row r="2285" spans="1:5" ht="14.4">
      <c r="A2285" s="68">
        <v>41232</v>
      </c>
      <c r="B2285" s="65">
        <v>25.58</v>
      </c>
      <c r="C2285" s="80">
        <v>1620611</v>
      </c>
      <c r="D2285" s="83">
        <v>1.6289233214143772E-2</v>
      </c>
      <c r="E2285" s="82"/>
    </row>
    <row r="2286" spans="1:5" ht="14.4">
      <c r="A2286" s="68">
        <v>41229</v>
      </c>
      <c r="B2286" s="65">
        <v>25.17</v>
      </c>
      <c r="C2286" s="80">
        <v>2666296</v>
      </c>
      <c r="D2286" s="83">
        <v>3.1885213232363263E-3</v>
      </c>
      <c r="E2286" s="82"/>
    </row>
    <row r="2287" spans="1:5" ht="14.4">
      <c r="A2287" s="68">
        <v>41228</v>
      </c>
      <c r="B2287" s="65">
        <v>25.09</v>
      </c>
      <c r="C2287" s="80">
        <v>3594302</v>
      </c>
      <c r="D2287" s="83">
        <v>-2.940038684719537E-2</v>
      </c>
      <c r="E2287" s="82"/>
    </row>
    <row r="2288" spans="1:5" ht="14.4">
      <c r="A2288" s="68">
        <v>41227</v>
      </c>
      <c r="B2288" s="65">
        <v>25.85</v>
      </c>
      <c r="C2288" s="80">
        <v>2484406</v>
      </c>
      <c r="D2288" s="83">
        <v>-1.2793584113041767E-2</v>
      </c>
      <c r="E2288" s="82"/>
    </row>
    <row r="2289" spans="1:5" ht="14.4">
      <c r="A2289" s="68">
        <v>41226</v>
      </c>
      <c r="B2289" s="65">
        <v>26.184999999999999</v>
      </c>
      <c r="C2289" s="80">
        <v>1688301</v>
      </c>
      <c r="D2289" s="83">
        <v>2.6804518475971317E-3</v>
      </c>
      <c r="E2289" s="82"/>
    </row>
    <row r="2290" spans="1:5" ht="14.4">
      <c r="A2290" s="68">
        <v>41225</v>
      </c>
      <c r="B2290" s="65">
        <v>26.114999999999998</v>
      </c>
      <c r="C2290" s="80">
        <v>1884789</v>
      </c>
      <c r="D2290" s="83">
        <v>-7.7887537993921452E-3</v>
      </c>
      <c r="E2290" s="82"/>
    </row>
    <row r="2291" spans="1:5" ht="14.4">
      <c r="A2291" s="68">
        <v>41222</v>
      </c>
      <c r="B2291" s="65">
        <v>26.32</v>
      </c>
      <c r="C2291" s="80">
        <v>1819978</v>
      </c>
      <c r="D2291" s="83">
        <v>8.4291187739462536E-3</v>
      </c>
      <c r="E2291" s="82"/>
    </row>
    <row r="2292" spans="1:5" ht="14.4">
      <c r="A2292" s="68">
        <v>41221</v>
      </c>
      <c r="B2292" s="65">
        <v>26.1</v>
      </c>
      <c r="C2292" s="80">
        <v>4514272</v>
      </c>
      <c r="D2292" s="83">
        <v>-4.1498347410943826E-2</v>
      </c>
      <c r="E2292" s="82"/>
    </row>
    <row r="2293" spans="1:5" ht="14.4">
      <c r="A2293" s="68">
        <v>41220</v>
      </c>
      <c r="B2293" s="65">
        <v>27.23</v>
      </c>
      <c r="C2293" s="80">
        <v>1680263</v>
      </c>
      <c r="D2293" s="83">
        <v>-7.4722070348094416E-3</v>
      </c>
      <c r="E2293" s="82"/>
    </row>
    <row r="2294" spans="1:5" ht="14.4">
      <c r="A2294" s="68">
        <v>41219</v>
      </c>
      <c r="B2294" s="65">
        <v>27.434999999999999</v>
      </c>
      <c r="C2294" s="80">
        <v>1214056</v>
      </c>
      <c r="D2294" s="83">
        <v>7.8986039676707254E-3</v>
      </c>
      <c r="E2294" s="82"/>
    </row>
    <row r="2295" spans="1:5" ht="14.4">
      <c r="A2295" s="68">
        <v>41218</v>
      </c>
      <c r="B2295" s="65">
        <v>27.22</v>
      </c>
      <c r="C2295" s="80">
        <v>1413378</v>
      </c>
      <c r="D2295" s="83">
        <v>-8.3788706739527097E-3</v>
      </c>
      <c r="E2295" s="82"/>
    </row>
    <row r="2296" spans="1:5" ht="14.4">
      <c r="A2296" s="68">
        <v>41215</v>
      </c>
      <c r="B2296" s="65">
        <v>27.45</v>
      </c>
      <c r="C2296" s="80">
        <v>1595770</v>
      </c>
      <c r="D2296" s="83">
        <v>-1.8181818181818299E-3</v>
      </c>
      <c r="E2296" s="82"/>
    </row>
    <row r="2297" spans="1:5" ht="14.4">
      <c r="A2297" s="68">
        <v>41214</v>
      </c>
      <c r="B2297" s="65">
        <v>27.5</v>
      </c>
      <c r="C2297" s="80">
        <v>1079283</v>
      </c>
      <c r="D2297" s="83">
        <v>3.2834731849689103E-3</v>
      </c>
      <c r="E2297" s="82"/>
    </row>
    <row r="2298" spans="1:5" ht="14.4">
      <c r="A2298" s="68">
        <v>41213</v>
      </c>
      <c r="B2298" s="65">
        <v>27.41</v>
      </c>
      <c r="C2298" s="80">
        <v>1410552</v>
      </c>
      <c r="D2298" s="83">
        <v>1.8244845831039136E-4</v>
      </c>
      <c r="E2298" s="82"/>
    </row>
    <row r="2299" spans="1:5" ht="14.4">
      <c r="A2299" s="68">
        <v>41212</v>
      </c>
      <c r="B2299" s="65">
        <v>27.405000000000001</v>
      </c>
      <c r="C2299" s="80">
        <v>1072198</v>
      </c>
      <c r="D2299" s="83">
        <v>1.0322580645161228E-2</v>
      </c>
      <c r="E2299" s="82"/>
    </row>
    <row r="2300" spans="1:5" ht="14.4">
      <c r="A2300" s="68">
        <v>41211</v>
      </c>
      <c r="B2300" s="65">
        <v>27.125</v>
      </c>
      <c r="C2300" s="80">
        <v>1012611</v>
      </c>
      <c r="D2300" s="83">
        <v>1.8436578171088236E-4</v>
      </c>
      <c r="E2300" s="82"/>
    </row>
    <row r="2301" spans="1:5" ht="14.4">
      <c r="A2301" s="68">
        <v>41208</v>
      </c>
      <c r="B2301" s="65">
        <v>27.12</v>
      </c>
      <c r="C2301" s="80">
        <v>1878758</v>
      </c>
      <c r="D2301" s="83">
        <v>1.4021312394840058E-2</v>
      </c>
      <c r="E2301" s="82"/>
    </row>
    <row r="2302" spans="1:5" ht="14.4">
      <c r="A2302" s="68">
        <v>41207</v>
      </c>
      <c r="B2302" s="65">
        <v>26.745000000000001</v>
      </c>
      <c r="C2302" s="80">
        <v>2344427</v>
      </c>
      <c r="D2302" s="83">
        <v>5.4511278195488178E-3</v>
      </c>
      <c r="E2302" s="82"/>
    </row>
    <row r="2303" spans="1:5" ht="14.4">
      <c r="A2303" s="68">
        <v>41206</v>
      </c>
      <c r="B2303" s="65">
        <v>26.6</v>
      </c>
      <c r="C2303" s="80">
        <v>2440673</v>
      </c>
      <c r="D2303" s="83">
        <v>2.8218013142636167E-2</v>
      </c>
      <c r="E2303" s="82"/>
    </row>
    <row r="2304" spans="1:5" ht="14.4">
      <c r="A2304" s="68">
        <v>41205</v>
      </c>
      <c r="B2304" s="65">
        <v>25.87</v>
      </c>
      <c r="C2304" s="80">
        <v>2878980</v>
      </c>
      <c r="D2304" s="83">
        <v>-2.5795518734701539E-2</v>
      </c>
      <c r="E2304" s="82"/>
    </row>
    <row r="2305" spans="1:5" ht="14.4">
      <c r="A2305" s="68">
        <v>41204</v>
      </c>
      <c r="B2305" s="65">
        <v>26.555</v>
      </c>
      <c r="C2305" s="80">
        <v>1925549</v>
      </c>
      <c r="D2305" s="83">
        <v>-8.9568949430864908E-3</v>
      </c>
      <c r="E2305" s="82"/>
    </row>
    <row r="2306" spans="1:5" ht="14.4">
      <c r="A2306" s="68">
        <v>41201</v>
      </c>
      <c r="B2306" s="65">
        <v>26.795000000000002</v>
      </c>
      <c r="C2306" s="80">
        <v>4419862</v>
      </c>
      <c r="D2306" s="83">
        <v>-7.4087794035931909E-3</v>
      </c>
      <c r="E2306" s="82"/>
    </row>
    <row r="2307" spans="1:5" ht="14.4">
      <c r="A2307" s="68">
        <v>41200</v>
      </c>
      <c r="B2307" s="65">
        <v>26.995000000000001</v>
      </c>
      <c r="C2307" s="80">
        <v>2010898</v>
      </c>
      <c r="D2307" s="83">
        <v>-1.8518518518517713E-4</v>
      </c>
      <c r="E2307" s="82"/>
    </row>
    <row r="2308" spans="1:5" ht="14.4">
      <c r="A2308" s="68">
        <v>41199</v>
      </c>
      <c r="B2308" s="65">
        <v>27</v>
      </c>
      <c r="C2308" s="80">
        <v>1843135</v>
      </c>
      <c r="D2308" s="83">
        <v>1.3133208255159623E-2</v>
      </c>
      <c r="E2308" s="82"/>
    </row>
    <row r="2309" spans="1:5" ht="14.4">
      <c r="A2309" s="68">
        <v>41198</v>
      </c>
      <c r="B2309" s="65">
        <v>26.65</v>
      </c>
      <c r="C2309" s="80">
        <v>1791519</v>
      </c>
      <c r="D2309" s="83">
        <v>5.6316876290574136E-4</v>
      </c>
      <c r="E2309" s="82"/>
    </row>
    <row r="2310" spans="1:5" ht="14.4">
      <c r="A2310" s="68">
        <v>41197</v>
      </c>
      <c r="B2310" s="65">
        <v>26.635000000000002</v>
      </c>
      <c r="C2310" s="80">
        <v>2203563</v>
      </c>
      <c r="D2310" s="83">
        <v>1.1199696279422966E-2</v>
      </c>
      <c r="E2310" s="82"/>
    </row>
    <row r="2311" spans="1:5" ht="14.4">
      <c r="A2311" s="68">
        <v>41194</v>
      </c>
      <c r="B2311" s="65">
        <v>26.34</v>
      </c>
      <c r="C2311" s="80">
        <v>2764228</v>
      </c>
      <c r="D2311" s="83">
        <v>-3.0726770929162872E-2</v>
      </c>
      <c r="E2311" s="82"/>
    </row>
    <row r="2312" spans="1:5" ht="14.4">
      <c r="A2312" s="68">
        <v>41193</v>
      </c>
      <c r="B2312" s="65">
        <v>27.175000000000001</v>
      </c>
      <c r="C2312" s="80">
        <v>5326473</v>
      </c>
      <c r="D2312" s="83">
        <v>-1.1098981077147019E-2</v>
      </c>
      <c r="E2312" s="82"/>
    </row>
    <row r="2313" spans="1:5" ht="14.4">
      <c r="A2313" s="68">
        <v>41192</v>
      </c>
      <c r="B2313" s="65">
        <v>27.48</v>
      </c>
      <c r="C2313" s="80">
        <v>19152430</v>
      </c>
      <c r="D2313" s="83">
        <v>5.2873563218390762E-2</v>
      </c>
      <c r="E2313" s="82"/>
    </row>
    <row r="2314" spans="1:5" ht="14.4">
      <c r="A2314" s="68">
        <v>41191</v>
      </c>
      <c r="B2314" s="65">
        <v>26.1</v>
      </c>
      <c r="C2314" s="80">
        <v>4158458</v>
      </c>
      <c r="D2314" s="83">
        <v>-5.7142857142856718E-3</v>
      </c>
      <c r="E2314" s="82"/>
    </row>
    <row r="2315" spans="1:5" ht="14.4">
      <c r="A2315" s="68">
        <v>41190</v>
      </c>
      <c r="B2315" s="65">
        <v>26.25</v>
      </c>
      <c r="C2315" s="80">
        <v>2992636</v>
      </c>
      <c r="D2315" s="83">
        <v>-8.6858006042296321E-3</v>
      </c>
      <c r="E2315" s="82"/>
    </row>
    <row r="2316" spans="1:5" ht="14.4">
      <c r="A2316" s="68">
        <v>41187</v>
      </c>
      <c r="B2316" s="65">
        <v>26.48</v>
      </c>
      <c r="C2316" s="80">
        <v>6541314</v>
      </c>
      <c r="D2316" s="83">
        <v>2.2393822393822482E-2</v>
      </c>
      <c r="E2316" s="82"/>
    </row>
    <row r="2317" spans="1:5" ht="14.4">
      <c r="A2317" s="68">
        <v>41186</v>
      </c>
      <c r="B2317" s="65">
        <v>25.9</v>
      </c>
      <c r="C2317" s="80">
        <v>2376598</v>
      </c>
      <c r="D2317" s="83">
        <v>1.0534529847834539E-2</v>
      </c>
      <c r="E2317" s="82"/>
    </row>
    <row r="2318" spans="1:5" ht="14.4">
      <c r="A2318" s="68">
        <v>41185</v>
      </c>
      <c r="B2318" s="65">
        <v>25.63</v>
      </c>
      <c r="C2318" s="80">
        <v>1924271</v>
      </c>
      <c r="D2318" s="83">
        <v>2.5425386270290229E-3</v>
      </c>
      <c r="E2318" s="82"/>
    </row>
    <row r="2319" spans="1:5" ht="14.4">
      <c r="A2319" s="68">
        <v>41184</v>
      </c>
      <c r="B2319" s="65">
        <v>25.565000000000001</v>
      </c>
      <c r="C2319" s="80">
        <v>3360149</v>
      </c>
      <c r="D2319" s="83">
        <v>2.6088701585390339E-2</v>
      </c>
      <c r="E2319" s="82"/>
    </row>
    <row r="2320" spans="1:5" ht="14.4">
      <c r="A2320" s="68">
        <v>41183</v>
      </c>
      <c r="B2320" s="65">
        <v>24.914999999999999</v>
      </c>
      <c r="C2320" s="80">
        <v>2849674</v>
      </c>
      <c r="D2320" s="83">
        <v>1.0135819987836969E-2</v>
      </c>
      <c r="E2320" s="82"/>
    </row>
    <row r="2321" spans="1:5" ht="14.4">
      <c r="A2321" s="68">
        <v>41180</v>
      </c>
      <c r="B2321" s="65">
        <v>24.664999999999999</v>
      </c>
      <c r="C2321" s="80">
        <v>1990271</v>
      </c>
      <c r="D2321" s="83">
        <v>-7.4446680080483274E-3</v>
      </c>
      <c r="E2321" s="82"/>
    </row>
    <row r="2322" spans="1:5" ht="14.4">
      <c r="A2322" s="68">
        <v>41179</v>
      </c>
      <c r="B2322" s="65">
        <v>24.85</v>
      </c>
      <c r="C2322" s="80">
        <v>1703364</v>
      </c>
      <c r="D2322" s="83">
        <v>1.6359918200409052E-2</v>
      </c>
      <c r="E2322" s="82"/>
    </row>
    <row r="2323" spans="1:5" ht="14.4">
      <c r="A2323" s="68">
        <v>41178</v>
      </c>
      <c r="B2323" s="65">
        <v>24.45</v>
      </c>
      <c r="C2323" s="80">
        <v>4327970</v>
      </c>
      <c r="D2323" s="83">
        <v>-2.956935899980162E-2</v>
      </c>
      <c r="E2323" s="82"/>
    </row>
    <row r="2324" spans="1:5" ht="14.4">
      <c r="A2324" s="68">
        <v>41177</v>
      </c>
      <c r="B2324" s="65">
        <v>25.195</v>
      </c>
      <c r="C2324" s="80">
        <v>3487438</v>
      </c>
      <c r="D2324" s="83">
        <v>7.8000000000000291E-3</v>
      </c>
      <c r="E2324" s="82"/>
    </row>
    <row r="2325" spans="1:5" ht="14.4">
      <c r="A2325" s="68">
        <v>41176</v>
      </c>
      <c r="B2325" s="65">
        <v>25</v>
      </c>
      <c r="C2325" s="80">
        <v>4519115</v>
      </c>
      <c r="D2325" s="83">
        <v>-2.7237354085603127E-2</v>
      </c>
      <c r="E2325" s="82"/>
    </row>
    <row r="2326" spans="1:5" ht="14.4">
      <c r="A2326" s="68">
        <v>41173</v>
      </c>
      <c r="B2326" s="65">
        <v>25.7</v>
      </c>
      <c r="C2326" s="80">
        <v>3285721</v>
      </c>
      <c r="D2326" s="83">
        <v>-9.0611143242721459E-3</v>
      </c>
      <c r="E2326" s="82"/>
    </row>
    <row r="2327" spans="1:5" ht="14.4">
      <c r="A2327" s="68">
        <v>41172</v>
      </c>
      <c r="B2327" s="65">
        <v>25.934999999999999</v>
      </c>
      <c r="C2327" s="80">
        <v>3317559</v>
      </c>
      <c r="D2327" s="83">
        <v>1.1702750146284302E-2</v>
      </c>
      <c r="E2327" s="82"/>
    </row>
    <row r="2328" spans="1:5" ht="14.4">
      <c r="A2328" s="68">
        <v>41171</v>
      </c>
      <c r="B2328" s="65">
        <v>25.635000000000002</v>
      </c>
      <c r="C2328" s="80">
        <v>2293483</v>
      </c>
      <c r="D2328" s="83">
        <v>-4.0792540792539134E-3</v>
      </c>
      <c r="E2328" s="82"/>
    </row>
    <row r="2329" spans="1:5" ht="14.4">
      <c r="A2329" s="68">
        <v>41170</v>
      </c>
      <c r="B2329" s="65">
        <v>25.74</v>
      </c>
      <c r="C2329" s="80">
        <v>3073697</v>
      </c>
      <c r="D2329" s="83">
        <v>1.5564202334630295E-3</v>
      </c>
      <c r="E2329" s="82"/>
    </row>
    <row r="2330" spans="1:5" ht="14.4">
      <c r="A2330" s="68">
        <v>41169</v>
      </c>
      <c r="B2330" s="65">
        <v>25.7</v>
      </c>
      <c r="C2330" s="80">
        <v>4093406</v>
      </c>
      <c r="D2330" s="83">
        <v>1.5609563327405596E-2</v>
      </c>
      <c r="E2330" s="82"/>
    </row>
    <row r="2331" spans="1:5" ht="14.4">
      <c r="A2331" s="68">
        <v>41166</v>
      </c>
      <c r="B2331" s="65">
        <v>25.305</v>
      </c>
      <c r="C2331" s="80">
        <v>11979139</v>
      </c>
      <c r="D2331" s="83">
        <v>6.3630940544840975E-3</v>
      </c>
      <c r="E2331" s="82"/>
    </row>
    <row r="2332" spans="1:5" ht="14.4">
      <c r="A2332" s="68">
        <v>41165</v>
      </c>
      <c r="B2332" s="65">
        <v>25.145</v>
      </c>
      <c r="C2332" s="80">
        <v>23354746</v>
      </c>
      <c r="D2332" s="83">
        <v>-0.10196428571428573</v>
      </c>
      <c r="E2332" s="82"/>
    </row>
    <row r="2333" spans="1:5" ht="14.4">
      <c r="A2333" s="68">
        <v>41164</v>
      </c>
      <c r="B2333" s="65">
        <v>28</v>
      </c>
      <c r="C2333" s="80">
        <v>6219668</v>
      </c>
      <c r="D2333" s="83">
        <v>-5.6285810583080575E-2</v>
      </c>
      <c r="E2333" s="82"/>
    </row>
    <row r="2334" spans="1:5" ht="14.4">
      <c r="A2334" s="68">
        <v>41163</v>
      </c>
      <c r="B2334" s="65">
        <v>29.67</v>
      </c>
      <c r="C2334" s="80">
        <v>1698203</v>
      </c>
      <c r="D2334" s="83">
        <v>3.72124492557524E-3</v>
      </c>
      <c r="E2334" s="82"/>
    </row>
    <row r="2335" spans="1:5" ht="14.4">
      <c r="A2335" s="68">
        <v>41162</v>
      </c>
      <c r="B2335" s="65">
        <v>29.56</v>
      </c>
      <c r="C2335" s="80">
        <v>1675847</v>
      </c>
      <c r="D2335" s="83">
        <v>-2.2809917355371967E-2</v>
      </c>
      <c r="E2335" s="82"/>
    </row>
    <row r="2336" spans="1:5" ht="14.4">
      <c r="A2336" s="68">
        <v>41159</v>
      </c>
      <c r="B2336" s="65">
        <v>30.25</v>
      </c>
      <c r="C2336" s="80">
        <v>1311653</v>
      </c>
      <c r="D2336" s="83">
        <v>-8.3592853630551911E-3</v>
      </c>
      <c r="E2336" s="82"/>
    </row>
    <row r="2337" spans="1:5" ht="14.4">
      <c r="A2337" s="68">
        <v>41158</v>
      </c>
      <c r="B2337" s="65">
        <v>30.504999999999999</v>
      </c>
      <c r="C2337" s="80">
        <v>1672012</v>
      </c>
      <c r="D2337" s="83">
        <v>1.904125605478546E-2</v>
      </c>
      <c r="E2337" s="82"/>
    </row>
    <row r="2338" spans="1:5" ht="14.4">
      <c r="A2338" s="68">
        <v>41157</v>
      </c>
      <c r="B2338" s="65">
        <v>29.934999999999999</v>
      </c>
      <c r="C2338" s="80">
        <v>1368343</v>
      </c>
      <c r="D2338" s="83">
        <v>-1.667500416875134E-3</v>
      </c>
      <c r="E2338" s="82"/>
    </row>
    <row r="2339" spans="1:5" ht="14.4">
      <c r="A2339" s="68">
        <v>41156</v>
      </c>
      <c r="B2339" s="65">
        <v>29.984999999999999</v>
      </c>
      <c r="C2339" s="80">
        <v>1240531</v>
      </c>
      <c r="D2339" s="83">
        <v>-2.677702044790653E-2</v>
      </c>
      <c r="E2339" s="82"/>
    </row>
    <row r="2340" spans="1:5" ht="14.4">
      <c r="A2340" s="68">
        <v>41155</v>
      </c>
      <c r="B2340" s="65">
        <v>30.81</v>
      </c>
      <c r="C2340" s="80">
        <v>898408</v>
      </c>
      <c r="D2340" s="83">
        <v>1.6160949868073926E-2</v>
      </c>
      <c r="E2340" s="82"/>
    </row>
    <row r="2341" spans="1:5" ht="14.4">
      <c r="A2341" s="68">
        <v>41152</v>
      </c>
      <c r="B2341" s="65">
        <v>30.32</v>
      </c>
      <c r="C2341" s="80">
        <v>1233065</v>
      </c>
      <c r="D2341" s="83">
        <v>4.6388336646785433E-3</v>
      </c>
      <c r="E2341" s="82"/>
    </row>
    <row r="2342" spans="1:5" ht="14.4">
      <c r="A2342" s="68">
        <v>41151</v>
      </c>
      <c r="B2342" s="65">
        <v>30.18</v>
      </c>
      <c r="C2342" s="80">
        <v>985160</v>
      </c>
      <c r="D2342" s="83">
        <v>-5.4374691052891944E-3</v>
      </c>
      <c r="E2342" s="82"/>
    </row>
    <row r="2343" spans="1:5" ht="14.4">
      <c r="A2343" s="68">
        <v>41150</v>
      </c>
      <c r="B2343" s="65">
        <v>30.344999999999999</v>
      </c>
      <c r="C2343" s="80">
        <v>1240852</v>
      </c>
      <c r="D2343" s="83">
        <v>1.9143576826196496E-2</v>
      </c>
      <c r="E2343" s="82"/>
    </row>
    <row r="2344" spans="1:5" ht="14.4">
      <c r="A2344" s="68">
        <v>41149</v>
      </c>
      <c r="B2344" s="65">
        <v>29.774999999999999</v>
      </c>
      <c r="C2344" s="80">
        <v>940900</v>
      </c>
      <c r="D2344" s="83">
        <v>4.8936888288895197E-3</v>
      </c>
      <c r="E2344" s="82"/>
    </row>
    <row r="2345" spans="1:5" ht="14.4">
      <c r="A2345" s="68">
        <v>41148</v>
      </c>
      <c r="B2345" s="65">
        <v>29.63</v>
      </c>
      <c r="C2345" s="80">
        <v>766254</v>
      </c>
      <c r="D2345" s="83">
        <v>1.0135135135134199E-3</v>
      </c>
      <c r="E2345" s="82"/>
    </row>
    <row r="2346" spans="1:5" ht="14.4">
      <c r="A2346" s="68">
        <v>41145</v>
      </c>
      <c r="B2346" s="65">
        <v>29.6</v>
      </c>
      <c r="C2346" s="80">
        <v>1302501</v>
      </c>
      <c r="D2346" s="83">
        <v>-1.0695187165775444E-2</v>
      </c>
      <c r="E2346" s="82"/>
    </row>
    <row r="2347" spans="1:5" ht="14.4">
      <c r="A2347" s="68">
        <v>41144</v>
      </c>
      <c r="B2347" s="65">
        <v>29.92</v>
      </c>
      <c r="C2347" s="80">
        <v>1535981</v>
      </c>
      <c r="D2347" s="83">
        <v>-2.3498694516971286E-2</v>
      </c>
      <c r="E2347" s="82"/>
    </row>
    <row r="2348" spans="1:5" ht="14.4">
      <c r="A2348" s="68">
        <v>41143</v>
      </c>
      <c r="B2348" s="65">
        <v>30.64</v>
      </c>
      <c r="C2348" s="80">
        <v>913533</v>
      </c>
      <c r="D2348" s="83">
        <v>-2.4418036789841668E-3</v>
      </c>
      <c r="E2348" s="82"/>
    </row>
    <row r="2349" spans="1:5" ht="14.4">
      <c r="A2349" s="68">
        <v>41142</v>
      </c>
      <c r="B2349" s="65">
        <v>30.715</v>
      </c>
      <c r="C2349" s="80">
        <v>1137337</v>
      </c>
      <c r="D2349" s="83">
        <v>1.3027704485488067E-2</v>
      </c>
      <c r="E2349" s="82"/>
    </row>
    <row r="2350" spans="1:5" ht="14.4">
      <c r="A2350" s="68">
        <v>41141</v>
      </c>
      <c r="B2350" s="65">
        <v>30.32</v>
      </c>
      <c r="C2350" s="80">
        <v>945435</v>
      </c>
      <c r="D2350" s="83">
        <v>2.314049586776834E-3</v>
      </c>
      <c r="E2350" s="82"/>
    </row>
    <row r="2351" spans="1:5" ht="14.4">
      <c r="A2351" s="68">
        <v>41138</v>
      </c>
      <c r="B2351" s="65">
        <v>30.25</v>
      </c>
      <c r="C2351" s="80">
        <v>1057488</v>
      </c>
      <c r="D2351" s="83">
        <v>4.6496180670874132E-3</v>
      </c>
      <c r="E2351" s="82"/>
    </row>
    <row r="2352" spans="1:5" ht="14.4">
      <c r="A2352" s="68">
        <v>41137</v>
      </c>
      <c r="B2352" s="65">
        <v>30.11</v>
      </c>
      <c r="C2352" s="80">
        <v>877222</v>
      </c>
      <c r="D2352" s="83">
        <v>-9.7023515869101296E-3</v>
      </c>
      <c r="E2352" s="82"/>
    </row>
    <row r="2353" spans="1:5" ht="14.4">
      <c r="A2353" s="68">
        <v>41136</v>
      </c>
      <c r="B2353" s="65">
        <v>30.405000000000001</v>
      </c>
      <c r="C2353" s="80">
        <v>585319</v>
      </c>
      <c r="D2353" s="83">
        <v>4.4598612487611877E-3</v>
      </c>
      <c r="E2353" s="82"/>
    </row>
    <row r="2354" spans="1:5" ht="14.4">
      <c r="A2354" s="68">
        <v>41135</v>
      </c>
      <c r="B2354" s="65">
        <v>30.27</v>
      </c>
      <c r="C2354" s="80">
        <v>1127365</v>
      </c>
      <c r="D2354" s="83">
        <v>-3.1286020088917565E-3</v>
      </c>
      <c r="E2354" s="82"/>
    </row>
    <row r="2355" spans="1:5" ht="14.4">
      <c r="A2355" s="68">
        <v>41134</v>
      </c>
      <c r="B2355" s="65">
        <v>30.364999999999998</v>
      </c>
      <c r="C2355" s="80">
        <v>1010662</v>
      </c>
      <c r="D2355" s="83">
        <v>-1.0750936634631114E-2</v>
      </c>
      <c r="E2355" s="82"/>
    </row>
    <row r="2356" spans="1:5" ht="14.4">
      <c r="A2356" s="68">
        <v>41131</v>
      </c>
      <c r="B2356" s="65">
        <v>30.695</v>
      </c>
      <c r="C2356" s="80">
        <v>845768</v>
      </c>
      <c r="D2356" s="83">
        <v>2.6130981544993936E-3</v>
      </c>
      <c r="E2356" s="82"/>
    </row>
    <row r="2357" spans="1:5" ht="14.4">
      <c r="A2357" s="68">
        <v>41130</v>
      </c>
      <c r="B2357" s="65">
        <v>30.614999999999998</v>
      </c>
      <c r="C2357" s="80">
        <v>951000</v>
      </c>
      <c r="D2357" s="83">
        <v>1.2066115702479285E-2</v>
      </c>
      <c r="E2357" s="82"/>
    </row>
    <row r="2358" spans="1:5" ht="14.4">
      <c r="A2358" s="68">
        <v>41129</v>
      </c>
      <c r="B2358" s="65">
        <v>30.25</v>
      </c>
      <c r="C2358" s="80">
        <v>1134696</v>
      </c>
      <c r="D2358" s="83">
        <v>-1.4657980456026065E-2</v>
      </c>
      <c r="E2358" s="82"/>
    </row>
    <row r="2359" spans="1:5" ht="14.4">
      <c r="A2359" s="68">
        <v>41128</v>
      </c>
      <c r="B2359" s="65">
        <v>30.7</v>
      </c>
      <c r="C2359" s="80">
        <v>1063911</v>
      </c>
      <c r="D2359" s="83">
        <v>-3.2467532467532756E-3</v>
      </c>
      <c r="E2359" s="82"/>
    </row>
    <row r="2360" spans="1:5" ht="14.4">
      <c r="A2360" s="68">
        <v>41127</v>
      </c>
      <c r="B2360" s="65">
        <v>30.8</v>
      </c>
      <c r="C2360" s="80">
        <v>1232425</v>
      </c>
      <c r="D2360" s="83">
        <v>-1.2820512820512775E-2</v>
      </c>
      <c r="E2360" s="82"/>
    </row>
    <row r="2361" spans="1:5" ht="14.4">
      <c r="A2361" s="68">
        <v>41124</v>
      </c>
      <c r="B2361" s="65">
        <v>31.2</v>
      </c>
      <c r="C2361" s="80">
        <v>1500546</v>
      </c>
      <c r="D2361" s="83">
        <v>3.0383091149273289E-2</v>
      </c>
      <c r="E2361" s="82"/>
    </row>
    <row r="2362" spans="1:5" ht="14.4">
      <c r="A2362" s="68">
        <v>41123</v>
      </c>
      <c r="B2362" s="65">
        <v>30.28</v>
      </c>
      <c r="C2362" s="80">
        <v>2543368</v>
      </c>
      <c r="D2362" s="83">
        <v>-2.3383325270117661E-2</v>
      </c>
      <c r="E2362" s="82"/>
    </row>
    <row r="2363" spans="1:5" ht="14.4">
      <c r="A2363" s="68">
        <v>41122</v>
      </c>
      <c r="B2363" s="65">
        <v>31.004999999999999</v>
      </c>
      <c r="C2363" s="80">
        <v>2433155</v>
      </c>
      <c r="D2363" s="83">
        <v>5.9637730690362156E-2</v>
      </c>
      <c r="E2363" s="82"/>
    </row>
    <row r="2364" spans="1:5" ht="14.4">
      <c r="A2364" s="68">
        <v>41121</v>
      </c>
      <c r="B2364" s="65">
        <v>29.26</v>
      </c>
      <c r="C2364" s="80">
        <v>1580094</v>
      </c>
      <c r="D2364" s="83">
        <v>-1.5312131919905769E-2</v>
      </c>
      <c r="E2364" s="82"/>
    </row>
    <row r="2365" spans="1:5" ht="14.4">
      <c r="A2365" s="68">
        <v>41120</v>
      </c>
      <c r="B2365" s="65">
        <v>29.715</v>
      </c>
      <c r="C2365" s="80">
        <v>1663282</v>
      </c>
      <c r="D2365" s="83">
        <v>-3.0196275792652161E-3</v>
      </c>
      <c r="E2365" s="82"/>
    </row>
    <row r="2366" spans="1:5" ht="14.4">
      <c r="A2366" s="68">
        <v>41117</v>
      </c>
      <c r="B2366" s="65">
        <v>29.805</v>
      </c>
      <c r="C2366" s="80">
        <v>5228486</v>
      </c>
      <c r="D2366" s="83">
        <v>5.6540233959588848E-2</v>
      </c>
      <c r="E2366" s="82"/>
    </row>
    <row r="2367" spans="1:5" ht="14.4">
      <c r="A2367" s="68">
        <v>41116</v>
      </c>
      <c r="B2367" s="65">
        <v>28.21</v>
      </c>
      <c r="C2367" s="80">
        <v>2304452</v>
      </c>
      <c r="D2367" s="83">
        <v>1.129234629861986E-2</v>
      </c>
      <c r="E2367" s="82"/>
    </row>
    <row r="2368" spans="1:5" ht="14.4">
      <c r="A2368" s="68">
        <v>41115</v>
      </c>
      <c r="B2368" s="65">
        <v>27.895</v>
      </c>
      <c r="C2368" s="80">
        <v>1524512</v>
      </c>
      <c r="D2368" s="83">
        <v>-1.9335559852346695E-2</v>
      </c>
      <c r="E2368" s="82"/>
    </row>
    <row r="2369" spans="1:5" ht="14.4">
      <c r="A2369" s="68">
        <v>41114</v>
      </c>
      <c r="B2369" s="65">
        <v>28.445</v>
      </c>
      <c r="C2369" s="80">
        <v>1498888</v>
      </c>
      <c r="D2369" s="83">
        <v>1.8438954529180096E-2</v>
      </c>
      <c r="E2369" s="82"/>
    </row>
    <row r="2370" spans="1:5" ht="14.4">
      <c r="A2370" s="68">
        <v>41113</v>
      </c>
      <c r="B2370" s="65">
        <v>27.93</v>
      </c>
      <c r="C2370" s="80">
        <v>2490302</v>
      </c>
      <c r="D2370" s="83">
        <v>-2.7168234064785857E-2</v>
      </c>
      <c r="E2370" s="82"/>
    </row>
    <row r="2371" spans="1:5" ht="14.4">
      <c r="A2371" s="68">
        <v>41110</v>
      </c>
      <c r="B2371" s="65">
        <v>28.71</v>
      </c>
      <c r="C2371" s="80">
        <v>3803644</v>
      </c>
      <c r="D2371" s="83">
        <v>3.8712011577423988E-2</v>
      </c>
      <c r="E2371" s="82"/>
    </row>
    <row r="2372" spans="1:5" ht="14.4">
      <c r="A2372" s="68">
        <v>41109</v>
      </c>
      <c r="B2372" s="65">
        <v>27.64</v>
      </c>
      <c r="C2372" s="80">
        <v>1021175</v>
      </c>
      <c r="D2372" s="83">
        <v>9.8648154914140473E-3</v>
      </c>
      <c r="E2372" s="82"/>
    </row>
    <row r="2373" spans="1:5" ht="14.4">
      <c r="A2373" s="68">
        <v>41108</v>
      </c>
      <c r="B2373" s="65">
        <v>27.37</v>
      </c>
      <c r="C2373" s="80">
        <v>1047370</v>
      </c>
      <c r="D2373" s="83">
        <v>1.1456023651145619E-2</v>
      </c>
      <c r="E2373" s="82"/>
    </row>
    <row r="2374" spans="1:5" ht="14.4">
      <c r="A2374" s="68">
        <v>41107</v>
      </c>
      <c r="B2374" s="65">
        <v>27.06</v>
      </c>
      <c r="C2374" s="80">
        <v>1092515</v>
      </c>
      <c r="D2374" s="83">
        <v>-1.707228478023981E-2</v>
      </c>
      <c r="E2374" s="82"/>
    </row>
    <row r="2375" spans="1:5" ht="14.4">
      <c r="A2375" s="68">
        <v>41106</v>
      </c>
      <c r="B2375" s="65">
        <v>27.53</v>
      </c>
      <c r="C2375" s="80">
        <v>1513944</v>
      </c>
      <c r="D2375" s="83">
        <v>1.1574499356972412E-2</v>
      </c>
      <c r="E2375" s="82"/>
    </row>
    <row r="2376" spans="1:5" ht="14.4">
      <c r="A2376" s="68">
        <v>41103</v>
      </c>
      <c r="B2376" s="65">
        <v>27.215</v>
      </c>
      <c r="C2376" s="80">
        <v>1298679</v>
      </c>
      <c r="D2376" s="83">
        <v>1.5864128406121614E-2</v>
      </c>
      <c r="E2376" s="82"/>
    </row>
    <row r="2377" spans="1:5" ht="14.4">
      <c r="A2377" s="68">
        <v>41102</v>
      </c>
      <c r="B2377" s="65">
        <v>26.79</v>
      </c>
      <c r="C2377" s="80">
        <v>2290700</v>
      </c>
      <c r="D2377" s="83">
        <v>-4.8291233283804802E-3</v>
      </c>
      <c r="E2377" s="82"/>
    </row>
    <row r="2378" spans="1:5" ht="14.4">
      <c r="A2378" s="68">
        <v>41101</v>
      </c>
      <c r="B2378" s="65">
        <v>26.92</v>
      </c>
      <c r="C2378" s="80">
        <v>3690363</v>
      </c>
      <c r="D2378" s="83">
        <v>-4.6573401806268788E-2</v>
      </c>
      <c r="E2378" s="82"/>
    </row>
    <row r="2379" spans="1:5" ht="14.4">
      <c r="A2379" s="68">
        <v>41100</v>
      </c>
      <c r="B2379" s="65">
        <v>28.234999999999999</v>
      </c>
      <c r="C2379" s="80">
        <v>1713525</v>
      </c>
      <c r="D2379" s="83">
        <v>-9.8193933017710622E-3</v>
      </c>
      <c r="E2379" s="82"/>
    </row>
    <row r="2380" spans="1:5" ht="14.4">
      <c r="A2380" s="68">
        <v>41099</v>
      </c>
      <c r="B2380" s="65">
        <v>28.515000000000001</v>
      </c>
      <c r="C2380" s="80">
        <v>1332240</v>
      </c>
      <c r="D2380" s="83">
        <v>1.5853224082650552E-2</v>
      </c>
      <c r="E2380" s="82"/>
    </row>
    <row r="2381" spans="1:5" ht="14.4">
      <c r="A2381" s="68">
        <v>41096</v>
      </c>
      <c r="B2381" s="65">
        <v>28.07</v>
      </c>
      <c r="C2381" s="80">
        <v>1265222</v>
      </c>
      <c r="D2381" s="83">
        <v>-1.5087719298245594E-2</v>
      </c>
      <c r="E2381" s="82"/>
    </row>
    <row r="2382" spans="1:5" ht="14.4">
      <c r="A2382" s="68">
        <v>41095</v>
      </c>
      <c r="B2382" s="65">
        <v>28.5</v>
      </c>
      <c r="C2382" s="80">
        <v>2489135</v>
      </c>
      <c r="D2382" s="83">
        <v>-1.7241379310344862E-2</v>
      </c>
      <c r="E2382" s="82"/>
    </row>
    <row r="2383" spans="1:5" ht="14.4">
      <c r="A2383" s="68">
        <v>41094</v>
      </c>
      <c r="B2383" s="65">
        <v>29</v>
      </c>
      <c r="C2383" s="80">
        <v>1262557</v>
      </c>
      <c r="D2383" s="83">
        <v>2.0228671943711474E-2</v>
      </c>
      <c r="E2383" s="82"/>
    </row>
    <row r="2384" spans="1:5" ht="14.4">
      <c r="A2384" s="68">
        <v>41093</v>
      </c>
      <c r="B2384" s="65">
        <v>28.425000000000001</v>
      </c>
      <c r="C2384" s="80">
        <v>1491818</v>
      </c>
      <c r="D2384" s="83">
        <v>-2.4565713283032364E-3</v>
      </c>
      <c r="E2384" s="82"/>
    </row>
    <row r="2385" spans="1:5" ht="14.4">
      <c r="A2385" s="68">
        <v>41092</v>
      </c>
      <c r="B2385" s="65">
        <v>28.495000000000001</v>
      </c>
      <c r="C2385" s="80">
        <v>1820657</v>
      </c>
      <c r="D2385" s="83">
        <v>1.9863994273443097E-2</v>
      </c>
      <c r="E2385" s="82"/>
    </row>
    <row r="2386" spans="1:5" ht="14.4">
      <c r="A2386" s="68">
        <v>41089</v>
      </c>
      <c r="B2386" s="65">
        <v>27.94</v>
      </c>
      <c r="C2386" s="80">
        <v>2394821</v>
      </c>
      <c r="D2386" s="83">
        <v>4.4485981308411304E-2</v>
      </c>
      <c r="E2386" s="82"/>
    </row>
    <row r="2387" spans="1:5" ht="14.4">
      <c r="A2387" s="68">
        <v>41088</v>
      </c>
      <c r="B2387" s="65">
        <v>26.75</v>
      </c>
      <c r="C2387" s="80">
        <v>1733040</v>
      </c>
      <c r="D2387" s="83">
        <v>4.6948356807512415E-3</v>
      </c>
      <c r="E2387" s="82"/>
    </row>
    <row r="2388" spans="1:5" ht="14.4">
      <c r="A2388" s="68">
        <v>41087</v>
      </c>
      <c r="B2388" s="65">
        <v>26.625</v>
      </c>
      <c r="C2388" s="80">
        <v>1709995</v>
      </c>
      <c r="D2388" s="83">
        <v>2.5616332819722532E-2</v>
      </c>
      <c r="E2388" s="82"/>
    </row>
    <row r="2389" spans="1:5" ht="14.4">
      <c r="A2389" s="68">
        <v>41086</v>
      </c>
      <c r="B2389" s="65">
        <v>25.96</v>
      </c>
      <c r="C2389" s="80">
        <v>1368382</v>
      </c>
      <c r="D2389" s="83">
        <v>-1.1424219345011477E-2</v>
      </c>
      <c r="E2389" s="82"/>
    </row>
    <row r="2390" spans="1:5" ht="14.4">
      <c r="A2390" s="68">
        <v>41085</v>
      </c>
      <c r="B2390" s="65">
        <v>26.26</v>
      </c>
      <c r="C2390" s="80">
        <v>1994622</v>
      </c>
      <c r="D2390" s="83">
        <v>2.0202020202020332E-2</v>
      </c>
      <c r="E2390" s="82"/>
    </row>
    <row r="2391" spans="1:5" ht="14.4">
      <c r="A2391" s="68">
        <v>41082</v>
      </c>
      <c r="B2391" s="65">
        <v>25.74</v>
      </c>
      <c r="C2391" s="80">
        <v>2355680</v>
      </c>
      <c r="D2391" s="83">
        <v>-4.3122676579925634E-2</v>
      </c>
      <c r="E2391" s="82"/>
    </row>
    <row r="2392" spans="1:5" ht="14.4">
      <c r="A2392" s="68">
        <v>41081</v>
      </c>
      <c r="B2392" s="65">
        <v>26.9</v>
      </c>
      <c r="C2392" s="80">
        <v>1602147</v>
      </c>
      <c r="D2392" s="83">
        <v>1.1848786909911535E-2</v>
      </c>
      <c r="E2392" s="82"/>
    </row>
    <row r="2393" spans="1:5" ht="14.4">
      <c r="A2393" s="68">
        <v>41080</v>
      </c>
      <c r="B2393" s="65">
        <v>26.585000000000001</v>
      </c>
      <c r="C2393" s="80">
        <v>1278137</v>
      </c>
      <c r="D2393" s="83">
        <v>-8.9468779123951236E-3</v>
      </c>
      <c r="E2393" s="82"/>
    </row>
    <row r="2394" spans="1:5" ht="14.4">
      <c r="A2394" s="68">
        <v>41079</v>
      </c>
      <c r="B2394" s="65">
        <v>26.824999999999999</v>
      </c>
      <c r="C2394" s="80">
        <v>1346210</v>
      </c>
      <c r="D2394" s="83">
        <v>1.6803584764748525E-3</v>
      </c>
      <c r="E2394" s="82"/>
    </row>
    <row r="2395" spans="1:5" ht="14.4">
      <c r="A2395" s="68">
        <v>41078</v>
      </c>
      <c r="B2395" s="65">
        <v>26.78</v>
      </c>
      <c r="C2395" s="80">
        <v>1922407</v>
      </c>
      <c r="D2395" s="83">
        <v>2.881290818286586E-2</v>
      </c>
      <c r="E2395" s="82"/>
    </row>
    <row r="2396" spans="1:5" ht="14.4">
      <c r="A2396" s="68">
        <v>41075</v>
      </c>
      <c r="B2396" s="65">
        <v>26.03</v>
      </c>
      <c r="C2396" s="80">
        <v>2304042</v>
      </c>
      <c r="D2396" s="83">
        <v>-4.3985465672211621E-3</v>
      </c>
      <c r="E2396" s="82"/>
    </row>
    <row r="2397" spans="1:5" ht="14.4">
      <c r="A2397" s="68">
        <v>41074</v>
      </c>
      <c r="B2397" s="65">
        <v>26.145</v>
      </c>
      <c r="C2397" s="80">
        <v>1603764</v>
      </c>
      <c r="D2397" s="83">
        <v>-1.673561489281683E-2</v>
      </c>
      <c r="E2397" s="82"/>
    </row>
    <row r="2398" spans="1:5" ht="14.4">
      <c r="A2398" s="68">
        <v>41073</v>
      </c>
      <c r="B2398" s="65">
        <v>26.59</v>
      </c>
      <c r="C2398" s="80">
        <v>2105886</v>
      </c>
      <c r="D2398" s="83">
        <v>-7.0948469006721915E-3</v>
      </c>
      <c r="E2398" s="82"/>
    </row>
    <row r="2399" spans="1:5" ht="14.4">
      <c r="A2399" s="68">
        <v>41072</v>
      </c>
      <c r="B2399" s="65">
        <v>26.78</v>
      </c>
      <c r="C2399" s="80">
        <v>1958643</v>
      </c>
      <c r="D2399" s="83">
        <v>-5.598059339428918E-4</v>
      </c>
      <c r="E2399" s="82"/>
    </row>
    <row r="2400" spans="1:5" ht="14.4">
      <c r="A2400" s="68">
        <v>41071</v>
      </c>
      <c r="B2400" s="65">
        <v>26.795000000000002</v>
      </c>
      <c r="C2400" s="80">
        <v>1601970</v>
      </c>
      <c r="D2400" s="83">
        <v>-3.1622023809523281E-3</v>
      </c>
      <c r="E2400" s="82"/>
    </row>
    <row r="2401" spans="1:5" ht="14.4">
      <c r="A2401" s="68">
        <v>41068</v>
      </c>
      <c r="B2401" s="65">
        <v>26.88</v>
      </c>
      <c r="C2401" s="80">
        <v>2597105</v>
      </c>
      <c r="D2401" s="83">
        <v>-1.6465422612513714E-2</v>
      </c>
      <c r="E2401" s="82"/>
    </row>
    <row r="2402" spans="1:5" ht="14.4">
      <c r="A2402" s="68">
        <v>41067</v>
      </c>
      <c r="B2402" s="65">
        <v>27.33</v>
      </c>
      <c r="C2402" s="80">
        <v>2633590</v>
      </c>
      <c r="D2402" s="83">
        <v>3.6405005688282088E-2</v>
      </c>
      <c r="E2402" s="82"/>
    </row>
    <row r="2403" spans="1:5" ht="14.4">
      <c r="A2403" s="68">
        <v>41066</v>
      </c>
      <c r="B2403" s="65">
        <v>26.37</v>
      </c>
      <c r="C2403" s="80">
        <v>2594169</v>
      </c>
      <c r="D2403" s="83">
        <v>2.3680124223602439E-2</v>
      </c>
      <c r="E2403" s="82"/>
    </row>
    <row r="2404" spans="1:5" ht="14.4">
      <c r="A2404" s="68">
        <v>41065</v>
      </c>
      <c r="B2404" s="65">
        <v>25.76</v>
      </c>
      <c r="C2404" s="80">
        <v>1238769</v>
      </c>
      <c r="D2404" s="83">
        <v>6.0535051747705459E-3</v>
      </c>
      <c r="E2404" s="82"/>
    </row>
    <row r="2405" spans="1:5" ht="14.4">
      <c r="A2405" s="68">
        <v>41064</v>
      </c>
      <c r="B2405" s="65">
        <v>25.605</v>
      </c>
      <c r="C2405" s="80">
        <v>2379043</v>
      </c>
      <c r="D2405" s="83">
        <v>-2.0841300191204559E-2</v>
      </c>
      <c r="E2405" s="82"/>
    </row>
    <row r="2406" spans="1:5" ht="14.4">
      <c r="A2406" s="68">
        <v>41061</v>
      </c>
      <c r="B2406" s="65">
        <v>26.15</v>
      </c>
      <c r="C2406" s="80">
        <v>4336953</v>
      </c>
      <c r="D2406" s="83">
        <v>-3.3985962319911356E-2</v>
      </c>
      <c r="E2406" s="82"/>
    </row>
    <row r="2407" spans="1:5" ht="14.4">
      <c r="A2407" s="68">
        <v>41060</v>
      </c>
      <c r="B2407" s="65">
        <v>27.07</v>
      </c>
      <c r="C2407" s="80">
        <v>2738300</v>
      </c>
      <c r="D2407" s="83">
        <v>0</v>
      </c>
      <c r="E2407" s="82"/>
    </row>
    <row r="2408" spans="1:5" ht="14.4">
      <c r="A2408" s="68">
        <v>41059</v>
      </c>
      <c r="B2408" s="65">
        <v>27.07</v>
      </c>
      <c r="C2408" s="80">
        <v>2651257</v>
      </c>
      <c r="D2408" s="83">
        <v>-2.7133872416891247E-2</v>
      </c>
      <c r="E2408" s="82"/>
    </row>
    <row r="2409" spans="1:5" ht="14.4">
      <c r="A2409" s="68">
        <v>41058</v>
      </c>
      <c r="B2409" s="65">
        <v>27.824999999999999</v>
      </c>
      <c r="C2409" s="80">
        <v>2850598</v>
      </c>
      <c r="D2409" s="83">
        <v>7.4221578566255886E-3</v>
      </c>
      <c r="E2409" s="82"/>
    </row>
    <row r="2410" spans="1:5" ht="14.4">
      <c r="A2410" s="68">
        <v>41057</v>
      </c>
      <c r="B2410" s="65">
        <v>27.62</v>
      </c>
      <c r="C2410" s="80">
        <v>1939772</v>
      </c>
      <c r="D2410" s="83">
        <v>1.2463343108504388E-2</v>
      </c>
      <c r="E2410" s="82"/>
    </row>
    <row r="2411" spans="1:5" ht="14.4">
      <c r="A2411" s="68">
        <v>41054</v>
      </c>
      <c r="B2411" s="65">
        <v>27.28</v>
      </c>
      <c r="C2411" s="80">
        <v>2718732</v>
      </c>
      <c r="D2411" s="83">
        <v>-2.5192067178845701E-2</v>
      </c>
      <c r="E2411" s="82"/>
    </row>
    <row r="2412" spans="1:5" ht="14.4">
      <c r="A2412" s="68">
        <v>41053</v>
      </c>
      <c r="B2412" s="65">
        <v>27.984999999999999</v>
      </c>
      <c r="C2412" s="80">
        <v>1871392</v>
      </c>
      <c r="D2412" s="83">
        <v>2.3280802292262592E-3</v>
      </c>
      <c r="E2412" s="82"/>
    </row>
    <row r="2413" spans="1:5" ht="14.4">
      <c r="A2413" s="68">
        <v>41052</v>
      </c>
      <c r="B2413" s="65">
        <v>27.92</v>
      </c>
      <c r="C2413" s="80">
        <v>1302641</v>
      </c>
      <c r="D2413" s="83">
        <v>-2.0522715313102902E-2</v>
      </c>
      <c r="E2413" s="82"/>
    </row>
    <row r="2414" spans="1:5" ht="14.4">
      <c r="A2414" s="68">
        <v>41051</v>
      </c>
      <c r="B2414" s="65">
        <v>28.504999999999999</v>
      </c>
      <c r="C2414" s="80">
        <v>2039736</v>
      </c>
      <c r="D2414" s="83">
        <v>2.022190408017166E-2</v>
      </c>
      <c r="E2414" s="82"/>
    </row>
    <row r="2415" spans="1:5" ht="14.4">
      <c r="A2415" s="68">
        <v>41050</v>
      </c>
      <c r="B2415" s="65">
        <v>27.94</v>
      </c>
      <c r="C2415" s="80">
        <v>1438728</v>
      </c>
      <c r="D2415" s="83">
        <v>4.6745774901115755E-3</v>
      </c>
      <c r="E2415" s="82"/>
    </row>
    <row r="2416" spans="1:5" ht="14.4">
      <c r="A2416" s="68">
        <v>41047</v>
      </c>
      <c r="B2416" s="65">
        <v>27.81</v>
      </c>
      <c r="C2416" s="80">
        <v>1930195</v>
      </c>
      <c r="D2416" s="83">
        <v>-3.2863849765258246E-2</v>
      </c>
      <c r="E2416" s="82"/>
    </row>
    <row r="2417" spans="1:5" ht="14.4">
      <c r="A2417" s="68">
        <v>41046</v>
      </c>
      <c r="B2417" s="65">
        <v>28.754999999999999</v>
      </c>
      <c r="C2417" s="80">
        <v>1056196</v>
      </c>
      <c r="D2417" s="83">
        <v>-2.1272974812797774E-2</v>
      </c>
      <c r="E2417" s="82"/>
    </row>
    <row r="2418" spans="1:5" ht="14.4">
      <c r="A2418" s="68">
        <v>41045</v>
      </c>
      <c r="B2418" s="65">
        <v>29.38</v>
      </c>
      <c r="C2418" s="80">
        <v>2628544</v>
      </c>
      <c r="D2418" s="83">
        <v>1.2056493282810887E-2</v>
      </c>
      <c r="E2418" s="82"/>
    </row>
    <row r="2419" spans="1:5" ht="14.4">
      <c r="A2419" s="68">
        <v>41044</v>
      </c>
      <c r="B2419" s="65">
        <v>29.03</v>
      </c>
      <c r="C2419" s="80">
        <v>1726972</v>
      </c>
      <c r="D2419" s="83">
        <v>1.0617928633594342E-2</v>
      </c>
      <c r="E2419" s="82"/>
    </row>
    <row r="2420" spans="1:5" ht="14.4">
      <c r="A2420" s="68">
        <v>41043</v>
      </c>
      <c r="B2420" s="65">
        <v>28.725000000000001</v>
      </c>
      <c r="C2420" s="80">
        <v>1488224</v>
      </c>
      <c r="D2420" s="83">
        <v>4.3706293706293753E-3</v>
      </c>
      <c r="E2420" s="82"/>
    </row>
    <row r="2421" spans="1:5" ht="14.4">
      <c r="A2421" s="68">
        <v>41040</v>
      </c>
      <c r="B2421" s="65">
        <v>28.6</v>
      </c>
      <c r="C2421" s="80">
        <v>1544731</v>
      </c>
      <c r="D2421" s="83">
        <v>-8.3217753120665705E-3</v>
      </c>
      <c r="E2421" s="82"/>
    </row>
    <row r="2422" spans="1:5" ht="14.4">
      <c r="A2422" s="68">
        <v>41039</v>
      </c>
      <c r="B2422" s="65">
        <v>28.84</v>
      </c>
      <c r="C2422" s="80">
        <v>1426792</v>
      </c>
      <c r="D2422" s="83">
        <v>-8.5940185630800636E-3</v>
      </c>
      <c r="E2422" s="82"/>
    </row>
    <row r="2423" spans="1:5" ht="14.4">
      <c r="A2423" s="68">
        <v>41038</v>
      </c>
      <c r="B2423" s="65">
        <v>29.09</v>
      </c>
      <c r="C2423" s="80">
        <v>1132859</v>
      </c>
      <c r="D2423" s="83">
        <v>1.2178148921363929E-2</v>
      </c>
      <c r="E2423" s="82"/>
    </row>
    <row r="2424" spans="1:5" ht="14.4">
      <c r="A2424" s="68">
        <v>41037</v>
      </c>
      <c r="B2424" s="65">
        <v>28.74</v>
      </c>
      <c r="C2424" s="80">
        <v>1836711</v>
      </c>
      <c r="D2424" s="83">
        <v>-3.2648939750925643E-2</v>
      </c>
      <c r="E2424" s="82"/>
    </row>
    <row r="2425" spans="1:5" ht="14.4">
      <c r="A2425" s="68">
        <v>41036</v>
      </c>
      <c r="B2425" s="65">
        <v>29.71</v>
      </c>
      <c r="C2425" s="80">
        <v>1471774</v>
      </c>
      <c r="D2425" s="83">
        <v>6.0954961056551848E-3</v>
      </c>
      <c r="E2425" s="82"/>
    </row>
    <row r="2426" spans="1:5" ht="14.4">
      <c r="A2426" s="68">
        <v>41033</v>
      </c>
      <c r="B2426" s="65">
        <v>29.53</v>
      </c>
      <c r="C2426" s="80">
        <v>1555048</v>
      </c>
      <c r="D2426" s="83">
        <v>-3.3387888707037683E-2</v>
      </c>
      <c r="E2426" s="82"/>
    </row>
    <row r="2427" spans="1:5" ht="14.4">
      <c r="A2427" s="68">
        <v>41032</v>
      </c>
      <c r="B2427" s="65">
        <v>30.55</v>
      </c>
      <c r="C2427" s="80">
        <v>1650143</v>
      </c>
      <c r="D2427" s="83">
        <v>1.2931034482758674E-2</v>
      </c>
      <c r="E2427" s="82"/>
    </row>
    <row r="2428" spans="1:5" ht="14.4">
      <c r="A2428" s="68">
        <v>41031</v>
      </c>
      <c r="B2428" s="65">
        <v>30.16</v>
      </c>
      <c r="C2428" s="80">
        <v>1448555</v>
      </c>
      <c r="D2428" s="83">
        <v>1.123218776194479E-2</v>
      </c>
      <c r="E2428" s="82"/>
    </row>
    <row r="2429" spans="1:5" ht="14.4">
      <c r="A2429" s="68">
        <v>41029</v>
      </c>
      <c r="B2429" s="65">
        <v>29.824999999999999</v>
      </c>
      <c r="C2429" s="80">
        <v>1245825</v>
      </c>
      <c r="D2429" s="83">
        <v>-2.0686258414053471E-2</v>
      </c>
      <c r="E2429" s="82"/>
    </row>
    <row r="2430" spans="1:5" ht="14.4">
      <c r="A2430" s="68">
        <v>41026</v>
      </c>
      <c r="B2430" s="65">
        <v>30.454999999999998</v>
      </c>
      <c r="C2430" s="80">
        <v>1059168</v>
      </c>
      <c r="D2430" s="83">
        <v>5.6133399372626513E-3</v>
      </c>
      <c r="E2430" s="82"/>
    </row>
    <row r="2431" spans="1:5" ht="14.4">
      <c r="A2431" s="68">
        <v>41025</v>
      </c>
      <c r="B2431" s="65">
        <v>30.285</v>
      </c>
      <c r="C2431" s="80">
        <v>1437416</v>
      </c>
      <c r="D2431" s="83">
        <v>-5.0919842312746599E-3</v>
      </c>
      <c r="E2431" s="82"/>
    </row>
    <row r="2432" spans="1:5" ht="14.4">
      <c r="A2432" s="68">
        <v>41024</v>
      </c>
      <c r="B2432" s="65">
        <v>30.44</v>
      </c>
      <c r="C2432" s="80">
        <v>1580650</v>
      </c>
      <c r="D2432" s="83">
        <v>2.3365271474197424E-2</v>
      </c>
      <c r="E2432" s="82"/>
    </row>
    <row r="2433" spans="1:5" ht="14.4">
      <c r="A2433" s="68">
        <v>41023</v>
      </c>
      <c r="B2433" s="65">
        <v>29.745000000000001</v>
      </c>
      <c r="C2433" s="80">
        <v>1427562</v>
      </c>
      <c r="D2433" s="83">
        <v>1.6923076923077041E-2</v>
      </c>
      <c r="E2433" s="82"/>
    </row>
    <row r="2434" spans="1:5" ht="14.4">
      <c r="A2434" s="68">
        <v>41022</v>
      </c>
      <c r="B2434" s="65">
        <v>29.25</v>
      </c>
      <c r="C2434" s="80">
        <v>2118328</v>
      </c>
      <c r="D2434" s="83">
        <v>-4.3648847474252128E-2</v>
      </c>
      <c r="E2434" s="82"/>
    </row>
    <row r="2435" spans="1:5" ht="14.4">
      <c r="A2435" s="68">
        <v>41019</v>
      </c>
      <c r="B2435" s="65">
        <v>30.585000000000001</v>
      </c>
      <c r="C2435" s="80">
        <v>1695334</v>
      </c>
      <c r="D2435" s="83">
        <v>-8.5899513776337422E-3</v>
      </c>
      <c r="E2435" s="82"/>
    </row>
    <row r="2436" spans="1:5" ht="14.4">
      <c r="A2436" s="68">
        <v>41018</v>
      </c>
      <c r="B2436" s="65">
        <v>30.85</v>
      </c>
      <c r="C2436" s="80">
        <v>2874880</v>
      </c>
      <c r="D2436" s="83">
        <v>6.8537859007833379E-3</v>
      </c>
      <c r="E2436" s="82"/>
    </row>
    <row r="2437" spans="1:5" ht="14.4">
      <c r="A2437" s="68">
        <v>41017</v>
      </c>
      <c r="B2437" s="65">
        <v>30.64</v>
      </c>
      <c r="C2437" s="80">
        <v>994504</v>
      </c>
      <c r="D2437" s="83">
        <v>-1.049572097529472E-2</v>
      </c>
      <c r="E2437" s="82"/>
    </row>
    <row r="2438" spans="1:5" ht="14.4">
      <c r="A2438" s="68">
        <v>41016</v>
      </c>
      <c r="B2438" s="65">
        <v>30.965</v>
      </c>
      <c r="C2438" s="80">
        <v>1355322</v>
      </c>
      <c r="D2438" s="83">
        <v>9.6185197261167144E-3</v>
      </c>
      <c r="E2438" s="82"/>
    </row>
    <row r="2439" spans="1:5" ht="14.4">
      <c r="A2439" s="68">
        <v>41015</v>
      </c>
      <c r="B2439" s="65">
        <v>30.67</v>
      </c>
      <c r="C2439" s="80">
        <v>1530324</v>
      </c>
      <c r="D2439" s="83">
        <v>1.4890800794176151E-2</v>
      </c>
      <c r="E2439" s="82"/>
    </row>
    <row r="2440" spans="1:5" ht="14.4">
      <c r="A2440" s="68">
        <v>41012</v>
      </c>
      <c r="B2440" s="65">
        <v>30.22</v>
      </c>
      <c r="C2440" s="80">
        <v>1765586</v>
      </c>
      <c r="D2440" s="83">
        <v>-2.2006472491909346E-2</v>
      </c>
      <c r="E2440" s="82"/>
    </row>
    <row r="2441" spans="1:5" ht="14.4">
      <c r="A2441" s="68">
        <v>41011</v>
      </c>
      <c r="B2441" s="65">
        <v>30.9</v>
      </c>
      <c r="C2441" s="80">
        <v>2590006</v>
      </c>
      <c r="D2441" s="83">
        <v>2.8799733644081948E-2</v>
      </c>
      <c r="E2441" s="82"/>
    </row>
    <row r="2442" spans="1:5" ht="14.4">
      <c r="A2442" s="68">
        <v>41010</v>
      </c>
      <c r="B2442" s="65">
        <v>30.035</v>
      </c>
      <c r="C2442" s="80">
        <v>3365594</v>
      </c>
      <c r="D2442" s="83">
        <v>1.0428931875525516E-2</v>
      </c>
      <c r="E2442" s="82"/>
    </row>
    <row r="2443" spans="1:5" ht="14.4">
      <c r="A2443" s="68">
        <v>41009</v>
      </c>
      <c r="B2443" s="65">
        <v>29.725000000000001</v>
      </c>
      <c r="C2443" s="80">
        <v>2296381</v>
      </c>
      <c r="D2443" s="83">
        <v>-3.1285644451686356E-2</v>
      </c>
      <c r="E2443" s="82"/>
    </row>
    <row r="2444" spans="1:5" ht="14.4">
      <c r="A2444" s="68">
        <v>41004</v>
      </c>
      <c r="B2444" s="65">
        <v>30.684999999999999</v>
      </c>
      <c r="C2444" s="80">
        <v>1929668</v>
      </c>
      <c r="D2444" s="83">
        <v>1.037207770826476E-2</v>
      </c>
      <c r="E2444" s="82"/>
    </row>
    <row r="2445" spans="1:5" ht="14.4">
      <c r="A2445" s="68">
        <v>41003</v>
      </c>
      <c r="B2445" s="65">
        <v>30.37</v>
      </c>
      <c r="C2445" s="80">
        <v>2309611</v>
      </c>
      <c r="D2445" s="83">
        <v>-2.5665704202759043E-2</v>
      </c>
      <c r="E2445" s="82"/>
    </row>
    <row r="2446" spans="1:5" ht="14.4">
      <c r="A2446" s="68">
        <v>41002</v>
      </c>
      <c r="B2446" s="65">
        <v>31.17</v>
      </c>
      <c r="C2446" s="80">
        <v>1903572</v>
      </c>
      <c r="D2446" s="83">
        <v>7.1082390953149943E-3</v>
      </c>
      <c r="E2446" s="82"/>
    </row>
    <row r="2447" spans="1:5" ht="14.4">
      <c r="A2447" s="68">
        <v>41001</v>
      </c>
      <c r="B2447" s="65">
        <v>30.95</v>
      </c>
      <c r="C2447" s="80">
        <v>1960924</v>
      </c>
      <c r="D2447" s="83">
        <v>7.9791564891711353E-3</v>
      </c>
      <c r="E2447" s="82"/>
    </row>
    <row r="2448" spans="1:5" ht="14.4">
      <c r="A2448" s="68">
        <v>40998</v>
      </c>
      <c r="B2448" s="65">
        <v>30.704999999999998</v>
      </c>
      <c r="C2448" s="80">
        <v>1848093</v>
      </c>
      <c r="D2448" s="83">
        <v>1.2530915086562233E-2</v>
      </c>
      <c r="E2448" s="82"/>
    </row>
    <row r="2449" spans="1:5" ht="14.4">
      <c r="A2449" s="68">
        <v>40997</v>
      </c>
      <c r="B2449" s="65">
        <v>30.324999999999999</v>
      </c>
      <c r="C2449" s="80">
        <v>2327566</v>
      </c>
      <c r="D2449" s="83">
        <v>-1.2054080469131812E-2</v>
      </c>
      <c r="E2449" s="82"/>
    </row>
    <row r="2450" spans="1:5" ht="14.4">
      <c r="A2450" s="68">
        <v>40996</v>
      </c>
      <c r="B2450" s="65">
        <v>30.695</v>
      </c>
      <c r="C2450" s="80">
        <v>1518241</v>
      </c>
      <c r="D2450" s="83">
        <v>-3.4090909090909172E-3</v>
      </c>
      <c r="E2450" s="82"/>
    </row>
    <row r="2451" spans="1:5" ht="14.4">
      <c r="A2451" s="68">
        <v>40995</v>
      </c>
      <c r="B2451" s="65">
        <v>30.8</v>
      </c>
      <c r="C2451" s="80">
        <v>1444299</v>
      </c>
      <c r="D2451" s="83">
        <v>-1.7825311942959443E-3</v>
      </c>
      <c r="E2451" s="82"/>
    </row>
    <row r="2452" spans="1:5" ht="14.4">
      <c r="A2452" s="68">
        <v>40994</v>
      </c>
      <c r="B2452" s="65">
        <v>30.855</v>
      </c>
      <c r="C2452" s="80">
        <v>1102621</v>
      </c>
      <c r="D2452" s="83">
        <v>1.2967826657912074E-2</v>
      </c>
      <c r="E2452" s="82"/>
    </row>
    <row r="2453" spans="1:5" ht="14.4">
      <c r="A2453" s="68">
        <v>40991</v>
      </c>
      <c r="B2453" s="65">
        <v>30.46</v>
      </c>
      <c r="C2453" s="80">
        <v>1359640</v>
      </c>
      <c r="D2453" s="83">
        <v>7.2751322751323233E-3</v>
      </c>
      <c r="E2453" s="82"/>
    </row>
    <row r="2454" spans="1:5" ht="14.4">
      <c r="A2454" s="68">
        <v>40990</v>
      </c>
      <c r="B2454" s="65">
        <v>30.24</v>
      </c>
      <c r="C2454" s="80">
        <v>1723545</v>
      </c>
      <c r="D2454" s="83">
        <v>-1.6745244675662518E-2</v>
      </c>
      <c r="E2454" s="82"/>
    </row>
    <row r="2455" spans="1:5" ht="14.4">
      <c r="A2455" s="68">
        <v>40989</v>
      </c>
      <c r="B2455" s="65">
        <v>30.754999999999999</v>
      </c>
      <c r="C2455" s="80">
        <v>1225208</v>
      </c>
      <c r="D2455" s="83">
        <v>1.0348226018396689E-2</v>
      </c>
      <c r="E2455" s="82"/>
    </row>
    <row r="2456" spans="1:5" ht="14.4">
      <c r="A2456" s="68">
        <v>40988</v>
      </c>
      <c r="B2456" s="65">
        <v>30.44</v>
      </c>
      <c r="C2456" s="80">
        <v>1390500</v>
      </c>
      <c r="D2456" s="83">
        <v>3.7922506183019067E-3</v>
      </c>
      <c r="E2456" s="82"/>
    </row>
    <row r="2457" spans="1:5" ht="14.4">
      <c r="A2457" s="68">
        <v>40987</v>
      </c>
      <c r="B2457" s="65">
        <v>30.324999999999999</v>
      </c>
      <c r="C2457" s="80">
        <v>2372745</v>
      </c>
      <c r="D2457" s="83">
        <v>-2.4919614147909996E-2</v>
      </c>
      <c r="E2457" s="82"/>
    </row>
    <row r="2458" spans="1:5" ht="14.4">
      <c r="A2458" s="68">
        <v>40984</v>
      </c>
      <c r="B2458" s="65">
        <v>31.1</v>
      </c>
      <c r="C2458" s="80">
        <v>3011455</v>
      </c>
      <c r="D2458" s="83">
        <v>9.248742495537865E-3</v>
      </c>
      <c r="E2458" s="82"/>
    </row>
    <row r="2459" spans="1:5" ht="14.4">
      <c r="A2459" s="68">
        <v>40983</v>
      </c>
      <c r="B2459" s="65">
        <v>30.815000000000001</v>
      </c>
      <c r="C2459" s="80">
        <v>1994916</v>
      </c>
      <c r="D2459" s="83">
        <v>8.5092456226476543E-3</v>
      </c>
      <c r="E2459" s="82"/>
    </row>
    <row r="2460" spans="1:5" ht="14.4">
      <c r="A2460" s="68">
        <v>40982</v>
      </c>
      <c r="B2460" s="65">
        <v>30.555</v>
      </c>
      <c r="C2460" s="80">
        <v>2073541</v>
      </c>
      <c r="D2460" s="83">
        <v>1.0082644628099269E-2</v>
      </c>
      <c r="E2460" s="82"/>
    </row>
    <row r="2461" spans="1:5" ht="14.4">
      <c r="A2461" s="68">
        <v>40981</v>
      </c>
      <c r="B2461" s="65">
        <v>30.25</v>
      </c>
      <c r="C2461" s="80">
        <v>1978684</v>
      </c>
      <c r="D2461" s="83">
        <v>1.8518518518518601E-2</v>
      </c>
      <c r="E2461" s="82"/>
    </row>
    <row r="2462" spans="1:5" ht="14.4">
      <c r="A2462" s="68">
        <v>40980</v>
      </c>
      <c r="B2462" s="65">
        <v>29.7</v>
      </c>
      <c r="C2462" s="80">
        <v>2527761</v>
      </c>
      <c r="D2462" s="83">
        <v>-1.19760479041916E-2</v>
      </c>
      <c r="E2462" s="82"/>
    </row>
    <row r="2463" spans="1:5" ht="14.4">
      <c r="A2463" s="68">
        <v>40977</v>
      </c>
      <c r="B2463" s="65">
        <v>30.06</v>
      </c>
      <c r="C2463" s="80">
        <v>3404542</v>
      </c>
      <c r="D2463" s="83">
        <v>1.0759919300605159E-2</v>
      </c>
      <c r="E2463" s="82"/>
    </row>
    <row r="2464" spans="1:5" ht="14.4">
      <c r="A2464" s="68">
        <v>40976</v>
      </c>
      <c r="B2464" s="65">
        <v>29.74</v>
      </c>
      <c r="C2464" s="80">
        <v>6425704</v>
      </c>
      <c r="D2464" s="83">
        <v>0.10784131123114182</v>
      </c>
      <c r="E2464" s="82"/>
    </row>
    <row r="2465" spans="1:5" ht="14.4">
      <c r="A2465" s="68">
        <v>40975</v>
      </c>
      <c r="B2465" s="65">
        <v>26.844999999999999</v>
      </c>
      <c r="C2465" s="80">
        <v>1444173</v>
      </c>
      <c r="D2465" s="83">
        <v>1.4933837429111474E-2</v>
      </c>
      <c r="E2465" s="82"/>
    </row>
    <row r="2466" spans="1:5" ht="14.4">
      <c r="A2466" s="68">
        <v>40974</v>
      </c>
      <c r="B2466" s="65">
        <v>26.45</v>
      </c>
      <c r="C2466" s="80">
        <v>1419276</v>
      </c>
      <c r="D2466" s="83">
        <v>-3.7131416090280256E-2</v>
      </c>
      <c r="E2466" s="82"/>
    </row>
    <row r="2467" spans="1:5" ht="14.4">
      <c r="A2467" s="68">
        <v>40973</v>
      </c>
      <c r="B2467" s="65">
        <v>27.47</v>
      </c>
      <c r="C2467" s="80">
        <v>898614</v>
      </c>
      <c r="D2467" s="83">
        <v>-6.5099457504520508E-3</v>
      </c>
      <c r="E2467" s="82"/>
    </row>
    <row r="2468" spans="1:5" ht="14.4">
      <c r="A2468" s="68">
        <v>40970</v>
      </c>
      <c r="B2468" s="65">
        <v>27.65</v>
      </c>
      <c r="C2468" s="80">
        <v>1214152</v>
      </c>
      <c r="D2468" s="83">
        <v>-1.4260249554367332E-2</v>
      </c>
      <c r="E2468" s="82"/>
    </row>
    <row r="2469" spans="1:5" ht="14.4">
      <c r="A2469" s="68">
        <v>40969</v>
      </c>
      <c r="B2469" s="65">
        <v>28.05</v>
      </c>
      <c r="C2469" s="80">
        <v>1323632</v>
      </c>
      <c r="D2469" s="83">
        <v>2.8791490922428054E-2</v>
      </c>
      <c r="E2469" s="82"/>
    </row>
    <row r="2470" spans="1:5" ht="14.4">
      <c r="A2470" s="68">
        <v>40968</v>
      </c>
      <c r="B2470" s="65">
        <v>27.265000000000001</v>
      </c>
      <c r="C2470" s="80">
        <v>1148823</v>
      </c>
      <c r="D2470" s="83">
        <v>2.7583670467083987E-3</v>
      </c>
      <c r="E2470" s="82"/>
    </row>
    <row r="2471" spans="1:5" ht="14.4">
      <c r="A2471" s="68">
        <v>40967</v>
      </c>
      <c r="B2471" s="65">
        <v>27.19</v>
      </c>
      <c r="C2471" s="80">
        <v>890411</v>
      </c>
      <c r="D2471" s="83">
        <v>9.2030185900981998E-4</v>
      </c>
      <c r="E2471" s="82"/>
    </row>
    <row r="2472" spans="1:5" ht="14.4">
      <c r="A2472" s="68">
        <v>40966</v>
      </c>
      <c r="B2472" s="65">
        <v>27.164999999999999</v>
      </c>
      <c r="C2472" s="80">
        <v>667975</v>
      </c>
      <c r="D2472" s="83">
        <v>3.8802660753880502E-3</v>
      </c>
      <c r="E2472" s="82"/>
    </row>
    <row r="2473" spans="1:5" ht="14.4">
      <c r="A2473" s="68">
        <v>40963</v>
      </c>
      <c r="B2473" s="65">
        <v>27.06</v>
      </c>
      <c r="C2473" s="80">
        <v>950634</v>
      </c>
      <c r="D2473" s="83">
        <v>-8.6096354643708795E-3</v>
      </c>
      <c r="E2473" s="82"/>
    </row>
    <row r="2474" spans="1:5" ht="14.4">
      <c r="A2474" s="68">
        <v>40962</v>
      </c>
      <c r="B2474" s="65">
        <v>27.295000000000002</v>
      </c>
      <c r="C2474" s="80">
        <v>1112549</v>
      </c>
      <c r="D2474" s="83">
        <v>4.7855696668508418E-3</v>
      </c>
      <c r="E2474" s="82"/>
    </row>
    <row r="2475" spans="1:5" ht="14.4">
      <c r="A2475" s="68">
        <v>40961</v>
      </c>
      <c r="B2475" s="65">
        <v>27.164999999999999</v>
      </c>
      <c r="C2475" s="80">
        <v>934879</v>
      </c>
      <c r="D2475" s="83">
        <v>6.1111111111111782E-3</v>
      </c>
      <c r="E2475" s="82"/>
    </row>
    <row r="2476" spans="1:5" ht="14.4">
      <c r="A2476" s="68">
        <v>40960</v>
      </c>
      <c r="B2476" s="65">
        <v>27</v>
      </c>
      <c r="C2476" s="80">
        <v>1119109</v>
      </c>
      <c r="D2476" s="83">
        <v>-2.5858884373846092E-3</v>
      </c>
      <c r="E2476" s="82"/>
    </row>
    <row r="2477" spans="1:5" ht="14.4">
      <c r="A2477" s="68">
        <v>40959</v>
      </c>
      <c r="B2477" s="65">
        <v>27.07</v>
      </c>
      <c r="C2477" s="80">
        <v>894991</v>
      </c>
      <c r="D2477" s="83">
        <v>-1.8436578171091567E-3</v>
      </c>
      <c r="E2477" s="82"/>
    </row>
    <row r="2478" spans="1:5" ht="14.4">
      <c r="A2478" s="68">
        <v>40956</v>
      </c>
      <c r="B2478" s="65">
        <v>27.12</v>
      </c>
      <c r="C2478" s="80">
        <v>1011000</v>
      </c>
      <c r="D2478" s="83">
        <v>8.5533655634064676E-3</v>
      </c>
      <c r="E2478" s="82"/>
    </row>
    <row r="2479" spans="1:5" ht="14.4">
      <c r="A2479" s="68">
        <v>40955</v>
      </c>
      <c r="B2479" s="65">
        <v>26.89</v>
      </c>
      <c r="C2479" s="80">
        <v>1040933</v>
      </c>
      <c r="D2479" s="83">
        <v>-5.3634177917514236E-3</v>
      </c>
      <c r="E2479" s="82"/>
    </row>
    <row r="2480" spans="1:5" ht="14.4">
      <c r="A2480" s="68">
        <v>40954</v>
      </c>
      <c r="B2480" s="65">
        <v>27.035</v>
      </c>
      <c r="C2480" s="80">
        <v>833145</v>
      </c>
      <c r="D2480" s="83">
        <v>1.667284179325712E-3</v>
      </c>
      <c r="E2480" s="82"/>
    </row>
    <row r="2481" spans="1:5" ht="14.4">
      <c r="A2481" s="68">
        <v>40953</v>
      </c>
      <c r="B2481" s="65">
        <v>26.99</v>
      </c>
      <c r="C2481" s="80">
        <v>749507</v>
      </c>
      <c r="D2481" s="83">
        <v>-2.2181146025879173E-3</v>
      </c>
      <c r="E2481" s="82"/>
    </row>
    <row r="2482" spans="1:5" ht="14.4">
      <c r="A2482" s="68">
        <v>40952</v>
      </c>
      <c r="B2482" s="65">
        <v>27.05</v>
      </c>
      <c r="C2482" s="80">
        <v>774750</v>
      </c>
      <c r="D2482" s="83">
        <v>1.1214953271028172E-2</v>
      </c>
      <c r="E2482" s="82"/>
    </row>
    <row r="2483" spans="1:5" ht="14.4">
      <c r="A2483" s="68">
        <v>40949</v>
      </c>
      <c r="B2483" s="65">
        <v>26.75</v>
      </c>
      <c r="C2483" s="80">
        <v>756600</v>
      </c>
      <c r="D2483" s="83">
        <v>-2.9817368617218731E-3</v>
      </c>
      <c r="E2483" s="82"/>
    </row>
    <row r="2484" spans="1:5" ht="14.4">
      <c r="A2484" s="68">
        <v>40948</v>
      </c>
      <c r="B2484" s="65">
        <v>26.83</v>
      </c>
      <c r="C2484" s="80">
        <v>1784527</v>
      </c>
      <c r="D2484" s="83">
        <v>1.41750141750141E-2</v>
      </c>
      <c r="E2484" s="82"/>
    </row>
    <row r="2485" spans="1:5" ht="14.4">
      <c r="A2485" s="68">
        <v>40947</v>
      </c>
      <c r="B2485" s="65">
        <v>26.454999999999998</v>
      </c>
      <c r="C2485" s="80">
        <v>1477695</v>
      </c>
      <c r="D2485" s="83">
        <v>-1.8549434242255636E-2</v>
      </c>
      <c r="E2485" s="82"/>
    </row>
    <row r="2486" spans="1:5" ht="14.4">
      <c r="A2486" s="68">
        <v>40946</v>
      </c>
      <c r="B2486" s="65">
        <v>26.954999999999998</v>
      </c>
      <c r="C2486" s="80">
        <v>775466</v>
      </c>
      <c r="D2486" s="83">
        <v>-1.0099155343371358E-2</v>
      </c>
      <c r="E2486" s="82"/>
    </row>
    <row r="2487" spans="1:5" ht="14.4">
      <c r="A2487" s="68">
        <v>40945</v>
      </c>
      <c r="B2487" s="65">
        <v>27.23</v>
      </c>
      <c r="C2487" s="80">
        <v>1469732</v>
      </c>
      <c r="D2487" s="83">
        <v>-1.125635439360928E-2</v>
      </c>
      <c r="E2487" s="82"/>
    </row>
    <row r="2488" spans="1:5" ht="14.4">
      <c r="A2488" s="68">
        <v>40942</v>
      </c>
      <c r="B2488" s="65">
        <v>27.54</v>
      </c>
      <c r="C2488" s="80">
        <v>2894178</v>
      </c>
      <c r="D2488" s="83">
        <v>6.0862865947611589E-2</v>
      </c>
      <c r="E2488" s="82"/>
    </row>
    <row r="2489" spans="1:5" ht="14.4">
      <c r="A2489" s="68">
        <v>40941</v>
      </c>
      <c r="B2489" s="65">
        <v>25.96</v>
      </c>
      <c r="C2489" s="80">
        <v>1255122</v>
      </c>
      <c r="D2489" s="83">
        <v>1.9264110961292324E-4</v>
      </c>
      <c r="E2489" s="82"/>
    </row>
    <row r="2490" spans="1:5" ht="14.4">
      <c r="A2490" s="68">
        <v>40940</v>
      </c>
      <c r="B2490" s="65">
        <v>25.954999999999998</v>
      </c>
      <c r="C2490" s="80">
        <v>1543984</v>
      </c>
      <c r="D2490" s="83">
        <v>1.0708722741432863E-2</v>
      </c>
      <c r="E2490" s="82"/>
    </row>
    <row r="2491" spans="1:5" ht="14.4">
      <c r="A2491" s="68">
        <v>40939</v>
      </c>
      <c r="B2491" s="65">
        <v>25.68</v>
      </c>
      <c r="C2491" s="80">
        <v>1957311</v>
      </c>
      <c r="D2491" s="83">
        <v>1.1820330969267268E-2</v>
      </c>
      <c r="E2491" s="82"/>
    </row>
    <row r="2492" spans="1:5" ht="14.4">
      <c r="A2492" s="68">
        <v>40938</v>
      </c>
      <c r="B2492" s="65">
        <v>25.38</v>
      </c>
      <c r="C2492" s="80">
        <v>1557321</v>
      </c>
      <c r="D2492" s="83">
        <v>-8.9808668488872145E-3</v>
      </c>
      <c r="E2492" s="82"/>
    </row>
    <row r="2493" spans="1:5" ht="14.4">
      <c r="A2493" s="68">
        <v>40935</v>
      </c>
      <c r="B2493" s="65">
        <v>25.61</v>
      </c>
      <c r="C2493" s="80">
        <v>1837179</v>
      </c>
      <c r="D2493" s="83">
        <v>6.4845745726076487E-3</v>
      </c>
      <c r="E2493" s="82"/>
    </row>
    <row r="2494" spans="1:5" ht="14.4">
      <c r="A2494" s="68">
        <v>40934</v>
      </c>
      <c r="B2494" s="65">
        <v>25.445</v>
      </c>
      <c r="C2494" s="80">
        <v>1823406</v>
      </c>
      <c r="D2494" s="83">
        <v>-1.4141805501743487E-2</v>
      </c>
      <c r="E2494" s="82"/>
    </row>
    <row r="2495" spans="1:5" ht="14.4">
      <c r="A2495" s="68">
        <v>40933</v>
      </c>
      <c r="B2495" s="65">
        <v>25.81</v>
      </c>
      <c r="C2495" s="80">
        <v>1738042</v>
      </c>
      <c r="D2495" s="83">
        <v>-6.160954948016939E-3</v>
      </c>
      <c r="E2495" s="82"/>
    </row>
    <row r="2496" spans="1:5" ht="14.4">
      <c r="A2496" s="68">
        <v>40932</v>
      </c>
      <c r="B2496" s="65">
        <v>25.97</v>
      </c>
      <c r="C2496" s="80">
        <v>1193026</v>
      </c>
      <c r="D2496" s="83">
        <v>1.2673035679469757E-2</v>
      </c>
      <c r="E2496" s="82"/>
    </row>
    <row r="2497" spans="1:5" ht="14.4">
      <c r="A2497" s="68">
        <v>40931</v>
      </c>
      <c r="B2497" s="65">
        <v>25.645</v>
      </c>
      <c r="C2497" s="80">
        <v>1234162</v>
      </c>
      <c r="D2497" s="83">
        <v>-1.9493177387908123E-4</v>
      </c>
      <c r="E2497" s="82"/>
    </row>
    <row r="2498" spans="1:5" ht="14.4">
      <c r="A2498" s="68">
        <v>40928</v>
      </c>
      <c r="B2498" s="65">
        <v>25.65</v>
      </c>
      <c r="C2498" s="80">
        <v>1947437</v>
      </c>
      <c r="D2498" s="83">
        <v>4.8971596474045587E-3</v>
      </c>
      <c r="E2498" s="82"/>
    </row>
    <row r="2499" spans="1:5" ht="14.4">
      <c r="A2499" s="68">
        <v>40927</v>
      </c>
      <c r="B2499" s="65">
        <v>25.524999999999999</v>
      </c>
      <c r="C2499" s="80">
        <v>2559988</v>
      </c>
      <c r="D2499" s="83">
        <v>-1.3145176879953646E-2</v>
      </c>
      <c r="E2499" s="82"/>
    </row>
    <row r="2500" spans="1:5" ht="14.4">
      <c r="A2500" s="68">
        <v>40926</v>
      </c>
      <c r="B2500" s="65">
        <v>25.864999999999998</v>
      </c>
      <c r="C2500" s="80">
        <v>1835223</v>
      </c>
      <c r="D2500" s="83">
        <v>2.9081039162466293E-3</v>
      </c>
      <c r="E2500" s="82"/>
    </row>
    <row r="2501" spans="1:5" ht="14.4">
      <c r="A2501" s="68">
        <v>40925</v>
      </c>
      <c r="B2501" s="65">
        <v>25.79</v>
      </c>
      <c r="C2501" s="80">
        <v>1867802</v>
      </c>
      <c r="D2501" s="83">
        <v>4.4790652385588992E-3</v>
      </c>
      <c r="E2501" s="82"/>
    </row>
    <row r="2502" spans="1:5" ht="14.4">
      <c r="A2502" s="68">
        <v>40924</v>
      </c>
      <c r="B2502" s="65">
        <v>25.675000000000001</v>
      </c>
      <c r="C2502" s="80">
        <v>1185409</v>
      </c>
      <c r="D2502" s="83">
        <v>2.0874751491053667E-2</v>
      </c>
      <c r="E2502" s="82"/>
    </row>
    <row r="2503" spans="1:5" ht="14.4">
      <c r="A2503" s="68">
        <v>40921</v>
      </c>
      <c r="B2503" s="65">
        <v>25.15</v>
      </c>
      <c r="C2503" s="80">
        <v>2141930</v>
      </c>
      <c r="D2503" s="83">
        <v>4.5935690033951371E-3</v>
      </c>
      <c r="E2503" s="82"/>
    </row>
    <row r="2504" spans="1:5" ht="14.4">
      <c r="A2504" s="68">
        <v>40920</v>
      </c>
      <c r="B2504" s="65">
        <v>25.035</v>
      </c>
      <c r="C2504" s="80">
        <v>1402965</v>
      </c>
      <c r="D2504" s="83">
        <v>-5.3635280095352122E-3</v>
      </c>
      <c r="E2504" s="82"/>
    </row>
    <row r="2505" spans="1:5" ht="14.4">
      <c r="A2505" s="68">
        <v>40919</v>
      </c>
      <c r="B2505" s="65">
        <v>25.17</v>
      </c>
      <c r="C2505" s="80">
        <v>1541233</v>
      </c>
      <c r="D2505" s="83">
        <v>5.5932880543347885E-3</v>
      </c>
      <c r="E2505" s="82"/>
    </row>
    <row r="2506" spans="1:5" ht="14.4">
      <c r="A2506" s="68">
        <v>40918</v>
      </c>
      <c r="B2506" s="65">
        <v>25.03</v>
      </c>
      <c r="C2506" s="80">
        <v>1199185</v>
      </c>
      <c r="D2506" s="83">
        <v>6.6358335009049085E-3</v>
      </c>
      <c r="E2506" s="82"/>
    </row>
    <row r="2507" spans="1:5" ht="14.4">
      <c r="A2507" s="68">
        <v>40917</v>
      </c>
      <c r="B2507" s="65">
        <v>24.864999999999998</v>
      </c>
      <c r="C2507" s="80">
        <v>1067315</v>
      </c>
      <c r="D2507" s="83">
        <v>4.0379567938622074E-3</v>
      </c>
      <c r="E2507" s="82"/>
    </row>
    <row r="2508" spans="1:5" ht="14.4">
      <c r="A2508" s="68">
        <v>40914</v>
      </c>
      <c r="B2508" s="65">
        <v>24.765000000000001</v>
      </c>
      <c r="C2508" s="80">
        <v>1561995</v>
      </c>
      <c r="D2508" s="83">
        <v>-5.0220972278023357E-3</v>
      </c>
      <c r="E2508" s="82"/>
    </row>
    <row r="2509" spans="1:5" ht="14.4">
      <c r="A2509" s="68">
        <v>40913</v>
      </c>
      <c r="B2509" s="65">
        <v>24.89</v>
      </c>
      <c r="C2509" s="80">
        <v>2412476</v>
      </c>
      <c r="D2509" s="83">
        <v>1.3230205577040577E-2</v>
      </c>
      <c r="E2509" s="82"/>
    </row>
    <row r="2510" spans="1:5" ht="14.4">
      <c r="A2510" s="68">
        <v>40912</v>
      </c>
      <c r="B2510" s="65">
        <v>24.565000000000001</v>
      </c>
      <c r="C2510" s="80">
        <v>1580817</v>
      </c>
      <c r="D2510" s="83">
        <v>2.6530612244899388E-3</v>
      </c>
      <c r="E2510" s="82"/>
    </row>
    <row r="2511" spans="1:5" ht="14.4">
      <c r="A2511" s="68">
        <v>40911</v>
      </c>
      <c r="B2511" s="65">
        <v>24.5</v>
      </c>
      <c r="C2511" s="80">
        <v>1417588</v>
      </c>
      <c r="D2511" s="83">
        <v>0</v>
      </c>
      <c r="E2511" s="82"/>
    </row>
    <row r="2512" spans="1:5" ht="14.4">
      <c r="A2512" s="68">
        <v>40910</v>
      </c>
      <c r="B2512" s="65">
        <v>24.5</v>
      </c>
      <c r="C2512" s="80">
        <v>632206</v>
      </c>
      <c r="D2512" s="83">
        <v>1.449275362318847E-2</v>
      </c>
      <c r="E2512" s="82"/>
    </row>
    <row r="2513" spans="1:5" ht="14.4">
      <c r="A2513" s="68">
        <v>40907</v>
      </c>
      <c r="B2513" s="65">
        <v>24.15</v>
      </c>
      <c r="C2513" s="80">
        <v>685247</v>
      </c>
      <c r="D2513" s="83">
        <v>2.9069767441860517E-3</v>
      </c>
      <c r="E2513" s="82"/>
    </row>
    <row r="2514" spans="1:5" ht="14.4">
      <c r="A2514" s="68">
        <v>40906</v>
      </c>
      <c r="B2514" s="65">
        <v>24.08</v>
      </c>
      <c r="C2514" s="80">
        <v>751412</v>
      </c>
      <c r="D2514" s="83">
        <v>2.0338983050847359E-2</v>
      </c>
      <c r="E2514" s="82"/>
    </row>
    <row r="2515" spans="1:5" ht="14.4">
      <c r="A2515" s="68">
        <v>40905</v>
      </c>
      <c r="B2515" s="65">
        <v>23.6</v>
      </c>
      <c r="C2515" s="80">
        <v>680795</v>
      </c>
      <c r="D2515" s="83">
        <v>4.2390843577799764E-4</v>
      </c>
      <c r="E2515" s="82"/>
    </row>
    <row r="2516" spans="1:5" ht="14.4">
      <c r="A2516" s="68">
        <v>40904</v>
      </c>
      <c r="B2516" s="65">
        <v>23.59</v>
      </c>
      <c r="C2516" s="80">
        <v>423522</v>
      </c>
      <c r="D2516" s="83">
        <v>-4.2372881355934311E-4</v>
      </c>
      <c r="E2516" s="82"/>
    </row>
    <row r="2517" spans="1:5" ht="14.4">
      <c r="A2517" s="68">
        <v>40900</v>
      </c>
      <c r="B2517" s="65">
        <v>23.6</v>
      </c>
      <c r="C2517" s="80">
        <v>614732</v>
      </c>
      <c r="D2517" s="83">
        <v>-1.9031507718333396E-3</v>
      </c>
      <c r="E2517" s="82"/>
    </row>
    <row r="2518" spans="1:5" ht="14.4">
      <c r="A2518" s="68">
        <v>40899</v>
      </c>
      <c r="B2518" s="65">
        <v>23.645</v>
      </c>
      <c r="C2518" s="80">
        <v>1024682</v>
      </c>
      <c r="D2518" s="83">
        <v>-1.6888325944690585E-3</v>
      </c>
      <c r="E2518" s="82"/>
    </row>
    <row r="2519" spans="1:5" ht="14.4">
      <c r="A2519" s="68">
        <v>40898</v>
      </c>
      <c r="B2519" s="65">
        <v>23.684999999999999</v>
      </c>
      <c r="C2519" s="80">
        <v>2542205</v>
      </c>
      <c r="D2519" s="83">
        <v>3.6016949152541944E-3</v>
      </c>
      <c r="E2519" s="82"/>
    </row>
    <row r="2520" spans="1:5" ht="14.4">
      <c r="A2520" s="68">
        <v>40897</v>
      </c>
      <c r="B2520" s="65">
        <v>23.6</v>
      </c>
      <c r="C2520" s="80">
        <v>2108747</v>
      </c>
      <c r="D2520" s="83">
        <v>3.5087719298245723E-2</v>
      </c>
      <c r="E2520" s="82"/>
    </row>
    <row r="2521" spans="1:5" ht="14.4">
      <c r="A2521" s="68">
        <v>40896</v>
      </c>
      <c r="B2521" s="65">
        <v>22.8</v>
      </c>
      <c r="C2521" s="80">
        <v>1067347</v>
      </c>
      <c r="D2521" s="83">
        <v>6.6225165562914245E-3</v>
      </c>
      <c r="E2521" s="82"/>
    </row>
    <row r="2522" spans="1:5" ht="14.4">
      <c r="A2522" s="68">
        <v>40893</v>
      </c>
      <c r="B2522" s="65">
        <v>22.65</v>
      </c>
      <c r="C2522" s="80">
        <v>2367268</v>
      </c>
      <c r="D2522" s="83">
        <v>-4.833040421792778E-3</v>
      </c>
      <c r="E2522" s="82"/>
    </row>
    <row r="2523" spans="1:5" ht="14.4">
      <c r="A2523" s="68">
        <v>40892</v>
      </c>
      <c r="B2523" s="65">
        <v>22.76</v>
      </c>
      <c r="C2523" s="80">
        <v>1710287</v>
      </c>
      <c r="D2523" s="83">
        <v>2.7539503386004638E-2</v>
      </c>
      <c r="E2523" s="82"/>
    </row>
    <row r="2524" spans="1:5" ht="14.4">
      <c r="A2524" s="68">
        <v>40891</v>
      </c>
      <c r="B2524" s="65">
        <v>22.15</v>
      </c>
      <c r="C2524" s="80">
        <v>1657011</v>
      </c>
      <c r="D2524" s="83">
        <v>-2.0994475138121582E-2</v>
      </c>
      <c r="E2524" s="82"/>
    </row>
    <row r="2525" spans="1:5" ht="14.4">
      <c r="A2525" s="68">
        <v>40890</v>
      </c>
      <c r="B2525" s="65">
        <v>22.625</v>
      </c>
      <c r="C2525" s="80">
        <v>1668223</v>
      </c>
      <c r="D2525" s="83">
        <v>2.677558429770821E-2</v>
      </c>
      <c r="E2525" s="82"/>
    </row>
    <row r="2526" spans="1:5" ht="14.4">
      <c r="A2526" s="68">
        <v>40889</v>
      </c>
      <c r="B2526" s="65">
        <v>22.035</v>
      </c>
      <c r="C2526" s="80">
        <v>990905</v>
      </c>
      <c r="D2526" s="83">
        <v>-1.6514170943985773E-2</v>
      </c>
      <c r="E2526" s="82"/>
    </row>
    <row r="2527" spans="1:5" ht="14.4">
      <c r="A2527" s="68">
        <v>40886</v>
      </c>
      <c r="B2527" s="65">
        <v>22.405000000000001</v>
      </c>
      <c r="C2527" s="80">
        <v>1478529</v>
      </c>
      <c r="D2527" s="83">
        <v>2.6810265811182399E-2</v>
      </c>
      <c r="E2527" s="82"/>
    </row>
    <row r="2528" spans="1:5" ht="14.4">
      <c r="A2528" s="68">
        <v>40885</v>
      </c>
      <c r="B2528" s="65">
        <v>21.82</v>
      </c>
      <c r="C2528" s="80">
        <v>1705044</v>
      </c>
      <c r="D2528" s="83">
        <v>0</v>
      </c>
      <c r="E2528" s="82"/>
    </row>
    <row r="2529" spans="1:5" ht="14.4">
      <c r="A2529" s="68">
        <v>40884</v>
      </c>
      <c r="B2529" s="65">
        <v>21.82</v>
      </c>
      <c r="C2529" s="80">
        <v>1566971</v>
      </c>
      <c r="D2529" s="83">
        <v>-4.78905359179016E-3</v>
      </c>
      <c r="E2529" s="82"/>
    </row>
    <row r="2530" spans="1:5" ht="14.4">
      <c r="A2530" s="68">
        <v>40883</v>
      </c>
      <c r="B2530" s="65">
        <v>21.925000000000001</v>
      </c>
      <c r="C2530" s="80">
        <v>1230357</v>
      </c>
      <c r="D2530" s="83">
        <v>-5.8943550215370122E-3</v>
      </c>
      <c r="E2530" s="82"/>
    </row>
    <row r="2531" spans="1:5" ht="14.4">
      <c r="A2531" s="68">
        <v>40882</v>
      </c>
      <c r="B2531" s="65">
        <v>22.055</v>
      </c>
      <c r="C2531" s="80">
        <v>1364279</v>
      </c>
      <c r="D2531" s="83">
        <v>5.6999544003648595E-3</v>
      </c>
      <c r="E2531" s="82"/>
    </row>
    <row r="2532" spans="1:5" ht="14.4">
      <c r="A2532" s="68">
        <v>40879</v>
      </c>
      <c r="B2532" s="65">
        <v>21.93</v>
      </c>
      <c r="C2532" s="80">
        <v>1722158</v>
      </c>
      <c r="D2532" s="83">
        <v>7.3495636196601044E-3</v>
      </c>
      <c r="E2532" s="82"/>
    </row>
    <row r="2533" spans="1:5" ht="14.4">
      <c r="A2533" s="68">
        <v>40878</v>
      </c>
      <c r="B2533" s="65">
        <v>21.77</v>
      </c>
      <c r="C2533" s="80">
        <v>1374129</v>
      </c>
      <c r="D2533" s="83">
        <v>-1.9148456859653051E-2</v>
      </c>
      <c r="E2533" s="82"/>
    </row>
    <row r="2534" spans="1:5" ht="14.4">
      <c r="A2534" s="68">
        <v>40877</v>
      </c>
      <c r="B2534" s="65">
        <v>22.195</v>
      </c>
      <c r="C2534" s="80">
        <v>2716230</v>
      </c>
      <c r="D2534" s="83">
        <v>3.7149532710280431E-2</v>
      </c>
      <c r="E2534" s="82"/>
    </row>
    <row r="2535" spans="1:5" ht="14.4">
      <c r="A2535" s="68">
        <v>40876</v>
      </c>
      <c r="B2535" s="65">
        <v>21.4</v>
      </c>
      <c r="C2535" s="80">
        <v>2836752</v>
      </c>
      <c r="D2535" s="83">
        <v>1.6381933068101429E-3</v>
      </c>
      <c r="E2535" s="82"/>
    </row>
    <row r="2536" spans="1:5" ht="14.4">
      <c r="A2536" s="68">
        <v>40875</v>
      </c>
      <c r="B2536" s="65">
        <v>21.364999999999998</v>
      </c>
      <c r="C2536" s="80">
        <v>1216415</v>
      </c>
      <c r="D2536" s="83">
        <v>2.9886719691491814E-2</v>
      </c>
      <c r="E2536" s="82"/>
    </row>
    <row r="2537" spans="1:5" ht="14.4">
      <c r="A2537" s="68">
        <v>40872</v>
      </c>
      <c r="B2537" s="65">
        <v>20.745000000000001</v>
      </c>
      <c r="C2537" s="80">
        <v>1458056</v>
      </c>
      <c r="D2537" s="83">
        <v>2.4108003857303828E-4</v>
      </c>
      <c r="E2537" s="82"/>
    </row>
    <row r="2538" spans="1:5" ht="14.4">
      <c r="A2538" s="68">
        <v>40871</v>
      </c>
      <c r="B2538" s="65">
        <v>20.74</v>
      </c>
      <c r="C2538" s="80">
        <v>1948141</v>
      </c>
      <c r="D2538" s="83">
        <v>2.7241208519068749E-2</v>
      </c>
      <c r="E2538" s="82"/>
    </row>
    <row r="2539" spans="1:5" ht="14.4">
      <c r="A2539" s="68">
        <v>40870</v>
      </c>
      <c r="B2539" s="65">
        <v>20.190000000000001</v>
      </c>
      <c r="C2539" s="80">
        <v>1857417</v>
      </c>
      <c r="D2539" s="83">
        <v>-1.8712029161603749E-2</v>
      </c>
      <c r="E2539" s="82"/>
    </row>
    <row r="2540" spans="1:5" ht="14.4">
      <c r="A2540" s="68">
        <v>40869</v>
      </c>
      <c r="B2540" s="65">
        <v>20.574999999999999</v>
      </c>
      <c r="C2540" s="80">
        <v>1917973</v>
      </c>
      <c r="D2540" s="83">
        <v>-1.0817307692307709E-2</v>
      </c>
      <c r="E2540" s="82"/>
    </row>
    <row r="2541" spans="1:5" ht="14.4">
      <c r="A2541" s="68">
        <v>40868</v>
      </c>
      <c r="B2541" s="65">
        <v>20.8</v>
      </c>
      <c r="C2541" s="80">
        <v>1319771</v>
      </c>
      <c r="D2541" s="83">
        <v>-2.3703356019713628E-2</v>
      </c>
      <c r="E2541" s="82"/>
    </row>
    <row r="2542" spans="1:5" ht="14.4">
      <c r="A2542" s="68">
        <v>40865</v>
      </c>
      <c r="B2542" s="65">
        <v>21.305</v>
      </c>
      <c r="C2542" s="80">
        <v>1751617</v>
      </c>
      <c r="D2542" s="83">
        <v>4.7158688988446773E-3</v>
      </c>
      <c r="E2542" s="82"/>
    </row>
    <row r="2543" spans="1:5" ht="14.4">
      <c r="A2543" s="68">
        <v>40864</v>
      </c>
      <c r="B2543" s="65">
        <v>21.204999999999998</v>
      </c>
      <c r="C2543" s="80">
        <v>2222874</v>
      </c>
      <c r="D2543" s="83">
        <v>-3.6136363636363744E-2</v>
      </c>
      <c r="E2543" s="82"/>
    </row>
    <row r="2544" spans="1:5" ht="14.4">
      <c r="A2544" s="68">
        <v>40863</v>
      </c>
      <c r="B2544" s="65">
        <v>22</v>
      </c>
      <c r="C2544" s="80">
        <v>1965741</v>
      </c>
      <c r="D2544" s="83">
        <v>4.5475216007284658E-4</v>
      </c>
      <c r="E2544" s="82"/>
    </row>
    <row r="2545" spans="1:5" ht="14.4">
      <c r="A2545" s="68">
        <v>40862</v>
      </c>
      <c r="B2545" s="65">
        <v>21.99</v>
      </c>
      <c r="C2545" s="80">
        <v>2009821</v>
      </c>
      <c r="D2545" s="83">
        <v>-2.7210884353742193E-3</v>
      </c>
      <c r="E2545" s="82"/>
    </row>
    <row r="2546" spans="1:5" ht="14.4">
      <c r="A2546" s="68">
        <v>40861</v>
      </c>
      <c r="B2546" s="65">
        <v>22.05</v>
      </c>
      <c r="C2546" s="80">
        <v>1767002</v>
      </c>
      <c r="D2546" s="83">
        <v>-9.6564114080395225E-3</v>
      </c>
      <c r="E2546" s="82"/>
    </row>
    <row r="2547" spans="1:5" ht="14.4">
      <c r="A2547" s="68">
        <v>40858</v>
      </c>
      <c r="B2547" s="65">
        <v>22.265000000000001</v>
      </c>
      <c r="C2547" s="80">
        <v>3250147</v>
      </c>
      <c r="D2547" s="83">
        <v>6.1754887935145497E-2</v>
      </c>
      <c r="E2547" s="82"/>
    </row>
    <row r="2548" spans="1:5" ht="14.4">
      <c r="A2548" s="68">
        <v>40857</v>
      </c>
      <c r="B2548" s="65">
        <v>20.97</v>
      </c>
      <c r="C2548" s="80">
        <v>5867574</v>
      </c>
      <c r="D2548" s="83">
        <v>5.0338091660405704E-2</v>
      </c>
      <c r="E2548" s="82"/>
    </row>
    <row r="2549" spans="1:5" ht="14.4">
      <c r="A2549" s="68">
        <v>40856</v>
      </c>
      <c r="B2549" s="65">
        <v>19.965</v>
      </c>
      <c r="C2549" s="80">
        <v>3652109</v>
      </c>
      <c r="D2549" s="83">
        <v>-4.3363679923335008E-2</v>
      </c>
      <c r="E2549" s="82"/>
    </row>
    <row r="2550" spans="1:5" ht="14.4">
      <c r="A2550" s="68">
        <v>40855</v>
      </c>
      <c r="B2550" s="65">
        <v>20.87</v>
      </c>
      <c r="C2550" s="80">
        <v>1806284</v>
      </c>
      <c r="D2550" s="83">
        <v>-1.6262078717888206E-2</v>
      </c>
      <c r="E2550" s="82"/>
    </row>
    <row r="2551" spans="1:5" ht="14.4">
      <c r="A2551" s="68">
        <v>40854</v>
      </c>
      <c r="B2551" s="65">
        <v>21.215</v>
      </c>
      <c r="C2551" s="80">
        <v>1147295</v>
      </c>
      <c r="D2551" s="83">
        <v>-5.3914674167837573E-3</v>
      </c>
      <c r="E2551" s="82"/>
    </row>
    <row r="2552" spans="1:5" ht="14.4">
      <c r="A2552" s="68">
        <v>40851</v>
      </c>
      <c r="B2552" s="65">
        <v>21.33</v>
      </c>
      <c r="C2552" s="80">
        <v>1299237</v>
      </c>
      <c r="D2552" s="83">
        <v>-1.4553014553014609E-2</v>
      </c>
      <c r="E2552" s="82"/>
    </row>
    <row r="2553" spans="1:5" ht="14.4">
      <c r="A2553" s="68">
        <v>40850</v>
      </c>
      <c r="B2553" s="65">
        <v>21.645</v>
      </c>
      <c r="C2553" s="80">
        <v>2154708</v>
      </c>
      <c r="D2553" s="83">
        <v>1.6913319238900604E-2</v>
      </c>
      <c r="E2553" s="82"/>
    </row>
    <row r="2554" spans="1:5" ht="14.4">
      <c r="A2554" s="68">
        <v>40849</v>
      </c>
      <c r="B2554" s="65">
        <v>21.285</v>
      </c>
      <c r="C2554" s="80">
        <v>1393042</v>
      </c>
      <c r="D2554" s="83">
        <v>9.2460881934566252E-3</v>
      </c>
      <c r="E2554" s="82"/>
    </row>
    <row r="2555" spans="1:5" ht="14.4">
      <c r="A2555" s="68">
        <v>40848</v>
      </c>
      <c r="B2555" s="65">
        <v>21.09</v>
      </c>
      <c r="C2555" s="80">
        <v>3989542</v>
      </c>
      <c r="D2555" s="83">
        <v>-1.310248011230708E-2</v>
      </c>
      <c r="E2555" s="82"/>
    </row>
    <row r="2556" spans="1:5" ht="14.4">
      <c r="A2556" s="68">
        <v>40847</v>
      </c>
      <c r="B2556" s="65">
        <v>21.37</v>
      </c>
      <c r="C2556" s="80">
        <v>1783703</v>
      </c>
      <c r="D2556" s="83">
        <v>9.3676814988286061E-4</v>
      </c>
      <c r="E2556" s="82"/>
    </row>
    <row r="2557" spans="1:5" ht="14.4">
      <c r="A2557" s="68">
        <v>40844</v>
      </c>
      <c r="B2557" s="65">
        <v>21.35</v>
      </c>
      <c r="C2557" s="80">
        <v>1663624</v>
      </c>
      <c r="D2557" s="83">
        <v>-1.0199350950394037E-2</v>
      </c>
      <c r="E2557" s="82"/>
    </row>
    <row r="2558" spans="1:5" ht="14.4">
      <c r="A2558" s="68">
        <v>40843</v>
      </c>
      <c r="B2558" s="65">
        <v>21.57</v>
      </c>
      <c r="C2558" s="80">
        <v>3060617</v>
      </c>
      <c r="D2558" s="83">
        <v>6.2038404726735719E-2</v>
      </c>
      <c r="E2558" s="82"/>
    </row>
    <row r="2559" spans="1:5" ht="14.4">
      <c r="A2559" s="68">
        <v>40842</v>
      </c>
      <c r="B2559" s="65">
        <v>20.309999999999999</v>
      </c>
      <c r="C2559" s="80">
        <v>1904659</v>
      </c>
      <c r="D2559" s="83">
        <v>-3.2857142857142918E-2</v>
      </c>
      <c r="E2559" s="82"/>
    </row>
    <row r="2560" spans="1:5" ht="14.4">
      <c r="A2560" s="68">
        <v>40841</v>
      </c>
      <c r="B2560" s="65">
        <v>21</v>
      </c>
      <c r="C2560" s="80">
        <v>1955070</v>
      </c>
      <c r="D2560" s="83">
        <v>2.1897810218977964E-2</v>
      </c>
      <c r="E2560" s="82"/>
    </row>
    <row r="2561" spans="1:5" ht="14.4">
      <c r="A2561" s="68">
        <v>40840</v>
      </c>
      <c r="B2561" s="65">
        <v>20.55</v>
      </c>
      <c r="C2561" s="80">
        <v>1351696</v>
      </c>
      <c r="D2561" s="83">
        <v>9.8280098280096873E-3</v>
      </c>
      <c r="E2561" s="82"/>
    </row>
    <row r="2562" spans="1:5" ht="14.4">
      <c r="A2562" s="68">
        <v>40837</v>
      </c>
      <c r="B2562" s="65">
        <v>20.350000000000001</v>
      </c>
      <c r="C2562" s="80">
        <v>3396529</v>
      </c>
      <c r="D2562" s="83">
        <v>1.3698630136986356E-2</v>
      </c>
      <c r="E2562" s="82"/>
    </row>
    <row r="2563" spans="1:5" ht="14.4">
      <c r="A2563" s="68">
        <v>40836</v>
      </c>
      <c r="B2563" s="65">
        <v>20.074999999999999</v>
      </c>
      <c r="C2563" s="80">
        <v>3917117</v>
      </c>
      <c r="D2563" s="83">
        <v>-6.3666044776119479E-2</v>
      </c>
      <c r="E2563" s="82"/>
    </row>
    <row r="2564" spans="1:5" ht="14.4">
      <c r="A2564" s="68">
        <v>40835</v>
      </c>
      <c r="B2564" s="65">
        <v>21.44</v>
      </c>
      <c r="C2564" s="80">
        <v>2367822</v>
      </c>
      <c r="D2564" s="83">
        <v>-4.2857142857142705E-2</v>
      </c>
      <c r="E2564" s="82"/>
    </row>
    <row r="2565" spans="1:5" ht="14.4">
      <c r="A2565" s="68">
        <v>40834</v>
      </c>
      <c r="B2565" s="65">
        <v>22.4</v>
      </c>
      <c r="C2565" s="80">
        <v>1452576</v>
      </c>
      <c r="D2565" s="83">
        <v>1.8413275744487256E-2</v>
      </c>
      <c r="E2565" s="82"/>
    </row>
    <row r="2566" spans="1:5" ht="14.4">
      <c r="A2566" s="68">
        <v>40833</v>
      </c>
      <c r="B2566" s="65">
        <v>21.995000000000001</v>
      </c>
      <c r="C2566" s="80">
        <v>1549853</v>
      </c>
      <c r="D2566" s="83">
        <v>-4.2655059847660493E-2</v>
      </c>
      <c r="E2566" s="82"/>
    </row>
    <row r="2567" spans="1:5" ht="14.4">
      <c r="A2567" s="68">
        <v>40830</v>
      </c>
      <c r="B2567" s="65">
        <v>22.975000000000001</v>
      </c>
      <c r="C2567" s="80">
        <v>1615521</v>
      </c>
      <c r="D2567" s="83">
        <v>1.6817880061960722E-2</v>
      </c>
      <c r="E2567" s="82"/>
    </row>
    <row r="2568" spans="1:5" ht="14.4">
      <c r="A2568" s="68">
        <v>40829</v>
      </c>
      <c r="B2568" s="65">
        <v>22.594999999999999</v>
      </c>
      <c r="C2568" s="80">
        <v>1624008</v>
      </c>
      <c r="D2568" s="83">
        <v>1.0961968680089473E-2</v>
      </c>
      <c r="E2568" s="82"/>
    </row>
    <row r="2569" spans="1:5" ht="14.4">
      <c r="A2569" s="68">
        <v>40828</v>
      </c>
      <c r="B2569" s="65">
        <v>22.35</v>
      </c>
      <c r="C2569" s="80">
        <v>1874535</v>
      </c>
      <c r="D2569" s="83">
        <v>-2.4548091943762396E-3</v>
      </c>
      <c r="E2569" s="82"/>
    </row>
    <row r="2570" spans="1:5" ht="14.4">
      <c r="A2570" s="68">
        <v>40827</v>
      </c>
      <c r="B2570" s="65">
        <v>22.405000000000001</v>
      </c>
      <c r="C2570" s="80">
        <v>1646679</v>
      </c>
      <c r="D2570" s="83">
        <v>2.7752293577981701E-2</v>
      </c>
      <c r="E2570" s="82"/>
    </row>
    <row r="2571" spans="1:5" ht="14.4">
      <c r="A2571" s="68">
        <v>40826</v>
      </c>
      <c r="B2571" s="65">
        <v>21.8</v>
      </c>
      <c r="C2571" s="80">
        <v>1379310</v>
      </c>
      <c r="D2571" s="83">
        <v>3.8837264712890285E-2</v>
      </c>
      <c r="E2571" s="82"/>
    </row>
    <row r="2572" spans="1:5" ht="14.4">
      <c r="A2572" s="68">
        <v>40823</v>
      </c>
      <c r="B2572" s="65">
        <v>20.984999999999999</v>
      </c>
      <c r="C2572" s="80">
        <v>1782955</v>
      </c>
      <c r="D2572" s="83">
        <v>-3.3172080165860374E-2</v>
      </c>
      <c r="E2572" s="82"/>
    </row>
    <row r="2573" spans="1:5" ht="14.4">
      <c r="A2573" s="68">
        <v>40822</v>
      </c>
      <c r="B2573" s="65">
        <v>21.704999999999998</v>
      </c>
      <c r="C2573" s="80">
        <v>1893286</v>
      </c>
      <c r="D2573" s="83">
        <v>3.5543893129770909E-2</v>
      </c>
      <c r="E2573" s="82"/>
    </row>
    <row r="2574" spans="1:5" ht="14.4">
      <c r="A2574" s="68">
        <v>40821</v>
      </c>
      <c r="B2574" s="65">
        <v>20.96</v>
      </c>
      <c r="C2574" s="80">
        <v>2402134</v>
      </c>
      <c r="D2574" s="83">
        <v>5.6984367120524571E-2</v>
      </c>
      <c r="E2574" s="82"/>
    </row>
    <row r="2575" spans="1:5" ht="14.4">
      <c r="A2575" s="68">
        <v>40820</v>
      </c>
      <c r="B2575" s="65">
        <v>19.829999999999998</v>
      </c>
      <c r="C2575" s="80">
        <v>3793112</v>
      </c>
      <c r="D2575" s="83">
        <v>-5.2103250478011676E-2</v>
      </c>
      <c r="E2575" s="82"/>
    </row>
    <row r="2576" spans="1:5" ht="14.4">
      <c r="A2576" s="68">
        <v>40819</v>
      </c>
      <c r="B2576" s="65">
        <v>20.92</v>
      </c>
      <c r="C2576" s="80">
        <v>1409265</v>
      </c>
      <c r="D2576" s="83">
        <v>-1.3440226361706942E-2</v>
      </c>
      <c r="E2576" s="82"/>
    </row>
    <row r="2577" spans="1:5" ht="14.4">
      <c r="A2577" s="68">
        <v>40816</v>
      </c>
      <c r="B2577" s="65">
        <v>21.204999999999998</v>
      </c>
      <c r="C2577" s="80">
        <v>1560727</v>
      </c>
      <c r="D2577" s="83">
        <v>-1.7832329782306644E-2</v>
      </c>
      <c r="E2577" s="82"/>
    </row>
    <row r="2578" spans="1:5" ht="14.4">
      <c r="A2578" s="68">
        <v>40815</v>
      </c>
      <c r="B2578" s="65">
        <v>21.59</v>
      </c>
      <c r="C2578" s="80">
        <v>1229512</v>
      </c>
      <c r="D2578" s="83">
        <v>1.5044663845792172E-2</v>
      </c>
      <c r="E2578" s="82"/>
    </row>
    <row r="2579" spans="1:5" ht="14.4">
      <c r="A2579" s="68">
        <v>40814</v>
      </c>
      <c r="B2579" s="65">
        <v>21.27</v>
      </c>
      <c r="C2579" s="80">
        <v>1555215</v>
      </c>
      <c r="D2579" s="83">
        <v>9.4117647058822307E-4</v>
      </c>
      <c r="E2579" s="82"/>
    </row>
    <row r="2580" spans="1:5" ht="14.4">
      <c r="A2580" s="68">
        <v>40813</v>
      </c>
      <c r="B2580" s="65">
        <v>21.25</v>
      </c>
      <c r="C2580" s="80">
        <v>2167333</v>
      </c>
      <c r="D2580" s="83">
        <v>4.4226044226044259E-2</v>
      </c>
      <c r="E2580" s="82"/>
    </row>
    <row r="2581" spans="1:5" ht="14.4">
      <c r="A2581" s="68">
        <v>40812</v>
      </c>
      <c r="B2581" s="65">
        <v>20.350000000000001</v>
      </c>
      <c r="C2581" s="80">
        <v>2641844</v>
      </c>
      <c r="D2581" s="83">
        <v>-1.5957446808510523E-2</v>
      </c>
      <c r="E2581" s="82"/>
    </row>
    <row r="2582" spans="1:5" ht="14.4">
      <c r="A2582" s="68">
        <v>40809</v>
      </c>
      <c r="B2582" s="65">
        <v>20.68</v>
      </c>
      <c r="C2582" s="80">
        <v>2788552</v>
      </c>
      <c r="D2582" s="83">
        <v>-1.0052656773575919E-2</v>
      </c>
      <c r="E2582" s="82"/>
    </row>
    <row r="2583" spans="1:5" ht="14.4">
      <c r="A2583" s="68">
        <v>40808</v>
      </c>
      <c r="B2583" s="65">
        <v>20.89</v>
      </c>
      <c r="C2583" s="80">
        <v>4563747</v>
      </c>
      <c r="D2583" s="83">
        <v>-7.9127176548379863E-2</v>
      </c>
      <c r="E2583" s="82"/>
    </row>
    <row r="2584" spans="1:5" ht="14.4">
      <c r="A2584" s="68">
        <v>40807</v>
      </c>
      <c r="B2584" s="65">
        <v>22.684999999999999</v>
      </c>
      <c r="C2584" s="80">
        <v>1922547</v>
      </c>
      <c r="D2584" s="83">
        <v>-9.1723083642717418E-3</v>
      </c>
      <c r="E2584" s="82"/>
    </row>
    <row r="2585" spans="1:5" ht="14.4">
      <c r="A2585" s="68">
        <v>40806</v>
      </c>
      <c r="B2585" s="65">
        <v>22.895</v>
      </c>
      <c r="C2585" s="80">
        <v>2003710</v>
      </c>
      <c r="D2585" s="83">
        <v>3.1074082413870885E-2</v>
      </c>
      <c r="E2585" s="82"/>
    </row>
    <row r="2586" spans="1:5" ht="14.4">
      <c r="A2586" s="68">
        <v>40805</v>
      </c>
      <c r="B2586" s="65">
        <v>22.204999999999998</v>
      </c>
      <c r="C2586" s="80">
        <v>1801701</v>
      </c>
      <c r="D2586" s="83">
        <v>4.7511312217192181E-3</v>
      </c>
      <c r="E2586" s="82"/>
    </row>
    <row r="2587" spans="1:5" ht="14.4">
      <c r="A2587" s="68">
        <v>40802</v>
      </c>
      <c r="B2587" s="65">
        <v>22.1</v>
      </c>
      <c r="C2587" s="80">
        <v>3516660</v>
      </c>
      <c r="D2587" s="83">
        <v>-7.1877807726864473E-3</v>
      </c>
      <c r="E2587" s="82"/>
    </row>
    <row r="2588" spans="1:5" ht="14.4">
      <c r="A2588" s="68">
        <v>40801</v>
      </c>
      <c r="B2588" s="65">
        <v>22.26</v>
      </c>
      <c r="C2588" s="80">
        <v>2481482</v>
      </c>
      <c r="D2588" s="83">
        <v>2.3683605426534804E-2</v>
      </c>
      <c r="E2588" s="82"/>
    </row>
    <row r="2589" spans="1:5" ht="14.4">
      <c r="A2589" s="68">
        <v>40800</v>
      </c>
      <c r="B2589" s="65">
        <v>21.745000000000001</v>
      </c>
      <c r="C2589" s="80">
        <v>1948210</v>
      </c>
      <c r="D2589" s="83">
        <v>2.5707547169811384E-2</v>
      </c>
      <c r="E2589" s="82"/>
    </row>
    <row r="2590" spans="1:5" ht="14.4">
      <c r="A2590" s="68">
        <v>40799</v>
      </c>
      <c r="B2590" s="65">
        <v>21.2</v>
      </c>
      <c r="C2590" s="80">
        <v>3124876</v>
      </c>
      <c r="D2590" s="83">
        <v>-1.0270774976657404E-2</v>
      </c>
      <c r="E2590" s="82"/>
    </row>
    <row r="2591" spans="1:5" ht="14.4">
      <c r="A2591" s="68">
        <v>40798</v>
      </c>
      <c r="B2591" s="65">
        <v>21.42</v>
      </c>
      <c r="C2591" s="80">
        <v>2432999</v>
      </c>
      <c r="D2591" s="83">
        <v>3.2786885245901232E-3</v>
      </c>
      <c r="E2591" s="82"/>
    </row>
    <row r="2592" spans="1:5" ht="14.4">
      <c r="A2592" s="68">
        <v>40795</v>
      </c>
      <c r="B2592" s="65">
        <v>21.35</v>
      </c>
      <c r="C2592" s="80">
        <v>2294737</v>
      </c>
      <c r="D2592" s="83">
        <v>-1.3401109057301297E-2</v>
      </c>
      <c r="E2592" s="82"/>
    </row>
    <row r="2593" spans="1:5" ht="14.4">
      <c r="A2593" s="68">
        <v>40794</v>
      </c>
      <c r="B2593" s="65">
        <v>21.64</v>
      </c>
      <c r="C2593" s="80">
        <v>1269052</v>
      </c>
      <c r="D2593" s="83">
        <v>-1.0742857142857165E-2</v>
      </c>
      <c r="E2593" s="82"/>
    </row>
    <row r="2594" spans="1:5" ht="14.4">
      <c r="A2594" s="68">
        <v>40793</v>
      </c>
      <c r="B2594" s="65">
        <v>21.875</v>
      </c>
      <c r="C2594" s="80">
        <v>2787021</v>
      </c>
      <c r="D2594" s="83">
        <v>7.0729319627998111E-2</v>
      </c>
      <c r="E2594" s="82"/>
    </row>
    <row r="2595" spans="1:5" ht="14.4">
      <c r="A2595" s="68">
        <v>40792</v>
      </c>
      <c r="B2595" s="65">
        <v>20.43</v>
      </c>
      <c r="C2595" s="80">
        <v>2195084</v>
      </c>
      <c r="D2595" s="83">
        <v>2.6993865030675579E-3</v>
      </c>
      <c r="E2595" s="82"/>
    </row>
    <row r="2596" spans="1:5" ht="14.4">
      <c r="A2596" s="68">
        <v>40791</v>
      </c>
      <c r="B2596" s="65">
        <v>20.375</v>
      </c>
      <c r="C2596" s="80">
        <v>1803422</v>
      </c>
      <c r="D2596" s="83">
        <v>-4.3202629725287656E-2</v>
      </c>
      <c r="E2596" s="82"/>
    </row>
    <row r="2597" spans="1:5" ht="14.4">
      <c r="A2597" s="68">
        <v>40788</v>
      </c>
      <c r="B2597" s="65">
        <v>21.295000000000002</v>
      </c>
      <c r="C2597" s="80">
        <v>1540472</v>
      </c>
      <c r="D2597" s="83">
        <v>-3.7731586082241142E-2</v>
      </c>
      <c r="E2597" s="82"/>
    </row>
    <row r="2598" spans="1:5" ht="14.4">
      <c r="A2598" s="68">
        <v>40787</v>
      </c>
      <c r="B2598" s="65">
        <v>22.13</v>
      </c>
      <c r="C2598" s="80">
        <v>1251059</v>
      </c>
      <c r="D2598" s="83">
        <v>2.0375820692777324E-3</v>
      </c>
      <c r="E2598" s="82"/>
    </row>
    <row r="2599" spans="1:5" ht="14.4">
      <c r="A2599" s="68">
        <v>40786</v>
      </c>
      <c r="B2599" s="65">
        <v>22.085000000000001</v>
      </c>
      <c r="C2599" s="80">
        <v>2355938</v>
      </c>
      <c r="D2599" s="83">
        <v>3.9294117647058924E-2</v>
      </c>
      <c r="E2599" s="82"/>
    </row>
    <row r="2600" spans="1:5" ht="14.4">
      <c r="A2600" s="68">
        <v>40785</v>
      </c>
      <c r="B2600" s="65">
        <v>21.25</v>
      </c>
      <c r="C2600" s="80">
        <v>1623675</v>
      </c>
      <c r="D2600" s="83">
        <v>-3.2833020637899057E-3</v>
      </c>
      <c r="E2600" s="82"/>
    </row>
    <row r="2601" spans="1:5" ht="14.4">
      <c r="A2601" s="68">
        <v>40784</v>
      </c>
      <c r="B2601" s="65">
        <v>21.32</v>
      </c>
      <c r="C2601" s="80">
        <v>725069</v>
      </c>
      <c r="D2601" s="83">
        <v>1.4513442778967489E-2</v>
      </c>
      <c r="E2601" s="82"/>
    </row>
    <row r="2602" spans="1:5" ht="14.4">
      <c r="A2602" s="68">
        <v>40781</v>
      </c>
      <c r="B2602" s="65">
        <v>21.015000000000001</v>
      </c>
      <c r="C2602" s="80">
        <v>2077917</v>
      </c>
      <c r="D2602" s="83">
        <v>-1.7531556802244053E-2</v>
      </c>
      <c r="E2602" s="82"/>
    </row>
    <row r="2603" spans="1:5" ht="14.4">
      <c r="A2603" s="68">
        <v>40780</v>
      </c>
      <c r="B2603" s="65">
        <v>21.39</v>
      </c>
      <c r="C2603" s="80">
        <v>1582959</v>
      </c>
      <c r="D2603" s="83">
        <v>-1.6777752240864086E-2</v>
      </c>
      <c r="E2603" s="82"/>
    </row>
    <row r="2604" spans="1:5" ht="14.4">
      <c r="A2604" s="68">
        <v>40779</v>
      </c>
      <c r="B2604" s="65">
        <v>21.754999999999999</v>
      </c>
      <c r="C2604" s="80">
        <v>1661494</v>
      </c>
      <c r="D2604" s="83">
        <v>2.2321428571428381E-2</v>
      </c>
      <c r="E2604" s="82"/>
    </row>
    <row r="2605" spans="1:5" ht="14.4">
      <c r="A2605" s="68">
        <v>40778</v>
      </c>
      <c r="B2605" s="65">
        <v>21.28</v>
      </c>
      <c r="C2605" s="80">
        <v>1593896</v>
      </c>
      <c r="D2605" s="83">
        <v>9.2482807683187396E-3</v>
      </c>
      <c r="E2605" s="82"/>
    </row>
    <row r="2606" spans="1:5" ht="14.4">
      <c r="A2606" s="68">
        <v>40777</v>
      </c>
      <c r="B2606" s="65">
        <v>21.085000000000001</v>
      </c>
      <c r="C2606" s="80">
        <v>1466072</v>
      </c>
      <c r="D2606" s="83">
        <v>1.5166104959075666E-2</v>
      </c>
      <c r="E2606" s="82"/>
    </row>
    <row r="2607" spans="1:5" ht="14.4">
      <c r="A2607" s="68">
        <v>40774</v>
      </c>
      <c r="B2607" s="65">
        <v>20.77</v>
      </c>
      <c r="C2607" s="80">
        <v>2521210</v>
      </c>
      <c r="D2607" s="83">
        <v>-6.2200956937799035E-3</v>
      </c>
      <c r="E2607" s="82"/>
    </row>
    <row r="2608" spans="1:5" ht="14.4">
      <c r="A2608" s="68">
        <v>40773</v>
      </c>
      <c r="B2608" s="65">
        <v>20.9</v>
      </c>
      <c r="C2608" s="80">
        <v>3041564</v>
      </c>
      <c r="D2608" s="83">
        <v>-7.5221238938053214E-2</v>
      </c>
      <c r="E2608" s="82"/>
    </row>
    <row r="2609" spans="1:5" ht="14.4">
      <c r="A2609" s="68">
        <v>40772</v>
      </c>
      <c r="B2609" s="65">
        <v>22.6</v>
      </c>
      <c r="C2609" s="80">
        <v>2208873</v>
      </c>
      <c r="D2609" s="83">
        <v>3.669724770642202E-2</v>
      </c>
      <c r="E2609" s="82"/>
    </row>
    <row r="2610" spans="1:5" ht="14.4">
      <c r="A2610" s="68">
        <v>40771</v>
      </c>
      <c r="B2610" s="65">
        <v>21.8</v>
      </c>
      <c r="C2610" s="80">
        <v>2072165</v>
      </c>
      <c r="D2610" s="83">
        <v>-9.5411176737846271E-3</v>
      </c>
      <c r="E2610" s="82"/>
    </row>
    <row r="2611" spans="1:5" ht="14.4">
      <c r="A2611" s="68">
        <v>40770</v>
      </c>
      <c r="B2611" s="65">
        <v>22.01</v>
      </c>
      <c r="C2611" s="80">
        <v>1755689</v>
      </c>
      <c r="D2611" s="83">
        <v>3.0913348946135732E-2</v>
      </c>
      <c r="E2611" s="82"/>
    </row>
    <row r="2612" spans="1:5" ht="14.4">
      <c r="A2612" s="68">
        <v>40767</v>
      </c>
      <c r="B2612" s="65">
        <v>21.35</v>
      </c>
      <c r="C2612" s="80">
        <v>2218980</v>
      </c>
      <c r="D2612" s="83">
        <v>3.3147834502782692E-2</v>
      </c>
      <c r="E2612" s="82"/>
    </row>
    <row r="2613" spans="1:5" ht="14.4">
      <c r="A2613" s="68">
        <v>40766</v>
      </c>
      <c r="B2613" s="65">
        <v>20.664999999999999</v>
      </c>
      <c r="C2613" s="80">
        <v>4028729</v>
      </c>
      <c r="D2613" s="83">
        <v>3.7920642893018552E-2</v>
      </c>
      <c r="E2613" s="82"/>
    </row>
    <row r="2614" spans="1:5" ht="14.4">
      <c r="A2614" s="68">
        <v>40765</v>
      </c>
      <c r="B2614" s="65">
        <v>19.91</v>
      </c>
      <c r="C2614" s="80">
        <v>4311701</v>
      </c>
      <c r="D2614" s="83">
        <v>-2.8543547206635766E-2</v>
      </c>
      <c r="E2614" s="82"/>
    </row>
    <row r="2615" spans="1:5" ht="14.4">
      <c r="A2615" s="68">
        <v>40764</v>
      </c>
      <c r="B2615" s="65">
        <v>20.495000000000001</v>
      </c>
      <c r="C2615" s="80">
        <v>6224431</v>
      </c>
      <c r="D2615" s="83">
        <v>3.4578495709237878E-2</v>
      </c>
      <c r="E2615" s="82"/>
    </row>
    <row r="2616" spans="1:5" ht="14.4">
      <c r="A2616" s="68">
        <v>40763</v>
      </c>
      <c r="B2616" s="65">
        <v>19.809999999999999</v>
      </c>
      <c r="C2616" s="80">
        <v>5113272</v>
      </c>
      <c r="D2616" s="83">
        <v>-8.6254612546125542E-2</v>
      </c>
      <c r="E2616" s="82"/>
    </row>
    <row r="2617" spans="1:5" ht="14.4">
      <c r="A2617" s="68">
        <v>40760</v>
      </c>
      <c r="B2617" s="65">
        <v>21.68</v>
      </c>
      <c r="C2617" s="80">
        <v>6116622</v>
      </c>
      <c r="D2617" s="83">
        <v>1.5218918286115546E-2</v>
      </c>
      <c r="E2617" s="82"/>
    </row>
    <row r="2618" spans="1:5" ht="14.4">
      <c r="A2618" s="68">
        <v>40759</v>
      </c>
      <c r="B2618" s="65">
        <v>21.355</v>
      </c>
      <c r="C2618" s="80">
        <v>4079032</v>
      </c>
      <c r="D2618" s="83">
        <v>-6.0492740871095463E-2</v>
      </c>
      <c r="E2618" s="82"/>
    </row>
    <row r="2619" spans="1:5" ht="14.4">
      <c r="A2619" s="68">
        <v>40758</v>
      </c>
      <c r="B2619" s="65">
        <v>22.73</v>
      </c>
      <c r="C2619" s="80">
        <v>3129395</v>
      </c>
      <c r="D2619" s="83">
        <v>-3.4204376460590602E-2</v>
      </c>
      <c r="E2619" s="82"/>
    </row>
    <row r="2620" spans="1:5" ht="14.4">
      <c r="A2620" s="68">
        <v>40757</v>
      </c>
      <c r="B2620" s="65">
        <v>23.535</v>
      </c>
      <c r="C2620" s="80">
        <v>2397229</v>
      </c>
      <c r="D2620" s="83">
        <v>-1.7532874139010612E-2</v>
      </c>
      <c r="E2620" s="82"/>
    </row>
    <row r="2621" spans="1:5" ht="14.4">
      <c r="A2621" s="68">
        <v>40756</v>
      </c>
      <c r="B2621" s="65">
        <v>23.954999999999998</v>
      </c>
      <c r="C2621" s="80">
        <v>1879955</v>
      </c>
      <c r="D2621" s="83">
        <v>-1.0123966942148788E-2</v>
      </c>
      <c r="E2621" s="82"/>
    </row>
    <row r="2622" spans="1:5" ht="14.4">
      <c r="A2622" s="68">
        <v>40753</v>
      </c>
      <c r="B2622" s="65">
        <v>24.2</v>
      </c>
      <c r="C2622" s="80">
        <v>2336289</v>
      </c>
      <c r="D2622" s="83">
        <v>-4.115226337448652E-3</v>
      </c>
      <c r="E2622" s="82"/>
    </row>
    <row r="2623" spans="1:5" ht="14.4">
      <c r="A2623" s="68">
        <v>40752</v>
      </c>
      <c r="B2623" s="65">
        <v>24.3</v>
      </c>
      <c r="C2623" s="80">
        <v>1954247</v>
      </c>
      <c r="D2623" s="83">
        <v>-1.2330456226878894E-3</v>
      </c>
      <c r="E2623" s="82"/>
    </row>
    <row r="2624" spans="1:5" ht="14.4">
      <c r="A2624" s="68">
        <v>40751</v>
      </c>
      <c r="B2624" s="65">
        <v>24.33</v>
      </c>
      <c r="C2624" s="80">
        <v>1822057</v>
      </c>
      <c r="D2624" s="83">
        <v>-6.1274509803922461E-3</v>
      </c>
      <c r="E2624" s="82"/>
    </row>
    <row r="2625" spans="1:5" ht="14.4">
      <c r="A2625" s="68">
        <v>40750</v>
      </c>
      <c r="B2625" s="65">
        <v>24.48</v>
      </c>
      <c r="C2625" s="80">
        <v>2382372</v>
      </c>
      <c r="D2625" s="83">
        <v>-2.2364217252396124E-2</v>
      </c>
      <c r="E2625" s="82"/>
    </row>
    <row r="2626" spans="1:5" ht="14.4">
      <c r="A2626" s="68">
        <v>40749</v>
      </c>
      <c r="B2626" s="65">
        <v>25.04</v>
      </c>
      <c r="C2626" s="80">
        <v>1454358</v>
      </c>
      <c r="D2626" s="83">
        <v>8.2544795651298131E-3</v>
      </c>
      <c r="E2626" s="82"/>
    </row>
    <row r="2627" spans="1:5" ht="14.4">
      <c r="A2627" s="68">
        <v>40746</v>
      </c>
      <c r="B2627" s="65">
        <v>24.835000000000001</v>
      </c>
      <c r="C2627" s="80">
        <v>1590706</v>
      </c>
      <c r="D2627" s="83">
        <v>-1.4073180538801688E-3</v>
      </c>
      <c r="E2627" s="82"/>
    </row>
    <row r="2628" spans="1:5" ht="14.4">
      <c r="A2628" s="68">
        <v>40745</v>
      </c>
      <c r="B2628" s="65">
        <v>24.87</v>
      </c>
      <c r="C2628" s="80">
        <v>2737461</v>
      </c>
      <c r="D2628" s="83">
        <v>3.2271077047196783E-3</v>
      </c>
      <c r="E2628" s="82"/>
    </row>
    <row r="2629" spans="1:5" ht="14.4">
      <c r="A2629" s="68">
        <v>40744</v>
      </c>
      <c r="B2629" s="65">
        <v>24.79</v>
      </c>
      <c r="C2629" s="80">
        <v>4007421</v>
      </c>
      <c r="D2629" s="83">
        <v>3.5938152946092705E-2</v>
      </c>
      <c r="E2629" s="82"/>
    </row>
    <row r="2630" spans="1:5" ht="14.4">
      <c r="A2630" s="68">
        <v>40743</v>
      </c>
      <c r="B2630" s="65">
        <v>23.93</v>
      </c>
      <c r="C2630" s="80">
        <v>1663875</v>
      </c>
      <c r="D2630" s="83">
        <v>7.1548821548821362E-3</v>
      </c>
      <c r="E2630" s="82"/>
    </row>
    <row r="2631" spans="1:5" ht="14.4">
      <c r="A2631" s="68">
        <v>40742</v>
      </c>
      <c r="B2631" s="65">
        <v>23.76</v>
      </c>
      <c r="C2631" s="80">
        <v>2053102</v>
      </c>
      <c r="D2631" s="83">
        <v>2.1088148460566281E-3</v>
      </c>
      <c r="E2631" s="82"/>
    </row>
    <row r="2632" spans="1:5" ht="14.4">
      <c r="A2632" s="68">
        <v>40739</v>
      </c>
      <c r="B2632" s="65">
        <v>23.71</v>
      </c>
      <c r="C2632" s="80">
        <v>2260077</v>
      </c>
      <c r="D2632" s="83">
        <v>-3.3627574611180266E-3</v>
      </c>
      <c r="E2632" s="82"/>
    </row>
    <row r="2633" spans="1:5" ht="14.4">
      <c r="A2633" s="68">
        <v>40738</v>
      </c>
      <c r="B2633" s="65">
        <v>23.79</v>
      </c>
      <c r="C2633" s="80">
        <v>1778416</v>
      </c>
      <c r="D2633" s="83">
        <v>-1.2658227848101222E-2</v>
      </c>
      <c r="E2633" s="82"/>
    </row>
    <row r="2634" spans="1:5" ht="14.4">
      <c r="A2634" s="68">
        <v>40737</v>
      </c>
      <c r="B2634" s="65">
        <v>24.094999999999999</v>
      </c>
      <c r="C2634" s="80">
        <v>2650233</v>
      </c>
      <c r="D2634" s="83">
        <v>3.8801465833153692E-2</v>
      </c>
      <c r="E2634" s="82"/>
    </row>
    <row r="2635" spans="1:5" ht="14.4">
      <c r="A2635" s="68">
        <v>40736</v>
      </c>
      <c r="B2635" s="65">
        <v>23.195</v>
      </c>
      <c r="C2635" s="80">
        <v>3926644</v>
      </c>
      <c r="D2635" s="83">
        <v>6.5090041223692108E-3</v>
      </c>
      <c r="E2635" s="82"/>
    </row>
    <row r="2636" spans="1:5" ht="14.4">
      <c r="A2636" s="68">
        <v>40735</v>
      </c>
      <c r="B2636" s="65">
        <v>23.045000000000002</v>
      </c>
      <c r="C2636" s="80">
        <v>2367462</v>
      </c>
      <c r="D2636" s="83">
        <v>-3.4594594594593575E-3</v>
      </c>
      <c r="E2636" s="82"/>
    </row>
    <row r="2637" spans="1:5" ht="14.4">
      <c r="A2637" s="68">
        <v>40732</v>
      </c>
      <c r="B2637" s="65">
        <v>23.125</v>
      </c>
      <c r="C2637" s="80">
        <v>1904702</v>
      </c>
      <c r="D2637" s="83">
        <v>-1.1118238186871965E-2</v>
      </c>
      <c r="E2637" s="82"/>
    </row>
    <row r="2638" spans="1:5" ht="14.4">
      <c r="A2638" s="68">
        <v>40731</v>
      </c>
      <c r="B2638" s="65">
        <v>23.385000000000002</v>
      </c>
      <c r="C2638" s="80">
        <v>1409184</v>
      </c>
      <c r="D2638" s="83">
        <v>-2.1376656690885731E-4</v>
      </c>
      <c r="E2638" s="82"/>
    </row>
    <row r="2639" spans="1:5" ht="14.4">
      <c r="A2639" s="68">
        <v>40730</v>
      </c>
      <c r="B2639" s="65">
        <v>23.39</v>
      </c>
      <c r="C2639" s="80">
        <v>1619935</v>
      </c>
      <c r="D2639" s="83">
        <v>-6.7940552016985123E-3</v>
      </c>
      <c r="E2639" s="82"/>
    </row>
    <row r="2640" spans="1:5" ht="14.4">
      <c r="A2640" s="68">
        <v>40729</v>
      </c>
      <c r="B2640" s="65">
        <v>23.55</v>
      </c>
      <c r="C2640" s="80">
        <v>1489125</v>
      </c>
      <c r="D2640" s="83">
        <v>5.3361792956243548E-3</v>
      </c>
      <c r="E2640" s="82"/>
    </row>
    <row r="2641" spans="1:5" ht="14.4">
      <c r="A2641" s="68">
        <v>40728</v>
      </c>
      <c r="B2641" s="65">
        <v>23.425000000000001</v>
      </c>
      <c r="C2641" s="80">
        <v>2162287</v>
      </c>
      <c r="D2641" s="83">
        <v>1.8035636679704536E-2</v>
      </c>
      <c r="E2641" s="82"/>
    </row>
    <row r="2642" spans="1:5" ht="14.4">
      <c r="A2642" s="68">
        <v>40725</v>
      </c>
      <c r="B2642" s="65">
        <v>23.01</v>
      </c>
      <c r="C2642" s="80">
        <v>1679599</v>
      </c>
      <c r="D2642" s="83">
        <v>-3.032928942807489E-3</v>
      </c>
      <c r="E2642" s="82"/>
    </row>
    <row r="2643" spans="1:5" ht="14.4">
      <c r="A2643" s="68">
        <v>40724</v>
      </c>
      <c r="B2643" s="65">
        <v>23.08</v>
      </c>
      <c r="C2643" s="80">
        <v>2148136</v>
      </c>
      <c r="D2643" s="83">
        <v>1.1171960569550832E-2</v>
      </c>
      <c r="E2643" s="82"/>
    </row>
    <row r="2644" spans="1:5" ht="14.4">
      <c r="A2644" s="68">
        <v>40723</v>
      </c>
      <c r="B2644" s="65">
        <v>22.824999999999999</v>
      </c>
      <c r="C2644" s="80">
        <v>2232112</v>
      </c>
      <c r="D2644" s="83">
        <v>1.2644188110026544E-2</v>
      </c>
      <c r="E2644" s="82"/>
    </row>
    <row r="2645" spans="1:5" ht="14.4">
      <c r="A2645" s="68">
        <v>40722</v>
      </c>
      <c r="B2645" s="65">
        <v>22.54</v>
      </c>
      <c r="C2645" s="80">
        <v>2103596</v>
      </c>
      <c r="D2645" s="83">
        <v>2.2222222222222143E-2</v>
      </c>
      <c r="E2645" s="82"/>
    </row>
    <row r="2646" spans="1:5" ht="14.4">
      <c r="A2646" s="68">
        <v>40721</v>
      </c>
      <c r="B2646" s="65">
        <v>22.05</v>
      </c>
      <c r="C2646" s="80">
        <v>1659028</v>
      </c>
      <c r="D2646" s="83">
        <v>-1.5624999999999889E-2</v>
      </c>
      <c r="E2646" s="82"/>
    </row>
    <row r="2647" spans="1:5" ht="14.4">
      <c r="A2647" s="68">
        <v>40718</v>
      </c>
      <c r="B2647" s="65">
        <v>22.4</v>
      </c>
      <c r="C2647" s="80">
        <v>2839676</v>
      </c>
      <c r="D2647" s="83">
        <v>1.72570390554041E-2</v>
      </c>
      <c r="E2647" s="82"/>
    </row>
    <row r="2648" spans="1:5" ht="14.4">
      <c r="A2648" s="68">
        <v>40717</v>
      </c>
      <c r="B2648" s="65">
        <v>22.02</v>
      </c>
      <c r="C2648" s="80">
        <v>3829411</v>
      </c>
      <c r="D2648" s="83">
        <v>7.7803203661326314E-3</v>
      </c>
      <c r="E2648" s="82"/>
    </row>
    <row r="2649" spans="1:5" ht="14.4">
      <c r="A2649" s="68">
        <v>40716</v>
      </c>
      <c r="B2649" s="65">
        <v>21.85</v>
      </c>
      <c r="C2649" s="80">
        <v>1524596</v>
      </c>
      <c r="D2649" s="83">
        <v>4.366812227074357E-3</v>
      </c>
      <c r="E2649" s="82"/>
    </row>
    <row r="2650" spans="1:5" ht="14.4">
      <c r="A2650" s="68">
        <v>40715</v>
      </c>
      <c r="B2650" s="65">
        <v>21.754999999999999</v>
      </c>
      <c r="C2650" s="80">
        <v>2124470</v>
      </c>
      <c r="D2650" s="83">
        <v>2.3283160865474883E-2</v>
      </c>
      <c r="E2650" s="82"/>
    </row>
    <row r="2651" spans="1:5" ht="14.4">
      <c r="A2651" s="68">
        <v>40714</v>
      </c>
      <c r="B2651" s="65">
        <v>21.26</v>
      </c>
      <c r="C2651" s="80">
        <v>2009111</v>
      </c>
      <c r="D2651" s="83">
        <v>-8.3955223880597396E-3</v>
      </c>
      <c r="E2651" s="82"/>
    </row>
    <row r="2652" spans="1:5" ht="14.4">
      <c r="A2652" s="68">
        <v>40711</v>
      </c>
      <c r="B2652" s="65">
        <v>21.44</v>
      </c>
      <c r="C2652" s="80">
        <v>3265387</v>
      </c>
      <c r="D2652" s="83">
        <v>-8.7840961627367875E-3</v>
      </c>
      <c r="E2652" s="82"/>
    </row>
    <row r="2653" spans="1:5" ht="14.4">
      <c r="A2653" s="68">
        <v>40710</v>
      </c>
      <c r="B2653" s="65">
        <v>21.63</v>
      </c>
      <c r="C2653" s="80">
        <v>2965295</v>
      </c>
      <c r="D2653" s="83">
        <v>-2.0761245674740803E-3</v>
      </c>
      <c r="E2653" s="82"/>
    </row>
    <row r="2654" spans="1:5" ht="14.4">
      <c r="A2654" s="68">
        <v>40709</v>
      </c>
      <c r="B2654" s="65">
        <v>21.675000000000001</v>
      </c>
      <c r="C2654" s="80">
        <v>2011357</v>
      </c>
      <c r="D2654" s="83">
        <v>1.261387526278912E-2</v>
      </c>
      <c r="E2654" s="82"/>
    </row>
    <row r="2655" spans="1:5" ht="14.4">
      <c r="A2655" s="68">
        <v>40708</v>
      </c>
      <c r="B2655" s="65">
        <v>21.405000000000001</v>
      </c>
      <c r="C2655" s="80">
        <v>1086439</v>
      </c>
      <c r="D2655" s="83">
        <v>6.3469675599436837E-3</v>
      </c>
      <c r="E2655" s="82"/>
    </row>
    <row r="2656" spans="1:5" ht="14.4">
      <c r="A2656" s="68">
        <v>40707</v>
      </c>
      <c r="B2656" s="65">
        <v>21.27</v>
      </c>
      <c r="C2656" s="80">
        <v>808888</v>
      </c>
      <c r="D2656" s="83">
        <v>7.3407530191806902E-3</v>
      </c>
      <c r="E2656" s="82"/>
    </row>
    <row r="2657" spans="1:5" ht="14.4">
      <c r="A2657" s="68">
        <v>40704</v>
      </c>
      <c r="B2657" s="65">
        <v>21.114999999999998</v>
      </c>
      <c r="C2657" s="80">
        <v>2170426</v>
      </c>
      <c r="D2657" s="83">
        <v>-2.1320973348783356E-2</v>
      </c>
      <c r="E2657" s="82"/>
    </row>
    <row r="2658" spans="1:5" ht="14.4">
      <c r="A2658" s="68">
        <v>40703</v>
      </c>
      <c r="B2658" s="65">
        <v>21.574999999999999</v>
      </c>
      <c r="C2658" s="80">
        <v>1560580</v>
      </c>
      <c r="D2658" s="83">
        <v>1.7208863743517044E-2</v>
      </c>
      <c r="E2658" s="82"/>
    </row>
    <row r="2659" spans="1:5" ht="14.4">
      <c r="A2659" s="68">
        <v>40702</v>
      </c>
      <c r="B2659" s="65">
        <v>21.21</v>
      </c>
      <c r="C2659" s="80">
        <v>1578956</v>
      </c>
      <c r="D2659" s="83">
        <v>-6.0918462980318333E-3</v>
      </c>
      <c r="E2659" s="82"/>
    </row>
    <row r="2660" spans="1:5" ht="14.4">
      <c r="A2660" s="68">
        <v>40701</v>
      </c>
      <c r="B2660" s="65">
        <v>21.34</v>
      </c>
      <c r="C2660" s="80">
        <v>1263571</v>
      </c>
      <c r="D2660" s="83">
        <v>-5.8234334963894741E-3</v>
      </c>
      <c r="E2660" s="82"/>
    </row>
    <row r="2661" spans="1:5" ht="14.4">
      <c r="A2661" s="68">
        <v>40700</v>
      </c>
      <c r="B2661" s="65">
        <v>21.465</v>
      </c>
      <c r="C2661" s="80">
        <v>940306</v>
      </c>
      <c r="D2661" s="83">
        <v>-2.5557620817843185E-3</v>
      </c>
      <c r="E2661" s="82"/>
    </row>
    <row r="2662" spans="1:5" ht="14.4">
      <c r="A2662" s="68">
        <v>40697</v>
      </c>
      <c r="B2662" s="65">
        <v>21.52</v>
      </c>
      <c r="C2662" s="80">
        <v>1284798</v>
      </c>
      <c r="D2662" s="83">
        <v>6.077606358111165E-3</v>
      </c>
      <c r="E2662" s="82"/>
    </row>
    <row r="2663" spans="1:5" ht="14.4">
      <c r="A2663" s="68">
        <v>40696</v>
      </c>
      <c r="B2663" s="65">
        <v>21.39</v>
      </c>
      <c r="C2663" s="80">
        <v>1880175</v>
      </c>
      <c r="D2663" s="83">
        <v>-3.3438770899231751E-2</v>
      </c>
      <c r="E2663" s="82"/>
    </row>
    <row r="2664" spans="1:5" ht="14.4">
      <c r="A2664" s="68">
        <v>40695</v>
      </c>
      <c r="B2664" s="65">
        <v>22.13</v>
      </c>
      <c r="C2664" s="80">
        <v>1922593</v>
      </c>
      <c r="D2664" s="83">
        <v>-3.2779720279720315E-2</v>
      </c>
      <c r="E2664" s="82"/>
    </row>
    <row r="2665" spans="1:5" ht="14.4">
      <c r="A2665" s="68">
        <v>40694</v>
      </c>
      <c r="B2665" s="65">
        <v>22.88</v>
      </c>
      <c r="C2665" s="80">
        <v>1847573</v>
      </c>
      <c r="D2665" s="83">
        <v>2.0289855072463725E-2</v>
      </c>
      <c r="E2665" s="82"/>
    </row>
    <row r="2666" spans="1:5" ht="14.4">
      <c r="A2666" s="68">
        <v>40693</v>
      </c>
      <c r="B2666" s="65">
        <v>22.425000000000001</v>
      </c>
      <c r="C2666" s="80">
        <v>595123</v>
      </c>
      <c r="D2666" s="83">
        <v>2.2301516503109298E-4</v>
      </c>
      <c r="E2666" s="82"/>
    </row>
    <row r="2667" spans="1:5" ht="14.4">
      <c r="A2667" s="68">
        <v>40690</v>
      </c>
      <c r="B2667" s="65">
        <v>22.42</v>
      </c>
      <c r="C2667" s="80">
        <v>2329645</v>
      </c>
      <c r="D2667" s="83">
        <v>-3.7769384581203269E-3</v>
      </c>
      <c r="E2667" s="82"/>
    </row>
    <row r="2668" spans="1:5" ht="14.4">
      <c r="A2668" s="68">
        <v>40689</v>
      </c>
      <c r="B2668" s="65">
        <v>22.504999999999999</v>
      </c>
      <c r="C2668" s="80">
        <v>1461846</v>
      </c>
      <c r="D2668" s="83">
        <v>7.160438576862882E-3</v>
      </c>
      <c r="E2668" s="82"/>
    </row>
    <row r="2669" spans="1:5" ht="14.4">
      <c r="A2669" s="68">
        <v>40688</v>
      </c>
      <c r="B2669" s="65">
        <v>22.344999999999999</v>
      </c>
      <c r="C2669" s="80">
        <v>1437102</v>
      </c>
      <c r="D2669" s="83">
        <v>-9.7496122313318612E-3</v>
      </c>
      <c r="E2669" s="82"/>
    </row>
    <row r="2670" spans="1:5" ht="14.4">
      <c r="A2670" s="68">
        <v>40687</v>
      </c>
      <c r="B2670" s="65">
        <v>22.565000000000001</v>
      </c>
      <c r="C2670" s="80">
        <v>994593</v>
      </c>
      <c r="D2670" s="83">
        <v>7.3660714285714857E-3</v>
      </c>
      <c r="E2670" s="82"/>
    </row>
    <row r="2671" spans="1:5" ht="14.4">
      <c r="A2671" s="68">
        <v>40686</v>
      </c>
      <c r="B2671" s="65">
        <v>22.4</v>
      </c>
      <c r="C2671" s="80">
        <v>1628305</v>
      </c>
      <c r="D2671" s="83">
        <v>-1.3867488443759735E-2</v>
      </c>
      <c r="E2671" s="82"/>
    </row>
    <row r="2672" spans="1:5" ht="14.4">
      <c r="A2672" s="68">
        <v>40683</v>
      </c>
      <c r="B2672" s="65">
        <v>22.715</v>
      </c>
      <c r="C2672" s="80">
        <v>1528698</v>
      </c>
      <c r="D2672" s="83">
        <v>-1.3463626492942415E-2</v>
      </c>
      <c r="E2672" s="82"/>
    </row>
    <row r="2673" spans="1:5" ht="14.4">
      <c r="A2673" s="68">
        <v>40682</v>
      </c>
      <c r="B2673" s="65">
        <v>23.024999999999999</v>
      </c>
      <c r="C2673" s="80">
        <v>2542269</v>
      </c>
      <c r="D2673" s="83">
        <v>3.3902110462505464E-2</v>
      </c>
      <c r="E2673" s="82"/>
    </row>
    <row r="2674" spans="1:5" ht="14.4">
      <c r="A2674" s="68">
        <v>40681</v>
      </c>
      <c r="B2674" s="65">
        <v>22.27</v>
      </c>
      <c r="C2674" s="80">
        <v>1486792</v>
      </c>
      <c r="D2674" s="83">
        <v>9.977324263038545E-3</v>
      </c>
      <c r="E2674" s="82"/>
    </row>
    <row r="2675" spans="1:5" ht="14.4">
      <c r="A2675" s="68">
        <v>40680</v>
      </c>
      <c r="B2675" s="65">
        <v>22.05</v>
      </c>
      <c r="C2675" s="80">
        <v>2388965</v>
      </c>
      <c r="D2675" s="83">
        <v>-2.433628318584069E-2</v>
      </c>
      <c r="E2675" s="82"/>
    </row>
    <row r="2676" spans="1:5" ht="14.4">
      <c r="A2676" s="68">
        <v>40679</v>
      </c>
      <c r="B2676" s="65">
        <v>22.6</v>
      </c>
      <c r="C2676" s="80">
        <v>2553185</v>
      </c>
      <c r="D2676" s="83">
        <v>-2.1221307925508803E-2</v>
      </c>
      <c r="E2676" s="82"/>
    </row>
    <row r="2677" spans="1:5" ht="14.4">
      <c r="A2677" s="68">
        <v>40676</v>
      </c>
      <c r="B2677" s="65">
        <v>23.09</v>
      </c>
      <c r="C2677" s="80">
        <v>5313672</v>
      </c>
      <c r="D2677" s="83">
        <v>5.8446023378409206E-2</v>
      </c>
      <c r="E2677" s="82"/>
    </row>
    <row r="2678" spans="1:5" ht="14.4">
      <c r="A2678" s="68">
        <v>40675</v>
      </c>
      <c r="B2678" s="65">
        <v>21.815000000000001</v>
      </c>
      <c r="C2678" s="80">
        <v>1815233</v>
      </c>
      <c r="D2678" s="83">
        <v>2.5275735294116863E-3</v>
      </c>
      <c r="E2678" s="82"/>
    </row>
    <row r="2679" spans="1:5" ht="14.4">
      <c r="A2679" s="68">
        <v>40674</v>
      </c>
      <c r="B2679" s="65">
        <v>21.76</v>
      </c>
      <c r="C2679" s="80">
        <v>1798194</v>
      </c>
      <c r="D2679" s="83">
        <v>1.1387404136648849E-2</v>
      </c>
      <c r="E2679" s="82"/>
    </row>
    <row r="2680" spans="1:5" ht="14.4">
      <c r="A2680" s="68">
        <v>40673</v>
      </c>
      <c r="B2680" s="65">
        <v>21.515000000000001</v>
      </c>
      <c r="C2680" s="80">
        <v>3013737</v>
      </c>
      <c r="D2680" s="83">
        <v>2.5989508822126917E-2</v>
      </c>
      <c r="E2680" s="82"/>
    </row>
    <row r="2681" spans="1:5" ht="14.4">
      <c r="A2681" s="68">
        <v>40672</v>
      </c>
      <c r="B2681" s="65">
        <v>20.97</v>
      </c>
      <c r="C2681" s="80">
        <v>1913377</v>
      </c>
      <c r="D2681" s="83">
        <v>9.5465393794746944E-4</v>
      </c>
      <c r="E2681" s="82"/>
    </row>
    <row r="2682" spans="1:5" ht="14.4">
      <c r="A2682" s="68">
        <v>40669</v>
      </c>
      <c r="B2682" s="65">
        <v>20.95</v>
      </c>
      <c r="C2682" s="80">
        <v>2703085</v>
      </c>
      <c r="D2682" s="83">
        <v>2.6960784313725616E-2</v>
      </c>
      <c r="E2682" s="82"/>
    </row>
    <row r="2683" spans="1:5" ht="14.4">
      <c r="A2683" s="68">
        <v>40668</v>
      </c>
      <c r="B2683" s="65">
        <v>20.399999999999999</v>
      </c>
      <c r="C2683" s="80">
        <v>2446763</v>
      </c>
      <c r="D2683" s="83">
        <v>-3.4196384953590897E-3</v>
      </c>
      <c r="E2683" s="82"/>
    </row>
    <row r="2684" spans="1:5" ht="14.4">
      <c r="A2684" s="68">
        <v>40667</v>
      </c>
      <c r="B2684" s="65">
        <v>20.47</v>
      </c>
      <c r="C2684" s="80">
        <v>2894203</v>
      </c>
      <c r="D2684" s="83">
        <v>-1.3493975903614563E-2</v>
      </c>
      <c r="E2684" s="82"/>
    </row>
    <row r="2685" spans="1:5" ht="14.4">
      <c r="A2685" s="68">
        <v>40666</v>
      </c>
      <c r="B2685" s="65">
        <v>20.75</v>
      </c>
      <c r="C2685" s="80">
        <v>2611019</v>
      </c>
      <c r="D2685" s="83">
        <v>-9.6292729898894702E-4</v>
      </c>
      <c r="E2685" s="82"/>
    </row>
    <row r="2686" spans="1:5" ht="14.4">
      <c r="A2686" s="68">
        <v>40665</v>
      </c>
      <c r="B2686" s="65">
        <v>20.77</v>
      </c>
      <c r="C2686" s="80">
        <v>1169185</v>
      </c>
      <c r="D2686" s="83">
        <v>-5.7443752991862551E-3</v>
      </c>
      <c r="E2686" s="82"/>
    </row>
    <row r="2687" spans="1:5" ht="14.4">
      <c r="A2687" s="68">
        <v>40662</v>
      </c>
      <c r="B2687" s="65">
        <v>20.89</v>
      </c>
      <c r="C2687" s="80">
        <v>1627549</v>
      </c>
      <c r="D2687" s="83">
        <v>-1.1124260355029558E-2</v>
      </c>
      <c r="E2687" s="82"/>
    </row>
    <row r="2688" spans="1:5" ht="14.4">
      <c r="A2688" s="68">
        <v>40661</v>
      </c>
      <c r="B2688" s="65">
        <v>21.125</v>
      </c>
      <c r="C2688" s="80">
        <v>2090734</v>
      </c>
      <c r="D2688" s="83">
        <v>-6.817113305124578E-3</v>
      </c>
      <c r="E2688" s="82"/>
    </row>
    <row r="2689" spans="1:5" ht="14.4">
      <c r="A2689" s="68">
        <v>40660</v>
      </c>
      <c r="B2689" s="65">
        <v>21.27</v>
      </c>
      <c r="C2689" s="80">
        <v>1502696</v>
      </c>
      <c r="D2689" s="83">
        <v>-7.4661689220718586E-3</v>
      </c>
      <c r="E2689" s="82"/>
    </row>
    <row r="2690" spans="1:5" ht="14.4">
      <c r="A2690" s="68">
        <v>40659</v>
      </c>
      <c r="B2690" s="65">
        <v>21.43</v>
      </c>
      <c r="C2690" s="80">
        <v>1609797</v>
      </c>
      <c r="D2690" s="83">
        <v>9.182952672474709E-3</v>
      </c>
      <c r="E2690" s="82"/>
    </row>
    <row r="2691" spans="1:5" ht="14.4">
      <c r="A2691" s="68">
        <v>40654</v>
      </c>
      <c r="B2691" s="65">
        <v>21.234999999999999</v>
      </c>
      <c r="C2691" s="80">
        <v>796402</v>
      </c>
      <c r="D2691" s="83">
        <v>-1.1759172154280906E-3</v>
      </c>
      <c r="E2691" s="82"/>
    </row>
    <row r="2692" spans="1:5" ht="14.4">
      <c r="A2692" s="68">
        <v>40653</v>
      </c>
      <c r="B2692" s="65">
        <v>21.26</v>
      </c>
      <c r="C2692" s="80">
        <v>2017651</v>
      </c>
      <c r="D2692" s="83">
        <v>3.103782735208549E-2</v>
      </c>
      <c r="E2692" s="82"/>
    </row>
    <row r="2693" spans="1:5" ht="14.4">
      <c r="A2693" s="68">
        <v>40652</v>
      </c>
      <c r="B2693" s="65">
        <v>20.62</v>
      </c>
      <c r="C2693" s="80">
        <v>1247137</v>
      </c>
      <c r="D2693" s="83">
        <v>3.6505232416645939E-3</v>
      </c>
      <c r="E2693" s="82"/>
    </row>
    <row r="2694" spans="1:5" ht="14.4">
      <c r="A2694" s="68">
        <v>40651</v>
      </c>
      <c r="B2694" s="65">
        <v>20.545000000000002</v>
      </c>
      <c r="C2694" s="80">
        <v>1768026</v>
      </c>
      <c r="D2694" s="83">
        <v>-2.4453941120607614E-2</v>
      </c>
      <c r="E2694" s="82"/>
    </row>
    <row r="2695" spans="1:5" ht="14.4">
      <c r="A2695" s="68">
        <v>40648</v>
      </c>
      <c r="B2695" s="65">
        <v>21.06</v>
      </c>
      <c r="C2695" s="80">
        <v>1929147</v>
      </c>
      <c r="D2695" s="83">
        <v>8.8622754491016753E-3</v>
      </c>
      <c r="E2695" s="82"/>
    </row>
    <row r="2696" spans="1:5" ht="14.4">
      <c r="A2696" s="68">
        <v>40647</v>
      </c>
      <c r="B2696" s="65">
        <v>20.875</v>
      </c>
      <c r="C2696" s="80">
        <v>1397701</v>
      </c>
      <c r="D2696" s="83">
        <v>-1.9125029882858247E-3</v>
      </c>
      <c r="E2696" s="82"/>
    </row>
    <row r="2697" spans="1:5" ht="14.4">
      <c r="A2697" s="68">
        <v>40646</v>
      </c>
      <c r="B2697" s="65">
        <v>20.914999999999999</v>
      </c>
      <c r="C2697" s="80">
        <v>1510799</v>
      </c>
      <c r="D2697" s="83">
        <v>1.2587751149842452E-2</v>
      </c>
      <c r="E2697" s="82"/>
    </row>
    <row r="2698" spans="1:5" ht="14.4">
      <c r="A2698" s="68">
        <v>40645</v>
      </c>
      <c r="B2698" s="65">
        <v>20.655000000000001</v>
      </c>
      <c r="C2698" s="80">
        <v>2672950</v>
      </c>
      <c r="D2698" s="83">
        <v>-1.0538922155688524E-2</v>
      </c>
      <c r="E2698" s="82"/>
    </row>
    <row r="2699" spans="1:5" ht="14.4">
      <c r="A2699" s="68">
        <v>40644</v>
      </c>
      <c r="B2699" s="65">
        <v>20.875</v>
      </c>
      <c r="C2699" s="80">
        <v>1713702</v>
      </c>
      <c r="D2699" s="83">
        <v>-1.6738402678144748E-3</v>
      </c>
      <c r="E2699" s="82"/>
    </row>
    <row r="2700" spans="1:5" ht="14.4">
      <c r="A2700" s="68">
        <v>40641</v>
      </c>
      <c r="B2700" s="65">
        <v>20.91</v>
      </c>
      <c r="C2700" s="80">
        <v>1676048</v>
      </c>
      <c r="D2700" s="83">
        <v>-5.9424768243403481E-3</v>
      </c>
      <c r="E2700" s="82"/>
    </row>
    <row r="2701" spans="1:5" ht="14.4">
      <c r="A2701" s="68">
        <v>40640</v>
      </c>
      <c r="B2701" s="65">
        <v>21.035</v>
      </c>
      <c r="C2701" s="80">
        <v>2160111</v>
      </c>
      <c r="D2701" s="83">
        <v>8.8729016786570636E-3</v>
      </c>
      <c r="E2701" s="82"/>
    </row>
    <row r="2702" spans="1:5" ht="14.4">
      <c r="A2702" s="68">
        <v>40639</v>
      </c>
      <c r="B2702" s="65">
        <v>20.85</v>
      </c>
      <c r="C2702" s="80">
        <v>1524142</v>
      </c>
      <c r="D2702" s="83">
        <v>-7.6154212279866407E-3</v>
      </c>
      <c r="E2702" s="82"/>
    </row>
    <row r="2703" spans="1:5" ht="14.4">
      <c r="A2703" s="68">
        <v>40638</v>
      </c>
      <c r="B2703" s="65">
        <v>21.01</v>
      </c>
      <c r="C2703" s="80">
        <v>1165039</v>
      </c>
      <c r="D2703" s="83">
        <v>-1.1884953648679808E-3</v>
      </c>
      <c r="E2703" s="82"/>
    </row>
    <row r="2704" spans="1:5" ht="14.4">
      <c r="A2704" s="68">
        <v>40637</v>
      </c>
      <c r="B2704" s="65">
        <v>21.035</v>
      </c>
      <c r="C2704" s="80">
        <v>1101543</v>
      </c>
      <c r="D2704" s="83">
        <v>-5.9073724007561168E-3</v>
      </c>
      <c r="E2704" s="82"/>
    </row>
    <row r="2705" spans="1:5" ht="14.4">
      <c r="A2705" s="68">
        <v>40634</v>
      </c>
      <c r="B2705" s="65">
        <v>21.16</v>
      </c>
      <c r="C2705" s="80">
        <v>2074142</v>
      </c>
      <c r="D2705" s="83">
        <v>3.0185004868549248E-2</v>
      </c>
      <c r="E2705" s="82"/>
    </row>
    <row r="2706" spans="1:5" ht="14.4">
      <c r="A2706" s="68">
        <v>40633</v>
      </c>
      <c r="B2706" s="65">
        <v>20.54</v>
      </c>
      <c r="C2706" s="80">
        <v>1856359</v>
      </c>
      <c r="D2706" s="83">
        <v>-1.0597302504817052E-2</v>
      </c>
      <c r="E2706" s="82"/>
    </row>
    <row r="2707" spans="1:5" ht="14.4">
      <c r="A2707" s="68">
        <v>40632</v>
      </c>
      <c r="B2707" s="65">
        <v>20.76</v>
      </c>
      <c r="C2707" s="80">
        <v>1801944</v>
      </c>
      <c r="D2707" s="83">
        <v>2.3416317475967618E-2</v>
      </c>
      <c r="E2707" s="82"/>
    </row>
    <row r="2708" spans="1:5" ht="14.4">
      <c r="A2708" s="68">
        <v>40631</v>
      </c>
      <c r="B2708" s="65">
        <v>20.285</v>
      </c>
      <c r="C2708" s="80">
        <v>1202807</v>
      </c>
      <c r="D2708" s="83">
        <v>2.9666254635352107E-3</v>
      </c>
      <c r="E2708" s="82"/>
    </row>
    <row r="2709" spans="1:5" ht="14.4">
      <c r="A2709" s="68">
        <v>40630</v>
      </c>
      <c r="B2709" s="65">
        <v>20.225000000000001</v>
      </c>
      <c r="C2709" s="80">
        <v>856926</v>
      </c>
      <c r="D2709" s="83">
        <v>1.9816695566015063E-3</v>
      </c>
      <c r="E2709" s="82"/>
    </row>
    <row r="2710" spans="1:5" ht="14.4">
      <c r="A2710" s="68">
        <v>40627</v>
      </c>
      <c r="B2710" s="65">
        <v>20.184999999999999</v>
      </c>
      <c r="C2710" s="80">
        <v>872834</v>
      </c>
      <c r="D2710" s="83">
        <v>2.4777006937548585E-4</v>
      </c>
      <c r="E2710" s="82"/>
    </row>
    <row r="2711" spans="1:5" ht="14.4">
      <c r="A2711" s="68">
        <v>40626</v>
      </c>
      <c r="B2711" s="65">
        <v>20.18</v>
      </c>
      <c r="C2711" s="80">
        <v>1848869</v>
      </c>
      <c r="D2711" s="83">
        <v>1.7137096774193505E-2</v>
      </c>
      <c r="E2711" s="82"/>
    </row>
    <row r="2712" spans="1:5" ht="14.4">
      <c r="A2712" s="68">
        <v>40625</v>
      </c>
      <c r="B2712" s="65">
        <v>19.84</v>
      </c>
      <c r="C2712" s="80">
        <v>1879196</v>
      </c>
      <c r="D2712" s="83">
        <v>1.9265348060621523E-2</v>
      </c>
      <c r="E2712" s="82"/>
    </row>
    <row r="2713" spans="1:5" ht="14.4">
      <c r="A2713" s="68">
        <v>40624</v>
      </c>
      <c r="B2713" s="65">
        <v>19.465</v>
      </c>
      <c r="C2713" s="80">
        <v>1378173</v>
      </c>
      <c r="D2713" s="83">
        <v>-5.1111679018656098E-3</v>
      </c>
      <c r="E2713" s="82"/>
    </row>
    <row r="2714" spans="1:5" ht="14.4">
      <c r="A2714" s="68">
        <v>40623</v>
      </c>
      <c r="B2714" s="65">
        <v>19.565000000000001</v>
      </c>
      <c r="C2714" s="80">
        <v>1932640</v>
      </c>
      <c r="D2714" s="83">
        <v>1.6891891891892108E-2</v>
      </c>
      <c r="E2714" s="82"/>
    </row>
    <row r="2715" spans="1:5" ht="14.4">
      <c r="A2715" s="68">
        <v>40620</v>
      </c>
      <c r="B2715" s="65">
        <v>19.239999999999998</v>
      </c>
      <c r="C2715" s="80">
        <v>2672458</v>
      </c>
      <c r="D2715" s="83">
        <v>9.1791240493048765E-3</v>
      </c>
      <c r="E2715" s="82"/>
    </row>
    <row r="2716" spans="1:5" ht="14.4">
      <c r="A2716" s="68">
        <v>40619</v>
      </c>
      <c r="B2716" s="65">
        <v>19.065000000000001</v>
      </c>
      <c r="C2716" s="80">
        <v>2442605</v>
      </c>
      <c r="D2716" s="83">
        <v>1.5175718849840258E-2</v>
      </c>
      <c r="E2716" s="82"/>
    </row>
    <row r="2717" spans="1:5" ht="14.4">
      <c r="A2717" s="68">
        <v>40618</v>
      </c>
      <c r="B2717" s="65">
        <v>18.78</v>
      </c>
      <c r="C2717" s="80">
        <v>3371585</v>
      </c>
      <c r="D2717" s="83">
        <v>-2.6616981634275394E-4</v>
      </c>
      <c r="E2717" s="82"/>
    </row>
    <row r="2718" spans="1:5" ht="14.4">
      <c r="A2718" s="68">
        <v>40617</v>
      </c>
      <c r="B2718" s="65">
        <v>18.785</v>
      </c>
      <c r="C2718" s="80">
        <v>3987868</v>
      </c>
      <c r="D2718" s="83">
        <v>-2.8445823635893541E-2</v>
      </c>
      <c r="E2718" s="82"/>
    </row>
    <row r="2719" spans="1:5" ht="14.4">
      <c r="A2719" s="68">
        <v>40616</v>
      </c>
      <c r="B2719" s="65">
        <v>19.335000000000001</v>
      </c>
      <c r="C2719" s="80">
        <v>1765965</v>
      </c>
      <c r="D2719" s="83">
        <v>-1.628084456881207E-2</v>
      </c>
      <c r="E2719" s="82"/>
    </row>
    <row r="2720" spans="1:5" ht="14.4">
      <c r="A2720" s="68">
        <v>40613</v>
      </c>
      <c r="B2720" s="65">
        <v>19.655000000000001</v>
      </c>
      <c r="C2720" s="80">
        <v>1490737</v>
      </c>
      <c r="D2720" s="83">
        <v>-6.5706343189284588E-3</v>
      </c>
      <c r="E2720" s="82"/>
    </row>
    <row r="2721" spans="1:5" ht="14.4">
      <c r="A2721" s="68">
        <v>40612</v>
      </c>
      <c r="B2721" s="65">
        <v>19.785</v>
      </c>
      <c r="C2721" s="80">
        <v>1903531</v>
      </c>
      <c r="D2721" s="83">
        <v>-1.3708873379860376E-2</v>
      </c>
      <c r="E2721" s="82"/>
    </row>
    <row r="2722" spans="1:5" ht="14.4">
      <c r="A2722" s="68">
        <v>40611</v>
      </c>
      <c r="B2722" s="65">
        <v>20.059999999999999</v>
      </c>
      <c r="C2722" s="80">
        <v>3837820</v>
      </c>
      <c r="D2722" s="83">
        <v>1.1088709677419262E-2</v>
      </c>
      <c r="E2722" s="82"/>
    </row>
    <row r="2723" spans="1:5" ht="14.4">
      <c r="A2723" s="68">
        <v>40610</v>
      </c>
      <c r="B2723" s="65">
        <v>19.84</v>
      </c>
      <c r="C2723" s="80">
        <v>2975139</v>
      </c>
      <c r="D2723" s="83">
        <v>2.797927461139893E-2</v>
      </c>
      <c r="E2723" s="82"/>
    </row>
    <row r="2724" spans="1:5" ht="14.4">
      <c r="A2724" s="68">
        <v>40609</v>
      </c>
      <c r="B2724" s="65">
        <v>19.3</v>
      </c>
      <c r="C2724" s="80">
        <v>2979293</v>
      </c>
      <c r="D2724" s="83">
        <v>-2.0055851739020025E-2</v>
      </c>
      <c r="E2724" s="82"/>
    </row>
    <row r="2725" spans="1:5" ht="14.4">
      <c r="A2725" s="68">
        <v>40606</v>
      </c>
      <c r="B2725" s="65">
        <v>19.695</v>
      </c>
      <c r="C2725" s="80">
        <v>2269556</v>
      </c>
      <c r="D2725" s="83">
        <v>-4.2972699696663952E-3</v>
      </c>
      <c r="E2725" s="82"/>
    </row>
    <row r="2726" spans="1:5" ht="14.4">
      <c r="A2726" s="68">
        <v>40605</v>
      </c>
      <c r="B2726" s="65">
        <v>19.78</v>
      </c>
      <c r="C2726" s="80">
        <v>4090157</v>
      </c>
      <c r="D2726" s="83">
        <v>-2.6574803149606252E-2</v>
      </c>
      <c r="E2726" s="82"/>
    </row>
    <row r="2727" spans="1:5" ht="14.4">
      <c r="A2727" s="68">
        <v>40604</v>
      </c>
      <c r="B2727" s="65">
        <v>20.32</v>
      </c>
      <c r="C2727" s="80">
        <v>1735019</v>
      </c>
      <c r="D2727" s="83">
        <v>-1.5980629539951496E-2</v>
      </c>
      <c r="E2727" s="82"/>
    </row>
    <row r="2728" spans="1:5" ht="14.4">
      <c r="A2728" s="68">
        <v>40603</v>
      </c>
      <c r="B2728" s="65">
        <v>20.65</v>
      </c>
      <c r="C2728" s="80">
        <v>1505727</v>
      </c>
      <c r="D2728" s="83">
        <v>-1.4790076335877922E-2</v>
      </c>
      <c r="E2728" s="82"/>
    </row>
    <row r="2729" spans="1:5" ht="14.4">
      <c r="A2729" s="68">
        <v>40602</v>
      </c>
      <c r="B2729" s="65">
        <v>20.96</v>
      </c>
      <c r="C2729" s="80">
        <v>1789567</v>
      </c>
      <c r="D2729" s="83">
        <v>1.4520813165537216E-2</v>
      </c>
      <c r="E2729" s="82"/>
    </row>
    <row r="2730" spans="1:5" ht="14.4">
      <c r="A2730" s="68">
        <v>40599</v>
      </c>
      <c r="B2730" s="65">
        <v>20.66</v>
      </c>
      <c r="C2730" s="80">
        <v>3115426</v>
      </c>
      <c r="D2730" s="83">
        <v>-5.2961001444390421E-3</v>
      </c>
      <c r="E2730" s="82"/>
    </row>
    <row r="2731" spans="1:5" ht="14.4">
      <c r="A2731" s="68">
        <v>40598</v>
      </c>
      <c r="B2731" s="65">
        <v>20.77</v>
      </c>
      <c r="C2731" s="80">
        <v>3330566</v>
      </c>
      <c r="D2731" s="83">
        <v>-3.836930455635601E-3</v>
      </c>
      <c r="E2731" s="82"/>
    </row>
    <row r="2732" spans="1:5" ht="14.4">
      <c r="A2732" s="68">
        <v>40597</v>
      </c>
      <c r="B2732" s="65">
        <v>20.85</v>
      </c>
      <c r="C2732" s="80">
        <v>2729865</v>
      </c>
      <c r="D2732" s="83">
        <v>-9.5011876484559776E-3</v>
      </c>
      <c r="E2732" s="82"/>
    </row>
    <row r="2733" spans="1:5" ht="14.4">
      <c r="A2733" s="68">
        <v>40596</v>
      </c>
      <c r="B2733" s="65">
        <v>21.05</v>
      </c>
      <c r="C2733" s="80">
        <v>3025965</v>
      </c>
      <c r="D2733" s="83">
        <v>-5.6683986773736761E-3</v>
      </c>
      <c r="E2733" s="82"/>
    </row>
    <row r="2734" spans="1:5" ht="14.4">
      <c r="A2734" s="68">
        <v>40595</v>
      </c>
      <c r="B2734" s="65">
        <v>21.17</v>
      </c>
      <c r="C2734" s="80">
        <v>1853406</v>
      </c>
      <c r="D2734" s="83">
        <v>-2.2170900692840556E-2</v>
      </c>
      <c r="E2734" s="82"/>
    </row>
    <row r="2735" spans="1:5" ht="14.4">
      <c r="A2735" s="68">
        <v>40592</v>
      </c>
      <c r="B2735" s="65">
        <v>21.65</v>
      </c>
      <c r="C2735" s="80">
        <v>1893128</v>
      </c>
      <c r="D2735" s="83">
        <v>-5.5121727147451338E-3</v>
      </c>
      <c r="E2735" s="82"/>
    </row>
    <row r="2736" spans="1:5" ht="14.4">
      <c r="A2736" s="68">
        <v>40591</v>
      </c>
      <c r="B2736" s="65">
        <v>21.77</v>
      </c>
      <c r="C2736" s="80">
        <v>2104671</v>
      </c>
      <c r="D2736" s="83">
        <v>-2.113309352517978E-2</v>
      </c>
      <c r="E2736" s="82"/>
    </row>
    <row r="2737" spans="1:5" ht="14.4">
      <c r="A2737" s="68">
        <v>40590</v>
      </c>
      <c r="B2737" s="65">
        <v>22.24</v>
      </c>
      <c r="C2737" s="80">
        <v>2595665</v>
      </c>
      <c r="D2737" s="83">
        <v>1.831501831501825E-2</v>
      </c>
      <c r="E2737" s="82"/>
    </row>
    <row r="2738" spans="1:5" ht="14.4">
      <c r="A2738" s="68">
        <v>40589</v>
      </c>
      <c r="B2738" s="65">
        <v>21.84</v>
      </c>
      <c r="C2738" s="80">
        <v>1671053</v>
      </c>
      <c r="D2738" s="83">
        <v>5.062126092959085E-3</v>
      </c>
      <c r="E2738" s="82"/>
    </row>
    <row r="2739" spans="1:5" ht="14.4">
      <c r="A2739" s="68">
        <v>40588</v>
      </c>
      <c r="B2739" s="65">
        <v>21.73</v>
      </c>
      <c r="C2739" s="80">
        <v>1821133</v>
      </c>
      <c r="D2739" s="83">
        <v>-1.6080863772111043E-3</v>
      </c>
      <c r="E2739" s="82"/>
    </row>
    <row r="2740" spans="1:5" ht="14.4">
      <c r="A2740" s="68">
        <v>40585</v>
      </c>
      <c r="B2740" s="65">
        <v>21.765000000000001</v>
      </c>
      <c r="C2740" s="80">
        <v>2748417</v>
      </c>
      <c r="D2740" s="83">
        <v>3.7416587225929554E-2</v>
      </c>
      <c r="E2740" s="82"/>
    </row>
    <row r="2741" spans="1:5" ht="14.4">
      <c r="A2741" s="68">
        <v>40584</v>
      </c>
      <c r="B2741" s="65">
        <v>20.98</v>
      </c>
      <c r="C2741" s="80">
        <v>1386481</v>
      </c>
      <c r="D2741" s="83">
        <v>4.3082814743895526E-3</v>
      </c>
      <c r="E2741" s="82"/>
    </row>
    <row r="2742" spans="1:5" ht="14.4">
      <c r="A2742" s="68">
        <v>40583</v>
      </c>
      <c r="B2742" s="65">
        <v>20.89</v>
      </c>
      <c r="C2742" s="80">
        <v>1647463</v>
      </c>
      <c r="D2742" s="83">
        <v>-1.2993149066855558E-2</v>
      </c>
      <c r="E2742" s="82"/>
    </row>
    <row r="2743" spans="1:5" ht="14.4">
      <c r="A2743" s="68">
        <v>40582</v>
      </c>
      <c r="B2743" s="65">
        <v>21.164999999999999</v>
      </c>
      <c r="C2743" s="80">
        <v>2096693</v>
      </c>
      <c r="D2743" s="83">
        <v>1.510791366906461E-2</v>
      </c>
      <c r="E2743" s="82"/>
    </row>
    <row r="2744" spans="1:5" ht="14.4">
      <c r="A2744" s="68">
        <v>40581</v>
      </c>
      <c r="B2744" s="65">
        <v>20.85</v>
      </c>
      <c r="C2744" s="80">
        <v>2008218</v>
      </c>
      <c r="D2744" s="83">
        <v>2.5325792967789473E-2</v>
      </c>
      <c r="E2744" s="82"/>
    </row>
    <row r="2745" spans="1:5" ht="14.4">
      <c r="A2745" s="68">
        <v>40578</v>
      </c>
      <c r="B2745" s="65">
        <v>20.335000000000001</v>
      </c>
      <c r="C2745" s="80">
        <v>3964044</v>
      </c>
      <c r="D2745" s="83">
        <v>-2.0472061657032747E-2</v>
      </c>
      <c r="E2745" s="82"/>
    </row>
    <row r="2746" spans="1:5" ht="14.4">
      <c r="A2746" s="68">
        <v>40577</v>
      </c>
      <c r="B2746" s="65">
        <v>20.76</v>
      </c>
      <c r="C2746" s="80">
        <v>2328333</v>
      </c>
      <c r="D2746" s="83">
        <v>-3.8387715930900956E-3</v>
      </c>
      <c r="E2746" s="82"/>
    </row>
    <row r="2747" spans="1:5" ht="14.4">
      <c r="A2747" s="68">
        <v>40576</v>
      </c>
      <c r="B2747" s="65">
        <v>20.84</v>
      </c>
      <c r="C2747" s="80">
        <v>2730514</v>
      </c>
      <c r="D2747" s="83">
        <v>-6.4362336114422991E-3</v>
      </c>
      <c r="E2747" s="82"/>
    </row>
    <row r="2748" spans="1:5" ht="14.4">
      <c r="A2748" s="68">
        <v>40575</v>
      </c>
      <c r="B2748" s="65">
        <v>20.975000000000001</v>
      </c>
      <c r="C2748" s="80">
        <v>2951076</v>
      </c>
      <c r="D2748" s="83">
        <v>-3.5629453681710332E-3</v>
      </c>
      <c r="E2748" s="82"/>
    </row>
    <row r="2749" spans="1:5" ht="14.4">
      <c r="A2749" s="68">
        <v>40574</v>
      </c>
      <c r="B2749" s="65">
        <v>21.05</v>
      </c>
      <c r="C2749" s="80">
        <v>2917355</v>
      </c>
      <c r="D2749" s="83">
        <v>-2.7938120526437293E-2</v>
      </c>
      <c r="E2749" s="82"/>
    </row>
    <row r="2750" spans="1:5" ht="14.4">
      <c r="A2750" s="68">
        <v>40571</v>
      </c>
      <c r="B2750" s="65">
        <v>21.655000000000001</v>
      </c>
      <c r="C2750" s="80">
        <v>3742670</v>
      </c>
      <c r="D2750" s="83">
        <v>3.2429928190873536E-3</v>
      </c>
      <c r="E2750" s="82"/>
    </row>
    <row r="2751" spans="1:5" ht="14.4">
      <c r="A2751" s="68">
        <v>40570</v>
      </c>
      <c r="B2751" s="65">
        <v>21.585000000000001</v>
      </c>
      <c r="C2751" s="80">
        <v>4021297</v>
      </c>
      <c r="D2751" s="83">
        <v>4.0240963855421752E-2</v>
      </c>
      <c r="E2751" s="82"/>
    </row>
    <row r="2752" spans="1:5" ht="14.4">
      <c r="A2752" s="68">
        <v>40569</v>
      </c>
      <c r="B2752" s="65">
        <v>20.75</v>
      </c>
      <c r="C2752" s="80">
        <v>4109520</v>
      </c>
      <c r="D2752" s="83">
        <v>4.8216007714563247E-4</v>
      </c>
      <c r="E2752" s="82"/>
    </row>
    <row r="2753" spans="1:7" ht="14.4">
      <c r="A2753" s="68">
        <v>40568</v>
      </c>
      <c r="B2753" s="65">
        <v>20.74</v>
      </c>
      <c r="C2753" s="80">
        <v>2535503</v>
      </c>
      <c r="D2753" s="83">
        <v>9.7370983446931625E-3</v>
      </c>
      <c r="E2753" s="82"/>
    </row>
    <row r="2754" spans="1:7" ht="14.4">
      <c r="A2754" s="68">
        <v>40567</v>
      </c>
      <c r="B2754" s="65">
        <v>20.54</v>
      </c>
      <c r="C2754" s="80">
        <v>2976602</v>
      </c>
      <c r="D2754" s="83">
        <v>7.356547327121099E-3</v>
      </c>
      <c r="E2754" s="82"/>
    </row>
    <row r="2755" spans="1:7" ht="14.4">
      <c r="A2755" s="68">
        <v>40564</v>
      </c>
      <c r="B2755" s="65">
        <v>20.39</v>
      </c>
      <c r="C2755" s="80">
        <v>3238998</v>
      </c>
      <c r="D2755" s="83">
        <v>-8.2684824902722331E-3</v>
      </c>
      <c r="E2755" s="82"/>
    </row>
    <row r="2756" spans="1:7" ht="14.4">
      <c r="A2756" s="68">
        <v>40563</v>
      </c>
      <c r="B2756" s="65">
        <v>20.56</v>
      </c>
      <c r="C2756" s="80">
        <v>3547542</v>
      </c>
      <c r="D2756" s="83">
        <v>-1.8615751789976209E-2</v>
      </c>
      <c r="E2756" s="82"/>
    </row>
    <row r="2757" spans="1:7" ht="14.4">
      <c r="A2757" s="68">
        <v>40562</v>
      </c>
      <c r="B2757" s="65">
        <v>20.95</v>
      </c>
      <c r="C2757" s="80">
        <v>3174553</v>
      </c>
      <c r="D2757" s="83">
        <v>-2.3310023310023298E-2</v>
      </c>
      <c r="E2757" s="82"/>
    </row>
    <row r="2758" spans="1:7" ht="14.4">
      <c r="A2758" s="68">
        <v>40561</v>
      </c>
      <c r="B2758" s="65">
        <v>21.45</v>
      </c>
      <c r="C2758" s="80">
        <v>3344963</v>
      </c>
      <c r="D2758" s="83">
        <v>3.125E-2</v>
      </c>
      <c r="E2758" s="62"/>
      <c r="F2758" s="62"/>
      <c r="G2758" s="62"/>
    </row>
    <row r="2759" spans="1:7" ht="14.4">
      <c r="A2759" s="68">
        <v>40560</v>
      </c>
      <c r="B2759" s="65">
        <v>20.8</v>
      </c>
      <c r="C2759" s="80">
        <v>2356885</v>
      </c>
      <c r="D2759" s="83">
        <v>2.4096385542169418E-3</v>
      </c>
      <c r="E2759" s="62"/>
      <c r="F2759" s="62"/>
      <c r="G2759" s="62"/>
    </row>
    <row r="2760" spans="1:7" ht="14.4">
      <c r="A2760" s="68">
        <v>40557</v>
      </c>
      <c r="B2760" s="65">
        <v>20.75</v>
      </c>
      <c r="C2760" s="80">
        <v>2544518</v>
      </c>
      <c r="D2760" s="83">
        <v>2.2167487684729092E-2</v>
      </c>
      <c r="E2760" s="62"/>
      <c r="F2760" s="62"/>
      <c r="G2760" s="62"/>
    </row>
    <row r="2761" spans="1:7" ht="14.4">
      <c r="A2761" s="68">
        <v>40556</v>
      </c>
      <c r="B2761" s="65">
        <v>20.3</v>
      </c>
      <c r="C2761" s="80">
        <v>2971221</v>
      </c>
      <c r="D2761" s="83">
        <v>-9.5145157355452925E-3</v>
      </c>
      <c r="E2761" s="62"/>
      <c r="F2761" s="62"/>
      <c r="G2761" s="62"/>
    </row>
    <row r="2762" spans="1:7" ht="14.4">
      <c r="A2762" s="68">
        <v>40555</v>
      </c>
      <c r="B2762" s="65">
        <v>20.495000000000001</v>
      </c>
      <c r="C2762" s="80">
        <v>7033006</v>
      </c>
      <c r="D2762" s="83">
        <v>2.1175884404583956E-2</v>
      </c>
      <c r="E2762" s="62"/>
      <c r="F2762" s="62"/>
      <c r="G2762" s="62"/>
    </row>
    <row r="2763" spans="1:7" ht="14.4">
      <c r="A2763" s="68">
        <v>40554</v>
      </c>
      <c r="B2763" s="65">
        <v>20.07</v>
      </c>
      <c r="C2763" s="80">
        <v>4110495</v>
      </c>
      <c r="D2763" s="83">
        <v>4.749478079331948E-2</v>
      </c>
      <c r="E2763" s="62"/>
      <c r="F2763" s="62"/>
      <c r="G2763" s="62"/>
    </row>
    <row r="2764" spans="1:7" ht="14.4">
      <c r="A2764" s="68">
        <v>40553</v>
      </c>
      <c r="B2764" s="65">
        <v>19.16</v>
      </c>
      <c r="C2764" s="80">
        <v>1700662</v>
      </c>
      <c r="D2764" s="83">
        <v>5.2219321148827547E-4</v>
      </c>
      <c r="E2764" s="62"/>
      <c r="F2764" s="62"/>
      <c r="G2764" s="62"/>
    </row>
    <row r="2765" spans="1:7" ht="14.4">
      <c r="A2765" s="68">
        <v>40550</v>
      </c>
      <c r="B2765" s="65">
        <v>19.149999999999999</v>
      </c>
      <c r="C2765" s="80">
        <v>2170179</v>
      </c>
      <c r="D2765" s="83">
        <v>3.6687631027254586E-3</v>
      </c>
      <c r="E2765" s="62"/>
      <c r="F2765" s="62"/>
      <c r="G2765" s="62"/>
    </row>
    <row r="2766" spans="1:7" ht="14.4">
      <c r="A2766" s="68">
        <v>40549</v>
      </c>
      <c r="B2766" s="65">
        <v>19.079999999999998</v>
      </c>
      <c r="C2766" s="80">
        <v>3589667</v>
      </c>
      <c r="D2766" s="83">
        <v>3.7520391517128715E-2</v>
      </c>
      <c r="E2766" s="62"/>
      <c r="F2766" s="62"/>
      <c r="G2766" s="62"/>
    </row>
    <row r="2767" spans="1:7" ht="14.4">
      <c r="A2767" s="68">
        <v>40548</v>
      </c>
      <c r="B2767" s="65">
        <v>18.39</v>
      </c>
      <c r="C2767" s="80">
        <v>2654696</v>
      </c>
      <c r="D2767" s="83">
        <v>2.5655326268823275E-2</v>
      </c>
      <c r="E2767" s="62"/>
      <c r="F2767" s="62"/>
      <c r="G2767" s="62"/>
    </row>
    <row r="2768" spans="1:7" ht="14.4">
      <c r="A2768" s="68">
        <v>40547</v>
      </c>
      <c r="B2768" s="65">
        <v>17.93</v>
      </c>
      <c r="C2768" s="80">
        <v>1330858</v>
      </c>
      <c r="D2768" s="83">
        <v>8.1529378689906284E-3</v>
      </c>
      <c r="E2768" s="62"/>
      <c r="F2768" s="62"/>
      <c r="G2768" s="62"/>
    </row>
    <row r="2769" spans="1:7" ht="14.4">
      <c r="A2769" s="68">
        <v>40546</v>
      </c>
      <c r="B2769" s="65">
        <v>17.785</v>
      </c>
      <c r="C2769" s="80">
        <v>973880</v>
      </c>
      <c r="D2769" s="83">
        <v>1.9782110091743021E-2</v>
      </c>
      <c r="E2769" s="62"/>
      <c r="F2769" s="62"/>
      <c r="G2769" s="62"/>
    </row>
    <row r="2770" spans="1:7" ht="14.4">
      <c r="A2770" s="71">
        <v>40543</v>
      </c>
      <c r="B2770" s="72">
        <v>17.440000000000001</v>
      </c>
      <c r="C2770" s="81">
        <v>452496</v>
      </c>
      <c r="D2770" s="84">
        <v>-1.8294399099352598E-2</v>
      </c>
      <c r="E2770" s="74"/>
      <c r="F2770" s="74"/>
      <c r="G2770" s="73" t="e">
        <v>#REF!</v>
      </c>
    </row>
    <row r="2771" spans="1:7" ht="14.4">
      <c r="A2771" s="68">
        <v>40542</v>
      </c>
      <c r="B2771" s="65">
        <v>17.765000000000001</v>
      </c>
      <c r="C2771" s="80">
        <v>574952</v>
      </c>
      <c r="D2771" s="83">
        <v>-7.8190449595085809E-3</v>
      </c>
      <c r="E2771" s="62"/>
      <c r="F2771" s="62"/>
      <c r="G2771" s="62"/>
    </row>
    <row r="2772" spans="1:7" ht="14.4">
      <c r="A2772" s="68">
        <v>40541</v>
      </c>
      <c r="B2772" s="65">
        <v>17.905000000000001</v>
      </c>
      <c r="C2772" s="80">
        <v>698881</v>
      </c>
      <c r="D2772" s="83">
        <v>1.6783216783218258E-3</v>
      </c>
      <c r="E2772" s="62"/>
      <c r="F2772" s="62"/>
      <c r="G2772" s="62"/>
    </row>
    <row r="2773" spans="1:7" ht="14.4">
      <c r="A2773" s="68">
        <v>40540</v>
      </c>
      <c r="B2773" s="65">
        <v>17.875</v>
      </c>
      <c r="C2773" s="80">
        <v>576507</v>
      </c>
      <c r="D2773" s="83">
        <v>-8.3217753120664595E-3</v>
      </c>
      <c r="E2773" s="62"/>
      <c r="F2773" s="62"/>
      <c r="G2773" s="62"/>
    </row>
    <row r="2774" spans="1:7" ht="14.4">
      <c r="A2774" s="68">
        <v>40539</v>
      </c>
      <c r="B2774" s="65">
        <v>18.024999999999999</v>
      </c>
      <c r="C2774" s="80">
        <v>733149</v>
      </c>
      <c r="D2774" s="83">
        <v>1.388888888888884E-3</v>
      </c>
      <c r="E2774" s="82"/>
    </row>
    <row r="2775" spans="1:7" ht="14.4">
      <c r="A2775" s="68">
        <v>40536</v>
      </c>
      <c r="B2775" s="65">
        <v>18</v>
      </c>
      <c r="C2775" s="80">
        <v>137816</v>
      </c>
      <c r="D2775" s="83">
        <v>2.5062656641605674E-3</v>
      </c>
      <c r="E2775" s="82"/>
    </row>
    <row r="2776" spans="1:7" ht="14.4">
      <c r="A2776" s="68">
        <v>40535</v>
      </c>
      <c r="B2776" s="65">
        <v>17.954999999999998</v>
      </c>
      <c r="C2776" s="80">
        <v>739720</v>
      </c>
      <c r="D2776" s="83">
        <v>-3.8834951456311328E-3</v>
      </c>
      <c r="E2776" s="82"/>
    </row>
    <row r="2777" spans="1:7" ht="14.4">
      <c r="A2777" s="68">
        <v>40534</v>
      </c>
      <c r="B2777" s="65">
        <v>18.024999999999999</v>
      </c>
      <c r="C2777" s="80">
        <v>1254401</v>
      </c>
      <c r="D2777" s="83">
        <v>-1.9379844961240345E-3</v>
      </c>
      <c r="E2777" s="82"/>
    </row>
    <row r="2778" spans="1:7" ht="14.4">
      <c r="A2778" s="68">
        <v>40533</v>
      </c>
      <c r="B2778" s="65">
        <v>18.059999999999999</v>
      </c>
      <c r="C2778" s="80">
        <v>2595142</v>
      </c>
      <c r="D2778" s="83">
        <v>9.5025153717158695E-3</v>
      </c>
      <c r="E2778" s="82"/>
    </row>
    <row r="2779" spans="1:7" ht="14.4">
      <c r="A2779" s="68">
        <v>40532</v>
      </c>
      <c r="B2779" s="65">
        <v>17.89</v>
      </c>
      <c r="C2779" s="80">
        <v>1144334</v>
      </c>
      <c r="D2779" s="83">
        <v>1.3310676862078763E-2</v>
      </c>
      <c r="E2779" s="82"/>
    </row>
    <row r="2780" spans="1:7" ht="14.4">
      <c r="A2780" s="68">
        <v>40529</v>
      </c>
      <c r="B2780" s="65">
        <v>17.655000000000001</v>
      </c>
      <c r="C2780" s="80">
        <v>3052696</v>
      </c>
      <c r="D2780" s="83">
        <v>-9.5371669004206128E-3</v>
      </c>
      <c r="E2780" s="82"/>
    </row>
    <row r="2781" spans="1:7" ht="14.4">
      <c r="A2781" s="68">
        <v>40528</v>
      </c>
      <c r="B2781" s="65">
        <v>17.824999999999999</v>
      </c>
      <c r="C2781" s="80">
        <v>1516234</v>
      </c>
      <c r="D2781" s="83">
        <v>1.0201190138849459E-2</v>
      </c>
      <c r="E2781" s="82"/>
    </row>
    <row r="2782" spans="1:7" ht="14.4">
      <c r="A2782" s="68">
        <v>40527</v>
      </c>
      <c r="B2782" s="65">
        <v>17.645</v>
      </c>
      <c r="C2782" s="80">
        <v>1605308</v>
      </c>
      <c r="D2782" s="83">
        <v>-1.0098176718092544E-2</v>
      </c>
      <c r="E2782" s="82"/>
    </row>
    <row r="2783" spans="1:7" ht="14.4">
      <c r="A2783" s="68">
        <v>40526</v>
      </c>
      <c r="B2783" s="65">
        <v>17.824999999999999</v>
      </c>
      <c r="C2783" s="80">
        <v>1367598</v>
      </c>
      <c r="D2783" s="83">
        <v>-5.0237231370360291E-3</v>
      </c>
      <c r="E2783" s="82"/>
    </row>
    <row r="2784" spans="1:7" ht="14.4">
      <c r="A2784" s="68">
        <v>40525</v>
      </c>
      <c r="B2784" s="65">
        <v>17.914999999999999</v>
      </c>
      <c r="C2784" s="80">
        <v>1455407</v>
      </c>
      <c r="D2784" s="83">
        <v>-3.337969401947305E-3</v>
      </c>
      <c r="E2784" s="82"/>
    </row>
    <row r="2785" spans="1:5" ht="14.4">
      <c r="A2785" s="68">
        <v>40522</v>
      </c>
      <c r="B2785" s="65">
        <v>17.975000000000001</v>
      </c>
      <c r="C2785" s="80">
        <v>1349428</v>
      </c>
      <c r="D2785" s="83">
        <v>3.3491487580241674E-3</v>
      </c>
      <c r="E2785" s="82"/>
    </row>
    <row r="2786" spans="1:5" ht="14.4">
      <c r="A2786" s="68">
        <v>40521</v>
      </c>
      <c r="B2786" s="65">
        <v>17.914999999999999</v>
      </c>
      <c r="C2786" s="80">
        <v>2609786</v>
      </c>
      <c r="D2786" s="83">
        <v>-3.0835812821206399E-2</v>
      </c>
      <c r="E2786" s="82"/>
    </row>
    <row r="2787" spans="1:5" ht="14.4">
      <c r="A2787" s="68">
        <v>40520</v>
      </c>
      <c r="B2787" s="65">
        <v>18.484999999999999</v>
      </c>
      <c r="C2787" s="80">
        <v>3765605</v>
      </c>
      <c r="D2787" s="83">
        <v>3.1241283124128216E-2</v>
      </c>
      <c r="E2787" s="82"/>
    </row>
    <row r="2788" spans="1:5" ht="14.4">
      <c r="A2788" s="68">
        <v>40519</v>
      </c>
      <c r="B2788" s="65">
        <v>17.925000000000001</v>
      </c>
      <c r="C2788" s="80">
        <v>2618619</v>
      </c>
      <c r="D2788" s="83">
        <v>3.1357882623705535E-2</v>
      </c>
      <c r="E2788" s="82"/>
    </row>
    <row r="2789" spans="1:5" ht="14.4">
      <c r="A2789" s="68">
        <v>40518</v>
      </c>
      <c r="B2789" s="65">
        <v>17.38</v>
      </c>
      <c r="C2789" s="80">
        <v>1652875</v>
      </c>
      <c r="D2789" s="83">
        <v>-6.857142857142895E-3</v>
      </c>
      <c r="E2789" s="82"/>
    </row>
    <row r="2790" spans="1:5" ht="14.4">
      <c r="A2790" s="68">
        <v>40515</v>
      </c>
      <c r="B2790" s="65">
        <v>17.5</v>
      </c>
      <c r="C2790" s="80">
        <v>1829017</v>
      </c>
      <c r="D2790" s="83">
        <v>-4.55062571103515E-3</v>
      </c>
      <c r="E2790" s="82"/>
    </row>
    <row r="2791" spans="1:5" ht="14.4">
      <c r="A2791" s="68">
        <v>40514</v>
      </c>
      <c r="B2791" s="65">
        <v>17.579999999999998</v>
      </c>
      <c r="C2791" s="80">
        <v>2553541</v>
      </c>
      <c r="D2791" s="83">
        <v>5.7208237986268173E-3</v>
      </c>
      <c r="E2791" s="82"/>
    </row>
    <row r="2792" spans="1:5" ht="14.4">
      <c r="A2792" s="68">
        <v>40513</v>
      </c>
      <c r="B2792" s="65">
        <v>17.48</v>
      </c>
      <c r="C2792" s="80">
        <v>2488697</v>
      </c>
      <c r="D2792" s="83">
        <v>1.2746234067207318E-2</v>
      </c>
      <c r="E2792" s="82"/>
    </row>
    <row r="2793" spans="1:5" ht="14.4">
      <c r="A2793" s="68">
        <v>40512</v>
      </c>
      <c r="B2793" s="65">
        <v>17.260000000000002</v>
      </c>
      <c r="C2793" s="80">
        <v>2361408</v>
      </c>
      <c r="D2793" s="83">
        <v>2.6139994191114457E-3</v>
      </c>
      <c r="E2793" s="82"/>
    </row>
    <row r="2794" spans="1:5" ht="14.4">
      <c r="A2794" s="68">
        <v>40511</v>
      </c>
      <c r="B2794" s="65">
        <v>17.215</v>
      </c>
      <c r="C2794" s="80">
        <v>2612065</v>
      </c>
      <c r="D2794" s="83">
        <v>-1.4032073310423887E-2</v>
      </c>
      <c r="E2794" s="82"/>
    </row>
    <row r="2795" spans="1:5" ht="14.4">
      <c r="A2795" s="68">
        <v>40508</v>
      </c>
      <c r="B2795" s="65">
        <v>17.46</v>
      </c>
      <c r="C2795" s="80">
        <v>1417137</v>
      </c>
      <c r="D2795" s="83">
        <v>-2.2857142857142243E-3</v>
      </c>
      <c r="E2795" s="82"/>
    </row>
    <row r="2796" spans="1:5" ht="14.4">
      <c r="A2796" s="68">
        <v>40507</v>
      </c>
      <c r="B2796" s="65">
        <v>17.5</v>
      </c>
      <c r="C2796" s="80">
        <v>1233050</v>
      </c>
      <c r="D2796" s="83">
        <v>-5.711022272987254E-4</v>
      </c>
      <c r="E2796" s="82"/>
    </row>
    <row r="2797" spans="1:5" ht="14.4">
      <c r="A2797" s="68">
        <v>40506</v>
      </c>
      <c r="B2797" s="65">
        <v>17.510000000000002</v>
      </c>
      <c r="C2797" s="80">
        <v>4014164</v>
      </c>
      <c r="D2797" s="83">
        <v>5.0074962518740662E-2</v>
      </c>
      <c r="E2797" s="82"/>
    </row>
    <row r="2798" spans="1:5" ht="14.4">
      <c r="A2798" s="68">
        <v>40505</v>
      </c>
      <c r="B2798" s="65">
        <v>16.675000000000001</v>
      </c>
      <c r="C2798" s="80">
        <v>2499816</v>
      </c>
      <c r="D2798" s="83">
        <v>-1.7383618149675817E-2</v>
      </c>
      <c r="E2798" s="82"/>
    </row>
    <row r="2799" spans="1:5" ht="14.4">
      <c r="A2799" s="68">
        <v>40504</v>
      </c>
      <c r="B2799" s="65">
        <v>16.97</v>
      </c>
      <c r="C2799" s="80">
        <v>2967990</v>
      </c>
      <c r="D2799" s="83">
        <v>-2.0207852193995457E-2</v>
      </c>
      <c r="E2799" s="82"/>
    </row>
    <row r="2800" spans="1:5" ht="14.4">
      <c r="A2800" s="68">
        <v>40501</v>
      </c>
      <c r="B2800" s="65">
        <v>17.32</v>
      </c>
      <c r="C2800" s="80">
        <v>2326639</v>
      </c>
      <c r="D2800" s="83">
        <v>0</v>
      </c>
      <c r="E2800" s="82"/>
    </row>
    <row r="2801" spans="1:5" ht="14.4">
      <c r="A2801" s="68">
        <v>40500</v>
      </c>
      <c r="B2801" s="65">
        <v>17.32</v>
      </c>
      <c r="C2801" s="80">
        <v>3133538</v>
      </c>
      <c r="D2801" s="83">
        <v>0</v>
      </c>
      <c r="E2801" s="82"/>
    </row>
    <row r="2802" spans="1:5" ht="14.4">
      <c r="A2802" s="68">
        <v>40499</v>
      </c>
      <c r="B2802" s="65">
        <v>17.32</v>
      </c>
      <c r="C2802" s="80">
        <v>3237535</v>
      </c>
      <c r="D2802" s="83">
        <v>7.5625363583478045E-3</v>
      </c>
      <c r="E2802" s="82"/>
    </row>
    <row r="2803" spans="1:5" ht="14.4">
      <c r="A2803" s="68">
        <v>40498</v>
      </c>
      <c r="B2803" s="65">
        <v>17.190000000000001</v>
      </c>
      <c r="C2803" s="80">
        <v>4823891</v>
      </c>
      <c r="D2803" s="83">
        <v>-4.6589018302828578E-2</v>
      </c>
      <c r="E2803" s="82"/>
    </row>
    <row r="2804" spans="1:5" ht="14.4">
      <c r="A2804" s="68">
        <v>40497</v>
      </c>
      <c r="B2804" s="65">
        <v>18.03</v>
      </c>
      <c r="C2804" s="80">
        <v>2624391</v>
      </c>
      <c r="D2804" s="83">
        <v>-7.1585903083699609E-3</v>
      </c>
      <c r="E2804" s="82"/>
    </row>
    <row r="2805" spans="1:5" ht="14.4">
      <c r="A2805" s="68">
        <v>40494</v>
      </c>
      <c r="B2805" s="65">
        <v>18.16</v>
      </c>
      <c r="C2805" s="80">
        <v>6089305</v>
      </c>
      <c r="D2805" s="83">
        <v>-4.446198368850296E-2</v>
      </c>
      <c r="E2805" s="82"/>
    </row>
    <row r="2806" spans="1:5" ht="14.4">
      <c r="A2806" s="68">
        <v>40493</v>
      </c>
      <c r="B2806" s="65">
        <v>19.004999999999999</v>
      </c>
      <c r="C2806" s="80">
        <v>2002629</v>
      </c>
      <c r="D2806" s="83">
        <v>-4.7132757266300507E-3</v>
      </c>
      <c r="E2806" s="82"/>
    </row>
    <row r="2807" spans="1:5" ht="14.4">
      <c r="A2807" s="68">
        <v>40492</v>
      </c>
      <c r="B2807" s="65">
        <v>19.094999999999999</v>
      </c>
      <c r="C2807" s="80">
        <v>3952131</v>
      </c>
      <c r="D2807" s="83">
        <v>2.9102667744543176E-2</v>
      </c>
      <c r="E2807" s="82"/>
    </row>
    <row r="2808" spans="1:5" ht="14.4">
      <c r="A2808" s="68">
        <v>40491</v>
      </c>
      <c r="B2808" s="65">
        <v>18.555</v>
      </c>
      <c r="C2808" s="80">
        <v>1945358</v>
      </c>
      <c r="D2808" s="83">
        <v>1.8898488120950852E-3</v>
      </c>
      <c r="E2808" s="82"/>
    </row>
    <row r="2809" spans="1:5" ht="14.4">
      <c r="A2809" s="68">
        <v>40490</v>
      </c>
      <c r="B2809" s="65">
        <v>18.52</v>
      </c>
      <c r="C2809" s="80">
        <v>2131563</v>
      </c>
      <c r="D2809" s="83">
        <v>6.521739130434856E-3</v>
      </c>
      <c r="E2809" s="82"/>
    </row>
    <row r="2810" spans="1:5" ht="14.4">
      <c r="A2810" s="68">
        <v>40487</v>
      </c>
      <c r="B2810" s="65">
        <v>18.399999999999999</v>
      </c>
      <c r="C2810" s="80">
        <v>3940217</v>
      </c>
      <c r="D2810" s="83">
        <v>7.9430293070390512E-3</v>
      </c>
      <c r="E2810" s="82"/>
    </row>
    <row r="2811" spans="1:5" ht="14.4">
      <c r="A2811" s="68">
        <v>40486</v>
      </c>
      <c r="B2811" s="65">
        <v>18.254999999999999</v>
      </c>
      <c r="C2811" s="80">
        <v>6612637</v>
      </c>
      <c r="D2811" s="83">
        <v>-4.0473061760840978E-2</v>
      </c>
      <c r="E2811" s="82"/>
    </row>
    <row r="2812" spans="1:5" ht="14.4">
      <c r="A2812" s="68">
        <v>40485</v>
      </c>
      <c r="B2812" s="65">
        <v>19.024999999999999</v>
      </c>
      <c r="C2812" s="80">
        <v>1587438</v>
      </c>
      <c r="D2812" s="83">
        <v>-1.3226141078838349E-2</v>
      </c>
      <c r="E2812" s="82"/>
    </row>
    <row r="2813" spans="1:5" ht="14.4">
      <c r="A2813" s="68">
        <v>40484</v>
      </c>
      <c r="B2813" s="65">
        <v>19.28</v>
      </c>
      <c r="C2813" s="80">
        <v>1889118</v>
      </c>
      <c r="D2813" s="83">
        <v>8.1045751633987972E-3</v>
      </c>
      <c r="E2813" s="82"/>
    </row>
    <row r="2814" spans="1:5" ht="14.4">
      <c r="A2814" s="68">
        <v>40483</v>
      </c>
      <c r="B2814" s="65">
        <v>19.125</v>
      </c>
      <c r="C2814" s="80">
        <v>1336037</v>
      </c>
      <c r="D2814" s="83">
        <v>1.2708498808578161E-2</v>
      </c>
      <c r="E2814" s="82"/>
    </row>
    <row r="2815" spans="1:5" ht="14.4">
      <c r="A2815" s="68">
        <v>40480</v>
      </c>
      <c r="B2815" s="65">
        <v>18.885000000000002</v>
      </c>
      <c r="C2815" s="80">
        <v>1992771</v>
      </c>
      <c r="D2815" s="83">
        <v>1.4777001612036544E-2</v>
      </c>
      <c r="E2815" s="82"/>
    </row>
    <row r="2816" spans="1:5" ht="14.4">
      <c r="A2816" s="68">
        <v>40479</v>
      </c>
      <c r="B2816" s="65">
        <v>18.61</v>
      </c>
      <c r="C2816" s="80">
        <v>1761408</v>
      </c>
      <c r="D2816" s="83">
        <v>1.2238237693771969E-2</v>
      </c>
      <c r="E2816" s="82"/>
    </row>
    <row r="2817" spans="1:5" ht="14.4">
      <c r="A2817" s="68">
        <v>40478</v>
      </c>
      <c r="B2817" s="65">
        <v>18.385000000000002</v>
      </c>
      <c r="C2817" s="80">
        <v>2361521</v>
      </c>
      <c r="D2817" s="83">
        <v>7.1213366201041683E-3</v>
      </c>
      <c r="E2817" s="82"/>
    </row>
    <row r="2818" spans="1:5" ht="14.4">
      <c r="A2818" s="68">
        <v>40477</v>
      </c>
      <c r="B2818" s="65">
        <v>18.254999999999999</v>
      </c>
      <c r="C2818" s="80">
        <v>1731165</v>
      </c>
      <c r="D2818" s="83">
        <v>9.121061359867344E-3</v>
      </c>
      <c r="E2818" s="82"/>
    </row>
    <row r="2819" spans="1:5" ht="14.4">
      <c r="A2819" s="68">
        <v>40476</v>
      </c>
      <c r="B2819" s="65">
        <v>18.09</v>
      </c>
      <c r="C2819" s="80">
        <v>1983507</v>
      </c>
      <c r="D2819" s="83">
        <v>-1.8448182311448735E-2</v>
      </c>
      <c r="E2819" s="82"/>
    </row>
    <row r="2820" spans="1:5" ht="14.4">
      <c r="A2820" s="68">
        <v>40473</v>
      </c>
      <c r="B2820" s="65">
        <v>18.43</v>
      </c>
      <c r="C2820" s="80">
        <v>1005117</v>
      </c>
      <c r="D2820" s="83">
        <v>-1.0840108401083404E-3</v>
      </c>
      <c r="E2820" s="82"/>
    </row>
    <row r="2821" spans="1:5" ht="14.4">
      <c r="A2821" s="68">
        <v>40472</v>
      </c>
      <c r="B2821" s="65">
        <v>18.45</v>
      </c>
      <c r="C2821" s="80">
        <v>1950496</v>
      </c>
      <c r="D2821" s="83">
        <v>1.3736263736263687E-2</v>
      </c>
      <c r="E2821" s="82"/>
    </row>
    <row r="2822" spans="1:5" ht="14.4">
      <c r="A2822" s="68">
        <v>40471</v>
      </c>
      <c r="B2822" s="65">
        <v>18.2</v>
      </c>
      <c r="C2822" s="80">
        <v>1940705</v>
      </c>
      <c r="D2822" s="83">
        <v>0</v>
      </c>
      <c r="E2822" s="82"/>
    </row>
    <row r="2823" spans="1:5" ht="14.4">
      <c r="A2823" s="68">
        <v>40470</v>
      </c>
      <c r="B2823" s="65">
        <v>18.2</v>
      </c>
      <c r="C2823" s="80">
        <v>2595792</v>
      </c>
      <c r="D2823" s="83">
        <v>1.5058561070830923E-2</v>
      </c>
      <c r="E2823" s="82"/>
    </row>
    <row r="2824" spans="1:5" ht="14.4">
      <c r="A2824" s="68">
        <v>40469</v>
      </c>
      <c r="B2824" s="65">
        <v>17.93</v>
      </c>
      <c r="C2824" s="80">
        <v>2021237</v>
      </c>
      <c r="D2824" s="83">
        <v>1.5576323987538832E-2</v>
      </c>
      <c r="E2824" s="82"/>
    </row>
    <row r="2825" spans="1:5" ht="14.4">
      <c r="A2825" s="68">
        <v>40466</v>
      </c>
      <c r="B2825" s="65">
        <v>17.655000000000001</v>
      </c>
      <c r="C2825" s="80">
        <v>3261407</v>
      </c>
      <c r="D2825" s="83">
        <v>-2.7004684486084285E-2</v>
      </c>
      <c r="E2825" s="82"/>
    </row>
    <row r="2826" spans="1:5" ht="14.4">
      <c r="A2826" s="68">
        <v>40465</v>
      </c>
      <c r="B2826" s="65">
        <v>18.145</v>
      </c>
      <c r="C2826" s="80">
        <v>2519939</v>
      </c>
      <c r="D2826" s="83">
        <v>-1.7861975642760597E-2</v>
      </c>
      <c r="E2826" s="82"/>
    </row>
    <row r="2827" spans="1:5" ht="14.4">
      <c r="A2827" s="68">
        <v>40464</v>
      </c>
      <c r="B2827" s="65">
        <v>18.475000000000001</v>
      </c>
      <c r="C2827" s="80">
        <v>1773294</v>
      </c>
      <c r="D2827" s="83">
        <v>9.0114691425451365E-3</v>
      </c>
      <c r="E2827" s="82"/>
    </row>
    <row r="2828" spans="1:5" ht="14.4">
      <c r="A2828" s="68">
        <v>40463</v>
      </c>
      <c r="B2828" s="65">
        <v>18.309999999999999</v>
      </c>
      <c r="C2828" s="80">
        <v>3676389</v>
      </c>
      <c r="D2828" s="83">
        <v>1.6657412548583883E-2</v>
      </c>
      <c r="E2828" s="82"/>
    </row>
    <row r="2829" spans="1:5" ht="14.4">
      <c r="A2829" s="68">
        <v>40462</v>
      </c>
      <c r="B2829" s="65">
        <v>18.010000000000002</v>
      </c>
      <c r="C2829" s="80">
        <v>3825556</v>
      </c>
      <c r="D2829" s="83">
        <v>1.9471488178024465E-3</v>
      </c>
      <c r="E2829" s="82"/>
    </row>
    <row r="2830" spans="1:5" ht="14.4">
      <c r="A2830" s="68">
        <v>40459</v>
      </c>
      <c r="B2830" s="65">
        <v>17.975000000000001</v>
      </c>
      <c r="C2830" s="80">
        <v>2349861</v>
      </c>
      <c r="D2830" s="83">
        <v>5.8757694459989906E-3</v>
      </c>
      <c r="E2830" s="82"/>
    </row>
    <row r="2831" spans="1:5" ht="14.4">
      <c r="A2831" s="68">
        <v>40458</v>
      </c>
      <c r="B2831" s="65">
        <v>17.87</v>
      </c>
      <c r="C2831" s="80">
        <v>2507547</v>
      </c>
      <c r="D2831" s="83">
        <v>-1.1068068622025362E-2</v>
      </c>
      <c r="E2831" s="82"/>
    </row>
    <row r="2832" spans="1:5" ht="14.4">
      <c r="A2832" s="68">
        <v>40457</v>
      </c>
      <c r="B2832" s="65">
        <v>18.07</v>
      </c>
      <c r="C2832" s="80">
        <v>3770149</v>
      </c>
      <c r="D2832" s="83">
        <v>-2.8494623655914042E-2</v>
      </c>
      <c r="E2832" s="82"/>
    </row>
    <row r="2833" spans="1:5" ht="14.4">
      <c r="A2833" s="68">
        <v>40456</v>
      </c>
      <c r="B2833" s="65">
        <v>18.600000000000001</v>
      </c>
      <c r="C2833" s="80">
        <v>1944389</v>
      </c>
      <c r="D2833" s="83">
        <v>2.3102310231023271E-2</v>
      </c>
      <c r="E2833" s="82"/>
    </row>
    <row r="2834" spans="1:5" ht="14.4">
      <c r="A2834" s="68">
        <v>40455</v>
      </c>
      <c r="B2834" s="65">
        <v>18.18</v>
      </c>
      <c r="C2834" s="80">
        <v>1934624</v>
      </c>
      <c r="D2834" s="83">
        <v>5.530973451327581E-3</v>
      </c>
      <c r="E2834" s="82"/>
    </row>
    <row r="2835" spans="1:5" ht="14.4">
      <c r="A2835" s="68">
        <v>40452</v>
      </c>
      <c r="B2835" s="65">
        <v>18.079999999999998</v>
      </c>
      <c r="C2835" s="80">
        <v>2997897</v>
      </c>
      <c r="D2835" s="83">
        <v>-1.1751844766329733E-2</v>
      </c>
      <c r="E2835" s="82"/>
    </row>
    <row r="2836" spans="1:5" ht="14.4">
      <c r="A2836" s="68">
        <v>40451</v>
      </c>
      <c r="B2836" s="65">
        <v>18.295000000000002</v>
      </c>
      <c r="C2836" s="80">
        <v>2466255</v>
      </c>
      <c r="D2836" s="83">
        <v>-2.4006401707121872E-2</v>
      </c>
      <c r="E2836" s="82"/>
    </row>
    <row r="2837" spans="1:5" ht="14.4">
      <c r="A2837" s="68">
        <v>40450</v>
      </c>
      <c r="B2837" s="65">
        <v>18.745000000000001</v>
      </c>
      <c r="C2837" s="80">
        <v>2807534</v>
      </c>
      <c r="D2837" s="83">
        <v>-1.5493697478991542E-2</v>
      </c>
      <c r="E2837" s="82"/>
    </row>
    <row r="2838" spans="1:5" ht="14.4">
      <c r="A2838" s="68">
        <v>40449</v>
      </c>
      <c r="B2838" s="65">
        <v>19.04</v>
      </c>
      <c r="C2838" s="80">
        <v>2862441</v>
      </c>
      <c r="D2838" s="83">
        <v>-1.1422637590862039E-2</v>
      </c>
      <c r="E2838" s="82"/>
    </row>
    <row r="2839" spans="1:5" ht="14.4">
      <c r="A2839" s="68">
        <v>40448</v>
      </c>
      <c r="B2839" s="65">
        <v>19.260000000000002</v>
      </c>
      <c r="C2839" s="80">
        <v>1299480</v>
      </c>
      <c r="D2839" s="83">
        <v>5.1948051948058627E-4</v>
      </c>
      <c r="E2839" s="82"/>
    </row>
    <row r="2840" spans="1:5" ht="14.4">
      <c r="A2840" s="68">
        <v>40445</v>
      </c>
      <c r="B2840" s="65">
        <v>19.25</v>
      </c>
      <c r="C2840" s="80">
        <v>4486680</v>
      </c>
      <c r="D2840" s="83">
        <v>3.801563763817728E-2</v>
      </c>
      <c r="E2840" s="82"/>
    </row>
    <row r="2841" spans="1:5" ht="14.4">
      <c r="A2841" s="68">
        <v>40444</v>
      </c>
      <c r="B2841" s="65">
        <v>18.545000000000002</v>
      </c>
      <c r="C2841" s="80">
        <v>2315066</v>
      </c>
      <c r="D2841" s="83">
        <v>-2.0338087691494922E-2</v>
      </c>
      <c r="E2841" s="82"/>
    </row>
    <row r="2842" spans="1:5" ht="14.4">
      <c r="A2842" s="68">
        <v>40443</v>
      </c>
      <c r="B2842" s="65">
        <v>18.93</v>
      </c>
      <c r="C2842" s="80">
        <v>3544446</v>
      </c>
      <c r="D2842" s="83">
        <v>-3.3937228884919568E-2</v>
      </c>
      <c r="E2842" s="82"/>
    </row>
    <row r="2843" spans="1:5" ht="14.4">
      <c r="A2843" s="68">
        <v>40442</v>
      </c>
      <c r="B2843" s="65">
        <v>19.594999999999999</v>
      </c>
      <c r="C2843" s="80">
        <v>2314886</v>
      </c>
      <c r="D2843" s="83">
        <v>1.4233954451345676E-2</v>
      </c>
      <c r="E2843" s="82"/>
    </row>
    <row r="2844" spans="1:5" ht="14.4">
      <c r="A2844" s="68">
        <v>40441</v>
      </c>
      <c r="B2844" s="65">
        <v>19.32</v>
      </c>
      <c r="C2844" s="80">
        <v>2190885</v>
      </c>
      <c r="D2844" s="83">
        <v>2.0871862615587933E-2</v>
      </c>
      <c r="E2844" s="82"/>
    </row>
    <row r="2845" spans="1:5" ht="14.4">
      <c r="A2845" s="68">
        <v>40438</v>
      </c>
      <c r="B2845" s="65">
        <v>18.925000000000001</v>
      </c>
      <c r="C2845" s="80">
        <v>3933755</v>
      </c>
      <c r="D2845" s="83">
        <v>1.4745308310992078E-2</v>
      </c>
      <c r="E2845" s="82"/>
    </row>
    <row r="2846" spans="1:5" ht="14.4">
      <c r="A2846" s="68">
        <v>40437</v>
      </c>
      <c r="B2846" s="65">
        <v>18.649999999999999</v>
      </c>
      <c r="C2846" s="80">
        <v>2224341</v>
      </c>
      <c r="D2846" s="83">
        <v>-1.7904160084254883E-2</v>
      </c>
      <c r="E2846" s="82"/>
    </row>
    <row r="2847" spans="1:5" ht="14.4">
      <c r="A2847" s="68">
        <v>40436</v>
      </c>
      <c r="B2847" s="65">
        <v>18.989999999999998</v>
      </c>
      <c r="C2847" s="80">
        <v>1216221</v>
      </c>
      <c r="D2847" s="83">
        <v>-9.9061522419187087E-3</v>
      </c>
      <c r="E2847" s="82"/>
    </row>
    <row r="2848" spans="1:5" ht="14.4">
      <c r="A2848" s="68">
        <v>40435</v>
      </c>
      <c r="B2848" s="65">
        <v>19.18</v>
      </c>
      <c r="C2848" s="80">
        <v>1594113</v>
      </c>
      <c r="D2848" s="83">
        <v>-1.561686621551317E-3</v>
      </c>
      <c r="E2848" s="82"/>
    </row>
    <row r="2849" spans="1:5" ht="14.4">
      <c r="A2849" s="68">
        <v>40434</v>
      </c>
      <c r="B2849" s="65">
        <v>19.21</v>
      </c>
      <c r="C2849" s="80">
        <v>2180905</v>
      </c>
      <c r="D2849" s="83">
        <v>1.1318768096867604E-2</v>
      </c>
      <c r="E2849" s="82"/>
    </row>
    <row r="2850" spans="1:5" ht="14.4">
      <c r="A2850" s="68">
        <v>40431</v>
      </c>
      <c r="B2850" s="65">
        <v>18.995000000000001</v>
      </c>
      <c r="C2850" s="80">
        <v>2938943</v>
      </c>
      <c r="D2850" s="83">
        <v>1.9592055823939969E-2</v>
      </c>
      <c r="E2850" s="82"/>
    </row>
    <row r="2851" spans="1:5" ht="14.4">
      <c r="A2851" s="68">
        <v>40430</v>
      </c>
      <c r="B2851" s="65">
        <v>18.63</v>
      </c>
      <c r="C2851" s="80">
        <v>2706389</v>
      </c>
      <c r="D2851" s="83">
        <v>3.4138218151540389E-2</v>
      </c>
      <c r="E2851" s="82"/>
    </row>
    <row r="2852" spans="1:5" ht="14.4">
      <c r="A2852" s="68">
        <v>40429</v>
      </c>
      <c r="B2852" s="65">
        <v>18.015000000000001</v>
      </c>
      <c r="C2852" s="80">
        <v>2011418</v>
      </c>
      <c r="D2852" s="83">
        <v>-8.5305448541552753E-3</v>
      </c>
      <c r="E2852" s="82"/>
    </row>
    <row r="2853" spans="1:5" ht="14.4">
      <c r="A2853" s="68">
        <v>40428</v>
      </c>
      <c r="B2853" s="65">
        <v>18.170000000000002</v>
      </c>
      <c r="C2853" s="80">
        <v>1279467</v>
      </c>
      <c r="D2853" s="83">
        <v>6.0908084163899812E-3</v>
      </c>
      <c r="E2853" s="82"/>
    </row>
    <row r="2854" spans="1:5" ht="14.4">
      <c r="A2854" s="68">
        <v>40427</v>
      </c>
      <c r="B2854" s="65">
        <v>18.059999999999999</v>
      </c>
      <c r="C2854" s="80">
        <v>1670365</v>
      </c>
      <c r="D2854" s="83">
        <v>-4.6844860843208158E-3</v>
      </c>
      <c r="E2854" s="82"/>
    </row>
    <row r="2855" spans="1:5" ht="14.4">
      <c r="A2855" s="68">
        <v>40424</v>
      </c>
      <c r="B2855" s="65">
        <v>18.145</v>
      </c>
      <c r="C2855" s="80">
        <v>1794181</v>
      </c>
      <c r="D2855" s="83">
        <v>-1.1710239651416154E-2</v>
      </c>
      <c r="E2855" s="82"/>
    </row>
    <row r="2856" spans="1:5" ht="14.4">
      <c r="A2856" s="68">
        <v>40423</v>
      </c>
      <c r="B2856" s="65">
        <v>18.36</v>
      </c>
      <c r="C2856" s="80">
        <v>2071691</v>
      </c>
      <c r="D2856" s="83">
        <v>2.7995520716685318E-2</v>
      </c>
      <c r="E2856" s="82"/>
    </row>
    <row r="2857" spans="1:5" ht="14.4">
      <c r="A2857" s="68">
        <v>40422</v>
      </c>
      <c r="B2857" s="65">
        <v>17.86</v>
      </c>
      <c r="C2857" s="80">
        <v>2273016</v>
      </c>
      <c r="D2857" s="83">
        <v>2.8505614742297736E-2</v>
      </c>
      <c r="E2857" s="82"/>
    </row>
    <row r="2858" spans="1:5" ht="14.4">
      <c r="A2858" s="68">
        <v>40421</v>
      </c>
      <c r="B2858" s="65">
        <v>17.364999999999998</v>
      </c>
      <c r="C2858" s="80">
        <v>1710408</v>
      </c>
      <c r="D2858" s="83">
        <v>2.8876696505917288E-3</v>
      </c>
      <c r="E2858" s="82"/>
    </row>
    <row r="2859" spans="1:5" ht="14.4">
      <c r="A2859" s="68">
        <v>40420</v>
      </c>
      <c r="B2859" s="65">
        <v>17.315000000000001</v>
      </c>
      <c r="C2859" s="80">
        <v>820406</v>
      </c>
      <c r="D2859" s="83">
        <v>-4.0264595916019719E-3</v>
      </c>
      <c r="E2859" s="82"/>
    </row>
    <row r="2860" spans="1:5" ht="14.4">
      <c r="A2860" s="68">
        <v>40417</v>
      </c>
      <c r="B2860" s="65">
        <v>17.385000000000002</v>
      </c>
      <c r="C2860" s="80">
        <v>4532746</v>
      </c>
      <c r="D2860" s="83">
        <v>-3.1476323119776994E-2</v>
      </c>
      <c r="E2860" s="82"/>
    </row>
    <row r="2861" spans="1:5" ht="14.4">
      <c r="A2861" s="68">
        <v>40416</v>
      </c>
      <c r="B2861" s="65">
        <v>17.95</v>
      </c>
      <c r="C2861" s="80">
        <v>1622685</v>
      </c>
      <c r="D2861" s="83">
        <v>1.3947001394698511E-3</v>
      </c>
      <c r="E2861" s="82"/>
    </row>
    <row r="2862" spans="1:5" ht="14.4">
      <c r="A2862" s="68">
        <v>40415</v>
      </c>
      <c r="B2862" s="65">
        <v>17.925000000000001</v>
      </c>
      <c r="C2862" s="80">
        <v>2584710</v>
      </c>
      <c r="D2862" s="83">
        <v>-2.4489795918367308E-2</v>
      </c>
      <c r="E2862" s="82"/>
    </row>
    <row r="2863" spans="1:5" ht="14.4">
      <c r="A2863" s="68">
        <v>40414</v>
      </c>
      <c r="B2863" s="65">
        <v>18.375</v>
      </c>
      <c r="C2863" s="80">
        <v>2808123</v>
      </c>
      <c r="D2863" s="83">
        <v>-8.0971659919027994E-3</v>
      </c>
      <c r="E2863" s="82"/>
    </row>
    <row r="2864" spans="1:5" ht="14.4">
      <c r="A2864" s="68">
        <v>40413</v>
      </c>
      <c r="B2864" s="65">
        <v>18.524999999999999</v>
      </c>
      <c r="C2864" s="80">
        <v>2942471</v>
      </c>
      <c r="D2864" s="83">
        <v>3.5205364626990754E-2</v>
      </c>
      <c r="E2864" s="82"/>
    </row>
    <row r="2865" spans="1:5" ht="14.4">
      <c r="A2865" s="68">
        <v>40410</v>
      </c>
      <c r="B2865" s="65">
        <v>17.895</v>
      </c>
      <c r="C2865" s="80">
        <v>3362179</v>
      </c>
      <c r="D2865" s="83">
        <v>-1.7567938512215275E-2</v>
      </c>
      <c r="E2865" s="82"/>
    </row>
    <row r="2866" spans="1:5" ht="14.4">
      <c r="A2866" s="68">
        <v>40409</v>
      </c>
      <c r="B2866" s="65">
        <v>18.215</v>
      </c>
      <c r="C2866" s="80">
        <v>1968168</v>
      </c>
      <c r="D2866" s="83">
        <v>-1.4339826839826819E-2</v>
      </c>
      <c r="E2866" s="82"/>
    </row>
    <row r="2867" spans="1:5" ht="14.4">
      <c r="A2867" s="68">
        <v>40408</v>
      </c>
      <c r="B2867" s="65">
        <v>18.48</v>
      </c>
      <c r="C2867" s="80">
        <v>1369957</v>
      </c>
      <c r="D2867" s="83">
        <v>2.4410089503661414E-3</v>
      </c>
      <c r="E2867" s="82"/>
    </row>
    <row r="2868" spans="1:5" ht="14.4">
      <c r="A2868" s="68">
        <v>40407</v>
      </c>
      <c r="B2868" s="65">
        <v>18.434999999999999</v>
      </c>
      <c r="C2868" s="80">
        <v>1662316</v>
      </c>
      <c r="D2868" s="83">
        <v>1.7945886250690268E-2</v>
      </c>
      <c r="E2868" s="82"/>
    </row>
    <row r="2869" spans="1:5" ht="14.4">
      <c r="A2869" s="68">
        <v>40406</v>
      </c>
      <c r="B2869" s="65">
        <v>18.11</v>
      </c>
      <c r="C2869" s="80">
        <v>1625665</v>
      </c>
      <c r="D2869" s="83">
        <v>4.7156726768378121E-3</v>
      </c>
      <c r="E2869" s="82"/>
    </row>
    <row r="2870" spans="1:5" ht="14.4">
      <c r="A2870" s="68">
        <v>40403</v>
      </c>
      <c r="B2870" s="65">
        <v>18.024999999999999</v>
      </c>
      <c r="C2870" s="80">
        <v>1252061</v>
      </c>
      <c r="D2870" s="83">
        <v>-7.7071290944124016E-3</v>
      </c>
      <c r="E2870" s="82"/>
    </row>
    <row r="2871" spans="1:5" ht="14.4">
      <c r="A2871" s="68">
        <v>40402</v>
      </c>
      <c r="B2871" s="65">
        <v>18.164999999999999</v>
      </c>
      <c r="C2871" s="80">
        <v>2278313</v>
      </c>
      <c r="D2871" s="83">
        <v>1.7362083450013888E-2</v>
      </c>
      <c r="E2871" s="82"/>
    </row>
    <row r="2872" spans="1:5" ht="14.4">
      <c r="A2872" s="68">
        <v>40401</v>
      </c>
      <c r="B2872" s="65">
        <v>17.855</v>
      </c>
      <c r="C2872" s="80">
        <v>2018369</v>
      </c>
      <c r="D2872" s="83">
        <v>-2.4050286963651302E-2</v>
      </c>
      <c r="E2872" s="82"/>
    </row>
    <row r="2873" spans="1:5" ht="14.4">
      <c r="A2873" s="68">
        <v>40400</v>
      </c>
      <c r="B2873" s="65">
        <v>18.295000000000002</v>
      </c>
      <c r="C2873" s="80">
        <v>1810696</v>
      </c>
      <c r="D2873" s="83">
        <v>-3.8115981486521733E-3</v>
      </c>
      <c r="E2873" s="82"/>
    </row>
    <row r="2874" spans="1:5" ht="14.4">
      <c r="A2874" s="68">
        <v>40399</v>
      </c>
      <c r="B2874" s="65">
        <v>18.364999999999998</v>
      </c>
      <c r="C2874" s="80">
        <v>2041517</v>
      </c>
      <c r="D2874" s="83">
        <v>-9.4390507011866687E-3</v>
      </c>
      <c r="E2874" s="82"/>
    </row>
    <row r="2875" spans="1:5" ht="14.4">
      <c r="A2875" s="68">
        <v>40396</v>
      </c>
      <c r="B2875" s="65">
        <v>18.54</v>
      </c>
      <c r="C2875" s="80">
        <v>2700672</v>
      </c>
      <c r="D2875" s="83">
        <v>-7.2289156626507145E-3</v>
      </c>
      <c r="E2875" s="82"/>
    </row>
    <row r="2876" spans="1:5" ht="14.4">
      <c r="A2876" s="68">
        <v>40395</v>
      </c>
      <c r="B2876" s="65">
        <v>18.675000000000001</v>
      </c>
      <c r="C2876" s="80">
        <v>4052385</v>
      </c>
      <c r="D2876" s="83">
        <v>2.9492833517089423E-2</v>
      </c>
      <c r="E2876" s="82"/>
    </row>
    <row r="2877" spans="1:5" ht="14.4">
      <c r="A2877" s="68">
        <v>40394</v>
      </c>
      <c r="B2877" s="65">
        <v>18.14</v>
      </c>
      <c r="C2877" s="80">
        <v>2041822</v>
      </c>
      <c r="D2877" s="83">
        <v>7.2182121043864456E-3</v>
      </c>
      <c r="E2877" s="82"/>
    </row>
    <row r="2878" spans="1:5" ht="14.4">
      <c r="A2878" s="68">
        <v>40393</v>
      </c>
      <c r="B2878" s="65">
        <v>18.010000000000002</v>
      </c>
      <c r="C2878" s="80">
        <v>2026502</v>
      </c>
      <c r="D2878" s="83">
        <v>-3.5961272475794059E-3</v>
      </c>
      <c r="E2878" s="82"/>
    </row>
    <row r="2879" spans="1:5" ht="14.4">
      <c r="A2879" s="68">
        <v>40392</v>
      </c>
      <c r="B2879" s="65">
        <v>18.074999999999999</v>
      </c>
      <c r="C2879" s="80">
        <v>2353222</v>
      </c>
      <c r="D2879" s="83">
        <v>-5.7755775577558177E-3</v>
      </c>
      <c r="E2879" s="82"/>
    </row>
    <row r="2880" spans="1:5" ht="14.4">
      <c r="A2880" s="68">
        <v>40389</v>
      </c>
      <c r="B2880" s="65">
        <v>18.18</v>
      </c>
      <c r="C2880" s="80">
        <v>3849612</v>
      </c>
      <c r="D2880" s="83">
        <v>3.3835655388114727E-2</v>
      </c>
      <c r="E2880" s="82"/>
    </row>
    <row r="2881" spans="1:5" ht="14.4">
      <c r="A2881" s="68">
        <v>40388</v>
      </c>
      <c r="B2881" s="65">
        <v>17.585000000000001</v>
      </c>
      <c r="C2881" s="80">
        <v>2470497</v>
      </c>
      <c r="D2881" s="83">
        <v>7.1592210767468245E-3</v>
      </c>
      <c r="E2881" s="82"/>
    </row>
    <row r="2882" spans="1:5" ht="14.4">
      <c r="A2882" s="68">
        <v>40387</v>
      </c>
      <c r="B2882" s="65">
        <v>17.46</v>
      </c>
      <c r="C2882" s="80">
        <v>4034433</v>
      </c>
      <c r="D2882" s="83">
        <v>-2.0005715918833822E-3</v>
      </c>
      <c r="E2882" s="82"/>
    </row>
    <row r="2883" spans="1:5" ht="14.4">
      <c r="A2883" s="68">
        <v>40386</v>
      </c>
      <c r="B2883" s="65">
        <v>17.495000000000001</v>
      </c>
      <c r="C2883" s="80">
        <v>2426765</v>
      </c>
      <c r="D2883" s="83">
        <v>-2.5348189415041689E-2</v>
      </c>
      <c r="E2883" s="82"/>
    </row>
    <row r="2884" spans="1:5" ht="14.4">
      <c r="A2884" s="68">
        <v>40385</v>
      </c>
      <c r="B2884" s="65">
        <v>17.95</v>
      </c>
      <c r="C2884" s="80">
        <v>2103290</v>
      </c>
      <c r="D2884" s="83">
        <v>-3.6081043574799354E-3</v>
      </c>
      <c r="E2884" s="82"/>
    </row>
    <row r="2885" spans="1:5" ht="14.4">
      <c r="A2885" s="68">
        <v>40382</v>
      </c>
      <c r="B2885" s="65">
        <v>18.015000000000001</v>
      </c>
      <c r="C2885" s="80">
        <v>3032022</v>
      </c>
      <c r="D2885" s="83">
        <v>3.8328530259365889E-2</v>
      </c>
      <c r="E2885" s="82"/>
    </row>
    <row r="2886" spans="1:5" ht="14.4">
      <c r="A2886" s="68">
        <v>40381</v>
      </c>
      <c r="B2886" s="65">
        <v>17.350000000000001</v>
      </c>
      <c r="C2886" s="80">
        <v>5119879</v>
      </c>
      <c r="D2886" s="83">
        <v>5.8895331095514258E-2</v>
      </c>
      <c r="E2886" s="82"/>
    </row>
    <row r="2887" spans="1:5" ht="14.4">
      <c r="A2887" s="68">
        <v>40380</v>
      </c>
      <c r="B2887" s="65">
        <v>16.385000000000002</v>
      </c>
      <c r="C2887" s="80">
        <v>2114626</v>
      </c>
      <c r="D2887" s="83">
        <v>1.8967661691542403E-2</v>
      </c>
      <c r="E2887" s="82"/>
    </row>
    <row r="2888" spans="1:5" ht="14.4">
      <c r="A2888" s="68">
        <v>40379</v>
      </c>
      <c r="B2888" s="65">
        <v>16.079999999999998</v>
      </c>
      <c r="C2888" s="80">
        <v>2627645</v>
      </c>
      <c r="D2888" s="83">
        <v>-2.8692237994563663E-2</v>
      </c>
      <c r="E2888" s="82"/>
    </row>
    <row r="2889" spans="1:5" ht="14.4">
      <c r="A2889" s="68">
        <v>40378</v>
      </c>
      <c r="B2889" s="65">
        <v>16.555</v>
      </c>
      <c r="C2889" s="80">
        <v>1952096</v>
      </c>
      <c r="D2889" s="83">
        <v>8.221680876979276E-3</v>
      </c>
      <c r="E2889" s="82"/>
    </row>
    <row r="2890" spans="1:5" ht="14.4">
      <c r="A2890" s="68">
        <v>40375</v>
      </c>
      <c r="B2890" s="65">
        <v>16.420000000000002</v>
      </c>
      <c r="C2890" s="80">
        <v>3127061</v>
      </c>
      <c r="D2890" s="83">
        <v>-7.8549848942597311E-3</v>
      </c>
      <c r="E2890" s="82"/>
    </row>
    <row r="2891" spans="1:5" ht="14.4">
      <c r="A2891" s="68">
        <v>40374</v>
      </c>
      <c r="B2891" s="65">
        <v>16.55</v>
      </c>
      <c r="C2891" s="80">
        <v>3767216</v>
      </c>
      <c r="D2891" s="83">
        <v>-4.857717734981315E-2</v>
      </c>
      <c r="E2891" s="82"/>
    </row>
    <row r="2892" spans="1:5" ht="14.4">
      <c r="A2892" s="68">
        <v>40373</v>
      </c>
      <c r="B2892" s="65">
        <v>17.395</v>
      </c>
      <c r="C2892" s="80">
        <v>1269166</v>
      </c>
      <c r="D2892" s="83">
        <v>-1.4726706315491445E-2</v>
      </c>
      <c r="E2892" s="82"/>
    </row>
    <row r="2893" spans="1:5" ht="14.4">
      <c r="A2893" s="68">
        <v>40372</v>
      </c>
      <c r="B2893" s="65">
        <v>17.655000000000001</v>
      </c>
      <c r="C2893" s="80">
        <v>2604702</v>
      </c>
      <c r="D2893" s="83">
        <v>2.9446064139941885E-2</v>
      </c>
      <c r="E2893" s="82"/>
    </row>
    <row r="2894" spans="1:5" ht="14.4">
      <c r="A2894" s="68">
        <v>40371</v>
      </c>
      <c r="B2894" s="65">
        <v>17.149999999999999</v>
      </c>
      <c r="C2894" s="80">
        <v>1400886</v>
      </c>
      <c r="D2894" s="83">
        <v>8.2304526748968598E-3</v>
      </c>
      <c r="E2894" s="82"/>
    </row>
    <row r="2895" spans="1:5" ht="14.4">
      <c r="A2895" s="68">
        <v>40368</v>
      </c>
      <c r="B2895" s="65">
        <v>17.010000000000002</v>
      </c>
      <c r="C2895" s="80">
        <v>1204614</v>
      </c>
      <c r="D2895" s="83">
        <v>5.3191489361701372E-3</v>
      </c>
      <c r="E2895" s="82"/>
    </row>
    <row r="2896" spans="1:5" ht="14.4">
      <c r="A2896" s="68">
        <v>40367</v>
      </c>
      <c r="B2896" s="65">
        <v>16.920000000000002</v>
      </c>
      <c r="C2896" s="80">
        <v>1447929</v>
      </c>
      <c r="D2896" s="83">
        <v>9.8478066248881557E-3</v>
      </c>
      <c r="E2896" s="82"/>
    </row>
    <row r="2897" spans="1:5" ht="14.4">
      <c r="A2897" s="68">
        <v>40366</v>
      </c>
      <c r="B2897" s="65">
        <v>16.754999999999999</v>
      </c>
      <c r="C2897" s="80">
        <v>1836992</v>
      </c>
      <c r="D2897" s="83">
        <v>2.3831347387717638E-2</v>
      </c>
      <c r="E2897" s="82"/>
    </row>
    <row r="2898" spans="1:5" ht="14.4">
      <c r="A2898" s="68">
        <v>40365</v>
      </c>
      <c r="B2898" s="65">
        <v>16.364999999999998</v>
      </c>
      <c r="C2898" s="80">
        <v>1615965</v>
      </c>
      <c r="D2898" s="83">
        <v>1.1746522411128169E-2</v>
      </c>
      <c r="E2898" s="82"/>
    </row>
    <row r="2899" spans="1:5" ht="14.4">
      <c r="A2899" s="68">
        <v>40364</v>
      </c>
      <c r="B2899" s="65">
        <v>16.175000000000001</v>
      </c>
      <c r="C2899" s="80">
        <v>1746277</v>
      </c>
      <c r="D2899" s="83">
        <v>2.3734177215189778E-2</v>
      </c>
      <c r="E2899" s="82"/>
    </row>
    <row r="2900" spans="1:5" ht="14.4">
      <c r="A2900" s="68">
        <v>40361</v>
      </c>
      <c r="B2900" s="65">
        <v>15.8</v>
      </c>
      <c r="C2900" s="80">
        <v>3452634</v>
      </c>
      <c r="D2900" s="83">
        <v>-3.5703387244430895E-2</v>
      </c>
      <c r="E2900" s="82"/>
    </row>
    <row r="2901" spans="1:5" ht="14.4">
      <c r="A2901" s="68">
        <v>40360</v>
      </c>
      <c r="B2901" s="65">
        <v>16.385000000000002</v>
      </c>
      <c r="C2901" s="80">
        <v>3097236</v>
      </c>
      <c r="D2901" s="83">
        <v>-2.874925903971548E-2</v>
      </c>
      <c r="E2901" s="82"/>
    </row>
    <row r="2902" spans="1:5" ht="14.4">
      <c r="A2902" s="68">
        <v>40359</v>
      </c>
      <c r="B2902" s="65">
        <v>16.87</v>
      </c>
      <c r="C2902" s="80">
        <v>2255990</v>
      </c>
      <c r="D2902" s="83">
        <v>-7.938841517200701E-3</v>
      </c>
      <c r="E2902" s="82"/>
    </row>
    <row r="2903" spans="1:5" ht="14.4">
      <c r="A2903" s="68">
        <v>40358</v>
      </c>
      <c r="B2903" s="65">
        <v>17.004999999999999</v>
      </c>
      <c r="C2903" s="80">
        <v>2418779</v>
      </c>
      <c r="D2903" s="83">
        <v>-3.3806818181818299E-2</v>
      </c>
      <c r="E2903" s="82"/>
    </row>
    <row r="2904" spans="1:5" ht="14.4">
      <c r="A2904" s="68">
        <v>40357</v>
      </c>
      <c r="B2904" s="65">
        <v>17.600000000000001</v>
      </c>
      <c r="C2904" s="80">
        <v>1374775</v>
      </c>
      <c r="D2904" s="83">
        <v>6.0017147756501465E-3</v>
      </c>
      <c r="E2904" s="82"/>
    </row>
    <row r="2905" spans="1:5" ht="14.4">
      <c r="A2905" s="68">
        <v>40354</v>
      </c>
      <c r="B2905" s="65">
        <v>17.495000000000001</v>
      </c>
      <c r="C2905" s="80">
        <v>1862389</v>
      </c>
      <c r="D2905" s="83">
        <v>-5.4007959067651212E-3</v>
      </c>
      <c r="E2905" s="82"/>
    </row>
    <row r="2906" spans="1:5" ht="14.4">
      <c r="A2906" s="68">
        <v>40353</v>
      </c>
      <c r="B2906" s="65">
        <v>17.59</v>
      </c>
      <c r="C2906" s="80">
        <v>2669425</v>
      </c>
      <c r="D2906" s="83">
        <v>-2.032859927596764E-2</v>
      </c>
      <c r="E2906" s="82"/>
    </row>
    <row r="2907" spans="1:5" ht="14.4">
      <c r="A2907" s="68">
        <v>40352</v>
      </c>
      <c r="B2907" s="65">
        <v>17.954999999999998</v>
      </c>
      <c r="C2907" s="80">
        <v>2255743</v>
      </c>
      <c r="D2907" s="83">
        <v>-5.5663790704152394E-4</v>
      </c>
      <c r="E2907" s="82"/>
    </row>
    <row r="2908" spans="1:5" ht="14.4">
      <c r="A2908" s="68">
        <v>40351</v>
      </c>
      <c r="B2908" s="65">
        <v>17.965</v>
      </c>
      <c r="C2908" s="80">
        <v>2516181</v>
      </c>
      <c r="D2908" s="83">
        <v>5.0349650349650332E-3</v>
      </c>
      <c r="E2908" s="82"/>
    </row>
    <row r="2909" spans="1:5" ht="14.4">
      <c r="A2909" s="68">
        <v>40350</v>
      </c>
      <c r="B2909" s="65">
        <v>17.875</v>
      </c>
      <c r="C2909" s="80">
        <v>1943683</v>
      </c>
      <c r="D2909" s="83">
        <v>-3.0674846625766694E-3</v>
      </c>
      <c r="E2909" s="82"/>
    </row>
    <row r="2910" spans="1:5" ht="14.4">
      <c r="A2910" s="68">
        <v>40347</v>
      </c>
      <c r="B2910" s="65">
        <v>17.93</v>
      </c>
      <c r="C2910" s="80">
        <v>6415404</v>
      </c>
      <c r="D2910" s="83">
        <v>-3.0581039755351869E-3</v>
      </c>
      <c r="E2910" s="82"/>
    </row>
    <row r="2911" spans="1:5" ht="14.4">
      <c r="A2911" s="68">
        <v>40346</v>
      </c>
      <c r="B2911" s="65">
        <v>17.984999999999999</v>
      </c>
      <c r="C2911" s="80">
        <v>2507735</v>
      </c>
      <c r="D2911" s="83">
        <v>-3.6011080332410961E-3</v>
      </c>
      <c r="E2911" s="82"/>
    </row>
    <row r="2912" spans="1:5" ht="14.4">
      <c r="A2912" s="68">
        <v>40345</v>
      </c>
      <c r="B2912" s="65">
        <v>18.05</v>
      </c>
      <c r="C2912" s="80">
        <v>4125761</v>
      </c>
      <c r="D2912" s="83">
        <v>-1.741970604246057E-2</v>
      </c>
      <c r="E2912" s="82"/>
    </row>
    <row r="2913" spans="1:5" ht="14.4">
      <c r="A2913" s="68">
        <v>40344</v>
      </c>
      <c r="B2913" s="65">
        <v>18.37</v>
      </c>
      <c r="C2913" s="80">
        <v>2572391</v>
      </c>
      <c r="D2913" s="83">
        <v>2.7292576419213344E-3</v>
      </c>
      <c r="E2913" s="82"/>
    </row>
    <row r="2914" spans="1:5" ht="14.4">
      <c r="A2914" s="68">
        <v>40343</v>
      </c>
      <c r="B2914" s="65">
        <v>18.32</v>
      </c>
      <c r="C2914" s="80">
        <v>3056312</v>
      </c>
      <c r="D2914" s="83">
        <v>3.8254463020685803E-2</v>
      </c>
      <c r="E2914" s="82"/>
    </row>
    <row r="2915" spans="1:5" ht="14.4">
      <c r="A2915" s="68">
        <v>40340</v>
      </c>
      <c r="B2915" s="65">
        <v>17.645</v>
      </c>
      <c r="C2915" s="80">
        <v>4170833</v>
      </c>
      <c r="D2915" s="83">
        <v>-1.8904642757853751E-2</v>
      </c>
      <c r="E2915" s="82"/>
    </row>
    <row r="2916" spans="1:5" ht="14.4">
      <c r="A2916" s="68">
        <v>40339</v>
      </c>
      <c r="B2916" s="65">
        <v>17.984999999999999</v>
      </c>
      <c r="C2916" s="80">
        <v>4769140</v>
      </c>
      <c r="D2916" s="83">
        <v>4.4425087108014072E-2</v>
      </c>
      <c r="E2916" s="82"/>
    </row>
    <row r="2917" spans="1:5" ht="14.4">
      <c r="A2917" s="68">
        <v>40338</v>
      </c>
      <c r="B2917" s="65">
        <v>17.22</v>
      </c>
      <c r="C2917" s="80">
        <v>7280784</v>
      </c>
      <c r="D2917" s="83">
        <v>6.1325115562403498E-2</v>
      </c>
      <c r="E2917" s="82"/>
    </row>
    <row r="2918" spans="1:5" ht="14.4">
      <c r="A2918" s="68">
        <v>40337</v>
      </c>
      <c r="B2918" s="65">
        <v>16.225000000000001</v>
      </c>
      <c r="C2918" s="80">
        <v>2860213</v>
      </c>
      <c r="D2918" s="83">
        <v>5.8896466212028376E-3</v>
      </c>
      <c r="E2918" s="82"/>
    </row>
    <row r="2919" spans="1:5" ht="14.4">
      <c r="A2919" s="68">
        <v>40336</v>
      </c>
      <c r="B2919" s="65">
        <v>16.13</v>
      </c>
      <c r="C2919" s="80">
        <v>2934158</v>
      </c>
      <c r="D2919" s="83">
        <v>2.4860161591049312E-3</v>
      </c>
      <c r="E2919" s="82"/>
    </row>
    <row r="2920" spans="1:5" ht="14.4">
      <c r="A2920" s="68">
        <v>40333</v>
      </c>
      <c r="B2920" s="65">
        <v>16.09</v>
      </c>
      <c r="C2920" s="80">
        <v>2297729</v>
      </c>
      <c r="D2920" s="83">
        <v>-1.2580546179809859E-2</v>
      </c>
      <c r="E2920" s="82"/>
    </row>
    <row r="2921" spans="1:5" ht="14.4">
      <c r="A2921" s="68">
        <v>40332</v>
      </c>
      <c r="B2921" s="65">
        <v>16.295000000000002</v>
      </c>
      <c r="C2921" s="80">
        <v>1843918</v>
      </c>
      <c r="D2921" s="83">
        <v>1.5264797507788197E-2</v>
      </c>
      <c r="E2921" s="82"/>
    </row>
    <row r="2922" spans="1:5" ht="14.4">
      <c r="A2922" s="68">
        <v>40331</v>
      </c>
      <c r="B2922" s="65">
        <v>16.05</v>
      </c>
      <c r="C2922" s="80">
        <v>1932914</v>
      </c>
      <c r="D2922" s="83">
        <v>-3.1142946122697523E-4</v>
      </c>
      <c r="E2922" s="82"/>
    </row>
    <row r="2923" spans="1:5" ht="14.4">
      <c r="A2923" s="68">
        <v>40330</v>
      </c>
      <c r="B2923" s="65">
        <v>16.055</v>
      </c>
      <c r="C2923" s="80">
        <v>2697922</v>
      </c>
      <c r="D2923" s="83">
        <v>-1.4426028238182953E-2</v>
      </c>
      <c r="E2923" s="82"/>
    </row>
    <row r="2924" spans="1:5" ht="14.4">
      <c r="A2924" s="68">
        <v>40329</v>
      </c>
      <c r="B2924" s="65">
        <v>16.29</v>
      </c>
      <c r="C2924" s="80">
        <v>1051717</v>
      </c>
      <c r="D2924" s="83">
        <v>1.2744793285669687E-2</v>
      </c>
      <c r="E2924" s="82"/>
    </row>
    <row r="2925" spans="1:5" ht="14.4">
      <c r="A2925" s="68">
        <v>40326</v>
      </c>
      <c r="B2925" s="65">
        <v>16.085000000000001</v>
      </c>
      <c r="C2925" s="80">
        <v>2897010</v>
      </c>
      <c r="D2925" s="83">
        <v>3.4310667498440584E-3</v>
      </c>
      <c r="E2925" s="82"/>
    </row>
    <row r="2926" spans="1:5" ht="14.4">
      <c r="A2926" s="68">
        <v>40325</v>
      </c>
      <c r="B2926" s="65">
        <v>16.03</v>
      </c>
      <c r="C2926" s="80">
        <v>3190672</v>
      </c>
      <c r="D2926" s="83">
        <v>1.6809387884554328E-2</v>
      </c>
      <c r="E2926" s="82"/>
    </row>
    <row r="2927" spans="1:5" ht="14.4">
      <c r="A2927" s="68">
        <v>40324</v>
      </c>
      <c r="B2927" s="65">
        <v>15.765000000000001</v>
      </c>
      <c r="C2927" s="80">
        <v>3050474</v>
      </c>
      <c r="D2927" s="83">
        <v>3.3093053735255618E-2</v>
      </c>
      <c r="E2927" s="82"/>
    </row>
    <row r="2928" spans="1:5" ht="14.4">
      <c r="A2928" s="68">
        <v>40323</v>
      </c>
      <c r="B2928" s="65">
        <v>15.26</v>
      </c>
      <c r="C2928" s="80">
        <v>4066673</v>
      </c>
      <c r="D2928" s="83">
        <v>-2.6785714285714302E-2</v>
      </c>
      <c r="E2928" s="82"/>
    </row>
    <row r="2929" spans="1:5" ht="14.4">
      <c r="A2929" s="68">
        <v>40322</v>
      </c>
      <c r="B2929" s="65">
        <v>15.68</v>
      </c>
      <c r="C2929" s="80">
        <v>2572953</v>
      </c>
      <c r="D2929" s="83">
        <v>-1.0725552050473208E-2</v>
      </c>
      <c r="E2929" s="82"/>
    </row>
    <row r="2930" spans="1:5" ht="14.4">
      <c r="A2930" s="68">
        <v>40319</v>
      </c>
      <c r="B2930" s="65">
        <v>15.85</v>
      </c>
      <c r="C2930" s="80">
        <v>5259844</v>
      </c>
      <c r="D2930" s="83">
        <v>-1.1537262238852541E-2</v>
      </c>
      <c r="E2930" s="82"/>
    </row>
    <row r="2931" spans="1:5" ht="14.4">
      <c r="A2931" s="68">
        <v>40318</v>
      </c>
      <c r="B2931" s="65">
        <v>16.035</v>
      </c>
      <c r="C2931" s="80">
        <v>6888881</v>
      </c>
      <c r="D2931" s="83">
        <v>-1.9865525672371542E-2</v>
      </c>
      <c r="E2931" s="82"/>
    </row>
    <row r="2932" spans="1:5" ht="14.4">
      <c r="A2932" s="68">
        <v>40317</v>
      </c>
      <c r="B2932" s="65">
        <v>16.36</v>
      </c>
      <c r="C2932" s="80">
        <v>5948266</v>
      </c>
      <c r="D2932" s="83">
        <v>-3.6513545347467646E-2</v>
      </c>
      <c r="E2932" s="82"/>
    </row>
    <row r="2933" spans="1:5" ht="14.4">
      <c r="A2933" s="68">
        <v>40316</v>
      </c>
      <c r="B2933" s="65">
        <v>16.98</v>
      </c>
      <c r="C2933" s="80">
        <v>8549961</v>
      </c>
      <c r="D2933" s="83">
        <v>6.1581744295092333E-2</v>
      </c>
      <c r="E2933" s="82"/>
    </row>
    <row r="2934" spans="1:5" ht="14.4">
      <c r="A2934" s="68">
        <v>40315</v>
      </c>
      <c r="B2934" s="65">
        <v>15.994999999999999</v>
      </c>
      <c r="C2934" s="80">
        <v>8937798</v>
      </c>
      <c r="D2934" s="83">
        <v>-1.9613852283175137E-2</v>
      </c>
      <c r="E2934" s="82"/>
    </row>
    <row r="2935" spans="1:5" ht="14.4">
      <c r="A2935" s="68">
        <v>40312</v>
      </c>
      <c r="B2935" s="65">
        <v>16.315000000000001</v>
      </c>
      <c r="C2935" s="80">
        <v>10494524</v>
      </c>
      <c r="D2935" s="83">
        <v>5.0547327752736848E-2</v>
      </c>
      <c r="E2935" s="82"/>
    </row>
    <row r="2936" spans="1:5" ht="14.4">
      <c r="A2936" s="68">
        <v>40311</v>
      </c>
      <c r="B2936" s="65">
        <v>15.53</v>
      </c>
      <c r="C2936" s="80">
        <v>3608774</v>
      </c>
      <c r="D2936" s="83">
        <v>8.7690808704123935E-3</v>
      </c>
      <c r="E2936" s="82"/>
    </row>
    <row r="2937" spans="1:5" ht="14.4">
      <c r="A2937" s="68">
        <v>40310</v>
      </c>
      <c r="B2937" s="65">
        <v>15.395</v>
      </c>
      <c r="C2937" s="80">
        <v>6574246</v>
      </c>
      <c r="D2937" s="83">
        <v>5.0853242320819003E-2</v>
      </c>
      <c r="E2937" s="82"/>
    </row>
    <row r="2938" spans="1:5" ht="14.4">
      <c r="A2938" s="68">
        <v>40309</v>
      </c>
      <c r="B2938" s="65">
        <v>14.65</v>
      </c>
      <c r="C2938" s="80">
        <v>6142705</v>
      </c>
      <c r="D2938" s="83">
        <v>3.4969975273754894E-2</v>
      </c>
      <c r="E2938" s="82"/>
    </row>
    <row r="2939" spans="1:5" ht="14.4">
      <c r="A2939" s="68">
        <v>40308</v>
      </c>
      <c r="B2939" s="65">
        <v>14.154999999999999</v>
      </c>
      <c r="C2939" s="80">
        <v>5008909</v>
      </c>
      <c r="D2939" s="83">
        <v>4.4264109184802614E-2</v>
      </c>
      <c r="E2939" s="82"/>
    </row>
    <row r="2940" spans="1:5" ht="14.4">
      <c r="A2940" s="68">
        <v>40305</v>
      </c>
      <c r="B2940" s="65">
        <v>13.555</v>
      </c>
      <c r="C2940" s="80">
        <v>6141556</v>
      </c>
      <c r="D2940" s="83">
        <v>-2.8315412186379896E-2</v>
      </c>
      <c r="E2940" s="82"/>
    </row>
    <row r="2941" spans="1:5" ht="14.4">
      <c r="A2941" s="68">
        <v>40304</v>
      </c>
      <c r="B2941" s="65">
        <v>13.95</v>
      </c>
      <c r="C2941" s="80">
        <v>5300977</v>
      </c>
      <c r="D2941" s="83">
        <v>1.0503440782325235E-2</v>
      </c>
      <c r="E2941" s="82"/>
    </row>
    <row r="2942" spans="1:5" ht="14.4">
      <c r="A2942" s="68">
        <v>40303</v>
      </c>
      <c r="B2942" s="65">
        <v>13.805</v>
      </c>
      <c r="C2942" s="80">
        <v>5598980</v>
      </c>
      <c r="D2942" s="83">
        <v>1.0984987184181616E-2</v>
      </c>
      <c r="E2942" s="82"/>
    </row>
    <row r="2943" spans="1:5" ht="14.4">
      <c r="A2943" s="68">
        <v>40302</v>
      </c>
      <c r="B2943" s="65">
        <v>13.654999999999999</v>
      </c>
      <c r="C2943" s="80">
        <v>3592352</v>
      </c>
      <c r="D2943" s="83">
        <v>-1.4079422382671458E-2</v>
      </c>
      <c r="E2943" s="82"/>
    </row>
    <row r="2944" spans="1:5" ht="14.4">
      <c r="A2944" s="68">
        <v>40301</v>
      </c>
      <c r="B2944" s="65">
        <v>13.85</v>
      </c>
      <c r="C2944" s="80">
        <v>2402160</v>
      </c>
      <c r="D2944" s="83">
        <v>-1.282965074839626E-2</v>
      </c>
      <c r="E2944" s="82"/>
    </row>
    <row r="2945" spans="1:5" ht="14.4">
      <c r="A2945" s="68">
        <v>40298</v>
      </c>
      <c r="B2945" s="65">
        <v>14.03</v>
      </c>
      <c r="C2945" s="80">
        <v>2194558</v>
      </c>
      <c r="D2945" s="83">
        <v>-1.3014421385860064E-2</v>
      </c>
      <c r="E2945" s="82"/>
    </row>
    <row r="2946" spans="1:5" ht="14.4">
      <c r="A2946" s="68">
        <v>40297</v>
      </c>
      <c r="B2946" s="65">
        <v>14.215</v>
      </c>
      <c r="C2946" s="80">
        <v>3600854</v>
      </c>
      <c r="D2946" s="83">
        <v>1.9727403156384549E-2</v>
      </c>
      <c r="E2946" s="82"/>
    </row>
    <row r="2947" spans="1:5" ht="14.4">
      <c r="A2947" s="68">
        <v>40296</v>
      </c>
      <c r="B2947" s="65">
        <v>13.94</v>
      </c>
      <c r="C2947" s="80">
        <v>3653830</v>
      </c>
      <c r="D2947" s="83">
        <v>-6.768792304951976E-3</v>
      </c>
      <c r="E2947" s="82"/>
    </row>
    <row r="2948" spans="1:5" ht="14.4">
      <c r="A2948" s="68">
        <v>40295</v>
      </c>
      <c r="B2948" s="65">
        <v>14.035</v>
      </c>
      <c r="C2948" s="80">
        <v>2478897</v>
      </c>
      <c r="D2948" s="83">
        <v>-3.7709976002742618E-2</v>
      </c>
      <c r="E2948" s="82"/>
    </row>
    <row r="2949" spans="1:5" ht="14.4">
      <c r="A2949" s="68">
        <v>40294</v>
      </c>
      <c r="B2949" s="65">
        <v>14.585000000000001</v>
      </c>
      <c r="C2949" s="80">
        <v>1380980</v>
      </c>
      <c r="D2949" s="83">
        <v>4.8225973131243993E-3</v>
      </c>
      <c r="E2949" s="82"/>
    </row>
    <row r="2950" spans="1:5" ht="14.4">
      <c r="A2950" s="68">
        <v>40291</v>
      </c>
      <c r="B2950" s="65">
        <v>14.515000000000001</v>
      </c>
      <c r="C2950" s="80">
        <v>1825225</v>
      </c>
      <c r="D2950" s="83">
        <v>1.0442046641141678E-2</v>
      </c>
      <c r="E2950" s="82"/>
    </row>
    <row r="2951" spans="1:5" ht="14.4">
      <c r="A2951" s="68">
        <v>40290</v>
      </c>
      <c r="B2951" s="65">
        <v>14.365</v>
      </c>
      <c r="C2951" s="80">
        <v>2988639</v>
      </c>
      <c r="D2951" s="83">
        <v>-1.4746227709190651E-2</v>
      </c>
      <c r="E2951" s="82"/>
    </row>
    <row r="2952" spans="1:5" ht="14.4">
      <c r="A2952" s="68">
        <v>40289</v>
      </c>
      <c r="B2952" s="65">
        <v>14.58</v>
      </c>
      <c r="C2952" s="80">
        <v>2124287</v>
      </c>
      <c r="D2952" s="83">
        <v>-3.7581141100102577E-3</v>
      </c>
      <c r="E2952" s="82"/>
    </row>
    <row r="2953" spans="1:5" ht="14.4">
      <c r="A2953" s="68">
        <v>40288</v>
      </c>
      <c r="B2953" s="65">
        <v>14.635</v>
      </c>
      <c r="C2953" s="80">
        <v>1438662</v>
      </c>
      <c r="D2953" s="83">
        <v>1.5261879986125715E-2</v>
      </c>
      <c r="E2953" s="82"/>
    </row>
    <row r="2954" spans="1:5" ht="14.4">
      <c r="A2954" s="68">
        <v>40287</v>
      </c>
      <c r="B2954" s="65">
        <v>14.414999999999999</v>
      </c>
      <c r="C2954" s="80">
        <v>2147005</v>
      </c>
      <c r="D2954" s="83">
        <v>-1.3347022587269053E-2</v>
      </c>
      <c r="E2954" s="82"/>
    </row>
    <row r="2955" spans="1:5" ht="14.4">
      <c r="A2955" s="68">
        <v>40284</v>
      </c>
      <c r="B2955" s="65">
        <v>14.61</v>
      </c>
      <c r="C2955" s="80">
        <v>2385064</v>
      </c>
      <c r="D2955" s="83">
        <v>-1.0497798848628559E-2</v>
      </c>
      <c r="E2955" s="82"/>
    </row>
    <row r="2956" spans="1:5" ht="14.4">
      <c r="A2956" s="68">
        <v>40283</v>
      </c>
      <c r="B2956" s="65">
        <v>14.765000000000001</v>
      </c>
      <c r="C2956" s="80">
        <v>1962999</v>
      </c>
      <c r="D2956" s="83">
        <v>4.4217687074830092E-3</v>
      </c>
      <c r="E2956" s="82"/>
    </row>
    <row r="2957" spans="1:5" ht="14.4">
      <c r="A2957" s="68">
        <v>40282</v>
      </c>
      <c r="B2957" s="65">
        <v>14.7</v>
      </c>
      <c r="C2957" s="80">
        <v>2896487</v>
      </c>
      <c r="D2957" s="83">
        <v>1.2745435756114309E-2</v>
      </c>
      <c r="E2957" s="82"/>
    </row>
    <row r="2958" spans="1:5" ht="14.4">
      <c r="A2958" s="68">
        <v>40281</v>
      </c>
      <c r="B2958" s="65">
        <v>14.515000000000001</v>
      </c>
      <c r="C2958" s="80">
        <v>2732230</v>
      </c>
      <c r="D2958" s="83">
        <v>-1.7597292724196301E-2</v>
      </c>
      <c r="E2958" s="82"/>
    </row>
    <row r="2959" spans="1:5" ht="14.4">
      <c r="A2959" s="68">
        <v>40280</v>
      </c>
      <c r="B2959" s="65">
        <v>14.775</v>
      </c>
      <c r="C2959" s="80">
        <v>1270263</v>
      </c>
      <c r="D2959" s="83">
        <v>-8.3892617449664586E-3</v>
      </c>
      <c r="E2959" s="82"/>
    </row>
    <row r="2960" spans="1:5" ht="14.4">
      <c r="A2960" s="68">
        <v>40277</v>
      </c>
      <c r="B2960" s="65">
        <v>14.9</v>
      </c>
      <c r="C2960" s="80">
        <v>2442427</v>
      </c>
      <c r="D2960" s="83">
        <v>2.4759284731774578E-2</v>
      </c>
      <c r="E2960" s="82"/>
    </row>
    <row r="2961" spans="1:5" ht="14.4">
      <c r="A2961" s="68">
        <v>40276</v>
      </c>
      <c r="B2961" s="65">
        <v>14.54</v>
      </c>
      <c r="C2961" s="80">
        <v>4213155</v>
      </c>
      <c r="D2961" s="83">
        <v>-3.0020013342228258E-2</v>
      </c>
      <c r="E2961" s="82"/>
    </row>
    <row r="2962" spans="1:5" ht="14.4">
      <c r="A2962" s="68">
        <v>40275</v>
      </c>
      <c r="B2962" s="65">
        <v>14.99</v>
      </c>
      <c r="C2962" s="80">
        <v>2323951</v>
      </c>
      <c r="D2962" s="83">
        <v>-1.0234400792340614E-2</v>
      </c>
      <c r="E2962" s="82"/>
    </row>
    <row r="2963" spans="1:5" ht="14.4">
      <c r="A2963" s="68">
        <v>40274</v>
      </c>
      <c r="B2963" s="65">
        <v>15.145</v>
      </c>
      <c r="C2963" s="80">
        <v>1803174</v>
      </c>
      <c r="D2963" s="83">
        <v>-6.5595277140045871E-3</v>
      </c>
      <c r="E2963" s="82"/>
    </row>
    <row r="2964" spans="1:5" ht="14.4">
      <c r="A2964" s="68">
        <v>40269</v>
      </c>
      <c r="B2964" s="65">
        <v>15.244999999999999</v>
      </c>
      <c r="C2964" s="80">
        <v>1678336</v>
      </c>
      <c r="D2964" s="83">
        <v>2.3497818059751596E-2</v>
      </c>
      <c r="E2964" s="82"/>
    </row>
    <row r="2965" spans="1:5" ht="14.4">
      <c r="A2965" s="68">
        <v>40268</v>
      </c>
      <c r="B2965" s="65">
        <v>14.895</v>
      </c>
      <c r="C2965" s="80">
        <v>1510262</v>
      </c>
      <c r="D2965" s="83">
        <v>1.0080645161290036E-3</v>
      </c>
      <c r="E2965" s="82"/>
    </row>
    <row r="2966" spans="1:5" ht="14.4">
      <c r="A2966" s="68">
        <v>40267</v>
      </c>
      <c r="B2966" s="65">
        <v>14.88</v>
      </c>
      <c r="C2966" s="80">
        <v>2453158</v>
      </c>
      <c r="D2966" s="83">
        <v>-2.7768703038222764E-2</v>
      </c>
      <c r="E2966" s="82"/>
    </row>
    <row r="2967" spans="1:5" ht="14.4">
      <c r="A2967" s="68">
        <v>40266</v>
      </c>
      <c r="B2967" s="65">
        <v>15.305</v>
      </c>
      <c r="C2967" s="80">
        <v>1176440</v>
      </c>
      <c r="D2967" s="83">
        <v>-1.3050570962479524E-3</v>
      </c>
      <c r="E2967" s="82"/>
    </row>
    <row r="2968" spans="1:5" ht="14.4">
      <c r="A2968" s="68">
        <v>40263</v>
      </c>
      <c r="B2968" s="65">
        <v>15.324999999999999</v>
      </c>
      <c r="C2968" s="80">
        <v>1511485</v>
      </c>
      <c r="D2968" s="83">
        <v>3.9305601048149619E-3</v>
      </c>
      <c r="E2968" s="82"/>
    </row>
    <row r="2969" spans="1:5" ht="14.4">
      <c r="A2969" s="68">
        <v>40262</v>
      </c>
      <c r="B2969" s="65">
        <v>15.265000000000001</v>
      </c>
      <c r="C2969" s="80">
        <v>3346628</v>
      </c>
      <c r="D2969" s="83">
        <v>6.926121372031746E-3</v>
      </c>
      <c r="E2969" s="82"/>
    </row>
    <row r="2970" spans="1:5" ht="14.4">
      <c r="A2970" s="68">
        <v>40261</v>
      </c>
      <c r="B2970" s="65">
        <v>15.16</v>
      </c>
      <c r="C2970" s="80">
        <v>5387828</v>
      </c>
      <c r="D2970" s="83">
        <v>3.1994554118447871E-2</v>
      </c>
      <c r="E2970" s="82"/>
    </row>
    <row r="2971" spans="1:5" ht="14.4">
      <c r="A2971" s="68">
        <v>40260</v>
      </c>
      <c r="B2971" s="65">
        <v>14.69</v>
      </c>
      <c r="C2971" s="80">
        <v>4016853</v>
      </c>
      <c r="D2971" s="83">
        <v>-2.0666666666666722E-2</v>
      </c>
      <c r="E2971" s="82"/>
    </row>
    <row r="2972" spans="1:5" ht="14.4">
      <c r="A2972" s="68">
        <v>40259</v>
      </c>
      <c r="B2972" s="65">
        <v>15</v>
      </c>
      <c r="C2972" s="80">
        <v>2817656</v>
      </c>
      <c r="D2972" s="83">
        <v>1.1463250168577188E-2</v>
      </c>
      <c r="E2972" s="82"/>
    </row>
    <row r="2973" spans="1:5" ht="14.4">
      <c r="A2973" s="68">
        <v>40256</v>
      </c>
      <c r="B2973" s="65">
        <v>14.83</v>
      </c>
      <c r="C2973" s="80">
        <v>4974669</v>
      </c>
      <c r="D2973" s="83">
        <v>1.021798365122617E-2</v>
      </c>
      <c r="E2973" s="82"/>
    </row>
    <row r="2974" spans="1:5" ht="14.4">
      <c r="A2974" s="68">
        <v>40255</v>
      </c>
      <c r="B2974" s="65">
        <v>14.68</v>
      </c>
      <c r="C2974" s="80">
        <v>6033569</v>
      </c>
      <c r="D2974" s="83">
        <v>1.3812154696132506E-2</v>
      </c>
      <c r="E2974" s="82"/>
    </row>
    <row r="2975" spans="1:5" ht="14.4">
      <c r="A2975" s="68">
        <v>40254</v>
      </c>
      <c r="B2975" s="65">
        <v>14.48</v>
      </c>
      <c r="C2975" s="80">
        <v>3653641</v>
      </c>
      <c r="D2975" s="83">
        <v>-1.0928961748633892E-2</v>
      </c>
      <c r="E2975" s="82"/>
    </row>
    <row r="2976" spans="1:5" ht="14.4">
      <c r="A2976" s="68">
        <v>40253</v>
      </c>
      <c r="B2976" s="65">
        <v>14.64</v>
      </c>
      <c r="C2976" s="80">
        <v>2197552</v>
      </c>
      <c r="D2976" s="83">
        <v>-1.0235414534287557E-3</v>
      </c>
      <c r="E2976" s="82"/>
    </row>
    <row r="2977" spans="1:5" ht="14.4">
      <c r="A2977" s="68">
        <v>40252</v>
      </c>
      <c r="B2977" s="65">
        <v>14.654999999999999</v>
      </c>
      <c r="C2977" s="80">
        <v>1629309</v>
      </c>
      <c r="D2977" s="83">
        <v>-1.3628620102215105E-3</v>
      </c>
      <c r="E2977" s="82"/>
    </row>
    <row r="2978" spans="1:5" ht="14.4">
      <c r="A2978" s="68">
        <v>40249</v>
      </c>
      <c r="B2978" s="65">
        <v>14.675000000000001</v>
      </c>
      <c r="C2978" s="80">
        <v>2938718</v>
      </c>
      <c r="D2978" s="83">
        <v>-1.1784511784511675E-2</v>
      </c>
      <c r="E2978" s="82"/>
    </row>
    <row r="2979" spans="1:5" ht="14.4">
      <c r="A2979" s="68">
        <v>40248</v>
      </c>
      <c r="B2979" s="65">
        <v>14.85</v>
      </c>
      <c r="C2979" s="80">
        <v>5307266</v>
      </c>
      <c r="D2979" s="83">
        <v>-2.7823240589198051E-2</v>
      </c>
      <c r="E2979" s="82"/>
    </row>
    <row r="2980" spans="1:5" ht="14.4">
      <c r="A2980" s="68">
        <v>40247</v>
      </c>
      <c r="B2980" s="65">
        <v>15.275</v>
      </c>
      <c r="C2980" s="80">
        <v>3765845</v>
      </c>
      <c r="D2980" s="83">
        <v>-1.0366051182377767E-2</v>
      </c>
      <c r="E2980" s="82"/>
    </row>
    <row r="2981" spans="1:5" ht="14.4">
      <c r="A2981" s="68">
        <v>40246</v>
      </c>
      <c r="B2981" s="65">
        <v>15.435</v>
      </c>
      <c r="C2981" s="80">
        <v>8225292</v>
      </c>
      <c r="D2981" s="83">
        <v>-2.8022670025188878E-2</v>
      </c>
      <c r="E2981" s="82"/>
    </row>
    <row r="2982" spans="1:5" ht="14.4">
      <c r="A2982" s="68">
        <v>40245</v>
      </c>
      <c r="B2982" s="65">
        <v>15.88</v>
      </c>
      <c r="C2982" s="80">
        <v>3641597</v>
      </c>
      <c r="D2982" s="83">
        <v>-4.7007207771857518E-3</v>
      </c>
      <c r="E2982" s="82"/>
    </row>
    <row r="2983" spans="1:5" ht="14.4">
      <c r="A2983" s="68">
        <v>40242</v>
      </c>
      <c r="B2983" s="65">
        <v>15.955</v>
      </c>
      <c r="C2983" s="80">
        <v>2202256</v>
      </c>
      <c r="D2983" s="83">
        <v>1.9814637264301771E-2</v>
      </c>
      <c r="E2983" s="82"/>
    </row>
    <row r="2984" spans="1:5" ht="14.4">
      <c r="A2984" s="68">
        <v>40241</v>
      </c>
      <c r="B2984" s="65">
        <v>15.645</v>
      </c>
      <c r="C2984" s="80">
        <v>2614279</v>
      </c>
      <c r="D2984" s="83">
        <v>1.0332579916047857E-2</v>
      </c>
      <c r="E2984" s="82"/>
    </row>
    <row r="2985" spans="1:5" ht="14.4">
      <c r="A2985" s="68">
        <v>40240</v>
      </c>
      <c r="B2985" s="65">
        <v>15.484999999999999</v>
      </c>
      <c r="C2985" s="80">
        <v>1620058</v>
      </c>
      <c r="D2985" s="83">
        <v>2.5898348980251118E-3</v>
      </c>
      <c r="E2985" s="82"/>
    </row>
    <row r="2986" spans="1:5" ht="14.4">
      <c r="A2986" s="68">
        <v>40239</v>
      </c>
      <c r="B2986" s="65">
        <v>15.445</v>
      </c>
      <c r="C2986" s="80">
        <v>1447372</v>
      </c>
      <c r="D2986" s="83">
        <v>5.2066384640416796E-3</v>
      </c>
      <c r="E2986" s="82"/>
    </row>
    <row r="2987" spans="1:5" ht="14.4">
      <c r="A2987" s="68">
        <v>40238</v>
      </c>
      <c r="B2987" s="65">
        <v>15.365</v>
      </c>
      <c r="C2987" s="80">
        <v>1744188</v>
      </c>
      <c r="D2987" s="83">
        <v>1.3856812933025431E-2</v>
      </c>
      <c r="E2987" s="82"/>
    </row>
    <row r="2988" spans="1:5" ht="14.4">
      <c r="A2988" s="68">
        <v>40235</v>
      </c>
      <c r="B2988" s="65">
        <v>15.154999999999999</v>
      </c>
      <c r="C2988" s="80">
        <v>2724588</v>
      </c>
      <c r="D2988" s="83">
        <v>4.3014452856159568E-2</v>
      </c>
      <c r="E2988" s="82"/>
    </row>
    <row r="2989" spans="1:5" ht="14.4">
      <c r="A2989" s="68">
        <v>40234</v>
      </c>
      <c r="B2989" s="65">
        <v>14.53</v>
      </c>
      <c r="C2989" s="80">
        <v>2412131</v>
      </c>
      <c r="D2989" s="83">
        <v>-1.3912453342382114E-2</v>
      </c>
      <c r="E2989" s="82"/>
    </row>
    <row r="2990" spans="1:5" ht="14.4">
      <c r="A2990" s="68">
        <v>40233</v>
      </c>
      <c r="B2990" s="65">
        <v>14.734999999999999</v>
      </c>
      <c r="C2990" s="80">
        <v>4127928</v>
      </c>
      <c r="D2990" s="83">
        <v>-2.0604852110335692E-2</v>
      </c>
      <c r="E2990" s="82"/>
    </row>
    <row r="2991" spans="1:5" ht="14.4">
      <c r="A2991" s="68">
        <v>40232</v>
      </c>
      <c r="B2991" s="65">
        <v>15.045</v>
      </c>
      <c r="C2991" s="80">
        <v>3089515</v>
      </c>
      <c r="D2991" s="83">
        <v>1.1768661735036989E-2</v>
      </c>
      <c r="E2991" s="82"/>
    </row>
    <row r="2992" spans="1:5" ht="14.4">
      <c r="A2992" s="68">
        <v>40231</v>
      </c>
      <c r="B2992" s="65">
        <v>14.87</v>
      </c>
      <c r="C2992" s="80">
        <v>2762829</v>
      </c>
      <c r="D2992" s="83">
        <v>3.3636057854002921E-4</v>
      </c>
      <c r="E2992" s="82"/>
    </row>
    <row r="2993" spans="1:5" ht="14.4">
      <c r="A2993" s="68">
        <v>40228</v>
      </c>
      <c r="B2993" s="65">
        <v>14.865</v>
      </c>
      <c r="C2993" s="80">
        <v>2347070</v>
      </c>
      <c r="D2993" s="83">
        <v>1.3983628922237479E-2</v>
      </c>
      <c r="E2993" s="82"/>
    </row>
    <row r="2994" spans="1:5" ht="14.4">
      <c r="A2994" s="68">
        <v>40227</v>
      </c>
      <c r="B2994" s="65">
        <v>14.66</v>
      </c>
      <c r="C2994" s="80">
        <v>2158668</v>
      </c>
      <c r="D2994" s="83">
        <v>1.2430939226519389E-2</v>
      </c>
      <c r="E2994" s="82"/>
    </row>
    <row r="2995" spans="1:5" ht="14.4">
      <c r="A2995" s="68">
        <v>40226</v>
      </c>
      <c r="B2995" s="65">
        <v>14.48</v>
      </c>
      <c r="C2995" s="80">
        <v>4296443</v>
      </c>
      <c r="D2995" s="83">
        <v>4.9655672345052526E-2</v>
      </c>
      <c r="E2995" s="82"/>
    </row>
    <row r="2996" spans="1:5" ht="14.4">
      <c r="A2996" s="68">
        <v>40225</v>
      </c>
      <c r="B2996" s="65">
        <v>13.795</v>
      </c>
      <c r="C2996" s="80">
        <v>1869954</v>
      </c>
      <c r="D2996" s="83">
        <v>1.8081180811807984E-2</v>
      </c>
      <c r="E2996" s="82"/>
    </row>
    <row r="2997" spans="1:5" ht="14.4">
      <c r="A2997" s="68">
        <v>40224</v>
      </c>
      <c r="B2997" s="65">
        <v>13.55</v>
      </c>
      <c r="C2997" s="80">
        <v>1692329</v>
      </c>
      <c r="D2997" s="83">
        <v>-1.4545454545454528E-2</v>
      </c>
      <c r="E2997" s="82"/>
    </row>
    <row r="2998" spans="1:5" ht="14.4">
      <c r="A2998" s="68">
        <v>40221</v>
      </c>
      <c r="B2998" s="65">
        <v>13.75</v>
      </c>
      <c r="C2998" s="80">
        <v>2290937</v>
      </c>
      <c r="D2998" s="83">
        <v>1.4566642388929019E-3</v>
      </c>
      <c r="E2998" s="82"/>
    </row>
    <row r="2999" spans="1:5" ht="14.4">
      <c r="A2999" s="68">
        <v>40220</v>
      </c>
      <c r="B2999" s="65">
        <v>13.73</v>
      </c>
      <c r="C2999" s="80">
        <v>2007180</v>
      </c>
      <c r="D2999" s="83">
        <v>-4.7118521203334263E-3</v>
      </c>
      <c r="E2999" s="82"/>
    </row>
    <row r="3000" spans="1:5" ht="14.4">
      <c r="A3000" s="68">
        <v>40219</v>
      </c>
      <c r="B3000" s="65">
        <v>13.795</v>
      </c>
      <c r="C3000" s="80">
        <v>2177198</v>
      </c>
      <c r="D3000" s="83">
        <v>-7.243752263672576E-4</v>
      </c>
      <c r="E3000" s="82"/>
    </row>
    <row r="3001" spans="1:5" ht="14.4">
      <c r="A3001" s="68">
        <v>40218</v>
      </c>
      <c r="B3001" s="65">
        <v>13.805</v>
      </c>
      <c r="C3001" s="80">
        <v>3168176</v>
      </c>
      <c r="D3001" s="83">
        <v>-1.4632405424696682E-2</v>
      </c>
      <c r="E3001" s="82"/>
    </row>
    <row r="3002" spans="1:5" ht="14.4">
      <c r="A3002" s="68">
        <v>40217</v>
      </c>
      <c r="B3002" s="65">
        <v>14.01</v>
      </c>
      <c r="C3002" s="80">
        <v>3001302</v>
      </c>
      <c r="D3002" s="83">
        <v>-6.382978723404209E-3</v>
      </c>
      <c r="E3002" s="82"/>
    </row>
    <row r="3003" spans="1:5" ht="14.4">
      <c r="A3003" s="68">
        <v>40214</v>
      </c>
      <c r="B3003" s="65">
        <v>14.1</v>
      </c>
      <c r="C3003" s="80">
        <v>4673569</v>
      </c>
      <c r="D3003" s="83">
        <v>-1.0526315789473717E-2</v>
      </c>
      <c r="E3003" s="82"/>
    </row>
    <row r="3004" spans="1:5" ht="14.4">
      <c r="A3004" s="68">
        <v>40213</v>
      </c>
      <c r="B3004" s="65">
        <v>14.25</v>
      </c>
      <c r="C3004" s="80">
        <v>2732458</v>
      </c>
      <c r="D3004" s="83">
        <v>-2.5641025641025661E-2</v>
      </c>
      <c r="E3004" s="82"/>
    </row>
    <row r="3005" spans="1:5" ht="14.4">
      <c r="A3005" s="68">
        <v>40212</v>
      </c>
      <c r="B3005" s="65">
        <v>14.625</v>
      </c>
      <c r="C3005" s="80">
        <v>2468129</v>
      </c>
      <c r="D3005" s="83">
        <v>1.0266940451746365E-3</v>
      </c>
      <c r="E3005" s="82"/>
    </row>
    <row r="3006" spans="1:5" ht="14.4">
      <c r="A3006" s="68">
        <v>40211</v>
      </c>
      <c r="B3006" s="65">
        <v>14.61</v>
      </c>
      <c r="C3006" s="80">
        <v>1948105</v>
      </c>
      <c r="D3006" s="83">
        <v>2.3467600700525226E-2</v>
      </c>
      <c r="E3006" s="82"/>
    </row>
    <row r="3007" spans="1:5" ht="14.4">
      <c r="A3007" s="68">
        <v>40210</v>
      </c>
      <c r="B3007" s="65">
        <v>14.275</v>
      </c>
      <c r="C3007" s="80">
        <v>2068752</v>
      </c>
      <c r="D3007" s="83">
        <v>5.2816901408452299E-3</v>
      </c>
      <c r="E3007" s="82"/>
    </row>
    <row r="3008" spans="1:5" ht="14.4">
      <c r="A3008" s="68">
        <v>40207</v>
      </c>
      <c r="B3008" s="65">
        <v>14.2</v>
      </c>
      <c r="C3008" s="80">
        <v>2306668</v>
      </c>
      <c r="D3008" s="83">
        <v>3.085299455535373E-2</v>
      </c>
      <c r="E3008" s="82"/>
    </row>
    <row r="3009" spans="1:5" ht="14.4">
      <c r="A3009" s="68">
        <v>40206</v>
      </c>
      <c r="B3009" s="65">
        <v>13.775</v>
      </c>
      <c r="C3009" s="80">
        <v>3249197</v>
      </c>
      <c r="D3009" s="83">
        <v>-1.4498006524102935E-3</v>
      </c>
      <c r="E3009" s="82"/>
    </row>
    <row r="3010" spans="1:5" ht="14.4">
      <c r="A3010" s="68">
        <v>40205</v>
      </c>
      <c r="B3010" s="65">
        <v>13.795</v>
      </c>
      <c r="C3010" s="80">
        <v>2691939</v>
      </c>
      <c r="D3010" s="83">
        <v>-1.5346181299072059E-2</v>
      </c>
      <c r="E3010" s="82"/>
    </row>
    <row r="3011" spans="1:5" ht="14.4">
      <c r="A3011" s="68">
        <v>40204</v>
      </c>
      <c r="B3011" s="65">
        <v>14.01</v>
      </c>
      <c r="C3011" s="80">
        <v>1860926</v>
      </c>
      <c r="D3011" s="83">
        <v>3.9412396990325949E-3</v>
      </c>
      <c r="E3011" s="82"/>
    </row>
    <row r="3012" spans="1:5" ht="14.4">
      <c r="A3012" s="68">
        <v>40203</v>
      </c>
      <c r="B3012" s="65">
        <v>13.955</v>
      </c>
      <c r="C3012" s="80">
        <v>1961429</v>
      </c>
      <c r="D3012" s="83">
        <v>-1.6214310891787154E-2</v>
      </c>
      <c r="E3012" s="82"/>
    </row>
    <row r="3013" spans="1:5" ht="14.4">
      <c r="A3013" s="68">
        <v>40200</v>
      </c>
      <c r="B3013" s="65">
        <v>14.185</v>
      </c>
      <c r="C3013" s="80">
        <v>2789368</v>
      </c>
      <c r="D3013" s="83">
        <v>-1.4930555555555558E-2</v>
      </c>
      <c r="E3013" s="82"/>
    </row>
    <row r="3014" spans="1:5" ht="14.4">
      <c r="A3014" s="68">
        <v>40199</v>
      </c>
      <c r="B3014" s="65">
        <v>14.4</v>
      </c>
      <c r="C3014" s="80">
        <v>2262964</v>
      </c>
      <c r="D3014" s="83">
        <v>-2.8012149848126833E-2</v>
      </c>
      <c r="E3014" s="82"/>
    </row>
    <row r="3015" spans="1:5" ht="14.4">
      <c r="A3015" s="68">
        <v>40198</v>
      </c>
      <c r="B3015" s="65">
        <v>14.815</v>
      </c>
      <c r="C3015" s="80">
        <v>2604593</v>
      </c>
      <c r="D3015" s="83">
        <v>6.7544748395809151E-4</v>
      </c>
      <c r="E3015" s="82"/>
    </row>
    <row r="3016" spans="1:5" ht="14.4">
      <c r="A3016" s="68">
        <v>40197</v>
      </c>
      <c r="B3016" s="65">
        <v>14.805</v>
      </c>
      <c r="C3016" s="80">
        <v>2073048</v>
      </c>
      <c r="D3016" s="83">
        <v>6.4581917063222249E-3</v>
      </c>
      <c r="E3016" s="82"/>
    </row>
    <row r="3017" spans="1:5" ht="14.4">
      <c r="A3017" s="68">
        <v>40196</v>
      </c>
      <c r="B3017" s="65">
        <v>14.71</v>
      </c>
      <c r="C3017" s="80">
        <v>2318878</v>
      </c>
      <c r="D3017" s="83">
        <v>1.9404019404019479E-2</v>
      </c>
      <c r="E3017" s="82"/>
    </row>
    <row r="3018" spans="1:5" ht="14.4">
      <c r="A3018" s="68">
        <v>40193</v>
      </c>
      <c r="B3018" s="65">
        <v>14.43</v>
      </c>
      <c r="C3018" s="80">
        <v>3583970</v>
      </c>
      <c r="D3018" s="83">
        <v>1.4054813773717534E-2</v>
      </c>
      <c r="E3018" s="82"/>
    </row>
    <row r="3019" spans="1:5" ht="14.4">
      <c r="A3019" s="68">
        <v>40192</v>
      </c>
      <c r="B3019" s="65">
        <v>14.23</v>
      </c>
      <c r="C3019" s="80">
        <v>5990022</v>
      </c>
      <c r="D3019" s="83">
        <v>8.862105636299189E-3</v>
      </c>
      <c r="E3019" s="82"/>
    </row>
    <row r="3020" spans="1:5" ht="14.4">
      <c r="A3020" s="68">
        <v>40191</v>
      </c>
      <c r="B3020" s="65">
        <v>14.105</v>
      </c>
      <c r="C3020" s="80">
        <v>2468904</v>
      </c>
      <c r="D3020" s="83">
        <v>3.5460992907809796E-4</v>
      </c>
      <c r="E3020" s="82"/>
    </row>
    <row r="3021" spans="1:5" ht="14.4">
      <c r="A3021" s="68">
        <v>40190</v>
      </c>
      <c r="B3021" s="65">
        <v>14.1</v>
      </c>
      <c r="C3021" s="80">
        <v>5160997</v>
      </c>
      <c r="D3021" s="83">
        <v>-2.6243093922652005E-2</v>
      </c>
      <c r="E3021" s="82"/>
    </row>
    <row r="3022" spans="1:5" ht="14.4">
      <c r="A3022" s="68">
        <v>40189</v>
      </c>
      <c r="B3022" s="65">
        <v>14.48</v>
      </c>
      <c r="C3022" s="80">
        <v>2884240</v>
      </c>
      <c r="D3022" s="83">
        <v>9.0592334494774551E-3</v>
      </c>
      <c r="E3022" s="82"/>
    </row>
    <row r="3023" spans="1:5" ht="14.4">
      <c r="A3023" s="68">
        <v>40186</v>
      </c>
      <c r="B3023" s="65">
        <v>14.35</v>
      </c>
      <c r="C3023" s="80">
        <v>2289556</v>
      </c>
      <c r="D3023" s="83">
        <v>9.8522167487684609E-3</v>
      </c>
      <c r="E3023" s="82"/>
    </row>
    <row r="3024" spans="1:5" ht="14.4">
      <c r="A3024" s="68">
        <v>40185</v>
      </c>
      <c r="B3024" s="65">
        <v>14.21</v>
      </c>
      <c r="C3024" s="80">
        <v>2316557</v>
      </c>
      <c r="D3024" s="83">
        <v>9.9502487562188602E-3</v>
      </c>
      <c r="E3024" s="82"/>
    </row>
    <row r="3025" spans="1:5" ht="14.4">
      <c r="A3025" s="68">
        <v>40184</v>
      </c>
      <c r="B3025" s="65">
        <v>14.07</v>
      </c>
      <c r="C3025" s="80">
        <v>1996970</v>
      </c>
      <c r="D3025" s="83">
        <v>8.9637863033344978E-3</v>
      </c>
      <c r="E3025" s="82"/>
    </row>
    <row r="3026" spans="1:5" ht="14.4">
      <c r="A3026" s="68">
        <v>40183</v>
      </c>
      <c r="B3026" s="65">
        <v>13.945</v>
      </c>
      <c r="C3026" s="80">
        <v>2700340</v>
      </c>
      <c r="D3026" s="83">
        <v>-3.2165832737669486E-3</v>
      </c>
      <c r="E3026" s="82"/>
    </row>
    <row r="3027" spans="1:5" ht="14.4">
      <c r="A3027" s="68">
        <v>40182</v>
      </c>
      <c r="B3027" s="65">
        <v>13.99</v>
      </c>
      <c r="C3027" s="80">
        <v>2496013</v>
      </c>
      <c r="D3027" s="83">
        <v>-6.7447639332623988E-3</v>
      </c>
      <c r="E3027" s="82"/>
    </row>
    <row r="3028" spans="1:5" ht="14.4">
      <c r="A3028" s="68">
        <v>40178</v>
      </c>
      <c r="B3028" s="65">
        <v>14.085000000000001</v>
      </c>
      <c r="C3028" s="80">
        <v>566403</v>
      </c>
      <c r="D3028" s="83">
        <v>2.810218978102208E-2</v>
      </c>
      <c r="E3028" s="82"/>
    </row>
    <row r="3029" spans="1:5" ht="14.4">
      <c r="A3029" s="68">
        <v>40177</v>
      </c>
      <c r="B3029" s="65">
        <v>13.7</v>
      </c>
      <c r="C3029" s="80">
        <v>802294</v>
      </c>
      <c r="D3029" s="83">
        <v>-2.1849963583394638E-3</v>
      </c>
      <c r="E3029" s="82"/>
    </row>
    <row r="3030" spans="1:5" ht="14.4">
      <c r="A3030" s="68">
        <v>40176</v>
      </c>
      <c r="B3030" s="65">
        <v>13.73</v>
      </c>
      <c r="C3030" s="80">
        <v>917082</v>
      </c>
      <c r="D3030" s="83">
        <v>7.3367571533382581E-3</v>
      </c>
      <c r="E3030" s="82"/>
    </row>
    <row r="3031" spans="1:5" ht="14.4">
      <c r="A3031" s="68">
        <v>40175</v>
      </c>
      <c r="B3031" s="65">
        <v>13.63</v>
      </c>
      <c r="C3031" s="80">
        <v>694189</v>
      </c>
      <c r="D3031" s="83">
        <v>7.3421439060217253E-4</v>
      </c>
      <c r="E3031" s="82"/>
    </row>
    <row r="3032" spans="1:5" ht="14.4">
      <c r="A3032" s="68">
        <v>40171</v>
      </c>
      <c r="B3032" s="65">
        <v>13.62</v>
      </c>
      <c r="C3032" s="80">
        <v>309822</v>
      </c>
      <c r="D3032" s="83">
        <v>8.1421169504070079E-3</v>
      </c>
      <c r="E3032" s="82"/>
    </row>
    <row r="3033" spans="1:5" ht="14.4">
      <c r="A3033" s="68">
        <v>40170</v>
      </c>
      <c r="B3033" s="65">
        <v>13.51</v>
      </c>
      <c r="C3033" s="80">
        <v>1341669</v>
      </c>
      <c r="D3033" s="83">
        <v>1.8539117538005634E-3</v>
      </c>
      <c r="E3033" s="82"/>
    </row>
    <row r="3034" spans="1:5" ht="14.4">
      <c r="A3034" s="68">
        <v>40169</v>
      </c>
      <c r="B3034" s="65">
        <v>13.484999999999999</v>
      </c>
      <c r="C3034" s="80">
        <v>1742571</v>
      </c>
      <c r="D3034" s="83">
        <v>9.3562874251496009E-3</v>
      </c>
      <c r="E3034" s="82"/>
    </row>
    <row r="3035" spans="1:5" ht="14.4">
      <c r="A3035" s="68">
        <v>40168</v>
      </c>
      <c r="B3035" s="65">
        <v>13.36</v>
      </c>
      <c r="C3035" s="80">
        <v>1860650</v>
      </c>
      <c r="D3035" s="83">
        <v>2.6902382782475032E-2</v>
      </c>
      <c r="E3035" s="82"/>
    </row>
    <row r="3036" spans="1:5" ht="14.4">
      <c r="A3036" s="68">
        <v>40165</v>
      </c>
      <c r="B3036" s="65">
        <v>13.01</v>
      </c>
      <c r="C3036" s="80">
        <v>4487964</v>
      </c>
      <c r="D3036" s="83">
        <v>5.0212437234453677E-3</v>
      </c>
      <c r="E3036" s="82"/>
    </row>
    <row r="3037" spans="1:5" ht="14.4">
      <c r="A3037" s="68">
        <v>40164</v>
      </c>
      <c r="B3037" s="65">
        <v>12.945</v>
      </c>
      <c r="C3037" s="80">
        <v>3608049</v>
      </c>
      <c r="D3037" s="83">
        <v>2.3724792408066575E-2</v>
      </c>
      <c r="E3037" s="82"/>
    </row>
    <row r="3038" spans="1:5" ht="14.4">
      <c r="A3038" s="68">
        <v>40163</v>
      </c>
      <c r="B3038" s="65">
        <v>12.645</v>
      </c>
      <c r="C3038" s="80">
        <v>2373342</v>
      </c>
      <c r="D3038" s="83">
        <v>1.0791366906474753E-2</v>
      </c>
      <c r="E3038" s="82"/>
    </row>
    <row r="3039" spans="1:5" ht="14.4">
      <c r="A3039" s="68">
        <v>40162</v>
      </c>
      <c r="B3039" s="65">
        <v>12.51</v>
      </c>
      <c r="C3039" s="80">
        <v>1923311</v>
      </c>
      <c r="D3039" s="83">
        <v>5.222981116914438E-3</v>
      </c>
      <c r="E3039" s="82"/>
    </row>
    <row r="3040" spans="1:5" ht="14.4">
      <c r="A3040" s="68">
        <v>40161</v>
      </c>
      <c r="B3040" s="65">
        <v>12.445</v>
      </c>
      <c r="C3040" s="80">
        <v>1819066</v>
      </c>
      <c r="D3040" s="83">
        <v>6.4698746461786527E-3</v>
      </c>
      <c r="E3040" s="82"/>
    </row>
    <row r="3041" spans="1:5" ht="14.4">
      <c r="A3041" s="68">
        <v>40158</v>
      </c>
      <c r="B3041" s="65">
        <v>12.365</v>
      </c>
      <c r="C3041" s="80">
        <v>2276500</v>
      </c>
      <c r="D3041" s="83">
        <v>1.9793814432989665E-2</v>
      </c>
      <c r="E3041" s="82"/>
    </row>
    <row r="3042" spans="1:5" ht="14.4">
      <c r="A3042" s="68">
        <v>40157</v>
      </c>
      <c r="B3042" s="65">
        <v>12.125</v>
      </c>
      <c r="C3042" s="80">
        <v>2095718</v>
      </c>
      <c r="D3042" s="83">
        <v>-2.46812011517894E-3</v>
      </c>
      <c r="E3042" s="82"/>
    </row>
    <row r="3043" spans="1:5" ht="14.4">
      <c r="A3043" s="68">
        <v>40156</v>
      </c>
      <c r="B3043" s="65">
        <v>12.154999999999999</v>
      </c>
      <c r="C3043" s="80">
        <v>2669490</v>
      </c>
      <c r="D3043" s="83">
        <v>-1.017915309446249E-2</v>
      </c>
      <c r="E3043" s="82"/>
    </row>
    <row r="3044" spans="1:5" ht="14.4">
      <c r="A3044" s="68">
        <v>40155</v>
      </c>
      <c r="B3044" s="65">
        <v>12.28</v>
      </c>
      <c r="C3044" s="80">
        <v>2370899</v>
      </c>
      <c r="D3044" s="83">
        <v>-1.4050582095543995E-2</v>
      </c>
      <c r="E3044" s="82"/>
    </row>
    <row r="3045" spans="1:5" ht="14.4">
      <c r="A3045" s="68">
        <v>40154</v>
      </c>
      <c r="B3045" s="65">
        <v>12.455</v>
      </c>
      <c r="C3045" s="80">
        <v>2805657</v>
      </c>
      <c r="D3045" s="83">
        <v>6.0581583198706657E-3</v>
      </c>
      <c r="E3045" s="82"/>
    </row>
    <row r="3046" spans="1:5" ht="14.4">
      <c r="A3046" s="68">
        <v>40151</v>
      </c>
      <c r="B3046" s="65">
        <v>12.38</v>
      </c>
      <c r="C3046" s="80">
        <v>4170811</v>
      </c>
      <c r="D3046" s="83">
        <v>3.8590604026845776E-2</v>
      </c>
      <c r="E3046" s="82"/>
    </row>
    <row r="3047" spans="1:5" ht="14.4">
      <c r="A3047" s="68">
        <v>40150</v>
      </c>
      <c r="B3047" s="65">
        <v>11.92</v>
      </c>
      <c r="C3047" s="80">
        <v>2823037</v>
      </c>
      <c r="D3047" s="83">
        <v>2.2298456260720467E-2</v>
      </c>
      <c r="E3047" s="82"/>
    </row>
    <row r="3048" spans="1:5" ht="14.4">
      <c r="A3048" s="68">
        <v>40149</v>
      </c>
      <c r="B3048" s="65">
        <v>11.66</v>
      </c>
      <c r="C3048" s="80">
        <v>2599401</v>
      </c>
      <c r="D3048" s="83">
        <v>8.5836909871250811E-4</v>
      </c>
      <c r="E3048" s="82"/>
    </row>
    <row r="3049" spans="1:5" ht="14.4">
      <c r="A3049" s="68">
        <v>40148</v>
      </c>
      <c r="B3049" s="65">
        <v>11.65</v>
      </c>
      <c r="C3049" s="80">
        <v>3548319</v>
      </c>
      <c r="D3049" s="83">
        <v>-2.2240872849349502E-2</v>
      </c>
      <c r="E3049" s="82"/>
    </row>
    <row r="3050" spans="1:5" ht="14.4">
      <c r="A3050" s="68">
        <v>40147</v>
      </c>
      <c r="B3050" s="65">
        <v>11.914999999999999</v>
      </c>
      <c r="C3050" s="80">
        <v>1602314</v>
      </c>
      <c r="D3050" s="83">
        <v>-5.4257095158598556E-3</v>
      </c>
      <c r="E3050" s="82"/>
    </row>
    <row r="3051" spans="1:5" ht="14.4">
      <c r="A3051" s="68">
        <v>40144</v>
      </c>
      <c r="B3051" s="65">
        <v>11.98</v>
      </c>
      <c r="C3051" s="80">
        <v>2079352</v>
      </c>
      <c r="D3051" s="83">
        <v>2.0442930153321992E-2</v>
      </c>
      <c r="E3051" s="82"/>
    </row>
    <row r="3052" spans="1:5" ht="14.4">
      <c r="A3052" s="68">
        <v>40143</v>
      </c>
      <c r="B3052" s="65">
        <v>11.74</v>
      </c>
      <c r="C3052" s="80">
        <v>2954178</v>
      </c>
      <c r="D3052" s="83">
        <v>-4.2804728903383604E-2</v>
      </c>
      <c r="E3052" s="82"/>
    </row>
    <row r="3053" spans="1:5" ht="14.4">
      <c r="A3053" s="68">
        <v>40142</v>
      </c>
      <c r="B3053" s="65">
        <v>12.265000000000001</v>
      </c>
      <c r="C3053" s="80">
        <v>4060797</v>
      </c>
      <c r="D3053" s="83">
        <v>-3.8039215686274441E-2</v>
      </c>
      <c r="E3053" s="82"/>
    </row>
    <row r="3054" spans="1:5" ht="14.4">
      <c r="A3054" s="68">
        <v>40141</v>
      </c>
      <c r="B3054" s="65">
        <v>12.75</v>
      </c>
      <c r="C3054" s="80">
        <v>1570319</v>
      </c>
      <c r="D3054" s="83">
        <v>-1.9984627209838624E-2</v>
      </c>
      <c r="E3054" s="82"/>
    </row>
    <row r="3055" spans="1:5" ht="14.4">
      <c r="A3055" s="68">
        <v>40140</v>
      </c>
      <c r="B3055" s="65">
        <v>13.01</v>
      </c>
      <c r="C3055" s="80">
        <v>1715473</v>
      </c>
      <c r="D3055" s="83">
        <v>2.2798742138364636E-2</v>
      </c>
      <c r="E3055" s="82"/>
    </row>
    <row r="3056" spans="1:5" ht="14.4">
      <c r="A3056" s="68">
        <v>40137</v>
      </c>
      <c r="B3056" s="65">
        <v>12.72</v>
      </c>
      <c r="C3056" s="80">
        <v>2740169</v>
      </c>
      <c r="D3056" s="83">
        <v>-2.5660666411336575E-2</v>
      </c>
      <c r="E3056" s="82"/>
    </row>
    <row r="3057" spans="1:5" ht="14.4">
      <c r="A3057" s="68">
        <v>40136</v>
      </c>
      <c r="B3057" s="65">
        <v>13.055</v>
      </c>
      <c r="C3057" s="80">
        <v>2064752</v>
      </c>
      <c r="D3057" s="83">
        <v>-3.3320992225101875E-2</v>
      </c>
      <c r="E3057" s="82"/>
    </row>
    <row r="3058" spans="1:5" ht="14.4">
      <c r="A3058" s="68">
        <v>40135</v>
      </c>
      <c r="B3058" s="65">
        <v>13.505000000000001</v>
      </c>
      <c r="C3058" s="80">
        <v>1542033</v>
      </c>
      <c r="D3058" s="83">
        <v>-2.9531192321888833E-3</v>
      </c>
      <c r="E3058" s="82"/>
    </row>
    <row r="3059" spans="1:5" ht="14.4">
      <c r="A3059" s="68">
        <v>40134</v>
      </c>
      <c r="B3059" s="65">
        <v>13.545</v>
      </c>
      <c r="C3059" s="80">
        <v>2394387</v>
      </c>
      <c r="D3059" s="83">
        <v>-1.4909090909090872E-2</v>
      </c>
      <c r="E3059" s="82"/>
    </row>
    <row r="3060" spans="1:5" ht="14.4">
      <c r="A3060" s="68">
        <v>40133</v>
      </c>
      <c r="B3060" s="65">
        <v>13.75</v>
      </c>
      <c r="C3060" s="80">
        <v>3382904</v>
      </c>
      <c r="D3060" s="83">
        <v>4.5229950589129597E-2</v>
      </c>
      <c r="E3060" s="82"/>
    </row>
    <row r="3061" spans="1:5" ht="14.4">
      <c r="A3061" s="68">
        <v>40130</v>
      </c>
      <c r="B3061" s="65">
        <v>13.154999999999999</v>
      </c>
      <c r="C3061" s="80">
        <v>1635937</v>
      </c>
      <c r="D3061" s="83">
        <v>-1.0158013544018019E-2</v>
      </c>
      <c r="E3061" s="82"/>
    </row>
    <row r="3062" spans="1:5" ht="14.4">
      <c r="A3062" s="68">
        <v>40129</v>
      </c>
      <c r="B3062" s="65">
        <v>13.29</v>
      </c>
      <c r="C3062" s="80">
        <v>2079352</v>
      </c>
      <c r="D3062" s="83">
        <v>2.6254826254826336E-2</v>
      </c>
      <c r="E3062" s="82"/>
    </row>
    <row r="3063" spans="1:5" ht="14.4">
      <c r="A3063" s="68">
        <v>40128</v>
      </c>
      <c r="B3063" s="65">
        <v>12.95</v>
      </c>
      <c r="C3063" s="80">
        <v>2306577</v>
      </c>
      <c r="D3063" s="83">
        <v>-2.1533811862485819E-2</v>
      </c>
      <c r="E3063" s="82"/>
    </row>
    <row r="3064" spans="1:5" ht="14.4">
      <c r="A3064" s="68">
        <v>40127</v>
      </c>
      <c r="B3064" s="65">
        <v>13.234999999999999</v>
      </c>
      <c r="C3064" s="80">
        <v>1784408</v>
      </c>
      <c r="D3064" s="83">
        <v>-6.3813813813814457E-3</v>
      </c>
      <c r="E3064" s="82"/>
    </row>
    <row r="3065" spans="1:5" ht="14.4">
      <c r="A3065" s="68">
        <v>40126</v>
      </c>
      <c r="B3065" s="65">
        <v>13.32</v>
      </c>
      <c r="C3065" s="80">
        <v>2125352</v>
      </c>
      <c r="D3065" s="83">
        <v>-1.4992503748125774E-3</v>
      </c>
      <c r="E3065" s="82"/>
    </row>
    <row r="3066" spans="1:5" ht="14.4">
      <c r="A3066" s="68">
        <v>40123</v>
      </c>
      <c r="B3066" s="65">
        <v>13.34</v>
      </c>
      <c r="C3066" s="80">
        <v>2271648</v>
      </c>
      <c r="D3066" s="83">
        <v>5.6539766302299288E-3</v>
      </c>
      <c r="E3066" s="82"/>
    </row>
    <row r="3067" spans="1:5" ht="14.4">
      <c r="A3067" s="68">
        <v>40122</v>
      </c>
      <c r="B3067" s="65">
        <v>13.265000000000001</v>
      </c>
      <c r="C3067" s="80">
        <v>1844654</v>
      </c>
      <c r="D3067" s="83">
        <v>4.5437334343052527E-3</v>
      </c>
      <c r="E3067" s="82"/>
    </row>
    <row r="3068" spans="1:5" ht="14.4">
      <c r="A3068" s="68">
        <v>40121</v>
      </c>
      <c r="B3068" s="65">
        <v>13.205</v>
      </c>
      <c r="C3068" s="80">
        <v>2115977</v>
      </c>
      <c r="D3068" s="83">
        <v>1.772639691714839E-2</v>
      </c>
      <c r="E3068" s="82"/>
    </row>
    <row r="3069" spans="1:5" ht="14.4">
      <c r="A3069" s="68">
        <v>40120</v>
      </c>
      <c r="B3069" s="65">
        <v>12.975</v>
      </c>
      <c r="C3069" s="80">
        <v>2774677</v>
      </c>
      <c r="D3069" s="83">
        <v>7.3757763975155211E-3</v>
      </c>
      <c r="E3069" s="82"/>
    </row>
    <row r="3070" spans="1:5" ht="14.4">
      <c r="A3070" s="68">
        <v>40119</v>
      </c>
      <c r="B3070" s="65">
        <v>12.88</v>
      </c>
      <c r="C3070" s="80">
        <v>1516805</v>
      </c>
      <c r="D3070" s="83">
        <v>7.4305827141181169E-3</v>
      </c>
      <c r="E3070" s="82"/>
    </row>
    <row r="3071" spans="1:5" ht="14.4">
      <c r="A3071" s="68">
        <v>40116</v>
      </c>
      <c r="B3071" s="65">
        <v>12.785</v>
      </c>
      <c r="C3071" s="80">
        <v>3107095</v>
      </c>
      <c r="D3071" s="83">
        <v>-6.6045066045065104E-3</v>
      </c>
      <c r="E3071" s="82"/>
    </row>
    <row r="3072" spans="1:5" ht="14.4">
      <c r="A3072" s="68">
        <v>40115</v>
      </c>
      <c r="B3072" s="65">
        <v>12.87</v>
      </c>
      <c r="C3072" s="80">
        <v>3069110</v>
      </c>
      <c r="D3072" s="83">
        <v>8.6206896551723755E-3</v>
      </c>
      <c r="E3072" s="82"/>
    </row>
    <row r="3073" spans="1:5" ht="14.4">
      <c r="A3073" s="68">
        <v>40114</v>
      </c>
      <c r="B3073" s="65">
        <v>12.76</v>
      </c>
      <c r="C3073" s="80">
        <v>4177866</v>
      </c>
      <c r="D3073" s="83">
        <v>-4.2760690172543137E-2</v>
      </c>
      <c r="E3073" s="82"/>
    </row>
    <row r="3074" spans="1:5" ht="14.4">
      <c r="A3074" s="68">
        <v>40113</v>
      </c>
      <c r="B3074" s="65">
        <v>13.33</v>
      </c>
      <c r="C3074" s="80">
        <v>2270500</v>
      </c>
      <c r="D3074" s="83">
        <v>-7.8154075176777305E-3</v>
      </c>
      <c r="E3074" s="82"/>
    </row>
    <row r="3075" spans="1:5" ht="14.4">
      <c r="A3075" s="68">
        <v>40112</v>
      </c>
      <c r="B3075" s="65">
        <v>13.435</v>
      </c>
      <c r="C3075" s="80">
        <v>2401899</v>
      </c>
      <c r="D3075" s="83">
        <v>-3.6917562724014252E-2</v>
      </c>
      <c r="E3075" s="82"/>
    </row>
    <row r="3076" spans="1:5" ht="14.4">
      <c r="A3076" s="68">
        <v>40109</v>
      </c>
      <c r="B3076" s="65">
        <v>13.95</v>
      </c>
      <c r="C3076" s="80">
        <v>2665673</v>
      </c>
      <c r="D3076" s="83">
        <v>1.2336719883889735E-2</v>
      </c>
      <c r="E3076" s="82"/>
    </row>
    <row r="3077" spans="1:5" ht="14.4">
      <c r="A3077" s="68">
        <v>40108</v>
      </c>
      <c r="B3077" s="65">
        <v>13.78</v>
      </c>
      <c r="C3077" s="80">
        <v>2533323</v>
      </c>
      <c r="D3077" s="83">
        <v>0</v>
      </c>
      <c r="E3077" s="82"/>
    </row>
    <row r="3078" spans="1:5" ht="14.4">
      <c r="A3078" s="68">
        <v>40107</v>
      </c>
      <c r="B3078" s="65">
        <v>13.78</v>
      </c>
      <c r="C3078" s="80">
        <v>3182575</v>
      </c>
      <c r="D3078" s="83">
        <v>-1.0873504893077479E-3</v>
      </c>
      <c r="E3078" s="82"/>
    </row>
    <row r="3079" spans="1:5" ht="14.4">
      <c r="A3079" s="68">
        <v>40106</v>
      </c>
      <c r="B3079" s="65">
        <v>13.795</v>
      </c>
      <c r="C3079" s="80">
        <v>1991176</v>
      </c>
      <c r="D3079" s="83">
        <v>-2.3708421797593804E-2</v>
      </c>
      <c r="E3079" s="82"/>
    </row>
    <row r="3080" spans="1:5" ht="14.4">
      <c r="A3080" s="68">
        <v>40105</v>
      </c>
      <c r="B3080" s="65">
        <v>14.13</v>
      </c>
      <c r="C3080" s="80">
        <v>1333099</v>
      </c>
      <c r="D3080" s="83">
        <v>-1.4134275618373771E-3</v>
      </c>
      <c r="E3080" s="82"/>
    </row>
    <row r="3081" spans="1:5" ht="14.4">
      <c r="A3081" s="68">
        <v>40102</v>
      </c>
      <c r="B3081" s="65">
        <v>14.15</v>
      </c>
      <c r="C3081" s="80">
        <v>2146364</v>
      </c>
      <c r="D3081" s="83">
        <v>-1.8043025676613422E-2</v>
      </c>
      <c r="E3081" s="82"/>
    </row>
    <row r="3082" spans="1:5" ht="14.4">
      <c r="A3082" s="68">
        <v>40101</v>
      </c>
      <c r="B3082" s="65">
        <v>14.41</v>
      </c>
      <c r="C3082" s="80">
        <v>1995565</v>
      </c>
      <c r="D3082" s="83">
        <v>-3.1131096506399336E-3</v>
      </c>
      <c r="E3082" s="82"/>
    </row>
    <row r="3083" spans="1:5" ht="14.4">
      <c r="A3083" s="68">
        <v>40100</v>
      </c>
      <c r="B3083" s="65">
        <v>14.455</v>
      </c>
      <c r="C3083" s="80">
        <v>2962170</v>
      </c>
      <c r="D3083" s="83">
        <v>-1.7001020061203631E-2</v>
      </c>
      <c r="E3083" s="82"/>
    </row>
    <row r="3084" spans="1:5" ht="14.4">
      <c r="A3084" s="68">
        <v>40099</v>
      </c>
      <c r="B3084" s="65">
        <v>14.705</v>
      </c>
      <c r="C3084" s="80">
        <v>2447309</v>
      </c>
      <c r="D3084" s="83">
        <v>-3.7945698397121363E-2</v>
      </c>
      <c r="E3084" s="82"/>
    </row>
    <row r="3085" spans="1:5" ht="14.4">
      <c r="A3085" s="68">
        <v>40098</v>
      </c>
      <c r="B3085" s="65">
        <v>15.285</v>
      </c>
      <c r="C3085" s="80">
        <v>1107482</v>
      </c>
      <c r="D3085" s="83">
        <v>1.1581733951025797E-2</v>
      </c>
      <c r="E3085" s="82"/>
    </row>
    <row r="3086" spans="1:5" ht="14.4">
      <c r="A3086" s="68">
        <v>40095</v>
      </c>
      <c r="B3086" s="65">
        <v>15.11</v>
      </c>
      <c r="C3086" s="80">
        <v>1882336</v>
      </c>
      <c r="D3086" s="83">
        <v>4.65425531914887E-3</v>
      </c>
      <c r="E3086" s="82"/>
    </row>
    <row r="3087" spans="1:5" ht="14.4">
      <c r="A3087" s="68">
        <v>40094</v>
      </c>
      <c r="B3087" s="65">
        <v>15.04</v>
      </c>
      <c r="C3087" s="80">
        <v>2493861</v>
      </c>
      <c r="D3087" s="83">
        <v>1.143241425689312E-2</v>
      </c>
      <c r="E3087" s="82"/>
    </row>
    <row r="3088" spans="1:5" ht="14.4">
      <c r="A3088" s="68">
        <v>40093</v>
      </c>
      <c r="B3088" s="65">
        <v>14.87</v>
      </c>
      <c r="C3088" s="80">
        <v>2427452</v>
      </c>
      <c r="D3088" s="83">
        <v>2.3047815617474932E-2</v>
      </c>
      <c r="E3088" s="82"/>
    </row>
    <row r="3089" spans="1:7" ht="14.4">
      <c r="A3089" s="68">
        <v>40092</v>
      </c>
      <c r="B3089" s="65">
        <v>14.535</v>
      </c>
      <c r="C3089" s="80">
        <v>3187837</v>
      </c>
      <c r="D3089" s="83">
        <v>1.7229496898691909E-3</v>
      </c>
      <c r="E3089" s="82"/>
    </row>
    <row r="3090" spans="1:7" ht="14.4">
      <c r="A3090" s="68">
        <v>40091</v>
      </c>
      <c r="B3090" s="65">
        <v>14.51</v>
      </c>
      <c r="C3090" s="80">
        <v>2014791</v>
      </c>
      <c r="D3090" s="83">
        <v>2.0718232044198981E-3</v>
      </c>
      <c r="E3090" s="82"/>
    </row>
    <row r="3091" spans="1:7" ht="14.4">
      <c r="A3091" s="68">
        <v>40088</v>
      </c>
      <c r="B3091" s="65">
        <v>14.48</v>
      </c>
      <c r="C3091" s="80">
        <v>2547148</v>
      </c>
      <c r="D3091" s="83">
        <v>-4.1059602649006544E-2</v>
      </c>
      <c r="E3091" s="82"/>
    </row>
    <row r="3092" spans="1:7" ht="14.4">
      <c r="A3092" s="68">
        <v>40087</v>
      </c>
      <c r="B3092" s="65">
        <v>15.1</v>
      </c>
      <c r="C3092" s="80">
        <v>1977898</v>
      </c>
      <c r="D3092" s="83">
        <v>-1.5966112740306349E-2</v>
      </c>
      <c r="E3092" s="82"/>
    </row>
    <row r="3093" spans="1:7" ht="14.4">
      <c r="A3093" s="68">
        <v>40086</v>
      </c>
      <c r="B3093" s="65">
        <v>15.345000000000001</v>
      </c>
      <c r="C3093" s="80">
        <v>3900689</v>
      </c>
      <c r="D3093" s="83">
        <v>2.5050100200400882E-2</v>
      </c>
      <c r="E3093" s="82"/>
    </row>
    <row r="3094" spans="1:7" ht="14.4">
      <c r="A3094" s="68">
        <v>40085</v>
      </c>
      <c r="B3094" s="65">
        <v>14.97</v>
      </c>
      <c r="C3094" s="80">
        <v>2485589</v>
      </c>
      <c r="D3094" s="83">
        <v>-1.1228533685601061E-2</v>
      </c>
      <c r="E3094" s="62"/>
      <c r="F3094" s="62"/>
      <c r="G3094" s="62"/>
    </row>
    <row r="3095" spans="1:7" ht="14.4">
      <c r="A3095" s="68">
        <v>40084</v>
      </c>
      <c r="B3095" s="65">
        <v>15.14</v>
      </c>
      <c r="C3095" s="80">
        <v>2315673</v>
      </c>
      <c r="D3095" s="83">
        <v>2.7137042062415295E-2</v>
      </c>
      <c r="E3095" s="62"/>
      <c r="F3095" s="62"/>
      <c r="G3095" s="62"/>
    </row>
    <row r="3096" spans="1:7" ht="14.4">
      <c r="A3096" s="68">
        <v>40081</v>
      </c>
      <c r="B3096" s="65">
        <v>14.74</v>
      </c>
      <c r="C3096" s="80">
        <v>1893327</v>
      </c>
      <c r="D3096" s="83">
        <v>-1.8641810918774926E-2</v>
      </c>
      <c r="E3096" s="62"/>
      <c r="F3096" s="62"/>
      <c r="G3096" s="62"/>
    </row>
    <row r="3097" spans="1:7" ht="14.4">
      <c r="A3097" s="68">
        <v>40080</v>
      </c>
      <c r="B3097" s="65">
        <v>15.02</v>
      </c>
      <c r="C3097" s="80">
        <v>2104231</v>
      </c>
      <c r="D3097" s="83">
        <v>-2.4675324675324739E-2</v>
      </c>
      <c r="E3097" s="62"/>
      <c r="F3097" s="62"/>
      <c r="G3097" s="62"/>
    </row>
    <row r="3098" spans="1:7" ht="14.4">
      <c r="A3098" s="68">
        <v>40079</v>
      </c>
      <c r="B3098" s="65">
        <v>15.4</v>
      </c>
      <c r="C3098" s="80">
        <v>2523447</v>
      </c>
      <c r="D3098" s="83">
        <v>-1.7857142857142794E-2</v>
      </c>
      <c r="E3098" s="62"/>
      <c r="F3098" s="62"/>
      <c r="G3098" s="62"/>
    </row>
    <row r="3099" spans="1:7" ht="14.4">
      <c r="A3099" s="68">
        <v>40078</v>
      </c>
      <c r="B3099" s="65">
        <v>15.68</v>
      </c>
      <c r="C3099" s="80">
        <v>2076269</v>
      </c>
      <c r="D3099" s="83">
        <v>6.741573033707926E-3</v>
      </c>
      <c r="E3099" s="62"/>
      <c r="F3099" s="62"/>
      <c r="G3099" s="62"/>
    </row>
    <row r="3100" spans="1:7" ht="14.4">
      <c r="A3100" s="68">
        <v>40077</v>
      </c>
      <c r="B3100" s="65">
        <v>15.574999999999999</v>
      </c>
      <c r="C3100" s="80">
        <v>3463633</v>
      </c>
      <c r="D3100" s="83">
        <v>-5.0304878048780477E-2</v>
      </c>
      <c r="E3100" s="62"/>
      <c r="F3100" s="62"/>
      <c r="G3100" s="62"/>
    </row>
    <row r="3101" spans="1:7" ht="14.4">
      <c r="A3101" s="68">
        <v>40074</v>
      </c>
      <c r="B3101" s="65">
        <v>16.399999999999999</v>
      </c>
      <c r="C3101" s="80">
        <v>6185934</v>
      </c>
      <c r="D3101" s="83">
        <v>1.1721159777914769E-2</v>
      </c>
      <c r="E3101" s="62"/>
      <c r="F3101" s="62"/>
      <c r="G3101" s="62"/>
    </row>
    <row r="3102" spans="1:7" ht="14.4">
      <c r="A3102" s="68">
        <v>40073</v>
      </c>
      <c r="B3102" s="65">
        <v>16.21</v>
      </c>
      <c r="C3102" s="80">
        <v>5152047</v>
      </c>
      <c r="D3102" s="83">
        <v>6.2602425434283848E-2</v>
      </c>
      <c r="E3102" s="62"/>
      <c r="F3102" s="62"/>
      <c r="G3102" s="62"/>
    </row>
    <row r="3103" spans="1:7" ht="14.4">
      <c r="A3103" s="68">
        <v>40072</v>
      </c>
      <c r="B3103" s="65">
        <v>15.255000000000001</v>
      </c>
      <c r="C3103" s="80">
        <v>2133583</v>
      </c>
      <c r="D3103" s="83" t="e">
        <v>#DIV/0!</v>
      </c>
      <c r="E3103" s="62"/>
      <c r="F3103" s="62"/>
      <c r="G3103" s="62"/>
    </row>
    <row r="3105" spans="1:7" ht="14.4">
      <c r="A3105" s="62"/>
      <c r="B3105" s="62"/>
      <c r="C3105" s="62"/>
      <c r="D3105" s="62"/>
      <c r="E3105" s="62"/>
      <c r="F3105" s="62"/>
      <c r="G3105" s="70"/>
    </row>
  </sheetData>
  <mergeCells count="2">
    <mergeCell ref="A4:F4"/>
    <mergeCell ref="H4:N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InputsSheet">
                <anchor moveWithCells="1" sizeWithCells="1">
                  <from>
                    <xdr:col>0</xdr:col>
                    <xdr:colOff>175260</xdr:colOff>
                    <xdr:row>1</xdr:row>
                    <xdr:rowOff>0</xdr:rowOff>
                  </from>
                  <to>
                    <xdr:col>2</xdr:col>
                    <xdr:colOff>22860</xdr:colOff>
                    <xdr:row>2</xdr:row>
                    <xdr:rowOff>22860</xdr:rowOff>
                  </to>
                </anchor>
              </controlPr>
            </control>
          </mc:Choice>
        </mc:AlternateContent>
        <mc:AlternateContent xmlns:mc="http://schemas.openxmlformats.org/markup-compatibility/2006">
          <mc:Choice Requires="x14">
            <control shapeId="9219" r:id="rId4" name="Button 3">
              <controlPr defaultSize="0" print="0" autoFill="0" autoPict="0" macro="[0]!ReadMeSheet">
                <anchor moveWithCells="1" sizeWithCells="1">
                  <from>
                    <xdr:col>2</xdr:col>
                    <xdr:colOff>480060</xdr:colOff>
                    <xdr:row>1</xdr:row>
                    <xdr:rowOff>15240</xdr:rowOff>
                  </from>
                  <to>
                    <xdr:col>4</xdr:col>
                    <xdr:colOff>289560</xdr:colOff>
                    <xdr:row>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6308F-247F-4B38-9E38-E605F5EE4F9D}">
  <sheetPr codeName="Feuil2"/>
  <dimension ref="A1:F5018"/>
  <sheetViews>
    <sheetView tabSelected="1" zoomScale="81" zoomScaleNormal="81" workbookViewId="0">
      <selection activeCell="G5" sqref="G5"/>
    </sheetView>
  </sheetViews>
  <sheetFormatPr baseColWidth="10" defaultColWidth="11" defaultRowHeight="13.8"/>
  <cols>
    <col min="1" max="1" width="9.796875" bestFit="1" customWidth="1"/>
    <col min="2" max="2" width="13.296875" customWidth="1"/>
    <col min="3" max="3" width="17.69921875" style="113" customWidth="1"/>
    <col min="4" max="4" width="8.19921875" customWidth="1"/>
    <col min="5" max="5" width="16.69921875" bestFit="1" customWidth="1"/>
  </cols>
  <sheetData>
    <row r="1" spans="1:6" ht="14.4" thickBot="1">
      <c r="A1" s="132" t="s">
        <v>65</v>
      </c>
      <c r="B1" s="133" t="s">
        <v>67</v>
      </c>
      <c r="C1" s="133" t="s">
        <v>71</v>
      </c>
      <c r="E1" s="122" t="s">
        <v>70</v>
      </c>
      <c r="F1" s="123">
        <f>_xlfn.STDEV.S(yf_data[Pct Change])*SQRT(252)</f>
        <v>0.35122009154259359</v>
      </c>
    </row>
    <row r="2" spans="1:6" s="113" customFormat="1">
      <c r="A2" s="124"/>
      <c r="B2" s="124"/>
      <c r="C2" s="117"/>
      <c r="E2" s="125"/>
      <c r="F2" s="126"/>
    </row>
    <row r="3" spans="1:6">
      <c r="D3" s="117"/>
    </row>
    <row r="4" spans="1:6">
      <c r="A4" t="s">
        <v>66</v>
      </c>
      <c r="B4" t="s">
        <v>68</v>
      </c>
      <c r="C4" s="117" t="s">
        <v>69</v>
      </c>
      <c r="D4" t="s">
        <v>90</v>
      </c>
    </row>
    <row r="5" spans="1:6">
      <c r="A5" s="119">
        <v>40840</v>
      </c>
      <c r="B5" s="121">
        <v>17.036848068237305</v>
      </c>
      <c r="C5" s="120">
        <f>IFERROR(yf_data[[#This Row],[Close Price]]/B4-1,0)</f>
        <v>0</v>
      </c>
      <c r="D5">
        <f>AVERAGE(yf_data[Close Price])</f>
        <v>65.254619329107143</v>
      </c>
    </row>
    <row r="6" spans="1:6">
      <c r="A6" s="119">
        <v>40841</v>
      </c>
      <c r="B6" s="121">
        <v>17.409919738769531</v>
      </c>
      <c r="C6" s="120">
        <f>IFERROR(yf_data[[#This Row],[Close Price]]/B5-1,0)</f>
        <v>2.1897927893585134E-2</v>
      </c>
    </row>
    <row r="7" spans="1:6">
      <c r="A7" s="119">
        <v>40842</v>
      </c>
      <c r="B7" s="121">
        <v>16.837879180908203</v>
      </c>
      <c r="C7" s="120">
        <f>IFERROR(yf_data[[#This Row],[Close Price]]/B6-1,0)</f>
        <v>-3.2857162264078199E-2</v>
      </c>
    </row>
    <row r="8" spans="1:6">
      <c r="A8" s="119">
        <v>40843</v>
      </c>
      <c r="B8" s="121">
        <v>17.882472991943359</v>
      </c>
      <c r="C8" s="120">
        <f>IFERROR(yf_data[[#This Row],[Close Price]]/B7-1,0)</f>
        <v>6.2038324411994861E-2</v>
      </c>
    </row>
    <row r="9" spans="1:6">
      <c r="A9" s="119">
        <v>40844</v>
      </c>
      <c r="B9" s="121">
        <v>17.700088500976563</v>
      </c>
      <c r="C9" s="120">
        <f>IFERROR(yf_data[[#This Row],[Close Price]]/B8-1,0)</f>
        <v>-1.0199064248494483E-2</v>
      </c>
    </row>
    <row r="10" spans="1:6">
      <c r="A10" s="119">
        <v>40847</v>
      </c>
      <c r="B10" s="121">
        <v>17.716667175292969</v>
      </c>
      <c r="C10" s="120">
        <f>IFERROR(yf_data[[#This Row],[Close Price]]/B9-1,0)</f>
        <v>9.3664358319411889E-4</v>
      </c>
    </row>
    <row r="11" spans="1:6">
      <c r="A11" s="119">
        <v>40848</v>
      </c>
      <c r="B11" s="121">
        <v>17.484533309936523</v>
      </c>
      <c r="C11" s="120">
        <f>IFERROR(yf_data[[#This Row],[Close Price]]/B10-1,0)</f>
        <v>-1.3102569634551253E-2</v>
      </c>
    </row>
    <row r="12" spans="1:6">
      <c r="A12" s="119">
        <v>40849</v>
      </c>
      <c r="B12" s="121">
        <v>17.646196365356445</v>
      </c>
      <c r="C12" s="120">
        <f>IFERROR(yf_data[[#This Row],[Close Price]]/B11-1,0)</f>
        <v>9.2460606499602527E-3</v>
      </c>
    </row>
    <row r="13" spans="1:6">
      <c r="A13" s="119">
        <v>40850</v>
      </c>
      <c r="B13" s="121">
        <v>17.944652557373047</v>
      </c>
      <c r="C13" s="120">
        <f>IFERROR(yf_data[[#This Row],[Close Price]]/B12-1,0)</f>
        <v>1.6913344147214682E-2</v>
      </c>
    </row>
    <row r="14" spans="1:6">
      <c r="A14" s="119">
        <v>40851</v>
      </c>
      <c r="B14" s="121">
        <v>17.683507919311523</v>
      </c>
      <c r="C14" s="120">
        <f>IFERROR(yf_data[[#This Row],[Close Price]]/B13-1,0)</f>
        <v>-1.4552783188561902E-2</v>
      </c>
    </row>
    <row r="15" spans="1:6">
      <c r="A15" s="119">
        <v>40854</v>
      </c>
      <c r="B15" s="121">
        <v>17.588163375854492</v>
      </c>
      <c r="C15" s="120">
        <f>IFERROR(yf_data[[#This Row],[Close Price]]/B14-1,0)</f>
        <v>-5.3917211388193609E-3</v>
      </c>
    </row>
    <row r="16" spans="1:6">
      <c r="A16" s="119">
        <v>40855</v>
      </c>
      <c r="B16" s="121">
        <v>17.302143096923828</v>
      </c>
      <c r="C16" s="120">
        <f>IFERROR(yf_data[[#This Row],[Close Price]]/B15-1,0)</f>
        <v>-1.6262089043550754E-2</v>
      </c>
    </row>
    <row r="17" spans="1:3">
      <c r="A17" s="119">
        <v>40856</v>
      </c>
      <c r="B17" s="121">
        <v>16.551860809326172</v>
      </c>
      <c r="C17" s="120">
        <f>IFERROR(yf_data[[#This Row],[Close Price]]/B16-1,0)</f>
        <v>-4.3363546549967547E-2</v>
      </c>
    </row>
    <row r="18" spans="1:3">
      <c r="A18" s="119">
        <v>40857</v>
      </c>
      <c r="B18" s="121">
        <v>17.385049819946289</v>
      </c>
      <c r="C18" s="120">
        <f>IFERROR(yf_data[[#This Row],[Close Price]]/B17-1,0)</f>
        <v>5.0338087071796433E-2</v>
      </c>
    </row>
    <row r="19" spans="1:3">
      <c r="A19" s="119">
        <v>40858</v>
      </c>
      <c r="B19" s="121">
        <v>18.458658218383789</v>
      </c>
      <c r="C19" s="120">
        <f>IFERROR(yf_data[[#This Row],[Close Price]]/B18-1,0)</f>
        <v>6.1754692080647544E-2</v>
      </c>
    </row>
    <row r="20" spans="1:3">
      <c r="A20" s="119">
        <v>40861</v>
      </c>
      <c r="B20" s="121">
        <v>18.280416488647461</v>
      </c>
      <c r="C20" s="120">
        <f>IFERROR(yf_data[[#This Row],[Close Price]]/B19-1,0)</f>
        <v>-9.6562668655303385E-3</v>
      </c>
    </row>
    <row r="21" spans="1:3">
      <c r="A21" s="119">
        <v>40862</v>
      </c>
      <c r="B21" s="121">
        <v>18.230674743652344</v>
      </c>
      <c r="C21" s="120">
        <f>IFERROR(yf_data[[#This Row],[Close Price]]/B20-1,0)</f>
        <v>-2.7210400280545111E-3</v>
      </c>
    </row>
    <row r="22" spans="1:3">
      <c r="A22" s="119">
        <v>40863</v>
      </c>
      <c r="B22" s="121">
        <v>18.23896598815918</v>
      </c>
      <c r="C22" s="120">
        <f>IFERROR(yf_data[[#This Row],[Close Price]]/B21-1,0)</f>
        <v>4.5479635962042408E-4</v>
      </c>
    </row>
    <row r="23" spans="1:3">
      <c r="A23" s="119">
        <v>40864</v>
      </c>
      <c r="B23" s="121">
        <v>17.579872131347656</v>
      </c>
      <c r="C23" s="120">
        <f>IFERROR(yf_data[[#This Row],[Close Price]]/B22-1,0)</f>
        <v>-3.6136580178909861E-2</v>
      </c>
    </row>
    <row r="24" spans="1:3">
      <c r="A24" s="119">
        <v>40865</v>
      </c>
      <c r="B24" s="121">
        <v>17.66278076171875</v>
      </c>
      <c r="C24" s="120">
        <f>IFERROR(yf_data[[#This Row],[Close Price]]/B23-1,0)</f>
        <v>4.7161111156921454E-3</v>
      </c>
    </row>
    <row r="25" spans="1:3">
      <c r="A25" s="119">
        <v>40868</v>
      </c>
      <c r="B25" s="121">
        <v>17.244112014770508</v>
      </c>
      <c r="C25" s="120">
        <f>IFERROR(yf_data[[#This Row],[Close Price]]/B24-1,0)</f>
        <v>-2.3703444695165943E-2</v>
      </c>
    </row>
    <row r="26" spans="1:3">
      <c r="A26" s="119">
        <v>40869</v>
      </c>
      <c r="B26" s="121">
        <v>17.057575225830078</v>
      </c>
      <c r="C26" s="120">
        <f>IFERROR(yf_data[[#This Row],[Close Price]]/B25-1,0)</f>
        <v>-1.0817419231599179E-2</v>
      </c>
    </row>
    <row r="27" spans="1:3">
      <c r="A27" s="119">
        <v>40870</v>
      </c>
      <c r="B27" s="121">
        <v>16.738393783569336</v>
      </c>
      <c r="C27" s="120">
        <f>IFERROR(yf_data[[#This Row],[Close Price]]/B26-1,0)</f>
        <v>-1.8712005547975474E-2</v>
      </c>
    </row>
    <row r="28" spans="1:3">
      <c r="A28" s="119">
        <v>40871</v>
      </c>
      <c r="B28" s="121">
        <v>17.194372177124023</v>
      </c>
      <c r="C28" s="120">
        <f>IFERROR(yf_data[[#This Row],[Close Price]]/B27-1,0)</f>
        <v>2.7241466502137213E-2</v>
      </c>
    </row>
    <row r="29" spans="1:3">
      <c r="A29" s="119">
        <v>40872</v>
      </c>
      <c r="B29" s="121">
        <v>17.198513031005859</v>
      </c>
      <c r="C29" s="120">
        <f>IFERROR(yf_data[[#This Row],[Close Price]]/B28-1,0)</f>
        <v>2.4082611677700427E-4</v>
      </c>
    </row>
    <row r="30" spans="1:3">
      <c r="A30" s="119">
        <v>40875</v>
      </c>
      <c r="B30" s="121">
        <v>17.7125244140625</v>
      </c>
      <c r="C30" s="120">
        <f>IFERROR(yf_data[[#This Row],[Close Price]]/B29-1,0)</f>
        <v>2.9886966514486968E-2</v>
      </c>
    </row>
    <row r="31" spans="1:3">
      <c r="A31" s="119">
        <v>40876</v>
      </c>
      <c r="B31" s="121">
        <v>17.741539001464844</v>
      </c>
      <c r="C31" s="120">
        <f>IFERROR(yf_data[[#This Row],[Close Price]]/B30-1,0)</f>
        <v>1.6380831283038244E-3</v>
      </c>
    </row>
    <row r="32" spans="1:3">
      <c r="A32" s="119">
        <v>40877</v>
      </c>
      <c r="B32" s="121">
        <v>18.400627136230469</v>
      </c>
      <c r="C32" s="120">
        <f>IFERROR(yf_data[[#This Row],[Close Price]]/B31-1,0)</f>
        <v>3.7149434144986282E-2</v>
      </c>
    </row>
    <row r="33" spans="1:3">
      <c r="A33" s="119">
        <v>40878</v>
      </c>
      <c r="B33" s="121">
        <v>18.048288345336911</v>
      </c>
      <c r="C33" s="120">
        <f>IFERROR(yf_data[[#This Row],[Close Price]]/B32-1,0)</f>
        <v>-1.9148194693854204E-2</v>
      </c>
    </row>
    <row r="34" spans="1:3">
      <c r="A34" s="119">
        <v>40879</v>
      </c>
      <c r="B34" s="121">
        <v>18.180929183959961</v>
      </c>
      <c r="C34" s="120">
        <f>IFERROR(yf_data[[#This Row],[Close Price]]/B33-1,0)</f>
        <v>7.3492198309941248E-3</v>
      </c>
    </row>
    <row r="35" spans="1:3">
      <c r="A35" s="119">
        <v>40882</v>
      </c>
      <c r="B35" s="121">
        <v>18.284563064575195</v>
      </c>
      <c r="C35" s="120">
        <f>IFERROR(yf_data[[#This Row],[Close Price]]/B34-1,0)</f>
        <v>5.7001421416165154E-3</v>
      </c>
    </row>
    <row r="36" spans="1:3">
      <c r="A36" s="119">
        <v>40883</v>
      </c>
      <c r="B36" s="121">
        <v>18.176786422729492</v>
      </c>
      <c r="C36" s="120">
        <f>IFERROR(yf_data[[#This Row],[Close Price]]/B35-1,0)</f>
        <v>-5.8944061974612882E-3</v>
      </c>
    </row>
    <row r="37" spans="1:3">
      <c r="A37" s="119">
        <v>40884</v>
      </c>
      <c r="B37" s="121">
        <v>18.089738845825195</v>
      </c>
      <c r="C37" s="120">
        <f>IFERROR(yf_data[[#This Row],[Close Price]]/B36-1,0)</f>
        <v>-4.7889420538851368E-3</v>
      </c>
    </row>
    <row r="38" spans="1:3">
      <c r="A38" s="119">
        <v>40885</v>
      </c>
      <c r="B38" s="121">
        <v>18.089738845825195</v>
      </c>
      <c r="C38" s="120">
        <f>IFERROR(yf_data[[#This Row],[Close Price]]/B37-1,0)</f>
        <v>0</v>
      </c>
    </row>
    <row r="39" spans="1:3">
      <c r="A39" s="119">
        <v>40886</v>
      </c>
      <c r="B39" s="121">
        <v>18.574728012084961</v>
      </c>
      <c r="C39" s="120">
        <f>IFERROR(yf_data[[#This Row],[Close Price]]/B38-1,0)</f>
        <v>2.681018064402263E-2</v>
      </c>
    </row>
    <row r="40" spans="1:3">
      <c r="A40" s="119">
        <v>40889</v>
      </c>
      <c r="B40" s="121">
        <v>18.267978668212891</v>
      </c>
      <c r="C40" s="120">
        <f>IFERROR(yf_data[[#This Row],[Close Price]]/B39-1,0)</f>
        <v>-1.6514338388831096E-2</v>
      </c>
    </row>
    <row r="41" spans="1:3">
      <c r="A41" s="119">
        <v>40890</v>
      </c>
      <c r="B41" s="121">
        <v>18.757116317749023</v>
      </c>
      <c r="C41" s="120">
        <f>IFERROR(yf_data[[#This Row],[Close Price]]/B40-1,0)</f>
        <v>2.6775685390264536E-2</v>
      </c>
    </row>
    <row r="42" spans="1:3">
      <c r="A42" s="119">
        <v>40891</v>
      </c>
      <c r="B42" s="121">
        <v>18.363321304321289</v>
      </c>
      <c r="C42" s="120">
        <f>IFERROR(yf_data[[#This Row],[Close Price]]/B41-1,0)</f>
        <v>-2.0994432553318676E-2</v>
      </c>
    </row>
    <row r="43" spans="1:3">
      <c r="A43" s="119">
        <v>40892</v>
      </c>
      <c r="B43" s="121">
        <v>18.869039535522461</v>
      </c>
      <c r="C43" s="120">
        <f>IFERROR(yf_data[[#This Row],[Close Price]]/B42-1,0)</f>
        <v>2.7539584088318803E-2</v>
      </c>
    </row>
    <row r="44" spans="1:3">
      <c r="A44" s="119">
        <v>40893</v>
      </c>
      <c r="B44" s="121">
        <v>18.777843475341797</v>
      </c>
      <c r="C44" s="120">
        <f>IFERROR(yf_data[[#This Row],[Close Price]]/B43-1,0)</f>
        <v>-4.8331055753516594E-3</v>
      </c>
    </row>
    <row r="45" spans="1:3">
      <c r="A45" s="119">
        <v>40896</v>
      </c>
      <c r="B45" s="121">
        <v>18.902202606201172</v>
      </c>
      <c r="C45" s="120">
        <f>IFERROR(yf_data[[#This Row],[Close Price]]/B44-1,0)</f>
        <v>6.6226524373087514E-3</v>
      </c>
    </row>
    <row r="46" spans="1:3">
      <c r="A46" s="119">
        <v>40897</v>
      </c>
      <c r="B46" s="121">
        <v>19.565435409545898</v>
      </c>
      <c r="C46" s="120">
        <f>IFERROR(yf_data[[#This Row],[Close Price]]/B45-1,0)</f>
        <v>3.5087593608119638E-2</v>
      </c>
    </row>
    <row r="47" spans="1:3">
      <c r="A47" s="119">
        <v>40898</v>
      </c>
      <c r="B47" s="121">
        <v>19.635900497436523</v>
      </c>
      <c r="C47" s="120">
        <f>IFERROR(yf_data[[#This Row],[Close Price]]/B46-1,0)</f>
        <v>3.6015088044627497E-3</v>
      </c>
    </row>
    <row r="48" spans="1:3">
      <c r="A48" s="119">
        <v>40899</v>
      </c>
      <c r="B48" s="121">
        <v>19.602741241455082</v>
      </c>
      <c r="C48" s="120">
        <f>IFERROR(yf_data[[#This Row],[Close Price]]/B47-1,0)</f>
        <v>-1.6887056433072534E-3</v>
      </c>
    </row>
    <row r="49" spans="1:3">
      <c r="A49" s="119">
        <v>40900</v>
      </c>
      <c r="B49" s="121">
        <v>19.565435409545898</v>
      </c>
      <c r="C49" s="120">
        <f>IFERROR(yf_data[[#This Row],[Close Price]]/B48-1,0)</f>
        <v>-1.9030926057571618E-3</v>
      </c>
    </row>
    <row r="50" spans="1:3">
      <c r="A50" s="119">
        <v>40904</v>
      </c>
      <c r="B50" s="121">
        <v>19.557144165039063</v>
      </c>
      <c r="C50" s="120">
        <f>IFERROR(yf_data[[#This Row],[Close Price]]/B49-1,0)</f>
        <v>-4.2376999710369567E-4</v>
      </c>
    </row>
    <row r="51" spans="1:3">
      <c r="A51" s="119">
        <v>40905</v>
      </c>
      <c r="B51" s="121">
        <v>19.565435409545898</v>
      </c>
      <c r="C51" s="120">
        <f>IFERROR(yf_data[[#This Row],[Close Price]]/B50-1,0)</f>
        <v>4.2394965424752407E-4</v>
      </c>
    </row>
    <row r="52" spans="1:3">
      <c r="A52" s="119">
        <v>40906</v>
      </c>
      <c r="B52" s="121">
        <v>19.963375091552734</v>
      </c>
      <c r="C52" s="120">
        <f>IFERROR(yf_data[[#This Row],[Close Price]]/B51-1,0)</f>
        <v>2.0338912662924091E-2</v>
      </c>
    </row>
    <row r="53" spans="1:3">
      <c r="A53" s="119">
        <v>40907</v>
      </c>
      <c r="B53" s="121">
        <v>20.02140998840332</v>
      </c>
      <c r="C53" s="120">
        <f>IFERROR(yf_data[[#This Row],[Close Price]]/B52-1,0)</f>
        <v>2.9070683982259649E-3</v>
      </c>
    </row>
    <row r="54" spans="1:3">
      <c r="A54" s="119">
        <v>40910</v>
      </c>
      <c r="B54" s="121">
        <v>20.311573028564453</v>
      </c>
      <c r="C54" s="120">
        <f>IFERROR(yf_data[[#This Row],[Close Price]]/B53-1,0)</f>
        <v>1.449263764785802E-2</v>
      </c>
    </row>
    <row r="55" spans="1:3">
      <c r="A55" s="119">
        <v>40911</v>
      </c>
      <c r="B55" s="121">
        <v>20.311573028564453</v>
      </c>
      <c r="C55" s="120">
        <f>IFERROR(yf_data[[#This Row],[Close Price]]/B54-1,0)</f>
        <v>0</v>
      </c>
    </row>
    <row r="56" spans="1:3">
      <c r="A56" s="119">
        <v>40912</v>
      </c>
      <c r="B56" s="121">
        <v>20.365461349487305</v>
      </c>
      <c r="C56" s="120">
        <f>IFERROR(yf_data[[#This Row],[Close Price]]/B55-1,0)</f>
        <v>2.6530845664718417E-3</v>
      </c>
    </row>
    <row r="57" spans="1:3">
      <c r="A57" s="119">
        <v>40913</v>
      </c>
      <c r="B57" s="121">
        <v>20.634899139404297</v>
      </c>
      <c r="C57" s="120">
        <f>IFERROR(yf_data[[#This Row],[Close Price]]/B56-1,0)</f>
        <v>1.3230134358030332E-2</v>
      </c>
    </row>
    <row r="58" spans="1:3">
      <c r="A58" s="119">
        <v>40914</v>
      </c>
      <c r="B58" s="121">
        <v>20.531269073486328</v>
      </c>
      <c r="C58" s="120">
        <f>IFERROR(yf_data[[#This Row],[Close Price]]/B57-1,0)</f>
        <v>-5.022077656782753E-3</v>
      </c>
    </row>
    <row r="59" spans="1:3">
      <c r="A59" s="119">
        <v>40917</v>
      </c>
      <c r="B59" s="121">
        <v>20.614171981811523</v>
      </c>
      <c r="C59" s="120">
        <f>IFERROR(yf_data[[#This Row],[Close Price]]/B58-1,0)</f>
        <v>4.037885238777239E-3</v>
      </c>
    </row>
    <row r="60" spans="1:3">
      <c r="A60" s="119">
        <v>40918</v>
      </c>
      <c r="B60" s="121">
        <v>20.750968933105469</v>
      </c>
      <c r="C60" s="120">
        <f>IFERROR(yf_data[[#This Row],[Close Price]]/B59-1,0)</f>
        <v>6.63606335557132E-3</v>
      </c>
    </row>
    <row r="61" spans="1:3">
      <c r="A61" s="119">
        <v>40919</v>
      </c>
      <c r="B61" s="121">
        <v>20.867031097412109</v>
      </c>
      <c r="C61" s="120">
        <f>IFERROR(yf_data[[#This Row],[Close Price]]/B60-1,0)</f>
        <v>5.5930961431627235E-3</v>
      </c>
    </row>
    <row r="62" spans="1:3">
      <c r="A62" s="119">
        <v>40920</v>
      </c>
      <c r="B62" s="121">
        <v>20.755109786987305</v>
      </c>
      <c r="C62" s="120">
        <f>IFERROR(yf_data[[#This Row],[Close Price]]/B61-1,0)</f>
        <v>-5.3635474017520446E-3</v>
      </c>
    </row>
    <row r="63" spans="1:3">
      <c r="A63" s="119">
        <v>40921</v>
      </c>
      <c r="B63" s="121">
        <v>20.85045051574707</v>
      </c>
      <c r="C63" s="120">
        <f>IFERROR(yf_data[[#This Row],[Close Price]]/B62-1,0)</f>
        <v>4.5936027194393159E-3</v>
      </c>
    </row>
    <row r="64" spans="1:3">
      <c r="A64" s="119">
        <v>40924</v>
      </c>
      <c r="B64" s="121">
        <v>21.285699844360352</v>
      </c>
      <c r="C64" s="120">
        <f>IFERROR(yf_data[[#This Row],[Close Price]]/B63-1,0)</f>
        <v>2.0874816507421068E-2</v>
      </c>
    </row>
    <row r="65" spans="1:3">
      <c r="A65" s="119">
        <v>40925</v>
      </c>
      <c r="B65" s="121">
        <v>21.38104248046875</v>
      </c>
      <c r="C65" s="120">
        <f>IFERROR(yf_data[[#This Row],[Close Price]]/B64-1,0)</f>
        <v>4.4791872856206894E-3</v>
      </c>
    </row>
    <row r="66" spans="1:3">
      <c r="A66" s="119">
        <v>40926</v>
      </c>
      <c r="B66" s="121">
        <v>21.443216323852539</v>
      </c>
      <c r="C66" s="120">
        <f>IFERROR(yf_data[[#This Row],[Close Price]]/B65-1,0)</f>
        <v>2.907895788551107E-3</v>
      </c>
    </row>
    <row r="67" spans="1:3">
      <c r="A67" s="119">
        <v>40927</v>
      </c>
      <c r="B67" s="121">
        <v>21.161346435546875</v>
      </c>
      <c r="C67" s="120">
        <f>IFERROR(yf_data[[#This Row],[Close Price]]/B66-1,0)</f>
        <v>-1.3144944491938149E-2</v>
      </c>
    </row>
    <row r="68" spans="1:3">
      <c r="A68" s="119">
        <v>40928</v>
      </c>
      <c r="B68" s="121">
        <v>21.264974594116211</v>
      </c>
      <c r="C68" s="120">
        <f>IFERROR(yf_data[[#This Row],[Close Price]]/B67-1,0)</f>
        <v>4.8970493860098774E-3</v>
      </c>
    </row>
    <row r="69" spans="1:3">
      <c r="A69" s="119">
        <v>40931</v>
      </c>
      <c r="B69" s="121">
        <v>21.260829925537109</v>
      </c>
      <c r="C69" s="120">
        <f>IFERROR(yf_data[[#This Row],[Close Price]]/B68-1,0)</f>
        <v>-1.9490587965476092E-4</v>
      </c>
    </row>
    <row r="70" spans="1:3">
      <c r="A70" s="119">
        <v>40932</v>
      </c>
      <c r="B70" s="121">
        <v>21.530263900756836</v>
      </c>
      <c r="C70" s="120">
        <f>IFERROR(yf_data[[#This Row],[Close Price]]/B69-1,0)</f>
        <v>1.2672787288331655E-2</v>
      </c>
    </row>
    <row r="71" spans="1:3">
      <c r="A71" s="119">
        <v>40933</v>
      </c>
      <c r="B71" s="121">
        <v>21.397623062133789</v>
      </c>
      <c r="C71" s="120">
        <f>IFERROR(yf_data[[#This Row],[Close Price]]/B70-1,0)</f>
        <v>-6.1606694295273101E-3</v>
      </c>
    </row>
    <row r="72" spans="1:3">
      <c r="A72" s="119">
        <v>40934</v>
      </c>
      <c r="B72" s="121">
        <v>21.095020294189453</v>
      </c>
      <c r="C72" s="120">
        <f>IFERROR(yf_data[[#This Row],[Close Price]]/B71-1,0)</f>
        <v>-1.4141887024818001E-2</v>
      </c>
    </row>
    <row r="73" spans="1:3">
      <c r="A73" s="119">
        <v>40935</v>
      </c>
      <c r="B73" s="121">
        <v>21.231813430786133</v>
      </c>
      <c r="C73" s="120">
        <f>IFERROR(yf_data[[#This Row],[Close Price]]/B72-1,0)</f>
        <v>6.4846174447321658E-3</v>
      </c>
    </row>
    <row r="74" spans="1:3">
      <c r="A74" s="119">
        <v>40938</v>
      </c>
      <c r="B74" s="121">
        <v>21.041130065917969</v>
      </c>
      <c r="C74" s="120">
        <f>IFERROR(yf_data[[#This Row],[Close Price]]/B73-1,0)</f>
        <v>-8.9810211214306213E-3</v>
      </c>
    </row>
    <row r="75" spans="1:3">
      <c r="A75" s="119">
        <v>40939</v>
      </c>
      <c r="B75" s="121">
        <v>21.289844512939453</v>
      </c>
      <c r="C75" s="120">
        <f>IFERROR(yf_data[[#This Row],[Close Price]]/B74-1,0)</f>
        <v>1.1820393973247079E-2</v>
      </c>
    </row>
    <row r="76" spans="1:3">
      <c r="A76" s="119">
        <v>40940</v>
      </c>
      <c r="B76" s="121">
        <v>21.517831802368164</v>
      </c>
      <c r="C76" s="120">
        <f>IFERROR(yf_data[[#This Row],[Close Price]]/B75-1,0)</f>
        <v>1.0708734358775951E-2</v>
      </c>
    </row>
    <row r="77" spans="1:3">
      <c r="A77" s="119">
        <v>40941</v>
      </c>
      <c r="B77" s="121">
        <v>21.521980285644531</v>
      </c>
      <c r="C77" s="120">
        <f>IFERROR(yf_data[[#This Row],[Close Price]]/B76-1,0)</f>
        <v>1.9279281084028099E-4</v>
      </c>
    </row>
    <row r="78" spans="1:3">
      <c r="A78" s="119">
        <v>40942</v>
      </c>
      <c r="B78" s="121">
        <v>22.831863403320313</v>
      </c>
      <c r="C78" s="120">
        <f>IFERROR(yf_data[[#This Row],[Close Price]]/B77-1,0)</f>
        <v>6.0862573996013358E-2</v>
      </c>
    </row>
    <row r="79" spans="1:3">
      <c r="A79" s="119">
        <v>40945</v>
      </c>
      <c r="B79" s="121">
        <v>22.574863433837891</v>
      </c>
      <c r="C79" s="120">
        <f>IFERROR(yf_data[[#This Row],[Close Price]]/B78-1,0)</f>
        <v>-1.1256197750598274E-2</v>
      </c>
    </row>
    <row r="80" spans="1:3">
      <c r="A80" s="119">
        <v>40946</v>
      </c>
      <c r="B80" s="121">
        <v>22.346878051757813</v>
      </c>
      <c r="C80" s="120">
        <f>IFERROR(yf_data[[#This Row],[Close Price]]/B79-1,0)</f>
        <v>-1.0099081340990357E-2</v>
      </c>
    </row>
    <row r="81" spans="1:3">
      <c r="A81" s="119">
        <v>40947</v>
      </c>
      <c r="B81" s="121">
        <v>21.932355880737305</v>
      </c>
      <c r="C81" s="120">
        <f>IFERROR(yf_data[[#This Row],[Close Price]]/B80-1,0)</f>
        <v>-1.854944435909256E-2</v>
      </c>
    </row>
    <row r="82" spans="1:3">
      <c r="A82" s="119">
        <v>40948</v>
      </c>
      <c r="B82" s="121">
        <v>22.243246078491211</v>
      </c>
      <c r="C82" s="120">
        <f>IFERROR(yf_data[[#This Row],[Close Price]]/B81-1,0)</f>
        <v>1.4174956828370444E-2</v>
      </c>
    </row>
    <row r="83" spans="1:3">
      <c r="A83" s="119">
        <v>40949</v>
      </c>
      <c r="B83" s="121">
        <v>22.176919937133789</v>
      </c>
      <c r="C83" s="120">
        <f>IFERROR(yf_data[[#This Row],[Close Price]]/B82-1,0)</f>
        <v>-2.9818553067016973E-3</v>
      </c>
    </row>
    <row r="84" spans="1:3">
      <c r="A84" s="119">
        <v>40952</v>
      </c>
      <c r="B84" s="121">
        <v>22.425632476806641</v>
      </c>
      <c r="C84" s="120">
        <f>IFERROR(yf_data[[#This Row],[Close Price]]/B83-1,0)</f>
        <v>1.121492706732452E-2</v>
      </c>
    </row>
    <row r="85" spans="1:3">
      <c r="A85" s="119">
        <v>40953</v>
      </c>
      <c r="B85" s="121">
        <v>22.375896453857425</v>
      </c>
      <c r="C85" s="120">
        <f>IFERROR(yf_data[[#This Row],[Close Price]]/B84-1,0)</f>
        <v>-2.217820300080886E-3</v>
      </c>
    </row>
    <row r="86" spans="1:3">
      <c r="A86" s="119">
        <v>40954</v>
      </c>
      <c r="B86" s="121">
        <v>22.413198471069336</v>
      </c>
      <c r="C86" s="120">
        <f>IFERROR(yf_data[[#This Row],[Close Price]]/B85-1,0)</f>
        <v>1.6670624700481085E-3</v>
      </c>
    </row>
    <row r="87" spans="1:3">
      <c r="A87" s="119">
        <v>40955</v>
      </c>
      <c r="B87" s="121">
        <v>22.292987823486328</v>
      </c>
      <c r="C87" s="120">
        <f>IFERROR(yf_data[[#This Row],[Close Price]]/B86-1,0)</f>
        <v>-5.3633865660973612E-3</v>
      </c>
    </row>
    <row r="88" spans="1:3">
      <c r="A88" s="119">
        <v>40956</v>
      </c>
      <c r="B88" s="121">
        <v>22.483667373657227</v>
      </c>
      <c r="C88" s="120">
        <f>IFERROR(yf_data[[#This Row],[Close Price]]/B87-1,0)</f>
        <v>8.5533420500061297E-3</v>
      </c>
    </row>
    <row r="89" spans="1:3">
      <c r="A89" s="119">
        <v>40959</v>
      </c>
      <c r="B89" s="121">
        <v>22.442214965820313</v>
      </c>
      <c r="C89" s="120">
        <f>IFERROR(yf_data[[#This Row],[Close Price]]/B88-1,0)</f>
        <v>-1.8436675453347151E-3</v>
      </c>
    </row>
    <row r="90" spans="1:3">
      <c r="A90" s="119">
        <v>40960</v>
      </c>
      <c r="B90" s="121">
        <v>22.384180068969727</v>
      </c>
      <c r="C90" s="120">
        <f>IFERROR(yf_data[[#This Row],[Close Price]]/B89-1,0)</f>
        <v>-2.58597009871675E-3</v>
      </c>
    </row>
    <row r="91" spans="1:3">
      <c r="A91" s="119">
        <v>40961</v>
      </c>
      <c r="B91" s="121">
        <v>22.520977020263672</v>
      </c>
      <c r="C91" s="120">
        <f>IFERROR(yf_data[[#This Row],[Close Price]]/B90-1,0)</f>
        <v>6.1113228571449962E-3</v>
      </c>
    </row>
    <row r="92" spans="1:3">
      <c r="A92" s="119">
        <v>40962</v>
      </c>
      <c r="B92" s="121">
        <v>22.628751754760746</v>
      </c>
      <c r="C92" s="120">
        <f>IFERROR(yf_data[[#This Row],[Close Price]]/B91-1,0)</f>
        <v>4.7855265959422244E-3</v>
      </c>
    </row>
    <row r="93" spans="1:3">
      <c r="A93" s="119">
        <v>40963</v>
      </c>
      <c r="B93" s="121">
        <v>22.433927536010746</v>
      </c>
      <c r="C93" s="120">
        <f>IFERROR(yf_data[[#This Row],[Close Price]]/B92-1,0)</f>
        <v>-8.6095875221668949E-3</v>
      </c>
    </row>
    <row r="94" spans="1:3">
      <c r="A94" s="119">
        <v>40966</v>
      </c>
      <c r="B94" s="121">
        <v>22.520977020263672</v>
      </c>
      <c r="C94" s="120">
        <f>IFERROR(yf_data[[#This Row],[Close Price]]/B93-1,0)</f>
        <v>3.8802605612946461E-3</v>
      </c>
    </row>
    <row r="95" spans="1:3">
      <c r="A95" s="119">
        <v>40967</v>
      </c>
      <c r="B95" s="121">
        <v>22.54170036315918</v>
      </c>
      <c r="C95" s="120">
        <f>IFERROR(yf_data[[#This Row],[Close Price]]/B94-1,0)</f>
        <v>9.2017956755885422E-4</v>
      </c>
    </row>
    <row r="96" spans="1:3">
      <c r="A96" s="119">
        <v>40968</v>
      </c>
      <c r="B96" s="121">
        <v>22.603878021240231</v>
      </c>
      <c r="C96" s="120">
        <f>IFERROR(yf_data[[#This Row],[Close Price]]/B95-1,0)</f>
        <v>2.7583393035721659E-3</v>
      </c>
    </row>
    <row r="97" spans="1:3">
      <c r="A97" s="119">
        <v>40969</v>
      </c>
      <c r="B97" s="121">
        <v>23.254680633544918</v>
      </c>
      <c r="C97" s="120">
        <f>IFERROR(yf_data[[#This Row],[Close Price]]/B96-1,0)</f>
        <v>2.8791635297852336E-2</v>
      </c>
    </row>
    <row r="98" spans="1:3">
      <c r="A98" s="119">
        <v>40970</v>
      </c>
      <c r="B98" s="121">
        <v>22.923061370849609</v>
      </c>
      <c r="C98" s="120">
        <f>IFERROR(yf_data[[#This Row],[Close Price]]/B97-1,0)</f>
        <v>-1.4260323240773642E-2</v>
      </c>
    </row>
    <row r="99" spans="1:3">
      <c r="A99" s="119">
        <v>40973</v>
      </c>
      <c r="B99" s="121">
        <v>22.773832321166992</v>
      </c>
      <c r="C99" s="120">
        <f>IFERROR(yf_data[[#This Row],[Close Price]]/B98-1,0)</f>
        <v>-6.5099965169742591E-3</v>
      </c>
    </row>
    <row r="100" spans="1:3">
      <c r="A100" s="119">
        <v>40974</v>
      </c>
      <c r="B100" s="121">
        <v>21.928211212158203</v>
      </c>
      <c r="C100" s="120">
        <f>IFERROR(yf_data[[#This Row],[Close Price]]/B99-1,0)</f>
        <v>-3.7131260873596195E-2</v>
      </c>
    </row>
    <row r="101" spans="1:3">
      <c r="A101" s="119">
        <v>40975</v>
      </c>
      <c r="B101" s="121">
        <v>22.255681991577148</v>
      </c>
      <c r="C101" s="120">
        <f>IFERROR(yf_data[[#This Row],[Close Price]]/B100-1,0)</f>
        <v>1.4933766199651366E-2</v>
      </c>
    </row>
    <row r="102" spans="1:3">
      <c r="A102" s="119">
        <v>40976</v>
      </c>
      <c r="B102" s="121">
        <v>24.65576171875</v>
      </c>
      <c r="C102" s="120">
        <f>IFERROR(yf_data[[#This Row],[Close Price]]/B101-1,0)</f>
        <v>0.10784121232866206</v>
      </c>
    </row>
    <row r="103" spans="1:3">
      <c r="A103" s="119">
        <v>40977</v>
      </c>
      <c r="B103" s="121">
        <v>24.921056747436523</v>
      </c>
      <c r="C103" s="120">
        <f>IFERROR(yf_data[[#This Row],[Close Price]]/B102-1,0)</f>
        <v>1.0759960763441878E-2</v>
      </c>
    </row>
    <row r="104" spans="1:3">
      <c r="A104" s="119">
        <v>40980</v>
      </c>
      <c r="B104" s="121">
        <v>24.622602462768555</v>
      </c>
      <c r="C104" s="120">
        <f>IFERROR(yf_data[[#This Row],[Close Price]]/B103-1,0)</f>
        <v>-1.1975988325562015E-2</v>
      </c>
    </row>
    <row r="105" spans="1:3">
      <c r="A105" s="119">
        <v>40981</v>
      </c>
      <c r="B105" s="121">
        <v>25.078573226928711</v>
      </c>
      <c r="C105" s="120">
        <f>IFERROR(yf_data[[#This Row],[Close Price]]/B104-1,0)</f>
        <v>1.8518382240448439E-2</v>
      </c>
    </row>
    <row r="106" spans="1:3">
      <c r="A106" s="119">
        <v>40982</v>
      </c>
      <c r="B106" s="121">
        <v>25.33143424987793</v>
      </c>
      <c r="C106" s="120">
        <f>IFERROR(yf_data[[#This Row],[Close Price]]/B105-1,0)</f>
        <v>1.0082751544960411E-2</v>
      </c>
    </row>
    <row r="107" spans="1:3">
      <c r="A107" s="119">
        <v>40983</v>
      </c>
      <c r="B107" s="121">
        <v>25.546987533569336</v>
      </c>
      <c r="C107" s="120">
        <f>IFERROR(yf_data[[#This Row],[Close Price]]/B106-1,0)</f>
        <v>8.5093201421251319E-3</v>
      </c>
    </row>
    <row r="108" spans="1:3">
      <c r="A108" s="119">
        <v>40984</v>
      </c>
      <c r="B108" s="121">
        <v>25.78326416015625</v>
      </c>
      <c r="C108" s="120">
        <f>IFERROR(yf_data[[#This Row],[Close Price]]/B107-1,0)</f>
        <v>9.2487079455627619E-3</v>
      </c>
    </row>
    <row r="109" spans="1:3">
      <c r="A109" s="119">
        <v>40987</v>
      </c>
      <c r="B109" s="121">
        <v>25.140756607055664</v>
      </c>
      <c r="C109" s="120">
        <f>IFERROR(yf_data[[#This Row],[Close Price]]/B108-1,0)</f>
        <v>-2.4919558249473894E-2</v>
      </c>
    </row>
    <row r="110" spans="1:3">
      <c r="A110" s="119">
        <v>40988</v>
      </c>
      <c r="B110" s="121">
        <v>25.236095428466797</v>
      </c>
      <c r="C110" s="120">
        <f>IFERROR(yf_data[[#This Row],[Close Price]]/B109-1,0)</f>
        <v>3.7922017583342793E-3</v>
      </c>
    </row>
    <row r="111" spans="1:3">
      <c r="A111" s="119">
        <v>40989</v>
      </c>
      <c r="B111" s="121">
        <v>25.497243881225582</v>
      </c>
      <c r="C111" s="120">
        <f>IFERROR(yf_data[[#This Row],[Close Price]]/B110-1,0)</f>
        <v>1.0348211493296455E-2</v>
      </c>
    </row>
    <row r="112" spans="1:3">
      <c r="A112" s="119">
        <v>40990</v>
      </c>
      <c r="B112" s="121">
        <v>25.070285797119141</v>
      </c>
      <c r="C112" s="120">
        <f>IFERROR(yf_data[[#This Row],[Close Price]]/B111-1,0)</f>
        <v>-1.6745264158563589E-2</v>
      </c>
    </row>
    <row r="113" spans="1:3">
      <c r="A113" s="119">
        <v>40991</v>
      </c>
      <c r="B113" s="121">
        <v>25.252674102783203</v>
      </c>
      <c r="C113" s="120">
        <f>IFERROR(yf_data[[#This Row],[Close Price]]/B112-1,0)</f>
        <v>7.2750788379531972E-3</v>
      </c>
    </row>
    <row r="114" spans="1:3">
      <c r="A114" s="119">
        <v>40994</v>
      </c>
      <c r="B114" s="121">
        <v>25.580146789550781</v>
      </c>
      <c r="C114" s="120">
        <f>IFERROR(yf_data[[#This Row],[Close Price]]/B113-1,0)</f>
        <v>1.2967841957437942E-2</v>
      </c>
    </row>
    <row r="115" spans="1:3">
      <c r="A115" s="119">
        <v>40995</v>
      </c>
      <c r="B115" s="121">
        <v>25.534549713134769</v>
      </c>
      <c r="C115" s="120">
        <f>IFERROR(yf_data[[#This Row],[Close Price]]/B114-1,0)</f>
        <v>-1.7825181689199443E-3</v>
      </c>
    </row>
    <row r="116" spans="1:3">
      <c r="A116" s="119">
        <v>40996</v>
      </c>
      <c r="B116" s="121">
        <v>25.447500228881836</v>
      </c>
      <c r="C116" s="120">
        <f>IFERROR(yf_data[[#This Row],[Close Price]]/B115-1,0)</f>
        <v>-3.4090863254250259E-3</v>
      </c>
    </row>
    <row r="117" spans="1:3">
      <c r="A117" s="119">
        <v>40997</v>
      </c>
      <c r="B117" s="121">
        <v>25.140756607055664</v>
      </c>
      <c r="C117" s="120">
        <f>IFERROR(yf_data[[#This Row],[Close Price]]/B116-1,0)</f>
        <v>-1.2053978546703426E-2</v>
      </c>
    </row>
    <row r="118" spans="1:3">
      <c r="A118" s="119">
        <v>40998</v>
      </c>
      <c r="B118" s="121">
        <v>25.455791473388672</v>
      </c>
      <c r="C118" s="120">
        <f>IFERROR(yf_data[[#This Row],[Close Price]]/B117-1,0)</f>
        <v>1.2530842697255684E-2</v>
      </c>
    </row>
    <row r="119" spans="1:3">
      <c r="A119" s="119">
        <v>41001</v>
      </c>
      <c r="B119" s="121">
        <v>25.658910751342773</v>
      </c>
      <c r="C119" s="120">
        <f>IFERROR(yf_data[[#This Row],[Close Price]]/B118-1,0)</f>
        <v>7.9792953272124212E-3</v>
      </c>
    </row>
    <row r="120" spans="1:3">
      <c r="A120" s="119">
        <v>41002</v>
      </c>
      <c r="B120" s="121">
        <v>25.841297149658203</v>
      </c>
      <c r="C120" s="120">
        <f>IFERROR(yf_data[[#This Row],[Close Price]]/B119-1,0)</f>
        <v>7.1081114893345454E-3</v>
      </c>
    </row>
    <row r="121" spans="1:3">
      <c r="A121" s="119">
        <v>41003</v>
      </c>
      <c r="B121" s="121">
        <v>25.178062438964844</v>
      </c>
      <c r="C121" s="120">
        <f>IFERROR(yf_data[[#This Row],[Close Price]]/B120-1,0)</f>
        <v>-2.5665689568611039E-2</v>
      </c>
    </row>
    <row r="122" spans="1:3">
      <c r="A122" s="119">
        <v>41004</v>
      </c>
      <c r="B122" s="121">
        <v>25.439207077026367</v>
      </c>
      <c r="C122" s="120">
        <f>IFERROR(yf_data[[#This Row],[Close Price]]/B121-1,0)</f>
        <v>1.0371911607359507E-2</v>
      </c>
    </row>
    <row r="123" spans="1:3">
      <c r="A123" s="119">
        <v>41009</v>
      </c>
      <c r="B123" s="121">
        <v>24.643329620361328</v>
      </c>
      <c r="C123" s="120">
        <f>IFERROR(yf_data[[#This Row],[Close Price]]/B122-1,0)</f>
        <v>-3.1285466337658718E-2</v>
      </c>
    </row>
    <row r="124" spans="1:3">
      <c r="A124" s="119">
        <v>41010</v>
      </c>
      <c r="B124" s="121">
        <v>24.900333404541016</v>
      </c>
      <c r="C124" s="120">
        <f>IFERROR(yf_data[[#This Row],[Close Price]]/B123-1,0)</f>
        <v>1.0428939114109914E-2</v>
      </c>
    </row>
    <row r="125" spans="1:3">
      <c r="A125" s="119">
        <v>41011</v>
      </c>
      <c r="B125" s="121">
        <v>25.617454528808594</v>
      </c>
      <c r="C125" s="120">
        <f>IFERROR(yf_data[[#This Row],[Close Price]]/B124-1,0)</f>
        <v>2.8799659531337785E-2</v>
      </c>
    </row>
    <row r="126" spans="1:3">
      <c r="A126" s="119">
        <v>41012</v>
      </c>
      <c r="B126" s="121">
        <v>25.053703308105469</v>
      </c>
      <c r="C126" s="120">
        <f>IFERROR(yf_data[[#This Row],[Close Price]]/B125-1,0)</f>
        <v>-2.200652762237354E-2</v>
      </c>
    </row>
    <row r="127" spans="1:3">
      <c r="A127" s="119">
        <v>41015</v>
      </c>
      <c r="B127" s="121">
        <v>25.426773071289063</v>
      </c>
      <c r="C127" s="120">
        <f>IFERROR(yf_data[[#This Row],[Close Price]]/B126-1,0)</f>
        <v>1.4890803111845541E-2</v>
      </c>
    </row>
    <row r="128" spans="1:3">
      <c r="A128" s="119">
        <v>41016</v>
      </c>
      <c r="B128" s="121">
        <v>25.671344757080082</v>
      </c>
      <c r="C128" s="120">
        <f>IFERROR(yf_data[[#This Row],[Close Price]]/B127-1,0)</f>
        <v>9.6186678940859416E-3</v>
      </c>
    </row>
    <row r="129" spans="1:3">
      <c r="A129" s="119">
        <v>41017</v>
      </c>
      <c r="B129" s="121">
        <v>25.40190315246582</v>
      </c>
      <c r="C129" s="120">
        <f>IFERROR(yf_data[[#This Row],[Close Price]]/B128-1,0)</f>
        <v>-1.0495811854186132E-2</v>
      </c>
    </row>
    <row r="130" spans="1:3">
      <c r="A130" s="119">
        <v>41018</v>
      </c>
      <c r="B130" s="121">
        <v>25.57600212097168</v>
      </c>
      <c r="C130" s="120">
        <f>IFERROR(yf_data[[#This Row],[Close Price]]/B129-1,0)</f>
        <v>6.8537765639407056E-3</v>
      </c>
    </row>
    <row r="131" spans="1:3">
      <c r="A131" s="119">
        <v>41019</v>
      </c>
      <c r="B131" s="121">
        <v>25.356306076049805</v>
      </c>
      <c r="C131" s="120">
        <f>IFERROR(yf_data[[#This Row],[Close Price]]/B130-1,0)</f>
        <v>-8.5899291016139356E-3</v>
      </c>
    </row>
    <row r="132" spans="1:3">
      <c r="A132" s="119">
        <v>41022</v>
      </c>
      <c r="B132" s="121">
        <v>24.249532699584961</v>
      </c>
      <c r="C132" s="120">
        <f>IFERROR(yf_data[[#This Row],[Close Price]]/B131-1,0)</f>
        <v>-4.3648841165797481E-2</v>
      </c>
    </row>
    <row r="133" spans="1:3">
      <c r="A133" s="119">
        <v>41023</v>
      </c>
      <c r="B133" s="121">
        <v>24.659912109375</v>
      </c>
      <c r="C133" s="120">
        <f>IFERROR(yf_data[[#This Row],[Close Price]]/B132-1,0)</f>
        <v>1.6923188371257281E-2</v>
      </c>
    </row>
    <row r="134" spans="1:3">
      <c r="A134" s="119">
        <v>41024</v>
      </c>
      <c r="B134" s="121">
        <v>25.236095428466797</v>
      </c>
      <c r="C134" s="120">
        <f>IFERROR(yf_data[[#This Row],[Close Price]]/B133-1,0)</f>
        <v>2.3365181373568245E-2</v>
      </c>
    </row>
    <row r="135" spans="1:3">
      <c r="A135" s="119">
        <v>41025</v>
      </c>
      <c r="B135" s="121">
        <v>25.107593536376953</v>
      </c>
      <c r="C135" s="120">
        <f>IFERROR(yf_data[[#This Row],[Close Price]]/B134-1,0)</f>
        <v>-5.0919878811716002E-3</v>
      </c>
    </row>
    <row r="136" spans="1:3">
      <c r="A136" s="119">
        <v>41026</v>
      </c>
      <c r="B136" s="121">
        <v>25.248529434204102</v>
      </c>
      <c r="C136" s="120">
        <f>IFERROR(yf_data[[#This Row],[Close Price]]/B135-1,0)</f>
        <v>5.613277816647555E-3</v>
      </c>
    </row>
    <row r="137" spans="1:3">
      <c r="A137" s="119">
        <v>41029</v>
      </c>
      <c r="B137" s="121">
        <v>24.726234436035156</v>
      </c>
      <c r="C137" s="120">
        <f>IFERROR(yf_data[[#This Row],[Close Price]]/B136-1,0)</f>
        <v>-2.0686155188958999E-2</v>
      </c>
    </row>
    <row r="138" spans="1:3">
      <c r="A138" s="119">
        <v>41031</v>
      </c>
      <c r="B138" s="121">
        <v>25.003961563110352</v>
      </c>
      <c r="C138" s="120">
        <f>IFERROR(yf_data[[#This Row],[Close Price]]/B137-1,0)</f>
        <v>1.1232083388744707E-2</v>
      </c>
    </row>
    <row r="139" spans="1:3">
      <c r="A139" s="119">
        <v>41032</v>
      </c>
      <c r="B139" s="121">
        <v>25.327285766601559</v>
      </c>
      <c r="C139" s="120">
        <f>IFERROR(yf_data[[#This Row],[Close Price]]/B138-1,0)</f>
        <v>1.2930919073568914E-2</v>
      </c>
    </row>
    <row r="140" spans="1:3">
      <c r="A140" s="119">
        <v>41033</v>
      </c>
      <c r="B140" s="121">
        <v>24.481666564941406</v>
      </c>
      <c r="C140" s="120">
        <f>IFERROR(yf_data[[#This Row],[Close Price]]/B139-1,0)</f>
        <v>-3.338767562591527E-2</v>
      </c>
    </row>
    <row r="141" spans="1:3">
      <c r="A141" s="119">
        <v>41036</v>
      </c>
      <c r="B141" s="121">
        <v>24.630889892578125</v>
      </c>
      <c r="C141" s="120">
        <f>IFERROR(yf_data[[#This Row],[Close Price]]/B140-1,0)</f>
        <v>6.095309207846622E-3</v>
      </c>
    </row>
    <row r="142" spans="1:3">
      <c r="A142" s="119">
        <v>41037</v>
      </c>
      <c r="B142" s="121">
        <v>23.826717376708984</v>
      </c>
      <c r="C142" s="120">
        <f>IFERROR(yf_data[[#This Row],[Close Price]]/B141-1,0)</f>
        <v>-3.2648942826521976E-2</v>
      </c>
    </row>
    <row r="143" spans="1:3">
      <c r="A143" s="119">
        <v>41038</v>
      </c>
      <c r="B143" s="121">
        <v>24.116886138916016</v>
      </c>
      <c r="C143" s="120">
        <f>IFERROR(yf_data[[#This Row],[Close Price]]/B142-1,0)</f>
        <v>1.2178293703633658E-2</v>
      </c>
    </row>
    <row r="144" spans="1:3">
      <c r="A144" s="119">
        <v>41039</v>
      </c>
      <c r="B144" s="121">
        <v>23.909624099731445</v>
      </c>
      <c r="C144" s="120">
        <f>IFERROR(yf_data[[#This Row],[Close Price]]/B143-1,0)</f>
        <v>-8.5940630142182783E-3</v>
      </c>
    </row>
    <row r="145" spans="1:3">
      <c r="A145" s="119">
        <v>41040</v>
      </c>
      <c r="B145" s="121">
        <v>23.710651397705082</v>
      </c>
      <c r="C145" s="120">
        <f>IFERROR(yf_data[[#This Row],[Close Price]]/B144-1,0)</f>
        <v>-8.3218665921476198E-3</v>
      </c>
    </row>
    <row r="146" spans="1:3">
      <c r="A146" s="119">
        <v>41043</v>
      </c>
      <c r="B146" s="121">
        <v>23.81428337097168</v>
      </c>
      <c r="C146" s="120">
        <f>IFERROR(yf_data[[#This Row],[Close Price]]/B145-1,0)</f>
        <v>4.3706927965980746E-3</v>
      </c>
    </row>
    <row r="147" spans="1:3">
      <c r="A147" s="119">
        <v>41044</v>
      </c>
      <c r="B147" s="121">
        <v>24.067140579223633</v>
      </c>
      <c r="C147" s="120">
        <f>IFERROR(yf_data[[#This Row],[Close Price]]/B146-1,0)</f>
        <v>1.0617880215542108E-2</v>
      </c>
    </row>
    <row r="148" spans="1:3">
      <c r="A148" s="119">
        <v>41045</v>
      </c>
      <c r="B148" s="121">
        <v>24.357309341430664</v>
      </c>
      <c r="C148" s="120">
        <f>IFERROR(yf_data[[#This Row],[Close Price]]/B147-1,0)</f>
        <v>1.2056636360761708E-2</v>
      </c>
    </row>
    <row r="149" spans="1:3">
      <c r="A149" s="119">
        <v>41046</v>
      </c>
      <c r="B149" s="121">
        <v>23.839155197143555</v>
      </c>
      <c r="C149" s="120">
        <f>IFERROR(yf_data[[#This Row],[Close Price]]/B148-1,0)</f>
        <v>-2.1273045270470581E-2</v>
      </c>
    </row>
    <row r="150" spans="1:3">
      <c r="A150" s="119">
        <v>41047</v>
      </c>
      <c r="B150" s="121">
        <v>23.055706024169918</v>
      </c>
      <c r="C150" s="120">
        <f>IFERROR(yf_data[[#This Row],[Close Price]]/B149-1,0)</f>
        <v>-3.2863965459124622E-2</v>
      </c>
    </row>
    <row r="151" spans="1:3">
      <c r="A151" s="119">
        <v>41050</v>
      </c>
      <c r="B151" s="121">
        <v>23.163488388061523</v>
      </c>
      <c r="C151" s="120">
        <f>IFERROR(yf_data[[#This Row],[Close Price]]/B150-1,0)</f>
        <v>4.6748672011438508E-3</v>
      </c>
    </row>
    <row r="152" spans="1:3">
      <c r="A152" s="119">
        <v>41051</v>
      </c>
      <c r="B152" s="121">
        <v>23.631891250610352</v>
      </c>
      <c r="C152" s="120">
        <f>IFERROR(yf_data[[#This Row],[Close Price]]/B151-1,0)</f>
        <v>2.022160283898522E-2</v>
      </c>
    </row>
    <row r="153" spans="1:3">
      <c r="A153" s="119">
        <v>41052</v>
      </c>
      <c r="B153" s="121">
        <v>23.146903991699219</v>
      </c>
      <c r="C153" s="120">
        <f>IFERROR(yf_data[[#This Row],[Close Price]]/B152-1,0)</f>
        <v>-2.0522574929275117E-2</v>
      </c>
    </row>
    <row r="154" spans="1:3">
      <c r="A154" s="119">
        <v>41053</v>
      </c>
      <c r="B154" s="121">
        <v>23.20079231262207</v>
      </c>
      <c r="C154" s="120">
        <f>IFERROR(yf_data[[#This Row],[Close Price]]/B153-1,0)</f>
        <v>2.3281005935902321E-3</v>
      </c>
    </row>
    <row r="155" spans="1:3">
      <c r="A155" s="119">
        <v>41054</v>
      </c>
      <c r="B155" s="121">
        <v>22.616317749023441</v>
      </c>
      <c r="C155" s="120">
        <f>IFERROR(yf_data[[#This Row],[Close Price]]/B154-1,0)</f>
        <v>-2.5192008778107677E-2</v>
      </c>
    </row>
    <row r="156" spans="1:3">
      <c r="A156" s="119">
        <v>41057</v>
      </c>
      <c r="B156" s="121">
        <v>22.898193359375</v>
      </c>
      <c r="C156" s="120">
        <f>IFERROR(yf_data[[#This Row],[Close Price]]/B155-1,0)</f>
        <v>1.2463373281166978E-2</v>
      </c>
    </row>
    <row r="157" spans="1:3">
      <c r="A157" s="119">
        <v>41058</v>
      </c>
      <c r="B157" s="121">
        <v>23.068143844604492</v>
      </c>
      <c r="C157" s="120">
        <f>IFERROR(yf_data[[#This Row],[Close Price]]/B156-1,0)</f>
        <v>7.4220041102024403E-3</v>
      </c>
    </row>
    <row r="158" spans="1:3">
      <c r="A158" s="119">
        <v>41059</v>
      </c>
      <c r="B158" s="121">
        <v>22.442214965820313</v>
      </c>
      <c r="C158" s="120">
        <f>IFERROR(yf_data[[#This Row],[Close Price]]/B157-1,0)</f>
        <v>-2.7133907391971634E-2</v>
      </c>
    </row>
    <row r="159" spans="1:3">
      <c r="A159" s="119">
        <v>41060</v>
      </c>
      <c r="B159" s="121">
        <v>22.442214965820313</v>
      </c>
      <c r="C159" s="120">
        <f>IFERROR(yf_data[[#This Row],[Close Price]]/B158-1,0)</f>
        <v>0</v>
      </c>
    </row>
    <row r="160" spans="1:3">
      <c r="A160" s="119">
        <v>41061</v>
      </c>
      <c r="B160" s="121">
        <v>22.045978546142575</v>
      </c>
      <c r="C160" s="120">
        <f>IFERROR(yf_data[[#This Row],[Close Price]]/B159-1,0)</f>
        <v>-1.765585171879025E-2</v>
      </c>
    </row>
    <row r="161" spans="1:3">
      <c r="A161" s="119">
        <v>41064</v>
      </c>
      <c r="B161" s="121">
        <v>21.964485168457031</v>
      </c>
      <c r="C161" s="120">
        <f>IFERROR(yf_data[[#This Row],[Close Price]]/B160-1,0)</f>
        <v>-3.6965189599080794E-3</v>
      </c>
    </row>
    <row r="162" spans="1:3">
      <c r="A162" s="119">
        <v>41065</v>
      </c>
      <c r="B162" s="121">
        <v>22.097448348999023</v>
      </c>
      <c r="C162" s="120">
        <f>IFERROR(yf_data[[#This Row],[Close Price]]/B161-1,0)</f>
        <v>6.0535532484475851E-3</v>
      </c>
    </row>
    <row r="163" spans="1:3">
      <c r="A163" s="119">
        <v>41066</v>
      </c>
      <c r="B163" s="121">
        <v>22.620718002319336</v>
      </c>
      <c r="C163" s="120">
        <f>IFERROR(yf_data[[#This Row],[Close Price]]/B162-1,0)</f>
        <v>2.3680093966325089E-2</v>
      </c>
    </row>
    <row r="164" spans="1:3">
      <c r="A164" s="119">
        <v>41067</v>
      </c>
      <c r="B164" s="121">
        <v>23.44422721862793</v>
      </c>
      <c r="C164" s="120">
        <f>IFERROR(yf_data[[#This Row],[Close Price]]/B163-1,0)</f>
        <v>3.6405087416949256E-2</v>
      </c>
    </row>
    <row r="165" spans="1:3">
      <c r="A165" s="119">
        <v>41068</v>
      </c>
      <c r="B165" s="121">
        <v>23.058204650878903</v>
      </c>
      <c r="C165" s="120">
        <f>IFERROR(yf_data[[#This Row],[Close Price]]/B164-1,0)</f>
        <v>-1.6465570144376884E-2</v>
      </c>
    </row>
    <row r="166" spans="1:3">
      <c r="A166" s="119">
        <v>41071</v>
      </c>
      <c r="B166" s="121">
        <v>22.98529052734375</v>
      </c>
      <c r="C166" s="120">
        <f>IFERROR(yf_data[[#This Row],[Close Price]]/B165-1,0)</f>
        <v>-3.1621769621328344E-3</v>
      </c>
    </row>
    <row r="167" spans="1:3">
      <c r="A167" s="119">
        <v>41072</v>
      </c>
      <c r="B167" s="121">
        <v>22.972423553466797</v>
      </c>
      <c r="C167" s="120">
        <f>IFERROR(yf_data[[#This Row],[Close Price]]/B166-1,0)</f>
        <v>-5.5979165726216529E-4</v>
      </c>
    </row>
    <row r="168" spans="1:3">
      <c r="A168" s="119">
        <v>41073</v>
      </c>
      <c r="B168" s="121">
        <v>22.809438705444336</v>
      </c>
      <c r="C168" s="120">
        <f>IFERROR(yf_data[[#This Row],[Close Price]]/B167-1,0)</f>
        <v>-7.0948042396625777E-3</v>
      </c>
    </row>
    <row r="169" spans="1:3">
      <c r="A169" s="119">
        <v>41074</v>
      </c>
      <c r="B169" s="121">
        <v>22.427711486816406</v>
      </c>
      <c r="C169" s="120">
        <f>IFERROR(yf_data[[#This Row],[Close Price]]/B168-1,0)</f>
        <v>-1.6735493738248675E-2</v>
      </c>
    </row>
    <row r="170" spans="1:3">
      <c r="A170" s="119">
        <v>41075</v>
      </c>
      <c r="B170" s="121">
        <v>22.329061508178711</v>
      </c>
      <c r="C170" s="120">
        <f>IFERROR(yf_data[[#This Row],[Close Price]]/B169-1,0)</f>
        <v>-4.3985753381785564E-3</v>
      </c>
    </row>
    <row r="171" spans="1:3">
      <c r="A171" s="119">
        <v>41078</v>
      </c>
      <c r="B171" s="121">
        <v>22.972423553466797</v>
      </c>
      <c r="C171" s="120">
        <f>IFERROR(yf_data[[#This Row],[Close Price]]/B170-1,0)</f>
        <v>2.8812766942866608E-2</v>
      </c>
    </row>
    <row r="172" spans="1:3">
      <c r="A172" s="119">
        <v>41079</v>
      </c>
      <c r="B172" s="121">
        <v>23.011024475097656</v>
      </c>
      <c r="C172" s="120">
        <f>IFERROR(yf_data[[#This Row],[Close Price]]/B171-1,0)</f>
        <v>1.680315598439952E-3</v>
      </c>
    </row>
    <row r="173" spans="1:3">
      <c r="A173" s="119">
        <v>41080</v>
      </c>
      <c r="B173" s="121">
        <v>22.805152893066406</v>
      </c>
      <c r="C173" s="120">
        <f>IFERROR(yf_data[[#This Row],[Close Price]]/B172-1,0)</f>
        <v>-8.946649996137368E-3</v>
      </c>
    </row>
    <row r="174" spans="1:3">
      <c r="A174" s="119">
        <v>41081</v>
      </c>
      <c r="B174" s="121">
        <v>23.075359344482425</v>
      </c>
      <c r="C174" s="120">
        <f>IFERROR(yf_data[[#This Row],[Close Price]]/B173-1,0)</f>
        <v>1.1848482344451794E-2</v>
      </c>
    </row>
    <row r="175" spans="1:3">
      <c r="A175" s="119">
        <v>41082</v>
      </c>
      <c r="B175" s="121">
        <v>22.080289840698239</v>
      </c>
      <c r="C175" s="120">
        <f>IFERROR(yf_data[[#This Row],[Close Price]]/B174-1,0)</f>
        <v>-4.3122600559722946E-2</v>
      </c>
    </row>
    <row r="176" spans="1:3">
      <c r="A176" s="119">
        <v>41085</v>
      </c>
      <c r="B176" s="121">
        <v>22.526357650756836</v>
      </c>
      <c r="C176" s="120">
        <f>IFERROR(yf_data[[#This Row],[Close Price]]/B175-1,0)</f>
        <v>2.0202081280491502E-2</v>
      </c>
    </row>
    <row r="177" spans="1:3">
      <c r="A177" s="119">
        <v>41086</v>
      </c>
      <c r="B177" s="121">
        <v>22.269014358520508</v>
      </c>
      <c r="C177" s="120">
        <f>IFERROR(yf_data[[#This Row],[Close Price]]/B176-1,0)</f>
        <v>-1.1424096883575929E-2</v>
      </c>
    </row>
    <row r="178" spans="1:3">
      <c r="A178" s="119">
        <v>41087</v>
      </c>
      <c r="B178" s="121">
        <v>22.83946418762207</v>
      </c>
      <c r="C178" s="120">
        <f>IFERROR(yf_data[[#This Row],[Close Price]]/B177-1,0)</f>
        <v>2.5616303439280896E-2</v>
      </c>
    </row>
    <row r="179" spans="1:3">
      <c r="A179" s="119">
        <v>41088</v>
      </c>
      <c r="B179" s="121">
        <v>22.946687698364254</v>
      </c>
      <c r="C179" s="120">
        <f>IFERROR(yf_data[[#This Row],[Close Price]]/B178-1,0)</f>
        <v>4.6946596409338515E-3</v>
      </c>
    </row>
    <row r="180" spans="1:3">
      <c r="A180" s="119">
        <v>41089</v>
      </c>
      <c r="B180" s="121">
        <v>23.967498779296875</v>
      </c>
      <c r="C180" s="120">
        <f>IFERROR(yf_data[[#This Row],[Close Price]]/B179-1,0)</f>
        <v>4.4486206216393764E-2</v>
      </c>
    </row>
    <row r="181" spans="1:3">
      <c r="A181" s="119">
        <v>41092</v>
      </c>
      <c r="B181" s="121">
        <v>24.443588256835938</v>
      </c>
      <c r="C181" s="120">
        <f>IFERROR(yf_data[[#This Row],[Close Price]]/B180-1,0)</f>
        <v>1.9863961689248422E-2</v>
      </c>
    </row>
    <row r="182" spans="1:3">
      <c r="A182" s="119">
        <v>41093</v>
      </c>
      <c r="B182" s="121">
        <v>24.383537292480469</v>
      </c>
      <c r="C182" s="120">
        <f>IFERROR(yf_data[[#This Row],[Close Price]]/B181-1,0)</f>
        <v>-2.4567164085933513E-3</v>
      </c>
    </row>
    <row r="183" spans="1:3">
      <c r="A183" s="119">
        <v>41094</v>
      </c>
      <c r="B183" s="121">
        <v>24.876787185668945</v>
      </c>
      <c r="C183" s="120">
        <f>IFERROR(yf_data[[#This Row],[Close Price]]/B182-1,0)</f>
        <v>2.0228807956448103E-2</v>
      </c>
    </row>
    <row r="184" spans="1:3">
      <c r="A184" s="119">
        <v>41095</v>
      </c>
      <c r="B184" s="121">
        <v>24.4478759765625</v>
      </c>
      <c r="C184" s="120">
        <f>IFERROR(yf_data[[#This Row],[Close Price]]/B183-1,0)</f>
        <v>-1.7241422933968464E-2</v>
      </c>
    </row>
    <row r="185" spans="1:3">
      <c r="A185" s="119">
        <v>41096</v>
      </c>
      <c r="B185" s="121">
        <v>24.079013824462891</v>
      </c>
      <c r="C185" s="120">
        <f>IFERROR(yf_data[[#This Row],[Close Price]]/B184-1,0)</f>
        <v>-1.5087697289254409E-2</v>
      </c>
    </row>
    <row r="186" spans="1:3">
      <c r="A186" s="119">
        <v>41099</v>
      </c>
      <c r="B186" s="121">
        <v>24.460742950439453</v>
      </c>
      <c r="C186" s="120">
        <f>IFERROR(yf_data[[#This Row],[Close Price]]/B185-1,0)</f>
        <v>1.5853187707743466E-2</v>
      </c>
    </row>
    <row r="187" spans="1:3">
      <c r="A187" s="119">
        <v>41100</v>
      </c>
      <c r="B187" s="121">
        <v>24.220550537109375</v>
      </c>
      <c r="C187" s="120">
        <f>IFERROR(yf_data[[#This Row],[Close Price]]/B186-1,0)</f>
        <v>-9.8195060475774198E-3</v>
      </c>
    </row>
    <row r="188" spans="1:3">
      <c r="A188" s="119">
        <v>41101</v>
      </c>
      <c r="B188" s="121">
        <v>23.092517852783203</v>
      </c>
      <c r="C188" s="120">
        <f>IFERROR(yf_data[[#This Row],[Close Price]]/B187-1,0)</f>
        <v>-4.6573370931344615E-2</v>
      </c>
    </row>
    <row r="189" spans="1:3">
      <c r="A189" s="119">
        <v>41102</v>
      </c>
      <c r="B189" s="121">
        <v>22.981002807617188</v>
      </c>
      <c r="C189" s="120">
        <f>IFERROR(yf_data[[#This Row],[Close Price]]/B188-1,0)</f>
        <v>-4.829055275692884E-3</v>
      </c>
    </row>
    <row r="190" spans="1:3">
      <c r="A190" s="119">
        <v>41103</v>
      </c>
      <c r="B190" s="121">
        <v>23.345577239990231</v>
      </c>
      <c r="C190" s="120">
        <f>IFERROR(yf_data[[#This Row],[Close Price]]/B189-1,0)</f>
        <v>1.5864165520758089E-2</v>
      </c>
    </row>
    <row r="191" spans="1:3">
      <c r="A191" s="119">
        <v>41106</v>
      </c>
      <c r="B191" s="121">
        <v>23.615789413452148</v>
      </c>
      <c r="C191" s="120">
        <f>IFERROR(yf_data[[#This Row],[Close Price]]/B190-1,0)</f>
        <v>1.1574448157103401E-2</v>
      </c>
    </row>
    <row r="192" spans="1:3">
      <c r="A192" s="119">
        <v>41107</v>
      </c>
      <c r="B192" s="121">
        <v>23.212614059448239</v>
      </c>
      <c r="C192" s="120">
        <f>IFERROR(yf_data[[#This Row],[Close Price]]/B191-1,0)</f>
        <v>-1.7072279352823627E-2</v>
      </c>
    </row>
    <row r="193" spans="1:3">
      <c r="A193" s="119">
        <v>41108</v>
      </c>
      <c r="B193" s="121">
        <v>23.478538513183594</v>
      </c>
      <c r="C193" s="120">
        <f>IFERROR(yf_data[[#This Row],[Close Price]]/B192-1,0)</f>
        <v>1.1456032183808196E-2</v>
      </c>
    </row>
    <row r="194" spans="1:3">
      <c r="A194" s="119">
        <v>41109</v>
      </c>
      <c r="B194" s="121">
        <v>23.710149765014648</v>
      </c>
      <c r="C194" s="120">
        <f>IFERROR(yf_data[[#This Row],[Close Price]]/B193-1,0)</f>
        <v>9.864807032218037E-3</v>
      </c>
    </row>
    <row r="195" spans="1:3">
      <c r="A195" s="119">
        <v>41110</v>
      </c>
      <c r="B195" s="121">
        <v>24.628013610839844</v>
      </c>
      <c r="C195" s="120">
        <f>IFERROR(yf_data[[#This Row],[Close Price]]/B194-1,0)</f>
        <v>3.8711853569965315E-2</v>
      </c>
    </row>
    <row r="196" spans="1:3">
      <c r="A196" s="119">
        <v>41113</v>
      </c>
      <c r="B196" s="121">
        <v>23.958915710449219</v>
      </c>
      <c r="C196" s="120">
        <f>IFERROR(yf_data[[#This Row],[Close Price]]/B195-1,0)</f>
        <v>-2.7168163497202524E-2</v>
      </c>
    </row>
    <row r="197" spans="1:3">
      <c r="A197" s="119">
        <v>41114</v>
      </c>
      <c r="B197" s="121">
        <v>24.400693893432617</v>
      </c>
      <c r="C197" s="120">
        <f>IFERROR(yf_data[[#This Row],[Close Price]]/B196-1,0)</f>
        <v>1.8438988989419203E-2</v>
      </c>
    </row>
    <row r="198" spans="1:3">
      <c r="A198" s="119">
        <v>41115</v>
      </c>
      <c r="B198" s="121">
        <v>23.928892135620117</v>
      </c>
      <c r="C198" s="120">
        <f>IFERROR(yf_data[[#This Row],[Close Price]]/B197-1,0)</f>
        <v>-1.9335587744883087E-2</v>
      </c>
    </row>
    <row r="199" spans="1:3">
      <c r="A199" s="119">
        <v>41116</v>
      </c>
      <c r="B199" s="121">
        <v>24.199106216430664</v>
      </c>
      <c r="C199" s="120">
        <f>IFERROR(yf_data[[#This Row],[Close Price]]/B198-1,0)</f>
        <v>1.1292377402140952E-2</v>
      </c>
    </row>
    <row r="200" spans="1:3">
      <c r="A200" s="119">
        <v>41117</v>
      </c>
      <c r="B200" s="121">
        <v>25.567329406738281</v>
      </c>
      <c r="C200" s="120">
        <f>IFERROR(yf_data[[#This Row],[Close Price]]/B199-1,0)</f>
        <v>5.654023657198648E-2</v>
      </c>
    </row>
    <row r="201" spans="1:3">
      <c r="A201" s="119">
        <v>41120</v>
      </c>
      <c r="B201" s="121">
        <v>25.490127563476559</v>
      </c>
      <c r="C201" s="120">
        <f>IFERROR(yf_data[[#This Row],[Close Price]]/B200-1,0)</f>
        <v>-3.0195505378585175E-3</v>
      </c>
    </row>
    <row r="202" spans="1:3">
      <c r="A202" s="119">
        <v>41121</v>
      </c>
      <c r="B202" s="121">
        <v>25.099821090698239</v>
      </c>
      <c r="C202" s="120">
        <f>IFERROR(yf_data[[#This Row],[Close Price]]/B201-1,0)</f>
        <v>-1.5312064320053498E-2</v>
      </c>
    </row>
    <row r="203" spans="1:3">
      <c r="A203" s="119">
        <v>41122</v>
      </c>
      <c r="B203" s="121">
        <v>26.596714019775391</v>
      </c>
      <c r="C203" s="120">
        <f>IFERROR(yf_data[[#This Row],[Close Price]]/B202-1,0)</f>
        <v>5.9637593577584802E-2</v>
      </c>
    </row>
    <row r="204" spans="1:3">
      <c r="A204" s="119">
        <v>41123</v>
      </c>
      <c r="B204" s="121">
        <v>25.974794387817383</v>
      </c>
      <c r="C204" s="120">
        <f>IFERROR(yf_data[[#This Row],[Close Price]]/B203-1,0)</f>
        <v>-2.3383325906184971E-2</v>
      </c>
    </row>
    <row r="205" spans="1:3">
      <c r="A205" s="119">
        <v>41124</v>
      </c>
      <c r="B205" s="121">
        <v>26.76399040222168</v>
      </c>
      <c r="C205" s="120">
        <f>IFERROR(yf_data[[#This Row],[Close Price]]/B204-1,0)</f>
        <v>3.0383147701621205E-2</v>
      </c>
    </row>
    <row r="206" spans="1:3">
      <c r="A206" s="119">
        <v>41127</v>
      </c>
      <c r="B206" s="121">
        <v>26.420862197875977</v>
      </c>
      <c r="C206" s="120">
        <f>IFERROR(yf_data[[#This Row],[Close Price]]/B205-1,0)</f>
        <v>-1.2820517388812847E-2</v>
      </c>
    </row>
    <row r="207" spans="1:3">
      <c r="A207" s="119">
        <v>41128</v>
      </c>
      <c r="B207" s="121">
        <v>26.335079193115231</v>
      </c>
      <c r="C207" s="120">
        <f>IFERROR(yf_data[[#This Row],[Close Price]]/B206-1,0)</f>
        <v>-3.2467905141885245E-3</v>
      </c>
    </row>
    <row r="208" spans="1:3">
      <c r="A208" s="119">
        <v>41129</v>
      </c>
      <c r="B208" s="121">
        <v>25.949058532714844</v>
      </c>
      <c r="C208" s="120">
        <f>IFERROR(yf_data[[#This Row],[Close Price]]/B207-1,0)</f>
        <v>-1.4658040614561885E-2</v>
      </c>
    </row>
    <row r="209" spans="1:3">
      <c r="A209" s="119">
        <v>41130</v>
      </c>
      <c r="B209" s="121">
        <v>26.262165069580082</v>
      </c>
      <c r="C209" s="120">
        <f>IFERROR(yf_data[[#This Row],[Close Price]]/B208-1,0)</f>
        <v>1.206620026196692E-2</v>
      </c>
    </row>
    <row r="210" spans="1:3">
      <c r="A210" s="119">
        <v>41131</v>
      </c>
      <c r="B210" s="121">
        <v>26.330789566040039</v>
      </c>
      <c r="C210" s="120">
        <f>IFERROR(yf_data[[#This Row],[Close Price]]/B209-1,0)</f>
        <v>2.6130555602761341E-3</v>
      </c>
    </row>
    <row r="211" spans="1:3">
      <c r="A211" s="119">
        <v>41134</v>
      </c>
      <c r="B211" s="121">
        <v>26.047708511352539</v>
      </c>
      <c r="C211" s="120">
        <f>IFERROR(yf_data[[#This Row],[Close Price]]/B210-1,0)</f>
        <v>-1.0750951997755553E-2</v>
      </c>
    </row>
    <row r="212" spans="1:3">
      <c r="A212" s="119">
        <v>41135</v>
      </c>
      <c r="B212" s="121">
        <v>25.966217041015625</v>
      </c>
      <c r="C212" s="120">
        <f>IFERROR(yf_data[[#This Row],[Close Price]]/B211-1,0)</f>
        <v>-3.1285466167358944E-3</v>
      </c>
    </row>
    <row r="213" spans="1:3">
      <c r="A213" s="119">
        <v>41136</v>
      </c>
      <c r="B213" s="121">
        <v>26.082021713256836</v>
      </c>
      <c r="C213" s="120">
        <f>IFERROR(yf_data[[#This Row],[Close Price]]/B212-1,0)</f>
        <v>4.4598206992680911E-3</v>
      </c>
    </row>
    <row r="214" spans="1:3">
      <c r="A214" s="119">
        <v>41137</v>
      </c>
      <c r="B214" s="121">
        <v>25.82896614074707</v>
      </c>
      <c r="C214" s="120">
        <f>IFERROR(yf_data[[#This Row],[Close Price]]/B213-1,0)</f>
        <v>-9.7022989740531695E-3</v>
      </c>
    </row>
    <row r="215" spans="1:3">
      <c r="A215" s="119">
        <v>41138</v>
      </c>
      <c r="B215" s="121">
        <v>25.949058532714844</v>
      </c>
      <c r="C215" s="120">
        <f>IFERROR(yf_data[[#This Row],[Close Price]]/B214-1,0)</f>
        <v>4.6495237677484091E-3</v>
      </c>
    </row>
    <row r="216" spans="1:3">
      <c r="A216" s="119">
        <v>41141</v>
      </c>
      <c r="B216" s="121">
        <v>26.00910758972168</v>
      </c>
      <c r="C216" s="120">
        <f>IFERROR(yf_data[[#This Row],[Close Price]]/B215-1,0)</f>
        <v>2.3141131278858751E-3</v>
      </c>
    </row>
    <row r="217" spans="1:3">
      <c r="A217" s="119">
        <v>41142</v>
      </c>
      <c r="B217" s="121">
        <v>26.347946166992188</v>
      </c>
      <c r="C217" s="120">
        <f>IFERROR(yf_data[[#This Row],[Close Price]]/B216-1,0)</f>
        <v>1.3027689477681736E-2</v>
      </c>
    </row>
    <row r="218" spans="1:3">
      <c r="A218" s="119">
        <v>41143</v>
      </c>
      <c r="B218" s="121">
        <v>26.283611297607425</v>
      </c>
      <c r="C218" s="120">
        <f>IFERROR(yf_data[[#This Row],[Close Price]]/B217-1,0)</f>
        <v>-2.4417413401792709E-3</v>
      </c>
    </row>
    <row r="219" spans="1:3">
      <c r="A219" s="119">
        <v>41144</v>
      </c>
      <c r="B219" s="121">
        <v>25.665981292724609</v>
      </c>
      <c r="C219" s="120">
        <f>IFERROR(yf_data[[#This Row],[Close Price]]/B218-1,0)</f>
        <v>-2.3498673674992254E-2</v>
      </c>
    </row>
    <row r="220" spans="1:3">
      <c r="A220" s="119">
        <v>41145</v>
      </c>
      <c r="B220" s="121">
        <v>25.391475677490231</v>
      </c>
      <c r="C220" s="120">
        <f>IFERROR(yf_data[[#This Row],[Close Price]]/B219-1,0)</f>
        <v>-1.0695309565747713E-2</v>
      </c>
    </row>
    <row r="221" spans="1:3">
      <c r="A221" s="119">
        <v>41148</v>
      </c>
      <c r="B221" s="121">
        <v>25.417211532592773</v>
      </c>
      <c r="C221" s="120">
        <f>IFERROR(yf_data[[#This Row],[Close Price]]/B220-1,0)</f>
        <v>1.0135627967995386E-3</v>
      </c>
    </row>
    <row r="222" spans="1:3">
      <c r="A222" s="119">
        <v>41149</v>
      </c>
      <c r="B222" s="121">
        <v>25.541593551635746</v>
      </c>
      <c r="C222" s="120">
        <f>IFERROR(yf_data[[#This Row],[Close Price]]/B221-1,0)</f>
        <v>4.8936138759154701E-3</v>
      </c>
    </row>
    <row r="223" spans="1:3">
      <c r="A223" s="119">
        <v>41150</v>
      </c>
      <c r="B223" s="121">
        <v>26.030553817749023</v>
      </c>
      <c r="C223" s="120">
        <f>IFERROR(yf_data[[#This Row],[Close Price]]/B222-1,0)</f>
        <v>1.9143686752542743E-2</v>
      </c>
    </row>
    <row r="224" spans="1:3">
      <c r="A224" s="119">
        <v>41151</v>
      </c>
      <c r="B224" s="121">
        <v>25.889011383056641</v>
      </c>
      <c r="C224" s="120">
        <f>IFERROR(yf_data[[#This Row],[Close Price]]/B223-1,0)</f>
        <v>-5.4375498763253871E-3</v>
      </c>
    </row>
    <row r="225" spans="1:3">
      <c r="A225" s="119">
        <v>41152</v>
      </c>
      <c r="B225" s="121">
        <v>26.00910758972168</v>
      </c>
      <c r="C225" s="120">
        <f>IFERROR(yf_data[[#This Row],[Close Price]]/B224-1,0)</f>
        <v>4.6388873212686033E-3</v>
      </c>
    </row>
    <row r="226" spans="1:3">
      <c r="A226" s="119">
        <v>41155</v>
      </c>
      <c r="B226" s="121">
        <v>26.429437637329102</v>
      </c>
      <c r="C226" s="120">
        <f>IFERROR(yf_data[[#This Row],[Close Price]]/B225-1,0)</f>
        <v>1.616087926728893E-2</v>
      </c>
    </row>
    <row r="227" spans="1:3">
      <c r="A227" s="119">
        <v>41156</v>
      </c>
      <c r="B227" s="121">
        <v>25.721736907958984</v>
      </c>
      <c r="C227" s="120">
        <f>IFERROR(yf_data[[#This Row],[Close Price]]/B226-1,0)</f>
        <v>-2.6776987807359043E-2</v>
      </c>
    </row>
    <row r="228" spans="1:3">
      <c r="A228" s="119">
        <v>41157</v>
      </c>
      <c r="B228" s="121">
        <v>25.67884635925293</v>
      </c>
      <c r="C228" s="120">
        <f>IFERROR(yf_data[[#This Row],[Close Price]]/B227-1,0)</f>
        <v>-1.6674825988436393E-3</v>
      </c>
    </row>
    <row r="229" spans="1:3">
      <c r="A229" s="119">
        <v>41158</v>
      </c>
      <c r="B229" s="121">
        <v>26.167804718017575</v>
      </c>
      <c r="C229" s="120">
        <f>IFERROR(yf_data[[#This Row],[Close Price]]/B228-1,0)</f>
        <v>1.9041289936627459E-2</v>
      </c>
    </row>
    <row r="230" spans="1:3">
      <c r="A230" s="119">
        <v>41159</v>
      </c>
      <c r="B230" s="121">
        <v>25.949058532714844</v>
      </c>
      <c r="C230" s="120">
        <f>IFERROR(yf_data[[#This Row],[Close Price]]/B229-1,0)</f>
        <v>-8.359363258015895E-3</v>
      </c>
    </row>
    <row r="231" spans="1:3">
      <c r="A231" s="119">
        <v>41162</v>
      </c>
      <c r="B231" s="121">
        <v>25.35716438293457</v>
      </c>
      <c r="C231" s="120">
        <f>IFERROR(yf_data[[#This Row],[Close Price]]/B230-1,0)</f>
        <v>-2.2809850655431396E-2</v>
      </c>
    </row>
    <row r="232" spans="1:3">
      <c r="A232" s="119">
        <v>41163</v>
      </c>
      <c r="B232" s="121">
        <v>25.45152473449707</v>
      </c>
      <c r="C232" s="120">
        <f>IFERROR(yf_data[[#This Row],[Close Price]]/B231-1,0)</f>
        <v>3.7212501420704758E-3</v>
      </c>
    </row>
    <row r="233" spans="1:3">
      <c r="A233" s="119">
        <v>41164</v>
      </c>
      <c r="B233" s="121">
        <v>24.018962860107425</v>
      </c>
      <c r="C233" s="120">
        <f>IFERROR(yf_data[[#This Row],[Close Price]]/B232-1,0)</f>
        <v>-5.628589600559164E-2</v>
      </c>
    </row>
    <row r="234" spans="1:3">
      <c r="A234" s="119">
        <v>41165</v>
      </c>
      <c r="B234" s="121">
        <v>21.569887161254883</v>
      </c>
      <c r="C234" s="120">
        <f>IFERROR(yf_data[[#This Row],[Close Price]]/B233-1,0)</f>
        <v>-0.10196425687139721</v>
      </c>
    </row>
    <row r="235" spans="1:3">
      <c r="A235" s="119">
        <v>41166</v>
      </c>
      <c r="B235" s="121">
        <v>21.70713996887207</v>
      </c>
      <c r="C235" s="120">
        <f>IFERROR(yf_data[[#This Row],[Close Price]]/B234-1,0)</f>
        <v>6.363167623042898E-3</v>
      </c>
    </row>
    <row r="236" spans="1:3">
      <c r="A236" s="119">
        <v>41169</v>
      </c>
      <c r="B236" s="121">
        <v>22.045976638793945</v>
      </c>
      <c r="C236" s="120">
        <f>IFERROR(yf_data[[#This Row],[Close Price]]/B235-1,0)</f>
        <v>1.5609457091434686E-2</v>
      </c>
    </row>
    <row r="237" spans="1:3">
      <c r="A237" s="119">
        <v>41170</v>
      </c>
      <c r="B237" s="121">
        <v>22.080289840698239</v>
      </c>
      <c r="C237" s="120">
        <f>IFERROR(yf_data[[#This Row],[Close Price]]/B236-1,0)</f>
        <v>1.5564382774457819E-3</v>
      </c>
    </row>
    <row r="238" spans="1:3">
      <c r="A238" s="119">
        <v>41171</v>
      </c>
      <c r="B238" s="121">
        <v>21.99022102355957</v>
      </c>
      <c r="C238" s="120">
        <f>IFERROR(yf_data[[#This Row],[Close Price]]/B237-1,0)</f>
        <v>-4.0791501283943266E-3</v>
      </c>
    </row>
    <row r="239" spans="1:3">
      <c r="A239" s="119">
        <v>41172</v>
      </c>
      <c r="B239" s="121">
        <v>22.247566223144531</v>
      </c>
      <c r="C239" s="120">
        <f>IFERROR(yf_data[[#This Row],[Close Price]]/B238-1,0)</f>
        <v>1.1702710914512915E-2</v>
      </c>
    </row>
    <row r="240" spans="1:3">
      <c r="A240" s="119">
        <v>41173</v>
      </c>
      <c r="B240" s="121">
        <v>22.045976638793945</v>
      </c>
      <c r="C240" s="120">
        <f>IFERROR(yf_data[[#This Row],[Close Price]]/B239-1,0)</f>
        <v>-9.0611971812389891E-3</v>
      </c>
    </row>
    <row r="241" spans="1:3">
      <c r="A241" s="119">
        <v>41176</v>
      </c>
      <c r="B241" s="121">
        <v>21.445503234863281</v>
      </c>
      <c r="C241" s="120">
        <f>IFERROR(yf_data[[#This Row],[Close Price]]/B240-1,0)</f>
        <v>-2.7237323787870693E-2</v>
      </c>
    </row>
    <row r="242" spans="1:3">
      <c r="A242" s="119">
        <v>41177</v>
      </c>
      <c r="B242" s="121">
        <v>21.61277961730957</v>
      </c>
      <c r="C242" s="120">
        <f>IFERROR(yf_data[[#This Row],[Close Price]]/B241-1,0)</f>
        <v>7.8000679496461611E-3</v>
      </c>
    </row>
    <row r="243" spans="1:3">
      <c r="A243" s="119">
        <v>41178</v>
      </c>
      <c r="B243" s="121">
        <v>20.973703384399418</v>
      </c>
      <c r="C243" s="120">
        <f>IFERROR(yf_data[[#This Row],[Close Price]]/B242-1,0)</f>
        <v>-2.9569367949244252E-2</v>
      </c>
    </row>
    <row r="244" spans="1:3">
      <c r="A244" s="119">
        <v>41179</v>
      </c>
      <c r="B244" s="121">
        <v>21.31683349609375</v>
      </c>
      <c r="C244" s="120">
        <f>IFERROR(yf_data[[#This Row],[Close Price]]/B243-1,0)</f>
        <v>1.6360015463437794E-2</v>
      </c>
    </row>
    <row r="245" spans="1:3">
      <c r="A245" s="119">
        <v>41180</v>
      </c>
      <c r="B245" s="121">
        <v>21.158134460449219</v>
      </c>
      <c r="C245" s="120">
        <f>IFERROR(yf_data[[#This Row],[Close Price]]/B244-1,0)</f>
        <v>-7.4447753074401435E-3</v>
      </c>
    </row>
    <row r="246" spans="1:3">
      <c r="A246" s="119">
        <v>41183</v>
      </c>
      <c r="B246" s="121">
        <v>21.372591018676761</v>
      </c>
      <c r="C246" s="120">
        <f>IFERROR(yf_data[[#This Row],[Close Price]]/B245-1,0)</f>
        <v>1.0135891641506634E-2</v>
      </c>
    </row>
    <row r="247" spans="1:3">
      <c r="A247" s="119">
        <v>41184</v>
      </c>
      <c r="B247" s="121">
        <v>21.930170059204102</v>
      </c>
      <c r="C247" s="120">
        <f>IFERROR(yf_data[[#This Row],[Close Price]]/B246-1,0)</f>
        <v>2.6088509345455257E-2</v>
      </c>
    </row>
    <row r="248" spans="1:3">
      <c r="A248" s="119">
        <v>41185</v>
      </c>
      <c r="B248" s="121">
        <v>21.985929489135746</v>
      </c>
      <c r="C248" s="120">
        <f>IFERROR(yf_data[[#This Row],[Close Price]]/B247-1,0)</f>
        <v>2.5425899471418489E-3</v>
      </c>
    </row>
    <row r="249" spans="1:3">
      <c r="A249" s="119">
        <v>41186</v>
      </c>
      <c r="B249" s="121">
        <v>22.217540740966797</v>
      </c>
      <c r="C249" s="120">
        <f>IFERROR(yf_data[[#This Row],[Close Price]]/B248-1,0)</f>
        <v>1.0534521724246515E-2</v>
      </c>
    </row>
    <row r="250" spans="1:3">
      <c r="A250" s="119">
        <v>41187</v>
      </c>
      <c r="B250" s="121">
        <v>22.715076446533203</v>
      </c>
      <c r="C250" s="120">
        <f>IFERROR(yf_data[[#This Row],[Close Price]]/B249-1,0)</f>
        <v>2.2393824382597183E-2</v>
      </c>
    </row>
    <row r="251" spans="1:3">
      <c r="A251" s="119">
        <v>41190</v>
      </c>
      <c r="B251" s="121">
        <v>22.517782211303711</v>
      </c>
      <c r="C251" s="120">
        <f>IFERROR(yf_data[[#This Row],[Close Price]]/B250-1,0)</f>
        <v>-8.6856073627523678E-3</v>
      </c>
    </row>
    <row r="252" spans="1:3">
      <c r="A252" s="119">
        <v>41191</v>
      </c>
      <c r="B252" s="121">
        <v>22.389106750488281</v>
      </c>
      <c r="C252" s="120">
        <f>IFERROR(yf_data[[#This Row],[Close Price]]/B251-1,0)</f>
        <v>-5.7143931674956683E-3</v>
      </c>
    </row>
    <row r="253" spans="1:3">
      <c r="A253" s="119">
        <v>41192</v>
      </c>
      <c r="B253" s="121">
        <v>23.572900772094727</v>
      </c>
      <c r="C253" s="120">
        <f>IFERROR(yf_data[[#This Row],[Close Price]]/B252-1,0)</f>
        <v>5.2873660159784119E-2</v>
      </c>
    </row>
    <row r="254" spans="1:3">
      <c r="A254" s="119">
        <v>41193</v>
      </c>
      <c r="B254" s="121">
        <v>23.31126594543457</v>
      </c>
      <c r="C254" s="120">
        <f>IFERROR(yf_data[[#This Row],[Close Price]]/B253-1,0)</f>
        <v>-1.1098966104751806E-2</v>
      </c>
    </row>
    <row r="255" spans="1:3">
      <c r="A255" s="119">
        <v>41194</v>
      </c>
      <c r="B255" s="121">
        <v>22.59498405456543</v>
      </c>
      <c r="C255" s="120">
        <f>IFERROR(yf_data[[#This Row],[Close Price]]/B254-1,0)</f>
        <v>-3.0726855098550443E-2</v>
      </c>
    </row>
    <row r="256" spans="1:3">
      <c r="A256" s="119">
        <v>41197</v>
      </c>
      <c r="B256" s="121">
        <v>22.848041534423828</v>
      </c>
      <c r="C256" s="120">
        <f>IFERROR(yf_data[[#This Row],[Close Price]]/B255-1,0)</f>
        <v>1.1199719338030212E-2</v>
      </c>
    </row>
    <row r="257" spans="1:3">
      <c r="A257" s="119">
        <v>41198</v>
      </c>
      <c r="B257" s="121">
        <v>22.860906600952148</v>
      </c>
      <c r="C257" s="120">
        <f>IFERROR(yf_data[[#This Row],[Close Price]]/B256-1,0)</f>
        <v>5.6307086578688548E-4</v>
      </c>
    </row>
    <row r="258" spans="1:3">
      <c r="A258" s="119">
        <v>41199</v>
      </c>
      <c r="B258" s="121">
        <v>23.161142349243164</v>
      </c>
      <c r="C258" s="120">
        <f>IFERROR(yf_data[[#This Row],[Close Price]]/B257-1,0)</f>
        <v>1.3133151433220469E-2</v>
      </c>
    </row>
    <row r="259" spans="1:3">
      <c r="A259" s="119">
        <v>41200</v>
      </c>
      <c r="B259" s="121">
        <v>23.156858444213867</v>
      </c>
      <c r="C259" s="120">
        <f>IFERROR(yf_data[[#This Row],[Close Price]]/B258-1,0)</f>
        <v>-1.8496086957631164E-4</v>
      </c>
    </row>
    <row r="260" spans="1:3">
      <c r="A260" s="119">
        <v>41201</v>
      </c>
      <c r="B260" s="121">
        <v>22.98529052734375</v>
      </c>
      <c r="C260" s="120">
        <f>IFERROR(yf_data[[#This Row],[Close Price]]/B259-1,0)</f>
        <v>-7.4089461350482777E-3</v>
      </c>
    </row>
    <row r="261" spans="1:3">
      <c r="A261" s="119">
        <v>41204</v>
      </c>
      <c r="B261" s="121">
        <v>22.779415130615231</v>
      </c>
      <c r="C261" s="120">
        <f>IFERROR(yf_data[[#This Row],[Close Price]]/B260-1,0)</f>
        <v>-8.9568324787370202E-3</v>
      </c>
    </row>
    <row r="262" spans="1:3">
      <c r="A262" s="119">
        <v>41205</v>
      </c>
      <c r="B262" s="121">
        <v>22.191806793212891</v>
      </c>
      <c r="C262" s="120">
        <f>IFERROR(yf_data[[#This Row],[Close Price]]/B261-1,0)</f>
        <v>-2.5795584918798076E-2</v>
      </c>
    </row>
    <row r="263" spans="1:3">
      <c r="A263" s="119">
        <v>41206</v>
      </c>
      <c r="B263" s="121">
        <v>22.818017959594727</v>
      </c>
      <c r="C263" s="120">
        <f>IFERROR(yf_data[[#This Row],[Close Price]]/B262-1,0)</f>
        <v>2.8218124473459172E-2</v>
      </c>
    </row>
    <row r="264" spans="1:3">
      <c r="A264" s="119">
        <v>41207</v>
      </c>
      <c r="B264" s="121">
        <v>22.942401885986328</v>
      </c>
      <c r="C264" s="120">
        <f>IFERROR(yf_data[[#This Row],[Close Price]]/B263-1,0)</f>
        <v>5.4511275524393721E-3</v>
      </c>
    </row>
    <row r="265" spans="1:3">
      <c r="A265" s="119">
        <v>41208</v>
      </c>
      <c r="B265" s="121">
        <v>23.264081954956055</v>
      </c>
      <c r="C265" s="120">
        <f>IFERROR(yf_data[[#This Row],[Close Price]]/B264-1,0)</f>
        <v>1.4021202774161745E-2</v>
      </c>
    </row>
    <row r="266" spans="1:3">
      <c r="A266" s="119">
        <v>41211</v>
      </c>
      <c r="B266" s="121">
        <v>23.268373489379883</v>
      </c>
      <c r="C266" s="120">
        <f>IFERROR(yf_data[[#This Row],[Close Price]]/B265-1,0)</f>
        <v>1.8447039655966613E-4</v>
      </c>
    </row>
    <row r="267" spans="1:3">
      <c r="A267" s="119">
        <v>41212</v>
      </c>
      <c r="B267" s="121">
        <v>23.508560180664063</v>
      </c>
      <c r="C267" s="120">
        <f>IFERROR(yf_data[[#This Row],[Close Price]]/B266-1,0)</f>
        <v>1.0322452980815688E-2</v>
      </c>
    </row>
    <row r="268" spans="1:3">
      <c r="A268" s="119">
        <v>41213</v>
      </c>
      <c r="B268" s="121">
        <v>23.512851715087891</v>
      </c>
      <c r="C268" s="120">
        <f>IFERROR(yf_data[[#This Row],[Close Price]]/B267-1,0)</f>
        <v>1.8255198918382121E-4</v>
      </c>
    </row>
    <row r="269" spans="1:3">
      <c r="A269" s="119">
        <v>41214</v>
      </c>
      <c r="B269" s="121">
        <v>23.590055465698239</v>
      </c>
      <c r="C269" s="120">
        <f>IFERROR(yf_data[[#This Row],[Close Price]]/B268-1,0)</f>
        <v>3.2834703142710087E-3</v>
      </c>
    </row>
    <row r="270" spans="1:3">
      <c r="A270" s="119">
        <v>41215</v>
      </c>
      <c r="B270" s="121">
        <v>23.547164916992188</v>
      </c>
      <c r="C270" s="120">
        <f>IFERROR(yf_data[[#This Row],[Close Price]]/B269-1,0)</f>
        <v>-1.818162266231993E-3</v>
      </c>
    </row>
    <row r="271" spans="1:3">
      <c r="A271" s="119">
        <v>41218</v>
      </c>
      <c r="B271" s="121">
        <v>23.349863052368164</v>
      </c>
      <c r="C271" s="120">
        <f>IFERROR(yf_data[[#This Row],[Close Price]]/B270-1,0)</f>
        <v>-8.3790072104028557E-3</v>
      </c>
    </row>
    <row r="272" spans="1:3">
      <c r="A272" s="119">
        <v>41219</v>
      </c>
      <c r="B272" s="121">
        <v>23.534297943115231</v>
      </c>
      <c r="C272" s="120">
        <f>IFERROR(yf_data[[#This Row],[Close Price]]/B271-1,0)</f>
        <v>7.8987568506685424E-3</v>
      </c>
    </row>
    <row r="273" spans="1:3">
      <c r="A273" s="119">
        <v>41220</v>
      </c>
      <c r="B273" s="121">
        <v>23.358442306518555</v>
      </c>
      <c r="C273" s="120">
        <f>IFERROR(yf_data[[#This Row],[Close Price]]/B272-1,0)</f>
        <v>-7.4723128355788093E-3</v>
      </c>
    </row>
    <row r="274" spans="1:3">
      <c r="A274" s="119">
        <v>41221</v>
      </c>
      <c r="B274" s="121">
        <v>22.389106750488281</v>
      </c>
      <c r="C274" s="120">
        <f>IFERROR(yf_data[[#This Row],[Close Price]]/B273-1,0)</f>
        <v>-4.1498296132519319E-2</v>
      </c>
    </row>
    <row r="275" spans="1:3">
      <c r="A275" s="119">
        <v>41222</v>
      </c>
      <c r="B275" s="121">
        <v>22.577827453613281</v>
      </c>
      <c r="C275" s="120">
        <f>IFERROR(yf_data[[#This Row],[Close Price]]/B274-1,0)</f>
        <v>8.4291305244181824E-3</v>
      </c>
    </row>
    <row r="276" spans="1:3">
      <c r="A276" s="119">
        <v>41225</v>
      </c>
      <c r="B276" s="121">
        <v>22.401975631713867</v>
      </c>
      <c r="C276" s="120">
        <f>IFERROR(yf_data[[#This Row],[Close Price]]/B275-1,0)</f>
        <v>-7.7886954473678216E-3</v>
      </c>
    </row>
    <row r="277" spans="1:3">
      <c r="A277" s="119">
        <v>41226</v>
      </c>
      <c r="B277" s="121">
        <v>22.462020874023441</v>
      </c>
      <c r="C277" s="120">
        <f>IFERROR(yf_data[[#This Row],[Close Price]]/B276-1,0)</f>
        <v>2.6803547730214206E-3</v>
      </c>
    </row>
    <row r="278" spans="1:3">
      <c r="A278" s="119">
        <v>41227</v>
      </c>
      <c r="B278" s="121">
        <v>22.174650192260746</v>
      </c>
      <c r="C278" s="120">
        <f>IFERROR(yf_data[[#This Row],[Close Price]]/B277-1,0)</f>
        <v>-1.2793625443337953E-2</v>
      </c>
    </row>
    <row r="279" spans="1:3">
      <c r="A279" s="119">
        <v>41228</v>
      </c>
      <c r="B279" s="121">
        <v>21.522708892822266</v>
      </c>
      <c r="C279" s="120">
        <f>IFERROR(yf_data[[#This Row],[Close Price]]/B278-1,0)</f>
        <v>-2.940029690596957E-2</v>
      </c>
    </row>
    <row r="280" spans="1:3">
      <c r="A280" s="119">
        <v>41229</v>
      </c>
      <c r="B280" s="121">
        <v>21.591331481933594</v>
      </c>
      <c r="C280" s="120">
        <f>IFERROR(yf_data[[#This Row],[Close Price]]/B279-1,0)</f>
        <v>3.188380675176683E-3</v>
      </c>
    </row>
    <row r="281" spans="1:3">
      <c r="A281" s="119">
        <v>41232</v>
      </c>
      <c r="B281" s="121">
        <v>21.94304084777832</v>
      </c>
      <c r="C281" s="120">
        <f>IFERROR(yf_data[[#This Row],[Close Price]]/B280-1,0)</f>
        <v>1.6289378269191745E-2</v>
      </c>
    </row>
    <row r="282" spans="1:3">
      <c r="A282" s="119">
        <v>41233</v>
      </c>
      <c r="B282" s="121">
        <v>21.861549377441406</v>
      </c>
      <c r="C282" s="120">
        <f>IFERROR(yf_data[[#This Row],[Close Price]]/B281-1,0)</f>
        <v>-3.7137728951165405E-3</v>
      </c>
    </row>
    <row r="283" spans="1:3">
      <c r="A283" s="119">
        <v>41234</v>
      </c>
      <c r="B283" s="121">
        <v>21.792922973632813</v>
      </c>
      <c r="C283" s="120">
        <f>IFERROR(yf_data[[#This Row],[Close Price]]/B282-1,0)</f>
        <v>-3.1391372415446872E-3</v>
      </c>
    </row>
    <row r="284" spans="1:3">
      <c r="A284" s="119">
        <v>41235</v>
      </c>
      <c r="B284" s="121">
        <v>21.651382446289063</v>
      </c>
      <c r="C284" s="120">
        <f>IFERROR(yf_data[[#This Row],[Close Price]]/B283-1,0)</f>
        <v>-6.4947931727652453E-3</v>
      </c>
    </row>
    <row r="285" spans="1:3">
      <c r="A285" s="119">
        <v>41236</v>
      </c>
      <c r="B285" s="121">
        <v>21.355436325073239</v>
      </c>
      <c r="C285" s="120">
        <f>IFERROR(yf_data[[#This Row],[Close Price]]/B284-1,0)</f>
        <v>-1.3668693994482006E-2</v>
      </c>
    </row>
    <row r="286" spans="1:3">
      <c r="A286" s="119">
        <v>41239</v>
      </c>
      <c r="B286" s="121">
        <v>21.072353363037109</v>
      </c>
      <c r="C286" s="120">
        <f>IFERROR(yf_data[[#This Row],[Close Price]]/B285-1,0)</f>
        <v>-1.3255779827067493E-2</v>
      </c>
    </row>
    <row r="287" spans="1:3">
      <c r="A287" s="119">
        <v>41240</v>
      </c>
      <c r="B287" s="121">
        <v>20.917942047119141</v>
      </c>
      <c r="C287" s="120">
        <f>IFERROR(yf_data[[#This Row],[Close Price]]/B286-1,0)</f>
        <v>-7.3276730537757961E-3</v>
      </c>
    </row>
    <row r="288" spans="1:3">
      <c r="A288" s="119">
        <v>41241</v>
      </c>
      <c r="B288" s="121">
        <v>21.278226852416992</v>
      </c>
      <c r="C288" s="120">
        <f>IFERROR(yf_data[[#This Row],[Close Price]]/B287-1,0)</f>
        <v>1.7223721362564559E-2</v>
      </c>
    </row>
    <row r="289" spans="1:3">
      <c r="A289" s="119">
        <v>41242</v>
      </c>
      <c r="B289" s="121">
        <v>21.69856071472168</v>
      </c>
      <c r="C289" s="120">
        <f>IFERROR(yf_data[[#This Row],[Close Price]]/B288-1,0)</f>
        <v>1.9754177132336626E-2</v>
      </c>
    </row>
    <row r="290" spans="1:3">
      <c r="A290" s="119">
        <v>41243</v>
      </c>
      <c r="B290" s="121">
        <v>22.208963394165039</v>
      </c>
      <c r="C290" s="120">
        <f>IFERROR(yf_data[[#This Row],[Close Price]]/B289-1,0)</f>
        <v>2.352242096394308E-2</v>
      </c>
    </row>
    <row r="291" spans="1:3">
      <c r="A291" s="119">
        <v>41246</v>
      </c>
      <c r="B291" s="121">
        <v>22.685050964355469</v>
      </c>
      <c r="C291" s="120">
        <f>IFERROR(yf_data[[#This Row],[Close Price]]/B290-1,0)</f>
        <v>2.1436730825334704E-2</v>
      </c>
    </row>
    <row r="292" spans="1:3">
      <c r="A292" s="119">
        <v>41247</v>
      </c>
      <c r="B292" s="121">
        <v>22.796573638916016</v>
      </c>
      <c r="C292" s="120">
        <f>IFERROR(yf_data[[#This Row],[Close Price]]/B291-1,0)</f>
        <v>4.9161306596039456E-3</v>
      </c>
    </row>
    <row r="293" spans="1:3">
      <c r="A293" s="119">
        <v>41248</v>
      </c>
      <c r="B293" s="121">
        <v>23.358442306518555</v>
      </c>
      <c r="C293" s="120">
        <f>IFERROR(yf_data[[#This Row],[Close Price]]/B292-1,0)</f>
        <v>2.4647066550535168E-2</v>
      </c>
    </row>
    <row r="294" spans="1:3">
      <c r="A294" s="119">
        <v>41249</v>
      </c>
      <c r="B294" s="121">
        <v>25.219911575317383</v>
      </c>
      <c r="C294" s="120">
        <f>IFERROR(yf_data[[#This Row],[Close Price]]/B293-1,0)</f>
        <v>7.9691498447195475E-2</v>
      </c>
    </row>
    <row r="295" spans="1:3">
      <c r="A295" s="119">
        <v>41250</v>
      </c>
      <c r="B295" s="121">
        <v>25.558750152587891</v>
      </c>
      <c r="C295" s="120">
        <f>IFERROR(yf_data[[#This Row],[Close Price]]/B294-1,0)</f>
        <v>1.3435359448370487E-2</v>
      </c>
    </row>
    <row r="296" spans="1:3">
      <c r="A296" s="119">
        <v>41253</v>
      </c>
      <c r="B296" s="121">
        <v>25.44294548034668</v>
      </c>
      <c r="C296" s="120">
        <f>IFERROR(yf_data[[#This Row],[Close Price]]/B295-1,0)</f>
        <v>-4.5309207825049436E-3</v>
      </c>
    </row>
    <row r="297" spans="1:3">
      <c r="A297" s="119">
        <v>41254</v>
      </c>
      <c r="B297" s="121">
        <v>25.189889907836911</v>
      </c>
      <c r="C297" s="120">
        <f>IFERROR(yf_data[[#This Row],[Close Price]]/B296-1,0)</f>
        <v>-9.9460014448893297E-3</v>
      </c>
    </row>
    <row r="298" spans="1:3">
      <c r="A298" s="119">
        <v>41255</v>
      </c>
      <c r="B298" s="121">
        <v>25.228492736816406</v>
      </c>
      <c r="C298" s="120">
        <f>IFERROR(yf_data[[#This Row],[Close Price]]/B297-1,0)</f>
        <v>1.532473112059396E-3</v>
      </c>
    </row>
    <row r="299" spans="1:3">
      <c r="A299" s="119">
        <v>41256</v>
      </c>
      <c r="B299" s="121">
        <v>25.082662582397461</v>
      </c>
      <c r="C299" s="120">
        <f>IFERROR(yf_data[[#This Row],[Close Price]]/B298-1,0)</f>
        <v>-5.7803752265442876E-3</v>
      </c>
    </row>
    <row r="300" spans="1:3">
      <c r="A300" s="119">
        <v>41257</v>
      </c>
      <c r="B300" s="121">
        <v>24.808158874511719</v>
      </c>
      <c r="C300" s="120">
        <f>IFERROR(yf_data[[#This Row],[Close Price]]/B299-1,0)</f>
        <v>-1.0943962068779123E-2</v>
      </c>
    </row>
    <row r="301" spans="1:3">
      <c r="A301" s="119">
        <v>41260</v>
      </c>
      <c r="B301" s="121">
        <v>24.97114372253418</v>
      </c>
      <c r="C301" s="120">
        <f>IFERROR(yf_data[[#This Row],[Close Price]]/B300-1,0)</f>
        <v>6.5698082976206607E-3</v>
      </c>
    </row>
    <row r="302" spans="1:3">
      <c r="A302" s="119">
        <v>41261</v>
      </c>
      <c r="B302" s="121">
        <v>25.618801116943359</v>
      </c>
      <c r="C302" s="120">
        <f>IFERROR(yf_data[[#This Row],[Close Price]]/B301-1,0)</f>
        <v>2.5936232701457174E-2</v>
      </c>
    </row>
    <row r="303" spans="1:3">
      <c r="A303" s="119">
        <v>41262</v>
      </c>
      <c r="B303" s="121">
        <v>25.734607696533203</v>
      </c>
      <c r="C303" s="120">
        <f>IFERROR(yf_data[[#This Row],[Close Price]]/B302-1,0)</f>
        <v>4.5203746678548207E-3</v>
      </c>
    </row>
    <row r="304" spans="1:3">
      <c r="A304" s="119">
        <v>41263</v>
      </c>
      <c r="B304" s="121">
        <v>25.623088836669918</v>
      </c>
      <c r="C304" s="120">
        <f>IFERROR(yf_data[[#This Row],[Close Price]]/B303-1,0)</f>
        <v>-4.3334198515219136E-3</v>
      </c>
    </row>
    <row r="305" spans="1:3">
      <c r="A305" s="119">
        <v>41264</v>
      </c>
      <c r="B305" s="121">
        <v>25.730316162109375</v>
      </c>
      <c r="C305" s="120">
        <f>IFERROR(yf_data[[#This Row],[Close Price]]/B304-1,0)</f>
        <v>4.1847931029299623E-3</v>
      </c>
    </row>
    <row r="306" spans="1:3">
      <c r="A306" s="119">
        <v>41270</v>
      </c>
      <c r="B306" s="121">
        <v>25.421501159667969</v>
      </c>
      <c r="C306" s="120">
        <f>IFERROR(yf_data[[#This Row],[Close Price]]/B305-1,0)</f>
        <v>-1.2001990200811052E-2</v>
      </c>
    </row>
    <row r="307" spans="1:3">
      <c r="A307" s="119">
        <v>41271</v>
      </c>
      <c r="B307" s="121">
        <v>25.215625762939453</v>
      </c>
      <c r="C307" s="120">
        <f>IFERROR(yf_data[[#This Row],[Close Price]]/B306-1,0)</f>
        <v>-8.0984752015802464E-3</v>
      </c>
    </row>
    <row r="308" spans="1:3">
      <c r="A308" s="119">
        <v>41276</v>
      </c>
      <c r="B308" s="121">
        <v>25.790361404418945</v>
      </c>
      <c r="C308" s="120">
        <f>IFERROR(yf_data[[#This Row],[Close Price]]/B307-1,0)</f>
        <v>2.2792836746657663E-2</v>
      </c>
    </row>
    <row r="309" spans="1:3">
      <c r="A309" s="119">
        <v>41277</v>
      </c>
      <c r="B309" s="121">
        <v>25.906167984008789</v>
      </c>
      <c r="C309" s="120">
        <f>IFERROR(yf_data[[#This Row],[Close Price]]/B308-1,0)</f>
        <v>4.4903046441993055E-3</v>
      </c>
    </row>
    <row r="310" spans="1:3">
      <c r="A310" s="119">
        <v>41278</v>
      </c>
      <c r="B310" s="121">
        <v>26.420862197875977</v>
      </c>
      <c r="C310" s="120">
        <f>IFERROR(yf_data[[#This Row],[Close Price]]/B309-1,0)</f>
        <v>1.9867632070667218E-2</v>
      </c>
    </row>
    <row r="311" spans="1:3">
      <c r="A311" s="119">
        <v>41281</v>
      </c>
      <c r="B311" s="121">
        <v>26.377969741821289</v>
      </c>
      <c r="C311" s="120">
        <f>IFERROR(yf_data[[#This Row],[Close Price]]/B310-1,0)</f>
        <v>-1.6234313525974597E-3</v>
      </c>
    </row>
    <row r="312" spans="1:3">
      <c r="A312" s="119">
        <v>41282</v>
      </c>
      <c r="B312" s="121">
        <v>26.528091430664063</v>
      </c>
      <c r="C312" s="120">
        <f>IFERROR(yf_data[[#This Row],[Close Price]]/B311-1,0)</f>
        <v>5.6911767778988764E-3</v>
      </c>
    </row>
    <row r="313" spans="1:3">
      <c r="A313" s="119">
        <v>41283</v>
      </c>
      <c r="B313" s="121">
        <v>27.557472229003903</v>
      </c>
      <c r="C313" s="120">
        <f>IFERROR(yf_data[[#This Row],[Close Price]]/B312-1,0)</f>
        <v>3.8803424702840372E-2</v>
      </c>
    </row>
    <row r="314" spans="1:3">
      <c r="A314" s="119">
        <v>41284</v>
      </c>
      <c r="B314" s="121">
        <v>27.48455810546875</v>
      </c>
      <c r="C314" s="120">
        <f>IFERROR(yf_data[[#This Row],[Close Price]]/B313-1,0)</f>
        <v>-2.645893024194379E-3</v>
      </c>
    </row>
    <row r="315" spans="1:3">
      <c r="A315" s="119">
        <v>41285</v>
      </c>
      <c r="B315" s="121">
        <v>27.703302383422852</v>
      </c>
      <c r="C315" s="120">
        <f>IFERROR(yf_data[[#This Row],[Close Price]]/B314-1,0)</f>
        <v>7.9588064364977118E-3</v>
      </c>
    </row>
    <row r="316" spans="1:3">
      <c r="A316" s="119">
        <v>41288</v>
      </c>
      <c r="B316" s="121">
        <v>27.57891845703125</v>
      </c>
      <c r="C316" s="120">
        <f>IFERROR(yf_data[[#This Row],[Close Price]]/B315-1,0)</f>
        <v>-4.4898591752740025E-3</v>
      </c>
    </row>
    <row r="317" spans="1:3">
      <c r="A317" s="119">
        <v>41289</v>
      </c>
      <c r="B317" s="121">
        <v>27.57463264465332</v>
      </c>
      <c r="C317" s="120">
        <f>IFERROR(yf_data[[#This Row],[Close Price]]/B316-1,0)</f>
        <v>-1.5540175676598267E-4</v>
      </c>
    </row>
    <row r="318" spans="1:3">
      <c r="A318" s="119">
        <v>41290</v>
      </c>
      <c r="B318" s="121">
        <v>27.823398590087891</v>
      </c>
      <c r="C318" s="120">
        <f>IFERROR(yf_data[[#This Row],[Close Price]]/B317-1,0)</f>
        <v>9.0215506636244225E-3</v>
      </c>
    </row>
    <row r="319" spans="1:3">
      <c r="A319" s="119">
        <v>41291</v>
      </c>
      <c r="B319" s="121">
        <v>28.908542633056641</v>
      </c>
      <c r="C319" s="120">
        <f>IFERROR(yf_data[[#This Row],[Close Price]]/B318-1,0)</f>
        <v>3.9001132067141953E-2</v>
      </c>
    </row>
    <row r="320" spans="1:3">
      <c r="A320" s="119">
        <v>41292</v>
      </c>
      <c r="B320" s="121">
        <v>29.680576324462891</v>
      </c>
      <c r="C320" s="120">
        <f>IFERROR(yf_data[[#This Row],[Close Price]]/B319-1,0)</f>
        <v>2.6706074436399829E-2</v>
      </c>
    </row>
    <row r="321" spans="1:3">
      <c r="A321" s="119">
        <v>41295</v>
      </c>
      <c r="B321" s="121">
        <v>29.431812286376953</v>
      </c>
      <c r="C321" s="120">
        <f>IFERROR(yf_data[[#This Row],[Close Price]]/B320-1,0)</f>
        <v>-8.3813749223227152E-3</v>
      </c>
    </row>
    <row r="322" spans="1:3">
      <c r="A322" s="119">
        <v>41296</v>
      </c>
      <c r="B322" s="121">
        <v>30.023702621459961</v>
      </c>
      <c r="C322" s="120">
        <f>IFERROR(yf_data[[#This Row],[Close Price]]/B321-1,0)</f>
        <v>2.0110563675923343E-2</v>
      </c>
    </row>
    <row r="323" spans="1:3">
      <c r="A323" s="119">
        <v>41297</v>
      </c>
      <c r="B323" s="121">
        <v>29.81353759765625</v>
      </c>
      <c r="C323" s="120">
        <f>IFERROR(yf_data[[#This Row],[Close Price]]/B322-1,0)</f>
        <v>-6.9999702053233914E-3</v>
      </c>
    </row>
    <row r="324" spans="1:3">
      <c r="A324" s="119">
        <v>41298</v>
      </c>
      <c r="B324" s="121">
        <v>29.75349235534668</v>
      </c>
      <c r="C324" s="120">
        <f>IFERROR(yf_data[[#This Row],[Close Price]]/B323-1,0)</f>
        <v>-2.0140260817049782E-3</v>
      </c>
    </row>
    <row r="325" spans="1:3">
      <c r="A325" s="119">
        <v>41299</v>
      </c>
      <c r="B325" s="121">
        <v>29.839277267456055</v>
      </c>
      <c r="C325" s="120">
        <f>IFERROR(yf_data[[#This Row],[Close Price]]/B324-1,0)</f>
        <v>2.8831879997428533E-3</v>
      </c>
    </row>
    <row r="326" spans="1:3">
      <c r="A326" s="119">
        <v>41302</v>
      </c>
      <c r="B326" s="121">
        <v>30.654207229614254</v>
      </c>
      <c r="C326" s="120">
        <f>IFERROR(yf_data[[#This Row],[Close Price]]/B325-1,0)</f>
        <v>2.7310646797970461E-2</v>
      </c>
    </row>
    <row r="327" spans="1:3">
      <c r="A327" s="119">
        <v>41303</v>
      </c>
      <c r="B327" s="121">
        <v>30.28105354309082</v>
      </c>
      <c r="C327" s="120">
        <f>IFERROR(yf_data[[#This Row],[Close Price]]/B326-1,0)</f>
        <v>-1.2173000714986393E-2</v>
      </c>
    </row>
    <row r="328" spans="1:3">
      <c r="A328" s="119">
        <v>41304</v>
      </c>
      <c r="B328" s="121">
        <v>29.500436782836911</v>
      </c>
      <c r="C328" s="120">
        <f>IFERROR(yf_data[[#This Row],[Close Price]]/B327-1,0)</f>
        <v>-2.5779048907366153E-2</v>
      </c>
    </row>
    <row r="329" spans="1:3">
      <c r="A329" s="119">
        <v>41305</v>
      </c>
      <c r="B329" s="121">
        <v>29.684867858886719</v>
      </c>
      <c r="C329" s="120">
        <f>IFERROR(yf_data[[#This Row],[Close Price]]/B328-1,0)</f>
        <v>6.2518083175333583E-3</v>
      </c>
    </row>
    <row r="330" spans="1:3">
      <c r="A330" s="119">
        <v>41306</v>
      </c>
      <c r="B330" s="121">
        <v>30.18669319152832</v>
      </c>
      <c r="C330" s="120">
        <f>IFERROR(yf_data[[#This Row],[Close Price]]/B329-1,0)</f>
        <v>1.6905088984297878E-2</v>
      </c>
    </row>
    <row r="331" spans="1:3">
      <c r="A331" s="119">
        <v>41309</v>
      </c>
      <c r="B331" s="121">
        <v>29.869295120239254</v>
      </c>
      <c r="C331" s="120">
        <f>IFERROR(yf_data[[#This Row],[Close Price]]/B330-1,0)</f>
        <v>-1.0514502839885198E-2</v>
      </c>
    </row>
    <row r="332" spans="1:3">
      <c r="A332" s="119">
        <v>41310</v>
      </c>
      <c r="B332" s="121">
        <v>29.967950820922852</v>
      </c>
      <c r="C332" s="120">
        <f>IFERROR(yf_data[[#This Row],[Close Price]]/B331-1,0)</f>
        <v>3.3029135868944959E-3</v>
      </c>
    </row>
    <row r="333" spans="1:3">
      <c r="A333" s="119">
        <v>41311</v>
      </c>
      <c r="B333" s="121">
        <v>29.873586654663089</v>
      </c>
      <c r="C333" s="120">
        <f>IFERROR(yf_data[[#This Row],[Close Price]]/B332-1,0)</f>
        <v>-3.148836129091559E-3</v>
      </c>
    </row>
    <row r="334" spans="1:3">
      <c r="A334" s="119">
        <v>41312</v>
      </c>
      <c r="B334" s="121">
        <v>30.285335540771484</v>
      </c>
      <c r="C334" s="120">
        <f>IFERROR(yf_data[[#This Row],[Close Price]]/B333-1,0)</f>
        <v>1.3783041549988218E-2</v>
      </c>
    </row>
    <row r="335" spans="1:3">
      <c r="A335" s="119">
        <v>41313</v>
      </c>
      <c r="B335" s="121">
        <v>30.06230354309082</v>
      </c>
      <c r="C335" s="120">
        <f>IFERROR(yf_data[[#This Row],[Close Price]]/B334-1,0)</f>
        <v>-7.3643561710058369E-3</v>
      </c>
    </row>
    <row r="336" spans="1:3">
      <c r="A336" s="119">
        <v>41316</v>
      </c>
      <c r="B336" s="121">
        <v>29.822114944458008</v>
      </c>
      <c r="C336" s="120">
        <f>IFERROR(yf_data[[#This Row],[Close Price]]/B335-1,0)</f>
        <v>-7.9896937468059148E-3</v>
      </c>
    </row>
    <row r="337" spans="1:3">
      <c r="A337" s="119">
        <v>41317</v>
      </c>
      <c r="B337" s="121">
        <v>29.99797248840332</v>
      </c>
      <c r="C337" s="120">
        <f>IFERROR(yf_data[[#This Row],[Close Price]]/B336-1,0)</f>
        <v>5.8968837144124375E-3</v>
      </c>
    </row>
    <row r="338" spans="1:3">
      <c r="A338" s="119">
        <v>41318</v>
      </c>
      <c r="B338" s="121">
        <v>30.173824310302734</v>
      </c>
      <c r="C338" s="120">
        <f>IFERROR(yf_data[[#This Row],[Close Price]]/B337-1,0)</f>
        <v>5.8621235807652106E-3</v>
      </c>
    </row>
    <row r="339" spans="1:3">
      <c r="A339" s="119">
        <v>41319</v>
      </c>
      <c r="B339" s="121">
        <v>29.925058364868164</v>
      </c>
      <c r="C339" s="120">
        <f>IFERROR(yf_data[[#This Row],[Close Price]]/B338-1,0)</f>
        <v>-8.244428776289725E-3</v>
      </c>
    </row>
    <row r="340" spans="1:3">
      <c r="A340" s="119">
        <v>41320</v>
      </c>
      <c r="B340" s="121">
        <v>29.933635711669918</v>
      </c>
      <c r="C340" s="120">
        <f>IFERROR(yf_data[[#This Row],[Close Price]]/B339-1,0)</f>
        <v>2.8662757135422545E-4</v>
      </c>
    </row>
    <row r="341" spans="1:3">
      <c r="A341" s="119">
        <v>41323</v>
      </c>
      <c r="B341" s="121">
        <v>30.195270538330082</v>
      </c>
      <c r="C341" s="120">
        <f>IFERROR(yf_data[[#This Row],[Close Price]]/B340-1,0)</f>
        <v>8.7404961154839977E-3</v>
      </c>
    </row>
    <row r="342" spans="1:3">
      <c r="A342" s="119">
        <v>41324</v>
      </c>
      <c r="B342" s="121">
        <v>30.675649642944336</v>
      </c>
      <c r="C342" s="120">
        <f>IFERROR(yf_data[[#This Row],[Close Price]]/B341-1,0)</f>
        <v>1.5909084305254284E-2</v>
      </c>
    </row>
    <row r="343" spans="1:3">
      <c r="A343" s="119">
        <v>41325</v>
      </c>
      <c r="B343" s="121">
        <v>31.095979690551761</v>
      </c>
      <c r="C343" s="120">
        <f>IFERROR(yf_data[[#This Row],[Close Price]]/B342-1,0)</f>
        <v>1.3702400845620133E-2</v>
      </c>
    </row>
    <row r="344" spans="1:3">
      <c r="A344" s="119">
        <v>41326</v>
      </c>
      <c r="B344" s="121">
        <v>30.28105354309082</v>
      </c>
      <c r="C344" s="120">
        <f>IFERROR(yf_data[[#This Row],[Close Price]]/B343-1,0)</f>
        <v>-2.6206800865275492E-2</v>
      </c>
    </row>
    <row r="345" spans="1:3">
      <c r="A345" s="119">
        <v>41327</v>
      </c>
      <c r="B345" s="121">
        <v>30.787164688110352</v>
      </c>
      <c r="C345" s="120">
        <f>IFERROR(yf_data[[#This Row],[Close Price]]/B344-1,0)</f>
        <v>1.6713789178415484E-2</v>
      </c>
    </row>
    <row r="346" spans="1:3">
      <c r="A346" s="119">
        <v>41330</v>
      </c>
      <c r="B346" s="121">
        <v>30.486928939819336</v>
      </c>
      <c r="C346" s="120">
        <f>IFERROR(yf_data[[#This Row],[Close Price]]/B345-1,0)</f>
        <v>-9.751977856114924E-3</v>
      </c>
    </row>
    <row r="347" spans="1:3">
      <c r="A347" s="119">
        <v>41331</v>
      </c>
      <c r="B347" s="121">
        <v>29.907901763916016</v>
      </c>
      <c r="C347" s="120">
        <f>IFERROR(yf_data[[#This Row],[Close Price]]/B346-1,0)</f>
        <v>-1.8992637042790084E-2</v>
      </c>
    </row>
    <row r="348" spans="1:3">
      <c r="A348" s="119">
        <v>41332</v>
      </c>
      <c r="B348" s="121">
        <v>31.859443664550781</v>
      </c>
      <c r="C348" s="120">
        <f>IFERROR(yf_data[[#This Row],[Close Price]]/B347-1,0)</f>
        <v>6.5251715618155126E-2</v>
      </c>
    </row>
    <row r="349" spans="1:3">
      <c r="A349" s="119">
        <v>41333</v>
      </c>
      <c r="B349" s="121">
        <v>33.609397888183594</v>
      </c>
      <c r="C349" s="120">
        <f>IFERROR(yf_data[[#This Row],[Close Price]]/B348-1,0)</f>
        <v>5.4927331502023113E-2</v>
      </c>
    </row>
    <row r="350" spans="1:3">
      <c r="A350" s="119">
        <v>41334</v>
      </c>
      <c r="B350" s="121">
        <v>33.412094116210938</v>
      </c>
      <c r="C350" s="120">
        <f>IFERROR(yf_data[[#This Row],[Close Price]]/B349-1,0)</f>
        <v>-5.8704940989741106E-3</v>
      </c>
    </row>
    <row r="351" spans="1:3">
      <c r="A351" s="119">
        <v>41337</v>
      </c>
      <c r="B351" s="121">
        <v>34.227020263671875</v>
      </c>
      <c r="C351" s="120">
        <f>IFERROR(yf_data[[#This Row],[Close Price]]/B350-1,0)</f>
        <v>2.4390154793247465E-2</v>
      </c>
    </row>
    <row r="352" spans="1:3">
      <c r="A352" s="119">
        <v>41338</v>
      </c>
      <c r="B352" s="121">
        <v>33.798114776611328</v>
      </c>
      <c r="C352" s="120">
        <f>IFERROR(yf_data[[#This Row],[Close Price]]/B351-1,0)</f>
        <v>-1.2531195638896486E-2</v>
      </c>
    </row>
    <row r="353" spans="1:3">
      <c r="A353" s="119">
        <v>41339</v>
      </c>
      <c r="B353" s="121">
        <v>33.828144073486328</v>
      </c>
      <c r="C353" s="120">
        <f>IFERROR(yf_data[[#This Row],[Close Price]]/B352-1,0)</f>
        <v>8.8849029223903031E-4</v>
      </c>
    </row>
    <row r="354" spans="1:3">
      <c r="A354" s="119">
        <v>41340</v>
      </c>
      <c r="B354" s="121">
        <v>34.304233551025391</v>
      </c>
      <c r="C354" s="120">
        <f>IFERROR(yf_data[[#This Row],[Close Price]]/B353-1,0)</f>
        <v>1.4073768767947525E-2</v>
      </c>
    </row>
    <row r="355" spans="1:3">
      <c r="A355" s="119">
        <v>41341</v>
      </c>
      <c r="B355" s="121">
        <v>34.31280517578125</v>
      </c>
      <c r="C355" s="120">
        <f>IFERROR(yf_data[[#This Row],[Close Price]]/B354-1,0)</f>
        <v>2.4987075554716576E-4</v>
      </c>
    </row>
    <row r="356" spans="1:3">
      <c r="A356" s="119">
        <v>41344</v>
      </c>
      <c r="B356" s="121">
        <v>34.758876800537109</v>
      </c>
      <c r="C356" s="120">
        <f>IFERROR(yf_data[[#This Row],[Close Price]]/B355-1,0)</f>
        <v>1.3000150307463265E-2</v>
      </c>
    </row>
    <row r="357" spans="1:3">
      <c r="A357" s="119">
        <v>41345</v>
      </c>
      <c r="B357" s="121">
        <v>35.269279479980469</v>
      </c>
      <c r="C357" s="120">
        <f>IFERROR(yf_data[[#This Row],[Close Price]]/B356-1,0)</f>
        <v>1.4684095874912595E-2</v>
      </c>
    </row>
    <row r="358" spans="1:3">
      <c r="A358" s="119">
        <v>41346</v>
      </c>
      <c r="B358" s="121">
        <v>35.856880187988281</v>
      </c>
      <c r="C358" s="120">
        <f>IFERROR(yf_data[[#This Row],[Close Price]]/B357-1,0)</f>
        <v>1.6660411459251456E-2</v>
      </c>
    </row>
    <row r="359" spans="1:3">
      <c r="A359" s="119">
        <v>41347</v>
      </c>
      <c r="B359" s="121">
        <v>35.981266021728516</v>
      </c>
      <c r="C359" s="120">
        <f>IFERROR(yf_data[[#This Row],[Close Price]]/B358-1,0)</f>
        <v>3.4689530457785445E-3</v>
      </c>
    </row>
    <row r="360" spans="1:3">
      <c r="A360" s="119">
        <v>41348</v>
      </c>
      <c r="B360" s="121">
        <v>36.530269622802734</v>
      </c>
      <c r="C360" s="120">
        <f>IFERROR(yf_data[[#This Row],[Close Price]]/B359-1,0)</f>
        <v>1.5258040135182727E-2</v>
      </c>
    </row>
    <row r="361" spans="1:3">
      <c r="A361" s="119">
        <v>41351</v>
      </c>
      <c r="B361" s="121">
        <v>36.071342468261719</v>
      </c>
      <c r="C361" s="120">
        <f>IFERROR(yf_data[[#This Row],[Close Price]]/B360-1,0)</f>
        <v>-1.2562928203917356E-2</v>
      </c>
    </row>
    <row r="362" spans="1:3">
      <c r="A362" s="119">
        <v>41352</v>
      </c>
      <c r="B362" s="121">
        <v>35.76251220703125</v>
      </c>
      <c r="C362" s="120">
        <f>IFERROR(yf_data[[#This Row],[Close Price]]/B361-1,0)</f>
        <v>-8.5616514412293343E-3</v>
      </c>
    </row>
    <row r="363" spans="1:3">
      <c r="A363" s="119">
        <v>41353</v>
      </c>
      <c r="B363" s="121">
        <v>35.475151062011719</v>
      </c>
      <c r="C363" s="120">
        <f>IFERROR(yf_data[[#This Row],[Close Price]]/B362-1,0)</f>
        <v>-8.0352617108099267E-3</v>
      </c>
    </row>
    <row r="364" spans="1:3">
      <c r="A364" s="119">
        <v>41354</v>
      </c>
      <c r="B364" s="121">
        <v>34.861812591552734</v>
      </c>
      <c r="C364" s="120">
        <f>IFERROR(yf_data[[#This Row],[Close Price]]/B363-1,0)</f>
        <v>-1.7289241965082747E-2</v>
      </c>
    </row>
    <row r="365" spans="1:3">
      <c r="A365" s="119">
        <v>41355</v>
      </c>
      <c r="B365" s="121">
        <v>35.470859527587891</v>
      </c>
      <c r="C365" s="120">
        <f>IFERROR(yf_data[[#This Row],[Close Price]]/B364-1,0)</f>
        <v>1.7470317541169234E-2</v>
      </c>
    </row>
    <row r="366" spans="1:3">
      <c r="A366" s="119">
        <v>41358</v>
      </c>
      <c r="B366" s="121">
        <v>35.560935974121094</v>
      </c>
      <c r="C366" s="120">
        <f>IFERROR(yf_data[[#This Row],[Close Price]]/B365-1,0)</f>
        <v>2.539449219242762E-3</v>
      </c>
    </row>
    <row r="367" spans="1:3">
      <c r="A367" s="119">
        <v>41359</v>
      </c>
      <c r="B367" s="121">
        <v>35.106292724609375</v>
      </c>
      <c r="C367" s="120">
        <f>IFERROR(yf_data[[#This Row],[Close Price]]/B366-1,0)</f>
        <v>-1.2784906725812228E-2</v>
      </c>
    </row>
    <row r="368" spans="1:3">
      <c r="A368" s="119">
        <v>41360</v>
      </c>
      <c r="B368" s="121">
        <v>34.025436401367188</v>
      </c>
      <c r="C368" s="120">
        <f>IFERROR(yf_data[[#This Row],[Close Price]]/B367-1,0)</f>
        <v>-3.0788107753813354E-2</v>
      </c>
    </row>
    <row r="369" spans="1:3">
      <c r="A369" s="119">
        <v>41361</v>
      </c>
      <c r="B369" s="121">
        <v>34.055461883544922</v>
      </c>
      <c r="C369" s="120">
        <f>IFERROR(yf_data[[#This Row],[Close Price]]/B368-1,0)</f>
        <v>8.8244223596589677E-4</v>
      </c>
    </row>
    <row r="370" spans="1:3">
      <c r="A370" s="119">
        <v>41366</v>
      </c>
      <c r="B370" s="121">
        <v>35.269279479980469</v>
      </c>
      <c r="C370" s="120">
        <f>IFERROR(yf_data[[#This Row],[Close Price]]/B369-1,0)</f>
        <v>3.5642376561688671E-2</v>
      </c>
    </row>
    <row r="371" spans="1:3">
      <c r="A371" s="119">
        <v>41367</v>
      </c>
      <c r="B371" s="121">
        <v>34.600173950195313</v>
      </c>
      <c r="C371" s="120">
        <f>IFERROR(yf_data[[#This Row],[Close Price]]/B370-1,0)</f>
        <v>-1.8971341055179614E-2</v>
      </c>
    </row>
    <row r="372" spans="1:3">
      <c r="A372" s="119">
        <v>41368</v>
      </c>
      <c r="B372" s="121">
        <v>33.669437408447266</v>
      </c>
      <c r="C372" s="120">
        <f>IFERROR(yf_data[[#This Row],[Close Price]]/B371-1,0)</f>
        <v>-2.6899764812968296E-2</v>
      </c>
    </row>
    <row r="373" spans="1:3">
      <c r="A373" s="119">
        <v>41369</v>
      </c>
      <c r="B373" s="121">
        <v>32.837356567382813</v>
      </c>
      <c r="C373" s="120">
        <f>IFERROR(yf_data[[#This Row],[Close Price]]/B372-1,0)</f>
        <v>-2.4713238625593825E-2</v>
      </c>
    </row>
    <row r="374" spans="1:3">
      <c r="A374" s="119">
        <v>41372</v>
      </c>
      <c r="B374" s="121">
        <v>33.206214904785156</v>
      </c>
      <c r="C374" s="120">
        <f>IFERROR(yf_data[[#This Row],[Close Price]]/B373-1,0)</f>
        <v>1.123288766090047E-2</v>
      </c>
    </row>
    <row r="375" spans="1:3">
      <c r="A375" s="119">
        <v>41373</v>
      </c>
      <c r="B375" s="121">
        <v>32.254039764404297</v>
      </c>
      <c r="C375" s="120">
        <f>IFERROR(yf_data[[#This Row],[Close Price]]/B374-1,0)</f>
        <v>-2.867460633833474E-2</v>
      </c>
    </row>
    <row r="376" spans="1:3">
      <c r="A376" s="119">
        <v>41374</v>
      </c>
      <c r="B376" s="121">
        <v>33.004627227783203</v>
      </c>
      <c r="C376" s="120">
        <f>IFERROR(yf_data[[#This Row],[Close Price]]/B375-1,0)</f>
        <v>2.3271114838993245E-2</v>
      </c>
    </row>
    <row r="377" spans="1:3">
      <c r="A377" s="119">
        <v>41375</v>
      </c>
      <c r="B377" s="121">
        <v>32.923133850097656</v>
      </c>
      <c r="C377" s="120">
        <f>IFERROR(yf_data[[#This Row],[Close Price]]/B376-1,0)</f>
        <v>-2.4691500716889081E-3</v>
      </c>
    </row>
    <row r="378" spans="1:3">
      <c r="A378" s="119">
        <v>41376</v>
      </c>
      <c r="B378" s="121">
        <v>32.301219940185547</v>
      </c>
      <c r="C378" s="120">
        <f>IFERROR(yf_data[[#This Row],[Close Price]]/B377-1,0)</f>
        <v>-1.8889875816310409E-2</v>
      </c>
    </row>
    <row r="379" spans="1:3">
      <c r="A379" s="119">
        <v>41379</v>
      </c>
      <c r="B379" s="121">
        <v>32.172550201416016</v>
      </c>
      <c r="C379" s="120">
        <f>IFERROR(yf_data[[#This Row],[Close Price]]/B378-1,0)</f>
        <v>-3.9834327931823621E-3</v>
      </c>
    </row>
    <row r="380" spans="1:3">
      <c r="A380" s="119">
        <v>41380</v>
      </c>
      <c r="B380" s="121">
        <v>31.9066162109375</v>
      </c>
      <c r="C380" s="120">
        <f>IFERROR(yf_data[[#This Row],[Close Price]]/B379-1,0)</f>
        <v>-8.2658660508302395E-3</v>
      </c>
    </row>
    <row r="381" spans="1:3">
      <c r="A381" s="119">
        <v>41381</v>
      </c>
      <c r="B381" s="121">
        <v>33.454986572265625</v>
      </c>
      <c r="C381" s="120">
        <f>IFERROR(yf_data[[#This Row],[Close Price]]/B380-1,0)</f>
        <v>4.8528190864606469E-2</v>
      </c>
    </row>
    <row r="382" spans="1:3">
      <c r="A382" s="119">
        <v>41382</v>
      </c>
      <c r="B382" s="121">
        <v>33.279136657714844</v>
      </c>
      <c r="C382" s="120">
        <f>IFERROR(yf_data[[#This Row],[Close Price]]/B381-1,0)</f>
        <v>-5.2563140078065729E-3</v>
      </c>
    </row>
    <row r="383" spans="1:3">
      <c r="A383" s="119">
        <v>41383</v>
      </c>
      <c r="B383" s="121">
        <v>34.252761840820313</v>
      </c>
      <c r="C383" s="120">
        <f>IFERROR(yf_data[[#This Row],[Close Price]]/B382-1,0)</f>
        <v>2.9256323357167435E-2</v>
      </c>
    </row>
    <row r="384" spans="1:3">
      <c r="A384" s="119">
        <v>41386</v>
      </c>
      <c r="B384" s="121">
        <v>33.7938232421875</v>
      </c>
      <c r="C384" s="120">
        <f>IFERROR(yf_data[[#This Row],[Close Price]]/B383-1,0)</f>
        <v>-1.3398586682311753E-2</v>
      </c>
    </row>
    <row r="385" spans="1:3">
      <c r="A385" s="119">
        <v>41387</v>
      </c>
      <c r="B385" s="121">
        <v>34.840370178222656</v>
      </c>
      <c r="C385" s="120">
        <f>IFERROR(yf_data[[#This Row],[Close Price]]/B384-1,0)</f>
        <v>3.0968586434714673E-2</v>
      </c>
    </row>
    <row r="386" spans="1:3">
      <c r="A386" s="119">
        <v>41388</v>
      </c>
      <c r="B386" s="121">
        <v>35.093429565429688</v>
      </c>
      <c r="C386" s="120">
        <f>IFERROR(yf_data[[#This Row],[Close Price]]/B385-1,0)</f>
        <v>7.2633954780769727E-3</v>
      </c>
    </row>
    <row r="387" spans="1:3">
      <c r="A387" s="119">
        <v>41389</v>
      </c>
      <c r="B387" s="121">
        <v>34.870391845703125</v>
      </c>
      <c r="C387" s="120">
        <f>IFERROR(yf_data[[#This Row],[Close Price]]/B386-1,0)</f>
        <v>-6.355540694896189E-3</v>
      </c>
    </row>
    <row r="388" spans="1:3">
      <c r="A388" s="119">
        <v>41390</v>
      </c>
      <c r="B388" s="121">
        <v>34.31280517578125</v>
      </c>
      <c r="C388" s="120">
        <f>IFERROR(yf_data[[#This Row],[Close Price]]/B387-1,0)</f>
        <v>-1.599026108995627E-2</v>
      </c>
    </row>
    <row r="389" spans="1:3">
      <c r="A389" s="119">
        <v>41393</v>
      </c>
      <c r="B389" s="121">
        <v>34.196998596191406</v>
      </c>
      <c r="C389" s="120">
        <f>IFERROR(yf_data[[#This Row],[Close Price]]/B388-1,0)</f>
        <v>-3.3750251253600316E-3</v>
      </c>
    </row>
    <row r="390" spans="1:3">
      <c r="A390" s="119">
        <v>41394</v>
      </c>
      <c r="B390" s="121">
        <v>34.402870178222656</v>
      </c>
      <c r="C390" s="120">
        <f>IFERROR(yf_data[[#This Row],[Close Price]]/B389-1,0)</f>
        <v>6.0201652332780853E-3</v>
      </c>
    </row>
    <row r="391" spans="1:3">
      <c r="A391" s="119">
        <v>41396</v>
      </c>
      <c r="B391" s="121">
        <v>34.617332458496094</v>
      </c>
      <c r="C391" s="120">
        <f>IFERROR(yf_data[[#This Row],[Close Price]]/B390-1,0)</f>
        <v>6.2338484888739831E-3</v>
      </c>
    </row>
    <row r="392" spans="1:3">
      <c r="A392" s="119">
        <v>41397</v>
      </c>
      <c r="B392" s="121">
        <v>35.041950225830078</v>
      </c>
      <c r="C392" s="120">
        <f>IFERROR(yf_data[[#This Row],[Close Price]]/B391-1,0)</f>
        <v>1.226604527784092E-2</v>
      </c>
    </row>
    <row r="393" spans="1:3">
      <c r="A393" s="119">
        <v>41400</v>
      </c>
      <c r="B393" s="121">
        <v>34.934722900390625</v>
      </c>
      <c r="C393" s="120">
        <f>IFERROR(yf_data[[#This Row],[Close Price]]/B392-1,0)</f>
        <v>-3.0599702570325293E-3</v>
      </c>
    </row>
    <row r="394" spans="1:3">
      <c r="A394" s="119">
        <v>41401</v>
      </c>
      <c r="B394" s="121">
        <v>34.934722900390625</v>
      </c>
      <c r="C394" s="120">
        <f>IFERROR(yf_data[[#This Row],[Close Price]]/B393-1,0)</f>
        <v>0</v>
      </c>
    </row>
    <row r="395" spans="1:3">
      <c r="A395" s="119">
        <v>41402</v>
      </c>
      <c r="B395" s="121">
        <v>35.385078430175781</v>
      </c>
      <c r="C395" s="120">
        <f>IFERROR(yf_data[[#This Row],[Close Price]]/B394-1,0)</f>
        <v>1.2891343980865555E-2</v>
      </c>
    </row>
    <row r="396" spans="1:3">
      <c r="A396" s="119">
        <v>41403</v>
      </c>
      <c r="B396" s="121">
        <v>35.457996368408203</v>
      </c>
      <c r="C396" s="120">
        <f>IFERROR(yf_data[[#This Row],[Close Price]]/B395-1,0)</f>
        <v>2.0606973749206503E-3</v>
      </c>
    </row>
    <row r="397" spans="1:3">
      <c r="A397" s="119">
        <v>41404</v>
      </c>
      <c r="B397" s="121">
        <v>35.608119964599609</v>
      </c>
      <c r="C397" s="120">
        <f>IFERROR(yf_data[[#This Row],[Close Price]]/B396-1,0)</f>
        <v>4.2338431825539313E-3</v>
      </c>
    </row>
    <row r="398" spans="1:3">
      <c r="A398" s="119">
        <v>41407</v>
      </c>
      <c r="B398" s="121">
        <v>35.342185974121094</v>
      </c>
      <c r="C398" s="120">
        <f>IFERROR(yf_data[[#This Row],[Close Price]]/B397-1,0)</f>
        <v>-7.4683524640699606E-3</v>
      </c>
    </row>
    <row r="399" spans="1:3">
      <c r="A399" s="119">
        <v>41408</v>
      </c>
      <c r="B399" s="121">
        <v>36.405887603759766</v>
      </c>
      <c r="C399" s="120">
        <f>IFERROR(yf_data[[#This Row],[Close Price]]/B398-1,0)</f>
        <v>3.009722235114598E-2</v>
      </c>
    </row>
    <row r="400" spans="1:3">
      <c r="A400" s="119">
        <v>41409</v>
      </c>
      <c r="B400" s="121">
        <v>36.984916687011719</v>
      </c>
      <c r="C400" s="120">
        <f>IFERROR(yf_data[[#This Row],[Close Price]]/B399-1,0)</f>
        <v>1.5904819834475115E-2</v>
      </c>
    </row>
    <row r="401" spans="1:3">
      <c r="A401" s="119">
        <v>41410</v>
      </c>
      <c r="B401" s="121">
        <v>37.143619537353523</v>
      </c>
      <c r="C401" s="120">
        <f>IFERROR(yf_data[[#This Row],[Close Price]]/B400-1,0)</f>
        <v>4.2910154884177043E-3</v>
      </c>
    </row>
    <row r="402" spans="1:3">
      <c r="A402" s="119">
        <v>41411</v>
      </c>
      <c r="B402" s="121">
        <v>37.143619537353523</v>
      </c>
      <c r="C402" s="120">
        <f>IFERROR(yf_data[[#This Row],[Close Price]]/B401-1,0)</f>
        <v>0</v>
      </c>
    </row>
    <row r="403" spans="1:3">
      <c r="A403" s="119">
        <v>41414</v>
      </c>
      <c r="B403" s="121">
        <v>37.027809143066406</v>
      </c>
      <c r="C403" s="120">
        <f>IFERROR(yf_data[[#This Row],[Close Price]]/B402-1,0)</f>
        <v>-3.1179081556834687E-3</v>
      </c>
    </row>
    <row r="404" spans="1:3">
      <c r="A404" s="119">
        <v>41415</v>
      </c>
      <c r="B404" s="121">
        <v>36.950599670410163</v>
      </c>
      <c r="C404" s="120">
        <f>IFERROR(yf_data[[#This Row],[Close Price]]/B403-1,0)</f>
        <v>-2.0851752896836606E-3</v>
      </c>
    </row>
    <row r="405" spans="1:3">
      <c r="A405" s="119">
        <v>41416</v>
      </c>
      <c r="B405" s="121">
        <v>36.9720458984375</v>
      </c>
      <c r="C405" s="120">
        <f>IFERROR(yf_data[[#This Row],[Close Price]]/B404-1,0)</f>
        <v>5.8040270573767039E-4</v>
      </c>
    </row>
    <row r="406" spans="1:3">
      <c r="A406" s="119">
        <v>41417</v>
      </c>
      <c r="B406" s="121">
        <v>36.045608520507813</v>
      </c>
      <c r="C406" s="120">
        <f>IFERROR(yf_data[[#This Row],[Close Price]]/B405-1,0)</f>
        <v>-2.5057779612051134E-2</v>
      </c>
    </row>
    <row r="407" spans="1:3">
      <c r="A407" s="119">
        <v>41418</v>
      </c>
      <c r="B407" s="121">
        <v>36.478805541992188</v>
      </c>
      <c r="C407" s="120">
        <f>IFERROR(yf_data[[#This Row],[Close Price]]/B406-1,0)</f>
        <v>1.2018024920786408E-2</v>
      </c>
    </row>
    <row r="408" spans="1:3">
      <c r="A408" s="119">
        <v>41421</v>
      </c>
      <c r="B408" s="121">
        <v>36.538852691650391</v>
      </c>
      <c r="C408" s="120">
        <f>IFERROR(yf_data[[#This Row],[Close Price]]/B407-1,0)</f>
        <v>1.6460832191744768E-3</v>
      </c>
    </row>
    <row r="409" spans="1:3">
      <c r="A409" s="119">
        <v>41422</v>
      </c>
      <c r="B409" s="121">
        <v>37.572521209716797</v>
      </c>
      <c r="C409" s="120">
        <f>IFERROR(yf_data[[#This Row],[Close Price]]/B408-1,0)</f>
        <v>2.8289572384482931E-2</v>
      </c>
    </row>
    <row r="410" spans="1:3">
      <c r="A410" s="119">
        <v>41423</v>
      </c>
      <c r="B410" s="121">
        <v>37.915653228759766</v>
      </c>
      <c r="C410" s="120">
        <f>IFERROR(yf_data[[#This Row],[Close Price]]/B409-1,0)</f>
        <v>9.1325257926591075E-3</v>
      </c>
    </row>
    <row r="411" spans="1:3">
      <c r="A411" s="119">
        <v>41424</v>
      </c>
      <c r="B411" s="121">
        <v>37.954254150390625</v>
      </c>
      <c r="C411" s="120">
        <f>IFERROR(yf_data[[#This Row],[Close Price]]/B410-1,0)</f>
        <v>1.0180734958715743E-3</v>
      </c>
    </row>
    <row r="412" spans="1:3">
      <c r="A412" s="119">
        <v>41425</v>
      </c>
      <c r="B412" s="121">
        <v>38.654296875</v>
      </c>
      <c r="C412" s="120">
        <f>IFERROR(yf_data[[#This Row],[Close Price]]/B411-1,0)</f>
        <v>1.8444381012877153E-2</v>
      </c>
    </row>
    <row r="413" spans="1:3">
      <c r="A413" s="119">
        <v>41428</v>
      </c>
      <c r="B413" s="121">
        <v>37.728153228759766</v>
      </c>
      <c r="C413" s="120">
        <f>IFERROR(yf_data[[#This Row],[Close Price]]/B412-1,0)</f>
        <v>-2.3959655746298769E-2</v>
      </c>
    </row>
    <row r="414" spans="1:3">
      <c r="A414" s="119">
        <v>41429</v>
      </c>
      <c r="B414" s="121">
        <v>37.675975799560547</v>
      </c>
      <c r="C414" s="120">
        <f>IFERROR(yf_data[[#This Row],[Close Price]]/B413-1,0)</f>
        <v>-1.3829839187422532E-3</v>
      </c>
    </row>
    <row r="415" spans="1:3">
      <c r="A415" s="119">
        <v>41430</v>
      </c>
      <c r="B415" s="121">
        <v>36.910720825195313</v>
      </c>
      <c r="C415" s="120">
        <f>IFERROR(yf_data[[#This Row],[Close Price]]/B414-1,0)</f>
        <v>-2.0311483860071977E-2</v>
      </c>
    </row>
    <row r="416" spans="1:3">
      <c r="A416" s="119">
        <v>41431</v>
      </c>
      <c r="B416" s="121">
        <v>36.454166412353523</v>
      </c>
      <c r="C416" s="120">
        <f>IFERROR(yf_data[[#This Row],[Close Price]]/B415-1,0)</f>
        <v>-1.2369154615104239E-2</v>
      </c>
    </row>
    <row r="417" spans="1:3">
      <c r="A417" s="119">
        <v>41432</v>
      </c>
      <c r="B417" s="121">
        <v>37.762935638427734</v>
      </c>
      <c r="C417" s="120">
        <f>IFERROR(yf_data[[#This Row],[Close Price]]/B416-1,0)</f>
        <v>3.5901773511153312E-2</v>
      </c>
    </row>
    <row r="418" spans="1:3">
      <c r="A418" s="119">
        <v>41435</v>
      </c>
      <c r="B418" s="121">
        <v>37.402046203613281</v>
      </c>
      <c r="C418" s="120">
        <f>IFERROR(yf_data[[#This Row],[Close Price]]/B417-1,0)</f>
        <v>-9.5567102692940553E-3</v>
      </c>
    </row>
    <row r="419" spans="1:3">
      <c r="A419" s="119">
        <v>41436</v>
      </c>
      <c r="B419" s="121">
        <v>36.815059661865234</v>
      </c>
      <c r="C419" s="120">
        <f>IFERROR(yf_data[[#This Row],[Close Price]]/B418-1,0)</f>
        <v>-1.5693968681620984E-2</v>
      </c>
    </row>
    <row r="420" spans="1:3">
      <c r="A420" s="119">
        <v>41437</v>
      </c>
      <c r="B420" s="121">
        <v>37.389003753662109</v>
      </c>
      <c r="C420" s="120">
        <f>IFERROR(yf_data[[#This Row],[Close Price]]/B419-1,0)</f>
        <v>1.5589926977393809E-2</v>
      </c>
    </row>
    <row r="421" spans="1:3">
      <c r="A421" s="119">
        <v>41438</v>
      </c>
      <c r="B421" s="121">
        <v>37.397697448730469</v>
      </c>
      <c r="C421" s="120">
        <f>IFERROR(yf_data[[#This Row],[Close Price]]/B420-1,0)</f>
        <v>2.3252010472485374E-4</v>
      </c>
    </row>
    <row r="422" spans="1:3">
      <c r="A422" s="119">
        <v>41439</v>
      </c>
      <c r="B422" s="121">
        <v>37.254215240478509</v>
      </c>
      <c r="C422" s="120">
        <f>IFERROR(yf_data[[#This Row],[Close Price]]/B421-1,0)</f>
        <v>-3.8366588865174078E-3</v>
      </c>
    </row>
    <row r="423" spans="1:3">
      <c r="A423" s="119">
        <v>41442</v>
      </c>
      <c r="B423" s="121">
        <v>37.393356323242188</v>
      </c>
      <c r="C423" s="120">
        <f>IFERROR(yf_data[[#This Row],[Close Price]]/B422-1,0)</f>
        <v>3.7349084356095297E-3</v>
      </c>
    </row>
    <row r="424" spans="1:3">
      <c r="A424" s="119">
        <v>41443</v>
      </c>
      <c r="B424" s="121">
        <v>37.523796081542969</v>
      </c>
      <c r="C424" s="120">
        <f>IFERROR(yf_data[[#This Row],[Close Price]]/B423-1,0)</f>
        <v>3.488313730738879E-3</v>
      </c>
    </row>
    <row r="425" spans="1:3">
      <c r="A425" s="119">
        <v>41444</v>
      </c>
      <c r="B425" s="121">
        <v>36.788970947265625</v>
      </c>
      <c r="C425" s="120">
        <f>IFERROR(yf_data[[#This Row],[Close Price]]/B424-1,0)</f>
        <v>-1.9582910339894566E-2</v>
      </c>
    </row>
    <row r="426" spans="1:3">
      <c r="A426" s="119">
        <v>41445</v>
      </c>
      <c r="B426" s="121">
        <v>35.884574890136719</v>
      </c>
      <c r="C426" s="120">
        <f>IFERROR(yf_data[[#This Row],[Close Price]]/B425-1,0)</f>
        <v>-2.4583347504481545E-2</v>
      </c>
    </row>
    <row r="427" spans="1:3">
      <c r="A427" s="119">
        <v>41446</v>
      </c>
      <c r="B427" s="121">
        <v>35.436721801757813</v>
      </c>
      <c r="C427" s="120">
        <f>IFERROR(yf_data[[#This Row],[Close Price]]/B426-1,0)</f>
        <v>-1.2480378818755411E-2</v>
      </c>
    </row>
    <row r="428" spans="1:3">
      <c r="A428" s="119">
        <v>41449</v>
      </c>
      <c r="B428" s="121">
        <v>34.445365905761719</v>
      </c>
      <c r="C428" s="120">
        <f>IFERROR(yf_data[[#This Row],[Close Price]]/B427-1,0)</f>
        <v>-2.7975383884039751E-2</v>
      </c>
    </row>
    <row r="429" spans="1:3">
      <c r="A429" s="119">
        <v>41450</v>
      </c>
      <c r="B429" s="121">
        <v>35.432373046875</v>
      </c>
      <c r="C429" s="120">
        <f>IFERROR(yf_data[[#This Row],[Close Price]]/B428-1,0)</f>
        <v>2.8654279470092137E-2</v>
      </c>
    </row>
    <row r="430" spans="1:3">
      <c r="A430" s="119">
        <v>41451</v>
      </c>
      <c r="B430" s="121">
        <v>35.975883483886719</v>
      </c>
      <c r="C430" s="120">
        <f>IFERROR(yf_data[[#This Row],[Close Price]]/B429-1,0)</f>
        <v>1.5339374427241648E-2</v>
      </c>
    </row>
    <row r="431" spans="1:3">
      <c r="A431" s="119">
        <v>41452</v>
      </c>
      <c r="B431" s="121">
        <v>36.141109466552734</v>
      </c>
      <c r="C431" s="120">
        <f>IFERROR(yf_data[[#This Row],[Close Price]]/B430-1,0)</f>
        <v>4.5926872856372203E-3</v>
      </c>
    </row>
    <row r="432" spans="1:3">
      <c r="A432" s="119">
        <v>41453</v>
      </c>
      <c r="B432" s="121">
        <v>35.710647583007813</v>
      </c>
      <c r="C432" s="120">
        <f>IFERROR(yf_data[[#This Row],[Close Price]]/B431-1,0)</f>
        <v>-1.1910588520900212E-2</v>
      </c>
    </row>
    <row r="433" spans="1:3">
      <c r="A433" s="119">
        <v>41456</v>
      </c>
      <c r="B433" s="121">
        <v>35.836746215820313</v>
      </c>
      <c r="C433" s="120">
        <f>IFERROR(yf_data[[#This Row],[Close Price]]/B432-1,0)</f>
        <v>3.5311214258826329E-3</v>
      </c>
    </row>
    <row r="434" spans="1:3">
      <c r="A434" s="119">
        <v>41457</v>
      </c>
      <c r="B434" s="121">
        <v>35.471511840820313</v>
      </c>
      <c r="C434" s="120">
        <f>IFERROR(yf_data[[#This Row],[Close Price]]/B433-1,0)</f>
        <v>-1.0191616526803005E-2</v>
      </c>
    </row>
    <row r="435" spans="1:3">
      <c r="A435" s="119">
        <v>41458</v>
      </c>
      <c r="B435" s="121">
        <v>34.988876342773438</v>
      </c>
      <c r="C435" s="120">
        <f>IFERROR(yf_data[[#This Row],[Close Price]]/B434-1,0)</f>
        <v>-1.3606284959398418E-2</v>
      </c>
    </row>
    <row r="436" spans="1:3">
      <c r="A436" s="119">
        <v>41459</v>
      </c>
      <c r="B436" s="121">
        <v>36.262855529785149</v>
      </c>
      <c r="C436" s="120">
        <f>IFERROR(yf_data[[#This Row],[Close Price]]/B435-1,0)</f>
        <v>3.6410977435542558E-2</v>
      </c>
    </row>
    <row r="437" spans="1:3">
      <c r="A437" s="119">
        <v>41460</v>
      </c>
      <c r="B437" s="121">
        <v>35.828048706054688</v>
      </c>
      <c r="C437" s="120">
        <f>IFERROR(yf_data[[#This Row],[Close Price]]/B436-1,0)</f>
        <v>-1.1990418773649147E-2</v>
      </c>
    </row>
    <row r="438" spans="1:3">
      <c r="A438" s="119">
        <v>41463</v>
      </c>
      <c r="B438" s="121">
        <v>36.228069305419922</v>
      </c>
      <c r="C438" s="120">
        <f>IFERROR(yf_data[[#This Row],[Close Price]]/B437-1,0)</f>
        <v>1.1165012157015264E-2</v>
      </c>
    </row>
    <row r="439" spans="1:3">
      <c r="A439" s="119">
        <v>41464</v>
      </c>
      <c r="B439" s="121">
        <v>36.284595489501953</v>
      </c>
      <c r="C439" s="120">
        <f>IFERROR(yf_data[[#This Row],[Close Price]]/B438-1,0)</f>
        <v>1.5602869588628998E-3</v>
      </c>
    </row>
    <row r="440" spans="1:3">
      <c r="A440" s="119">
        <v>41465</v>
      </c>
      <c r="B440" s="121">
        <v>36.097629547119141</v>
      </c>
      <c r="C440" s="120">
        <f>IFERROR(yf_data[[#This Row],[Close Price]]/B439-1,0)</f>
        <v>-5.1527635863243271E-3</v>
      </c>
    </row>
    <row r="441" spans="1:3">
      <c r="A441" s="119">
        <v>41466</v>
      </c>
      <c r="B441" s="121">
        <v>35.967185974121094</v>
      </c>
      <c r="C441" s="120">
        <f>IFERROR(yf_data[[#This Row],[Close Price]]/B440-1,0)</f>
        <v>-3.613632657728294E-3</v>
      </c>
    </row>
    <row r="442" spans="1:3">
      <c r="A442" s="119">
        <v>41467</v>
      </c>
      <c r="B442" s="121">
        <v>35.888923645019531</v>
      </c>
      <c r="C442" s="120">
        <f>IFERROR(yf_data[[#This Row],[Close Price]]/B441-1,0)</f>
        <v>-2.1759369542525553E-3</v>
      </c>
    </row>
    <row r="443" spans="1:3">
      <c r="A443" s="119">
        <v>41470</v>
      </c>
      <c r="B443" s="121">
        <v>36.384601593017578</v>
      </c>
      <c r="C443" s="120">
        <f>IFERROR(yf_data[[#This Row],[Close Price]]/B442-1,0)</f>
        <v>1.3811446475821887E-2</v>
      </c>
    </row>
    <row r="444" spans="1:3">
      <c r="A444" s="119">
        <v>41471</v>
      </c>
      <c r="B444" s="121">
        <v>36.1976318359375</v>
      </c>
      <c r="C444" s="120">
        <f>IFERROR(yf_data[[#This Row],[Close Price]]/B443-1,0)</f>
        <v>-5.1387056307896639E-3</v>
      </c>
    </row>
    <row r="445" spans="1:3">
      <c r="A445" s="119">
        <v>41472</v>
      </c>
      <c r="B445" s="121">
        <v>36.228069305419922</v>
      </c>
      <c r="C445" s="120">
        <f>IFERROR(yf_data[[#This Row],[Close Price]]/B444-1,0)</f>
        <v>8.4086908282765549E-4</v>
      </c>
    </row>
    <row r="446" spans="1:3">
      <c r="A446" s="119">
        <v>41473</v>
      </c>
      <c r="B446" s="121">
        <v>36.710708618164063</v>
      </c>
      <c r="C446" s="120">
        <f>IFERROR(yf_data[[#This Row],[Close Price]]/B445-1,0)</f>
        <v>1.3322247693501543E-2</v>
      </c>
    </row>
    <row r="447" spans="1:3">
      <c r="A447" s="119">
        <v>41474</v>
      </c>
      <c r="B447" s="121">
        <v>37.080291748046875</v>
      </c>
      <c r="C447" s="120">
        <f>IFERROR(yf_data[[#This Row],[Close Price]]/B446-1,0)</f>
        <v>1.0067447450468059E-2</v>
      </c>
    </row>
    <row r="448" spans="1:3">
      <c r="A448" s="119">
        <v>41477</v>
      </c>
      <c r="B448" s="121">
        <v>37.019412994384766</v>
      </c>
      <c r="C448" s="120">
        <f>IFERROR(yf_data[[#This Row],[Close Price]]/B447-1,0)</f>
        <v>-1.6418089176797324E-3</v>
      </c>
    </row>
    <row r="449" spans="1:3">
      <c r="A449" s="119">
        <v>41478</v>
      </c>
      <c r="B449" s="121">
        <v>36.723751068115234</v>
      </c>
      <c r="C449" s="120">
        <f>IFERROR(yf_data[[#This Row],[Close Price]]/B448-1,0)</f>
        <v>-7.9866724605919259E-3</v>
      </c>
    </row>
    <row r="450" spans="1:3">
      <c r="A450" s="119">
        <v>41479</v>
      </c>
      <c r="B450" s="121">
        <v>36.802017211914063</v>
      </c>
      <c r="C450" s="120">
        <f>IFERROR(yf_data[[#This Row],[Close Price]]/B449-1,0)</f>
        <v>2.131213220938788E-3</v>
      </c>
    </row>
    <row r="451" spans="1:3">
      <c r="A451" s="119">
        <v>41480</v>
      </c>
      <c r="B451" s="121">
        <v>37.784679412841797</v>
      </c>
      <c r="C451" s="120">
        <f>IFERROR(yf_data[[#This Row],[Close Price]]/B450-1,0)</f>
        <v>2.6701313552171646E-2</v>
      </c>
    </row>
    <row r="452" spans="1:3">
      <c r="A452" s="119">
        <v>41481</v>
      </c>
      <c r="B452" s="121">
        <v>38.410793304443359</v>
      </c>
      <c r="C452" s="120">
        <f>IFERROR(yf_data[[#This Row],[Close Price]]/B451-1,0)</f>
        <v>1.6570575728869885E-2</v>
      </c>
    </row>
    <row r="453" spans="1:3">
      <c r="A453" s="119">
        <v>41484</v>
      </c>
      <c r="B453" s="121">
        <v>38.562980651855469</v>
      </c>
      <c r="C453" s="120">
        <f>IFERROR(yf_data[[#This Row],[Close Price]]/B452-1,0)</f>
        <v>3.9620985228259187E-3</v>
      </c>
    </row>
    <row r="454" spans="1:3">
      <c r="A454" s="119">
        <v>41485</v>
      </c>
      <c r="B454" s="121">
        <v>38.497760772705078</v>
      </c>
      <c r="C454" s="120">
        <f>IFERROR(yf_data[[#This Row],[Close Price]]/B453-1,0)</f>
        <v>-1.6912561749101718E-3</v>
      </c>
    </row>
    <row r="455" spans="1:3">
      <c r="A455" s="119">
        <v>41486</v>
      </c>
      <c r="B455" s="121">
        <v>39.032569885253906</v>
      </c>
      <c r="C455" s="120">
        <f>IFERROR(yf_data[[#This Row],[Close Price]]/B454-1,0)</f>
        <v>1.3891953760801767E-2</v>
      </c>
    </row>
    <row r="456" spans="1:3">
      <c r="A456" s="119">
        <v>41487</v>
      </c>
      <c r="B456" s="121">
        <v>39.371719360351563</v>
      </c>
      <c r="C456" s="120">
        <f>IFERROR(yf_data[[#This Row],[Close Price]]/B455-1,0)</f>
        <v>8.6888840805172673E-3</v>
      </c>
    </row>
    <row r="457" spans="1:3">
      <c r="A457" s="119">
        <v>41488</v>
      </c>
      <c r="B457" s="121">
        <v>39.180404663085938</v>
      </c>
      <c r="C457" s="120">
        <f>IFERROR(yf_data[[#This Row],[Close Price]]/B456-1,0)</f>
        <v>-4.8591908195475542E-3</v>
      </c>
    </row>
    <row r="458" spans="1:3">
      <c r="A458" s="119">
        <v>41491</v>
      </c>
      <c r="B458" s="121">
        <v>38.949962615966797</v>
      </c>
      <c r="C458" s="120">
        <f>IFERROR(yf_data[[#This Row],[Close Price]]/B457-1,0)</f>
        <v>-5.881563733216133E-3</v>
      </c>
    </row>
    <row r="459" spans="1:3">
      <c r="A459" s="119">
        <v>41492</v>
      </c>
      <c r="B459" s="121">
        <v>39.484767913818359</v>
      </c>
      <c r="C459" s="120">
        <f>IFERROR(yf_data[[#This Row],[Close Price]]/B458-1,0)</f>
        <v>1.3730572815295217E-2</v>
      </c>
    </row>
    <row r="460" spans="1:3">
      <c r="A460" s="119">
        <v>41493</v>
      </c>
      <c r="B460" s="121">
        <v>39.671741485595703</v>
      </c>
      <c r="C460" s="120">
        <f>IFERROR(yf_data[[#This Row],[Close Price]]/B459-1,0)</f>
        <v>4.7353341973654928E-3</v>
      </c>
    </row>
    <row r="461" spans="1:3">
      <c r="A461" s="119">
        <v>41494</v>
      </c>
      <c r="B461" s="121">
        <v>39.854354858398438</v>
      </c>
      <c r="C461" s="120">
        <f>IFERROR(yf_data[[#This Row],[Close Price]]/B460-1,0)</f>
        <v>4.6031095677774303E-3</v>
      </c>
    </row>
    <row r="462" spans="1:3">
      <c r="A462" s="119">
        <v>41495</v>
      </c>
      <c r="B462" s="121">
        <v>39.963062286376953</v>
      </c>
      <c r="C462" s="120">
        <f>IFERROR(yf_data[[#This Row],[Close Price]]/B461-1,0)</f>
        <v>2.7276173046772989E-3</v>
      </c>
    </row>
    <row r="463" spans="1:3">
      <c r="A463" s="119">
        <v>41498</v>
      </c>
      <c r="B463" s="121">
        <v>39.080398559570313</v>
      </c>
      <c r="C463" s="120">
        <f>IFERROR(yf_data[[#This Row],[Close Price]]/B462-1,0)</f>
        <v>-2.2086989242251609E-2</v>
      </c>
    </row>
    <row r="464" spans="1:3">
      <c r="A464" s="119">
        <v>41499</v>
      </c>
      <c r="B464" s="121">
        <v>38.736900329589837</v>
      </c>
      <c r="C464" s="120">
        <f>IFERROR(yf_data[[#This Row],[Close Price]]/B463-1,0)</f>
        <v>-8.7895272986246997E-3</v>
      </c>
    </row>
    <row r="465" spans="1:3">
      <c r="A465" s="119">
        <v>41500</v>
      </c>
      <c r="B465" s="121">
        <v>39.176059722900391</v>
      </c>
      <c r="C465" s="120">
        <f>IFERROR(yf_data[[#This Row],[Close Price]]/B464-1,0)</f>
        <v>1.1336978167432177E-2</v>
      </c>
    </row>
    <row r="466" spans="1:3">
      <c r="A466" s="119">
        <v>41501</v>
      </c>
      <c r="B466" s="121">
        <v>39.228237152099609</v>
      </c>
      <c r="C466" s="120">
        <f>IFERROR(yf_data[[#This Row],[Close Price]]/B465-1,0)</f>
        <v>1.3318702689417705E-3</v>
      </c>
    </row>
    <row r="467" spans="1:3">
      <c r="A467" s="119">
        <v>41502</v>
      </c>
      <c r="B467" s="121">
        <v>39.310844421386719</v>
      </c>
      <c r="C467" s="120">
        <f>IFERROR(yf_data[[#This Row],[Close Price]]/B466-1,0)</f>
        <v>2.1058114074006262E-3</v>
      </c>
    </row>
    <row r="468" spans="1:3">
      <c r="A468" s="119">
        <v>41505</v>
      </c>
      <c r="B468" s="121">
        <v>39.028224945068359</v>
      </c>
      <c r="C468" s="120">
        <f>IFERROR(yf_data[[#This Row],[Close Price]]/B467-1,0)</f>
        <v>-7.1893514494082433E-3</v>
      </c>
    </row>
    <row r="469" spans="1:3">
      <c r="A469" s="119">
        <v>41506</v>
      </c>
      <c r="B469" s="121">
        <v>38.210788726806641</v>
      </c>
      <c r="C469" s="120">
        <f>IFERROR(yf_data[[#This Row],[Close Price]]/B468-1,0)</f>
        <v>-2.0944744973983465E-2</v>
      </c>
    </row>
    <row r="470" spans="1:3">
      <c r="A470" s="119">
        <v>41507</v>
      </c>
      <c r="B470" s="121">
        <v>37.797718048095703</v>
      </c>
      <c r="C470" s="120">
        <f>IFERROR(yf_data[[#This Row],[Close Price]]/B469-1,0)</f>
        <v>-1.0810315423328332E-2</v>
      </c>
    </row>
    <row r="471" spans="1:3">
      <c r="A471" s="119">
        <v>41508</v>
      </c>
      <c r="B471" s="121">
        <v>38.258617401123047</v>
      </c>
      <c r="C471" s="120">
        <f>IFERROR(yf_data[[#This Row],[Close Price]]/B470-1,0)</f>
        <v>1.2193840708607739E-2</v>
      </c>
    </row>
    <row r="472" spans="1:3">
      <c r="A472" s="119">
        <v>41509</v>
      </c>
      <c r="B472" s="121">
        <v>38.654296875</v>
      </c>
      <c r="C472" s="120">
        <f>IFERROR(yf_data[[#This Row],[Close Price]]/B471-1,0)</f>
        <v>1.0342231391386791E-2</v>
      </c>
    </row>
    <row r="473" spans="1:3">
      <c r="A473" s="119">
        <v>41512</v>
      </c>
      <c r="B473" s="121">
        <v>38.702125549316406</v>
      </c>
      <c r="C473" s="120">
        <f>IFERROR(yf_data[[#This Row],[Close Price]]/B472-1,0)</f>
        <v>1.2373443105451187E-3</v>
      </c>
    </row>
    <row r="474" spans="1:3">
      <c r="A474" s="119">
        <v>41513</v>
      </c>
      <c r="B474" s="121">
        <v>38.067306518554688</v>
      </c>
      <c r="C474" s="120">
        <f>IFERROR(yf_data[[#This Row],[Close Price]]/B473-1,0)</f>
        <v>-1.6402691628727095E-2</v>
      </c>
    </row>
    <row r="475" spans="1:3">
      <c r="A475" s="119">
        <v>41514</v>
      </c>
      <c r="B475" s="121">
        <v>37.123775482177734</v>
      </c>
      <c r="C475" s="120">
        <f>IFERROR(yf_data[[#This Row],[Close Price]]/B474-1,0)</f>
        <v>-2.4785862795862923E-2</v>
      </c>
    </row>
    <row r="476" spans="1:3">
      <c r="A476" s="119">
        <v>41515</v>
      </c>
      <c r="B476" s="121">
        <v>37.74554443359375</v>
      </c>
      <c r="C476" s="120">
        <f>IFERROR(yf_data[[#This Row],[Close Price]]/B475-1,0)</f>
        <v>1.674853765114781E-2</v>
      </c>
    </row>
    <row r="477" spans="1:3">
      <c r="A477" s="119">
        <v>41516</v>
      </c>
      <c r="B477" s="121">
        <v>37.919467926025391</v>
      </c>
      <c r="C477" s="120">
        <f>IFERROR(yf_data[[#This Row],[Close Price]]/B476-1,0)</f>
        <v>4.6077886818569613E-3</v>
      </c>
    </row>
    <row r="478" spans="1:3">
      <c r="A478" s="119">
        <v>41519</v>
      </c>
      <c r="B478" s="121">
        <v>38.828212738037109</v>
      </c>
      <c r="C478" s="120">
        <f>IFERROR(yf_data[[#This Row],[Close Price]]/B477-1,0)</f>
        <v>2.3965125612641192E-2</v>
      </c>
    </row>
    <row r="479" spans="1:3">
      <c r="A479" s="119">
        <v>41520</v>
      </c>
      <c r="B479" s="121">
        <v>38.532546997070313</v>
      </c>
      <c r="C479" s="120">
        <f>IFERROR(yf_data[[#This Row],[Close Price]]/B478-1,0)</f>
        <v>-7.6147141502899141E-3</v>
      </c>
    </row>
    <row r="480" spans="1:3">
      <c r="A480" s="119">
        <v>41521</v>
      </c>
      <c r="B480" s="121">
        <v>38.806472778320313</v>
      </c>
      <c r="C480" s="120">
        <f>IFERROR(yf_data[[#This Row],[Close Price]]/B479-1,0)</f>
        <v>7.1089456212387603E-3</v>
      </c>
    </row>
    <row r="481" spans="1:3">
      <c r="A481" s="119">
        <v>41522</v>
      </c>
      <c r="B481" s="121">
        <v>39.210842132568359</v>
      </c>
      <c r="C481" s="120">
        <f>IFERROR(yf_data[[#This Row],[Close Price]]/B480-1,0)</f>
        <v>1.0420152240013802E-2</v>
      </c>
    </row>
    <row r="482" spans="1:3">
      <c r="A482" s="119">
        <v>41523</v>
      </c>
      <c r="B482" s="121">
        <v>39.471725463867188</v>
      </c>
      <c r="C482" s="120">
        <f>IFERROR(yf_data[[#This Row],[Close Price]]/B481-1,0)</f>
        <v>6.653346806906324E-3</v>
      </c>
    </row>
    <row r="483" spans="1:3">
      <c r="A483" s="119">
        <v>41526</v>
      </c>
      <c r="B483" s="121">
        <v>39.549991607666016</v>
      </c>
      <c r="C483" s="120">
        <f>IFERROR(yf_data[[#This Row],[Close Price]]/B482-1,0)</f>
        <v>1.9828407012627558E-3</v>
      </c>
    </row>
    <row r="484" spans="1:3">
      <c r="A484" s="119">
        <v>41527</v>
      </c>
      <c r="B484" s="121">
        <v>40.302207946777344</v>
      </c>
      <c r="C484" s="120">
        <f>IFERROR(yf_data[[#This Row],[Close Price]]/B483-1,0)</f>
        <v>1.9019380498819682E-2</v>
      </c>
    </row>
    <row r="485" spans="1:3">
      <c r="A485" s="119">
        <v>41528</v>
      </c>
      <c r="B485" s="121">
        <v>40.006542205810547</v>
      </c>
      <c r="C485" s="120">
        <f>IFERROR(yf_data[[#This Row],[Close Price]]/B484-1,0)</f>
        <v>-7.3362169476484107E-3</v>
      </c>
    </row>
    <row r="486" spans="1:3">
      <c r="A486" s="119">
        <v>41529</v>
      </c>
      <c r="B486" s="121">
        <v>39.349983215332031</v>
      </c>
      <c r="C486" s="120">
        <f>IFERROR(yf_data[[#This Row],[Close Price]]/B485-1,0)</f>
        <v>-1.6411290610943041E-2</v>
      </c>
    </row>
    <row r="487" spans="1:3">
      <c r="A487" s="119">
        <v>41530</v>
      </c>
      <c r="B487" s="121">
        <v>38.963008880615234</v>
      </c>
      <c r="C487" s="120">
        <f>IFERROR(yf_data[[#This Row],[Close Price]]/B486-1,0)</f>
        <v>-9.8341677199501598E-3</v>
      </c>
    </row>
    <row r="488" spans="1:3">
      <c r="A488" s="119">
        <v>41533</v>
      </c>
      <c r="B488" s="121">
        <v>39.202152252197266</v>
      </c>
      <c r="C488" s="120">
        <f>IFERROR(yf_data[[#This Row],[Close Price]]/B487-1,0)</f>
        <v>6.1377028738920369E-3</v>
      </c>
    </row>
    <row r="489" spans="1:3">
      <c r="A489" s="119">
        <v>41534</v>
      </c>
      <c r="B489" s="121">
        <v>39.219539642333984</v>
      </c>
      <c r="C489" s="120">
        <f>IFERROR(yf_data[[#This Row],[Close Price]]/B488-1,0)</f>
        <v>4.4353151900589083E-4</v>
      </c>
    </row>
    <row r="490" spans="1:3">
      <c r="A490" s="119">
        <v>41535</v>
      </c>
      <c r="B490" s="121">
        <v>40.389167785644531</v>
      </c>
      <c r="C490" s="120">
        <f>IFERROR(yf_data[[#This Row],[Close Price]]/B489-1,0)</f>
        <v>2.9822587260765143E-2</v>
      </c>
    </row>
    <row r="491" spans="1:3">
      <c r="A491" s="119">
        <v>41536</v>
      </c>
      <c r="B491" s="121">
        <v>41.089202880859375</v>
      </c>
      <c r="C491" s="120">
        <f>IFERROR(yf_data[[#This Row],[Close Price]]/B490-1,0)</f>
        <v>1.7332248560557373E-2</v>
      </c>
    </row>
    <row r="492" spans="1:3">
      <c r="A492" s="119">
        <v>41537</v>
      </c>
      <c r="B492" s="121">
        <v>40.841365814208984</v>
      </c>
      <c r="C492" s="120">
        <f>IFERROR(yf_data[[#This Row],[Close Price]]/B491-1,0)</f>
        <v>-6.0316834904052818E-3</v>
      </c>
    </row>
    <row r="493" spans="1:3">
      <c r="A493" s="119">
        <v>41540</v>
      </c>
      <c r="B493" s="121">
        <v>40.006542205810547</v>
      </c>
      <c r="C493" s="120">
        <f>IFERROR(yf_data[[#This Row],[Close Price]]/B492-1,0)</f>
        <v>-2.0440638841416892E-2</v>
      </c>
    </row>
    <row r="494" spans="1:3">
      <c r="A494" s="119">
        <v>41541</v>
      </c>
      <c r="B494" s="121">
        <v>40.089149475097656</v>
      </c>
      <c r="C494" s="120">
        <f>IFERROR(yf_data[[#This Row],[Close Price]]/B493-1,0)</f>
        <v>2.064844016314682E-3</v>
      </c>
    </row>
    <row r="495" spans="1:3">
      <c r="A495" s="119">
        <v>41542</v>
      </c>
      <c r="B495" s="121">
        <v>40.532657623291016</v>
      </c>
      <c r="C495" s="120">
        <f>IFERROR(yf_data[[#This Row],[Close Price]]/B494-1,0)</f>
        <v>1.1063047083821331E-2</v>
      </c>
    </row>
    <row r="496" spans="1:3">
      <c r="A496" s="119">
        <v>41543</v>
      </c>
      <c r="B496" s="121">
        <v>40.889194488525391</v>
      </c>
      <c r="C496" s="120">
        <f>IFERROR(yf_data[[#This Row],[Close Price]]/B495-1,0)</f>
        <v>8.7962864055946E-3</v>
      </c>
    </row>
    <row r="497" spans="1:3">
      <c r="A497" s="119">
        <v>41544</v>
      </c>
      <c r="B497" s="121">
        <v>41.263134002685547</v>
      </c>
      <c r="C497" s="120">
        <f>IFERROR(yf_data[[#This Row],[Close Price]]/B496-1,0)</f>
        <v>9.145191506892969E-3</v>
      </c>
    </row>
    <row r="498" spans="1:3">
      <c r="A498" s="119">
        <v>41547</v>
      </c>
      <c r="B498" s="121">
        <v>40.954421997070313</v>
      </c>
      <c r="C498" s="120">
        <f>IFERROR(yf_data[[#This Row],[Close Price]]/B497-1,0)</f>
        <v>-7.4815452843485231E-3</v>
      </c>
    </row>
    <row r="499" spans="1:3">
      <c r="A499" s="119">
        <v>41548</v>
      </c>
      <c r="B499" s="121">
        <v>42.032737731933594</v>
      </c>
      <c r="C499" s="120">
        <f>IFERROR(yf_data[[#This Row],[Close Price]]/B498-1,0)</f>
        <v>2.6329653362960892E-2</v>
      </c>
    </row>
    <row r="500" spans="1:3">
      <c r="A500" s="119">
        <v>41549</v>
      </c>
      <c r="B500" s="121">
        <v>42.241447448730469</v>
      </c>
      <c r="C500" s="120">
        <f>IFERROR(yf_data[[#This Row],[Close Price]]/B499-1,0)</f>
        <v>4.9654085852779417E-3</v>
      </c>
    </row>
    <row r="501" spans="1:3">
      <c r="A501" s="119">
        <v>41550</v>
      </c>
      <c r="B501" s="121">
        <v>42.254486083984375</v>
      </c>
      <c r="C501" s="120">
        <f>IFERROR(yf_data[[#This Row],[Close Price]]/B500-1,0)</f>
        <v>3.0866923463568341E-4</v>
      </c>
    </row>
    <row r="502" spans="1:3">
      <c r="A502" s="119">
        <v>41551</v>
      </c>
      <c r="B502" s="121">
        <v>42.793647766113281</v>
      </c>
      <c r="C502" s="120">
        <f>IFERROR(yf_data[[#This Row],[Close Price]]/B501-1,0)</f>
        <v>1.2759868409173869E-2</v>
      </c>
    </row>
    <row r="503" spans="1:3">
      <c r="A503" s="119">
        <v>41554</v>
      </c>
      <c r="B503" s="121">
        <v>43.741519927978509</v>
      </c>
      <c r="C503" s="120">
        <f>IFERROR(yf_data[[#This Row],[Close Price]]/B502-1,0)</f>
        <v>2.2149833242676165E-2</v>
      </c>
    </row>
    <row r="504" spans="1:3">
      <c r="A504" s="119">
        <v>41555</v>
      </c>
      <c r="B504" s="121">
        <v>42.606685638427734</v>
      </c>
      <c r="C504" s="120">
        <f>IFERROR(yf_data[[#This Row],[Close Price]]/B503-1,0)</f>
        <v>-2.5944098225651691E-2</v>
      </c>
    </row>
    <row r="505" spans="1:3">
      <c r="A505" s="119">
        <v>41556</v>
      </c>
      <c r="B505" s="121">
        <v>41.684894561767578</v>
      </c>
      <c r="C505" s="120">
        <f>IFERROR(yf_data[[#This Row],[Close Price]]/B504-1,0)</f>
        <v>-2.1634892807263495E-2</v>
      </c>
    </row>
    <row r="506" spans="1:3">
      <c r="A506" s="119">
        <v>41557</v>
      </c>
      <c r="B506" s="121">
        <v>42.002304077148438</v>
      </c>
      <c r="C506" s="120">
        <f>IFERROR(yf_data[[#This Row],[Close Price]]/B505-1,0)</f>
        <v>7.6144972589657911E-3</v>
      </c>
    </row>
    <row r="507" spans="1:3">
      <c r="A507" s="119">
        <v>41558</v>
      </c>
      <c r="B507" s="121">
        <v>42.411018371582031</v>
      </c>
      <c r="C507" s="120">
        <f>IFERROR(yf_data[[#This Row],[Close Price]]/B506-1,0)</f>
        <v>9.7307589051038867E-3</v>
      </c>
    </row>
    <row r="508" spans="1:3">
      <c r="A508" s="119">
        <v>41561</v>
      </c>
      <c r="B508" s="121">
        <v>42.541458129882813</v>
      </c>
      <c r="C508" s="120">
        <f>IFERROR(yf_data[[#This Row],[Close Price]]/B507-1,0)</f>
        <v>3.0756101435229777E-3</v>
      </c>
    </row>
    <row r="509" spans="1:3">
      <c r="A509" s="119">
        <v>41562</v>
      </c>
      <c r="B509" s="121">
        <v>42.211006164550781</v>
      </c>
      <c r="C509" s="120">
        <f>IFERROR(yf_data[[#This Row],[Close Price]]/B508-1,0)</f>
        <v>-7.7677630212658055E-3</v>
      </c>
    </row>
    <row r="510" spans="1:3">
      <c r="A510" s="119">
        <v>41563</v>
      </c>
      <c r="B510" s="121">
        <v>42.015346527099609</v>
      </c>
      <c r="C510" s="120">
        <f>IFERROR(yf_data[[#This Row],[Close Price]]/B509-1,0)</f>
        <v>-4.6352753755367626E-3</v>
      </c>
    </row>
    <row r="511" spans="1:3">
      <c r="A511" s="119">
        <v>41564</v>
      </c>
      <c r="B511" s="121">
        <v>42.145790100097656</v>
      </c>
      <c r="C511" s="120">
        <f>IFERROR(yf_data[[#This Row],[Close Price]]/B510-1,0)</f>
        <v>3.1046649327028941E-3</v>
      </c>
    </row>
    <row r="512" spans="1:3">
      <c r="A512" s="119">
        <v>41565</v>
      </c>
      <c r="B512" s="121">
        <v>42.576244354248047</v>
      </c>
      <c r="C512" s="120">
        <f>IFERROR(yf_data[[#This Row],[Close Price]]/B511-1,0)</f>
        <v>1.0213457930864367E-2</v>
      </c>
    </row>
    <row r="513" spans="1:3">
      <c r="A513" s="119">
        <v>41568</v>
      </c>
      <c r="B513" s="121">
        <v>41.763156890869141</v>
      </c>
      <c r="C513" s="120">
        <f>IFERROR(yf_data[[#This Row],[Close Price]]/B512-1,0)</f>
        <v>-1.909720962266559E-2</v>
      </c>
    </row>
    <row r="514" spans="1:3">
      <c r="A514" s="119">
        <v>41569</v>
      </c>
      <c r="B514" s="121">
        <v>41.471839904785149</v>
      </c>
      <c r="C514" s="120">
        <f>IFERROR(yf_data[[#This Row],[Close Price]]/B513-1,0)</f>
        <v>-6.9754541507776047E-3</v>
      </c>
    </row>
    <row r="515" spans="1:3">
      <c r="A515" s="119">
        <v>41570</v>
      </c>
      <c r="B515" s="121">
        <v>41.132686614990234</v>
      </c>
      <c r="C515" s="120">
        <f>IFERROR(yf_data[[#This Row],[Close Price]]/B514-1,0)</f>
        <v>-8.1779176080341021E-3</v>
      </c>
    </row>
    <row r="516" spans="1:3">
      <c r="A516" s="119">
        <v>41571</v>
      </c>
      <c r="B516" s="121">
        <v>42.089263916015625</v>
      </c>
      <c r="C516" s="120">
        <f>IFERROR(yf_data[[#This Row],[Close Price]]/B515-1,0)</f>
        <v>2.3255891597335543E-2</v>
      </c>
    </row>
    <row r="517" spans="1:3">
      <c r="A517" s="119">
        <v>41572</v>
      </c>
      <c r="B517" s="121">
        <v>42.645816802978509</v>
      </c>
      <c r="C517" s="120">
        <f>IFERROR(yf_data[[#This Row],[Close Price]]/B516-1,0)</f>
        <v>1.3223155626418626E-2</v>
      </c>
    </row>
    <row r="518" spans="1:3">
      <c r="A518" s="119">
        <v>41575</v>
      </c>
      <c r="B518" s="121">
        <v>42.297969818115234</v>
      </c>
      <c r="C518" s="120">
        <f>IFERROR(yf_data[[#This Row],[Close Price]]/B517-1,0)</f>
        <v>-8.1566496069311878E-3</v>
      </c>
    </row>
    <row r="519" spans="1:3">
      <c r="A519" s="119">
        <v>41576</v>
      </c>
      <c r="B519" s="121">
        <v>42.898002624511719</v>
      </c>
      <c r="C519" s="120">
        <f>IFERROR(yf_data[[#This Row],[Close Price]]/B518-1,0)</f>
        <v>1.4185853575873208E-2</v>
      </c>
    </row>
    <row r="520" spans="1:3">
      <c r="A520" s="119">
        <v>41577</v>
      </c>
      <c r="B520" s="121">
        <v>43.724136352539063</v>
      </c>
      <c r="C520" s="120">
        <f>IFERROR(yf_data[[#This Row],[Close Price]]/B519-1,0)</f>
        <v>1.9258093092550999E-2</v>
      </c>
    </row>
    <row r="521" spans="1:3">
      <c r="A521" s="119">
        <v>41578</v>
      </c>
      <c r="B521" s="121">
        <v>44.0111083984375</v>
      </c>
      <c r="C521" s="120">
        <f>IFERROR(yf_data[[#This Row],[Close Price]]/B520-1,0)</f>
        <v>6.5632410343028358E-3</v>
      </c>
    </row>
    <row r="522" spans="1:3">
      <c r="A522" s="119">
        <v>41579</v>
      </c>
      <c r="B522" s="121">
        <v>44.0111083984375</v>
      </c>
      <c r="C522" s="120">
        <f>IFERROR(yf_data[[#This Row],[Close Price]]/B521-1,0)</f>
        <v>0</v>
      </c>
    </row>
    <row r="523" spans="1:3">
      <c r="A523" s="119">
        <v>41582</v>
      </c>
      <c r="B523" s="121">
        <v>45.228561401367188</v>
      </c>
      <c r="C523" s="120">
        <f>IFERROR(yf_data[[#This Row],[Close Price]]/B522-1,0)</f>
        <v>2.7662402680431297E-2</v>
      </c>
    </row>
    <row r="524" spans="1:3">
      <c r="A524" s="119">
        <v>41583</v>
      </c>
      <c r="B524" s="121">
        <v>45.793807983398438</v>
      </c>
      <c r="C524" s="120">
        <f>IFERROR(yf_data[[#This Row],[Close Price]]/B523-1,0)</f>
        <v>1.2497558279936039E-2</v>
      </c>
    </row>
    <row r="525" spans="1:3">
      <c r="A525" s="119">
        <v>41584</v>
      </c>
      <c r="B525" s="121">
        <v>46.532981872558594</v>
      </c>
      <c r="C525" s="120">
        <f>IFERROR(yf_data[[#This Row],[Close Price]]/B524-1,0)</f>
        <v>1.614135014559448E-2</v>
      </c>
    </row>
    <row r="526" spans="1:3">
      <c r="A526" s="119">
        <v>41585</v>
      </c>
      <c r="B526" s="121">
        <v>46.646030426025391</v>
      </c>
      <c r="C526" s="120">
        <f>IFERROR(yf_data[[#This Row],[Close Price]]/B525-1,0)</f>
        <v>2.4294285239747637E-3</v>
      </c>
    </row>
    <row r="527" spans="1:3">
      <c r="A527" s="119">
        <v>41586</v>
      </c>
      <c r="B527" s="121">
        <v>46.472110748291016</v>
      </c>
      <c r="C527" s="120">
        <f>IFERROR(yf_data[[#This Row],[Close Price]]/B526-1,0)</f>
        <v>-3.7284989986487993E-3</v>
      </c>
    </row>
    <row r="528" spans="1:3">
      <c r="A528" s="119">
        <v>41589</v>
      </c>
      <c r="B528" s="121">
        <v>46.785167694091797</v>
      </c>
      <c r="C528" s="120">
        <f>IFERROR(yf_data[[#This Row],[Close Price]]/B527-1,0)</f>
        <v>6.7364477481215435E-3</v>
      </c>
    </row>
    <row r="529" spans="1:3">
      <c r="A529" s="119">
        <v>41590</v>
      </c>
      <c r="B529" s="121">
        <v>45.524227142333984</v>
      </c>
      <c r="C529" s="120">
        <f>IFERROR(yf_data[[#This Row],[Close Price]]/B528-1,0)</f>
        <v>-2.6951715979785851E-2</v>
      </c>
    </row>
    <row r="530" spans="1:3">
      <c r="A530" s="119">
        <v>41591</v>
      </c>
      <c r="B530" s="121">
        <v>45.011161804199219</v>
      </c>
      <c r="C530" s="120">
        <f>IFERROR(yf_data[[#This Row],[Close Price]]/B529-1,0)</f>
        <v>-1.1270160315531297E-2</v>
      </c>
    </row>
    <row r="531" spans="1:3">
      <c r="A531" s="119">
        <v>41592</v>
      </c>
      <c r="B531" s="121">
        <v>45.863380432128906</v>
      </c>
      <c r="C531" s="120">
        <f>IFERROR(yf_data[[#This Row],[Close Price]]/B530-1,0)</f>
        <v>1.8933495465788708E-2</v>
      </c>
    </row>
    <row r="532" spans="1:3">
      <c r="A532" s="119">
        <v>41593</v>
      </c>
      <c r="B532" s="121">
        <v>45.176387786865234</v>
      </c>
      <c r="C532" s="120">
        <f>IFERROR(yf_data[[#This Row],[Close Price]]/B531-1,0)</f>
        <v>-1.497911054071388E-2</v>
      </c>
    </row>
    <row r="533" spans="1:3">
      <c r="A533" s="119">
        <v>41596</v>
      </c>
      <c r="B533" s="121">
        <v>46.272102355957031</v>
      </c>
      <c r="C533" s="120">
        <f>IFERROR(yf_data[[#This Row],[Close Price]]/B532-1,0)</f>
        <v>2.4254142988616056E-2</v>
      </c>
    </row>
    <row r="534" spans="1:3">
      <c r="A534" s="119">
        <v>41597</v>
      </c>
      <c r="B534" s="121">
        <v>45.532928466796875</v>
      </c>
      <c r="C534" s="120">
        <f>IFERROR(yf_data[[#This Row],[Close Price]]/B533-1,0)</f>
        <v>-1.5974504107764909E-2</v>
      </c>
    </row>
    <row r="535" spans="1:3">
      <c r="A535" s="119">
        <v>41598</v>
      </c>
      <c r="B535" s="121">
        <v>45.376399993896477</v>
      </c>
      <c r="C535" s="120">
        <f>IFERROR(yf_data[[#This Row],[Close Price]]/B534-1,0)</f>
        <v>-3.4376983464733391E-3</v>
      </c>
    </row>
    <row r="536" spans="1:3">
      <c r="A536" s="119">
        <v>41599</v>
      </c>
      <c r="B536" s="121">
        <v>44.706798553466797</v>
      </c>
      <c r="C536" s="120">
        <f>IFERROR(yf_data[[#This Row],[Close Price]]/B535-1,0)</f>
        <v>-1.4756601240286771E-2</v>
      </c>
    </row>
    <row r="537" spans="1:3">
      <c r="A537" s="119">
        <v>41600</v>
      </c>
      <c r="B537" s="121">
        <v>44.993766784667969</v>
      </c>
      <c r="C537" s="120">
        <f>IFERROR(yf_data[[#This Row],[Close Price]]/B536-1,0)</f>
        <v>6.4188946756715826E-3</v>
      </c>
    </row>
    <row r="538" spans="1:3">
      <c r="A538" s="119">
        <v>41603</v>
      </c>
      <c r="B538" s="121">
        <v>45.419879913330078</v>
      </c>
      <c r="C538" s="120">
        <f>IFERROR(yf_data[[#This Row],[Close Price]]/B537-1,0)</f>
        <v>9.4704924506856525E-3</v>
      </c>
    </row>
    <row r="539" spans="1:3">
      <c r="A539" s="119">
        <v>41604</v>
      </c>
      <c r="B539" s="121">
        <v>44.811149597167969</v>
      </c>
      <c r="C539" s="120">
        <f>IFERROR(yf_data[[#This Row],[Close Price]]/B538-1,0)</f>
        <v>-1.3402288102119297E-2</v>
      </c>
    </row>
    <row r="540" spans="1:3">
      <c r="A540" s="119">
        <v>41605</v>
      </c>
      <c r="B540" s="121">
        <v>45.5416259765625</v>
      </c>
      <c r="C540" s="120">
        <f>IFERROR(yf_data[[#This Row],[Close Price]]/B539-1,0)</f>
        <v>1.630121936083273E-2</v>
      </c>
    </row>
    <row r="541" spans="1:3">
      <c r="A541" s="119">
        <v>41606</v>
      </c>
      <c r="B541" s="121">
        <v>45.802509307861328</v>
      </c>
      <c r="C541" s="120">
        <f>IFERROR(yf_data[[#This Row],[Close Price]]/B540-1,0)</f>
        <v>5.7284588704209494E-3</v>
      </c>
    </row>
    <row r="542" spans="1:3">
      <c r="A542" s="119">
        <v>41607</v>
      </c>
      <c r="B542" s="121">
        <v>45.445968627929688</v>
      </c>
      <c r="C542" s="120">
        <f>IFERROR(yf_data[[#This Row],[Close Price]]/B541-1,0)</f>
        <v>-7.7843045134308175E-3</v>
      </c>
    </row>
    <row r="543" spans="1:3">
      <c r="A543" s="119">
        <v>41610</v>
      </c>
      <c r="B543" s="121">
        <v>46.176445007324219</v>
      </c>
      <c r="C543" s="120">
        <f>IFERROR(yf_data[[#This Row],[Close Price]]/B542-1,0)</f>
        <v>1.6073513260879357E-2</v>
      </c>
    </row>
    <row r="544" spans="1:3">
      <c r="A544" s="119">
        <v>41611</v>
      </c>
      <c r="B544" s="121">
        <v>44.463302612304688</v>
      </c>
      <c r="C544" s="120">
        <f>IFERROR(yf_data[[#This Row],[Close Price]]/B543-1,0)</f>
        <v>-3.7099919553092553E-2</v>
      </c>
    </row>
    <row r="545" spans="1:3">
      <c r="A545" s="119">
        <v>41612</v>
      </c>
      <c r="B545" s="121">
        <v>44.037193298339837</v>
      </c>
      <c r="C545" s="120">
        <f>IFERROR(yf_data[[#This Row],[Close Price]]/B544-1,0)</f>
        <v>-9.5833932463426086E-3</v>
      </c>
    </row>
    <row r="546" spans="1:3">
      <c r="A546" s="119">
        <v>41613</v>
      </c>
      <c r="B546" s="121">
        <v>43.389331817626953</v>
      </c>
      <c r="C546" s="120">
        <f>IFERROR(yf_data[[#This Row],[Close Price]]/B545-1,0)</f>
        <v>-1.4711688738285433E-2</v>
      </c>
    </row>
    <row r="547" spans="1:3">
      <c r="A547" s="119">
        <v>41614</v>
      </c>
      <c r="B547" s="121">
        <v>43.550216674804688</v>
      </c>
      <c r="C547" s="120">
        <f>IFERROR(yf_data[[#This Row],[Close Price]]/B546-1,0)</f>
        <v>3.7079358090592596E-3</v>
      </c>
    </row>
    <row r="548" spans="1:3">
      <c r="A548" s="119">
        <v>41617</v>
      </c>
      <c r="B548" s="121">
        <v>43.906753540039063</v>
      </c>
      <c r="C548" s="120">
        <f>IFERROR(yf_data[[#This Row],[Close Price]]/B547-1,0)</f>
        <v>8.1867988831532124E-3</v>
      </c>
    </row>
    <row r="549" spans="1:3">
      <c r="A549" s="119">
        <v>41618</v>
      </c>
      <c r="B549" s="121">
        <v>42.767562866210938</v>
      </c>
      <c r="C549" s="120">
        <f>IFERROR(yf_data[[#This Row],[Close Price]]/B548-1,0)</f>
        <v>-2.5945682201014564E-2</v>
      </c>
    </row>
    <row r="550" spans="1:3">
      <c r="A550" s="119">
        <v>41619</v>
      </c>
      <c r="B550" s="121">
        <v>45.967739105224609</v>
      </c>
      <c r="C550" s="120">
        <f>IFERROR(yf_data[[#This Row],[Close Price]]/B549-1,0)</f>
        <v>7.4827182671706849E-2</v>
      </c>
    </row>
    <row r="551" spans="1:3">
      <c r="A551" s="119">
        <v>41620</v>
      </c>
      <c r="B551" s="121">
        <v>46.541683197021491</v>
      </c>
      <c r="C551" s="120">
        <f>IFERROR(yf_data[[#This Row],[Close Price]]/B550-1,0)</f>
        <v>1.2485802063988194E-2</v>
      </c>
    </row>
    <row r="552" spans="1:3">
      <c r="A552" s="119">
        <v>41621</v>
      </c>
      <c r="B552" s="121">
        <v>46.898220062255859</v>
      </c>
      <c r="C552" s="120">
        <f>IFERROR(yf_data[[#This Row],[Close Price]]/B551-1,0)</f>
        <v>7.6605924140100701E-3</v>
      </c>
    </row>
    <row r="553" spans="1:3">
      <c r="A553" s="119">
        <v>41624</v>
      </c>
      <c r="B553" s="121">
        <v>48.193939208984375</v>
      </c>
      <c r="C553" s="120">
        <f>IFERROR(yf_data[[#This Row],[Close Price]]/B552-1,0)</f>
        <v>2.7628322461033417E-2</v>
      </c>
    </row>
    <row r="554" spans="1:3">
      <c r="A554" s="119">
        <v>41625</v>
      </c>
      <c r="B554" s="121">
        <v>47.341716766357422</v>
      </c>
      <c r="C554" s="120">
        <f>IFERROR(yf_data[[#This Row],[Close Price]]/B553-1,0)</f>
        <v>-1.7683187069051254E-2</v>
      </c>
    </row>
    <row r="555" spans="1:3">
      <c r="A555" s="119">
        <v>41626</v>
      </c>
      <c r="B555" s="121">
        <v>47.828704833984375</v>
      </c>
      <c r="C555" s="120">
        <f>IFERROR(yf_data[[#This Row],[Close Price]]/B554-1,0)</f>
        <v>1.0286658382718805E-2</v>
      </c>
    </row>
    <row r="556" spans="1:3">
      <c r="A556" s="119">
        <v>41627</v>
      </c>
      <c r="B556" s="121">
        <v>48.559185028076172</v>
      </c>
      <c r="C556" s="120">
        <f>IFERROR(yf_data[[#This Row],[Close Price]]/B555-1,0)</f>
        <v>1.5272840789382069E-2</v>
      </c>
    </row>
    <row r="557" spans="1:3">
      <c r="A557" s="119">
        <v>41628</v>
      </c>
      <c r="B557" s="121">
        <v>48.611358642578125</v>
      </c>
      <c r="C557" s="120">
        <f>IFERROR(yf_data[[#This Row],[Close Price]]/B556-1,0)</f>
        <v>1.0744334871308769E-3</v>
      </c>
    </row>
    <row r="558" spans="1:3">
      <c r="A558" s="119">
        <v>41631</v>
      </c>
      <c r="B558" s="121">
        <v>48.620052337646477</v>
      </c>
      <c r="C558" s="120">
        <f>IFERROR(yf_data[[#This Row],[Close Price]]/B557-1,0)</f>
        <v>1.78840816449366E-4</v>
      </c>
    </row>
    <row r="559" spans="1:3">
      <c r="A559" s="119">
        <v>41632</v>
      </c>
      <c r="B559" s="121">
        <v>48.828765869140625</v>
      </c>
      <c r="C559" s="120">
        <f>IFERROR(yf_data[[#This Row],[Close Price]]/B558-1,0)</f>
        <v>4.2927459239392451E-3</v>
      </c>
    </row>
    <row r="560" spans="1:3">
      <c r="A560" s="119">
        <v>41635</v>
      </c>
      <c r="B560" s="121">
        <v>48.907024383544922</v>
      </c>
      <c r="C560" s="120">
        <f>IFERROR(yf_data[[#This Row],[Close Price]]/B559-1,0)</f>
        <v>1.6027133393874404E-3</v>
      </c>
    </row>
    <row r="561" spans="1:3">
      <c r="A561" s="119">
        <v>41638</v>
      </c>
      <c r="B561" s="121">
        <v>48.463520050048828</v>
      </c>
      <c r="C561" s="120">
        <f>IFERROR(yf_data[[#This Row],[Close Price]]/B560-1,0)</f>
        <v>-9.0683156271783583E-3</v>
      </c>
    </row>
    <row r="562" spans="1:3">
      <c r="A562" s="119">
        <v>41639</v>
      </c>
      <c r="B562" s="121">
        <v>48.533092498779297</v>
      </c>
      <c r="C562" s="120">
        <f>IFERROR(yf_data[[#This Row],[Close Price]]/B561-1,0)</f>
        <v>1.4355632578610944E-3</v>
      </c>
    </row>
    <row r="563" spans="1:3">
      <c r="A563" s="119">
        <v>41641</v>
      </c>
      <c r="B563" s="121">
        <v>49.176605224609375</v>
      </c>
      <c r="C563" s="120">
        <f>IFERROR(yf_data[[#This Row],[Close Price]]/B562-1,0)</f>
        <v>1.3259256575217426E-2</v>
      </c>
    </row>
    <row r="564" spans="1:3">
      <c r="A564" s="119">
        <v>41642</v>
      </c>
      <c r="B564" s="121">
        <v>49.046165466308594</v>
      </c>
      <c r="C564" s="120">
        <f>IFERROR(yf_data[[#This Row],[Close Price]]/B563-1,0)</f>
        <v>-2.6524758613371002E-3</v>
      </c>
    </row>
    <row r="565" spans="1:3">
      <c r="A565" s="119">
        <v>41645</v>
      </c>
      <c r="B565" s="121">
        <v>48.202640533447266</v>
      </c>
      <c r="C565" s="120">
        <f>IFERROR(yf_data[[#This Row],[Close Price]]/B564-1,0)</f>
        <v>-1.7198590854992979E-2</v>
      </c>
    </row>
    <row r="566" spans="1:3">
      <c r="A566" s="119">
        <v>41646</v>
      </c>
      <c r="B566" s="121">
        <v>48.620052337646477</v>
      </c>
      <c r="C566" s="120">
        <f>IFERROR(yf_data[[#This Row],[Close Price]]/B565-1,0)</f>
        <v>8.6595215444591478E-3</v>
      </c>
    </row>
    <row r="567" spans="1:3">
      <c r="A567" s="119">
        <v>41647</v>
      </c>
      <c r="B567" s="121">
        <v>48.133064270019531</v>
      </c>
      <c r="C567" s="120">
        <f>IFERROR(yf_data[[#This Row],[Close Price]]/B566-1,0)</f>
        <v>-1.0016197930948545E-2</v>
      </c>
    </row>
    <row r="568" spans="1:3">
      <c r="A568" s="119">
        <v>41648</v>
      </c>
      <c r="B568" s="121">
        <v>47.576515197753906</v>
      </c>
      <c r="C568" s="120">
        <f>IFERROR(yf_data[[#This Row],[Close Price]]/B567-1,0)</f>
        <v>-1.1562718491045287E-2</v>
      </c>
    </row>
    <row r="569" spans="1:3">
      <c r="A569" s="119">
        <v>41649</v>
      </c>
      <c r="B569" s="121">
        <v>48.072200775146477</v>
      </c>
      <c r="C569" s="120">
        <f>IFERROR(yf_data[[#This Row],[Close Price]]/B568-1,0)</f>
        <v>1.0418702911136446E-2</v>
      </c>
    </row>
    <row r="570" spans="1:3">
      <c r="A570" s="119">
        <v>41652</v>
      </c>
      <c r="B570" s="121">
        <v>48.507003784179688</v>
      </c>
      <c r="C570" s="120">
        <f>IFERROR(yf_data[[#This Row],[Close Price]]/B569-1,0)</f>
        <v>9.0447910023292444E-3</v>
      </c>
    </row>
    <row r="571" spans="1:3">
      <c r="A571" s="119">
        <v>41653</v>
      </c>
      <c r="B571" s="121">
        <v>48.785282135009766</v>
      </c>
      <c r="C571" s="120">
        <f>IFERROR(yf_data[[#This Row],[Close Price]]/B570-1,0)</f>
        <v>5.7368695058597208E-3</v>
      </c>
    </row>
    <row r="572" spans="1:3">
      <c r="A572" s="119">
        <v>41654</v>
      </c>
      <c r="B572" s="121">
        <v>49.254867553710938</v>
      </c>
      <c r="C572" s="120">
        <f>IFERROR(yf_data[[#This Row],[Close Price]]/B571-1,0)</f>
        <v>9.6255550475576879E-3</v>
      </c>
    </row>
    <row r="573" spans="1:3">
      <c r="A573" s="119">
        <v>41655</v>
      </c>
      <c r="B573" s="121">
        <v>49.559238433837891</v>
      </c>
      <c r="C573" s="120">
        <f>IFERROR(yf_data[[#This Row],[Close Price]]/B572-1,0)</f>
        <v>6.1795086504912167E-3</v>
      </c>
    </row>
    <row r="574" spans="1:3">
      <c r="A574" s="119">
        <v>41656</v>
      </c>
      <c r="B574" s="121">
        <v>49.594020843505859</v>
      </c>
      <c r="C574" s="120">
        <f>IFERROR(yf_data[[#This Row],[Close Price]]/B573-1,0)</f>
        <v>7.018350315128874E-4</v>
      </c>
    </row>
    <row r="575" spans="1:3">
      <c r="A575" s="119">
        <v>41659</v>
      </c>
      <c r="B575" s="121">
        <v>49.576629638671875</v>
      </c>
      <c r="C575" s="120">
        <f>IFERROR(yf_data[[#This Row],[Close Price]]/B574-1,0)</f>
        <v>-3.5067140228173255E-4</v>
      </c>
    </row>
    <row r="576" spans="1:3">
      <c r="A576" s="119">
        <v>41660</v>
      </c>
      <c r="B576" s="121">
        <v>49.56793212890625</v>
      </c>
      <c r="C576" s="120">
        <f>IFERROR(yf_data[[#This Row],[Close Price]]/B575-1,0)</f>
        <v>-1.7543568066269444E-4</v>
      </c>
    </row>
    <row r="577" spans="1:3">
      <c r="A577" s="119">
        <v>41661</v>
      </c>
      <c r="B577" s="121">
        <v>49.654891967773438</v>
      </c>
      <c r="C577" s="120">
        <f>IFERROR(yf_data[[#This Row],[Close Price]]/B576-1,0)</f>
        <v>1.7543568015110367E-3</v>
      </c>
    </row>
    <row r="578" spans="1:3">
      <c r="A578" s="119">
        <v>41662</v>
      </c>
      <c r="B578" s="121">
        <v>47.741744995117188</v>
      </c>
      <c r="C578" s="120">
        <f>IFERROR(yf_data[[#This Row],[Close Price]]/B577-1,0)</f>
        <v>-3.8528871916545526E-2</v>
      </c>
    </row>
    <row r="579" spans="1:3">
      <c r="A579" s="119">
        <v>41663</v>
      </c>
      <c r="B579" s="121">
        <v>45.898162841796875</v>
      </c>
      <c r="C579" s="120">
        <f>IFERROR(yf_data[[#This Row],[Close Price]]/B578-1,0)</f>
        <v>-3.8615726205836531E-2</v>
      </c>
    </row>
    <row r="580" spans="1:3">
      <c r="A580" s="119">
        <v>41666</v>
      </c>
      <c r="B580" s="121">
        <v>45.880771636962891</v>
      </c>
      <c r="C580" s="120">
        <f>IFERROR(yf_data[[#This Row],[Close Price]]/B579-1,0)</f>
        <v>-3.789085174047413E-4</v>
      </c>
    </row>
    <row r="581" spans="1:3">
      <c r="A581" s="119">
        <v>41667</v>
      </c>
      <c r="B581" s="121">
        <v>47.680870056152344</v>
      </c>
      <c r="C581" s="120">
        <f>IFERROR(yf_data[[#This Row],[Close Price]]/B580-1,0)</f>
        <v>3.9234266446801502E-2</v>
      </c>
    </row>
    <row r="582" spans="1:3">
      <c r="A582" s="119">
        <v>41668</v>
      </c>
      <c r="B582" s="121">
        <v>46.576461791992188</v>
      </c>
      <c r="C582" s="120">
        <f>IFERROR(yf_data[[#This Row],[Close Price]]/B581-1,0)</f>
        <v>-2.3162502338139546E-2</v>
      </c>
    </row>
    <row r="583" spans="1:3">
      <c r="A583" s="119">
        <v>41669</v>
      </c>
      <c r="B583" s="121">
        <v>46.263404846191406</v>
      </c>
      <c r="C583" s="120">
        <f>IFERROR(yf_data[[#This Row],[Close Price]]/B582-1,0)</f>
        <v>-6.7213552458939008E-3</v>
      </c>
    </row>
    <row r="584" spans="1:3">
      <c r="A584" s="119">
        <v>41670</v>
      </c>
      <c r="B584" s="121">
        <v>45.750328063964851</v>
      </c>
      <c r="C584" s="120">
        <f>IFERROR(yf_data[[#This Row],[Close Price]]/B583-1,0)</f>
        <v>-1.1090337685528029E-2</v>
      </c>
    </row>
    <row r="585" spans="1:3">
      <c r="A585" s="119">
        <v>41673</v>
      </c>
      <c r="B585" s="121">
        <v>45.202476501464851</v>
      </c>
      <c r="C585" s="120">
        <f>IFERROR(yf_data[[#This Row],[Close Price]]/B584-1,0)</f>
        <v>-1.1974811672039398E-2</v>
      </c>
    </row>
    <row r="586" spans="1:3">
      <c r="A586" s="119">
        <v>41674</v>
      </c>
      <c r="B586" s="121">
        <v>45.359004974365234</v>
      </c>
      <c r="C586" s="120">
        <f>IFERROR(yf_data[[#This Row],[Close Price]]/B585-1,0)</f>
        <v>3.4628295840231083E-3</v>
      </c>
    </row>
    <row r="587" spans="1:3">
      <c r="A587" s="119">
        <v>41675</v>
      </c>
      <c r="B587" s="121">
        <v>44.454608917236328</v>
      </c>
      <c r="C587" s="120">
        <f>IFERROR(yf_data[[#This Row],[Close Price]]/B586-1,0)</f>
        <v>-1.9938622058398914E-2</v>
      </c>
    </row>
    <row r="588" spans="1:3">
      <c r="A588" s="119">
        <v>41676</v>
      </c>
      <c r="B588" s="121">
        <v>45.393791198730469</v>
      </c>
      <c r="C588" s="120">
        <f>IFERROR(yf_data[[#This Row],[Close Price]]/B587-1,0)</f>
        <v>2.1126769627929143E-2</v>
      </c>
    </row>
    <row r="589" spans="1:3">
      <c r="A589" s="119">
        <v>41677</v>
      </c>
      <c r="B589" s="121">
        <v>45.663364410400391</v>
      </c>
      <c r="C589" s="120">
        <f>IFERROR(yf_data[[#This Row],[Close Price]]/B588-1,0)</f>
        <v>5.9385480822642389E-3</v>
      </c>
    </row>
    <row r="590" spans="1:3">
      <c r="A590" s="119">
        <v>41680</v>
      </c>
      <c r="B590" s="121">
        <v>45.611194610595703</v>
      </c>
      <c r="C590" s="120">
        <f>IFERROR(yf_data[[#This Row],[Close Price]]/B589-1,0)</f>
        <v>-1.1424869910112712E-3</v>
      </c>
    </row>
    <row r="591" spans="1:3">
      <c r="A591" s="119">
        <v>41681</v>
      </c>
      <c r="B591" s="121">
        <v>46.611244201660163</v>
      </c>
      <c r="C591" s="120">
        <f>IFERROR(yf_data[[#This Row],[Close Price]]/B590-1,0)</f>
        <v>2.1925529458334925E-2</v>
      </c>
    </row>
    <row r="592" spans="1:3">
      <c r="A592" s="119">
        <v>41682</v>
      </c>
      <c r="B592" s="121">
        <v>46.298187255859375</v>
      </c>
      <c r="C592" s="120">
        <f>IFERROR(yf_data[[#This Row],[Close Price]]/B591-1,0)</f>
        <v>-6.7163396120980545E-3</v>
      </c>
    </row>
    <row r="593" spans="1:3">
      <c r="A593" s="119">
        <v>41683</v>
      </c>
      <c r="B593" s="121">
        <v>45.332916259765625</v>
      </c>
      <c r="C593" s="120">
        <f>IFERROR(yf_data[[#This Row],[Close Price]]/B592-1,0)</f>
        <v>-2.0849001943841539E-2</v>
      </c>
    </row>
    <row r="594" spans="1:3">
      <c r="A594" s="119">
        <v>41684</v>
      </c>
      <c r="B594" s="121">
        <v>46.263404846191406</v>
      </c>
      <c r="C594" s="120">
        <f>IFERROR(yf_data[[#This Row],[Close Price]]/B593-1,0)</f>
        <v>2.0525672363408409E-2</v>
      </c>
    </row>
    <row r="595" spans="1:3">
      <c r="A595" s="119">
        <v>41687</v>
      </c>
      <c r="B595" s="121">
        <v>45.828598022460938</v>
      </c>
      <c r="C595" s="120">
        <f>IFERROR(yf_data[[#This Row],[Close Price]]/B594-1,0)</f>
        <v>-9.3985046101997538E-3</v>
      </c>
    </row>
    <row r="596" spans="1:3">
      <c r="A596" s="119">
        <v>41688</v>
      </c>
      <c r="B596" s="121">
        <v>46.072090148925781</v>
      </c>
      <c r="C596" s="120">
        <f>IFERROR(yf_data[[#This Row],[Close Price]]/B595-1,0)</f>
        <v>5.3131044145295903E-3</v>
      </c>
    </row>
    <row r="597" spans="1:3">
      <c r="A597" s="119">
        <v>41689</v>
      </c>
      <c r="B597" s="121">
        <v>45.950344085693359</v>
      </c>
      <c r="C597" s="120">
        <f>IFERROR(yf_data[[#This Row],[Close Price]]/B596-1,0)</f>
        <v>-2.6425122636911658E-3</v>
      </c>
    </row>
    <row r="598" spans="1:3">
      <c r="A598" s="119">
        <v>41690</v>
      </c>
      <c r="B598" s="121">
        <v>45.715549468994141</v>
      </c>
      <c r="C598" s="120">
        <f>IFERROR(yf_data[[#This Row],[Close Price]]/B597-1,0)</f>
        <v>-5.1097466487159959E-3</v>
      </c>
    </row>
    <row r="599" spans="1:3">
      <c r="A599" s="119">
        <v>41691</v>
      </c>
      <c r="B599" s="121">
        <v>45.550319671630859</v>
      </c>
      <c r="C599" s="120">
        <f>IFERROR(yf_data[[#This Row],[Close Price]]/B598-1,0)</f>
        <v>-3.614301901267658E-3</v>
      </c>
    </row>
    <row r="600" spans="1:3">
      <c r="A600" s="119">
        <v>41694</v>
      </c>
      <c r="B600" s="121">
        <v>46.150348663330078</v>
      </c>
      <c r="C600" s="120">
        <f>IFERROR(yf_data[[#This Row],[Close Price]]/B599-1,0)</f>
        <v>1.3172882122996832E-2</v>
      </c>
    </row>
    <row r="601" spans="1:3">
      <c r="A601" s="119">
        <v>41695</v>
      </c>
      <c r="B601" s="121">
        <v>46.185142517089837</v>
      </c>
      <c r="C601" s="120">
        <f>IFERROR(yf_data[[#This Row],[Close Price]]/B600-1,0)</f>
        <v>7.53923963036085E-4</v>
      </c>
    </row>
    <row r="602" spans="1:3">
      <c r="A602" s="119">
        <v>41696</v>
      </c>
      <c r="B602" s="121">
        <v>46.933006286621094</v>
      </c>
      <c r="C602" s="120">
        <f>IFERROR(yf_data[[#This Row],[Close Price]]/B601-1,0)</f>
        <v>1.6192734909381779E-2</v>
      </c>
    </row>
    <row r="603" spans="1:3">
      <c r="A603" s="119">
        <v>41697</v>
      </c>
      <c r="B603" s="121">
        <v>46.767776489257813</v>
      </c>
      <c r="C603" s="120">
        <f>IFERROR(yf_data[[#This Row],[Close Price]]/B602-1,0)</f>
        <v>-3.5205457829446951E-3</v>
      </c>
    </row>
    <row r="604" spans="1:3">
      <c r="A604" s="119">
        <v>41698</v>
      </c>
      <c r="B604" s="121">
        <v>46.428627014160163</v>
      </c>
      <c r="C604" s="120">
        <f>IFERROR(yf_data[[#This Row],[Close Price]]/B603-1,0)</f>
        <v>-7.2517767693220936E-3</v>
      </c>
    </row>
    <row r="605" spans="1:3">
      <c r="A605" s="119">
        <v>41701</v>
      </c>
      <c r="B605" s="121">
        <v>44.958988189697266</v>
      </c>
      <c r="C605" s="120">
        <f>IFERROR(yf_data[[#This Row],[Close Price]]/B604-1,0)</f>
        <v>-3.165372139940037E-2</v>
      </c>
    </row>
    <row r="606" spans="1:3">
      <c r="A606" s="119">
        <v>41702</v>
      </c>
      <c r="B606" s="121">
        <v>46.402542114257813</v>
      </c>
      <c r="C606" s="120">
        <f>IFERROR(yf_data[[#This Row],[Close Price]]/B605-1,0)</f>
        <v>3.2108238701229252E-2</v>
      </c>
    </row>
    <row r="607" spans="1:3">
      <c r="A607" s="119">
        <v>41703</v>
      </c>
      <c r="B607" s="121">
        <v>45.872077941894531</v>
      </c>
      <c r="C607" s="120">
        <f>IFERROR(yf_data[[#This Row],[Close Price]]/B606-1,0)</f>
        <v>-1.1431791194911445E-2</v>
      </c>
    </row>
    <row r="608" spans="1:3">
      <c r="A608" s="119">
        <v>41704</v>
      </c>
      <c r="B608" s="121">
        <v>46.054695129394531</v>
      </c>
      <c r="C608" s="120">
        <f>IFERROR(yf_data[[#This Row],[Close Price]]/B607-1,0)</f>
        <v>3.9810097055406057E-3</v>
      </c>
    </row>
    <row r="609" spans="1:3">
      <c r="A609" s="119">
        <v>41705</v>
      </c>
      <c r="B609" s="121">
        <v>44.619838714599609</v>
      </c>
      <c r="C609" s="120">
        <f>IFERROR(yf_data[[#This Row],[Close Price]]/B608-1,0)</f>
        <v>-3.1155486118485287E-2</v>
      </c>
    </row>
    <row r="610" spans="1:3">
      <c r="A610" s="119">
        <v>41708</v>
      </c>
      <c r="B610" s="121">
        <v>43.906753540039063</v>
      </c>
      <c r="C610" s="120">
        <f>IFERROR(yf_data[[#This Row],[Close Price]]/B609-1,0)</f>
        <v>-1.5981348097684256E-2</v>
      </c>
    </row>
    <row r="611" spans="1:3">
      <c r="A611" s="119">
        <v>41709</v>
      </c>
      <c r="B611" s="121">
        <v>43.793701171875</v>
      </c>
      <c r="C611" s="120">
        <f>IFERROR(yf_data[[#This Row],[Close Price]]/B610-1,0)</f>
        <v>-2.5748286778016771E-3</v>
      </c>
    </row>
    <row r="612" spans="1:3">
      <c r="A612" s="119">
        <v>41710</v>
      </c>
      <c r="B612" s="121">
        <v>43.567604064941406</v>
      </c>
      <c r="C612" s="120">
        <f>IFERROR(yf_data[[#This Row],[Close Price]]/B611-1,0)</f>
        <v>-5.1627768579376454E-3</v>
      </c>
    </row>
    <row r="613" spans="1:3">
      <c r="A613" s="119">
        <v>41711</v>
      </c>
      <c r="B613" s="121">
        <v>43.576301574707031</v>
      </c>
      <c r="C613" s="120">
        <f>IFERROR(yf_data[[#This Row],[Close Price]]/B612-1,0)</f>
        <v>1.9963250108179231E-4</v>
      </c>
    </row>
    <row r="614" spans="1:3">
      <c r="A614" s="119">
        <v>41712</v>
      </c>
      <c r="B614" s="121">
        <v>43.445858001708984</v>
      </c>
      <c r="C614" s="120">
        <f>IFERROR(yf_data[[#This Row],[Close Price]]/B613-1,0)</f>
        <v>-2.9934521353175425E-3</v>
      </c>
    </row>
    <row r="615" spans="1:3">
      <c r="A615" s="119">
        <v>41715</v>
      </c>
      <c r="B615" s="121">
        <v>43.793701171875</v>
      </c>
      <c r="C615" s="120">
        <f>IFERROR(yf_data[[#This Row],[Close Price]]/B614-1,0)</f>
        <v>8.0063597812323195E-3</v>
      </c>
    </row>
    <row r="616" spans="1:3">
      <c r="A616" s="119">
        <v>41716</v>
      </c>
      <c r="B616" s="121">
        <v>43.958927154541016</v>
      </c>
      <c r="C616" s="120">
        <f>IFERROR(yf_data[[#This Row],[Close Price]]/B615-1,0)</f>
        <v>3.7728252749764657E-3</v>
      </c>
    </row>
    <row r="617" spans="1:3">
      <c r="A617" s="119">
        <v>41717</v>
      </c>
      <c r="B617" s="121">
        <v>44.637226104736328</v>
      </c>
      <c r="C617" s="120">
        <f>IFERROR(yf_data[[#This Row],[Close Price]]/B616-1,0)</f>
        <v>1.5430289001610475E-2</v>
      </c>
    </row>
    <row r="618" spans="1:3">
      <c r="A618" s="119">
        <v>41718</v>
      </c>
      <c r="B618" s="121">
        <v>45.654678344726563</v>
      </c>
      <c r="C618" s="120">
        <f>IFERROR(yf_data[[#This Row],[Close Price]]/B617-1,0)</f>
        <v>2.2793805278197521E-2</v>
      </c>
    </row>
    <row r="619" spans="1:3">
      <c r="A619" s="119">
        <v>41719</v>
      </c>
      <c r="B619" s="121">
        <v>45.132904052734375</v>
      </c>
      <c r="C619" s="120">
        <f>IFERROR(yf_data[[#This Row],[Close Price]]/B618-1,0)</f>
        <v>-1.1428714666488426E-2</v>
      </c>
    </row>
    <row r="620" spans="1:3">
      <c r="A620" s="119">
        <v>41722</v>
      </c>
      <c r="B620" s="121">
        <v>44.506782531738281</v>
      </c>
      <c r="C620" s="120">
        <f>IFERROR(yf_data[[#This Row],[Close Price]]/B619-1,0)</f>
        <v>-1.3872839209826071E-2</v>
      </c>
    </row>
    <row r="621" spans="1:3">
      <c r="A621" s="119">
        <v>41723</v>
      </c>
      <c r="B621" s="121">
        <v>45.228561401367188</v>
      </c>
      <c r="C621" s="120">
        <f>IFERROR(yf_data[[#This Row],[Close Price]]/B620-1,0)</f>
        <v>1.6217278099449173E-2</v>
      </c>
    </row>
    <row r="622" spans="1:3">
      <c r="A622" s="119">
        <v>41724</v>
      </c>
      <c r="B622" s="121">
        <v>45.967739105224609</v>
      </c>
      <c r="C622" s="120">
        <f>IFERROR(yf_data[[#This Row],[Close Price]]/B621-1,0)</f>
        <v>1.6343161952417917E-2</v>
      </c>
    </row>
    <row r="623" spans="1:3">
      <c r="A623" s="119">
        <v>41725</v>
      </c>
      <c r="B623" s="121">
        <v>45.393791198730469</v>
      </c>
      <c r="C623" s="120">
        <f>IFERROR(yf_data[[#This Row],[Close Price]]/B622-1,0)</f>
        <v>-1.2485885050389722E-2</v>
      </c>
    </row>
    <row r="624" spans="1:3">
      <c r="A624" s="119">
        <v>41726</v>
      </c>
      <c r="B624" s="121">
        <v>45.74163818359375</v>
      </c>
      <c r="C624" s="120">
        <f>IFERROR(yf_data[[#This Row],[Close Price]]/B623-1,0)</f>
        <v>7.6628758179821954E-3</v>
      </c>
    </row>
    <row r="625" spans="1:3">
      <c r="A625" s="119">
        <v>41729</v>
      </c>
      <c r="B625" s="121">
        <v>45.211174011230469</v>
      </c>
      <c r="C625" s="120">
        <f>IFERROR(yf_data[[#This Row],[Close Price]]/B624-1,0)</f>
        <v>-1.1596964897368833E-2</v>
      </c>
    </row>
    <row r="626" spans="1:3">
      <c r="A626" s="119">
        <v>41730</v>
      </c>
      <c r="B626" s="121">
        <v>45.976432800292969</v>
      </c>
      <c r="C626" s="120">
        <f>IFERROR(yf_data[[#This Row],[Close Price]]/B625-1,0)</f>
        <v>1.6926319782636146E-2</v>
      </c>
    </row>
    <row r="627" spans="1:3">
      <c r="A627" s="119">
        <v>41731</v>
      </c>
      <c r="B627" s="121">
        <v>45.645984649658203</v>
      </c>
      <c r="C627" s="120">
        <f>IFERROR(yf_data[[#This Row],[Close Price]]/B626-1,0)</f>
        <v>-7.187337740405586E-3</v>
      </c>
    </row>
    <row r="628" spans="1:3">
      <c r="A628" s="119">
        <v>41732</v>
      </c>
      <c r="B628" s="121">
        <v>46.193828582763672</v>
      </c>
      <c r="C628" s="120">
        <f>IFERROR(yf_data[[#This Row],[Close Price]]/B627-1,0)</f>
        <v>1.2002018081333388E-2</v>
      </c>
    </row>
    <row r="629" spans="1:3">
      <c r="A629" s="119">
        <v>41733</v>
      </c>
      <c r="B629" s="121">
        <v>46.959091186523438</v>
      </c>
      <c r="C629" s="120">
        <f>IFERROR(yf_data[[#This Row],[Close Price]]/B628-1,0)</f>
        <v>1.6566338561625704E-2</v>
      </c>
    </row>
    <row r="630" spans="1:3">
      <c r="A630" s="119">
        <v>41736</v>
      </c>
      <c r="B630" s="121">
        <v>46.367755889892578</v>
      </c>
      <c r="C630" s="120">
        <f>IFERROR(yf_data[[#This Row],[Close Price]]/B629-1,0)</f>
        <v>-1.2592562626096204E-2</v>
      </c>
    </row>
    <row r="631" spans="1:3">
      <c r="A631" s="119">
        <v>41737</v>
      </c>
      <c r="B631" s="121">
        <v>44.654621124267578</v>
      </c>
      <c r="C631" s="120">
        <f>IFERROR(yf_data[[#This Row],[Close Price]]/B630-1,0)</f>
        <v>-3.6946682726960223E-2</v>
      </c>
    </row>
    <row r="632" spans="1:3">
      <c r="A632" s="119">
        <v>41738</v>
      </c>
      <c r="B632" s="121">
        <v>44.367645263671875</v>
      </c>
      <c r="C632" s="120">
        <f>IFERROR(yf_data[[#This Row],[Close Price]]/B631-1,0)</f>
        <v>-6.4265657925322017E-3</v>
      </c>
    </row>
    <row r="633" spans="1:3">
      <c r="A633" s="119">
        <v>41739</v>
      </c>
      <c r="B633" s="121">
        <v>43.541511535644531</v>
      </c>
      <c r="C633" s="120">
        <f>IFERROR(yf_data[[#This Row],[Close Price]]/B632-1,0)</f>
        <v>-1.8620184215721314E-2</v>
      </c>
    </row>
    <row r="634" spans="1:3">
      <c r="A634" s="119">
        <v>41740</v>
      </c>
      <c r="B634" s="121">
        <v>43.31976318359375</v>
      </c>
      <c r="C634" s="120">
        <f>IFERROR(yf_data[[#This Row],[Close Price]]/B633-1,0)</f>
        <v>-5.0928032635993992E-3</v>
      </c>
    </row>
    <row r="635" spans="1:3">
      <c r="A635" s="119">
        <v>41743</v>
      </c>
      <c r="B635" s="121">
        <v>42.615375518798828</v>
      </c>
      <c r="C635" s="120">
        <f>IFERROR(yf_data[[#This Row],[Close Price]]/B634-1,0)</f>
        <v>-1.6260191954643233E-2</v>
      </c>
    </row>
    <row r="636" spans="1:3">
      <c r="A636" s="119">
        <v>41744</v>
      </c>
      <c r="B636" s="121">
        <v>42.6632080078125</v>
      </c>
      <c r="C636" s="120">
        <f>IFERROR(yf_data[[#This Row],[Close Price]]/B635-1,0)</f>
        <v>1.1224232669866385E-3</v>
      </c>
    </row>
    <row r="637" spans="1:3">
      <c r="A637" s="119">
        <v>41745</v>
      </c>
      <c r="B637" s="121">
        <v>43.99371337890625</v>
      </c>
      <c r="C637" s="120">
        <f>IFERROR(yf_data[[#This Row],[Close Price]]/B636-1,0)</f>
        <v>3.1186247664500621E-2</v>
      </c>
    </row>
    <row r="638" spans="1:3">
      <c r="A638" s="119">
        <v>41746</v>
      </c>
      <c r="B638" s="121">
        <v>44.637226104736328</v>
      </c>
      <c r="C638" s="120">
        <f>IFERROR(yf_data[[#This Row],[Close Price]]/B637-1,0)</f>
        <v>1.4627379150463415E-2</v>
      </c>
    </row>
    <row r="639" spans="1:3">
      <c r="A639" s="119">
        <v>41751</v>
      </c>
      <c r="B639" s="121">
        <v>44.672008514404297</v>
      </c>
      <c r="C639" s="120">
        <f>IFERROR(yf_data[[#This Row],[Close Price]]/B638-1,0)</f>
        <v>7.7922426421284108E-4</v>
      </c>
    </row>
    <row r="640" spans="1:3">
      <c r="A640" s="119">
        <v>41752</v>
      </c>
      <c r="B640" s="121">
        <v>44.298080444335938</v>
      </c>
      <c r="C640" s="120">
        <f>IFERROR(yf_data[[#This Row],[Close Price]]/B639-1,0)</f>
        <v>-8.3705228957365874E-3</v>
      </c>
    </row>
    <row r="641" spans="1:3">
      <c r="A641" s="119">
        <v>41753</v>
      </c>
      <c r="B641" s="121">
        <v>44.245903015136719</v>
      </c>
      <c r="C641" s="120">
        <f>IFERROR(yf_data[[#This Row],[Close Price]]/B640-1,0)</f>
        <v>-1.1778711103471728E-3</v>
      </c>
    </row>
    <row r="642" spans="1:3">
      <c r="A642" s="119">
        <v>41754</v>
      </c>
      <c r="B642" s="121">
        <v>43.8284912109375</v>
      </c>
      <c r="C642" s="120">
        <f>IFERROR(yf_data[[#This Row],[Close Price]]/B641-1,0)</f>
        <v>-9.4339085825961844E-3</v>
      </c>
    </row>
    <row r="643" spans="1:3">
      <c r="A643" s="119">
        <v>41757</v>
      </c>
      <c r="B643" s="121">
        <v>43.8284912109375</v>
      </c>
      <c r="C643" s="120">
        <f>IFERROR(yf_data[[#This Row],[Close Price]]/B642-1,0)</f>
        <v>0</v>
      </c>
    </row>
    <row r="644" spans="1:3">
      <c r="A644" s="119">
        <v>41758</v>
      </c>
      <c r="B644" s="121">
        <v>43.558906555175781</v>
      </c>
      <c r="C644" s="120">
        <f>IFERROR(yf_data[[#This Row],[Close Price]]/B643-1,0)</f>
        <v>-6.150899752954353E-3</v>
      </c>
    </row>
    <row r="645" spans="1:3">
      <c r="A645" s="119">
        <v>41759</v>
      </c>
      <c r="B645" s="121">
        <v>43.037139892578125</v>
      </c>
      <c r="C645" s="120">
        <f>IFERROR(yf_data[[#This Row],[Close Price]]/B644-1,0)</f>
        <v>-1.1978415067346537E-2</v>
      </c>
    </row>
    <row r="646" spans="1:3">
      <c r="A646" s="119">
        <v>41760</v>
      </c>
      <c r="B646" s="121">
        <v>43.037139892578125</v>
      </c>
      <c r="C646" s="120">
        <f>IFERROR(yf_data[[#This Row],[Close Price]]/B645-1,0)</f>
        <v>0</v>
      </c>
    </row>
    <row r="647" spans="1:3">
      <c r="A647" s="119">
        <v>41761</v>
      </c>
      <c r="B647" s="121">
        <v>42.828437805175781</v>
      </c>
      <c r="C647" s="120">
        <f>IFERROR(yf_data[[#This Row],[Close Price]]/B646-1,0)</f>
        <v>-4.8493484446984203E-3</v>
      </c>
    </row>
    <row r="648" spans="1:3">
      <c r="A648" s="119">
        <v>41764</v>
      </c>
      <c r="B648" s="121">
        <v>42.728420257568359</v>
      </c>
      <c r="C648" s="120">
        <f>IFERROR(yf_data[[#This Row],[Close Price]]/B647-1,0)</f>
        <v>-2.335306929998171E-3</v>
      </c>
    </row>
    <row r="649" spans="1:3">
      <c r="A649" s="119">
        <v>41765</v>
      </c>
      <c r="B649" s="121">
        <v>42.476242065429688</v>
      </c>
      <c r="C649" s="120">
        <f>IFERROR(yf_data[[#This Row],[Close Price]]/B648-1,0)</f>
        <v>-5.9018842872854416E-3</v>
      </c>
    </row>
    <row r="650" spans="1:3">
      <c r="A650" s="119">
        <v>41766</v>
      </c>
      <c r="B650" s="121">
        <v>42.224048614501953</v>
      </c>
      <c r="C650" s="120">
        <f>IFERROR(yf_data[[#This Row],[Close Price]]/B649-1,0)</f>
        <v>-5.9372825528977158E-3</v>
      </c>
    </row>
    <row r="651" spans="1:3">
      <c r="A651" s="119">
        <v>41767</v>
      </c>
      <c r="B651" s="121">
        <v>42.258834838867188</v>
      </c>
      <c r="C651" s="120">
        <f>IFERROR(yf_data[[#This Row],[Close Price]]/B650-1,0)</f>
        <v>8.2384862434259354E-4</v>
      </c>
    </row>
    <row r="652" spans="1:3">
      <c r="A652" s="119">
        <v>41768</v>
      </c>
      <c r="B652" s="121">
        <v>42.315361022949219</v>
      </c>
      <c r="C652" s="120">
        <f>IFERROR(yf_data[[#This Row],[Close Price]]/B651-1,0)</f>
        <v>1.3376181406223875E-3</v>
      </c>
    </row>
    <row r="653" spans="1:3">
      <c r="A653" s="119">
        <v>41771</v>
      </c>
      <c r="B653" s="121">
        <v>43.037139892578125</v>
      </c>
      <c r="C653" s="120">
        <f>IFERROR(yf_data[[#This Row],[Close Price]]/B652-1,0)</f>
        <v>1.7057136041860987E-2</v>
      </c>
    </row>
    <row r="654" spans="1:3">
      <c r="A654" s="119">
        <v>41772</v>
      </c>
      <c r="B654" s="121">
        <v>45.689464569091797</v>
      </c>
      <c r="C654" s="120">
        <f>IFERROR(yf_data[[#This Row],[Close Price]]/B653-1,0)</f>
        <v>6.1628739343133621E-2</v>
      </c>
    </row>
    <row r="655" spans="1:3">
      <c r="A655" s="119">
        <v>41773</v>
      </c>
      <c r="B655" s="121">
        <v>45.193778991699219</v>
      </c>
      <c r="C655" s="120">
        <f>IFERROR(yf_data[[#This Row],[Close Price]]/B654-1,0)</f>
        <v>-1.0849012613028064E-2</v>
      </c>
    </row>
    <row r="656" spans="1:3">
      <c r="A656" s="119">
        <v>41774</v>
      </c>
      <c r="B656" s="121">
        <v>44.219814300537109</v>
      </c>
      <c r="C656" s="120">
        <f>IFERROR(yf_data[[#This Row],[Close Price]]/B655-1,0)</f>
        <v>-2.1550857504989751E-2</v>
      </c>
    </row>
    <row r="657" spans="1:3">
      <c r="A657" s="119">
        <v>41775</v>
      </c>
      <c r="B657" s="121">
        <v>43.802398681640625</v>
      </c>
      <c r="C657" s="120">
        <f>IFERROR(yf_data[[#This Row],[Close Price]]/B656-1,0)</f>
        <v>-9.4395606471693316E-3</v>
      </c>
    </row>
    <row r="658" spans="1:3">
      <c r="A658" s="119">
        <v>41778</v>
      </c>
      <c r="B658" s="121">
        <v>44.628532409667969</v>
      </c>
      <c r="C658" s="120">
        <f>IFERROR(yf_data[[#This Row],[Close Price]]/B657-1,0)</f>
        <v>1.8860467757296773E-2</v>
      </c>
    </row>
    <row r="659" spans="1:3">
      <c r="A659" s="119">
        <v>41779</v>
      </c>
      <c r="B659" s="121">
        <v>44.002407073974609</v>
      </c>
      <c r="C659" s="120">
        <f>IFERROR(yf_data[[#This Row],[Close Price]]/B658-1,0)</f>
        <v>-1.4029709288798431E-2</v>
      </c>
    </row>
    <row r="660" spans="1:3">
      <c r="A660" s="119">
        <v>41780</v>
      </c>
      <c r="B660" s="121">
        <v>43.811100006103523</v>
      </c>
      <c r="C660" s="120">
        <f>IFERROR(yf_data[[#This Row],[Close Price]]/B659-1,0)</f>
        <v>-4.3476500626311587E-3</v>
      </c>
    </row>
    <row r="661" spans="1:3">
      <c r="A661" s="119">
        <v>41781</v>
      </c>
      <c r="B661" s="121">
        <v>44.39373779296875</v>
      </c>
      <c r="C661" s="120">
        <f>IFERROR(yf_data[[#This Row],[Close Price]]/B660-1,0)</f>
        <v>1.3298862315350712E-2</v>
      </c>
    </row>
    <row r="662" spans="1:3">
      <c r="A662" s="119">
        <v>41782</v>
      </c>
      <c r="B662" s="121">
        <v>44.863327026367188</v>
      </c>
      <c r="C662" s="120">
        <f>IFERROR(yf_data[[#This Row],[Close Price]]/B661-1,0)</f>
        <v>1.0577825989520839E-2</v>
      </c>
    </row>
    <row r="663" spans="1:3">
      <c r="A663" s="119">
        <v>41785</v>
      </c>
      <c r="B663" s="121">
        <v>45.002464294433594</v>
      </c>
      <c r="C663" s="120">
        <f>IFERROR(yf_data[[#This Row],[Close Price]]/B662-1,0)</f>
        <v>3.1013586661692294E-3</v>
      </c>
    </row>
    <row r="664" spans="1:3">
      <c r="A664" s="119">
        <v>41786</v>
      </c>
      <c r="B664" s="121">
        <v>45.863380432128906</v>
      </c>
      <c r="C664" s="120">
        <f>IFERROR(yf_data[[#This Row],[Close Price]]/B663-1,0)</f>
        <v>1.9130422104502331E-2</v>
      </c>
    </row>
    <row r="665" spans="1:3">
      <c r="A665" s="119">
        <v>41787</v>
      </c>
      <c r="B665" s="121">
        <v>46.193828582763672</v>
      </c>
      <c r="C665" s="120">
        <f>IFERROR(yf_data[[#This Row],[Close Price]]/B664-1,0)</f>
        <v>7.2050543924424559E-3</v>
      </c>
    </row>
    <row r="666" spans="1:3">
      <c r="A666" s="119">
        <v>41788</v>
      </c>
      <c r="B666" s="121">
        <v>46.440814971923828</v>
      </c>
      <c r="C666" s="120">
        <f>IFERROR(yf_data[[#This Row],[Close Price]]/B665-1,0)</f>
        <v>5.3467399593787324E-3</v>
      </c>
    </row>
    <row r="667" spans="1:3">
      <c r="A667" s="119">
        <v>41789</v>
      </c>
      <c r="B667" s="121">
        <v>46.405529022216797</v>
      </c>
      <c r="C667" s="120">
        <f>IFERROR(yf_data[[#This Row],[Close Price]]/B666-1,0)</f>
        <v>-7.5980470472714057E-4</v>
      </c>
    </row>
    <row r="668" spans="1:3">
      <c r="A668" s="119">
        <v>41792</v>
      </c>
      <c r="B668" s="121">
        <v>47.005336761474609</v>
      </c>
      <c r="C668" s="120">
        <f>IFERROR(yf_data[[#This Row],[Close Price]]/B667-1,0)</f>
        <v>1.2925350747982067E-2</v>
      </c>
    </row>
    <row r="669" spans="1:3">
      <c r="A669" s="119">
        <v>41793</v>
      </c>
      <c r="B669" s="121">
        <v>46.467277526855469</v>
      </c>
      <c r="C669" s="120">
        <f>IFERROR(yf_data[[#This Row],[Close Price]]/B668-1,0)</f>
        <v>-1.144676906261699E-2</v>
      </c>
    </row>
    <row r="670" spans="1:3">
      <c r="A670" s="119">
        <v>41794</v>
      </c>
      <c r="B670" s="121">
        <v>46.352603912353523</v>
      </c>
      <c r="C670" s="120">
        <f>IFERROR(yf_data[[#This Row],[Close Price]]/B669-1,0)</f>
        <v>-2.4678358751633045E-3</v>
      </c>
    </row>
    <row r="671" spans="1:3">
      <c r="A671" s="119">
        <v>41795</v>
      </c>
      <c r="B671" s="121">
        <v>47.172931671142578</v>
      </c>
      <c r="C671" s="120">
        <f>IFERROR(yf_data[[#This Row],[Close Price]]/B670-1,0)</f>
        <v>1.7697555035746992E-2</v>
      </c>
    </row>
    <row r="672" spans="1:3">
      <c r="A672" s="119">
        <v>41796</v>
      </c>
      <c r="B672" s="121">
        <v>47.358158111572266</v>
      </c>
      <c r="C672" s="120">
        <f>IFERROR(yf_data[[#This Row],[Close Price]]/B671-1,0)</f>
        <v>3.9265407908279926E-3</v>
      </c>
    </row>
    <row r="673" spans="1:3">
      <c r="A673" s="119">
        <v>41799</v>
      </c>
      <c r="B673" s="121">
        <v>46.943592071533203</v>
      </c>
      <c r="C673" s="120">
        <f>IFERROR(yf_data[[#This Row],[Close Price]]/B672-1,0)</f>
        <v>-8.7538463607975681E-3</v>
      </c>
    </row>
    <row r="674" spans="1:3">
      <c r="A674" s="119">
        <v>41800</v>
      </c>
      <c r="B674" s="121">
        <v>47.516933441162109</v>
      </c>
      <c r="C674" s="120">
        <f>IFERROR(yf_data[[#This Row],[Close Price]]/B673-1,0)</f>
        <v>1.2213410698423743E-2</v>
      </c>
    </row>
    <row r="675" spans="1:3">
      <c r="A675" s="119">
        <v>41801</v>
      </c>
      <c r="B675" s="121">
        <v>46.052703857421875</v>
      </c>
      <c r="C675" s="120">
        <f>IFERROR(yf_data[[#This Row],[Close Price]]/B674-1,0)</f>
        <v>-3.0814900661746525E-2</v>
      </c>
    </row>
    <row r="676" spans="1:3">
      <c r="A676" s="119">
        <v>41802</v>
      </c>
      <c r="B676" s="121">
        <v>45.726337432861328</v>
      </c>
      <c r="C676" s="120">
        <f>IFERROR(yf_data[[#This Row],[Close Price]]/B675-1,0)</f>
        <v>-7.0868026678948537E-3</v>
      </c>
    </row>
    <row r="677" spans="1:3">
      <c r="A677" s="119">
        <v>41803</v>
      </c>
      <c r="B677" s="121">
        <v>45.232379913330078</v>
      </c>
      <c r="C677" s="120">
        <f>IFERROR(yf_data[[#This Row],[Close Price]]/B676-1,0)</f>
        <v>-1.0802472869306801E-2</v>
      </c>
    </row>
    <row r="678" spans="1:3">
      <c r="A678" s="119">
        <v>41806</v>
      </c>
      <c r="B678" s="121">
        <v>44.579654693603523</v>
      </c>
      <c r="C678" s="120">
        <f>IFERROR(yf_data[[#This Row],[Close Price]]/B677-1,0)</f>
        <v>-1.44304858815133E-2</v>
      </c>
    </row>
    <row r="679" spans="1:3">
      <c r="A679" s="119">
        <v>41807</v>
      </c>
      <c r="B679" s="121">
        <v>44.756065368652344</v>
      </c>
      <c r="C679" s="120">
        <f>IFERROR(yf_data[[#This Row],[Close Price]]/B678-1,0)</f>
        <v>3.9572014691744428E-3</v>
      </c>
    </row>
    <row r="680" spans="1:3">
      <c r="A680" s="119">
        <v>41808</v>
      </c>
      <c r="B680" s="121">
        <v>44.209186553955078</v>
      </c>
      <c r="C680" s="120">
        <f>IFERROR(yf_data[[#This Row],[Close Price]]/B679-1,0)</f>
        <v>-1.2219099471606043E-2</v>
      </c>
    </row>
    <row r="681" spans="1:3">
      <c r="A681" s="119">
        <v>41809</v>
      </c>
      <c r="B681" s="121">
        <v>44.632572174072266</v>
      </c>
      <c r="C681" s="120">
        <f>IFERROR(yf_data[[#This Row],[Close Price]]/B680-1,0)</f>
        <v>9.5768697214202447E-3</v>
      </c>
    </row>
    <row r="682" spans="1:3">
      <c r="A682" s="119">
        <v>41810</v>
      </c>
      <c r="B682" s="121">
        <v>44.270927429199219</v>
      </c>
      <c r="C682" s="120">
        <f>IFERROR(yf_data[[#This Row],[Close Price]]/B681-1,0)</f>
        <v>-8.1027090140041169E-3</v>
      </c>
    </row>
    <row r="683" spans="1:3">
      <c r="A683" s="119">
        <v>41813</v>
      </c>
      <c r="B683" s="121">
        <v>43.534400939941406</v>
      </c>
      <c r="C683" s="120">
        <f>IFERROR(yf_data[[#This Row],[Close Price]]/B682-1,0)</f>
        <v>-1.6636798278863996E-2</v>
      </c>
    </row>
    <row r="684" spans="1:3">
      <c r="A684" s="119">
        <v>41814</v>
      </c>
      <c r="B684" s="121">
        <v>43.221271514892578</v>
      </c>
      <c r="C684" s="120">
        <f>IFERROR(yf_data[[#This Row],[Close Price]]/B683-1,0)</f>
        <v>-7.1926894200475822E-3</v>
      </c>
    </row>
    <row r="685" spans="1:3">
      <c r="A685" s="119">
        <v>41815</v>
      </c>
      <c r="B685" s="121">
        <v>43.265373229980469</v>
      </c>
      <c r="C685" s="120">
        <f>IFERROR(yf_data[[#This Row],[Close Price]]/B684-1,0)</f>
        <v>1.0203706078544261E-3</v>
      </c>
    </row>
    <row r="686" spans="1:3">
      <c r="A686" s="119">
        <v>41816</v>
      </c>
      <c r="B686" s="121">
        <v>42.811111450195313</v>
      </c>
      <c r="C686" s="120">
        <f>IFERROR(yf_data[[#This Row],[Close Price]]/B685-1,0)</f>
        <v>-1.049943051156621E-2</v>
      </c>
    </row>
    <row r="687" spans="1:3">
      <c r="A687" s="119">
        <v>41817</v>
      </c>
      <c r="B687" s="121">
        <v>43.477069854736328</v>
      </c>
      <c r="C687" s="120">
        <f>IFERROR(yf_data[[#This Row],[Close Price]]/B686-1,0)</f>
        <v>1.5555737330383623E-2</v>
      </c>
    </row>
    <row r="688" spans="1:3">
      <c r="A688" s="119">
        <v>41820</v>
      </c>
      <c r="B688" s="121">
        <v>43.168350219726563</v>
      </c>
      <c r="C688" s="120">
        <f>IFERROR(yf_data[[#This Row],[Close Price]]/B687-1,0)</f>
        <v>-7.1007461183848486E-3</v>
      </c>
    </row>
    <row r="689" spans="1:3">
      <c r="A689" s="119">
        <v>41821</v>
      </c>
      <c r="B689" s="121">
        <v>42.290687561035149</v>
      </c>
      <c r="C689" s="120">
        <f>IFERROR(yf_data[[#This Row],[Close Price]]/B688-1,0)</f>
        <v>-2.0331160542946813E-2</v>
      </c>
    </row>
    <row r="690" spans="1:3">
      <c r="A690" s="119">
        <v>41822</v>
      </c>
      <c r="B690" s="121">
        <v>41.712936401367188</v>
      </c>
      <c r="C690" s="120">
        <f>IFERROR(yf_data[[#This Row],[Close Price]]/B689-1,0)</f>
        <v>-1.3661427443905527E-2</v>
      </c>
    </row>
    <row r="691" spans="1:3">
      <c r="A691" s="119">
        <v>41823</v>
      </c>
      <c r="B691" s="121">
        <v>42.131916046142578</v>
      </c>
      <c r="C691" s="120">
        <f>IFERROR(yf_data[[#This Row],[Close Price]]/B690-1,0)</f>
        <v>1.0044357480468724E-2</v>
      </c>
    </row>
    <row r="692" spans="1:3">
      <c r="A692" s="119">
        <v>41824</v>
      </c>
      <c r="B692" s="121">
        <v>42.317146301269531</v>
      </c>
      <c r="C692" s="120">
        <f>IFERROR(yf_data[[#This Row],[Close Price]]/B691-1,0)</f>
        <v>4.3964355887373685E-3</v>
      </c>
    </row>
    <row r="693" spans="1:3">
      <c r="A693" s="119">
        <v>41827</v>
      </c>
      <c r="B693" s="121">
        <v>41.682064056396477</v>
      </c>
      <c r="C693" s="120">
        <f>IFERROR(yf_data[[#This Row],[Close Price]]/B692-1,0)</f>
        <v>-1.5007681291921204E-2</v>
      </c>
    </row>
    <row r="694" spans="1:3">
      <c r="A694" s="119">
        <v>41828</v>
      </c>
      <c r="B694" s="121">
        <v>41.329231262207031</v>
      </c>
      <c r="C694" s="120">
        <f>IFERROR(yf_data[[#This Row],[Close Price]]/B693-1,0)</f>
        <v>-8.4648589789617645E-3</v>
      </c>
    </row>
    <row r="695" spans="1:3">
      <c r="A695" s="119">
        <v>41829</v>
      </c>
      <c r="B695" s="121">
        <v>41.4615478515625</v>
      </c>
      <c r="C695" s="120">
        <f>IFERROR(yf_data[[#This Row],[Close Price]]/B694-1,0)</f>
        <v>3.2015255380872798E-3</v>
      </c>
    </row>
    <row r="696" spans="1:3">
      <c r="A696" s="119">
        <v>41830</v>
      </c>
      <c r="B696" s="121">
        <v>41.293952941894531</v>
      </c>
      <c r="C696" s="120">
        <f>IFERROR(yf_data[[#This Row],[Close Price]]/B695-1,0)</f>
        <v>-4.0421768687454174E-3</v>
      </c>
    </row>
    <row r="697" spans="1:3">
      <c r="A697" s="119">
        <v>41831</v>
      </c>
      <c r="B697" s="121">
        <v>41.554161071777344</v>
      </c>
      <c r="C697" s="120">
        <f>IFERROR(yf_data[[#This Row],[Close Price]]/B696-1,0)</f>
        <v>6.3013616121700977E-3</v>
      </c>
    </row>
    <row r="698" spans="1:3">
      <c r="A698" s="119">
        <v>41834</v>
      </c>
      <c r="B698" s="121">
        <v>41.576213836669922</v>
      </c>
      <c r="C698" s="120">
        <f>IFERROR(yf_data[[#This Row],[Close Price]]/B697-1,0)</f>
        <v>5.3069931683813465E-4</v>
      </c>
    </row>
    <row r="699" spans="1:3">
      <c r="A699" s="119">
        <v>41835</v>
      </c>
      <c r="B699" s="121">
        <v>41.020511627197266</v>
      </c>
      <c r="C699" s="120">
        <f>IFERROR(yf_data[[#This Row],[Close Price]]/B698-1,0)</f>
        <v>-1.3365868562628225E-2</v>
      </c>
    </row>
    <row r="700" spans="1:3">
      <c r="A700" s="119">
        <v>41836</v>
      </c>
      <c r="B700" s="121">
        <v>40.010547637939453</v>
      </c>
      <c r="C700" s="120">
        <f>IFERROR(yf_data[[#This Row],[Close Price]]/B699-1,0)</f>
        <v>-2.4620950573132072E-2</v>
      </c>
    </row>
    <row r="701" spans="1:3">
      <c r="A701" s="119">
        <v>41837</v>
      </c>
      <c r="B701" s="121">
        <v>39.675361633300781</v>
      </c>
      <c r="C701" s="120">
        <f>IFERROR(yf_data[[#This Row],[Close Price]]/B700-1,0)</f>
        <v>-8.377441060587687E-3</v>
      </c>
    </row>
    <row r="702" spans="1:3">
      <c r="A702" s="119">
        <v>41838</v>
      </c>
      <c r="B702" s="121">
        <v>39.234329223632813</v>
      </c>
      <c r="C702" s="120">
        <f>IFERROR(yf_data[[#This Row],[Close Price]]/B701-1,0)</f>
        <v>-1.1116027466723688E-2</v>
      </c>
    </row>
    <row r="703" spans="1:3">
      <c r="A703" s="119">
        <v>41841</v>
      </c>
      <c r="B703" s="121">
        <v>38.184665679931641</v>
      </c>
      <c r="C703" s="120">
        <f>IFERROR(yf_data[[#This Row],[Close Price]]/B702-1,0)</f>
        <v>-2.6753701782899486E-2</v>
      </c>
    </row>
    <row r="704" spans="1:3">
      <c r="A704" s="119">
        <v>41842</v>
      </c>
      <c r="B704" s="121">
        <v>39.168170928955078</v>
      </c>
      <c r="C704" s="120">
        <f>IFERROR(yf_data[[#This Row],[Close Price]]/B703-1,0)</f>
        <v>2.5756549952991481E-2</v>
      </c>
    </row>
    <row r="705" spans="1:3">
      <c r="A705" s="119">
        <v>41843</v>
      </c>
      <c r="B705" s="121">
        <v>39.626846313476563</v>
      </c>
      <c r="C705" s="120">
        <f>IFERROR(yf_data[[#This Row],[Close Price]]/B704-1,0)</f>
        <v>1.1710411123191156E-2</v>
      </c>
    </row>
    <row r="706" spans="1:3">
      <c r="A706" s="119">
        <v>41844</v>
      </c>
      <c r="B706" s="121">
        <v>40.010547637939453</v>
      </c>
      <c r="C706" s="120">
        <f>IFERROR(yf_data[[#This Row],[Close Price]]/B705-1,0)</f>
        <v>9.682863012300702E-3</v>
      </c>
    </row>
    <row r="707" spans="1:3">
      <c r="A707" s="119">
        <v>41845</v>
      </c>
      <c r="B707" s="121">
        <v>39.251964569091797</v>
      </c>
      <c r="C707" s="120">
        <f>IFERROR(yf_data[[#This Row],[Close Price]]/B706-1,0)</f>
        <v>-1.8959577252282811E-2</v>
      </c>
    </row>
    <row r="708" spans="1:3">
      <c r="A708" s="119">
        <v>41848</v>
      </c>
      <c r="B708" s="121">
        <v>38.828578948974609</v>
      </c>
      <c r="C708" s="120">
        <f>IFERROR(yf_data[[#This Row],[Close Price]]/B707-1,0)</f>
        <v>-1.0786354893700612E-2</v>
      </c>
    </row>
    <row r="709" spans="1:3">
      <c r="A709" s="119">
        <v>41849</v>
      </c>
      <c r="B709" s="121">
        <v>38.533084869384766</v>
      </c>
      <c r="C709" s="120">
        <f>IFERROR(yf_data[[#This Row],[Close Price]]/B708-1,0)</f>
        <v>-7.6102213263626872E-3</v>
      </c>
    </row>
    <row r="710" spans="1:3">
      <c r="A710" s="119">
        <v>41850</v>
      </c>
      <c r="B710" s="121">
        <v>39.693000793457031</v>
      </c>
      <c r="C710" s="120">
        <f>IFERROR(yf_data[[#This Row],[Close Price]]/B709-1,0)</f>
        <v>3.0101818424453253E-2</v>
      </c>
    </row>
    <row r="711" spans="1:3">
      <c r="A711" s="119">
        <v>41851</v>
      </c>
      <c r="B711" s="121">
        <v>38.246406555175781</v>
      </c>
      <c r="C711" s="120">
        <f>IFERROR(yf_data[[#This Row],[Close Price]]/B710-1,0)</f>
        <v>-3.6444567288037022E-2</v>
      </c>
    </row>
    <row r="712" spans="1:3">
      <c r="A712" s="119">
        <v>41852</v>
      </c>
      <c r="B712" s="121">
        <v>37.642196655273438</v>
      </c>
      <c r="C712" s="120">
        <f>IFERROR(yf_data[[#This Row],[Close Price]]/B711-1,0)</f>
        <v>-1.5797821398742085E-2</v>
      </c>
    </row>
    <row r="713" spans="1:3">
      <c r="A713" s="119">
        <v>41855</v>
      </c>
      <c r="B713" s="121">
        <v>37.567218780517578</v>
      </c>
      <c r="C713" s="120">
        <f>IFERROR(yf_data[[#This Row],[Close Price]]/B712-1,0)</f>
        <v>-1.9918570492181153E-3</v>
      </c>
    </row>
    <row r="714" spans="1:3">
      <c r="A714" s="119">
        <v>41856</v>
      </c>
      <c r="B714" s="121">
        <v>37.443729400634766</v>
      </c>
      <c r="C714" s="120">
        <f>IFERROR(yf_data[[#This Row],[Close Price]]/B713-1,0)</f>
        <v>-3.2871578970028459E-3</v>
      </c>
    </row>
    <row r="715" spans="1:3">
      <c r="A715" s="119">
        <v>41857</v>
      </c>
      <c r="B715" s="121">
        <v>37.915637969970703</v>
      </c>
      <c r="C715" s="120">
        <f>IFERROR(yf_data[[#This Row],[Close Price]]/B714-1,0)</f>
        <v>1.2603140148960135E-2</v>
      </c>
    </row>
    <row r="716" spans="1:3">
      <c r="A716" s="119">
        <v>41858</v>
      </c>
      <c r="B716" s="121">
        <v>37.540760040283203</v>
      </c>
      <c r="C716" s="120">
        <f>IFERROR(yf_data[[#This Row],[Close Price]]/B715-1,0)</f>
        <v>-9.8871586964830449E-3</v>
      </c>
    </row>
    <row r="717" spans="1:3">
      <c r="A717" s="119">
        <v>41859</v>
      </c>
      <c r="B717" s="121">
        <v>37.236446380615234</v>
      </c>
      <c r="C717" s="120">
        <f>IFERROR(yf_data[[#This Row],[Close Price]]/B716-1,0)</f>
        <v>-8.1062199950513447E-3</v>
      </c>
    </row>
    <row r="718" spans="1:3">
      <c r="A718" s="119">
        <v>41862</v>
      </c>
      <c r="B718" s="121">
        <v>38.233180999755859</v>
      </c>
      <c r="C718" s="120">
        <f>IFERROR(yf_data[[#This Row],[Close Price]]/B717-1,0)</f>
        <v>2.6767715934878034E-2</v>
      </c>
    </row>
    <row r="719" spans="1:3">
      <c r="A719" s="119">
        <v>41863</v>
      </c>
      <c r="B719" s="121">
        <v>37.977382659912109</v>
      </c>
      <c r="C719" s="120">
        <f>IFERROR(yf_data[[#This Row],[Close Price]]/B718-1,0)</f>
        <v>-6.6904801838325589E-3</v>
      </c>
    </row>
    <row r="720" spans="1:3">
      <c r="A720" s="119">
        <v>41864</v>
      </c>
      <c r="B720" s="121">
        <v>38.012664794921875</v>
      </c>
      <c r="C720" s="120">
        <f>IFERROR(yf_data[[#This Row],[Close Price]]/B719-1,0)</f>
        <v>9.2903018951351335E-4</v>
      </c>
    </row>
    <row r="721" spans="1:3">
      <c r="A721" s="119">
        <v>41865</v>
      </c>
      <c r="B721" s="121">
        <v>38.462516784667969</v>
      </c>
      <c r="C721" s="120">
        <f>IFERROR(yf_data[[#This Row],[Close Price]]/B720-1,0)</f>
        <v>1.1834266084028711E-2</v>
      </c>
    </row>
    <row r="722" spans="1:3">
      <c r="A722" s="119">
        <v>41866</v>
      </c>
      <c r="B722" s="121">
        <v>38.343441009521491</v>
      </c>
      <c r="C722" s="120">
        <f>IFERROR(yf_data[[#This Row],[Close Price]]/B721-1,0)</f>
        <v>-3.0958914054720621E-3</v>
      </c>
    </row>
    <row r="723" spans="1:3">
      <c r="A723" s="119">
        <v>41869</v>
      </c>
      <c r="B723" s="121">
        <v>38.925601959228509</v>
      </c>
      <c r="C723" s="120">
        <f>IFERROR(yf_data[[#This Row],[Close Price]]/B722-1,0)</f>
        <v>1.5182804004534978E-2</v>
      </c>
    </row>
    <row r="724" spans="1:3">
      <c r="A724" s="119">
        <v>41870</v>
      </c>
      <c r="B724" s="121">
        <v>39.388687133789063</v>
      </c>
      <c r="C724" s="120">
        <f>IFERROR(yf_data[[#This Row],[Close Price]]/B723-1,0)</f>
        <v>1.189667342962597E-2</v>
      </c>
    </row>
    <row r="725" spans="1:3">
      <c r="A725" s="119">
        <v>41871</v>
      </c>
      <c r="B725" s="121">
        <v>39.251964569091797</v>
      </c>
      <c r="C725" s="120">
        <f>IFERROR(yf_data[[#This Row],[Close Price]]/B724-1,0)</f>
        <v>-3.4711125108808361E-3</v>
      </c>
    </row>
    <row r="726" spans="1:3">
      <c r="A726" s="119">
        <v>41872</v>
      </c>
      <c r="B726" s="121">
        <v>39.415149688720703</v>
      </c>
      <c r="C726" s="120">
        <f>IFERROR(yf_data[[#This Row],[Close Price]]/B725-1,0)</f>
        <v>4.1573745778167304E-3</v>
      </c>
    </row>
    <row r="727" spans="1:3">
      <c r="A727" s="119">
        <v>41873</v>
      </c>
      <c r="B727" s="121">
        <v>39.454845428466797</v>
      </c>
      <c r="C727" s="120">
        <f>IFERROR(yf_data[[#This Row],[Close Price]]/B726-1,0)</f>
        <v>1.0071188377969165E-3</v>
      </c>
    </row>
    <row r="728" spans="1:3">
      <c r="A728" s="119">
        <v>41876</v>
      </c>
      <c r="B728" s="121">
        <v>40.526554107666016</v>
      </c>
      <c r="C728" s="120">
        <f>IFERROR(yf_data[[#This Row],[Close Price]]/B727-1,0)</f>
        <v>2.716291668515769E-2</v>
      </c>
    </row>
    <row r="729" spans="1:3">
      <c r="A729" s="119">
        <v>41877</v>
      </c>
      <c r="B729" s="121">
        <v>41.055789947509766</v>
      </c>
      <c r="C729" s="120">
        <f>IFERROR(yf_data[[#This Row],[Close Price]]/B728-1,0)</f>
        <v>1.3058989383546882E-2</v>
      </c>
    </row>
    <row r="730" spans="1:3">
      <c r="A730" s="119">
        <v>41878</v>
      </c>
      <c r="B730" s="121">
        <v>41.249847412109375</v>
      </c>
      <c r="C730" s="120">
        <f>IFERROR(yf_data[[#This Row],[Close Price]]/B729-1,0)</f>
        <v>4.7266771592437973E-3</v>
      </c>
    </row>
    <row r="731" spans="1:3">
      <c r="A731" s="119">
        <v>41879</v>
      </c>
      <c r="B731" s="121">
        <v>41.10430908203125</v>
      </c>
      <c r="C731" s="120">
        <f>IFERROR(yf_data[[#This Row],[Close Price]]/B730-1,0)</f>
        <v>-3.5282149925093265E-3</v>
      </c>
    </row>
    <row r="732" spans="1:3">
      <c r="A732" s="119">
        <v>41880</v>
      </c>
      <c r="B732" s="121">
        <v>41.285129547119141</v>
      </c>
      <c r="C732" s="120">
        <f>IFERROR(yf_data[[#This Row],[Close Price]]/B731-1,0)</f>
        <v>4.3990634832720144E-3</v>
      </c>
    </row>
    <row r="733" spans="1:3">
      <c r="A733" s="119">
        <v>41883</v>
      </c>
      <c r="B733" s="121">
        <v>41.280723571777344</v>
      </c>
      <c r="C733" s="120">
        <f>IFERROR(yf_data[[#This Row],[Close Price]]/B732-1,0)</f>
        <v>-1.0672063743355498E-4</v>
      </c>
    </row>
    <row r="734" spans="1:3">
      <c r="A734" s="119">
        <v>41884</v>
      </c>
      <c r="B734" s="121">
        <v>41.457138061523438</v>
      </c>
      <c r="C734" s="120">
        <f>IFERROR(yf_data[[#This Row],[Close Price]]/B733-1,0)</f>
        <v>4.2735319171272046E-3</v>
      </c>
    </row>
    <row r="735" spans="1:3">
      <c r="A735" s="119">
        <v>41885</v>
      </c>
      <c r="B735" s="121">
        <v>41.752628326416016</v>
      </c>
      <c r="C735" s="120">
        <f>IFERROR(yf_data[[#This Row],[Close Price]]/B734-1,0)</f>
        <v>7.12760886808117E-3</v>
      </c>
    </row>
    <row r="736" spans="1:3">
      <c r="A736" s="119">
        <v>41886</v>
      </c>
      <c r="B736" s="121">
        <v>43.111011505126953</v>
      </c>
      <c r="C736" s="120">
        <f>IFERROR(yf_data[[#This Row],[Close Price]]/B735-1,0)</f>
        <v>3.2534075893170034E-2</v>
      </c>
    </row>
    <row r="737" spans="1:3">
      <c r="A737" s="119">
        <v>41887</v>
      </c>
      <c r="B737" s="121">
        <v>43.388858795166016</v>
      </c>
      <c r="C737" s="120">
        <f>IFERROR(yf_data[[#This Row],[Close Price]]/B736-1,0)</f>
        <v>6.4449262575529964E-3</v>
      </c>
    </row>
    <row r="738" spans="1:3">
      <c r="A738" s="119">
        <v>41890</v>
      </c>
      <c r="B738" s="121">
        <v>43.124237060546875</v>
      </c>
      <c r="C738" s="120">
        <f>IFERROR(yf_data[[#This Row],[Close Price]]/B737-1,0)</f>
        <v>-6.0988406233127845E-3</v>
      </c>
    </row>
    <row r="739" spans="1:3">
      <c r="A739" s="119">
        <v>41891</v>
      </c>
      <c r="B739" s="121">
        <v>42.859619140625</v>
      </c>
      <c r="C739" s="120">
        <f>IFERROR(yf_data[[#This Row],[Close Price]]/B738-1,0)</f>
        <v>-6.1361762655730567E-3</v>
      </c>
    </row>
    <row r="740" spans="1:3">
      <c r="A740" s="119">
        <v>41892</v>
      </c>
      <c r="B740" s="121">
        <v>42.692024230957031</v>
      </c>
      <c r="C740" s="120">
        <f>IFERROR(yf_data[[#This Row],[Close Price]]/B739-1,0)</f>
        <v>-3.9103219540537193E-3</v>
      </c>
    </row>
    <row r="741" spans="1:3">
      <c r="A741" s="119">
        <v>41893</v>
      </c>
      <c r="B741" s="121">
        <v>42.520027160644531</v>
      </c>
      <c r="C741" s="120">
        <f>IFERROR(yf_data[[#This Row],[Close Price]]/B740-1,0)</f>
        <v>-4.0287869551938194E-3</v>
      </c>
    </row>
    <row r="742" spans="1:3">
      <c r="A742" s="119">
        <v>41894</v>
      </c>
      <c r="B742" s="121">
        <v>42.780235290527344</v>
      </c>
      <c r="C742" s="120">
        <f>IFERROR(yf_data[[#This Row],[Close Price]]/B741-1,0)</f>
        <v>6.1196604813944511E-3</v>
      </c>
    </row>
    <row r="743" spans="1:3">
      <c r="A743" s="119">
        <v>41897</v>
      </c>
      <c r="B743" s="121">
        <v>43.150699615478509</v>
      </c>
      <c r="C743" s="120">
        <f>IFERROR(yf_data[[#This Row],[Close Price]]/B742-1,0)</f>
        <v>8.6597075129504208E-3</v>
      </c>
    </row>
    <row r="744" spans="1:3">
      <c r="A744" s="119">
        <v>41898</v>
      </c>
      <c r="B744" s="121">
        <v>43.283012390136719</v>
      </c>
      <c r="C744" s="120">
        <f>IFERROR(yf_data[[#This Row],[Close Price]]/B743-1,0)</f>
        <v>3.0662950041890902E-3</v>
      </c>
    </row>
    <row r="745" spans="1:3">
      <c r="A745" s="119">
        <v>41899</v>
      </c>
      <c r="B745" s="121">
        <v>43.044853210449219</v>
      </c>
      <c r="C745" s="120">
        <f>IFERROR(yf_data[[#This Row],[Close Price]]/B744-1,0)</f>
        <v>-5.502370711650606E-3</v>
      </c>
    </row>
    <row r="746" spans="1:3">
      <c r="A746" s="119">
        <v>41900</v>
      </c>
      <c r="B746" s="121">
        <v>43.706409454345703</v>
      </c>
      <c r="C746" s="120">
        <f>IFERROR(yf_data[[#This Row],[Close Price]]/B745-1,0)</f>
        <v>1.5368997558478981E-2</v>
      </c>
    </row>
    <row r="747" spans="1:3">
      <c r="A747" s="119">
        <v>41901</v>
      </c>
      <c r="B747" s="121">
        <v>43.55645751953125</v>
      </c>
      <c r="C747" s="120">
        <f>IFERROR(yf_data[[#This Row],[Close Price]]/B746-1,0)</f>
        <v>-3.4308911824726396E-3</v>
      </c>
    </row>
    <row r="748" spans="1:3">
      <c r="A748" s="119">
        <v>41904</v>
      </c>
      <c r="B748" s="121">
        <v>43.366809844970703</v>
      </c>
      <c r="C748" s="120">
        <f>IFERROR(yf_data[[#This Row],[Close Price]]/B747-1,0)</f>
        <v>-4.354065627938275E-3</v>
      </c>
    </row>
    <row r="749" spans="1:3">
      <c r="A749" s="119">
        <v>41905</v>
      </c>
      <c r="B749" s="121">
        <v>41.898166656494141</v>
      </c>
      <c r="C749" s="120">
        <f>IFERROR(yf_data[[#This Row],[Close Price]]/B748-1,0)</f>
        <v>-3.3865603527829746E-2</v>
      </c>
    </row>
    <row r="750" spans="1:3">
      <c r="A750" s="119">
        <v>41906</v>
      </c>
      <c r="B750" s="121">
        <v>41.933448791503906</v>
      </c>
      <c r="C750" s="120">
        <f>IFERROR(yf_data[[#This Row],[Close Price]]/B749-1,0)</f>
        <v>8.420925740981744E-4</v>
      </c>
    </row>
    <row r="751" spans="1:3">
      <c r="A751" s="119">
        <v>41907</v>
      </c>
      <c r="B751" s="121">
        <v>42.850799560546875</v>
      </c>
      <c r="C751" s="120">
        <f>IFERROR(yf_data[[#This Row],[Close Price]]/B750-1,0)</f>
        <v>2.1876349202854861E-2</v>
      </c>
    </row>
    <row r="752" spans="1:3">
      <c r="A752" s="119">
        <v>41908</v>
      </c>
      <c r="B752" s="121">
        <v>43.521175384521491</v>
      </c>
      <c r="C752" s="120">
        <f>IFERROR(yf_data[[#This Row],[Close Price]]/B751-1,0)</f>
        <v>1.5644418093701873E-2</v>
      </c>
    </row>
    <row r="753" spans="1:3">
      <c r="A753" s="119">
        <v>41911</v>
      </c>
      <c r="B753" s="121">
        <v>42.828746795654297</v>
      </c>
      <c r="C753" s="120">
        <f>IFERROR(yf_data[[#This Row],[Close Price]]/B752-1,0)</f>
        <v>-1.5910153683796446E-2</v>
      </c>
    </row>
    <row r="754" spans="1:3">
      <c r="A754" s="119">
        <v>41912</v>
      </c>
      <c r="B754" s="121">
        <v>43.944561004638672</v>
      </c>
      <c r="C754" s="120">
        <f>IFERROR(yf_data[[#This Row],[Close Price]]/B753-1,0)</f>
        <v>2.6052926888292527E-2</v>
      </c>
    </row>
    <row r="755" spans="1:3">
      <c r="A755" s="119">
        <v>41913</v>
      </c>
      <c r="B755" s="121">
        <v>43.300655364990234</v>
      </c>
      <c r="C755" s="120">
        <f>IFERROR(yf_data[[#This Row],[Close Price]]/B754-1,0)</f>
        <v>-1.4652681126578249E-2</v>
      </c>
    </row>
    <row r="756" spans="1:3">
      <c r="A756" s="119">
        <v>41914</v>
      </c>
      <c r="B756" s="121">
        <v>42.224536895751953</v>
      </c>
      <c r="C756" s="120">
        <f>IFERROR(yf_data[[#This Row],[Close Price]]/B755-1,0)</f>
        <v>-2.4852244386775579E-2</v>
      </c>
    </row>
    <row r="757" spans="1:3">
      <c r="A757" s="119">
        <v>41915</v>
      </c>
      <c r="B757" s="121">
        <v>43.732868194580078</v>
      </c>
      <c r="C757" s="120">
        <f>IFERROR(yf_data[[#This Row],[Close Price]]/B756-1,0)</f>
        <v>3.5721677719095846E-2</v>
      </c>
    </row>
    <row r="758" spans="1:3">
      <c r="A758" s="119">
        <v>41918</v>
      </c>
      <c r="B758" s="121">
        <v>44.037178039550781</v>
      </c>
      <c r="C758" s="120">
        <f>IFERROR(yf_data[[#This Row],[Close Price]]/B757-1,0)</f>
        <v>6.9583783898357066E-3</v>
      </c>
    </row>
    <row r="759" spans="1:3">
      <c r="A759" s="119">
        <v>41919</v>
      </c>
      <c r="B759" s="121">
        <v>42.877262115478509</v>
      </c>
      <c r="C759" s="120">
        <f>IFERROR(yf_data[[#This Row],[Close Price]]/B758-1,0)</f>
        <v>-2.6339469868630672E-2</v>
      </c>
    </row>
    <row r="760" spans="1:3">
      <c r="A760" s="119">
        <v>41920</v>
      </c>
      <c r="B760" s="121">
        <v>41.968734741210938</v>
      </c>
      <c r="C760" s="120">
        <f>IFERROR(yf_data[[#This Row],[Close Price]]/B759-1,0)</f>
        <v>-2.1189024892043995E-2</v>
      </c>
    </row>
    <row r="761" spans="1:3">
      <c r="A761" s="119">
        <v>41921</v>
      </c>
      <c r="B761" s="121">
        <v>40.266345977783203</v>
      </c>
      <c r="C761" s="120">
        <f>IFERROR(yf_data[[#This Row],[Close Price]]/B760-1,0)</f>
        <v>-4.0563261530876749E-2</v>
      </c>
    </row>
    <row r="762" spans="1:3">
      <c r="A762" s="119">
        <v>41922</v>
      </c>
      <c r="B762" s="121">
        <v>40.081111907958984</v>
      </c>
      <c r="C762" s="120">
        <f>IFERROR(yf_data[[#This Row],[Close Price]]/B761-1,0)</f>
        <v>-4.6002204899948662E-3</v>
      </c>
    </row>
    <row r="763" spans="1:3">
      <c r="A763" s="119">
        <v>41925</v>
      </c>
      <c r="B763" s="121">
        <v>40.094348907470703</v>
      </c>
      <c r="C763" s="120">
        <f>IFERROR(yf_data[[#This Row],[Close Price]]/B762-1,0)</f>
        <v>3.3025529686181443E-4</v>
      </c>
    </row>
    <row r="764" spans="1:3">
      <c r="A764" s="119">
        <v>41926</v>
      </c>
      <c r="B764" s="121">
        <v>40.49127197265625</v>
      </c>
      <c r="C764" s="120">
        <f>IFERROR(yf_data[[#This Row],[Close Price]]/B763-1,0)</f>
        <v>9.8997259215147793E-3</v>
      </c>
    </row>
    <row r="765" spans="1:3">
      <c r="A765" s="119">
        <v>41927</v>
      </c>
      <c r="B765" s="121">
        <v>38.546310424804688</v>
      </c>
      <c r="C765" s="120">
        <f>IFERROR(yf_data[[#This Row],[Close Price]]/B764-1,0)</f>
        <v>-4.803409359836841E-2</v>
      </c>
    </row>
    <row r="766" spans="1:3">
      <c r="A766" s="119">
        <v>41928</v>
      </c>
      <c r="B766" s="121">
        <v>37.708351135253906</v>
      </c>
      <c r="C766" s="120">
        <f>IFERROR(yf_data[[#This Row],[Close Price]]/B765-1,0)</f>
        <v>-2.1739027167994585E-2</v>
      </c>
    </row>
    <row r="767" spans="1:3">
      <c r="A767" s="119">
        <v>41929</v>
      </c>
      <c r="B767" s="121">
        <v>38.775650024414063</v>
      </c>
      <c r="C767" s="120">
        <f>IFERROR(yf_data[[#This Row],[Close Price]]/B766-1,0)</f>
        <v>2.8304045576851733E-2</v>
      </c>
    </row>
    <row r="768" spans="1:3">
      <c r="A768" s="119">
        <v>41932</v>
      </c>
      <c r="B768" s="121">
        <v>38.519847869873047</v>
      </c>
      <c r="C768" s="120">
        <f>IFERROR(yf_data[[#This Row],[Close Price]]/B767-1,0)</f>
        <v>-6.5969791449004278E-3</v>
      </c>
    </row>
    <row r="769" spans="1:3">
      <c r="A769" s="119">
        <v>41933</v>
      </c>
      <c r="B769" s="121">
        <v>39.573921203613281</v>
      </c>
      <c r="C769" s="120">
        <f>IFERROR(yf_data[[#This Row],[Close Price]]/B768-1,0)</f>
        <v>2.7364420994108851E-2</v>
      </c>
    </row>
    <row r="770" spans="1:3">
      <c r="A770" s="119">
        <v>41934</v>
      </c>
      <c r="B770" s="121">
        <v>39.878238677978509</v>
      </c>
      <c r="C770" s="120">
        <f>IFERROR(yf_data[[#This Row],[Close Price]]/B769-1,0)</f>
        <v>7.6898488982042323E-3</v>
      </c>
    </row>
    <row r="771" spans="1:3">
      <c r="A771" s="119">
        <v>41935</v>
      </c>
      <c r="B771" s="121">
        <v>40.164909362792969</v>
      </c>
      <c r="C771" s="120">
        <f>IFERROR(yf_data[[#This Row],[Close Price]]/B770-1,0)</f>
        <v>7.188649607354991E-3</v>
      </c>
    </row>
    <row r="772" spans="1:3">
      <c r="A772" s="119">
        <v>41936</v>
      </c>
      <c r="B772" s="121">
        <v>39.948802947998047</v>
      </c>
      <c r="C772" s="120">
        <f>IFERROR(yf_data[[#This Row],[Close Price]]/B771-1,0)</f>
        <v>-5.3804780895413407E-3</v>
      </c>
    </row>
    <row r="773" spans="1:3">
      <c r="A773" s="119">
        <v>41939</v>
      </c>
      <c r="B773" s="121">
        <v>39.481304168701172</v>
      </c>
      <c r="C773" s="120">
        <f>IFERROR(yf_data[[#This Row],[Close Price]]/B772-1,0)</f>
        <v>-1.170244775307594E-2</v>
      </c>
    </row>
    <row r="774" spans="1:3">
      <c r="A774" s="119">
        <v>41940</v>
      </c>
      <c r="B774" s="121">
        <v>40.059062957763672</v>
      </c>
      <c r="C774" s="120">
        <f>IFERROR(yf_data[[#This Row],[Close Price]]/B773-1,0)</f>
        <v>1.4633731109635395E-2</v>
      </c>
    </row>
    <row r="775" spans="1:3">
      <c r="A775" s="119">
        <v>41941</v>
      </c>
      <c r="B775" s="121">
        <v>40.398654937744141</v>
      </c>
      <c r="C775" s="120">
        <f>IFERROR(yf_data[[#This Row],[Close Price]]/B774-1,0)</f>
        <v>8.4772821655494379E-3</v>
      </c>
    </row>
    <row r="776" spans="1:3">
      <c r="A776" s="119">
        <v>41942</v>
      </c>
      <c r="B776" s="121">
        <v>40.49127197265625</v>
      </c>
      <c r="C776" s="120">
        <f>IFERROR(yf_data[[#This Row],[Close Price]]/B775-1,0)</f>
        <v>2.2925771923554272E-3</v>
      </c>
    </row>
    <row r="777" spans="1:3">
      <c r="A777" s="119">
        <v>41943</v>
      </c>
      <c r="B777" s="121">
        <v>41.986373901367188</v>
      </c>
      <c r="C777" s="120">
        <f>IFERROR(yf_data[[#This Row],[Close Price]]/B776-1,0)</f>
        <v>3.6924054391785477E-2</v>
      </c>
    </row>
    <row r="778" spans="1:3">
      <c r="A778" s="119">
        <v>41946</v>
      </c>
      <c r="B778" s="121">
        <v>41.942276000976563</v>
      </c>
      <c r="C778" s="120">
        <f>IFERROR(yf_data[[#This Row],[Close Price]]/B777-1,0)</f>
        <v>-1.050290756096639E-3</v>
      </c>
    </row>
    <row r="779" spans="1:3">
      <c r="A779" s="119">
        <v>41947</v>
      </c>
      <c r="B779" s="121">
        <v>41.351291656494141</v>
      </c>
      <c r="C779" s="120">
        <f>IFERROR(yf_data[[#This Row],[Close Price]]/B778-1,0)</f>
        <v>-1.4090421427503386E-2</v>
      </c>
    </row>
    <row r="780" spans="1:3">
      <c r="A780" s="119">
        <v>41948</v>
      </c>
      <c r="B780" s="121">
        <v>42.180427551269531</v>
      </c>
      <c r="C780" s="120">
        <f>IFERROR(yf_data[[#This Row],[Close Price]]/B779-1,0)</f>
        <v>2.0051027708228197E-2</v>
      </c>
    </row>
    <row r="781" spans="1:3">
      <c r="A781" s="119">
        <v>41949</v>
      </c>
      <c r="B781" s="121">
        <v>42.696437835693359</v>
      </c>
      <c r="C781" s="120">
        <f>IFERROR(yf_data[[#This Row],[Close Price]]/B780-1,0)</f>
        <v>1.223340573768783E-2</v>
      </c>
    </row>
    <row r="782" spans="1:3">
      <c r="A782" s="119">
        <v>41950</v>
      </c>
      <c r="B782" s="121">
        <v>42.550899505615234</v>
      </c>
      <c r="C782" s="120">
        <f>IFERROR(yf_data[[#This Row],[Close Price]]/B781-1,0)</f>
        <v>-3.4086761672763588E-3</v>
      </c>
    </row>
    <row r="783" spans="1:3">
      <c r="A783" s="119">
        <v>41953</v>
      </c>
      <c r="B783" s="121">
        <v>42.669975280761719</v>
      </c>
      <c r="C783" s="120">
        <f>IFERROR(yf_data[[#This Row],[Close Price]]/B782-1,0)</f>
        <v>2.7984314439879476E-3</v>
      </c>
    </row>
    <row r="784" spans="1:3">
      <c r="A784" s="119">
        <v>41954</v>
      </c>
      <c r="B784" s="121">
        <v>42.912548065185547</v>
      </c>
      <c r="C784" s="120">
        <f>IFERROR(yf_data[[#This Row],[Close Price]]/B783-1,0)</f>
        <v>5.6848587989033472E-3</v>
      </c>
    </row>
    <row r="785" spans="1:3">
      <c r="A785" s="119">
        <v>41955</v>
      </c>
      <c r="B785" s="121">
        <v>42.383304595947266</v>
      </c>
      <c r="C785" s="120">
        <f>IFERROR(yf_data[[#This Row],[Close Price]]/B784-1,0)</f>
        <v>-1.2333070234709531E-2</v>
      </c>
    </row>
    <row r="786" spans="1:3">
      <c r="A786" s="119">
        <v>41956</v>
      </c>
      <c r="B786" s="121">
        <v>42.0745849609375</v>
      </c>
      <c r="C786" s="120">
        <f>IFERROR(yf_data[[#This Row],[Close Price]]/B785-1,0)</f>
        <v>-7.2839916083203837E-3</v>
      </c>
    </row>
    <row r="787" spans="1:3">
      <c r="A787" s="119">
        <v>41957</v>
      </c>
      <c r="B787" s="121">
        <v>42.740543365478509</v>
      </c>
      <c r="C787" s="120">
        <f>IFERROR(yf_data[[#This Row],[Close Price]]/B786-1,0)</f>
        <v>1.5828044534706542E-2</v>
      </c>
    </row>
    <row r="788" spans="1:3">
      <c r="A788" s="119">
        <v>41960</v>
      </c>
      <c r="B788" s="121">
        <v>42.290687561035149</v>
      </c>
      <c r="C788" s="120">
        <f>IFERROR(yf_data[[#This Row],[Close Price]]/B787-1,0)</f>
        <v>-1.052527106631751E-2</v>
      </c>
    </row>
    <row r="789" spans="1:3">
      <c r="A789" s="119">
        <v>41961</v>
      </c>
      <c r="B789" s="121">
        <v>41.227802276611328</v>
      </c>
      <c r="C789" s="120">
        <f>IFERROR(yf_data[[#This Row],[Close Price]]/B788-1,0)</f>
        <v>-2.5132844740105797E-2</v>
      </c>
    </row>
    <row r="790" spans="1:3">
      <c r="A790" s="119">
        <v>41962</v>
      </c>
      <c r="B790" s="121">
        <v>41.457138061523438</v>
      </c>
      <c r="C790" s="120">
        <f>IFERROR(yf_data[[#This Row],[Close Price]]/B789-1,0)</f>
        <v>5.5626488012485709E-3</v>
      </c>
    </row>
    <row r="791" spans="1:3">
      <c r="A791" s="119">
        <v>41963</v>
      </c>
      <c r="B791" s="121">
        <v>41.333648681640625</v>
      </c>
      <c r="C791" s="120">
        <f>IFERROR(yf_data[[#This Row],[Close Price]]/B790-1,0)</f>
        <v>-2.9787241873655557E-3</v>
      </c>
    </row>
    <row r="792" spans="1:3">
      <c r="A792" s="119">
        <v>41964</v>
      </c>
      <c r="B792" s="121">
        <v>42.581771850585938</v>
      </c>
      <c r="C792" s="120">
        <f>IFERROR(yf_data[[#This Row],[Close Price]]/B791-1,0)</f>
        <v>3.0196297901464941E-2</v>
      </c>
    </row>
    <row r="793" spans="1:3">
      <c r="A793" s="119">
        <v>41967</v>
      </c>
      <c r="B793" s="121">
        <v>43.225681304931641</v>
      </c>
      <c r="C793" s="120">
        <f>IFERROR(yf_data[[#This Row],[Close Price]]/B792-1,0)</f>
        <v>1.5121715850742401E-2</v>
      </c>
    </row>
    <row r="794" spans="1:3">
      <c r="A794" s="119">
        <v>41968</v>
      </c>
      <c r="B794" s="121">
        <v>43.728458404541016</v>
      </c>
      <c r="C794" s="120">
        <f>IFERROR(yf_data[[#This Row],[Close Price]]/B793-1,0)</f>
        <v>1.163144418852724E-2</v>
      </c>
    </row>
    <row r="795" spans="1:3">
      <c r="A795" s="119">
        <v>41969</v>
      </c>
      <c r="B795" s="121">
        <v>43.560863494873047</v>
      </c>
      <c r="C795" s="120">
        <f>IFERROR(yf_data[[#This Row],[Close Price]]/B794-1,0)</f>
        <v>-3.8326278991478446E-3</v>
      </c>
    </row>
    <row r="796" spans="1:3">
      <c r="A796" s="119">
        <v>41970</v>
      </c>
      <c r="B796" s="121">
        <v>43.918102264404297</v>
      </c>
      <c r="C796" s="120">
        <f>IFERROR(yf_data[[#This Row],[Close Price]]/B795-1,0)</f>
        <v>8.2009111130980639E-3</v>
      </c>
    </row>
    <row r="797" spans="1:3">
      <c r="A797" s="119">
        <v>41971</v>
      </c>
      <c r="B797" s="121">
        <v>43.216861724853523</v>
      </c>
      <c r="C797" s="120">
        <f>IFERROR(yf_data[[#This Row],[Close Price]]/B796-1,0)</f>
        <v>-1.5967004569756416E-2</v>
      </c>
    </row>
    <row r="798" spans="1:3">
      <c r="A798" s="119">
        <v>41974</v>
      </c>
      <c r="B798" s="121">
        <v>42.996345520019531</v>
      </c>
      <c r="C798" s="120">
        <f>IFERROR(yf_data[[#This Row],[Close Price]]/B797-1,0)</f>
        <v>-5.1025501628957359E-3</v>
      </c>
    </row>
    <row r="799" spans="1:3">
      <c r="A799" s="119">
        <v>41975</v>
      </c>
      <c r="B799" s="121">
        <v>42.930183410644531</v>
      </c>
      <c r="C799" s="120">
        <f>IFERROR(yf_data[[#This Row],[Close Price]]/B798-1,0)</f>
        <v>-1.5387844844673149E-3</v>
      </c>
    </row>
    <row r="800" spans="1:3">
      <c r="A800" s="119">
        <v>41976</v>
      </c>
      <c r="B800" s="121">
        <v>42.714080810546875</v>
      </c>
      <c r="C800" s="120">
        <f>IFERROR(yf_data[[#This Row],[Close Price]]/B799-1,0)</f>
        <v>-5.0338149742000793E-3</v>
      </c>
    </row>
    <row r="801" spans="1:3">
      <c r="A801" s="119">
        <v>41977</v>
      </c>
      <c r="B801" s="121">
        <v>42.489151000976563</v>
      </c>
      <c r="C801" s="120">
        <f>IFERROR(yf_data[[#This Row],[Close Price]]/B800-1,0)</f>
        <v>-5.2659405353462363E-3</v>
      </c>
    </row>
    <row r="802" spans="1:3">
      <c r="A802" s="119">
        <v>41978</v>
      </c>
      <c r="B802" s="121">
        <v>43.953388214111328</v>
      </c>
      <c r="C802" s="120">
        <f>IFERROR(yf_data[[#This Row],[Close Price]]/B801-1,0)</f>
        <v>3.4461437299632358E-2</v>
      </c>
    </row>
    <row r="803" spans="1:3">
      <c r="A803" s="119">
        <v>41981</v>
      </c>
      <c r="B803" s="121">
        <v>43.384456634521491</v>
      </c>
      <c r="C803" s="120">
        <f>IFERROR(yf_data[[#This Row],[Close Price]]/B802-1,0)</f>
        <v>-1.29439754864491E-2</v>
      </c>
    </row>
    <row r="804" spans="1:3">
      <c r="A804" s="119">
        <v>41982</v>
      </c>
      <c r="B804" s="121">
        <v>42.511211395263672</v>
      </c>
      <c r="C804" s="120">
        <f>IFERROR(yf_data[[#This Row],[Close Price]]/B803-1,0)</f>
        <v>-2.0128066754741103E-2</v>
      </c>
    </row>
    <row r="805" spans="1:3">
      <c r="A805" s="119">
        <v>41983</v>
      </c>
      <c r="B805" s="121">
        <v>38.083229064941406</v>
      </c>
      <c r="C805" s="120">
        <f>IFERROR(yf_data[[#This Row],[Close Price]]/B804-1,0)</f>
        <v>-0.10416034229538806</v>
      </c>
    </row>
    <row r="806" spans="1:3">
      <c r="A806" s="119">
        <v>41984</v>
      </c>
      <c r="B806" s="121">
        <v>36.446998596191406</v>
      </c>
      <c r="C806" s="120">
        <f>IFERROR(yf_data[[#This Row],[Close Price]]/B805-1,0)</f>
        <v>-4.2964593836300469E-2</v>
      </c>
    </row>
    <row r="807" spans="1:3">
      <c r="A807" s="119">
        <v>41985</v>
      </c>
      <c r="B807" s="121">
        <v>35.908939361572266</v>
      </c>
      <c r="C807" s="120">
        <f>IFERROR(yf_data[[#This Row],[Close Price]]/B806-1,0)</f>
        <v>-1.4762785835412129E-2</v>
      </c>
    </row>
    <row r="808" spans="1:3">
      <c r="A808" s="119">
        <v>41988</v>
      </c>
      <c r="B808" s="121">
        <v>35.763397216796875</v>
      </c>
      <c r="C808" s="120">
        <f>IFERROR(yf_data[[#This Row],[Close Price]]/B807-1,0)</f>
        <v>-4.0530894914468929E-3</v>
      </c>
    </row>
    <row r="809" spans="1:3">
      <c r="A809" s="119">
        <v>41989</v>
      </c>
      <c r="B809" s="121">
        <v>36.133861541748047</v>
      </c>
      <c r="C809" s="120">
        <f>IFERROR(yf_data[[#This Row],[Close Price]]/B808-1,0)</f>
        <v>1.0358756543888292E-2</v>
      </c>
    </row>
    <row r="810" spans="1:3">
      <c r="A810" s="119">
        <v>41990</v>
      </c>
      <c r="B810" s="121">
        <v>36.120632171630859</v>
      </c>
      <c r="C810" s="120">
        <f>IFERROR(yf_data[[#This Row],[Close Price]]/B809-1,0)</f>
        <v>-3.6612112718437118E-4</v>
      </c>
    </row>
    <row r="811" spans="1:3">
      <c r="A811" s="119">
        <v>41991</v>
      </c>
      <c r="B811" s="121">
        <v>36.91448974609375</v>
      </c>
      <c r="C811" s="120">
        <f>IFERROR(yf_data[[#This Row],[Close Price]]/B810-1,0)</f>
        <v>2.1977953505652792E-2</v>
      </c>
    </row>
    <row r="812" spans="1:3">
      <c r="A812" s="119">
        <v>41992</v>
      </c>
      <c r="B812" s="121">
        <v>36.773361206054688</v>
      </c>
      <c r="C812" s="120">
        <f>IFERROR(yf_data[[#This Row],[Close Price]]/B811-1,0)</f>
        <v>-3.8231204334605584E-3</v>
      </c>
    </row>
    <row r="813" spans="1:3">
      <c r="A813" s="119">
        <v>41995</v>
      </c>
      <c r="B813" s="121">
        <v>36.579311370849609</v>
      </c>
      <c r="C813" s="120">
        <f>IFERROR(yf_data[[#This Row],[Close Price]]/B812-1,0)</f>
        <v>-5.2769132013184006E-3</v>
      </c>
    </row>
    <row r="814" spans="1:3">
      <c r="A814" s="119">
        <v>41996</v>
      </c>
      <c r="B814" s="121">
        <v>36.817470550537109</v>
      </c>
      <c r="C814" s="120">
        <f>IFERROR(yf_data[[#This Row],[Close Price]]/B813-1,0)</f>
        <v>6.5107617055166767E-3</v>
      </c>
    </row>
    <row r="815" spans="1:3">
      <c r="A815" s="119">
        <v>41997</v>
      </c>
      <c r="B815" s="121">
        <v>36.632228851318359</v>
      </c>
      <c r="C815" s="120">
        <f>IFERROR(yf_data[[#This Row],[Close Price]]/B814-1,0)</f>
        <v>-5.0313532257595384E-3</v>
      </c>
    </row>
    <row r="816" spans="1:3">
      <c r="A816" s="119">
        <v>42002</v>
      </c>
      <c r="B816" s="121">
        <v>36.627822875976563</v>
      </c>
      <c r="C816" s="120">
        <f>IFERROR(yf_data[[#This Row],[Close Price]]/B815-1,0)</f>
        <v>-1.202759286004218E-4</v>
      </c>
    </row>
    <row r="817" spans="1:3">
      <c r="A817" s="119">
        <v>42003</v>
      </c>
      <c r="B817" s="121">
        <v>36.111812591552734</v>
      </c>
      <c r="C817" s="120">
        <f>IFERROR(yf_data[[#This Row],[Close Price]]/B816-1,0)</f>
        <v>-1.408793217579607E-2</v>
      </c>
    </row>
    <row r="818" spans="1:3">
      <c r="A818" s="119">
        <v>42004</v>
      </c>
      <c r="B818" s="121">
        <v>36.473457336425781</v>
      </c>
      <c r="C818" s="120">
        <f>IFERROR(yf_data[[#This Row],[Close Price]]/B817-1,0)</f>
        <v>1.0014583010924394E-2</v>
      </c>
    </row>
    <row r="819" spans="1:3">
      <c r="A819" s="119">
        <v>42006</v>
      </c>
      <c r="B819" s="121">
        <v>36.627822875976563</v>
      </c>
      <c r="C819" s="120">
        <f>IFERROR(yf_data[[#This Row],[Close Price]]/B818-1,0)</f>
        <v>4.2322705557342744E-3</v>
      </c>
    </row>
    <row r="820" spans="1:3">
      <c r="A820" s="119">
        <v>42009</v>
      </c>
      <c r="B820" s="121">
        <v>36.738079071044922</v>
      </c>
      <c r="C820" s="120">
        <f>IFERROR(yf_data[[#This Row],[Close Price]]/B819-1,0)</f>
        <v>3.0101760468179695E-3</v>
      </c>
    </row>
    <row r="821" spans="1:3">
      <c r="A821" s="119">
        <v>42010</v>
      </c>
      <c r="B821" s="121">
        <v>37.589271545410163</v>
      </c>
      <c r="C821" s="120">
        <f>IFERROR(yf_data[[#This Row],[Close Price]]/B820-1,0)</f>
        <v>2.3169215590156167E-2</v>
      </c>
    </row>
    <row r="822" spans="1:3">
      <c r="A822" s="119">
        <v>42011</v>
      </c>
      <c r="B822" s="121">
        <v>38.568367004394531</v>
      </c>
      <c r="C822" s="120">
        <f>IFERROR(yf_data[[#This Row],[Close Price]]/B821-1,0)</f>
        <v>2.604720492658541E-2</v>
      </c>
    </row>
    <row r="823" spans="1:3">
      <c r="A823" s="119">
        <v>42012</v>
      </c>
      <c r="B823" s="121">
        <v>39.882644653320313</v>
      </c>
      <c r="C823" s="120">
        <f>IFERROR(yf_data[[#This Row],[Close Price]]/B822-1,0)</f>
        <v>3.4076569764440068E-2</v>
      </c>
    </row>
    <row r="824" spans="1:3">
      <c r="A824" s="119">
        <v>42013</v>
      </c>
      <c r="B824" s="121">
        <v>39.296070098876953</v>
      </c>
      <c r="C824" s="120">
        <f>IFERROR(yf_data[[#This Row],[Close Price]]/B823-1,0)</f>
        <v>-1.4707513996179422E-2</v>
      </c>
    </row>
    <row r="825" spans="1:3">
      <c r="A825" s="119">
        <v>42016</v>
      </c>
      <c r="B825" s="121">
        <v>39.648899078369141</v>
      </c>
      <c r="C825" s="120">
        <f>IFERROR(yf_data[[#This Row],[Close Price]]/B824-1,0)</f>
        <v>8.9787344791578683E-3</v>
      </c>
    </row>
    <row r="826" spans="1:3">
      <c r="A826" s="119">
        <v>42017</v>
      </c>
      <c r="B826" s="121">
        <v>40.191368103027344</v>
      </c>
      <c r="C826" s="120">
        <f>IFERROR(yf_data[[#This Row],[Close Price]]/B825-1,0)</f>
        <v>1.3681818089979592E-2</v>
      </c>
    </row>
    <row r="827" spans="1:3">
      <c r="A827" s="119">
        <v>42018</v>
      </c>
      <c r="B827" s="121">
        <v>39.816490173339837</v>
      </c>
      <c r="C827" s="120">
        <f>IFERROR(yf_data[[#This Row],[Close Price]]/B826-1,0)</f>
        <v>-9.3273244326129712E-3</v>
      </c>
    </row>
    <row r="828" spans="1:3">
      <c r="A828" s="119">
        <v>42019</v>
      </c>
      <c r="B828" s="121">
        <v>40.813228607177734</v>
      </c>
      <c r="C828" s="120">
        <f>IFERROR(yf_data[[#This Row],[Close Price]]/B827-1,0)</f>
        <v>2.503330729299913E-2</v>
      </c>
    </row>
    <row r="829" spans="1:3">
      <c r="A829" s="119">
        <v>42020</v>
      </c>
      <c r="B829" s="121">
        <v>40.923480987548828</v>
      </c>
      <c r="C829" s="120">
        <f>IFERROR(yf_data[[#This Row],[Close Price]]/B828-1,0)</f>
        <v>2.7013883521016524E-3</v>
      </c>
    </row>
    <row r="830" spans="1:3">
      <c r="A830" s="119">
        <v>42023</v>
      </c>
      <c r="B830" s="121">
        <v>41.148414611816406</v>
      </c>
      <c r="C830" s="120">
        <f>IFERROR(yf_data[[#This Row],[Close Price]]/B829-1,0)</f>
        <v>5.4964440668185954E-3</v>
      </c>
    </row>
    <row r="831" spans="1:3">
      <c r="A831" s="119">
        <v>42024</v>
      </c>
      <c r="B831" s="121">
        <v>41.527702331542969</v>
      </c>
      <c r="C831" s="120">
        <f>IFERROR(yf_data[[#This Row],[Close Price]]/B830-1,0)</f>
        <v>9.2175536604426345E-3</v>
      </c>
    </row>
    <row r="832" spans="1:3">
      <c r="A832" s="119">
        <v>42025</v>
      </c>
      <c r="B832" s="121">
        <v>41.298362731933594</v>
      </c>
      <c r="C832" s="120">
        <f>IFERROR(yf_data[[#This Row],[Close Price]]/B831-1,0)</f>
        <v>-5.5225689535723932E-3</v>
      </c>
    </row>
    <row r="833" spans="1:3">
      <c r="A833" s="119">
        <v>42026</v>
      </c>
      <c r="B833" s="121">
        <v>41.748218536376953</v>
      </c>
      <c r="C833" s="120">
        <f>IFERROR(yf_data[[#This Row],[Close Price]]/B832-1,0)</f>
        <v>1.0892824186841565E-2</v>
      </c>
    </row>
    <row r="834" spans="1:3">
      <c r="A834" s="119">
        <v>42027</v>
      </c>
      <c r="B834" s="121">
        <v>43.468250274658203</v>
      </c>
      <c r="C834" s="120">
        <f>IFERROR(yf_data[[#This Row],[Close Price]]/B833-1,0)</f>
        <v>4.1200122989260457E-2</v>
      </c>
    </row>
    <row r="835" spans="1:3">
      <c r="A835" s="119">
        <v>42030</v>
      </c>
      <c r="B835" s="121">
        <v>44.226821899414063</v>
      </c>
      <c r="C835" s="120">
        <f>IFERROR(yf_data[[#This Row],[Close Price]]/B834-1,0)</f>
        <v>1.7451165389974266E-2</v>
      </c>
    </row>
    <row r="836" spans="1:3">
      <c r="A836" s="119">
        <v>42031</v>
      </c>
      <c r="B836" s="121">
        <v>43.283012390136719</v>
      </c>
      <c r="C836" s="120">
        <f>IFERROR(yf_data[[#This Row],[Close Price]]/B835-1,0)</f>
        <v>-2.1340206434544817E-2</v>
      </c>
    </row>
    <row r="837" spans="1:3">
      <c r="A837" s="119">
        <v>42032</v>
      </c>
      <c r="B837" s="121">
        <v>43.18157958984375</v>
      </c>
      <c r="C837" s="120">
        <f>IFERROR(yf_data[[#This Row],[Close Price]]/B836-1,0)</f>
        <v>-2.3434782999549597E-3</v>
      </c>
    </row>
    <row r="838" spans="1:3">
      <c r="A838" s="119">
        <v>42033</v>
      </c>
      <c r="B838" s="121">
        <v>42.581771850585938</v>
      </c>
      <c r="C838" s="120">
        <f>IFERROR(yf_data[[#This Row],[Close Price]]/B837-1,0)</f>
        <v>-1.3890361236319482E-2</v>
      </c>
    </row>
    <row r="839" spans="1:3">
      <c r="A839" s="119">
        <v>42034</v>
      </c>
      <c r="B839" s="121">
        <v>41.633548736572266</v>
      </c>
      <c r="C839" s="120">
        <f>IFERROR(yf_data[[#This Row],[Close Price]]/B838-1,0)</f>
        <v>-2.2268286940732906E-2</v>
      </c>
    </row>
    <row r="840" spans="1:3">
      <c r="A840" s="119">
        <v>42037</v>
      </c>
      <c r="B840" s="121">
        <v>41.34246826171875</v>
      </c>
      <c r="C840" s="120">
        <f>IFERROR(yf_data[[#This Row],[Close Price]]/B839-1,0)</f>
        <v>-6.9914884434970626E-3</v>
      </c>
    </row>
    <row r="841" spans="1:3">
      <c r="A841" s="119">
        <v>42038</v>
      </c>
      <c r="B841" s="121">
        <v>41.673244476318359</v>
      </c>
      <c r="C841" s="120">
        <f>IFERROR(yf_data[[#This Row],[Close Price]]/B840-1,0)</f>
        <v>8.0008821076098524E-3</v>
      </c>
    </row>
    <row r="842" spans="1:3">
      <c r="A842" s="119">
        <v>42039</v>
      </c>
      <c r="B842" s="121">
        <v>42.017242431640625</v>
      </c>
      <c r="C842" s="120">
        <f>IFERROR(yf_data[[#This Row],[Close Price]]/B841-1,0)</f>
        <v>8.254647787689029E-3</v>
      </c>
    </row>
    <row r="843" spans="1:3">
      <c r="A843" s="119">
        <v>42040</v>
      </c>
      <c r="B843" s="121">
        <v>42.700847625732422</v>
      </c>
      <c r="C843" s="120">
        <f>IFERROR(yf_data[[#This Row],[Close Price]]/B842-1,0)</f>
        <v>1.6269634905336172E-2</v>
      </c>
    </row>
    <row r="844" spans="1:3">
      <c r="A844" s="119">
        <v>42041</v>
      </c>
      <c r="B844" s="121">
        <v>42.643516540527344</v>
      </c>
      <c r="C844" s="120">
        <f>IFERROR(yf_data[[#This Row],[Close Price]]/B843-1,0)</f>
        <v>-1.3426217134511198E-3</v>
      </c>
    </row>
    <row r="845" spans="1:3">
      <c r="A845" s="119">
        <v>42044</v>
      </c>
      <c r="B845" s="121">
        <v>42.546489715576172</v>
      </c>
      <c r="C845" s="120">
        <f>IFERROR(yf_data[[#This Row],[Close Price]]/B844-1,0)</f>
        <v>-2.275300744931763E-3</v>
      </c>
    </row>
    <row r="846" spans="1:3">
      <c r="A846" s="119">
        <v>42045</v>
      </c>
      <c r="B846" s="121">
        <v>43.869586944580078</v>
      </c>
      <c r="C846" s="120">
        <f>IFERROR(yf_data[[#This Row],[Close Price]]/B845-1,0)</f>
        <v>3.1097682507977176E-2</v>
      </c>
    </row>
    <row r="847" spans="1:3">
      <c r="A847" s="119">
        <v>42046</v>
      </c>
      <c r="B847" s="121">
        <v>43.59173583984375</v>
      </c>
      <c r="C847" s="120">
        <f>IFERROR(yf_data[[#This Row],[Close Price]]/B846-1,0)</f>
        <v>-6.333570112874165E-3</v>
      </c>
    </row>
    <row r="848" spans="1:3">
      <c r="A848" s="119">
        <v>42047</v>
      </c>
      <c r="B848" s="121">
        <v>43.904872894287109</v>
      </c>
      <c r="C848" s="120">
        <f>IFERROR(yf_data[[#This Row],[Close Price]]/B847-1,0)</f>
        <v>7.1834041111329405E-3</v>
      </c>
    </row>
    <row r="849" spans="1:3">
      <c r="A849" s="119">
        <v>42048</v>
      </c>
      <c r="B849" s="121">
        <v>43.882816314697266</v>
      </c>
      <c r="C849" s="120">
        <f>IFERROR(yf_data[[#This Row],[Close Price]]/B848-1,0)</f>
        <v>-5.0237201786118568E-4</v>
      </c>
    </row>
    <row r="850" spans="1:3">
      <c r="A850" s="119">
        <v>42051</v>
      </c>
      <c r="B850" s="121">
        <v>44.500263214111328</v>
      </c>
      <c r="C850" s="120">
        <f>IFERROR(yf_data[[#This Row],[Close Price]]/B849-1,0)</f>
        <v>1.4070357175486548E-2</v>
      </c>
    </row>
    <row r="851" spans="1:3">
      <c r="A851" s="119">
        <v>42052</v>
      </c>
      <c r="B851" s="121">
        <v>44.694316864013672</v>
      </c>
      <c r="C851" s="120">
        <f>IFERROR(yf_data[[#This Row],[Close Price]]/B850-1,0)</f>
        <v>4.3607303841926015E-3</v>
      </c>
    </row>
    <row r="852" spans="1:3">
      <c r="A852" s="119">
        <v>42053</v>
      </c>
      <c r="B852" s="121">
        <v>45.329410552978509</v>
      </c>
      <c r="C852" s="120">
        <f>IFERROR(yf_data[[#This Row],[Close Price]]/B851-1,0)</f>
        <v>1.4209719121497377E-2</v>
      </c>
    </row>
    <row r="853" spans="1:3">
      <c r="A853" s="119">
        <v>42054</v>
      </c>
      <c r="B853" s="121">
        <v>45.858654022216797</v>
      </c>
      <c r="C853" s="120">
        <f>IFERROR(yf_data[[#This Row],[Close Price]]/B852-1,0)</f>
        <v>1.1675498595326683E-2</v>
      </c>
    </row>
    <row r="854" spans="1:3">
      <c r="A854" s="119">
        <v>42055</v>
      </c>
      <c r="B854" s="121">
        <v>46.273220062255859</v>
      </c>
      <c r="C854" s="120">
        <f>IFERROR(yf_data[[#This Row],[Close Price]]/B853-1,0)</f>
        <v>9.0400830307453273E-3</v>
      </c>
    </row>
    <row r="855" spans="1:3">
      <c r="A855" s="119">
        <v>42058</v>
      </c>
      <c r="B855" s="121">
        <v>46.608402252197266</v>
      </c>
      <c r="C855" s="120">
        <f>IFERROR(yf_data[[#This Row],[Close Price]]/B854-1,0)</f>
        <v>7.2435458239226147E-3</v>
      </c>
    </row>
    <row r="856" spans="1:3">
      <c r="A856" s="119">
        <v>42059</v>
      </c>
      <c r="B856" s="121">
        <v>45.735160827636719</v>
      </c>
      <c r="C856" s="120">
        <f>IFERROR(yf_data[[#This Row],[Close Price]]/B855-1,0)</f>
        <v>-1.8735708206332635E-2</v>
      </c>
    </row>
    <row r="857" spans="1:3">
      <c r="A857" s="119">
        <v>42060</v>
      </c>
      <c r="B857" s="121">
        <v>45.338230133056641</v>
      </c>
      <c r="C857" s="120">
        <f>IFERROR(yf_data[[#This Row],[Close Price]]/B856-1,0)</f>
        <v>-8.6788957860234328E-3</v>
      </c>
    </row>
    <row r="858" spans="1:3">
      <c r="A858" s="119">
        <v>42061</v>
      </c>
      <c r="B858" s="121">
        <v>45.541103363037109</v>
      </c>
      <c r="C858" s="120">
        <f>IFERROR(yf_data[[#This Row],[Close Price]]/B857-1,0)</f>
        <v>4.4746614366084625E-3</v>
      </c>
    </row>
    <row r="859" spans="1:3">
      <c r="A859" s="119">
        <v>42062</v>
      </c>
      <c r="B859" s="121">
        <v>48.804756164550781</v>
      </c>
      <c r="C859" s="120">
        <f>IFERROR(yf_data[[#This Row],[Close Price]]/B858-1,0)</f>
        <v>7.1663893944268642E-2</v>
      </c>
    </row>
    <row r="860" spans="1:3">
      <c r="A860" s="119">
        <v>42065</v>
      </c>
      <c r="B860" s="121">
        <v>49.475120544433594</v>
      </c>
      <c r="C860" s="120">
        <f>IFERROR(yf_data[[#This Row],[Close Price]]/B859-1,0)</f>
        <v>1.3735636289680553E-2</v>
      </c>
    </row>
    <row r="861" spans="1:3">
      <c r="A861" s="119">
        <v>42066</v>
      </c>
      <c r="B861" s="121">
        <v>48.866497039794922</v>
      </c>
      <c r="C861" s="120">
        <f>IFERROR(yf_data[[#This Row],[Close Price]]/B860-1,0)</f>
        <v>-1.2301607311741014E-2</v>
      </c>
    </row>
    <row r="862" spans="1:3">
      <c r="A862" s="119">
        <v>42067</v>
      </c>
      <c r="B862" s="121">
        <v>49.854408264160163</v>
      </c>
      <c r="C862" s="120">
        <f>IFERROR(yf_data[[#This Row],[Close Price]]/B861-1,0)</f>
        <v>2.0216534521816154E-2</v>
      </c>
    </row>
    <row r="863" spans="1:3">
      <c r="A863" s="119">
        <v>42068</v>
      </c>
      <c r="B863" s="121">
        <v>52.2271728515625</v>
      </c>
      <c r="C863" s="120">
        <f>IFERROR(yf_data[[#This Row],[Close Price]]/B862-1,0)</f>
        <v>4.7593877252136485E-2</v>
      </c>
    </row>
    <row r="864" spans="1:3">
      <c r="A864" s="119">
        <v>42069</v>
      </c>
      <c r="B864" s="121">
        <v>52.412406921386719</v>
      </c>
      <c r="C864" s="120">
        <f>IFERROR(yf_data[[#This Row],[Close Price]]/B863-1,0)</f>
        <v>3.5466991550678895E-3</v>
      </c>
    </row>
    <row r="865" spans="1:3">
      <c r="A865" s="119">
        <v>42072</v>
      </c>
      <c r="B865" s="121">
        <v>51.936084747314453</v>
      </c>
      <c r="C865" s="120">
        <f>IFERROR(yf_data[[#This Row],[Close Price]]/B864-1,0)</f>
        <v>-9.0879660380165372E-3</v>
      </c>
    </row>
    <row r="866" spans="1:3">
      <c r="A866" s="119">
        <v>42073</v>
      </c>
      <c r="B866" s="121">
        <v>51.936084747314453</v>
      </c>
      <c r="C866" s="120">
        <f>IFERROR(yf_data[[#This Row],[Close Price]]/B865-1,0)</f>
        <v>0</v>
      </c>
    </row>
    <row r="867" spans="1:3">
      <c r="A867" s="119">
        <v>42074</v>
      </c>
      <c r="B867" s="121">
        <v>54.185359954833984</v>
      </c>
      <c r="C867" s="120">
        <f>IFERROR(yf_data[[#This Row],[Close Price]]/B866-1,0)</f>
        <v>4.3308524669561921E-2</v>
      </c>
    </row>
    <row r="868" spans="1:3">
      <c r="A868" s="119">
        <v>42075</v>
      </c>
      <c r="B868" s="121">
        <v>54.758701324462891</v>
      </c>
      <c r="C868" s="120">
        <f>IFERROR(yf_data[[#This Row],[Close Price]]/B867-1,0)</f>
        <v>1.0581112132628023E-2</v>
      </c>
    </row>
    <row r="869" spans="1:3">
      <c r="A869" s="119">
        <v>42076</v>
      </c>
      <c r="B869" s="121">
        <v>56.064159393310547</v>
      </c>
      <c r="C869" s="120">
        <f>IFERROR(yf_data[[#This Row],[Close Price]]/B868-1,0)</f>
        <v>2.3840194111113044E-2</v>
      </c>
    </row>
    <row r="870" spans="1:3">
      <c r="A870" s="119">
        <v>42079</v>
      </c>
      <c r="B870" s="121">
        <v>56.328781127929688</v>
      </c>
      <c r="C870" s="120">
        <f>IFERROR(yf_data[[#This Row],[Close Price]]/B869-1,0)</f>
        <v>4.7199804203381657E-3</v>
      </c>
    </row>
    <row r="871" spans="1:3">
      <c r="A871" s="119">
        <v>42080</v>
      </c>
      <c r="B871" s="121">
        <v>53.788429260253906</v>
      </c>
      <c r="C871" s="120">
        <f>IFERROR(yf_data[[#This Row],[Close Price]]/B870-1,0)</f>
        <v>-4.5098647916885115E-2</v>
      </c>
    </row>
    <row r="872" spans="1:3">
      <c r="A872" s="119">
        <v>42081</v>
      </c>
      <c r="B872" s="121">
        <v>53.973659515380859</v>
      </c>
      <c r="C872" s="120">
        <f>IFERROR(yf_data[[#This Row],[Close Price]]/B871-1,0)</f>
        <v>3.4436821761558711E-3</v>
      </c>
    </row>
    <row r="873" spans="1:3">
      <c r="A873" s="119">
        <v>42082</v>
      </c>
      <c r="B873" s="121">
        <v>53.876636505126953</v>
      </c>
      <c r="C873" s="120">
        <f>IFERROR(yf_data[[#This Row],[Close Price]]/B872-1,0)</f>
        <v>-1.7975992572127897E-3</v>
      </c>
    </row>
    <row r="874" spans="1:3">
      <c r="A874" s="119">
        <v>42083</v>
      </c>
      <c r="B874" s="121">
        <v>54.158897399902344</v>
      </c>
      <c r="C874" s="120">
        <f>IFERROR(yf_data[[#This Row],[Close Price]]/B873-1,0)</f>
        <v>5.2390222011824417E-3</v>
      </c>
    </row>
    <row r="875" spans="1:3">
      <c r="A875" s="119">
        <v>42086</v>
      </c>
      <c r="B875" s="121">
        <v>52.924003601074219</v>
      </c>
      <c r="C875" s="120">
        <f>IFERROR(yf_data[[#This Row],[Close Price]]/B874-1,0)</f>
        <v>-2.2801309814522774E-2</v>
      </c>
    </row>
    <row r="876" spans="1:3">
      <c r="A876" s="119">
        <v>42087</v>
      </c>
      <c r="B876" s="121">
        <v>53.197444915771491</v>
      </c>
      <c r="C876" s="120">
        <f>IFERROR(yf_data[[#This Row],[Close Price]]/B875-1,0)</f>
        <v>5.1666785596644615E-3</v>
      </c>
    </row>
    <row r="877" spans="1:3">
      <c r="A877" s="119">
        <v>42088</v>
      </c>
      <c r="B877" s="121">
        <v>51.944908142089837</v>
      </c>
      <c r="C877" s="120">
        <f>IFERROR(yf_data[[#This Row],[Close Price]]/B876-1,0)</f>
        <v>-2.354505513685512E-2</v>
      </c>
    </row>
    <row r="878" spans="1:3">
      <c r="A878" s="119">
        <v>42089</v>
      </c>
      <c r="B878" s="121">
        <v>53.047489166259766</v>
      </c>
      <c r="C878" s="120">
        <f>IFERROR(yf_data[[#This Row],[Close Price]]/B877-1,0)</f>
        <v>2.1225969274099699E-2</v>
      </c>
    </row>
    <row r="879" spans="1:3">
      <c r="A879" s="119">
        <v>42090</v>
      </c>
      <c r="B879" s="121">
        <v>53.285652160644531</v>
      </c>
      <c r="C879" s="120">
        <f>IFERROR(yf_data[[#This Row],[Close Price]]/B878-1,0)</f>
        <v>4.4896186064211641E-3</v>
      </c>
    </row>
    <row r="880" spans="1:3">
      <c r="A880" s="119">
        <v>42093</v>
      </c>
      <c r="B880" s="121">
        <v>53.973659515380859</v>
      </c>
      <c r="C880" s="120">
        <f>IFERROR(yf_data[[#This Row],[Close Price]]/B879-1,0)</f>
        <v>1.2911681228225058E-2</v>
      </c>
    </row>
    <row r="881" spans="1:3">
      <c r="A881" s="119">
        <v>42094</v>
      </c>
      <c r="B881" s="121">
        <v>53.312110900878906</v>
      </c>
      <c r="C881" s="120">
        <f>IFERROR(yf_data[[#This Row],[Close Price]]/B880-1,0)</f>
        <v>-1.225687901175998E-2</v>
      </c>
    </row>
    <row r="882" spans="1:3">
      <c r="A882" s="119">
        <v>42095</v>
      </c>
      <c r="B882" s="121">
        <v>53.7266845703125</v>
      </c>
      <c r="C882" s="120">
        <f>IFERROR(yf_data[[#This Row],[Close Price]]/B881-1,0)</f>
        <v>7.776350672071386E-3</v>
      </c>
    </row>
    <row r="883" spans="1:3">
      <c r="A883" s="119">
        <v>42096</v>
      </c>
      <c r="B883" s="121">
        <v>53.594371795654297</v>
      </c>
      <c r="C883" s="120">
        <f>IFERROR(yf_data[[#This Row],[Close Price]]/B882-1,0)</f>
        <v>-2.4627012762167277E-3</v>
      </c>
    </row>
    <row r="884" spans="1:3">
      <c r="A884" s="119">
        <v>42101</v>
      </c>
      <c r="B884" s="121">
        <v>53.276828765869141</v>
      </c>
      <c r="C884" s="120">
        <f>IFERROR(yf_data[[#This Row],[Close Price]]/B883-1,0)</f>
        <v>-5.9249323976758861E-3</v>
      </c>
    </row>
    <row r="885" spans="1:3">
      <c r="A885" s="119">
        <v>42102</v>
      </c>
      <c r="B885" s="121">
        <v>52.959281921386719</v>
      </c>
      <c r="C885" s="120">
        <f>IFERROR(yf_data[[#This Row],[Close Price]]/B884-1,0)</f>
        <v>-5.9603180564278269E-3</v>
      </c>
    </row>
    <row r="886" spans="1:3">
      <c r="A886" s="119">
        <v>42103</v>
      </c>
      <c r="B886" s="121">
        <v>54.044227600097656</v>
      </c>
      <c r="C886" s="120">
        <f>IFERROR(yf_data[[#This Row],[Close Price]]/B885-1,0)</f>
        <v>2.0486412189678838E-2</v>
      </c>
    </row>
    <row r="887" spans="1:3">
      <c r="A887" s="119">
        <v>42104</v>
      </c>
      <c r="B887" s="121">
        <v>54.608749389648438</v>
      </c>
      <c r="C887" s="120">
        <f>IFERROR(yf_data[[#This Row],[Close Price]]/B886-1,0)</f>
        <v>1.0445551997300795E-2</v>
      </c>
    </row>
    <row r="888" spans="1:3">
      <c r="A888" s="119">
        <v>42107</v>
      </c>
      <c r="B888" s="121">
        <v>55.384967803955078</v>
      </c>
      <c r="C888" s="120">
        <f>IFERROR(yf_data[[#This Row],[Close Price]]/B887-1,0)</f>
        <v>1.421417672043912E-2</v>
      </c>
    </row>
    <row r="889" spans="1:3">
      <c r="A889" s="119">
        <v>42108</v>
      </c>
      <c r="B889" s="121">
        <v>53.920738220214851</v>
      </c>
      <c r="C889" s="120">
        <f>IFERROR(yf_data[[#This Row],[Close Price]]/B888-1,0)</f>
        <v>-2.6437310371347111E-2</v>
      </c>
    </row>
    <row r="890" spans="1:3">
      <c r="A890" s="119">
        <v>42109</v>
      </c>
      <c r="B890" s="121">
        <v>55.332046508789063</v>
      </c>
      <c r="C890" s="120">
        <f>IFERROR(yf_data[[#This Row],[Close Price]]/B889-1,0)</f>
        <v>2.6173756798550496E-2</v>
      </c>
    </row>
    <row r="891" spans="1:3">
      <c r="A891" s="119">
        <v>42110</v>
      </c>
      <c r="B891" s="121">
        <v>56.425811767578125</v>
      </c>
      <c r="C891" s="120">
        <f>IFERROR(yf_data[[#This Row],[Close Price]]/B890-1,0)</f>
        <v>1.9767301732013909E-2</v>
      </c>
    </row>
    <row r="892" spans="1:3">
      <c r="A892" s="119">
        <v>42111</v>
      </c>
      <c r="B892" s="121">
        <v>54.846912384033203</v>
      </c>
      <c r="C892" s="120">
        <f>IFERROR(yf_data[[#This Row],[Close Price]]/B891-1,0)</f>
        <v>-2.7981863868410395E-2</v>
      </c>
    </row>
    <row r="893" spans="1:3">
      <c r="A893" s="119">
        <v>42114</v>
      </c>
      <c r="B893" s="121">
        <v>55.667232513427734</v>
      </c>
      <c r="C893" s="120">
        <f>IFERROR(yf_data[[#This Row],[Close Price]]/B892-1,0)</f>
        <v>1.4956541649067123E-2</v>
      </c>
    </row>
    <row r="894" spans="1:3">
      <c r="A894" s="119">
        <v>42115</v>
      </c>
      <c r="B894" s="121">
        <v>56.928585052490234</v>
      </c>
      <c r="C894" s="120">
        <f>IFERROR(yf_data[[#This Row],[Close Price]]/B893-1,0)</f>
        <v>2.2658797323151347E-2</v>
      </c>
    </row>
    <row r="895" spans="1:3">
      <c r="A895" s="119">
        <v>42116</v>
      </c>
      <c r="B895" s="121">
        <v>58.039997100830078</v>
      </c>
      <c r="C895" s="120">
        <f>IFERROR(yf_data[[#This Row],[Close Price]]/B894-1,0)</f>
        <v>1.9522917130560646E-2</v>
      </c>
    </row>
    <row r="896" spans="1:3">
      <c r="A896" s="119">
        <v>42117</v>
      </c>
      <c r="B896" s="121">
        <v>57.89886474609375</v>
      </c>
      <c r="C896" s="120">
        <f>IFERROR(yf_data[[#This Row],[Close Price]]/B895-1,0)</f>
        <v>-2.4316395896978316E-3</v>
      </c>
    </row>
    <row r="897" spans="1:3">
      <c r="A897" s="119">
        <v>42118</v>
      </c>
      <c r="B897" s="121">
        <v>57.45782470703125</v>
      </c>
      <c r="C897" s="120">
        <f>IFERROR(yf_data[[#This Row],[Close Price]]/B896-1,0)</f>
        <v>-7.6174211877315656E-3</v>
      </c>
    </row>
    <row r="898" spans="1:3">
      <c r="A898" s="119">
        <v>42121</v>
      </c>
      <c r="B898" s="121">
        <v>57.995883941650391</v>
      </c>
      <c r="C898" s="120">
        <f>IFERROR(yf_data[[#This Row],[Close Price]]/B897-1,0)</f>
        <v>9.3644205530338809E-3</v>
      </c>
    </row>
    <row r="899" spans="1:3">
      <c r="A899" s="119">
        <v>42122</v>
      </c>
      <c r="B899" s="121">
        <v>55.481998443603523</v>
      </c>
      <c r="C899" s="120">
        <f>IFERROR(yf_data[[#This Row],[Close Price]]/B898-1,0)</f>
        <v>-4.3345929524517435E-2</v>
      </c>
    </row>
    <row r="900" spans="1:3">
      <c r="A900" s="119">
        <v>42123</v>
      </c>
      <c r="B900" s="121">
        <v>53.435600280761719</v>
      </c>
      <c r="C900" s="120">
        <f>IFERROR(yf_data[[#This Row],[Close Price]]/B899-1,0)</f>
        <v>-3.6884002383618775E-2</v>
      </c>
    </row>
    <row r="901" spans="1:3">
      <c r="A901" s="119">
        <v>42124</v>
      </c>
      <c r="B901" s="121">
        <v>54.688137054443359</v>
      </c>
      <c r="C901" s="120">
        <f>IFERROR(yf_data[[#This Row],[Close Price]]/B900-1,0)</f>
        <v>2.3440117956952999E-2</v>
      </c>
    </row>
    <row r="902" spans="1:3">
      <c r="A902" s="119">
        <v>42128</v>
      </c>
      <c r="B902" s="121">
        <v>54.335311889648438</v>
      </c>
      <c r="C902" s="120">
        <f>IFERROR(yf_data[[#This Row],[Close Price]]/B901-1,0)</f>
        <v>-6.4515850017651255E-3</v>
      </c>
    </row>
    <row r="903" spans="1:3">
      <c r="A903" s="119">
        <v>42129</v>
      </c>
      <c r="B903" s="121">
        <v>52.835800170898438</v>
      </c>
      <c r="C903" s="120">
        <f>IFERROR(yf_data[[#This Row],[Close Price]]/B902-1,0)</f>
        <v>-2.7597370229426765E-2</v>
      </c>
    </row>
    <row r="904" spans="1:3">
      <c r="A904" s="119">
        <v>42130</v>
      </c>
      <c r="B904" s="121">
        <v>53.170982360839837</v>
      </c>
      <c r="C904" s="120">
        <f>IFERROR(yf_data[[#This Row],[Close Price]]/B903-1,0)</f>
        <v>6.3438461962768145E-3</v>
      </c>
    </row>
    <row r="905" spans="1:3">
      <c r="A905" s="119">
        <v>42131</v>
      </c>
      <c r="B905" s="121">
        <v>53.241546630859375</v>
      </c>
      <c r="C905" s="120">
        <f>IFERROR(yf_data[[#This Row],[Close Price]]/B904-1,0)</f>
        <v>1.3271199230562303E-3</v>
      </c>
    </row>
    <row r="906" spans="1:3">
      <c r="A906" s="119">
        <v>42132</v>
      </c>
      <c r="B906" s="121">
        <v>55.923030853271491</v>
      </c>
      <c r="C906" s="120">
        <f>IFERROR(yf_data[[#This Row],[Close Price]]/B905-1,0)</f>
        <v>5.0364506519761765E-2</v>
      </c>
    </row>
    <row r="907" spans="1:3">
      <c r="A907" s="119">
        <v>42135</v>
      </c>
      <c r="B907" s="121">
        <v>54.767524719238281</v>
      </c>
      <c r="C907" s="120">
        <f>IFERROR(yf_data[[#This Row],[Close Price]]/B906-1,0)</f>
        <v>-2.0662437575405757E-2</v>
      </c>
    </row>
    <row r="908" spans="1:3">
      <c r="A908" s="119">
        <v>42136</v>
      </c>
      <c r="B908" s="121">
        <v>53.550270080566406</v>
      </c>
      <c r="C908" s="120">
        <f>IFERROR(yf_data[[#This Row],[Close Price]]/B907-1,0)</f>
        <v>-2.2225847250027075E-2</v>
      </c>
    </row>
    <row r="909" spans="1:3">
      <c r="A909" s="119">
        <v>42137</v>
      </c>
      <c r="B909" s="121">
        <v>53.100418090820313</v>
      </c>
      <c r="C909" s="120">
        <f>IFERROR(yf_data[[#This Row],[Close Price]]/B908-1,0)</f>
        <v>-8.400555012501143E-3</v>
      </c>
    </row>
    <row r="910" spans="1:3">
      <c r="A910" s="119">
        <v>42138</v>
      </c>
      <c r="B910" s="121">
        <v>53.691398620605469</v>
      </c>
      <c r="C910" s="120">
        <f>IFERROR(yf_data[[#This Row],[Close Price]]/B909-1,0)</f>
        <v>1.1129489202408305E-2</v>
      </c>
    </row>
    <row r="911" spans="1:3">
      <c r="A911" s="119">
        <v>42139</v>
      </c>
      <c r="B911" s="121">
        <v>53.682582855224609</v>
      </c>
      <c r="C911" s="120">
        <f>IFERROR(yf_data[[#This Row],[Close Price]]/B910-1,0)</f>
        <v>-1.6419325268757223E-4</v>
      </c>
    </row>
    <row r="912" spans="1:3">
      <c r="A912" s="119">
        <v>42142</v>
      </c>
      <c r="B912" s="121">
        <v>54.247104644775391</v>
      </c>
      <c r="C912" s="120">
        <f>IFERROR(yf_data[[#This Row],[Close Price]]/B911-1,0)</f>
        <v>1.051592079824526E-2</v>
      </c>
    </row>
    <row r="913" spans="1:3">
      <c r="A913" s="119">
        <v>42143</v>
      </c>
      <c r="B913" s="121">
        <v>55.402610778808594</v>
      </c>
      <c r="C913" s="120">
        <f>IFERROR(yf_data[[#This Row],[Close Price]]/B912-1,0)</f>
        <v>2.1300789076205362E-2</v>
      </c>
    </row>
    <row r="914" spans="1:3">
      <c r="A914" s="119">
        <v>42144</v>
      </c>
      <c r="B914" s="121">
        <v>55.870105743408203</v>
      </c>
      <c r="C914" s="120">
        <f>IFERROR(yf_data[[#This Row],[Close Price]]/B913-1,0)</f>
        <v>8.4381396116159912E-3</v>
      </c>
    </row>
    <row r="915" spans="1:3">
      <c r="A915" s="119">
        <v>42145</v>
      </c>
      <c r="B915" s="121">
        <v>56.399345397949219</v>
      </c>
      <c r="C915" s="120">
        <f>IFERROR(yf_data[[#This Row],[Close Price]]/B914-1,0)</f>
        <v>9.4726803806606252E-3</v>
      </c>
    </row>
    <row r="916" spans="1:3">
      <c r="A916" s="119">
        <v>42146</v>
      </c>
      <c r="B916" s="121">
        <v>56.214111328125</v>
      </c>
      <c r="C916" s="120">
        <f>IFERROR(yf_data[[#This Row],[Close Price]]/B915-1,0)</f>
        <v>-3.2843301374727574E-3</v>
      </c>
    </row>
    <row r="917" spans="1:3">
      <c r="A917" s="119">
        <v>42149</v>
      </c>
      <c r="B917" s="121">
        <v>55.887744903564453</v>
      </c>
      <c r="C917" s="120">
        <f>IFERROR(yf_data[[#This Row],[Close Price]]/B916-1,0)</f>
        <v>-5.8057739747148229E-3</v>
      </c>
    </row>
    <row r="918" spans="1:3">
      <c r="A918" s="119">
        <v>42150</v>
      </c>
      <c r="B918" s="121">
        <v>56.002414703369141</v>
      </c>
      <c r="C918" s="120">
        <f>IFERROR(yf_data[[#This Row],[Close Price]]/B917-1,0)</f>
        <v>2.0517879188461929E-3</v>
      </c>
    </row>
    <row r="919" spans="1:3">
      <c r="A919" s="119">
        <v>42151</v>
      </c>
      <c r="B919" s="121">
        <v>57.563674926757813</v>
      </c>
      <c r="C919" s="120">
        <f>IFERROR(yf_data[[#This Row],[Close Price]]/B918-1,0)</f>
        <v>2.7878444735968566E-2</v>
      </c>
    </row>
    <row r="920" spans="1:3">
      <c r="A920" s="119">
        <v>42152</v>
      </c>
      <c r="B920" s="121">
        <v>57.016796112060547</v>
      </c>
      <c r="C920" s="120">
        <f>IFERROR(yf_data[[#This Row],[Close Price]]/B919-1,0)</f>
        <v>-9.500415242652549E-3</v>
      </c>
    </row>
    <row r="921" spans="1:3">
      <c r="A921" s="119">
        <v>42153</v>
      </c>
      <c r="B921" s="121">
        <v>54.688137054443359</v>
      </c>
      <c r="C921" s="120">
        <f>IFERROR(yf_data[[#This Row],[Close Price]]/B920-1,0)</f>
        <v>-4.084163292936438E-2</v>
      </c>
    </row>
    <row r="922" spans="1:3">
      <c r="A922" s="119">
        <v>42156</v>
      </c>
      <c r="B922" s="121">
        <v>55.605602264404297</v>
      </c>
      <c r="C922" s="120">
        <f>IFERROR(yf_data[[#This Row],[Close Price]]/B921-1,0)</f>
        <v>1.6776311269253386E-2</v>
      </c>
    </row>
    <row r="923" spans="1:3">
      <c r="A923" s="119">
        <v>42157</v>
      </c>
      <c r="B923" s="121">
        <v>55.326763153076172</v>
      </c>
      <c r="C923" s="120">
        <f>IFERROR(yf_data[[#This Row],[Close Price]]/B922-1,0)</f>
        <v>-5.0145866598521049E-3</v>
      </c>
    </row>
    <row r="924" spans="1:3">
      <c r="A924" s="119">
        <v>42158</v>
      </c>
      <c r="B924" s="121">
        <v>55.254806518554688</v>
      </c>
      <c r="C924" s="120">
        <f>IFERROR(yf_data[[#This Row],[Close Price]]/B923-1,0)</f>
        <v>-1.3005755338044711E-3</v>
      </c>
    </row>
    <row r="925" spans="1:3">
      <c r="A925" s="119">
        <v>42159</v>
      </c>
      <c r="B925" s="121">
        <v>54.661151885986328</v>
      </c>
      <c r="C925" s="120">
        <f>IFERROR(yf_data[[#This Row],[Close Price]]/B924-1,0)</f>
        <v>-1.0743945549225864E-2</v>
      </c>
    </row>
    <row r="926" spans="1:3">
      <c r="A926" s="119">
        <v>42160</v>
      </c>
      <c r="B926" s="121">
        <v>53.662731170654297</v>
      </c>
      <c r="C926" s="120">
        <f>IFERROR(yf_data[[#This Row],[Close Price]]/B925-1,0)</f>
        <v>-1.8265636212982939E-2</v>
      </c>
    </row>
    <row r="927" spans="1:3">
      <c r="A927" s="119">
        <v>42163</v>
      </c>
      <c r="B927" s="121">
        <v>53.204002380371094</v>
      </c>
      <c r="C927" s="120">
        <f>IFERROR(yf_data[[#This Row],[Close Price]]/B926-1,0)</f>
        <v>-8.5483683047063996E-3</v>
      </c>
    </row>
    <row r="928" spans="1:3">
      <c r="A928" s="119">
        <v>42164</v>
      </c>
      <c r="B928" s="121">
        <v>53.024105072021491</v>
      </c>
      <c r="C928" s="120">
        <f>IFERROR(yf_data[[#This Row],[Close Price]]/B927-1,0)</f>
        <v>-3.3812739700194161E-3</v>
      </c>
    </row>
    <row r="929" spans="1:3">
      <c r="A929" s="119">
        <v>42165</v>
      </c>
      <c r="B929" s="121">
        <v>54.445274353027344</v>
      </c>
      <c r="C929" s="120">
        <f>IFERROR(yf_data[[#This Row],[Close Price]]/B928-1,0)</f>
        <v>2.680232469884225E-2</v>
      </c>
    </row>
    <row r="930" spans="1:3">
      <c r="A930" s="119">
        <v>42166</v>
      </c>
      <c r="B930" s="121">
        <v>55.272796630859375</v>
      </c>
      <c r="C930" s="120">
        <f>IFERROR(yf_data[[#This Row],[Close Price]]/B929-1,0)</f>
        <v>1.5199157092428583E-2</v>
      </c>
    </row>
    <row r="931" spans="1:3">
      <c r="A931" s="119">
        <v>42167</v>
      </c>
      <c r="B931" s="121">
        <v>54.364326477050781</v>
      </c>
      <c r="C931" s="120">
        <f>IFERROR(yf_data[[#This Row],[Close Price]]/B930-1,0)</f>
        <v>-1.6436117026533581E-2</v>
      </c>
    </row>
    <row r="932" spans="1:3">
      <c r="A932" s="119">
        <v>42170</v>
      </c>
      <c r="B932" s="121">
        <v>53.329929351806641</v>
      </c>
      <c r="C932" s="120">
        <f>IFERROR(yf_data[[#This Row],[Close Price]]/B931-1,0)</f>
        <v>-1.9027130331151998E-2</v>
      </c>
    </row>
    <row r="933" spans="1:3">
      <c r="A933" s="119">
        <v>42171</v>
      </c>
      <c r="B933" s="121">
        <v>53.401885986328125</v>
      </c>
      <c r="C933" s="120">
        <f>IFERROR(yf_data[[#This Row],[Close Price]]/B932-1,0)</f>
        <v>1.3492730141606568E-3</v>
      </c>
    </row>
    <row r="934" spans="1:3">
      <c r="A934" s="119">
        <v>42172</v>
      </c>
      <c r="B934" s="121">
        <v>52.133621215820313</v>
      </c>
      <c r="C934" s="120">
        <f>IFERROR(yf_data[[#This Row],[Close Price]]/B933-1,0)</f>
        <v>-2.3749437816344421E-2</v>
      </c>
    </row>
    <row r="935" spans="1:3">
      <c r="A935" s="119">
        <v>42173</v>
      </c>
      <c r="B935" s="121">
        <v>51.890766143798828</v>
      </c>
      <c r="C935" s="120">
        <f>IFERROR(yf_data[[#This Row],[Close Price]]/B934-1,0)</f>
        <v>-4.6583196478166E-3</v>
      </c>
    </row>
    <row r="936" spans="1:3">
      <c r="A936" s="119">
        <v>42174</v>
      </c>
      <c r="B936" s="121">
        <v>53.015110015869141</v>
      </c>
      <c r="C936" s="120">
        <f>IFERROR(yf_data[[#This Row],[Close Price]]/B935-1,0)</f>
        <v>2.1667513425308593E-2</v>
      </c>
    </row>
    <row r="937" spans="1:3">
      <c r="A937" s="119">
        <v>42177</v>
      </c>
      <c r="B937" s="121">
        <v>54.544216156005859</v>
      </c>
      <c r="C937" s="120">
        <f>IFERROR(yf_data[[#This Row],[Close Price]]/B936-1,0)</f>
        <v>2.8842836309856068E-2</v>
      </c>
    </row>
    <row r="938" spans="1:3">
      <c r="A938" s="119">
        <v>42178</v>
      </c>
      <c r="B938" s="121">
        <v>55.758514404296875</v>
      </c>
      <c r="C938" s="120">
        <f>IFERROR(yf_data[[#This Row],[Close Price]]/B937-1,0)</f>
        <v>2.2262639998674061E-2</v>
      </c>
    </row>
    <row r="939" spans="1:3">
      <c r="A939" s="119">
        <v>42179</v>
      </c>
      <c r="B939" s="121">
        <v>55.488670349121094</v>
      </c>
      <c r="C939" s="120">
        <f>IFERROR(yf_data[[#This Row],[Close Price]]/B938-1,0)</f>
        <v>-4.8395129974084794E-3</v>
      </c>
    </row>
    <row r="940" spans="1:3">
      <c r="A940" s="119">
        <v>42180</v>
      </c>
      <c r="B940" s="121">
        <v>55.614597320556641</v>
      </c>
      <c r="C940" s="120">
        <f>IFERROR(yf_data[[#This Row],[Close Price]]/B939-1,0)</f>
        <v>2.2694177143414151E-3</v>
      </c>
    </row>
    <row r="941" spans="1:3">
      <c r="A941" s="119">
        <v>42181</v>
      </c>
      <c r="B941" s="121">
        <v>55.326763153076172</v>
      </c>
      <c r="C941" s="120">
        <f>IFERROR(yf_data[[#This Row],[Close Price]]/B940-1,0)</f>
        <v>-5.1755147272113389E-3</v>
      </c>
    </row>
    <row r="942" spans="1:3">
      <c r="A942" s="119">
        <v>42184</v>
      </c>
      <c r="B942" s="121">
        <v>53.338916778564453</v>
      </c>
      <c r="C942" s="120">
        <f>IFERROR(yf_data[[#This Row],[Close Price]]/B941-1,0)</f>
        <v>-3.5929200647647042E-2</v>
      </c>
    </row>
    <row r="943" spans="1:3">
      <c r="A943" s="119">
        <v>42185</v>
      </c>
      <c r="B943" s="121">
        <v>52.349498748779297</v>
      </c>
      <c r="C943" s="120">
        <f>IFERROR(yf_data[[#This Row],[Close Price]]/B942-1,0)</f>
        <v>-1.8549646103476536E-2</v>
      </c>
    </row>
    <row r="944" spans="1:3">
      <c r="A944" s="119">
        <v>42186</v>
      </c>
      <c r="B944" s="121">
        <v>54.301361083984375</v>
      </c>
      <c r="C944" s="120">
        <f>IFERROR(yf_data[[#This Row],[Close Price]]/B943-1,0)</f>
        <v>3.7285215367044877E-2</v>
      </c>
    </row>
    <row r="945" spans="1:3">
      <c r="A945" s="119">
        <v>42187</v>
      </c>
      <c r="B945" s="121">
        <v>53.536808013916016</v>
      </c>
      <c r="C945" s="120">
        <f>IFERROR(yf_data[[#This Row],[Close Price]]/B944-1,0)</f>
        <v>-1.4079814111581435E-2</v>
      </c>
    </row>
    <row r="946" spans="1:3">
      <c r="A946" s="119">
        <v>42188</v>
      </c>
      <c r="B946" s="121">
        <v>53.257968902587891</v>
      </c>
      <c r="C946" s="120">
        <f>IFERROR(yf_data[[#This Row],[Close Price]]/B945-1,0)</f>
        <v>-5.2083626512743342E-3</v>
      </c>
    </row>
    <row r="947" spans="1:3">
      <c r="A947" s="119">
        <v>42191</v>
      </c>
      <c r="B947" s="121">
        <v>52.511402130126953</v>
      </c>
      <c r="C947" s="120">
        <f>IFERROR(yf_data[[#This Row],[Close Price]]/B946-1,0)</f>
        <v>-1.4017935491052125E-2</v>
      </c>
    </row>
    <row r="948" spans="1:3">
      <c r="A948" s="119">
        <v>42192</v>
      </c>
      <c r="B948" s="121">
        <v>50.928321838378906</v>
      </c>
      <c r="C948" s="120">
        <f>IFERROR(yf_data[[#This Row],[Close Price]]/B947-1,0)</f>
        <v>-3.01473628113198E-2</v>
      </c>
    </row>
    <row r="949" spans="1:3">
      <c r="A949" s="119">
        <v>42193</v>
      </c>
      <c r="B949" s="121">
        <v>51.414043426513672</v>
      </c>
      <c r="C949" s="120">
        <f>IFERROR(yf_data[[#This Row],[Close Price]]/B948-1,0)</f>
        <v>9.537357026532467E-3</v>
      </c>
    </row>
    <row r="950" spans="1:3">
      <c r="A950" s="119">
        <v>42194</v>
      </c>
      <c r="B950" s="121">
        <v>52.70928955078125</v>
      </c>
      <c r="C950" s="120">
        <f>IFERROR(yf_data[[#This Row],[Close Price]]/B949-1,0)</f>
        <v>2.5192457895650167E-2</v>
      </c>
    </row>
    <row r="951" spans="1:3">
      <c r="A951" s="119">
        <v>42195</v>
      </c>
      <c r="B951" s="121">
        <v>54.328342437744141</v>
      </c>
      <c r="C951" s="120">
        <f>IFERROR(yf_data[[#This Row],[Close Price]]/B950-1,0)</f>
        <v>3.0716651671107487E-2</v>
      </c>
    </row>
    <row r="952" spans="1:3">
      <c r="A952" s="119">
        <v>42198</v>
      </c>
      <c r="B952" s="121">
        <v>56.019363403320313</v>
      </c>
      <c r="C952" s="120">
        <f>IFERROR(yf_data[[#This Row],[Close Price]]/B951-1,0)</f>
        <v>3.1125944391068971E-2</v>
      </c>
    </row>
    <row r="953" spans="1:3">
      <c r="A953" s="119">
        <v>42199</v>
      </c>
      <c r="B953" s="121">
        <v>56.559051513671875</v>
      </c>
      <c r="C953" s="120">
        <f>IFERROR(yf_data[[#This Row],[Close Price]]/B952-1,0)</f>
        <v>9.6339565029683882E-3</v>
      </c>
    </row>
    <row r="954" spans="1:3">
      <c r="A954" s="119">
        <v>42200</v>
      </c>
      <c r="B954" s="121">
        <v>57.287620544433594</v>
      </c>
      <c r="C954" s="120">
        <f>IFERROR(yf_data[[#This Row],[Close Price]]/B953-1,0)</f>
        <v>1.2881563803905038E-2</v>
      </c>
    </row>
    <row r="955" spans="1:3">
      <c r="A955" s="119">
        <v>42201</v>
      </c>
      <c r="B955" s="121">
        <v>58.573871612548828</v>
      </c>
      <c r="C955" s="120">
        <f>IFERROR(yf_data[[#This Row],[Close Price]]/B954-1,0)</f>
        <v>2.2452513403268037E-2</v>
      </c>
    </row>
    <row r="956" spans="1:3">
      <c r="A956" s="119">
        <v>42202</v>
      </c>
      <c r="B956" s="121">
        <v>58.151119232177734</v>
      </c>
      <c r="C956" s="120">
        <f>IFERROR(yf_data[[#This Row],[Close Price]]/B955-1,0)</f>
        <v>-7.2174225253112123E-3</v>
      </c>
    </row>
    <row r="957" spans="1:3">
      <c r="A957" s="119">
        <v>42205</v>
      </c>
      <c r="B957" s="121">
        <v>58.232070922851563</v>
      </c>
      <c r="C957" s="120">
        <f>IFERROR(yf_data[[#This Row],[Close Price]]/B956-1,0)</f>
        <v>1.392091704213172E-3</v>
      </c>
    </row>
    <row r="958" spans="1:3">
      <c r="A958" s="119">
        <v>42206</v>
      </c>
      <c r="B958" s="121">
        <v>57.638416290283203</v>
      </c>
      <c r="C958" s="120">
        <f>IFERROR(yf_data[[#This Row],[Close Price]]/B957-1,0)</f>
        <v>-1.0194633698582645E-2</v>
      </c>
    </row>
    <row r="959" spans="1:3">
      <c r="A959" s="119">
        <v>42207</v>
      </c>
      <c r="B959" s="121">
        <v>56.990791320800781</v>
      </c>
      <c r="C959" s="120">
        <f>IFERROR(yf_data[[#This Row],[Close Price]]/B958-1,0)</f>
        <v>-1.1235995212304228E-2</v>
      </c>
    </row>
    <row r="960" spans="1:3">
      <c r="A960" s="119">
        <v>42208</v>
      </c>
      <c r="B960" s="121">
        <v>56.702960968017578</v>
      </c>
      <c r="C960" s="120">
        <f>IFERROR(yf_data[[#This Row],[Close Price]]/B959-1,0)</f>
        <v>-5.0504712447841937E-3</v>
      </c>
    </row>
    <row r="961" spans="1:3">
      <c r="A961" s="119">
        <v>42209</v>
      </c>
      <c r="B961" s="121">
        <v>56.720954895019531</v>
      </c>
      <c r="C961" s="120">
        <f>IFERROR(yf_data[[#This Row],[Close Price]]/B960-1,0)</f>
        <v>3.1733663806554624E-4</v>
      </c>
    </row>
    <row r="962" spans="1:3">
      <c r="A962" s="119">
        <v>42212</v>
      </c>
      <c r="B962" s="121">
        <v>54.238395690917969</v>
      </c>
      <c r="C962" s="120">
        <f>IFERROR(yf_data[[#This Row],[Close Price]]/B961-1,0)</f>
        <v>-4.3767937417420799E-2</v>
      </c>
    </row>
    <row r="963" spans="1:3">
      <c r="A963" s="119">
        <v>42213</v>
      </c>
      <c r="B963" s="121">
        <v>55.074909210205078</v>
      </c>
      <c r="C963" s="120">
        <f>IFERROR(yf_data[[#This Row],[Close Price]]/B962-1,0)</f>
        <v>1.5422903067672689E-2</v>
      </c>
    </row>
    <row r="964" spans="1:3">
      <c r="A964" s="119">
        <v>42214</v>
      </c>
      <c r="B964" s="121">
        <v>55.875438690185547</v>
      </c>
      <c r="C964" s="120">
        <f>IFERROR(yf_data[[#This Row],[Close Price]]/B963-1,0)</f>
        <v>1.4535284605283305E-2</v>
      </c>
    </row>
    <row r="965" spans="1:3">
      <c r="A965" s="119">
        <v>42215</v>
      </c>
      <c r="B965" s="121">
        <v>56.136299133300781</v>
      </c>
      <c r="C965" s="120">
        <f>IFERROR(yf_data[[#This Row],[Close Price]]/B964-1,0)</f>
        <v>4.6686066226993006E-3</v>
      </c>
    </row>
    <row r="966" spans="1:3">
      <c r="A966" s="119">
        <v>42216</v>
      </c>
      <c r="B966" s="121">
        <v>58.106143951416016</v>
      </c>
      <c r="C966" s="120">
        <f>IFERROR(yf_data[[#This Row],[Close Price]]/B965-1,0)</f>
        <v>3.509039335560149E-2</v>
      </c>
    </row>
    <row r="967" spans="1:3">
      <c r="A967" s="119">
        <v>42219</v>
      </c>
      <c r="B967" s="121">
        <v>59.122554779052734</v>
      </c>
      <c r="C967" s="120">
        <f>IFERROR(yf_data[[#This Row],[Close Price]]/B966-1,0)</f>
        <v>1.7492312490854145E-2</v>
      </c>
    </row>
    <row r="968" spans="1:3">
      <c r="A968" s="119">
        <v>42220</v>
      </c>
      <c r="B968" s="121">
        <v>58.366989135742188</v>
      </c>
      <c r="C968" s="120">
        <f>IFERROR(yf_data[[#This Row],[Close Price]]/B967-1,0)</f>
        <v>-1.2779651456777841E-2</v>
      </c>
    </row>
    <row r="969" spans="1:3">
      <c r="A969" s="119">
        <v>42221</v>
      </c>
      <c r="B969" s="121">
        <v>60.02203369140625</v>
      </c>
      <c r="C969" s="120">
        <f>IFERROR(yf_data[[#This Row],[Close Price]]/B968-1,0)</f>
        <v>2.8355832297858985E-2</v>
      </c>
    </row>
    <row r="970" spans="1:3">
      <c r="A970" s="119">
        <v>42222</v>
      </c>
      <c r="B970" s="121">
        <v>60.426792144775391</v>
      </c>
      <c r="C970" s="120">
        <f>IFERROR(yf_data[[#This Row],[Close Price]]/B969-1,0)</f>
        <v>6.7434978203195772E-3</v>
      </c>
    </row>
    <row r="971" spans="1:3">
      <c r="A971" s="119">
        <v>42223</v>
      </c>
      <c r="B971" s="121">
        <v>59.815147399902344</v>
      </c>
      <c r="C971" s="120">
        <f>IFERROR(yf_data[[#This Row],[Close Price]]/B970-1,0)</f>
        <v>-1.0122078686679581E-2</v>
      </c>
    </row>
    <row r="972" spans="1:3">
      <c r="A972" s="119">
        <v>42226</v>
      </c>
      <c r="B972" s="121">
        <v>59.482337951660163</v>
      </c>
      <c r="C972" s="120">
        <f>IFERROR(yf_data[[#This Row],[Close Price]]/B971-1,0)</f>
        <v>-5.5639660304962479E-3</v>
      </c>
    </row>
    <row r="973" spans="1:3">
      <c r="A973" s="119">
        <v>42227</v>
      </c>
      <c r="B973" s="121">
        <v>57.818309783935547</v>
      </c>
      <c r="C973" s="120">
        <f>IFERROR(yf_data[[#This Row],[Close Price]]/B972-1,0)</f>
        <v>-2.7975164141613496E-2</v>
      </c>
    </row>
    <row r="974" spans="1:3">
      <c r="A974" s="119">
        <v>42228</v>
      </c>
      <c r="B974" s="121">
        <v>54.823055267333984</v>
      </c>
      <c r="C974" s="120">
        <f>IFERROR(yf_data[[#This Row],[Close Price]]/B973-1,0)</f>
        <v>-5.1804601825869656E-2</v>
      </c>
    </row>
    <row r="975" spans="1:3">
      <c r="A975" s="119">
        <v>42229</v>
      </c>
      <c r="B975" s="121">
        <v>56.172267913818359</v>
      </c>
      <c r="C975" s="120">
        <f>IFERROR(yf_data[[#This Row],[Close Price]]/B974-1,0)</f>
        <v>2.4610314764567542E-2</v>
      </c>
    </row>
    <row r="976" spans="1:3">
      <c r="A976" s="119">
        <v>42230</v>
      </c>
      <c r="B976" s="121">
        <v>56.127296447753906</v>
      </c>
      <c r="C976" s="120">
        <f>IFERROR(yf_data[[#This Row],[Close Price]]/B975-1,0)</f>
        <v>-8.0059908091034693E-4</v>
      </c>
    </row>
    <row r="977" spans="1:3">
      <c r="A977" s="119">
        <v>42233</v>
      </c>
      <c r="B977" s="121">
        <v>56.675975799560547</v>
      </c>
      <c r="C977" s="120">
        <f>IFERROR(yf_data[[#This Row],[Close Price]]/B976-1,0)</f>
        <v>9.7756240997173283E-3</v>
      </c>
    </row>
    <row r="978" spans="1:3">
      <c r="A978" s="119">
        <v>42234</v>
      </c>
      <c r="B978" s="121">
        <v>56.631004333496094</v>
      </c>
      <c r="C978" s="120">
        <f>IFERROR(yf_data[[#This Row],[Close Price]]/B977-1,0)</f>
        <v>-7.9348375444820984E-4</v>
      </c>
    </row>
    <row r="979" spans="1:3">
      <c r="A979" s="119">
        <v>42235</v>
      </c>
      <c r="B979" s="121">
        <v>55.641578674316406</v>
      </c>
      <c r="C979" s="120">
        <f>IFERROR(yf_data[[#This Row],[Close Price]]/B978-1,0)</f>
        <v>-1.7471448207999729E-2</v>
      </c>
    </row>
    <row r="980" spans="1:3">
      <c r="A980" s="119">
        <v>42236</v>
      </c>
      <c r="B980" s="121">
        <v>54.058498382568359</v>
      </c>
      <c r="C980" s="120">
        <f>IFERROR(yf_data[[#This Row],[Close Price]]/B979-1,0)</f>
        <v>-2.8451390659028575E-2</v>
      </c>
    </row>
    <row r="981" spans="1:3">
      <c r="A981" s="119">
        <v>42237</v>
      </c>
      <c r="B981" s="121">
        <v>51.620922088623047</v>
      </c>
      <c r="C981" s="120">
        <f>IFERROR(yf_data[[#This Row],[Close Price]]/B980-1,0)</f>
        <v>-4.5091454015143917E-2</v>
      </c>
    </row>
    <row r="982" spans="1:3">
      <c r="A982" s="119">
        <v>42240</v>
      </c>
      <c r="B982" s="121">
        <v>49.201335906982422</v>
      </c>
      <c r="C982" s="120">
        <f>IFERROR(yf_data[[#This Row],[Close Price]]/B981-1,0)</f>
        <v>-4.6872199948049476E-2</v>
      </c>
    </row>
    <row r="983" spans="1:3">
      <c r="A983" s="119">
        <v>42241</v>
      </c>
      <c r="B983" s="121">
        <v>50.550544738769531</v>
      </c>
      <c r="C983" s="120">
        <f>IFERROR(yf_data[[#This Row],[Close Price]]/B982-1,0)</f>
        <v>2.7422199152028259E-2</v>
      </c>
    </row>
    <row r="984" spans="1:3">
      <c r="A984" s="119">
        <v>42242</v>
      </c>
      <c r="B984" s="121">
        <v>50.298694610595703</v>
      </c>
      <c r="C984" s="120">
        <f>IFERROR(yf_data[[#This Row],[Close Price]]/B983-1,0)</f>
        <v>-4.9821446925115698E-3</v>
      </c>
    </row>
    <row r="985" spans="1:3">
      <c r="A985" s="119">
        <v>42243</v>
      </c>
      <c r="B985" s="121">
        <v>52.088649749755859</v>
      </c>
      <c r="C985" s="120">
        <f>IFERROR(yf_data[[#This Row],[Close Price]]/B984-1,0)</f>
        <v>3.5586512791588198E-2</v>
      </c>
    </row>
    <row r="986" spans="1:3">
      <c r="A986" s="119">
        <v>42244</v>
      </c>
      <c r="B986" s="121">
        <v>52.421455383300781</v>
      </c>
      <c r="C986" s="120">
        <f>IFERROR(yf_data[[#This Row],[Close Price]]/B985-1,0)</f>
        <v>6.3892159835929885E-3</v>
      </c>
    </row>
    <row r="987" spans="1:3">
      <c r="A987" s="119">
        <v>42247</v>
      </c>
      <c r="B987" s="121">
        <v>52.250556945800781</v>
      </c>
      <c r="C987" s="120">
        <f>IFERROR(yf_data[[#This Row],[Close Price]]/B986-1,0)</f>
        <v>-3.2600857082354384E-3</v>
      </c>
    </row>
    <row r="988" spans="1:3">
      <c r="A988" s="119">
        <v>42248</v>
      </c>
      <c r="B988" s="121">
        <v>50.829387664794922</v>
      </c>
      <c r="C988" s="120">
        <f>IFERROR(yf_data[[#This Row],[Close Price]]/B987-1,0)</f>
        <v>-2.7199122154430433E-2</v>
      </c>
    </row>
    <row r="989" spans="1:3">
      <c r="A989" s="119">
        <v>42249</v>
      </c>
      <c r="B989" s="121">
        <v>50.154777526855469</v>
      </c>
      <c r="C989" s="120">
        <f>IFERROR(yf_data[[#This Row],[Close Price]]/B988-1,0)</f>
        <v>-1.32720492796079E-2</v>
      </c>
    </row>
    <row r="990" spans="1:3">
      <c r="A990" s="119">
        <v>42250</v>
      </c>
      <c r="B990" s="121">
        <v>51.6658935546875</v>
      </c>
      <c r="C990" s="120">
        <f>IFERROR(yf_data[[#This Row],[Close Price]]/B989-1,0)</f>
        <v>3.0129054545659173E-2</v>
      </c>
    </row>
    <row r="991" spans="1:3">
      <c r="A991" s="119">
        <v>42251</v>
      </c>
      <c r="B991" s="121">
        <v>49.759010314941406</v>
      </c>
      <c r="C991" s="120">
        <f>IFERROR(yf_data[[#This Row],[Close Price]]/B990-1,0)</f>
        <v>-3.6907969814316433E-2</v>
      </c>
    </row>
    <row r="992" spans="1:3">
      <c r="A992" s="119">
        <v>42254</v>
      </c>
      <c r="B992" s="121">
        <v>49.76800537109375</v>
      </c>
      <c r="C992" s="120">
        <f>IFERROR(yf_data[[#This Row],[Close Price]]/B991-1,0)</f>
        <v>1.8077240876390732E-4</v>
      </c>
    </row>
    <row r="993" spans="1:3">
      <c r="A993" s="119">
        <v>42255</v>
      </c>
      <c r="B993" s="121">
        <v>50.271705627441406</v>
      </c>
      <c r="C993" s="120">
        <f>IFERROR(yf_data[[#This Row],[Close Price]]/B992-1,0)</f>
        <v>1.0120965318819453E-2</v>
      </c>
    </row>
    <row r="994" spans="1:3">
      <c r="A994" s="119">
        <v>42256</v>
      </c>
      <c r="B994" s="121">
        <v>51.557960510253906</v>
      </c>
      <c r="C994" s="120">
        <f>IFERROR(yf_data[[#This Row],[Close Price]]/B993-1,0)</f>
        <v>2.5586060125845078E-2</v>
      </c>
    </row>
    <row r="995" spans="1:3">
      <c r="A995" s="119">
        <v>42257</v>
      </c>
      <c r="B995" s="121">
        <v>50.820388793945313</v>
      </c>
      <c r="C995" s="120">
        <f>IFERROR(yf_data[[#This Row],[Close Price]]/B994-1,0)</f>
        <v>-1.4305680616709116E-2</v>
      </c>
    </row>
    <row r="996" spans="1:3">
      <c r="A996" s="119">
        <v>42258</v>
      </c>
      <c r="B996" s="121">
        <v>49.983875274658203</v>
      </c>
      <c r="C996" s="120">
        <f>IFERROR(yf_data[[#This Row],[Close Price]]/B995-1,0)</f>
        <v>-1.6460195192107063E-2</v>
      </c>
    </row>
    <row r="997" spans="1:3">
      <c r="A997" s="119">
        <v>42261</v>
      </c>
      <c r="B997" s="121">
        <v>49.030433654785149</v>
      </c>
      <c r="C997" s="120">
        <f>IFERROR(yf_data[[#This Row],[Close Price]]/B996-1,0)</f>
        <v>-1.9074983975010951E-2</v>
      </c>
    </row>
    <row r="998" spans="1:3">
      <c r="A998" s="119">
        <v>42262</v>
      </c>
      <c r="B998" s="121">
        <v>49.525146484375</v>
      </c>
      <c r="C998" s="120">
        <f>IFERROR(yf_data[[#This Row],[Close Price]]/B997-1,0)</f>
        <v>1.0089913400991746E-2</v>
      </c>
    </row>
    <row r="999" spans="1:3">
      <c r="A999" s="119">
        <v>42263</v>
      </c>
      <c r="B999" s="121">
        <v>50.091815948486328</v>
      </c>
      <c r="C999" s="120">
        <f>IFERROR(yf_data[[#This Row],[Close Price]]/B998-1,0)</f>
        <v>1.1442055285795227E-2</v>
      </c>
    </row>
    <row r="1000" spans="1:3">
      <c r="A1000" s="119">
        <v>42264</v>
      </c>
      <c r="B1000" s="121">
        <v>50.658485412597656</v>
      </c>
      <c r="C1000" s="120">
        <f>IFERROR(yf_data[[#This Row],[Close Price]]/B999-1,0)</f>
        <v>1.1312615711398522E-2</v>
      </c>
    </row>
    <row r="1001" spans="1:3">
      <c r="A1001" s="119">
        <v>42265</v>
      </c>
      <c r="B1001" s="121">
        <v>48.949478149414063</v>
      </c>
      <c r="C1001" s="120">
        <f>IFERROR(yf_data[[#This Row],[Close Price]]/B1000-1,0)</f>
        <v>-3.3735853910046076E-2</v>
      </c>
    </row>
    <row r="1002" spans="1:3">
      <c r="A1002" s="119">
        <v>42268</v>
      </c>
      <c r="B1002" s="121">
        <v>49.471172332763672</v>
      </c>
      <c r="C1002" s="120">
        <f>IFERROR(yf_data[[#This Row],[Close Price]]/B1001-1,0)</f>
        <v>1.0657808889344755E-2</v>
      </c>
    </row>
    <row r="1003" spans="1:3">
      <c r="A1003" s="119">
        <v>42269</v>
      </c>
      <c r="B1003" s="121">
        <v>47.762172698974609</v>
      </c>
      <c r="C1003" s="120">
        <f>IFERROR(yf_data[[#This Row],[Close Price]]/B1002-1,0)</f>
        <v>-3.4545363556246822E-2</v>
      </c>
    </row>
    <row r="1004" spans="1:3">
      <c r="A1004" s="119">
        <v>42270</v>
      </c>
      <c r="B1004" s="121">
        <v>47.933071136474609</v>
      </c>
      <c r="C1004" s="120">
        <f>IFERROR(yf_data[[#This Row],[Close Price]]/B1003-1,0)</f>
        <v>3.5781127164609128E-3</v>
      </c>
    </row>
    <row r="1005" spans="1:3">
      <c r="A1005" s="119">
        <v>42271</v>
      </c>
      <c r="B1005" s="121">
        <v>46.655811309814453</v>
      </c>
      <c r="C1005" s="120">
        <f>IFERROR(yf_data[[#This Row],[Close Price]]/B1004-1,0)</f>
        <v>-2.6646734631785907E-2</v>
      </c>
    </row>
    <row r="1006" spans="1:3">
      <c r="A1006" s="119">
        <v>42272</v>
      </c>
      <c r="B1006" s="121">
        <v>48.715614318847656</v>
      </c>
      <c r="C1006" s="120">
        <f>IFERROR(yf_data[[#This Row],[Close Price]]/B1005-1,0)</f>
        <v>4.4148905596244736E-2</v>
      </c>
    </row>
    <row r="1007" spans="1:3">
      <c r="A1007" s="119">
        <v>42275</v>
      </c>
      <c r="B1007" s="121">
        <v>47.213493347167969</v>
      </c>
      <c r="C1007" s="120">
        <f>IFERROR(yf_data[[#This Row],[Close Price]]/B1006-1,0)</f>
        <v>-3.0834486902868163E-2</v>
      </c>
    </row>
    <row r="1008" spans="1:3">
      <c r="A1008" s="119">
        <v>42276</v>
      </c>
      <c r="B1008" s="121">
        <v>47.006610870361328</v>
      </c>
      <c r="C1008" s="120">
        <f>IFERROR(yf_data[[#This Row],[Close Price]]/B1007-1,0)</f>
        <v>-4.3818506562393056E-3</v>
      </c>
    </row>
    <row r="1009" spans="1:3">
      <c r="A1009" s="119">
        <v>42277</v>
      </c>
      <c r="B1009" s="121">
        <v>47.591270446777344</v>
      </c>
      <c r="C1009" s="120">
        <f>IFERROR(yf_data[[#This Row],[Close Price]]/B1008-1,0)</f>
        <v>1.2437815992061951E-2</v>
      </c>
    </row>
    <row r="1010" spans="1:3">
      <c r="A1010" s="119">
        <v>42278</v>
      </c>
      <c r="B1010" s="121">
        <v>48.166934967041016</v>
      </c>
      <c r="C1010" s="120">
        <f>IFERROR(yf_data[[#This Row],[Close Price]]/B1009-1,0)</f>
        <v>1.2096010778015476E-2</v>
      </c>
    </row>
    <row r="1011" spans="1:3">
      <c r="A1011" s="119">
        <v>42279</v>
      </c>
      <c r="B1011" s="121">
        <v>49.183345794677734</v>
      </c>
      <c r="C1011" s="120">
        <f>IFERROR(yf_data[[#This Row],[Close Price]]/B1010-1,0)</f>
        <v>2.1101837356523045E-2</v>
      </c>
    </row>
    <row r="1012" spans="1:3">
      <c r="A1012" s="119">
        <v>42282</v>
      </c>
      <c r="B1012" s="121">
        <v>50.919334411621094</v>
      </c>
      <c r="C1012" s="120">
        <f>IFERROR(yf_data[[#This Row],[Close Price]]/B1011-1,0)</f>
        <v>3.5296269273555891E-2</v>
      </c>
    </row>
    <row r="1013" spans="1:3">
      <c r="A1013" s="119">
        <v>42283</v>
      </c>
      <c r="B1013" s="121">
        <v>51.234146118164063</v>
      </c>
      <c r="C1013" s="120">
        <f>IFERROR(yf_data[[#This Row],[Close Price]]/B1012-1,0)</f>
        <v>6.1825573759095587E-3</v>
      </c>
    </row>
    <row r="1014" spans="1:3">
      <c r="A1014" s="119">
        <v>42284</v>
      </c>
      <c r="B1014" s="121">
        <v>51.180179595947266</v>
      </c>
      <c r="C1014" s="120">
        <f>IFERROR(yf_data[[#This Row],[Close Price]]/B1013-1,0)</f>
        <v>-1.0533311532572309E-3</v>
      </c>
    </row>
    <row r="1015" spans="1:3">
      <c r="A1015" s="119">
        <v>42285</v>
      </c>
      <c r="B1015" s="121">
        <v>51.351078033447266</v>
      </c>
      <c r="C1015" s="120">
        <f>IFERROR(yf_data[[#This Row],[Close Price]]/B1014-1,0)</f>
        <v>3.3391527511077435E-3</v>
      </c>
    </row>
    <row r="1016" spans="1:3">
      <c r="A1016" s="119">
        <v>42286</v>
      </c>
      <c r="B1016" s="121">
        <v>51.818805694580078</v>
      </c>
      <c r="C1016" s="120">
        <f>IFERROR(yf_data[[#This Row],[Close Price]]/B1015-1,0)</f>
        <v>9.1084292491028229E-3</v>
      </c>
    </row>
    <row r="1017" spans="1:3">
      <c r="A1017" s="119">
        <v>42289</v>
      </c>
      <c r="B1017" s="121">
        <v>50.550544738769531</v>
      </c>
      <c r="C1017" s="120">
        <f>IFERROR(yf_data[[#This Row],[Close Price]]/B1016-1,0)</f>
        <v>-2.4474916756778931E-2</v>
      </c>
    </row>
    <row r="1018" spans="1:3">
      <c r="A1018" s="119">
        <v>42290</v>
      </c>
      <c r="B1018" s="121">
        <v>50.901344299316406</v>
      </c>
      <c r="C1018" s="120">
        <f>IFERROR(yf_data[[#This Row],[Close Price]]/B1017-1,0)</f>
        <v>6.939580223313202E-3</v>
      </c>
    </row>
    <row r="1019" spans="1:3">
      <c r="A1019" s="119">
        <v>42291</v>
      </c>
      <c r="B1019" s="121">
        <v>50.478584289550781</v>
      </c>
      <c r="C1019" s="120">
        <f>IFERROR(yf_data[[#This Row],[Close Price]]/B1018-1,0)</f>
        <v>-8.3054782852032272E-3</v>
      </c>
    </row>
    <row r="1020" spans="1:3">
      <c r="A1020" s="119">
        <v>42292</v>
      </c>
      <c r="B1020" s="121">
        <v>49.048416137695313</v>
      </c>
      <c r="C1020" s="120">
        <f>IFERROR(yf_data[[#This Row],[Close Price]]/B1019-1,0)</f>
        <v>-2.8332176347336979E-2</v>
      </c>
    </row>
    <row r="1021" spans="1:3">
      <c r="A1021" s="119">
        <v>42293</v>
      </c>
      <c r="B1021" s="121">
        <v>49.947895050048828</v>
      </c>
      <c r="C1021" s="120">
        <f>IFERROR(yf_data[[#This Row],[Close Price]]/B1020-1,0)</f>
        <v>1.8338592419139044E-2</v>
      </c>
    </row>
    <row r="1022" spans="1:3">
      <c r="A1022" s="119">
        <v>42296</v>
      </c>
      <c r="B1022" s="121">
        <v>49.839958190917969</v>
      </c>
      <c r="C1022" s="120">
        <f>IFERROR(yf_data[[#This Row],[Close Price]]/B1021-1,0)</f>
        <v>-2.1609891472443854E-3</v>
      </c>
    </row>
    <row r="1023" spans="1:3">
      <c r="A1023" s="119">
        <v>42297</v>
      </c>
      <c r="B1023" s="121">
        <v>49.498161315917969</v>
      </c>
      <c r="C1023" s="120">
        <f>IFERROR(yf_data[[#This Row],[Close Price]]/B1022-1,0)</f>
        <v>-6.85788847756863E-3</v>
      </c>
    </row>
    <row r="1024" spans="1:3">
      <c r="A1024" s="119">
        <v>42298</v>
      </c>
      <c r="B1024" s="121">
        <v>50.622505187988281</v>
      </c>
      <c r="C1024" s="120">
        <f>IFERROR(yf_data[[#This Row],[Close Price]]/B1023-1,0)</f>
        <v>2.2714861364127925E-2</v>
      </c>
    </row>
    <row r="1025" spans="1:3">
      <c r="A1025" s="119">
        <v>42299</v>
      </c>
      <c r="B1025" s="121">
        <v>51.737857818603523</v>
      </c>
      <c r="C1025" s="120">
        <f>IFERROR(yf_data[[#This Row],[Close Price]]/B1024-1,0)</f>
        <v>2.2032742679828798E-2</v>
      </c>
    </row>
    <row r="1026" spans="1:3">
      <c r="A1026" s="119">
        <v>42300</v>
      </c>
      <c r="B1026" s="121">
        <v>54.1214599609375</v>
      </c>
      <c r="C1026" s="120">
        <f>IFERROR(yf_data[[#This Row],[Close Price]]/B1025-1,0)</f>
        <v>4.6070754430750593E-2</v>
      </c>
    </row>
    <row r="1027" spans="1:3">
      <c r="A1027" s="119">
        <v>42303</v>
      </c>
      <c r="B1027" s="121">
        <v>53.923580169677734</v>
      </c>
      <c r="C1027" s="120">
        <f>IFERROR(yf_data[[#This Row],[Close Price]]/B1026-1,0)</f>
        <v>-3.6562168020335406E-3</v>
      </c>
    </row>
    <row r="1028" spans="1:3">
      <c r="A1028" s="119">
        <v>42304</v>
      </c>
      <c r="B1028" s="121">
        <v>53.177017211914063</v>
      </c>
      <c r="C1028" s="120">
        <f>IFERROR(yf_data[[#This Row],[Close Price]]/B1027-1,0)</f>
        <v>-1.3844832917519811E-2</v>
      </c>
    </row>
    <row r="1029" spans="1:3">
      <c r="A1029" s="119">
        <v>42305</v>
      </c>
      <c r="B1029" s="121">
        <v>53.626754760742188</v>
      </c>
      <c r="C1029" s="120">
        <f>IFERROR(yf_data[[#This Row],[Close Price]]/B1028-1,0)</f>
        <v>8.4573669680623187E-3</v>
      </c>
    </row>
    <row r="1030" spans="1:3">
      <c r="A1030" s="119">
        <v>42306</v>
      </c>
      <c r="B1030" s="121">
        <v>54.589191436767578</v>
      </c>
      <c r="C1030" s="120">
        <f>IFERROR(yf_data[[#This Row],[Close Price]]/B1029-1,0)</f>
        <v>1.7946949807411183E-2</v>
      </c>
    </row>
    <row r="1031" spans="1:3">
      <c r="A1031" s="119">
        <v>42307</v>
      </c>
      <c r="B1031" s="121">
        <v>56.990791320800781</v>
      </c>
      <c r="C1031" s="120">
        <f>IFERROR(yf_data[[#This Row],[Close Price]]/B1030-1,0)</f>
        <v>4.399405488200081E-2</v>
      </c>
    </row>
    <row r="1032" spans="1:3">
      <c r="A1032" s="119">
        <v>42310</v>
      </c>
      <c r="B1032" s="121">
        <v>57.197677612304688</v>
      </c>
      <c r="C1032" s="120">
        <f>IFERROR(yf_data[[#This Row],[Close Price]]/B1031-1,0)</f>
        <v>3.6301705364880643E-3</v>
      </c>
    </row>
    <row r="1033" spans="1:3">
      <c r="A1033" s="119">
        <v>42311</v>
      </c>
      <c r="B1033" s="121">
        <v>56.873863220214851</v>
      </c>
      <c r="C1033" s="120">
        <f>IFERROR(yf_data[[#This Row],[Close Price]]/B1032-1,0)</f>
        <v>-5.6613206271188821E-3</v>
      </c>
    </row>
    <row r="1034" spans="1:3">
      <c r="A1034" s="119">
        <v>42312</v>
      </c>
      <c r="B1034" s="121">
        <v>57.575458526611328</v>
      </c>
      <c r="C1034" s="120">
        <f>IFERROR(yf_data[[#This Row],[Close Price]]/B1033-1,0)</f>
        <v>1.2335988214479343E-2</v>
      </c>
    </row>
    <row r="1035" spans="1:3">
      <c r="A1035" s="119">
        <v>42313</v>
      </c>
      <c r="B1035" s="121">
        <v>58.106143951416016</v>
      </c>
      <c r="C1035" s="120">
        <f>IFERROR(yf_data[[#This Row],[Close Price]]/B1034-1,0)</f>
        <v>9.2172157788270592E-3</v>
      </c>
    </row>
    <row r="1036" spans="1:3">
      <c r="A1036" s="119">
        <v>42314</v>
      </c>
      <c r="B1036" s="121">
        <v>59.455360412597656</v>
      </c>
      <c r="C1036" s="120">
        <f>IFERROR(yf_data[[#This Row],[Close Price]]/B1035-1,0)</f>
        <v>2.3219858855369147E-2</v>
      </c>
    </row>
    <row r="1037" spans="1:3">
      <c r="A1037" s="119">
        <v>42317</v>
      </c>
      <c r="B1037" s="121">
        <v>58.825725555419922</v>
      </c>
      <c r="C1037" s="120">
        <f>IFERROR(yf_data[[#This Row],[Close Price]]/B1036-1,0)</f>
        <v>-1.059004356896176E-2</v>
      </c>
    </row>
    <row r="1038" spans="1:3">
      <c r="A1038" s="119">
        <v>42318</v>
      </c>
      <c r="B1038" s="121">
        <v>59.383396148681641</v>
      </c>
      <c r="C1038" s="120">
        <f>IFERROR(yf_data[[#This Row],[Close Price]]/B1037-1,0)</f>
        <v>9.4800461532147384E-3</v>
      </c>
    </row>
    <row r="1039" spans="1:3">
      <c r="A1039" s="119">
        <v>42319</v>
      </c>
      <c r="B1039" s="121">
        <v>59.860126495361328</v>
      </c>
      <c r="C1039" s="120">
        <f>IFERROR(yf_data[[#This Row],[Close Price]]/B1038-1,0)</f>
        <v>8.0280074498613185E-3</v>
      </c>
    </row>
    <row r="1040" spans="1:3">
      <c r="A1040" s="119">
        <v>42320</v>
      </c>
      <c r="B1040" s="121">
        <v>57.620426177978509</v>
      </c>
      <c r="C1040" s="120">
        <f>IFERROR(yf_data[[#This Row],[Close Price]]/B1039-1,0)</f>
        <v>-3.7415562721144213E-2</v>
      </c>
    </row>
    <row r="1041" spans="1:3">
      <c r="A1041" s="119">
        <v>42321</v>
      </c>
      <c r="B1041" s="121">
        <v>57.143703460693359</v>
      </c>
      <c r="C1041" s="120">
        <f>IFERROR(yf_data[[#This Row],[Close Price]]/B1040-1,0)</f>
        <v>-8.2735021051847379E-3</v>
      </c>
    </row>
    <row r="1042" spans="1:3">
      <c r="A1042" s="119">
        <v>42324</v>
      </c>
      <c r="B1042" s="121">
        <v>57.080741882324219</v>
      </c>
      <c r="C1042" s="120">
        <f>IFERROR(yf_data[[#This Row],[Close Price]]/B1041-1,0)</f>
        <v>-1.1018113030152321E-3</v>
      </c>
    </row>
    <row r="1043" spans="1:3">
      <c r="A1043" s="119">
        <v>42325</v>
      </c>
      <c r="B1043" s="121">
        <v>59.518321990966797</v>
      </c>
      <c r="C1043" s="120">
        <f>IFERROR(yf_data[[#This Row],[Close Price]]/B1042-1,0)</f>
        <v>4.2704071955963929E-2</v>
      </c>
    </row>
    <row r="1044" spans="1:3">
      <c r="A1044" s="119">
        <v>42326</v>
      </c>
      <c r="B1044" s="121">
        <v>59.167522430419922</v>
      </c>
      <c r="C1044" s="120">
        <f>IFERROR(yf_data[[#This Row],[Close Price]]/B1043-1,0)</f>
        <v>-5.8939759860856533E-3</v>
      </c>
    </row>
    <row r="1045" spans="1:3">
      <c r="A1045" s="119">
        <v>42327</v>
      </c>
      <c r="B1045" s="121">
        <v>59.248481750488281</v>
      </c>
      <c r="C1045" s="120">
        <f>IFERROR(yf_data[[#This Row],[Close Price]]/B1044-1,0)</f>
        <v>1.3683067457077591E-3</v>
      </c>
    </row>
    <row r="1046" spans="1:3">
      <c r="A1046" s="119">
        <v>42328</v>
      </c>
      <c r="B1046" s="121">
        <v>59.743186950683594</v>
      </c>
      <c r="C1046" s="120">
        <f>IFERROR(yf_data[[#This Row],[Close Price]]/B1045-1,0)</f>
        <v>8.3496688114077511E-3</v>
      </c>
    </row>
    <row r="1047" spans="1:3">
      <c r="A1047" s="119">
        <v>42331</v>
      </c>
      <c r="B1047" s="121">
        <v>59.842136383056641</v>
      </c>
      <c r="C1047" s="120">
        <f>IFERROR(yf_data[[#This Row],[Close Price]]/B1046-1,0)</f>
        <v>1.6562463005986849E-3</v>
      </c>
    </row>
    <row r="1048" spans="1:3">
      <c r="A1048" s="119">
        <v>42332</v>
      </c>
      <c r="B1048" s="121">
        <v>58.996623992919922</v>
      </c>
      <c r="C1048" s="120">
        <f>IFERROR(yf_data[[#This Row],[Close Price]]/B1047-1,0)</f>
        <v>-1.4129047544768292E-2</v>
      </c>
    </row>
    <row r="1049" spans="1:3">
      <c r="A1049" s="119">
        <v>42333</v>
      </c>
      <c r="B1049" s="121">
        <v>60.309860229492188</v>
      </c>
      <c r="C1049" s="120">
        <f>IFERROR(yf_data[[#This Row],[Close Price]]/B1048-1,0)</f>
        <v>2.2259514997500007E-2</v>
      </c>
    </row>
    <row r="1050" spans="1:3">
      <c r="A1050" s="119">
        <v>42334</v>
      </c>
      <c r="B1050" s="121">
        <v>61.299282073974609</v>
      </c>
      <c r="C1050" s="120">
        <f>IFERROR(yf_data[[#This Row],[Close Price]]/B1049-1,0)</f>
        <v>1.6405639819383699E-2</v>
      </c>
    </row>
    <row r="1051" spans="1:3">
      <c r="A1051" s="119">
        <v>42335</v>
      </c>
      <c r="B1051" s="121">
        <v>61.119380950927734</v>
      </c>
      <c r="C1051" s="120">
        <f>IFERROR(yf_data[[#This Row],[Close Price]]/B1050-1,0)</f>
        <v>-2.9347998371298534E-3</v>
      </c>
    </row>
    <row r="1052" spans="1:3">
      <c r="A1052" s="119">
        <v>42338</v>
      </c>
      <c r="B1052" s="121">
        <v>61.560138702392578</v>
      </c>
      <c r="C1052" s="120">
        <f>IFERROR(yf_data[[#This Row],[Close Price]]/B1051-1,0)</f>
        <v>7.2114236860272296E-3</v>
      </c>
    </row>
    <row r="1053" spans="1:3">
      <c r="A1053" s="119">
        <v>42339</v>
      </c>
      <c r="B1053" s="121">
        <v>60.489761352539063</v>
      </c>
      <c r="C1053" s="120">
        <f>IFERROR(yf_data[[#This Row],[Close Price]]/B1052-1,0)</f>
        <v>-1.7387507117684775E-2</v>
      </c>
    </row>
    <row r="1054" spans="1:3">
      <c r="A1054" s="119">
        <v>42340</v>
      </c>
      <c r="B1054" s="121">
        <v>60.444782257080078</v>
      </c>
      <c r="C1054" s="120">
        <f>IFERROR(yf_data[[#This Row],[Close Price]]/B1053-1,0)</f>
        <v>-7.4358196252155562E-4</v>
      </c>
    </row>
    <row r="1055" spans="1:3">
      <c r="A1055" s="119">
        <v>42341</v>
      </c>
      <c r="B1055" s="121">
        <v>57.260639190673828</v>
      </c>
      <c r="C1055" s="120">
        <f>IFERROR(yf_data[[#This Row],[Close Price]]/B1054-1,0)</f>
        <v>-5.2678543085218577E-2</v>
      </c>
    </row>
    <row r="1056" spans="1:3">
      <c r="A1056" s="119">
        <v>42342</v>
      </c>
      <c r="B1056" s="121">
        <v>57.575458526611328</v>
      </c>
      <c r="C1056" s="120">
        <f>IFERROR(yf_data[[#This Row],[Close Price]]/B1055-1,0)</f>
        <v>5.4980059668767733E-3</v>
      </c>
    </row>
    <row r="1057" spans="1:3">
      <c r="A1057" s="119">
        <v>42345</v>
      </c>
      <c r="B1057" s="121">
        <v>59.266471862792969</v>
      </c>
      <c r="C1057" s="120">
        <f>IFERROR(yf_data[[#This Row],[Close Price]]/B1056-1,0)</f>
        <v>2.9370384178530884E-2</v>
      </c>
    </row>
    <row r="1058" spans="1:3">
      <c r="A1058" s="119">
        <v>42346</v>
      </c>
      <c r="B1058" s="121">
        <v>58.205085754394531</v>
      </c>
      <c r="C1058" s="120">
        <f>IFERROR(yf_data[[#This Row],[Close Price]]/B1057-1,0)</f>
        <v>-1.7908710861946342E-2</v>
      </c>
    </row>
    <row r="1059" spans="1:3">
      <c r="A1059" s="119">
        <v>42347</v>
      </c>
      <c r="B1059" s="121">
        <v>57.107723236083984</v>
      </c>
      <c r="C1059" s="120">
        <f>IFERROR(yf_data[[#This Row],[Close Price]]/B1058-1,0)</f>
        <v>-1.8853378602362025E-2</v>
      </c>
    </row>
    <row r="1060" spans="1:3">
      <c r="A1060" s="119">
        <v>42348</v>
      </c>
      <c r="B1060" s="121">
        <v>57.728366851806641</v>
      </c>
      <c r="C1060" s="120">
        <f>IFERROR(yf_data[[#This Row],[Close Price]]/B1059-1,0)</f>
        <v>1.0867945359280151E-2</v>
      </c>
    </row>
    <row r="1061" spans="1:3">
      <c r="A1061" s="119">
        <v>42349</v>
      </c>
      <c r="B1061" s="121">
        <v>56.019363403320313</v>
      </c>
      <c r="C1061" s="120">
        <f>IFERROR(yf_data[[#This Row],[Close Price]]/B1060-1,0)</f>
        <v>-2.9604223048150247E-2</v>
      </c>
    </row>
    <row r="1062" spans="1:3">
      <c r="A1062" s="119">
        <v>42352</v>
      </c>
      <c r="B1062" s="121">
        <v>55.137870788574219</v>
      </c>
      <c r="C1062" s="120">
        <f>IFERROR(yf_data[[#This Row],[Close Price]]/B1061-1,0)</f>
        <v>-1.5735498606073928E-2</v>
      </c>
    </row>
    <row r="1063" spans="1:3">
      <c r="A1063" s="119">
        <v>42353</v>
      </c>
      <c r="B1063" s="121">
        <v>56.792911529541016</v>
      </c>
      <c r="C1063" s="120">
        <f>IFERROR(yf_data[[#This Row],[Close Price]]/B1062-1,0)</f>
        <v>3.0016406460689149E-2</v>
      </c>
    </row>
    <row r="1064" spans="1:3">
      <c r="A1064" s="119">
        <v>42354</v>
      </c>
      <c r="B1064" s="121">
        <v>57.917251586914063</v>
      </c>
      <c r="C1064" s="120">
        <f>IFERROR(yf_data[[#This Row],[Close Price]]/B1063-1,0)</f>
        <v>1.9797189950161664E-2</v>
      </c>
    </row>
    <row r="1065" spans="1:3">
      <c r="A1065" s="119">
        <v>42355</v>
      </c>
      <c r="B1065" s="121">
        <v>58.582862854003906</v>
      </c>
      <c r="C1065" s="120">
        <f>IFERROR(yf_data[[#This Row],[Close Price]]/B1064-1,0)</f>
        <v>1.1492452574186629E-2</v>
      </c>
    </row>
    <row r="1066" spans="1:3">
      <c r="A1066" s="119">
        <v>42356</v>
      </c>
      <c r="B1066" s="121">
        <v>56.900840759277344</v>
      </c>
      <c r="C1066" s="120">
        <f>IFERROR(yf_data[[#This Row],[Close Price]]/B1065-1,0)</f>
        <v>-2.8711845286878201E-2</v>
      </c>
    </row>
    <row r="1067" spans="1:3">
      <c r="A1067" s="119">
        <v>42359</v>
      </c>
      <c r="B1067" s="121">
        <v>55.695549011230469</v>
      </c>
      <c r="C1067" s="120">
        <f>IFERROR(yf_data[[#This Row],[Close Price]]/B1066-1,0)</f>
        <v>-2.1182318784109699E-2</v>
      </c>
    </row>
    <row r="1068" spans="1:3">
      <c r="A1068" s="119">
        <v>42360</v>
      </c>
      <c r="B1068" s="121">
        <v>55.677558898925781</v>
      </c>
      <c r="C1068" s="120">
        <f>IFERROR(yf_data[[#This Row],[Close Price]]/B1067-1,0)</f>
        <v>-3.230080791745138E-4</v>
      </c>
    </row>
    <row r="1069" spans="1:3">
      <c r="A1069" s="119">
        <v>42361</v>
      </c>
      <c r="B1069" s="121">
        <v>56.289203643798828</v>
      </c>
      <c r="C1069" s="120">
        <f>IFERROR(yf_data[[#This Row],[Close Price]]/B1068-1,0)</f>
        <v>1.0985480631135358E-2</v>
      </c>
    </row>
    <row r="1070" spans="1:3">
      <c r="A1070" s="119">
        <v>42362</v>
      </c>
      <c r="B1070" s="121">
        <v>55.902431488037109</v>
      </c>
      <c r="C1070" s="120">
        <f>IFERROR(yf_data[[#This Row],[Close Price]]/B1069-1,0)</f>
        <v>-6.8711605552147503E-3</v>
      </c>
    </row>
    <row r="1071" spans="1:3">
      <c r="A1071" s="119">
        <v>42366</v>
      </c>
      <c r="B1071" s="121">
        <v>55.506656646728509</v>
      </c>
      <c r="C1071" s="120">
        <f>IFERROR(yf_data[[#This Row],[Close Price]]/B1070-1,0)</f>
        <v>-7.0797428801159246E-3</v>
      </c>
    </row>
    <row r="1072" spans="1:3">
      <c r="A1072" s="119">
        <v>42367</v>
      </c>
      <c r="B1072" s="121">
        <v>56.711956024169922</v>
      </c>
      <c r="C1072" s="120">
        <f>IFERROR(yf_data[[#This Row],[Close Price]]/B1071-1,0)</f>
        <v>2.1714501471643777E-2</v>
      </c>
    </row>
    <row r="1073" spans="1:3">
      <c r="A1073" s="119">
        <v>42368</v>
      </c>
      <c r="B1073" s="121">
        <v>56.289203643798828</v>
      </c>
      <c r="C1073" s="120">
        <f>IFERROR(yf_data[[#This Row],[Close Price]]/B1072-1,0)</f>
        <v>-7.4543784063967333E-3</v>
      </c>
    </row>
    <row r="1074" spans="1:3">
      <c r="A1074" s="119">
        <v>42373</v>
      </c>
      <c r="B1074" s="121">
        <v>54.742107391357422</v>
      </c>
      <c r="C1074" s="120">
        <f>IFERROR(yf_data[[#This Row],[Close Price]]/B1073-1,0)</f>
        <v>-2.7484777760074852E-2</v>
      </c>
    </row>
    <row r="1075" spans="1:3">
      <c r="A1075" s="119">
        <v>42374</v>
      </c>
      <c r="B1075" s="121">
        <v>55.848461151123047</v>
      </c>
      <c r="C1075" s="120">
        <f>IFERROR(yf_data[[#This Row],[Close Price]]/B1074-1,0)</f>
        <v>2.0210288066847326E-2</v>
      </c>
    </row>
    <row r="1076" spans="1:3">
      <c r="A1076" s="119">
        <v>42375</v>
      </c>
      <c r="B1076" s="121">
        <v>55.110893249511719</v>
      </c>
      <c r="C1076" s="120">
        <f>IFERROR(yf_data[[#This Row],[Close Price]]/B1075-1,0)</f>
        <v>-1.3206593098698094E-2</v>
      </c>
    </row>
    <row r="1077" spans="1:3">
      <c r="A1077" s="119">
        <v>42376</v>
      </c>
      <c r="B1077" s="121">
        <v>54.004531860351563</v>
      </c>
      <c r="C1077" s="120">
        <f>IFERROR(yf_data[[#This Row],[Close Price]]/B1076-1,0)</f>
        <v>-2.0075185211590796E-2</v>
      </c>
    </row>
    <row r="1078" spans="1:3">
      <c r="A1078" s="119">
        <v>42377</v>
      </c>
      <c r="B1078" s="121">
        <v>52.853202819824219</v>
      </c>
      <c r="C1078" s="120">
        <f>IFERROR(yf_data[[#This Row],[Close Price]]/B1077-1,0)</f>
        <v>-2.1319118986245944E-2</v>
      </c>
    </row>
    <row r="1079" spans="1:3">
      <c r="A1079" s="119">
        <v>42380</v>
      </c>
      <c r="B1079" s="121">
        <v>52.268547058105469</v>
      </c>
      <c r="C1079" s="120">
        <f>IFERROR(yf_data[[#This Row],[Close Price]]/B1078-1,0)</f>
        <v>-1.1061879517724416E-2</v>
      </c>
    </row>
    <row r="1080" spans="1:3">
      <c r="A1080" s="119">
        <v>42381</v>
      </c>
      <c r="B1080" s="121">
        <v>53.069084167480469</v>
      </c>
      <c r="C1080" s="120">
        <f>IFERROR(yf_data[[#This Row],[Close Price]]/B1079-1,0)</f>
        <v>1.5315847759936219E-2</v>
      </c>
    </row>
    <row r="1081" spans="1:3">
      <c r="A1081" s="119">
        <v>42382</v>
      </c>
      <c r="B1081" s="121">
        <v>53.509822845458984</v>
      </c>
      <c r="C1081" s="120">
        <f>IFERROR(yf_data[[#This Row],[Close Price]]/B1080-1,0)</f>
        <v>8.3049987557273219E-3</v>
      </c>
    </row>
    <row r="1082" spans="1:3">
      <c r="A1082" s="119">
        <v>42383</v>
      </c>
      <c r="B1082" s="121">
        <v>52.178596496582031</v>
      </c>
      <c r="C1082" s="120">
        <f>IFERROR(yf_data[[#This Row],[Close Price]]/B1081-1,0)</f>
        <v>-2.4878167747287239E-2</v>
      </c>
    </row>
    <row r="1083" spans="1:3">
      <c r="A1083" s="119">
        <v>42384</v>
      </c>
      <c r="B1083" s="121">
        <v>50.505573272705078</v>
      </c>
      <c r="C1083" s="120">
        <f>IFERROR(yf_data[[#This Row],[Close Price]]/B1082-1,0)</f>
        <v>-3.2063400248539597E-2</v>
      </c>
    </row>
    <row r="1084" spans="1:3">
      <c r="A1084" s="119">
        <v>42387</v>
      </c>
      <c r="B1084" s="121">
        <v>50.235729217529297</v>
      </c>
      <c r="C1084" s="120">
        <f>IFERROR(yf_data[[#This Row],[Close Price]]/B1083-1,0)</f>
        <v>-5.3428569896386557E-3</v>
      </c>
    </row>
    <row r="1085" spans="1:3">
      <c r="A1085" s="119">
        <v>42388</v>
      </c>
      <c r="B1085" s="121">
        <v>51.018276214599609</v>
      </c>
      <c r="C1085" s="120">
        <f>IFERROR(yf_data[[#This Row],[Close Price]]/B1084-1,0)</f>
        <v>1.5577498510706445E-2</v>
      </c>
    </row>
    <row r="1086" spans="1:3">
      <c r="A1086" s="119">
        <v>42389</v>
      </c>
      <c r="B1086" s="121">
        <v>48.895511627197266</v>
      </c>
      <c r="C1086" s="120">
        <f>IFERROR(yf_data[[#This Row],[Close Price]]/B1085-1,0)</f>
        <v>-4.1607924549886821E-2</v>
      </c>
    </row>
    <row r="1087" spans="1:3">
      <c r="A1087" s="119">
        <v>42390</v>
      </c>
      <c r="B1087" s="121">
        <v>49.947895050048828</v>
      </c>
      <c r="C1087" s="120">
        <f>IFERROR(yf_data[[#This Row],[Close Price]]/B1086-1,0)</f>
        <v>2.1523108928186208E-2</v>
      </c>
    </row>
    <row r="1088" spans="1:3">
      <c r="A1088" s="119">
        <v>42391</v>
      </c>
      <c r="B1088" s="121">
        <v>51.225151062011719</v>
      </c>
      <c r="C1088" s="120">
        <f>IFERROR(yf_data[[#This Row],[Close Price]]/B1087-1,0)</f>
        <v>2.5571768553670937E-2</v>
      </c>
    </row>
    <row r="1089" spans="1:3">
      <c r="A1089" s="119">
        <v>42394</v>
      </c>
      <c r="B1089" s="121">
        <v>51.557960510253906</v>
      </c>
      <c r="C1089" s="120">
        <f>IFERROR(yf_data[[#This Row],[Close Price]]/B1088-1,0)</f>
        <v>6.4969930071909765E-3</v>
      </c>
    </row>
    <row r="1090" spans="1:3">
      <c r="A1090" s="119">
        <v>42395</v>
      </c>
      <c r="B1090" s="121">
        <v>51.647907257080078</v>
      </c>
      <c r="C1090" s="120">
        <f>IFERROR(yf_data[[#This Row],[Close Price]]/B1089-1,0)</f>
        <v>1.7445753465807901E-3</v>
      </c>
    </row>
    <row r="1091" spans="1:3">
      <c r="A1091" s="119">
        <v>42396</v>
      </c>
      <c r="B1091" s="121">
        <v>49.884937286376953</v>
      </c>
      <c r="C1091" s="120">
        <f>IFERROR(yf_data[[#This Row],[Close Price]]/B1090-1,0)</f>
        <v>-3.4134393130932694E-2</v>
      </c>
    </row>
    <row r="1092" spans="1:3">
      <c r="A1092" s="119">
        <v>42397</v>
      </c>
      <c r="B1092" s="121">
        <v>49.489162445068359</v>
      </c>
      <c r="C1092" s="120">
        <f>IFERROR(yf_data[[#This Row],[Close Price]]/B1091-1,0)</f>
        <v>-7.9337544124100656E-3</v>
      </c>
    </row>
    <row r="1093" spans="1:3">
      <c r="A1093" s="119">
        <v>42398</v>
      </c>
      <c r="B1093" s="121">
        <v>52.007698059082031</v>
      </c>
      <c r="C1093" s="120">
        <f>IFERROR(yf_data[[#This Row],[Close Price]]/B1092-1,0)</f>
        <v>5.0890649378218411E-2</v>
      </c>
    </row>
    <row r="1094" spans="1:3">
      <c r="A1094" s="119">
        <v>42401</v>
      </c>
      <c r="B1094" s="121">
        <v>52.034675598144531</v>
      </c>
      <c r="C1094" s="120">
        <f>IFERROR(yf_data[[#This Row],[Close Price]]/B1093-1,0)</f>
        <v>5.1872203672331807E-4</v>
      </c>
    </row>
    <row r="1095" spans="1:3">
      <c r="A1095" s="119">
        <v>42402</v>
      </c>
      <c r="B1095" s="121">
        <v>49.785987854003906</v>
      </c>
      <c r="C1095" s="120">
        <f>IFERROR(yf_data[[#This Row],[Close Price]]/B1094-1,0)</f>
        <v>-4.321517753866444E-2</v>
      </c>
    </row>
    <row r="1096" spans="1:3">
      <c r="A1096" s="119">
        <v>42403</v>
      </c>
      <c r="B1096" s="121">
        <v>48.481754302978509</v>
      </c>
      <c r="C1096" s="120">
        <f>IFERROR(yf_data[[#This Row],[Close Price]]/B1095-1,0)</f>
        <v>-2.6196799686892369E-2</v>
      </c>
    </row>
    <row r="1097" spans="1:3">
      <c r="A1097" s="119">
        <v>42404</v>
      </c>
      <c r="B1097" s="121">
        <v>48.400794982910163</v>
      </c>
      <c r="C1097" s="120">
        <f>IFERROR(yf_data[[#This Row],[Close Price]]/B1096-1,0)</f>
        <v>-1.6698925447788948E-3</v>
      </c>
    </row>
    <row r="1098" spans="1:3">
      <c r="A1098" s="119">
        <v>42405</v>
      </c>
      <c r="B1098" s="121">
        <v>48.625667572021491</v>
      </c>
      <c r="C1098" s="120">
        <f>IFERROR(yf_data[[#This Row],[Close Price]]/B1097-1,0)</f>
        <v>4.6460515615647235E-3</v>
      </c>
    </row>
    <row r="1099" spans="1:3">
      <c r="A1099" s="119">
        <v>42408</v>
      </c>
      <c r="B1099" s="121">
        <v>45.990203857421875</v>
      </c>
      <c r="C1099" s="120">
        <f>IFERROR(yf_data[[#This Row],[Close Price]]/B1098-1,0)</f>
        <v>-5.4199023811778435E-2</v>
      </c>
    </row>
    <row r="1100" spans="1:3">
      <c r="A1100" s="119">
        <v>42409</v>
      </c>
      <c r="B1100" s="121">
        <v>46.071155548095703</v>
      </c>
      <c r="C1100" s="120">
        <f>IFERROR(yf_data[[#This Row],[Close Price]]/B1099-1,0)</f>
        <v>1.7601942127674075E-3</v>
      </c>
    </row>
    <row r="1101" spans="1:3">
      <c r="A1101" s="119">
        <v>42410</v>
      </c>
      <c r="B1101" s="121">
        <v>47.105552673339837</v>
      </c>
      <c r="C1101" s="120">
        <f>IFERROR(yf_data[[#This Row],[Close Price]]/B1100-1,0)</f>
        <v>2.2452163678948311E-2</v>
      </c>
    </row>
    <row r="1102" spans="1:3">
      <c r="A1102" s="119">
        <v>42411</v>
      </c>
      <c r="B1102" s="121">
        <v>44.937816619873047</v>
      </c>
      <c r="C1102" s="120">
        <f>IFERROR(yf_data[[#This Row],[Close Price]]/B1101-1,0)</f>
        <v>-4.6018694834115692E-2</v>
      </c>
    </row>
    <row r="1103" spans="1:3">
      <c r="A1103" s="119">
        <v>42412</v>
      </c>
      <c r="B1103" s="121">
        <v>46.152107238769531</v>
      </c>
      <c r="C1103" s="120">
        <f>IFERROR(yf_data[[#This Row],[Close Price]]/B1102-1,0)</f>
        <v>2.7021575818160226E-2</v>
      </c>
    </row>
    <row r="1104" spans="1:3">
      <c r="A1104" s="119">
        <v>42415</v>
      </c>
      <c r="B1104" s="121">
        <v>48.014026641845703</v>
      </c>
      <c r="C1104" s="120">
        <f>IFERROR(yf_data[[#This Row],[Close Price]]/B1103-1,0)</f>
        <v>4.0343107053454119E-2</v>
      </c>
    </row>
    <row r="1105" spans="1:3">
      <c r="A1105" s="119">
        <v>42416</v>
      </c>
      <c r="B1105" s="121">
        <v>48.373813629150391</v>
      </c>
      <c r="C1105" s="120">
        <f>IFERROR(yf_data[[#This Row],[Close Price]]/B1104-1,0)</f>
        <v>7.4933725094226133E-3</v>
      </c>
    </row>
    <row r="1106" spans="1:3">
      <c r="A1106" s="119">
        <v>42417</v>
      </c>
      <c r="B1106" s="121">
        <v>49.516147613525391</v>
      </c>
      <c r="C1106" s="120">
        <f>IFERROR(yf_data[[#This Row],[Close Price]]/B1105-1,0)</f>
        <v>2.3614718350149388E-2</v>
      </c>
    </row>
    <row r="1107" spans="1:3">
      <c r="A1107" s="119">
        <v>42418</v>
      </c>
      <c r="B1107" s="121">
        <v>50.235729217529297</v>
      </c>
      <c r="C1107" s="120">
        <f>IFERROR(yf_data[[#This Row],[Close Price]]/B1106-1,0)</f>
        <v>1.4532261467920637E-2</v>
      </c>
    </row>
    <row r="1108" spans="1:3">
      <c r="A1108" s="119">
        <v>42419</v>
      </c>
      <c r="B1108" s="121">
        <v>49.696044921875</v>
      </c>
      <c r="C1108" s="120">
        <f>IFERROR(yf_data[[#This Row],[Close Price]]/B1107-1,0)</f>
        <v>-1.0743036959160568E-2</v>
      </c>
    </row>
    <row r="1109" spans="1:3">
      <c r="A1109" s="119">
        <v>42422</v>
      </c>
      <c r="B1109" s="121">
        <v>50.505573272705078</v>
      </c>
      <c r="C1109" s="120">
        <f>IFERROR(yf_data[[#This Row],[Close Price]]/B1108-1,0)</f>
        <v>1.6289593107513989E-2</v>
      </c>
    </row>
    <row r="1110" spans="1:3">
      <c r="A1110" s="119">
        <v>42423</v>
      </c>
      <c r="B1110" s="121">
        <v>49.839958190917969</v>
      </c>
      <c r="C1110" s="120">
        <f>IFERROR(yf_data[[#This Row],[Close Price]]/B1109-1,0)</f>
        <v>-1.3179042205760494E-2</v>
      </c>
    </row>
    <row r="1111" spans="1:3">
      <c r="A1111" s="119">
        <v>42424</v>
      </c>
      <c r="B1111" s="121">
        <v>49.426200866699219</v>
      </c>
      <c r="C1111" s="120">
        <f>IFERROR(yf_data[[#This Row],[Close Price]]/B1110-1,0)</f>
        <v>-8.3017189266852975E-3</v>
      </c>
    </row>
    <row r="1112" spans="1:3">
      <c r="A1112" s="119">
        <v>42425</v>
      </c>
      <c r="B1112" s="121">
        <v>51.602931976318359</v>
      </c>
      <c r="C1112" s="120">
        <f>IFERROR(yf_data[[#This Row],[Close Price]]/B1111-1,0)</f>
        <v>4.4040024753059903E-2</v>
      </c>
    </row>
    <row r="1113" spans="1:3">
      <c r="A1113" s="119">
        <v>42426</v>
      </c>
      <c r="B1113" s="121">
        <v>51.728855133056641</v>
      </c>
      <c r="C1113" s="120">
        <f>IFERROR(yf_data[[#This Row],[Close Price]]/B1112-1,0)</f>
        <v>2.4402325975598771E-3</v>
      </c>
    </row>
    <row r="1114" spans="1:3">
      <c r="A1114" s="119">
        <v>42429</v>
      </c>
      <c r="B1114" s="121">
        <v>53.770671844482422</v>
      </c>
      <c r="C1114" s="120">
        <f>IFERROR(yf_data[[#This Row],[Close Price]]/B1113-1,0)</f>
        <v>3.9471523314672963E-2</v>
      </c>
    </row>
    <row r="1115" spans="1:3">
      <c r="A1115" s="119">
        <v>42430</v>
      </c>
      <c r="B1115" s="121">
        <v>54.688133239746094</v>
      </c>
      <c r="C1115" s="120">
        <f>IFERROR(yf_data[[#This Row],[Close Price]]/B1114-1,0)</f>
        <v>1.7062487110393265E-2</v>
      </c>
    </row>
    <row r="1116" spans="1:3">
      <c r="A1116" s="119">
        <v>42431</v>
      </c>
      <c r="B1116" s="121">
        <v>54.454269409179688</v>
      </c>
      <c r="C1116" s="120">
        <f>IFERROR(yf_data[[#This Row],[Close Price]]/B1115-1,0)</f>
        <v>-4.2763176709867956E-3</v>
      </c>
    </row>
    <row r="1117" spans="1:3">
      <c r="A1117" s="119">
        <v>42432</v>
      </c>
      <c r="B1117" s="121">
        <v>54.661151885986328</v>
      </c>
      <c r="C1117" s="120">
        <f>IFERROR(yf_data[[#This Row],[Close Price]]/B1116-1,0)</f>
        <v>3.7991966295991553E-3</v>
      </c>
    </row>
    <row r="1118" spans="1:3">
      <c r="A1118" s="119">
        <v>42433</v>
      </c>
      <c r="B1118" s="121">
        <v>55.857452392578125</v>
      </c>
      <c r="C1118" s="120">
        <f>IFERROR(yf_data[[#This Row],[Close Price]]/B1117-1,0)</f>
        <v>2.1885753690062515E-2</v>
      </c>
    </row>
    <row r="1119" spans="1:3">
      <c r="A1119" s="119">
        <v>42436</v>
      </c>
      <c r="B1119" s="121">
        <v>55.299777984619141</v>
      </c>
      <c r="C1119" s="120">
        <f>IFERROR(yf_data[[#This Row],[Close Price]]/B1118-1,0)</f>
        <v>-9.9838854811982181E-3</v>
      </c>
    </row>
    <row r="1120" spans="1:3">
      <c r="A1120" s="119">
        <v>42437</v>
      </c>
      <c r="B1120" s="121">
        <v>54.517234802246094</v>
      </c>
      <c r="C1120" s="120">
        <f>IFERROR(yf_data[[#This Row],[Close Price]]/B1119-1,0)</f>
        <v>-1.4150928103015215E-2</v>
      </c>
    </row>
    <row r="1121" spans="1:3">
      <c r="A1121" s="119">
        <v>42438</v>
      </c>
      <c r="B1121" s="121">
        <v>54.544216156005859</v>
      </c>
      <c r="C1121" s="120">
        <f>IFERROR(yf_data[[#This Row],[Close Price]]/B1120-1,0)</f>
        <v>4.9491420204339498E-4</v>
      </c>
    </row>
    <row r="1122" spans="1:3">
      <c r="A1122" s="119">
        <v>42439</v>
      </c>
      <c r="B1122" s="121">
        <v>52.385482788085938</v>
      </c>
      <c r="C1122" s="120">
        <f>IFERROR(yf_data[[#This Row],[Close Price]]/B1121-1,0)</f>
        <v>-3.9577676975787401E-2</v>
      </c>
    </row>
    <row r="1123" spans="1:3">
      <c r="A1123" s="119">
        <v>42440</v>
      </c>
      <c r="B1123" s="121">
        <v>54.085491180419922</v>
      </c>
      <c r="C1123" s="120">
        <f>IFERROR(yf_data[[#This Row],[Close Price]]/B1122-1,0)</f>
        <v>3.2451898920374589E-2</v>
      </c>
    </row>
    <row r="1124" spans="1:3">
      <c r="A1124" s="119">
        <v>42443</v>
      </c>
      <c r="B1124" s="121">
        <v>54.33734130859375</v>
      </c>
      <c r="C1124" s="120">
        <f>IFERROR(yf_data[[#This Row],[Close Price]]/B1123-1,0)</f>
        <v>4.6565192009386802E-3</v>
      </c>
    </row>
    <row r="1125" spans="1:3">
      <c r="A1125" s="119">
        <v>42444</v>
      </c>
      <c r="B1125" s="121">
        <v>54.229400634765625</v>
      </c>
      <c r="C1125" s="120">
        <f>IFERROR(yf_data[[#This Row],[Close Price]]/B1124-1,0)</f>
        <v>-1.9864916322479553E-3</v>
      </c>
    </row>
    <row r="1126" spans="1:3">
      <c r="A1126" s="119">
        <v>42445</v>
      </c>
      <c r="B1126" s="121">
        <v>54.670146942138672</v>
      </c>
      <c r="C1126" s="120">
        <f>IFERROR(yf_data[[#This Row],[Close Price]]/B1125-1,0)</f>
        <v>8.1274419819143962E-3</v>
      </c>
    </row>
    <row r="1127" spans="1:3">
      <c r="A1127" s="119">
        <v>42446</v>
      </c>
      <c r="B1127" s="121">
        <v>53.545795440673828</v>
      </c>
      <c r="C1127" s="120">
        <f>IFERROR(yf_data[[#This Row],[Close Price]]/B1126-1,0)</f>
        <v>-2.0566096203378126E-2</v>
      </c>
    </row>
    <row r="1128" spans="1:3">
      <c r="A1128" s="119">
        <v>42447</v>
      </c>
      <c r="B1128" s="121">
        <v>54.508243560791016</v>
      </c>
      <c r="C1128" s="120">
        <f>IFERROR(yf_data[[#This Row],[Close Price]]/B1127-1,0)</f>
        <v>1.7974298676420419E-2</v>
      </c>
    </row>
    <row r="1129" spans="1:3">
      <c r="A1129" s="119">
        <v>42450</v>
      </c>
      <c r="B1129" s="121">
        <v>54.760093688964851</v>
      </c>
      <c r="C1129" s="120">
        <f>IFERROR(yf_data[[#This Row],[Close Price]]/B1128-1,0)</f>
        <v>4.6204043961342034E-3</v>
      </c>
    </row>
    <row r="1130" spans="1:3">
      <c r="A1130" s="119">
        <v>42451</v>
      </c>
      <c r="B1130" s="121">
        <v>55.092899322509766</v>
      </c>
      <c r="C1130" s="120">
        <f>IFERROR(yf_data[[#This Row],[Close Price]]/B1129-1,0)</f>
        <v>6.0775212590986616E-3</v>
      </c>
    </row>
    <row r="1131" spans="1:3">
      <c r="A1131" s="119">
        <v>42452</v>
      </c>
      <c r="B1131" s="121">
        <v>55.164863586425781</v>
      </c>
      <c r="C1131" s="120">
        <f>IFERROR(yf_data[[#This Row],[Close Price]]/B1130-1,0)</f>
        <v>1.3062348288250814E-3</v>
      </c>
    </row>
    <row r="1132" spans="1:3">
      <c r="A1132" s="119">
        <v>42453</v>
      </c>
      <c r="B1132" s="121">
        <v>53.761676788330078</v>
      </c>
      <c r="C1132" s="120">
        <f>IFERROR(yf_data[[#This Row],[Close Price]]/B1131-1,0)</f>
        <v>-2.54362416014563E-2</v>
      </c>
    </row>
    <row r="1133" spans="1:3">
      <c r="A1133" s="119">
        <v>42458</v>
      </c>
      <c r="B1133" s="121">
        <v>54.013526916503906</v>
      </c>
      <c r="C1133" s="120">
        <f>IFERROR(yf_data[[#This Row],[Close Price]]/B1132-1,0)</f>
        <v>4.6845660927841148E-3</v>
      </c>
    </row>
    <row r="1134" spans="1:3">
      <c r="A1134" s="119">
        <v>42459</v>
      </c>
      <c r="B1134" s="121">
        <v>53.932575225830078</v>
      </c>
      <c r="C1134" s="120">
        <f>IFERROR(yf_data[[#This Row],[Close Price]]/B1133-1,0)</f>
        <v>-1.498729953312683E-3</v>
      </c>
    </row>
    <row r="1135" spans="1:3">
      <c r="A1135" s="119">
        <v>42460</v>
      </c>
      <c r="B1135" s="121">
        <v>52.484416961669922</v>
      </c>
      <c r="C1135" s="120">
        <f>IFERROR(yf_data[[#This Row],[Close Price]]/B1134-1,0)</f>
        <v>-2.6851272317265251E-2</v>
      </c>
    </row>
    <row r="1136" spans="1:3">
      <c r="A1136" s="119">
        <v>42461</v>
      </c>
      <c r="B1136" s="121">
        <v>51.252140045166016</v>
      </c>
      <c r="C1136" s="120">
        <f>IFERROR(yf_data[[#This Row],[Close Price]]/B1135-1,0)</f>
        <v>-2.3478910271668929E-2</v>
      </c>
    </row>
    <row r="1137" spans="1:3">
      <c r="A1137" s="119">
        <v>42464</v>
      </c>
      <c r="B1137" s="121">
        <v>51.557960510253906</v>
      </c>
      <c r="C1137" s="120">
        <f>IFERROR(yf_data[[#This Row],[Close Price]]/B1136-1,0)</f>
        <v>5.9669794240471141E-3</v>
      </c>
    </row>
    <row r="1138" spans="1:3">
      <c r="A1138" s="119">
        <v>42465</v>
      </c>
      <c r="B1138" s="121">
        <v>50.757427215576172</v>
      </c>
      <c r="C1138" s="120">
        <f>IFERROR(yf_data[[#This Row],[Close Price]]/B1137-1,0)</f>
        <v>-1.5526861162759253E-2</v>
      </c>
    </row>
    <row r="1139" spans="1:3">
      <c r="A1139" s="119">
        <v>42466</v>
      </c>
      <c r="B1139" s="121">
        <v>50.784408569335938</v>
      </c>
      <c r="C1139" s="120">
        <f>IFERROR(yf_data[[#This Row],[Close Price]]/B1138-1,0)</f>
        <v>5.315744953968693E-4</v>
      </c>
    </row>
    <row r="1140" spans="1:3">
      <c r="A1140" s="119">
        <v>42467</v>
      </c>
      <c r="B1140" s="121">
        <v>51.036266326904297</v>
      </c>
      <c r="C1140" s="120">
        <f>IFERROR(yf_data[[#This Row],[Close Price]]/B1139-1,0)</f>
        <v>4.9593519874213676E-3</v>
      </c>
    </row>
    <row r="1141" spans="1:3">
      <c r="A1141" s="119">
        <v>42468</v>
      </c>
      <c r="B1141" s="121">
        <v>51.728855133056641</v>
      </c>
      <c r="C1141" s="120">
        <f>IFERROR(yf_data[[#This Row],[Close Price]]/B1140-1,0)</f>
        <v>1.3570522610648617E-2</v>
      </c>
    </row>
    <row r="1142" spans="1:3">
      <c r="A1142" s="119">
        <v>42471</v>
      </c>
      <c r="B1142" s="121">
        <v>50.685470581054688</v>
      </c>
      <c r="C1142" s="120">
        <f>IFERROR(yf_data[[#This Row],[Close Price]]/B1141-1,0)</f>
        <v>-2.0170261826173541E-2</v>
      </c>
    </row>
    <row r="1143" spans="1:3">
      <c r="A1143" s="119">
        <v>42472</v>
      </c>
      <c r="B1143" s="121">
        <v>50.433612823486328</v>
      </c>
      <c r="C1143" s="120">
        <f>IFERROR(yf_data[[#This Row],[Close Price]]/B1142-1,0)</f>
        <v>-4.9690326375799732E-3</v>
      </c>
    </row>
    <row r="1144" spans="1:3">
      <c r="A1144" s="119">
        <v>42473</v>
      </c>
      <c r="B1144" s="121">
        <v>51.818805694580078</v>
      </c>
      <c r="C1144" s="120">
        <f>IFERROR(yf_data[[#This Row],[Close Price]]/B1143-1,0)</f>
        <v>2.7465668103965113E-2</v>
      </c>
    </row>
    <row r="1145" spans="1:3">
      <c r="A1145" s="119">
        <v>42474</v>
      </c>
      <c r="B1145" s="121">
        <v>51.1531982421875</v>
      </c>
      <c r="C1145" s="120">
        <f>IFERROR(yf_data[[#This Row],[Close Price]]/B1144-1,0)</f>
        <v>-1.2844901449787671E-2</v>
      </c>
    </row>
    <row r="1146" spans="1:3">
      <c r="A1146" s="119">
        <v>42475</v>
      </c>
      <c r="B1146" s="121">
        <v>50.892349243164063</v>
      </c>
      <c r="C1146" s="120">
        <f>IFERROR(yf_data[[#This Row],[Close Price]]/B1145-1,0)</f>
        <v>-5.0993683286123526E-3</v>
      </c>
    </row>
    <row r="1147" spans="1:3">
      <c r="A1147" s="119">
        <v>42478</v>
      </c>
      <c r="B1147" s="121">
        <v>51.126209259033203</v>
      </c>
      <c r="C1147" s="120">
        <f>IFERROR(yf_data[[#This Row],[Close Price]]/B1146-1,0)</f>
        <v>4.5951900304652682E-3</v>
      </c>
    </row>
    <row r="1148" spans="1:3">
      <c r="A1148" s="119">
        <v>42479</v>
      </c>
      <c r="B1148" s="121">
        <v>51.611927032470703</v>
      </c>
      <c r="C1148" s="120">
        <f>IFERROR(yf_data[[#This Row],[Close Price]]/B1147-1,0)</f>
        <v>9.5003674333957733E-3</v>
      </c>
    </row>
    <row r="1149" spans="1:3">
      <c r="A1149" s="119">
        <v>42480</v>
      </c>
      <c r="B1149" s="121">
        <v>51.683883666992188</v>
      </c>
      <c r="C1149" s="120">
        <f>IFERROR(yf_data[[#This Row],[Close Price]]/B1148-1,0)</f>
        <v>1.3941861631365793E-3</v>
      </c>
    </row>
    <row r="1150" spans="1:3">
      <c r="A1150" s="119">
        <v>42481</v>
      </c>
      <c r="B1150" s="121">
        <v>52.331512451171875</v>
      </c>
      <c r="C1150" s="120">
        <f>IFERROR(yf_data[[#This Row],[Close Price]]/B1149-1,0)</f>
        <v>1.2530575069638061E-2</v>
      </c>
    </row>
    <row r="1151" spans="1:3">
      <c r="A1151" s="119">
        <v>42482</v>
      </c>
      <c r="B1151" s="121">
        <v>52.322509765625</v>
      </c>
      <c r="C1151" s="120">
        <f>IFERROR(yf_data[[#This Row],[Close Price]]/B1150-1,0)</f>
        <v>-1.7203182413794149E-4</v>
      </c>
    </row>
    <row r="1152" spans="1:3">
      <c r="A1152" s="119">
        <v>42485</v>
      </c>
      <c r="B1152" s="121">
        <v>52.745265960693359</v>
      </c>
      <c r="C1152" s="120">
        <f>IFERROR(yf_data[[#This Row],[Close Price]]/B1151-1,0)</f>
        <v>8.0798149202334635E-3</v>
      </c>
    </row>
    <row r="1153" spans="1:3">
      <c r="A1153" s="119">
        <v>42486</v>
      </c>
      <c r="B1153" s="121">
        <v>52.376483917236328</v>
      </c>
      <c r="C1153" s="120">
        <f>IFERROR(yf_data[[#This Row],[Close Price]]/B1152-1,0)</f>
        <v>-6.9917562598291738E-3</v>
      </c>
    </row>
    <row r="1154" spans="1:3">
      <c r="A1154" s="119">
        <v>42487</v>
      </c>
      <c r="B1154" s="121">
        <v>52.583362579345703</v>
      </c>
      <c r="C1154" s="120">
        <f>IFERROR(yf_data[[#This Row],[Close Price]]/B1153-1,0)</f>
        <v>3.949838680203932E-3</v>
      </c>
    </row>
    <row r="1155" spans="1:3">
      <c r="A1155" s="119">
        <v>42488</v>
      </c>
      <c r="B1155" s="121">
        <v>50.163772583007813</v>
      </c>
      <c r="C1155" s="120">
        <f>IFERROR(yf_data[[#This Row],[Close Price]]/B1154-1,0)</f>
        <v>-4.6014364195268942E-2</v>
      </c>
    </row>
    <row r="1156" spans="1:3">
      <c r="A1156" s="119">
        <v>42489</v>
      </c>
      <c r="B1156" s="121">
        <v>49.120380401611328</v>
      </c>
      <c r="C1156" s="120">
        <f>IFERROR(yf_data[[#This Row],[Close Price]]/B1155-1,0)</f>
        <v>-2.0799715166357258E-2</v>
      </c>
    </row>
    <row r="1157" spans="1:3">
      <c r="A1157" s="119">
        <v>42492</v>
      </c>
      <c r="B1157" s="121">
        <v>49.986499786376953</v>
      </c>
      <c r="C1157" s="120">
        <f>IFERROR(yf_data[[#This Row],[Close Price]]/B1156-1,0)</f>
        <v>1.7632587078605155E-2</v>
      </c>
    </row>
    <row r="1158" spans="1:3">
      <c r="A1158" s="119">
        <v>42493</v>
      </c>
      <c r="B1158" s="121">
        <v>49.350734710693359</v>
      </c>
      <c r="C1158" s="120">
        <f>IFERROR(yf_data[[#This Row],[Close Price]]/B1157-1,0)</f>
        <v>-1.2718735626631394E-2</v>
      </c>
    </row>
    <row r="1159" spans="1:3">
      <c r="A1159" s="119">
        <v>42494</v>
      </c>
      <c r="B1159" s="121">
        <v>49.065093994140625</v>
      </c>
      <c r="C1159" s="120">
        <f>IFERROR(yf_data[[#This Row],[Close Price]]/B1158-1,0)</f>
        <v>-5.7879729294251225E-3</v>
      </c>
    </row>
    <row r="1160" spans="1:3">
      <c r="A1160" s="119">
        <v>42495</v>
      </c>
      <c r="B1160" s="121">
        <v>49.774581909179688</v>
      </c>
      <c r="C1160" s="120">
        <f>IFERROR(yf_data[[#This Row],[Close Price]]/B1159-1,0)</f>
        <v>1.4460135654153383E-2</v>
      </c>
    </row>
    <row r="1161" spans="1:3">
      <c r="A1161" s="119">
        <v>42496</v>
      </c>
      <c r="B1161" s="121">
        <v>49.783790588378906</v>
      </c>
      <c r="C1161" s="120">
        <f>IFERROR(yf_data[[#This Row],[Close Price]]/B1160-1,0)</f>
        <v>1.8500766547924208E-4</v>
      </c>
    </row>
    <row r="1162" spans="1:3">
      <c r="A1162" s="119">
        <v>42499</v>
      </c>
      <c r="B1162" s="121">
        <v>50.106288909912109</v>
      </c>
      <c r="C1162" s="120">
        <f>IFERROR(yf_data[[#This Row],[Close Price]]/B1161-1,0)</f>
        <v>6.4779784287556375E-3</v>
      </c>
    </row>
    <row r="1163" spans="1:3">
      <c r="A1163" s="119">
        <v>42500</v>
      </c>
      <c r="B1163" s="121">
        <v>51.184341430664063</v>
      </c>
      <c r="C1163" s="120">
        <f>IFERROR(yf_data[[#This Row],[Close Price]]/B1162-1,0)</f>
        <v>2.1515313630395161E-2</v>
      </c>
    </row>
    <row r="1164" spans="1:3">
      <c r="A1164" s="119">
        <v>42501</v>
      </c>
      <c r="B1164" s="121">
        <v>51.129051208496094</v>
      </c>
      <c r="C1164" s="120">
        <f>IFERROR(yf_data[[#This Row],[Close Price]]/B1163-1,0)</f>
        <v>-1.0802175161883643E-3</v>
      </c>
    </row>
    <row r="1165" spans="1:3">
      <c r="A1165" s="119">
        <v>42502</v>
      </c>
      <c r="B1165" s="121">
        <v>50.889484405517578</v>
      </c>
      <c r="C1165" s="120">
        <f>IFERROR(yf_data[[#This Row],[Close Price]]/B1164-1,0)</f>
        <v>-4.6855319493726011E-3</v>
      </c>
    </row>
    <row r="1166" spans="1:3">
      <c r="A1166" s="119">
        <v>42503</v>
      </c>
      <c r="B1166" s="121">
        <v>50.806560516357422</v>
      </c>
      <c r="C1166" s="120">
        <f>IFERROR(yf_data[[#This Row],[Close Price]]/B1165-1,0)</f>
        <v>-1.6294896701913864E-3</v>
      </c>
    </row>
    <row r="1167" spans="1:3">
      <c r="A1167" s="119">
        <v>42506</v>
      </c>
      <c r="B1167" s="121">
        <v>50.557777404785149</v>
      </c>
      <c r="C1167" s="120">
        <f>IFERROR(yf_data[[#This Row],[Close Price]]/B1166-1,0)</f>
        <v>-4.89667296986529E-3</v>
      </c>
    </row>
    <row r="1168" spans="1:3">
      <c r="A1168" s="119">
        <v>42507</v>
      </c>
      <c r="B1168" s="121">
        <v>49.922004699707031</v>
      </c>
      <c r="C1168" s="120">
        <f>IFERROR(yf_data[[#This Row],[Close Price]]/B1167-1,0)</f>
        <v>-1.2575171174711186E-2</v>
      </c>
    </row>
    <row r="1169" spans="1:3">
      <c r="A1169" s="119">
        <v>42508</v>
      </c>
      <c r="B1169" s="121">
        <v>49.028232574462891</v>
      </c>
      <c r="C1169" s="120">
        <f>IFERROR(yf_data[[#This Row],[Close Price]]/B1168-1,0)</f>
        <v>-1.7903370079394798E-2</v>
      </c>
    </row>
    <row r="1170" spans="1:3">
      <c r="A1170" s="119">
        <v>42509</v>
      </c>
      <c r="B1170" s="121">
        <v>49.138809204101563</v>
      </c>
      <c r="C1170" s="120">
        <f>IFERROR(yf_data[[#This Row],[Close Price]]/B1169-1,0)</f>
        <v>2.2553664252680239E-3</v>
      </c>
    </row>
    <row r="1171" spans="1:3">
      <c r="A1171" s="119">
        <v>42510</v>
      </c>
      <c r="B1171" s="121">
        <v>50.133930206298828</v>
      </c>
      <c r="C1171" s="120">
        <f>IFERROR(yf_data[[#This Row],[Close Price]]/B1170-1,0)</f>
        <v>2.0251223387688588E-2</v>
      </c>
    </row>
    <row r="1172" spans="1:3">
      <c r="A1172" s="119">
        <v>42513</v>
      </c>
      <c r="B1172" s="121">
        <v>50.253715515136719</v>
      </c>
      <c r="C1172" s="120">
        <f>IFERROR(yf_data[[#This Row],[Close Price]]/B1171-1,0)</f>
        <v>2.389306171388883E-3</v>
      </c>
    </row>
    <row r="1173" spans="1:3">
      <c r="A1173" s="119">
        <v>42514</v>
      </c>
      <c r="B1173" s="121">
        <v>51.598972320556641</v>
      </c>
      <c r="C1173" s="120">
        <f>IFERROR(yf_data[[#This Row],[Close Price]]/B1172-1,0)</f>
        <v>2.6769300371725091E-2</v>
      </c>
    </row>
    <row r="1174" spans="1:3">
      <c r="A1174" s="119">
        <v>42515</v>
      </c>
      <c r="B1174" s="121">
        <v>51.663471221923828</v>
      </c>
      <c r="C1174" s="120">
        <f>IFERROR(yf_data[[#This Row],[Close Price]]/B1173-1,0)</f>
        <v>1.2500036040734575E-3</v>
      </c>
    </row>
    <row r="1175" spans="1:3">
      <c r="A1175" s="119">
        <v>42516</v>
      </c>
      <c r="B1175" s="121">
        <v>51.598972320556641</v>
      </c>
      <c r="C1175" s="120">
        <f>IFERROR(yf_data[[#This Row],[Close Price]]/B1174-1,0)</f>
        <v>-1.2484430457668783E-3</v>
      </c>
    </row>
    <row r="1176" spans="1:3">
      <c r="A1176" s="119">
        <v>42517</v>
      </c>
      <c r="B1176" s="121">
        <v>51.617401123046875</v>
      </c>
      <c r="C1176" s="120">
        <f>IFERROR(yf_data[[#This Row],[Close Price]]/B1175-1,0)</f>
        <v>3.5715444826589504E-4</v>
      </c>
    </row>
    <row r="1177" spans="1:3">
      <c r="A1177" s="119">
        <v>42520</v>
      </c>
      <c r="B1177" s="121">
        <v>51.875396728515625</v>
      </c>
      <c r="C1177" s="120">
        <f>IFERROR(yf_data[[#This Row],[Close Price]]/B1176-1,0)</f>
        <v>4.9982292764747527E-3</v>
      </c>
    </row>
    <row r="1178" spans="1:3">
      <c r="A1178" s="119">
        <v>42521</v>
      </c>
      <c r="B1178" s="121">
        <v>51.617401123046875</v>
      </c>
      <c r="C1178" s="120">
        <f>IFERROR(yf_data[[#This Row],[Close Price]]/B1177-1,0)</f>
        <v>-4.9733712268060781E-3</v>
      </c>
    </row>
    <row r="1179" spans="1:3">
      <c r="A1179" s="119">
        <v>42522</v>
      </c>
      <c r="B1179" s="121">
        <v>51.543685913085938</v>
      </c>
      <c r="C1179" s="120">
        <f>IFERROR(yf_data[[#This Row],[Close Price]]/B1178-1,0)</f>
        <v>-1.4281077380322582E-3</v>
      </c>
    </row>
    <row r="1180" spans="1:3">
      <c r="A1180" s="119">
        <v>42523</v>
      </c>
      <c r="B1180" s="121">
        <v>50.953983306884766</v>
      </c>
      <c r="C1180" s="120">
        <f>IFERROR(yf_data[[#This Row],[Close Price]]/B1179-1,0)</f>
        <v>-1.1440831127124684E-2</v>
      </c>
    </row>
    <row r="1181" spans="1:3">
      <c r="A1181" s="119">
        <v>42524</v>
      </c>
      <c r="B1181" s="121">
        <v>49.157234191894531</v>
      </c>
      <c r="C1181" s="120">
        <f>IFERROR(yf_data[[#This Row],[Close Price]]/B1180-1,0)</f>
        <v>-3.5262191459474401E-2</v>
      </c>
    </row>
    <row r="1182" spans="1:3">
      <c r="A1182" s="119">
        <v>42527</v>
      </c>
      <c r="B1182" s="121">
        <v>48.862380981445313</v>
      </c>
      <c r="C1182" s="120">
        <f>IFERROR(yf_data[[#This Row],[Close Price]]/B1181-1,0)</f>
        <v>-5.9981651794770441E-3</v>
      </c>
    </row>
    <row r="1183" spans="1:3">
      <c r="A1183" s="119">
        <v>42528</v>
      </c>
      <c r="B1183" s="121">
        <v>49.304660797119141</v>
      </c>
      <c r="C1183" s="120">
        <f>IFERROR(yf_data[[#This Row],[Close Price]]/B1182-1,0)</f>
        <v>9.0515404036854985E-3</v>
      </c>
    </row>
    <row r="1184" spans="1:3">
      <c r="A1184" s="119">
        <v>42529</v>
      </c>
      <c r="B1184" s="121">
        <v>49.396800994873047</v>
      </c>
      <c r="C1184" s="120">
        <f>IFERROR(yf_data[[#This Row],[Close Price]]/B1183-1,0)</f>
        <v>1.8687928537435283E-3</v>
      </c>
    </row>
    <row r="1185" spans="1:3">
      <c r="A1185" s="119">
        <v>42530</v>
      </c>
      <c r="B1185" s="121">
        <v>49.203304290771491</v>
      </c>
      <c r="C1185" s="120">
        <f>IFERROR(yf_data[[#This Row],[Close Price]]/B1184-1,0)</f>
        <v>-3.9171909962679718E-3</v>
      </c>
    </row>
    <row r="1186" spans="1:3">
      <c r="A1186" s="119">
        <v>42531</v>
      </c>
      <c r="B1186" s="121">
        <v>48.521461486816406</v>
      </c>
      <c r="C1186" s="120">
        <f>IFERROR(yf_data[[#This Row],[Close Price]]/B1185-1,0)</f>
        <v>-1.3857662890396027E-2</v>
      </c>
    </row>
    <row r="1187" spans="1:3">
      <c r="A1187" s="119">
        <v>42534</v>
      </c>
      <c r="B1187" s="121">
        <v>47.240703582763672</v>
      </c>
      <c r="C1187" s="120">
        <f>IFERROR(yf_data[[#This Row],[Close Price]]/B1186-1,0)</f>
        <v>-2.6395699239206261E-2</v>
      </c>
    </row>
    <row r="1188" spans="1:3">
      <c r="A1188" s="119">
        <v>42535</v>
      </c>
      <c r="B1188" s="121">
        <v>46.973491668701172</v>
      </c>
      <c r="C1188" s="120">
        <f>IFERROR(yf_data[[#This Row],[Close Price]]/B1187-1,0)</f>
        <v>-5.6563914970986229E-3</v>
      </c>
    </row>
    <row r="1189" spans="1:3">
      <c r="A1189" s="119">
        <v>42536</v>
      </c>
      <c r="B1189" s="121">
        <v>47.609264373779297</v>
      </c>
      <c r="C1189" s="120">
        <f>IFERROR(yf_data[[#This Row],[Close Price]]/B1188-1,0)</f>
        <v>1.3534712504707169E-2</v>
      </c>
    </row>
    <row r="1190" spans="1:3">
      <c r="A1190" s="119">
        <v>42537</v>
      </c>
      <c r="B1190" s="121">
        <v>46.521999359130859</v>
      </c>
      <c r="C1190" s="120">
        <f>IFERROR(yf_data[[#This Row],[Close Price]]/B1189-1,0)</f>
        <v>-2.2837257179870396E-2</v>
      </c>
    </row>
    <row r="1191" spans="1:3">
      <c r="A1191" s="119">
        <v>42538</v>
      </c>
      <c r="B1191" s="121">
        <v>46.835281372070313</v>
      </c>
      <c r="C1191" s="120">
        <f>IFERROR(yf_data[[#This Row],[Close Price]]/B1190-1,0)</f>
        <v>6.7340616752311622E-3</v>
      </c>
    </row>
    <row r="1192" spans="1:3">
      <c r="A1192" s="119">
        <v>42541</v>
      </c>
      <c r="B1192" s="121">
        <v>49.120376586914063</v>
      </c>
      <c r="C1192" s="120">
        <f>IFERROR(yf_data[[#This Row],[Close Price]]/B1191-1,0)</f>
        <v>4.8790039216171754E-2</v>
      </c>
    </row>
    <row r="1193" spans="1:3">
      <c r="A1193" s="119">
        <v>42542</v>
      </c>
      <c r="B1193" s="121">
        <v>50.087863922119141</v>
      </c>
      <c r="C1193" s="120">
        <f>IFERROR(yf_data[[#This Row],[Close Price]]/B1192-1,0)</f>
        <v>1.9696252399311165E-2</v>
      </c>
    </row>
    <row r="1194" spans="1:3">
      <c r="A1194" s="119">
        <v>42543</v>
      </c>
      <c r="B1194" s="121">
        <v>50.170787811279297</v>
      </c>
      <c r="C1194" s="120">
        <f>IFERROR(yf_data[[#This Row],[Close Price]]/B1193-1,0)</f>
        <v>1.655568488388548E-3</v>
      </c>
    </row>
    <row r="1195" spans="1:3">
      <c r="A1195" s="119">
        <v>42544</v>
      </c>
      <c r="B1195" s="121">
        <v>51.165908813476563</v>
      </c>
      <c r="C1195" s="120">
        <f>IFERROR(yf_data[[#This Row],[Close Price]]/B1194-1,0)</f>
        <v>1.9834669647613934E-2</v>
      </c>
    </row>
    <row r="1196" spans="1:3">
      <c r="A1196" s="119">
        <v>42545</v>
      </c>
      <c r="B1196" s="121">
        <v>48.014686584472656</v>
      </c>
      <c r="C1196" s="120">
        <f>IFERROR(yf_data[[#This Row],[Close Price]]/B1195-1,0)</f>
        <v>-6.1588317340195653E-2</v>
      </c>
    </row>
    <row r="1197" spans="1:3">
      <c r="A1197" s="119">
        <v>42548</v>
      </c>
      <c r="B1197" s="121">
        <v>45.996795654296875</v>
      </c>
      <c r="C1197" s="120">
        <f>IFERROR(yf_data[[#This Row],[Close Price]]/B1196-1,0)</f>
        <v>-4.2026535498168593E-2</v>
      </c>
    </row>
    <row r="1198" spans="1:3">
      <c r="A1198" s="119">
        <v>42549</v>
      </c>
      <c r="B1198" s="121">
        <v>47.093276977539063</v>
      </c>
      <c r="C1198" s="120">
        <f>IFERROR(yf_data[[#This Row],[Close Price]]/B1197-1,0)</f>
        <v>2.3838211067638948E-2</v>
      </c>
    </row>
    <row r="1199" spans="1:3">
      <c r="A1199" s="119">
        <v>42550</v>
      </c>
      <c r="B1199" s="121">
        <v>47.848834991455078</v>
      </c>
      <c r="C1199" s="120">
        <f>IFERROR(yf_data[[#This Row],[Close Price]]/B1198-1,0)</f>
        <v>1.6043861510770974E-2</v>
      </c>
    </row>
    <row r="1200" spans="1:3">
      <c r="A1200" s="119">
        <v>42551</v>
      </c>
      <c r="B1200" s="121">
        <v>47.66455078125</v>
      </c>
      <c r="C1200" s="120">
        <f>IFERROR(yf_data[[#This Row],[Close Price]]/B1199-1,0)</f>
        <v>-3.8513834294604532E-3</v>
      </c>
    </row>
    <row r="1201" spans="1:3">
      <c r="A1201" s="119">
        <v>42552</v>
      </c>
      <c r="B1201" s="121">
        <v>47.434196472167969</v>
      </c>
      <c r="C1201" s="120">
        <f>IFERROR(yf_data[[#This Row],[Close Price]]/B1200-1,0)</f>
        <v>-4.832822407982218E-3</v>
      </c>
    </row>
    <row r="1202" spans="1:3">
      <c r="A1202" s="119">
        <v>42555</v>
      </c>
      <c r="B1202" s="121">
        <v>47.259132385253906</v>
      </c>
      <c r="C1202" s="120">
        <f>IFERROR(yf_data[[#This Row],[Close Price]]/B1201-1,0)</f>
        <v>-3.6906725513266014E-3</v>
      </c>
    </row>
    <row r="1203" spans="1:3">
      <c r="A1203" s="119">
        <v>42556</v>
      </c>
      <c r="B1203" s="121">
        <v>45.858589172363281</v>
      </c>
      <c r="C1203" s="120">
        <f>IFERROR(yf_data[[#This Row],[Close Price]]/B1202-1,0)</f>
        <v>-2.9635398328379581E-2</v>
      </c>
    </row>
    <row r="1204" spans="1:3">
      <c r="A1204" s="119">
        <v>42557</v>
      </c>
      <c r="B1204" s="121">
        <v>44.660755157470703</v>
      </c>
      <c r="C1204" s="120">
        <f>IFERROR(yf_data[[#This Row],[Close Price]]/B1203-1,0)</f>
        <v>-2.6120167159753183E-2</v>
      </c>
    </row>
    <row r="1205" spans="1:3">
      <c r="A1205" s="119">
        <v>42558</v>
      </c>
      <c r="B1205" s="121">
        <v>45.195171356201172</v>
      </c>
      <c r="C1205" s="120">
        <f>IFERROR(yf_data[[#This Row],[Close Price]]/B1204-1,0)</f>
        <v>1.1966125446069009E-2</v>
      </c>
    </row>
    <row r="1206" spans="1:3">
      <c r="A1206" s="119">
        <v>42559</v>
      </c>
      <c r="B1206" s="121">
        <v>45.176738739013672</v>
      </c>
      <c r="C1206" s="120">
        <f>IFERROR(yf_data[[#This Row],[Close Price]]/B1205-1,0)</f>
        <v>-4.0784483462241727E-4</v>
      </c>
    </row>
    <row r="1207" spans="1:3">
      <c r="A1207" s="119">
        <v>42562</v>
      </c>
      <c r="B1207" s="121">
        <v>46.254791259765625</v>
      </c>
      <c r="C1207" s="120">
        <f>IFERROR(yf_data[[#This Row],[Close Price]]/B1206-1,0)</f>
        <v>2.3863000093474529E-2</v>
      </c>
    </row>
    <row r="1208" spans="1:3">
      <c r="A1208" s="119">
        <v>42563</v>
      </c>
      <c r="B1208" s="121">
        <v>48.106826782226563</v>
      </c>
      <c r="C1208" s="120">
        <f>IFERROR(yf_data[[#This Row],[Close Price]]/B1207-1,0)</f>
        <v>4.0039863374584428E-2</v>
      </c>
    </row>
    <row r="1209" spans="1:3">
      <c r="A1209" s="119">
        <v>42564</v>
      </c>
      <c r="B1209" s="121">
        <v>48.945308685302734</v>
      </c>
      <c r="C1209" s="120">
        <f>IFERROR(yf_data[[#This Row],[Close Price]]/B1208-1,0)</f>
        <v>1.7429582434773216E-2</v>
      </c>
    </row>
    <row r="1210" spans="1:3">
      <c r="A1210" s="119">
        <v>42565</v>
      </c>
      <c r="B1210" s="121">
        <v>49.184879302978509</v>
      </c>
      <c r="C1210" s="120">
        <f>IFERROR(yf_data[[#This Row],[Close Price]]/B1209-1,0)</f>
        <v>4.8946594497158991E-3</v>
      </c>
    </row>
    <row r="1211" spans="1:3">
      <c r="A1211" s="119">
        <v>42566</v>
      </c>
      <c r="B1211" s="121">
        <v>48.475391387939453</v>
      </c>
      <c r="C1211" s="120">
        <f>IFERROR(yf_data[[#This Row],[Close Price]]/B1210-1,0)</f>
        <v>-1.4424919306370909E-2</v>
      </c>
    </row>
    <row r="1212" spans="1:3">
      <c r="A1212" s="119">
        <v>42569</v>
      </c>
      <c r="B1212" s="121">
        <v>48.097610473632813</v>
      </c>
      <c r="C1212" s="120">
        <f>IFERROR(yf_data[[#This Row],[Close Price]]/B1211-1,0)</f>
        <v>-7.7932514517176088E-3</v>
      </c>
    </row>
    <row r="1213" spans="1:3">
      <c r="A1213" s="119">
        <v>42570</v>
      </c>
      <c r="B1213" s="121">
        <v>48.162113189697266</v>
      </c>
      <c r="C1213" s="120">
        <f>IFERROR(yf_data[[#This Row],[Close Price]]/B1212-1,0)</f>
        <v>1.3410794305428464E-3</v>
      </c>
    </row>
    <row r="1214" spans="1:3">
      <c r="A1214" s="119">
        <v>42571</v>
      </c>
      <c r="B1214" s="121">
        <v>48.761028289794922</v>
      </c>
      <c r="C1214" s="120">
        <f>IFERROR(yf_data[[#This Row],[Close Price]]/B1213-1,0)</f>
        <v>1.2435399122515456E-2</v>
      </c>
    </row>
    <row r="1215" spans="1:3">
      <c r="A1215" s="119">
        <v>42572</v>
      </c>
      <c r="B1215" s="121">
        <v>47.922542572021491</v>
      </c>
      <c r="C1215" s="120">
        <f>IFERROR(yf_data[[#This Row],[Close Price]]/B1214-1,0)</f>
        <v>-1.719581697067929E-2</v>
      </c>
    </row>
    <row r="1216" spans="1:3">
      <c r="A1216" s="119">
        <v>42573</v>
      </c>
      <c r="B1216" s="121">
        <v>47.360481262207031</v>
      </c>
      <c r="C1216" s="120">
        <f>IFERROR(yf_data[[#This Row],[Close Price]]/B1215-1,0)</f>
        <v>-1.1728536919128452E-2</v>
      </c>
    </row>
    <row r="1217" spans="1:3">
      <c r="A1217" s="119">
        <v>42576</v>
      </c>
      <c r="B1217" s="121">
        <v>47.065635681152344</v>
      </c>
      <c r="C1217" s="120">
        <f>IFERROR(yf_data[[#This Row],[Close Price]]/B1216-1,0)</f>
        <v>-6.2255613371473562E-3</v>
      </c>
    </row>
    <row r="1218" spans="1:3">
      <c r="A1218" s="119">
        <v>42577</v>
      </c>
      <c r="B1218" s="121">
        <v>47.636909484863281</v>
      </c>
      <c r="C1218" s="120">
        <f>IFERROR(yf_data[[#This Row],[Close Price]]/B1217-1,0)</f>
        <v>1.2137811280847233E-2</v>
      </c>
    </row>
    <row r="1219" spans="1:3">
      <c r="A1219" s="119">
        <v>42578</v>
      </c>
      <c r="B1219" s="121">
        <v>49.756153106689453</v>
      </c>
      <c r="C1219" s="120">
        <f>IFERROR(yf_data[[#This Row],[Close Price]]/B1218-1,0)</f>
        <v>4.4487428860169098E-2</v>
      </c>
    </row>
    <row r="1220" spans="1:3">
      <c r="A1220" s="119">
        <v>42579</v>
      </c>
      <c r="B1220" s="121">
        <v>49.359947204589837</v>
      </c>
      <c r="C1220" s="120">
        <f>IFERROR(yf_data[[#This Row],[Close Price]]/B1219-1,0)</f>
        <v>-7.9629528683629047E-3</v>
      </c>
    </row>
    <row r="1221" spans="1:3">
      <c r="A1221" s="119">
        <v>42580</v>
      </c>
      <c r="B1221" s="121">
        <v>48.493820190429688</v>
      </c>
      <c r="C1221" s="120">
        <f>IFERROR(yf_data[[#This Row],[Close Price]]/B1220-1,0)</f>
        <v>-1.7547162491284185E-2</v>
      </c>
    </row>
    <row r="1222" spans="1:3">
      <c r="A1222" s="119">
        <v>42583</v>
      </c>
      <c r="B1222" s="121">
        <v>48.143680572509766</v>
      </c>
      <c r="C1222" s="120">
        <f>IFERROR(yf_data[[#This Row],[Close Price]]/B1221-1,0)</f>
        <v>-7.2202935661691559E-3</v>
      </c>
    </row>
    <row r="1223" spans="1:3">
      <c r="A1223" s="119">
        <v>42584</v>
      </c>
      <c r="B1223" s="121">
        <v>47.231483459472656</v>
      </c>
      <c r="C1223" s="120">
        <f>IFERROR(yf_data[[#This Row],[Close Price]]/B1222-1,0)</f>
        <v>-1.8947390440231082E-2</v>
      </c>
    </row>
    <row r="1224" spans="1:3">
      <c r="A1224" s="119">
        <v>42585</v>
      </c>
      <c r="B1224" s="121">
        <v>46.494358062744141</v>
      </c>
      <c r="C1224" s="120">
        <f>IFERROR(yf_data[[#This Row],[Close Price]]/B1223-1,0)</f>
        <v>-1.560665350181123E-2</v>
      </c>
    </row>
    <row r="1225" spans="1:3">
      <c r="A1225" s="119">
        <v>42586</v>
      </c>
      <c r="B1225" s="121">
        <v>46.62335205078125</v>
      </c>
      <c r="C1225" s="120">
        <f>IFERROR(yf_data[[#This Row],[Close Price]]/B1224-1,0)</f>
        <v>2.7744008824259758E-3</v>
      </c>
    </row>
    <row r="1226" spans="1:3">
      <c r="A1226" s="119">
        <v>42587</v>
      </c>
      <c r="B1226" s="121">
        <v>46.991920471191406</v>
      </c>
      <c r="C1226" s="120">
        <f>IFERROR(yf_data[[#This Row],[Close Price]]/B1225-1,0)</f>
        <v>7.9052321250672186E-3</v>
      </c>
    </row>
    <row r="1227" spans="1:3">
      <c r="A1227" s="119">
        <v>42590</v>
      </c>
      <c r="B1227" s="121">
        <v>46.3837890625</v>
      </c>
      <c r="C1227" s="120">
        <f>IFERROR(yf_data[[#This Row],[Close Price]]/B1226-1,0)</f>
        <v>-1.2941190796069368E-2</v>
      </c>
    </row>
    <row r="1228" spans="1:3">
      <c r="A1228" s="119">
        <v>42591</v>
      </c>
      <c r="B1228" s="121">
        <v>47.084060668945313</v>
      </c>
      <c r="C1228" s="120">
        <f>IFERROR(yf_data[[#This Row],[Close Price]]/B1227-1,0)</f>
        <v>1.5097335094848008E-2</v>
      </c>
    </row>
    <row r="1229" spans="1:3">
      <c r="A1229" s="119">
        <v>42592</v>
      </c>
      <c r="B1229" s="121">
        <v>47.176204681396477</v>
      </c>
      <c r="C1229" s="120">
        <f>IFERROR(yf_data[[#This Row],[Close Price]]/B1228-1,0)</f>
        <v>1.9570107408330983E-3</v>
      </c>
    </row>
    <row r="1230" spans="1:3">
      <c r="A1230" s="119">
        <v>42593</v>
      </c>
      <c r="B1230" s="121">
        <v>47.765903472900391</v>
      </c>
      <c r="C1230" s="120">
        <f>IFERROR(yf_data[[#This Row],[Close Price]]/B1229-1,0)</f>
        <v>1.2499920150135679E-2</v>
      </c>
    </row>
    <row r="1231" spans="1:3">
      <c r="A1231" s="119">
        <v>42594</v>
      </c>
      <c r="B1231" s="121">
        <v>47.940971374511719</v>
      </c>
      <c r="C1231" s="120">
        <f>IFERROR(yf_data[[#This Row],[Close Price]]/B1230-1,0)</f>
        <v>3.6651227943516052E-3</v>
      </c>
    </row>
    <row r="1232" spans="1:3">
      <c r="A1232" s="119">
        <v>42597</v>
      </c>
      <c r="B1232" s="121">
        <v>48.17132568359375</v>
      </c>
      <c r="C1232" s="120">
        <f>IFERROR(yf_data[[#This Row],[Close Price]]/B1231-1,0)</f>
        <v>4.8049570644390638E-3</v>
      </c>
    </row>
    <row r="1233" spans="1:3">
      <c r="A1233" s="119">
        <v>42598</v>
      </c>
      <c r="B1233" s="121">
        <v>47.443412780761719</v>
      </c>
      <c r="C1233" s="120">
        <f>IFERROR(yf_data[[#This Row],[Close Price]]/B1232-1,0)</f>
        <v>-1.5110916971918464E-2</v>
      </c>
    </row>
    <row r="1234" spans="1:3">
      <c r="A1234" s="119">
        <v>42599</v>
      </c>
      <c r="B1234" s="121">
        <v>46.706283569335938</v>
      </c>
      <c r="C1234" s="120">
        <f>IFERROR(yf_data[[#This Row],[Close Price]]/B1233-1,0)</f>
        <v>-1.5537019118588513E-2</v>
      </c>
    </row>
    <row r="1235" spans="1:3">
      <c r="A1235" s="119">
        <v>42600</v>
      </c>
      <c r="B1235" s="121">
        <v>46.070510864257813</v>
      </c>
      <c r="C1235" s="120">
        <f>IFERROR(yf_data[[#This Row],[Close Price]]/B1234-1,0)</f>
        <v>-1.3612145015441279E-2</v>
      </c>
    </row>
    <row r="1236" spans="1:3">
      <c r="A1236" s="119">
        <v>42601</v>
      </c>
      <c r="B1236" s="121">
        <v>45.941516876220703</v>
      </c>
      <c r="C1236" s="120">
        <f>IFERROR(yf_data[[#This Row],[Close Price]]/B1235-1,0)</f>
        <v>-2.7999252801249597E-3</v>
      </c>
    </row>
    <row r="1237" spans="1:3">
      <c r="A1237" s="119">
        <v>42604</v>
      </c>
      <c r="B1237" s="121">
        <v>46.047473907470703</v>
      </c>
      <c r="C1237" s="120">
        <f>IFERROR(yf_data[[#This Row],[Close Price]]/B1236-1,0)</f>
        <v>2.3063459470760161E-3</v>
      </c>
    </row>
    <row r="1238" spans="1:3">
      <c r="A1238" s="119">
        <v>42605</v>
      </c>
      <c r="B1238" s="121">
        <v>46.62335205078125</v>
      </c>
      <c r="C1238" s="120">
        <f>IFERROR(yf_data[[#This Row],[Close Price]]/B1237-1,0)</f>
        <v>1.2506183172343643E-2</v>
      </c>
    </row>
    <row r="1239" spans="1:3">
      <c r="A1239" s="119">
        <v>42606</v>
      </c>
      <c r="B1239" s="121">
        <v>47.185413360595703</v>
      </c>
      <c r="C1239" s="120">
        <f>IFERROR(yf_data[[#This Row],[Close Price]]/B1238-1,0)</f>
        <v>1.205536035251753E-2</v>
      </c>
    </row>
    <row r="1240" spans="1:3">
      <c r="A1240" s="119">
        <v>42607</v>
      </c>
      <c r="B1240" s="121">
        <v>46.577285766601563</v>
      </c>
      <c r="C1240" s="120">
        <f>IFERROR(yf_data[[#This Row],[Close Price]]/B1239-1,0)</f>
        <v>-1.2888042102053188E-2</v>
      </c>
    </row>
    <row r="1241" spans="1:3">
      <c r="A1241" s="119">
        <v>42608</v>
      </c>
      <c r="B1241" s="121">
        <v>47.028778076171875</v>
      </c>
      <c r="C1241" s="120">
        <f>IFERROR(yf_data[[#This Row],[Close Price]]/B1240-1,0)</f>
        <v>9.6934010245408597E-3</v>
      </c>
    </row>
    <row r="1242" spans="1:3">
      <c r="A1242" s="119">
        <v>42611</v>
      </c>
      <c r="B1242" s="121">
        <v>47.268341064453125</v>
      </c>
      <c r="C1242" s="120">
        <f>IFERROR(yf_data[[#This Row],[Close Price]]/B1241-1,0)</f>
        <v>5.0939658243560615E-3</v>
      </c>
    </row>
    <row r="1243" spans="1:3">
      <c r="A1243" s="119">
        <v>42612</v>
      </c>
      <c r="B1243" s="121">
        <v>47.3973388671875</v>
      </c>
      <c r="C1243" s="120">
        <f>IFERROR(yf_data[[#This Row],[Close Price]]/B1242-1,0)</f>
        <v>2.7290528888770371E-3</v>
      </c>
    </row>
    <row r="1244" spans="1:3">
      <c r="A1244" s="119">
        <v>42613</v>
      </c>
      <c r="B1244" s="121">
        <v>48.1805419921875</v>
      </c>
      <c r="C1244" s="120">
        <f>IFERROR(yf_data[[#This Row],[Close Price]]/B1243-1,0)</f>
        <v>1.652420038168434E-2</v>
      </c>
    </row>
    <row r="1245" spans="1:3">
      <c r="A1245" s="119">
        <v>42614</v>
      </c>
      <c r="B1245" s="121">
        <v>47.775115966796875</v>
      </c>
      <c r="C1245" s="120">
        <f>IFERROR(yf_data[[#This Row],[Close Price]]/B1244-1,0)</f>
        <v>-8.4147252942144979E-3</v>
      </c>
    </row>
    <row r="1246" spans="1:3">
      <c r="A1246" s="119">
        <v>42615</v>
      </c>
      <c r="B1246" s="121">
        <v>49.009803771972656</v>
      </c>
      <c r="C1246" s="120">
        <f>IFERROR(yf_data[[#This Row],[Close Price]]/B1245-1,0)</f>
        <v>2.5843742713965945E-2</v>
      </c>
    </row>
    <row r="1247" spans="1:3">
      <c r="A1247" s="119">
        <v>42618</v>
      </c>
      <c r="B1247" s="121">
        <v>49.627155303955078</v>
      </c>
      <c r="C1247" s="120">
        <f>IFERROR(yf_data[[#This Row],[Close Price]]/B1246-1,0)</f>
        <v>1.2596490589000586E-2</v>
      </c>
    </row>
    <row r="1248" spans="1:3">
      <c r="A1248" s="119">
        <v>42619</v>
      </c>
      <c r="B1248" s="121">
        <v>50.124713897705078</v>
      </c>
      <c r="C1248" s="120">
        <f>IFERROR(yf_data[[#This Row],[Close Price]]/B1247-1,0)</f>
        <v>1.0025934202808173E-2</v>
      </c>
    </row>
    <row r="1249" spans="1:3">
      <c r="A1249" s="119">
        <v>42620</v>
      </c>
      <c r="B1249" s="121">
        <v>50.447212219238281</v>
      </c>
      <c r="C1249" s="120">
        <f>IFERROR(yf_data[[#This Row],[Close Price]]/B1248-1,0)</f>
        <v>6.4339184497164137E-3</v>
      </c>
    </row>
    <row r="1250" spans="1:3">
      <c r="A1250" s="119">
        <v>42621</v>
      </c>
      <c r="B1250" s="121">
        <v>51.138271331787109</v>
      </c>
      <c r="C1250" s="120">
        <f>IFERROR(yf_data[[#This Row],[Close Price]]/B1249-1,0)</f>
        <v>1.3698658105140815E-2</v>
      </c>
    </row>
    <row r="1251" spans="1:3">
      <c r="A1251" s="119">
        <v>42622</v>
      </c>
      <c r="B1251" s="121">
        <v>51.258049011230469</v>
      </c>
      <c r="C1251" s="120">
        <f>IFERROR(yf_data[[#This Row],[Close Price]]/B1250-1,0)</f>
        <v>2.3422316852721448E-3</v>
      </c>
    </row>
    <row r="1252" spans="1:3">
      <c r="A1252" s="119">
        <v>42625</v>
      </c>
      <c r="B1252" s="121">
        <v>50.21685791015625</v>
      </c>
      <c r="C1252" s="120">
        <f>IFERROR(yf_data[[#This Row],[Close Price]]/B1251-1,0)</f>
        <v>-2.0312733729801136E-2</v>
      </c>
    </row>
    <row r="1253" spans="1:3">
      <c r="A1253" s="119">
        <v>42626</v>
      </c>
      <c r="B1253" s="121">
        <v>49.590297698974609</v>
      </c>
      <c r="C1253" s="120">
        <f>IFERROR(yf_data[[#This Row],[Close Price]]/B1252-1,0)</f>
        <v>-1.2477089114229956E-2</v>
      </c>
    </row>
    <row r="1254" spans="1:3">
      <c r="A1254" s="119">
        <v>42627</v>
      </c>
      <c r="B1254" s="121">
        <v>48.890026092529297</v>
      </c>
      <c r="C1254" s="120">
        <f>IFERROR(yf_data[[#This Row],[Close Price]]/B1253-1,0)</f>
        <v>-1.412114141149412E-2</v>
      </c>
    </row>
    <row r="1255" spans="1:3">
      <c r="A1255" s="119">
        <v>42628</v>
      </c>
      <c r="B1255" s="121">
        <v>48.659671783447266</v>
      </c>
      <c r="C1255" s="120">
        <f>IFERROR(yf_data[[#This Row],[Close Price]]/B1254-1,0)</f>
        <v>-4.7116830873860094E-3</v>
      </c>
    </row>
    <row r="1256" spans="1:3">
      <c r="A1256" s="119">
        <v>42629</v>
      </c>
      <c r="B1256" s="121">
        <v>48.447750091552734</v>
      </c>
      <c r="C1256" s="120">
        <f>IFERROR(yf_data[[#This Row],[Close Price]]/B1255-1,0)</f>
        <v>-4.3551812851853056E-3</v>
      </c>
    </row>
    <row r="1257" spans="1:3">
      <c r="A1257" s="119">
        <v>42632</v>
      </c>
      <c r="B1257" s="121">
        <v>48.668888092041016</v>
      </c>
      <c r="C1257" s="120">
        <f>IFERROR(yf_data[[#This Row],[Close Price]]/B1256-1,0)</f>
        <v>4.5644637794406417E-3</v>
      </c>
    </row>
    <row r="1258" spans="1:3">
      <c r="A1258" s="119">
        <v>42633</v>
      </c>
      <c r="B1258" s="121">
        <v>48.346397399902344</v>
      </c>
      <c r="C1258" s="120">
        <f>IFERROR(yf_data[[#This Row],[Close Price]]/B1257-1,0)</f>
        <v>-6.626218612777568E-3</v>
      </c>
    </row>
    <row r="1259" spans="1:3">
      <c r="A1259" s="119">
        <v>42634</v>
      </c>
      <c r="B1259" s="121">
        <v>48.512248992919922</v>
      </c>
      <c r="C1259" s="120">
        <f>IFERROR(yf_data[[#This Row],[Close Price]]/B1258-1,0)</f>
        <v>3.4304850399859976E-3</v>
      </c>
    </row>
    <row r="1260" spans="1:3">
      <c r="A1260" s="119">
        <v>42635</v>
      </c>
      <c r="B1260" s="121">
        <v>49.498157501220703</v>
      </c>
      <c r="C1260" s="120">
        <f>IFERROR(yf_data[[#This Row],[Close Price]]/B1259-1,0)</f>
        <v>2.0322877804421546E-2</v>
      </c>
    </row>
    <row r="1261" spans="1:3">
      <c r="A1261" s="119">
        <v>42636</v>
      </c>
      <c r="B1261" s="121">
        <v>49.581081390380859</v>
      </c>
      <c r="C1261" s="120">
        <f>IFERROR(yf_data[[#This Row],[Close Price]]/B1260-1,0)</f>
        <v>1.6752924421097326E-3</v>
      </c>
    </row>
    <row r="1262" spans="1:3">
      <c r="A1262" s="119">
        <v>42639</v>
      </c>
      <c r="B1262" s="121">
        <v>48.364822387695313</v>
      </c>
      <c r="C1262" s="120">
        <f>IFERROR(yf_data[[#This Row],[Close Price]]/B1261-1,0)</f>
        <v>-2.4530707450876821E-2</v>
      </c>
    </row>
    <row r="1263" spans="1:3">
      <c r="A1263" s="119">
        <v>42640</v>
      </c>
      <c r="B1263" s="121">
        <v>48.042331695556641</v>
      </c>
      <c r="C1263" s="120">
        <f>IFERROR(yf_data[[#This Row],[Close Price]]/B1262-1,0)</f>
        <v>-6.6678771102179901E-3</v>
      </c>
    </row>
    <row r="1264" spans="1:3">
      <c r="A1264" s="119">
        <v>42641</v>
      </c>
      <c r="B1264" s="121">
        <v>48.567531585693359</v>
      </c>
      <c r="C1264" s="120">
        <f>IFERROR(yf_data[[#This Row],[Close Price]]/B1263-1,0)</f>
        <v>1.093202331362475E-2</v>
      </c>
    </row>
    <row r="1265" spans="1:3">
      <c r="A1265" s="119">
        <v>42642</v>
      </c>
      <c r="B1265" s="121">
        <v>49.111164093017578</v>
      </c>
      <c r="C1265" s="120">
        <f>IFERROR(yf_data[[#This Row],[Close Price]]/B1264-1,0)</f>
        <v>1.1193332038401449E-2</v>
      </c>
    </row>
    <row r="1266" spans="1:3">
      <c r="A1266" s="119">
        <v>42643</v>
      </c>
      <c r="B1266" s="121">
        <v>49.608726501464851</v>
      </c>
      <c r="C1266" s="120">
        <f>IFERROR(yf_data[[#This Row],[Close Price]]/B1265-1,0)</f>
        <v>1.0131350328102195E-2</v>
      </c>
    </row>
    <row r="1267" spans="1:3">
      <c r="A1267" s="119">
        <v>42646</v>
      </c>
      <c r="B1267" s="121">
        <v>49.516590118408203</v>
      </c>
      <c r="C1267" s="120">
        <f>IFERROR(yf_data[[#This Row],[Close Price]]/B1266-1,0)</f>
        <v>-1.8572616060589242E-3</v>
      </c>
    </row>
    <row r="1268" spans="1:3">
      <c r="A1268" s="119">
        <v>42647</v>
      </c>
      <c r="B1268" s="121">
        <v>50.539348602294922</v>
      </c>
      <c r="C1268" s="120">
        <f>IFERROR(yf_data[[#This Row],[Close Price]]/B1267-1,0)</f>
        <v>2.0654864994560596E-2</v>
      </c>
    </row>
    <row r="1269" spans="1:3">
      <c r="A1269" s="119">
        <v>42648</v>
      </c>
      <c r="B1269" s="121">
        <v>50.751274108886719</v>
      </c>
      <c r="C1269" s="120">
        <f>IFERROR(yf_data[[#This Row],[Close Price]]/B1268-1,0)</f>
        <v>4.1932773661070843E-3</v>
      </c>
    </row>
    <row r="1270" spans="1:3">
      <c r="A1270" s="119">
        <v>42649</v>
      </c>
      <c r="B1270" s="121">
        <v>50.152355194091797</v>
      </c>
      <c r="C1270" s="120">
        <f>IFERROR(yf_data[[#This Row],[Close Price]]/B1269-1,0)</f>
        <v>-1.1801061654332923E-2</v>
      </c>
    </row>
    <row r="1271" spans="1:3">
      <c r="A1271" s="119">
        <v>42650</v>
      </c>
      <c r="B1271" s="121">
        <v>49.599514007568359</v>
      </c>
      <c r="C1271" s="120">
        <f>IFERROR(yf_data[[#This Row],[Close Price]]/B1270-1,0)</f>
        <v>-1.1023234788952951E-2</v>
      </c>
    </row>
    <row r="1272" spans="1:3">
      <c r="A1272" s="119">
        <v>42653</v>
      </c>
      <c r="B1272" s="121">
        <v>50.060218811035149</v>
      </c>
      <c r="C1272" s="120">
        <f>IFERROR(yf_data[[#This Row],[Close Price]]/B1271-1,0)</f>
        <v>9.2884943065467684E-3</v>
      </c>
    </row>
    <row r="1273" spans="1:3">
      <c r="A1273" s="119">
        <v>42654</v>
      </c>
      <c r="B1273" s="121">
        <v>48.862380981445313</v>
      </c>
      <c r="C1273" s="120">
        <f>IFERROR(yf_data[[#This Row],[Close Price]]/B1272-1,0)</f>
        <v>-2.3927938351835376E-2</v>
      </c>
    </row>
    <row r="1274" spans="1:3">
      <c r="A1274" s="119">
        <v>42655</v>
      </c>
      <c r="B1274" s="121">
        <v>48.355606079101563</v>
      </c>
      <c r="C1274" s="120">
        <f>IFERROR(yf_data[[#This Row],[Close Price]]/B1273-1,0)</f>
        <v>-1.0371473762938233E-2</v>
      </c>
    </row>
    <row r="1275" spans="1:3">
      <c r="A1275" s="119">
        <v>42656</v>
      </c>
      <c r="B1275" s="121">
        <v>48.300323486328125</v>
      </c>
      <c r="C1275" s="120">
        <f>IFERROR(yf_data[[#This Row],[Close Price]]/B1274-1,0)</f>
        <v>-1.143250953839825E-3</v>
      </c>
    </row>
    <row r="1276" spans="1:3">
      <c r="A1276" s="119">
        <v>42657</v>
      </c>
      <c r="B1276" s="121">
        <v>48.466175079345703</v>
      </c>
      <c r="C1276" s="120">
        <f>IFERROR(yf_data[[#This Row],[Close Price]]/B1275-1,0)</f>
        <v>3.4337573963563184E-3</v>
      </c>
    </row>
    <row r="1277" spans="1:3">
      <c r="A1277" s="119">
        <v>42660</v>
      </c>
      <c r="B1277" s="121">
        <v>48.567531585693359</v>
      </c>
      <c r="C1277" s="120">
        <f>IFERROR(yf_data[[#This Row],[Close Price]]/B1276-1,0)</f>
        <v>2.0912833781854268E-3</v>
      </c>
    </row>
    <row r="1278" spans="1:3">
      <c r="A1278" s="119">
        <v>42661</v>
      </c>
      <c r="B1278" s="121">
        <v>49.415225982666016</v>
      </c>
      <c r="C1278" s="120">
        <f>IFERROR(yf_data[[#This Row],[Close Price]]/B1277-1,0)</f>
        <v>1.7453932067289957E-2</v>
      </c>
    </row>
    <row r="1279" spans="1:3">
      <c r="A1279" s="119">
        <v>42662</v>
      </c>
      <c r="B1279" s="121">
        <v>49.875934600830078</v>
      </c>
      <c r="C1279" s="120">
        <f>IFERROR(yf_data[[#This Row],[Close Price]]/B1278-1,0)</f>
        <v>9.3232118036994382E-3</v>
      </c>
    </row>
    <row r="1280" spans="1:3">
      <c r="A1280" s="119">
        <v>42663</v>
      </c>
      <c r="B1280" s="121">
        <v>50.004932403564453</v>
      </c>
      <c r="C1280" s="120">
        <f>IFERROR(yf_data[[#This Row],[Close Price]]/B1279-1,0)</f>
        <v>2.5863736442590657E-3</v>
      </c>
    </row>
    <row r="1281" spans="1:3">
      <c r="A1281" s="119">
        <v>42664</v>
      </c>
      <c r="B1281" s="121">
        <v>49.995716094970703</v>
      </c>
      <c r="C1281" s="120">
        <f>IFERROR(yf_data[[#This Row],[Close Price]]/B1280-1,0)</f>
        <v>-1.8430799024726774E-4</v>
      </c>
    </row>
    <row r="1282" spans="1:3">
      <c r="A1282" s="119">
        <v>42667</v>
      </c>
      <c r="B1282" s="121">
        <v>50.520923614501953</v>
      </c>
      <c r="C1282" s="120">
        <f>IFERROR(yf_data[[#This Row],[Close Price]]/B1281-1,0)</f>
        <v>1.0505050443393449E-2</v>
      </c>
    </row>
    <row r="1283" spans="1:3">
      <c r="A1283" s="119">
        <v>42668</v>
      </c>
      <c r="B1283" s="121">
        <v>49.194087982177734</v>
      </c>
      <c r="C1283" s="120">
        <f>IFERROR(yf_data[[#This Row],[Close Price]]/B1282-1,0)</f>
        <v>-2.626309135693139E-2</v>
      </c>
    </row>
    <row r="1284" spans="1:3">
      <c r="A1284" s="119">
        <v>42669</v>
      </c>
      <c r="B1284" s="121">
        <v>51.046123504638672</v>
      </c>
      <c r="C1284" s="120">
        <f>IFERROR(yf_data[[#This Row],[Close Price]]/B1283-1,0)</f>
        <v>3.7647522261859967E-2</v>
      </c>
    </row>
    <row r="1285" spans="1:3">
      <c r="A1285" s="119">
        <v>42670</v>
      </c>
      <c r="B1285" s="121">
        <v>51.092201232910163</v>
      </c>
      <c r="C1285" s="120">
        <f>IFERROR(yf_data[[#This Row],[Close Price]]/B1284-1,0)</f>
        <v>9.0266851051490349E-4</v>
      </c>
    </row>
    <row r="1286" spans="1:3">
      <c r="A1286" s="119">
        <v>42671</v>
      </c>
      <c r="B1286" s="121">
        <v>50.677558898925781</v>
      </c>
      <c r="C1286" s="120">
        <f>IFERROR(yf_data[[#This Row],[Close Price]]/B1285-1,0)</f>
        <v>-8.1155699691658478E-3</v>
      </c>
    </row>
    <row r="1287" spans="1:3">
      <c r="A1287" s="119">
        <v>42674</v>
      </c>
      <c r="B1287" s="121">
        <v>49.894367218017578</v>
      </c>
      <c r="C1287" s="120">
        <f>IFERROR(yf_data[[#This Row],[Close Price]]/B1286-1,0)</f>
        <v>-1.545440818233268E-2</v>
      </c>
    </row>
    <row r="1288" spans="1:3">
      <c r="A1288" s="119">
        <v>42675</v>
      </c>
      <c r="B1288" s="121">
        <v>49.129592895507813</v>
      </c>
      <c r="C1288" s="120">
        <f>IFERROR(yf_data[[#This Row],[Close Price]]/B1287-1,0)</f>
        <v>-1.5327868958995294E-2</v>
      </c>
    </row>
    <row r="1289" spans="1:3">
      <c r="A1289" s="119">
        <v>42676</v>
      </c>
      <c r="B1289" s="121">
        <v>48.456962585449219</v>
      </c>
      <c r="C1289" s="120">
        <f>IFERROR(yf_data[[#This Row],[Close Price]]/B1288-1,0)</f>
        <v>-1.3690940030567478E-2</v>
      </c>
    </row>
    <row r="1290" spans="1:3">
      <c r="A1290" s="119">
        <v>42677</v>
      </c>
      <c r="B1290" s="121">
        <v>47.987045288085938</v>
      </c>
      <c r="C1290" s="120">
        <f>IFERROR(yf_data[[#This Row],[Close Price]]/B1289-1,0)</f>
        <v>-9.6976218130598868E-3</v>
      </c>
    </row>
    <row r="1291" spans="1:3">
      <c r="A1291" s="119">
        <v>42678</v>
      </c>
      <c r="B1291" s="121">
        <v>47.839614868164063</v>
      </c>
      <c r="C1291" s="120">
        <f>IFERROR(yf_data[[#This Row],[Close Price]]/B1290-1,0)</f>
        <v>-3.0722962632266926E-3</v>
      </c>
    </row>
    <row r="1292" spans="1:3">
      <c r="A1292" s="119">
        <v>42681</v>
      </c>
      <c r="B1292" s="121">
        <v>48.972957611083984</v>
      </c>
      <c r="C1292" s="120">
        <f>IFERROR(yf_data[[#This Row],[Close Price]]/B1291-1,0)</f>
        <v>2.3690465444656583E-2</v>
      </c>
    </row>
    <row r="1293" spans="1:3">
      <c r="A1293" s="119">
        <v>42682</v>
      </c>
      <c r="B1293" s="121">
        <v>48.668888092041016</v>
      </c>
      <c r="C1293" s="120">
        <f>IFERROR(yf_data[[#This Row],[Close Price]]/B1292-1,0)</f>
        <v>-6.2089270053428125E-3</v>
      </c>
    </row>
    <row r="1294" spans="1:3">
      <c r="A1294" s="119">
        <v>42683</v>
      </c>
      <c r="B1294" s="121">
        <v>49.995716094970703</v>
      </c>
      <c r="C1294" s="120">
        <f>IFERROR(yf_data[[#This Row],[Close Price]]/B1293-1,0)</f>
        <v>2.7262344691755258E-2</v>
      </c>
    </row>
    <row r="1295" spans="1:3">
      <c r="A1295" s="119">
        <v>42684</v>
      </c>
      <c r="B1295" s="121">
        <v>51.000053405761719</v>
      </c>
      <c r="C1295" s="120">
        <f>IFERROR(yf_data[[#This Row],[Close Price]]/B1294-1,0)</f>
        <v>2.0088467357547213E-2</v>
      </c>
    </row>
    <row r="1296" spans="1:3">
      <c r="A1296" s="119">
        <v>42685</v>
      </c>
      <c r="B1296" s="121">
        <v>50.4564208984375</v>
      </c>
      <c r="C1296" s="120">
        <f>IFERROR(yf_data[[#This Row],[Close Price]]/B1295-1,0)</f>
        <v>-1.0659449765650697E-2</v>
      </c>
    </row>
    <row r="1297" spans="1:3">
      <c r="A1297" s="119">
        <v>42688</v>
      </c>
      <c r="B1297" s="121">
        <v>51.939895629882813</v>
      </c>
      <c r="C1297" s="120">
        <f>IFERROR(yf_data[[#This Row],[Close Price]]/B1296-1,0)</f>
        <v>2.9401109017053839E-2</v>
      </c>
    </row>
    <row r="1298" spans="1:3">
      <c r="A1298" s="119">
        <v>42689</v>
      </c>
      <c r="B1298" s="121">
        <v>52.032035827636719</v>
      </c>
      <c r="C1298" s="120">
        <f>IFERROR(yf_data[[#This Row],[Close Price]]/B1297-1,0)</f>
        <v>1.7739773373917078E-3</v>
      </c>
    </row>
    <row r="1299" spans="1:3">
      <c r="A1299" s="119">
        <v>42690</v>
      </c>
      <c r="B1299" s="121">
        <v>50.511707305908203</v>
      </c>
      <c r="C1299" s="120">
        <f>IFERROR(yf_data[[#This Row],[Close Price]]/B1298-1,0)</f>
        <v>-2.9219085848664728E-2</v>
      </c>
    </row>
    <row r="1300" spans="1:3">
      <c r="A1300" s="119">
        <v>42691</v>
      </c>
      <c r="B1300" s="121">
        <v>51.165908813476563</v>
      </c>
      <c r="C1300" s="120">
        <f>IFERROR(yf_data[[#This Row],[Close Price]]/B1299-1,0)</f>
        <v>1.2951482784107737E-2</v>
      </c>
    </row>
    <row r="1301" spans="1:3">
      <c r="A1301" s="119">
        <v>42692</v>
      </c>
      <c r="B1301" s="121">
        <v>50.898704528808594</v>
      </c>
      <c r="C1301" s="120">
        <f>IFERROR(yf_data[[#This Row],[Close Price]]/B1300-1,0)</f>
        <v>-5.2223109266377188E-3</v>
      </c>
    </row>
    <row r="1302" spans="1:3">
      <c r="A1302" s="119">
        <v>42695</v>
      </c>
      <c r="B1302" s="121">
        <v>53.146942138671875</v>
      </c>
      <c r="C1302" s="120">
        <f>IFERROR(yf_data[[#This Row],[Close Price]]/B1301-1,0)</f>
        <v>4.4170821844606634E-2</v>
      </c>
    </row>
    <row r="1303" spans="1:3">
      <c r="A1303" s="119">
        <v>42696</v>
      </c>
      <c r="B1303" s="121">
        <v>53.810356140136719</v>
      </c>
      <c r="C1303" s="120">
        <f>IFERROR(yf_data[[#This Row],[Close Price]]/B1302-1,0)</f>
        <v>1.2482637283888431E-2</v>
      </c>
    </row>
    <row r="1304" spans="1:3">
      <c r="A1304" s="119">
        <v>42697</v>
      </c>
      <c r="B1304" s="121">
        <v>55.081901550292969</v>
      </c>
      <c r="C1304" s="120">
        <f>IFERROR(yf_data[[#This Row],[Close Price]]/B1303-1,0)</f>
        <v>2.3630124410342068E-2</v>
      </c>
    </row>
    <row r="1305" spans="1:3">
      <c r="A1305" s="119">
        <v>42698</v>
      </c>
      <c r="B1305" s="121">
        <v>55.321468353271491</v>
      </c>
      <c r="C1305" s="120">
        <f>IFERROR(yf_data[[#This Row],[Close Price]]/B1304-1,0)</f>
        <v>4.3492834531100311E-3</v>
      </c>
    </row>
    <row r="1306" spans="1:3">
      <c r="A1306" s="119">
        <v>42699</v>
      </c>
      <c r="B1306" s="121">
        <v>55.570247650146477</v>
      </c>
      <c r="C1306" s="120">
        <f>IFERROR(yf_data[[#This Row],[Close Price]]/B1305-1,0)</f>
        <v>4.496975663883962E-3</v>
      </c>
    </row>
    <row r="1307" spans="1:3">
      <c r="A1307" s="119">
        <v>42702</v>
      </c>
      <c r="B1307" s="121">
        <v>55.330680847167969</v>
      </c>
      <c r="C1307" s="120">
        <f>IFERROR(yf_data[[#This Row],[Close Price]]/B1306-1,0)</f>
        <v>-4.3110623599654785E-3</v>
      </c>
    </row>
    <row r="1308" spans="1:3">
      <c r="A1308" s="119">
        <v>42703</v>
      </c>
      <c r="B1308" s="121">
        <v>55.680816650390625</v>
      </c>
      <c r="C1308" s="120">
        <f>IFERROR(yf_data[[#This Row],[Close Price]]/B1307-1,0)</f>
        <v>6.3280588249001735E-3</v>
      </c>
    </row>
    <row r="1309" spans="1:3">
      <c r="A1309" s="119">
        <v>42704</v>
      </c>
      <c r="B1309" s="121">
        <v>55.533397674560547</v>
      </c>
      <c r="C1309" s="120">
        <f>IFERROR(yf_data[[#This Row],[Close Price]]/B1308-1,0)</f>
        <v>-2.6475720849371553E-3</v>
      </c>
    </row>
    <row r="1310" spans="1:3">
      <c r="A1310" s="119">
        <v>42705</v>
      </c>
      <c r="B1310" s="121">
        <v>55.330680847167969</v>
      </c>
      <c r="C1310" s="120">
        <f>IFERROR(yf_data[[#This Row],[Close Price]]/B1309-1,0)</f>
        <v>-3.6503588089558114E-3</v>
      </c>
    </row>
    <row r="1311" spans="1:3">
      <c r="A1311" s="119">
        <v>42706</v>
      </c>
      <c r="B1311" s="121">
        <v>54.353984832763672</v>
      </c>
      <c r="C1311" s="120">
        <f>IFERROR(yf_data[[#This Row],[Close Price]]/B1310-1,0)</f>
        <v>-1.7651978964475123E-2</v>
      </c>
    </row>
    <row r="1312" spans="1:3">
      <c r="A1312" s="119">
        <v>42709</v>
      </c>
      <c r="B1312" s="121">
        <v>55.174045562744141</v>
      </c>
      <c r="C1312" s="120">
        <f>IFERROR(yf_data[[#This Row],[Close Price]]/B1311-1,0)</f>
        <v>1.5087407712675249E-2</v>
      </c>
    </row>
    <row r="1313" spans="1:3">
      <c r="A1313" s="119">
        <v>42710</v>
      </c>
      <c r="B1313" s="121">
        <v>54.731765747070313</v>
      </c>
      <c r="C1313" s="120">
        <f>IFERROR(yf_data[[#This Row],[Close Price]]/B1312-1,0)</f>
        <v>-8.0160845767756062E-3</v>
      </c>
    </row>
    <row r="1314" spans="1:3">
      <c r="A1314" s="119">
        <v>42711</v>
      </c>
      <c r="B1314" s="121">
        <v>53.976211547851563</v>
      </c>
      <c r="C1314" s="120">
        <f>IFERROR(yf_data[[#This Row],[Close Price]]/B1313-1,0)</f>
        <v>-1.3804674285685659E-2</v>
      </c>
    </row>
    <row r="1315" spans="1:3">
      <c r="A1315" s="119">
        <v>42712</v>
      </c>
      <c r="B1315" s="121">
        <v>54.658054351806641</v>
      </c>
      <c r="C1315" s="120">
        <f>IFERROR(yf_data[[#This Row],[Close Price]]/B1314-1,0)</f>
        <v>1.2632283452324256E-2</v>
      </c>
    </row>
    <row r="1316" spans="1:3">
      <c r="A1316" s="119">
        <v>42713</v>
      </c>
      <c r="B1316" s="121">
        <v>54.897617340087891</v>
      </c>
      <c r="C1316" s="120">
        <f>IFERROR(yf_data[[#This Row],[Close Price]]/B1315-1,0)</f>
        <v>4.3829402843229559E-3</v>
      </c>
    </row>
    <row r="1317" spans="1:3">
      <c r="A1317" s="119">
        <v>42716</v>
      </c>
      <c r="B1317" s="121">
        <v>55.699245452880859</v>
      </c>
      <c r="C1317" s="120">
        <f>IFERROR(yf_data[[#This Row],[Close Price]]/B1316-1,0)</f>
        <v>1.4602238706042936E-2</v>
      </c>
    </row>
    <row r="1318" spans="1:3">
      <c r="A1318" s="119">
        <v>42717</v>
      </c>
      <c r="B1318" s="121">
        <v>57.910629272460938</v>
      </c>
      <c r="C1318" s="120">
        <f>IFERROR(yf_data[[#This Row],[Close Price]]/B1317-1,0)</f>
        <v>3.9702222204263338E-2</v>
      </c>
    </row>
    <row r="1319" spans="1:3">
      <c r="A1319" s="119">
        <v>42718</v>
      </c>
      <c r="B1319" s="121">
        <v>57.495994567871094</v>
      </c>
      <c r="C1319" s="120">
        <f>IFERROR(yf_data[[#This Row],[Close Price]]/B1318-1,0)</f>
        <v>-7.1599067355847534E-3</v>
      </c>
    </row>
    <row r="1320" spans="1:3">
      <c r="A1320" s="119">
        <v>42719</v>
      </c>
      <c r="B1320" s="121">
        <v>59.062397003173828</v>
      </c>
      <c r="C1320" s="120">
        <f>IFERROR(yf_data[[#This Row],[Close Price]]/B1319-1,0)</f>
        <v>2.7243679269756349E-2</v>
      </c>
    </row>
    <row r="1321" spans="1:3">
      <c r="A1321" s="119">
        <v>42720</v>
      </c>
      <c r="B1321" s="121">
        <v>59.1361083984375</v>
      </c>
      <c r="C1321" s="120">
        <f>IFERROR(yf_data[[#This Row],[Close Price]]/B1320-1,0)</f>
        <v>1.2480257998961353E-3</v>
      </c>
    </row>
    <row r="1322" spans="1:3">
      <c r="A1322" s="119">
        <v>42723</v>
      </c>
      <c r="B1322" s="121">
        <v>58.279193878173828</v>
      </c>
      <c r="C1322" s="120">
        <f>IFERROR(yf_data[[#This Row],[Close Price]]/B1321-1,0)</f>
        <v>-1.4490546359427259E-2</v>
      </c>
    </row>
    <row r="1323" spans="1:3">
      <c r="A1323" s="119">
        <v>42724</v>
      </c>
      <c r="B1323" s="121">
        <v>58.822830200195313</v>
      </c>
      <c r="C1323" s="120">
        <f>IFERROR(yf_data[[#This Row],[Close Price]]/B1322-1,0)</f>
        <v>9.3281372964406639E-3</v>
      </c>
    </row>
    <row r="1324" spans="1:3">
      <c r="A1324" s="119">
        <v>42725</v>
      </c>
      <c r="B1324" s="121">
        <v>58.048843383789063</v>
      </c>
      <c r="C1324" s="120">
        <f>IFERROR(yf_data[[#This Row],[Close Price]]/B1323-1,0)</f>
        <v>-1.3157932281940399E-2</v>
      </c>
    </row>
    <row r="1325" spans="1:3">
      <c r="A1325" s="119">
        <v>42726</v>
      </c>
      <c r="B1325" s="121">
        <v>57.790851593017578</v>
      </c>
      <c r="C1325" s="120">
        <f>IFERROR(yf_data[[#This Row],[Close Price]]/B1324-1,0)</f>
        <v>-4.4443915801349876E-3</v>
      </c>
    </row>
    <row r="1326" spans="1:3">
      <c r="A1326" s="119">
        <v>42727</v>
      </c>
      <c r="B1326" s="121">
        <v>57.956707000732422</v>
      </c>
      <c r="C1326" s="120">
        <f>IFERROR(yf_data[[#This Row],[Close Price]]/B1325-1,0)</f>
        <v>2.8699249646439995E-3</v>
      </c>
    </row>
    <row r="1327" spans="1:3">
      <c r="A1327" s="119">
        <v>42731</v>
      </c>
      <c r="B1327" s="121">
        <v>57.975128173828125</v>
      </c>
      <c r="C1327" s="120">
        <f>IFERROR(yf_data[[#This Row],[Close Price]]/B1326-1,0)</f>
        <v>3.1784368106824168E-4</v>
      </c>
    </row>
    <row r="1328" spans="1:3">
      <c r="A1328" s="119">
        <v>42732</v>
      </c>
      <c r="B1328" s="121">
        <v>57.790851593017578</v>
      </c>
      <c r="C1328" s="120">
        <f>IFERROR(yf_data[[#This Row],[Close Price]]/B1327-1,0)</f>
        <v>-3.1785454662217605E-3</v>
      </c>
    </row>
    <row r="1329" spans="1:3">
      <c r="A1329" s="119">
        <v>42733</v>
      </c>
      <c r="B1329" s="121">
        <v>57.459144592285149</v>
      </c>
      <c r="C1329" s="120">
        <f>IFERROR(yf_data[[#This Row],[Close Price]]/B1328-1,0)</f>
        <v>-5.7397839206181356E-3</v>
      </c>
    </row>
    <row r="1330" spans="1:3">
      <c r="A1330" s="119">
        <v>42734</v>
      </c>
      <c r="B1330" s="121">
        <v>57.901416778564453</v>
      </c>
      <c r="C1330" s="120">
        <f>IFERROR(yf_data[[#This Row],[Close Price]]/B1329-1,0)</f>
        <v>7.6971592497163677E-3</v>
      </c>
    </row>
    <row r="1331" spans="1:3">
      <c r="A1331" s="119">
        <v>42737</v>
      </c>
      <c r="B1331" s="121">
        <v>57.882987976074219</v>
      </c>
      <c r="C1331" s="120">
        <f>IFERROR(yf_data[[#This Row],[Close Price]]/B1330-1,0)</f>
        <v>-3.1827895612146495E-4</v>
      </c>
    </row>
    <row r="1332" spans="1:3">
      <c r="A1332" s="119">
        <v>42738</v>
      </c>
      <c r="B1332" s="121">
        <v>58.509552001953125</v>
      </c>
      <c r="C1332" s="120">
        <f>IFERROR(yf_data[[#This Row],[Close Price]]/B1331-1,0)</f>
        <v>1.0824666241105119E-2</v>
      </c>
    </row>
    <row r="1333" spans="1:3">
      <c r="A1333" s="119">
        <v>42739</v>
      </c>
      <c r="B1333" s="121">
        <v>58.417407989501953</v>
      </c>
      <c r="C1333" s="120">
        <f>IFERROR(yf_data[[#This Row],[Close Price]]/B1332-1,0)</f>
        <v>-1.5748541784783576E-3</v>
      </c>
    </row>
    <row r="1334" spans="1:3">
      <c r="A1334" s="119">
        <v>42740</v>
      </c>
      <c r="B1334" s="121">
        <v>59.523097991943359</v>
      </c>
      <c r="C1334" s="120">
        <f>IFERROR(yf_data[[#This Row],[Close Price]]/B1333-1,0)</f>
        <v>1.8927406067727359E-2</v>
      </c>
    </row>
    <row r="1335" spans="1:3">
      <c r="A1335" s="119">
        <v>42741</v>
      </c>
      <c r="B1335" s="121">
        <v>60.020664215087891</v>
      </c>
      <c r="C1335" s="120">
        <f>IFERROR(yf_data[[#This Row],[Close Price]]/B1334-1,0)</f>
        <v>8.3592124726417083E-3</v>
      </c>
    </row>
    <row r="1336" spans="1:3">
      <c r="A1336" s="119">
        <v>42744</v>
      </c>
      <c r="B1336" s="121">
        <v>60.149662017822266</v>
      </c>
      <c r="C1336" s="120">
        <f>IFERROR(yf_data[[#This Row],[Close Price]]/B1335-1,0)</f>
        <v>2.1492231787390015E-3</v>
      </c>
    </row>
    <row r="1337" spans="1:3">
      <c r="A1337" s="119">
        <v>42745</v>
      </c>
      <c r="B1337" s="121">
        <v>60.075939178466797</v>
      </c>
      <c r="C1337" s="120">
        <f>IFERROR(yf_data[[#This Row],[Close Price]]/B1336-1,0)</f>
        <v>-1.2256567515479544E-3</v>
      </c>
    </row>
    <row r="1338" spans="1:3">
      <c r="A1338" s="119">
        <v>42746</v>
      </c>
      <c r="B1338" s="121">
        <v>60.315509796142578</v>
      </c>
      <c r="C1338" s="120">
        <f>IFERROR(yf_data[[#This Row],[Close Price]]/B1337-1,0)</f>
        <v>3.9877964614767336E-3</v>
      </c>
    </row>
    <row r="1339" spans="1:3">
      <c r="A1339" s="119">
        <v>42747</v>
      </c>
      <c r="B1339" s="121">
        <v>59.606033325195313</v>
      </c>
      <c r="C1339" s="120">
        <f>IFERROR(yf_data[[#This Row],[Close Price]]/B1338-1,0)</f>
        <v>-1.1762753450069274E-2</v>
      </c>
    </row>
    <row r="1340" spans="1:3">
      <c r="A1340" s="119">
        <v>42748</v>
      </c>
      <c r="B1340" s="121">
        <v>60.481369018554688</v>
      </c>
      <c r="C1340" s="120">
        <f>IFERROR(yf_data[[#This Row],[Close Price]]/B1339-1,0)</f>
        <v>1.4685353889995811E-2</v>
      </c>
    </row>
    <row r="1341" spans="1:3">
      <c r="A1341" s="119">
        <v>42751</v>
      </c>
      <c r="B1341" s="121">
        <v>60.057518005371094</v>
      </c>
      <c r="C1341" s="120">
        <f>IFERROR(yf_data[[#This Row],[Close Price]]/B1340-1,0)</f>
        <v>-7.007959972823441E-3</v>
      </c>
    </row>
    <row r="1342" spans="1:3">
      <c r="A1342" s="119">
        <v>42752</v>
      </c>
      <c r="B1342" s="121">
        <v>60.214157104492188</v>
      </c>
      <c r="C1342" s="120">
        <f>IFERROR(yf_data[[#This Row],[Close Price]]/B1341-1,0)</f>
        <v>2.6081513909230747E-3</v>
      </c>
    </row>
    <row r="1343" spans="1:3">
      <c r="A1343" s="119">
        <v>42753</v>
      </c>
      <c r="B1343" s="121">
        <v>59.744232177734375</v>
      </c>
      <c r="C1343" s="120">
        <f>IFERROR(yf_data[[#This Row],[Close Price]]/B1342-1,0)</f>
        <v>-7.804226603094877E-3</v>
      </c>
    </row>
    <row r="1344" spans="1:3">
      <c r="A1344" s="119">
        <v>42754</v>
      </c>
      <c r="B1344" s="121">
        <v>60.333946228027344</v>
      </c>
      <c r="C1344" s="120">
        <f>IFERROR(yf_data[[#This Row],[Close Price]]/B1343-1,0)</f>
        <v>9.87064405713034E-3</v>
      </c>
    </row>
    <row r="1345" spans="1:3">
      <c r="A1345" s="119">
        <v>42755</v>
      </c>
      <c r="B1345" s="121">
        <v>60.204940795898438</v>
      </c>
      <c r="C1345" s="120">
        <f>IFERROR(yf_data[[#This Row],[Close Price]]/B1344-1,0)</f>
        <v>-2.138189861497497E-3</v>
      </c>
    </row>
    <row r="1346" spans="1:3">
      <c r="A1346" s="119">
        <v>42758</v>
      </c>
      <c r="B1346" s="121">
        <v>60.306293487548828</v>
      </c>
      <c r="C1346" s="120">
        <f>IFERROR(yf_data[[#This Row],[Close Price]]/B1345-1,0)</f>
        <v>1.6834613623155636E-3</v>
      </c>
    </row>
    <row r="1347" spans="1:3">
      <c r="A1347" s="119">
        <v>42759</v>
      </c>
      <c r="B1347" s="121">
        <v>60.407649993896477</v>
      </c>
      <c r="C1347" s="120">
        <f>IFERROR(yf_data[[#This Row],[Close Price]]/B1346-1,0)</f>
        <v>1.6806953385151147E-3</v>
      </c>
    </row>
    <row r="1348" spans="1:3">
      <c r="A1348" s="119">
        <v>42760</v>
      </c>
      <c r="B1348" s="121">
        <v>60.251010894775391</v>
      </c>
      <c r="C1348" s="120">
        <f>IFERROR(yf_data[[#This Row],[Close Price]]/B1347-1,0)</f>
        <v>-2.5930341461207762E-3</v>
      </c>
    </row>
    <row r="1349" spans="1:3">
      <c r="A1349" s="119">
        <v>42761</v>
      </c>
      <c r="B1349" s="121">
        <v>59.808742523193359</v>
      </c>
      <c r="C1349" s="120">
        <f>IFERROR(yf_data[[#This Row],[Close Price]]/B1348-1,0)</f>
        <v>-7.3404307249620437E-3</v>
      </c>
    </row>
    <row r="1350" spans="1:3">
      <c r="A1350" s="119">
        <v>42762</v>
      </c>
      <c r="B1350" s="121">
        <v>59.587596893310547</v>
      </c>
      <c r="C1350" s="120">
        <f>IFERROR(yf_data[[#This Row],[Close Price]]/B1349-1,0)</f>
        <v>-3.697546889521286E-3</v>
      </c>
    </row>
    <row r="1351" spans="1:3">
      <c r="A1351" s="119">
        <v>42765</v>
      </c>
      <c r="B1351" s="121">
        <v>58.316055297851563</v>
      </c>
      <c r="C1351" s="120">
        <f>IFERROR(yf_data[[#This Row],[Close Price]]/B1350-1,0)</f>
        <v>-2.1339031304377531E-2</v>
      </c>
    </row>
    <row r="1352" spans="1:3">
      <c r="A1352" s="119">
        <v>42766</v>
      </c>
      <c r="B1352" s="121">
        <v>57.827705383300781</v>
      </c>
      <c r="C1352" s="120">
        <f>IFERROR(yf_data[[#This Row],[Close Price]]/B1351-1,0)</f>
        <v>-8.3741932141416786E-3</v>
      </c>
    </row>
    <row r="1353" spans="1:3">
      <c r="A1353" s="119">
        <v>42767</v>
      </c>
      <c r="B1353" s="121">
        <v>58.140983581542969</v>
      </c>
      <c r="C1353" s="120">
        <f>IFERROR(yf_data[[#This Row],[Close Price]]/B1352-1,0)</f>
        <v>5.4174412794987248E-3</v>
      </c>
    </row>
    <row r="1354" spans="1:3">
      <c r="A1354" s="119">
        <v>42768</v>
      </c>
      <c r="B1354" s="121">
        <v>57.901416778564453</v>
      </c>
      <c r="C1354" s="120">
        <f>IFERROR(yf_data[[#This Row],[Close Price]]/B1353-1,0)</f>
        <v>-4.1204463395863034E-3</v>
      </c>
    </row>
    <row r="1355" spans="1:3">
      <c r="A1355" s="119">
        <v>42769</v>
      </c>
      <c r="B1355" s="121">
        <v>58.104129791259766</v>
      </c>
      <c r="C1355" s="120">
        <f>IFERROR(yf_data[[#This Row],[Close Price]]/B1354-1,0)</f>
        <v>3.5010026347119805E-3</v>
      </c>
    </row>
    <row r="1356" spans="1:3">
      <c r="A1356" s="119">
        <v>42772</v>
      </c>
      <c r="B1356" s="121">
        <v>58.150199890136719</v>
      </c>
      <c r="C1356" s="120">
        <f>IFERROR(yf_data[[#This Row],[Close Price]]/B1355-1,0)</f>
        <v>7.9288854410974885E-4</v>
      </c>
    </row>
    <row r="1357" spans="1:3">
      <c r="A1357" s="119">
        <v>42773</v>
      </c>
      <c r="B1357" s="121">
        <v>57.938278198242188</v>
      </c>
      <c r="C1357" s="120">
        <f>IFERROR(yf_data[[#This Row],[Close Price]]/B1356-1,0)</f>
        <v>-3.6443845815649079E-3</v>
      </c>
    </row>
    <row r="1358" spans="1:3">
      <c r="A1358" s="119">
        <v>42774</v>
      </c>
      <c r="B1358" s="121">
        <v>57.836917877197266</v>
      </c>
      <c r="C1358" s="120">
        <f>IFERROR(yf_data[[#This Row],[Close Price]]/B1357-1,0)</f>
        <v>-1.7494534562816355E-3</v>
      </c>
    </row>
    <row r="1359" spans="1:3">
      <c r="A1359" s="119">
        <v>42775</v>
      </c>
      <c r="B1359" s="121">
        <v>58.970252990722656</v>
      </c>
      <c r="C1359" s="120">
        <f>IFERROR(yf_data[[#This Row],[Close Price]]/B1358-1,0)</f>
        <v>1.9595358036397448E-2</v>
      </c>
    </row>
    <row r="1360" spans="1:3">
      <c r="A1360" s="119">
        <v>42776</v>
      </c>
      <c r="B1360" s="121">
        <v>59.329601287841797</v>
      </c>
      <c r="C1360" s="120">
        <f>IFERROR(yf_data[[#This Row],[Close Price]]/B1359-1,0)</f>
        <v>6.0937214764140712E-3</v>
      </c>
    </row>
    <row r="1361" spans="1:3">
      <c r="A1361" s="119">
        <v>42779</v>
      </c>
      <c r="B1361" s="121">
        <v>60.674861907958984</v>
      </c>
      <c r="C1361" s="120">
        <f>IFERROR(yf_data[[#This Row],[Close Price]]/B1360-1,0)</f>
        <v>2.2674358008754503E-2</v>
      </c>
    </row>
    <row r="1362" spans="1:3">
      <c r="A1362" s="119">
        <v>42780</v>
      </c>
      <c r="B1362" s="121">
        <v>61.006568908691406</v>
      </c>
      <c r="C1362" s="120">
        <f>IFERROR(yf_data[[#This Row],[Close Price]]/B1361-1,0)</f>
        <v>5.4669593024472274E-3</v>
      </c>
    </row>
    <row r="1363" spans="1:3">
      <c r="A1363" s="119">
        <v>42781</v>
      </c>
      <c r="B1363" s="121">
        <v>61.107925415039063</v>
      </c>
      <c r="C1363" s="120">
        <f>IFERROR(yf_data[[#This Row],[Close Price]]/B1362-1,0)</f>
        <v>1.6614031597048662E-3</v>
      </c>
    </row>
    <row r="1364" spans="1:3">
      <c r="A1364" s="119">
        <v>42782</v>
      </c>
      <c r="B1364" s="121">
        <v>60.601142883300781</v>
      </c>
      <c r="C1364" s="120">
        <f>IFERROR(yf_data[[#This Row],[Close Price]]/B1363-1,0)</f>
        <v>-8.2932373877244725E-3</v>
      </c>
    </row>
    <row r="1365" spans="1:3">
      <c r="A1365" s="119">
        <v>42783</v>
      </c>
      <c r="B1365" s="121">
        <v>60.260227203369141</v>
      </c>
      <c r="C1365" s="120">
        <f>IFERROR(yf_data[[#This Row],[Close Price]]/B1364-1,0)</f>
        <v>-5.6255651908766469E-3</v>
      </c>
    </row>
    <row r="1366" spans="1:3">
      <c r="A1366" s="119">
        <v>42786</v>
      </c>
      <c r="B1366" s="121">
        <v>61.301425933837891</v>
      </c>
      <c r="C1366" s="120">
        <f>IFERROR(yf_data[[#This Row],[Close Price]]/B1365-1,0)</f>
        <v>1.7278373792964041E-2</v>
      </c>
    </row>
    <row r="1367" spans="1:3">
      <c r="A1367" s="119">
        <v>42787</v>
      </c>
      <c r="B1367" s="121">
        <v>61.955619812011719</v>
      </c>
      <c r="C1367" s="120">
        <f>IFERROR(yf_data[[#This Row],[Close Price]]/B1366-1,0)</f>
        <v>1.0671756296173118E-2</v>
      </c>
    </row>
    <row r="1368" spans="1:3">
      <c r="A1368" s="119">
        <v>42788</v>
      </c>
      <c r="B1368" s="121">
        <v>61.458053588867188</v>
      </c>
      <c r="C1368" s="120">
        <f>IFERROR(yf_data[[#This Row],[Close Price]]/B1367-1,0)</f>
        <v>-8.0310103369842789E-3</v>
      </c>
    </row>
    <row r="1369" spans="1:3">
      <c r="A1369" s="119">
        <v>42789</v>
      </c>
      <c r="B1369" s="121">
        <v>63.623378753662109</v>
      </c>
      <c r="C1369" s="120">
        <f>IFERROR(yf_data[[#This Row],[Close Price]]/B1368-1,0)</f>
        <v>3.5232569831778138E-2</v>
      </c>
    </row>
    <row r="1370" spans="1:3">
      <c r="A1370" s="119">
        <v>42790</v>
      </c>
      <c r="B1370" s="121">
        <v>62.978389739990234</v>
      </c>
      <c r="C1370" s="120">
        <f>IFERROR(yf_data[[#This Row],[Close Price]]/B1369-1,0)</f>
        <v>-1.0137610204091096E-2</v>
      </c>
    </row>
    <row r="1371" spans="1:3">
      <c r="A1371" s="119">
        <v>42793</v>
      </c>
      <c r="B1371" s="121">
        <v>62.978389739990234</v>
      </c>
      <c r="C1371" s="120">
        <f>IFERROR(yf_data[[#This Row],[Close Price]]/B1370-1,0)</f>
        <v>0</v>
      </c>
    </row>
    <row r="1372" spans="1:3">
      <c r="A1372" s="119">
        <v>42794</v>
      </c>
      <c r="B1372" s="121">
        <v>63.872158050537109</v>
      </c>
      <c r="C1372" s="120">
        <f>IFERROR(yf_data[[#This Row],[Close Price]]/B1371-1,0)</f>
        <v>1.4191666605590347E-2</v>
      </c>
    </row>
    <row r="1373" spans="1:3">
      <c r="A1373" s="119">
        <v>42795</v>
      </c>
      <c r="B1373" s="121">
        <v>65.530693054199219</v>
      </c>
      <c r="C1373" s="120">
        <f>IFERROR(yf_data[[#This Row],[Close Price]]/B1372-1,0)</f>
        <v>2.596647826350007E-2</v>
      </c>
    </row>
    <row r="1374" spans="1:3">
      <c r="A1374" s="119">
        <v>42796</v>
      </c>
      <c r="B1374" s="121">
        <v>66.065109252929688</v>
      </c>
      <c r="C1374" s="120">
        <f>IFERROR(yf_data[[#This Row],[Close Price]]/B1373-1,0)</f>
        <v>8.1552044366213217E-3</v>
      </c>
    </row>
    <row r="1375" spans="1:3">
      <c r="A1375" s="119">
        <v>42797</v>
      </c>
      <c r="B1375" s="121">
        <v>65.576759338378906</v>
      </c>
      <c r="C1375" s="120">
        <f>IFERROR(yf_data[[#This Row],[Close Price]]/B1374-1,0)</f>
        <v>-7.3919489435965158E-3</v>
      </c>
    </row>
    <row r="1376" spans="1:3">
      <c r="A1376" s="119">
        <v>42800</v>
      </c>
      <c r="B1376" s="121">
        <v>65.466194152832031</v>
      </c>
      <c r="C1376" s="120">
        <f>IFERROR(yf_data[[#This Row],[Close Price]]/B1375-1,0)</f>
        <v>-1.6860422299362909E-3</v>
      </c>
    </row>
    <row r="1377" spans="1:3">
      <c r="A1377" s="119">
        <v>42801</v>
      </c>
      <c r="B1377" s="121">
        <v>64.673789978027344</v>
      </c>
      <c r="C1377" s="120">
        <f>IFERROR(yf_data[[#This Row],[Close Price]]/B1376-1,0)</f>
        <v>-1.2104020785977054E-2</v>
      </c>
    </row>
    <row r="1378" spans="1:3">
      <c r="A1378" s="119">
        <v>42802</v>
      </c>
      <c r="B1378" s="121">
        <v>64.931777954101563</v>
      </c>
      <c r="C1378" s="120">
        <f>IFERROR(yf_data[[#This Row],[Close Price]]/B1377-1,0)</f>
        <v>3.98906537195165E-3</v>
      </c>
    </row>
    <row r="1379" spans="1:3">
      <c r="A1379" s="119">
        <v>42803</v>
      </c>
      <c r="B1379" s="121">
        <v>64.553993225097656</v>
      </c>
      <c r="C1379" s="120">
        <f>IFERROR(yf_data[[#This Row],[Close Price]]/B1378-1,0)</f>
        <v>-5.8181793400290394E-3</v>
      </c>
    </row>
    <row r="1380" spans="1:3">
      <c r="A1380" s="119">
        <v>42804</v>
      </c>
      <c r="B1380" s="121">
        <v>64.553993225097656</v>
      </c>
      <c r="C1380" s="120">
        <f>IFERROR(yf_data[[#This Row],[Close Price]]/B1379-1,0)</f>
        <v>0</v>
      </c>
    </row>
    <row r="1381" spans="1:3">
      <c r="A1381" s="119">
        <v>42807</v>
      </c>
      <c r="B1381" s="121">
        <v>64.45263671875</v>
      </c>
      <c r="C1381" s="120">
        <f>IFERROR(yf_data[[#This Row],[Close Price]]/B1380-1,0)</f>
        <v>-1.5701043620063304E-3</v>
      </c>
    </row>
    <row r="1382" spans="1:3">
      <c r="A1382" s="119">
        <v>42808</v>
      </c>
      <c r="B1382" s="121">
        <v>64.682998657226563</v>
      </c>
      <c r="C1382" s="120">
        <f>IFERROR(yf_data[[#This Row],[Close Price]]/B1381-1,0)</f>
        <v>3.5741274555110003E-3</v>
      </c>
    </row>
    <row r="1383" spans="1:3">
      <c r="A1383" s="119">
        <v>42809</v>
      </c>
      <c r="B1383" s="121">
        <v>64.894912719726563</v>
      </c>
      <c r="C1383" s="120">
        <f>IFERROR(yf_data[[#This Row],[Close Price]]/B1382-1,0)</f>
        <v>3.2761941607406531E-3</v>
      </c>
    </row>
    <row r="1384" spans="1:3">
      <c r="A1384" s="119">
        <v>42810</v>
      </c>
      <c r="B1384" s="121">
        <v>64.830429077148438</v>
      </c>
      <c r="C1384" s="120">
        <f>IFERROR(yf_data[[#This Row],[Close Price]]/B1383-1,0)</f>
        <v>-9.9366252107657704E-4</v>
      </c>
    </row>
    <row r="1385" spans="1:3">
      <c r="A1385" s="119">
        <v>42811</v>
      </c>
      <c r="B1385" s="121">
        <v>64.5079345703125</v>
      </c>
      <c r="C1385" s="120">
        <f>IFERROR(yf_data[[#This Row],[Close Price]]/B1384-1,0)</f>
        <v>-4.9744311649112527E-3</v>
      </c>
    </row>
    <row r="1386" spans="1:3">
      <c r="A1386" s="119">
        <v>42814</v>
      </c>
      <c r="B1386" s="121">
        <v>65.051551818847656</v>
      </c>
      <c r="C1386" s="120">
        <f>IFERROR(yf_data[[#This Row],[Close Price]]/B1385-1,0)</f>
        <v>8.4271377181146523E-3</v>
      </c>
    </row>
    <row r="1387" spans="1:3">
      <c r="A1387" s="119">
        <v>42815</v>
      </c>
      <c r="B1387" s="121">
        <v>64.139358520507813</v>
      </c>
      <c r="C1387" s="120">
        <f>IFERROR(yf_data[[#This Row],[Close Price]]/B1386-1,0)</f>
        <v>-1.4022621641372579E-2</v>
      </c>
    </row>
    <row r="1388" spans="1:3">
      <c r="A1388" s="119">
        <v>42816</v>
      </c>
      <c r="B1388" s="121">
        <v>63.485172271728509</v>
      </c>
      <c r="C1388" s="120">
        <f>IFERROR(yf_data[[#This Row],[Close Price]]/B1387-1,0)</f>
        <v>-1.0199451068256926E-2</v>
      </c>
    </row>
    <row r="1389" spans="1:3">
      <c r="A1389" s="119">
        <v>42817</v>
      </c>
      <c r="B1389" s="121">
        <v>64.360504150390625</v>
      </c>
      <c r="C1389" s="120">
        <f>IFERROR(yf_data[[#This Row],[Close Price]]/B1388-1,0)</f>
        <v>1.3787973590360991E-2</v>
      </c>
    </row>
    <row r="1390" spans="1:3">
      <c r="A1390" s="119">
        <v>42818</v>
      </c>
      <c r="B1390" s="121">
        <v>64.517143249511719</v>
      </c>
      <c r="C1390" s="120">
        <f>IFERROR(yf_data[[#This Row],[Close Price]]/B1389-1,0)</f>
        <v>2.4337767577935487E-3</v>
      </c>
    </row>
    <row r="1391" spans="1:3">
      <c r="A1391" s="119">
        <v>42821</v>
      </c>
      <c r="B1391" s="121">
        <v>63.881370544433594</v>
      </c>
      <c r="C1391" s="120">
        <f>IFERROR(yf_data[[#This Row],[Close Price]]/B1390-1,0)</f>
        <v>-9.8543220151480204E-3</v>
      </c>
    </row>
    <row r="1392" spans="1:3">
      <c r="A1392" s="119">
        <v>42822</v>
      </c>
      <c r="B1392" s="121">
        <v>65.26348876953125</v>
      </c>
      <c r="C1392" s="120">
        <f>IFERROR(yf_data[[#This Row],[Close Price]]/B1391-1,0)</f>
        <v>2.163570088303457E-2</v>
      </c>
    </row>
    <row r="1393" spans="1:3">
      <c r="A1393" s="119">
        <v>42823</v>
      </c>
      <c r="B1393" s="121">
        <v>65.991409301757813</v>
      </c>
      <c r="C1393" s="120">
        <f>IFERROR(yf_data[[#This Row],[Close Price]]/B1392-1,0)</f>
        <v>1.1153564511347414E-2</v>
      </c>
    </row>
    <row r="1394" spans="1:3">
      <c r="A1394" s="119">
        <v>42824</v>
      </c>
      <c r="B1394" s="121">
        <v>66.00982666015625</v>
      </c>
      <c r="C1394" s="120">
        <f>IFERROR(yf_data[[#This Row],[Close Price]]/B1393-1,0)</f>
        <v>2.7908721140090798E-4</v>
      </c>
    </row>
    <row r="1395" spans="1:3">
      <c r="A1395" s="119">
        <v>42825</v>
      </c>
      <c r="B1395" s="121">
        <v>65.724197387695313</v>
      </c>
      <c r="C1395" s="120">
        <f>IFERROR(yf_data[[#This Row],[Close Price]]/B1394-1,0)</f>
        <v>-4.3270719968931948E-3</v>
      </c>
    </row>
    <row r="1396" spans="1:3">
      <c r="A1396" s="119">
        <v>42828</v>
      </c>
      <c r="B1396" s="121">
        <v>65.7518310546875</v>
      </c>
      <c r="C1396" s="120">
        <f>IFERROR(yf_data[[#This Row],[Close Price]]/B1395-1,0)</f>
        <v>4.2044890756409714E-4</v>
      </c>
    </row>
    <row r="1397" spans="1:3">
      <c r="A1397" s="119">
        <v>42829</v>
      </c>
      <c r="B1397" s="121">
        <v>66.175682067871094</v>
      </c>
      <c r="C1397" s="120">
        <f>IFERROR(yf_data[[#This Row],[Close Price]]/B1396-1,0)</f>
        <v>6.4462237231244224E-3</v>
      </c>
    </row>
    <row r="1398" spans="1:3">
      <c r="A1398" s="119">
        <v>42830</v>
      </c>
      <c r="B1398" s="121">
        <v>65.945327758789063</v>
      </c>
      <c r="C1398" s="120">
        <f>IFERROR(yf_data[[#This Row],[Close Price]]/B1397-1,0)</f>
        <v>-3.4809510364514074E-3</v>
      </c>
    </row>
    <row r="1399" spans="1:3">
      <c r="A1399" s="119">
        <v>42831</v>
      </c>
      <c r="B1399" s="121">
        <v>66.820663452148438</v>
      </c>
      <c r="C1399" s="120">
        <f>IFERROR(yf_data[[#This Row],[Close Price]]/B1398-1,0)</f>
        <v>1.3273657484289547E-2</v>
      </c>
    </row>
    <row r="1400" spans="1:3">
      <c r="A1400" s="119">
        <v>42832</v>
      </c>
      <c r="B1400" s="121">
        <v>66.802238464355469</v>
      </c>
      <c r="C1400" s="120">
        <f>IFERROR(yf_data[[#This Row],[Close Price]]/B1399-1,0)</f>
        <v>-2.7573787569712405E-4</v>
      </c>
    </row>
    <row r="1401" spans="1:3">
      <c r="A1401" s="119">
        <v>42835</v>
      </c>
      <c r="B1401" s="121">
        <v>65.5030517578125</v>
      </c>
      <c r="C1401" s="120">
        <f>IFERROR(yf_data[[#This Row],[Close Price]]/B1400-1,0)</f>
        <v>-1.9448251082726742E-2</v>
      </c>
    </row>
    <row r="1402" spans="1:3">
      <c r="A1402" s="119">
        <v>42836</v>
      </c>
      <c r="B1402" s="121">
        <v>65.696548461914063</v>
      </c>
      <c r="C1402" s="120">
        <f>IFERROR(yf_data[[#This Row],[Close Price]]/B1401-1,0)</f>
        <v>2.9540105217842338E-3</v>
      </c>
    </row>
    <row r="1403" spans="1:3">
      <c r="A1403" s="119">
        <v>42837</v>
      </c>
      <c r="B1403" s="121">
        <v>66.277030944824219</v>
      </c>
      <c r="C1403" s="120">
        <f>IFERROR(yf_data[[#This Row],[Close Price]]/B1402-1,0)</f>
        <v>8.8358140039377364E-3</v>
      </c>
    </row>
    <row r="1404" spans="1:3">
      <c r="A1404" s="119">
        <v>42838</v>
      </c>
      <c r="B1404" s="121">
        <v>65.724197387695313</v>
      </c>
      <c r="C1404" s="120">
        <f>IFERROR(yf_data[[#This Row],[Close Price]]/B1403-1,0)</f>
        <v>-8.3412541154588293E-3</v>
      </c>
    </row>
    <row r="1405" spans="1:3">
      <c r="A1405" s="119">
        <v>42843</v>
      </c>
      <c r="B1405" s="121">
        <v>65.301559448242188</v>
      </c>
      <c r="C1405" s="120">
        <f>IFERROR(yf_data[[#This Row],[Close Price]]/B1404-1,0)</f>
        <v>-6.4304769970801035E-3</v>
      </c>
    </row>
    <row r="1406" spans="1:3">
      <c r="A1406" s="119">
        <v>42844</v>
      </c>
      <c r="B1406" s="121">
        <v>65.686622619628906</v>
      </c>
      <c r="C1406" s="120">
        <f>IFERROR(yf_data[[#This Row],[Close Price]]/B1405-1,0)</f>
        <v>5.8966918193112949E-3</v>
      </c>
    </row>
    <row r="1407" spans="1:3">
      <c r="A1407" s="119">
        <v>42845</v>
      </c>
      <c r="B1407" s="121">
        <v>67.874931335449219</v>
      </c>
      <c r="C1407" s="120">
        <f>IFERROR(yf_data[[#This Row],[Close Price]]/B1406-1,0)</f>
        <v>3.3314374046784723E-2</v>
      </c>
    </row>
    <row r="1408" spans="1:3">
      <c r="A1408" s="119">
        <v>42846</v>
      </c>
      <c r="B1408" s="121">
        <v>67.217498779296875</v>
      </c>
      <c r="C1408" s="120">
        <f>IFERROR(yf_data[[#This Row],[Close Price]]/B1407-1,0)</f>
        <v>-9.6859406443183804E-3</v>
      </c>
    </row>
    <row r="1409" spans="1:3">
      <c r="A1409" s="119">
        <v>42849</v>
      </c>
      <c r="B1409" s="121">
        <v>69.462150573730469</v>
      </c>
      <c r="C1409" s="120">
        <f>IFERROR(yf_data[[#This Row],[Close Price]]/B1408-1,0)</f>
        <v>3.3393860753488047E-2</v>
      </c>
    </row>
    <row r="1410" spans="1:3">
      <c r="A1410" s="119">
        <v>42850</v>
      </c>
      <c r="B1410" s="121">
        <v>69.5936279296875</v>
      </c>
      <c r="C1410" s="120">
        <f>IFERROR(yf_data[[#This Row],[Close Price]]/B1409-1,0)</f>
        <v>1.8927913240676109E-3</v>
      </c>
    </row>
    <row r="1411" spans="1:3">
      <c r="A1411" s="119">
        <v>42851</v>
      </c>
      <c r="B1411" s="121">
        <v>69.584243774414063</v>
      </c>
      <c r="C1411" s="120">
        <f>IFERROR(yf_data[[#This Row],[Close Price]]/B1410-1,0)</f>
        <v>-1.3484216231574031E-4</v>
      </c>
    </row>
    <row r="1412" spans="1:3">
      <c r="A1412" s="119">
        <v>42852</v>
      </c>
      <c r="B1412" s="121">
        <v>70.438896179199219</v>
      </c>
      <c r="C1412" s="120">
        <f>IFERROR(yf_data[[#This Row],[Close Price]]/B1411-1,0)</f>
        <v>1.2282269065909013E-2</v>
      </c>
    </row>
    <row r="1413" spans="1:3">
      <c r="A1413" s="119">
        <v>42853</v>
      </c>
      <c r="B1413" s="121">
        <v>69.715736389160156</v>
      </c>
      <c r="C1413" s="120">
        <f>IFERROR(yf_data[[#This Row],[Close Price]]/B1412-1,0)</f>
        <v>-1.0266483850049468E-2</v>
      </c>
    </row>
    <row r="1414" spans="1:3">
      <c r="A1414" s="119">
        <v>42857</v>
      </c>
      <c r="B1414" s="121">
        <v>70.110191345214844</v>
      </c>
      <c r="C1414" s="120">
        <f>IFERROR(yf_data[[#This Row],[Close Price]]/B1413-1,0)</f>
        <v>5.6580476157177539E-3</v>
      </c>
    </row>
    <row r="1415" spans="1:3">
      <c r="A1415" s="119">
        <v>42858</v>
      </c>
      <c r="B1415" s="121">
        <v>69.424575805664063</v>
      </c>
      <c r="C1415" s="120">
        <f>IFERROR(yf_data[[#This Row],[Close Price]]/B1414-1,0)</f>
        <v>-9.7791137978056053E-3</v>
      </c>
    </row>
    <row r="1416" spans="1:3">
      <c r="A1416" s="119">
        <v>42859</v>
      </c>
      <c r="B1416" s="121">
        <v>70.467086791992188</v>
      </c>
      <c r="C1416" s="120">
        <f>IFERROR(yf_data[[#This Row],[Close Price]]/B1415-1,0)</f>
        <v>1.5016454536882717E-2</v>
      </c>
    </row>
    <row r="1417" spans="1:3">
      <c r="A1417" s="119">
        <v>42860</v>
      </c>
      <c r="B1417" s="121">
        <v>71.265388488769531</v>
      </c>
      <c r="C1417" s="120">
        <f>IFERROR(yf_data[[#This Row],[Close Price]]/B1416-1,0)</f>
        <v>1.1328717180175252E-2</v>
      </c>
    </row>
    <row r="1418" spans="1:3">
      <c r="A1418" s="119">
        <v>42863</v>
      </c>
      <c r="B1418" s="121">
        <v>70.823974609375</v>
      </c>
      <c r="C1418" s="120">
        <f>IFERROR(yf_data[[#This Row],[Close Price]]/B1417-1,0)</f>
        <v>-6.1939447571255357E-3</v>
      </c>
    </row>
    <row r="1419" spans="1:3">
      <c r="A1419" s="119">
        <v>42864</v>
      </c>
      <c r="B1419" s="121">
        <v>70.908500671386719</v>
      </c>
      <c r="C1419" s="120">
        <f>IFERROR(yf_data[[#This Row],[Close Price]]/B1418-1,0)</f>
        <v>1.193466795360143E-3</v>
      </c>
    </row>
    <row r="1420" spans="1:3">
      <c r="A1420" s="119">
        <v>42865</v>
      </c>
      <c r="B1420" s="121">
        <v>70.664314270019531</v>
      </c>
      <c r="C1420" s="120">
        <f>IFERROR(yf_data[[#This Row],[Close Price]]/B1419-1,0)</f>
        <v>-3.4436830430081278E-3</v>
      </c>
    </row>
    <row r="1421" spans="1:3">
      <c r="A1421" s="119">
        <v>42866</v>
      </c>
      <c r="B1421" s="121">
        <v>69.499717712402344</v>
      </c>
      <c r="C1421" s="120">
        <f>IFERROR(yf_data[[#This Row],[Close Price]]/B1420-1,0)</f>
        <v>-1.6480688585855052E-2</v>
      </c>
    </row>
    <row r="1422" spans="1:3">
      <c r="A1422" s="119">
        <v>42867</v>
      </c>
      <c r="B1422" s="121">
        <v>69.931739807128906</v>
      </c>
      <c r="C1422" s="120">
        <f>IFERROR(yf_data[[#This Row],[Close Price]]/B1421-1,0)</f>
        <v>6.2161704960344011E-3</v>
      </c>
    </row>
    <row r="1423" spans="1:3">
      <c r="A1423" s="119">
        <v>42870</v>
      </c>
      <c r="B1423" s="121">
        <v>69.7532958984375</v>
      </c>
      <c r="C1423" s="120">
        <f>IFERROR(yf_data[[#This Row],[Close Price]]/B1422-1,0)</f>
        <v>-2.5516869619367499E-3</v>
      </c>
    </row>
    <row r="1424" spans="1:3">
      <c r="A1424" s="119">
        <v>42871</v>
      </c>
      <c r="B1424" s="121">
        <v>69.67816162109375</v>
      </c>
      <c r="C1424" s="120">
        <f>IFERROR(yf_data[[#This Row],[Close Price]]/B1423-1,0)</f>
        <v>-1.0771430421459005E-3</v>
      </c>
    </row>
    <row r="1425" spans="1:3">
      <c r="A1425" s="119">
        <v>42872</v>
      </c>
      <c r="B1425" s="121">
        <v>68.306961059570313</v>
      </c>
      <c r="C1425" s="120">
        <f>IFERROR(yf_data[[#This Row],[Close Price]]/B1424-1,0)</f>
        <v>-1.9679057679218848E-2</v>
      </c>
    </row>
    <row r="1426" spans="1:3">
      <c r="A1426" s="119">
        <v>42873</v>
      </c>
      <c r="B1426" s="121">
        <v>68.767158508300781</v>
      </c>
      <c r="C1426" s="120">
        <f>IFERROR(yf_data[[#This Row],[Close Price]]/B1425-1,0)</f>
        <v>6.7371969355969341E-3</v>
      </c>
    </row>
    <row r="1427" spans="1:3">
      <c r="A1427" s="119">
        <v>42874</v>
      </c>
      <c r="B1427" s="121">
        <v>69.274307250976563</v>
      </c>
      <c r="C1427" s="120">
        <f>IFERROR(yf_data[[#This Row],[Close Price]]/B1426-1,0)</f>
        <v>7.3748683772438817E-3</v>
      </c>
    </row>
    <row r="1428" spans="1:3">
      <c r="A1428" s="119">
        <v>42877</v>
      </c>
      <c r="B1428" s="121">
        <v>68.213035583496094</v>
      </c>
      <c r="C1428" s="120">
        <f>IFERROR(yf_data[[#This Row],[Close Price]]/B1427-1,0)</f>
        <v>-1.5319845258582654E-2</v>
      </c>
    </row>
    <row r="1429" spans="1:3">
      <c r="A1429" s="119">
        <v>42878</v>
      </c>
      <c r="B1429" s="121">
        <v>68.006416320800781</v>
      </c>
      <c r="C1429" s="120">
        <f>IFERROR(yf_data[[#This Row],[Close Price]]/B1428-1,0)</f>
        <v>-3.0290289961132366E-3</v>
      </c>
    </row>
    <row r="1430" spans="1:3">
      <c r="A1430" s="119">
        <v>42879</v>
      </c>
      <c r="B1430" s="121">
        <v>68.01580810546875</v>
      </c>
      <c r="C1430" s="120">
        <f>IFERROR(yf_data[[#This Row],[Close Price]]/B1429-1,0)</f>
        <v>1.3810144948189773E-4</v>
      </c>
    </row>
    <row r="1431" spans="1:3">
      <c r="A1431" s="119">
        <v>42880</v>
      </c>
      <c r="B1431" s="121">
        <v>68.654449462890625</v>
      </c>
      <c r="C1431" s="120">
        <f>IFERROR(yf_data[[#This Row],[Close Price]]/B1430-1,0)</f>
        <v>9.3896018471406606E-3</v>
      </c>
    </row>
    <row r="1432" spans="1:3">
      <c r="A1432" s="119">
        <v>42881</v>
      </c>
      <c r="B1432" s="121">
        <v>69.405799865722656</v>
      </c>
      <c r="C1432" s="120">
        <f>IFERROR(yf_data[[#This Row],[Close Price]]/B1431-1,0)</f>
        <v>1.0943943308993509E-2</v>
      </c>
    </row>
    <row r="1433" spans="1:3">
      <c r="A1433" s="119">
        <v>42884</v>
      </c>
      <c r="B1433" s="121">
        <v>69.236740112304688</v>
      </c>
      <c r="C1433" s="120">
        <f>IFERROR(yf_data[[#This Row],[Close Price]]/B1432-1,0)</f>
        <v>-2.435815936781105E-3</v>
      </c>
    </row>
    <row r="1434" spans="1:3">
      <c r="A1434" s="119">
        <v>42885</v>
      </c>
      <c r="B1434" s="121">
        <v>68.814109802246094</v>
      </c>
      <c r="C1434" s="120">
        <f>IFERROR(yf_data[[#This Row],[Close Price]]/B1433-1,0)</f>
        <v>-6.1041335766685023E-3</v>
      </c>
    </row>
    <row r="1435" spans="1:3">
      <c r="A1435" s="119">
        <v>42886</v>
      </c>
      <c r="B1435" s="121">
        <v>68.626274108886719</v>
      </c>
      <c r="C1435" s="120">
        <f>IFERROR(yf_data[[#This Row],[Close Price]]/B1434-1,0)</f>
        <v>-2.7296101613341062E-3</v>
      </c>
    </row>
    <row r="1436" spans="1:3">
      <c r="A1436" s="119">
        <v>42887</v>
      </c>
      <c r="B1436" s="121">
        <v>70.654922485351563</v>
      </c>
      <c r="C1436" s="120">
        <f>IFERROR(yf_data[[#This Row],[Close Price]]/B1435-1,0)</f>
        <v>2.9560811843668766E-2</v>
      </c>
    </row>
    <row r="1437" spans="1:3">
      <c r="A1437" s="119">
        <v>42888</v>
      </c>
      <c r="B1437" s="121">
        <v>71.002410888671875</v>
      </c>
      <c r="C1437" s="120">
        <f>IFERROR(yf_data[[#This Row],[Close Price]]/B1436-1,0)</f>
        <v>4.918106072402173E-3</v>
      </c>
    </row>
    <row r="1438" spans="1:3">
      <c r="A1438" s="119">
        <v>42891</v>
      </c>
      <c r="B1438" s="121">
        <v>70.2135009765625</v>
      </c>
      <c r="C1438" s="120">
        <f>IFERROR(yf_data[[#This Row],[Close Price]]/B1437-1,0)</f>
        <v>-1.1111029924692928E-2</v>
      </c>
    </row>
    <row r="1439" spans="1:3">
      <c r="A1439" s="119">
        <v>42892</v>
      </c>
      <c r="B1439" s="121">
        <v>70.157142639160156</v>
      </c>
      <c r="C1439" s="120">
        <f>IFERROR(yf_data[[#This Row],[Close Price]]/B1438-1,0)</f>
        <v>-8.0267094815789086E-4</v>
      </c>
    </row>
    <row r="1440" spans="1:3">
      <c r="A1440" s="119">
        <v>42893</v>
      </c>
      <c r="B1440" s="121">
        <v>69.001945495605469</v>
      </c>
      <c r="C1440" s="120">
        <f>IFERROR(yf_data[[#This Row],[Close Price]]/B1439-1,0)</f>
        <v>-1.6465852229704203E-2</v>
      </c>
    </row>
    <row r="1441" spans="1:3">
      <c r="A1441" s="119">
        <v>42894</v>
      </c>
      <c r="B1441" s="121">
        <v>69.264923095703125</v>
      </c>
      <c r="C1441" s="120">
        <f>IFERROR(yf_data[[#This Row],[Close Price]]/B1440-1,0)</f>
        <v>3.8111621086742709E-3</v>
      </c>
    </row>
    <row r="1442" spans="1:3">
      <c r="A1442" s="119">
        <v>42895</v>
      </c>
      <c r="B1442" s="121">
        <v>70.823974609375</v>
      </c>
      <c r="C1442" s="120">
        <f>IFERROR(yf_data[[#This Row],[Close Price]]/B1441-1,0)</f>
        <v>2.2508528761632229E-2</v>
      </c>
    </row>
    <row r="1443" spans="1:3">
      <c r="A1443" s="119">
        <v>42898</v>
      </c>
      <c r="B1443" s="121">
        <v>69.7532958984375</v>
      </c>
      <c r="C1443" s="120">
        <f>IFERROR(yf_data[[#This Row],[Close Price]]/B1442-1,0)</f>
        <v>-1.5117461521225839E-2</v>
      </c>
    </row>
    <row r="1444" spans="1:3">
      <c r="A1444" s="119">
        <v>42899</v>
      </c>
      <c r="B1444" s="121">
        <v>70.063232421875</v>
      </c>
      <c r="C1444" s="120">
        <f>IFERROR(yf_data[[#This Row],[Close Price]]/B1443-1,0)</f>
        <v>4.4433244256840698E-3</v>
      </c>
    </row>
    <row r="1445" spans="1:3">
      <c r="A1445" s="119">
        <v>42900</v>
      </c>
      <c r="B1445" s="121">
        <v>70.560997009277344</v>
      </c>
      <c r="C1445" s="120">
        <f>IFERROR(yf_data[[#This Row],[Close Price]]/B1444-1,0)</f>
        <v>7.1045050334692661E-3</v>
      </c>
    </row>
    <row r="1446" spans="1:3">
      <c r="A1446" s="119">
        <v>42901</v>
      </c>
      <c r="B1446" s="121">
        <v>68.823501586914063</v>
      </c>
      <c r="C1446" s="120">
        <f>IFERROR(yf_data[[#This Row],[Close Price]]/B1445-1,0)</f>
        <v>-2.4624020294594651E-2</v>
      </c>
    </row>
    <row r="1447" spans="1:3">
      <c r="A1447" s="119">
        <v>42902</v>
      </c>
      <c r="B1447" s="121">
        <v>70.373153686523438</v>
      </c>
      <c r="C1447" s="120">
        <f>IFERROR(yf_data[[#This Row],[Close Price]]/B1446-1,0)</f>
        <v>2.2516321661611327E-2</v>
      </c>
    </row>
    <row r="1448" spans="1:3">
      <c r="A1448" s="119">
        <v>42905</v>
      </c>
      <c r="B1448" s="121">
        <v>71.753761291503906</v>
      </c>
      <c r="C1448" s="120">
        <f>IFERROR(yf_data[[#This Row],[Close Price]]/B1447-1,0)</f>
        <v>1.9618384748399498E-2</v>
      </c>
    </row>
    <row r="1449" spans="1:3">
      <c r="A1449" s="119">
        <v>42906</v>
      </c>
      <c r="B1449" s="121">
        <v>71.331123352050781</v>
      </c>
      <c r="C1449" s="120">
        <f>IFERROR(yf_data[[#This Row],[Close Price]]/B1448-1,0)</f>
        <v>-5.8901154705484071E-3</v>
      </c>
    </row>
    <row r="1450" spans="1:3">
      <c r="A1450" s="119">
        <v>42907</v>
      </c>
      <c r="B1450" s="121">
        <v>70.673690795898438</v>
      </c>
      <c r="C1450" s="120">
        <f>IFERROR(yf_data[[#This Row],[Close Price]]/B1449-1,0)</f>
        <v>-9.2166297859578306E-3</v>
      </c>
    </row>
    <row r="1451" spans="1:3">
      <c r="A1451" s="119">
        <v>42908</v>
      </c>
      <c r="B1451" s="121">
        <v>70.476463317871094</v>
      </c>
      <c r="C1451" s="120">
        <f>IFERROR(yf_data[[#This Row],[Close Price]]/B1450-1,0)</f>
        <v>-2.7906774898303066E-3</v>
      </c>
    </row>
    <row r="1452" spans="1:3">
      <c r="A1452" s="119">
        <v>42909</v>
      </c>
      <c r="B1452" s="121">
        <v>71.096328735351563</v>
      </c>
      <c r="C1452" s="120">
        <f>IFERROR(yf_data[[#This Row],[Close Price]]/B1451-1,0)</f>
        <v>8.7953536301144108E-3</v>
      </c>
    </row>
    <row r="1453" spans="1:3">
      <c r="A1453" s="119">
        <v>42912</v>
      </c>
      <c r="B1453" s="121">
        <v>71.331123352050781</v>
      </c>
      <c r="C1453" s="120">
        <f>IFERROR(yf_data[[#This Row],[Close Price]]/B1452-1,0)</f>
        <v>3.3024858087007392E-3</v>
      </c>
    </row>
    <row r="1454" spans="1:3">
      <c r="A1454" s="119">
        <v>42913</v>
      </c>
      <c r="B1454" s="121">
        <v>69.950531005859375</v>
      </c>
      <c r="C1454" s="120">
        <f>IFERROR(yf_data[[#This Row],[Close Price]]/B1453-1,0)</f>
        <v>-1.9354697939881982E-2</v>
      </c>
    </row>
    <row r="1455" spans="1:3">
      <c r="A1455" s="119">
        <v>42914</v>
      </c>
      <c r="B1455" s="121">
        <v>69.3118896484375</v>
      </c>
      <c r="C1455" s="120">
        <f>IFERROR(yf_data[[#This Row],[Close Price]]/B1454-1,0)</f>
        <v>-9.1299000627798055E-3</v>
      </c>
    </row>
    <row r="1456" spans="1:3">
      <c r="A1456" s="119">
        <v>42915</v>
      </c>
      <c r="B1456" s="121">
        <v>67.827964782714844</v>
      </c>
      <c r="C1456" s="120">
        <f>IFERROR(yf_data[[#This Row],[Close Price]]/B1455-1,0)</f>
        <v>-2.1409384064543513E-2</v>
      </c>
    </row>
    <row r="1457" spans="1:3">
      <c r="A1457" s="119">
        <v>42916</v>
      </c>
      <c r="B1457" s="121">
        <v>67.621353149414063</v>
      </c>
      <c r="C1457" s="120">
        <f>IFERROR(yf_data[[#This Row],[Close Price]]/B1456-1,0)</f>
        <v>-3.0461128232677215E-3</v>
      </c>
    </row>
    <row r="1458" spans="1:3">
      <c r="A1458" s="119">
        <v>42919</v>
      </c>
      <c r="B1458" s="121">
        <v>68.654449462890625</v>
      </c>
      <c r="C1458" s="120">
        <f>IFERROR(yf_data[[#This Row],[Close Price]]/B1457-1,0)</f>
        <v>1.5277664012340431E-2</v>
      </c>
    </row>
    <row r="1459" spans="1:3">
      <c r="A1459" s="119">
        <v>42920</v>
      </c>
      <c r="B1459" s="121">
        <v>68.654449462890625</v>
      </c>
      <c r="C1459" s="120">
        <f>IFERROR(yf_data[[#This Row],[Close Price]]/B1458-1,0)</f>
        <v>0</v>
      </c>
    </row>
    <row r="1460" spans="1:3">
      <c r="A1460" s="119">
        <v>42921</v>
      </c>
      <c r="B1460" s="121">
        <v>69.415199279785156</v>
      </c>
      <c r="C1460" s="120">
        <f>IFERROR(yf_data[[#This Row],[Close Price]]/B1459-1,0)</f>
        <v>1.1080852338721803E-2</v>
      </c>
    </row>
    <row r="1461" spans="1:3">
      <c r="A1461" s="119">
        <v>42922</v>
      </c>
      <c r="B1461" s="121">
        <v>69.621803283691406</v>
      </c>
      <c r="C1461" s="120">
        <f>IFERROR(yf_data[[#This Row],[Close Price]]/B1460-1,0)</f>
        <v>2.9763510880882471E-3</v>
      </c>
    </row>
    <row r="1462" spans="1:3">
      <c r="A1462" s="119">
        <v>42923</v>
      </c>
      <c r="B1462" s="121">
        <v>69.5936279296875</v>
      </c>
      <c r="C1462" s="120">
        <f>IFERROR(yf_data[[#This Row],[Close Price]]/B1461-1,0)</f>
        <v>-4.0469152873123804E-4</v>
      </c>
    </row>
    <row r="1463" spans="1:3">
      <c r="A1463" s="119">
        <v>42926</v>
      </c>
      <c r="B1463" s="121">
        <v>69.837821960449219</v>
      </c>
      <c r="C1463" s="120">
        <f>IFERROR(yf_data[[#This Row],[Close Price]]/B1462-1,0)</f>
        <v>3.5088561701142051E-3</v>
      </c>
    </row>
    <row r="1464" spans="1:3">
      <c r="A1464" s="119">
        <v>42927</v>
      </c>
      <c r="B1464" s="121">
        <v>69.9129638671875</v>
      </c>
      <c r="C1464" s="120">
        <f>IFERROR(yf_data[[#This Row],[Close Price]]/B1463-1,0)</f>
        <v>1.0759485996116869E-3</v>
      </c>
    </row>
    <row r="1465" spans="1:3">
      <c r="A1465" s="119">
        <v>42928</v>
      </c>
      <c r="B1465" s="121">
        <v>70.100799560546875</v>
      </c>
      <c r="C1465" s="120">
        <f>IFERROR(yf_data[[#This Row],[Close Price]]/B1464-1,0)</f>
        <v>2.686707628591023E-3</v>
      </c>
    </row>
    <row r="1466" spans="1:3">
      <c r="A1466" s="119">
        <v>42929</v>
      </c>
      <c r="B1466" s="121">
        <v>70.438896179199219</v>
      </c>
      <c r="C1466" s="120">
        <f>IFERROR(yf_data[[#This Row],[Close Price]]/B1465-1,0)</f>
        <v>4.8230065958139168E-3</v>
      </c>
    </row>
    <row r="1467" spans="1:3">
      <c r="A1467" s="119">
        <v>42930</v>
      </c>
      <c r="B1467" s="121">
        <v>70.025657653808594</v>
      </c>
      <c r="C1467" s="120">
        <f>IFERROR(yf_data[[#This Row],[Close Price]]/B1466-1,0)</f>
        <v>-5.8666240927360835E-3</v>
      </c>
    </row>
    <row r="1468" spans="1:3">
      <c r="A1468" s="119">
        <v>42933</v>
      </c>
      <c r="B1468" s="121">
        <v>69.161613464355469</v>
      </c>
      <c r="C1468" s="120">
        <f>IFERROR(yf_data[[#This Row],[Close Price]]/B1467-1,0)</f>
        <v>-1.2338965722032524E-2</v>
      </c>
    </row>
    <row r="1469" spans="1:3">
      <c r="A1469" s="119">
        <v>42934</v>
      </c>
      <c r="B1469" s="121">
        <v>68.053367614746094</v>
      </c>
      <c r="C1469" s="120">
        <f>IFERROR(yf_data[[#This Row],[Close Price]]/B1468-1,0)</f>
        <v>-1.6024002247728708E-2</v>
      </c>
    </row>
    <row r="1470" spans="1:3">
      <c r="A1470" s="119">
        <v>42935</v>
      </c>
      <c r="B1470" s="121">
        <v>69.208572387695313</v>
      </c>
      <c r="C1470" s="120">
        <f>IFERROR(yf_data[[#This Row],[Close Price]]/B1469-1,0)</f>
        <v>1.6974983214480988E-2</v>
      </c>
    </row>
    <row r="1471" spans="1:3">
      <c r="A1471" s="119">
        <v>42936</v>
      </c>
      <c r="B1471" s="121">
        <v>67.959449768066406</v>
      </c>
      <c r="C1471" s="120">
        <f>IFERROR(yf_data[[#This Row],[Close Price]]/B1470-1,0)</f>
        <v>-1.8048669067056045E-2</v>
      </c>
    </row>
    <row r="1472" spans="1:3">
      <c r="A1472" s="119">
        <v>42937</v>
      </c>
      <c r="B1472" s="121">
        <v>67.0296630859375</v>
      </c>
      <c r="C1472" s="120">
        <f>IFERROR(yf_data[[#This Row],[Close Price]]/B1471-1,0)</f>
        <v>-1.3681492203102108E-2</v>
      </c>
    </row>
    <row r="1473" spans="1:3">
      <c r="A1473" s="119">
        <v>42940</v>
      </c>
      <c r="B1473" s="121">
        <v>67.273849487304688</v>
      </c>
      <c r="C1473" s="120">
        <f>IFERROR(yf_data[[#This Row],[Close Price]]/B1472-1,0)</f>
        <v>3.6429602973555575E-3</v>
      </c>
    </row>
    <row r="1474" spans="1:3">
      <c r="A1474" s="119">
        <v>42941</v>
      </c>
      <c r="B1474" s="121">
        <v>68.213035583496094</v>
      </c>
      <c r="C1474" s="120">
        <f>IFERROR(yf_data[[#This Row],[Close Price]]/B1473-1,0)</f>
        <v>1.3960641517453798E-2</v>
      </c>
    </row>
    <row r="1475" spans="1:3">
      <c r="A1475" s="119">
        <v>42942</v>
      </c>
      <c r="B1475" s="121">
        <v>70.110191345214844</v>
      </c>
      <c r="C1475" s="120">
        <f>IFERROR(yf_data[[#This Row],[Close Price]]/B1474-1,0)</f>
        <v>2.7812217202920708E-2</v>
      </c>
    </row>
    <row r="1476" spans="1:3">
      <c r="A1476" s="119">
        <v>42943</v>
      </c>
      <c r="B1476" s="121">
        <v>67.874931335449219</v>
      </c>
      <c r="C1476" s="120">
        <f>IFERROR(yf_data[[#This Row],[Close Price]]/B1475-1,0)</f>
        <v>-3.1882098263852243E-2</v>
      </c>
    </row>
    <row r="1477" spans="1:3">
      <c r="A1477" s="119">
        <v>42944</v>
      </c>
      <c r="B1477" s="121">
        <v>67.978233337402344</v>
      </c>
      <c r="C1477" s="120">
        <f>IFERROR(yf_data[[#This Row],[Close Price]]/B1476-1,0)</f>
        <v>1.5219463198068439E-3</v>
      </c>
    </row>
    <row r="1478" spans="1:3">
      <c r="A1478" s="119">
        <v>42947</v>
      </c>
      <c r="B1478" s="121">
        <v>66.306488037109375</v>
      </c>
      <c r="C1478" s="120">
        <f>IFERROR(yf_data[[#This Row],[Close Price]]/B1477-1,0)</f>
        <v>-2.4592361675471186E-2</v>
      </c>
    </row>
    <row r="1479" spans="1:3">
      <c r="A1479" s="119">
        <v>42948</v>
      </c>
      <c r="B1479" s="121">
        <v>67.649520874023438</v>
      </c>
      <c r="C1479" s="120">
        <f>IFERROR(yf_data[[#This Row],[Close Price]]/B1478-1,0)</f>
        <v>2.0254923412056147E-2</v>
      </c>
    </row>
    <row r="1480" spans="1:3">
      <c r="A1480" s="119">
        <v>42949</v>
      </c>
      <c r="B1480" s="121">
        <v>66.691551208496094</v>
      </c>
      <c r="C1480" s="120">
        <f>IFERROR(yf_data[[#This Row],[Close Price]]/B1479-1,0)</f>
        <v>-1.4160775318886154E-2</v>
      </c>
    </row>
    <row r="1481" spans="1:3">
      <c r="A1481" s="119">
        <v>42950</v>
      </c>
      <c r="B1481" s="121">
        <v>66.94512939453125</v>
      </c>
      <c r="C1481" s="120">
        <f>IFERROR(yf_data[[#This Row],[Close Price]]/B1480-1,0)</f>
        <v>3.8022535304720328E-3</v>
      </c>
    </row>
    <row r="1482" spans="1:3">
      <c r="A1482" s="119">
        <v>42951</v>
      </c>
      <c r="B1482" s="121">
        <v>68.861076354980469</v>
      </c>
      <c r="C1482" s="120">
        <f>IFERROR(yf_data[[#This Row],[Close Price]]/B1481-1,0)</f>
        <v>2.8619661770430849E-2</v>
      </c>
    </row>
    <row r="1483" spans="1:3">
      <c r="A1483" s="119">
        <v>42954</v>
      </c>
      <c r="B1483" s="121">
        <v>68.025192260742188</v>
      </c>
      <c r="C1483" s="120">
        <f>IFERROR(yf_data[[#This Row],[Close Price]]/B1482-1,0)</f>
        <v>-1.2138702130203072E-2</v>
      </c>
    </row>
    <row r="1484" spans="1:3">
      <c r="A1484" s="119">
        <v>42955</v>
      </c>
      <c r="B1484" s="121">
        <v>67.724662780761719</v>
      </c>
      <c r="C1484" s="120">
        <f>IFERROR(yf_data[[#This Row],[Close Price]]/B1483-1,0)</f>
        <v>-4.4179144518773361E-3</v>
      </c>
    </row>
    <row r="1485" spans="1:3">
      <c r="A1485" s="119">
        <v>42956</v>
      </c>
      <c r="B1485" s="121">
        <v>67.142356872558594</v>
      </c>
      <c r="C1485" s="120">
        <f>IFERROR(yf_data[[#This Row],[Close Price]]/B1484-1,0)</f>
        <v>-8.5981366948724158E-3</v>
      </c>
    </row>
    <row r="1486" spans="1:3">
      <c r="A1486" s="119">
        <v>42957</v>
      </c>
      <c r="B1486" s="121">
        <v>66.682151794433594</v>
      </c>
      <c r="C1486" s="120">
        <f>IFERROR(yf_data[[#This Row],[Close Price]]/B1485-1,0)</f>
        <v>-6.8541692541193022E-3</v>
      </c>
    </row>
    <row r="1487" spans="1:3">
      <c r="A1487" s="119">
        <v>42958</v>
      </c>
      <c r="B1487" s="121">
        <v>66.447364807128906</v>
      </c>
      <c r="C1487" s="120">
        <f>IFERROR(yf_data[[#This Row],[Close Price]]/B1486-1,0)</f>
        <v>-3.5209869655749015E-3</v>
      </c>
    </row>
    <row r="1488" spans="1:3">
      <c r="A1488" s="119">
        <v>42961</v>
      </c>
      <c r="B1488" s="121">
        <v>67.358375549316406</v>
      </c>
      <c r="C1488" s="120">
        <f>IFERROR(yf_data[[#This Row],[Close Price]]/B1487-1,0)</f>
        <v>1.3710261420175396E-2</v>
      </c>
    </row>
    <row r="1489" spans="1:3">
      <c r="A1489" s="119">
        <v>42962</v>
      </c>
      <c r="B1489" s="121">
        <v>67.940666198730469</v>
      </c>
      <c r="C1489" s="120">
        <f>IFERROR(yf_data[[#This Row],[Close Price]]/B1488-1,0)</f>
        <v>8.6446658587799874E-3</v>
      </c>
    </row>
    <row r="1490" spans="1:3">
      <c r="A1490" s="119">
        <v>42963</v>
      </c>
      <c r="B1490" s="121">
        <v>68.447822570800781</v>
      </c>
      <c r="C1490" s="120">
        <f>IFERROR(yf_data[[#This Row],[Close Price]]/B1489-1,0)</f>
        <v>7.4646953061492383E-3</v>
      </c>
    </row>
    <row r="1491" spans="1:3">
      <c r="A1491" s="119">
        <v>42964</v>
      </c>
      <c r="B1491" s="121">
        <v>67.799789428710938</v>
      </c>
      <c r="C1491" s="120">
        <f>IFERROR(yf_data[[#This Row],[Close Price]]/B1490-1,0)</f>
        <v>-9.467549408449516E-3</v>
      </c>
    </row>
    <row r="1492" spans="1:3">
      <c r="A1492" s="119">
        <v>42965</v>
      </c>
      <c r="B1492" s="121">
        <v>67.151756286621094</v>
      </c>
      <c r="C1492" s="120">
        <f>IFERROR(yf_data[[#This Row],[Close Price]]/B1491-1,0)</f>
        <v>-9.5580406303654719E-3</v>
      </c>
    </row>
    <row r="1493" spans="1:3">
      <c r="A1493" s="119">
        <v>42968</v>
      </c>
      <c r="B1493" s="121">
        <v>66.531883239746094</v>
      </c>
      <c r="C1493" s="120">
        <f>IFERROR(yf_data[[#This Row],[Close Price]]/B1492-1,0)</f>
        <v>-9.2309282906797296E-3</v>
      </c>
    </row>
    <row r="1494" spans="1:3">
      <c r="A1494" s="119">
        <v>42969</v>
      </c>
      <c r="B1494" s="121">
        <v>66.916961669921875</v>
      </c>
      <c r="C1494" s="120">
        <f>IFERROR(yf_data[[#This Row],[Close Price]]/B1493-1,0)</f>
        <v>5.7878781033171567E-3</v>
      </c>
    </row>
    <row r="1495" spans="1:3">
      <c r="A1495" s="119">
        <v>42970</v>
      </c>
      <c r="B1495" s="121">
        <v>66.503715515136719</v>
      </c>
      <c r="C1495" s="120">
        <f>IFERROR(yf_data[[#This Row],[Close Price]]/B1494-1,0)</f>
        <v>-6.1755068441923244E-3</v>
      </c>
    </row>
    <row r="1496" spans="1:3">
      <c r="A1496" s="119">
        <v>42971</v>
      </c>
      <c r="B1496" s="121">
        <v>66.090476989746094</v>
      </c>
      <c r="C1496" s="120">
        <f>IFERROR(yf_data[[#This Row],[Close Price]]/B1495-1,0)</f>
        <v>-6.2137659857000038E-3</v>
      </c>
    </row>
    <row r="1497" spans="1:3">
      <c r="A1497" s="119">
        <v>42972</v>
      </c>
      <c r="B1497" s="121">
        <v>66.550674438476563</v>
      </c>
      <c r="C1497" s="120">
        <f>IFERROR(yf_data[[#This Row],[Close Price]]/B1496-1,0)</f>
        <v>6.9631430985415133E-3</v>
      </c>
    </row>
    <row r="1498" spans="1:3">
      <c r="A1498" s="119">
        <v>42975</v>
      </c>
      <c r="B1498" s="121">
        <v>65.902633666992188</v>
      </c>
      <c r="C1498" s="120">
        <f>IFERROR(yf_data[[#This Row],[Close Price]]/B1497-1,0)</f>
        <v>-9.7375537806677626E-3</v>
      </c>
    </row>
    <row r="1499" spans="1:3">
      <c r="A1499" s="119">
        <v>42976</v>
      </c>
      <c r="B1499" s="121">
        <v>64.540817260742188</v>
      </c>
      <c r="C1499" s="120">
        <f>IFERROR(yf_data[[#This Row],[Close Price]]/B1498-1,0)</f>
        <v>-2.0664066524735514E-2</v>
      </c>
    </row>
    <row r="1500" spans="1:3">
      <c r="A1500" s="119">
        <v>42977</v>
      </c>
      <c r="B1500" s="121">
        <v>65.564529418945313</v>
      </c>
      <c r="C1500" s="120">
        <f>IFERROR(yf_data[[#This Row],[Close Price]]/B1499-1,0)</f>
        <v>1.5861468782884636E-2</v>
      </c>
    </row>
    <row r="1501" spans="1:3">
      <c r="A1501" s="119">
        <v>42978</v>
      </c>
      <c r="B1501" s="121">
        <v>66.315887451171875</v>
      </c>
      <c r="C1501" s="120">
        <f>IFERROR(yf_data[[#This Row],[Close Price]]/B1500-1,0)</f>
        <v>1.1459824982888556E-2</v>
      </c>
    </row>
    <row r="1502" spans="1:3">
      <c r="A1502" s="119">
        <v>42979</v>
      </c>
      <c r="B1502" s="121">
        <v>66.963920593261719</v>
      </c>
      <c r="C1502" s="120">
        <f>IFERROR(yf_data[[#This Row],[Close Price]]/B1501-1,0)</f>
        <v>9.7719138957008678E-3</v>
      </c>
    </row>
    <row r="1503" spans="1:3">
      <c r="A1503" s="119">
        <v>42982</v>
      </c>
      <c r="B1503" s="121">
        <v>66.766685485839844</v>
      </c>
      <c r="C1503" s="120">
        <f>IFERROR(yf_data[[#This Row],[Close Price]]/B1502-1,0)</f>
        <v>-2.9453936638489386E-3</v>
      </c>
    </row>
    <row r="1504" spans="1:3">
      <c r="A1504" s="119">
        <v>42983</v>
      </c>
      <c r="B1504" s="121">
        <v>66.907569885253906</v>
      </c>
      <c r="C1504" s="120">
        <f>IFERROR(yf_data[[#This Row],[Close Price]]/B1503-1,0)</f>
        <v>2.1101002451879847E-3</v>
      </c>
    </row>
    <row r="1505" spans="1:3">
      <c r="A1505" s="119">
        <v>42984</v>
      </c>
      <c r="B1505" s="121">
        <v>67.067237854003906</v>
      </c>
      <c r="C1505" s="120">
        <f>IFERROR(yf_data[[#This Row],[Close Price]]/B1504-1,0)</f>
        <v>2.3863961734649219E-3</v>
      </c>
    </row>
    <row r="1506" spans="1:3">
      <c r="A1506" s="119">
        <v>42985</v>
      </c>
      <c r="B1506" s="121">
        <v>66.146827697753906</v>
      </c>
      <c r="C1506" s="120">
        <f>IFERROR(yf_data[[#This Row],[Close Price]]/B1505-1,0)</f>
        <v>-1.3723692606121718E-2</v>
      </c>
    </row>
    <row r="1507" spans="1:3">
      <c r="A1507" s="119">
        <v>42986</v>
      </c>
      <c r="B1507" s="121">
        <v>66.212570190429688</v>
      </c>
      <c r="C1507" s="120">
        <f>IFERROR(yf_data[[#This Row],[Close Price]]/B1506-1,0)</f>
        <v>9.9388731045690903E-4</v>
      </c>
    </row>
    <row r="1508" spans="1:3">
      <c r="A1508" s="119">
        <v>42989</v>
      </c>
      <c r="B1508" s="121">
        <v>66.513114929199219</v>
      </c>
      <c r="C1508" s="120">
        <f>IFERROR(yf_data[[#This Row],[Close Price]]/B1507-1,0)</f>
        <v>4.5390888452925271E-3</v>
      </c>
    </row>
    <row r="1509" spans="1:3">
      <c r="A1509" s="119">
        <v>42990</v>
      </c>
      <c r="B1509" s="121">
        <v>66.372230529785156</v>
      </c>
      <c r="C1509" s="120">
        <f>IFERROR(yf_data[[#This Row],[Close Price]]/B1508-1,0)</f>
        <v>-2.1181446631093337E-3</v>
      </c>
    </row>
    <row r="1510" spans="1:3">
      <c r="A1510" s="119">
        <v>42991</v>
      </c>
      <c r="B1510" s="121">
        <v>66.635200500488281</v>
      </c>
      <c r="C1510" s="120">
        <f>IFERROR(yf_data[[#This Row],[Close Price]]/B1509-1,0)</f>
        <v>3.9620481126532159E-3</v>
      </c>
    </row>
    <row r="1511" spans="1:3">
      <c r="A1511" s="119">
        <v>42992</v>
      </c>
      <c r="B1511" s="121">
        <v>66.757301330566406</v>
      </c>
      <c r="C1511" s="120">
        <f>IFERROR(yf_data[[#This Row],[Close Price]]/B1510-1,0)</f>
        <v>1.8323773195103588E-3</v>
      </c>
    </row>
    <row r="1512" spans="1:3">
      <c r="A1512" s="119">
        <v>42993</v>
      </c>
      <c r="B1512" s="121">
        <v>67.621353149414063</v>
      </c>
      <c r="C1512" s="120">
        <f>IFERROR(yf_data[[#This Row],[Close Price]]/B1511-1,0)</f>
        <v>1.2943180770131457E-2</v>
      </c>
    </row>
    <row r="1513" spans="1:3">
      <c r="A1513" s="119">
        <v>42996</v>
      </c>
      <c r="B1513" s="121">
        <v>69.124038696289063</v>
      </c>
      <c r="C1513" s="120">
        <f>IFERROR(yf_data[[#This Row],[Close Price]]/B1512-1,0)</f>
        <v>2.2222056745222263E-2</v>
      </c>
    </row>
    <row r="1514" spans="1:3">
      <c r="A1514" s="119">
        <v>42997</v>
      </c>
      <c r="B1514" s="121">
        <v>69.499717712402344</v>
      </c>
      <c r="C1514" s="120">
        <f>IFERROR(yf_data[[#This Row],[Close Price]]/B1513-1,0)</f>
        <v>5.4348533910744123E-3</v>
      </c>
    </row>
    <row r="1515" spans="1:3">
      <c r="A1515" s="119">
        <v>42998</v>
      </c>
      <c r="B1515" s="121">
        <v>70.0538330078125</v>
      </c>
      <c r="C1515" s="120">
        <f>IFERROR(yf_data[[#This Row],[Close Price]]/B1514-1,0)</f>
        <v>7.9729143318703066E-3</v>
      </c>
    </row>
    <row r="1516" spans="1:3">
      <c r="A1516" s="119">
        <v>42999</v>
      </c>
      <c r="B1516" s="121">
        <v>72.843215942382813</v>
      </c>
      <c r="C1516" s="120">
        <f>IFERROR(yf_data[[#This Row],[Close Price]]/B1515-1,0)</f>
        <v>3.9817706109803286E-2</v>
      </c>
    </row>
    <row r="1517" spans="1:3">
      <c r="A1517" s="119">
        <v>43000</v>
      </c>
      <c r="B1517" s="121">
        <v>72.636589050292969</v>
      </c>
      <c r="C1517" s="120">
        <f>IFERROR(yf_data[[#This Row],[Close Price]]/B1516-1,0)</f>
        <v>-2.8365976078442712E-3</v>
      </c>
    </row>
    <row r="1518" spans="1:3">
      <c r="A1518" s="119">
        <v>43003</v>
      </c>
      <c r="B1518" s="121">
        <v>73.106193542480469</v>
      </c>
      <c r="C1518" s="120">
        <f>IFERROR(yf_data[[#This Row],[Close Price]]/B1517-1,0)</f>
        <v>6.4651231332235604E-3</v>
      </c>
    </row>
    <row r="1519" spans="1:3">
      <c r="A1519" s="119">
        <v>43004</v>
      </c>
      <c r="B1519" s="121">
        <v>73.989021301269531</v>
      </c>
      <c r="C1519" s="120">
        <f>IFERROR(yf_data[[#This Row],[Close Price]]/B1518-1,0)</f>
        <v>1.2075963964339964E-2</v>
      </c>
    </row>
    <row r="1520" spans="1:3">
      <c r="A1520" s="119">
        <v>43005</v>
      </c>
      <c r="B1520" s="121">
        <v>75.482330322265625</v>
      </c>
      <c r="C1520" s="120">
        <f>IFERROR(yf_data[[#This Row],[Close Price]]/B1519-1,0)</f>
        <v>2.0182845978129915E-2</v>
      </c>
    </row>
    <row r="1521" spans="1:3">
      <c r="A1521" s="119">
        <v>43006</v>
      </c>
      <c r="B1521" s="121">
        <v>75.134834289550781</v>
      </c>
      <c r="C1521" s="120">
        <f>IFERROR(yf_data[[#This Row],[Close Price]]/B1520-1,0)</f>
        <v>-4.603673882764836E-3</v>
      </c>
    </row>
    <row r="1522" spans="1:3">
      <c r="A1522" s="119">
        <v>43007</v>
      </c>
      <c r="B1522" s="121">
        <v>75.5198974609375</v>
      </c>
      <c r="C1522" s="120">
        <f>IFERROR(yf_data[[#This Row],[Close Price]]/B1521-1,0)</f>
        <v>5.1249620103344107E-3</v>
      </c>
    </row>
    <row r="1523" spans="1:3">
      <c r="A1523" s="119">
        <v>43010</v>
      </c>
      <c r="B1523" s="121">
        <v>75.698341369628906</v>
      </c>
      <c r="C1523" s="120">
        <f>IFERROR(yf_data[[#This Row],[Close Price]]/B1522-1,0)</f>
        <v>2.3628727618929535E-3</v>
      </c>
    </row>
    <row r="1524" spans="1:3">
      <c r="A1524" s="119">
        <v>43011</v>
      </c>
      <c r="B1524" s="121">
        <v>76.675094604492188</v>
      </c>
      <c r="C1524" s="120">
        <f>IFERROR(yf_data[[#This Row],[Close Price]]/B1523-1,0)</f>
        <v>1.2903231658589087E-2</v>
      </c>
    </row>
    <row r="1525" spans="1:3">
      <c r="A1525" s="119">
        <v>43012</v>
      </c>
      <c r="B1525" s="121">
        <v>77.144683837890625</v>
      </c>
      <c r="C1525" s="120">
        <f>IFERROR(yf_data[[#This Row],[Close Price]]/B1524-1,0)</f>
        <v>6.1244037039756005E-3</v>
      </c>
    </row>
    <row r="1526" spans="1:3">
      <c r="A1526" s="119">
        <v>43013</v>
      </c>
      <c r="B1526" s="121">
        <v>76.825363159179688</v>
      </c>
      <c r="C1526" s="120">
        <f>IFERROR(yf_data[[#This Row],[Close Price]]/B1525-1,0)</f>
        <v>-4.1392441167034111E-3</v>
      </c>
    </row>
    <row r="1527" spans="1:3">
      <c r="A1527" s="119">
        <v>43014</v>
      </c>
      <c r="B1527" s="121">
        <v>76.327590942382813</v>
      </c>
      <c r="C1527" s="120">
        <f>IFERROR(yf_data[[#This Row],[Close Price]]/B1526-1,0)</f>
        <v>-6.4792692976342048E-3</v>
      </c>
    </row>
    <row r="1528" spans="1:3">
      <c r="A1528" s="119">
        <v>43017</v>
      </c>
      <c r="B1528" s="121">
        <v>74.608894348144531</v>
      </c>
      <c r="C1528" s="120">
        <f>IFERROR(yf_data[[#This Row],[Close Price]]/B1527-1,0)</f>
        <v>-2.2517369839900603E-2</v>
      </c>
    </row>
    <row r="1529" spans="1:3">
      <c r="A1529" s="119">
        <v>43018</v>
      </c>
      <c r="B1529" s="121">
        <v>74.045372009277344</v>
      </c>
      <c r="C1529" s="120">
        <f>IFERROR(yf_data[[#This Row],[Close Price]]/B1528-1,0)</f>
        <v>-7.5530182264549328E-3</v>
      </c>
    </row>
    <row r="1530" spans="1:3">
      <c r="A1530" s="119">
        <v>43019</v>
      </c>
      <c r="B1530" s="121">
        <v>73.247062683105469</v>
      </c>
      <c r="C1530" s="120">
        <f>IFERROR(yf_data[[#This Row],[Close Price]]/B1529-1,0)</f>
        <v>-1.0781353439237917E-2</v>
      </c>
    </row>
    <row r="1531" spans="1:3">
      <c r="A1531" s="119">
        <v>43020</v>
      </c>
      <c r="B1531" s="121">
        <v>73.40673828125</v>
      </c>
      <c r="C1531" s="120">
        <f>IFERROR(yf_data[[#This Row],[Close Price]]/B1530-1,0)</f>
        <v>2.1799590631415011E-3</v>
      </c>
    </row>
    <row r="1532" spans="1:3">
      <c r="A1532" s="119">
        <v>43021</v>
      </c>
      <c r="B1532" s="121">
        <v>72.505111694335938</v>
      </c>
      <c r="C1532" s="120">
        <f>IFERROR(yf_data[[#This Row],[Close Price]]/B1531-1,0)</f>
        <v>-1.2282613395238728E-2</v>
      </c>
    </row>
    <row r="1533" spans="1:3">
      <c r="A1533" s="119">
        <v>43024</v>
      </c>
      <c r="B1533" s="121">
        <v>72.383018493652344</v>
      </c>
      <c r="C1533" s="120">
        <f>IFERROR(yf_data[[#This Row],[Close Price]]/B1532-1,0)</f>
        <v>-1.683925420297383E-3</v>
      </c>
    </row>
    <row r="1534" spans="1:3">
      <c r="A1534" s="119">
        <v>43025</v>
      </c>
      <c r="B1534" s="121">
        <v>75.876785278320313</v>
      </c>
      <c r="C1534" s="120">
        <f>IFERROR(yf_data[[#This Row],[Close Price]]/B1533-1,0)</f>
        <v>4.8267768564727032E-2</v>
      </c>
    </row>
    <row r="1535" spans="1:3">
      <c r="A1535" s="119">
        <v>43026</v>
      </c>
      <c r="B1535" s="121">
        <v>76.20550537109375</v>
      </c>
      <c r="C1535" s="120">
        <f>IFERROR(yf_data[[#This Row],[Close Price]]/B1534-1,0)</f>
        <v>4.3322880847900258E-3</v>
      </c>
    </row>
    <row r="1536" spans="1:3">
      <c r="A1536" s="119">
        <v>43027</v>
      </c>
      <c r="B1536" s="121">
        <v>75.811042785644531</v>
      </c>
      <c r="C1536" s="120">
        <f>IFERROR(yf_data[[#This Row],[Close Price]]/B1535-1,0)</f>
        <v>-5.176300367385922E-3</v>
      </c>
    </row>
    <row r="1537" spans="1:3">
      <c r="A1537" s="119">
        <v>43028</v>
      </c>
      <c r="B1537" s="121">
        <v>75.811042785644531</v>
      </c>
      <c r="C1537" s="120">
        <f>IFERROR(yf_data[[#This Row],[Close Price]]/B1536-1,0)</f>
        <v>0</v>
      </c>
    </row>
    <row r="1538" spans="1:3">
      <c r="A1538" s="119">
        <v>43031</v>
      </c>
      <c r="B1538" s="121">
        <v>76.346382141113281</v>
      </c>
      <c r="C1538" s="120">
        <f>IFERROR(yf_data[[#This Row],[Close Price]]/B1537-1,0)</f>
        <v>7.0614957372689968E-3</v>
      </c>
    </row>
    <row r="1539" spans="1:3">
      <c r="A1539" s="119">
        <v>43032</v>
      </c>
      <c r="B1539" s="121">
        <v>78.187179565429688</v>
      </c>
      <c r="C1539" s="120">
        <f>IFERROR(yf_data[[#This Row],[Close Price]]/B1538-1,0)</f>
        <v>2.4111128421435923E-2</v>
      </c>
    </row>
    <row r="1540" spans="1:3">
      <c r="A1540" s="119">
        <v>43033</v>
      </c>
      <c r="B1540" s="121">
        <v>78.393806457519531</v>
      </c>
      <c r="C1540" s="120">
        <f>IFERROR(yf_data[[#This Row],[Close Price]]/B1539-1,0)</f>
        <v>2.6427208813297742E-3</v>
      </c>
    </row>
    <row r="1541" spans="1:3">
      <c r="A1541" s="119">
        <v>43034</v>
      </c>
      <c r="B1541" s="121">
        <v>80.591499328613281</v>
      </c>
      <c r="C1541" s="120">
        <f>IFERROR(yf_data[[#This Row],[Close Price]]/B1540-1,0)</f>
        <v>2.8034011491515631E-2</v>
      </c>
    </row>
    <row r="1542" spans="1:3">
      <c r="A1542" s="119">
        <v>43035</v>
      </c>
      <c r="B1542" s="121">
        <v>81.295883178710938</v>
      </c>
      <c r="C1542" s="120">
        <f>IFERROR(yf_data[[#This Row],[Close Price]]/B1541-1,0)</f>
        <v>8.7401755267701997E-3</v>
      </c>
    </row>
    <row r="1543" spans="1:3">
      <c r="A1543" s="119">
        <v>43038</v>
      </c>
      <c r="B1543" s="121">
        <v>79.558387756347656</v>
      </c>
      <c r="C1543" s="120">
        <f>IFERROR(yf_data[[#This Row],[Close Price]]/B1542-1,0)</f>
        <v>-2.1372489656626081E-2</v>
      </c>
    </row>
    <row r="1544" spans="1:3">
      <c r="A1544" s="119">
        <v>43039</v>
      </c>
      <c r="B1544" s="121">
        <v>82.413520812988281</v>
      </c>
      <c r="C1544" s="120">
        <f>IFERROR(yf_data[[#This Row],[Close Price]]/B1543-1,0)</f>
        <v>3.5887266410986607E-2</v>
      </c>
    </row>
    <row r="1545" spans="1:3">
      <c r="A1545" s="119">
        <v>43040</v>
      </c>
      <c r="B1545" s="121">
        <v>82.066009521484375</v>
      </c>
      <c r="C1545" s="120">
        <f>IFERROR(yf_data[[#This Row],[Close Price]]/B1544-1,0)</f>
        <v>-4.2166781381962615E-3</v>
      </c>
    </row>
    <row r="1546" spans="1:3">
      <c r="A1546" s="119">
        <v>43041</v>
      </c>
      <c r="B1546" s="121">
        <v>81.155006408691406</v>
      </c>
      <c r="C1546" s="120">
        <f>IFERROR(yf_data[[#This Row],[Close Price]]/B1545-1,0)</f>
        <v>-1.1100857932594743E-2</v>
      </c>
    </row>
    <row r="1547" spans="1:3">
      <c r="A1547" s="119">
        <v>43042</v>
      </c>
      <c r="B1547" s="121">
        <v>81.868789672851563</v>
      </c>
      <c r="C1547" s="120">
        <f>IFERROR(yf_data[[#This Row],[Close Price]]/B1546-1,0)</f>
        <v>8.7953078404749974E-3</v>
      </c>
    </row>
    <row r="1548" spans="1:3">
      <c r="A1548" s="119">
        <v>43045</v>
      </c>
      <c r="B1548" s="121">
        <v>81.35223388671875</v>
      </c>
      <c r="C1548" s="120">
        <f>IFERROR(yf_data[[#This Row],[Close Price]]/B1547-1,0)</f>
        <v>-6.3095568921560652E-3</v>
      </c>
    </row>
    <row r="1549" spans="1:3">
      <c r="A1549" s="119">
        <v>43046</v>
      </c>
      <c r="B1549" s="121">
        <v>81.145622253417969</v>
      </c>
      <c r="C1549" s="120">
        <f>IFERROR(yf_data[[#This Row],[Close Price]]/B1548-1,0)</f>
        <v>-2.5397167776423091E-3</v>
      </c>
    </row>
    <row r="1550" spans="1:3">
      <c r="A1550" s="119">
        <v>43047</v>
      </c>
      <c r="B1550" s="121">
        <v>80.262779235839844</v>
      </c>
      <c r="C1550" s="120">
        <f>IFERROR(yf_data[[#This Row],[Close Price]]/B1549-1,0)</f>
        <v>-1.0879736861478584E-2</v>
      </c>
    </row>
    <row r="1551" spans="1:3">
      <c r="A1551" s="119">
        <v>43048</v>
      </c>
      <c r="B1551" s="121">
        <v>78.957313537597656</v>
      </c>
      <c r="C1551" s="120">
        <f>IFERROR(yf_data[[#This Row],[Close Price]]/B1550-1,0)</f>
        <v>-1.6264895268655932E-2</v>
      </c>
    </row>
    <row r="1552" spans="1:3">
      <c r="A1552" s="119">
        <v>43049</v>
      </c>
      <c r="B1552" s="121">
        <v>78.62860107421875</v>
      </c>
      <c r="C1552" s="120">
        <f>IFERROR(yf_data[[#This Row],[Close Price]]/B1551-1,0)</f>
        <v>-4.1631667625365854E-3</v>
      </c>
    </row>
    <row r="1553" spans="1:3">
      <c r="A1553" s="119">
        <v>43052</v>
      </c>
      <c r="B1553" s="121">
        <v>78.187179565429688</v>
      </c>
      <c r="C1553" s="120">
        <f>IFERROR(yf_data[[#This Row],[Close Price]]/B1552-1,0)</f>
        <v>-5.6140068977241775E-3</v>
      </c>
    </row>
    <row r="1554" spans="1:3">
      <c r="A1554" s="119">
        <v>43053</v>
      </c>
      <c r="B1554" s="121">
        <v>78.459548950195313</v>
      </c>
      <c r="C1554" s="120">
        <f>IFERROR(yf_data[[#This Row],[Close Price]]/B1553-1,0)</f>
        <v>3.4835555685659436E-3</v>
      </c>
    </row>
    <row r="1555" spans="1:3">
      <c r="A1555" s="119">
        <v>43054</v>
      </c>
      <c r="B1555" s="121">
        <v>80.300346374511719</v>
      </c>
      <c r="C1555" s="120">
        <f>IFERROR(yf_data[[#This Row],[Close Price]]/B1554-1,0)</f>
        <v>2.3461738551223466E-2</v>
      </c>
    </row>
    <row r="1556" spans="1:3">
      <c r="A1556" s="119">
        <v>43055</v>
      </c>
      <c r="B1556" s="121">
        <v>80.290962219238281</v>
      </c>
      <c r="C1556" s="120">
        <f>IFERROR(yf_data[[#This Row],[Close Price]]/B1555-1,0)</f>
        <v>-1.1686319794523836E-4</v>
      </c>
    </row>
    <row r="1557" spans="1:3">
      <c r="A1557" s="119">
        <v>43056</v>
      </c>
      <c r="B1557" s="121">
        <v>79.718048095703125</v>
      </c>
      <c r="C1557" s="120">
        <f>IFERROR(yf_data[[#This Row],[Close Price]]/B1556-1,0)</f>
        <v>-7.1354746250367196E-3</v>
      </c>
    </row>
    <row r="1558" spans="1:3">
      <c r="A1558" s="119">
        <v>43059</v>
      </c>
      <c r="B1558" s="121">
        <v>80.018585205078125</v>
      </c>
      <c r="C1558" s="120">
        <f>IFERROR(yf_data[[#This Row],[Close Price]]/B1557-1,0)</f>
        <v>3.7700008536862839E-3</v>
      </c>
    </row>
    <row r="1559" spans="1:3">
      <c r="A1559" s="119">
        <v>43060</v>
      </c>
      <c r="B1559" s="121">
        <v>80.788726806640625</v>
      </c>
      <c r="C1559" s="120">
        <f>IFERROR(yf_data[[#This Row],[Close Price]]/B1558-1,0)</f>
        <v>9.6245340952820779E-3</v>
      </c>
    </row>
    <row r="1560" spans="1:3">
      <c r="A1560" s="119">
        <v>43061</v>
      </c>
      <c r="B1560" s="121">
        <v>80.14068603515625</v>
      </c>
      <c r="C1560" s="120">
        <f>IFERROR(yf_data[[#This Row],[Close Price]]/B1559-1,0)</f>
        <v>-8.0214257248464316E-3</v>
      </c>
    </row>
    <row r="1561" spans="1:3">
      <c r="A1561" s="119">
        <v>43062</v>
      </c>
      <c r="B1561" s="121">
        <v>80.6666259765625</v>
      </c>
      <c r="C1561" s="120">
        <f>IFERROR(yf_data[[#This Row],[Close Price]]/B1560-1,0)</f>
        <v>6.5627082500332445E-3</v>
      </c>
    </row>
    <row r="1562" spans="1:3">
      <c r="A1562" s="119">
        <v>43063</v>
      </c>
      <c r="B1562" s="121">
        <v>80.582107543945313</v>
      </c>
      <c r="C1562" s="120">
        <f>IFERROR(yf_data[[#This Row],[Close Price]]/B1561-1,0)</f>
        <v>-1.047749693184663E-3</v>
      </c>
    </row>
    <row r="1563" spans="1:3">
      <c r="A1563" s="119">
        <v>43066</v>
      </c>
      <c r="B1563" s="121">
        <v>80.478797912597656</v>
      </c>
      <c r="C1563" s="120">
        <f>IFERROR(yf_data[[#This Row],[Close Price]]/B1562-1,0)</f>
        <v>-1.2820418141994416E-3</v>
      </c>
    </row>
    <row r="1564" spans="1:3">
      <c r="A1564" s="119">
        <v>43067</v>
      </c>
      <c r="B1564" s="121">
        <v>81.549461364746094</v>
      </c>
      <c r="C1564" s="120">
        <f>IFERROR(yf_data[[#This Row],[Close Price]]/B1563-1,0)</f>
        <v>1.3303671027879993E-2</v>
      </c>
    </row>
    <row r="1565" spans="1:3">
      <c r="A1565" s="119">
        <v>43068</v>
      </c>
      <c r="B1565" s="121">
        <v>81.981491088867188</v>
      </c>
      <c r="C1565" s="120">
        <f>IFERROR(yf_data[[#This Row],[Close Price]]/B1564-1,0)</f>
        <v>5.2977630617172533E-3</v>
      </c>
    </row>
    <row r="1566" spans="1:3">
      <c r="A1566" s="119">
        <v>43069</v>
      </c>
      <c r="B1566" s="121">
        <v>81.981491088867188</v>
      </c>
      <c r="C1566" s="120">
        <f>IFERROR(yf_data[[#This Row],[Close Price]]/B1565-1,0)</f>
        <v>0</v>
      </c>
    </row>
    <row r="1567" spans="1:3">
      <c r="A1567" s="119">
        <v>43070</v>
      </c>
      <c r="B1567" s="121">
        <v>80.121902465820313</v>
      </c>
      <c r="C1567" s="120">
        <f>IFERROR(yf_data[[#This Row],[Close Price]]/B1566-1,0)</f>
        <v>-2.2683030015044459E-2</v>
      </c>
    </row>
    <row r="1568" spans="1:3">
      <c r="A1568" s="119">
        <v>43073</v>
      </c>
      <c r="B1568" s="121">
        <v>82.526222229003906</v>
      </c>
      <c r="C1568" s="120">
        <f>IFERROR(yf_data[[#This Row],[Close Price]]/B1567-1,0)</f>
        <v>3.0008271011902954E-2</v>
      </c>
    </row>
    <row r="1569" spans="1:3">
      <c r="A1569" s="119">
        <v>43074</v>
      </c>
      <c r="B1569" s="121">
        <v>83.183647155761719</v>
      </c>
      <c r="C1569" s="120">
        <f>IFERROR(yf_data[[#This Row],[Close Price]]/B1568-1,0)</f>
        <v>7.9662549551040573E-3</v>
      </c>
    </row>
    <row r="1570" spans="1:3">
      <c r="A1570" s="119">
        <v>43075</v>
      </c>
      <c r="B1570" s="121">
        <v>83.456008911132813</v>
      </c>
      <c r="C1570" s="120">
        <f>IFERROR(yf_data[[#This Row],[Close Price]]/B1569-1,0)</f>
        <v>3.2742223343620314E-3</v>
      </c>
    </row>
    <row r="1571" spans="1:3">
      <c r="A1571" s="119">
        <v>43076</v>
      </c>
      <c r="B1571" s="121">
        <v>82.667091369628906</v>
      </c>
      <c r="C1571" s="120">
        <f>IFERROR(yf_data[[#This Row],[Close Price]]/B1570-1,0)</f>
        <v>-9.4530945320423498E-3</v>
      </c>
    </row>
    <row r="1572" spans="1:3">
      <c r="A1572" s="119">
        <v>43077</v>
      </c>
      <c r="B1572" s="121">
        <v>82.432296752929688</v>
      </c>
      <c r="C1572" s="120">
        <f>IFERROR(yf_data[[#This Row],[Close Price]]/B1571-1,0)</f>
        <v>-2.8402428682217096E-3</v>
      </c>
    </row>
    <row r="1573" spans="1:3">
      <c r="A1573" s="119">
        <v>43080</v>
      </c>
      <c r="B1573" s="121">
        <v>80.704193115234375</v>
      </c>
      <c r="C1573" s="120">
        <f>IFERROR(yf_data[[#This Row],[Close Price]]/B1572-1,0)</f>
        <v>-2.096391470050718E-2</v>
      </c>
    </row>
    <row r="1574" spans="1:3">
      <c r="A1574" s="119">
        <v>43081</v>
      </c>
      <c r="B1574" s="121">
        <v>81.925148010253906</v>
      </c>
      <c r="C1574" s="120">
        <f>IFERROR(yf_data[[#This Row],[Close Price]]/B1573-1,0)</f>
        <v>1.5128766522405801E-2</v>
      </c>
    </row>
    <row r="1575" spans="1:3">
      <c r="A1575" s="119">
        <v>43082</v>
      </c>
      <c r="B1575" s="121">
        <v>81.004737854003906</v>
      </c>
      <c r="C1575" s="120">
        <f>IFERROR(yf_data[[#This Row],[Close Price]]/B1574-1,0)</f>
        <v>-1.123476952565039E-2</v>
      </c>
    </row>
    <row r="1576" spans="1:3">
      <c r="A1576" s="119">
        <v>43083</v>
      </c>
      <c r="B1576" s="121">
        <v>80.150070190429688</v>
      </c>
      <c r="C1576" s="120">
        <f>IFERROR(yf_data[[#This Row],[Close Price]]/B1575-1,0)</f>
        <v>-1.0550835496987876E-2</v>
      </c>
    </row>
    <row r="1577" spans="1:3">
      <c r="A1577" s="119">
        <v>43084</v>
      </c>
      <c r="B1577" s="121">
        <v>80.0655517578125</v>
      </c>
      <c r="C1577" s="120">
        <f>IFERROR(yf_data[[#This Row],[Close Price]]/B1576-1,0)</f>
        <v>-1.0545022907201274E-3</v>
      </c>
    </row>
    <row r="1578" spans="1:3">
      <c r="A1578" s="119">
        <v>43087</v>
      </c>
      <c r="B1578" s="121">
        <v>81.267707824707031</v>
      </c>
      <c r="C1578" s="120">
        <f>IFERROR(yf_data[[#This Row],[Close Price]]/B1577-1,0)</f>
        <v>1.5014647879163956E-2</v>
      </c>
    </row>
    <row r="1579" spans="1:3">
      <c r="A1579" s="119">
        <v>43088</v>
      </c>
      <c r="B1579" s="121">
        <v>80.460006713867188</v>
      </c>
      <c r="C1579" s="120">
        <f>IFERROR(yf_data[[#This Row],[Close Price]]/B1578-1,0)</f>
        <v>-9.9387706686897559E-3</v>
      </c>
    </row>
    <row r="1580" spans="1:3">
      <c r="A1580" s="119">
        <v>43089</v>
      </c>
      <c r="B1580" s="121">
        <v>79.642929077148438</v>
      </c>
      <c r="C1580" s="120">
        <f>IFERROR(yf_data[[#This Row],[Close Price]]/B1579-1,0)</f>
        <v>-1.0155077908760912E-2</v>
      </c>
    </row>
    <row r="1581" spans="1:3">
      <c r="A1581" s="119">
        <v>43090</v>
      </c>
      <c r="B1581" s="121">
        <v>79.755615234375</v>
      </c>
      <c r="C1581" s="120">
        <f>IFERROR(yf_data[[#This Row],[Close Price]]/B1580-1,0)</f>
        <v>1.4148921760199773E-3</v>
      </c>
    </row>
    <row r="1582" spans="1:3">
      <c r="A1582" s="119">
        <v>43091</v>
      </c>
      <c r="B1582" s="121">
        <v>79.408126831054688</v>
      </c>
      <c r="C1582" s="120">
        <f>IFERROR(yf_data[[#This Row],[Close Price]]/B1581-1,0)</f>
        <v>-4.3569145858778358E-3</v>
      </c>
    </row>
    <row r="1583" spans="1:3">
      <c r="A1583" s="119">
        <v>43096</v>
      </c>
      <c r="B1583" s="121">
        <v>80.056159973144531</v>
      </c>
      <c r="C1583" s="120">
        <f>IFERROR(yf_data[[#This Row],[Close Price]]/B1582-1,0)</f>
        <v>8.1607911929288957E-3</v>
      </c>
    </row>
    <row r="1584" spans="1:3">
      <c r="A1584" s="119">
        <v>43097</v>
      </c>
      <c r="B1584" s="121">
        <v>78.797660827636719</v>
      </c>
      <c r="C1584" s="120">
        <f>IFERROR(yf_data[[#This Row],[Close Price]]/B1583-1,0)</f>
        <v>-1.5720203741098615E-2</v>
      </c>
    </row>
    <row r="1585" spans="1:3">
      <c r="A1585" s="119">
        <v>43098</v>
      </c>
      <c r="B1585" s="121">
        <v>77.952384948730469</v>
      </c>
      <c r="C1585" s="120">
        <f>IFERROR(yf_data[[#This Row],[Close Price]]/B1584-1,0)</f>
        <v>-1.0727169690420424E-2</v>
      </c>
    </row>
    <row r="1586" spans="1:3">
      <c r="A1586" s="119">
        <v>43102</v>
      </c>
      <c r="B1586" s="121">
        <v>77.71759033203125</v>
      </c>
      <c r="C1586" s="120">
        <f>IFERROR(yf_data[[#This Row],[Close Price]]/B1585-1,0)</f>
        <v>-3.0120260830203138E-3</v>
      </c>
    </row>
    <row r="1587" spans="1:3">
      <c r="A1587" s="119">
        <v>43103</v>
      </c>
      <c r="B1587" s="121">
        <v>79.0042724609375</v>
      </c>
      <c r="C1587" s="120">
        <f>IFERROR(yf_data[[#This Row],[Close Price]]/B1586-1,0)</f>
        <v>1.6555867512221933E-2</v>
      </c>
    </row>
    <row r="1588" spans="1:3">
      <c r="A1588" s="119">
        <v>43104</v>
      </c>
      <c r="B1588" s="121">
        <v>80.600883483886719</v>
      </c>
      <c r="C1588" s="120">
        <f>IFERROR(yf_data[[#This Row],[Close Price]]/B1587-1,0)</f>
        <v>2.0209173165143035E-2</v>
      </c>
    </row>
    <row r="1589" spans="1:3">
      <c r="A1589" s="119">
        <v>43105</v>
      </c>
      <c r="B1589" s="121">
        <v>80.394271850585938</v>
      </c>
      <c r="C1589" s="120">
        <f>IFERROR(yf_data[[#This Row],[Close Price]]/B1588-1,0)</f>
        <v>-2.5633916697958004E-3</v>
      </c>
    </row>
    <row r="1590" spans="1:3">
      <c r="A1590" s="119">
        <v>43108</v>
      </c>
      <c r="B1590" s="121">
        <v>81.35223388671875</v>
      </c>
      <c r="C1590" s="120">
        <f>IFERROR(yf_data[[#This Row],[Close Price]]/B1589-1,0)</f>
        <v>1.191579964693501E-2</v>
      </c>
    </row>
    <row r="1591" spans="1:3">
      <c r="A1591" s="119">
        <v>43109</v>
      </c>
      <c r="B1591" s="121">
        <v>81.596420288085938</v>
      </c>
      <c r="C1591" s="120">
        <f>IFERROR(yf_data[[#This Row],[Close Price]]/B1590-1,0)</f>
        <v>3.0015942980399224E-3</v>
      </c>
    </row>
    <row r="1592" spans="1:3">
      <c r="A1592" s="119">
        <v>43110</v>
      </c>
      <c r="B1592" s="121">
        <v>84.780258178710938</v>
      </c>
      <c r="C1592" s="120">
        <f>IFERROR(yf_data[[#This Row],[Close Price]]/B1591-1,0)</f>
        <v>3.9019332948480923E-2</v>
      </c>
    </row>
    <row r="1593" spans="1:3">
      <c r="A1593" s="119">
        <v>43111</v>
      </c>
      <c r="B1593" s="121">
        <v>84.545463562011719</v>
      </c>
      <c r="C1593" s="120">
        <f>IFERROR(yf_data[[#This Row],[Close Price]]/B1592-1,0)</f>
        <v>-2.7694491824298284E-3</v>
      </c>
    </row>
    <row r="1594" spans="1:3">
      <c r="A1594" s="119">
        <v>43112</v>
      </c>
      <c r="B1594" s="121">
        <v>84.902359008789063</v>
      </c>
      <c r="C1594" s="120">
        <f>IFERROR(yf_data[[#This Row],[Close Price]]/B1593-1,0)</f>
        <v>4.2213435439450997E-3</v>
      </c>
    </row>
    <row r="1595" spans="1:3">
      <c r="A1595" s="119">
        <v>43115</v>
      </c>
      <c r="B1595" s="121">
        <v>84.526687622070313</v>
      </c>
      <c r="C1595" s="120">
        <f>IFERROR(yf_data[[#This Row],[Close Price]]/B1594-1,0)</f>
        <v>-4.4247461566981894E-3</v>
      </c>
    </row>
    <row r="1596" spans="1:3">
      <c r="A1596" s="119">
        <v>43116</v>
      </c>
      <c r="B1596" s="121">
        <v>84.498504638671875</v>
      </c>
      <c r="C1596" s="120">
        <f>IFERROR(yf_data[[#This Row],[Close Price]]/B1595-1,0)</f>
        <v>-3.3342112640744048E-4</v>
      </c>
    </row>
    <row r="1597" spans="1:3">
      <c r="A1597" s="119">
        <v>43117</v>
      </c>
      <c r="B1597" s="121">
        <v>84.282501220703125</v>
      </c>
      <c r="C1597" s="120">
        <f>IFERROR(yf_data[[#This Row],[Close Price]]/B1596-1,0)</f>
        <v>-2.5562987048399766E-3</v>
      </c>
    </row>
    <row r="1598" spans="1:3">
      <c r="A1598" s="119">
        <v>43118</v>
      </c>
      <c r="B1598" s="121">
        <v>84.902359008789063</v>
      </c>
      <c r="C1598" s="120">
        <f>IFERROR(yf_data[[#This Row],[Close Price]]/B1597-1,0)</f>
        <v>7.3545253060629534E-3</v>
      </c>
    </row>
    <row r="1599" spans="1:3">
      <c r="A1599" s="119">
        <v>43119</v>
      </c>
      <c r="B1599" s="121">
        <v>87.147010803222656</v>
      </c>
      <c r="C1599" s="120">
        <f>IFERROR(yf_data[[#This Row],[Close Price]]/B1598-1,0)</f>
        <v>2.6438038007886577E-2</v>
      </c>
    </row>
    <row r="1600" spans="1:3">
      <c r="A1600" s="119">
        <v>43122</v>
      </c>
      <c r="B1600" s="121">
        <v>87.57904052734375</v>
      </c>
      <c r="C1600" s="120">
        <f>IFERROR(yf_data[[#This Row],[Close Price]]/B1599-1,0)</f>
        <v>4.957481847502665E-3</v>
      </c>
    </row>
    <row r="1601" spans="1:3">
      <c r="A1601" s="119">
        <v>43123</v>
      </c>
      <c r="B1601" s="121">
        <v>86.498970031738281</v>
      </c>
      <c r="C1601" s="120">
        <f>IFERROR(yf_data[[#This Row],[Close Price]]/B1600-1,0)</f>
        <v>-1.233252258876083E-2</v>
      </c>
    </row>
    <row r="1602" spans="1:3">
      <c r="A1602" s="119">
        <v>43124</v>
      </c>
      <c r="B1602" s="121">
        <v>84.99627685546875</v>
      </c>
      <c r="C1602" s="120">
        <f>IFERROR(yf_data[[#This Row],[Close Price]]/B1601-1,0)</f>
        <v>-1.7372382303721734E-2</v>
      </c>
    </row>
    <row r="1603" spans="1:3">
      <c r="A1603" s="119">
        <v>43125</v>
      </c>
      <c r="B1603" s="121">
        <v>82.6483154296875</v>
      </c>
      <c r="C1603" s="120">
        <f>IFERROR(yf_data[[#This Row],[Close Price]]/B1602-1,0)</f>
        <v>-2.7624285588106701E-2</v>
      </c>
    </row>
    <row r="1604" spans="1:3">
      <c r="A1604" s="119">
        <v>43126</v>
      </c>
      <c r="B1604" s="121">
        <v>84.113441467285156</v>
      </c>
      <c r="C1604" s="120">
        <f>IFERROR(yf_data[[#This Row],[Close Price]]/B1603-1,0)</f>
        <v>1.7727234124258695E-2</v>
      </c>
    </row>
    <row r="1605" spans="1:3">
      <c r="A1605" s="119">
        <v>43129</v>
      </c>
      <c r="B1605" s="121">
        <v>84.921142578125</v>
      </c>
      <c r="C1605" s="120">
        <f>IFERROR(yf_data[[#This Row],[Close Price]]/B1604-1,0)</f>
        <v>9.6025212706816188E-3</v>
      </c>
    </row>
    <row r="1606" spans="1:3">
      <c r="A1606" s="119">
        <v>43130</v>
      </c>
      <c r="B1606" s="121">
        <v>84.338851928710938</v>
      </c>
      <c r="C1606" s="120">
        <f>IFERROR(yf_data[[#This Row],[Close Price]]/B1605-1,0)</f>
        <v>-6.8568395541589444E-3</v>
      </c>
    </row>
    <row r="1607" spans="1:3">
      <c r="A1607" s="119">
        <v>43131</v>
      </c>
      <c r="B1607" s="121">
        <v>86.874649047851563</v>
      </c>
      <c r="C1607" s="120">
        <f>IFERROR(yf_data[[#This Row],[Close Price]]/B1606-1,0)</f>
        <v>3.0066773036987238E-2</v>
      </c>
    </row>
    <row r="1608" spans="1:3">
      <c r="A1608" s="119">
        <v>43132</v>
      </c>
      <c r="B1608" s="121">
        <v>85.625526428222656</v>
      </c>
      <c r="C1608" s="120">
        <f>IFERROR(yf_data[[#This Row],[Close Price]]/B1607-1,0)</f>
        <v>-1.4378447951379658E-2</v>
      </c>
    </row>
    <row r="1609" spans="1:3">
      <c r="A1609" s="119">
        <v>43133</v>
      </c>
      <c r="B1609" s="121">
        <v>82.620132446289063</v>
      </c>
      <c r="C1609" s="120">
        <f>IFERROR(yf_data[[#This Row],[Close Price]]/B1608-1,0)</f>
        <v>-3.509927596711393E-2</v>
      </c>
    </row>
    <row r="1610" spans="1:3">
      <c r="A1610" s="119">
        <v>43136</v>
      </c>
      <c r="B1610" s="121">
        <v>81.333457946777344</v>
      </c>
      <c r="C1610" s="120">
        <f>IFERROR(yf_data[[#This Row],[Close Price]]/B1609-1,0)</f>
        <v>-1.5573377352646856E-2</v>
      </c>
    </row>
    <row r="1611" spans="1:3">
      <c r="A1611" s="119">
        <v>43137</v>
      </c>
      <c r="B1611" s="121">
        <v>79.840156555175781</v>
      </c>
      <c r="C1611" s="120">
        <f>IFERROR(yf_data[[#This Row],[Close Price]]/B1610-1,0)</f>
        <v>-1.8360234881181881E-2</v>
      </c>
    </row>
    <row r="1612" spans="1:3">
      <c r="A1612" s="119">
        <v>43138</v>
      </c>
      <c r="B1612" s="121">
        <v>83.02398681640625</v>
      </c>
      <c r="C1612" s="120">
        <f>IFERROR(yf_data[[#This Row],[Close Price]]/B1611-1,0)</f>
        <v>3.9877555338085902E-2</v>
      </c>
    </row>
    <row r="1613" spans="1:3">
      <c r="A1613" s="119">
        <v>43139</v>
      </c>
      <c r="B1613" s="121">
        <v>80.309738159179688</v>
      </c>
      <c r="C1613" s="120">
        <f>IFERROR(yf_data[[#This Row],[Close Price]]/B1612-1,0)</f>
        <v>-3.269234303609958E-2</v>
      </c>
    </row>
    <row r="1614" spans="1:3">
      <c r="A1614" s="119">
        <v>43140</v>
      </c>
      <c r="B1614" s="121">
        <v>78.459548950195313</v>
      </c>
      <c r="C1614" s="120">
        <f>IFERROR(yf_data[[#This Row],[Close Price]]/B1613-1,0)</f>
        <v>-2.303816761694788E-2</v>
      </c>
    </row>
    <row r="1615" spans="1:3">
      <c r="A1615" s="119">
        <v>43143</v>
      </c>
      <c r="B1615" s="121">
        <v>77.501571655273438</v>
      </c>
      <c r="C1615" s="120">
        <f>IFERROR(yf_data[[#This Row],[Close Price]]/B1614-1,0)</f>
        <v>-1.2209824141736769E-2</v>
      </c>
    </row>
    <row r="1616" spans="1:3">
      <c r="A1616" s="119">
        <v>43144</v>
      </c>
      <c r="B1616" s="121">
        <v>78.093269348144531</v>
      </c>
      <c r="C1616" s="120">
        <f>IFERROR(yf_data[[#This Row],[Close Price]]/B1615-1,0)</f>
        <v>7.6346541138927471E-3</v>
      </c>
    </row>
    <row r="1617" spans="1:3">
      <c r="A1617" s="119">
        <v>43145</v>
      </c>
      <c r="B1617" s="121">
        <v>79.051231384277344</v>
      </c>
      <c r="C1617" s="120">
        <f>IFERROR(yf_data[[#This Row],[Close Price]]/B1616-1,0)</f>
        <v>1.2266896291179163E-2</v>
      </c>
    </row>
    <row r="1618" spans="1:3">
      <c r="A1618" s="119">
        <v>43146</v>
      </c>
      <c r="B1618" s="121">
        <v>87.175186157226563</v>
      </c>
      <c r="C1618" s="120">
        <f>IFERROR(yf_data[[#This Row],[Close Price]]/B1617-1,0)</f>
        <v>0.10276822549996356</v>
      </c>
    </row>
    <row r="1619" spans="1:3">
      <c r="A1619" s="119">
        <v>43147</v>
      </c>
      <c r="B1619" s="121">
        <v>89.720382690429688</v>
      </c>
      <c r="C1619" s="120">
        <f>IFERROR(yf_data[[#This Row],[Close Price]]/B1618-1,0)</f>
        <v>2.9196341819249794E-2</v>
      </c>
    </row>
    <row r="1620" spans="1:3">
      <c r="A1620" s="119">
        <v>43150</v>
      </c>
      <c r="B1620" s="121">
        <v>89.119300842285156</v>
      </c>
      <c r="C1620" s="120">
        <f>IFERROR(yf_data[[#This Row],[Close Price]]/B1619-1,0)</f>
        <v>-6.6995016084415715E-3</v>
      </c>
    </row>
    <row r="1621" spans="1:3">
      <c r="A1621" s="119">
        <v>43151</v>
      </c>
      <c r="B1621" s="121">
        <v>91.091583251953125</v>
      </c>
      <c r="C1621" s="120">
        <f>IFERROR(yf_data[[#This Row],[Close Price]]/B1620-1,0)</f>
        <v>2.2130811070413703E-2</v>
      </c>
    </row>
    <row r="1622" spans="1:3">
      <c r="A1622" s="119">
        <v>43152</v>
      </c>
      <c r="B1622" s="121">
        <v>91.720848083496094</v>
      </c>
      <c r="C1622" s="120">
        <f>IFERROR(yf_data[[#This Row],[Close Price]]/B1621-1,0)</f>
        <v>6.9080458268298006E-3</v>
      </c>
    </row>
    <row r="1623" spans="1:3">
      <c r="A1623" s="119">
        <v>43153</v>
      </c>
      <c r="B1623" s="121">
        <v>91.758415222167955</v>
      </c>
      <c r="C1623" s="120">
        <f>IFERROR(yf_data[[#This Row],[Close Price]]/B1622-1,0)</f>
        <v>4.0958123978152017E-4</v>
      </c>
    </row>
    <row r="1624" spans="1:3">
      <c r="A1624" s="119">
        <v>43154</v>
      </c>
      <c r="B1624" s="121">
        <v>92.321914672851563</v>
      </c>
      <c r="C1624" s="120">
        <f>IFERROR(yf_data[[#This Row],[Close Price]]/B1623-1,0)</f>
        <v>6.141120128537958E-3</v>
      </c>
    </row>
    <row r="1625" spans="1:3">
      <c r="A1625" s="119">
        <v>43157</v>
      </c>
      <c r="B1625" s="121">
        <v>92.922996520996094</v>
      </c>
      <c r="C1625" s="120">
        <f>IFERROR(yf_data[[#This Row],[Close Price]]/B1624-1,0)</f>
        <v>6.5107168788094416E-3</v>
      </c>
    </row>
    <row r="1626" spans="1:3">
      <c r="A1626" s="119">
        <v>43158</v>
      </c>
      <c r="B1626" s="121">
        <v>92.706993103027344</v>
      </c>
      <c r="C1626" s="120">
        <f>IFERROR(yf_data[[#This Row],[Close Price]]/B1625-1,0)</f>
        <v>-2.3245421053543769E-3</v>
      </c>
    </row>
    <row r="1627" spans="1:3">
      <c r="A1627" s="119">
        <v>43159</v>
      </c>
      <c r="B1627" s="121">
        <v>92.359481811523438</v>
      </c>
      <c r="C1627" s="120">
        <f>IFERROR(yf_data[[#This Row],[Close Price]]/B1626-1,0)</f>
        <v>-3.7484905924810574E-3</v>
      </c>
    </row>
    <row r="1628" spans="1:3">
      <c r="A1628" s="119">
        <v>43160</v>
      </c>
      <c r="B1628" s="121">
        <v>91.194900512695327</v>
      </c>
      <c r="C1628" s="120">
        <f>IFERROR(yf_data[[#This Row],[Close Price]]/B1627-1,0)</f>
        <v>-1.2609222962128075E-2</v>
      </c>
    </row>
    <row r="1629" spans="1:3">
      <c r="A1629" s="119">
        <v>43161</v>
      </c>
      <c r="B1629" s="121">
        <v>88.236465454101563</v>
      </c>
      <c r="C1629" s="120">
        <f>IFERROR(yf_data[[#This Row],[Close Price]]/B1628-1,0)</f>
        <v>-3.2440794846658294E-2</v>
      </c>
    </row>
    <row r="1630" spans="1:3">
      <c r="A1630" s="119">
        <v>43164</v>
      </c>
      <c r="B1630" s="121">
        <v>89.927001953125</v>
      </c>
      <c r="C1630" s="120">
        <f>IFERROR(yf_data[[#This Row],[Close Price]]/B1629-1,0)</f>
        <v>1.915915931495249E-2</v>
      </c>
    </row>
    <row r="1631" spans="1:3">
      <c r="A1631" s="119">
        <v>43165</v>
      </c>
      <c r="B1631" s="121">
        <v>90.274505615234375</v>
      </c>
      <c r="C1631" s="120">
        <f>IFERROR(yf_data[[#This Row],[Close Price]]/B1630-1,0)</f>
        <v>3.8642860827331482E-3</v>
      </c>
    </row>
    <row r="1632" spans="1:3">
      <c r="A1632" s="119">
        <v>43166</v>
      </c>
      <c r="B1632" s="121">
        <v>89.898826599121094</v>
      </c>
      <c r="C1632" s="120">
        <f>IFERROR(yf_data[[#This Row],[Close Price]]/B1631-1,0)</f>
        <v>-4.1615183993860549E-3</v>
      </c>
    </row>
    <row r="1633" spans="1:3">
      <c r="A1633" s="119">
        <v>43167</v>
      </c>
      <c r="B1633" s="121">
        <v>91.185501098632798</v>
      </c>
      <c r="C1633" s="120">
        <f>IFERROR(yf_data[[#This Row],[Close Price]]/B1632-1,0)</f>
        <v>1.4312472678306154E-2</v>
      </c>
    </row>
    <row r="1634" spans="1:3">
      <c r="A1634" s="119">
        <v>43168</v>
      </c>
      <c r="B1634" s="121">
        <v>92.350105285644517</v>
      </c>
      <c r="C1634" s="120">
        <f>IFERROR(yf_data[[#This Row],[Close Price]]/B1633-1,0)</f>
        <v>1.2771813204732974E-2</v>
      </c>
    </row>
    <row r="1635" spans="1:3">
      <c r="A1635" s="119">
        <v>43171</v>
      </c>
      <c r="B1635" s="121">
        <v>90.039703369140625</v>
      </c>
      <c r="C1635" s="120">
        <f>IFERROR(yf_data[[#This Row],[Close Price]]/B1634-1,0)</f>
        <v>-2.5017859041499446E-2</v>
      </c>
    </row>
    <row r="1636" spans="1:3">
      <c r="A1636" s="119">
        <v>43172</v>
      </c>
      <c r="B1636" s="121">
        <v>89.84246826171875</v>
      </c>
      <c r="C1636" s="120">
        <f>IFERROR(yf_data[[#This Row],[Close Price]]/B1635-1,0)</f>
        <v>-2.1905348423156834E-3</v>
      </c>
    </row>
    <row r="1637" spans="1:3">
      <c r="A1637" s="119">
        <v>43173</v>
      </c>
      <c r="B1637" s="121">
        <v>89.457405090332031</v>
      </c>
      <c r="C1637" s="120">
        <f>IFERROR(yf_data[[#This Row],[Close Price]]/B1636-1,0)</f>
        <v>-4.2859816614231327E-3</v>
      </c>
    </row>
    <row r="1638" spans="1:3">
      <c r="A1638" s="119">
        <v>43174</v>
      </c>
      <c r="B1638" s="121">
        <v>90.950706481933594</v>
      </c>
      <c r="C1638" s="120">
        <f>IFERROR(yf_data[[#This Row],[Close Price]]/B1637-1,0)</f>
        <v>1.6692876236390486E-2</v>
      </c>
    </row>
    <row r="1639" spans="1:3">
      <c r="A1639" s="119">
        <v>43175</v>
      </c>
      <c r="B1639" s="121">
        <v>90.161796569824219</v>
      </c>
      <c r="C1639" s="120">
        <f>IFERROR(yf_data[[#This Row],[Close Price]]/B1638-1,0)</f>
        <v>-8.6740383073998784E-3</v>
      </c>
    </row>
    <row r="1640" spans="1:3">
      <c r="A1640" s="119">
        <v>43178</v>
      </c>
      <c r="B1640" s="121">
        <v>88.687271118164063</v>
      </c>
      <c r="C1640" s="120">
        <f>IFERROR(yf_data[[#This Row],[Close Price]]/B1639-1,0)</f>
        <v>-1.6354215507653924E-2</v>
      </c>
    </row>
    <row r="1641" spans="1:3">
      <c r="A1641" s="119">
        <v>43179</v>
      </c>
      <c r="B1641" s="121">
        <v>90.565643310546875</v>
      </c>
      <c r="C1641" s="120">
        <f>IFERROR(yf_data[[#This Row],[Close Price]]/B1640-1,0)</f>
        <v>2.1179727019451589E-2</v>
      </c>
    </row>
    <row r="1642" spans="1:3">
      <c r="A1642" s="119">
        <v>43180</v>
      </c>
      <c r="B1642" s="121">
        <v>89.70159912109375</v>
      </c>
      <c r="C1642" s="120">
        <f>IFERROR(yf_data[[#This Row],[Close Price]]/B1641-1,0)</f>
        <v>-9.5405294752928249E-3</v>
      </c>
    </row>
    <row r="1643" spans="1:3">
      <c r="A1643" s="119">
        <v>43181</v>
      </c>
      <c r="B1643" s="121">
        <v>88.875114440917969</v>
      </c>
      <c r="C1643" s="120">
        <f>IFERROR(yf_data[[#This Row],[Close Price]]/B1642-1,0)</f>
        <v>-9.2137117763091414E-3</v>
      </c>
    </row>
    <row r="1644" spans="1:3">
      <c r="A1644" s="119">
        <v>43182</v>
      </c>
      <c r="B1644" s="121">
        <v>87.26910400390625</v>
      </c>
      <c r="C1644" s="120">
        <f>IFERROR(yf_data[[#This Row],[Close Price]]/B1643-1,0)</f>
        <v>-1.8070417654194482E-2</v>
      </c>
    </row>
    <row r="1645" spans="1:3">
      <c r="A1645" s="119">
        <v>43185</v>
      </c>
      <c r="B1645" s="121">
        <v>87.231536865234375</v>
      </c>
      <c r="C1645" s="120">
        <f>IFERROR(yf_data[[#This Row],[Close Price]]/B1644-1,0)</f>
        <v>-4.3047466913592736E-4</v>
      </c>
    </row>
    <row r="1646" spans="1:3">
      <c r="A1646" s="119">
        <v>43186</v>
      </c>
      <c r="B1646" s="121">
        <v>89.3165283203125</v>
      </c>
      <c r="C1646" s="120">
        <f>IFERROR(yf_data[[#This Row],[Close Price]]/B1645-1,0)</f>
        <v>2.3901808107534173E-2</v>
      </c>
    </row>
    <row r="1647" spans="1:3">
      <c r="A1647" s="119">
        <v>43187</v>
      </c>
      <c r="B1647" s="121">
        <v>88.2646484375</v>
      </c>
      <c r="C1647" s="120">
        <f>IFERROR(yf_data[[#This Row],[Close Price]]/B1646-1,0)</f>
        <v>-1.1776990245749186E-2</v>
      </c>
    </row>
    <row r="1648" spans="1:3">
      <c r="A1648" s="119">
        <v>43188</v>
      </c>
      <c r="B1648" s="121">
        <v>88.095588684082031</v>
      </c>
      <c r="C1648" s="120">
        <f>IFERROR(yf_data[[#This Row],[Close Price]]/B1647-1,0)</f>
        <v>-1.9153733279488883E-3</v>
      </c>
    </row>
    <row r="1649" spans="1:3">
      <c r="A1649" s="119">
        <v>43193</v>
      </c>
      <c r="B1649" s="121">
        <v>87.907752990722656</v>
      </c>
      <c r="C1649" s="120">
        <f>IFERROR(yf_data[[#This Row],[Close Price]]/B1648-1,0)</f>
        <v>-2.1321804662997046E-3</v>
      </c>
    </row>
    <row r="1650" spans="1:3">
      <c r="A1650" s="119">
        <v>43194</v>
      </c>
      <c r="B1650" s="121">
        <v>87.165794372558594</v>
      </c>
      <c r="C1650" s="120">
        <f>IFERROR(yf_data[[#This Row],[Close Price]]/B1649-1,0)</f>
        <v>-8.440195465380218E-3</v>
      </c>
    </row>
    <row r="1651" spans="1:3">
      <c r="A1651" s="119">
        <v>43195</v>
      </c>
      <c r="B1651" s="121">
        <v>89.100517272949219</v>
      </c>
      <c r="C1651" s="120">
        <f>IFERROR(yf_data[[#This Row],[Close Price]]/B1650-1,0)</f>
        <v>2.2195895928182052E-2</v>
      </c>
    </row>
    <row r="1652" spans="1:3">
      <c r="A1652" s="119">
        <v>43196</v>
      </c>
      <c r="B1652" s="121">
        <v>88.659103393554688</v>
      </c>
      <c r="C1652" s="120">
        <f>IFERROR(yf_data[[#This Row],[Close Price]]/B1651-1,0)</f>
        <v>-4.9541112992903535E-3</v>
      </c>
    </row>
    <row r="1653" spans="1:3">
      <c r="A1653" s="119">
        <v>43199</v>
      </c>
      <c r="B1653" s="121">
        <v>88.659103393554688</v>
      </c>
      <c r="C1653" s="120">
        <f>IFERROR(yf_data[[#This Row],[Close Price]]/B1652-1,0)</f>
        <v>0</v>
      </c>
    </row>
    <row r="1654" spans="1:3">
      <c r="A1654" s="119">
        <v>43200</v>
      </c>
      <c r="B1654" s="121">
        <v>89.6170654296875</v>
      </c>
      <c r="C1654" s="120">
        <f>IFERROR(yf_data[[#This Row],[Close Price]]/B1653-1,0)</f>
        <v>1.0805004781973215E-2</v>
      </c>
    </row>
    <row r="1655" spans="1:3">
      <c r="A1655" s="119">
        <v>43201</v>
      </c>
      <c r="B1655" s="121">
        <v>86.80889892578125</v>
      </c>
      <c r="C1655" s="120">
        <f>IFERROR(yf_data[[#This Row],[Close Price]]/B1654-1,0)</f>
        <v>-3.1335175844488083E-2</v>
      </c>
    </row>
    <row r="1656" spans="1:3">
      <c r="A1656" s="119">
        <v>43202</v>
      </c>
      <c r="B1656" s="121">
        <v>87.306671142578125</v>
      </c>
      <c r="C1656" s="120">
        <f>IFERROR(yf_data[[#This Row],[Close Price]]/B1655-1,0)</f>
        <v>5.7341150844736344E-3</v>
      </c>
    </row>
    <row r="1657" spans="1:3">
      <c r="A1657" s="119">
        <v>43203</v>
      </c>
      <c r="B1657" s="121">
        <v>85.935462951660156</v>
      </c>
      <c r="C1657" s="120">
        <f>IFERROR(yf_data[[#This Row],[Close Price]]/B1656-1,0)</f>
        <v>-1.5705651961906653E-2</v>
      </c>
    </row>
    <row r="1658" spans="1:3">
      <c r="A1658" s="119">
        <v>43206</v>
      </c>
      <c r="B1658" s="121">
        <v>86.298301696777344</v>
      </c>
      <c r="C1658" s="120">
        <f>IFERROR(yf_data[[#This Row],[Close Price]]/B1657-1,0)</f>
        <v>4.2222236624394061E-3</v>
      </c>
    </row>
    <row r="1659" spans="1:3">
      <c r="A1659" s="119">
        <v>43207</v>
      </c>
      <c r="B1659" s="121">
        <v>88.876365661621094</v>
      </c>
      <c r="C1659" s="120">
        <f>IFERROR(yf_data[[#This Row],[Close Price]]/B1658-1,0)</f>
        <v>2.9873866740763644E-2</v>
      </c>
    </row>
    <row r="1660" spans="1:3">
      <c r="A1660" s="119">
        <v>43208</v>
      </c>
      <c r="B1660" s="121">
        <v>90.327713012695327</v>
      </c>
      <c r="C1660" s="120">
        <f>IFERROR(yf_data[[#This Row],[Close Price]]/B1659-1,0)</f>
        <v>1.6329958367109043E-2</v>
      </c>
    </row>
    <row r="1661" spans="1:3">
      <c r="A1661" s="119">
        <v>43209</v>
      </c>
      <c r="B1661" s="121">
        <v>89.983970642089844</v>
      </c>
      <c r="C1661" s="120">
        <f>IFERROR(yf_data[[#This Row],[Close Price]]/B1660-1,0)</f>
        <v>-3.8055028644107258E-3</v>
      </c>
    </row>
    <row r="1662" spans="1:3">
      <c r="A1662" s="119">
        <v>43210</v>
      </c>
      <c r="B1662" s="121">
        <v>89.917137145996094</v>
      </c>
      <c r="C1662" s="120">
        <f>IFERROR(yf_data[[#This Row],[Close Price]]/B1661-1,0)</f>
        <v>-7.4272668361763383E-4</v>
      </c>
    </row>
    <row r="1663" spans="1:3">
      <c r="A1663" s="119">
        <v>43213</v>
      </c>
      <c r="B1663" s="121">
        <v>91.817268371582045</v>
      </c>
      <c r="C1663" s="120">
        <f>IFERROR(yf_data[[#This Row],[Close Price]]/B1662-1,0)</f>
        <v>2.1132025394678289E-2</v>
      </c>
    </row>
    <row r="1664" spans="1:3">
      <c r="A1664" s="119">
        <v>43214</v>
      </c>
      <c r="B1664" s="121">
        <v>92.342430114746094</v>
      </c>
      <c r="C1664" s="120">
        <f>IFERROR(yf_data[[#This Row],[Close Price]]/B1663-1,0)</f>
        <v>5.7196402428214554E-3</v>
      </c>
    </row>
    <row r="1665" spans="1:3">
      <c r="A1665" s="119">
        <v>43215</v>
      </c>
      <c r="B1665" s="121">
        <v>90.681007385253906</v>
      </c>
      <c r="C1665" s="120">
        <f>IFERROR(yf_data[[#This Row],[Close Price]]/B1664-1,0)</f>
        <v>-1.7991975383663594E-2</v>
      </c>
    </row>
    <row r="1666" spans="1:3">
      <c r="A1666" s="119">
        <v>43216</v>
      </c>
      <c r="B1666" s="121">
        <v>91.187072753906236</v>
      </c>
      <c r="C1666" s="120">
        <f>IFERROR(yf_data[[#This Row],[Close Price]]/B1665-1,0)</f>
        <v>5.5807206298705836E-3</v>
      </c>
    </row>
    <row r="1667" spans="1:3">
      <c r="A1667" s="119">
        <v>43217</v>
      </c>
      <c r="B1667" s="121">
        <v>92.552490234375</v>
      </c>
      <c r="C1667" s="120">
        <f>IFERROR(yf_data[[#This Row],[Close Price]]/B1666-1,0)</f>
        <v>1.4973805378682536E-2</v>
      </c>
    </row>
    <row r="1668" spans="1:3">
      <c r="A1668" s="119">
        <v>43220</v>
      </c>
      <c r="B1668" s="121">
        <v>93.001266479492202</v>
      </c>
      <c r="C1668" s="120">
        <f>IFERROR(yf_data[[#This Row],[Close Price]]/B1667-1,0)</f>
        <v>4.8488835252378237E-3</v>
      </c>
    </row>
    <row r="1669" spans="1:3">
      <c r="A1669" s="119">
        <v>43222</v>
      </c>
      <c r="B1669" s="121">
        <v>93.641006469726563</v>
      </c>
      <c r="C1669" s="120">
        <f>IFERROR(yf_data[[#This Row],[Close Price]]/B1668-1,0)</f>
        <v>6.8788309498497568E-3</v>
      </c>
    </row>
    <row r="1670" spans="1:3">
      <c r="A1670" s="119">
        <v>43223</v>
      </c>
      <c r="B1670" s="121">
        <v>93.631454467773438</v>
      </c>
      <c r="C1670" s="120">
        <f>IFERROR(yf_data[[#This Row],[Close Price]]/B1669-1,0)</f>
        <v>-1.02006613483141E-4</v>
      </c>
    </row>
    <row r="1671" spans="1:3">
      <c r="A1671" s="119">
        <v>43224</v>
      </c>
      <c r="B1671" s="121">
        <v>94.233009338378906</v>
      </c>
      <c r="C1671" s="120">
        <f>IFERROR(yf_data[[#This Row],[Close Price]]/B1670-1,0)</f>
        <v>6.4247092392708538E-3</v>
      </c>
    </row>
    <row r="1672" spans="1:3">
      <c r="A1672" s="119">
        <v>43227</v>
      </c>
      <c r="B1672" s="121">
        <v>95.884880065917955</v>
      </c>
      <c r="C1672" s="120">
        <f>IFERROR(yf_data[[#This Row],[Close Price]]/B1671-1,0)</f>
        <v>1.7529639975811362E-2</v>
      </c>
    </row>
    <row r="1673" spans="1:3">
      <c r="A1673" s="119">
        <v>43228</v>
      </c>
      <c r="B1673" s="121">
        <v>95.713005065917955</v>
      </c>
      <c r="C1673" s="120">
        <f>IFERROR(yf_data[[#This Row],[Close Price]]/B1672-1,0)</f>
        <v>-1.7925141052670401E-3</v>
      </c>
    </row>
    <row r="1674" spans="1:3">
      <c r="A1674" s="119">
        <v>43229</v>
      </c>
      <c r="B1674" s="121">
        <v>94.681785583496094</v>
      </c>
      <c r="C1674" s="120">
        <f>IFERROR(yf_data[[#This Row],[Close Price]]/B1673-1,0)</f>
        <v>-1.0774079047164542E-2</v>
      </c>
    </row>
    <row r="1675" spans="1:3">
      <c r="A1675" s="119">
        <v>43230</v>
      </c>
      <c r="B1675" s="121">
        <v>95.130546569824219</v>
      </c>
      <c r="C1675" s="120">
        <f>IFERROR(yf_data[[#This Row],[Close Price]]/B1674-1,0)</f>
        <v>4.7396759953621803E-3</v>
      </c>
    </row>
    <row r="1676" spans="1:3">
      <c r="A1676" s="119">
        <v>43231</v>
      </c>
      <c r="B1676" s="121">
        <v>94.958679199218764</v>
      </c>
      <c r="C1676" s="120">
        <f>IFERROR(yf_data[[#This Row],[Close Price]]/B1675-1,0)</f>
        <v>-1.8066475680270644E-3</v>
      </c>
    </row>
    <row r="1677" spans="1:3">
      <c r="A1677" s="119">
        <v>43234</v>
      </c>
      <c r="B1677" s="121">
        <v>92.695716857910156</v>
      </c>
      <c r="C1677" s="120">
        <f>IFERROR(yf_data[[#This Row],[Close Price]]/B1676-1,0)</f>
        <v>-2.3831021665339569E-2</v>
      </c>
    </row>
    <row r="1678" spans="1:3">
      <c r="A1678" s="119">
        <v>43235</v>
      </c>
      <c r="B1678" s="121">
        <v>91.903205871582045</v>
      </c>
      <c r="C1678" s="120">
        <f>IFERROR(yf_data[[#This Row],[Close Price]]/B1677-1,0)</f>
        <v>-8.5495966069599749E-3</v>
      </c>
    </row>
    <row r="1679" spans="1:3">
      <c r="A1679" s="119">
        <v>43236</v>
      </c>
      <c r="B1679" s="121">
        <v>92.036872863769517</v>
      </c>
      <c r="C1679" s="120">
        <f>IFERROR(yf_data[[#This Row],[Close Price]]/B1678-1,0)</f>
        <v>1.4544323119070057E-3</v>
      </c>
    </row>
    <row r="1680" spans="1:3">
      <c r="A1680" s="119">
        <v>43237</v>
      </c>
      <c r="B1680" s="121">
        <v>93.555076599121094</v>
      </c>
      <c r="C1680" s="120">
        <f>IFERROR(yf_data[[#This Row],[Close Price]]/B1679-1,0)</f>
        <v>1.6495603208930953E-2</v>
      </c>
    </row>
    <row r="1681" spans="1:3">
      <c r="A1681" s="119">
        <v>43238</v>
      </c>
      <c r="B1681" s="121">
        <v>93.42138671875</v>
      </c>
      <c r="C1681" s="120">
        <f>IFERROR(yf_data[[#This Row],[Close Price]]/B1680-1,0)</f>
        <v>-1.4289965358474932E-3</v>
      </c>
    </row>
    <row r="1682" spans="1:3">
      <c r="A1682" s="119">
        <v>43241</v>
      </c>
      <c r="B1682" s="121">
        <v>96.266807556152344</v>
      </c>
      <c r="C1682" s="120">
        <f>IFERROR(yf_data[[#This Row],[Close Price]]/B1681-1,0)</f>
        <v>3.0457916943243735E-2</v>
      </c>
    </row>
    <row r="1683" spans="1:3">
      <c r="A1683" s="119">
        <v>43242</v>
      </c>
      <c r="B1683" s="121">
        <v>96.114044189453125</v>
      </c>
      <c r="C1683" s="120">
        <f>IFERROR(yf_data[[#This Row],[Close Price]]/B1682-1,0)</f>
        <v>-1.586874755456158E-3</v>
      </c>
    </row>
    <row r="1684" spans="1:3">
      <c r="A1684" s="119">
        <v>43243</v>
      </c>
      <c r="B1684" s="121">
        <v>94.490814208984375</v>
      </c>
      <c r="C1684" s="120">
        <f>IFERROR(yf_data[[#This Row],[Close Price]]/B1683-1,0)</f>
        <v>-1.6888582664039808E-2</v>
      </c>
    </row>
    <row r="1685" spans="1:3">
      <c r="A1685" s="119">
        <v>43244</v>
      </c>
      <c r="B1685" s="121">
        <v>93.908355712890625</v>
      </c>
      <c r="C1685" s="120">
        <f>IFERROR(yf_data[[#This Row],[Close Price]]/B1684-1,0)</f>
        <v>-6.1641811531598645E-3</v>
      </c>
    </row>
    <row r="1686" spans="1:3">
      <c r="A1686" s="119">
        <v>43245</v>
      </c>
      <c r="B1686" s="121">
        <v>93.774688720703125</v>
      </c>
      <c r="C1686" s="120">
        <f>IFERROR(yf_data[[#This Row],[Close Price]]/B1685-1,0)</f>
        <v>-1.4233769846441202E-3</v>
      </c>
    </row>
    <row r="1687" spans="1:3">
      <c r="A1687" s="119">
        <v>43248</v>
      </c>
      <c r="B1687" s="121">
        <v>92.810295104980483</v>
      </c>
      <c r="C1687" s="120">
        <f>IFERROR(yf_data[[#This Row],[Close Price]]/B1686-1,0)</f>
        <v>-1.02841569391392E-2</v>
      </c>
    </row>
    <row r="1688" spans="1:3">
      <c r="A1688" s="119">
        <v>43249</v>
      </c>
      <c r="B1688" s="121">
        <v>92.924873352050781</v>
      </c>
      <c r="C1688" s="120">
        <f>IFERROR(yf_data[[#This Row],[Close Price]]/B1687-1,0)</f>
        <v>1.2345424280861828E-3</v>
      </c>
    </row>
    <row r="1689" spans="1:3">
      <c r="A1689" s="119">
        <v>43250</v>
      </c>
      <c r="B1689" s="121">
        <v>92.361526489257798</v>
      </c>
      <c r="C1689" s="120">
        <f>IFERROR(yf_data[[#This Row],[Close Price]]/B1688-1,0)</f>
        <v>-6.0623904286499775E-3</v>
      </c>
    </row>
    <row r="1690" spans="1:3">
      <c r="A1690" s="119">
        <v>43251</v>
      </c>
      <c r="B1690" s="121">
        <v>92.915328979492202</v>
      </c>
      <c r="C1690" s="120">
        <f>IFERROR(yf_data[[#This Row],[Close Price]]/B1689-1,0)</f>
        <v>5.9960300710146797E-3</v>
      </c>
    </row>
    <row r="1691" spans="1:3">
      <c r="A1691" s="119">
        <v>43252</v>
      </c>
      <c r="B1691" s="121">
        <v>94.901390075683594</v>
      </c>
      <c r="C1691" s="120">
        <f>IFERROR(yf_data[[#This Row],[Close Price]]/B1690-1,0)</f>
        <v>2.1374956296282832E-2</v>
      </c>
    </row>
    <row r="1692" spans="1:3">
      <c r="A1692" s="119">
        <v>43255</v>
      </c>
      <c r="B1692" s="121">
        <v>95.063713073730483</v>
      </c>
      <c r="C1692" s="120">
        <f>IFERROR(yf_data[[#This Row],[Close Price]]/B1691-1,0)</f>
        <v>1.7104385712098935E-3</v>
      </c>
    </row>
    <row r="1693" spans="1:3">
      <c r="A1693" s="119">
        <v>43256</v>
      </c>
      <c r="B1693" s="121">
        <v>94.509910583496094</v>
      </c>
      <c r="C1693" s="120">
        <f>IFERROR(yf_data[[#This Row],[Close Price]]/B1692-1,0)</f>
        <v>-5.825592882163888E-3</v>
      </c>
    </row>
    <row r="1694" spans="1:3">
      <c r="A1694" s="119">
        <v>43257</v>
      </c>
      <c r="B1694" s="121">
        <v>95.483840942382798</v>
      </c>
      <c r="C1694" s="120">
        <f>IFERROR(yf_data[[#This Row],[Close Price]]/B1693-1,0)</f>
        <v>1.0305060631988106E-2</v>
      </c>
    </row>
    <row r="1695" spans="1:3">
      <c r="A1695" s="119">
        <v>43258</v>
      </c>
      <c r="B1695" s="121">
        <v>95.149658203125</v>
      </c>
      <c r="C1695" s="120">
        <f>IFERROR(yf_data[[#This Row],[Close Price]]/B1694-1,0)</f>
        <v>-3.499887896837417E-3</v>
      </c>
    </row>
    <row r="1696" spans="1:3">
      <c r="A1696" s="119">
        <v>43259</v>
      </c>
      <c r="B1696" s="121">
        <v>96.343200683593764</v>
      </c>
      <c r="C1696" s="120">
        <f>IFERROR(yf_data[[#This Row],[Close Price]]/B1695-1,0)</f>
        <v>1.2543844118922509E-2</v>
      </c>
    </row>
    <row r="1697" spans="1:3">
      <c r="A1697" s="119">
        <v>43262</v>
      </c>
      <c r="B1697" s="121">
        <v>96.343200683593764</v>
      </c>
      <c r="C1697" s="120">
        <f>IFERROR(yf_data[[#This Row],[Close Price]]/B1696-1,0)</f>
        <v>0</v>
      </c>
    </row>
    <row r="1698" spans="1:3">
      <c r="A1698" s="119">
        <v>43263</v>
      </c>
      <c r="B1698" s="121">
        <v>95.942169189453125</v>
      </c>
      <c r="C1698" s="120">
        <f>IFERROR(yf_data[[#This Row],[Close Price]]/B1697-1,0)</f>
        <v>-4.1625303217576182E-3</v>
      </c>
    </row>
    <row r="1699" spans="1:3">
      <c r="A1699" s="119">
        <v>43264</v>
      </c>
      <c r="B1699" s="121">
        <v>95.655715942382798</v>
      </c>
      <c r="C1699" s="120">
        <f>IFERROR(yf_data[[#This Row],[Close Price]]/B1698-1,0)</f>
        <v>-2.9856865806804356E-3</v>
      </c>
    </row>
    <row r="1700" spans="1:3">
      <c r="A1700" s="119">
        <v>43265</v>
      </c>
      <c r="B1700" s="121">
        <v>99.837905883789063</v>
      </c>
      <c r="C1700" s="120">
        <f>IFERROR(yf_data[[#This Row],[Close Price]]/B1699-1,0)</f>
        <v>4.3721275829720074E-2</v>
      </c>
    </row>
    <row r="1701" spans="1:3">
      <c r="A1701" s="119">
        <v>43266</v>
      </c>
      <c r="B1701" s="121">
        <v>98.9212646484375</v>
      </c>
      <c r="C1701" s="120">
        <f>IFERROR(yf_data[[#This Row],[Close Price]]/B1700-1,0)</f>
        <v>-9.18129469200335E-3</v>
      </c>
    </row>
    <row r="1702" spans="1:3">
      <c r="A1702" s="119">
        <v>43269</v>
      </c>
      <c r="B1702" s="121">
        <v>97.298042297363281</v>
      </c>
      <c r="C1702" s="120">
        <f>IFERROR(yf_data[[#This Row],[Close Price]]/B1701-1,0)</f>
        <v>-1.6409235737564476E-2</v>
      </c>
    </row>
    <row r="1703" spans="1:3">
      <c r="A1703" s="119">
        <v>43270</v>
      </c>
      <c r="B1703" s="121">
        <v>95.808479309082045</v>
      </c>
      <c r="C1703" s="120">
        <f>IFERROR(yf_data[[#This Row],[Close Price]]/B1702-1,0)</f>
        <v>-1.5309280157239091E-2</v>
      </c>
    </row>
    <row r="1704" spans="1:3">
      <c r="A1704" s="119">
        <v>43271</v>
      </c>
      <c r="B1704" s="121">
        <v>95.3692626953125</v>
      </c>
      <c r="C1704" s="120">
        <f>IFERROR(yf_data[[#This Row],[Close Price]]/B1703-1,0)</f>
        <v>-4.5843188091172493E-3</v>
      </c>
    </row>
    <row r="1705" spans="1:3">
      <c r="A1705" s="119">
        <v>43272</v>
      </c>
      <c r="B1705" s="121">
        <v>94.137519836425781</v>
      </c>
      <c r="C1705" s="120">
        <f>IFERROR(yf_data[[#This Row],[Close Price]]/B1704-1,0)</f>
        <v>-1.2915512022169229E-2</v>
      </c>
    </row>
    <row r="1706" spans="1:3">
      <c r="A1706" s="119">
        <v>43273</v>
      </c>
      <c r="B1706" s="121">
        <v>96.094940185546875</v>
      </c>
      <c r="C1706" s="120">
        <f>IFERROR(yf_data[[#This Row],[Close Price]]/B1705-1,0)</f>
        <v>2.0793200761209052E-2</v>
      </c>
    </row>
    <row r="1707" spans="1:3">
      <c r="A1707" s="119">
        <v>43276</v>
      </c>
      <c r="B1707" s="121">
        <v>92.485649108886719</v>
      </c>
      <c r="C1707" s="120">
        <f>IFERROR(yf_data[[#This Row],[Close Price]]/B1706-1,0)</f>
        <v>-3.7559637059881412E-2</v>
      </c>
    </row>
    <row r="1708" spans="1:3">
      <c r="A1708" s="119">
        <v>43277</v>
      </c>
      <c r="B1708" s="121">
        <v>92.122817993164063</v>
      </c>
      <c r="C1708" s="120">
        <f>IFERROR(yf_data[[#This Row],[Close Price]]/B1707-1,0)</f>
        <v>-3.9231071979122234E-3</v>
      </c>
    </row>
    <row r="1709" spans="1:3">
      <c r="A1709" s="119">
        <v>43278</v>
      </c>
      <c r="B1709" s="121">
        <v>94.624488830566406</v>
      </c>
      <c r="C1709" s="120">
        <f>IFERROR(yf_data[[#This Row],[Close Price]]/B1708-1,0)</f>
        <v>2.7155821889729648E-2</v>
      </c>
    </row>
    <row r="1710" spans="1:3">
      <c r="A1710" s="119">
        <v>43279</v>
      </c>
      <c r="B1710" s="121">
        <v>93.688751220703125</v>
      </c>
      <c r="C1710" s="120">
        <f>IFERROR(yf_data[[#This Row],[Close Price]]/B1709-1,0)</f>
        <v>-9.8889581484429279E-3</v>
      </c>
    </row>
    <row r="1711" spans="1:3">
      <c r="A1711" s="119">
        <v>43280</v>
      </c>
      <c r="B1711" s="121">
        <v>95.732101440429673</v>
      </c>
      <c r="C1711" s="120">
        <f>IFERROR(yf_data[[#This Row],[Close Price]]/B1710-1,0)</f>
        <v>2.1809984583026631E-2</v>
      </c>
    </row>
    <row r="1712" spans="1:3">
      <c r="A1712" s="119">
        <v>43283</v>
      </c>
      <c r="B1712" s="121">
        <v>93.297264099121094</v>
      </c>
      <c r="C1712" s="120">
        <f>IFERROR(yf_data[[#This Row],[Close Price]]/B1711-1,0)</f>
        <v>-2.5433864969773845E-2</v>
      </c>
    </row>
    <row r="1713" spans="1:3">
      <c r="A1713" s="119">
        <v>43284</v>
      </c>
      <c r="B1713" s="121">
        <v>93.345008850097656</v>
      </c>
      <c r="C1713" s="120">
        <f>IFERROR(yf_data[[#This Row],[Close Price]]/B1712-1,0)</f>
        <v>5.1174867170633576E-4</v>
      </c>
    </row>
    <row r="1714" spans="1:3">
      <c r="A1714" s="119">
        <v>43285</v>
      </c>
      <c r="B1714" s="121">
        <v>93.574165344238281</v>
      </c>
      <c r="C1714" s="120">
        <f>IFERROR(yf_data[[#This Row],[Close Price]]/B1713-1,0)</f>
        <v>2.4549410510916747E-3</v>
      </c>
    </row>
    <row r="1715" spans="1:3">
      <c r="A1715" s="119">
        <v>43286</v>
      </c>
      <c r="B1715" s="121">
        <v>93.325912475585938</v>
      </c>
      <c r="C1715" s="120">
        <f>IFERROR(yf_data[[#This Row],[Close Price]]/B1714-1,0)</f>
        <v>-2.6530064974565892E-3</v>
      </c>
    </row>
    <row r="1716" spans="1:3">
      <c r="A1716" s="119">
        <v>43287</v>
      </c>
      <c r="B1716" s="121">
        <v>94.051589965820327</v>
      </c>
      <c r="C1716" s="120">
        <f>IFERROR(yf_data[[#This Row],[Close Price]]/B1715-1,0)</f>
        <v>7.7757342091269166E-3</v>
      </c>
    </row>
    <row r="1717" spans="1:3">
      <c r="A1717" s="119">
        <v>43290</v>
      </c>
      <c r="B1717" s="121">
        <v>94.910949707031236</v>
      </c>
      <c r="C1717" s="120">
        <f>IFERROR(yf_data[[#This Row],[Close Price]]/B1716-1,0)</f>
        <v>9.1371101915789232E-3</v>
      </c>
    </row>
    <row r="1718" spans="1:3">
      <c r="A1718" s="119">
        <v>43291</v>
      </c>
      <c r="B1718" s="121">
        <v>98.673004150390625</v>
      </c>
      <c r="C1718" s="120">
        <f>IFERROR(yf_data[[#This Row],[Close Price]]/B1717-1,0)</f>
        <v>3.963772836508328E-2</v>
      </c>
    </row>
    <row r="1719" spans="1:3">
      <c r="A1719" s="119">
        <v>43292</v>
      </c>
      <c r="B1719" s="121">
        <v>98.482040405273438</v>
      </c>
      <c r="C1719" s="120">
        <f>IFERROR(yf_data[[#This Row],[Close Price]]/B1718-1,0)</f>
        <v>-1.9353190547044541E-3</v>
      </c>
    </row>
    <row r="1720" spans="1:3">
      <c r="A1720" s="119">
        <v>43293</v>
      </c>
      <c r="B1720" s="121">
        <v>100.39171600341795</v>
      </c>
      <c r="C1720" s="120">
        <f>IFERROR(yf_data[[#This Row],[Close Price]]/B1719-1,0)</f>
        <v>1.9391105122170682E-2</v>
      </c>
    </row>
    <row r="1721" spans="1:3">
      <c r="A1721" s="119">
        <v>43294</v>
      </c>
      <c r="B1721" s="121">
        <v>102.54964447021484</v>
      </c>
      <c r="C1721" s="120">
        <f>IFERROR(yf_data[[#This Row],[Close Price]]/B1720-1,0)</f>
        <v>2.1495084980153401E-2</v>
      </c>
    </row>
    <row r="1722" spans="1:3">
      <c r="A1722" s="119">
        <v>43297</v>
      </c>
      <c r="B1722" s="121">
        <v>102.11042022705078</v>
      </c>
      <c r="C1722" s="120">
        <f>IFERROR(yf_data[[#This Row],[Close Price]]/B1721-1,0)</f>
        <v>-4.2830401356646064E-3</v>
      </c>
    </row>
    <row r="1723" spans="1:3">
      <c r="A1723" s="119">
        <v>43298</v>
      </c>
      <c r="B1723" s="121">
        <v>102.79790496826172</v>
      </c>
      <c r="C1723" s="120">
        <f>IFERROR(yf_data[[#This Row],[Close Price]]/B1722-1,0)</f>
        <v>6.7327579269800264E-3</v>
      </c>
    </row>
    <row r="1724" spans="1:3">
      <c r="A1724" s="119">
        <v>43299</v>
      </c>
      <c r="B1724" s="121">
        <v>102.35868072509766</v>
      </c>
      <c r="C1724" s="120">
        <f>IFERROR(yf_data[[#This Row],[Close Price]]/B1723-1,0)</f>
        <v>-4.2726964455128691E-3</v>
      </c>
    </row>
    <row r="1725" spans="1:3">
      <c r="A1725" s="119">
        <v>43300</v>
      </c>
      <c r="B1725" s="121">
        <v>102.24410247802734</v>
      </c>
      <c r="C1725" s="120">
        <f>IFERROR(yf_data[[#This Row],[Close Price]]/B1724-1,0)</f>
        <v>-1.1193798733888372E-3</v>
      </c>
    </row>
    <row r="1726" spans="1:3">
      <c r="A1726" s="119">
        <v>43301</v>
      </c>
      <c r="B1726" s="121">
        <v>100.98371887207033</v>
      </c>
      <c r="C1726" s="120">
        <f>IFERROR(yf_data[[#This Row],[Close Price]]/B1725-1,0)</f>
        <v>-1.2327201035657542E-2</v>
      </c>
    </row>
    <row r="1727" spans="1:3">
      <c r="A1727" s="119">
        <v>43304</v>
      </c>
      <c r="B1727" s="121">
        <v>100.65906524658205</v>
      </c>
      <c r="C1727" s="120">
        <f>IFERROR(yf_data[[#This Row],[Close Price]]/B1726-1,0)</f>
        <v>-3.2149105728573879E-3</v>
      </c>
    </row>
    <row r="1728" spans="1:3">
      <c r="A1728" s="119">
        <v>43305</v>
      </c>
      <c r="B1728" s="121">
        <v>101.19377899169922</v>
      </c>
      <c r="C1728" s="120">
        <f>IFERROR(yf_data[[#This Row],[Close Price]]/B1727-1,0)</f>
        <v>5.3121270678135879E-3</v>
      </c>
    </row>
    <row r="1729" spans="1:3">
      <c r="A1729" s="119">
        <v>43306</v>
      </c>
      <c r="B1729" s="121">
        <v>100.1625518798828</v>
      </c>
      <c r="C1729" s="120">
        <f>IFERROR(yf_data[[#This Row],[Close Price]]/B1728-1,0)</f>
        <v>-1.0190617665350898E-2</v>
      </c>
    </row>
    <row r="1730" spans="1:3">
      <c r="A1730" s="119">
        <v>43307</v>
      </c>
      <c r="B1730" s="121">
        <v>104.6693878173828</v>
      </c>
      <c r="C1730" s="120">
        <f>IFERROR(yf_data[[#This Row],[Close Price]]/B1729-1,0)</f>
        <v>4.4995218800981673E-2</v>
      </c>
    </row>
    <row r="1731" spans="1:3">
      <c r="A1731" s="119">
        <v>43308</v>
      </c>
      <c r="B1731" s="121">
        <v>104.2683563232422</v>
      </c>
      <c r="C1731" s="120">
        <f>IFERROR(yf_data[[#This Row],[Close Price]]/B1730-1,0)</f>
        <v>-3.8314114805015898E-3</v>
      </c>
    </row>
    <row r="1732" spans="1:3">
      <c r="A1732" s="119">
        <v>43311</v>
      </c>
      <c r="B1732" s="121">
        <v>102.24410247802734</v>
      </c>
      <c r="C1732" s="120">
        <f>IFERROR(yf_data[[#This Row],[Close Price]]/B1731-1,0)</f>
        <v>-1.9413884677911941E-2</v>
      </c>
    </row>
    <row r="1733" spans="1:3">
      <c r="A1733" s="119">
        <v>43312</v>
      </c>
      <c r="B1733" s="121">
        <v>101.21287536621094</v>
      </c>
      <c r="C1733" s="120">
        <f>IFERROR(yf_data[[#This Row],[Close Price]]/B1732-1,0)</f>
        <v>-1.0085932457943203E-2</v>
      </c>
    </row>
    <row r="1734" spans="1:3">
      <c r="A1734" s="119">
        <v>43313</v>
      </c>
      <c r="B1734" s="121">
        <v>101.78577423095705</v>
      </c>
      <c r="C1734" s="120">
        <f>IFERROR(yf_data[[#This Row],[Close Price]]/B1733-1,0)</f>
        <v>5.6603358285518546E-3</v>
      </c>
    </row>
    <row r="1735" spans="1:3">
      <c r="A1735" s="119">
        <v>43314</v>
      </c>
      <c r="B1735" s="121">
        <v>101.67120361328124</v>
      </c>
      <c r="C1735" s="120">
        <f>IFERROR(yf_data[[#This Row],[Close Price]]/B1734-1,0)</f>
        <v>-1.1256054054846754E-3</v>
      </c>
    </row>
    <row r="1736" spans="1:3">
      <c r="A1736" s="119">
        <v>43315</v>
      </c>
      <c r="B1736" s="121">
        <v>102.89339447021484</v>
      </c>
      <c r="C1736" s="120">
        <f>IFERROR(yf_data[[#This Row],[Close Price]]/B1735-1,0)</f>
        <v>1.2021012966290323E-2</v>
      </c>
    </row>
    <row r="1737" spans="1:3">
      <c r="A1737" s="119">
        <v>43318</v>
      </c>
      <c r="B1737" s="121">
        <v>102.95068359375</v>
      </c>
      <c r="C1737" s="120">
        <f>IFERROR(yf_data[[#This Row],[Close Price]]/B1736-1,0)</f>
        <v>5.5678135443115728E-4</v>
      </c>
    </row>
    <row r="1738" spans="1:3">
      <c r="A1738" s="119">
        <v>43319</v>
      </c>
      <c r="B1738" s="121">
        <v>104.077392578125</v>
      </c>
      <c r="C1738" s="120">
        <f>IFERROR(yf_data[[#This Row],[Close Price]]/B1737-1,0)</f>
        <v>1.0944162243944566E-2</v>
      </c>
    </row>
    <row r="1739" spans="1:3">
      <c r="A1739" s="119">
        <v>43320</v>
      </c>
      <c r="B1739" s="121">
        <v>103.02706909179688</v>
      </c>
      <c r="C1739" s="120">
        <f>IFERROR(yf_data[[#This Row],[Close Price]]/B1738-1,0)</f>
        <v>-1.0091754417653309E-2</v>
      </c>
    </row>
    <row r="1740" spans="1:3">
      <c r="A1740" s="119">
        <v>43321</v>
      </c>
      <c r="B1740" s="121">
        <v>103.75274658203124</v>
      </c>
      <c r="C1740" s="120">
        <f>IFERROR(yf_data[[#This Row],[Close Price]]/B1739-1,0)</f>
        <v>7.0435614312951422E-3</v>
      </c>
    </row>
    <row r="1741" spans="1:3">
      <c r="A1741" s="119">
        <v>43322</v>
      </c>
      <c r="B1741" s="121">
        <v>102.66423034667967</v>
      </c>
      <c r="C1741" s="120">
        <f>IFERROR(yf_data[[#This Row],[Close Price]]/B1740-1,0)</f>
        <v>-1.0491445009515377E-2</v>
      </c>
    </row>
    <row r="1742" spans="1:3">
      <c r="A1742" s="119">
        <v>43325</v>
      </c>
      <c r="B1742" s="121">
        <v>103.21803283691406</v>
      </c>
      <c r="C1742" s="120">
        <f>IFERROR(yf_data[[#This Row],[Close Price]]/B1741-1,0)</f>
        <v>5.3943081087179934E-3</v>
      </c>
    </row>
    <row r="1743" spans="1:3">
      <c r="A1743" s="119">
        <v>43326</v>
      </c>
      <c r="B1743" s="121">
        <v>103.12255096435548</v>
      </c>
      <c r="C1743" s="120">
        <f>IFERROR(yf_data[[#This Row],[Close Price]]/B1742-1,0)</f>
        <v>-9.2505030307488134E-4</v>
      </c>
    </row>
    <row r="1744" spans="1:3">
      <c r="A1744" s="119">
        <v>43327</v>
      </c>
      <c r="B1744" s="121">
        <v>100.46810150146484</v>
      </c>
      <c r="C1744" s="120">
        <f>IFERROR(yf_data[[#This Row],[Close Price]]/B1743-1,0)</f>
        <v>-2.5740727300356925E-2</v>
      </c>
    </row>
    <row r="1745" spans="1:3">
      <c r="A1745" s="119">
        <v>43328</v>
      </c>
      <c r="B1745" s="121">
        <v>102.70242309570313</v>
      </c>
      <c r="C1745" s="120">
        <f>IFERROR(yf_data[[#This Row],[Close Price]]/B1744-1,0)</f>
        <v>2.2239114314364761E-2</v>
      </c>
    </row>
    <row r="1746" spans="1:3">
      <c r="A1746" s="119">
        <v>43329</v>
      </c>
      <c r="B1746" s="121">
        <v>102.85520172119141</v>
      </c>
      <c r="C1746" s="120">
        <f>IFERROR(yf_data[[#This Row],[Close Price]]/B1745-1,0)</f>
        <v>1.4875854033737923E-3</v>
      </c>
    </row>
    <row r="1747" spans="1:3">
      <c r="A1747" s="119">
        <v>43332</v>
      </c>
      <c r="B1747" s="121">
        <v>103.00796508789063</v>
      </c>
      <c r="C1747" s="120">
        <f>IFERROR(yf_data[[#This Row],[Close Price]]/B1746-1,0)</f>
        <v>1.48522742790691E-3</v>
      </c>
    </row>
    <row r="1748" spans="1:3">
      <c r="A1748" s="119">
        <v>43333</v>
      </c>
      <c r="B1748" s="121">
        <v>102.60694122314452</v>
      </c>
      <c r="C1748" s="120">
        <f>IFERROR(yf_data[[#This Row],[Close Price]]/B1747-1,0)</f>
        <v>-3.8931345202668499E-3</v>
      </c>
    </row>
    <row r="1749" spans="1:3">
      <c r="A1749" s="119">
        <v>43334</v>
      </c>
      <c r="B1749" s="121">
        <v>102.47325897216795</v>
      </c>
      <c r="C1749" s="120">
        <f>IFERROR(yf_data[[#This Row],[Close Price]]/B1748-1,0)</f>
        <v>-1.3028577733921187E-3</v>
      </c>
    </row>
    <row r="1750" spans="1:3">
      <c r="A1750" s="119">
        <v>43335</v>
      </c>
      <c r="B1750" s="121">
        <v>102.87429046630859</v>
      </c>
      <c r="C1750" s="120">
        <f>IFERROR(yf_data[[#This Row],[Close Price]]/B1749-1,0)</f>
        <v>3.9135233734448605E-3</v>
      </c>
    </row>
    <row r="1751" spans="1:3">
      <c r="A1751" s="119">
        <v>43336</v>
      </c>
      <c r="B1751" s="121">
        <v>102.64513397216795</v>
      </c>
      <c r="C1751" s="120">
        <f>IFERROR(yf_data[[#This Row],[Close Price]]/B1750-1,0)</f>
        <v>-2.2275390002878259E-3</v>
      </c>
    </row>
    <row r="1752" spans="1:3">
      <c r="A1752" s="119">
        <v>43339</v>
      </c>
      <c r="B1752" s="121">
        <v>103.12255096435548</v>
      </c>
      <c r="C1752" s="120">
        <f>IFERROR(yf_data[[#This Row],[Close Price]]/B1751-1,0)</f>
        <v>4.6511410109024709E-3</v>
      </c>
    </row>
    <row r="1753" spans="1:3">
      <c r="A1753" s="119">
        <v>43340</v>
      </c>
      <c r="B1753" s="121">
        <v>104.03919982910156</v>
      </c>
      <c r="C1753" s="120">
        <f>IFERROR(yf_data[[#This Row],[Close Price]]/B1752-1,0)</f>
        <v>8.8889273604462193E-3</v>
      </c>
    </row>
    <row r="1754" spans="1:3">
      <c r="A1754" s="119">
        <v>43341</v>
      </c>
      <c r="B1754" s="121">
        <v>105.08951568603516</v>
      </c>
      <c r="C1754" s="120">
        <f>IFERROR(yf_data[[#This Row],[Close Price]]/B1753-1,0)</f>
        <v>1.0095385764777864E-2</v>
      </c>
    </row>
    <row r="1755" spans="1:3">
      <c r="A1755" s="119">
        <v>43342</v>
      </c>
      <c r="B1755" s="121">
        <v>104.05829620361328</v>
      </c>
      <c r="C1755" s="120">
        <f>IFERROR(yf_data[[#This Row],[Close Price]]/B1754-1,0)</f>
        <v>-9.8127722417404861E-3</v>
      </c>
    </row>
    <row r="1756" spans="1:3">
      <c r="A1756" s="119">
        <v>43343</v>
      </c>
      <c r="B1756" s="121">
        <v>101.4611358642578</v>
      </c>
      <c r="C1756" s="120">
        <f>IFERROR(yf_data[[#This Row],[Close Price]]/B1755-1,0)</f>
        <v>-2.4958705207642096E-2</v>
      </c>
    </row>
    <row r="1757" spans="1:3">
      <c r="A1757" s="119">
        <v>43346</v>
      </c>
      <c r="B1757" s="121">
        <v>102.64513397216795</v>
      </c>
      <c r="C1757" s="120">
        <f>IFERROR(yf_data[[#This Row],[Close Price]]/B1756-1,0)</f>
        <v>1.1669474206303043E-2</v>
      </c>
    </row>
    <row r="1758" spans="1:3">
      <c r="A1758" s="119">
        <v>43347</v>
      </c>
      <c r="B1758" s="121">
        <v>100.41081237792967</v>
      </c>
      <c r="C1758" s="120">
        <f>IFERROR(yf_data[[#This Row],[Close Price]]/B1757-1,0)</f>
        <v>-2.1767438043815202E-2</v>
      </c>
    </row>
    <row r="1759" spans="1:3">
      <c r="A1759" s="119">
        <v>43348</v>
      </c>
      <c r="B1759" s="121">
        <v>98.348358154296875</v>
      </c>
      <c r="C1759" s="120">
        <f>IFERROR(yf_data[[#This Row],[Close Price]]/B1758-1,0)</f>
        <v>-2.0540160713669597E-2</v>
      </c>
    </row>
    <row r="1760" spans="1:3">
      <c r="A1760" s="119">
        <v>43349</v>
      </c>
      <c r="B1760" s="121">
        <v>99.570556640625</v>
      </c>
      <c r="C1760" s="120">
        <f>IFERROR(yf_data[[#This Row],[Close Price]]/B1759-1,0)</f>
        <v>1.2427238331835122E-2</v>
      </c>
    </row>
    <row r="1761" spans="1:3">
      <c r="A1761" s="119">
        <v>43350</v>
      </c>
      <c r="B1761" s="121">
        <v>100.10526275634766</v>
      </c>
      <c r="C1761" s="120">
        <f>IFERROR(yf_data[[#This Row],[Close Price]]/B1760-1,0)</f>
        <v>5.3701227929512374E-3</v>
      </c>
    </row>
    <row r="1762" spans="1:3">
      <c r="A1762" s="119">
        <v>43353</v>
      </c>
      <c r="B1762" s="121">
        <v>100.06707763671876</v>
      </c>
      <c r="C1762" s="120">
        <f>IFERROR(yf_data[[#This Row],[Close Price]]/B1761-1,0)</f>
        <v>-3.8144967185027578E-4</v>
      </c>
    </row>
    <row r="1763" spans="1:3">
      <c r="A1763" s="119">
        <v>43354</v>
      </c>
      <c r="B1763" s="121">
        <v>101.93855285644533</v>
      </c>
      <c r="C1763" s="120">
        <f>IFERROR(yf_data[[#This Row],[Close Price]]/B1762-1,0)</f>
        <v>1.8702207198662446E-2</v>
      </c>
    </row>
    <row r="1764" spans="1:3">
      <c r="A1764" s="119">
        <v>43355</v>
      </c>
      <c r="B1764" s="121">
        <v>101.88125610351563</v>
      </c>
      <c r="C1764" s="120">
        <f>IFERROR(yf_data[[#This Row],[Close Price]]/B1763-1,0)</f>
        <v>-5.6207147663156487E-4</v>
      </c>
    </row>
    <row r="1765" spans="1:3">
      <c r="A1765" s="119">
        <v>43356</v>
      </c>
      <c r="B1765" s="121">
        <v>100.86913299560548</v>
      </c>
      <c r="C1765" s="120">
        <f>IFERROR(yf_data[[#This Row],[Close Price]]/B1764-1,0)</f>
        <v>-9.934340688553922E-3</v>
      </c>
    </row>
    <row r="1766" spans="1:3">
      <c r="A1766" s="119">
        <v>43357</v>
      </c>
      <c r="B1766" s="121">
        <v>101.40383911132813</v>
      </c>
      <c r="C1766" s="120">
        <f>IFERROR(yf_data[[#This Row],[Close Price]]/B1765-1,0)</f>
        <v>5.3009885169323923E-3</v>
      </c>
    </row>
    <row r="1767" spans="1:3">
      <c r="A1767" s="119">
        <v>43360</v>
      </c>
      <c r="B1767" s="121">
        <v>101.49932861328124</v>
      </c>
      <c r="C1767" s="120">
        <f>IFERROR(yf_data[[#This Row],[Close Price]]/B1766-1,0)</f>
        <v>9.4167541179857039E-4</v>
      </c>
    </row>
    <row r="1768" spans="1:3">
      <c r="A1768" s="119">
        <v>43361</v>
      </c>
      <c r="B1768" s="121">
        <v>100.20074462890624</v>
      </c>
      <c r="C1768" s="120">
        <f>IFERROR(yf_data[[#This Row],[Close Price]]/B1767-1,0)</f>
        <v>-1.2794015508444279E-2</v>
      </c>
    </row>
    <row r="1769" spans="1:3">
      <c r="A1769" s="119">
        <v>43362</v>
      </c>
      <c r="B1769" s="121">
        <v>101.55661773681641</v>
      </c>
      <c r="C1769" s="120">
        <f>IFERROR(yf_data[[#This Row],[Close Price]]/B1768-1,0)</f>
        <v>1.3531567184771331E-2</v>
      </c>
    </row>
    <row r="1770" spans="1:3">
      <c r="A1770" s="119">
        <v>43363</v>
      </c>
      <c r="B1770" s="121">
        <v>101.652099609375</v>
      </c>
      <c r="C1770" s="120">
        <f>IFERROR(yf_data[[#This Row],[Close Price]]/B1769-1,0)</f>
        <v>9.4018365997605713E-4</v>
      </c>
    </row>
    <row r="1771" spans="1:3">
      <c r="A1771" s="119">
        <v>43364</v>
      </c>
      <c r="B1771" s="121">
        <v>101.97675323486328</v>
      </c>
      <c r="C1771" s="120">
        <f>IFERROR(yf_data[[#This Row],[Close Price]]/B1770-1,0)</f>
        <v>3.1937719607941784E-3</v>
      </c>
    </row>
    <row r="1772" spans="1:3">
      <c r="A1772" s="119">
        <v>43367</v>
      </c>
      <c r="B1772" s="121">
        <v>101.19377899169922</v>
      </c>
      <c r="C1772" s="120">
        <f>IFERROR(yf_data[[#This Row],[Close Price]]/B1771-1,0)</f>
        <v>-7.6779679517819943E-3</v>
      </c>
    </row>
    <row r="1773" spans="1:3">
      <c r="A1773" s="119">
        <v>43368</v>
      </c>
      <c r="B1773" s="121">
        <v>100.3344268798828</v>
      </c>
      <c r="C1773" s="120">
        <f>IFERROR(yf_data[[#This Row],[Close Price]]/B1772-1,0)</f>
        <v>-8.492143690838061E-3</v>
      </c>
    </row>
    <row r="1774" spans="1:3">
      <c r="A1774" s="119">
        <v>43369</v>
      </c>
      <c r="B1774" s="121">
        <v>103.58087921142578</v>
      </c>
      <c r="C1774" s="120">
        <f>IFERROR(yf_data[[#This Row],[Close Price]]/B1773-1,0)</f>
        <v>3.2356315100394495E-2</v>
      </c>
    </row>
    <row r="1775" spans="1:3">
      <c r="A1775" s="119">
        <v>43370</v>
      </c>
      <c r="B1775" s="121">
        <v>103.98190307617188</v>
      </c>
      <c r="C1775" s="120">
        <f>IFERROR(yf_data[[#This Row],[Close Price]]/B1774-1,0)</f>
        <v>3.8716012820043666E-3</v>
      </c>
    </row>
    <row r="1776" spans="1:3">
      <c r="A1776" s="119">
        <v>43371</v>
      </c>
      <c r="B1776" s="121">
        <v>103.29442596435548</v>
      </c>
      <c r="C1776" s="120">
        <f>IFERROR(yf_data[[#This Row],[Close Price]]/B1775-1,0)</f>
        <v>-6.6115073053892859E-3</v>
      </c>
    </row>
    <row r="1777" spans="1:3">
      <c r="A1777" s="119">
        <v>43374</v>
      </c>
      <c r="B1777" s="121">
        <v>102.54964447021484</v>
      </c>
      <c r="C1777" s="120">
        <f>IFERROR(yf_data[[#This Row],[Close Price]]/B1776-1,0)</f>
        <v>-7.2102776813692815E-3</v>
      </c>
    </row>
    <row r="1778" spans="1:3">
      <c r="A1778" s="119">
        <v>43375</v>
      </c>
      <c r="B1778" s="121">
        <v>100.90732574462891</v>
      </c>
      <c r="C1778" s="120">
        <f>IFERROR(yf_data[[#This Row],[Close Price]]/B1777-1,0)</f>
        <v>-1.601486513259387E-2</v>
      </c>
    </row>
    <row r="1779" spans="1:3">
      <c r="A1779" s="119">
        <v>43376</v>
      </c>
      <c r="B1779" s="121">
        <v>102.22499847412109</v>
      </c>
      <c r="C1779" s="120">
        <f>IFERROR(yf_data[[#This Row],[Close Price]]/B1778-1,0)</f>
        <v>1.3058246462966272E-2</v>
      </c>
    </row>
    <row r="1780" spans="1:3">
      <c r="A1780" s="119">
        <v>43377</v>
      </c>
      <c r="B1780" s="121">
        <v>100.5063018798828</v>
      </c>
      <c r="C1780" s="120">
        <f>IFERROR(yf_data[[#This Row],[Close Price]]/B1779-1,0)</f>
        <v>-1.6812879627221444E-2</v>
      </c>
    </row>
    <row r="1781" spans="1:3">
      <c r="A1781" s="119">
        <v>43378</v>
      </c>
      <c r="B1781" s="121">
        <v>99.303192138671875</v>
      </c>
      <c r="C1781" s="120">
        <f>IFERROR(yf_data[[#This Row],[Close Price]]/B1780-1,0)</f>
        <v>-1.1970490593204652E-2</v>
      </c>
    </row>
    <row r="1782" spans="1:3">
      <c r="A1782" s="119">
        <v>43381</v>
      </c>
      <c r="B1782" s="121">
        <v>98.940361022949219</v>
      </c>
      <c r="C1782" s="120">
        <f>IFERROR(yf_data[[#This Row],[Close Price]]/B1781-1,0)</f>
        <v>-3.6537709202336677E-3</v>
      </c>
    </row>
    <row r="1783" spans="1:3">
      <c r="A1783" s="119">
        <v>43382</v>
      </c>
      <c r="B1783" s="121">
        <v>97.870941162109375</v>
      </c>
      <c r="C1783" s="120">
        <f>IFERROR(yf_data[[#This Row],[Close Price]]/B1782-1,0)</f>
        <v>-1.080873214715472E-2</v>
      </c>
    </row>
    <row r="1784" spans="1:3">
      <c r="A1784" s="119">
        <v>43383</v>
      </c>
      <c r="B1784" s="121">
        <v>94.519454956054673</v>
      </c>
      <c r="C1784" s="120">
        <f>IFERROR(yf_data[[#This Row],[Close Price]]/B1783-1,0)</f>
        <v>-3.424393559783423E-2</v>
      </c>
    </row>
    <row r="1785" spans="1:3">
      <c r="A1785" s="119">
        <v>43384</v>
      </c>
      <c r="B1785" s="121">
        <v>92.934425354003906</v>
      </c>
      <c r="C1785" s="120">
        <f>IFERROR(yf_data[[#This Row],[Close Price]]/B1784-1,0)</f>
        <v>-1.6769347673319723E-2</v>
      </c>
    </row>
    <row r="1786" spans="1:3">
      <c r="A1786" s="119">
        <v>43385</v>
      </c>
      <c r="B1786" s="121">
        <v>95.732101440429673</v>
      </c>
      <c r="C1786" s="120">
        <f>IFERROR(yf_data[[#This Row],[Close Price]]/B1785-1,0)</f>
        <v>3.0103764840304414E-2</v>
      </c>
    </row>
    <row r="1787" spans="1:3">
      <c r="A1787" s="119">
        <v>43388</v>
      </c>
      <c r="B1787" s="121">
        <v>93.392745971679673</v>
      </c>
      <c r="C1787" s="120">
        <f>IFERROR(yf_data[[#This Row],[Close Price]]/B1786-1,0)</f>
        <v>-2.4436478814848672E-2</v>
      </c>
    </row>
    <row r="1788" spans="1:3">
      <c r="A1788" s="119">
        <v>43389</v>
      </c>
      <c r="B1788" s="121">
        <v>97.126167297363281</v>
      </c>
      <c r="C1788" s="120">
        <f>IFERROR(yf_data[[#This Row],[Close Price]]/B1787-1,0)</f>
        <v>3.9975495814372319E-2</v>
      </c>
    </row>
    <row r="1789" spans="1:3">
      <c r="A1789" s="119">
        <v>43390</v>
      </c>
      <c r="B1789" s="121">
        <v>96.305007934570327</v>
      </c>
      <c r="C1789" s="120">
        <f>IFERROR(yf_data[[#This Row],[Close Price]]/B1788-1,0)</f>
        <v>-8.4545636427604265E-3</v>
      </c>
    </row>
    <row r="1790" spans="1:3">
      <c r="A1790" s="119">
        <v>43391</v>
      </c>
      <c r="B1790" s="121">
        <v>94.825004577636719</v>
      </c>
      <c r="C1790" s="120">
        <f>IFERROR(yf_data[[#This Row],[Close Price]]/B1789-1,0)</f>
        <v>-1.5367875343919035E-2</v>
      </c>
    </row>
    <row r="1791" spans="1:3">
      <c r="A1791" s="119">
        <v>43392</v>
      </c>
      <c r="B1791" s="121">
        <v>93.526428222656236</v>
      </c>
      <c r="C1791" s="120">
        <f>IFERROR(yf_data[[#This Row],[Close Price]]/B1790-1,0)</f>
        <v>-1.3694450749193399E-2</v>
      </c>
    </row>
    <row r="1792" spans="1:3">
      <c r="A1792" s="119">
        <v>43395</v>
      </c>
      <c r="B1792" s="121">
        <v>91.960487365722656</v>
      </c>
      <c r="C1792" s="120">
        <f>IFERROR(yf_data[[#This Row],[Close Price]]/B1791-1,0)</f>
        <v>-1.6743297982101724E-2</v>
      </c>
    </row>
    <row r="1793" spans="1:3">
      <c r="A1793" s="119">
        <v>43396</v>
      </c>
      <c r="B1793" s="121">
        <v>89.88848876953125</v>
      </c>
      <c r="C1793" s="120">
        <f>IFERROR(yf_data[[#This Row],[Close Price]]/B1792-1,0)</f>
        <v>-2.2531400773803667E-2</v>
      </c>
    </row>
    <row r="1794" spans="1:3">
      <c r="A1794" s="119">
        <v>43397</v>
      </c>
      <c r="B1794" s="121">
        <v>91.005653381347656</v>
      </c>
      <c r="C1794" s="120">
        <f>IFERROR(yf_data[[#This Row],[Close Price]]/B1793-1,0)</f>
        <v>1.2428339013249579E-2</v>
      </c>
    </row>
    <row r="1795" spans="1:3">
      <c r="A1795" s="119">
        <v>43398</v>
      </c>
      <c r="B1795" s="121">
        <v>93.516883850097656</v>
      </c>
      <c r="C1795" s="120">
        <f>IFERROR(yf_data[[#This Row],[Close Price]]/B1794-1,0)</f>
        <v>2.7594224923884747E-2</v>
      </c>
    </row>
    <row r="1796" spans="1:3">
      <c r="A1796" s="119">
        <v>43399</v>
      </c>
      <c r="B1796" s="121">
        <v>91.807716369628906</v>
      </c>
      <c r="C1796" s="120">
        <f>IFERROR(yf_data[[#This Row],[Close Price]]/B1795-1,0)</f>
        <v>-1.8276565793279076E-2</v>
      </c>
    </row>
    <row r="1797" spans="1:3">
      <c r="A1797" s="119">
        <v>43402</v>
      </c>
      <c r="B1797" s="121">
        <v>91.502166748046875</v>
      </c>
      <c r="C1797" s="120">
        <f>IFERROR(yf_data[[#This Row],[Close Price]]/B1796-1,0)</f>
        <v>-3.3281474985376036E-3</v>
      </c>
    </row>
    <row r="1798" spans="1:3">
      <c r="A1798" s="119">
        <v>43403</v>
      </c>
      <c r="B1798" s="121">
        <v>89.659332275390625</v>
      </c>
      <c r="C1798" s="120">
        <f>IFERROR(yf_data[[#This Row],[Close Price]]/B1797-1,0)</f>
        <v>-2.0139790544310587E-2</v>
      </c>
    </row>
    <row r="1799" spans="1:3">
      <c r="A1799" s="119">
        <v>43404</v>
      </c>
      <c r="B1799" s="121">
        <v>93.297264099121094</v>
      </c>
      <c r="C1799" s="120">
        <f>IFERROR(yf_data[[#This Row],[Close Price]]/B1798-1,0)</f>
        <v>4.0575049260421547E-2</v>
      </c>
    </row>
    <row r="1800" spans="1:3">
      <c r="A1800" s="119">
        <v>43405</v>
      </c>
      <c r="B1800" s="121">
        <v>92.141914367675781</v>
      </c>
      <c r="C1800" s="120">
        <f>IFERROR(yf_data[[#This Row],[Close Price]]/B1799-1,0)</f>
        <v>-1.2383532814186693E-2</v>
      </c>
    </row>
    <row r="1801" spans="1:3">
      <c r="A1801" s="119">
        <v>43406</v>
      </c>
      <c r="B1801" s="121">
        <v>91.292106628417955</v>
      </c>
      <c r="C1801" s="120">
        <f>IFERROR(yf_data[[#This Row],[Close Price]]/B1800-1,0)</f>
        <v>-9.2228140156370708E-3</v>
      </c>
    </row>
    <row r="1802" spans="1:3">
      <c r="A1802" s="119">
        <v>43409</v>
      </c>
      <c r="B1802" s="121">
        <v>91.072486877441406</v>
      </c>
      <c r="C1802" s="120">
        <f>IFERROR(yf_data[[#This Row],[Close Price]]/B1801-1,0)</f>
        <v>-2.405681707734697E-3</v>
      </c>
    </row>
    <row r="1803" spans="1:3">
      <c r="A1803" s="119">
        <v>43410</v>
      </c>
      <c r="B1803" s="121">
        <v>91.521263122558594</v>
      </c>
      <c r="C1803" s="120">
        <f>IFERROR(yf_data[[#This Row],[Close Price]]/B1802-1,0)</f>
        <v>4.9276818993766458E-3</v>
      </c>
    </row>
    <row r="1804" spans="1:3">
      <c r="A1804" s="119">
        <v>43411</v>
      </c>
      <c r="B1804" s="121">
        <v>91.750419616699219</v>
      </c>
      <c r="C1804" s="120">
        <f>IFERROR(yf_data[[#This Row],[Close Price]]/B1803-1,0)</f>
        <v>2.5038607021163894E-3</v>
      </c>
    </row>
    <row r="1805" spans="1:3">
      <c r="A1805" s="119">
        <v>43412</v>
      </c>
      <c r="B1805" s="121">
        <v>91.330299377441406</v>
      </c>
      <c r="C1805" s="120">
        <f>IFERROR(yf_data[[#This Row],[Close Price]]/B1804-1,0)</f>
        <v>-4.5789462436567341E-3</v>
      </c>
    </row>
    <row r="1806" spans="1:3">
      <c r="A1806" s="119">
        <v>43413</v>
      </c>
      <c r="B1806" s="121">
        <v>90.404106140136719</v>
      </c>
      <c r="C1806" s="120">
        <f>IFERROR(yf_data[[#This Row],[Close Price]]/B1805-1,0)</f>
        <v>-1.0141138741667777E-2</v>
      </c>
    </row>
    <row r="1807" spans="1:3">
      <c r="A1807" s="119">
        <v>43416</v>
      </c>
      <c r="B1807" s="121">
        <v>90.127197265625</v>
      </c>
      <c r="C1807" s="120">
        <f>IFERROR(yf_data[[#This Row],[Close Price]]/B1806-1,0)</f>
        <v>-3.0630121388787179E-3</v>
      </c>
    </row>
    <row r="1808" spans="1:3">
      <c r="A1808" s="119">
        <v>43417</v>
      </c>
      <c r="B1808" s="121">
        <v>92.065521240234375</v>
      </c>
      <c r="C1808" s="120">
        <f>IFERROR(yf_data[[#This Row],[Close Price]]/B1807-1,0)</f>
        <v>2.1506537797871372E-2</v>
      </c>
    </row>
    <row r="1809" spans="1:3">
      <c r="A1809" s="119">
        <v>43418</v>
      </c>
      <c r="B1809" s="121">
        <v>91.215721130371094</v>
      </c>
      <c r="C1809" s="120">
        <f>IFERROR(yf_data[[#This Row],[Close Price]]/B1808-1,0)</f>
        <v>-9.2303839528136145E-3</v>
      </c>
    </row>
    <row r="1810" spans="1:3">
      <c r="A1810" s="119">
        <v>43419</v>
      </c>
      <c r="B1810" s="121">
        <v>89.621139526367188</v>
      </c>
      <c r="C1810" s="120">
        <f>IFERROR(yf_data[[#This Row],[Close Price]]/B1809-1,0)</f>
        <v>-1.7481433948483893E-2</v>
      </c>
    </row>
    <row r="1811" spans="1:3">
      <c r="A1811" s="119">
        <v>43420</v>
      </c>
      <c r="B1811" s="121">
        <v>88.6949462890625</v>
      </c>
      <c r="C1811" s="120">
        <f>IFERROR(yf_data[[#This Row],[Close Price]]/B1810-1,0)</f>
        <v>-1.0334539844053192E-2</v>
      </c>
    </row>
    <row r="1812" spans="1:3">
      <c r="A1812" s="119">
        <v>43423</v>
      </c>
      <c r="B1812" s="121">
        <v>88.389396667480469</v>
      </c>
      <c r="C1812" s="120">
        <f>IFERROR(yf_data[[#This Row],[Close Price]]/B1811-1,0)</f>
        <v>-3.4449496207622499E-3</v>
      </c>
    </row>
    <row r="1813" spans="1:3">
      <c r="A1813" s="119">
        <v>43424</v>
      </c>
      <c r="B1813" s="121">
        <v>86.957130432128906</v>
      </c>
      <c r="C1813" s="120">
        <f>IFERROR(yf_data[[#This Row],[Close Price]]/B1812-1,0)</f>
        <v>-1.6204050365223432E-2</v>
      </c>
    </row>
    <row r="1814" spans="1:3">
      <c r="A1814" s="119">
        <v>43425</v>
      </c>
      <c r="B1814" s="121">
        <v>88.962295532226563</v>
      </c>
      <c r="C1814" s="120">
        <f>IFERROR(yf_data[[#This Row],[Close Price]]/B1813-1,0)</f>
        <v>2.3059237237166075E-2</v>
      </c>
    </row>
    <row r="1815" spans="1:3">
      <c r="A1815" s="119">
        <v>43426</v>
      </c>
      <c r="B1815" s="121">
        <v>88.160240173339844</v>
      </c>
      <c r="C1815" s="120">
        <f>IFERROR(yf_data[[#This Row],[Close Price]]/B1814-1,0)</f>
        <v>-9.0156774180379928E-3</v>
      </c>
    </row>
    <row r="1816" spans="1:3">
      <c r="A1816" s="119">
        <v>43427</v>
      </c>
      <c r="B1816" s="121">
        <v>89.191459655761719</v>
      </c>
      <c r="C1816" s="120">
        <f>IFERROR(yf_data[[#This Row],[Close Price]]/B1815-1,0)</f>
        <v>1.1697103823609112E-2</v>
      </c>
    </row>
    <row r="1817" spans="1:3">
      <c r="A1817" s="119">
        <v>43430</v>
      </c>
      <c r="B1817" s="121">
        <v>89.353782653808594</v>
      </c>
      <c r="C1817" s="120">
        <f>IFERROR(yf_data[[#This Row],[Close Price]]/B1816-1,0)</f>
        <v>1.8199387998960592E-3</v>
      </c>
    </row>
    <row r="1818" spans="1:3">
      <c r="A1818" s="119">
        <v>43431</v>
      </c>
      <c r="B1818" s="121">
        <v>89.468360900878906</v>
      </c>
      <c r="C1818" s="120">
        <f>IFERROR(yf_data[[#This Row],[Close Price]]/B1817-1,0)</f>
        <v>1.2822987865463986E-3</v>
      </c>
    </row>
    <row r="1819" spans="1:3">
      <c r="A1819" s="119">
        <v>43432</v>
      </c>
      <c r="B1819" s="121">
        <v>89.277389526367188</v>
      </c>
      <c r="C1819" s="120">
        <f>IFERROR(yf_data[[#This Row],[Close Price]]/B1818-1,0)</f>
        <v>-2.1345129450096589E-3</v>
      </c>
    </row>
    <row r="1820" spans="1:3">
      <c r="A1820" s="119">
        <v>43433</v>
      </c>
      <c r="B1820" s="121">
        <v>90.575973510742202</v>
      </c>
      <c r="C1820" s="120">
        <f>IFERROR(yf_data[[#This Row],[Close Price]]/B1819-1,0)</f>
        <v>1.4545496807917946E-2</v>
      </c>
    </row>
    <row r="1821" spans="1:3">
      <c r="A1821" s="119">
        <v>43434</v>
      </c>
      <c r="B1821" s="121">
        <v>90.346817016601563</v>
      </c>
      <c r="C1821" s="120">
        <f>IFERROR(yf_data[[#This Row],[Close Price]]/B1820-1,0)</f>
        <v>-2.529992063662001E-3</v>
      </c>
    </row>
    <row r="1822" spans="1:3">
      <c r="A1822" s="119">
        <v>43437</v>
      </c>
      <c r="B1822" s="121">
        <v>91.378036499023438</v>
      </c>
      <c r="C1822" s="120">
        <f>IFERROR(yf_data[[#This Row],[Close Price]]/B1821-1,0)</f>
        <v>1.141401010544052E-2</v>
      </c>
    </row>
    <row r="1823" spans="1:3">
      <c r="A1823" s="119">
        <v>43438</v>
      </c>
      <c r="B1823" s="121">
        <v>90.012619018554688</v>
      </c>
      <c r="C1823" s="120">
        <f>IFERROR(yf_data[[#This Row],[Close Price]]/B1822-1,0)</f>
        <v>-1.4942512804850483E-2</v>
      </c>
    </row>
    <row r="1824" spans="1:3">
      <c r="A1824" s="119">
        <v>43439</v>
      </c>
      <c r="B1824" s="121">
        <v>88.141128540039063</v>
      </c>
      <c r="C1824" s="120">
        <f>IFERROR(yf_data[[#This Row],[Close Price]]/B1823-1,0)</f>
        <v>-2.0791423457302671E-2</v>
      </c>
    </row>
    <row r="1825" spans="1:3">
      <c r="A1825" s="119">
        <v>43440</v>
      </c>
      <c r="B1825" s="121">
        <v>84.636878967285156</v>
      </c>
      <c r="C1825" s="120">
        <f>IFERROR(yf_data[[#This Row],[Close Price]]/B1824-1,0)</f>
        <v>-3.9757257829550752E-2</v>
      </c>
    </row>
    <row r="1826" spans="1:3">
      <c r="A1826" s="119">
        <v>43441</v>
      </c>
      <c r="B1826" s="121">
        <v>85.047454833984375</v>
      </c>
      <c r="C1826" s="120">
        <f>IFERROR(yf_data[[#This Row],[Close Price]]/B1825-1,0)</f>
        <v>4.8510279645108678E-3</v>
      </c>
    </row>
    <row r="1827" spans="1:3">
      <c r="A1827" s="119">
        <v>43444</v>
      </c>
      <c r="B1827" s="121">
        <v>83.538818359375</v>
      </c>
      <c r="C1827" s="120">
        <f>IFERROR(yf_data[[#This Row],[Close Price]]/B1826-1,0)</f>
        <v>-1.7738760995896774E-2</v>
      </c>
    </row>
    <row r="1828" spans="1:3">
      <c r="A1828" s="119">
        <v>43445</v>
      </c>
      <c r="B1828" s="121">
        <v>84.598686218261719</v>
      </c>
      <c r="C1828" s="120">
        <f>IFERROR(yf_data[[#This Row],[Close Price]]/B1827-1,0)</f>
        <v>1.2687130123474777E-2</v>
      </c>
    </row>
    <row r="1829" spans="1:3">
      <c r="A1829" s="119">
        <v>43446</v>
      </c>
      <c r="B1829" s="121">
        <v>87.348625183105469</v>
      </c>
      <c r="C1829" s="120">
        <f>IFERROR(yf_data[[#This Row],[Close Price]]/B1828-1,0)</f>
        <v>3.2505693501539756E-2</v>
      </c>
    </row>
    <row r="1830" spans="1:3">
      <c r="A1830" s="119">
        <v>43447</v>
      </c>
      <c r="B1830" s="121">
        <v>85.906814575195313</v>
      </c>
      <c r="C1830" s="120">
        <f>IFERROR(yf_data[[#This Row],[Close Price]]/B1829-1,0)</f>
        <v>-1.6506391541798671E-2</v>
      </c>
    </row>
    <row r="1831" spans="1:3">
      <c r="A1831" s="119">
        <v>43448</v>
      </c>
      <c r="B1831" s="121">
        <v>84.66552734375</v>
      </c>
      <c r="C1831" s="120">
        <f>IFERROR(yf_data[[#This Row],[Close Price]]/B1830-1,0)</f>
        <v>-1.4449228941655123E-2</v>
      </c>
    </row>
    <row r="1832" spans="1:3">
      <c r="A1832" s="119">
        <v>43451</v>
      </c>
      <c r="B1832" s="121">
        <v>83.69158935546875</v>
      </c>
      <c r="C1832" s="120">
        <f>IFERROR(yf_data[[#This Row],[Close Price]]/B1831-1,0)</f>
        <v>-1.1503359381758393E-2</v>
      </c>
    </row>
    <row r="1833" spans="1:3">
      <c r="A1833" s="119">
        <v>43452</v>
      </c>
      <c r="B1833" s="121">
        <v>84.64642333984375</v>
      </c>
      <c r="C1833" s="120">
        <f>IFERROR(yf_data[[#This Row],[Close Price]]/B1832-1,0)</f>
        <v>1.1408959869545265E-2</v>
      </c>
    </row>
    <row r="1834" spans="1:3">
      <c r="A1834" s="119">
        <v>43453</v>
      </c>
      <c r="B1834" s="121">
        <v>83.261909484863281</v>
      </c>
      <c r="C1834" s="120">
        <f>IFERROR(yf_data[[#This Row],[Close Price]]/B1833-1,0)</f>
        <v>-1.6356436578800704E-2</v>
      </c>
    </row>
    <row r="1835" spans="1:3">
      <c r="A1835" s="119">
        <v>43454</v>
      </c>
      <c r="B1835" s="121">
        <v>79.566688537597656</v>
      </c>
      <c r="C1835" s="120">
        <f>IFERROR(yf_data[[#This Row],[Close Price]]/B1834-1,0)</f>
        <v>-4.4380689442840682E-2</v>
      </c>
    </row>
    <row r="1836" spans="1:3">
      <c r="A1836" s="119">
        <v>43455</v>
      </c>
      <c r="B1836" s="121">
        <v>79.347076416015625</v>
      </c>
      <c r="C1836" s="120">
        <f>IFERROR(yf_data[[#This Row],[Close Price]]/B1835-1,0)</f>
        <v>-2.7601013139846309E-3</v>
      </c>
    </row>
    <row r="1837" spans="1:3">
      <c r="A1837" s="119">
        <v>43458</v>
      </c>
      <c r="B1837" s="121">
        <v>77.943458557128906</v>
      </c>
      <c r="C1837" s="120">
        <f>IFERROR(yf_data[[#This Row],[Close Price]]/B1836-1,0)</f>
        <v>-1.7689597680040192E-2</v>
      </c>
    </row>
    <row r="1838" spans="1:3">
      <c r="A1838" s="119">
        <v>43461</v>
      </c>
      <c r="B1838" s="121">
        <v>78.392234802246094</v>
      </c>
      <c r="C1838" s="120">
        <f>IFERROR(yf_data[[#This Row],[Close Price]]/B1837-1,0)</f>
        <v>5.7577153160102146E-3</v>
      </c>
    </row>
    <row r="1839" spans="1:3">
      <c r="A1839" s="119">
        <v>43462</v>
      </c>
      <c r="B1839" s="121">
        <v>79.977264404296875</v>
      </c>
      <c r="C1839" s="120">
        <f>IFERROR(yf_data[[#This Row],[Close Price]]/B1838-1,0)</f>
        <v>2.0219216942203744E-2</v>
      </c>
    </row>
    <row r="1840" spans="1:3">
      <c r="A1840" s="119">
        <v>43465</v>
      </c>
      <c r="B1840" s="121">
        <v>80.168235778808594</v>
      </c>
      <c r="C1840" s="120">
        <f>IFERROR(yf_data[[#This Row],[Close Price]]/B1839-1,0)</f>
        <v>2.3878207879970414E-3</v>
      </c>
    </row>
    <row r="1841" spans="1:3">
      <c r="A1841" s="119">
        <v>43467</v>
      </c>
      <c r="B1841" s="121">
        <v>80.368751525878906</v>
      </c>
      <c r="C1841" s="120">
        <f>IFERROR(yf_data[[#This Row],[Close Price]]/B1840-1,0)</f>
        <v>2.5011869741471404E-3</v>
      </c>
    </row>
    <row r="1842" spans="1:3">
      <c r="A1842" s="119">
        <v>43468</v>
      </c>
      <c r="B1842" s="121">
        <v>77.542427062988281</v>
      </c>
      <c r="C1842" s="120">
        <f>IFERROR(yf_data[[#This Row],[Close Price]]/B1841-1,0)</f>
        <v>-3.5166957421013834E-2</v>
      </c>
    </row>
    <row r="1843" spans="1:3">
      <c r="A1843" s="119">
        <v>43469</v>
      </c>
      <c r="B1843" s="121">
        <v>81.275848388671875</v>
      </c>
      <c r="C1843" s="120">
        <f>IFERROR(yf_data[[#This Row],[Close Price]]/B1842-1,0)</f>
        <v>4.8146820612809949E-2</v>
      </c>
    </row>
    <row r="1844" spans="1:3">
      <c r="A1844" s="119">
        <v>43472</v>
      </c>
      <c r="B1844" s="121">
        <v>79.786300659179688</v>
      </c>
      <c r="C1844" s="120">
        <f>IFERROR(yf_data[[#This Row],[Close Price]]/B1843-1,0)</f>
        <v>-1.8327064669555582E-2</v>
      </c>
    </row>
    <row r="1845" spans="1:3">
      <c r="A1845" s="119">
        <v>43473</v>
      </c>
      <c r="B1845" s="121">
        <v>82.736747741699219</v>
      </c>
      <c r="C1845" s="120">
        <f>IFERROR(yf_data[[#This Row],[Close Price]]/B1844-1,0)</f>
        <v>3.6979369367215797E-2</v>
      </c>
    </row>
    <row r="1846" spans="1:3">
      <c r="A1846" s="119">
        <v>43474</v>
      </c>
      <c r="B1846" s="121">
        <v>85.629913330078125</v>
      </c>
      <c r="C1846" s="120">
        <f>IFERROR(yf_data[[#This Row],[Close Price]]/B1845-1,0)</f>
        <v>3.4968326255840454E-2</v>
      </c>
    </row>
    <row r="1847" spans="1:3">
      <c r="A1847" s="119">
        <v>43475</v>
      </c>
      <c r="B1847" s="121">
        <v>85.563072204589844</v>
      </c>
      <c r="C1847" s="120">
        <f>IFERROR(yf_data[[#This Row],[Close Price]]/B1846-1,0)</f>
        <v>-7.8058149178117375E-4</v>
      </c>
    </row>
    <row r="1848" spans="1:3">
      <c r="A1848" s="119">
        <v>43476</v>
      </c>
      <c r="B1848" s="121">
        <v>84.388618469238281</v>
      </c>
      <c r="C1848" s="120">
        <f>IFERROR(yf_data[[#This Row],[Close Price]]/B1847-1,0)</f>
        <v>-1.3726175382568373E-2</v>
      </c>
    </row>
    <row r="1849" spans="1:3">
      <c r="A1849" s="119">
        <v>43479</v>
      </c>
      <c r="B1849" s="121">
        <v>85.849533081054688</v>
      </c>
      <c r="C1849" s="120">
        <f>IFERROR(yf_data[[#This Row],[Close Price]]/B1848-1,0)</f>
        <v>1.7311749360477302E-2</v>
      </c>
    </row>
    <row r="1850" spans="1:3">
      <c r="A1850" s="119">
        <v>43480</v>
      </c>
      <c r="B1850" s="121">
        <v>88.141128540039063</v>
      </c>
      <c r="C1850" s="120">
        <f>IFERROR(yf_data[[#This Row],[Close Price]]/B1849-1,0)</f>
        <v>2.6693161590299663E-2</v>
      </c>
    </row>
    <row r="1851" spans="1:3">
      <c r="A1851" s="119">
        <v>43481</v>
      </c>
      <c r="B1851" s="121">
        <v>88.360748291015625</v>
      </c>
      <c r="C1851" s="120">
        <f>IFERROR(yf_data[[#This Row],[Close Price]]/B1850-1,0)</f>
        <v>2.4916829931080908E-3</v>
      </c>
    </row>
    <row r="1852" spans="1:3">
      <c r="A1852" s="119">
        <v>43482</v>
      </c>
      <c r="B1852" s="121">
        <v>87.615974426269531</v>
      </c>
      <c r="C1852" s="120">
        <f>IFERROR(yf_data[[#This Row],[Close Price]]/B1851-1,0)</f>
        <v>-8.4287863010529263E-3</v>
      </c>
    </row>
    <row r="1853" spans="1:3">
      <c r="A1853" s="119">
        <v>43483</v>
      </c>
      <c r="B1853" s="121">
        <v>89.43017578125</v>
      </c>
      <c r="C1853" s="120">
        <f>IFERROR(yf_data[[#This Row],[Close Price]]/B1852-1,0)</f>
        <v>2.0706285204955988E-2</v>
      </c>
    </row>
    <row r="1854" spans="1:3">
      <c r="A1854" s="119">
        <v>43486</v>
      </c>
      <c r="B1854" s="121">
        <v>90.232231140136719</v>
      </c>
      <c r="C1854" s="120">
        <f>IFERROR(yf_data[[#This Row],[Close Price]]/B1853-1,0)</f>
        <v>8.9685092518276832E-3</v>
      </c>
    </row>
    <row r="1855" spans="1:3">
      <c r="A1855" s="119">
        <v>43487</v>
      </c>
      <c r="B1855" s="121">
        <v>90.470939636230483</v>
      </c>
      <c r="C1855" s="120">
        <f>IFERROR(yf_data[[#This Row],[Close Price]]/B1854-1,0)</f>
        <v>2.6454903428358989E-3</v>
      </c>
    </row>
    <row r="1856" spans="1:3">
      <c r="A1856" s="119">
        <v>43488</v>
      </c>
      <c r="B1856" s="121">
        <v>89.573394775390625</v>
      </c>
      <c r="C1856" s="120">
        <f>IFERROR(yf_data[[#This Row],[Close Price]]/B1855-1,0)</f>
        <v>-9.9208084325059787E-3</v>
      </c>
    </row>
    <row r="1857" spans="1:3">
      <c r="A1857" s="119">
        <v>43489</v>
      </c>
      <c r="B1857" s="121">
        <v>91.588096618652344</v>
      </c>
      <c r="C1857" s="120">
        <f>IFERROR(yf_data[[#This Row],[Close Price]]/B1856-1,0)</f>
        <v>2.2492190324076455E-2</v>
      </c>
    </row>
    <row r="1858" spans="1:3">
      <c r="A1858" s="119">
        <v>43490</v>
      </c>
      <c r="B1858" s="121">
        <v>92.151466369628906</v>
      </c>
      <c r="C1858" s="120">
        <f>IFERROR(yf_data[[#This Row],[Close Price]]/B1857-1,0)</f>
        <v>6.1511241283054297E-3</v>
      </c>
    </row>
    <row r="1859" spans="1:3">
      <c r="A1859" s="119">
        <v>43493</v>
      </c>
      <c r="B1859" s="121">
        <v>91.110679626464844</v>
      </c>
      <c r="C1859" s="120">
        <f>IFERROR(yf_data[[#This Row],[Close Price]]/B1858-1,0)</f>
        <v>-1.1294304737261118E-2</v>
      </c>
    </row>
    <row r="1860" spans="1:3">
      <c r="A1860" s="119">
        <v>43494</v>
      </c>
      <c r="B1860" s="121">
        <v>91.712234497070327</v>
      </c>
      <c r="C1860" s="120">
        <f>IFERROR(yf_data[[#This Row],[Close Price]]/B1859-1,0)</f>
        <v>6.602462774635498E-3</v>
      </c>
    </row>
    <row r="1861" spans="1:3">
      <c r="A1861" s="119">
        <v>43495</v>
      </c>
      <c r="B1861" s="121">
        <v>94.529006958007798</v>
      </c>
      <c r="C1861" s="120">
        <f>IFERROR(yf_data[[#This Row],[Close Price]]/B1860-1,0)</f>
        <v>3.0713159224437403E-2</v>
      </c>
    </row>
    <row r="1862" spans="1:3">
      <c r="A1862" s="119">
        <v>43496</v>
      </c>
      <c r="B1862" s="121">
        <v>95.693908691406236</v>
      </c>
      <c r="C1862" s="120">
        <f>IFERROR(yf_data[[#This Row],[Close Price]]/B1861-1,0)</f>
        <v>1.2323219833631827E-2</v>
      </c>
    </row>
    <row r="1863" spans="1:3">
      <c r="A1863" s="119">
        <v>43497</v>
      </c>
      <c r="B1863" s="121">
        <v>96.553268432617202</v>
      </c>
      <c r="C1863" s="120">
        <f>IFERROR(yf_data[[#This Row],[Close Price]]/B1862-1,0)</f>
        <v>8.980297209744359E-3</v>
      </c>
    </row>
    <row r="1864" spans="1:3">
      <c r="A1864" s="119">
        <v>43500</v>
      </c>
      <c r="B1864" s="121">
        <v>96.820625305175781</v>
      </c>
      <c r="C1864" s="120">
        <f>IFERROR(yf_data[[#This Row],[Close Price]]/B1863-1,0)</f>
        <v>2.7690090340666274E-3</v>
      </c>
    </row>
    <row r="1865" spans="1:3">
      <c r="A1865" s="119">
        <v>43501</v>
      </c>
      <c r="B1865" s="121">
        <v>97.393516540527344</v>
      </c>
      <c r="C1865" s="120">
        <f>IFERROR(yf_data[[#This Row],[Close Price]]/B1864-1,0)</f>
        <v>5.9170371348649109E-3</v>
      </c>
    </row>
    <row r="1866" spans="1:3">
      <c r="A1866" s="119">
        <v>43502</v>
      </c>
      <c r="B1866" s="121">
        <v>97.469909667968764</v>
      </c>
      <c r="C1866" s="120">
        <f>IFERROR(yf_data[[#This Row],[Close Price]]/B1865-1,0)</f>
        <v>7.8437590257496304E-4</v>
      </c>
    </row>
    <row r="1867" spans="1:3">
      <c r="A1867" s="119">
        <v>43503</v>
      </c>
      <c r="B1867" s="121">
        <v>95.321517944335938</v>
      </c>
      <c r="C1867" s="120">
        <f>IFERROR(yf_data[[#This Row],[Close Price]]/B1866-1,0)</f>
        <v>-2.2041589357693292E-2</v>
      </c>
    </row>
    <row r="1868" spans="1:3">
      <c r="A1868" s="119">
        <v>43504</v>
      </c>
      <c r="B1868" s="121">
        <v>95.426559448242202</v>
      </c>
      <c r="C1868" s="120">
        <f>IFERROR(yf_data[[#This Row],[Close Price]]/B1867-1,0)</f>
        <v>1.1019705326933416E-3</v>
      </c>
    </row>
    <row r="1869" spans="1:3">
      <c r="A1869" s="119">
        <v>43507</v>
      </c>
      <c r="B1869" s="121">
        <v>97.393516540527344</v>
      </c>
      <c r="C1869" s="120">
        <f>IFERROR(yf_data[[#This Row],[Close Price]]/B1868-1,0)</f>
        <v>2.0612260398552795E-2</v>
      </c>
    </row>
    <row r="1870" spans="1:3">
      <c r="A1870" s="119">
        <v>43508</v>
      </c>
      <c r="B1870" s="121">
        <v>98.138290405273438</v>
      </c>
      <c r="C1870" s="120">
        <f>IFERROR(yf_data[[#This Row],[Close Price]]/B1869-1,0)</f>
        <v>7.6470579480121259E-3</v>
      </c>
    </row>
    <row r="1871" spans="1:3">
      <c r="A1871" s="119">
        <v>43509</v>
      </c>
      <c r="B1871" s="121">
        <v>99.666030883789063</v>
      </c>
      <c r="C1871" s="120">
        <f>IFERROR(yf_data[[#This Row],[Close Price]]/B1870-1,0)</f>
        <v>1.5567221236549411E-2</v>
      </c>
    </row>
    <row r="1872" spans="1:3">
      <c r="A1872" s="119">
        <v>43510</v>
      </c>
      <c r="B1872" s="121">
        <v>102.33958435058594</v>
      </c>
      <c r="C1872" s="120">
        <f>IFERROR(yf_data[[#This Row],[Close Price]]/B1871-1,0)</f>
        <v>2.6825122291809222E-2</v>
      </c>
    </row>
    <row r="1873" spans="1:3">
      <c r="A1873" s="119">
        <v>43511</v>
      </c>
      <c r="B1873" s="121">
        <v>105.9679718017578</v>
      </c>
      <c r="C1873" s="120">
        <f>IFERROR(yf_data[[#This Row],[Close Price]]/B1872-1,0)</f>
        <v>3.545438917107635E-2</v>
      </c>
    </row>
    <row r="1874" spans="1:3">
      <c r="A1874" s="119">
        <v>43514</v>
      </c>
      <c r="B1874" s="121">
        <v>106.23532867431641</v>
      </c>
      <c r="C1874" s="120">
        <f>IFERROR(yf_data[[#This Row],[Close Price]]/B1873-1,0)</f>
        <v>2.5229969774147598E-3</v>
      </c>
    </row>
    <row r="1875" spans="1:3">
      <c r="A1875" s="119">
        <v>43515</v>
      </c>
      <c r="B1875" s="121">
        <v>106.12074279785156</v>
      </c>
      <c r="C1875" s="120">
        <f>IFERROR(yf_data[[#This Row],[Close Price]]/B1874-1,0)</f>
        <v>-1.0786042448847066E-3</v>
      </c>
    </row>
    <row r="1876" spans="1:3">
      <c r="A1876" s="119">
        <v>43516</v>
      </c>
      <c r="B1876" s="121">
        <v>106.10165405273438</v>
      </c>
      <c r="C1876" s="120">
        <f>IFERROR(yf_data[[#This Row],[Close Price]]/B1875-1,0)</f>
        <v>-1.7987760558324517E-4</v>
      </c>
    </row>
    <row r="1877" spans="1:3">
      <c r="A1877" s="119">
        <v>43517</v>
      </c>
      <c r="B1877" s="121">
        <v>106.330810546875</v>
      </c>
      <c r="C1877" s="120">
        <f>IFERROR(yf_data[[#This Row],[Close Price]]/B1876-1,0)</f>
        <v>2.1597824858294867E-3</v>
      </c>
    </row>
    <row r="1878" spans="1:3">
      <c r="A1878" s="119">
        <v>43518</v>
      </c>
      <c r="B1878" s="121">
        <v>108.56512451171876</v>
      </c>
      <c r="C1878" s="120">
        <f>IFERROR(yf_data[[#This Row],[Close Price]]/B1877-1,0)</f>
        <v>2.1012855571704625E-2</v>
      </c>
    </row>
    <row r="1879" spans="1:3">
      <c r="A1879" s="119">
        <v>43521</v>
      </c>
      <c r="B1879" s="121">
        <v>108.2213897705078</v>
      </c>
      <c r="C1879" s="120">
        <f>IFERROR(yf_data[[#This Row],[Close Price]]/B1878-1,0)</f>
        <v>-3.1661617186636848E-3</v>
      </c>
    </row>
    <row r="1880" spans="1:3">
      <c r="A1880" s="119">
        <v>43522</v>
      </c>
      <c r="B1880" s="121">
        <v>108.01132965087891</v>
      </c>
      <c r="C1880" s="120">
        <f>IFERROR(yf_data[[#This Row],[Close Price]]/B1879-1,0)</f>
        <v>-1.9410221960218799E-3</v>
      </c>
    </row>
    <row r="1881" spans="1:3">
      <c r="A1881" s="119">
        <v>43523</v>
      </c>
      <c r="B1881" s="121">
        <v>108.33596801757813</v>
      </c>
      <c r="C1881" s="120">
        <f>IFERROR(yf_data[[#This Row],[Close Price]]/B1880-1,0)</f>
        <v>3.0055955032544102E-3</v>
      </c>
    </row>
    <row r="1882" spans="1:3">
      <c r="A1882" s="119">
        <v>43524</v>
      </c>
      <c r="B1882" s="121">
        <v>108.46965026855467</v>
      </c>
      <c r="C1882" s="120">
        <f>IFERROR(yf_data[[#This Row],[Close Price]]/B1881-1,0)</f>
        <v>1.2339599989068528E-3</v>
      </c>
    </row>
    <row r="1883" spans="1:3">
      <c r="A1883" s="119">
        <v>43525</v>
      </c>
      <c r="B1883" s="121">
        <v>108.756103515625</v>
      </c>
      <c r="C1883" s="120">
        <f>IFERROR(yf_data[[#This Row],[Close Price]]/B1882-1,0)</f>
        <v>2.6408607971086795E-3</v>
      </c>
    </row>
    <row r="1884" spans="1:3">
      <c r="A1884" s="119">
        <v>43528</v>
      </c>
      <c r="B1884" s="121">
        <v>108.87067413330078</v>
      </c>
      <c r="C1884" s="120">
        <f>IFERROR(yf_data[[#This Row],[Close Price]]/B1883-1,0)</f>
        <v>1.0534637962578142E-3</v>
      </c>
    </row>
    <row r="1885" spans="1:3">
      <c r="A1885" s="119">
        <v>43529</v>
      </c>
      <c r="B1885" s="121">
        <v>108.12590026855467</v>
      </c>
      <c r="C1885" s="120">
        <f>IFERROR(yf_data[[#This Row],[Close Price]]/B1884-1,0)</f>
        <v>-6.8409043176697049E-3</v>
      </c>
    </row>
    <row r="1886" spans="1:3">
      <c r="A1886" s="119">
        <v>43530</v>
      </c>
      <c r="B1886" s="121">
        <v>108.584228515625</v>
      </c>
      <c r="C1886" s="120">
        <f>IFERROR(yf_data[[#This Row],[Close Price]]/B1885-1,0)</f>
        <v>4.2388386679970136E-3</v>
      </c>
    </row>
    <row r="1887" spans="1:3">
      <c r="A1887" s="119">
        <v>43531</v>
      </c>
      <c r="B1887" s="121">
        <v>107.6484832763672</v>
      </c>
      <c r="C1887" s="120">
        <f>IFERROR(yf_data[[#This Row],[Close Price]]/B1886-1,0)</f>
        <v>-8.6176901751725543E-3</v>
      </c>
    </row>
    <row r="1888" spans="1:3">
      <c r="A1888" s="119">
        <v>43532</v>
      </c>
      <c r="B1888" s="121">
        <v>106.48358154296876</v>
      </c>
      <c r="C1888" s="120">
        <f>IFERROR(yf_data[[#This Row],[Close Price]]/B1887-1,0)</f>
        <v>-1.0821348317632817E-2</v>
      </c>
    </row>
    <row r="1889" spans="1:3">
      <c r="A1889" s="119">
        <v>43535</v>
      </c>
      <c r="B1889" s="121">
        <v>107.85855102539063</v>
      </c>
      <c r="C1889" s="120">
        <f>IFERROR(yf_data[[#This Row],[Close Price]]/B1888-1,0)</f>
        <v>1.2912502213940247E-2</v>
      </c>
    </row>
    <row r="1890" spans="1:3">
      <c r="A1890" s="119">
        <v>43536</v>
      </c>
      <c r="B1890" s="121">
        <v>109.4053955078125</v>
      </c>
      <c r="C1890" s="120">
        <f>IFERROR(yf_data[[#This Row],[Close Price]]/B1889-1,0)</f>
        <v>1.4341417233184828E-2</v>
      </c>
    </row>
    <row r="1891" spans="1:3">
      <c r="A1891" s="119">
        <v>43537</v>
      </c>
      <c r="B1891" s="121">
        <v>111.60150909423828</v>
      </c>
      <c r="C1891" s="120">
        <f>IFERROR(yf_data[[#This Row],[Close Price]]/B1890-1,0)</f>
        <v>2.0073174419162454E-2</v>
      </c>
    </row>
    <row r="1892" spans="1:3">
      <c r="A1892" s="119">
        <v>43538</v>
      </c>
      <c r="B1892" s="121">
        <v>111.71610260009766</v>
      </c>
      <c r="C1892" s="120">
        <f>IFERROR(yf_data[[#This Row],[Close Price]]/B1891-1,0)</f>
        <v>1.026809644326665E-3</v>
      </c>
    </row>
    <row r="1893" spans="1:3">
      <c r="A1893" s="119">
        <v>43539</v>
      </c>
      <c r="B1893" s="121">
        <v>112.36538696289063</v>
      </c>
      <c r="C1893" s="120">
        <f>IFERROR(yf_data[[#This Row],[Close Price]]/B1892-1,0)</f>
        <v>5.8119138394683301E-3</v>
      </c>
    </row>
    <row r="1894" spans="1:3">
      <c r="A1894" s="119">
        <v>43542</v>
      </c>
      <c r="B1894" s="121">
        <v>112.67093658447266</v>
      </c>
      <c r="C1894" s="120">
        <f>IFERROR(yf_data[[#This Row],[Close Price]]/B1893-1,0)</f>
        <v>2.7192503834205795E-3</v>
      </c>
    </row>
    <row r="1895" spans="1:3">
      <c r="A1895" s="119">
        <v>43543</v>
      </c>
      <c r="B1895" s="121">
        <v>113.6257781982422</v>
      </c>
      <c r="C1895" s="120">
        <f>IFERROR(yf_data[[#This Row],[Close Price]]/B1894-1,0)</f>
        <v>8.4746043896926082E-3</v>
      </c>
    </row>
    <row r="1896" spans="1:3">
      <c r="A1896" s="119">
        <v>43544</v>
      </c>
      <c r="B1896" s="121">
        <v>112.53725433349609</v>
      </c>
      <c r="C1896" s="120">
        <f>IFERROR(yf_data[[#This Row],[Close Price]]/B1895-1,0)</f>
        <v>-9.5799023954491469E-3</v>
      </c>
    </row>
    <row r="1897" spans="1:3">
      <c r="A1897" s="119">
        <v>43545</v>
      </c>
      <c r="B1897" s="121">
        <v>113.20564270019533</v>
      </c>
      <c r="C1897" s="120">
        <f>IFERROR(yf_data[[#This Row],[Close Price]]/B1896-1,0)</f>
        <v>5.9392631414172392E-3</v>
      </c>
    </row>
    <row r="1898" spans="1:3">
      <c r="A1898" s="119">
        <v>43546</v>
      </c>
      <c r="B1898" s="121">
        <v>109.42448425292967</v>
      </c>
      <c r="C1898" s="120">
        <f>IFERROR(yf_data[[#This Row],[Close Price]]/B1897-1,0)</f>
        <v>-3.3400794846237147E-2</v>
      </c>
    </row>
    <row r="1899" spans="1:3">
      <c r="A1899" s="119">
        <v>43549</v>
      </c>
      <c r="B1899" s="121">
        <v>108.88977813720705</v>
      </c>
      <c r="C1899" s="120">
        <f>IFERROR(yf_data[[#This Row],[Close Price]]/B1898-1,0)</f>
        <v>-4.8865308287556752E-3</v>
      </c>
    </row>
    <row r="1900" spans="1:3">
      <c r="A1900" s="119">
        <v>43550</v>
      </c>
      <c r="B1900" s="121">
        <v>111.08589935302734</v>
      </c>
      <c r="C1900" s="120">
        <f>IFERROR(yf_data[[#This Row],[Close Price]]/B1899-1,0)</f>
        <v>2.0168295439568773E-2</v>
      </c>
    </row>
    <row r="1901" spans="1:3">
      <c r="A1901" s="119">
        <v>43551</v>
      </c>
      <c r="B1901" s="121">
        <v>110.26473999023438</v>
      </c>
      <c r="C1901" s="120">
        <f>IFERROR(yf_data[[#This Row],[Close Price]]/B1900-1,0)</f>
        <v>-7.3921115782963343E-3</v>
      </c>
    </row>
    <row r="1902" spans="1:3">
      <c r="A1902" s="119">
        <v>43552</v>
      </c>
      <c r="B1902" s="121">
        <v>111.009521484375</v>
      </c>
      <c r="C1902" s="120">
        <f>IFERROR(yf_data[[#This Row],[Close Price]]/B1901-1,0)</f>
        <v>6.754484653993531E-3</v>
      </c>
    </row>
    <row r="1903" spans="1:3">
      <c r="A1903" s="119">
        <v>43553</v>
      </c>
      <c r="B1903" s="121">
        <v>112.57545471191406</v>
      </c>
      <c r="C1903" s="120">
        <f>IFERROR(yf_data[[#This Row],[Close Price]]/B1902-1,0)</f>
        <v>1.4106296528442197E-2</v>
      </c>
    </row>
    <row r="1904" spans="1:3">
      <c r="A1904" s="119">
        <v>43556</v>
      </c>
      <c r="B1904" s="121">
        <v>112.44178009033205</v>
      </c>
      <c r="C1904" s="120">
        <f>IFERROR(yf_data[[#This Row],[Close Price]]/B1903-1,0)</f>
        <v>-1.1874224441206227E-3</v>
      </c>
    </row>
    <row r="1905" spans="1:3">
      <c r="A1905" s="119">
        <v>43557</v>
      </c>
      <c r="B1905" s="121">
        <v>111.92616271972656</v>
      </c>
      <c r="C1905" s="120">
        <f>IFERROR(yf_data[[#This Row],[Close Price]]/B1904-1,0)</f>
        <v>-4.5856386317546516E-3</v>
      </c>
    </row>
    <row r="1906" spans="1:3">
      <c r="A1906" s="119">
        <v>43558</v>
      </c>
      <c r="B1906" s="121">
        <v>113.18654632568359</v>
      </c>
      <c r="C1906" s="120">
        <f>IFERROR(yf_data[[#This Row],[Close Price]]/B1905-1,0)</f>
        <v>1.1260848896545772E-2</v>
      </c>
    </row>
    <row r="1907" spans="1:3">
      <c r="A1907" s="119">
        <v>43559</v>
      </c>
      <c r="B1907" s="121">
        <v>112.49906158447266</v>
      </c>
      <c r="C1907" s="120">
        <f>IFERROR(yf_data[[#This Row],[Close Price]]/B1906-1,0)</f>
        <v>-6.0739086360385164E-3</v>
      </c>
    </row>
    <row r="1908" spans="1:3">
      <c r="A1908" s="119">
        <v>43560</v>
      </c>
      <c r="B1908" s="121">
        <v>113.32022857666016</v>
      </c>
      <c r="C1908" s="120">
        <f>IFERROR(yf_data[[#This Row],[Close Price]]/B1907-1,0)</f>
        <v>7.2993230398719078E-3</v>
      </c>
    </row>
    <row r="1909" spans="1:3">
      <c r="A1909" s="119">
        <v>43563</v>
      </c>
      <c r="B1909" s="121">
        <v>115.28719329833984</v>
      </c>
      <c r="C1909" s="120">
        <f>IFERROR(yf_data[[#This Row],[Close Price]]/B1908-1,0)</f>
        <v>1.7357578133978535E-2</v>
      </c>
    </row>
    <row r="1910" spans="1:3">
      <c r="A1910" s="119">
        <v>43564</v>
      </c>
      <c r="B1910" s="121">
        <v>113.14835357666016</v>
      </c>
      <c r="C1910" s="120">
        <f>IFERROR(yf_data[[#This Row],[Close Price]]/B1909-1,0)</f>
        <v>-1.8552275066188839E-2</v>
      </c>
    </row>
    <row r="1911" spans="1:3">
      <c r="A1911" s="119">
        <v>43565</v>
      </c>
      <c r="B1911" s="121">
        <v>111.23867797851563</v>
      </c>
      <c r="C1911" s="120">
        <f>IFERROR(yf_data[[#This Row],[Close Price]]/B1910-1,0)</f>
        <v>-1.6877626035015081E-2</v>
      </c>
    </row>
    <row r="1912" spans="1:3">
      <c r="A1912" s="119">
        <v>43566</v>
      </c>
      <c r="B1912" s="121">
        <v>112.19351959228516</v>
      </c>
      <c r="C1912" s="120">
        <f>IFERROR(yf_data[[#This Row],[Close Price]]/B1911-1,0)</f>
        <v>8.5837195400142452E-3</v>
      </c>
    </row>
    <row r="1913" spans="1:3">
      <c r="A1913" s="119">
        <v>43567</v>
      </c>
      <c r="B1913" s="121">
        <v>113.24383544921876</v>
      </c>
      <c r="C1913" s="120">
        <f>IFERROR(yf_data[[#This Row],[Close Price]]/B1912-1,0)</f>
        <v>9.3616446007798171E-3</v>
      </c>
    </row>
    <row r="1914" spans="1:3">
      <c r="A1914" s="119">
        <v>43570</v>
      </c>
      <c r="B1914" s="121">
        <v>113.52465057373048</v>
      </c>
      <c r="C1914" s="120">
        <f>IFERROR(yf_data[[#This Row],[Close Price]]/B1913-1,0)</f>
        <v>2.4797387283623795E-3</v>
      </c>
    </row>
    <row r="1915" spans="1:3">
      <c r="A1915" s="119">
        <v>43571</v>
      </c>
      <c r="B1915" s="121">
        <v>114.18309783935548</v>
      </c>
      <c r="C1915" s="120">
        <f>IFERROR(yf_data[[#This Row],[Close Price]]/B1914-1,0)</f>
        <v>5.8000378093863159E-3</v>
      </c>
    </row>
    <row r="1916" spans="1:3">
      <c r="A1916" s="119">
        <v>43572</v>
      </c>
      <c r="B1916" s="121">
        <v>115.26760864257813</v>
      </c>
      <c r="C1916" s="120">
        <f>IFERROR(yf_data[[#This Row],[Close Price]]/B1915-1,0)</f>
        <v>9.4979977224689538E-3</v>
      </c>
    </row>
    <row r="1917" spans="1:3">
      <c r="A1917" s="119">
        <v>43573</v>
      </c>
      <c r="B1917" s="121">
        <v>116.42958068847656</v>
      </c>
      <c r="C1917" s="120">
        <f>IFERROR(yf_data[[#This Row],[Close Price]]/B1916-1,0)</f>
        <v>1.0080646762625989E-2</v>
      </c>
    </row>
    <row r="1918" spans="1:3">
      <c r="A1918" s="119">
        <v>43578</v>
      </c>
      <c r="B1918" s="121">
        <v>118.90845489501952</v>
      </c>
      <c r="C1918" s="120">
        <f>IFERROR(yf_data[[#This Row],[Close Price]]/B1917-1,0)</f>
        <v>2.1290759546541027E-2</v>
      </c>
    </row>
    <row r="1919" spans="1:3">
      <c r="A1919" s="119">
        <v>43579</v>
      </c>
      <c r="B1919" s="121">
        <v>118.32746124267578</v>
      </c>
      <c r="C1919" s="120">
        <f>IFERROR(yf_data[[#This Row],[Close Price]]/B1918-1,0)</f>
        <v>-4.8860583787475598E-3</v>
      </c>
    </row>
    <row r="1920" spans="1:3">
      <c r="A1920" s="119">
        <v>43580</v>
      </c>
      <c r="B1920" s="121">
        <v>118.03697204589844</v>
      </c>
      <c r="C1920" s="120">
        <f>IFERROR(yf_data[[#This Row],[Close Price]]/B1919-1,0)</f>
        <v>-2.4549601058505566E-3</v>
      </c>
    </row>
    <row r="1921" spans="1:3">
      <c r="A1921" s="119">
        <v>43581</v>
      </c>
      <c r="B1921" s="121">
        <v>117.9982452392578</v>
      </c>
      <c r="C1921" s="120">
        <f>IFERROR(yf_data[[#This Row],[Close Price]]/B1920-1,0)</f>
        <v>-3.2809047851189987E-4</v>
      </c>
    </row>
    <row r="1922" spans="1:3">
      <c r="A1922" s="119">
        <v>43584</v>
      </c>
      <c r="B1922" s="121">
        <v>119.12147521972656</v>
      </c>
      <c r="C1922" s="120">
        <f>IFERROR(yf_data[[#This Row],[Close Price]]/B1921-1,0)</f>
        <v>9.5190396958129142E-3</v>
      </c>
    </row>
    <row r="1923" spans="1:3">
      <c r="A1923" s="119">
        <v>43585</v>
      </c>
      <c r="B1923" s="121">
        <v>118.01760864257813</v>
      </c>
      <c r="C1923" s="120">
        <f>IFERROR(yf_data[[#This Row],[Close Price]]/B1922-1,0)</f>
        <v>-9.2667302441670207E-3</v>
      </c>
    </row>
    <row r="1924" spans="1:3">
      <c r="A1924" s="119">
        <v>43587</v>
      </c>
      <c r="B1924" s="121">
        <v>116.17782592773438</v>
      </c>
      <c r="C1924" s="120">
        <f>IFERROR(yf_data[[#This Row],[Close Price]]/B1923-1,0)</f>
        <v>-1.5589052650741508E-2</v>
      </c>
    </row>
    <row r="1925" spans="1:3">
      <c r="A1925" s="119">
        <v>43588</v>
      </c>
      <c r="B1925" s="121">
        <v>115.77112579345705</v>
      </c>
      <c r="C1925" s="120">
        <f>IFERROR(yf_data[[#This Row],[Close Price]]/B1924-1,0)</f>
        <v>-3.5006691770106402E-3</v>
      </c>
    </row>
    <row r="1926" spans="1:3">
      <c r="A1926" s="119">
        <v>43591</v>
      </c>
      <c r="B1926" s="121">
        <v>115.9066925048828</v>
      </c>
      <c r="C1926" s="120">
        <f>IFERROR(yf_data[[#This Row],[Close Price]]/B1925-1,0)</f>
        <v>1.1709889706661425E-3</v>
      </c>
    </row>
    <row r="1927" spans="1:3">
      <c r="A1927" s="119">
        <v>43592</v>
      </c>
      <c r="B1927" s="121">
        <v>113.81514739990234</v>
      </c>
      <c r="C1927" s="120">
        <f>IFERROR(yf_data[[#This Row],[Close Price]]/B1926-1,0)</f>
        <v>-1.8045076257286352E-2</v>
      </c>
    </row>
    <row r="1928" spans="1:3">
      <c r="A1928" s="119">
        <v>43593</v>
      </c>
      <c r="B1928" s="121">
        <v>115.03521728515624</v>
      </c>
      <c r="C1928" s="120">
        <f>IFERROR(yf_data[[#This Row],[Close Price]]/B1927-1,0)</f>
        <v>1.0719749639009235E-2</v>
      </c>
    </row>
    <row r="1929" spans="1:3">
      <c r="A1929" s="119">
        <v>43594</v>
      </c>
      <c r="B1929" s="121">
        <v>113.09859466552734</v>
      </c>
      <c r="C1929" s="120">
        <f>IFERROR(yf_data[[#This Row],[Close Price]]/B1928-1,0)</f>
        <v>-1.6835041175506049E-2</v>
      </c>
    </row>
    <row r="1930" spans="1:3">
      <c r="A1930" s="119">
        <v>43595</v>
      </c>
      <c r="B1930" s="121">
        <v>113.7764129638672</v>
      </c>
      <c r="C1930" s="120">
        <f>IFERROR(yf_data[[#This Row],[Close Price]]/B1929-1,0)</f>
        <v>5.9931628712488472E-3</v>
      </c>
    </row>
    <row r="1931" spans="1:3">
      <c r="A1931" s="119">
        <v>43598</v>
      </c>
      <c r="B1931" s="121">
        <v>111.85915374755859</v>
      </c>
      <c r="C1931" s="120">
        <f>IFERROR(yf_data[[#This Row],[Close Price]]/B1930-1,0)</f>
        <v>-1.6851113217266622E-2</v>
      </c>
    </row>
    <row r="1932" spans="1:3">
      <c r="A1932" s="119">
        <v>43599</v>
      </c>
      <c r="B1932" s="121">
        <v>115.22887420654295</v>
      </c>
      <c r="C1932" s="120">
        <f>IFERROR(yf_data[[#This Row],[Close Price]]/B1931-1,0)</f>
        <v>3.0124673270719216E-2</v>
      </c>
    </row>
    <row r="1933" spans="1:3">
      <c r="A1933" s="119">
        <v>43600</v>
      </c>
      <c r="B1933" s="121">
        <v>117.04929351806641</v>
      </c>
      <c r="C1933" s="120">
        <f>IFERROR(yf_data[[#This Row],[Close Price]]/B1932-1,0)</f>
        <v>1.5798291218747984E-2</v>
      </c>
    </row>
    <row r="1934" spans="1:3">
      <c r="A1934" s="119">
        <v>43601</v>
      </c>
      <c r="B1934" s="121">
        <v>118.61795806884766</v>
      </c>
      <c r="C1934" s="120">
        <f>IFERROR(yf_data[[#This Row],[Close Price]]/B1933-1,0)</f>
        <v>1.3401743006155931E-2</v>
      </c>
    </row>
    <row r="1935" spans="1:3">
      <c r="A1935" s="119">
        <v>43602</v>
      </c>
      <c r="B1935" s="121">
        <v>117.16549682617188</v>
      </c>
      <c r="C1935" s="120">
        <f>IFERROR(yf_data[[#This Row],[Close Price]]/B1934-1,0)</f>
        <v>-1.2244868031135336E-2</v>
      </c>
    </row>
    <row r="1936" spans="1:3">
      <c r="A1936" s="119">
        <v>43605</v>
      </c>
      <c r="B1936" s="121">
        <v>115.30634307861328</v>
      </c>
      <c r="C1936" s="120">
        <f>IFERROR(yf_data[[#This Row],[Close Price]]/B1935-1,0)</f>
        <v>-1.5867757982683695E-2</v>
      </c>
    </row>
    <row r="1937" spans="1:3">
      <c r="A1937" s="119">
        <v>43606</v>
      </c>
      <c r="B1937" s="121">
        <v>114.5123291015625</v>
      </c>
      <c r="C1937" s="120">
        <f>IFERROR(yf_data[[#This Row],[Close Price]]/B1936-1,0)</f>
        <v>-6.8861257399295273E-3</v>
      </c>
    </row>
    <row r="1938" spans="1:3">
      <c r="A1938" s="119">
        <v>43607</v>
      </c>
      <c r="B1938" s="121">
        <v>114.47359466552734</v>
      </c>
      <c r="C1938" s="120">
        <f>IFERROR(yf_data[[#This Row],[Close Price]]/B1937-1,0)</f>
        <v>-3.3825559517530746E-4</v>
      </c>
    </row>
    <row r="1939" spans="1:3">
      <c r="A1939" s="119">
        <v>43608</v>
      </c>
      <c r="B1939" s="121">
        <v>111.23943328857422</v>
      </c>
      <c r="C1939" s="120">
        <f>IFERROR(yf_data[[#This Row],[Close Price]]/B1938-1,0)</f>
        <v>-2.8252466312452262E-2</v>
      </c>
    </row>
    <row r="1940" spans="1:3">
      <c r="A1940" s="119">
        <v>43609</v>
      </c>
      <c r="B1940" s="121">
        <v>112.84683227539063</v>
      </c>
      <c r="C1940" s="120">
        <f>IFERROR(yf_data[[#This Row],[Close Price]]/B1939-1,0)</f>
        <v>1.4449902694546601E-2</v>
      </c>
    </row>
    <row r="1941" spans="1:3">
      <c r="A1941" s="119">
        <v>43612</v>
      </c>
      <c r="B1941" s="121">
        <v>113.13732147216795</v>
      </c>
      <c r="C1941" s="120">
        <f>IFERROR(yf_data[[#This Row],[Close Price]]/B1940-1,0)</f>
        <v>2.5741900850917432E-3</v>
      </c>
    </row>
    <row r="1942" spans="1:3">
      <c r="A1942" s="119">
        <v>43613</v>
      </c>
      <c r="B1942" s="121">
        <v>112.63380432128906</v>
      </c>
      <c r="C1942" s="120">
        <f>IFERROR(yf_data[[#This Row],[Close Price]]/B1941-1,0)</f>
        <v>-4.450495595326287E-3</v>
      </c>
    </row>
    <row r="1943" spans="1:3">
      <c r="A1943" s="119">
        <v>43614</v>
      </c>
      <c r="B1943" s="121">
        <v>110.75527954101563</v>
      </c>
      <c r="C1943" s="120">
        <f>IFERROR(yf_data[[#This Row],[Close Price]]/B1942-1,0)</f>
        <v>-1.6678161512816536E-2</v>
      </c>
    </row>
    <row r="1944" spans="1:3">
      <c r="A1944" s="119">
        <v>43615</v>
      </c>
      <c r="B1944" s="121">
        <v>111.58802795410156</v>
      </c>
      <c r="C1944" s="120">
        <f>IFERROR(yf_data[[#This Row],[Close Price]]/B1943-1,0)</f>
        <v>7.5188146022198143E-3</v>
      </c>
    </row>
    <row r="1945" spans="1:3">
      <c r="A1945" s="119">
        <v>43616</v>
      </c>
      <c r="B1945" s="121">
        <v>111.22006988525391</v>
      </c>
      <c r="C1945" s="120">
        <f>IFERROR(yf_data[[#This Row],[Close Price]]/B1944-1,0)</f>
        <v>-3.2974690528539963E-3</v>
      </c>
    </row>
    <row r="1946" spans="1:3">
      <c r="A1946" s="119">
        <v>43619</v>
      </c>
      <c r="B1946" s="121">
        <v>113.44718933105467</v>
      </c>
      <c r="C1946" s="120">
        <f>IFERROR(yf_data[[#This Row],[Close Price]]/B1945-1,0)</f>
        <v>2.0024438467791672E-2</v>
      </c>
    </row>
    <row r="1947" spans="1:3">
      <c r="A1947" s="119">
        <v>43620</v>
      </c>
      <c r="B1947" s="121">
        <v>114.72535705566406</v>
      </c>
      <c r="C1947" s="120">
        <f>IFERROR(yf_data[[#This Row],[Close Price]]/B1946-1,0)</f>
        <v>1.1266631920509917E-2</v>
      </c>
    </row>
    <row r="1948" spans="1:3">
      <c r="A1948" s="119">
        <v>43621</v>
      </c>
      <c r="B1948" s="121">
        <v>114.93837738037109</v>
      </c>
      <c r="C1948" s="120">
        <f>IFERROR(yf_data[[#This Row],[Close Price]]/B1947-1,0)</f>
        <v>1.8567850227189098E-3</v>
      </c>
    </row>
    <row r="1949" spans="1:3">
      <c r="A1949" s="119">
        <v>43622</v>
      </c>
      <c r="B1949" s="121">
        <v>114.22183227539063</v>
      </c>
      <c r="C1949" s="120">
        <f>IFERROR(yf_data[[#This Row],[Close Price]]/B1948-1,0)</f>
        <v>-6.2341675714558953E-3</v>
      </c>
    </row>
    <row r="1950" spans="1:3">
      <c r="A1950" s="119">
        <v>43623</v>
      </c>
      <c r="B1950" s="121">
        <v>117.08802795410156</v>
      </c>
      <c r="C1950" s="120">
        <f>IFERROR(yf_data[[#This Row],[Close Price]]/B1949-1,0)</f>
        <v>2.5093238495776271E-2</v>
      </c>
    </row>
    <row r="1951" spans="1:3">
      <c r="A1951" s="119">
        <v>43626</v>
      </c>
      <c r="B1951" s="121">
        <v>117.22359466552734</v>
      </c>
      <c r="C1951" s="120">
        <f>IFERROR(yf_data[[#This Row],[Close Price]]/B1950-1,0)</f>
        <v>1.1578187265988138E-3</v>
      </c>
    </row>
    <row r="1952" spans="1:3">
      <c r="A1952" s="119">
        <v>43627</v>
      </c>
      <c r="B1952" s="121">
        <v>119.48944091796876</v>
      </c>
      <c r="C1952" s="120">
        <f>IFERROR(yf_data[[#This Row],[Close Price]]/B1951-1,0)</f>
        <v>1.9329267788678051E-2</v>
      </c>
    </row>
    <row r="1953" spans="1:3">
      <c r="A1953" s="119">
        <v>43628</v>
      </c>
      <c r="B1953" s="121">
        <v>118.40493011474609</v>
      </c>
      <c r="C1953" s="120">
        <f>IFERROR(yf_data[[#This Row],[Close Price]]/B1952-1,0)</f>
        <v>-9.076206189358671E-3</v>
      </c>
    </row>
    <row r="1954" spans="1:3">
      <c r="A1954" s="119">
        <v>43629</v>
      </c>
      <c r="B1954" s="121">
        <v>118.77289581298828</v>
      </c>
      <c r="C1954" s="120">
        <f>IFERROR(yf_data[[#This Row],[Close Price]]/B1953-1,0)</f>
        <v>3.1076889947538877E-3</v>
      </c>
    </row>
    <row r="1955" spans="1:3">
      <c r="A1955" s="119">
        <v>43630</v>
      </c>
      <c r="B1955" s="121">
        <v>118.54049682617188</v>
      </c>
      <c r="C1955" s="120">
        <f>IFERROR(yf_data[[#This Row],[Close Price]]/B1954-1,0)</f>
        <v>-1.9566668407439147E-3</v>
      </c>
    </row>
    <row r="1956" spans="1:3">
      <c r="A1956" s="119">
        <v>43633</v>
      </c>
      <c r="B1956" s="121">
        <v>121.03873443603516</v>
      </c>
      <c r="C1956" s="120">
        <f>IFERROR(yf_data[[#This Row],[Close Price]]/B1955-1,0)</f>
        <v>2.1074971648943785E-2</v>
      </c>
    </row>
    <row r="1957" spans="1:3">
      <c r="A1957" s="119">
        <v>43634</v>
      </c>
      <c r="B1957" s="121">
        <v>121.48415374755859</v>
      </c>
      <c r="C1957" s="120">
        <f>IFERROR(yf_data[[#This Row],[Close Price]]/B1956-1,0)</f>
        <v>3.6799733044039495E-3</v>
      </c>
    </row>
    <row r="1958" spans="1:3">
      <c r="A1958" s="119">
        <v>43635</v>
      </c>
      <c r="B1958" s="121">
        <v>119.10211181640624</v>
      </c>
      <c r="C1958" s="120">
        <f>IFERROR(yf_data[[#This Row],[Close Price]]/B1957-1,0)</f>
        <v>-1.9607840674448651E-2</v>
      </c>
    </row>
    <row r="1959" spans="1:3">
      <c r="A1959" s="119">
        <v>43636</v>
      </c>
      <c r="B1959" s="121">
        <v>119.54753875732422</v>
      </c>
      <c r="C1959" s="120">
        <f>IFERROR(yf_data[[#This Row],[Close Price]]/B1958-1,0)</f>
        <v>3.7398744163714692E-3</v>
      </c>
    </row>
    <row r="1960" spans="1:3">
      <c r="A1960" s="119">
        <v>43637</v>
      </c>
      <c r="B1960" s="121">
        <v>118.88908386230467</v>
      </c>
      <c r="C1960" s="120">
        <f>IFERROR(yf_data[[#This Row],[Close Price]]/B1959-1,0)</f>
        <v>-5.5078916878094075E-3</v>
      </c>
    </row>
    <row r="1961" spans="1:3">
      <c r="A1961" s="119">
        <v>43640</v>
      </c>
      <c r="B1961" s="121">
        <v>119.35387420654295</v>
      </c>
      <c r="C1961" s="120">
        <f>IFERROR(yf_data[[#This Row],[Close Price]]/B1960-1,0)</f>
        <v>3.9094450822465543E-3</v>
      </c>
    </row>
    <row r="1962" spans="1:3">
      <c r="A1962" s="119">
        <v>43641</v>
      </c>
      <c r="B1962" s="121">
        <v>121.21302795410156</v>
      </c>
      <c r="C1962" s="120">
        <f>IFERROR(yf_data[[#This Row],[Close Price]]/B1961-1,0)</f>
        <v>1.5576819436471157E-2</v>
      </c>
    </row>
    <row r="1963" spans="1:3">
      <c r="A1963" s="119">
        <v>43642</v>
      </c>
      <c r="B1963" s="121">
        <v>121.56162261962891</v>
      </c>
      <c r="C1963" s="120">
        <f>IFERROR(yf_data[[#This Row],[Close Price]]/B1962-1,0)</f>
        <v>2.8758844771978875E-3</v>
      </c>
    </row>
    <row r="1964" spans="1:3">
      <c r="A1964" s="119">
        <v>43643</v>
      </c>
      <c r="B1964" s="121">
        <v>119.9542236328125</v>
      </c>
      <c r="C1964" s="120">
        <f>IFERROR(yf_data[[#This Row],[Close Price]]/B1963-1,0)</f>
        <v>-1.322291486554128E-2</v>
      </c>
    </row>
    <row r="1965" spans="1:3">
      <c r="A1965" s="119">
        <v>43644</v>
      </c>
      <c r="B1965" s="121">
        <v>120.72887420654295</v>
      </c>
      <c r="C1965" s="120">
        <f>IFERROR(yf_data[[#This Row],[Close Price]]/B1964-1,0)</f>
        <v>6.4578849353542633E-3</v>
      </c>
    </row>
    <row r="1966" spans="1:3">
      <c r="A1966" s="119">
        <v>43647</v>
      </c>
      <c r="B1966" s="121">
        <v>120.36092376708984</v>
      </c>
      <c r="C1966" s="120">
        <f>IFERROR(yf_data[[#This Row],[Close Price]]/B1965-1,0)</f>
        <v>-3.0477418254031274E-3</v>
      </c>
    </row>
    <row r="1967" spans="1:3">
      <c r="A1967" s="119">
        <v>43648</v>
      </c>
      <c r="B1967" s="121">
        <v>120.0316925048828</v>
      </c>
      <c r="C1967" s="120">
        <f>IFERROR(yf_data[[#This Row],[Close Price]]/B1966-1,0)</f>
        <v>-2.7353666946270394E-3</v>
      </c>
    </row>
    <row r="1968" spans="1:3">
      <c r="A1968" s="119">
        <v>43649</v>
      </c>
      <c r="B1968" s="121">
        <v>121.65845489501952</v>
      </c>
      <c r="C1968" s="120">
        <f>IFERROR(yf_data[[#This Row],[Close Price]]/B1967-1,0)</f>
        <v>1.3552773906529314E-2</v>
      </c>
    </row>
    <row r="1969" spans="1:3">
      <c r="A1969" s="119">
        <v>43650</v>
      </c>
      <c r="B1969" s="121">
        <v>121.4066925048828</v>
      </c>
      <c r="C1969" s="120">
        <f>IFERROR(yf_data[[#This Row],[Close Price]]/B1968-1,0)</f>
        <v>-2.0694195923659509E-3</v>
      </c>
    </row>
    <row r="1970" spans="1:3">
      <c r="A1970" s="119">
        <v>43651</v>
      </c>
      <c r="B1970" s="121">
        <v>120.63204956054688</v>
      </c>
      <c r="C1970" s="120">
        <f>IFERROR(yf_data[[#This Row],[Close Price]]/B1969-1,0)</f>
        <v>-6.3805621284408476E-3</v>
      </c>
    </row>
    <row r="1971" spans="1:3">
      <c r="A1971" s="119">
        <v>43654</v>
      </c>
      <c r="B1971" s="121">
        <v>119.99295806884766</v>
      </c>
      <c r="C1971" s="120">
        <f>IFERROR(yf_data[[#This Row],[Close Price]]/B1970-1,0)</f>
        <v>-5.2978581896551136E-3</v>
      </c>
    </row>
    <row r="1972" spans="1:3">
      <c r="A1972" s="119">
        <v>43655</v>
      </c>
      <c r="B1972" s="121">
        <v>120.16725158691406</v>
      </c>
      <c r="C1972" s="120">
        <f>IFERROR(yf_data[[#This Row],[Close Price]]/B1971-1,0)</f>
        <v>1.4525312224271669E-3</v>
      </c>
    </row>
    <row r="1973" spans="1:3">
      <c r="A1973" s="119">
        <v>43656</v>
      </c>
      <c r="B1973" s="121">
        <v>121.85211181640624</v>
      </c>
      <c r="C1973" s="120">
        <f>IFERROR(yf_data[[#This Row],[Close Price]]/B1972-1,0)</f>
        <v>1.4020960013998218E-2</v>
      </c>
    </row>
    <row r="1974" spans="1:3">
      <c r="A1974" s="119">
        <v>43657</v>
      </c>
      <c r="B1974" s="121">
        <v>121.98767852783205</v>
      </c>
      <c r="C1974" s="120">
        <f>IFERROR(yf_data[[#This Row],[Close Price]]/B1973-1,0)</f>
        <v>1.112551185243893E-3</v>
      </c>
    </row>
    <row r="1975" spans="1:3">
      <c r="A1975" s="119">
        <v>43658</v>
      </c>
      <c r="B1975" s="121">
        <v>123.63380432128906</v>
      </c>
      <c r="C1975" s="120">
        <f>IFERROR(yf_data[[#This Row],[Close Price]]/B1974-1,0)</f>
        <v>1.349419722813594E-2</v>
      </c>
    </row>
    <row r="1976" spans="1:3">
      <c r="A1976" s="119">
        <v>43661</v>
      </c>
      <c r="B1976" s="121">
        <v>125.10563659667967</v>
      </c>
      <c r="C1976" s="120">
        <f>IFERROR(yf_data[[#This Row],[Close Price]]/B1975-1,0)</f>
        <v>1.1904772189697654E-2</v>
      </c>
    </row>
    <row r="1977" spans="1:3">
      <c r="A1977" s="119">
        <v>43662</v>
      </c>
      <c r="B1977" s="121">
        <v>126.98415374755859</v>
      </c>
      <c r="C1977" s="120">
        <f>IFERROR(yf_data[[#This Row],[Close Price]]/B1976-1,0)</f>
        <v>1.5015447760639011E-2</v>
      </c>
    </row>
    <row r="1978" spans="1:3">
      <c r="A1978" s="119">
        <v>43663</v>
      </c>
      <c r="B1978" s="121">
        <v>127.77817535400391</v>
      </c>
      <c r="C1978" s="120">
        <f>IFERROR(yf_data[[#This Row],[Close Price]]/B1977-1,0)</f>
        <v>6.2529188328790397E-3</v>
      </c>
    </row>
    <row r="1979" spans="1:3">
      <c r="A1979" s="119">
        <v>43664</v>
      </c>
      <c r="B1979" s="121">
        <v>127.91374206542967</v>
      </c>
      <c r="C1979" s="120">
        <f>IFERROR(yf_data[[#This Row],[Close Price]]/B1978-1,0)</f>
        <v>1.0609535709067419E-3</v>
      </c>
    </row>
    <row r="1980" spans="1:3">
      <c r="A1980" s="119">
        <v>43665</v>
      </c>
      <c r="B1980" s="121">
        <v>127.33274841308594</v>
      </c>
      <c r="C1980" s="120">
        <f>IFERROR(yf_data[[#This Row],[Close Price]]/B1979-1,0)</f>
        <v>-4.5420737675436751E-3</v>
      </c>
    </row>
    <row r="1981" spans="1:3">
      <c r="A1981" s="119">
        <v>43668</v>
      </c>
      <c r="B1981" s="121">
        <v>126.61619567871094</v>
      </c>
      <c r="C1981" s="120">
        <f>IFERROR(yf_data[[#This Row],[Close Price]]/B1980-1,0)</f>
        <v>-5.6274033452132777E-3</v>
      </c>
    </row>
    <row r="1982" spans="1:3">
      <c r="A1982" s="119">
        <v>43669</v>
      </c>
      <c r="B1982" s="121">
        <v>128.41725158691406</v>
      </c>
      <c r="C1982" s="120">
        <f>IFERROR(yf_data[[#This Row],[Close Price]]/B1981-1,0)</f>
        <v>1.422453027078241E-2</v>
      </c>
    </row>
    <row r="1983" spans="1:3">
      <c r="A1983" s="119">
        <v>43670</v>
      </c>
      <c r="B1983" s="121">
        <v>127.77817535400391</v>
      </c>
      <c r="C1983" s="120">
        <f>IFERROR(yf_data[[#This Row],[Close Price]]/B1982-1,0)</f>
        <v>-4.9765605867808649E-3</v>
      </c>
    </row>
    <row r="1984" spans="1:3">
      <c r="A1984" s="119">
        <v>43671</v>
      </c>
      <c r="B1984" s="121">
        <v>126.36444091796876</v>
      </c>
      <c r="C1984" s="120">
        <f>IFERROR(yf_data[[#This Row],[Close Price]]/B1983-1,0)</f>
        <v>-1.1063974204659432E-2</v>
      </c>
    </row>
    <row r="1985" spans="1:3">
      <c r="A1985" s="119">
        <v>43672</v>
      </c>
      <c r="B1985" s="121">
        <v>126.84859466552734</v>
      </c>
      <c r="C1985" s="120">
        <f>IFERROR(yf_data[[#This Row],[Close Price]]/B1984-1,0)</f>
        <v>3.8314081401498168E-3</v>
      </c>
    </row>
    <row r="1986" spans="1:3">
      <c r="A1986" s="119">
        <v>43675</v>
      </c>
      <c r="B1986" s="121">
        <v>125.95774841308594</v>
      </c>
      <c r="C1986" s="120">
        <f>IFERROR(yf_data[[#This Row],[Close Price]]/B1985-1,0)</f>
        <v>-7.0229099091746461E-3</v>
      </c>
    </row>
    <row r="1987" spans="1:3">
      <c r="A1987" s="119">
        <v>43676</v>
      </c>
      <c r="B1987" s="121">
        <v>123.67253875732422</v>
      </c>
      <c r="C1987" s="120">
        <f>IFERROR(yf_data[[#This Row],[Close Price]]/B1986-1,0)</f>
        <v>-1.8142668351511348E-2</v>
      </c>
    </row>
    <row r="1988" spans="1:3">
      <c r="A1988" s="119">
        <v>43677</v>
      </c>
      <c r="B1988" s="121">
        <v>124.00176239013672</v>
      </c>
      <c r="C1988" s="120">
        <f>IFERROR(yf_data[[#This Row],[Close Price]]/B1987-1,0)</f>
        <v>2.6620593069452969E-3</v>
      </c>
    </row>
    <row r="1989" spans="1:3">
      <c r="A1989" s="119">
        <v>43678</v>
      </c>
      <c r="B1989" s="121">
        <v>125.31866455078124</v>
      </c>
      <c r="C1989" s="120">
        <f>IFERROR(yf_data[[#This Row],[Close Price]]/B1988-1,0)</f>
        <v>1.0620027774292939E-2</v>
      </c>
    </row>
    <row r="1990" spans="1:3">
      <c r="A1990" s="119">
        <v>43679</v>
      </c>
      <c r="B1990" s="121">
        <v>119.43133544921876</v>
      </c>
      <c r="C1990" s="120">
        <f>IFERROR(yf_data[[#This Row],[Close Price]]/B1989-1,0)</f>
        <v>-4.6978868811491603E-2</v>
      </c>
    </row>
    <row r="1991" spans="1:3">
      <c r="A1991" s="119">
        <v>43682</v>
      </c>
      <c r="B1991" s="121">
        <v>116.875</v>
      </c>
      <c r="C1991" s="120">
        <f>IFERROR(yf_data[[#This Row],[Close Price]]/B1990-1,0)</f>
        <v>-2.1404227287617483E-2</v>
      </c>
    </row>
    <row r="1992" spans="1:3">
      <c r="A1992" s="119">
        <v>43683</v>
      </c>
      <c r="B1992" s="121">
        <v>116.11972045898438</v>
      </c>
      <c r="C1992" s="120">
        <f>IFERROR(yf_data[[#This Row],[Close Price]]/B1991-1,0)</f>
        <v>-6.4622848429144453E-3</v>
      </c>
    </row>
    <row r="1993" spans="1:3">
      <c r="A1993" s="119">
        <v>43684</v>
      </c>
      <c r="B1993" s="121">
        <v>118.13380432128906</v>
      </c>
      <c r="C1993" s="120">
        <f>IFERROR(yf_data[[#This Row],[Close Price]]/B1992-1,0)</f>
        <v>1.7344890724363182E-2</v>
      </c>
    </row>
    <row r="1994" spans="1:3">
      <c r="A1994" s="119">
        <v>43685</v>
      </c>
      <c r="B1994" s="121">
        <v>123.13028717041016</v>
      </c>
      <c r="C1994" s="120">
        <f>IFERROR(yf_data[[#This Row],[Close Price]]/B1993-1,0)</f>
        <v>4.2295115084350687E-2</v>
      </c>
    </row>
    <row r="1995" spans="1:3">
      <c r="A1995" s="119">
        <v>43686</v>
      </c>
      <c r="B1995" s="121">
        <v>121.15493774414063</v>
      </c>
      <c r="C1995" s="120">
        <f>IFERROR(yf_data[[#This Row],[Close Price]]/B1994-1,0)</f>
        <v>-1.6042758217039488E-2</v>
      </c>
    </row>
    <row r="1996" spans="1:3">
      <c r="A1996" s="119">
        <v>43689</v>
      </c>
      <c r="B1996" s="121">
        <v>121.23239135742188</v>
      </c>
      <c r="C1996" s="120">
        <f>IFERROR(yf_data[[#This Row],[Close Price]]/B1995-1,0)</f>
        <v>6.3929390517136753E-4</v>
      </c>
    </row>
    <row r="1997" spans="1:3">
      <c r="A1997" s="119">
        <v>43690</v>
      </c>
      <c r="B1997" s="121">
        <v>122.56866455078124</v>
      </c>
      <c r="C1997" s="120">
        <f>IFERROR(yf_data[[#This Row],[Close Price]]/B1996-1,0)</f>
        <v>1.1022410581836173E-2</v>
      </c>
    </row>
    <row r="1998" spans="1:3">
      <c r="A1998" s="119">
        <v>43691</v>
      </c>
      <c r="B1998" s="121">
        <v>117.97887420654295</v>
      </c>
      <c r="C1998" s="120">
        <f>IFERROR(yf_data[[#This Row],[Close Price]]/B1997-1,0)</f>
        <v>-3.744668640276072E-2</v>
      </c>
    </row>
    <row r="1999" spans="1:3">
      <c r="A1999" s="119">
        <v>43692</v>
      </c>
      <c r="B1999" s="121">
        <v>118.52113342285156</v>
      </c>
      <c r="C1999" s="120">
        <f>IFERROR(yf_data[[#This Row],[Close Price]]/B1998-1,0)</f>
        <v>4.5962399620740335E-3</v>
      </c>
    </row>
    <row r="2000" spans="1:3">
      <c r="A2000" s="119">
        <v>43693</v>
      </c>
      <c r="B2000" s="121">
        <v>119.12147521972656</v>
      </c>
      <c r="C2000" s="120">
        <f>IFERROR(yf_data[[#This Row],[Close Price]]/B1999-1,0)</f>
        <v>5.0652721547399526E-3</v>
      </c>
    </row>
    <row r="2001" spans="1:3">
      <c r="A2001" s="119">
        <v>43696</v>
      </c>
      <c r="B2001" s="121">
        <v>120.82570648193359</v>
      </c>
      <c r="C2001" s="120">
        <f>IFERROR(yf_data[[#This Row],[Close Price]]/B2000-1,0)</f>
        <v>1.4306666863078021E-2</v>
      </c>
    </row>
    <row r="2002" spans="1:3">
      <c r="A2002" s="119">
        <v>43697</v>
      </c>
      <c r="B2002" s="121">
        <v>122.20070648193359</v>
      </c>
      <c r="C2002" s="120">
        <f>IFERROR(yf_data[[#This Row],[Close Price]]/B2001-1,0)</f>
        <v>1.1380028638240169E-2</v>
      </c>
    </row>
    <row r="2003" spans="1:3">
      <c r="A2003" s="119">
        <v>43698</v>
      </c>
      <c r="B2003" s="121">
        <v>123.94366455078124</v>
      </c>
      <c r="C2003" s="120">
        <f>IFERROR(yf_data[[#This Row],[Close Price]]/B2002-1,0)</f>
        <v>1.4263076859586832E-2</v>
      </c>
    </row>
    <row r="2004" spans="1:3">
      <c r="A2004" s="119">
        <v>43699</v>
      </c>
      <c r="B2004" s="121">
        <v>120.47711181640624</v>
      </c>
      <c r="C2004" s="120">
        <f>IFERROR(yf_data[[#This Row],[Close Price]]/B2003-1,0)</f>
        <v>-2.79687771612942E-2</v>
      </c>
    </row>
    <row r="2005" spans="1:3">
      <c r="A2005" s="119">
        <v>43700</v>
      </c>
      <c r="B2005" s="121">
        <v>118.73416137695313</v>
      </c>
      <c r="C2005" s="120">
        <f>IFERROR(yf_data[[#This Row],[Close Price]]/B2004-1,0)</f>
        <v>-1.4467066923957939E-2</v>
      </c>
    </row>
    <row r="2006" spans="1:3">
      <c r="A2006" s="119">
        <v>43703</v>
      </c>
      <c r="B2006" s="121">
        <v>118.94718170166016</v>
      </c>
      <c r="C2006" s="120">
        <f>IFERROR(yf_data[[#This Row],[Close Price]]/B2005-1,0)</f>
        <v>1.7940946584928952E-3</v>
      </c>
    </row>
    <row r="2007" spans="1:3">
      <c r="A2007" s="119">
        <v>43704</v>
      </c>
      <c r="B2007" s="121">
        <v>118.67605590820313</v>
      </c>
      <c r="C2007" s="120">
        <f>IFERROR(yf_data[[#This Row],[Close Price]]/B2006-1,0)</f>
        <v>-2.2793797177730335E-3</v>
      </c>
    </row>
    <row r="2008" spans="1:3">
      <c r="A2008" s="119">
        <v>43705</v>
      </c>
      <c r="B2008" s="121">
        <v>117.74648284912109</v>
      </c>
      <c r="C2008" s="120">
        <f>IFERROR(yf_data[[#This Row],[Close Price]]/B2007-1,0)</f>
        <v>-7.8328610768887419E-3</v>
      </c>
    </row>
    <row r="2009" spans="1:3">
      <c r="A2009" s="119">
        <v>43706</v>
      </c>
      <c r="B2009" s="121">
        <v>121.3098602294922</v>
      </c>
      <c r="C2009" s="120">
        <f>IFERROR(yf_data[[#This Row],[Close Price]]/B2008-1,0)</f>
        <v>3.0263132232469125E-2</v>
      </c>
    </row>
    <row r="2010" spans="1:3">
      <c r="A2010" s="119">
        <v>43707</v>
      </c>
      <c r="B2010" s="121">
        <v>121.36795806884766</v>
      </c>
      <c r="C2010" s="120">
        <f>IFERROR(yf_data[[#This Row],[Close Price]]/B2009-1,0)</f>
        <v>4.7892099822344214E-4</v>
      </c>
    </row>
    <row r="2011" spans="1:3">
      <c r="A2011" s="119">
        <v>43710</v>
      </c>
      <c r="B2011" s="121">
        <v>122.00704193115234</v>
      </c>
      <c r="C2011" s="120">
        <f>IFERROR(yf_data[[#This Row],[Close Price]]/B2010-1,0)</f>
        <v>5.2656720313457583E-3</v>
      </c>
    </row>
    <row r="2012" spans="1:3">
      <c r="A2012" s="119">
        <v>43711</v>
      </c>
      <c r="B2012" s="121">
        <v>120.6707763671875</v>
      </c>
      <c r="C2012" s="120">
        <f>IFERROR(yf_data[[#This Row],[Close Price]]/B2011-1,0)</f>
        <v>-1.0952364247293955E-2</v>
      </c>
    </row>
    <row r="2013" spans="1:3">
      <c r="A2013" s="119">
        <v>43712</v>
      </c>
      <c r="B2013" s="121">
        <v>122.20070648193359</v>
      </c>
      <c r="C2013" s="120">
        <f>IFERROR(yf_data[[#This Row],[Close Price]]/B2012-1,0)</f>
        <v>1.2678547041834687E-2</v>
      </c>
    </row>
    <row r="2014" spans="1:3">
      <c r="A2014" s="119">
        <v>43713</v>
      </c>
      <c r="B2014" s="121">
        <v>123.28521728515624</v>
      </c>
      <c r="C2014" s="120">
        <f>IFERROR(yf_data[[#This Row],[Close Price]]/B2013-1,0)</f>
        <v>8.8748325148428897E-3</v>
      </c>
    </row>
    <row r="2015" spans="1:3">
      <c r="A2015" s="119">
        <v>43714</v>
      </c>
      <c r="B2015" s="121">
        <v>122.58802795410156</v>
      </c>
      <c r="C2015" s="120">
        <f>IFERROR(yf_data[[#This Row],[Close Price]]/B2014-1,0)</f>
        <v>-5.6550926900026388E-3</v>
      </c>
    </row>
    <row r="2016" spans="1:3">
      <c r="A2016" s="119">
        <v>43717</v>
      </c>
      <c r="B2016" s="121">
        <v>122.82041931152344</v>
      </c>
      <c r="C2016" s="120">
        <f>IFERROR(yf_data[[#This Row],[Close Price]]/B2015-1,0)</f>
        <v>1.8957100566858731E-3</v>
      </c>
    </row>
    <row r="2017" spans="1:3">
      <c r="A2017" s="119">
        <v>43718</v>
      </c>
      <c r="B2017" s="121">
        <v>118.42430114746094</v>
      </c>
      <c r="C2017" s="120">
        <f>IFERROR(yf_data[[#This Row],[Close Price]]/B2016-1,0)</f>
        <v>-3.5793056144126312E-2</v>
      </c>
    </row>
    <row r="2018" spans="1:3">
      <c r="A2018" s="119">
        <v>43719</v>
      </c>
      <c r="B2018" s="121">
        <v>119.58627319335938</v>
      </c>
      <c r="C2018" s="120">
        <f>IFERROR(yf_data[[#This Row],[Close Price]]/B2017-1,0)</f>
        <v>9.8119392273343653E-3</v>
      </c>
    </row>
    <row r="2019" spans="1:3">
      <c r="A2019" s="119">
        <v>43720</v>
      </c>
      <c r="B2019" s="121">
        <v>120.86444091796876</v>
      </c>
      <c r="C2019" s="120">
        <f>IFERROR(yf_data[[#This Row],[Close Price]]/B2018-1,0)</f>
        <v>1.0688247827095543E-2</v>
      </c>
    </row>
    <row r="2020" spans="1:3">
      <c r="A2020" s="119">
        <v>43721</v>
      </c>
      <c r="B2020" s="121">
        <v>121.52288818359376</v>
      </c>
      <c r="C2020" s="120">
        <f>IFERROR(yf_data[[#This Row],[Close Price]]/B2019-1,0)</f>
        <v>5.4478162528537322E-3</v>
      </c>
    </row>
    <row r="2021" spans="1:3">
      <c r="A2021" s="119">
        <v>43724</v>
      </c>
      <c r="B2021" s="121">
        <v>117.39788818359376</v>
      </c>
      <c r="C2021" s="120">
        <f>IFERROR(yf_data[[#This Row],[Close Price]]/B2020-1,0)</f>
        <v>-3.3944222867449025E-2</v>
      </c>
    </row>
    <row r="2022" spans="1:3">
      <c r="A2022" s="119">
        <v>43725</v>
      </c>
      <c r="B2022" s="121">
        <v>118.09506988525391</v>
      </c>
      <c r="C2022" s="120">
        <f>IFERROR(yf_data[[#This Row],[Close Price]]/B2021-1,0)</f>
        <v>5.9386221715491683E-3</v>
      </c>
    </row>
    <row r="2023" spans="1:3">
      <c r="A2023" s="119">
        <v>43726</v>
      </c>
      <c r="B2023" s="121">
        <v>118.92781829833984</v>
      </c>
      <c r="C2023" s="120">
        <f>IFERROR(yf_data[[#This Row],[Close Price]]/B2022-1,0)</f>
        <v>7.0515087030733614E-3</v>
      </c>
    </row>
    <row r="2024" spans="1:3">
      <c r="A2024" s="119">
        <v>43727</v>
      </c>
      <c r="B2024" s="121">
        <v>120.14788818359376</v>
      </c>
      <c r="C2024" s="120">
        <f>IFERROR(yf_data[[#This Row],[Close Price]]/B2023-1,0)</f>
        <v>1.0258910847866343E-2</v>
      </c>
    </row>
    <row r="2025" spans="1:3">
      <c r="A2025" s="119">
        <v>43728</v>
      </c>
      <c r="B2025" s="121">
        <v>116.29401397705078</v>
      </c>
      <c r="C2025" s="120">
        <f>IFERROR(yf_data[[#This Row],[Close Price]]/B2024-1,0)</f>
        <v>-3.2076087768217909E-2</v>
      </c>
    </row>
    <row r="2026" spans="1:3">
      <c r="A2026" s="119">
        <v>43731</v>
      </c>
      <c r="B2026" s="121">
        <v>116.00352478027344</v>
      </c>
      <c r="C2026" s="120">
        <f>IFERROR(yf_data[[#This Row],[Close Price]]/B2025-1,0)</f>
        <v>-2.4978860634621292E-3</v>
      </c>
    </row>
    <row r="2027" spans="1:3">
      <c r="A2027" s="119">
        <v>43732</v>
      </c>
      <c r="B2027" s="121">
        <v>115.03521728515624</v>
      </c>
      <c r="C2027" s="120">
        <f>IFERROR(yf_data[[#This Row],[Close Price]]/B2026-1,0)</f>
        <v>-8.3472247671034783E-3</v>
      </c>
    </row>
    <row r="2028" spans="1:3">
      <c r="A2028" s="119">
        <v>43733</v>
      </c>
      <c r="B2028" s="121">
        <v>117.12676239013672</v>
      </c>
      <c r="C2028" s="120">
        <f>IFERROR(yf_data[[#This Row],[Close Price]]/B2027-1,0)</f>
        <v>1.8181780800186065E-2</v>
      </c>
    </row>
    <row r="2029" spans="1:3">
      <c r="A2029" s="119">
        <v>43734</v>
      </c>
      <c r="B2029" s="121">
        <v>115.75176239013672</v>
      </c>
      <c r="C2029" s="120">
        <f>IFERROR(yf_data[[#This Row],[Close Price]]/B2028-1,0)</f>
        <v>-1.1739417806325259E-2</v>
      </c>
    </row>
    <row r="2030" spans="1:3">
      <c r="A2030" s="119">
        <v>43735</v>
      </c>
      <c r="B2030" s="121">
        <v>115.22887420654295</v>
      </c>
      <c r="C2030" s="120">
        <f>IFERROR(yf_data[[#This Row],[Close Price]]/B2029-1,0)</f>
        <v>-4.5173237348333783E-3</v>
      </c>
    </row>
    <row r="2031" spans="1:3">
      <c r="A2031" s="119">
        <v>43738</v>
      </c>
      <c r="B2031" s="121">
        <v>115.42253112792967</v>
      </c>
      <c r="C2031" s="120">
        <f>IFERROR(yf_data[[#This Row],[Close Price]]/B2030-1,0)</f>
        <v>1.6806284251253967E-3</v>
      </c>
    </row>
    <row r="2032" spans="1:3">
      <c r="A2032" s="119">
        <v>43739</v>
      </c>
      <c r="B2032" s="121">
        <v>113.04049682617188</v>
      </c>
      <c r="C2032" s="120">
        <f>IFERROR(yf_data[[#This Row],[Close Price]]/B2031-1,0)</f>
        <v>-2.0637515730075662E-2</v>
      </c>
    </row>
    <row r="2033" spans="1:3">
      <c r="A2033" s="119">
        <v>43740</v>
      </c>
      <c r="B2033" s="121">
        <v>110.73591613769533</v>
      </c>
      <c r="C2033" s="120">
        <f>IFERROR(yf_data[[#This Row],[Close Price]]/B2032-1,0)</f>
        <v>-2.0387213018184247E-2</v>
      </c>
    </row>
    <row r="2034" spans="1:3">
      <c r="A2034" s="119">
        <v>43741</v>
      </c>
      <c r="B2034" s="121">
        <v>115.44190216064452</v>
      </c>
      <c r="C2034" s="120">
        <f>IFERROR(yf_data[[#This Row],[Close Price]]/B2033-1,0)</f>
        <v>4.249737742809212E-2</v>
      </c>
    </row>
    <row r="2035" spans="1:3">
      <c r="A2035" s="119">
        <v>43742</v>
      </c>
      <c r="B2035" s="121">
        <v>114.04753875732422</v>
      </c>
      <c r="C2035" s="120">
        <f>IFERROR(yf_data[[#This Row],[Close Price]]/B2034-1,0)</f>
        <v>-1.2078486036898095E-2</v>
      </c>
    </row>
    <row r="2036" spans="1:3">
      <c r="A2036" s="119">
        <v>43745</v>
      </c>
      <c r="B2036" s="121">
        <v>113.50528717041016</v>
      </c>
      <c r="C2036" s="120">
        <f>IFERROR(yf_data[[#This Row],[Close Price]]/B2035-1,0)</f>
        <v>-4.7546101636432025E-3</v>
      </c>
    </row>
    <row r="2037" spans="1:3">
      <c r="A2037" s="119">
        <v>43746</v>
      </c>
      <c r="B2037" s="121">
        <v>113.97006988525391</v>
      </c>
      <c r="C2037" s="120">
        <f>IFERROR(yf_data[[#This Row],[Close Price]]/B2036-1,0)</f>
        <v>4.0948111443122048E-3</v>
      </c>
    </row>
    <row r="2038" spans="1:3">
      <c r="A2038" s="119">
        <v>43747</v>
      </c>
      <c r="B2038" s="121">
        <v>113.66020965576172</v>
      </c>
      <c r="C2038" s="120">
        <f>IFERROR(yf_data[[#This Row],[Close Price]]/B2037-1,0)</f>
        <v>-2.7187859918323953E-3</v>
      </c>
    </row>
    <row r="2039" spans="1:3">
      <c r="A2039" s="119">
        <v>43748</v>
      </c>
      <c r="B2039" s="121">
        <v>114.18309783935548</v>
      </c>
      <c r="C2039" s="120">
        <f>IFERROR(yf_data[[#This Row],[Close Price]]/B2038-1,0)</f>
        <v>4.6004506341965623E-3</v>
      </c>
    </row>
    <row r="2040" spans="1:3">
      <c r="A2040" s="119">
        <v>43749</v>
      </c>
      <c r="B2040" s="121">
        <v>115.11267852783205</v>
      </c>
      <c r="C2040" s="120">
        <f>IFERROR(yf_data[[#This Row],[Close Price]]/B2039-1,0)</f>
        <v>8.1411409049734207E-3</v>
      </c>
    </row>
    <row r="2041" spans="1:3">
      <c r="A2041" s="119">
        <v>43752</v>
      </c>
      <c r="B2041" s="121">
        <v>114.55106353759766</v>
      </c>
      <c r="C2041" s="120">
        <f>IFERROR(yf_data[[#This Row],[Close Price]]/B2040-1,0)</f>
        <v>-4.878828269977209E-3</v>
      </c>
    </row>
    <row r="2042" spans="1:3">
      <c r="A2042" s="119">
        <v>43753</v>
      </c>
      <c r="B2042" s="121">
        <v>115.65493774414063</v>
      </c>
      <c r="C2042" s="120">
        <f>IFERROR(yf_data[[#This Row],[Close Price]]/B2041-1,0)</f>
        <v>9.6365251657455353E-3</v>
      </c>
    </row>
    <row r="2043" spans="1:3">
      <c r="A2043" s="119">
        <v>43754</v>
      </c>
      <c r="B2043" s="121">
        <v>115.53873443603516</v>
      </c>
      <c r="C2043" s="120">
        <f>IFERROR(yf_data[[#This Row],[Close Price]]/B2042-1,0)</f>
        <v>-1.0047414349272366E-3</v>
      </c>
    </row>
    <row r="2044" spans="1:3">
      <c r="A2044" s="119">
        <v>43755</v>
      </c>
      <c r="B2044" s="121">
        <v>116.04225158691406</v>
      </c>
      <c r="C2044" s="120">
        <f>IFERROR(yf_data[[#This Row],[Close Price]]/B2043-1,0)</f>
        <v>4.3579943413494249E-3</v>
      </c>
    </row>
    <row r="2045" spans="1:3">
      <c r="A2045" s="119">
        <v>43756</v>
      </c>
      <c r="B2045" s="121">
        <v>116.58451080322266</v>
      </c>
      <c r="C2045" s="120">
        <f>IFERROR(yf_data[[#This Row],[Close Price]]/B2044-1,0)</f>
        <v>4.6729463526691273E-3</v>
      </c>
    </row>
    <row r="2046" spans="1:3">
      <c r="A2046" s="119">
        <v>43759</v>
      </c>
      <c r="B2046" s="121">
        <v>118.13380432128906</v>
      </c>
      <c r="C2046" s="120">
        <f>IFERROR(yf_data[[#This Row],[Close Price]]/B2045-1,0)</f>
        <v>1.328901676039429E-2</v>
      </c>
    </row>
    <row r="2047" spans="1:3">
      <c r="A2047" s="119">
        <v>43760</v>
      </c>
      <c r="B2047" s="121">
        <v>117.9982452392578</v>
      </c>
      <c r="C2047" s="120">
        <f>IFERROR(yf_data[[#This Row],[Close Price]]/B2046-1,0)</f>
        <v>-1.1475045843997167E-3</v>
      </c>
    </row>
    <row r="2048" spans="1:3">
      <c r="A2048" s="119">
        <v>43761</v>
      </c>
      <c r="B2048" s="121">
        <v>116.35211944580078</v>
      </c>
      <c r="C2048" s="120">
        <f>IFERROR(yf_data[[#This Row],[Close Price]]/B2047-1,0)</f>
        <v>-1.3950426043364161E-2</v>
      </c>
    </row>
    <row r="2049" spans="1:3">
      <c r="A2049" s="119">
        <v>43762</v>
      </c>
      <c r="B2049" s="121">
        <v>118.38556671142578</v>
      </c>
      <c r="C2049" s="120">
        <f>IFERROR(yf_data[[#This Row],[Close Price]]/B2048-1,0)</f>
        <v>1.7476667166103743E-2</v>
      </c>
    </row>
    <row r="2050" spans="1:3">
      <c r="A2050" s="119">
        <v>43763</v>
      </c>
      <c r="B2050" s="121">
        <v>119.60563659667967</v>
      </c>
      <c r="C2050" s="120">
        <f>IFERROR(yf_data[[#This Row],[Close Price]]/B2049-1,0)</f>
        <v>1.0305900619016484E-2</v>
      </c>
    </row>
    <row r="2051" spans="1:3">
      <c r="A2051" s="119">
        <v>43766</v>
      </c>
      <c r="B2051" s="121">
        <v>120.72887420654295</v>
      </c>
      <c r="C2051" s="120">
        <f>IFERROR(yf_data[[#This Row],[Close Price]]/B2050-1,0)</f>
        <v>9.3911762173126689E-3</v>
      </c>
    </row>
    <row r="2052" spans="1:3">
      <c r="A2052" s="119">
        <v>43767</v>
      </c>
      <c r="B2052" s="121">
        <v>121.77465057373048</v>
      </c>
      <c r="C2052" s="120">
        <f>IFERROR(yf_data[[#This Row],[Close Price]]/B2051-1,0)</f>
        <v>8.6621893400449235E-3</v>
      </c>
    </row>
    <row r="2053" spans="1:3">
      <c r="A2053" s="119">
        <v>43768</v>
      </c>
      <c r="B2053" s="121">
        <v>125.86091613769533</v>
      </c>
      <c r="C2053" s="120">
        <f>IFERROR(yf_data[[#This Row],[Close Price]]/B2052-1,0)</f>
        <v>3.3555962137544748E-2</v>
      </c>
    </row>
    <row r="2054" spans="1:3">
      <c r="A2054" s="119">
        <v>43769</v>
      </c>
      <c r="B2054" s="121">
        <v>124.35034942626952</v>
      </c>
      <c r="C2054" s="120">
        <f>IFERROR(yf_data[[#This Row],[Close Price]]/B2053-1,0)</f>
        <v>-1.2001872843299566E-2</v>
      </c>
    </row>
    <row r="2055" spans="1:3">
      <c r="A2055" s="119">
        <v>43770</v>
      </c>
      <c r="B2055" s="121">
        <v>125.86091613769533</v>
      </c>
      <c r="C2055" s="120">
        <f>IFERROR(yf_data[[#This Row],[Close Price]]/B2054-1,0)</f>
        <v>1.2147667605240331E-2</v>
      </c>
    </row>
    <row r="2056" spans="1:3">
      <c r="A2056" s="119">
        <v>43773</v>
      </c>
      <c r="B2056" s="121">
        <v>126.69366455078124</v>
      </c>
      <c r="C2056" s="120">
        <f>IFERROR(yf_data[[#This Row],[Close Price]]/B2055-1,0)</f>
        <v>6.6164178574297239E-3</v>
      </c>
    </row>
    <row r="2057" spans="1:3">
      <c r="A2057" s="119">
        <v>43774</v>
      </c>
      <c r="B2057" s="121">
        <v>125.99647521972656</v>
      </c>
      <c r="C2057" s="120">
        <f>IFERROR(yf_data[[#This Row],[Close Price]]/B2056-1,0)</f>
        <v>-5.5029533917635431E-3</v>
      </c>
    </row>
    <row r="2058" spans="1:3">
      <c r="A2058" s="119">
        <v>43775</v>
      </c>
      <c r="B2058" s="121">
        <v>126.88732147216795</v>
      </c>
      <c r="C2058" s="120">
        <f>IFERROR(yf_data[[#This Row],[Close Price]]/B2057-1,0)</f>
        <v>7.0704061434085919E-3</v>
      </c>
    </row>
    <row r="2059" spans="1:3">
      <c r="A2059" s="119">
        <v>43776</v>
      </c>
      <c r="B2059" s="121">
        <v>128.08802795410156</v>
      </c>
      <c r="C2059" s="120">
        <f>IFERROR(yf_data[[#This Row],[Close Price]]/B2058-1,0)</f>
        <v>9.4627774312106006E-3</v>
      </c>
    </row>
    <row r="2060" spans="1:3">
      <c r="A2060" s="119">
        <v>43777</v>
      </c>
      <c r="B2060" s="121">
        <v>128.74649047851563</v>
      </c>
      <c r="C2060" s="120">
        <f>IFERROR(yf_data[[#This Row],[Close Price]]/B2059-1,0)</f>
        <v>5.140703115907197E-3</v>
      </c>
    </row>
    <row r="2061" spans="1:3">
      <c r="A2061" s="119">
        <v>43780</v>
      </c>
      <c r="B2061" s="121">
        <v>128.649658203125</v>
      </c>
      <c r="C2061" s="120">
        <f>IFERROR(yf_data[[#This Row],[Close Price]]/B2060-1,0)</f>
        <v>-7.5211584432888223E-4</v>
      </c>
    </row>
    <row r="2062" spans="1:3">
      <c r="A2062" s="119">
        <v>43781</v>
      </c>
      <c r="B2062" s="121">
        <v>130.41197204589844</v>
      </c>
      <c r="C2062" s="120">
        <f>IFERROR(yf_data[[#This Row],[Close Price]]/B2061-1,0)</f>
        <v>1.3698550523864705E-2</v>
      </c>
    </row>
    <row r="2063" spans="1:3">
      <c r="A2063" s="119">
        <v>43782</v>
      </c>
      <c r="B2063" s="121">
        <v>131.20599365234375</v>
      </c>
      <c r="C2063" s="120">
        <f>IFERROR(yf_data[[#This Row],[Close Price]]/B2062-1,0)</f>
        <v>6.0885637567527073E-3</v>
      </c>
    </row>
    <row r="2064" spans="1:3">
      <c r="A2064" s="119">
        <v>43783</v>
      </c>
      <c r="B2064" s="121">
        <v>131.55458068847656</v>
      </c>
      <c r="C2064" s="120">
        <f>IFERROR(yf_data[[#This Row],[Close Price]]/B2063-1,0)</f>
        <v>2.656792014063436E-3</v>
      </c>
    </row>
    <row r="2065" spans="1:3">
      <c r="A2065" s="119">
        <v>43784</v>
      </c>
      <c r="B2065" s="121">
        <v>132.07746887207031</v>
      </c>
      <c r="C2065" s="120">
        <f>IFERROR(yf_data[[#This Row],[Close Price]]/B2064-1,0)</f>
        <v>3.9746862546121697E-3</v>
      </c>
    </row>
    <row r="2066" spans="1:3">
      <c r="A2066" s="119">
        <v>43787</v>
      </c>
      <c r="B2066" s="121">
        <v>130.14083862304688</v>
      </c>
      <c r="C2066" s="120">
        <f>IFERROR(yf_data[[#This Row],[Close Price]]/B2065-1,0)</f>
        <v>-1.4662835876263269E-2</v>
      </c>
    </row>
    <row r="2067" spans="1:3">
      <c r="A2067" s="119">
        <v>43788</v>
      </c>
      <c r="B2067" s="121">
        <v>131.0123291015625</v>
      </c>
      <c r="C2067" s="120">
        <f>IFERROR(yf_data[[#This Row],[Close Price]]/B2066-1,0)</f>
        <v>6.696518077925484E-3</v>
      </c>
    </row>
    <row r="2068" spans="1:3">
      <c r="A2068" s="119">
        <v>43789</v>
      </c>
      <c r="B2068" s="121">
        <v>130.81866455078125</v>
      </c>
      <c r="C2068" s="120">
        <f>IFERROR(yf_data[[#This Row],[Close Price]]/B2067-1,0)</f>
        <v>-1.4782162267424903E-3</v>
      </c>
    </row>
    <row r="2069" spans="1:3">
      <c r="A2069" s="119">
        <v>43790</v>
      </c>
      <c r="B2069" s="121">
        <v>129.79225158691406</v>
      </c>
      <c r="C2069" s="120">
        <f>IFERROR(yf_data[[#This Row],[Close Price]]/B2068-1,0)</f>
        <v>-7.8460743150970957E-3</v>
      </c>
    </row>
    <row r="2070" spans="1:3">
      <c r="A2070" s="119">
        <v>43791</v>
      </c>
      <c r="B2070" s="121">
        <v>129.46302795410156</v>
      </c>
      <c r="C2070" s="120">
        <f>IFERROR(yf_data[[#This Row],[Close Price]]/B2069-1,0)</f>
        <v>-2.536543043111017E-3</v>
      </c>
    </row>
    <row r="2071" spans="1:3">
      <c r="A2071" s="119">
        <v>43794</v>
      </c>
      <c r="B2071" s="121">
        <v>130.31513977050781</v>
      </c>
      <c r="C2071" s="120">
        <f>IFERROR(yf_data[[#This Row],[Close Price]]/B2070-1,0)</f>
        <v>6.5818931464227681E-3</v>
      </c>
    </row>
    <row r="2072" spans="1:3">
      <c r="A2072" s="119">
        <v>43795</v>
      </c>
      <c r="B2072" s="121">
        <v>131.38027954101563</v>
      </c>
      <c r="C2072" s="120">
        <f>IFERROR(yf_data[[#This Row],[Close Price]]/B2071-1,0)</f>
        <v>8.1735688760613545E-3</v>
      </c>
    </row>
    <row r="2073" spans="1:3">
      <c r="A2073" s="119">
        <v>43796</v>
      </c>
      <c r="B2073" s="121">
        <v>129.6954345703125</v>
      </c>
      <c r="C2073" s="120">
        <f>IFERROR(yf_data[[#This Row],[Close Price]]/B2072-1,0)</f>
        <v>-1.2824184699478658E-2</v>
      </c>
    </row>
    <row r="2074" spans="1:3">
      <c r="A2074" s="119">
        <v>43797</v>
      </c>
      <c r="B2074" s="121">
        <v>129.38555908203125</v>
      </c>
      <c r="C2074" s="120">
        <f>IFERROR(yf_data[[#This Row],[Close Price]]/B2073-1,0)</f>
        <v>-2.3892551754646218E-3</v>
      </c>
    </row>
    <row r="2075" spans="1:3">
      <c r="A2075" s="119">
        <v>43798</v>
      </c>
      <c r="B2075" s="121">
        <v>129.17253112792969</v>
      </c>
      <c r="C2075" s="120">
        <f>IFERROR(yf_data[[#This Row],[Close Price]]/B2074-1,0)</f>
        <v>-1.6464585044340119E-3</v>
      </c>
    </row>
    <row r="2076" spans="1:3">
      <c r="A2076" s="119">
        <v>43801</v>
      </c>
      <c r="B2076" s="121">
        <v>125.66725158691406</v>
      </c>
      <c r="C2076" s="120">
        <f>IFERROR(yf_data[[#This Row],[Close Price]]/B2075-1,0)</f>
        <v>-2.7136416004297947E-2</v>
      </c>
    </row>
    <row r="2077" spans="1:3">
      <c r="A2077" s="119">
        <v>43802</v>
      </c>
      <c r="B2077" s="121">
        <v>120.12852478027344</v>
      </c>
      <c r="C2077" s="120">
        <f>IFERROR(yf_data[[#This Row],[Close Price]]/B2076-1,0)</f>
        <v>-4.4074543977831282E-2</v>
      </c>
    </row>
    <row r="2078" spans="1:3">
      <c r="A2078" s="119">
        <v>43803</v>
      </c>
      <c r="B2078" s="121">
        <v>123.92430114746094</v>
      </c>
      <c r="C2078" s="120">
        <f>IFERROR(yf_data[[#This Row],[Close Price]]/B2077-1,0)</f>
        <v>3.1597627408896711E-2</v>
      </c>
    </row>
    <row r="2079" spans="1:3">
      <c r="A2079" s="119">
        <v>43804</v>
      </c>
      <c r="B2079" s="121">
        <v>122.97535705566406</v>
      </c>
      <c r="C2079" s="120">
        <f>IFERROR(yf_data[[#This Row],[Close Price]]/B2078-1,0)</f>
        <v>-7.6574496124670599E-3</v>
      </c>
    </row>
    <row r="2080" spans="1:3">
      <c r="A2080" s="119">
        <v>43805</v>
      </c>
      <c r="B2080" s="121">
        <v>123.01409149169922</v>
      </c>
      <c r="C2080" s="120">
        <f>IFERROR(yf_data[[#This Row],[Close Price]]/B2079-1,0)</f>
        <v>3.1497721952233881E-4</v>
      </c>
    </row>
    <row r="2081" spans="1:3">
      <c r="A2081" s="119">
        <v>43808</v>
      </c>
      <c r="B2081" s="121">
        <v>120.98063659667967</v>
      </c>
      <c r="C2081" s="120">
        <f>IFERROR(yf_data[[#This Row],[Close Price]]/B2080-1,0)</f>
        <v>-1.6530259829271365E-2</v>
      </c>
    </row>
    <row r="2082" spans="1:3">
      <c r="A2082" s="119">
        <v>43809</v>
      </c>
      <c r="B2082" s="121">
        <v>120.28345489501952</v>
      </c>
      <c r="C2082" s="120">
        <f>IFERROR(yf_data[[#This Row],[Close Price]]/B2081-1,0)</f>
        <v>-5.7627544479237347E-3</v>
      </c>
    </row>
    <row r="2083" spans="1:3">
      <c r="A2083" s="119">
        <v>43810</v>
      </c>
      <c r="B2083" s="121">
        <v>120.07042694091795</v>
      </c>
      <c r="C2083" s="120">
        <f>IFERROR(yf_data[[#This Row],[Close Price]]/B2082-1,0)</f>
        <v>-1.7710495120670799E-3</v>
      </c>
    </row>
    <row r="2084" spans="1:3">
      <c r="A2084" s="119">
        <v>43811</v>
      </c>
      <c r="B2084" s="121">
        <v>120.22535705566406</v>
      </c>
      <c r="C2084" s="120">
        <f>IFERROR(yf_data[[#This Row],[Close Price]]/B2083-1,0)</f>
        <v>1.2903270080180107E-3</v>
      </c>
    </row>
    <row r="2085" spans="1:3">
      <c r="A2085" s="119">
        <v>43812</v>
      </c>
      <c r="B2085" s="121">
        <v>121.91021728515624</v>
      </c>
      <c r="C2085" s="120">
        <f>IFERROR(yf_data[[#This Row],[Close Price]]/B2084-1,0)</f>
        <v>1.4014183619451392E-2</v>
      </c>
    </row>
    <row r="2086" spans="1:3">
      <c r="A2086" s="119">
        <v>43815</v>
      </c>
      <c r="B2086" s="121">
        <v>125.125</v>
      </c>
      <c r="C2086" s="120">
        <f>IFERROR(yf_data[[#This Row],[Close Price]]/B2085-1,0)</f>
        <v>2.6370084365645585E-2</v>
      </c>
    </row>
    <row r="2087" spans="1:3">
      <c r="A2087" s="119">
        <v>43816</v>
      </c>
      <c r="B2087" s="121">
        <v>127.33274841308594</v>
      </c>
      <c r="C2087" s="120">
        <f>IFERROR(yf_data[[#This Row],[Close Price]]/B2086-1,0)</f>
        <v>1.7644342961725679E-2</v>
      </c>
    </row>
    <row r="2088" spans="1:3">
      <c r="A2088" s="119">
        <v>43817</v>
      </c>
      <c r="B2088" s="121">
        <v>126.57746887207033</v>
      </c>
      <c r="C2088" s="120">
        <f>IFERROR(yf_data[[#This Row],[Close Price]]/B2087-1,0)</f>
        <v>-5.93154196723511E-3</v>
      </c>
    </row>
    <row r="2089" spans="1:3">
      <c r="A2089" s="119">
        <v>43818</v>
      </c>
      <c r="B2089" s="121">
        <v>126.67430877685548</v>
      </c>
      <c r="C2089" s="120">
        <f>IFERROR(yf_data[[#This Row],[Close Price]]/B2088-1,0)</f>
        <v>7.6506431711820255E-4</v>
      </c>
    </row>
    <row r="2090" spans="1:3">
      <c r="A2090" s="119">
        <v>43819</v>
      </c>
      <c r="B2090" s="121">
        <v>127.70071411132813</v>
      </c>
      <c r="C2090" s="120">
        <f>IFERROR(yf_data[[#This Row],[Close Price]]/B2089-1,0)</f>
        <v>8.1027111525882045E-3</v>
      </c>
    </row>
    <row r="2091" spans="1:3">
      <c r="A2091" s="119">
        <v>43822</v>
      </c>
      <c r="B2091" s="121">
        <v>128.57218933105469</v>
      </c>
      <c r="C2091" s="120">
        <f>IFERROR(yf_data[[#This Row],[Close Price]]/B2090-1,0)</f>
        <v>6.8243566670020961E-3</v>
      </c>
    </row>
    <row r="2092" spans="1:3">
      <c r="A2092" s="119">
        <v>43823</v>
      </c>
      <c r="B2092" s="121">
        <v>128.9207763671875</v>
      </c>
      <c r="C2092" s="120">
        <f>IFERROR(yf_data[[#This Row],[Close Price]]/B2091-1,0)</f>
        <v>2.7112164609350842E-3</v>
      </c>
    </row>
    <row r="2093" spans="1:3">
      <c r="A2093" s="119">
        <v>43824</v>
      </c>
      <c r="B2093" s="121">
        <v>128.9207763671875</v>
      </c>
      <c r="C2093" s="120">
        <f>IFERROR(yf_data[[#This Row],[Close Price]]/B2092-1,0)</f>
        <v>0</v>
      </c>
    </row>
    <row r="2094" spans="1:3">
      <c r="A2094" s="119">
        <v>43826</v>
      </c>
      <c r="B2094" s="121">
        <v>129.05633544921875</v>
      </c>
      <c r="C2094" s="120">
        <f>IFERROR(yf_data[[#This Row],[Close Price]]/B2093-1,0)</f>
        <v>1.0514913565611295E-3</v>
      </c>
    </row>
    <row r="2095" spans="1:3">
      <c r="A2095" s="119">
        <v>43829</v>
      </c>
      <c r="B2095" s="121">
        <v>125.88028717041016</v>
      </c>
      <c r="C2095" s="120">
        <f>IFERROR(yf_data[[#This Row],[Close Price]]/B2094-1,0)</f>
        <v>-2.4609781982057877E-2</v>
      </c>
    </row>
    <row r="2096" spans="1:3">
      <c r="A2096" s="119">
        <v>43830</v>
      </c>
      <c r="B2096" s="121">
        <v>126.34506988525391</v>
      </c>
      <c r="C2096" s="120">
        <f>IFERROR(yf_data[[#This Row],[Close Price]]/B2095-1,0)</f>
        <v>3.6922597278044034E-3</v>
      </c>
    </row>
    <row r="2097" spans="1:3">
      <c r="A2097" s="119">
        <v>43832</v>
      </c>
      <c r="B2097" s="121">
        <v>129.28874206542969</v>
      </c>
      <c r="C2097" s="120">
        <f>IFERROR(yf_data[[#This Row],[Close Price]]/B2096-1,0)</f>
        <v>2.3298670718605807E-2</v>
      </c>
    </row>
    <row r="2098" spans="1:3">
      <c r="A2098" s="119">
        <v>43833</v>
      </c>
      <c r="B2098" s="121">
        <v>129.79225158691406</v>
      </c>
      <c r="C2098" s="120">
        <f>IFERROR(yf_data[[#This Row],[Close Price]]/B2097-1,0)</f>
        <v>3.89445757952811E-3</v>
      </c>
    </row>
    <row r="2099" spans="1:3">
      <c r="A2099" s="119">
        <v>43836</v>
      </c>
      <c r="B2099" s="121">
        <v>129.23063659667969</v>
      </c>
      <c r="C2099" s="120">
        <f>IFERROR(yf_data[[#This Row],[Close Price]]/B2098-1,0)</f>
        <v>-4.3270301837571301E-3</v>
      </c>
    </row>
    <row r="2100" spans="1:3">
      <c r="A2100" s="119">
        <v>43837</v>
      </c>
      <c r="B2100" s="121">
        <v>127.81690216064452</v>
      </c>
      <c r="C2100" s="120">
        <f>IFERROR(yf_data[[#This Row],[Close Price]]/B2099-1,0)</f>
        <v>-1.0939622935135285E-2</v>
      </c>
    </row>
    <row r="2101" spans="1:3">
      <c r="A2101" s="119">
        <v>43838</v>
      </c>
      <c r="B2101" s="121">
        <v>130.12149047851563</v>
      </c>
      <c r="C2101" s="120">
        <f>IFERROR(yf_data[[#This Row],[Close Price]]/B2100-1,0)</f>
        <v>1.8030387835363371E-2</v>
      </c>
    </row>
    <row r="2102" spans="1:3">
      <c r="A2102" s="119">
        <v>43839</v>
      </c>
      <c r="B2102" s="121">
        <v>130.64436340332031</v>
      </c>
      <c r="C2102" s="120">
        <f>IFERROR(yf_data[[#This Row],[Close Price]]/B2101-1,0)</f>
        <v>4.0183441096612871E-3</v>
      </c>
    </row>
    <row r="2103" spans="1:3">
      <c r="A2103" s="119">
        <v>43840</v>
      </c>
      <c r="B2103" s="121">
        <v>130.16021728515625</v>
      </c>
      <c r="C2103" s="120">
        <f>IFERROR(yf_data[[#This Row],[Close Price]]/B2102-1,0)</f>
        <v>-3.705832425922817E-3</v>
      </c>
    </row>
    <row r="2104" spans="1:3">
      <c r="A2104" s="119">
        <v>43843</v>
      </c>
      <c r="B2104" s="121">
        <v>130.83802795410156</v>
      </c>
      <c r="C2104" s="120">
        <f>IFERROR(yf_data[[#This Row],[Close Price]]/B2103-1,0)</f>
        <v>5.207510275281324E-3</v>
      </c>
    </row>
    <row r="2105" spans="1:3">
      <c r="A2105" s="119">
        <v>43844</v>
      </c>
      <c r="B2105" s="121">
        <v>130.81866455078125</v>
      </c>
      <c r="C2105" s="120">
        <f>IFERROR(yf_data[[#This Row],[Close Price]]/B2104-1,0)</f>
        <v>-1.479952245008187E-4</v>
      </c>
    </row>
    <row r="2106" spans="1:3">
      <c r="A2106" s="119">
        <v>43845</v>
      </c>
      <c r="B2106" s="121">
        <v>130.00527954101563</v>
      </c>
      <c r="C2106" s="120">
        <f>IFERROR(yf_data[[#This Row],[Close Price]]/B2105-1,0)</f>
        <v>-6.2176525999459997E-3</v>
      </c>
    </row>
    <row r="2107" spans="1:3">
      <c r="A2107" s="119">
        <v>43846</v>
      </c>
      <c r="B2107" s="121">
        <v>129.17253112792969</v>
      </c>
      <c r="C2107" s="120">
        <f>IFERROR(yf_data[[#This Row],[Close Price]]/B2106-1,0)</f>
        <v>-6.4054968846338767E-3</v>
      </c>
    </row>
    <row r="2108" spans="1:3">
      <c r="A2108" s="119">
        <v>43847</v>
      </c>
      <c r="B2108" s="121">
        <v>132.44541931152344</v>
      </c>
      <c r="C2108" s="120">
        <f>IFERROR(yf_data[[#This Row],[Close Price]]/B2107-1,0)</f>
        <v>2.5337338790337283E-2</v>
      </c>
    </row>
    <row r="2109" spans="1:3">
      <c r="A2109" s="119">
        <v>43850</v>
      </c>
      <c r="B2109" s="121">
        <v>133.52992248535156</v>
      </c>
      <c r="C2109" s="120">
        <f>IFERROR(yf_data[[#This Row],[Close Price]]/B2108-1,0)</f>
        <v>8.1883026190379127E-3</v>
      </c>
    </row>
    <row r="2110" spans="1:3">
      <c r="A2110" s="119">
        <v>43851</v>
      </c>
      <c r="B2110" s="121">
        <v>132.07746887207031</v>
      </c>
      <c r="C2110" s="120">
        <f>IFERROR(yf_data[[#This Row],[Close Price]]/B2109-1,0)</f>
        <v>-1.0877364310913795E-2</v>
      </c>
    </row>
    <row r="2111" spans="1:3">
      <c r="A2111" s="119">
        <v>43852</v>
      </c>
      <c r="B2111" s="121">
        <v>133.60739135742188</v>
      </c>
      <c r="C2111" s="120">
        <f>IFERROR(yf_data[[#This Row],[Close Price]]/B2110-1,0)</f>
        <v>1.1583523657872741E-2</v>
      </c>
    </row>
    <row r="2112" spans="1:3">
      <c r="A2112" s="119">
        <v>43853</v>
      </c>
      <c r="B2112" s="121">
        <v>131.49649047851563</v>
      </c>
      <c r="C2112" s="120">
        <f>IFERROR(yf_data[[#This Row],[Close Price]]/B2111-1,0)</f>
        <v>-1.5799282191351516E-2</v>
      </c>
    </row>
    <row r="2113" spans="1:3">
      <c r="A2113" s="119">
        <v>43854</v>
      </c>
      <c r="B2113" s="121">
        <v>134.59507751464844</v>
      </c>
      <c r="C2113" s="120">
        <f>IFERROR(yf_data[[#This Row],[Close Price]]/B2112-1,0)</f>
        <v>2.3564028399975179E-2</v>
      </c>
    </row>
    <row r="2114" spans="1:3">
      <c r="A2114" s="119">
        <v>43857</v>
      </c>
      <c r="B2114" s="121">
        <v>128.68836975097656</v>
      </c>
      <c r="C2114" s="120">
        <f>IFERROR(yf_data[[#This Row],[Close Price]]/B2113-1,0)</f>
        <v>-4.3885020706117772E-2</v>
      </c>
    </row>
    <row r="2115" spans="1:3">
      <c r="A2115" s="119">
        <v>43858</v>
      </c>
      <c r="B2115" s="121">
        <v>129.98591613769531</v>
      </c>
      <c r="C2115" s="120">
        <f>IFERROR(yf_data[[#This Row],[Close Price]]/B2114-1,0)</f>
        <v>1.0082856665521556E-2</v>
      </c>
    </row>
    <row r="2116" spans="1:3">
      <c r="A2116" s="119">
        <v>43859</v>
      </c>
      <c r="B2116" s="121">
        <v>132.23239135742188</v>
      </c>
      <c r="C2116" s="120">
        <f>IFERROR(yf_data[[#This Row],[Close Price]]/B2115-1,0)</f>
        <v>1.7282450949123174E-2</v>
      </c>
    </row>
    <row r="2117" spans="1:3">
      <c r="A2117" s="119">
        <v>43860</v>
      </c>
      <c r="B2117" s="121">
        <v>130.23768615722656</v>
      </c>
      <c r="C2117" s="120">
        <f>IFERROR(yf_data[[#This Row],[Close Price]]/B2116-1,0)</f>
        <v>-1.5084845548952175E-2</v>
      </c>
    </row>
    <row r="2118" spans="1:3">
      <c r="A2118" s="119">
        <v>43861</v>
      </c>
      <c r="B2118" s="121">
        <v>129.01760864257813</v>
      </c>
      <c r="C2118" s="120">
        <f>IFERROR(yf_data[[#This Row],[Close Price]]/B2117-1,0)</f>
        <v>-9.3680834683712577E-3</v>
      </c>
    </row>
    <row r="2119" spans="1:3">
      <c r="A2119" s="119">
        <v>43864</v>
      </c>
      <c r="B2119" s="121">
        <v>129.44366455078125</v>
      </c>
      <c r="C2119" s="120">
        <f>IFERROR(yf_data[[#This Row],[Close Price]]/B2118-1,0)</f>
        <v>3.3023082095982037E-3</v>
      </c>
    </row>
    <row r="2120" spans="1:3">
      <c r="A2120" s="119">
        <v>43865</v>
      </c>
      <c r="B2120" s="121">
        <v>133.62677001953125</v>
      </c>
      <c r="C2120" s="120">
        <f>IFERROR(yf_data[[#This Row],[Close Price]]/B2119-1,0)</f>
        <v>3.2316030941081264E-2</v>
      </c>
    </row>
    <row r="2121" spans="1:3">
      <c r="A2121" s="119">
        <v>43866</v>
      </c>
      <c r="B2121" s="121">
        <v>132.54226684570313</v>
      </c>
      <c r="C2121" s="120">
        <f>IFERROR(yf_data[[#This Row],[Close Price]]/B2120-1,0)</f>
        <v>-8.115912505178513E-3</v>
      </c>
    </row>
    <row r="2122" spans="1:3">
      <c r="A2122" s="119">
        <v>43867</v>
      </c>
      <c r="B2122" s="121">
        <v>132.658447265625</v>
      </c>
      <c r="C2122" s="120">
        <f>IFERROR(yf_data[[#This Row],[Close Price]]/B2121-1,0)</f>
        <v>8.7655374158579491E-4</v>
      </c>
    </row>
    <row r="2123" spans="1:3">
      <c r="A2123" s="119">
        <v>43868</v>
      </c>
      <c r="B2123" s="121">
        <v>132.44541931152344</v>
      </c>
      <c r="C2123" s="120">
        <f>IFERROR(yf_data[[#This Row],[Close Price]]/B2122-1,0)</f>
        <v>-1.6058378376389015E-3</v>
      </c>
    </row>
    <row r="2124" spans="1:3">
      <c r="A2124" s="119">
        <v>43871</v>
      </c>
      <c r="B2124" s="121">
        <v>132.29049682617188</v>
      </c>
      <c r="C2124" s="120">
        <f>IFERROR(yf_data[[#This Row],[Close Price]]/B2123-1,0)</f>
        <v>-1.169708142092607E-3</v>
      </c>
    </row>
    <row r="2125" spans="1:3">
      <c r="A2125" s="119">
        <v>43872</v>
      </c>
      <c r="B2125" s="121">
        <v>133.62677001953125</v>
      </c>
      <c r="C2125" s="120">
        <f>IFERROR(yf_data[[#This Row],[Close Price]]/B2124-1,0)</f>
        <v>1.0101052043936409E-2</v>
      </c>
    </row>
    <row r="2126" spans="1:3">
      <c r="A2126" s="119">
        <v>43873</v>
      </c>
      <c r="B2126" s="121">
        <v>132.27113342285156</v>
      </c>
      <c r="C2126" s="120">
        <f>IFERROR(yf_data[[#This Row],[Close Price]]/B2125-1,0)</f>
        <v>-1.0144947726279274E-2</v>
      </c>
    </row>
    <row r="2127" spans="1:3">
      <c r="A2127" s="119">
        <v>43874</v>
      </c>
      <c r="B2127" s="121">
        <v>128.591552734375</v>
      </c>
      <c r="C2127" s="120">
        <f>IFERROR(yf_data[[#This Row],[Close Price]]/B2126-1,0)</f>
        <v>-2.7818470994071531E-2</v>
      </c>
    </row>
    <row r="2128" spans="1:3">
      <c r="A2128" s="119">
        <v>43875</v>
      </c>
      <c r="B2128" s="121">
        <v>125.74472045898438</v>
      </c>
      <c r="C2128" s="120">
        <f>IFERROR(yf_data[[#This Row],[Close Price]]/B2127-1,0)</f>
        <v>-2.2138563652553289E-2</v>
      </c>
    </row>
    <row r="2129" spans="1:3">
      <c r="A2129" s="119">
        <v>43878</v>
      </c>
      <c r="B2129" s="121">
        <v>126.8292236328125</v>
      </c>
      <c r="C2129" s="120">
        <f>IFERROR(yf_data[[#This Row],[Close Price]]/B2128-1,0)</f>
        <v>8.6246418129489744E-3</v>
      </c>
    </row>
    <row r="2130" spans="1:3">
      <c r="A2130" s="119">
        <v>43879</v>
      </c>
      <c r="B2130" s="121">
        <v>126.13204193115234</v>
      </c>
      <c r="C2130" s="120">
        <f>IFERROR(yf_data[[#This Row],[Close Price]]/B2129-1,0)</f>
        <v>-5.4970115064221226E-3</v>
      </c>
    </row>
    <row r="2131" spans="1:3">
      <c r="A2131" s="119">
        <v>43880</v>
      </c>
      <c r="B2131" s="121">
        <v>127.6232452392578</v>
      </c>
      <c r="C2131" s="120">
        <f>IFERROR(yf_data[[#This Row],[Close Price]]/B2130-1,0)</f>
        <v>1.1822557418989632E-2</v>
      </c>
    </row>
    <row r="2132" spans="1:3">
      <c r="A2132" s="119">
        <v>43881</v>
      </c>
      <c r="B2132" s="121">
        <v>127.60387420654295</v>
      </c>
      <c r="C2132" s="120">
        <f>IFERROR(yf_data[[#This Row],[Close Price]]/B2131-1,0)</f>
        <v>-1.517829505003343E-4</v>
      </c>
    </row>
    <row r="2133" spans="1:3">
      <c r="A2133" s="119">
        <v>43882</v>
      </c>
      <c r="B2133" s="121">
        <v>126.69366455078124</v>
      </c>
      <c r="C2133" s="120">
        <f>IFERROR(yf_data[[#This Row],[Close Price]]/B2132-1,0)</f>
        <v>-7.1330879365655298E-3</v>
      </c>
    </row>
    <row r="2134" spans="1:3">
      <c r="A2134" s="119">
        <v>43885</v>
      </c>
      <c r="B2134" s="121">
        <v>120.43837738037109</v>
      </c>
      <c r="C2134" s="120">
        <f>IFERROR(yf_data[[#This Row],[Close Price]]/B2133-1,0)</f>
        <v>-4.9373322593434854E-2</v>
      </c>
    </row>
    <row r="2135" spans="1:3">
      <c r="A2135" s="119">
        <v>43886</v>
      </c>
      <c r="B2135" s="121">
        <v>119.625</v>
      </c>
      <c r="C2135" s="120">
        <f>IFERROR(yf_data[[#This Row],[Close Price]]/B2134-1,0)</f>
        <v>-6.7534734198739788E-3</v>
      </c>
    </row>
    <row r="2136" spans="1:3">
      <c r="A2136" s="119">
        <v>43887</v>
      </c>
      <c r="B2136" s="121">
        <v>116.73943328857422</v>
      </c>
      <c r="C2136" s="120">
        <f>IFERROR(yf_data[[#This Row],[Close Price]]/B2135-1,0)</f>
        <v>-2.4121769792483039E-2</v>
      </c>
    </row>
    <row r="2137" spans="1:3">
      <c r="A2137" s="119">
        <v>43888</v>
      </c>
      <c r="B2137" s="121">
        <v>111.35563659667967</v>
      </c>
      <c r="C2137" s="120">
        <f>IFERROR(yf_data[[#This Row],[Close Price]]/B2136-1,0)</f>
        <v>-4.6118064309821127E-2</v>
      </c>
    </row>
    <row r="2138" spans="1:3">
      <c r="A2138" s="119">
        <v>43889</v>
      </c>
      <c r="B2138" s="121">
        <v>104.67429351806641</v>
      </c>
      <c r="C2138" s="120">
        <f>IFERROR(yf_data[[#This Row],[Close Price]]/B2137-1,0)</f>
        <v>-6.0000043848812967E-2</v>
      </c>
    </row>
    <row r="2139" spans="1:3">
      <c r="A2139" s="119">
        <v>43892</v>
      </c>
      <c r="B2139" s="121">
        <v>104.20951080322266</v>
      </c>
      <c r="C2139" s="120">
        <f>IFERROR(yf_data[[#This Row],[Close Price]]/B2138-1,0)</f>
        <v>-4.4402756323693726E-3</v>
      </c>
    </row>
    <row r="2140" spans="1:3">
      <c r="A2140" s="119">
        <v>43893</v>
      </c>
      <c r="B2140" s="121">
        <v>108.56690979003906</v>
      </c>
      <c r="C2140" s="120">
        <f>IFERROR(yf_data[[#This Row],[Close Price]]/B2139-1,0)</f>
        <v>4.1813832089130809E-2</v>
      </c>
    </row>
    <row r="2141" spans="1:3">
      <c r="A2141" s="119">
        <v>43894</v>
      </c>
      <c r="B2141" s="121">
        <v>107.44366455078124</v>
      </c>
      <c r="C2141" s="120">
        <f>IFERROR(yf_data[[#This Row],[Close Price]]/B2140-1,0)</f>
        <v>-1.0346110444057977E-2</v>
      </c>
    </row>
    <row r="2142" spans="1:3">
      <c r="A2142" s="119">
        <v>43895</v>
      </c>
      <c r="B2142" s="121">
        <v>104.30634307861328</v>
      </c>
      <c r="C2142" s="120">
        <f>IFERROR(yf_data[[#This Row],[Close Price]]/B2141-1,0)</f>
        <v>-2.9199687904214788E-2</v>
      </c>
    </row>
    <row r="2143" spans="1:3">
      <c r="A2143" s="119">
        <v>43896</v>
      </c>
      <c r="B2143" s="121">
        <v>96.346832275390625</v>
      </c>
      <c r="C2143" s="120">
        <f>IFERROR(yf_data[[#This Row],[Close Price]]/B2142-1,0)</f>
        <v>-7.6308981489493499E-2</v>
      </c>
    </row>
    <row r="2144" spans="1:3">
      <c r="A2144" s="119">
        <v>43899</v>
      </c>
      <c r="B2144" s="121">
        <v>87.138206481933594</v>
      </c>
      <c r="C2144" s="120">
        <f>IFERROR(yf_data[[#This Row],[Close Price]]/B2143-1,0)</f>
        <v>-9.5577878130292615E-2</v>
      </c>
    </row>
    <row r="2145" spans="1:3">
      <c r="A2145" s="119">
        <v>43900</v>
      </c>
      <c r="B2145" s="121">
        <v>86.779937744140625</v>
      </c>
      <c r="C2145" s="120">
        <f>IFERROR(yf_data[[#This Row],[Close Price]]/B2144-1,0)</f>
        <v>-4.1115000211445762E-3</v>
      </c>
    </row>
    <row r="2146" spans="1:3">
      <c r="A2146" s="119">
        <v>43901</v>
      </c>
      <c r="B2146" s="121">
        <v>82.984153747558594</v>
      </c>
      <c r="C2146" s="120">
        <f>IFERROR(yf_data[[#This Row],[Close Price]]/B2145-1,0)</f>
        <v>-4.3740340166795288E-2</v>
      </c>
    </row>
    <row r="2147" spans="1:3">
      <c r="A2147" s="119">
        <v>43902</v>
      </c>
      <c r="B2147" s="121">
        <v>69.098594665527344</v>
      </c>
      <c r="C2147" s="120">
        <f>IFERROR(yf_data[[#This Row],[Close Price]]/B2146-1,0)</f>
        <v>-0.16732783856869504</v>
      </c>
    </row>
    <row r="2148" spans="1:3">
      <c r="A2148" s="119">
        <v>43903</v>
      </c>
      <c r="B2148" s="121">
        <v>71.974472045898438</v>
      </c>
      <c r="C2148" s="120">
        <f>IFERROR(yf_data[[#This Row],[Close Price]]/B2147-1,0)</f>
        <v>4.1619911291854939E-2</v>
      </c>
    </row>
    <row r="2149" spans="1:3">
      <c r="A2149" s="119">
        <v>43906</v>
      </c>
      <c r="B2149" s="121">
        <v>66.813385009765625</v>
      </c>
      <c r="C2149" s="120">
        <f>IFERROR(yf_data[[#This Row],[Close Price]]/B2148-1,0)</f>
        <v>-7.170718852708724E-2</v>
      </c>
    </row>
    <row r="2150" spans="1:3">
      <c r="A2150" s="119">
        <v>43907</v>
      </c>
      <c r="B2150" s="121">
        <v>61.042255401611328</v>
      </c>
      <c r="C2150" s="120">
        <f>IFERROR(yf_data[[#This Row],[Close Price]]/B2149-1,0)</f>
        <v>-8.6376848101780368E-2</v>
      </c>
    </row>
    <row r="2151" spans="1:3">
      <c r="A2151" s="119">
        <v>43908</v>
      </c>
      <c r="B2151" s="121">
        <v>47.510124206542969</v>
      </c>
      <c r="C2151" s="120">
        <f>IFERROR(yf_data[[#This Row],[Close Price]]/B2150-1,0)</f>
        <v>-0.22168465280382077</v>
      </c>
    </row>
    <row r="2152" spans="1:3">
      <c r="A2152" s="119">
        <v>43909</v>
      </c>
      <c r="B2152" s="121">
        <v>52.027290344238281</v>
      </c>
      <c r="C2152" s="120">
        <f>IFERROR(yf_data[[#This Row],[Close Price]]/B2151-1,0)</f>
        <v>9.5077969446209609E-2</v>
      </c>
    </row>
    <row r="2153" spans="1:3">
      <c r="A2153" s="119">
        <v>43910</v>
      </c>
      <c r="B2153" s="121">
        <v>61.758804321289063</v>
      </c>
      <c r="C2153" s="120">
        <f>IFERROR(yf_data[[#This Row],[Close Price]]/B2152-1,0)</f>
        <v>0.18704633496502066</v>
      </c>
    </row>
    <row r="2154" spans="1:3">
      <c r="A2154" s="119">
        <v>43913</v>
      </c>
      <c r="B2154" s="121">
        <v>53.257041931152344</v>
      </c>
      <c r="C2154" s="120">
        <f>IFERROR(yf_data[[#This Row],[Close Price]]/B2153-1,0)</f>
        <v>-0.13766073491170316</v>
      </c>
    </row>
    <row r="2155" spans="1:3">
      <c r="A2155" s="119">
        <v>43914</v>
      </c>
      <c r="B2155" s="121">
        <v>54.205986022949219</v>
      </c>
      <c r="C2155" s="120">
        <f>IFERROR(yf_data[[#This Row],[Close Price]]/B2154-1,0)</f>
        <v>1.781818999680107E-2</v>
      </c>
    </row>
    <row r="2156" spans="1:3">
      <c r="A2156" s="119">
        <v>43915</v>
      </c>
      <c r="B2156" s="121">
        <v>58.108272552490234</v>
      </c>
      <c r="C2156" s="120">
        <f>IFERROR(yf_data[[#This Row],[Close Price]]/B2155-1,0)</f>
        <v>7.1989955646022175E-2</v>
      </c>
    </row>
    <row r="2157" spans="1:3">
      <c r="A2157" s="119">
        <v>43916</v>
      </c>
      <c r="B2157" s="121">
        <v>69.999122619628906</v>
      </c>
      <c r="C2157" s="120">
        <f>IFERROR(yf_data[[#This Row],[Close Price]]/B2156-1,0)</f>
        <v>0.20463265460864388</v>
      </c>
    </row>
    <row r="2158" spans="1:3">
      <c r="A2158" s="119">
        <v>43917</v>
      </c>
      <c r="B2158" s="121">
        <v>66.009681701660156</v>
      </c>
      <c r="C2158" s="120">
        <f>IFERROR(yf_data[[#This Row],[Close Price]]/B2157-1,0)</f>
        <v>-5.699272746098738E-2</v>
      </c>
    </row>
    <row r="2159" spans="1:3">
      <c r="A2159" s="119">
        <v>43920</v>
      </c>
      <c r="B2159" s="121">
        <v>58.999122619628906</v>
      </c>
      <c r="C2159" s="120">
        <f>IFERROR(yf_data[[#This Row],[Close Price]]/B2158-1,0)</f>
        <v>-0.10620501267854066</v>
      </c>
    </row>
    <row r="2160" spans="1:3">
      <c r="A2160" s="119">
        <v>43921</v>
      </c>
      <c r="B2160" s="121">
        <v>57.459506988525391</v>
      </c>
      <c r="C2160" s="120">
        <f>IFERROR(yf_data[[#This Row],[Close Price]]/B2159-1,0)</f>
        <v>-2.6095568251574108E-2</v>
      </c>
    </row>
    <row r="2161" spans="1:3">
      <c r="A2161" s="119">
        <v>43922</v>
      </c>
      <c r="B2161" s="121">
        <v>50.5457763671875</v>
      </c>
      <c r="C2161" s="120">
        <f>IFERROR(yf_data[[#This Row],[Close Price]]/B2160-1,0)</f>
        <v>-0.12032352840616189</v>
      </c>
    </row>
    <row r="2162" spans="1:3">
      <c r="A2162" s="119">
        <v>43923</v>
      </c>
      <c r="B2162" s="121">
        <v>48.676937103271491</v>
      </c>
      <c r="C2162" s="120">
        <f>IFERROR(yf_data[[#This Row],[Close Price]]/B2161-1,0)</f>
        <v>-3.697320326707243E-2</v>
      </c>
    </row>
    <row r="2163" spans="1:3">
      <c r="A2163" s="119">
        <v>43924</v>
      </c>
      <c r="B2163" s="121">
        <v>47.936180114746094</v>
      </c>
      <c r="C2163" s="120">
        <f>IFERROR(yf_data[[#This Row],[Close Price]]/B2162-1,0)</f>
        <v>-1.5217822496798261E-2</v>
      </c>
    </row>
    <row r="2164" spans="1:3">
      <c r="A2164" s="119">
        <v>43927</v>
      </c>
      <c r="B2164" s="121">
        <v>51.833625793457031</v>
      </c>
      <c r="C2164" s="120">
        <f>IFERROR(yf_data[[#This Row],[Close Price]]/B2163-1,0)</f>
        <v>8.1304886400658472E-2</v>
      </c>
    </row>
    <row r="2165" spans="1:3">
      <c r="A2165" s="119">
        <v>43928</v>
      </c>
      <c r="B2165" s="121">
        <v>55.232395172119141</v>
      </c>
      <c r="C2165" s="120">
        <f>IFERROR(yf_data[[#This Row],[Close Price]]/B2164-1,0)</f>
        <v>6.5570743443750024E-2</v>
      </c>
    </row>
    <row r="2166" spans="1:3">
      <c r="A2166" s="119">
        <v>43929</v>
      </c>
      <c r="B2166" s="121">
        <v>57.914615631103523</v>
      </c>
      <c r="C2166" s="120">
        <f>IFERROR(yf_data[[#This Row],[Close Price]]/B2165-1,0)</f>
        <v>4.8562450544211488E-2</v>
      </c>
    </row>
    <row r="2167" spans="1:3">
      <c r="A2167" s="119">
        <v>43930</v>
      </c>
      <c r="B2167" s="121">
        <v>59.066902160644531</v>
      </c>
      <c r="C2167" s="120">
        <f>IFERROR(yf_data[[#This Row],[Close Price]]/B2166-1,0)</f>
        <v>1.989629935352899E-2</v>
      </c>
    </row>
    <row r="2168" spans="1:3">
      <c r="A2168" s="119">
        <v>43935</v>
      </c>
      <c r="B2168" s="121">
        <v>58.098594665527344</v>
      </c>
      <c r="C2168" s="120">
        <f>IFERROR(yf_data[[#This Row],[Close Price]]/B2167-1,0)</f>
        <v>-1.639340239113396E-2</v>
      </c>
    </row>
    <row r="2169" spans="1:3">
      <c r="A2169" s="119">
        <v>43936</v>
      </c>
      <c r="B2169" s="121">
        <v>53.063381195068359</v>
      </c>
      <c r="C2169" s="120">
        <f>IFERROR(yf_data[[#This Row],[Close Price]]/B2168-1,0)</f>
        <v>-8.6666699933907632E-2</v>
      </c>
    </row>
    <row r="2170" spans="1:3">
      <c r="A2170" s="119">
        <v>43937</v>
      </c>
      <c r="B2170" s="121">
        <v>51.514087677001953</v>
      </c>
      <c r="C2170" s="120">
        <f>IFERROR(yf_data[[#This Row],[Close Price]]/B2169-1,0)</f>
        <v>-2.9197037263249181E-2</v>
      </c>
    </row>
    <row r="2171" spans="1:3">
      <c r="A2171" s="119">
        <v>43938</v>
      </c>
      <c r="B2171" s="121">
        <v>55</v>
      </c>
      <c r="C2171" s="120">
        <f>IFERROR(yf_data[[#This Row],[Close Price]]/B2170-1,0)</f>
        <v>6.7669107232472658E-2</v>
      </c>
    </row>
    <row r="2172" spans="1:3">
      <c r="A2172" s="119">
        <v>43941</v>
      </c>
      <c r="B2172" s="121">
        <v>55.619998931884766</v>
      </c>
      <c r="C2172" s="120">
        <f>IFERROR(yf_data[[#This Row],[Close Price]]/B2171-1,0)</f>
        <v>1.1272707852450381E-2</v>
      </c>
    </row>
    <row r="2173" spans="1:3">
      <c r="A2173" s="119">
        <v>43942</v>
      </c>
      <c r="B2173" s="121">
        <v>51.959999084472656</v>
      </c>
      <c r="C2173" s="120">
        <f>IFERROR(yf_data[[#This Row],[Close Price]]/B2172-1,0)</f>
        <v>-6.5803666265695893E-2</v>
      </c>
    </row>
    <row r="2174" spans="1:3">
      <c r="A2174" s="119">
        <v>43943</v>
      </c>
      <c r="B2174" s="121">
        <v>53.529998779296875</v>
      </c>
      <c r="C2174" s="120">
        <f>IFERROR(yf_data[[#This Row],[Close Price]]/B2173-1,0)</f>
        <v>3.0215545082513007E-2</v>
      </c>
    </row>
    <row r="2175" spans="1:3">
      <c r="A2175" s="119">
        <v>43944</v>
      </c>
      <c r="B2175" s="121">
        <v>54.25</v>
      </c>
      <c r="C2175" s="120">
        <f>IFERROR(yf_data[[#This Row],[Close Price]]/B2174-1,0)</f>
        <v>1.3450424754756218E-2</v>
      </c>
    </row>
    <row r="2176" spans="1:3">
      <c r="A2176" s="119">
        <v>43945</v>
      </c>
      <c r="B2176" s="121">
        <v>52.340000152587891</v>
      </c>
      <c r="C2176" s="120">
        <f>IFERROR(yf_data[[#This Row],[Close Price]]/B2175-1,0)</f>
        <v>-3.5207370459209408E-2</v>
      </c>
    </row>
    <row r="2177" spans="1:3">
      <c r="A2177" s="119">
        <v>43948</v>
      </c>
      <c r="B2177" s="121">
        <v>51.069999694824219</v>
      </c>
      <c r="C2177" s="120">
        <f>IFERROR(yf_data[[#This Row],[Close Price]]/B2176-1,0)</f>
        <v>-2.4264433589247458E-2</v>
      </c>
    </row>
    <row r="2178" spans="1:3">
      <c r="A2178" s="119">
        <v>43949</v>
      </c>
      <c r="B2178" s="121">
        <v>52.880001068115234</v>
      </c>
      <c r="C2178" s="120">
        <f>IFERROR(yf_data[[#This Row],[Close Price]]/B2177-1,0)</f>
        <v>3.5441577914762545E-2</v>
      </c>
    </row>
    <row r="2179" spans="1:3">
      <c r="A2179" s="119">
        <v>43950</v>
      </c>
      <c r="B2179" s="121">
        <v>58.389999389648438</v>
      </c>
      <c r="C2179" s="120">
        <f>IFERROR(yf_data[[#This Row],[Close Price]]/B2178-1,0)</f>
        <v>0.1041981507231009</v>
      </c>
    </row>
    <row r="2180" spans="1:3">
      <c r="A2180" s="119">
        <v>43951</v>
      </c>
      <c r="B2180" s="121">
        <v>57.880001068115234</v>
      </c>
      <c r="C2180" s="120">
        <f>IFERROR(yf_data[[#This Row],[Close Price]]/B2179-1,0)</f>
        <v>-8.734343669536293E-3</v>
      </c>
    </row>
    <row r="2181" spans="1:3">
      <c r="A2181" s="119">
        <v>43955</v>
      </c>
      <c r="B2181" s="121">
        <v>55</v>
      </c>
      <c r="C2181" s="120">
        <f>IFERROR(yf_data[[#This Row],[Close Price]]/B2180-1,0)</f>
        <v>-4.9758137784516432E-2</v>
      </c>
    </row>
    <row r="2182" spans="1:3">
      <c r="A2182" s="119">
        <v>43956</v>
      </c>
      <c r="B2182" s="121">
        <v>56.439998626708984</v>
      </c>
      <c r="C2182" s="120">
        <f>IFERROR(yf_data[[#This Row],[Close Price]]/B2181-1,0)</f>
        <v>2.6181793212890714E-2</v>
      </c>
    </row>
    <row r="2183" spans="1:3">
      <c r="A2183" s="119">
        <v>43957</v>
      </c>
      <c r="B2183" s="121">
        <v>53.700000762939453</v>
      </c>
      <c r="C2183" s="120">
        <f>IFERROR(yf_data[[#This Row],[Close Price]]/B2182-1,0)</f>
        <v>-4.8547093026910293E-2</v>
      </c>
    </row>
    <row r="2184" spans="1:3">
      <c r="A2184" s="119">
        <v>43958</v>
      </c>
      <c r="B2184" s="121">
        <v>55.75</v>
      </c>
      <c r="C2184" s="120">
        <f>IFERROR(yf_data[[#This Row],[Close Price]]/B2183-1,0)</f>
        <v>3.8175031805126824E-2</v>
      </c>
    </row>
    <row r="2185" spans="1:3">
      <c r="A2185" s="119">
        <v>43959</v>
      </c>
      <c r="B2185" s="121">
        <v>56.069999694824219</v>
      </c>
      <c r="C2185" s="120">
        <f>IFERROR(yf_data[[#This Row],[Close Price]]/B2184-1,0)</f>
        <v>5.7399048398962815E-3</v>
      </c>
    </row>
    <row r="2186" spans="1:3">
      <c r="A2186" s="119">
        <v>43962</v>
      </c>
      <c r="B2186" s="121">
        <v>54.5</v>
      </c>
      <c r="C2186" s="120">
        <f>IFERROR(yf_data[[#This Row],[Close Price]]/B2185-1,0)</f>
        <v>-2.8000708103608996E-2</v>
      </c>
    </row>
    <row r="2187" spans="1:3">
      <c r="A2187" s="119">
        <v>43963</v>
      </c>
      <c r="B2187" s="121">
        <v>51.220001220703125</v>
      </c>
      <c r="C2187" s="120">
        <f>IFERROR(yf_data[[#This Row],[Close Price]]/B2186-1,0)</f>
        <v>-6.0183463840309592E-2</v>
      </c>
    </row>
    <row r="2188" spans="1:3">
      <c r="A2188" s="119">
        <v>43964</v>
      </c>
      <c r="B2188" s="121">
        <v>49.599998474121094</v>
      </c>
      <c r="C2188" s="120">
        <f>IFERROR(yf_data[[#This Row],[Close Price]]/B2187-1,0)</f>
        <v>-3.1628323076400622E-2</v>
      </c>
    </row>
    <row r="2189" spans="1:3">
      <c r="A2189" s="119">
        <v>43965</v>
      </c>
      <c r="B2189" s="121">
        <v>49.880001068115234</v>
      </c>
      <c r="C2189" s="120">
        <f>IFERROR(yf_data[[#This Row],[Close Price]]/B2188-1,0)</f>
        <v>5.645213762259127E-3</v>
      </c>
    </row>
    <row r="2190" spans="1:3">
      <c r="A2190" s="119">
        <v>43966</v>
      </c>
      <c r="B2190" s="121">
        <v>49.310001373291016</v>
      </c>
      <c r="C2190" s="120">
        <f>IFERROR(yf_data[[#This Row],[Close Price]]/B2189-1,0)</f>
        <v>-1.1427419459070109E-2</v>
      </c>
    </row>
    <row r="2191" spans="1:3">
      <c r="A2191" s="119">
        <v>43969</v>
      </c>
      <c r="B2191" s="121">
        <v>55.340000152587891</v>
      </c>
      <c r="C2191" s="120">
        <f>IFERROR(yf_data[[#This Row],[Close Price]]/B2190-1,0)</f>
        <v>0.12228754028311695</v>
      </c>
    </row>
    <row r="2192" spans="1:3">
      <c r="A2192" s="119">
        <v>43970</v>
      </c>
      <c r="B2192" s="121">
        <v>54.229999542236328</v>
      </c>
      <c r="C2192" s="120">
        <f>IFERROR(yf_data[[#This Row],[Close Price]]/B2191-1,0)</f>
        <v>-2.0057835332327079E-2</v>
      </c>
    </row>
    <row r="2193" spans="1:3">
      <c r="A2193" s="119">
        <v>43971</v>
      </c>
      <c r="B2193" s="121">
        <v>55.049999237060547</v>
      </c>
      <c r="C2193" s="120">
        <f>IFERROR(yf_data[[#This Row],[Close Price]]/B2192-1,0)</f>
        <v>1.5120776355263876E-2</v>
      </c>
    </row>
    <row r="2194" spans="1:3">
      <c r="A2194" s="119">
        <v>43972</v>
      </c>
      <c r="B2194" s="121">
        <v>54.650001525878906</v>
      </c>
      <c r="C2194" s="120">
        <f>IFERROR(yf_data[[#This Row],[Close Price]]/B2193-1,0)</f>
        <v>-7.2660802311574901E-3</v>
      </c>
    </row>
    <row r="2195" spans="1:3">
      <c r="A2195" s="119">
        <v>43973</v>
      </c>
      <c r="B2195" s="121">
        <v>54.040000915527344</v>
      </c>
      <c r="C2195" s="120">
        <f>IFERROR(yf_data[[#This Row],[Close Price]]/B2194-1,0)</f>
        <v>-1.116195047245705E-2</v>
      </c>
    </row>
    <row r="2196" spans="1:3">
      <c r="A2196" s="119">
        <v>43976</v>
      </c>
      <c r="B2196" s="121">
        <v>58.639999389648438</v>
      </c>
      <c r="C2196" s="120">
        <f>IFERROR(yf_data[[#This Row],[Close Price]]/B2195-1,0)</f>
        <v>8.5122102076045092E-2</v>
      </c>
    </row>
    <row r="2197" spans="1:3">
      <c r="A2197" s="119">
        <v>43977</v>
      </c>
      <c r="B2197" s="121">
        <v>62.810001373291016</v>
      </c>
      <c r="C2197" s="120">
        <f>IFERROR(yf_data[[#This Row],[Close Price]]/B2196-1,0)</f>
        <v>7.1111903599008208E-2</v>
      </c>
    </row>
    <row r="2198" spans="1:3">
      <c r="A2198" s="119">
        <v>43978</v>
      </c>
      <c r="B2198" s="121">
        <v>61.130001068115234</v>
      </c>
      <c r="C2198" s="120">
        <f>IFERROR(yf_data[[#This Row],[Close Price]]/B2197-1,0)</f>
        <v>-2.6747337501097035E-2</v>
      </c>
    </row>
    <row r="2199" spans="1:3">
      <c r="A2199" s="119">
        <v>43979</v>
      </c>
      <c r="B2199" s="121">
        <v>60.119998931884766</v>
      </c>
      <c r="C2199" s="120">
        <f>IFERROR(yf_data[[#This Row],[Close Price]]/B2198-1,0)</f>
        <v>-1.6522200533009235E-2</v>
      </c>
    </row>
    <row r="2200" spans="1:3">
      <c r="A2200" s="119">
        <v>43980</v>
      </c>
      <c r="B2200" s="121">
        <v>56.700000762939453</v>
      </c>
      <c r="C2200" s="120">
        <f>IFERROR(yf_data[[#This Row],[Close Price]]/B2199-1,0)</f>
        <v>-5.6886198098907603E-2</v>
      </c>
    </row>
    <row r="2201" spans="1:3">
      <c r="A2201" s="119">
        <v>43983</v>
      </c>
      <c r="B2201" s="121">
        <v>59.439998626708984</v>
      </c>
      <c r="C2201" s="120">
        <f>IFERROR(yf_data[[#This Row],[Close Price]]/B2200-1,0)</f>
        <v>4.8324476664918459E-2</v>
      </c>
    </row>
    <row r="2202" spans="1:3">
      <c r="A2202" s="119">
        <v>43984</v>
      </c>
      <c r="B2202" s="121">
        <v>63.700000762939453</v>
      </c>
      <c r="C2202" s="120">
        <f>IFERROR(yf_data[[#This Row],[Close Price]]/B2201-1,0)</f>
        <v>7.166894742013441E-2</v>
      </c>
    </row>
    <row r="2203" spans="1:3">
      <c r="A2203" s="119">
        <v>43985</v>
      </c>
      <c r="B2203" s="121">
        <v>68.410003662109375</v>
      </c>
      <c r="C2203" s="120">
        <f>IFERROR(yf_data[[#This Row],[Close Price]]/B2202-1,0)</f>
        <v>7.3940389996199007E-2</v>
      </c>
    </row>
    <row r="2204" spans="1:3">
      <c r="A2204" s="119">
        <v>43986</v>
      </c>
      <c r="B2204" s="121">
        <v>71.980003356933594</v>
      </c>
      <c r="C2204" s="120">
        <f>IFERROR(yf_data[[#This Row],[Close Price]]/B2203-1,0)</f>
        <v>5.2185345764007796E-2</v>
      </c>
    </row>
    <row r="2205" spans="1:3">
      <c r="A2205" s="119">
        <v>43987</v>
      </c>
      <c r="B2205" s="121">
        <v>80.980003356933594</v>
      </c>
      <c r="C2205" s="120">
        <f>IFERROR(yf_data[[#This Row],[Close Price]]/B2204-1,0)</f>
        <v>0.12503472603871524</v>
      </c>
    </row>
    <row r="2206" spans="1:3">
      <c r="A2206" s="119">
        <v>43990</v>
      </c>
      <c r="B2206" s="121">
        <v>81.910003662109375</v>
      </c>
      <c r="C2206" s="120">
        <f>IFERROR(yf_data[[#This Row],[Close Price]]/B2205-1,0)</f>
        <v>1.1484320407800341E-2</v>
      </c>
    </row>
    <row r="2207" spans="1:3">
      <c r="A2207" s="119">
        <v>43991</v>
      </c>
      <c r="B2207" s="121">
        <v>75.669998168945313</v>
      </c>
      <c r="C2207" s="120">
        <f>IFERROR(yf_data[[#This Row],[Close Price]]/B2206-1,0)</f>
        <v>-7.6181238117202232E-2</v>
      </c>
    </row>
    <row r="2208" spans="1:3">
      <c r="A2208" s="119">
        <v>43992</v>
      </c>
      <c r="B2208" s="121">
        <v>74.959999084472656</v>
      </c>
      <c r="C2208" s="120">
        <f>IFERROR(yf_data[[#This Row],[Close Price]]/B2207-1,0)</f>
        <v>-9.3828346987331335E-3</v>
      </c>
    </row>
    <row r="2209" spans="1:3">
      <c r="A2209" s="119">
        <v>43993</v>
      </c>
      <c r="B2209" s="121">
        <v>67.05999755859375</v>
      </c>
      <c r="C2209" s="120">
        <f>IFERROR(yf_data[[#This Row],[Close Price]]/B2208-1,0)</f>
        <v>-0.10538956273166933</v>
      </c>
    </row>
    <row r="2210" spans="1:3">
      <c r="A2210" s="119">
        <v>43994</v>
      </c>
      <c r="B2210" s="121">
        <v>66.949996948242188</v>
      </c>
      <c r="C2210" s="120">
        <f>IFERROR(yf_data[[#This Row],[Close Price]]/B2209-1,0)</f>
        <v>-1.6403312609047926E-3</v>
      </c>
    </row>
    <row r="2211" spans="1:3">
      <c r="A2211" s="119">
        <v>43997</v>
      </c>
      <c r="B2211" s="121">
        <v>68</v>
      </c>
      <c r="C2211" s="120">
        <f>IFERROR(yf_data[[#This Row],[Close Price]]/B2210-1,0)</f>
        <v>1.5683392077964653E-2</v>
      </c>
    </row>
    <row r="2212" spans="1:3">
      <c r="A2212" s="119">
        <v>43998</v>
      </c>
      <c r="B2212" s="121">
        <v>69.830001831054688</v>
      </c>
      <c r="C2212" s="120">
        <f>IFERROR(yf_data[[#This Row],[Close Price]]/B2211-1,0)</f>
        <v>2.6911791633157156E-2</v>
      </c>
    </row>
    <row r="2213" spans="1:3">
      <c r="A2213" s="119">
        <v>43999</v>
      </c>
      <c r="B2213" s="121">
        <v>69.75</v>
      </c>
      <c r="C2213" s="120">
        <f>IFERROR(yf_data[[#This Row],[Close Price]]/B2212-1,0)</f>
        <v>-1.1456656015597089E-3</v>
      </c>
    </row>
    <row r="2214" spans="1:3">
      <c r="A2214" s="119">
        <v>44000</v>
      </c>
      <c r="B2214" s="121">
        <v>67.819999694824219</v>
      </c>
      <c r="C2214" s="120">
        <f>IFERROR(yf_data[[#This Row],[Close Price]]/B2213-1,0)</f>
        <v>-2.7670255271337374E-2</v>
      </c>
    </row>
    <row r="2215" spans="1:3">
      <c r="A2215" s="119">
        <v>44001</v>
      </c>
      <c r="B2215" s="121">
        <v>68.860000610351563</v>
      </c>
      <c r="C2215" s="120">
        <f>IFERROR(yf_data[[#This Row],[Close Price]]/B2214-1,0)</f>
        <v>1.5334723093587854E-2</v>
      </c>
    </row>
    <row r="2216" spans="1:3">
      <c r="A2216" s="119">
        <v>44004</v>
      </c>
      <c r="B2216" s="121">
        <v>67.260002136230469</v>
      </c>
      <c r="C2216" s="120">
        <f>IFERROR(yf_data[[#This Row],[Close Price]]/B2215-1,0)</f>
        <v>-2.3235528027000463E-2</v>
      </c>
    </row>
    <row r="2217" spans="1:3">
      <c r="A2217" s="119">
        <v>44005</v>
      </c>
      <c r="B2217" s="121">
        <v>66.760002136230469</v>
      </c>
      <c r="C2217" s="120">
        <f>IFERROR(yf_data[[#This Row],[Close Price]]/B2216-1,0)</f>
        <v>-7.4338385982695154E-3</v>
      </c>
    </row>
    <row r="2218" spans="1:3">
      <c r="A2218" s="119">
        <v>44006</v>
      </c>
      <c r="B2218" s="121">
        <v>62.970001220703125</v>
      </c>
      <c r="C2218" s="120">
        <f>IFERROR(yf_data[[#This Row],[Close Price]]/B2217-1,0)</f>
        <v>-5.67705331673517E-2</v>
      </c>
    </row>
    <row r="2219" spans="1:3">
      <c r="A2219" s="119">
        <v>44007</v>
      </c>
      <c r="B2219" s="121">
        <v>63.919998168945313</v>
      </c>
      <c r="C2219" s="120">
        <f>IFERROR(yf_data[[#This Row],[Close Price]]/B2218-1,0)</f>
        <v>1.5086500394251967E-2</v>
      </c>
    </row>
    <row r="2220" spans="1:3">
      <c r="A2220" s="119">
        <v>44008</v>
      </c>
      <c r="B2220" s="121">
        <v>61.880001068115234</v>
      </c>
      <c r="C2220" s="120">
        <f>IFERROR(yf_data[[#This Row],[Close Price]]/B2219-1,0)</f>
        <v>-3.1914849175029958E-2</v>
      </c>
    </row>
    <row r="2221" spans="1:3">
      <c r="A2221" s="119">
        <v>44011</v>
      </c>
      <c r="B2221" s="121">
        <v>63.349998474121094</v>
      </c>
      <c r="C2221" s="120">
        <f>IFERROR(yf_data[[#This Row],[Close Price]]/B2220-1,0)</f>
        <v>2.3755613778799756E-2</v>
      </c>
    </row>
    <row r="2222" spans="1:3">
      <c r="A2222" s="119">
        <v>44012</v>
      </c>
      <c r="B2222" s="121">
        <v>63.520000457763672</v>
      </c>
      <c r="C2222" s="120">
        <f>IFERROR(yf_data[[#This Row],[Close Price]]/B2221-1,0)</f>
        <v>2.6835357180319264E-3</v>
      </c>
    </row>
    <row r="2223" spans="1:3">
      <c r="A2223" s="119">
        <v>44013</v>
      </c>
      <c r="B2223" s="121">
        <v>64.19000244140625</v>
      </c>
      <c r="C2223" s="120">
        <f>IFERROR(yf_data[[#This Row],[Close Price]]/B2222-1,0)</f>
        <v>1.0547890094680934E-2</v>
      </c>
    </row>
    <row r="2224" spans="1:3">
      <c r="A2224" s="119">
        <v>44014</v>
      </c>
      <c r="B2224" s="121">
        <v>66.410003662109375</v>
      </c>
      <c r="C2224" s="120">
        <f>IFERROR(yf_data[[#This Row],[Close Price]]/B2223-1,0)</f>
        <v>3.4584843998558545E-2</v>
      </c>
    </row>
    <row r="2225" spans="1:3">
      <c r="A2225" s="119">
        <v>44015</v>
      </c>
      <c r="B2225" s="121">
        <v>65.629997253417969</v>
      </c>
      <c r="C2225" s="120">
        <f>IFERROR(yf_data[[#This Row],[Close Price]]/B2224-1,0)</f>
        <v>-1.1745314947730456E-2</v>
      </c>
    </row>
    <row r="2226" spans="1:3">
      <c r="A2226" s="119">
        <v>44018</v>
      </c>
      <c r="B2226" s="121">
        <v>67.720001220703125</v>
      </c>
      <c r="C2226" s="120">
        <f>IFERROR(yf_data[[#This Row],[Close Price]]/B2225-1,0)</f>
        <v>3.1845254529190292E-2</v>
      </c>
    </row>
    <row r="2227" spans="1:3">
      <c r="A2227" s="119">
        <v>44019</v>
      </c>
      <c r="B2227" s="121">
        <v>67.300003051757813</v>
      </c>
      <c r="C2227" s="120">
        <f>IFERROR(yf_data[[#This Row],[Close Price]]/B2226-1,0)</f>
        <v>-6.2019811189387708E-3</v>
      </c>
    </row>
    <row r="2228" spans="1:3">
      <c r="A2228" s="119">
        <v>44020</v>
      </c>
      <c r="B2228" s="121">
        <v>65.830001831054688</v>
      </c>
      <c r="C2228" s="120">
        <f>IFERROR(yf_data[[#This Row],[Close Price]]/B2227-1,0)</f>
        <v>-2.1842513433061872E-2</v>
      </c>
    </row>
    <row r="2229" spans="1:3">
      <c r="A2229" s="119">
        <v>44021</v>
      </c>
      <c r="B2229" s="121">
        <v>63.220001220703125</v>
      </c>
      <c r="C2229" s="120">
        <f>IFERROR(yf_data[[#This Row],[Close Price]]/B2228-1,0)</f>
        <v>-3.9647585261349927E-2</v>
      </c>
    </row>
    <row r="2230" spans="1:3">
      <c r="A2230" s="119">
        <v>44022</v>
      </c>
      <c r="B2230" s="121">
        <v>65.449996948242188</v>
      </c>
      <c r="C2230" s="120">
        <f>IFERROR(yf_data[[#This Row],[Close Price]]/B2229-1,0)</f>
        <v>3.5273579317945281E-2</v>
      </c>
    </row>
    <row r="2231" spans="1:3">
      <c r="A2231" s="119">
        <v>44025</v>
      </c>
      <c r="B2231" s="121">
        <v>67.849998474121094</v>
      </c>
      <c r="C2231" s="120">
        <f>IFERROR(yf_data[[#This Row],[Close Price]]/B2230-1,0)</f>
        <v>3.6669238163247408E-2</v>
      </c>
    </row>
    <row r="2232" spans="1:3">
      <c r="A2232" s="119">
        <v>44026</v>
      </c>
      <c r="B2232" s="121">
        <v>66.160003662109375</v>
      </c>
      <c r="C2232" s="120">
        <f>IFERROR(yf_data[[#This Row],[Close Price]]/B2231-1,0)</f>
        <v>-2.4907809138069559E-2</v>
      </c>
    </row>
    <row r="2233" spans="1:3">
      <c r="A2233" s="119">
        <v>44027</v>
      </c>
      <c r="B2233" s="121">
        <v>69.220001220703125</v>
      </c>
      <c r="C2233" s="120">
        <f>IFERROR(yf_data[[#This Row],[Close Price]]/B2232-1,0)</f>
        <v>4.6251472025631735E-2</v>
      </c>
    </row>
    <row r="2234" spans="1:3">
      <c r="A2234" s="119">
        <v>44028</v>
      </c>
      <c r="B2234" s="121">
        <v>67</v>
      </c>
      <c r="C2234" s="120">
        <f>IFERROR(yf_data[[#This Row],[Close Price]]/B2233-1,0)</f>
        <v>-3.2071672660403561E-2</v>
      </c>
    </row>
    <row r="2235" spans="1:3">
      <c r="A2235" s="119">
        <v>44029</v>
      </c>
      <c r="B2235" s="121">
        <v>65.900001525878906</v>
      </c>
      <c r="C2235" s="120">
        <f>IFERROR(yf_data[[#This Row],[Close Price]]/B2234-1,0)</f>
        <v>-1.6417887673449205E-2</v>
      </c>
    </row>
    <row r="2236" spans="1:3">
      <c r="A2236" s="119">
        <v>44032</v>
      </c>
      <c r="B2236" s="121">
        <v>65.709999084472656</v>
      </c>
      <c r="C2236" s="120">
        <f>IFERROR(yf_data[[#This Row],[Close Price]]/B2235-1,0)</f>
        <v>-2.8831932777974023E-3</v>
      </c>
    </row>
    <row r="2237" spans="1:3">
      <c r="A2237" s="119">
        <v>44033</v>
      </c>
      <c r="B2237" s="121">
        <v>68.050003051757813</v>
      </c>
      <c r="C2237" s="120">
        <f>IFERROR(yf_data[[#This Row],[Close Price]]/B2236-1,0)</f>
        <v>3.5611078981708566E-2</v>
      </c>
    </row>
    <row r="2238" spans="1:3">
      <c r="A2238" s="119">
        <v>44034</v>
      </c>
      <c r="B2238" s="121">
        <v>67.110000610351563</v>
      </c>
      <c r="C2238" s="120">
        <f>IFERROR(yf_data[[#This Row],[Close Price]]/B2237-1,0)</f>
        <v>-1.3813407777385378E-2</v>
      </c>
    </row>
    <row r="2239" spans="1:3">
      <c r="A2239" s="119">
        <v>44035</v>
      </c>
      <c r="B2239" s="121">
        <v>65.279998779296875</v>
      </c>
      <c r="C2239" s="120">
        <f>IFERROR(yf_data[[#This Row],[Close Price]]/B2238-1,0)</f>
        <v>-2.7268690424842812E-2</v>
      </c>
    </row>
    <row r="2240" spans="1:3">
      <c r="A2240" s="119">
        <v>44036</v>
      </c>
      <c r="B2240" s="121">
        <v>63.930000305175781</v>
      </c>
      <c r="C2240" s="120">
        <f>IFERROR(yf_data[[#This Row],[Close Price]]/B2239-1,0)</f>
        <v>-2.0680124071160932E-2</v>
      </c>
    </row>
    <row r="2241" spans="1:3">
      <c r="A2241" s="119">
        <v>44039</v>
      </c>
      <c r="B2241" s="121">
        <v>61.919998168945313</v>
      </c>
      <c r="C2241" s="120">
        <f>IFERROR(yf_data[[#This Row],[Close Price]]/B2240-1,0)</f>
        <v>-3.144067146309304E-2</v>
      </c>
    </row>
    <row r="2242" spans="1:3">
      <c r="A2242" s="119">
        <v>44040</v>
      </c>
      <c r="B2242" s="121">
        <v>63.849998474121094</v>
      </c>
      <c r="C2242" s="120">
        <f>IFERROR(yf_data[[#This Row],[Close Price]]/B2241-1,0)</f>
        <v>3.1169256496259568E-2</v>
      </c>
    </row>
    <row r="2243" spans="1:3">
      <c r="A2243" s="119">
        <v>44041</v>
      </c>
      <c r="B2243" s="121">
        <v>62.180000305175781</v>
      </c>
      <c r="C2243" s="120">
        <f>IFERROR(yf_data[[#This Row],[Close Price]]/B2242-1,0)</f>
        <v>-2.6155022848155185E-2</v>
      </c>
    </row>
    <row r="2244" spans="1:3">
      <c r="A2244" s="119">
        <v>44042</v>
      </c>
      <c r="B2244" s="121">
        <v>63.340000152587891</v>
      </c>
      <c r="C2244" s="120">
        <f>IFERROR(yf_data[[#This Row],[Close Price]]/B2243-1,0)</f>
        <v>1.8655513697634296E-2</v>
      </c>
    </row>
    <row r="2245" spans="1:3">
      <c r="A2245" s="119">
        <v>44043</v>
      </c>
      <c r="B2245" s="121">
        <v>62.009998321533203</v>
      </c>
      <c r="C2245" s="120">
        <f>IFERROR(yf_data[[#This Row],[Close Price]]/B2244-1,0)</f>
        <v>-2.0997818564109205E-2</v>
      </c>
    </row>
    <row r="2246" spans="1:3">
      <c r="A2246" s="119">
        <v>44046</v>
      </c>
      <c r="B2246" s="121">
        <v>63.729999542236328</v>
      </c>
      <c r="C2246" s="120">
        <f>IFERROR(yf_data[[#This Row],[Close Price]]/B2245-1,0)</f>
        <v>2.7737482136100056E-2</v>
      </c>
    </row>
    <row r="2247" spans="1:3">
      <c r="A2247" s="119">
        <v>44047</v>
      </c>
      <c r="B2247" s="121">
        <v>65.680000305175781</v>
      </c>
      <c r="C2247" s="120">
        <f>IFERROR(yf_data[[#This Row],[Close Price]]/B2246-1,0)</f>
        <v>3.0597846805994644E-2</v>
      </c>
    </row>
    <row r="2248" spans="1:3">
      <c r="A2248" s="119">
        <v>44048</v>
      </c>
      <c r="B2248" s="121">
        <v>67.970001220703125</v>
      </c>
      <c r="C2248" s="120">
        <f>IFERROR(yf_data[[#This Row],[Close Price]]/B2247-1,0)</f>
        <v>3.486603082958406E-2</v>
      </c>
    </row>
    <row r="2249" spans="1:3">
      <c r="A2249" s="119">
        <v>44049</v>
      </c>
      <c r="B2249" s="121">
        <v>68.330001831054688</v>
      </c>
      <c r="C2249" s="120">
        <f>IFERROR(yf_data[[#This Row],[Close Price]]/B2248-1,0)</f>
        <v>5.2964632026799574E-3</v>
      </c>
    </row>
    <row r="2250" spans="1:3">
      <c r="A2250" s="119">
        <v>44050</v>
      </c>
      <c r="B2250" s="121">
        <v>69.300003051757813</v>
      </c>
      <c r="C2250" s="120">
        <f>IFERROR(yf_data[[#This Row],[Close Price]]/B2249-1,0)</f>
        <v>1.4195831914382895E-2</v>
      </c>
    </row>
    <row r="2251" spans="1:3">
      <c r="A2251" s="119">
        <v>44053</v>
      </c>
      <c r="B2251" s="121">
        <v>72.05999755859375</v>
      </c>
      <c r="C2251" s="120">
        <f>IFERROR(yf_data[[#This Row],[Close Price]]/B2250-1,0)</f>
        <v>3.9826758806555729E-2</v>
      </c>
    </row>
    <row r="2252" spans="1:3">
      <c r="A2252" s="119">
        <v>44054</v>
      </c>
      <c r="B2252" s="121">
        <v>76.180000305175781</v>
      </c>
      <c r="C2252" s="120">
        <f>IFERROR(yf_data[[#This Row],[Close Price]]/B2251-1,0)</f>
        <v>5.7174616793900901E-2</v>
      </c>
    </row>
    <row r="2253" spans="1:3">
      <c r="A2253" s="119">
        <v>44055</v>
      </c>
      <c r="B2253" s="121">
        <v>74.919998168945313</v>
      </c>
      <c r="C2253" s="120">
        <f>IFERROR(yf_data[[#This Row],[Close Price]]/B2252-1,0)</f>
        <v>-1.6539802194577624E-2</v>
      </c>
    </row>
    <row r="2254" spans="1:3">
      <c r="A2254" s="119">
        <v>44056</v>
      </c>
      <c r="B2254" s="121">
        <v>73.300003051757813</v>
      </c>
      <c r="C2254" s="120">
        <f>IFERROR(yf_data[[#This Row],[Close Price]]/B2253-1,0)</f>
        <v>-2.1622999957026101E-2</v>
      </c>
    </row>
    <row r="2255" spans="1:3">
      <c r="A2255" s="119">
        <v>44057</v>
      </c>
      <c r="B2255" s="121">
        <v>72.110000610351563</v>
      </c>
      <c r="C2255" s="120">
        <f>IFERROR(yf_data[[#This Row],[Close Price]]/B2254-1,0)</f>
        <v>-1.6234684745728867E-2</v>
      </c>
    </row>
    <row r="2256" spans="1:3">
      <c r="A2256" s="119">
        <v>44060</v>
      </c>
      <c r="B2256" s="121">
        <v>71.44000244140625</v>
      </c>
      <c r="C2256" s="120">
        <f>IFERROR(yf_data[[#This Row],[Close Price]]/B2255-1,0)</f>
        <v>-9.2913349504136766E-3</v>
      </c>
    </row>
    <row r="2257" spans="1:3">
      <c r="A2257" s="119">
        <v>44061</v>
      </c>
      <c r="B2257" s="121">
        <v>69.230003356933594</v>
      </c>
      <c r="C2257" s="120">
        <f>IFERROR(yf_data[[#This Row],[Close Price]]/B2256-1,0)</f>
        <v>-3.0935036519424197E-2</v>
      </c>
    </row>
    <row r="2258" spans="1:3">
      <c r="A2258" s="119">
        <v>44062</v>
      </c>
      <c r="B2258" s="121">
        <v>70.25</v>
      </c>
      <c r="C2258" s="120">
        <f>IFERROR(yf_data[[#This Row],[Close Price]]/B2257-1,0)</f>
        <v>1.4733447834857749E-2</v>
      </c>
    </row>
    <row r="2259" spans="1:3">
      <c r="A2259" s="119">
        <v>44063</v>
      </c>
      <c r="B2259" s="121">
        <v>69.169998168945313</v>
      </c>
      <c r="C2259" s="120">
        <f>IFERROR(yf_data[[#This Row],[Close Price]]/B2258-1,0)</f>
        <v>-1.5373691545262469E-2</v>
      </c>
    </row>
    <row r="2260" spans="1:3">
      <c r="A2260" s="119">
        <v>44064</v>
      </c>
      <c r="B2260" s="121">
        <v>69.080001831054688</v>
      </c>
      <c r="C2260" s="120">
        <f>IFERROR(yf_data[[#This Row],[Close Price]]/B2259-1,0)</f>
        <v>-1.3010892044671429E-3</v>
      </c>
    </row>
    <row r="2261" spans="1:3">
      <c r="A2261" s="119">
        <v>44067</v>
      </c>
      <c r="B2261" s="121">
        <v>72.099998474121094</v>
      </c>
      <c r="C2261" s="120">
        <f>IFERROR(yf_data[[#This Row],[Close Price]]/B2260-1,0)</f>
        <v>4.3717379314092364E-2</v>
      </c>
    </row>
    <row r="2262" spans="1:3">
      <c r="A2262" s="119">
        <v>44068</v>
      </c>
      <c r="B2262" s="121">
        <v>71.55999755859375</v>
      </c>
      <c r="C2262" s="120">
        <f>IFERROR(yf_data[[#This Row],[Close Price]]/B2261-1,0)</f>
        <v>-7.4896106373867344E-3</v>
      </c>
    </row>
    <row r="2263" spans="1:3">
      <c r="A2263" s="119">
        <v>44069</v>
      </c>
      <c r="B2263" s="121">
        <v>70.239997863769531</v>
      </c>
      <c r="C2263" s="120">
        <f>IFERROR(yf_data[[#This Row],[Close Price]]/B2262-1,0)</f>
        <v>-1.8446055615686574E-2</v>
      </c>
    </row>
    <row r="2264" spans="1:3">
      <c r="A2264" s="119">
        <v>44070</v>
      </c>
      <c r="B2264" s="121">
        <v>72.110000610351563</v>
      </c>
      <c r="C2264" s="120">
        <f>IFERROR(yf_data[[#This Row],[Close Price]]/B2263-1,0)</f>
        <v>2.6623046746227175E-2</v>
      </c>
    </row>
    <row r="2265" spans="1:3">
      <c r="A2265" s="119">
        <v>44071</v>
      </c>
      <c r="B2265" s="121">
        <v>71.44000244140625</v>
      </c>
      <c r="C2265" s="120">
        <f>IFERROR(yf_data[[#This Row],[Close Price]]/B2264-1,0)</f>
        <v>-9.2913349504136766E-3</v>
      </c>
    </row>
    <row r="2266" spans="1:3">
      <c r="A2266" s="119">
        <v>44074</v>
      </c>
      <c r="B2266" s="121">
        <v>68.839996337890625</v>
      </c>
      <c r="C2266" s="120">
        <f>IFERROR(yf_data[[#This Row],[Close Price]]/B2265-1,0)</f>
        <v>-3.6394261123494531E-2</v>
      </c>
    </row>
    <row r="2267" spans="1:3">
      <c r="A2267" s="119">
        <v>44075</v>
      </c>
      <c r="B2267" s="121">
        <v>69.569999694824219</v>
      </c>
      <c r="C2267" s="120">
        <f>IFERROR(yf_data[[#This Row],[Close Price]]/B2266-1,0)</f>
        <v>1.0604349154094805E-2</v>
      </c>
    </row>
    <row r="2268" spans="1:3">
      <c r="A2268" s="119">
        <v>44076</v>
      </c>
      <c r="B2268" s="121">
        <v>72.080001831054688</v>
      </c>
      <c r="C2268" s="120">
        <f>IFERROR(yf_data[[#This Row],[Close Price]]/B2267-1,0)</f>
        <v>3.6078800449056203E-2</v>
      </c>
    </row>
    <row r="2269" spans="1:3">
      <c r="A2269" s="119">
        <v>44077</v>
      </c>
      <c r="B2269" s="121">
        <v>71.5</v>
      </c>
      <c r="C2269" s="120">
        <f>IFERROR(yf_data[[#This Row],[Close Price]]/B2268-1,0)</f>
        <v>-8.0466400710439423E-3</v>
      </c>
    </row>
    <row r="2270" spans="1:3">
      <c r="A2270" s="119">
        <v>44078</v>
      </c>
      <c r="B2270" s="121">
        <v>69.779998779296875</v>
      </c>
      <c r="C2270" s="120">
        <f>IFERROR(yf_data[[#This Row],[Close Price]]/B2269-1,0)</f>
        <v>-2.4055961128714998E-2</v>
      </c>
    </row>
    <row r="2271" spans="1:3">
      <c r="A2271" s="119">
        <v>44081</v>
      </c>
      <c r="B2271" s="121">
        <v>73.769996643066406</v>
      </c>
      <c r="C2271" s="120">
        <f>IFERROR(yf_data[[#This Row],[Close Price]]/B2270-1,0)</f>
        <v>5.717967803910784E-2</v>
      </c>
    </row>
    <row r="2272" spans="1:3">
      <c r="A2272" s="119">
        <v>44082</v>
      </c>
      <c r="B2272" s="121">
        <v>70.779998779296875</v>
      </c>
      <c r="C2272" s="120">
        <f>IFERROR(yf_data[[#This Row],[Close Price]]/B2271-1,0)</f>
        <v>-4.0531354206731707E-2</v>
      </c>
    </row>
    <row r="2273" spans="1:3">
      <c r="A2273" s="119">
        <v>44083</v>
      </c>
      <c r="B2273" s="121">
        <v>69.389999389648438</v>
      </c>
      <c r="C2273" s="120">
        <f>IFERROR(yf_data[[#This Row],[Close Price]]/B2272-1,0)</f>
        <v>-1.9638307623918938E-2</v>
      </c>
    </row>
    <row r="2274" spans="1:3">
      <c r="A2274" s="119">
        <v>44084</v>
      </c>
      <c r="B2274" s="121">
        <v>69.44000244140625</v>
      </c>
      <c r="C2274" s="120">
        <f>IFERROR(yf_data[[#This Row],[Close Price]]/B2273-1,0)</f>
        <v>7.206089090305845E-4</v>
      </c>
    </row>
    <row r="2275" spans="1:3">
      <c r="A2275" s="119">
        <v>44085</v>
      </c>
      <c r="B2275" s="121">
        <v>68.819999694824219</v>
      </c>
      <c r="C2275" s="120">
        <f>IFERROR(yf_data[[#This Row],[Close Price]]/B2274-1,0)</f>
        <v>-8.9286106679675736E-3</v>
      </c>
    </row>
    <row r="2276" spans="1:3">
      <c r="A2276" s="119">
        <v>44088</v>
      </c>
      <c r="B2276" s="121">
        <v>71.319999694824219</v>
      </c>
      <c r="C2276" s="120">
        <f>IFERROR(yf_data[[#This Row],[Close Price]]/B2275-1,0)</f>
        <v>3.6326649390962196E-2</v>
      </c>
    </row>
    <row r="2277" spans="1:3">
      <c r="A2277" s="119">
        <v>44089</v>
      </c>
      <c r="B2277" s="121">
        <v>69.480003356933594</v>
      </c>
      <c r="C2277" s="120">
        <f>IFERROR(yf_data[[#This Row],[Close Price]]/B2276-1,0)</f>
        <v>-2.5799163569319994E-2</v>
      </c>
    </row>
    <row r="2278" spans="1:3">
      <c r="A2278" s="119">
        <v>44090</v>
      </c>
      <c r="B2278" s="121">
        <v>70.790000915527344</v>
      </c>
      <c r="C2278" s="120">
        <f>IFERROR(yf_data[[#This Row],[Close Price]]/B2277-1,0)</f>
        <v>1.8854310525346696E-2</v>
      </c>
    </row>
    <row r="2279" spans="1:3">
      <c r="A2279" s="119">
        <v>44091</v>
      </c>
      <c r="B2279" s="121">
        <v>71.120002746582031</v>
      </c>
      <c r="C2279" s="120">
        <f>IFERROR(yf_data[[#This Row],[Close Price]]/B2278-1,0)</f>
        <v>4.6617011835961009E-3</v>
      </c>
    </row>
    <row r="2280" spans="1:3">
      <c r="A2280" s="119">
        <v>44092</v>
      </c>
      <c r="B2280" s="121">
        <v>68.599998474121094</v>
      </c>
      <c r="C2280" s="120">
        <f>IFERROR(yf_data[[#This Row],[Close Price]]/B2279-1,0)</f>
        <v>-3.5433129571723065E-2</v>
      </c>
    </row>
    <row r="2281" spans="1:3">
      <c r="A2281" s="119">
        <v>44095</v>
      </c>
      <c r="B2281" s="121">
        <v>64.089996337890625</v>
      </c>
      <c r="C2281" s="120">
        <f>IFERROR(yf_data[[#This Row],[Close Price]]/B2280-1,0)</f>
        <v>-6.5743472835962824E-2</v>
      </c>
    </row>
    <row r="2282" spans="1:3">
      <c r="A2282" s="119">
        <v>44096</v>
      </c>
      <c r="B2282" s="121">
        <v>62.369998931884766</v>
      </c>
      <c r="C2282" s="120">
        <f>IFERROR(yf_data[[#This Row],[Close Price]]/B2281-1,0)</f>
        <v>-2.6837221162220315E-2</v>
      </c>
    </row>
    <row r="2283" spans="1:3">
      <c r="A2283" s="119">
        <v>44097</v>
      </c>
      <c r="B2283" s="121">
        <v>61.790000915527344</v>
      </c>
      <c r="C2283" s="120">
        <f>IFERROR(yf_data[[#This Row],[Close Price]]/B2282-1,0)</f>
        <v>-9.2993109874964786E-3</v>
      </c>
    </row>
    <row r="2284" spans="1:3">
      <c r="A2284" s="119">
        <v>44098</v>
      </c>
      <c r="B2284" s="121">
        <v>59.650001525878906</v>
      </c>
      <c r="C2284" s="120">
        <f>IFERROR(yf_data[[#This Row],[Close Price]]/B2283-1,0)</f>
        <v>-3.4633425440048327E-2</v>
      </c>
    </row>
    <row r="2285" spans="1:3">
      <c r="A2285" s="119">
        <v>44099</v>
      </c>
      <c r="B2285" s="121">
        <v>60.020000457763672</v>
      </c>
      <c r="C2285" s="120">
        <f>IFERROR(yf_data[[#This Row],[Close Price]]/B2284-1,0)</f>
        <v>6.2028318930427151E-3</v>
      </c>
    </row>
    <row r="2286" spans="1:3">
      <c r="A2286" s="119">
        <v>44102</v>
      </c>
      <c r="B2286" s="121">
        <v>62.310001373291016</v>
      </c>
      <c r="C2286" s="120">
        <f>IFERROR(yf_data[[#This Row],[Close Price]]/B2285-1,0)</f>
        <v>3.8153963646481825E-2</v>
      </c>
    </row>
    <row r="2287" spans="1:3">
      <c r="A2287" s="119">
        <v>44103</v>
      </c>
      <c r="B2287" s="121">
        <v>62.590000152587891</v>
      </c>
      <c r="C2287" s="120">
        <f>IFERROR(yf_data[[#This Row],[Close Price]]/B2286-1,0)</f>
        <v>4.4936410387705905E-3</v>
      </c>
    </row>
    <row r="2288" spans="1:3">
      <c r="A2288" s="119">
        <v>44104</v>
      </c>
      <c r="B2288" s="121">
        <v>62.069999694824219</v>
      </c>
      <c r="C2288" s="120">
        <f>IFERROR(yf_data[[#This Row],[Close Price]]/B2287-1,0)</f>
        <v>-8.3080437209772651E-3</v>
      </c>
    </row>
    <row r="2289" spans="1:3">
      <c r="A2289" s="119">
        <v>44105</v>
      </c>
      <c r="B2289" s="121">
        <v>64.900001525878906</v>
      </c>
      <c r="C2289" s="120">
        <f>IFERROR(yf_data[[#This Row],[Close Price]]/B2288-1,0)</f>
        <v>4.5593714273703734E-2</v>
      </c>
    </row>
    <row r="2290" spans="1:3">
      <c r="A2290" s="119">
        <v>44106</v>
      </c>
      <c r="B2290" s="121">
        <v>64.620002746582031</v>
      </c>
      <c r="C2290" s="120">
        <f>IFERROR(yf_data[[#This Row],[Close Price]]/B2289-1,0)</f>
        <v>-4.3143108276387787E-3</v>
      </c>
    </row>
    <row r="2291" spans="1:3">
      <c r="A2291" s="119">
        <v>44109</v>
      </c>
      <c r="B2291" s="121">
        <v>65.800003051757813</v>
      </c>
      <c r="C2291" s="120">
        <f>IFERROR(yf_data[[#This Row],[Close Price]]/B2290-1,0)</f>
        <v>1.8260604379782386E-2</v>
      </c>
    </row>
    <row r="2292" spans="1:3">
      <c r="A2292" s="119">
        <v>44110</v>
      </c>
      <c r="B2292" s="121">
        <v>67.769996643066406</v>
      </c>
      <c r="C2292" s="120">
        <f>IFERROR(yf_data[[#This Row],[Close Price]]/B2291-1,0)</f>
        <v>2.9939110941362923E-2</v>
      </c>
    </row>
    <row r="2293" spans="1:3">
      <c r="A2293" s="119">
        <v>44111</v>
      </c>
      <c r="B2293" s="121">
        <v>66.699996948242188</v>
      </c>
      <c r="C2293" s="120">
        <f>IFERROR(yf_data[[#This Row],[Close Price]]/B2292-1,0)</f>
        <v>-1.5788693342567717E-2</v>
      </c>
    </row>
    <row r="2294" spans="1:3">
      <c r="A2294" s="119">
        <v>44112</v>
      </c>
      <c r="B2294" s="121">
        <v>66.919998168945313</v>
      </c>
      <c r="C2294" s="120">
        <f>IFERROR(yf_data[[#This Row],[Close Price]]/B2293-1,0)</f>
        <v>3.2983692768957518E-3</v>
      </c>
    </row>
    <row r="2295" spans="1:3">
      <c r="A2295" s="119">
        <v>44113</v>
      </c>
      <c r="B2295" s="121">
        <v>66.779998779296875</v>
      </c>
      <c r="C2295" s="120">
        <f>IFERROR(yf_data[[#This Row],[Close Price]]/B2294-1,0)</f>
        <v>-2.0920411458320576E-3</v>
      </c>
    </row>
    <row r="2296" spans="1:3">
      <c r="A2296" s="119">
        <v>44116</v>
      </c>
      <c r="B2296" s="121">
        <v>65.989997863769531</v>
      </c>
      <c r="C2296" s="120">
        <f>IFERROR(yf_data[[#This Row],[Close Price]]/B2295-1,0)</f>
        <v>-1.1829903114227935E-2</v>
      </c>
    </row>
    <row r="2297" spans="1:3">
      <c r="A2297" s="119">
        <v>44117</v>
      </c>
      <c r="B2297" s="121">
        <v>63.680000305175781</v>
      </c>
      <c r="C2297" s="120">
        <f>IFERROR(yf_data[[#This Row],[Close Price]]/B2296-1,0)</f>
        <v>-3.5005267970496634E-2</v>
      </c>
    </row>
    <row r="2298" spans="1:3">
      <c r="A2298" s="119">
        <v>44118</v>
      </c>
      <c r="B2298" s="121">
        <v>62.150001525878906</v>
      </c>
      <c r="C2298" s="120">
        <f>IFERROR(yf_data[[#This Row],[Close Price]]/B2297-1,0)</f>
        <v>-2.4026362625072406E-2</v>
      </c>
    </row>
    <row r="2299" spans="1:3">
      <c r="A2299" s="119">
        <v>44119</v>
      </c>
      <c r="B2299" s="121">
        <v>61.790000915527344</v>
      </c>
      <c r="C2299" s="120">
        <f>IFERROR(yf_data[[#This Row],[Close Price]]/B2298-1,0)</f>
        <v>-5.7924473292516598E-3</v>
      </c>
    </row>
    <row r="2300" spans="1:3">
      <c r="A2300" s="119">
        <v>44120</v>
      </c>
      <c r="B2300" s="121">
        <v>64.339996337890625</v>
      </c>
      <c r="C2300" s="120">
        <f>IFERROR(yf_data[[#This Row],[Close Price]]/B2299-1,0)</f>
        <v>4.1268739028655466E-2</v>
      </c>
    </row>
    <row r="2301" spans="1:3">
      <c r="A2301" s="119">
        <v>44123</v>
      </c>
      <c r="B2301" s="121">
        <v>65.720001220703125</v>
      </c>
      <c r="C2301" s="120">
        <f>IFERROR(yf_data[[#This Row],[Close Price]]/B2300-1,0)</f>
        <v>2.1448631665522688E-2</v>
      </c>
    </row>
    <row r="2302" spans="1:3">
      <c r="A2302" s="119">
        <v>44124</v>
      </c>
      <c r="B2302" s="121">
        <v>66.94000244140625</v>
      </c>
      <c r="C2302" s="120">
        <f>IFERROR(yf_data[[#This Row],[Close Price]]/B2301-1,0)</f>
        <v>1.856362139443779E-2</v>
      </c>
    </row>
    <row r="2303" spans="1:3">
      <c r="A2303" s="119">
        <v>44125</v>
      </c>
      <c r="B2303" s="121">
        <v>64.05999755859375</v>
      </c>
      <c r="C2303" s="120">
        <f>IFERROR(yf_data[[#This Row],[Close Price]]/B2302-1,0)</f>
        <v>-4.3023674600750406E-2</v>
      </c>
    </row>
    <row r="2304" spans="1:3">
      <c r="A2304" s="119">
        <v>44126</v>
      </c>
      <c r="B2304" s="121">
        <v>64.449996948242188</v>
      </c>
      <c r="C2304" s="120">
        <f>IFERROR(yf_data[[#This Row],[Close Price]]/B2303-1,0)</f>
        <v>6.0880331644053154E-3</v>
      </c>
    </row>
    <row r="2305" spans="1:3">
      <c r="A2305" s="119">
        <v>44127</v>
      </c>
      <c r="B2305" s="121">
        <v>68.029998779296875</v>
      </c>
      <c r="C2305" s="120">
        <f>IFERROR(yf_data[[#This Row],[Close Price]]/B2304-1,0)</f>
        <v>5.5546966649659746E-2</v>
      </c>
    </row>
    <row r="2306" spans="1:3">
      <c r="A2306" s="119">
        <v>44130</v>
      </c>
      <c r="B2306" s="121">
        <v>65.849998474121094</v>
      </c>
      <c r="C2306" s="120">
        <f>IFERROR(yf_data[[#This Row],[Close Price]]/B2305-1,0)</f>
        <v>-3.2044691228764299E-2</v>
      </c>
    </row>
    <row r="2307" spans="1:3">
      <c r="A2307" s="119">
        <v>44131</v>
      </c>
      <c r="B2307" s="121">
        <v>64</v>
      </c>
      <c r="C2307" s="120">
        <f>IFERROR(yf_data[[#This Row],[Close Price]]/B2306-1,0)</f>
        <v>-2.8094130857848731E-2</v>
      </c>
    </row>
    <row r="2308" spans="1:3">
      <c r="A2308" s="119">
        <v>44132</v>
      </c>
      <c r="B2308" s="121">
        <v>61.770000457763672</v>
      </c>
      <c r="C2308" s="120">
        <f>IFERROR(yf_data[[#This Row],[Close Price]]/B2307-1,0)</f>
        <v>-3.4843742847442627E-2</v>
      </c>
    </row>
    <row r="2309" spans="1:3">
      <c r="A2309" s="119">
        <v>44133</v>
      </c>
      <c r="B2309" s="121">
        <v>61.5</v>
      </c>
      <c r="C2309" s="120">
        <f>IFERROR(yf_data[[#This Row],[Close Price]]/B2308-1,0)</f>
        <v>-4.3710612880485389E-3</v>
      </c>
    </row>
    <row r="2310" spans="1:3">
      <c r="A2310" s="119">
        <v>44134</v>
      </c>
      <c r="B2310" s="121">
        <v>62.590000152587891</v>
      </c>
      <c r="C2310" s="120">
        <f>IFERROR(yf_data[[#This Row],[Close Price]]/B2309-1,0)</f>
        <v>1.7723579716876214E-2</v>
      </c>
    </row>
    <row r="2311" spans="1:3">
      <c r="A2311" s="119">
        <v>44137</v>
      </c>
      <c r="B2311" s="121">
        <v>63.090000152587891</v>
      </c>
      <c r="C2311" s="120">
        <f>IFERROR(yf_data[[#This Row],[Close Price]]/B2310-1,0)</f>
        <v>7.9884965454712908E-3</v>
      </c>
    </row>
    <row r="2312" spans="1:3">
      <c r="A2312" s="119">
        <v>44138</v>
      </c>
      <c r="B2312" s="121">
        <v>66.279998779296875</v>
      </c>
      <c r="C2312" s="120">
        <f>IFERROR(yf_data[[#This Row],[Close Price]]/B2311-1,0)</f>
        <v>5.0562666333709538E-2</v>
      </c>
    </row>
    <row r="2313" spans="1:3">
      <c r="A2313" s="119">
        <v>44139</v>
      </c>
      <c r="B2313" s="121">
        <v>68.580001831054688</v>
      </c>
      <c r="C2313" s="120">
        <f>IFERROR(yf_data[[#This Row],[Close Price]]/B2312-1,0)</f>
        <v>3.4701314033159569E-2</v>
      </c>
    </row>
    <row r="2314" spans="1:3">
      <c r="A2314" s="119">
        <v>44140</v>
      </c>
      <c r="B2314" s="121">
        <v>70.379997253417969</v>
      </c>
      <c r="C2314" s="120">
        <f>IFERROR(yf_data[[#This Row],[Close Price]]/B2313-1,0)</f>
        <v>2.6246651710472912E-2</v>
      </c>
    </row>
    <row r="2315" spans="1:3">
      <c r="A2315" s="119">
        <v>44141</v>
      </c>
      <c r="B2315" s="121">
        <v>70</v>
      </c>
      <c r="C2315" s="120">
        <f>IFERROR(yf_data[[#This Row],[Close Price]]/B2314-1,0)</f>
        <v>-5.3992223394057071E-3</v>
      </c>
    </row>
    <row r="2316" spans="1:3">
      <c r="A2316" s="119">
        <v>44144</v>
      </c>
      <c r="B2316" s="121">
        <v>83</v>
      </c>
      <c r="C2316" s="120">
        <f>IFERROR(yf_data[[#This Row],[Close Price]]/B2315-1,0)</f>
        <v>0.18571428571428572</v>
      </c>
    </row>
    <row r="2317" spans="1:3">
      <c r="A2317" s="119">
        <v>44145</v>
      </c>
      <c r="B2317" s="121">
        <v>87.919998168945313</v>
      </c>
      <c r="C2317" s="120">
        <f>IFERROR(yf_data[[#This Row],[Close Price]]/B2316-1,0)</f>
        <v>5.927708637283513E-2</v>
      </c>
    </row>
    <row r="2318" spans="1:3">
      <c r="A2318" s="119">
        <v>44146</v>
      </c>
      <c r="B2318" s="121">
        <v>87</v>
      </c>
      <c r="C2318" s="120">
        <f>IFERROR(yf_data[[#This Row],[Close Price]]/B2317-1,0)</f>
        <v>-1.0464037626314093E-2</v>
      </c>
    </row>
    <row r="2319" spans="1:3">
      <c r="A2319" s="119">
        <v>44147</v>
      </c>
      <c r="B2319" s="121">
        <v>84.610000610351563</v>
      </c>
      <c r="C2319" s="120">
        <f>IFERROR(yf_data[[#This Row],[Close Price]]/B2318-1,0)</f>
        <v>-2.7471257352280842E-2</v>
      </c>
    </row>
    <row r="2320" spans="1:3">
      <c r="A2320" s="119">
        <v>44148</v>
      </c>
      <c r="B2320" s="121">
        <v>85.55999755859375</v>
      </c>
      <c r="C2320" s="120">
        <f>IFERROR(yf_data[[#This Row],[Close Price]]/B2319-1,0)</f>
        <v>1.1227951086032251E-2</v>
      </c>
    </row>
    <row r="2321" spans="1:3">
      <c r="A2321" s="119">
        <v>44151</v>
      </c>
      <c r="B2321" s="121">
        <v>90</v>
      </c>
      <c r="C2321" s="120">
        <f>IFERROR(yf_data[[#This Row],[Close Price]]/B2320-1,0)</f>
        <v>5.1893438149827276E-2</v>
      </c>
    </row>
    <row r="2322" spans="1:3">
      <c r="A2322" s="119">
        <v>44152</v>
      </c>
      <c r="B2322" s="121">
        <v>90.089996337890625</v>
      </c>
      <c r="C2322" s="120">
        <f>IFERROR(yf_data[[#This Row],[Close Price]]/B2321-1,0)</f>
        <v>9.9995930989593695E-4</v>
      </c>
    </row>
    <row r="2323" spans="1:3">
      <c r="A2323" s="119">
        <v>44153</v>
      </c>
      <c r="B2323" s="121">
        <v>90</v>
      </c>
      <c r="C2323" s="120">
        <f>IFERROR(yf_data[[#This Row],[Close Price]]/B2322-1,0)</f>
        <v>-9.9896039015345828E-4</v>
      </c>
    </row>
    <row r="2324" spans="1:3">
      <c r="A2324" s="119">
        <v>44154</v>
      </c>
      <c r="B2324" s="121">
        <v>89.330001831054688</v>
      </c>
      <c r="C2324" s="120">
        <f>IFERROR(yf_data[[#This Row],[Close Price]]/B2323-1,0)</f>
        <v>-7.4444240993923882E-3</v>
      </c>
    </row>
    <row r="2325" spans="1:3">
      <c r="A2325" s="119">
        <v>44155</v>
      </c>
      <c r="B2325" s="121">
        <v>88.639999389648438</v>
      </c>
      <c r="C2325" s="120">
        <f>IFERROR(yf_data[[#This Row],[Close Price]]/B2324-1,0)</f>
        <v>-7.7241959841355401E-3</v>
      </c>
    </row>
    <row r="2326" spans="1:3">
      <c r="A2326" s="119">
        <v>44158</v>
      </c>
      <c r="B2326" s="121">
        <v>90.139999389648438</v>
      </c>
      <c r="C2326" s="120">
        <f>IFERROR(yf_data[[#This Row],[Close Price]]/B2325-1,0)</f>
        <v>1.6922382788003176E-2</v>
      </c>
    </row>
    <row r="2327" spans="1:3">
      <c r="A2327" s="119">
        <v>44159</v>
      </c>
      <c r="B2327" s="121">
        <v>93.5</v>
      </c>
      <c r="C2327" s="120">
        <f>IFERROR(yf_data[[#This Row],[Close Price]]/B2326-1,0)</f>
        <v>3.7275356479949284E-2</v>
      </c>
    </row>
    <row r="2328" spans="1:3">
      <c r="A2328" s="119">
        <v>44160</v>
      </c>
      <c r="B2328" s="121">
        <v>91.5</v>
      </c>
      <c r="C2328" s="120">
        <f>IFERROR(yf_data[[#This Row],[Close Price]]/B2327-1,0)</f>
        <v>-2.1390374331550777E-2</v>
      </c>
    </row>
    <row r="2329" spans="1:3">
      <c r="A2329" s="119">
        <v>44161</v>
      </c>
      <c r="B2329" s="121">
        <v>89.800003051757813</v>
      </c>
      <c r="C2329" s="120">
        <f>IFERROR(yf_data[[#This Row],[Close Price]]/B2328-1,0)</f>
        <v>-1.8579201620133157E-2</v>
      </c>
    </row>
    <row r="2330" spans="1:3">
      <c r="A2330" s="119">
        <v>44162</v>
      </c>
      <c r="B2330" s="121">
        <v>90</v>
      </c>
      <c r="C2330" s="120">
        <f>IFERROR(yf_data[[#This Row],[Close Price]]/B2329-1,0)</f>
        <v>2.2271374325779636E-3</v>
      </c>
    </row>
    <row r="2331" spans="1:3">
      <c r="A2331" s="119">
        <v>44165</v>
      </c>
      <c r="B2331" s="121">
        <v>87.730003356933594</v>
      </c>
      <c r="C2331" s="120">
        <f>IFERROR(yf_data[[#This Row],[Close Price]]/B2330-1,0)</f>
        <v>-2.5222184922960023E-2</v>
      </c>
    </row>
    <row r="2332" spans="1:3">
      <c r="A2332" s="119">
        <v>44166</v>
      </c>
      <c r="B2332" s="121">
        <v>89.400001525878906</v>
      </c>
      <c r="C2332" s="120">
        <f>IFERROR(yf_data[[#This Row],[Close Price]]/B2331-1,0)</f>
        <v>1.903565604746249E-2</v>
      </c>
    </row>
    <row r="2333" spans="1:3">
      <c r="A2333" s="119">
        <v>44167</v>
      </c>
      <c r="B2333" s="121">
        <v>91.319999694824219</v>
      </c>
      <c r="C2333" s="120">
        <f>IFERROR(yf_data[[#This Row],[Close Price]]/B2332-1,0)</f>
        <v>2.1476489218957395E-2</v>
      </c>
    </row>
    <row r="2334" spans="1:3">
      <c r="A2334" s="119">
        <v>44168</v>
      </c>
      <c r="B2334" s="121">
        <v>95</v>
      </c>
      <c r="C2334" s="120">
        <f>IFERROR(yf_data[[#This Row],[Close Price]]/B2333-1,0)</f>
        <v>4.0297857177767238E-2</v>
      </c>
    </row>
    <row r="2335" spans="1:3">
      <c r="A2335" s="119">
        <v>44169</v>
      </c>
      <c r="B2335" s="121">
        <v>96.239997863769517</v>
      </c>
      <c r="C2335" s="120">
        <f>IFERROR(yf_data[[#This Row],[Close Price]]/B2334-1,0)</f>
        <v>1.3052609092310652E-2</v>
      </c>
    </row>
    <row r="2336" spans="1:3">
      <c r="A2336" s="119">
        <v>44172</v>
      </c>
      <c r="B2336" s="121">
        <v>95.209999084472656</v>
      </c>
      <c r="C2336" s="120">
        <f>IFERROR(yf_data[[#This Row],[Close Price]]/B2335-1,0)</f>
        <v>-1.0702398193678797E-2</v>
      </c>
    </row>
    <row r="2337" spans="1:3">
      <c r="A2337" s="119">
        <v>44173</v>
      </c>
      <c r="B2337" s="121">
        <v>94.730003356933594</v>
      </c>
      <c r="C2337" s="120">
        <f>IFERROR(yf_data[[#This Row],[Close Price]]/B2336-1,0)</f>
        <v>-5.0414424131356439E-3</v>
      </c>
    </row>
    <row r="2338" spans="1:3">
      <c r="A2338" s="119">
        <v>44174</v>
      </c>
      <c r="B2338" s="121">
        <v>93.589996337890625</v>
      </c>
      <c r="C2338" s="120">
        <f>IFERROR(yf_data[[#This Row],[Close Price]]/B2337-1,0)</f>
        <v>-1.203427613897079E-2</v>
      </c>
    </row>
    <row r="2339" spans="1:3">
      <c r="A2339" s="119">
        <v>44175</v>
      </c>
      <c r="B2339" s="121">
        <v>93.720001220703125</v>
      </c>
      <c r="C2339" s="120">
        <f>IFERROR(yf_data[[#This Row],[Close Price]]/B2338-1,0)</f>
        <v>1.3890895170369788E-3</v>
      </c>
    </row>
    <row r="2340" spans="1:3">
      <c r="A2340" s="119">
        <v>44176</v>
      </c>
      <c r="B2340" s="121">
        <v>92.190002441406236</v>
      </c>
      <c r="C2340" s="120">
        <f>IFERROR(yf_data[[#This Row],[Close Price]]/B2339-1,0)</f>
        <v>-1.6325210834065906E-2</v>
      </c>
    </row>
    <row r="2341" spans="1:3">
      <c r="A2341" s="119">
        <v>44179</v>
      </c>
      <c r="B2341" s="121">
        <v>92.050003051757798</v>
      </c>
      <c r="C2341" s="120">
        <f>IFERROR(yf_data[[#This Row],[Close Price]]/B2340-1,0)</f>
        <v>-1.5185962245463092E-3</v>
      </c>
    </row>
    <row r="2342" spans="1:3">
      <c r="A2342" s="119">
        <v>44180</v>
      </c>
      <c r="B2342" s="121">
        <v>91.370002746582045</v>
      </c>
      <c r="C2342" s="120">
        <f>IFERROR(yf_data[[#This Row],[Close Price]]/B2341-1,0)</f>
        <v>-7.3872925869801209E-3</v>
      </c>
    </row>
    <row r="2343" spans="1:3">
      <c r="A2343" s="119">
        <v>44181</v>
      </c>
      <c r="B2343" s="121">
        <v>90.709999084472656</v>
      </c>
      <c r="C2343" s="120">
        <f>IFERROR(yf_data[[#This Row],[Close Price]]/B2342-1,0)</f>
        <v>-7.223417339057514E-3</v>
      </c>
    </row>
    <row r="2344" spans="1:3">
      <c r="A2344" s="119">
        <v>44182</v>
      </c>
      <c r="B2344" s="121">
        <v>90.379997253417955</v>
      </c>
      <c r="C2344" s="120">
        <f>IFERROR(yf_data[[#This Row],[Close Price]]/B2343-1,0)</f>
        <v>-3.637987370580742E-3</v>
      </c>
    </row>
    <row r="2345" spans="1:3">
      <c r="A2345" s="119">
        <v>44183</v>
      </c>
      <c r="B2345" s="121">
        <v>89</v>
      </c>
      <c r="C2345" s="120">
        <f>IFERROR(yf_data[[#This Row],[Close Price]]/B2344-1,0)</f>
        <v>-1.5268834867836478E-2</v>
      </c>
    </row>
    <row r="2346" spans="1:3">
      <c r="A2346" s="119">
        <v>44186</v>
      </c>
      <c r="B2346" s="121">
        <v>86.540000915527344</v>
      </c>
      <c r="C2346" s="120">
        <f>IFERROR(yf_data[[#This Row],[Close Price]]/B2345-1,0)</f>
        <v>-2.7640439151378149E-2</v>
      </c>
    </row>
    <row r="2347" spans="1:3">
      <c r="A2347" s="119">
        <v>44187</v>
      </c>
      <c r="B2347" s="121">
        <v>87.94000244140625</v>
      </c>
      <c r="C2347" s="120">
        <f>IFERROR(yf_data[[#This Row],[Close Price]]/B2346-1,0)</f>
        <v>1.6177507638871713E-2</v>
      </c>
    </row>
    <row r="2348" spans="1:3">
      <c r="A2348" s="119">
        <v>44188</v>
      </c>
      <c r="B2348" s="121">
        <v>91.949996948242202</v>
      </c>
      <c r="C2348" s="120">
        <f>IFERROR(yf_data[[#This Row],[Close Price]]/B2347-1,0)</f>
        <v>4.5599208500224586E-2</v>
      </c>
    </row>
    <row r="2349" spans="1:3">
      <c r="A2349" s="119">
        <v>44189</v>
      </c>
      <c r="B2349" s="121">
        <v>92.040000915527344</v>
      </c>
      <c r="C2349" s="120">
        <f>IFERROR(yf_data[[#This Row],[Close Price]]/B2348-1,0)</f>
        <v>9.7883600078652044E-4</v>
      </c>
    </row>
    <row r="2350" spans="1:3">
      <c r="A2350" s="119">
        <v>44193</v>
      </c>
      <c r="B2350" s="121">
        <v>91.980003356933594</v>
      </c>
      <c r="C2350" s="120">
        <f>IFERROR(yf_data[[#This Row],[Close Price]]/B2349-1,0)</f>
        <v>-6.5186395042315937E-4</v>
      </c>
    </row>
    <row r="2351" spans="1:3">
      <c r="A2351" s="119">
        <v>44194</v>
      </c>
      <c r="B2351" s="121">
        <v>93.069999694824219</v>
      </c>
      <c r="C2351" s="120">
        <f>IFERROR(yf_data[[#This Row],[Close Price]]/B2350-1,0)</f>
        <v>1.1850362014674376E-2</v>
      </c>
    </row>
    <row r="2352" spans="1:3">
      <c r="A2352" s="119">
        <v>44195</v>
      </c>
      <c r="B2352" s="121">
        <v>91.25</v>
      </c>
      <c r="C2352" s="120">
        <f>IFERROR(yf_data[[#This Row],[Close Price]]/B2351-1,0)</f>
        <v>-1.9555170310432857E-2</v>
      </c>
    </row>
    <row r="2353" spans="1:3">
      <c r="A2353" s="119">
        <v>44196</v>
      </c>
      <c r="B2353" s="121">
        <v>89.779998779296875</v>
      </c>
      <c r="C2353" s="120">
        <f>IFERROR(yf_data[[#This Row],[Close Price]]/B2352-1,0)</f>
        <v>-1.6109602418664437E-2</v>
      </c>
    </row>
    <row r="2354" spans="1:3">
      <c r="A2354" s="119">
        <v>44200</v>
      </c>
      <c r="B2354" s="121">
        <v>89.889999389648438</v>
      </c>
      <c r="C2354" s="120">
        <f>IFERROR(yf_data[[#This Row],[Close Price]]/B2353-1,0)</f>
        <v>1.2252240125552039E-3</v>
      </c>
    </row>
    <row r="2355" spans="1:3">
      <c r="A2355" s="119">
        <v>44201</v>
      </c>
      <c r="B2355" s="121">
        <v>89.830001831054688</v>
      </c>
      <c r="C2355" s="120">
        <f>IFERROR(yf_data[[#This Row],[Close Price]]/B2354-1,0)</f>
        <v>-6.6745532318535084E-4</v>
      </c>
    </row>
    <row r="2356" spans="1:3">
      <c r="A2356" s="119">
        <v>44202</v>
      </c>
      <c r="B2356" s="121">
        <v>90.169998168945327</v>
      </c>
      <c r="C2356" s="120">
        <f>IFERROR(yf_data[[#This Row],[Close Price]]/B2355-1,0)</f>
        <v>3.7848862402349859E-3</v>
      </c>
    </row>
    <row r="2357" spans="1:3">
      <c r="A2357" s="119">
        <v>44203</v>
      </c>
      <c r="B2357" s="121">
        <v>89.620002746582031</v>
      </c>
      <c r="C2357" s="120">
        <f>IFERROR(yf_data[[#This Row],[Close Price]]/B2356-1,0)</f>
        <v>-6.0995390210921707E-3</v>
      </c>
    </row>
    <row r="2358" spans="1:3">
      <c r="A2358" s="119">
        <v>44204</v>
      </c>
      <c r="B2358" s="121">
        <v>90.099998474121094</v>
      </c>
      <c r="C2358" s="120">
        <f>IFERROR(yf_data[[#This Row],[Close Price]]/B2357-1,0)</f>
        <v>5.3558994959679307E-3</v>
      </c>
    </row>
    <row r="2359" spans="1:3">
      <c r="A2359" s="119">
        <v>44207</v>
      </c>
      <c r="B2359" s="121">
        <v>89.779998779296875</v>
      </c>
      <c r="C2359" s="120">
        <f>IFERROR(yf_data[[#This Row],[Close Price]]/B2358-1,0)</f>
        <v>-3.5516059960437607E-3</v>
      </c>
    </row>
    <row r="2360" spans="1:3">
      <c r="A2360" s="119">
        <v>44208</v>
      </c>
      <c r="B2360" s="121">
        <v>89.959999084472656</v>
      </c>
      <c r="C2360" s="120">
        <f>IFERROR(yf_data[[#This Row],[Close Price]]/B2359-1,0)</f>
        <v>2.0049042952012819E-3</v>
      </c>
    </row>
    <row r="2361" spans="1:3">
      <c r="A2361" s="119">
        <v>44209</v>
      </c>
      <c r="B2361" s="121">
        <v>89.110000610351563</v>
      </c>
      <c r="C2361" s="120">
        <f>IFERROR(yf_data[[#This Row],[Close Price]]/B2360-1,0)</f>
        <v>-9.4486269761179242E-3</v>
      </c>
    </row>
    <row r="2362" spans="1:3">
      <c r="A2362" s="119">
        <v>44210</v>
      </c>
      <c r="B2362" s="121">
        <v>93.25</v>
      </c>
      <c r="C2362" s="120">
        <f>IFERROR(yf_data[[#This Row],[Close Price]]/B2361-1,0)</f>
        <v>4.6459424994858667E-2</v>
      </c>
    </row>
    <row r="2363" spans="1:3">
      <c r="A2363" s="119">
        <v>44211</v>
      </c>
      <c r="B2363" s="121">
        <v>92.550003051757798</v>
      </c>
      <c r="C2363" s="120">
        <f>IFERROR(yf_data[[#This Row],[Close Price]]/B2362-1,0)</f>
        <v>-7.5066696862434723E-3</v>
      </c>
    </row>
    <row r="2364" spans="1:3">
      <c r="A2364" s="119">
        <v>44214</v>
      </c>
      <c r="B2364" s="121">
        <v>91.190002441406236</v>
      </c>
      <c r="C2364" s="120">
        <f>IFERROR(yf_data[[#This Row],[Close Price]]/B2363-1,0)</f>
        <v>-1.469476569969419E-2</v>
      </c>
    </row>
    <row r="2365" spans="1:3">
      <c r="A2365" s="119">
        <v>44215</v>
      </c>
      <c r="B2365" s="121">
        <v>91.300003051757798</v>
      </c>
      <c r="C2365" s="120">
        <f>IFERROR(yf_data[[#This Row],[Close Price]]/B2364-1,0)</f>
        <v>1.2062792785014764E-3</v>
      </c>
    </row>
    <row r="2366" spans="1:3">
      <c r="A2366" s="119">
        <v>44216</v>
      </c>
      <c r="B2366" s="121">
        <v>92.410003662109375</v>
      </c>
      <c r="C2366" s="120">
        <f>IFERROR(yf_data[[#This Row],[Close Price]]/B2365-1,0)</f>
        <v>1.2157728075017804E-2</v>
      </c>
    </row>
    <row r="2367" spans="1:3">
      <c r="A2367" s="119">
        <v>44217</v>
      </c>
      <c r="B2367" s="121">
        <v>89.360000610351563</v>
      </c>
      <c r="C2367" s="120">
        <f>IFERROR(yf_data[[#This Row],[Close Price]]/B2366-1,0)</f>
        <v>-3.3005117745800949E-2</v>
      </c>
    </row>
    <row r="2368" spans="1:3">
      <c r="A2368" s="119">
        <v>44218</v>
      </c>
      <c r="B2368" s="121">
        <v>88.830001831054688</v>
      </c>
      <c r="C2368" s="120">
        <f>IFERROR(yf_data[[#This Row],[Close Price]]/B2367-1,0)</f>
        <v>-5.9310516526057677E-3</v>
      </c>
    </row>
    <row r="2369" spans="1:3">
      <c r="A2369" s="119">
        <v>44221</v>
      </c>
      <c r="B2369" s="121">
        <v>84.870002746582031</v>
      </c>
      <c r="C2369" s="120">
        <f>IFERROR(yf_data[[#This Row],[Close Price]]/B2368-1,0)</f>
        <v>-4.4579522715806785E-2</v>
      </c>
    </row>
    <row r="2370" spans="1:3">
      <c r="A2370" s="119">
        <v>44222</v>
      </c>
      <c r="B2370" s="121">
        <v>85.290000915527344</v>
      </c>
      <c r="C2370" s="120">
        <f>IFERROR(yf_data[[#This Row],[Close Price]]/B2369-1,0)</f>
        <v>4.9487234046570183E-3</v>
      </c>
    </row>
    <row r="2371" spans="1:3">
      <c r="A2371" s="119">
        <v>44223</v>
      </c>
      <c r="B2371" s="121">
        <v>84.360000610351563</v>
      </c>
      <c r="C2371" s="120">
        <f>IFERROR(yf_data[[#This Row],[Close Price]]/B2370-1,0)</f>
        <v>-1.0903978135688774E-2</v>
      </c>
    </row>
    <row r="2372" spans="1:3">
      <c r="A2372" s="119">
        <v>44224</v>
      </c>
      <c r="B2372" s="121">
        <v>85.150001525878906</v>
      </c>
      <c r="C2372" s="120">
        <f>IFERROR(yf_data[[#This Row],[Close Price]]/B2371-1,0)</f>
        <v>9.3646385705503654E-3</v>
      </c>
    </row>
    <row r="2373" spans="1:3">
      <c r="A2373" s="119">
        <v>44225</v>
      </c>
      <c r="B2373" s="121">
        <v>83.199996948242188</v>
      </c>
      <c r="C2373" s="120">
        <f>IFERROR(yf_data[[#This Row],[Close Price]]/B2372-1,0)</f>
        <v>-2.2900816708078087E-2</v>
      </c>
    </row>
    <row r="2374" spans="1:3">
      <c r="A2374" s="119">
        <v>44228</v>
      </c>
      <c r="B2374" s="121">
        <v>83.110000610351563</v>
      </c>
      <c r="C2374" s="120">
        <f>IFERROR(yf_data[[#This Row],[Close Price]]/B2373-1,0)</f>
        <v>-1.0816867931691121E-3</v>
      </c>
    </row>
    <row r="2375" spans="1:3">
      <c r="A2375" s="119">
        <v>44229</v>
      </c>
      <c r="B2375" s="121">
        <v>88.589996337890625</v>
      </c>
      <c r="C2375" s="120">
        <f>IFERROR(yf_data[[#This Row],[Close Price]]/B2374-1,0)</f>
        <v>6.5936658492293576E-2</v>
      </c>
    </row>
    <row r="2376" spans="1:3">
      <c r="A2376" s="119">
        <v>44230</v>
      </c>
      <c r="B2376" s="121">
        <v>89.80999755859375</v>
      </c>
      <c r="C2376" s="120">
        <f>IFERROR(yf_data[[#This Row],[Close Price]]/B2375-1,0)</f>
        <v>1.3771320364998285E-2</v>
      </c>
    </row>
    <row r="2377" spans="1:3">
      <c r="A2377" s="119">
        <v>44231</v>
      </c>
      <c r="B2377" s="121">
        <v>93.099998474121094</v>
      </c>
      <c r="C2377" s="120">
        <f>IFERROR(yf_data[[#This Row],[Close Price]]/B2376-1,0)</f>
        <v>3.6632902850051607E-2</v>
      </c>
    </row>
    <row r="2378" spans="1:3">
      <c r="A2378" s="119">
        <v>44232</v>
      </c>
      <c r="B2378" s="121">
        <v>93.419998168945327</v>
      </c>
      <c r="C2378" s="120">
        <f>IFERROR(yf_data[[#This Row],[Close Price]]/B2377-1,0)</f>
        <v>3.4371611178187766E-3</v>
      </c>
    </row>
    <row r="2379" spans="1:3">
      <c r="A2379" s="119">
        <v>44235</v>
      </c>
      <c r="B2379" s="121">
        <v>93.870002746582045</v>
      </c>
      <c r="C2379" s="120">
        <f>IFERROR(yf_data[[#This Row],[Close Price]]/B2378-1,0)</f>
        <v>4.8170047790292436E-3</v>
      </c>
    </row>
    <row r="2380" spans="1:3">
      <c r="A2380" s="119">
        <v>44236</v>
      </c>
      <c r="B2380" s="121">
        <v>92.470001220703125</v>
      </c>
      <c r="C2380" s="120">
        <f>IFERROR(yf_data[[#This Row],[Close Price]]/B2379-1,0)</f>
        <v>-1.4914258921015056E-2</v>
      </c>
    </row>
    <row r="2381" spans="1:3">
      <c r="A2381" s="119">
        <v>44237</v>
      </c>
      <c r="B2381" s="121">
        <v>91.690002441406236</v>
      </c>
      <c r="C2381" s="120">
        <f>IFERROR(yf_data[[#This Row],[Close Price]]/B2380-1,0)</f>
        <v>-8.4351548502223928E-3</v>
      </c>
    </row>
    <row r="2382" spans="1:3">
      <c r="A2382" s="119">
        <v>44238</v>
      </c>
      <c r="B2382" s="121">
        <v>91.220001220703125</v>
      </c>
      <c r="C2382" s="120">
        <f>IFERROR(yf_data[[#This Row],[Close Price]]/B2381-1,0)</f>
        <v>-5.1259811123187671E-3</v>
      </c>
    </row>
    <row r="2383" spans="1:3">
      <c r="A2383" s="119">
        <v>44239</v>
      </c>
      <c r="B2383" s="121">
        <v>92.209999084472656</v>
      </c>
      <c r="C2383" s="120">
        <f>IFERROR(yf_data[[#This Row],[Close Price]]/B2382-1,0)</f>
        <v>1.0852859575985585E-2</v>
      </c>
    </row>
    <row r="2384" spans="1:3">
      <c r="A2384" s="119">
        <v>44242</v>
      </c>
      <c r="B2384" s="121">
        <v>93.669998168945327</v>
      </c>
      <c r="C2384" s="120">
        <f>IFERROR(yf_data[[#This Row],[Close Price]]/B2383-1,0)</f>
        <v>1.5833413935241181E-2</v>
      </c>
    </row>
    <row r="2385" spans="1:3">
      <c r="A2385" s="119">
        <v>44243</v>
      </c>
      <c r="B2385" s="121">
        <v>93.800003051757798</v>
      </c>
      <c r="C2385" s="120">
        <f>IFERROR(yf_data[[#This Row],[Close Price]]/B2384-1,0)</f>
        <v>1.3879031211039283E-3</v>
      </c>
    </row>
    <row r="2386" spans="1:3">
      <c r="A2386" s="119">
        <v>44244</v>
      </c>
      <c r="B2386" s="121">
        <v>93.900001525878906</v>
      </c>
      <c r="C2386" s="120">
        <f>IFERROR(yf_data[[#This Row],[Close Price]]/B2385-1,0)</f>
        <v>1.0660817789731603E-3</v>
      </c>
    </row>
    <row r="2387" spans="1:3">
      <c r="A2387" s="119">
        <v>44245</v>
      </c>
      <c r="B2387" s="121">
        <v>91.290000915527344</v>
      </c>
      <c r="C2387" s="120">
        <f>IFERROR(yf_data[[#This Row],[Close Price]]/B2386-1,0)</f>
        <v>-2.779553320488759E-2</v>
      </c>
    </row>
    <row r="2388" spans="1:3">
      <c r="A2388" s="119">
        <v>44246</v>
      </c>
      <c r="B2388" s="121">
        <v>91.769996643066406</v>
      </c>
      <c r="C2388" s="120">
        <f>IFERROR(yf_data[[#This Row],[Close Price]]/B2387-1,0)</f>
        <v>5.2579222557267435E-3</v>
      </c>
    </row>
    <row r="2389" spans="1:3">
      <c r="A2389" s="119">
        <v>44249</v>
      </c>
      <c r="B2389" s="121">
        <v>95.800003051757798</v>
      </c>
      <c r="C2389" s="120">
        <f>IFERROR(yf_data[[#This Row],[Close Price]]/B2388-1,0)</f>
        <v>4.3914204599634576E-2</v>
      </c>
    </row>
    <row r="2390" spans="1:3">
      <c r="A2390" s="119">
        <v>44250</v>
      </c>
      <c r="B2390" s="121">
        <v>98.949996948242202</v>
      </c>
      <c r="C2390" s="120">
        <f>IFERROR(yf_data[[#This Row],[Close Price]]/B2389-1,0)</f>
        <v>3.2880937329224924E-2</v>
      </c>
    </row>
    <row r="2391" spans="1:3">
      <c r="A2391" s="119">
        <v>44251</v>
      </c>
      <c r="B2391" s="121">
        <v>102.72000122070313</v>
      </c>
      <c r="C2391" s="120">
        <f>IFERROR(yf_data[[#This Row],[Close Price]]/B2390-1,0)</f>
        <v>3.8100094883609659E-2</v>
      </c>
    </row>
    <row r="2392" spans="1:3">
      <c r="A2392" s="119">
        <v>44252</v>
      </c>
      <c r="B2392" s="121">
        <v>98.930000305175781</v>
      </c>
      <c r="C2392" s="120">
        <f>IFERROR(yf_data[[#This Row],[Close Price]]/B2391-1,0)</f>
        <v>-3.6896425919857534E-2</v>
      </c>
    </row>
    <row r="2393" spans="1:3">
      <c r="A2393" s="119">
        <v>44253</v>
      </c>
      <c r="B2393" s="121">
        <v>95.910003662109375</v>
      </c>
      <c r="C2393" s="120">
        <f>IFERROR(yf_data[[#This Row],[Close Price]]/B2392-1,0)</f>
        <v>-3.0526600967860418E-2</v>
      </c>
    </row>
    <row r="2394" spans="1:3">
      <c r="A2394" s="119">
        <v>44256</v>
      </c>
      <c r="B2394" s="121">
        <v>100.68000030517578</v>
      </c>
      <c r="C2394" s="120">
        <f>IFERROR(yf_data[[#This Row],[Close Price]]/B2393-1,0)</f>
        <v>4.9734088843027102E-2</v>
      </c>
    </row>
    <row r="2395" spans="1:3">
      <c r="A2395" s="119">
        <v>44257</v>
      </c>
      <c r="B2395" s="121">
        <v>99.099998474121094</v>
      </c>
      <c r="C2395" s="120">
        <f>IFERROR(yf_data[[#This Row],[Close Price]]/B2394-1,0)</f>
        <v>-1.56933037968362E-2</v>
      </c>
    </row>
    <row r="2396" spans="1:3">
      <c r="A2396" s="119">
        <v>44258</v>
      </c>
      <c r="B2396" s="121">
        <v>100.45999908447266</v>
      </c>
      <c r="C2396" s="120">
        <f>IFERROR(yf_data[[#This Row],[Close Price]]/B2395-1,0)</f>
        <v>1.3723517974692179E-2</v>
      </c>
    </row>
    <row r="2397" spans="1:3">
      <c r="A2397" s="119">
        <v>44259</v>
      </c>
      <c r="B2397" s="121">
        <v>100.3000030517578</v>
      </c>
      <c r="C2397" s="120">
        <f>IFERROR(yf_data[[#This Row],[Close Price]]/B2396-1,0)</f>
        <v>-1.5926342242977842E-3</v>
      </c>
    </row>
    <row r="2398" spans="1:3">
      <c r="A2398" s="119">
        <v>44260</v>
      </c>
      <c r="B2398" s="121">
        <v>95.419998168945327</v>
      </c>
      <c r="C2398" s="120">
        <f>IFERROR(yf_data[[#This Row],[Close Price]]/B2397-1,0)</f>
        <v>-4.8654085088055687E-2</v>
      </c>
    </row>
    <row r="2399" spans="1:3">
      <c r="A2399" s="119">
        <v>44263</v>
      </c>
      <c r="B2399" s="121">
        <v>100.51999664306641</v>
      </c>
      <c r="C2399" s="120">
        <f>IFERROR(yf_data[[#This Row],[Close Price]]/B2398-1,0)</f>
        <v>5.3447899517785613E-2</v>
      </c>
    </row>
    <row r="2400" spans="1:3">
      <c r="A2400" s="119">
        <v>44264</v>
      </c>
      <c r="B2400" s="121">
        <v>100.26000213623048</v>
      </c>
      <c r="C2400" s="120">
        <f>IFERROR(yf_data[[#This Row],[Close Price]]/B2399-1,0)</f>
        <v>-2.5864953792142931E-3</v>
      </c>
    </row>
    <row r="2401" spans="1:3">
      <c r="A2401" s="119">
        <v>44265</v>
      </c>
      <c r="B2401" s="121">
        <v>98.989997863769517</v>
      </c>
      <c r="C2401" s="120">
        <f>IFERROR(yf_data[[#This Row],[Close Price]]/B2400-1,0)</f>
        <v>-1.2667107973280523E-2</v>
      </c>
    </row>
    <row r="2402" spans="1:3">
      <c r="A2402" s="119">
        <v>44266</v>
      </c>
      <c r="B2402" s="121">
        <v>99.129997253417955</v>
      </c>
      <c r="C2402" s="120">
        <f>IFERROR(yf_data[[#This Row],[Close Price]]/B2401-1,0)</f>
        <v>1.4142781358688072E-3</v>
      </c>
    </row>
    <row r="2403" spans="1:3">
      <c r="A2403" s="119">
        <v>44267</v>
      </c>
      <c r="B2403" s="121">
        <v>100</v>
      </c>
      <c r="C2403" s="120">
        <f>IFERROR(yf_data[[#This Row],[Close Price]]/B2402-1,0)</f>
        <v>8.7763822322919349E-3</v>
      </c>
    </row>
    <row r="2404" spans="1:3">
      <c r="A2404" s="119">
        <v>44270</v>
      </c>
      <c r="B2404" s="121">
        <v>100</v>
      </c>
      <c r="C2404" s="120">
        <f>IFERROR(yf_data[[#This Row],[Close Price]]/B2403-1,0)</f>
        <v>0</v>
      </c>
    </row>
    <row r="2405" spans="1:3">
      <c r="A2405" s="119">
        <v>44271</v>
      </c>
      <c r="B2405" s="121">
        <v>101.77999877929688</v>
      </c>
      <c r="C2405" s="120">
        <f>IFERROR(yf_data[[#This Row],[Close Price]]/B2404-1,0)</f>
        <v>1.7799987792968652E-2</v>
      </c>
    </row>
    <row r="2406" spans="1:3">
      <c r="A2406" s="119">
        <v>44272</v>
      </c>
      <c r="B2406" s="121">
        <v>101</v>
      </c>
      <c r="C2406" s="120">
        <f>IFERROR(yf_data[[#This Row],[Close Price]]/B2405-1,0)</f>
        <v>-7.6635762296308751E-3</v>
      </c>
    </row>
    <row r="2407" spans="1:3">
      <c r="A2407" s="119">
        <v>44273</v>
      </c>
      <c r="B2407" s="121">
        <v>101.09999847412109</v>
      </c>
      <c r="C2407" s="120">
        <f>IFERROR(yf_data[[#This Row],[Close Price]]/B2406-1,0)</f>
        <v>9.9008390218902065E-4</v>
      </c>
    </row>
    <row r="2408" spans="1:3">
      <c r="A2408" s="119">
        <v>44274</v>
      </c>
      <c r="B2408" s="121">
        <v>97.339996337890625</v>
      </c>
      <c r="C2408" s="120">
        <f>IFERROR(yf_data[[#This Row],[Close Price]]/B2407-1,0)</f>
        <v>-3.7190921790101972E-2</v>
      </c>
    </row>
    <row r="2409" spans="1:3">
      <c r="A2409" s="119">
        <v>44277</v>
      </c>
      <c r="B2409" s="121">
        <v>97.069999694824219</v>
      </c>
      <c r="C2409" s="120">
        <f>IFERROR(yf_data[[#This Row],[Close Price]]/B2408-1,0)</f>
        <v>-2.7737482353007437E-3</v>
      </c>
    </row>
    <row r="2410" spans="1:3">
      <c r="A2410" s="119">
        <v>44278</v>
      </c>
      <c r="B2410" s="121">
        <v>95.209999084472656</v>
      </c>
      <c r="C2410" s="120">
        <f>IFERROR(yf_data[[#This Row],[Close Price]]/B2409-1,0)</f>
        <v>-1.9161436243939067E-2</v>
      </c>
    </row>
    <row r="2411" spans="1:3">
      <c r="A2411" s="119">
        <v>44279</v>
      </c>
      <c r="B2411" s="121">
        <v>95.970001220703125</v>
      </c>
      <c r="C2411" s="120">
        <f>IFERROR(yf_data[[#This Row],[Close Price]]/B2410-1,0)</f>
        <v>7.9823773084608529E-3</v>
      </c>
    </row>
    <row r="2412" spans="1:3">
      <c r="A2412" s="119">
        <v>44280</v>
      </c>
      <c r="B2412" s="121">
        <v>96.489997863769517</v>
      </c>
      <c r="C2412" s="120">
        <f>IFERROR(yf_data[[#This Row],[Close Price]]/B2411-1,0)</f>
        <v>5.4183248562282849E-3</v>
      </c>
    </row>
    <row r="2413" spans="1:3">
      <c r="A2413" s="119">
        <v>44281</v>
      </c>
      <c r="B2413" s="121">
        <v>97.680000305175781</v>
      </c>
      <c r="C2413" s="120">
        <f>IFERROR(yf_data[[#This Row],[Close Price]]/B2412-1,0)</f>
        <v>1.2332909811920478E-2</v>
      </c>
    </row>
    <row r="2414" spans="1:3">
      <c r="A2414" s="119">
        <v>44284</v>
      </c>
      <c r="B2414" s="121">
        <v>97.400001525878906</v>
      </c>
      <c r="C2414" s="120">
        <f>IFERROR(yf_data[[#This Row],[Close Price]]/B2413-1,0)</f>
        <v>-2.8664903605865044E-3</v>
      </c>
    </row>
    <row r="2415" spans="1:3">
      <c r="A2415" s="119">
        <v>44285</v>
      </c>
      <c r="B2415" s="121">
        <v>97.699996948242202</v>
      </c>
      <c r="C2415" s="120">
        <f>IFERROR(yf_data[[#This Row],[Close Price]]/B2414-1,0)</f>
        <v>3.0800350889479411E-3</v>
      </c>
    </row>
    <row r="2416" spans="1:3">
      <c r="A2416" s="119">
        <v>44286</v>
      </c>
      <c r="B2416" s="121">
        <v>96.540000915527344</v>
      </c>
      <c r="C2416" s="120">
        <f>IFERROR(yf_data[[#This Row],[Close Price]]/B2415-1,0)</f>
        <v>-1.1873040623833209E-2</v>
      </c>
    </row>
    <row r="2417" spans="1:3">
      <c r="A2417" s="119">
        <v>44287</v>
      </c>
      <c r="B2417" s="121">
        <v>100.41999816894533</v>
      </c>
      <c r="C2417" s="120">
        <f>IFERROR(yf_data[[#This Row],[Close Price]]/B2416-1,0)</f>
        <v>4.0190565740857886E-2</v>
      </c>
    </row>
    <row r="2418" spans="1:3">
      <c r="A2418" s="119">
        <v>44292</v>
      </c>
      <c r="B2418" s="121">
        <v>100.6999969482422</v>
      </c>
      <c r="C2418" s="120">
        <f>IFERROR(yf_data[[#This Row],[Close Price]]/B2417-1,0)</f>
        <v>2.7882770802865053E-3</v>
      </c>
    </row>
    <row r="2419" spans="1:3">
      <c r="A2419" s="119">
        <v>44293</v>
      </c>
      <c r="B2419" s="121">
        <v>100.54000091552734</v>
      </c>
      <c r="C2419" s="120">
        <f>IFERROR(yf_data[[#This Row],[Close Price]]/B2418-1,0)</f>
        <v>-1.5888385060934818E-3</v>
      </c>
    </row>
    <row r="2420" spans="1:3">
      <c r="A2420" s="119">
        <v>44294</v>
      </c>
      <c r="B2420" s="121">
        <v>100.8000030517578</v>
      </c>
      <c r="C2420" s="120">
        <f>IFERROR(yf_data[[#This Row],[Close Price]]/B2419-1,0)</f>
        <v>2.5860566328113066E-3</v>
      </c>
    </row>
    <row r="2421" spans="1:3">
      <c r="A2421" s="119">
        <v>44295</v>
      </c>
      <c r="B2421" s="121">
        <v>101.09999847412109</v>
      </c>
      <c r="C2421" s="120">
        <f>IFERROR(yf_data[[#This Row],[Close Price]]/B2420-1,0)</f>
        <v>2.9761449730241196E-3</v>
      </c>
    </row>
    <row r="2422" spans="1:3">
      <c r="A2422" s="119">
        <v>44298</v>
      </c>
      <c r="B2422" s="121">
        <v>99.900001525878906</v>
      </c>
      <c r="C2422" s="120">
        <f>IFERROR(yf_data[[#This Row],[Close Price]]/B2421-1,0)</f>
        <v>-1.1869406195385346E-2</v>
      </c>
    </row>
    <row r="2423" spans="1:3">
      <c r="A2423" s="119">
        <v>44299</v>
      </c>
      <c r="B2423" s="121">
        <v>98.400001525878906</v>
      </c>
      <c r="C2423" s="120">
        <f>IFERROR(yf_data[[#This Row],[Close Price]]/B2422-1,0)</f>
        <v>-1.5015014785674685E-2</v>
      </c>
    </row>
    <row r="2424" spans="1:3">
      <c r="A2424" s="119">
        <v>44300</v>
      </c>
      <c r="B2424" s="121">
        <v>100.22000122070313</v>
      </c>
      <c r="C2424" s="120">
        <f>IFERROR(yf_data[[#This Row],[Close Price]]/B2423-1,0)</f>
        <v>1.8495931571155255E-2</v>
      </c>
    </row>
    <row r="2425" spans="1:3">
      <c r="A2425" s="119">
        <v>44301</v>
      </c>
      <c r="B2425" s="121">
        <v>102.83999633789063</v>
      </c>
      <c r="C2425" s="120">
        <f>IFERROR(yf_data[[#This Row],[Close Price]]/B2424-1,0)</f>
        <v>2.6142437490274784E-2</v>
      </c>
    </row>
    <row r="2426" spans="1:3">
      <c r="A2426" s="119">
        <v>44302</v>
      </c>
      <c r="B2426" s="121">
        <v>103.68000030517578</v>
      </c>
      <c r="C2426" s="120">
        <f>IFERROR(yf_data[[#This Row],[Close Price]]/B2425-1,0)</f>
        <v>8.1680668727879269E-3</v>
      </c>
    </row>
    <row r="2427" spans="1:3">
      <c r="A2427" s="119">
        <v>44305</v>
      </c>
      <c r="B2427" s="121">
        <v>102.6999969482422</v>
      </c>
      <c r="C2427" s="120">
        <f>IFERROR(yf_data[[#This Row],[Close Price]]/B2426-1,0)</f>
        <v>-9.4521928438368041E-3</v>
      </c>
    </row>
    <row r="2428" spans="1:3">
      <c r="A2428" s="119">
        <v>44306</v>
      </c>
      <c r="B2428" s="121">
        <v>97.940002441406236</v>
      </c>
      <c r="C2428" s="120">
        <f>IFERROR(yf_data[[#This Row],[Close Price]]/B2427-1,0)</f>
        <v>-4.6348536010520691E-2</v>
      </c>
    </row>
    <row r="2429" spans="1:3">
      <c r="A2429" s="119">
        <v>44307</v>
      </c>
      <c r="B2429" s="121">
        <v>97.730003356933594</v>
      </c>
      <c r="C2429" s="120">
        <f>IFERROR(yf_data[[#This Row],[Close Price]]/B2428-1,0)</f>
        <v>-2.1441604986509599E-3</v>
      </c>
    </row>
    <row r="2430" spans="1:3">
      <c r="A2430" s="119">
        <v>44308</v>
      </c>
      <c r="B2430" s="121">
        <v>99.709999084472656</v>
      </c>
      <c r="C2430" s="120">
        <f>IFERROR(yf_data[[#This Row],[Close Price]]/B2429-1,0)</f>
        <v>2.0259855310836627E-2</v>
      </c>
    </row>
    <row r="2431" spans="1:3">
      <c r="A2431" s="119">
        <v>44309</v>
      </c>
      <c r="B2431" s="121">
        <v>98.459999084472656</v>
      </c>
      <c r="C2431" s="120">
        <f>IFERROR(yf_data[[#This Row],[Close Price]]/B2430-1,0)</f>
        <v>-1.2536355545856748E-2</v>
      </c>
    </row>
    <row r="2432" spans="1:3">
      <c r="A2432" s="119">
        <v>44312</v>
      </c>
      <c r="B2432" s="121">
        <v>101.23999786376952</v>
      </c>
      <c r="C2432" s="120">
        <f>IFERROR(yf_data[[#This Row],[Close Price]]/B2431-1,0)</f>
        <v>2.8234804033583139E-2</v>
      </c>
    </row>
    <row r="2433" spans="1:3">
      <c r="A2433" s="119">
        <v>44313</v>
      </c>
      <c r="B2433" s="121">
        <v>99.790000915527344</v>
      </c>
      <c r="C2433" s="120">
        <f>IFERROR(yf_data[[#This Row],[Close Price]]/B2432-1,0)</f>
        <v>-1.4322372370980441E-2</v>
      </c>
    </row>
    <row r="2434" spans="1:3">
      <c r="A2434" s="119">
        <v>44314</v>
      </c>
      <c r="B2434" s="121">
        <v>99.300003051757798</v>
      </c>
      <c r="C2434" s="120">
        <f>IFERROR(yf_data[[#This Row],[Close Price]]/B2433-1,0)</f>
        <v>-4.9102902021649353E-3</v>
      </c>
    </row>
    <row r="2435" spans="1:3">
      <c r="A2435" s="119">
        <v>44315</v>
      </c>
      <c r="B2435" s="121">
        <v>100</v>
      </c>
      <c r="C2435" s="120">
        <f>IFERROR(yf_data[[#This Row],[Close Price]]/B2434-1,0)</f>
        <v>7.0493144685739306E-3</v>
      </c>
    </row>
    <row r="2436" spans="1:3">
      <c r="A2436" s="119">
        <v>44316</v>
      </c>
      <c r="B2436" s="121">
        <v>99.940002441406236</v>
      </c>
      <c r="C2436" s="120">
        <f>IFERROR(yf_data[[#This Row],[Close Price]]/B2435-1,0)</f>
        <v>-5.9997558593760658E-4</v>
      </c>
    </row>
    <row r="2437" spans="1:3">
      <c r="A2437" s="119">
        <v>44319</v>
      </c>
      <c r="B2437" s="121">
        <v>99.910003662109375</v>
      </c>
      <c r="C2437" s="120">
        <f>IFERROR(yf_data[[#This Row],[Close Price]]/B2436-1,0)</f>
        <v>-3.0016788637210468E-4</v>
      </c>
    </row>
    <row r="2438" spans="1:3">
      <c r="A2438" s="119">
        <v>44320</v>
      </c>
      <c r="B2438" s="121">
        <v>96.730003356933594</v>
      </c>
      <c r="C2438" s="120">
        <f>IFERROR(yf_data[[#This Row],[Close Price]]/B2437-1,0)</f>
        <v>-3.1828647669060128E-2</v>
      </c>
    </row>
    <row r="2439" spans="1:3">
      <c r="A2439" s="119">
        <v>44321</v>
      </c>
      <c r="B2439" s="121">
        <v>96.569999694824219</v>
      </c>
      <c r="C2439" s="120">
        <f>IFERROR(yf_data[[#This Row],[Close Price]]/B2438-1,0)</f>
        <v>-1.6541265021873253E-3</v>
      </c>
    </row>
    <row r="2440" spans="1:3">
      <c r="A2440" s="119">
        <v>44322</v>
      </c>
      <c r="B2440" s="121">
        <v>96.75</v>
      </c>
      <c r="C2440" s="120">
        <f>IFERROR(yf_data[[#This Row],[Close Price]]/B2439-1,0)</f>
        <v>1.8639360644570058E-3</v>
      </c>
    </row>
    <row r="2441" spans="1:3">
      <c r="A2441" s="119">
        <v>44323</v>
      </c>
      <c r="B2441" s="121">
        <v>98.370002746582045</v>
      </c>
      <c r="C2441" s="120">
        <f>IFERROR(yf_data[[#This Row],[Close Price]]/B2440-1,0)</f>
        <v>1.674421443495655E-2</v>
      </c>
    </row>
    <row r="2442" spans="1:3">
      <c r="A2442" s="119">
        <v>44326</v>
      </c>
      <c r="B2442" s="121">
        <v>98.360000610351563</v>
      </c>
      <c r="C2442" s="120">
        <f>IFERROR(yf_data[[#This Row],[Close Price]]/B2441-1,0)</f>
        <v>-1.0167872269206679E-4</v>
      </c>
    </row>
    <row r="2443" spans="1:3">
      <c r="A2443" s="119">
        <v>44327</v>
      </c>
      <c r="B2443" s="121">
        <v>95.900001525878906</v>
      </c>
      <c r="C2443" s="120">
        <f>IFERROR(yf_data[[#This Row],[Close Price]]/B2442-1,0)</f>
        <v>-2.5010157271326383E-2</v>
      </c>
    </row>
    <row r="2444" spans="1:3">
      <c r="A2444" s="119">
        <v>44328</v>
      </c>
      <c r="B2444" s="121">
        <v>96.559997558593764</v>
      </c>
      <c r="C2444" s="120">
        <f>IFERROR(yf_data[[#This Row],[Close Price]]/B2443-1,0)</f>
        <v>6.8821274474824001E-3</v>
      </c>
    </row>
    <row r="2445" spans="1:3">
      <c r="A2445" s="119">
        <v>44329</v>
      </c>
      <c r="B2445" s="121">
        <v>96</v>
      </c>
      <c r="C2445" s="120">
        <f>IFERROR(yf_data[[#This Row],[Close Price]]/B2444-1,0)</f>
        <v>-5.7994777625585137E-3</v>
      </c>
    </row>
    <row r="2446" spans="1:3">
      <c r="A2446" s="119">
        <v>44330</v>
      </c>
      <c r="B2446" s="121">
        <v>99.569999694824219</v>
      </c>
      <c r="C2446" s="120">
        <f>IFERROR(yf_data[[#This Row],[Close Price]]/B2445-1,0)</f>
        <v>3.7187496821085686E-2</v>
      </c>
    </row>
    <row r="2447" spans="1:3">
      <c r="A2447" s="119">
        <v>44333</v>
      </c>
      <c r="B2447" s="121">
        <v>96.900001525878906</v>
      </c>
      <c r="C2447" s="120">
        <f>IFERROR(yf_data[[#This Row],[Close Price]]/B2446-1,0)</f>
        <v>-2.6815287507569452E-2</v>
      </c>
    </row>
    <row r="2448" spans="1:3">
      <c r="A2448" s="119">
        <v>44334</v>
      </c>
      <c r="B2448" s="121">
        <v>97.139999389648438</v>
      </c>
      <c r="C2448" s="120">
        <f>IFERROR(yf_data[[#This Row],[Close Price]]/B2447-1,0)</f>
        <v>2.4767581010349815E-3</v>
      </c>
    </row>
    <row r="2449" spans="1:3">
      <c r="A2449" s="119">
        <v>44335</v>
      </c>
      <c r="B2449" s="121">
        <v>95.059997558593764</v>
      </c>
      <c r="C2449" s="120">
        <f>IFERROR(yf_data[[#This Row],[Close Price]]/B2448-1,0)</f>
        <v>-2.1412413466376123E-2</v>
      </c>
    </row>
    <row r="2450" spans="1:3">
      <c r="A2450" s="119">
        <v>44336</v>
      </c>
      <c r="B2450" s="121">
        <v>96.510002136230483</v>
      </c>
      <c r="C2450" s="120">
        <f>IFERROR(yf_data[[#This Row],[Close Price]]/B2449-1,0)</f>
        <v>1.5253572637038637E-2</v>
      </c>
    </row>
    <row r="2451" spans="1:3">
      <c r="A2451" s="119">
        <v>44337</v>
      </c>
      <c r="B2451" s="121">
        <v>97.910003662109375</v>
      </c>
      <c r="C2451" s="120">
        <f>IFERROR(yf_data[[#This Row],[Close Price]]/B2450-1,0)</f>
        <v>1.450628426992151E-2</v>
      </c>
    </row>
    <row r="2452" spans="1:3">
      <c r="A2452" s="119">
        <v>44340</v>
      </c>
      <c r="B2452" s="121">
        <v>98.260002136230483</v>
      </c>
      <c r="C2452" s="120">
        <f>IFERROR(yf_data[[#This Row],[Close Price]]/B2451-1,0)</f>
        <v>3.5746957515083722E-3</v>
      </c>
    </row>
    <row r="2453" spans="1:3">
      <c r="A2453" s="119">
        <v>44341</v>
      </c>
      <c r="B2453" s="121">
        <v>97.139999389648438</v>
      </c>
      <c r="C2453" s="120">
        <f>IFERROR(yf_data[[#This Row],[Close Price]]/B2452-1,0)</f>
        <v>-1.1398358663062491E-2</v>
      </c>
    </row>
    <row r="2454" spans="1:3">
      <c r="A2454" s="119">
        <v>44342</v>
      </c>
      <c r="B2454" s="121">
        <v>97.669998168945327</v>
      </c>
      <c r="C2454" s="120">
        <f>IFERROR(yf_data[[#This Row],[Close Price]]/B2453-1,0)</f>
        <v>5.4560302926394133E-3</v>
      </c>
    </row>
    <row r="2455" spans="1:3">
      <c r="A2455" s="119">
        <v>44343</v>
      </c>
      <c r="B2455" s="121">
        <v>106.68000030517578</v>
      </c>
      <c r="C2455" s="120">
        <f>IFERROR(yf_data[[#This Row],[Close Price]]/B2454-1,0)</f>
        <v>9.2249434884245085E-2</v>
      </c>
    </row>
    <row r="2456" spans="1:3">
      <c r="A2456" s="119">
        <v>44344</v>
      </c>
      <c r="B2456" s="121">
        <v>108</v>
      </c>
      <c r="C2456" s="120">
        <f>IFERROR(yf_data[[#This Row],[Close Price]]/B2455-1,0)</f>
        <v>1.2373450422273446E-2</v>
      </c>
    </row>
    <row r="2457" spans="1:3">
      <c r="A2457" s="119">
        <v>44347</v>
      </c>
      <c r="B2457" s="121">
        <v>106.66000366210938</v>
      </c>
      <c r="C2457" s="120">
        <f>IFERROR(yf_data[[#This Row],[Close Price]]/B2456-1,0)</f>
        <v>-1.240737349898724E-2</v>
      </c>
    </row>
    <row r="2458" spans="1:3">
      <c r="A2458" s="119">
        <v>44348</v>
      </c>
      <c r="B2458" s="121">
        <v>108.76000213623048</v>
      </c>
      <c r="C2458" s="120">
        <f>IFERROR(yf_data[[#This Row],[Close Price]]/B2457-1,0)</f>
        <v>1.9688715563649817E-2</v>
      </c>
    </row>
    <row r="2459" spans="1:3">
      <c r="A2459" s="119">
        <v>44349</v>
      </c>
      <c r="B2459" s="121">
        <v>110.6999969482422</v>
      </c>
      <c r="C2459" s="120">
        <f>IFERROR(yf_data[[#This Row],[Close Price]]/B2458-1,0)</f>
        <v>1.7837392183771117E-2</v>
      </c>
    </row>
    <row r="2460" spans="1:3">
      <c r="A2460" s="119">
        <v>44350</v>
      </c>
      <c r="B2460" s="121">
        <v>109.77999877929688</v>
      </c>
      <c r="C2460" s="120">
        <f>IFERROR(yf_data[[#This Row],[Close Price]]/B2459-1,0)</f>
        <v>-8.3107334625805995E-3</v>
      </c>
    </row>
    <row r="2461" spans="1:3">
      <c r="A2461" s="119">
        <v>44351</v>
      </c>
      <c r="B2461" s="121">
        <v>109.91999816894533</v>
      </c>
      <c r="C2461" s="120">
        <f>IFERROR(yf_data[[#This Row],[Close Price]]/B2460-1,0)</f>
        <v>1.2752722827944485E-3</v>
      </c>
    </row>
    <row r="2462" spans="1:3">
      <c r="A2462" s="119">
        <v>44354</v>
      </c>
      <c r="B2462" s="121">
        <v>111.31999969482422</v>
      </c>
      <c r="C2462" s="120">
        <f>IFERROR(yf_data[[#This Row],[Close Price]]/B2461-1,0)</f>
        <v>1.2736549756188209E-2</v>
      </c>
    </row>
    <row r="2463" spans="1:3">
      <c r="A2463" s="119">
        <v>44355</v>
      </c>
      <c r="B2463" s="121">
        <v>110.5</v>
      </c>
      <c r="C2463" s="120">
        <f>IFERROR(yf_data[[#This Row],[Close Price]]/B2462-1,0)</f>
        <v>-7.3661489136919167E-3</v>
      </c>
    </row>
    <row r="2464" spans="1:3">
      <c r="A2464" s="119">
        <v>44356</v>
      </c>
      <c r="B2464" s="121">
        <v>110.59999847412109</v>
      </c>
      <c r="C2464" s="120">
        <f>IFERROR(yf_data[[#This Row],[Close Price]]/B2463-1,0)</f>
        <v>9.0496356670666245E-4</v>
      </c>
    </row>
    <row r="2465" spans="1:3">
      <c r="A2465" s="119">
        <v>44357</v>
      </c>
      <c r="B2465" s="121">
        <v>110.51999664306641</v>
      </c>
      <c r="C2465" s="120">
        <f>IFERROR(yf_data[[#This Row],[Close Price]]/B2464-1,0)</f>
        <v>-7.2334387123351718E-4</v>
      </c>
    </row>
    <row r="2466" spans="1:3">
      <c r="A2466" s="119">
        <v>44358</v>
      </c>
      <c r="B2466" s="121">
        <v>112.36000061035156</v>
      </c>
      <c r="C2466" s="120">
        <f>IFERROR(yf_data[[#This Row],[Close Price]]/B2465-1,0)</f>
        <v>1.6648606796719312E-2</v>
      </c>
    </row>
    <row r="2467" spans="1:3">
      <c r="A2467" s="119">
        <v>44361</v>
      </c>
      <c r="B2467" s="121">
        <v>112.40000152587891</v>
      </c>
      <c r="C2467" s="120">
        <f>IFERROR(yf_data[[#This Row],[Close Price]]/B2466-1,0)</f>
        <v>3.5600672223257135E-4</v>
      </c>
    </row>
    <row r="2468" spans="1:3">
      <c r="A2468" s="119">
        <v>44362</v>
      </c>
      <c r="B2468" s="121">
        <v>113.18000030517578</v>
      </c>
      <c r="C2468" s="120">
        <f>IFERROR(yf_data[[#This Row],[Close Price]]/B2467-1,0)</f>
        <v>6.9394908248048282E-3</v>
      </c>
    </row>
    <row r="2469" spans="1:3">
      <c r="A2469" s="119">
        <v>44363</v>
      </c>
      <c r="B2469" s="121">
        <v>114.08000183105467</v>
      </c>
      <c r="C2469" s="120">
        <f>IFERROR(yf_data[[#This Row],[Close Price]]/B2468-1,0)</f>
        <v>7.951948431278888E-3</v>
      </c>
    </row>
    <row r="2470" spans="1:3">
      <c r="A2470" s="119">
        <v>44364</v>
      </c>
      <c r="B2470" s="121">
        <v>114.59999847412109</v>
      </c>
      <c r="C2470" s="120">
        <f>IFERROR(yf_data[[#This Row],[Close Price]]/B2469-1,0)</f>
        <v>4.5581752692860356E-3</v>
      </c>
    </row>
    <row r="2471" spans="1:3">
      <c r="A2471" s="119">
        <v>44365</v>
      </c>
      <c r="B2471" s="121">
        <v>112.72000122070313</v>
      </c>
      <c r="C2471" s="120">
        <f>IFERROR(yf_data[[#This Row],[Close Price]]/B2470-1,0)</f>
        <v>-1.6404862813698129E-2</v>
      </c>
    </row>
    <row r="2472" spans="1:3">
      <c r="A2472" s="119">
        <v>44368</v>
      </c>
      <c r="B2472" s="121">
        <v>112.91999816894533</v>
      </c>
      <c r="C2472" s="120">
        <f>IFERROR(yf_data[[#This Row],[Close Price]]/B2471-1,0)</f>
        <v>1.7742809268659343E-3</v>
      </c>
    </row>
    <row r="2473" spans="1:3">
      <c r="A2473" s="119">
        <v>44369</v>
      </c>
      <c r="B2473" s="121">
        <v>112.63999938964844</v>
      </c>
      <c r="C2473" s="120">
        <f>IFERROR(yf_data[[#This Row],[Close Price]]/B2472-1,0)</f>
        <v>-2.4796208274637799E-3</v>
      </c>
    </row>
    <row r="2474" spans="1:3">
      <c r="A2474" s="119">
        <v>44370</v>
      </c>
      <c r="B2474" s="121">
        <v>111.3000030517578</v>
      </c>
      <c r="C2474" s="120">
        <f>IFERROR(yf_data[[#This Row],[Close Price]]/B2473-1,0)</f>
        <v>-1.18962743710187E-2</v>
      </c>
    </row>
    <row r="2475" spans="1:3">
      <c r="A2475" s="119">
        <v>44371</v>
      </c>
      <c r="B2475" s="121">
        <v>111.91999816894533</v>
      </c>
      <c r="C2475" s="120">
        <f>IFERROR(yf_data[[#This Row],[Close Price]]/B2474-1,0)</f>
        <v>5.5704860753615915E-3</v>
      </c>
    </row>
    <row r="2476" spans="1:3">
      <c r="A2476" s="119">
        <v>44372</v>
      </c>
      <c r="B2476" s="121">
        <v>110.31999969482422</v>
      </c>
      <c r="C2476" s="120">
        <f>IFERROR(yf_data[[#This Row],[Close Price]]/B2475-1,0)</f>
        <v>-1.4295912261416244E-2</v>
      </c>
    </row>
    <row r="2477" spans="1:3">
      <c r="A2477" s="119">
        <v>44375</v>
      </c>
      <c r="B2477" s="121">
        <v>107.09999847412109</v>
      </c>
      <c r="C2477" s="120">
        <f>IFERROR(yf_data[[#This Row],[Close Price]]/B2476-1,0)</f>
        <v>-2.918782840473666E-2</v>
      </c>
    </row>
    <row r="2478" spans="1:3">
      <c r="A2478" s="119">
        <v>44376</v>
      </c>
      <c r="B2478" s="121">
        <v>106.48000335693359</v>
      </c>
      <c r="C2478" s="120">
        <f>IFERROR(yf_data[[#This Row],[Close Price]]/B2477-1,0)</f>
        <v>-5.7889367508937584E-3</v>
      </c>
    </row>
    <row r="2479" spans="1:3">
      <c r="A2479" s="119">
        <v>44377</v>
      </c>
      <c r="B2479" s="121">
        <v>108.44000244140624</v>
      </c>
      <c r="C2479" s="120">
        <f>IFERROR(yf_data[[#This Row],[Close Price]]/B2478-1,0)</f>
        <v>1.8407203443659759E-2</v>
      </c>
    </row>
    <row r="2480" spans="1:3">
      <c r="A2480" s="119">
        <v>44378</v>
      </c>
      <c r="B2480" s="121">
        <v>109.90000152587891</v>
      </c>
      <c r="C2480" s="120">
        <f>IFERROR(yf_data[[#This Row],[Close Price]]/B2479-1,0)</f>
        <v>1.3463657797882833E-2</v>
      </c>
    </row>
    <row r="2481" spans="1:3">
      <c r="A2481" s="119">
        <v>44379</v>
      </c>
      <c r="B2481" s="121">
        <v>112.22000122070313</v>
      </c>
      <c r="C2481" s="120">
        <f>IFERROR(yf_data[[#This Row],[Close Price]]/B2480-1,0)</f>
        <v>2.1110097021044272E-2</v>
      </c>
    </row>
    <row r="2482" spans="1:3">
      <c r="A2482" s="119">
        <v>44382</v>
      </c>
      <c r="B2482" s="121">
        <v>113.08000183105467</v>
      </c>
      <c r="C2482" s="120">
        <f>IFERROR(yf_data[[#This Row],[Close Price]]/B2481-1,0)</f>
        <v>7.6635234449888845E-3</v>
      </c>
    </row>
    <row r="2483" spans="1:3">
      <c r="A2483" s="119">
        <v>44383</v>
      </c>
      <c r="B2483" s="121">
        <v>110.87999725341795</v>
      </c>
      <c r="C2483" s="120">
        <f>IFERROR(yf_data[[#This Row],[Close Price]]/B2482-1,0)</f>
        <v>-1.9455293084656988E-2</v>
      </c>
    </row>
    <row r="2484" spans="1:3">
      <c r="A2484" s="119">
        <v>44384</v>
      </c>
      <c r="B2484" s="121">
        <v>109.81999969482422</v>
      </c>
      <c r="C2484" s="120">
        <f>IFERROR(yf_data[[#This Row],[Close Price]]/B2483-1,0)</f>
        <v>-9.55986277823484E-3</v>
      </c>
    </row>
    <row r="2485" spans="1:3">
      <c r="A2485" s="119">
        <v>44385</v>
      </c>
      <c r="B2485" s="121">
        <v>109.01999664306641</v>
      </c>
      <c r="C2485" s="120">
        <f>IFERROR(yf_data[[#This Row],[Close Price]]/B2484-1,0)</f>
        <v>-7.2846754141405734E-3</v>
      </c>
    </row>
    <row r="2486" spans="1:3">
      <c r="A2486" s="119">
        <v>44386</v>
      </c>
      <c r="B2486" s="121">
        <v>112.76000213623048</v>
      </c>
      <c r="C2486" s="120">
        <f>IFERROR(yf_data[[#This Row],[Close Price]]/B2485-1,0)</f>
        <v>3.4305683437222401E-2</v>
      </c>
    </row>
    <row r="2487" spans="1:3">
      <c r="A2487" s="119">
        <v>44389</v>
      </c>
      <c r="B2487" s="121">
        <v>112.1999969482422</v>
      </c>
      <c r="C2487" s="120">
        <f>IFERROR(yf_data[[#This Row],[Close Price]]/B2486-1,0)</f>
        <v>-4.9663460214528499E-3</v>
      </c>
    </row>
    <row r="2488" spans="1:3">
      <c r="A2488" s="119">
        <v>44390</v>
      </c>
      <c r="B2488" s="121">
        <v>111.23999786376952</v>
      </c>
      <c r="C2488" s="120">
        <f>IFERROR(yf_data[[#This Row],[Close Price]]/B2487-1,0)</f>
        <v>-8.5561418055610794E-3</v>
      </c>
    </row>
    <row r="2489" spans="1:3">
      <c r="A2489" s="119">
        <v>44391</v>
      </c>
      <c r="B2489" s="121">
        <v>110.98000335693359</v>
      </c>
      <c r="C2489" s="120">
        <f>IFERROR(yf_data[[#This Row],[Close Price]]/B2488-1,0)</f>
        <v>-2.3372394087450843E-3</v>
      </c>
    </row>
    <row r="2490" spans="1:3">
      <c r="A2490" s="119">
        <v>44392</v>
      </c>
      <c r="B2490" s="121">
        <v>110.40000152587891</v>
      </c>
      <c r="C2490" s="120">
        <f>IFERROR(yf_data[[#This Row],[Close Price]]/B2489-1,0)</f>
        <v>-5.2261832177936673E-3</v>
      </c>
    </row>
    <row r="2491" spans="1:3">
      <c r="A2491" s="119">
        <v>44393</v>
      </c>
      <c r="B2491" s="121">
        <v>110.63999938964844</v>
      </c>
      <c r="C2491" s="120">
        <f>IFERROR(yf_data[[#This Row],[Close Price]]/B2490-1,0)</f>
        <v>2.1738936635185002E-3</v>
      </c>
    </row>
    <row r="2492" spans="1:3">
      <c r="A2492" s="119">
        <v>44396</v>
      </c>
      <c r="B2492" s="121">
        <v>103.58000183105467</v>
      </c>
      <c r="C2492" s="120">
        <f>IFERROR(yf_data[[#This Row],[Close Price]]/B2491-1,0)</f>
        <v>-6.3810535046462613E-2</v>
      </c>
    </row>
    <row r="2493" spans="1:3">
      <c r="A2493" s="119">
        <v>44397</v>
      </c>
      <c r="B2493" s="121">
        <v>106</v>
      </c>
      <c r="C2493" s="120">
        <f>IFERROR(yf_data[[#This Row],[Close Price]]/B2492-1,0)</f>
        <v>2.336356561271824E-2</v>
      </c>
    </row>
    <row r="2494" spans="1:3">
      <c r="A2494" s="119">
        <v>44398</v>
      </c>
      <c r="B2494" s="121">
        <v>110.63999938964844</v>
      </c>
      <c r="C2494" s="120">
        <f>IFERROR(yf_data[[#This Row],[Close Price]]/B2493-1,0)</f>
        <v>4.3773579147626807E-2</v>
      </c>
    </row>
    <row r="2495" spans="1:3">
      <c r="A2495" s="119">
        <v>44399</v>
      </c>
      <c r="B2495" s="121">
        <v>109.51999664306641</v>
      </c>
      <c r="C2495" s="120">
        <f>IFERROR(yf_data[[#This Row],[Close Price]]/B2494-1,0)</f>
        <v>-1.0122946066165817E-2</v>
      </c>
    </row>
    <row r="2496" spans="1:3">
      <c r="A2496" s="119">
        <v>44400</v>
      </c>
      <c r="B2496" s="121">
        <v>111.5</v>
      </c>
      <c r="C2496" s="120">
        <f>IFERROR(yf_data[[#This Row],[Close Price]]/B2495-1,0)</f>
        <v>1.8078920905983731E-2</v>
      </c>
    </row>
    <row r="2497" spans="1:3">
      <c r="A2497" s="119">
        <v>44403</v>
      </c>
      <c r="B2497" s="121">
        <v>112</v>
      </c>
      <c r="C2497" s="120">
        <f>IFERROR(yf_data[[#This Row],[Close Price]]/B2496-1,0)</f>
        <v>4.484304932735439E-3</v>
      </c>
    </row>
    <row r="2498" spans="1:3">
      <c r="A2498" s="119">
        <v>44404</v>
      </c>
      <c r="B2498" s="121">
        <v>112.31999969482422</v>
      </c>
      <c r="C2498" s="120">
        <f>IFERROR(yf_data[[#This Row],[Close Price]]/B2497-1,0)</f>
        <v>2.8571401323591594E-3</v>
      </c>
    </row>
    <row r="2499" spans="1:3">
      <c r="A2499" s="119">
        <v>44405</v>
      </c>
      <c r="B2499" s="121">
        <v>115.3000030517578</v>
      </c>
      <c r="C2499" s="120">
        <f>IFERROR(yf_data[[#This Row],[Close Price]]/B2498-1,0)</f>
        <v>2.6531368990654558E-2</v>
      </c>
    </row>
    <row r="2500" spans="1:3">
      <c r="A2500" s="119">
        <v>44406</v>
      </c>
      <c r="B2500" s="121">
        <v>116</v>
      </c>
      <c r="C2500" s="120">
        <f>IFERROR(yf_data[[#This Row],[Close Price]]/B2499-1,0)</f>
        <v>6.0710921918014638E-3</v>
      </c>
    </row>
    <row r="2501" spans="1:3">
      <c r="A2501" s="119">
        <v>44407</v>
      </c>
      <c r="B2501" s="121">
        <v>115.6999969482422</v>
      </c>
      <c r="C2501" s="120">
        <f>IFERROR(yf_data[[#This Row],[Close Price]]/B2500-1,0)</f>
        <v>-2.5862332048085523E-3</v>
      </c>
    </row>
    <row r="2502" spans="1:3">
      <c r="A2502" s="119">
        <v>44410</v>
      </c>
      <c r="B2502" s="121">
        <v>116.77999877929688</v>
      </c>
      <c r="C2502" s="120">
        <f>IFERROR(yf_data[[#This Row],[Close Price]]/B2501-1,0)</f>
        <v>9.3345018110744249E-3</v>
      </c>
    </row>
    <row r="2503" spans="1:3">
      <c r="A2503" s="119">
        <v>44411</v>
      </c>
      <c r="B2503" s="121">
        <v>114.77999877929688</v>
      </c>
      <c r="C2503" s="120">
        <f>IFERROR(yf_data[[#This Row],[Close Price]]/B2502-1,0)</f>
        <v>-1.7126220422213012E-2</v>
      </c>
    </row>
    <row r="2504" spans="1:3">
      <c r="A2504" s="119">
        <v>44412</v>
      </c>
      <c r="B2504" s="121">
        <v>114.44000244140624</v>
      </c>
      <c r="C2504" s="120">
        <f>IFERROR(yf_data[[#This Row],[Close Price]]/B2503-1,0)</f>
        <v>-2.9621566606251593E-3</v>
      </c>
    </row>
    <row r="2505" spans="1:3">
      <c r="A2505" s="119">
        <v>44413</v>
      </c>
      <c r="B2505" s="121">
        <v>116.63999938964844</v>
      </c>
      <c r="C2505" s="120">
        <f>IFERROR(yf_data[[#This Row],[Close Price]]/B2504-1,0)</f>
        <v>1.9224020458830537E-2</v>
      </c>
    </row>
    <row r="2506" spans="1:3">
      <c r="A2506" s="119">
        <v>44414</v>
      </c>
      <c r="B2506" s="121">
        <v>116.90000152587891</v>
      </c>
      <c r="C2506" s="120">
        <f>IFERROR(yf_data[[#This Row],[Close Price]]/B2505-1,0)</f>
        <v>2.2290992591820213E-3</v>
      </c>
    </row>
    <row r="2507" spans="1:3">
      <c r="A2507" s="119">
        <v>44417</v>
      </c>
      <c r="B2507" s="121">
        <v>114.76000213623048</v>
      </c>
      <c r="C2507" s="120">
        <f>IFERROR(yf_data[[#This Row],[Close Price]]/B2506-1,0)</f>
        <v>-1.830623919345864E-2</v>
      </c>
    </row>
    <row r="2508" spans="1:3">
      <c r="A2508" s="119">
        <v>44418</v>
      </c>
      <c r="B2508" s="121">
        <v>115.16000366210938</v>
      </c>
      <c r="C2508" s="120">
        <f>IFERROR(yf_data[[#This Row],[Close Price]]/B2507-1,0)</f>
        <v>3.4855482610052224E-3</v>
      </c>
    </row>
    <row r="2509" spans="1:3">
      <c r="A2509" s="119">
        <v>44419</v>
      </c>
      <c r="B2509" s="121">
        <v>115.72000122070313</v>
      </c>
      <c r="C2509" s="120">
        <f>IFERROR(yf_data[[#This Row],[Close Price]]/B2508-1,0)</f>
        <v>4.8627782284276222E-3</v>
      </c>
    </row>
    <row r="2510" spans="1:3">
      <c r="A2510" s="119">
        <v>44420</v>
      </c>
      <c r="B2510" s="121">
        <v>115.3000030517578</v>
      </c>
      <c r="C2510" s="120">
        <f>IFERROR(yf_data[[#This Row],[Close Price]]/B2509-1,0)</f>
        <v>-3.6294345360773361E-3</v>
      </c>
    </row>
    <row r="2511" spans="1:3">
      <c r="A2511" s="119">
        <v>44421</v>
      </c>
      <c r="B2511" s="121">
        <v>115.44000244140624</v>
      </c>
      <c r="C2511" s="120">
        <f>IFERROR(yf_data[[#This Row],[Close Price]]/B2510-1,0)</f>
        <v>1.2142184383603372E-3</v>
      </c>
    </row>
    <row r="2512" spans="1:3">
      <c r="A2512" s="119">
        <v>44424</v>
      </c>
      <c r="B2512" s="121">
        <v>114.62000274658205</v>
      </c>
      <c r="C2512" s="120">
        <f>IFERROR(yf_data[[#This Row],[Close Price]]/B2511-1,0)</f>
        <v>-7.1032543094443623E-3</v>
      </c>
    </row>
    <row r="2513" spans="1:3">
      <c r="A2513" s="119">
        <v>44425</v>
      </c>
      <c r="B2513" s="121">
        <v>113.54000091552734</v>
      </c>
      <c r="C2513" s="120">
        <f>IFERROR(yf_data[[#This Row],[Close Price]]/B2512-1,0)</f>
        <v>-9.4224551140739132E-3</v>
      </c>
    </row>
    <row r="2514" spans="1:3">
      <c r="A2514" s="119">
        <v>44426</v>
      </c>
      <c r="B2514" s="121">
        <v>113.62000274658205</v>
      </c>
      <c r="C2514" s="120">
        <f>IFERROR(yf_data[[#This Row],[Close Price]]/B2513-1,0)</f>
        <v>7.0461361995421967E-4</v>
      </c>
    </row>
    <row r="2515" spans="1:3">
      <c r="A2515" s="119">
        <v>44427</v>
      </c>
      <c r="B2515" s="121">
        <v>110.04000091552734</v>
      </c>
      <c r="C2515" s="120">
        <f>IFERROR(yf_data[[#This Row],[Close Price]]/B2514-1,0)</f>
        <v>-3.1508552583294103E-2</v>
      </c>
    </row>
    <row r="2516" spans="1:3">
      <c r="A2516" s="119">
        <v>44428</v>
      </c>
      <c r="B2516" s="121">
        <v>110.48000335693359</v>
      </c>
      <c r="C2516" s="120">
        <f>IFERROR(yf_data[[#This Row],[Close Price]]/B2515-1,0)</f>
        <v>3.9985681365453107E-3</v>
      </c>
    </row>
    <row r="2517" spans="1:3">
      <c r="A2517" s="119">
        <v>44431</v>
      </c>
      <c r="B2517" s="121">
        <v>111.72000122070313</v>
      </c>
      <c r="C2517" s="120">
        <f>IFERROR(yf_data[[#This Row],[Close Price]]/B2516-1,0)</f>
        <v>1.1223731228206191E-2</v>
      </c>
    </row>
    <row r="2518" spans="1:3">
      <c r="A2518" s="119">
        <v>44432</v>
      </c>
      <c r="B2518" s="121">
        <v>113.45999908447266</v>
      </c>
      <c r="C2518" s="120">
        <f>IFERROR(yf_data[[#This Row],[Close Price]]/B2517-1,0)</f>
        <v>1.557463162153172E-2</v>
      </c>
    </row>
    <row r="2519" spans="1:3">
      <c r="A2519" s="119">
        <v>44433</v>
      </c>
      <c r="B2519" s="121">
        <v>115.91999816894533</v>
      </c>
      <c r="C2519" s="120">
        <f>IFERROR(yf_data[[#This Row],[Close Price]]/B2518-1,0)</f>
        <v>2.168164202646583E-2</v>
      </c>
    </row>
    <row r="2520" spans="1:3">
      <c r="A2520" s="119">
        <v>44434</v>
      </c>
      <c r="B2520" s="121">
        <v>115</v>
      </c>
      <c r="C2520" s="120">
        <f>IFERROR(yf_data[[#This Row],[Close Price]]/B2519-1,0)</f>
        <v>-7.9364922660237758E-3</v>
      </c>
    </row>
    <row r="2521" spans="1:3">
      <c r="A2521" s="119">
        <v>44435</v>
      </c>
      <c r="B2521" s="121">
        <v>115.01999664306641</v>
      </c>
      <c r="C2521" s="120">
        <f>IFERROR(yf_data[[#This Row],[Close Price]]/B2520-1,0)</f>
        <v>1.7388385275141083E-4</v>
      </c>
    </row>
    <row r="2522" spans="1:3">
      <c r="A2522" s="119">
        <v>44438</v>
      </c>
      <c r="B2522" s="121">
        <v>114.86000061035156</v>
      </c>
      <c r="C2522" s="120">
        <f>IFERROR(yf_data[[#This Row],[Close Price]]/B2521-1,0)</f>
        <v>-1.3910279723912122E-3</v>
      </c>
    </row>
    <row r="2523" spans="1:3">
      <c r="A2523" s="119">
        <v>44439</v>
      </c>
      <c r="B2523" s="121">
        <v>115.6999969482422</v>
      </c>
      <c r="C2523" s="120">
        <f>IFERROR(yf_data[[#This Row],[Close Price]]/B2522-1,0)</f>
        <v>7.3132189920512847E-3</v>
      </c>
    </row>
    <row r="2524" spans="1:3">
      <c r="A2524" s="119">
        <v>44440</v>
      </c>
      <c r="B2524" s="121">
        <v>118</v>
      </c>
      <c r="C2524" s="120">
        <f>IFERROR(yf_data[[#This Row],[Close Price]]/B2523-1,0)</f>
        <v>1.9879024307897675E-2</v>
      </c>
    </row>
    <row r="2525" spans="1:3">
      <c r="A2525" s="119">
        <v>44441</v>
      </c>
      <c r="B2525" s="121">
        <v>116.77999877929688</v>
      </c>
      <c r="C2525" s="120">
        <f>IFERROR(yf_data[[#This Row],[Close Price]]/B2524-1,0)</f>
        <v>-1.0338993395789142E-2</v>
      </c>
    </row>
    <row r="2526" spans="1:3">
      <c r="A2526" s="119">
        <v>44442</v>
      </c>
      <c r="B2526" s="121">
        <v>114.48000335693359</v>
      </c>
      <c r="C2526" s="120">
        <f>IFERROR(yf_data[[#This Row],[Close Price]]/B2525-1,0)</f>
        <v>-1.9695114286737203E-2</v>
      </c>
    </row>
    <row r="2527" spans="1:3">
      <c r="A2527" s="119">
        <v>44445</v>
      </c>
      <c r="B2527" s="121">
        <v>115.87999725341795</v>
      </c>
      <c r="C2527" s="120">
        <f>IFERROR(yf_data[[#This Row],[Close Price]]/B2526-1,0)</f>
        <v>1.2229156668692287E-2</v>
      </c>
    </row>
    <row r="2528" spans="1:3">
      <c r="A2528" s="119">
        <v>44446</v>
      </c>
      <c r="B2528" s="121">
        <v>114.09999847412109</v>
      </c>
      <c r="C2528" s="120">
        <f>IFERROR(yf_data[[#This Row],[Close Price]]/B2527-1,0)</f>
        <v>-1.5360707813999896E-2</v>
      </c>
    </row>
    <row r="2529" spans="1:3">
      <c r="A2529" s="119">
        <v>44447</v>
      </c>
      <c r="B2529" s="121">
        <v>113.72000122070313</v>
      </c>
      <c r="C2529" s="120">
        <f>IFERROR(yf_data[[#This Row],[Close Price]]/B2528-1,0)</f>
        <v>-3.3303878921975283E-3</v>
      </c>
    </row>
    <row r="2530" spans="1:3">
      <c r="A2530" s="119">
        <v>44448</v>
      </c>
      <c r="B2530" s="121">
        <v>115.1999969482422</v>
      </c>
      <c r="C2530" s="120">
        <f>IFERROR(yf_data[[#This Row],[Close Price]]/B2529-1,0)</f>
        <v>1.3014383676155372E-2</v>
      </c>
    </row>
    <row r="2531" spans="1:3">
      <c r="A2531" s="119">
        <v>44449</v>
      </c>
      <c r="B2531" s="121">
        <v>114.36000061035156</v>
      </c>
      <c r="C2531" s="120">
        <f>IFERROR(yf_data[[#This Row],[Close Price]]/B2530-1,0)</f>
        <v>-7.2916350706853095E-3</v>
      </c>
    </row>
    <row r="2532" spans="1:3">
      <c r="A2532" s="119">
        <v>44452</v>
      </c>
      <c r="B2532" s="121">
        <v>115.08000183105467</v>
      </c>
      <c r="C2532" s="120">
        <f>IFERROR(yf_data[[#This Row],[Close Price]]/B2531-1,0)</f>
        <v>6.2959183006330299E-3</v>
      </c>
    </row>
    <row r="2533" spans="1:3">
      <c r="A2533" s="119">
        <v>44453</v>
      </c>
      <c r="B2533" s="121">
        <v>112.76000213623048</v>
      </c>
      <c r="C2533" s="120">
        <f>IFERROR(yf_data[[#This Row],[Close Price]]/B2532-1,0)</f>
        <v>-2.0159885800402622E-2</v>
      </c>
    </row>
    <row r="2534" spans="1:3">
      <c r="A2534" s="119">
        <v>44454</v>
      </c>
      <c r="B2534" s="121">
        <v>112.36000061035156</v>
      </c>
      <c r="C2534" s="120">
        <f>IFERROR(yf_data[[#This Row],[Close Price]]/B2533-1,0)</f>
        <v>-3.5473706837612085E-3</v>
      </c>
    </row>
    <row r="2535" spans="1:3">
      <c r="A2535" s="119">
        <v>44455</v>
      </c>
      <c r="B2535" s="121">
        <v>114.87999725341795</v>
      </c>
      <c r="C2535" s="120">
        <f>IFERROR(yf_data[[#This Row],[Close Price]]/B2534-1,0)</f>
        <v>2.2427880289938695E-2</v>
      </c>
    </row>
    <row r="2536" spans="1:3">
      <c r="A2536" s="119">
        <v>44456</v>
      </c>
      <c r="B2536" s="121">
        <v>113.04000091552734</v>
      </c>
      <c r="C2536" s="120">
        <f>IFERROR(yf_data[[#This Row],[Close Price]]/B2535-1,0)</f>
        <v>-1.6016681597159965E-2</v>
      </c>
    </row>
    <row r="2537" spans="1:3">
      <c r="A2537" s="119">
        <v>44459</v>
      </c>
      <c r="B2537" s="121">
        <v>111.94000244140624</v>
      </c>
      <c r="C2537" s="120">
        <f>IFERROR(yf_data[[#This Row],[Close Price]]/B2536-1,0)</f>
        <v>-9.7310550708781252E-3</v>
      </c>
    </row>
    <row r="2538" spans="1:3">
      <c r="A2538" s="119">
        <v>44460</v>
      </c>
      <c r="B2538" s="121">
        <v>113.27999877929688</v>
      </c>
      <c r="C2538" s="120">
        <f>IFERROR(yf_data[[#This Row],[Close Price]]/B2537-1,0)</f>
        <v>1.1970665612519138E-2</v>
      </c>
    </row>
    <row r="2539" spans="1:3">
      <c r="A2539" s="119">
        <v>44461</v>
      </c>
      <c r="B2539" s="121">
        <v>115.83999633789063</v>
      </c>
      <c r="C2539" s="120">
        <f>IFERROR(yf_data[[#This Row],[Close Price]]/B2538-1,0)</f>
        <v>2.2598848748059952E-2</v>
      </c>
    </row>
    <row r="2540" spans="1:3">
      <c r="A2540" s="119">
        <v>44462</v>
      </c>
      <c r="B2540" s="121">
        <v>116.68000030517578</v>
      </c>
      <c r="C2540" s="120">
        <f>IFERROR(yf_data[[#This Row],[Close Price]]/B2539-1,0)</f>
        <v>7.2514156926850593E-3</v>
      </c>
    </row>
    <row r="2541" spans="1:3">
      <c r="A2541" s="119">
        <v>44463</v>
      </c>
      <c r="B2541" s="121">
        <v>115.40000152587891</v>
      </c>
      <c r="C2541" s="120">
        <f>IFERROR(yf_data[[#This Row],[Close Price]]/B2540-1,0)</f>
        <v>-1.0970164346495115E-2</v>
      </c>
    </row>
    <row r="2542" spans="1:3">
      <c r="A2542" s="119">
        <v>44466</v>
      </c>
      <c r="B2542" s="121">
        <v>117.23999786376952</v>
      </c>
      <c r="C2542" s="120">
        <f>IFERROR(yf_data[[#This Row],[Close Price]]/B2541-1,0)</f>
        <v>1.5944508783026112E-2</v>
      </c>
    </row>
    <row r="2543" spans="1:3">
      <c r="A2543" s="119">
        <v>44467</v>
      </c>
      <c r="B2543" s="121">
        <v>113.36000061035156</v>
      </c>
      <c r="C2543" s="120">
        <f>IFERROR(yf_data[[#This Row],[Close Price]]/B2542-1,0)</f>
        <v>-3.3094484170209881E-2</v>
      </c>
    </row>
    <row r="2544" spans="1:3">
      <c r="A2544" s="119">
        <v>44468</v>
      </c>
      <c r="B2544" s="121">
        <v>117.3000030517578</v>
      </c>
      <c r="C2544" s="120">
        <f>IFERROR(yf_data[[#This Row],[Close Price]]/B2543-1,0)</f>
        <v>3.4756549225410494E-2</v>
      </c>
    </row>
    <row r="2545" spans="1:3">
      <c r="A2545" s="119">
        <v>44469</v>
      </c>
      <c r="B2545" s="121">
        <v>115.09999847412109</v>
      </c>
      <c r="C2545" s="120">
        <f>IFERROR(yf_data[[#This Row],[Close Price]]/B2544-1,0)</f>
        <v>-1.8755366755327074E-2</v>
      </c>
    </row>
    <row r="2546" spans="1:3">
      <c r="A2546" s="119">
        <v>44470</v>
      </c>
      <c r="B2546" s="121">
        <v>116.58000183105467</v>
      </c>
      <c r="C2546" s="120">
        <f>IFERROR(yf_data[[#This Row],[Close Price]]/B2545-1,0)</f>
        <v>1.2858413349730258E-2</v>
      </c>
    </row>
    <row r="2547" spans="1:3">
      <c r="A2547" s="119">
        <v>44473</v>
      </c>
      <c r="B2547" s="121">
        <v>113.66000366210938</v>
      </c>
      <c r="C2547" s="120">
        <f>IFERROR(yf_data[[#This Row],[Close Price]]/B2546-1,0)</f>
        <v>-2.5047161803761986E-2</v>
      </c>
    </row>
    <row r="2548" spans="1:3">
      <c r="A2548" s="119">
        <v>44474</v>
      </c>
      <c r="B2548" s="121">
        <v>115.08000183105467</v>
      </c>
      <c r="C2548" s="120">
        <f>IFERROR(yf_data[[#This Row],[Close Price]]/B2547-1,0)</f>
        <v>1.2493384860048806E-2</v>
      </c>
    </row>
    <row r="2549" spans="1:3">
      <c r="A2549" s="119">
        <v>44475</v>
      </c>
      <c r="B2549" s="121">
        <v>113.41999816894533</v>
      </c>
      <c r="C2549" s="120">
        <f>IFERROR(yf_data[[#This Row],[Close Price]]/B2548-1,0)</f>
        <v>-1.4424779594167436E-2</v>
      </c>
    </row>
    <row r="2550" spans="1:3">
      <c r="A2550" s="119">
        <v>44476</v>
      </c>
      <c r="B2550" s="121">
        <v>114.1999969482422</v>
      </c>
      <c r="C2550" s="120">
        <f>IFERROR(yf_data[[#This Row],[Close Price]]/B2549-1,0)</f>
        <v>6.8770833352953531E-3</v>
      </c>
    </row>
    <row r="2551" spans="1:3">
      <c r="A2551" s="119">
        <v>44477</v>
      </c>
      <c r="B2551" s="121">
        <v>113.22000122070313</v>
      </c>
      <c r="C2551" s="120">
        <f>IFERROR(yf_data[[#This Row],[Close Price]]/B2550-1,0)</f>
        <v>-8.5813988942856634E-3</v>
      </c>
    </row>
    <row r="2552" spans="1:3">
      <c r="A2552" s="119">
        <v>44480</v>
      </c>
      <c r="B2552" s="121">
        <v>113.81999969482422</v>
      </c>
      <c r="C2552" s="120">
        <f>IFERROR(yf_data[[#This Row],[Close Price]]/B2551-1,0)</f>
        <v>5.2994035298719044E-3</v>
      </c>
    </row>
    <row r="2553" spans="1:3">
      <c r="A2553" s="119">
        <v>44481</v>
      </c>
      <c r="B2553" s="121">
        <v>113.23999786376952</v>
      </c>
      <c r="C2553" s="120">
        <f>IFERROR(yf_data[[#This Row],[Close Price]]/B2552-1,0)</f>
        <v>-5.0957813443138766E-3</v>
      </c>
    </row>
    <row r="2554" spans="1:3">
      <c r="A2554" s="119">
        <v>44482</v>
      </c>
      <c r="B2554" s="121">
        <v>112.33999633789063</v>
      </c>
      <c r="C2554" s="120">
        <f>IFERROR(yf_data[[#This Row],[Close Price]]/B2553-1,0)</f>
        <v>-7.9477352777912458E-3</v>
      </c>
    </row>
    <row r="2555" spans="1:3">
      <c r="A2555" s="119">
        <v>44483</v>
      </c>
      <c r="B2555" s="121">
        <v>113.36000061035156</v>
      </c>
      <c r="C2555" s="120">
        <f>IFERROR(yf_data[[#This Row],[Close Price]]/B2554-1,0)</f>
        <v>9.0796181743946214E-3</v>
      </c>
    </row>
    <row r="2556" spans="1:3">
      <c r="A2556" s="119">
        <v>44484</v>
      </c>
      <c r="B2556" s="121">
        <v>114.90000152587891</v>
      </c>
      <c r="C2556" s="120">
        <f>IFERROR(yf_data[[#This Row],[Close Price]]/B2555-1,0)</f>
        <v>1.3585046817534252E-2</v>
      </c>
    </row>
    <row r="2557" spans="1:3">
      <c r="A2557" s="119">
        <v>44487</v>
      </c>
      <c r="B2557" s="121">
        <v>113.3000030517578</v>
      </c>
      <c r="C2557" s="120">
        <f>IFERROR(yf_data[[#This Row],[Close Price]]/B2556-1,0)</f>
        <v>-1.3925138841366702E-2</v>
      </c>
    </row>
    <row r="2558" spans="1:3">
      <c r="A2558" s="119">
        <v>44488</v>
      </c>
      <c r="B2558" s="121">
        <v>112.31999969482422</v>
      </c>
      <c r="C2558" s="120">
        <f>IFERROR(yf_data[[#This Row],[Close Price]]/B2557-1,0)</f>
        <v>-8.6496322200970699E-3</v>
      </c>
    </row>
    <row r="2559" spans="1:3">
      <c r="A2559" s="119">
        <v>44489</v>
      </c>
      <c r="B2559" s="121">
        <v>112.16000366210938</v>
      </c>
      <c r="C2559" s="120">
        <f>IFERROR(yf_data[[#This Row],[Close Price]]/B2558-1,0)</f>
        <v>-1.4244661071007858E-3</v>
      </c>
    </row>
    <row r="2560" spans="1:3">
      <c r="A2560" s="119">
        <v>44490</v>
      </c>
      <c r="B2560" s="121">
        <v>111.37999725341795</v>
      </c>
      <c r="C2560" s="120">
        <f>IFERROR(yf_data[[#This Row],[Close Price]]/B2559-1,0)</f>
        <v>-6.9544078390122444E-3</v>
      </c>
    </row>
    <row r="2561" spans="1:3">
      <c r="A2561" s="119">
        <v>44491</v>
      </c>
      <c r="B2561" s="121">
        <v>109.77999877929688</v>
      </c>
      <c r="C2561" s="120">
        <f>IFERROR(yf_data[[#This Row],[Close Price]]/B2560-1,0)</f>
        <v>-1.4365222783052078E-2</v>
      </c>
    </row>
    <row r="2562" spans="1:3">
      <c r="C2562"/>
    </row>
    <row r="2563" spans="1:3">
      <c r="C2563"/>
    </row>
    <row r="2564" spans="1:3">
      <c r="C2564"/>
    </row>
    <row r="2565" spans="1:3">
      <c r="C2565"/>
    </row>
    <row r="2566" spans="1:3">
      <c r="C2566"/>
    </row>
    <row r="2567" spans="1:3">
      <c r="C2567"/>
    </row>
    <row r="2568" spans="1:3">
      <c r="C2568"/>
    </row>
    <row r="2569" spans="1:3">
      <c r="C2569"/>
    </row>
    <row r="2570" spans="1:3">
      <c r="C2570"/>
    </row>
    <row r="2571" spans="1:3">
      <c r="C2571"/>
    </row>
    <row r="2572" spans="1:3">
      <c r="C2572"/>
    </row>
    <row r="2573" spans="1:3">
      <c r="C2573"/>
    </row>
    <row r="2574" spans="1:3">
      <c r="C2574"/>
    </row>
    <row r="2575" spans="1:3">
      <c r="C2575"/>
    </row>
    <row r="2576" spans="1:3">
      <c r="C2576"/>
    </row>
    <row r="2577" spans="3:3">
      <c r="C2577"/>
    </row>
    <row r="2578" spans="3:3">
      <c r="C2578"/>
    </row>
    <row r="2579" spans="3:3">
      <c r="C2579"/>
    </row>
    <row r="2580" spans="3:3">
      <c r="C2580"/>
    </row>
    <row r="2581" spans="3:3">
      <c r="C2581"/>
    </row>
    <row r="2582" spans="3:3">
      <c r="C2582"/>
    </row>
    <row r="2583" spans="3:3">
      <c r="C2583"/>
    </row>
    <row r="2584" spans="3:3">
      <c r="C2584"/>
    </row>
    <row r="2585" spans="3:3">
      <c r="C2585"/>
    </row>
    <row r="2586" spans="3:3">
      <c r="C2586"/>
    </row>
    <row r="2587" spans="3:3">
      <c r="C2587"/>
    </row>
    <row r="2588" spans="3:3">
      <c r="C2588"/>
    </row>
    <row r="2589" spans="3:3">
      <c r="C2589"/>
    </row>
    <row r="2590" spans="3:3">
      <c r="C2590"/>
    </row>
    <row r="2591" spans="3:3">
      <c r="C2591"/>
    </row>
    <row r="2592" spans="3:3">
      <c r="C2592"/>
    </row>
    <row r="2593" spans="3:3">
      <c r="C2593"/>
    </row>
    <row r="2594" spans="3:3">
      <c r="C2594"/>
    </row>
    <row r="2595" spans="3:3">
      <c r="C2595"/>
    </row>
    <row r="2596" spans="3:3">
      <c r="C2596"/>
    </row>
    <row r="2597" spans="3:3">
      <c r="C2597"/>
    </row>
    <row r="2598" spans="3:3">
      <c r="C2598"/>
    </row>
    <row r="2599" spans="3:3">
      <c r="C2599"/>
    </row>
    <row r="2600" spans="3:3">
      <c r="C2600"/>
    </row>
    <row r="2601" spans="3:3">
      <c r="C2601"/>
    </row>
    <row r="2602" spans="3:3">
      <c r="C2602"/>
    </row>
    <row r="2603" spans="3:3">
      <c r="C2603"/>
    </row>
    <row r="2604" spans="3:3">
      <c r="C2604"/>
    </row>
    <row r="2605" spans="3:3">
      <c r="C2605"/>
    </row>
    <row r="2606" spans="3:3">
      <c r="C2606"/>
    </row>
    <row r="2607" spans="3:3">
      <c r="C2607"/>
    </row>
    <row r="2608" spans="3:3">
      <c r="C2608"/>
    </row>
    <row r="2609" spans="3:3">
      <c r="C2609"/>
    </row>
    <row r="2610" spans="3:3">
      <c r="C2610"/>
    </row>
    <row r="2611" spans="3:3">
      <c r="C2611"/>
    </row>
    <row r="2612" spans="3:3">
      <c r="C2612"/>
    </row>
    <row r="2613" spans="3:3">
      <c r="C2613"/>
    </row>
    <row r="2614" spans="3:3">
      <c r="C2614"/>
    </row>
    <row r="2615" spans="3:3">
      <c r="C2615"/>
    </row>
    <row r="2616" spans="3:3">
      <c r="C2616"/>
    </row>
    <row r="2617" spans="3:3">
      <c r="C2617"/>
    </row>
    <row r="2618" spans="3:3">
      <c r="C2618"/>
    </row>
    <row r="2619" spans="3:3">
      <c r="C2619"/>
    </row>
    <row r="2620" spans="3:3">
      <c r="C2620"/>
    </row>
    <row r="2621" spans="3:3">
      <c r="C2621"/>
    </row>
    <row r="2622" spans="3:3">
      <c r="C2622"/>
    </row>
    <row r="2623" spans="3:3">
      <c r="C2623"/>
    </row>
    <row r="2624" spans="3:3">
      <c r="C2624"/>
    </row>
    <row r="2625" spans="3:3">
      <c r="C2625"/>
    </row>
    <row r="2626" spans="3:3">
      <c r="C2626"/>
    </row>
    <row r="2627" spans="3:3">
      <c r="C2627"/>
    </row>
    <row r="2628" spans="3:3">
      <c r="C2628"/>
    </row>
    <row r="2629" spans="3:3">
      <c r="C2629"/>
    </row>
    <row r="2630" spans="3:3">
      <c r="C2630"/>
    </row>
    <row r="2631" spans="3:3">
      <c r="C2631"/>
    </row>
    <row r="2632" spans="3:3">
      <c r="C2632"/>
    </row>
    <row r="2633" spans="3:3">
      <c r="C2633"/>
    </row>
    <row r="2634" spans="3:3">
      <c r="C2634"/>
    </row>
    <row r="2635" spans="3:3">
      <c r="C2635"/>
    </row>
    <row r="2636" spans="3:3">
      <c r="C2636"/>
    </row>
    <row r="2637" spans="3:3">
      <c r="C2637"/>
    </row>
    <row r="2638" spans="3:3">
      <c r="C2638"/>
    </row>
    <row r="2639" spans="3:3">
      <c r="C2639"/>
    </row>
    <row r="2640" spans="3:3">
      <c r="C2640"/>
    </row>
    <row r="2641" spans="3:3">
      <c r="C2641"/>
    </row>
    <row r="2642" spans="3:3">
      <c r="C2642"/>
    </row>
    <row r="2643" spans="3:3">
      <c r="C2643"/>
    </row>
    <row r="2644" spans="3:3">
      <c r="C2644"/>
    </row>
    <row r="2645" spans="3:3">
      <c r="C2645"/>
    </row>
    <row r="2646" spans="3:3">
      <c r="C2646"/>
    </row>
    <row r="2647" spans="3:3">
      <c r="C2647"/>
    </row>
    <row r="2648" spans="3:3">
      <c r="C2648"/>
    </row>
    <row r="2649" spans="3:3">
      <c r="C2649"/>
    </row>
    <row r="2650" spans="3:3">
      <c r="C2650"/>
    </row>
    <row r="2651" spans="3:3">
      <c r="C2651"/>
    </row>
    <row r="2652" spans="3:3">
      <c r="C2652"/>
    </row>
    <row r="2653" spans="3:3">
      <c r="C2653"/>
    </row>
    <row r="2654" spans="3:3">
      <c r="C2654"/>
    </row>
    <row r="2655" spans="3:3">
      <c r="C2655"/>
    </row>
    <row r="2656" spans="3:3">
      <c r="C2656"/>
    </row>
    <row r="2657" spans="3:3">
      <c r="C2657"/>
    </row>
    <row r="2658" spans="3:3">
      <c r="C2658"/>
    </row>
    <row r="2659" spans="3:3">
      <c r="C2659"/>
    </row>
    <row r="2660" spans="3:3">
      <c r="C2660"/>
    </row>
    <row r="2661" spans="3:3">
      <c r="C2661"/>
    </row>
    <row r="2662" spans="3:3">
      <c r="C2662"/>
    </row>
    <row r="2663" spans="3:3">
      <c r="C2663"/>
    </row>
    <row r="2664" spans="3:3">
      <c r="C2664"/>
    </row>
    <row r="2665" spans="3:3">
      <c r="C2665"/>
    </row>
    <row r="2666" spans="3:3">
      <c r="C2666"/>
    </row>
    <row r="2667" spans="3:3">
      <c r="C2667"/>
    </row>
    <row r="2668" spans="3:3">
      <c r="C2668"/>
    </row>
    <row r="2669" spans="3:3">
      <c r="C2669"/>
    </row>
    <row r="2670" spans="3:3">
      <c r="C2670"/>
    </row>
    <row r="2671" spans="3:3">
      <c r="C2671"/>
    </row>
    <row r="2672" spans="3:3">
      <c r="C2672"/>
    </row>
    <row r="2673" spans="3:3">
      <c r="C2673"/>
    </row>
    <row r="2674" spans="3:3">
      <c r="C2674"/>
    </row>
    <row r="2675" spans="3:3">
      <c r="C2675"/>
    </row>
    <row r="2676" spans="3:3">
      <c r="C2676"/>
    </row>
    <row r="2677" spans="3:3">
      <c r="C2677"/>
    </row>
    <row r="2678" spans="3:3">
      <c r="C2678"/>
    </row>
    <row r="2679" spans="3:3">
      <c r="C2679"/>
    </row>
    <row r="2680" spans="3:3">
      <c r="C2680"/>
    </row>
    <row r="2681" spans="3:3">
      <c r="C2681"/>
    </row>
    <row r="2682" spans="3:3">
      <c r="C2682"/>
    </row>
    <row r="2683" spans="3:3">
      <c r="C2683"/>
    </row>
    <row r="2684" spans="3:3">
      <c r="C2684"/>
    </row>
    <row r="2685" spans="3:3">
      <c r="C2685"/>
    </row>
    <row r="2686" spans="3:3">
      <c r="C2686"/>
    </row>
    <row r="2687" spans="3:3">
      <c r="C2687"/>
    </row>
    <row r="2688" spans="3:3">
      <c r="C2688"/>
    </row>
    <row r="2689" spans="3:3">
      <c r="C2689"/>
    </row>
    <row r="2690" spans="3:3">
      <c r="C2690"/>
    </row>
    <row r="2691" spans="3:3">
      <c r="C2691"/>
    </row>
    <row r="2692" spans="3:3">
      <c r="C2692"/>
    </row>
    <row r="2693" spans="3:3">
      <c r="C2693"/>
    </row>
    <row r="2694" spans="3:3">
      <c r="C2694"/>
    </row>
    <row r="2695" spans="3:3">
      <c r="C2695"/>
    </row>
    <row r="2696" spans="3:3">
      <c r="C2696"/>
    </row>
    <row r="2697" spans="3:3">
      <c r="C2697"/>
    </row>
    <row r="2698" spans="3:3">
      <c r="C2698"/>
    </row>
    <row r="2699" spans="3:3">
      <c r="C2699"/>
    </row>
    <row r="2700" spans="3:3">
      <c r="C2700"/>
    </row>
    <row r="2701" spans="3:3">
      <c r="C2701"/>
    </row>
    <row r="2702" spans="3:3">
      <c r="C2702"/>
    </row>
    <row r="2703" spans="3:3">
      <c r="C2703"/>
    </row>
    <row r="2704" spans="3:3">
      <c r="C2704"/>
    </row>
    <row r="2705" spans="3:3">
      <c r="C2705"/>
    </row>
    <row r="2706" spans="3:3">
      <c r="C2706"/>
    </row>
    <row r="2707" spans="3:3">
      <c r="C2707"/>
    </row>
    <row r="2708" spans="3:3">
      <c r="C2708"/>
    </row>
    <row r="2709" spans="3:3">
      <c r="C2709"/>
    </row>
    <row r="2710" spans="3:3">
      <c r="C2710"/>
    </row>
    <row r="2711" spans="3:3">
      <c r="C2711"/>
    </row>
    <row r="2712" spans="3:3">
      <c r="C2712"/>
    </row>
    <row r="2713" spans="3:3">
      <c r="C2713"/>
    </row>
    <row r="2714" spans="3:3">
      <c r="C2714"/>
    </row>
    <row r="2715" spans="3:3">
      <c r="C2715"/>
    </row>
    <row r="2716" spans="3:3">
      <c r="C2716"/>
    </row>
    <row r="2717" spans="3:3">
      <c r="C2717"/>
    </row>
    <row r="2718" spans="3:3">
      <c r="C2718"/>
    </row>
    <row r="2719" spans="3:3">
      <c r="C2719"/>
    </row>
    <row r="2720" spans="3:3">
      <c r="C2720"/>
    </row>
    <row r="2721" spans="3:3">
      <c r="C2721"/>
    </row>
    <row r="2722" spans="3:3">
      <c r="C2722"/>
    </row>
    <row r="2723" spans="3:3">
      <c r="C2723"/>
    </row>
    <row r="2724" spans="3:3">
      <c r="C2724"/>
    </row>
    <row r="2725" spans="3:3">
      <c r="C2725"/>
    </row>
    <row r="2726" spans="3:3">
      <c r="C2726"/>
    </row>
    <row r="2727" spans="3:3">
      <c r="C2727"/>
    </row>
    <row r="2728" spans="3:3">
      <c r="C2728"/>
    </row>
    <row r="2729" spans="3:3">
      <c r="C2729"/>
    </row>
    <row r="2730" spans="3:3">
      <c r="C2730"/>
    </row>
    <row r="2731" spans="3:3">
      <c r="C2731"/>
    </row>
    <row r="2732" spans="3:3">
      <c r="C2732"/>
    </row>
    <row r="2733" spans="3:3">
      <c r="C2733"/>
    </row>
    <row r="2734" spans="3:3">
      <c r="C2734"/>
    </row>
    <row r="2735" spans="3:3">
      <c r="C2735"/>
    </row>
    <row r="2736" spans="3:3">
      <c r="C2736"/>
    </row>
    <row r="2737" spans="3:3">
      <c r="C2737"/>
    </row>
    <row r="2738" spans="3:3">
      <c r="C2738"/>
    </row>
    <row r="2739" spans="3:3">
      <c r="C2739"/>
    </row>
    <row r="2740" spans="3:3">
      <c r="C2740"/>
    </row>
    <row r="2741" spans="3:3">
      <c r="C2741"/>
    </row>
    <row r="2742" spans="3:3">
      <c r="C2742"/>
    </row>
    <row r="2743" spans="3:3">
      <c r="C2743"/>
    </row>
    <row r="2744" spans="3:3">
      <c r="C2744"/>
    </row>
    <row r="2745" spans="3:3">
      <c r="C2745"/>
    </row>
    <row r="2746" spans="3:3">
      <c r="C2746"/>
    </row>
    <row r="2747" spans="3:3">
      <c r="C2747"/>
    </row>
    <row r="2748" spans="3:3">
      <c r="C2748"/>
    </row>
    <row r="2749" spans="3:3">
      <c r="C2749"/>
    </row>
    <row r="2750" spans="3:3">
      <c r="C2750"/>
    </row>
    <row r="2751" spans="3:3">
      <c r="C2751"/>
    </row>
    <row r="2752" spans="3:3">
      <c r="C2752"/>
    </row>
    <row r="2753" spans="3:3">
      <c r="C2753"/>
    </row>
    <row r="2754" spans="3:3">
      <c r="C2754"/>
    </row>
    <row r="2755" spans="3:3">
      <c r="C2755"/>
    </row>
    <row r="2756" spans="3:3">
      <c r="C2756"/>
    </row>
    <row r="2757" spans="3:3">
      <c r="C2757"/>
    </row>
    <row r="2758" spans="3:3">
      <c r="C2758"/>
    </row>
    <row r="2759" spans="3:3">
      <c r="C2759"/>
    </row>
    <row r="2760" spans="3:3">
      <c r="C2760"/>
    </row>
    <row r="2761" spans="3:3">
      <c r="C2761"/>
    </row>
    <row r="2762" spans="3:3">
      <c r="C2762"/>
    </row>
    <row r="2763" spans="3:3">
      <c r="C2763"/>
    </row>
    <row r="2764" spans="3:3">
      <c r="C2764"/>
    </row>
    <row r="2765" spans="3:3">
      <c r="C2765"/>
    </row>
    <row r="2766" spans="3:3">
      <c r="C2766"/>
    </row>
    <row r="2767" spans="3:3">
      <c r="C2767"/>
    </row>
    <row r="2768" spans="3:3">
      <c r="C2768"/>
    </row>
    <row r="2769" spans="3:3">
      <c r="C2769"/>
    </row>
    <row r="2770" spans="3:3">
      <c r="C2770"/>
    </row>
    <row r="2771" spans="3:3">
      <c r="C2771"/>
    </row>
    <row r="2772" spans="3:3">
      <c r="C2772"/>
    </row>
    <row r="2773" spans="3:3">
      <c r="C2773"/>
    </row>
    <row r="2774" spans="3:3">
      <c r="C2774"/>
    </row>
    <row r="2775" spans="3:3">
      <c r="C2775"/>
    </row>
    <row r="2776" spans="3:3">
      <c r="C2776"/>
    </row>
    <row r="2777" spans="3:3">
      <c r="C2777"/>
    </row>
    <row r="2778" spans="3:3">
      <c r="C2778"/>
    </row>
    <row r="2779" spans="3:3">
      <c r="C2779"/>
    </row>
    <row r="2780" spans="3:3">
      <c r="C2780"/>
    </row>
    <row r="2781" spans="3:3">
      <c r="C2781"/>
    </row>
    <row r="2782" spans="3:3">
      <c r="C2782"/>
    </row>
    <row r="2783" spans="3:3">
      <c r="C2783"/>
    </row>
    <row r="2784" spans="3:3">
      <c r="C2784"/>
    </row>
    <row r="2785" spans="3:3">
      <c r="C2785"/>
    </row>
    <row r="2786" spans="3:3">
      <c r="C2786"/>
    </row>
    <row r="2787" spans="3:3">
      <c r="C2787"/>
    </row>
    <row r="2788" spans="3:3">
      <c r="C2788"/>
    </row>
    <row r="2789" spans="3:3">
      <c r="C2789"/>
    </row>
    <row r="2790" spans="3:3">
      <c r="C2790"/>
    </row>
    <row r="2791" spans="3:3">
      <c r="C2791"/>
    </row>
    <row r="2792" spans="3:3">
      <c r="C2792"/>
    </row>
    <row r="2793" spans="3:3">
      <c r="C2793"/>
    </row>
    <row r="2794" spans="3:3">
      <c r="C2794"/>
    </row>
    <row r="2795" spans="3:3">
      <c r="C2795"/>
    </row>
    <row r="2796" spans="3:3">
      <c r="C2796"/>
    </row>
    <row r="2797" spans="3:3">
      <c r="C2797"/>
    </row>
    <row r="2798" spans="3:3">
      <c r="C2798"/>
    </row>
    <row r="2799" spans="3:3">
      <c r="C2799"/>
    </row>
    <row r="2800" spans="3:3">
      <c r="C2800"/>
    </row>
    <row r="2801" spans="3:3">
      <c r="C2801"/>
    </row>
    <row r="2802" spans="3:3">
      <c r="C2802"/>
    </row>
    <row r="2803" spans="3:3">
      <c r="C2803"/>
    </row>
    <row r="2804" spans="3:3">
      <c r="C2804"/>
    </row>
    <row r="2805" spans="3:3">
      <c r="C2805"/>
    </row>
    <row r="2806" spans="3:3">
      <c r="C2806"/>
    </row>
    <row r="2807" spans="3:3">
      <c r="C2807"/>
    </row>
    <row r="2808" spans="3:3">
      <c r="C2808"/>
    </row>
    <row r="2809" spans="3:3">
      <c r="C2809"/>
    </row>
    <row r="2810" spans="3:3">
      <c r="C2810"/>
    </row>
    <row r="2811" spans="3:3">
      <c r="C2811"/>
    </row>
    <row r="2812" spans="3:3">
      <c r="C2812"/>
    </row>
    <row r="2813" spans="3:3">
      <c r="C2813"/>
    </row>
    <row r="2814" spans="3:3">
      <c r="C2814"/>
    </row>
    <row r="2815" spans="3:3">
      <c r="C2815"/>
    </row>
    <row r="2816" spans="3:3">
      <c r="C2816"/>
    </row>
    <row r="2817" spans="3:3">
      <c r="C2817"/>
    </row>
    <row r="2818" spans="3:3">
      <c r="C2818"/>
    </row>
    <row r="2819" spans="3:3">
      <c r="C2819"/>
    </row>
    <row r="2820" spans="3:3">
      <c r="C2820"/>
    </row>
    <row r="2821" spans="3:3">
      <c r="C2821"/>
    </row>
    <row r="2822" spans="3:3">
      <c r="C2822"/>
    </row>
    <row r="2823" spans="3:3">
      <c r="C2823"/>
    </row>
    <row r="2824" spans="3:3">
      <c r="C2824"/>
    </row>
    <row r="2825" spans="3:3">
      <c r="C2825"/>
    </row>
    <row r="2826" spans="3:3">
      <c r="C2826"/>
    </row>
    <row r="2827" spans="3:3">
      <c r="C2827"/>
    </row>
    <row r="2828" spans="3:3">
      <c r="C2828"/>
    </row>
    <row r="2829" spans="3:3">
      <c r="C2829"/>
    </row>
    <row r="2830" spans="3:3">
      <c r="C2830"/>
    </row>
    <row r="2831" spans="3:3">
      <c r="C2831"/>
    </row>
    <row r="2832" spans="3:3">
      <c r="C2832"/>
    </row>
    <row r="2833" spans="3:3">
      <c r="C2833"/>
    </row>
    <row r="2834" spans="3:3">
      <c r="C2834"/>
    </row>
    <row r="2835" spans="3:3">
      <c r="C2835"/>
    </row>
    <row r="2836" spans="3:3">
      <c r="C2836"/>
    </row>
    <row r="2837" spans="3:3">
      <c r="C2837"/>
    </row>
    <row r="2838" spans="3:3">
      <c r="C2838"/>
    </row>
    <row r="2839" spans="3:3">
      <c r="C2839"/>
    </row>
    <row r="2840" spans="3:3">
      <c r="C2840"/>
    </row>
    <row r="2841" spans="3:3">
      <c r="C2841"/>
    </row>
    <row r="2842" spans="3:3">
      <c r="C2842"/>
    </row>
    <row r="2843" spans="3:3">
      <c r="C2843"/>
    </row>
    <row r="2844" spans="3:3">
      <c r="C2844"/>
    </row>
    <row r="2845" spans="3:3">
      <c r="C2845"/>
    </row>
    <row r="2846" spans="3:3">
      <c r="C2846"/>
    </row>
    <row r="2847" spans="3:3">
      <c r="C2847"/>
    </row>
    <row r="2848" spans="3:3">
      <c r="C2848"/>
    </row>
    <row r="2849" spans="3:3">
      <c r="C2849"/>
    </row>
    <row r="2850" spans="3:3">
      <c r="C2850"/>
    </row>
    <row r="2851" spans="3:3">
      <c r="C2851"/>
    </row>
    <row r="2852" spans="3:3">
      <c r="C2852"/>
    </row>
    <row r="2853" spans="3:3">
      <c r="C2853"/>
    </row>
    <row r="2854" spans="3:3">
      <c r="C2854"/>
    </row>
    <row r="2855" spans="3:3">
      <c r="C2855"/>
    </row>
    <row r="2856" spans="3:3">
      <c r="C2856"/>
    </row>
    <row r="2857" spans="3:3">
      <c r="C2857"/>
    </row>
    <row r="2858" spans="3:3">
      <c r="C2858"/>
    </row>
    <row r="2859" spans="3:3">
      <c r="C2859"/>
    </row>
    <row r="2860" spans="3:3">
      <c r="C2860"/>
    </row>
    <row r="2861" spans="3:3">
      <c r="C2861"/>
    </row>
    <row r="2862" spans="3:3">
      <c r="C2862"/>
    </row>
    <row r="2863" spans="3:3">
      <c r="C2863"/>
    </row>
    <row r="2864" spans="3:3">
      <c r="C2864"/>
    </row>
    <row r="2865" spans="3:3">
      <c r="C2865"/>
    </row>
    <row r="2866" spans="3:3">
      <c r="C2866"/>
    </row>
    <row r="2867" spans="3:3">
      <c r="C2867"/>
    </row>
    <row r="2868" spans="3:3">
      <c r="C2868"/>
    </row>
    <row r="2869" spans="3:3">
      <c r="C2869"/>
    </row>
    <row r="2870" spans="3:3">
      <c r="C2870"/>
    </row>
    <row r="2871" spans="3:3">
      <c r="C2871"/>
    </row>
    <row r="2872" spans="3:3">
      <c r="C2872"/>
    </row>
    <row r="2873" spans="3:3">
      <c r="C2873"/>
    </row>
    <row r="2874" spans="3:3">
      <c r="C2874"/>
    </row>
    <row r="2875" spans="3:3">
      <c r="C2875"/>
    </row>
    <row r="2876" spans="3:3">
      <c r="C2876"/>
    </row>
    <row r="2877" spans="3:3">
      <c r="C2877"/>
    </row>
    <row r="2878" spans="3:3">
      <c r="C2878"/>
    </row>
    <row r="2879" spans="3:3">
      <c r="C2879"/>
    </row>
    <row r="2880" spans="3:3">
      <c r="C2880"/>
    </row>
    <row r="2881" spans="3:3">
      <c r="C2881"/>
    </row>
    <row r="2882" spans="3:3">
      <c r="C2882"/>
    </row>
    <row r="2883" spans="3:3">
      <c r="C2883"/>
    </row>
    <row r="2884" spans="3:3">
      <c r="C2884"/>
    </row>
    <row r="2885" spans="3:3">
      <c r="C2885"/>
    </row>
    <row r="2886" spans="3:3">
      <c r="C2886"/>
    </row>
    <row r="2887" spans="3:3">
      <c r="C2887"/>
    </row>
    <row r="2888" spans="3:3">
      <c r="C2888"/>
    </row>
    <row r="2889" spans="3:3">
      <c r="C2889"/>
    </row>
    <row r="2890" spans="3:3">
      <c r="C2890"/>
    </row>
    <row r="2891" spans="3:3">
      <c r="C2891"/>
    </row>
    <row r="2892" spans="3:3">
      <c r="C2892"/>
    </row>
    <row r="2893" spans="3:3">
      <c r="C2893"/>
    </row>
    <row r="2894" spans="3:3">
      <c r="C2894"/>
    </row>
    <row r="2895" spans="3:3">
      <c r="C2895"/>
    </row>
    <row r="2896" spans="3:3">
      <c r="C2896"/>
    </row>
    <row r="2897" spans="3:3">
      <c r="C2897"/>
    </row>
    <row r="2898" spans="3:3">
      <c r="C2898"/>
    </row>
    <row r="2899" spans="3:3">
      <c r="C2899"/>
    </row>
    <row r="2900" spans="3:3">
      <c r="C2900"/>
    </row>
    <row r="2901" spans="3:3">
      <c r="C2901"/>
    </row>
    <row r="2902" spans="3:3">
      <c r="C2902"/>
    </row>
    <row r="2903" spans="3:3">
      <c r="C2903"/>
    </row>
    <row r="2904" spans="3:3">
      <c r="C2904"/>
    </row>
    <row r="2905" spans="3:3">
      <c r="C2905"/>
    </row>
    <row r="2906" spans="3:3">
      <c r="C2906"/>
    </row>
    <row r="2907" spans="3:3">
      <c r="C2907"/>
    </row>
    <row r="2908" spans="3:3">
      <c r="C2908"/>
    </row>
    <row r="2909" spans="3:3">
      <c r="C2909"/>
    </row>
    <row r="2910" spans="3:3">
      <c r="C2910"/>
    </row>
    <row r="2911" spans="3:3">
      <c r="C2911"/>
    </row>
    <row r="2912" spans="3:3">
      <c r="C2912"/>
    </row>
    <row r="2913" spans="3:3">
      <c r="C2913"/>
    </row>
    <row r="2914" spans="3:3">
      <c r="C2914"/>
    </row>
    <row r="2915" spans="3:3">
      <c r="C2915"/>
    </row>
    <row r="2916" spans="3:3">
      <c r="C2916"/>
    </row>
    <row r="2917" spans="3:3">
      <c r="C2917"/>
    </row>
    <row r="2918" spans="3:3">
      <c r="C2918"/>
    </row>
    <row r="2919" spans="3:3">
      <c r="C2919"/>
    </row>
    <row r="2920" spans="3:3">
      <c r="C2920"/>
    </row>
    <row r="2921" spans="3:3">
      <c r="C2921"/>
    </row>
    <row r="2922" spans="3:3">
      <c r="C2922"/>
    </row>
    <row r="2923" spans="3:3">
      <c r="C2923"/>
    </row>
    <row r="2924" spans="3:3">
      <c r="C2924"/>
    </row>
    <row r="2925" spans="3:3">
      <c r="C2925"/>
    </row>
    <row r="2926" spans="3:3">
      <c r="C2926"/>
    </row>
    <row r="2927" spans="3:3">
      <c r="C2927"/>
    </row>
    <row r="2928" spans="3:3">
      <c r="C2928"/>
    </row>
    <row r="2929" spans="3:3">
      <c r="C2929"/>
    </row>
    <row r="2930" spans="3:3">
      <c r="C2930"/>
    </row>
    <row r="2931" spans="3:3">
      <c r="C2931"/>
    </row>
    <row r="2932" spans="3:3">
      <c r="C2932"/>
    </row>
    <row r="2933" spans="3:3">
      <c r="C2933"/>
    </row>
    <row r="2934" spans="3:3">
      <c r="C2934"/>
    </row>
    <row r="2935" spans="3:3">
      <c r="C2935"/>
    </row>
    <row r="2936" spans="3:3">
      <c r="C2936"/>
    </row>
    <row r="2937" spans="3:3">
      <c r="C2937"/>
    </row>
    <row r="2938" spans="3:3">
      <c r="C2938"/>
    </row>
    <row r="2939" spans="3:3">
      <c r="C2939"/>
    </row>
    <row r="2940" spans="3:3">
      <c r="C2940"/>
    </row>
    <row r="2941" spans="3:3">
      <c r="C2941"/>
    </row>
    <row r="2942" spans="3:3">
      <c r="C2942"/>
    </row>
    <row r="2943" spans="3:3">
      <c r="C2943"/>
    </row>
    <row r="2944" spans="3:3">
      <c r="C2944"/>
    </row>
    <row r="2945" spans="3:3">
      <c r="C2945"/>
    </row>
    <row r="2946" spans="3:3">
      <c r="C2946"/>
    </row>
    <row r="2947" spans="3:3">
      <c r="C2947"/>
    </row>
    <row r="2948" spans="3:3">
      <c r="C2948"/>
    </row>
    <row r="2949" spans="3:3">
      <c r="C2949"/>
    </row>
    <row r="2950" spans="3:3">
      <c r="C2950"/>
    </row>
    <row r="2951" spans="3:3">
      <c r="C2951"/>
    </row>
    <row r="2952" spans="3:3">
      <c r="C2952"/>
    </row>
    <row r="2953" spans="3:3">
      <c r="C2953"/>
    </row>
    <row r="2954" spans="3:3">
      <c r="C2954"/>
    </row>
    <row r="2955" spans="3:3">
      <c r="C2955"/>
    </row>
    <row r="2956" spans="3:3">
      <c r="C2956"/>
    </row>
    <row r="2957" spans="3:3">
      <c r="C2957"/>
    </row>
    <row r="2958" spans="3:3">
      <c r="C2958"/>
    </row>
    <row r="2959" spans="3:3">
      <c r="C2959"/>
    </row>
    <row r="2960" spans="3:3">
      <c r="C2960"/>
    </row>
    <row r="2961" spans="3:3">
      <c r="C2961"/>
    </row>
    <row r="2962" spans="3:3">
      <c r="C2962"/>
    </row>
    <row r="2963" spans="3:3">
      <c r="C2963"/>
    </row>
    <row r="2964" spans="3:3">
      <c r="C2964"/>
    </row>
    <row r="2965" spans="3:3">
      <c r="C2965"/>
    </row>
    <row r="2966" spans="3:3">
      <c r="C2966"/>
    </row>
    <row r="2967" spans="3:3">
      <c r="C2967"/>
    </row>
    <row r="2968" spans="3:3">
      <c r="C2968"/>
    </row>
    <row r="2969" spans="3:3">
      <c r="C2969"/>
    </row>
    <row r="2970" spans="3:3">
      <c r="C2970"/>
    </row>
    <row r="2971" spans="3:3">
      <c r="C2971"/>
    </row>
    <row r="2972" spans="3:3">
      <c r="C2972"/>
    </row>
    <row r="2973" spans="3:3">
      <c r="C2973"/>
    </row>
    <row r="2974" spans="3:3">
      <c r="C2974"/>
    </row>
    <row r="2975" spans="3:3">
      <c r="C2975"/>
    </row>
    <row r="2976" spans="3:3">
      <c r="C2976"/>
    </row>
    <row r="2977" spans="3:3">
      <c r="C2977"/>
    </row>
    <row r="2978" spans="3:3">
      <c r="C2978"/>
    </row>
    <row r="2979" spans="3:3">
      <c r="C2979"/>
    </row>
    <row r="2980" spans="3:3">
      <c r="C2980"/>
    </row>
    <row r="2981" spans="3:3">
      <c r="C2981"/>
    </row>
    <row r="2982" spans="3:3">
      <c r="C2982"/>
    </row>
    <row r="2983" spans="3:3">
      <c r="C2983"/>
    </row>
    <row r="2984" spans="3:3">
      <c r="C2984"/>
    </row>
    <row r="2985" spans="3:3">
      <c r="C2985"/>
    </row>
    <row r="2986" spans="3:3">
      <c r="C2986"/>
    </row>
    <row r="2987" spans="3:3">
      <c r="C2987"/>
    </row>
    <row r="2988" spans="3:3">
      <c r="C2988"/>
    </row>
    <row r="2989" spans="3:3">
      <c r="C2989"/>
    </row>
    <row r="2990" spans="3:3">
      <c r="C2990"/>
    </row>
    <row r="2991" spans="3:3">
      <c r="C2991"/>
    </row>
    <row r="2992" spans="3:3">
      <c r="C2992"/>
    </row>
    <row r="2993" spans="3:3">
      <c r="C2993"/>
    </row>
    <row r="2994" spans="3:3">
      <c r="C2994"/>
    </row>
    <row r="2995" spans="3:3">
      <c r="C2995"/>
    </row>
    <row r="2996" spans="3:3">
      <c r="C2996"/>
    </row>
    <row r="2997" spans="3:3">
      <c r="C2997"/>
    </row>
    <row r="2998" spans="3:3">
      <c r="C2998"/>
    </row>
    <row r="2999" spans="3:3">
      <c r="C2999"/>
    </row>
    <row r="3000" spans="3:3">
      <c r="C3000"/>
    </row>
    <row r="3001" spans="3:3">
      <c r="C3001"/>
    </row>
    <row r="3002" spans="3:3">
      <c r="C3002"/>
    </row>
    <row r="3003" spans="3:3">
      <c r="C3003"/>
    </row>
    <row r="3004" spans="3:3">
      <c r="C3004"/>
    </row>
    <row r="3005" spans="3:3">
      <c r="C3005"/>
    </row>
    <row r="3006" spans="3:3">
      <c r="C3006"/>
    </row>
    <row r="3007" spans="3:3">
      <c r="C3007"/>
    </row>
    <row r="3008" spans="3:3">
      <c r="C3008"/>
    </row>
    <row r="3009" spans="3:3">
      <c r="C3009"/>
    </row>
    <row r="3010" spans="3:3">
      <c r="C3010"/>
    </row>
    <row r="3011" spans="3:3">
      <c r="C3011"/>
    </row>
    <row r="3012" spans="3:3">
      <c r="C3012"/>
    </row>
    <row r="3013" spans="3:3">
      <c r="C3013"/>
    </row>
    <row r="3014" spans="3:3">
      <c r="C3014"/>
    </row>
    <row r="3015" spans="3:3">
      <c r="C3015"/>
    </row>
    <row r="3016" spans="3:3">
      <c r="C3016"/>
    </row>
    <row r="3017" spans="3:3">
      <c r="C3017"/>
    </row>
    <row r="3018" spans="3:3">
      <c r="C3018"/>
    </row>
    <row r="3019" spans="3:3">
      <c r="C3019"/>
    </row>
    <row r="3020" spans="3:3">
      <c r="C3020"/>
    </row>
    <row r="3021" spans="3:3">
      <c r="C3021"/>
    </row>
    <row r="3022" spans="3:3">
      <c r="C3022"/>
    </row>
    <row r="3023" spans="3:3">
      <c r="C3023"/>
    </row>
    <row r="3024" spans="3:3">
      <c r="C3024"/>
    </row>
    <row r="3025" spans="3:3">
      <c r="C3025"/>
    </row>
    <row r="3026" spans="3:3">
      <c r="C3026"/>
    </row>
    <row r="3027" spans="3:3">
      <c r="C3027"/>
    </row>
    <row r="3028" spans="3:3">
      <c r="C3028"/>
    </row>
    <row r="3029" spans="3:3">
      <c r="C3029"/>
    </row>
    <row r="3030" spans="3:3">
      <c r="C3030"/>
    </row>
    <row r="3031" spans="3:3">
      <c r="C3031"/>
    </row>
    <row r="3032" spans="3:3">
      <c r="C3032"/>
    </row>
    <row r="3033" spans="3:3">
      <c r="C3033"/>
    </row>
    <row r="3034" spans="3:3">
      <c r="C3034"/>
    </row>
    <row r="3035" spans="3:3">
      <c r="C3035"/>
    </row>
    <row r="3036" spans="3:3">
      <c r="C3036"/>
    </row>
    <row r="3037" spans="3:3">
      <c r="C3037"/>
    </row>
    <row r="3038" spans="3:3">
      <c r="C3038"/>
    </row>
    <row r="3039" spans="3:3">
      <c r="C3039"/>
    </row>
    <row r="3040" spans="3:3">
      <c r="C3040"/>
    </row>
    <row r="3041" spans="3:3">
      <c r="C3041"/>
    </row>
    <row r="3042" spans="3:3">
      <c r="C3042"/>
    </row>
    <row r="3043" spans="3:3">
      <c r="C3043"/>
    </row>
    <row r="3044" spans="3:3">
      <c r="C3044"/>
    </row>
    <row r="3045" spans="3:3">
      <c r="C3045"/>
    </row>
    <row r="3046" spans="3:3">
      <c r="C3046"/>
    </row>
    <row r="3047" spans="3:3">
      <c r="C3047"/>
    </row>
    <row r="3048" spans="3:3">
      <c r="C3048"/>
    </row>
    <row r="3049" spans="3:3">
      <c r="C3049"/>
    </row>
    <row r="3050" spans="3:3">
      <c r="C3050"/>
    </row>
    <row r="3051" spans="3:3">
      <c r="C3051"/>
    </row>
    <row r="3052" spans="3:3">
      <c r="C3052"/>
    </row>
    <row r="3053" spans="3:3">
      <c r="C3053"/>
    </row>
    <row r="3054" spans="3:3">
      <c r="C3054"/>
    </row>
    <row r="3055" spans="3:3">
      <c r="C3055"/>
    </row>
    <row r="3056" spans="3:3">
      <c r="C3056"/>
    </row>
    <row r="3057" spans="3:3">
      <c r="C3057"/>
    </row>
    <row r="3058" spans="3:3">
      <c r="C3058"/>
    </row>
    <row r="3059" spans="3:3">
      <c r="C3059"/>
    </row>
    <row r="3060" spans="3:3">
      <c r="C3060"/>
    </row>
    <row r="3061" spans="3:3">
      <c r="C3061"/>
    </row>
    <row r="3062" spans="3:3">
      <c r="C3062"/>
    </row>
    <row r="3063" spans="3:3">
      <c r="C3063"/>
    </row>
    <row r="3064" spans="3:3">
      <c r="C3064"/>
    </row>
    <row r="3065" spans="3:3">
      <c r="C3065"/>
    </row>
    <row r="3066" spans="3:3">
      <c r="C3066"/>
    </row>
    <row r="3067" spans="3:3">
      <c r="C3067"/>
    </row>
    <row r="3068" spans="3:3">
      <c r="C3068"/>
    </row>
    <row r="3069" spans="3:3">
      <c r="C3069"/>
    </row>
    <row r="3070" spans="3:3">
      <c r="C3070"/>
    </row>
    <row r="3071" spans="3:3">
      <c r="C3071"/>
    </row>
    <row r="3072" spans="3:3">
      <c r="C3072"/>
    </row>
    <row r="3073" spans="3:3">
      <c r="C3073"/>
    </row>
    <row r="3074" spans="3:3">
      <c r="C3074"/>
    </row>
    <row r="3075" spans="3:3">
      <c r="C3075"/>
    </row>
    <row r="3076" spans="3:3">
      <c r="C3076"/>
    </row>
    <row r="3077" spans="3:3">
      <c r="C3077"/>
    </row>
    <row r="3078" spans="3:3">
      <c r="C3078"/>
    </row>
    <row r="3079" spans="3:3">
      <c r="C3079"/>
    </row>
    <row r="3080" spans="3:3">
      <c r="C3080"/>
    </row>
    <row r="3081" spans="3:3">
      <c r="C3081"/>
    </row>
    <row r="3082" spans="3:3">
      <c r="C3082"/>
    </row>
    <row r="3083" spans="3:3">
      <c r="C3083"/>
    </row>
    <row r="3084" spans="3:3">
      <c r="C3084"/>
    </row>
    <row r="3085" spans="3:3">
      <c r="C3085"/>
    </row>
    <row r="3086" spans="3:3">
      <c r="C3086"/>
    </row>
    <row r="3087" spans="3:3">
      <c r="C3087"/>
    </row>
    <row r="3088" spans="3:3">
      <c r="C3088"/>
    </row>
    <row r="3089" spans="3:3">
      <c r="C3089"/>
    </row>
    <row r="3090" spans="3:3">
      <c r="C3090"/>
    </row>
    <row r="3091" spans="3:3">
      <c r="C3091"/>
    </row>
    <row r="3092" spans="3:3">
      <c r="C3092"/>
    </row>
    <row r="3093" spans="3:3">
      <c r="C3093"/>
    </row>
    <row r="3094" spans="3:3">
      <c r="C3094"/>
    </row>
    <row r="3095" spans="3:3">
      <c r="C3095"/>
    </row>
    <row r="3096" spans="3:3">
      <c r="C3096"/>
    </row>
    <row r="3097" spans="3:3">
      <c r="C3097"/>
    </row>
    <row r="3098" spans="3:3">
      <c r="C3098"/>
    </row>
    <row r="3099" spans="3:3">
      <c r="C3099"/>
    </row>
    <row r="3100" spans="3:3">
      <c r="C3100"/>
    </row>
    <row r="3101" spans="3:3">
      <c r="C3101"/>
    </row>
    <row r="3102" spans="3:3">
      <c r="C3102"/>
    </row>
    <row r="3103" spans="3:3">
      <c r="C3103"/>
    </row>
    <row r="3104" spans="3:3">
      <c r="C3104"/>
    </row>
    <row r="3105" spans="3:3">
      <c r="C3105"/>
    </row>
    <row r="3106" spans="3:3">
      <c r="C3106"/>
    </row>
    <row r="3107" spans="3:3">
      <c r="C3107"/>
    </row>
    <row r="3108" spans="3:3">
      <c r="C3108"/>
    </row>
    <row r="3109" spans="3:3">
      <c r="C3109"/>
    </row>
    <row r="3110" spans="3:3">
      <c r="C3110"/>
    </row>
    <row r="3111" spans="3:3">
      <c r="C3111"/>
    </row>
    <row r="3112" spans="3:3">
      <c r="C3112"/>
    </row>
    <row r="3113" spans="3:3">
      <c r="C3113"/>
    </row>
    <row r="3114" spans="3:3">
      <c r="C3114"/>
    </row>
    <row r="3115" spans="3:3">
      <c r="C3115"/>
    </row>
    <row r="3116" spans="3:3">
      <c r="C3116"/>
    </row>
    <row r="3117" spans="3:3">
      <c r="C3117"/>
    </row>
    <row r="3118" spans="3:3">
      <c r="C3118"/>
    </row>
    <row r="3119" spans="3:3">
      <c r="C3119"/>
    </row>
    <row r="3120" spans="3:3">
      <c r="C3120"/>
    </row>
    <row r="3121" spans="3:3">
      <c r="C3121"/>
    </row>
    <row r="3122" spans="3:3">
      <c r="C3122"/>
    </row>
    <row r="3123" spans="3:3">
      <c r="C3123"/>
    </row>
    <row r="3124" spans="3:3">
      <c r="C3124"/>
    </row>
    <row r="3125" spans="3:3">
      <c r="C3125"/>
    </row>
    <row r="3126" spans="3:3">
      <c r="C3126"/>
    </row>
    <row r="3127" spans="3:3">
      <c r="C3127"/>
    </row>
    <row r="3128" spans="3:3">
      <c r="C3128"/>
    </row>
    <row r="3129" spans="3:3">
      <c r="C3129"/>
    </row>
    <row r="3130" spans="3:3">
      <c r="C3130"/>
    </row>
    <row r="3131" spans="3:3">
      <c r="C3131"/>
    </row>
    <row r="3132" spans="3:3">
      <c r="C3132"/>
    </row>
    <row r="3133" spans="3:3">
      <c r="C3133"/>
    </row>
    <row r="3134" spans="3:3">
      <c r="C3134"/>
    </row>
    <row r="3135" spans="3:3">
      <c r="C3135"/>
    </row>
    <row r="3136" spans="3:3">
      <c r="C3136"/>
    </row>
    <row r="3137" spans="3:3">
      <c r="C3137"/>
    </row>
    <row r="3138" spans="3:3">
      <c r="C3138"/>
    </row>
    <row r="3139" spans="3:3">
      <c r="C3139"/>
    </row>
    <row r="3140" spans="3:3">
      <c r="C3140"/>
    </row>
    <row r="3141" spans="3:3">
      <c r="C3141"/>
    </row>
    <row r="3142" spans="3:3">
      <c r="C3142"/>
    </row>
    <row r="3143" spans="3:3">
      <c r="C3143"/>
    </row>
    <row r="3144" spans="3:3">
      <c r="C3144"/>
    </row>
    <row r="3145" spans="3:3">
      <c r="C3145"/>
    </row>
    <row r="3146" spans="3:3">
      <c r="C3146"/>
    </row>
    <row r="3147" spans="3:3">
      <c r="C3147"/>
    </row>
    <row r="3148" spans="3:3">
      <c r="C3148"/>
    </row>
    <row r="3149" spans="3:3">
      <c r="C3149"/>
    </row>
    <row r="3150" spans="3:3">
      <c r="C3150"/>
    </row>
    <row r="3151" spans="3:3">
      <c r="C3151"/>
    </row>
    <row r="3152" spans="3:3">
      <c r="C3152"/>
    </row>
    <row r="3153" spans="3:3">
      <c r="C3153"/>
    </row>
    <row r="3154" spans="3:3">
      <c r="C3154"/>
    </row>
    <row r="3155" spans="3:3">
      <c r="C3155"/>
    </row>
    <row r="3156" spans="3:3">
      <c r="C3156"/>
    </row>
    <row r="3157" spans="3:3">
      <c r="C3157"/>
    </row>
    <row r="3158" spans="3:3">
      <c r="C3158"/>
    </row>
    <row r="3159" spans="3:3">
      <c r="C3159"/>
    </row>
    <row r="3160" spans="3:3">
      <c r="C3160"/>
    </row>
    <row r="3161" spans="3:3">
      <c r="C3161"/>
    </row>
    <row r="3162" spans="3:3">
      <c r="C3162"/>
    </row>
    <row r="3163" spans="3:3">
      <c r="C3163"/>
    </row>
    <row r="3164" spans="3:3">
      <c r="C3164"/>
    </row>
    <row r="3165" spans="3:3">
      <c r="C3165"/>
    </row>
    <row r="3166" spans="3:3">
      <c r="C3166"/>
    </row>
    <row r="3167" spans="3:3">
      <c r="C3167"/>
    </row>
    <row r="3168" spans="3:3">
      <c r="C3168"/>
    </row>
    <row r="3169" spans="3:3">
      <c r="C3169"/>
    </row>
    <row r="3170" spans="3:3">
      <c r="C3170"/>
    </row>
    <row r="3171" spans="3:3">
      <c r="C3171"/>
    </row>
    <row r="3172" spans="3:3">
      <c r="C3172"/>
    </row>
    <row r="3173" spans="3:3">
      <c r="C3173"/>
    </row>
    <row r="3174" spans="3:3">
      <c r="C3174"/>
    </row>
    <row r="3175" spans="3:3">
      <c r="C3175"/>
    </row>
    <row r="3176" spans="3:3">
      <c r="C3176"/>
    </row>
    <row r="3177" spans="3:3">
      <c r="C3177"/>
    </row>
    <row r="3178" spans="3:3">
      <c r="C3178"/>
    </row>
    <row r="3179" spans="3:3">
      <c r="C3179"/>
    </row>
    <row r="3180" spans="3:3">
      <c r="C3180"/>
    </row>
    <row r="3181" spans="3:3">
      <c r="C3181"/>
    </row>
    <row r="3182" spans="3:3">
      <c r="C3182"/>
    </row>
    <row r="3183" spans="3:3">
      <c r="C3183"/>
    </row>
    <row r="3184" spans="3:3">
      <c r="C3184"/>
    </row>
    <row r="3185" spans="3:3">
      <c r="C3185"/>
    </row>
    <row r="3186" spans="3:3">
      <c r="C3186"/>
    </row>
    <row r="3187" spans="3:3">
      <c r="C3187"/>
    </row>
    <row r="3188" spans="3:3">
      <c r="C3188"/>
    </row>
    <row r="3189" spans="3:3">
      <c r="C3189"/>
    </row>
    <row r="3190" spans="3:3">
      <c r="C3190"/>
    </row>
    <row r="3191" spans="3:3">
      <c r="C3191"/>
    </row>
    <row r="3192" spans="3:3">
      <c r="C3192"/>
    </row>
    <row r="3193" spans="3:3">
      <c r="C3193"/>
    </row>
    <row r="3194" spans="3:3">
      <c r="C3194"/>
    </row>
    <row r="3195" spans="3:3">
      <c r="C3195"/>
    </row>
    <row r="3196" spans="3:3">
      <c r="C3196"/>
    </row>
    <row r="3197" spans="3:3">
      <c r="C3197"/>
    </row>
    <row r="3198" spans="3:3">
      <c r="C3198"/>
    </row>
    <row r="3199" spans="3:3">
      <c r="C3199"/>
    </row>
    <row r="3200" spans="3:3">
      <c r="C3200"/>
    </row>
    <row r="3201" spans="3:3">
      <c r="C3201"/>
    </row>
    <row r="3202" spans="3:3">
      <c r="C3202"/>
    </row>
    <row r="3203" spans="3:3">
      <c r="C3203"/>
    </row>
    <row r="3204" spans="3:3">
      <c r="C3204"/>
    </row>
    <row r="3205" spans="3:3">
      <c r="C3205"/>
    </row>
    <row r="3206" spans="3:3">
      <c r="C3206"/>
    </row>
    <row r="3207" spans="3:3">
      <c r="C3207"/>
    </row>
    <row r="3208" spans="3:3">
      <c r="C3208"/>
    </row>
    <row r="3209" spans="3:3">
      <c r="C3209"/>
    </row>
    <row r="3210" spans="3:3">
      <c r="C3210"/>
    </row>
    <row r="3211" spans="3:3">
      <c r="C3211"/>
    </row>
    <row r="3212" spans="3:3">
      <c r="C3212"/>
    </row>
    <row r="3213" spans="3:3">
      <c r="C3213"/>
    </row>
    <row r="3214" spans="3:3">
      <c r="C3214"/>
    </row>
    <row r="3215" spans="3:3">
      <c r="C3215"/>
    </row>
    <row r="3216" spans="3:3">
      <c r="C3216"/>
    </row>
    <row r="3217" spans="3:3">
      <c r="C3217"/>
    </row>
    <row r="3218" spans="3:3">
      <c r="C3218"/>
    </row>
    <row r="3219" spans="3:3">
      <c r="C3219"/>
    </row>
    <row r="3220" spans="3:3">
      <c r="C3220"/>
    </row>
    <row r="3221" spans="3:3">
      <c r="C3221"/>
    </row>
    <row r="3222" spans="3:3">
      <c r="C3222"/>
    </row>
    <row r="3223" spans="3:3">
      <c r="C3223"/>
    </row>
    <row r="3224" spans="3:3">
      <c r="C3224"/>
    </row>
    <row r="3225" spans="3:3">
      <c r="C3225"/>
    </row>
    <row r="3226" spans="3:3">
      <c r="C3226"/>
    </row>
    <row r="3227" spans="3:3">
      <c r="C3227"/>
    </row>
    <row r="3228" spans="3:3">
      <c r="C3228"/>
    </row>
    <row r="3229" spans="3:3">
      <c r="C3229"/>
    </row>
    <row r="3230" spans="3:3">
      <c r="C3230"/>
    </row>
    <row r="3231" spans="3:3">
      <c r="C3231"/>
    </row>
    <row r="3232" spans="3:3">
      <c r="C3232"/>
    </row>
    <row r="3233" spans="3:3">
      <c r="C3233"/>
    </row>
    <row r="3234" spans="3:3">
      <c r="C3234"/>
    </row>
    <row r="3235" spans="3:3">
      <c r="C3235"/>
    </row>
    <row r="3236" spans="3:3">
      <c r="C3236"/>
    </row>
    <row r="3237" spans="3:3">
      <c r="C3237"/>
    </row>
    <row r="3238" spans="3:3">
      <c r="C3238"/>
    </row>
    <row r="3239" spans="3:3">
      <c r="C3239"/>
    </row>
    <row r="3240" spans="3:3">
      <c r="C3240"/>
    </row>
    <row r="3241" spans="3:3">
      <c r="C3241"/>
    </row>
    <row r="3242" spans="3:3">
      <c r="C3242"/>
    </row>
    <row r="3243" spans="3:3">
      <c r="C3243"/>
    </row>
    <row r="3244" spans="3:3">
      <c r="C3244"/>
    </row>
    <row r="3245" spans="3:3">
      <c r="C3245"/>
    </row>
    <row r="3246" spans="3:3">
      <c r="C3246"/>
    </row>
    <row r="3247" spans="3:3">
      <c r="C3247"/>
    </row>
    <row r="3248" spans="3:3">
      <c r="C3248"/>
    </row>
    <row r="3249" spans="3:3">
      <c r="C3249"/>
    </row>
    <row r="3250" spans="3:3">
      <c r="C3250"/>
    </row>
    <row r="3251" spans="3:3">
      <c r="C3251"/>
    </row>
    <row r="3252" spans="3:3">
      <c r="C3252"/>
    </row>
    <row r="3253" spans="3:3">
      <c r="C3253"/>
    </row>
    <row r="3254" spans="3:3">
      <c r="C3254"/>
    </row>
    <row r="3255" spans="3:3">
      <c r="C3255"/>
    </row>
    <row r="3256" spans="3:3">
      <c r="C3256"/>
    </row>
    <row r="3257" spans="3:3">
      <c r="C3257"/>
    </row>
    <row r="3258" spans="3:3">
      <c r="C3258"/>
    </row>
    <row r="3259" spans="3:3">
      <c r="C3259"/>
    </row>
    <row r="3260" spans="3:3">
      <c r="C3260"/>
    </row>
    <row r="3261" spans="3:3">
      <c r="C3261"/>
    </row>
    <row r="3262" spans="3:3">
      <c r="C3262"/>
    </row>
    <row r="3263" spans="3:3">
      <c r="C3263"/>
    </row>
    <row r="3264" spans="3:3">
      <c r="C3264"/>
    </row>
    <row r="3265" spans="3:3">
      <c r="C3265"/>
    </row>
    <row r="3266" spans="3:3">
      <c r="C3266"/>
    </row>
    <row r="3267" spans="3:3">
      <c r="C3267"/>
    </row>
    <row r="3268" spans="3:3">
      <c r="C3268"/>
    </row>
    <row r="3269" spans="3:3">
      <c r="C3269"/>
    </row>
    <row r="3270" spans="3:3">
      <c r="C3270"/>
    </row>
    <row r="3271" spans="3:3">
      <c r="C3271"/>
    </row>
    <row r="3272" spans="3:3">
      <c r="C3272"/>
    </row>
    <row r="3273" spans="3:3">
      <c r="C3273"/>
    </row>
    <row r="3274" spans="3:3">
      <c r="C3274"/>
    </row>
    <row r="3275" spans="3:3">
      <c r="C3275"/>
    </row>
    <row r="3276" spans="3:3">
      <c r="C3276"/>
    </row>
    <row r="3277" spans="3:3">
      <c r="C3277"/>
    </row>
    <row r="3278" spans="3:3">
      <c r="C3278"/>
    </row>
    <row r="3279" spans="3:3">
      <c r="C3279"/>
    </row>
    <row r="3280" spans="3:3">
      <c r="C3280"/>
    </row>
    <row r="3281" spans="3:3">
      <c r="C3281"/>
    </row>
    <row r="3282" spans="3:3">
      <c r="C3282"/>
    </row>
    <row r="3283" spans="3:3">
      <c r="C3283"/>
    </row>
    <row r="3284" spans="3:3">
      <c r="C3284"/>
    </row>
    <row r="3285" spans="3:3">
      <c r="C3285"/>
    </row>
    <row r="3286" spans="3:3">
      <c r="C3286"/>
    </row>
    <row r="3287" spans="3:3">
      <c r="C3287"/>
    </row>
    <row r="3288" spans="3:3">
      <c r="C3288"/>
    </row>
    <row r="3289" spans="3:3">
      <c r="C3289"/>
    </row>
    <row r="3290" spans="3:3">
      <c r="C3290"/>
    </row>
    <row r="3291" spans="3:3">
      <c r="C3291"/>
    </row>
    <row r="3292" spans="3:3">
      <c r="C3292"/>
    </row>
    <row r="3293" spans="3:3">
      <c r="C3293"/>
    </row>
    <row r="3294" spans="3:3">
      <c r="C3294"/>
    </row>
    <row r="3295" spans="3:3">
      <c r="C3295"/>
    </row>
    <row r="3296" spans="3:3">
      <c r="C3296"/>
    </row>
    <row r="3297" spans="3:3">
      <c r="C3297"/>
    </row>
    <row r="3298" spans="3:3">
      <c r="C3298"/>
    </row>
    <row r="3299" spans="3:3">
      <c r="C3299"/>
    </row>
    <row r="3300" spans="3:3">
      <c r="C3300"/>
    </row>
    <row r="3301" spans="3:3">
      <c r="C3301"/>
    </row>
    <row r="3302" spans="3:3">
      <c r="C3302"/>
    </row>
    <row r="3303" spans="3:3">
      <c r="C3303"/>
    </row>
    <row r="3304" spans="3:3">
      <c r="C3304"/>
    </row>
    <row r="3305" spans="3:3">
      <c r="C3305"/>
    </row>
    <row r="3306" spans="3:3">
      <c r="C3306"/>
    </row>
    <row r="3307" spans="3:3">
      <c r="C3307"/>
    </row>
    <row r="3308" spans="3:3">
      <c r="C3308"/>
    </row>
    <row r="3309" spans="3:3">
      <c r="C3309"/>
    </row>
    <row r="3310" spans="3:3">
      <c r="C3310"/>
    </row>
    <row r="3311" spans="3:3">
      <c r="C3311"/>
    </row>
    <row r="3312" spans="3:3">
      <c r="C3312"/>
    </row>
    <row r="3313" spans="3:3">
      <c r="C3313"/>
    </row>
    <row r="3314" spans="3:3">
      <c r="C3314"/>
    </row>
    <row r="3315" spans="3:3">
      <c r="C3315"/>
    </row>
    <row r="3316" spans="3:3">
      <c r="C3316"/>
    </row>
    <row r="3317" spans="3:3">
      <c r="C3317"/>
    </row>
    <row r="3318" spans="3:3">
      <c r="C3318"/>
    </row>
    <row r="3319" spans="3:3">
      <c r="C3319"/>
    </row>
    <row r="3320" spans="3:3">
      <c r="C3320"/>
    </row>
    <row r="3321" spans="3:3">
      <c r="C3321"/>
    </row>
    <row r="3322" spans="3:3">
      <c r="C3322"/>
    </row>
    <row r="3323" spans="3:3">
      <c r="C3323"/>
    </row>
    <row r="3324" spans="3:3">
      <c r="C3324"/>
    </row>
    <row r="3325" spans="3:3">
      <c r="C3325"/>
    </row>
    <row r="3326" spans="3:3">
      <c r="C3326"/>
    </row>
    <row r="3327" spans="3:3">
      <c r="C3327"/>
    </row>
    <row r="3328" spans="3:3">
      <c r="C3328"/>
    </row>
    <row r="3329" spans="3:3">
      <c r="C3329"/>
    </row>
    <row r="3330" spans="3:3">
      <c r="C3330"/>
    </row>
    <row r="3331" spans="3:3">
      <c r="C3331"/>
    </row>
    <row r="3332" spans="3:3">
      <c r="C3332"/>
    </row>
    <row r="3333" spans="3:3">
      <c r="C3333"/>
    </row>
    <row r="3334" spans="3:3">
      <c r="C3334"/>
    </row>
    <row r="3335" spans="3:3">
      <c r="C3335"/>
    </row>
    <row r="3336" spans="3:3">
      <c r="C3336"/>
    </row>
    <row r="3337" spans="3:3">
      <c r="C3337"/>
    </row>
    <row r="3338" spans="3:3">
      <c r="C3338"/>
    </row>
    <row r="3339" spans="3:3">
      <c r="C3339"/>
    </row>
    <row r="3340" spans="3:3">
      <c r="C3340"/>
    </row>
    <row r="3341" spans="3:3">
      <c r="C3341"/>
    </row>
    <row r="3342" spans="3:3">
      <c r="C3342"/>
    </row>
    <row r="3343" spans="3:3">
      <c r="C3343"/>
    </row>
    <row r="3344" spans="3:3">
      <c r="C3344"/>
    </row>
    <row r="3345" spans="3:3">
      <c r="C3345"/>
    </row>
    <row r="3346" spans="3:3">
      <c r="C3346"/>
    </row>
    <row r="3347" spans="3:3">
      <c r="C3347"/>
    </row>
    <row r="3348" spans="3:3">
      <c r="C3348"/>
    </row>
    <row r="3349" spans="3:3">
      <c r="C3349"/>
    </row>
    <row r="3350" spans="3:3">
      <c r="C3350"/>
    </row>
    <row r="3351" spans="3:3">
      <c r="C3351"/>
    </row>
    <row r="3352" spans="3:3">
      <c r="C3352"/>
    </row>
    <row r="3353" spans="3:3">
      <c r="C3353"/>
    </row>
    <row r="3354" spans="3:3">
      <c r="C3354"/>
    </row>
    <row r="3355" spans="3:3">
      <c r="C3355"/>
    </row>
    <row r="3356" spans="3:3">
      <c r="C3356"/>
    </row>
    <row r="3357" spans="3:3">
      <c r="C3357"/>
    </row>
    <row r="3358" spans="3:3">
      <c r="C3358"/>
    </row>
    <row r="3359" spans="3:3">
      <c r="C3359"/>
    </row>
    <row r="3360" spans="3:3">
      <c r="C3360"/>
    </row>
    <row r="3361" spans="3:3">
      <c r="C3361"/>
    </row>
    <row r="3362" spans="3:3">
      <c r="C3362"/>
    </row>
    <row r="3363" spans="3:3">
      <c r="C3363"/>
    </row>
    <row r="3364" spans="3:3">
      <c r="C3364"/>
    </row>
    <row r="3365" spans="3:3">
      <c r="C3365"/>
    </row>
    <row r="3366" spans="3:3">
      <c r="C3366"/>
    </row>
    <row r="3367" spans="3:3">
      <c r="C3367"/>
    </row>
    <row r="3368" spans="3:3">
      <c r="C3368"/>
    </row>
    <row r="3369" spans="3:3">
      <c r="C3369"/>
    </row>
    <row r="3370" spans="3:3">
      <c r="C3370"/>
    </row>
    <row r="3371" spans="3:3">
      <c r="C3371"/>
    </row>
    <row r="3372" spans="3:3">
      <c r="C3372"/>
    </row>
    <row r="3373" spans="3:3">
      <c r="C3373"/>
    </row>
    <row r="3374" spans="3:3">
      <c r="C3374"/>
    </row>
    <row r="3375" spans="3:3">
      <c r="C3375"/>
    </row>
    <row r="3376" spans="3:3">
      <c r="C3376"/>
    </row>
    <row r="3377" spans="3:3">
      <c r="C3377"/>
    </row>
    <row r="3378" spans="3:3">
      <c r="C3378"/>
    </row>
    <row r="3379" spans="3:3">
      <c r="C3379"/>
    </row>
    <row r="3380" spans="3:3">
      <c r="C3380"/>
    </row>
    <row r="3381" spans="3:3">
      <c r="C3381"/>
    </row>
    <row r="3382" spans="3:3">
      <c r="C3382"/>
    </row>
    <row r="3383" spans="3:3">
      <c r="C3383"/>
    </row>
    <row r="3384" spans="3:3">
      <c r="C3384"/>
    </row>
    <row r="3385" spans="3:3">
      <c r="C3385"/>
    </row>
    <row r="3386" spans="3:3">
      <c r="C3386"/>
    </row>
    <row r="3387" spans="3:3">
      <c r="C3387"/>
    </row>
    <row r="3388" spans="3:3">
      <c r="C3388"/>
    </row>
    <row r="3389" spans="3:3">
      <c r="C3389"/>
    </row>
    <row r="3390" spans="3:3">
      <c r="C3390"/>
    </row>
    <row r="3391" spans="3:3">
      <c r="C3391"/>
    </row>
    <row r="3392" spans="3:3">
      <c r="C3392"/>
    </row>
    <row r="3393" spans="3:3">
      <c r="C3393"/>
    </row>
    <row r="3394" spans="3:3">
      <c r="C3394"/>
    </row>
    <row r="3395" spans="3:3">
      <c r="C3395"/>
    </row>
    <row r="3396" spans="3:3">
      <c r="C3396"/>
    </row>
    <row r="3397" spans="3:3">
      <c r="C3397"/>
    </row>
    <row r="3398" spans="3:3">
      <c r="C3398"/>
    </row>
    <row r="3399" spans="3:3">
      <c r="C3399"/>
    </row>
    <row r="3400" spans="3:3">
      <c r="C3400"/>
    </row>
    <row r="3401" spans="3:3">
      <c r="C3401"/>
    </row>
    <row r="3402" spans="3:3">
      <c r="C3402"/>
    </row>
    <row r="3403" spans="3:3">
      <c r="C3403"/>
    </row>
    <row r="3404" spans="3:3">
      <c r="C3404"/>
    </row>
    <row r="3405" spans="3:3">
      <c r="C3405"/>
    </row>
    <row r="3406" spans="3:3">
      <c r="C3406"/>
    </row>
    <row r="3407" spans="3:3">
      <c r="C3407"/>
    </row>
    <row r="3408" spans="3:3">
      <c r="C3408"/>
    </row>
    <row r="3409" spans="3:3">
      <c r="C3409"/>
    </row>
    <row r="3410" spans="3:3">
      <c r="C3410"/>
    </row>
    <row r="3411" spans="3:3">
      <c r="C3411"/>
    </row>
    <row r="3412" spans="3:3">
      <c r="C3412"/>
    </row>
    <row r="3413" spans="3:3">
      <c r="C3413"/>
    </row>
    <row r="3414" spans="3:3">
      <c r="C3414"/>
    </row>
    <row r="3415" spans="3:3">
      <c r="C3415"/>
    </row>
    <row r="3416" spans="3:3">
      <c r="C3416"/>
    </row>
    <row r="3417" spans="3:3">
      <c r="C3417"/>
    </row>
    <row r="3418" spans="3:3">
      <c r="C3418"/>
    </row>
    <row r="3419" spans="3:3">
      <c r="C3419"/>
    </row>
    <row r="3420" spans="3:3">
      <c r="C3420"/>
    </row>
    <row r="3421" spans="3:3">
      <c r="C3421"/>
    </row>
    <row r="3422" spans="3:3">
      <c r="C3422"/>
    </row>
    <row r="3423" spans="3:3">
      <c r="C3423"/>
    </row>
    <row r="3424" spans="3:3">
      <c r="C3424"/>
    </row>
    <row r="3425" spans="3:3">
      <c r="C3425"/>
    </row>
    <row r="3426" spans="3:3">
      <c r="C3426"/>
    </row>
    <row r="3427" spans="3:3">
      <c r="C3427"/>
    </row>
    <row r="3428" spans="3:3">
      <c r="C3428"/>
    </row>
    <row r="3429" spans="3:3">
      <c r="C3429"/>
    </row>
    <row r="3430" spans="3:3">
      <c r="C3430"/>
    </row>
    <row r="3431" spans="3:3">
      <c r="C3431"/>
    </row>
    <row r="3432" spans="3:3">
      <c r="C3432"/>
    </row>
    <row r="3433" spans="3:3">
      <c r="C3433"/>
    </row>
    <row r="3434" spans="3:3">
      <c r="C3434"/>
    </row>
    <row r="3435" spans="3:3">
      <c r="C3435"/>
    </row>
    <row r="3436" spans="3:3">
      <c r="C3436"/>
    </row>
    <row r="3437" spans="3:3">
      <c r="C3437"/>
    </row>
    <row r="3438" spans="3:3">
      <c r="C3438"/>
    </row>
    <row r="3439" spans="3:3">
      <c r="C3439"/>
    </row>
    <row r="3440" spans="3:3">
      <c r="C3440"/>
    </row>
    <row r="3441" spans="3:3">
      <c r="C3441"/>
    </row>
    <row r="3442" spans="3:3">
      <c r="C3442"/>
    </row>
    <row r="3443" spans="3:3">
      <c r="C3443"/>
    </row>
    <row r="3444" spans="3:3">
      <c r="C3444"/>
    </row>
    <row r="3445" spans="3:3">
      <c r="C3445"/>
    </row>
    <row r="3446" spans="3:3">
      <c r="C3446"/>
    </row>
    <row r="3447" spans="3:3">
      <c r="C3447"/>
    </row>
    <row r="3448" spans="3:3">
      <c r="C3448"/>
    </row>
    <row r="3449" spans="3:3">
      <c r="C3449"/>
    </row>
    <row r="3450" spans="3:3">
      <c r="C3450"/>
    </row>
    <row r="3451" spans="3:3">
      <c r="C3451"/>
    </row>
    <row r="3452" spans="3:3">
      <c r="C3452"/>
    </row>
    <row r="3453" spans="3:3">
      <c r="C3453"/>
    </row>
    <row r="3454" spans="3:3">
      <c r="C3454"/>
    </row>
    <row r="3455" spans="3:3">
      <c r="C3455"/>
    </row>
    <row r="3456" spans="3:3">
      <c r="C3456"/>
    </row>
    <row r="3457" spans="3:3">
      <c r="C3457"/>
    </row>
    <row r="3458" spans="3:3">
      <c r="C3458"/>
    </row>
    <row r="3459" spans="3:3">
      <c r="C3459"/>
    </row>
    <row r="3460" spans="3:3">
      <c r="C3460"/>
    </row>
    <row r="3461" spans="3:3">
      <c r="C3461"/>
    </row>
    <row r="3462" spans="3:3">
      <c r="C3462"/>
    </row>
    <row r="3463" spans="3:3">
      <c r="C3463"/>
    </row>
    <row r="3464" spans="3:3">
      <c r="C3464"/>
    </row>
    <row r="3465" spans="3:3">
      <c r="C3465"/>
    </row>
    <row r="3466" spans="3:3">
      <c r="C3466"/>
    </row>
    <row r="3467" spans="3:3">
      <c r="C3467"/>
    </row>
    <row r="3468" spans="3:3">
      <c r="C3468"/>
    </row>
    <row r="3469" spans="3:3">
      <c r="C3469"/>
    </row>
    <row r="3470" spans="3:3">
      <c r="C3470"/>
    </row>
    <row r="3471" spans="3:3">
      <c r="C3471"/>
    </row>
    <row r="3472" spans="3:3">
      <c r="C3472"/>
    </row>
    <row r="3473" spans="3:3">
      <c r="C3473"/>
    </row>
    <row r="3474" spans="3:3">
      <c r="C3474"/>
    </row>
    <row r="3475" spans="3:3">
      <c r="C3475"/>
    </row>
    <row r="3476" spans="3:3">
      <c r="C3476"/>
    </row>
    <row r="3477" spans="3:3">
      <c r="C3477"/>
    </row>
    <row r="3478" spans="3:3">
      <c r="C3478"/>
    </row>
    <row r="3479" spans="3:3">
      <c r="C3479"/>
    </row>
    <row r="3480" spans="3:3">
      <c r="C3480"/>
    </row>
    <row r="3481" spans="3:3">
      <c r="C3481"/>
    </row>
    <row r="3482" spans="3:3">
      <c r="C3482"/>
    </row>
    <row r="3483" spans="3:3">
      <c r="C3483"/>
    </row>
    <row r="3484" spans="3:3">
      <c r="C3484"/>
    </row>
    <row r="3485" spans="3:3">
      <c r="C3485"/>
    </row>
    <row r="3486" spans="3:3">
      <c r="C3486"/>
    </row>
    <row r="3487" spans="3:3">
      <c r="C3487"/>
    </row>
    <row r="3488" spans="3:3">
      <c r="C3488"/>
    </row>
    <row r="3489" spans="3:3">
      <c r="C3489"/>
    </row>
    <row r="3490" spans="3:3">
      <c r="C3490"/>
    </row>
    <row r="3491" spans="3:3">
      <c r="C3491"/>
    </row>
    <row r="3492" spans="3:3">
      <c r="C3492"/>
    </row>
    <row r="3493" spans="3:3">
      <c r="C3493"/>
    </row>
    <row r="3494" spans="3:3">
      <c r="C3494"/>
    </row>
    <row r="3495" spans="3:3">
      <c r="C3495"/>
    </row>
    <row r="3496" spans="3:3">
      <c r="C3496"/>
    </row>
    <row r="3497" spans="3:3">
      <c r="C3497"/>
    </row>
    <row r="3498" spans="3:3">
      <c r="C3498"/>
    </row>
    <row r="3499" spans="3:3">
      <c r="C3499"/>
    </row>
    <row r="3500" spans="3:3">
      <c r="C3500"/>
    </row>
    <row r="3501" spans="3:3">
      <c r="C3501"/>
    </row>
    <row r="3502" spans="3:3">
      <c r="C3502"/>
    </row>
    <row r="3503" spans="3:3">
      <c r="C3503"/>
    </row>
    <row r="3504" spans="3:3">
      <c r="C3504"/>
    </row>
    <row r="3505" spans="3:3">
      <c r="C3505"/>
    </row>
    <row r="3506" spans="3:3">
      <c r="C3506"/>
    </row>
    <row r="3507" spans="3:3">
      <c r="C3507"/>
    </row>
    <row r="3508" spans="3:3">
      <c r="C3508"/>
    </row>
    <row r="3509" spans="3:3">
      <c r="C3509"/>
    </row>
    <row r="3510" spans="3:3">
      <c r="C3510"/>
    </row>
    <row r="3511" spans="3:3">
      <c r="C3511"/>
    </row>
    <row r="3512" spans="3:3">
      <c r="C3512"/>
    </row>
    <row r="3513" spans="3:3">
      <c r="C3513"/>
    </row>
    <row r="3514" spans="3:3">
      <c r="C3514"/>
    </row>
    <row r="3515" spans="3:3">
      <c r="C3515"/>
    </row>
    <row r="3516" spans="3:3">
      <c r="C3516"/>
    </row>
    <row r="3517" spans="3:3">
      <c r="C3517"/>
    </row>
    <row r="3518" spans="3:3">
      <c r="C3518"/>
    </row>
    <row r="3519" spans="3:3">
      <c r="C3519"/>
    </row>
    <row r="3520" spans="3:3">
      <c r="C3520"/>
    </row>
    <row r="3521" spans="3:3">
      <c r="C3521"/>
    </row>
    <row r="3522" spans="3:3">
      <c r="C3522"/>
    </row>
    <row r="3523" spans="3:3">
      <c r="C3523"/>
    </row>
    <row r="3524" spans="3:3">
      <c r="C3524"/>
    </row>
    <row r="3525" spans="3:3">
      <c r="C3525"/>
    </row>
    <row r="3526" spans="3:3">
      <c r="C3526"/>
    </row>
    <row r="3527" spans="3:3">
      <c r="C3527"/>
    </row>
    <row r="3528" spans="3:3">
      <c r="C3528"/>
    </row>
    <row r="3529" spans="3:3">
      <c r="C3529"/>
    </row>
    <row r="3530" spans="3:3">
      <c r="C3530"/>
    </row>
    <row r="3531" spans="3:3">
      <c r="C3531"/>
    </row>
    <row r="3532" spans="3:3">
      <c r="C3532"/>
    </row>
    <row r="3533" spans="3:3">
      <c r="C3533"/>
    </row>
    <row r="3534" spans="3:3">
      <c r="C3534"/>
    </row>
    <row r="3535" spans="3:3">
      <c r="C3535"/>
    </row>
    <row r="3536" spans="3:3">
      <c r="C3536"/>
    </row>
    <row r="3537" spans="3:3">
      <c r="C3537"/>
    </row>
    <row r="3538" spans="3:3">
      <c r="C3538"/>
    </row>
    <row r="3539" spans="3:3">
      <c r="C3539"/>
    </row>
    <row r="3540" spans="3:3">
      <c r="C3540"/>
    </row>
    <row r="3541" spans="3:3">
      <c r="C3541"/>
    </row>
    <row r="3542" spans="3:3">
      <c r="C3542"/>
    </row>
    <row r="3543" spans="3:3">
      <c r="C3543"/>
    </row>
    <row r="3544" spans="3:3">
      <c r="C3544"/>
    </row>
    <row r="3545" spans="3:3">
      <c r="C3545"/>
    </row>
    <row r="3546" spans="3:3">
      <c r="C3546"/>
    </row>
    <row r="3547" spans="3:3">
      <c r="C3547"/>
    </row>
    <row r="3548" spans="3:3">
      <c r="C3548"/>
    </row>
    <row r="3549" spans="3:3">
      <c r="C3549"/>
    </row>
    <row r="3550" spans="3:3">
      <c r="C3550"/>
    </row>
    <row r="3551" spans="3:3">
      <c r="C3551"/>
    </row>
    <row r="3552" spans="3:3">
      <c r="C3552"/>
    </row>
    <row r="3553" spans="3:3">
      <c r="C3553"/>
    </row>
    <row r="3554" spans="3:3">
      <c r="C3554"/>
    </row>
    <row r="3555" spans="3:3">
      <c r="C3555"/>
    </row>
    <row r="3556" spans="3:3">
      <c r="C3556"/>
    </row>
    <row r="3557" spans="3:3">
      <c r="C3557"/>
    </row>
    <row r="3558" spans="3:3">
      <c r="C3558"/>
    </row>
    <row r="3559" spans="3:3">
      <c r="C3559"/>
    </row>
    <row r="3560" spans="3:3">
      <c r="C3560"/>
    </row>
    <row r="3561" spans="3:3">
      <c r="C3561"/>
    </row>
    <row r="3562" spans="3:3">
      <c r="C3562"/>
    </row>
    <row r="3563" spans="3:3">
      <c r="C3563"/>
    </row>
    <row r="3564" spans="3:3">
      <c r="C3564"/>
    </row>
    <row r="3565" spans="3:3">
      <c r="C3565"/>
    </row>
    <row r="3566" spans="3:3">
      <c r="C3566"/>
    </row>
    <row r="3567" spans="3:3">
      <c r="C3567"/>
    </row>
    <row r="3568" spans="3:3">
      <c r="C3568"/>
    </row>
    <row r="3569" spans="3:3">
      <c r="C3569"/>
    </row>
    <row r="3570" spans="3:3">
      <c r="C3570"/>
    </row>
    <row r="3571" spans="3:3">
      <c r="C3571"/>
    </row>
    <row r="3572" spans="3:3">
      <c r="C3572"/>
    </row>
    <row r="3573" spans="3:3">
      <c r="C3573"/>
    </row>
    <row r="3574" spans="3:3">
      <c r="C3574"/>
    </row>
    <row r="3575" spans="3:3">
      <c r="C3575"/>
    </row>
    <row r="3576" spans="3:3">
      <c r="C3576"/>
    </row>
    <row r="3577" spans="3:3">
      <c r="C3577"/>
    </row>
    <row r="3578" spans="3:3">
      <c r="C3578"/>
    </row>
    <row r="3579" spans="3:3">
      <c r="C3579"/>
    </row>
    <row r="3580" spans="3:3">
      <c r="C3580"/>
    </row>
    <row r="3581" spans="3:3">
      <c r="C3581"/>
    </row>
    <row r="3582" spans="3:3">
      <c r="C3582"/>
    </row>
    <row r="3583" spans="3:3">
      <c r="C3583"/>
    </row>
    <row r="3584" spans="3:3">
      <c r="C3584"/>
    </row>
    <row r="3585" spans="3:3">
      <c r="C3585"/>
    </row>
    <row r="3586" spans="3:3">
      <c r="C3586"/>
    </row>
    <row r="3587" spans="3:3">
      <c r="C3587"/>
    </row>
    <row r="3588" spans="3:3">
      <c r="C3588"/>
    </row>
    <row r="3589" spans="3:3">
      <c r="C3589"/>
    </row>
    <row r="3590" spans="3:3">
      <c r="C3590"/>
    </row>
    <row r="3591" spans="3:3">
      <c r="C3591"/>
    </row>
    <row r="3592" spans="3:3">
      <c r="C3592"/>
    </row>
    <row r="3593" spans="3:3">
      <c r="C3593"/>
    </row>
    <row r="3594" spans="3:3">
      <c r="C3594"/>
    </row>
    <row r="3595" spans="3:3">
      <c r="C3595"/>
    </row>
    <row r="3596" spans="3:3">
      <c r="C3596"/>
    </row>
    <row r="3597" spans="3:3">
      <c r="C3597"/>
    </row>
    <row r="3598" spans="3:3">
      <c r="C3598"/>
    </row>
    <row r="3599" spans="3:3">
      <c r="C3599"/>
    </row>
    <row r="3600" spans="3:3">
      <c r="C3600"/>
    </row>
    <row r="3601" spans="3:3">
      <c r="C3601"/>
    </row>
    <row r="3602" spans="3:3">
      <c r="C3602"/>
    </row>
    <row r="3603" spans="3:3">
      <c r="C3603"/>
    </row>
    <row r="3604" spans="3:3">
      <c r="C3604"/>
    </row>
    <row r="3605" spans="3:3">
      <c r="C3605"/>
    </row>
    <row r="3606" spans="3:3">
      <c r="C3606"/>
    </row>
    <row r="3607" spans="3:3">
      <c r="C3607"/>
    </row>
    <row r="3608" spans="3:3">
      <c r="C3608"/>
    </row>
    <row r="3609" spans="3:3">
      <c r="C3609"/>
    </row>
    <row r="3610" spans="3:3">
      <c r="C3610"/>
    </row>
    <row r="3611" spans="3:3">
      <c r="C3611"/>
    </row>
    <row r="3612" spans="3:3">
      <c r="C3612"/>
    </row>
    <row r="3613" spans="3:3">
      <c r="C3613"/>
    </row>
    <row r="3614" spans="3:3">
      <c r="C3614"/>
    </row>
    <row r="3615" spans="3:3">
      <c r="C3615"/>
    </row>
    <row r="3616" spans="3:3">
      <c r="C3616"/>
    </row>
    <row r="3617" spans="3:3">
      <c r="C3617"/>
    </row>
    <row r="3618" spans="3:3">
      <c r="C3618"/>
    </row>
    <row r="3619" spans="3:3">
      <c r="C3619"/>
    </row>
    <row r="3620" spans="3:3">
      <c r="C3620"/>
    </row>
    <row r="3621" spans="3:3">
      <c r="C3621"/>
    </row>
    <row r="3622" spans="3:3">
      <c r="C3622"/>
    </row>
    <row r="3623" spans="3:3">
      <c r="C3623"/>
    </row>
    <row r="3624" spans="3:3">
      <c r="C3624"/>
    </row>
    <row r="3625" spans="3:3">
      <c r="C3625"/>
    </row>
    <row r="3626" spans="3:3">
      <c r="C3626"/>
    </row>
    <row r="3627" spans="3:3">
      <c r="C3627"/>
    </row>
    <row r="3628" spans="3:3">
      <c r="C3628"/>
    </row>
    <row r="3629" spans="3:3">
      <c r="C3629"/>
    </row>
    <row r="3630" spans="3:3">
      <c r="C3630"/>
    </row>
    <row r="3631" spans="3:3">
      <c r="C3631"/>
    </row>
    <row r="3632" spans="3:3">
      <c r="C3632"/>
    </row>
    <row r="3633" spans="3:3">
      <c r="C3633"/>
    </row>
    <row r="3634" spans="3:3">
      <c r="C3634"/>
    </row>
    <row r="3635" spans="3:3">
      <c r="C3635"/>
    </row>
    <row r="3636" spans="3:3">
      <c r="C3636"/>
    </row>
    <row r="3637" spans="3:3">
      <c r="C3637"/>
    </row>
    <row r="3638" spans="3:3">
      <c r="C3638"/>
    </row>
    <row r="3639" spans="3:3">
      <c r="C3639"/>
    </row>
    <row r="3640" spans="3:3">
      <c r="C3640"/>
    </row>
    <row r="3641" spans="3:3">
      <c r="C3641"/>
    </row>
    <row r="3642" spans="3:3">
      <c r="C3642"/>
    </row>
    <row r="3643" spans="3:3">
      <c r="C3643"/>
    </row>
    <row r="3644" spans="3:3">
      <c r="C3644"/>
    </row>
    <row r="3645" spans="3:3">
      <c r="C3645"/>
    </row>
    <row r="3646" spans="3:3">
      <c r="C3646"/>
    </row>
    <row r="3647" spans="3:3">
      <c r="C3647"/>
    </row>
    <row r="3648" spans="3:3">
      <c r="C3648"/>
    </row>
    <row r="3649" spans="3:3">
      <c r="C3649"/>
    </row>
    <row r="3650" spans="3:3">
      <c r="C3650"/>
    </row>
    <row r="3651" spans="3:3">
      <c r="C3651"/>
    </row>
    <row r="3652" spans="3:3">
      <c r="C3652"/>
    </row>
    <row r="3653" spans="3:3">
      <c r="C3653"/>
    </row>
    <row r="3654" spans="3:3">
      <c r="C3654"/>
    </row>
    <row r="3655" spans="3:3">
      <c r="C3655"/>
    </row>
    <row r="3656" spans="3:3">
      <c r="C3656"/>
    </row>
    <row r="3657" spans="3:3">
      <c r="C3657"/>
    </row>
    <row r="3658" spans="3:3">
      <c r="C3658"/>
    </row>
    <row r="3659" spans="3:3">
      <c r="C3659"/>
    </row>
    <row r="3660" spans="3:3">
      <c r="C3660"/>
    </row>
    <row r="3661" spans="3:3">
      <c r="C3661"/>
    </row>
    <row r="3662" spans="3:3">
      <c r="C3662"/>
    </row>
    <row r="3663" spans="3:3">
      <c r="C3663"/>
    </row>
    <row r="3664" spans="3:3">
      <c r="C3664"/>
    </row>
    <row r="3665" spans="3:3">
      <c r="C3665"/>
    </row>
    <row r="3666" spans="3:3">
      <c r="C3666"/>
    </row>
    <row r="3667" spans="3:3">
      <c r="C3667"/>
    </row>
    <row r="3668" spans="3:3">
      <c r="C3668"/>
    </row>
    <row r="3669" spans="3:3">
      <c r="C3669"/>
    </row>
    <row r="3670" spans="3:3">
      <c r="C3670"/>
    </row>
    <row r="3671" spans="3:3">
      <c r="C3671"/>
    </row>
    <row r="3672" spans="3:3">
      <c r="C3672"/>
    </row>
    <row r="3673" spans="3:3">
      <c r="C3673"/>
    </row>
    <row r="3674" spans="3:3">
      <c r="C3674"/>
    </row>
    <row r="3675" spans="3:3">
      <c r="C3675"/>
    </row>
    <row r="3676" spans="3:3">
      <c r="C3676"/>
    </row>
    <row r="3677" spans="3:3">
      <c r="C3677"/>
    </row>
    <row r="3678" spans="3:3">
      <c r="C3678"/>
    </row>
    <row r="3679" spans="3:3">
      <c r="C3679"/>
    </row>
    <row r="3680" spans="3:3">
      <c r="C3680"/>
    </row>
    <row r="3681" spans="3:3">
      <c r="C3681"/>
    </row>
    <row r="3682" spans="3:3">
      <c r="C3682"/>
    </row>
    <row r="3683" spans="3:3">
      <c r="C3683"/>
    </row>
    <row r="3684" spans="3:3">
      <c r="C3684"/>
    </row>
    <row r="3685" spans="3:3">
      <c r="C3685"/>
    </row>
    <row r="3686" spans="3:3">
      <c r="C3686"/>
    </row>
    <row r="3687" spans="3:3">
      <c r="C3687"/>
    </row>
    <row r="3688" spans="3:3">
      <c r="C3688"/>
    </row>
    <row r="3689" spans="3:3">
      <c r="C3689"/>
    </row>
    <row r="3690" spans="3:3">
      <c r="C3690"/>
    </row>
    <row r="3691" spans="3:3">
      <c r="C3691"/>
    </row>
    <row r="3692" spans="3:3">
      <c r="C3692"/>
    </row>
    <row r="3693" spans="3:3">
      <c r="C3693"/>
    </row>
    <row r="3694" spans="3:3">
      <c r="C3694"/>
    </row>
    <row r="3695" spans="3:3">
      <c r="C3695"/>
    </row>
    <row r="3696" spans="3:3">
      <c r="C3696"/>
    </row>
    <row r="3697" spans="3:3">
      <c r="C3697"/>
    </row>
    <row r="3698" spans="3:3">
      <c r="C3698"/>
    </row>
    <row r="3699" spans="3:3">
      <c r="C3699"/>
    </row>
    <row r="3700" spans="3:3">
      <c r="C3700"/>
    </row>
    <row r="3701" spans="3:3">
      <c r="C3701"/>
    </row>
    <row r="3702" spans="3:3">
      <c r="C3702"/>
    </row>
    <row r="3703" spans="3:3">
      <c r="C3703"/>
    </row>
    <row r="3704" spans="3:3">
      <c r="C3704"/>
    </row>
    <row r="3705" spans="3:3">
      <c r="C3705"/>
    </row>
    <row r="3706" spans="3:3">
      <c r="C3706"/>
    </row>
    <row r="3707" spans="3:3">
      <c r="C3707"/>
    </row>
    <row r="3708" spans="3:3">
      <c r="C3708"/>
    </row>
    <row r="3709" spans="3:3">
      <c r="C3709"/>
    </row>
    <row r="3710" spans="3:3">
      <c r="C3710"/>
    </row>
    <row r="3711" spans="3:3">
      <c r="C3711"/>
    </row>
    <row r="3712" spans="3:3">
      <c r="C3712"/>
    </row>
    <row r="3713" spans="3:3">
      <c r="C3713"/>
    </row>
    <row r="3714" spans="3:3">
      <c r="C3714"/>
    </row>
    <row r="3715" spans="3:3">
      <c r="C3715"/>
    </row>
    <row r="3716" spans="3:3">
      <c r="C3716"/>
    </row>
    <row r="3717" spans="3:3">
      <c r="C3717"/>
    </row>
    <row r="3718" spans="3:3">
      <c r="C3718"/>
    </row>
    <row r="3719" spans="3:3">
      <c r="C3719"/>
    </row>
    <row r="3720" spans="3:3">
      <c r="C3720"/>
    </row>
    <row r="3721" spans="3:3">
      <c r="C3721"/>
    </row>
    <row r="3722" spans="3:3">
      <c r="C3722"/>
    </row>
    <row r="3723" spans="3:3">
      <c r="C3723"/>
    </row>
    <row r="3724" spans="3:3">
      <c r="C3724"/>
    </row>
    <row r="3725" spans="3:3">
      <c r="C3725"/>
    </row>
    <row r="3726" spans="3:3">
      <c r="C3726"/>
    </row>
    <row r="3727" spans="3:3">
      <c r="C3727"/>
    </row>
    <row r="3728" spans="3:3">
      <c r="C3728"/>
    </row>
    <row r="3729" spans="3:3">
      <c r="C3729"/>
    </row>
    <row r="3730" spans="3:3">
      <c r="C3730"/>
    </row>
    <row r="3731" spans="3:3">
      <c r="C3731"/>
    </row>
    <row r="3732" spans="3:3">
      <c r="C3732"/>
    </row>
    <row r="3733" spans="3:3">
      <c r="C3733"/>
    </row>
    <row r="3734" spans="3:3">
      <c r="C3734"/>
    </row>
    <row r="3735" spans="3:3">
      <c r="C3735"/>
    </row>
    <row r="3736" spans="3:3">
      <c r="C3736"/>
    </row>
    <row r="3737" spans="3:3">
      <c r="C3737"/>
    </row>
    <row r="3738" spans="3:3">
      <c r="C3738"/>
    </row>
    <row r="3739" spans="3:3">
      <c r="C3739"/>
    </row>
    <row r="3740" spans="3:3">
      <c r="C3740"/>
    </row>
    <row r="3741" spans="3:3">
      <c r="C3741"/>
    </row>
    <row r="3742" spans="3:3">
      <c r="C3742"/>
    </row>
    <row r="3743" spans="3:3">
      <c r="C3743"/>
    </row>
    <row r="3744" spans="3:3">
      <c r="C3744"/>
    </row>
    <row r="3745" spans="3:3">
      <c r="C3745"/>
    </row>
    <row r="3746" spans="3:3">
      <c r="C3746"/>
    </row>
    <row r="3747" spans="3:3">
      <c r="C3747"/>
    </row>
    <row r="3748" spans="3:3">
      <c r="C3748"/>
    </row>
    <row r="3749" spans="3:3">
      <c r="C3749"/>
    </row>
    <row r="3750" spans="3:3">
      <c r="C3750"/>
    </row>
    <row r="3751" spans="3:3">
      <c r="C3751"/>
    </row>
    <row r="3752" spans="3:3">
      <c r="C3752"/>
    </row>
    <row r="3753" spans="3:3">
      <c r="C3753"/>
    </row>
    <row r="3754" spans="3:3">
      <c r="C3754"/>
    </row>
    <row r="3755" spans="3:3">
      <c r="C3755"/>
    </row>
    <row r="3756" spans="3:3">
      <c r="C3756"/>
    </row>
    <row r="3757" spans="3:3">
      <c r="C3757"/>
    </row>
    <row r="3758" spans="3:3">
      <c r="C3758"/>
    </row>
    <row r="3759" spans="3:3">
      <c r="C3759"/>
    </row>
    <row r="3760" spans="3:3">
      <c r="C3760"/>
    </row>
    <row r="3761" spans="3:3">
      <c r="C3761"/>
    </row>
    <row r="3762" spans="3:3">
      <c r="C3762"/>
    </row>
    <row r="3763" spans="3:3">
      <c r="C3763"/>
    </row>
    <row r="3764" spans="3:3">
      <c r="C3764"/>
    </row>
    <row r="3765" spans="3:3">
      <c r="C3765"/>
    </row>
    <row r="3766" spans="3:3">
      <c r="C3766"/>
    </row>
    <row r="3767" spans="3:3">
      <c r="C3767"/>
    </row>
    <row r="3768" spans="3:3">
      <c r="C3768"/>
    </row>
    <row r="3769" spans="3:3">
      <c r="C3769"/>
    </row>
    <row r="3770" spans="3:3">
      <c r="C3770"/>
    </row>
    <row r="3771" spans="3:3">
      <c r="C3771"/>
    </row>
    <row r="3772" spans="3:3">
      <c r="C3772"/>
    </row>
    <row r="3773" spans="3:3">
      <c r="C3773"/>
    </row>
    <row r="3774" spans="3:3">
      <c r="C3774"/>
    </row>
    <row r="3775" spans="3:3">
      <c r="C3775"/>
    </row>
    <row r="3776" spans="3:3">
      <c r="C3776"/>
    </row>
    <row r="3777" spans="3:3">
      <c r="C3777"/>
    </row>
    <row r="3778" spans="3:3">
      <c r="C3778"/>
    </row>
    <row r="3779" spans="3:3">
      <c r="C3779"/>
    </row>
    <row r="3780" spans="3:3">
      <c r="C3780"/>
    </row>
    <row r="3781" spans="3:3">
      <c r="C3781"/>
    </row>
    <row r="3782" spans="3:3">
      <c r="C3782"/>
    </row>
    <row r="3783" spans="3:3">
      <c r="C3783"/>
    </row>
    <row r="3784" spans="3:3">
      <c r="C3784"/>
    </row>
    <row r="3785" spans="3:3">
      <c r="C3785"/>
    </row>
    <row r="3786" spans="3:3">
      <c r="C3786"/>
    </row>
    <row r="3787" spans="3:3">
      <c r="C3787"/>
    </row>
    <row r="3788" spans="3:3">
      <c r="C3788"/>
    </row>
    <row r="3789" spans="3:3">
      <c r="C3789"/>
    </row>
    <row r="3790" spans="3:3">
      <c r="C3790"/>
    </row>
    <row r="3791" spans="3:3">
      <c r="C3791"/>
    </row>
    <row r="3792" spans="3:3">
      <c r="C3792"/>
    </row>
    <row r="3793" spans="3:3">
      <c r="C3793"/>
    </row>
    <row r="3794" spans="3:3">
      <c r="C3794"/>
    </row>
    <row r="3795" spans="3:3">
      <c r="C3795"/>
    </row>
    <row r="3796" spans="3:3">
      <c r="C3796"/>
    </row>
    <row r="3797" spans="3:3">
      <c r="C3797"/>
    </row>
    <row r="3798" spans="3:3">
      <c r="C3798"/>
    </row>
    <row r="3799" spans="3:3">
      <c r="C3799"/>
    </row>
    <row r="3800" spans="3:3">
      <c r="C3800"/>
    </row>
    <row r="3801" spans="3:3">
      <c r="C3801"/>
    </row>
    <row r="3802" spans="3:3">
      <c r="C3802"/>
    </row>
    <row r="3803" spans="3:3">
      <c r="C3803"/>
    </row>
    <row r="3804" spans="3:3">
      <c r="C3804"/>
    </row>
    <row r="3805" spans="3:3">
      <c r="C3805"/>
    </row>
    <row r="3806" spans="3:3">
      <c r="C3806"/>
    </row>
    <row r="3807" spans="3:3">
      <c r="C3807"/>
    </row>
    <row r="3808" spans="3:3">
      <c r="C3808"/>
    </row>
    <row r="3809" spans="3:3">
      <c r="C3809"/>
    </row>
    <row r="3810" spans="3:3">
      <c r="C3810"/>
    </row>
    <row r="3811" spans="3:3">
      <c r="C3811"/>
    </row>
    <row r="3812" spans="3:3">
      <c r="C3812"/>
    </row>
    <row r="3813" spans="3:3">
      <c r="C3813"/>
    </row>
    <row r="3814" spans="3:3">
      <c r="C3814"/>
    </row>
    <row r="3815" spans="3:3">
      <c r="C3815"/>
    </row>
    <row r="3816" spans="3:3">
      <c r="C3816"/>
    </row>
    <row r="3817" spans="3:3">
      <c r="C3817"/>
    </row>
    <row r="3818" spans="3:3">
      <c r="C3818"/>
    </row>
    <row r="3819" spans="3:3">
      <c r="C3819"/>
    </row>
    <row r="3820" spans="3:3">
      <c r="C3820"/>
    </row>
    <row r="3821" spans="3:3">
      <c r="C3821"/>
    </row>
    <row r="3822" spans="3:3">
      <c r="C3822"/>
    </row>
    <row r="3823" spans="3:3">
      <c r="C3823"/>
    </row>
    <row r="3824" spans="3:3">
      <c r="C3824"/>
    </row>
    <row r="3825" spans="3:3">
      <c r="C3825"/>
    </row>
    <row r="3826" spans="3:3">
      <c r="C3826"/>
    </row>
    <row r="3827" spans="3:3">
      <c r="C3827"/>
    </row>
    <row r="3828" spans="3:3">
      <c r="C3828"/>
    </row>
    <row r="3829" spans="3:3">
      <c r="C3829"/>
    </row>
    <row r="3830" spans="3:3">
      <c r="C3830"/>
    </row>
    <row r="3831" spans="3:3">
      <c r="C3831"/>
    </row>
    <row r="3832" spans="3:3">
      <c r="C3832"/>
    </row>
    <row r="3833" spans="3:3">
      <c r="C3833"/>
    </row>
    <row r="3834" spans="3:3">
      <c r="C3834"/>
    </row>
    <row r="3835" spans="3:3">
      <c r="C3835"/>
    </row>
    <row r="3836" spans="3:3">
      <c r="C3836"/>
    </row>
    <row r="3837" spans="3:3">
      <c r="C3837"/>
    </row>
    <row r="3838" spans="3:3">
      <c r="C3838"/>
    </row>
    <row r="3839" spans="3:3">
      <c r="C3839"/>
    </row>
    <row r="3840" spans="3:3">
      <c r="C3840"/>
    </row>
    <row r="3841" spans="3:3">
      <c r="C3841"/>
    </row>
    <row r="3842" spans="3:3">
      <c r="C3842"/>
    </row>
    <row r="3843" spans="3:3">
      <c r="C3843"/>
    </row>
    <row r="3844" spans="3:3">
      <c r="C3844"/>
    </row>
    <row r="3845" spans="3:3">
      <c r="C3845"/>
    </row>
    <row r="3846" spans="3:3">
      <c r="C3846"/>
    </row>
    <row r="3847" spans="3:3">
      <c r="C3847"/>
    </row>
    <row r="3848" spans="3:3">
      <c r="C3848"/>
    </row>
    <row r="3849" spans="3:3">
      <c r="C3849"/>
    </row>
    <row r="3850" spans="3:3">
      <c r="C3850"/>
    </row>
    <row r="3851" spans="3:3">
      <c r="C3851"/>
    </row>
    <row r="3852" spans="3:3">
      <c r="C3852"/>
    </row>
    <row r="3853" spans="3:3">
      <c r="C3853"/>
    </row>
    <row r="3854" spans="3:3">
      <c r="C3854"/>
    </row>
    <row r="3855" spans="3:3">
      <c r="C3855"/>
    </row>
    <row r="3856" spans="3:3">
      <c r="C3856"/>
    </row>
    <row r="3857" spans="3:3">
      <c r="C3857"/>
    </row>
    <row r="3858" spans="3:3">
      <c r="C3858"/>
    </row>
    <row r="3859" spans="3:3">
      <c r="C3859"/>
    </row>
    <row r="3860" spans="3:3">
      <c r="C3860"/>
    </row>
    <row r="3861" spans="3:3">
      <c r="C3861"/>
    </row>
    <row r="3862" spans="3:3">
      <c r="C3862"/>
    </row>
    <row r="3863" spans="3:3">
      <c r="C3863"/>
    </row>
    <row r="3864" spans="3:3">
      <c r="C3864"/>
    </row>
    <row r="3865" spans="3:3">
      <c r="C3865"/>
    </row>
    <row r="3866" spans="3:3">
      <c r="C3866"/>
    </row>
    <row r="3867" spans="3:3">
      <c r="C3867"/>
    </row>
    <row r="3868" spans="3:3">
      <c r="C3868"/>
    </row>
    <row r="3869" spans="3:3">
      <c r="C3869"/>
    </row>
    <row r="3870" spans="3:3">
      <c r="C3870"/>
    </row>
    <row r="3871" spans="3:3">
      <c r="C3871"/>
    </row>
    <row r="3872" spans="3:3">
      <c r="C3872"/>
    </row>
    <row r="3873" spans="3:3">
      <c r="C3873"/>
    </row>
    <row r="3874" spans="3:3">
      <c r="C3874"/>
    </row>
    <row r="3875" spans="3:3">
      <c r="C3875"/>
    </row>
    <row r="3876" spans="3:3">
      <c r="C3876"/>
    </row>
    <row r="3877" spans="3:3">
      <c r="C3877"/>
    </row>
    <row r="3878" spans="3:3">
      <c r="C3878"/>
    </row>
    <row r="3879" spans="3:3">
      <c r="C3879"/>
    </row>
    <row r="3880" spans="3:3">
      <c r="C3880"/>
    </row>
    <row r="3881" spans="3:3">
      <c r="C3881"/>
    </row>
    <row r="3882" spans="3:3">
      <c r="C3882"/>
    </row>
    <row r="3883" spans="3:3">
      <c r="C3883"/>
    </row>
    <row r="3884" spans="3:3">
      <c r="C3884"/>
    </row>
    <row r="3885" spans="3:3">
      <c r="C3885"/>
    </row>
    <row r="3886" spans="3:3">
      <c r="C3886"/>
    </row>
    <row r="3887" spans="3:3">
      <c r="C3887"/>
    </row>
    <row r="3888" spans="3:3">
      <c r="C3888"/>
    </row>
    <row r="3889" spans="3:3">
      <c r="C3889"/>
    </row>
    <row r="3890" spans="3:3">
      <c r="C3890"/>
    </row>
    <row r="3891" spans="3:3">
      <c r="C3891"/>
    </row>
    <row r="3892" spans="3:3">
      <c r="C3892"/>
    </row>
    <row r="3893" spans="3:3">
      <c r="C3893"/>
    </row>
    <row r="3894" spans="3:3">
      <c r="C3894"/>
    </row>
    <row r="3895" spans="3:3">
      <c r="C3895"/>
    </row>
    <row r="3896" spans="3:3">
      <c r="C3896"/>
    </row>
    <row r="3897" spans="3:3">
      <c r="C3897"/>
    </row>
    <row r="3898" spans="3:3">
      <c r="C3898"/>
    </row>
    <row r="3899" spans="3:3">
      <c r="C3899"/>
    </row>
    <row r="3900" spans="3:3">
      <c r="C3900"/>
    </row>
    <row r="3901" spans="3:3">
      <c r="C3901"/>
    </row>
    <row r="3902" spans="3:3">
      <c r="C3902"/>
    </row>
    <row r="3903" spans="3:3">
      <c r="C3903"/>
    </row>
    <row r="3904" spans="3:3">
      <c r="C3904"/>
    </row>
    <row r="3905" spans="3:3">
      <c r="C3905"/>
    </row>
    <row r="3906" spans="3:3">
      <c r="C3906"/>
    </row>
    <row r="3907" spans="3:3">
      <c r="C3907"/>
    </row>
    <row r="3908" spans="3:3">
      <c r="C3908"/>
    </row>
    <row r="3909" spans="3:3">
      <c r="C3909"/>
    </row>
    <row r="3910" spans="3:3">
      <c r="C3910"/>
    </row>
    <row r="3911" spans="3:3">
      <c r="C3911"/>
    </row>
    <row r="3912" spans="3:3">
      <c r="C3912"/>
    </row>
    <row r="3913" spans="3:3">
      <c r="C3913"/>
    </row>
    <row r="3914" spans="3:3">
      <c r="C3914"/>
    </row>
    <row r="3915" spans="3:3">
      <c r="C3915"/>
    </row>
    <row r="3916" spans="3:3">
      <c r="C3916"/>
    </row>
    <row r="3917" spans="3:3">
      <c r="C3917"/>
    </row>
    <row r="3918" spans="3:3">
      <c r="C3918"/>
    </row>
    <row r="3919" spans="3:3">
      <c r="C3919"/>
    </row>
    <row r="3920" spans="3:3">
      <c r="C3920"/>
    </row>
    <row r="3921" spans="3:3">
      <c r="C3921"/>
    </row>
    <row r="3922" spans="3:3">
      <c r="C3922"/>
    </row>
    <row r="3923" spans="3:3">
      <c r="C3923"/>
    </row>
    <row r="3924" spans="3:3">
      <c r="C3924"/>
    </row>
    <row r="3925" spans="3:3">
      <c r="C3925"/>
    </row>
    <row r="3926" spans="3:3">
      <c r="C3926"/>
    </row>
    <row r="3927" spans="3:3">
      <c r="C3927"/>
    </row>
    <row r="3928" spans="3:3">
      <c r="C3928"/>
    </row>
    <row r="3929" spans="3:3">
      <c r="C3929"/>
    </row>
    <row r="3930" spans="3:3">
      <c r="C3930"/>
    </row>
    <row r="3931" spans="3:3">
      <c r="C3931"/>
    </row>
    <row r="3932" spans="3:3">
      <c r="C3932"/>
    </row>
    <row r="3933" spans="3:3">
      <c r="C3933"/>
    </row>
    <row r="3934" spans="3:3">
      <c r="C3934"/>
    </row>
    <row r="3935" spans="3:3">
      <c r="C3935"/>
    </row>
    <row r="3936" spans="3:3">
      <c r="C3936"/>
    </row>
    <row r="3937" spans="3:3">
      <c r="C3937"/>
    </row>
    <row r="3938" spans="3:3">
      <c r="C3938"/>
    </row>
    <row r="3939" spans="3:3">
      <c r="C3939"/>
    </row>
    <row r="3940" spans="3:3">
      <c r="C3940"/>
    </row>
    <row r="3941" spans="3:3">
      <c r="C3941"/>
    </row>
    <row r="3942" spans="3:3">
      <c r="C3942"/>
    </row>
    <row r="3943" spans="3:3">
      <c r="C3943"/>
    </row>
    <row r="3944" spans="3:3">
      <c r="C3944"/>
    </row>
    <row r="3945" spans="3:3">
      <c r="C3945"/>
    </row>
    <row r="3946" spans="3:3">
      <c r="C3946"/>
    </row>
    <row r="3947" spans="3:3">
      <c r="C3947"/>
    </row>
    <row r="3948" spans="3:3">
      <c r="C3948"/>
    </row>
    <row r="3949" spans="3:3">
      <c r="C3949"/>
    </row>
    <row r="3950" spans="3:3">
      <c r="C3950"/>
    </row>
    <row r="3951" spans="3:3">
      <c r="C3951"/>
    </row>
    <row r="3952" spans="3:3">
      <c r="C3952"/>
    </row>
    <row r="3953" spans="3:3">
      <c r="C3953"/>
    </row>
    <row r="3954" spans="3:3">
      <c r="C3954"/>
    </row>
    <row r="3955" spans="3:3">
      <c r="C3955"/>
    </row>
    <row r="3956" spans="3:3">
      <c r="C3956"/>
    </row>
    <row r="3957" spans="3:3">
      <c r="C3957"/>
    </row>
    <row r="3958" spans="3:3">
      <c r="C3958"/>
    </row>
    <row r="3959" spans="3:3">
      <c r="C3959"/>
    </row>
    <row r="3960" spans="3:3">
      <c r="C3960"/>
    </row>
    <row r="3961" spans="3:3">
      <c r="C3961"/>
    </row>
    <row r="3962" spans="3:3">
      <c r="C3962"/>
    </row>
    <row r="3963" spans="3:3">
      <c r="C3963"/>
    </row>
    <row r="3964" spans="3:3">
      <c r="C3964"/>
    </row>
    <row r="3965" spans="3:3">
      <c r="C3965"/>
    </row>
    <row r="3966" spans="3:3">
      <c r="C3966"/>
    </row>
    <row r="3967" spans="3:3">
      <c r="C3967"/>
    </row>
    <row r="3968" spans="3:3">
      <c r="C3968"/>
    </row>
    <row r="3969" spans="3:3">
      <c r="C3969"/>
    </row>
    <row r="3970" spans="3:3">
      <c r="C3970"/>
    </row>
    <row r="3971" spans="3:3">
      <c r="C3971"/>
    </row>
    <row r="3972" spans="3:3">
      <c r="C3972"/>
    </row>
    <row r="3973" spans="3:3">
      <c r="C3973"/>
    </row>
    <row r="3974" spans="3:3">
      <c r="C3974"/>
    </row>
    <row r="3975" spans="3:3">
      <c r="C3975"/>
    </row>
    <row r="3976" spans="3:3">
      <c r="C3976"/>
    </row>
    <row r="3977" spans="3:3">
      <c r="C3977"/>
    </row>
    <row r="3978" spans="3:3">
      <c r="C3978"/>
    </row>
    <row r="3979" spans="3:3">
      <c r="C3979"/>
    </row>
    <row r="3980" spans="3:3">
      <c r="C3980"/>
    </row>
    <row r="3981" spans="3:3">
      <c r="C3981"/>
    </row>
    <row r="3982" spans="3:3">
      <c r="C3982"/>
    </row>
    <row r="3983" spans="3:3">
      <c r="C3983"/>
    </row>
    <row r="3984" spans="3:3">
      <c r="C3984"/>
    </row>
    <row r="3985" spans="3:3">
      <c r="C3985"/>
    </row>
    <row r="3986" spans="3:3">
      <c r="C3986"/>
    </row>
    <row r="3987" spans="3:3">
      <c r="C3987"/>
    </row>
    <row r="3988" spans="3:3">
      <c r="C3988"/>
    </row>
    <row r="3989" spans="3:3">
      <c r="C3989"/>
    </row>
    <row r="3990" spans="3:3">
      <c r="C3990"/>
    </row>
    <row r="3991" spans="3:3">
      <c r="C3991"/>
    </row>
    <row r="3992" spans="3:3">
      <c r="C3992"/>
    </row>
    <row r="3993" spans="3:3">
      <c r="C3993"/>
    </row>
    <row r="3994" spans="3:3">
      <c r="C3994"/>
    </row>
    <row r="3995" spans="3:3">
      <c r="C3995"/>
    </row>
    <row r="3996" spans="3:3">
      <c r="C3996"/>
    </row>
    <row r="3997" spans="3:3">
      <c r="C3997"/>
    </row>
    <row r="3998" spans="3:3">
      <c r="C3998"/>
    </row>
    <row r="3999" spans="3:3">
      <c r="C3999"/>
    </row>
    <row r="4000" spans="3:3">
      <c r="C4000"/>
    </row>
    <row r="4001" spans="3:3">
      <c r="C4001"/>
    </row>
    <row r="4002" spans="3:3">
      <c r="C4002"/>
    </row>
    <row r="4003" spans="3:3">
      <c r="C4003"/>
    </row>
    <row r="4004" spans="3:3">
      <c r="C4004"/>
    </row>
    <row r="4005" spans="3:3">
      <c r="C4005"/>
    </row>
    <row r="4006" spans="3:3">
      <c r="C4006"/>
    </row>
    <row r="4007" spans="3:3">
      <c r="C4007"/>
    </row>
    <row r="4008" spans="3:3">
      <c r="C4008"/>
    </row>
    <row r="4009" spans="3:3">
      <c r="C4009"/>
    </row>
    <row r="4010" spans="3:3">
      <c r="C4010"/>
    </row>
    <row r="4011" spans="3:3">
      <c r="C4011"/>
    </row>
    <row r="4012" spans="3:3">
      <c r="C4012"/>
    </row>
    <row r="4013" spans="3:3">
      <c r="C4013"/>
    </row>
    <row r="4014" spans="3:3">
      <c r="C4014"/>
    </row>
    <row r="4015" spans="3:3">
      <c r="C4015"/>
    </row>
    <row r="4016" spans="3:3">
      <c r="C4016"/>
    </row>
    <row r="4017" spans="3:3">
      <c r="C4017"/>
    </row>
    <row r="4018" spans="3:3">
      <c r="C4018"/>
    </row>
    <row r="4019" spans="3:3">
      <c r="C4019"/>
    </row>
    <row r="4020" spans="3:3">
      <c r="C4020"/>
    </row>
    <row r="4021" spans="3:3">
      <c r="C4021"/>
    </row>
    <row r="4022" spans="3:3">
      <c r="C4022"/>
    </row>
    <row r="4023" spans="3:3">
      <c r="C4023"/>
    </row>
    <row r="4024" spans="3:3">
      <c r="C4024"/>
    </row>
    <row r="4025" spans="3:3">
      <c r="C4025"/>
    </row>
    <row r="4026" spans="3:3">
      <c r="C4026"/>
    </row>
    <row r="4027" spans="3:3">
      <c r="C4027"/>
    </row>
    <row r="4028" spans="3:3">
      <c r="C4028"/>
    </row>
    <row r="4029" spans="3:3">
      <c r="C4029"/>
    </row>
    <row r="4030" spans="3:3">
      <c r="C4030"/>
    </row>
    <row r="4031" spans="3:3">
      <c r="C4031"/>
    </row>
    <row r="4032" spans="3:3">
      <c r="C4032"/>
    </row>
    <row r="4033" spans="3:3">
      <c r="C4033"/>
    </row>
    <row r="4034" spans="3:3">
      <c r="C4034"/>
    </row>
    <row r="4035" spans="3:3">
      <c r="C4035"/>
    </row>
    <row r="4036" spans="3:3">
      <c r="C4036"/>
    </row>
    <row r="4037" spans="3:3">
      <c r="C4037"/>
    </row>
    <row r="4038" spans="3:3">
      <c r="C4038"/>
    </row>
    <row r="4039" spans="3:3">
      <c r="C4039"/>
    </row>
    <row r="4040" spans="3:3">
      <c r="C4040"/>
    </row>
    <row r="4041" spans="3:3">
      <c r="C4041"/>
    </row>
    <row r="4042" spans="3:3">
      <c r="C4042"/>
    </row>
    <row r="4043" spans="3:3">
      <c r="C4043"/>
    </row>
    <row r="4044" spans="3:3">
      <c r="C4044"/>
    </row>
    <row r="4045" spans="3:3">
      <c r="C4045"/>
    </row>
    <row r="4046" spans="3:3">
      <c r="C4046"/>
    </row>
    <row r="4047" spans="3:3">
      <c r="C4047"/>
    </row>
    <row r="4048" spans="3:3">
      <c r="C4048"/>
    </row>
    <row r="4049" spans="3:3">
      <c r="C4049"/>
    </row>
    <row r="4050" spans="3:3">
      <c r="C4050"/>
    </row>
    <row r="4051" spans="3:3">
      <c r="C4051"/>
    </row>
    <row r="4052" spans="3:3">
      <c r="C4052"/>
    </row>
    <row r="4053" spans="3:3">
      <c r="C4053"/>
    </row>
    <row r="4054" spans="3:3">
      <c r="C4054"/>
    </row>
    <row r="4055" spans="3:3">
      <c r="C4055"/>
    </row>
    <row r="4056" spans="3:3">
      <c r="C4056"/>
    </row>
    <row r="4057" spans="3:3">
      <c r="C4057"/>
    </row>
    <row r="4058" spans="3:3">
      <c r="C4058"/>
    </row>
    <row r="4059" spans="3:3">
      <c r="C4059"/>
    </row>
    <row r="4060" spans="3:3">
      <c r="C4060"/>
    </row>
    <row r="4061" spans="3:3">
      <c r="C4061"/>
    </row>
    <row r="4062" spans="3:3">
      <c r="C4062"/>
    </row>
    <row r="4063" spans="3:3">
      <c r="C4063"/>
    </row>
    <row r="4064" spans="3:3">
      <c r="C4064"/>
    </row>
    <row r="4065" spans="3:3">
      <c r="C4065"/>
    </row>
    <row r="4066" spans="3:3">
      <c r="C4066"/>
    </row>
    <row r="4067" spans="3:3">
      <c r="C4067"/>
    </row>
    <row r="4068" spans="3:3">
      <c r="C4068"/>
    </row>
    <row r="4069" spans="3:3">
      <c r="C4069"/>
    </row>
    <row r="4070" spans="3:3">
      <c r="C4070"/>
    </row>
    <row r="4071" spans="3:3">
      <c r="C4071"/>
    </row>
    <row r="4072" spans="3:3">
      <c r="C4072"/>
    </row>
    <row r="4073" spans="3:3">
      <c r="C4073"/>
    </row>
    <row r="4074" spans="3:3">
      <c r="C4074"/>
    </row>
    <row r="4075" spans="3:3">
      <c r="C4075"/>
    </row>
    <row r="4076" spans="3:3">
      <c r="C4076"/>
    </row>
    <row r="4077" spans="3:3">
      <c r="C4077"/>
    </row>
    <row r="4078" spans="3:3">
      <c r="C4078"/>
    </row>
    <row r="4079" spans="3:3">
      <c r="C4079"/>
    </row>
    <row r="4080" spans="3:3">
      <c r="C4080"/>
    </row>
    <row r="4081" spans="3:3">
      <c r="C4081"/>
    </row>
    <row r="4082" spans="3:3">
      <c r="C4082"/>
    </row>
    <row r="4083" spans="3:3">
      <c r="C4083"/>
    </row>
    <row r="4084" spans="3:3">
      <c r="C4084"/>
    </row>
    <row r="4085" spans="3:3">
      <c r="C4085"/>
    </row>
    <row r="4086" spans="3:3">
      <c r="C4086"/>
    </row>
    <row r="4087" spans="3:3">
      <c r="C4087"/>
    </row>
    <row r="4088" spans="3:3">
      <c r="C4088"/>
    </row>
    <row r="4089" spans="3:3">
      <c r="C4089"/>
    </row>
    <row r="4090" spans="3:3">
      <c r="C4090"/>
    </row>
    <row r="4091" spans="3:3">
      <c r="C4091"/>
    </row>
    <row r="4092" spans="3:3">
      <c r="C4092"/>
    </row>
    <row r="4093" spans="3:3">
      <c r="C4093"/>
    </row>
    <row r="4094" spans="3:3">
      <c r="C4094"/>
    </row>
    <row r="4095" spans="3:3">
      <c r="C4095"/>
    </row>
    <row r="4096" spans="3:3">
      <c r="C4096"/>
    </row>
    <row r="4097" spans="3:3">
      <c r="C4097"/>
    </row>
    <row r="4098" spans="3:3">
      <c r="C4098"/>
    </row>
    <row r="4099" spans="3:3">
      <c r="C4099"/>
    </row>
    <row r="4100" spans="3:3">
      <c r="C4100"/>
    </row>
    <row r="4101" spans="3:3">
      <c r="C4101"/>
    </row>
    <row r="4102" spans="3:3">
      <c r="C4102"/>
    </row>
    <row r="4103" spans="3:3">
      <c r="C4103"/>
    </row>
    <row r="4104" spans="3:3">
      <c r="C4104"/>
    </row>
    <row r="4105" spans="3:3">
      <c r="C4105"/>
    </row>
    <row r="4106" spans="3:3">
      <c r="C4106"/>
    </row>
    <row r="4107" spans="3:3">
      <c r="C4107"/>
    </row>
    <row r="4108" spans="3:3">
      <c r="C4108"/>
    </row>
    <row r="4109" spans="3:3">
      <c r="C4109"/>
    </row>
    <row r="4110" spans="3:3">
      <c r="C4110"/>
    </row>
    <row r="4111" spans="3:3">
      <c r="C4111"/>
    </row>
    <row r="4112" spans="3:3">
      <c r="C4112"/>
    </row>
    <row r="4113" spans="3:3">
      <c r="C4113"/>
    </row>
    <row r="4114" spans="3:3">
      <c r="C4114"/>
    </row>
    <row r="4115" spans="3:3">
      <c r="C4115"/>
    </row>
    <row r="4116" spans="3:3">
      <c r="C4116"/>
    </row>
    <row r="4117" spans="3:3">
      <c r="C4117"/>
    </row>
    <row r="4118" spans="3:3">
      <c r="C4118"/>
    </row>
    <row r="4119" spans="3:3">
      <c r="C4119"/>
    </row>
    <row r="4120" spans="3:3">
      <c r="C4120"/>
    </row>
    <row r="4121" spans="3:3">
      <c r="C4121"/>
    </row>
    <row r="4122" spans="3:3">
      <c r="C4122"/>
    </row>
    <row r="4123" spans="3:3">
      <c r="C4123"/>
    </row>
    <row r="4124" spans="3:3">
      <c r="C4124"/>
    </row>
    <row r="4125" spans="3:3">
      <c r="C4125"/>
    </row>
    <row r="4126" spans="3:3">
      <c r="C4126"/>
    </row>
    <row r="4127" spans="3:3">
      <c r="C4127"/>
    </row>
    <row r="4128" spans="3:3">
      <c r="C4128"/>
    </row>
    <row r="4129" spans="3:3">
      <c r="C4129"/>
    </row>
    <row r="4130" spans="3:3">
      <c r="C4130"/>
    </row>
    <row r="4131" spans="3:3">
      <c r="C4131"/>
    </row>
    <row r="4132" spans="3:3">
      <c r="C4132"/>
    </row>
    <row r="4133" spans="3:3">
      <c r="C4133"/>
    </row>
    <row r="4134" spans="3:3">
      <c r="C4134"/>
    </row>
    <row r="4135" spans="3:3">
      <c r="C4135"/>
    </row>
    <row r="4136" spans="3:3">
      <c r="C4136"/>
    </row>
    <row r="4137" spans="3:3">
      <c r="C4137"/>
    </row>
    <row r="4138" spans="3:3">
      <c r="C4138"/>
    </row>
    <row r="4139" spans="3:3">
      <c r="C4139"/>
    </row>
    <row r="4140" spans="3:3">
      <c r="C4140"/>
    </row>
    <row r="4141" spans="3:3">
      <c r="C4141"/>
    </row>
    <row r="4142" spans="3:3">
      <c r="C4142"/>
    </row>
    <row r="4143" spans="3:3">
      <c r="C4143"/>
    </row>
    <row r="4144" spans="3:3">
      <c r="C4144"/>
    </row>
    <row r="4145" spans="3:3">
      <c r="C4145"/>
    </row>
    <row r="4146" spans="3:3">
      <c r="C4146"/>
    </row>
    <row r="4147" spans="3:3">
      <c r="C4147"/>
    </row>
    <row r="4148" spans="3:3">
      <c r="C4148"/>
    </row>
    <row r="4149" spans="3:3">
      <c r="C4149"/>
    </row>
    <row r="4150" spans="3:3">
      <c r="C4150"/>
    </row>
    <row r="4151" spans="3:3">
      <c r="C4151"/>
    </row>
    <row r="4152" spans="3:3">
      <c r="C4152"/>
    </row>
    <row r="4153" spans="3:3">
      <c r="C4153"/>
    </row>
    <row r="4154" spans="3:3">
      <c r="C4154"/>
    </row>
    <row r="4155" spans="3:3">
      <c r="C4155"/>
    </row>
    <row r="4156" spans="3:3">
      <c r="C4156"/>
    </row>
    <row r="4157" spans="3:3">
      <c r="C4157"/>
    </row>
    <row r="4158" spans="3:3">
      <c r="C4158"/>
    </row>
    <row r="4159" spans="3:3">
      <c r="C4159"/>
    </row>
    <row r="4160" spans="3:3">
      <c r="C4160"/>
    </row>
    <row r="4161" spans="3:3">
      <c r="C4161"/>
    </row>
    <row r="4162" spans="3:3">
      <c r="C4162"/>
    </row>
    <row r="4163" spans="3:3">
      <c r="C4163"/>
    </row>
    <row r="4164" spans="3:3">
      <c r="C4164"/>
    </row>
    <row r="4165" spans="3:3">
      <c r="C4165"/>
    </row>
    <row r="4166" spans="3:3">
      <c r="C4166"/>
    </row>
    <row r="4167" spans="3:3">
      <c r="C4167"/>
    </row>
    <row r="4168" spans="3:3">
      <c r="C4168"/>
    </row>
    <row r="4169" spans="3:3">
      <c r="C4169"/>
    </row>
    <row r="4170" spans="3:3">
      <c r="C4170"/>
    </row>
    <row r="4171" spans="3:3">
      <c r="C4171"/>
    </row>
    <row r="4172" spans="3:3">
      <c r="C4172"/>
    </row>
    <row r="4173" spans="3:3">
      <c r="C4173"/>
    </row>
    <row r="4174" spans="3:3">
      <c r="C4174"/>
    </row>
    <row r="4175" spans="3:3">
      <c r="C4175"/>
    </row>
    <row r="4176" spans="3:3">
      <c r="C4176"/>
    </row>
    <row r="4177" spans="3:3">
      <c r="C4177"/>
    </row>
    <row r="4178" spans="3:3">
      <c r="C4178"/>
    </row>
    <row r="4179" spans="3:3">
      <c r="C4179"/>
    </row>
    <row r="4180" spans="3:3">
      <c r="C4180"/>
    </row>
    <row r="4181" spans="3:3">
      <c r="C4181"/>
    </row>
    <row r="4182" spans="3:3">
      <c r="C4182"/>
    </row>
    <row r="4183" spans="3:3">
      <c r="C4183"/>
    </row>
    <row r="4184" spans="3:3">
      <c r="C4184"/>
    </row>
    <row r="4185" spans="3:3">
      <c r="C4185"/>
    </row>
    <row r="4186" spans="3:3">
      <c r="C4186"/>
    </row>
    <row r="4187" spans="3:3">
      <c r="C4187"/>
    </row>
    <row r="4188" spans="3:3">
      <c r="C4188"/>
    </row>
    <row r="4189" spans="3:3">
      <c r="C4189"/>
    </row>
    <row r="4190" spans="3:3">
      <c r="C4190"/>
    </row>
    <row r="4191" spans="3:3">
      <c r="C4191"/>
    </row>
    <row r="4192" spans="3:3">
      <c r="C4192"/>
    </row>
    <row r="4193" spans="3:3">
      <c r="C4193"/>
    </row>
    <row r="4194" spans="3:3">
      <c r="C4194"/>
    </row>
    <row r="4195" spans="3:3">
      <c r="C4195"/>
    </row>
    <row r="4196" spans="3:3">
      <c r="C4196"/>
    </row>
    <row r="4197" spans="3:3">
      <c r="C4197"/>
    </row>
    <row r="4198" spans="3:3">
      <c r="C4198"/>
    </row>
    <row r="4199" spans="3:3">
      <c r="C4199"/>
    </row>
    <row r="4200" spans="3:3">
      <c r="C4200"/>
    </row>
    <row r="4201" spans="3:3">
      <c r="C4201"/>
    </row>
    <row r="4202" spans="3:3">
      <c r="C4202"/>
    </row>
    <row r="4203" spans="3:3">
      <c r="C4203"/>
    </row>
    <row r="4204" spans="3:3">
      <c r="C4204"/>
    </row>
    <row r="4205" spans="3:3">
      <c r="C4205"/>
    </row>
    <row r="4206" spans="3:3">
      <c r="C4206"/>
    </row>
    <row r="4207" spans="3:3">
      <c r="C4207"/>
    </row>
    <row r="4208" spans="3:3">
      <c r="C4208"/>
    </row>
    <row r="4209" spans="3:3">
      <c r="C4209"/>
    </row>
    <row r="4210" spans="3:3">
      <c r="C4210"/>
    </row>
    <row r="4211" spans="3:3">
      <c r="C4211"/>
    </row>
    <row r="4212" spans="3:3">
      <c r="C4212"/>
    </row>
    <row r="4213" spans="3:3">
      <c r="C4213"/>
    </row>
    <row r="4214" spans="3:3">
      <c r="C4214"/>
    </row>
    <row r="4215" spans="3:3">
      <c r="C4215"/>
    </row>
    <row r="4216" spans="3:3">
      <c r="C4216"/>
    </row>
    <row r="4217" spans="3:3">
      <c r="C4217"/>
    </row>
    <row r="4218" spans="3:3">
      <c r="C4218"/>
    </row>
    <row r="4219" spans="3:3">
      <c r="C4219"/>
    </row>
    <row r="4220" spans="3:3">
      <c r="C4220"/>
    </row>
    <row r="4221" spans="3:3">
      <c r="C4221"/>
    </row>
    <row r="4222" spans="3:3">
      <c r="C4222"/>
    </row>
    <row r="4223" spans="3:3">
      <c r="C4223"/>
    </row>
    <row r="4224" spans="3:3">
      <c r="C4224"/>
    </row>
    <row r="4225" spans="3:3">
      <c r="C4225"/>
    </row>
    <row r="4226" spans="3:3">
      <c r="C4226"/>
    </row>
    <row r="4227" spans="3:3">
      <c r="C4227"/>
    </row>
    <row r="4228" spans="3:3">
      <c r="C4228"/>
    </row>
    <row r="4229" spans="3:3">
      <c r="C4229"/>
    </row>
    <row r="4230" spans="3:3">
      <c r="C4230"/>
    </row>
    <row r="4231" spans="3:3">
      <c r="C4231"/>
    </row>
    <row r="4232" spans="3:3">
      <c r="C4232"/>
    </row>
    <row r="4233" spans="3:3">
      <c r="C4233"/>
    </row>
    <row r="4234" spans="3:3">
      <c r="C4234"/>
    </row>
    <row r="4235" spans="3:3">
      <c r="C4235"/>
    </row>
    <row r="4236" spans="3:3">
      <c r="C4236"/>
    </row>
    <row r="4237" spans="3:3">
      <c r="C4237"/>
    </row>
    <row r="4238" spans="3:3">
      <c r="C4238"/>
    </row>
    <row r="4239" spans="3:3">
      <c r="C4239"/>
    </row>
    <row r="4240" spans="3:3">
      <c r="C4240"/>
    </row>
    <row r="4241" spans="3:3">
      <c r="C4241"/>
    </row>
    <row r="4242" spans="3:3">
      <c r="C4242"/>
    </row>
    <row r="4243" spans="3:3">
      <c r="C4243"/>
    </row>
    <row r="4244" spans="3:3">
      <c r="C4244"/>
    </row>
    <row r="4245" spans="3:3">
      <c r="C4245"/>
    </row>
    <row r="4246" spans="3:3">
      <c r="C4246"/>
    </row>
    <row r="4247" spans="3:3">
      <c r="C4247"/>
    </row>
    <row r="4248" spans="3:3">
      <c r="C4248"/>
    </row>
    <row r="4249" spans="3:3">
      <c r="C4249"/>
    </row>
    <row r="4250" spans="3:3">
      <c r="C4250"/>
    </row>
    <row r="4251" spans="3:3">
      <c r="C4251"/>
    </row>
    <row r="4252" spans="3:3">
      <c r="C4252"/>
    </row>
    <row r="4253" spans="3:3">
      <c r="C4253"/>
    </row>
    <row r="4254" spans="3:3">
      <c r="C4254"/>
    </row>
    <row r="4255" spans="3:3">
      <c r="C4255"/>
    </row>
    <row r="4256" spans="3:3">
      <c r="C4256"/>
    </row>
    <row r="4257" spans="3:3">
      <c r="C4257"/>
    </row>
    <row r="4258" spans="3:3">
      <c r="C4258"/>
    </row>
    <row r="4259" spans="3:3">
      <c r="C4259"/>
    </row>
    <row r="4260" spans="3:3">
      <c r="C4260"/>
    </row>
    <row r="4261" spans="3:3">
      <c r="C4261"/>
    </row>
    <row r="4262" spans="3:3">
      <c r="C4262"/>
    </row>
    <row r="4263" spans="3:3">
      <c r="C4263"/>
    </row>
    <row r="4264" spans="3:3">
      <c r="C4264"/>
    </row>
    <row r="4265" spans="3:3">
      <c r="C4265"/>
    </row>
    <row r="4266" spans="3:3">
      <c r="C4266"/>
    </row>
    <row r="4267" spans="3:3">
      <c r="C4267"/>
    </row>
    <row r="4268" spans="3:3">
      <c r="C4268"/>
    </row>
    <row r="4269" spans="3:3">
      <c r="C4269"/>
    </row>
    <row r="4270" spans="3:3">
      <c r="C4270"/>
    </row>
    <row r="4271" spans="3:3">
      <c r="C4271"/>
    </row>
    <row r="4272" spans="3:3">
      <c r="C4272"/>
    </row>
    <row r="4273" spans="3:3">
      <c r="C4273"/>
    </row>
    <row r="4274" spans="3:3">
      <c r="C4274"/>
    </row>
    <row r="4275" spans="3:3">
      <c r="C4275"/>
    </row>
    <row r="4276" spans="3:3">
      <c r="C4276"/>
    </row>
    <row r="4277" spans="3:3">
      <c r="C4277"/>
    </row>
    <row r="4278" spans="3:3">
      <c r="C4278"/>
    </row>
    <row r="4279" spans="3:3">
      <c r="C4279"/>
    </row>
    <row r="4280" spans="3:3">
      <c r="C4280"/>
    </row>
    <row r="4281" spans="3:3">
      <c r="C4281"/>
    </row>
    <row r="4282" spans="3:3">
      <c r="C4282"/>
    </row>
    <row r="4283" spans="3:3">
      <c r="C4283"/>
    </row>
    <row r="4284" spans="3:3">
      <c r="C4284"/>
    </row>
    <row r="4285" spans="3:3">
      <c r="C4285"/>
    </row>
    <row r="4286" spans="3:3">
      <c r="C4286"/>
    </row>
    <row r="4287" spans="3:3">
      <c r="C4287"/>
    </row>
    <row r="4288" spans="3:3">
      <c r="C4288"/>
    </row>
    <row r="4289" spans="3:3">
      <c r="C4289"/>
    </row>
    <row r="4290" spans="3:3">
      <c r="C4290"/>
    </row>
    <row r="4291" spans="3:3">
      <c r="C4291"/>
    </row>
    <row r="4292" spans="3:3">
      <c r="C4292"/>
    </row>
    <row r="4293" spans="3:3">
      <c r="C4293"/>
    </row>
    <row r="4294" spans="3:3">
      <c r="C4294"/>
    </row>
    <row r="4295" spans="3:3">
      <c r="C4295"/>
    </row>
    <row r="4296" spans="3:3">
      <c r="C4296"/>
    </row>
    <row r="4297" spans="3:3">
      <c r="C4297"/>
    </row>
    <row r="4298" spans="3:3">
      <c r="C4298"/>
    </row>
    <row r="4299" spans="3:3">
      <c r="C4299"/>
    </row>
    <row r="4300" spans="3:3">
      <c r="C4300"/>
    </row>
    <row r="4301" spans="3:3">
      <c r="C4301"/>
    </row>
    <row r="4302" spans="3:3">
      <c r="C4302"/>
    </row>
    <row r="4303" spans="3:3">
      <c r="C4303"/>
    </row>
    <row r="4304" spans="3:3">
      <c r="C4304"/>
    </row>
    <row r="4305" spans="3:3">
      <c r="C4305"/>
    </row>
    <row r="4306" spans="3:3">
      <c r="C4306"/>
    </row>
    <row r="4307" spans="3:3">
      <c r="C4307"/>
    </row>
    <row r="4308" spans="3:3">
      <c r="C4308"/>
    </row>
    <row r="4309" spans="3:3">
      <c r="C4309"/>
    </row>
    <row r="4310" spans="3:3">
      <c r="C4310"/>
    </row>
    <row r="4311" spans="3:3">
      <c r="C4311"/>
    </row>
    <row r="4312" spans="3:3">
      <c r="C4312"/>
    </row>
    <row r="4313" spans="3:3">
      <c r="C4313"/>
    </row>
    <row r="4314" spans="3:3">
      <c r="C4314"/>
    </row>
    <row r="4315" spans="3:3">
      <c r="C4315"/>
    </row>
    <row r="4316" spans="3:3">
      <c r="C4316"/>
    </row>
    <row r="4317" spans="3:3">
      <c r="C4317"/>
    </row>
    <row r="4318" spans="3:3">
      <c r="C4318"/>
    </row>
    <row r="4319" spans="3:3">
      <c r="C4319"/>
    </row>
    <row r="4320" spans="3:3">
      <c r="C4320"/>
    </row>
    <row r="4321" spans="3:3">
      <c r="C4321"/>
    </row>
    <row r="4322" spans="3:3">
      <c r="C4322"/>
    </row>
    <row r="4323" spans="3:3">
      <c r="C4323"/>
    </row>
    <row r="4324" spans="3:3">
      <c r="C4324"/>
    </row>
    <row r="4325" spans="3:3">
      <c r="C4325"/>
    </row>
    <row r="4326" spans="3:3">
      <c r="C4326"/>
    </row>
    <row r="4327" spans="3:3">
      <c r="C4327"/>
    </row>
    <row r="4328" spans="3:3">
      <c r="C4328"/>
    </row>
    <row r="4329" spans="3:3">
      <c r="C4329"/>
    </row>
    <row r="4330" spans="3:3">
      <c r="C4330"/>
    </row>
    <row r="4331" spans="3:3">
      <c r="C4331"/>
    </row>
    <row r="4332" spans="3:3">
      <c r="C4332"/>
    </row>
    <row r="4333" spans="3:3">
      <c r="C4333"/>
    </row>
    <row r="4334" spans="3:3">
      <c r="C4334"/>
    </row>
    <row r="4335" spans="3:3">
      <c r="C4335"/>
    </row>
    <row r="4336" spans="3:3">
      <c r="C4336"/>
    </row>
    <row r="4337" spans="3:3">
      <c r="C4337"/>
    </row>
    <row r="4338" spans="3:3">
      <c r="C4338"/>
    </row>
    <row r="4339" spans="3:3">
      <c r="C4339"/>
    </row>
    <row r="4340" spans="3:3">
      <c r="C4340"/>
    </row>
    <row r="4341" spans="3:3">
      <c r="C4341"/>
    </row>
    <row r="4342" spans="3:3">
      <c r="C4342"/>
    </row>
    <row r="4343" spans="3:3">
      <c r="C4343"/>
    </row>
    <row r="4344" spans="3:3">
      <c r="C4344"/>
    </row>
    <row r="4345" spans="3:3">
      <c r="C4345"/>
    </row>
    <row r="4346" spans="3:3">
      <c r="C4346"/>
    </row>
    <row r="4347" spans="3:3">
      <c r="C4347"/>
    </row>
    <row r="4348" spans="3:3">
      <c r="C4348"/>
    </row>
    <row r="4349" spans="3:3">
      <c r="C4349"/>
    </row>
    <row r="4350" spans="3:3">
      <c r="C4350"/>
    </row>
    <row r="4351" spans="3:3">
      <c r="C4351"/>
    </row>
    <row r="4352" spans="3:3">
      <c r="C4352"/>
    </row>
    <row r="4353" spans="3:3">
      <c r="C4353"/>
    </row>
    <row r="4354" spans="3:3">
      <c r="C4354"/>
    </row>
    <row r="4355" spans="3:3">
      <c r="C4355"/>
    </row>
    <row r="4356" spans="3:3">
      <c r="C4356"/>
    </row>
    <row r="4357" spans="3:3">
      <c r="C4357"/>
    </row>
    <row r="4358" spans="3:3">
      <c r="C4358"/>
    </row>
    <row r="4359" spans="3:3">
      <c r="C4359"/>
    </row>
    <row r="4360" spans="3:3">
      <c r="C4360"/>
    </row>
    <row r="4361" spans="3:3">
      <c r="C4361"/>
    </row>
    <row r="4362" spans="3:3">
      <c r="C4362"/>
    </row>
    <row r="4363" spans="3:3">
      <c r="C4363"/>
    </row>
    <row r="4364" spans="3:3">
      <c r="C4364"/>
    </row>
    <row r="4365" spans="3:3">
      <c r="C4365"/>
    </row>
    <row r="4366" spans="3:3">
      <c r="C4366"/>
    </row>
    <row r="4367" spans="3:3">
      <c r="C4367"/>
    </row>
    <row r="4368" spans="3:3">
      <c r="C4368"/>
    </row>
    <row r="4369" spans="3:3">
      <c r="C4369"/>
    </row>
    <row r="4370" spans="3:3">
      <c r="C4370"/>
    </row>
    <row r="4371" spans="3:3">
      <c r="C4371"/>
    </row>
    <row r="4372" spans="3:3">
      <c r="C4372"/>
    </row>
    <row r="4373" spans="3:3">
      <c r="C4373"/>
    </row>
    <row r="4374" spans="3:3">
      <c r="C4374"/>
    </row>
    <row r="4375" spans="3:3">
      <c r="C4375"/>
    </row>
    <row r="4376" spans="3:3">
      <c r="C4376"/>
    </row>
    <row r="4377" spans="3:3">
      <c r="C4377"/>
    </row>
    <row r="4378" spans="3:3">
      <c r="C4378"/>
    </row>
    <row r="4379" spans="3:3">
      <c r="C4379"/>
    </row>
    <row r="4380" spans="3:3">
      <c r="C4380"/>
    </row>
    <row r="4381" spans="3:3">
      <c r="C4381"/>
    </row>
    <row r="4382" spans="3:3">
      <c r="C4382"/>
    </row>
    <row r="4383" spans="3:3">
      <c r="C4383"/>
    </row>
    <row r="4384" spans="3:3">
      <c r="C4384"/>
    </row>
    <row r="4385" spans="3:3">
      <c r="C4385"/>
    </row>
    <row r="4386" spans="3:3">
      <c r="C4386"/>
    </row>
    <row r="4387" spans="3:3">
      <c r="C4387"/>
    </row>
    <row r="4388" spans="3:3">
      <c r="C4388"/>
    </row>
    <row r="4389" spans="3:3">
      <c r="C4389"/>
    </row>
    <row r="4390" spans="3:3">
      <c r="C4390"/>
    </row>
    <row r="4391" spans="3:3">
      <c r="C4391"/>
    </row>
    <row r="4392" spans="3:3">
      <c r="C4392"/>
    </row>
    <row r="4393" spans="3:3">
      <c r="C4393"/>
    </row>
    <row r="4394" spans="3:3">
      <c r="C4394"/>
    </row>
    <row r="4395" spans="3:3">
      <c r="C4395"/>
    </row>
    <row r="4396" spans="3:3">
      <c r="C4396"/>
    </row>
    <row r="4397" spans="3:3">
      <c r="C4397"/>
    </row>
    <row r="4398" spans="3:3">
      <c r="C4398"/>
    </row>
    <row r="4399" spans="3:3">
      <c r="C4399"/>
    </row>
    <row r="4400" spans="3:3">
      <c r="C4400"/>
    </row>
    <row r="4401" spans="3:3">
      <c r="C4401"/>
    </row>
    <row r="4402" spans="3:3">
      <c r="C4402"/>
    </row>
    <row r="4403" spans="3:3">
      <c r="C4403"/>
    </row>
    <row r="4404" spans="3:3">
      <c r="C4404"/>
    </row>
    <row r="4405" spans="3:3">
      <c r="C4405"/>
    </row>
    <row r="4406" spans="3:3">
      <c r="C4406"/>
    </row>
    <row r="4407" spans="3:3">
      <c r="C4407"/>
    </row>
    <row r="4408" spans="3:3">
      <c r="C4408"/>
    </row>
    <row r="4409" spans="3:3">
      <c r="C4409"/>
    </row>
    <row r="4410" spans="3:3">
      <c r="C4410"/>
    </row>
    <row r="4411" spans="3:3">
      <c r="C4411"/>
    </row>
    <row r="4412" spans="3:3">
      <c r="C4412"/>
    </row>
    <row r="4413" spans="3:3">
      <c r="C4413"/>
    </row>
    <row r="4414" spans="3:3">
      <c r="C4414"/>
    </row>
    <row r="4415" spans="3:3">
      <c r="C4415"/>
    </row>
    <row r="4416" spans="3:3">
      <c r="C4416"/>
    </row>
    <row r="4417" spans="3:3">
      <c r="C4417"/>
    </row>
    <row r="4418" spans="3:3">
      <c r="C4418"/>
    </row>
    <row r="4419" spans="3:3">
      <c r="C4419"/>
    </row>
    <row r="4420" spans="3:3">
      <c r="C4420"/>
    </row>
    <row r="4421" spans="3:3">
      <c r="C4421"/>
    </row>
    <row r="4422" spans="3:3">
      <c r="C4422"/>
    </row>
    <row r="4423" spans="3:3">
      <c r="C4423"/>
    </row>
    <row r="4424" spans="3:3">
      <c r="C4424"/>
    </row>
    <row r="4425" spans="3:3">
      <c r="C4425"/>
    </row>
    <row r="4426" spans="3:3">
      <c r="C4426"/>
    </row>
    <row r="4427" spans="3:3">
      <c r="C4427"/>
    </row>
    <row r="4428" spans="3:3">
      <c r="C4428"/>
    </row>
    <row r="4429" spans="3:3">
      <c r="C4429"/>
    </row>
    <row r="4430" spans="3:3">
      <c r="C4430"/>
    </row>
    <row r="4431" spans="3:3">
      <c r="C4431"/>
    </row>
    <row r="4432" spans="3:3">
      <c r="C4432"/>
    </row>
    <row r="4433" spans="3:3">
      <c r="C4433"/>
    </row>
    <row r="4434" spans="3:3">
      <c r="C4434"/>
    </row>
    <row r="4435" spans="3:3">
      <c r="C4435"/>
    </row>
    <row r="4436" spans="3:3">
      <c r="C4436"/>
    </row>
    <row r="4437" spans="3:3">
      <c r="C4437"/>
    </row>
    <row r="4438" spans="3:3">
      <c r="C4438"/>
    </row>
    <row r="4439" spans="3:3">
      <c r="C4439"/>
    </row>
    <row r="4440" spans="3:3">
      <c r="C4440"/>
    </row>
    <row r="4441" spans="3:3">
      <c r="C4441"/>
    </row>
    <row r="4442" spans="3:3">
      <c r="C4442"/>
    </row>
    <row r="4443" spans="3:3">
      <c r="C4443"/>
    </row>
    <row r="4444" spans="3:3">
      <c r="C4444"/>
    </row>
    <row r="4445" spans="3:3">
      <c r="C4445"/>
    </row>
    <row r="4446" spans="3:3">
      <c r="C4446"/>
    </row>
    <row r="4447" spans="3:3">
      <c r="C4447"/>
    </row>
    <row r="4448" spans="3:3">
      <c r="C4448"/>
    </row>
    <row r="4449" spans="3:3">
      <c r="C4449"/>
    </row>
    <row r="4450" spans="3:3">
      <c r="C4450"/>
    </row>
    <row r="4451" spans="3:3">
      <c r="C4451"/>
    </row>
    <row r="4452" spans="3:3">
      <c r="C4452"/>
    </row>
    <row r="4453" spans="3:3">
      <c r="C4453"/>
    </row>
    <row r="4454" spans="3:3">
      <c r="C4454"/>
    </row>
    <row r="4455" spans="3:3">
      <c r="C4455"/>
    </row>
    <row r="4456" spans="3:3">
      <c r="C4456"/>
    </row>
    <row r="4457" spans="3:3">
      <c r="C4457"/>
    </row>
    <row r="4458" spans="3:3">
      <c r="C4458"/>
    </row>
    <row r="4459" spans="3:3">
      <c r="C4459"/>
    </row>
    <row r="4460" spans="3:3">
      <c r="C4460"/>
    </row>
    <row r="4461" spans="3:3">
      <c r="C4461"/>
    </row>
    <row r="4462" spans="3:3">
      <c r="C4462"/>
    </row>
    <row r="4463" spans="3:3">
      <c r="C4463"/>
    </row>
    <row r="4464" spans="3:3">
      <c r="C4464"/>
    </row>
    <row r="4465" spans="3:3">
      <c r="C4465"/>
    </row>
    <row r="4466" spans="3:3">
      <c r="C4466"/>
    </row>
    <row r="4467" spans="3:3">
      <c r="C4467"/>
    </row>
    <row r="4468" spans="3:3">
      <c r="C4468"/>
    </row>
    <row r="4469" spans="3:3">
      <c r="C4469"/>
    </row>
    <row r="4470" spans="3:3">
      <c r="C4470"/>
    </row>
    <row r="4471" spans="3:3">
      <c r="C4471"/>
    </row>
    <row r="4472" spans="3:3">
      <c r="C4472"/>
    </row>
    <row r="4473" spans="3:3">
      <c r="C4473"/>
    </row>
    <row r="4474" spans="3:3">
      <c r="C4474"/>
    </row>
    <row r="4475" spans="3:3">
      <c r="C4475"/>
    </row>
    <row r="4476" spans="3:3">
      <c r="C4476"/>
    </row>
    <row r="4477" spans="3:3">
      <c r="C4477"/>
    </row>
    <row r="4478" spans="3:3">
      <c r="C4478"/>
    </row>
    <row r="4479" spans="3:3">
      <c r="C4479"/>
    </row>
    <row r="4480" spans="3:3">
      <c r="C4480"/>
    </row>
    <row r="4481" spans="3:3">
      <c r="C4481"/>
    </row>
    <row r="4482" spans="3:3">
      <c r="C4482"/>
    </row>
    <row r="4483" spans="3:3">
      <c r="C4483"/>
    </row>
    <row r="4484" spans="3:3">
      <c r="C4484"/>
    </row>
    <row r="4485" spans="3:3">
      <c r="C4485"/>
    </row>
    <row r="4486" spans="3:3">
      <c r="C4486"/>
    </row>
    <row r="4487" spans="3:3">
      <c r="C4487"/>
    </row>
    <row r="4488" spans="3:3">
      <c r="C4488"/>
    </row>
    <row r="4489" spans="3:3">
      <c r="C4489"/>
    </row>
    <row r="4490" spans="3:3">
      <c r="C4490"/>
    </row>
    <row r="4491" spans="3:3">
      <c r="C4491"/>
    </row>
    <row r="4492" spans="3:3">
      <c r="C4492"/>
    </row>
    <row r="4493" spans="3:3">
      <c r="C4493"/>
    </row>
    <row r="4494" spans="3:3">
      <c r="C4494"/>
    </row>
    <row r="4495" spans="3:3">
      <c r="C4495"/>
    </row>
    <row r="4496" spans="3:3">
      <c r="C4496"/>
    </row>
    <row r="4497" spans="3:3">
      <c r="C4497"/>
    </row>
    <row r="4498" spans="3:3">
      <c r="C4498"/>
    </row>
    <row r="4499" spans="3:3">
      <c r="C4499"/>
    </row>
    <row r="4500" spans="3:3">
      <c r="C4500"/>
    </row>
    <row r="4501" spans="3:3">
      <c r="C4501"/>
    </row>
    <row r="4502" spans="3:3">
      <c r="C4502"/>
    </row>
    <row r="4503" spans="3:3">
      <c r="C4503"/>
    </row>
    <row r="4504" spans="3:3">
      <c r="C4504"/>
    </row>
    <row r="4505" spans="3:3">
      <c r="C4505"/>
    </row>
    <row r="4506" spans="3:3">
      <c r="C4506"/>
    </row>
    <row r="4507" spans="3:3">
      <c r="C4507"/>
    </row>
    <row r="4508" spans="3:3">
      <c r="C4508"/>
    </row>
    <row r="4509" spans="3:3">
      <c r="C4509"/>
    </row>
    <row r="4510" spans="3:3">
      <c r="C4510"/>
    </row>
    <row r="4511" spans="3:3">
      <c r="C4511"/>
    </row>
    <row r="4512" spans="3:3">
      <c r="C4512"/>
    </row>
    <row r="4513" spans="3:3">
      <c r="C4513"/>
    </row>
    <row r="4514" spans="3:3">
      <c r="C4514"/>
    </row>
    <row r="4515" spans="3:3">
      <c r="C4515"/>
    </row>
    <row r="4516" spans="3:3">
      <c r="C4516"/>
    </row>
    <row r="4517" spans="3:3">
      <c r="C4517"/>
    </row>
    <row r="4518" spans="3:3">
      <c r="C4518"/>
    </row>
    <row r="4519" spans="3:3">
      <c r="C4519"/>
    </row>
    <row r="4520" spans="3:3">
      <c r="C4520"/>
    </row>
    <row r="4521" spans="3:3">
      <c r="C4521"/>
    </row>
    <row r="4522" spans="3:3">
      <c r="C4522"/>
    </row>
    <row r="4523" spans="3:3">
      <c r="C4523"/>
    </row>
    <row r="4524" spans="3:3">
      <c r="C4524"/>
    </row>
    <row r="4525" spans="3:3">
      <c r="C4525"/>
    </row>
    <row r="4526" spans="3:3">
      <c r="C4526"/>
    </row>
    <row r="4527" spans="3:3">
      <c r="C4527"/>
    </row>
    <row r="4528" spans="3:3">
      <c r="C4528"/>
    </row>
    <row r="4529" spans="3:3">
      <c r="C4529"/>
    </row>
    <row r="4530" spans="3:3">
      <c r="C4530"/>
    </row>
    <row r="4531" spans="3:3">
      <c r="C4531"/>
    </row>
    <row r="4532" spans="3:3">
      <c r="C4532"/>
    </row>
    <row r="4533" spans="3:3">
      <c r="C4533"/>
    </row>
    <row r="4534" spans="3:3">
      <c r="C4534"/>
    </row>
    <row r="4535" spans="3:3">
      <c r="C4535"/>
    </row>
    <row r="4536" spans="3:3">
      <c r="C4536"/>
    </row>
    <row r="4537" spans="3:3">
      <c r="C4537"/>
    </row>
    <row r="4538" spans="3:3">
      <c r="C4538"/>
    </row>
    <row r="4539" spans="3:3">
      <c r="C4539"/>
    </row>
    <row r="4540" spans="3:3">
      <c r="C4540"/>
    </row>
    <row r="4541" spans="3:3">
      <c r="C4541"/>
    </row>
    <row r="4542" spans="3:3">
      <c r="C4542"/>
    </row>
    <row r="4543" spans="3:3">
      <c r="C4543"/>
    </row>
    <row r="4544" spans="3:3">
      <c r="C4544"/>
    </row>
    <row r="4545" spans="3:3">
      <c r="C4545"/>
    </row>
    <row r="4546" spans="3:3">
      <c r="C4546"/>
    </row>
    <row r="4547" spans="3:3">
      <c r="C4547"/>
    </row>
    <row r="4548" spans="3:3">
      <c r="C4548"/>
    </row>
    <row r="4549" spans="3:3">
      <c r="C4549"/>
    </row>
    <row r="4550" spans="3:3">
      <c r="C4550"/>
    </row>
    <row r="4551" spans="3:3">
      <c r="C4551"/>
    </row>
    <row r="4552" spans="3:3">
      <c r="C4552"/>
    </row>
    <row r="4553" spans="3:3">
      <c r="C4553"/>
    </row>
    <row r="4554" spans="3:3">
      <c r="C4554"/>
    </row>
    <row r="4555" spans="3:3">
      <c r="C4555"/>
    </row>
    <row r="4556" spans="3:3">
      <c r="C4556"/>
    </row>
    <row r="4557" spans="3:3">
      <c r="C4557"/>
    </row>
    <row r="4558" spans="3:3">
      <c r="C4558"/>
    </row>
    <row r="4559" spans="3:3">
      <c r="C4559"/>
    </row>
    <row r="4560" spans="3:3">
      <c r="C4560"/>
    </row>
    <row r="4561" spans="3:3">
      <c r="C4561"/>
    </row>
    <row r="4562" spans="3:3">
      <c r="C4562"/>
    </row>
    <row r="4563" spans="3:3">
      <c r="C4563"/>
    </row>
    <row r="4564" spans="3:3">
      <c r="C4564"/>
    </row>
    <row r="4565" spans="3:3">
      <c r="C4565"/>
    </row>
    <row r="4566" spans="3:3">
      <c r="C4566"/>
    </row>
    <row r="4567" spans="3:3">
      <c r="C4567"/>
    </row>
    <row r="4568" spans="3:3">
      <c r="C4568"/>
    </row>
    <row r="4569" spans="3:3">
      <c r="C4569"/>
    </row>
    <row r="4570" spans="3:3">
      <c r="C4570"/>
    </row>
    <row r="4571" spans="3:3">
      <c r="C4571"/>
    </row>
    <row r="4572" spans="3:3">
      <c r="C4572"/>
    </row>
    <row r="4573" spans="3:3">
      <c r="C4573"/>
    </row>
    <row r="4574" spans="3:3">
      <c r="C4574"/>
    </row>
    <row r="4575" spans="3:3">
      <c r="C4575"/>
    </row>
    <row r="4576" spans="3:3">
      <c r="C4576"/>
    </row>
    <row r="4577" spans="3:3">
      <c r="C4577"/>
    </row>
    <row r="4578" spans="3:3">
      <c r="C4578"/>
    </row>
    <row r="4579" spans="3:3">
      <c r="C4579"/>
    </row>
    <row r="4580" spans="3:3">
      <c r="C4580"/>
    </row>
    <row r="4581" spans="3:3">
      <c r="C4581"/>
    </row>
    <row r="4582" spans="3:3">
      <c r="C4582"/>
    </row>
    <row r="4583" spans="3:3">
      <c r="C4583"/>
    </row>
    <row r="4584" spans="3:3">
      <c r="C4584"/>
    </row>
    <row r="4585" spans="3:3">
      <c r="C4585"/>
    </row>
    <row r="4586" spans="3:3">
      <c r="C4586"/>
    </row>
    <row r="4587" spans="3:3">
      <c r="C4587"/>
    </row>
    <row r="4588" spans="3:3">
      <c r="C4588"/>
    </row>
    <row r="4589" spans="3:3">
      <c r="C4589"/>
    </row>
    <row r="4590" spans="3:3">
      <c r="C4590"/>
    </row>
    <row r="4591" spans="3:3">
      <c r="C4591"/>
    </row>
    <row r="4592" spans="3:3">
      <c r="C4592"/>
    </row>
    <row r="4593" spans="3:3">
      <c r="C4593"/>
    </row>
    <row r="4594" spans="3:3">
      <c r="C4594"/>
    </row>
    <row r="4595" spans="3:3">
      <c r="C4595"/>
    </row>
    <row r="4596" spans="3:3">
      <c r="C4596"/>
    </row>
    <row r="4597" spans="3:3">
      <c r="C4597"/>
    </row>
    <row r="4598" spans="3:3">
      <c r="C4598"/>
    </row>
    <row r="4599" spans="3:3">
      <c r="C4599"/>
    </row>
    <row r="4600" spans="3:3">
      <c r="C4600"/>
    </row>
    <row r="4601" spans="3:3">
      <c r="C4601"/>
    </row>
    <row r="4602" spans="3:3">
      <c r="C4602"/>
    </row>
    <row r="4603" spans="3:3">
      <c r="C4603"/>
    </row>
    <row r="4604" spans="3:3">
      <c r="C4604"/>
    </row>
    <row r="4605" spans="3:3">
      <c r="C4605"/>
    </row>
    <row r="4606" spans="3:3">
      <c r="C4606"/>
    </row>
    <row r="4607" spans="3:3">
      <c r="C4607"/>
    </row>
    <row r="4608" spans="3:3">
      <c r="C4608"/>
    </row>
    <row r="4609" spans="3:3">
      <c r="C4609"/>
    </row>
    <row r="4610" spans="3:3">
      <c r="C4610"/>
    </row>
    <row r="4611" spans="3:3">
      <c r="C4611"/>
    </row>
    <row r="4612" spans="3:3">
      <c r="C4612"/>
    </row>
    <row r="4613" spans="3:3">
      <c r="C4613"/>
    </row>
    <row r="4614" spans="3:3">
      <c r="C4614"/>
    </row>
    <row r="4615" spans="3:3">
      <c r="C4615"/>
    </row>
    <row r="4616" spans="3:3">
      <c r="C4616"/>
    </row>
    <row r="4617" spans="3:3">
      <c r="C4617"/>
    </row>
    <row r="4618" spans="3:3">
      <c r="C4618"/>
    </row>
    <row r="4619" spans="3:3">
      <c r="C4619"/>
    </row>
    <row r="4620" spans="3:3">
      <c r="C4620"/>
    </row>
    <row r="4621" spans="3:3">
      <c r="C4621"/>
    </row>
    <row r="4622" spans="3:3">
      <c r="C4622"/>
    </row>
    <row r="4623" spans="3:3">
      <c r="C4623"/>
    </row>
    <row r="4624" spans="3:3">
      <c r="C4624"/>
    </row>
    <row r="4625" spans="3:3">
      <c r="C4625"/>
    </row>
    <row r="4626" spans="3:3">
      <c r="C4626"/>
    </row>
    <row r="4627" spans="3:3">
      <c r="C4627"/>
    </row>
    <row r="4628" spans="3:3">
      <c r="C4628"/>
    </row>
    <row r="4629" spans="3:3">
      <c r="C4629"/>
    </row>
    <row r="4630" spans="3:3">
      <c r="C4630"/>
    </row>
    <row r="4631" spans="3:3">
      <c r="C4631"/>
    </row>
    <row r="4632" spans="3:3">
      <c r="C4632"/>
    </row>
    <row r="4633" spans="3:3">
      <c r="C4633"/>
    </row>
    <row r="4634" spans="3:3">
      <c r="C4634"/>
    </row>
    <row r="4635" spans="3:3">
      <c r="C4635"/>
    </row>
    <row r="4636" spans="3:3">
      <c r="C4636"/>
    </row>
    <row r="4637" spans="3:3">
      <c r="C4637"/>
    </row>
    <row r="4638" spans="3:3">
      <c r="C4638"/>
    </row>
    <row r="4639" spans="3:3">
      <c r="C4639"/>
    </row>
    <row r="4640" spans="3:3">
      <c r="C4640"/>
    </row>
    <row r="4641" spans="3:3">
      <c r="C4641"/>
    </row>
    <row r="4642" spans="3:3">
      <c r="C4642"/>
    </row>
    <row r="4643" spans="3:3">
      <c r="C4643"/>
    </row>
    <row r="4644" spans="3:3">
      <c r="C4644"/>
    </row>
    <row r="4645" spans="3:3">
      <c r="C4645"/>
    </row>
    <row r="4646" spans="3:3">
      <c r="C4646"/>
    </row>
    <row r="4647" spans="3:3">
      <c r="C4647"/>
    </row>
    <row r="4648" spans="3:3">
      <c r="C4648"/>
    </row>
    <row r="4649" spans="3:3">
      <c r="C4649"/>
    </row>
    <row r="4650" spans="3:3">
      <c r="C4650"/>
    </row>
    <row r="4651" spans="3:3">
      <c r="C4651"/>
    </row>
    <row r="4652" spans="3:3">
      <c r="C4652"/>
    </row>
    <row r="4653" spans="3:3">
      <c r="C4653"/>
    </row>
    <row r="4654" spans="3:3">
      <c r="C4654"/>
    </row>
    <row r="4655" spans="3:3">
      <c r="C4655"/>
    </row>
    <row r="4656" spans="3:3">
      <c r="C4656"/>
    </row>
    <row r="4657" spans="3:3">
      <c r="C4657"/>
    </row>
    <row r="4658" spans="3:3">
      <c r="C4658"/>
    </row>
    <row r="4659" spans="3:3">
      <c r="C4659"/>
    </row>
    <row r="4660" spans="3:3">
      <c r="C4660"/>
    </row>
    <row r="4661" spans="3:3">
      <c r="C4661"/>
    </row>
    <row r="4662" spans="3:3">
      <c r="C4662"/>
    </row>
    <row r="4663" spans="3:3">
      <c r="C4663"/>
    </row>
    <row r="4664" spans="3:3">
      <c r="C4664"/>
    </row>
    <row r="4665" spans="3:3">
      <c r="C4665"/>
    </row>
    <row r="4666" spans="3:3">
      <c r="C4666"/>
    </row>
    <row r="4667" spans="3:3">
      <c r="C4667"/>
    </row>
    <row r="4668" spans="3:3">
      <c r="C4668"/>
    </row>
    <row r="4669" spans="3:3">
      <c r="C4669"/>
    </row>
    <row r="4670" spans="3:3">
      <c r="C4670"/>
    </row>
    <row r="4671" spans="3:3">
      <c r="C4671"/>
    </row>
    <row r="4672" spans="3:3">
      <c r="C4672"/>
    </row>
    <row r="4673" spans="3:3">
      <c r="C4673"/>
    </row>
    <row r="4674" spans="3:3">
      <c r="C4674"/>
    </row>
    <row r="4675" spans="3:3">
      <c r="C4675"/>
    </row>
    <row r="4676" spans="3:3">
      <c r="C4676"/>
    </row>
    <row r="4677" spans="3:3">
      <c r="C4677"/>
    </row>
    <row r="4678" spans="3:3">
      <c r="C4678"/>
    </row>
    <row r="4679" spans="3:3">
      <c r="C4679"/>
    </row>
    <row r="4680" spans="3:3">
      <c r="C4680"/>
    </row>
    <row r="4681" spans="3:3">
      <c r="C4681"/>
    </row>
    <row r="4682" spans="3:3">
      <c r="C4682"/>
    </row>
    <row r="4683" spans="3:3">
      <c r="C4683"/>
    </row>
    <row r="4684" spans="3:3">
      <c r="C4684"/>
    </row>
    <row r="4685" spans="3:3">
      <c r="C4685"/>
    </row>
    <row r="4686" spans="3:3">
      <c r="C4686"/>
    </row>
    <row r="4687" spans="3:3">
      <c r="C4687"/>
    </row>
    <row r="4688" spans="3:3">
      <c r="C4688"/>
    </row>
    <row r="4689" spans="3:3">
      <c r="C4689"/>
    </row>
    <row r="4690" spans="3:3">
      <c r="C4690"/>
    </row>
    <row r="4691" spans="3:3">
      <c r="C4691"/>
    </row>
    <row r="4692" spans="3:3">
      <c r="C4692"/>
    </row>
    <row r="4693" spans="3:3">
      <c r="C4693"/>
    </row>
    <row r="4694" spans="3:3">
      <c r="C4694"/>
    </row>
    <row r="4695" spans="3:3">
      <c r="C4695"/>
    </row>
    <row r="4696" spans="3:3">
      <c r="C4696"/>
    </row>
    <row r="4697" spans="3:3">
      <c r="C4697"/>
    </row>
    <row r="4698" spans="3:3">
      <c r="C4698"/>
    </row>
    <row r="4699" spans="3:3">
      <c r="C4699"/>
    </row>
    <row r="4700" spans="3:3">
      <c r="C4700"/>
    </row>
    <row r="4701" spans="3:3">
      <c r="C4701"/>
    </row>
    <row r="4702" spans="3:3">
      <c r="C4702"/>
    </row>
    <row r="4703" spans="3:3">
      <c r="C4703"/>
    </row>
    <row r="4704" spans="3:3">
      <c r="C4704"/>
    </row>
    <row r="4705" spans="3:3">
      <c r="C4705"/>
    </row>
    <row r="4706" spans="3:3">
      <c r="C4706"/>
    </row>
    <row r="4707" spans="3:3">
      <c r="C4707"/>
    </row>
    <row r="4708" spans="3:3">
      <c r="C4708"/>
    </row>
    <row r="4709" spans="3:3">
      <c r="C4709"/>
    </row>
    <row r="4710" spans="3:3">
      <c r="C4710"/>
    </row>
    <row r="4711" spans="3:3">
      <c r="C4711"/>
    </row>
    <row r="4712" spans="3:3">
      <c r="C4712"/>
    </row>
    <row r="4713" spans="3:3">
      <c r="C4713"/>
    </row>
    <row r="4714" spans="3:3">
      <c r="C4714"/>
    </row>
    <row r="4715" spans="3:3">
      <c r="C4715"/>
    </row>
    <row r="4716" spans="3:3">
      <c r="C4716"/>
    </row>
    <row r="4717" spans="3:3">
      <c r="C4717"/>
    </row>
    <row r="4718" spans="3:3">
      <c r="C4718"/>
    </row>
    <row r="4719" spans="3:3">
      <c r="C4719"/>
    </row>
    <row r="4720" spans="3:3">
      <c r="C4720"/>
    </row>
    <row r="4721" spans="3:3">
      <c r="C4721"/>
    </row>
    <row r="4722" spans="3:3">
      <c r="C4722"/>
    </row>
    <row r="4723" spans="3:3">
      <c r="C4723"/>
    </row>
    <row r="4724" spans="3:3">
      <c r="C4724"/>
    </row>
    <row r="4725" spans="3:3">
      <c r="C4725"/>
    </row>
    <row r="4726" spans="3:3">
      <c r="C4726"/>
    </row>
    <row r="4727" spans="3:3">
      <c r="C4727"/>
    </row>
    <row r="4728" spans="3:3">
      <c r="C4728"/>
    </row>
    <row r="4729" spans="3:3">
      <c r="C4729"/>
    </row>
    <row r="4730" spans="3:3">
      <c r="C4730"/>
    </row>
    <row r="4731" spans="3:3">
      <c r="C4731"/>
    </row>
    <row r="4732" spans="3:3">
      <c r="C4732"/>
    </row>
    <row r="4733" spans="3:3">
      <c r="C4733"/>
    </row>
    <row r="4734" spans="3:3">
      <c r="C4734"/>
    </row>
    <row r="4735" spans="3:3">
      <c r="C4735"/>
    </row>
    <row r="4736" spans="3:3">
      <c r="C4736"/>
    </row>
    <row r="4737" spans="3:3">
      <c r="C4737"/>
    </row>
    <row r="4738" spans="3:3">
      <c r="C4738"/>
    </row>
    <row r="4739" spans="3:3">
      <c r="C4739"/>
    </row>
    <row r="4740" spans="3:3">
      <c r="C4740"/>
    </row>
    <row r="4741" spans="3:3">
      <c r="C4741"/>
    </row>
    <row r="4742" spans="3:3">
      <c r="C4742"/>
    </row>
    <row r="4743" spans="3:3">
      <c r="C4743"/>
    </row>
    <row r="4744" spans="3:3">
      <c r="C4744"/>
    </row>
    <row r="4745" spans="3:3">
      <c r="C4745"/>
    </row>
    <row r="4746" spans="3:3">
      <c r="C4746"/>
    </row>
    <row r="4747" spans="3:3">
      <c r="C4747"/>
    </row>
    <row r="4748" spans="3:3">
      <c r="C4748"/>
    </row>
    <row r="4749" spans="3:3">
      <c r="C4749"/>
    </row>
    <row r="4750" spans="3:3">
      <c r="C4750"/>
    </row>
    <row r="4751" spans="3:3">
      <c r="C4751"/>
    </row>
    <row r="4752" spans="3:3">
      <c r="C4752"/>
    </row>
    <row r="4753" spans="3:3">
      <c r="C4753"/>
    </row>
    <row r="4754" spans="3:3">
      <c r="C4754"/>
    </row>
    <row r="4755" spans="3:3">
      <c r="C4755"/>
    </row>
    <row r="4756" spans="3:3">
      <c r="C4756"/>
    </row>
    <row r="4757" spans="3:3">
      <c r="C4757"/>
    </row>
    <row r="4758" spans="3:3">
      <c r="C4758"/>
    </row>
    <row r="4759" spans="3:3">
      <c r="C4759"/>
    </row>
    <row r="4760" spans="3:3">
      <c r="C4760"/>
    </row>
    <row r="4761" spans="3:3">
      <c r="C4761"/>
    </row>
    <row r="4762" spans="3:3">
      <c r="C4762"/>
    </row>
    <row r="4763" spans="3:3">
      <c r="C4763"/>
    </row>
    <row r="4764" spans="3:3">
      <c r="C4764"/>
    </row>
    <row r="4765" spans="3:3">
      <c r="C4765"/>
    </row>
    <row r="4766" spans="3:3">
      <c r="C4766"/>
    </row>
    <row r="4767" spans="3:3">
      <c r="C4767"/>
    </row>
    <row r="4768" spans="3:3">
      <c r="C4768"/>
    </row>
    <row r="4769" spans="3:3">
      <c r="C4769"/>
    </row>
    <row r="4770" spans="3:3">
      <c r="C4770"/>
    </row>
    <row r="4771" spans="3:3">
      <c r="C4771"/>
    </row>
    <row r="4772" spans="3:3">
      <c r="C4772"/>
    </row>
    <row r="4773" spans="3:3">
      <c r="C4773"/>
    </row>
    <row r="4774" spans="3:3">
      <c r="C4774"/>
    </row>
    <row r="4775" spans="3:3">
      <c r="C4775"/>
    </row>
    <row r="4776" spans="3:3">
      <c r="C4776"/>
    </row>
    <row r="4777" spans="3:3">
      <c r="C4777"/>
    </row>
    <row r="4778" spans="3:3">
      <c r="C4778"/>
    </row>
    <row r="4779" spans="3:3">
      <c r="C4779"/>
    </row>
    <row r="4780" spans="3:3">
      <c r="C4780"/>
    </row>
    <row r="4781" spans="3:3">
      <c r="C4781"/>
    </row>
    <row r="4782" spans="3:3">
      <c r="C4782"/>
    </row>
    <row r="4783" spans="3:3">
      <c r="C4783"/>
    </row>
    <row r="4784" spans="3:3">
      <c r="C4784"/>
    </row>
    <row r="4785" spans="3:3">
      <c r="C4785"/>
    </row>
    <row r="4786" spans="3:3">
      <c r="C4786"/>
    </row>
    <row r="4787" spans="3:3">
      <c r="C4787"/>
    </row>
    <row r="4788" spans="3:3">
      <c r="C4788"/>
    </row>
    <row r="4789" spans="3:3">
      <c r="C4789"/>
    </row>
    <row r="4790" spans="3:3">
      <c r="C4790"/>
    </row>
    <row r="4791" spans="3:3">
      <c r="C4791"/>
    </row>
    <row r="4792" spans="3:3">
      <c r="C4792"/>
    </row>
    <row r="4793" spans="3:3">
      <c r="C4793"/>
    </row>
    <row r="4794" spans="3:3">
      <c r="C4794"/>
    </row>
    <row r="4795" spans="3:3">
      <c r="C4795"/>
    </row>
    <row r="4796" spans="3:3">
      <c r="C4796"/>
    </row>
    <row r="4797" spans="3:3">
      <c r="C4797"/>
    </row>
    <row r="4798" spans="3:3">
      <c r="C4798"/>
    </row>
    <row r="4799" spans="3:3">
      <c r="C4799"/>
    </row>
    <row r="4800" spans="3:3">
      <c r="C4800"/>
    </row>
    <row r="4801" spans="3:3">
      <c r="C4801"/>
    </row>
    <row r="4802" spans="3:3">
      <c r="C4802"/>
    </row>
    <row r="4803" spans="3:3">
      <c r="C4803"/>
    </row>
    <row r="4804" spans="3:3">
      <c r="C4804"/>
    </row>
    <row r="4805" spans="3:3">
      <c r="C4805"/>
    </row>
    <row r="4806" spans="3:3">
      <c r="C4806"/>
    </row>
    <row r="4807" spans="3:3">
      <c r="C4807"/>
    </row>
    <row r="4808" spans="3:3">
      <c r="C4808"/>
    </row>
    <row r="4809" spans="3:3">
      <c r="C4809"/>
    </row>
    <row r="4810" spans="3:3">
      <c r="C4810"/>
    </row>
    <row r="4811" spans="3:3">
      <c r="C4811"/>
    </row>
    <row r="4812" spans="3:3">
      <c r="C4812"/>
    </row>
    <row r="4813" spans="3:3">
      <c r="C4813"/>
    </row>
    <row r="4814" spans="3:3">
      <c r="C4814"/>
    </row>
    <row r="4815" spans="3:3">
      <c r="C4815"/>
    </row>
    <row r="4816" spans="3:3">
      <c r="C4816"/>
    </row>
    <row r="4817" spans="3:3">
      <c r="C4817"/>
    </row>
    <row r="4818" spans="3:3">
      <c r="C4818"/>
    </row>
    <row r="4819" spans="3:3">
      <c r="C4819"/>
    </row>
    <row r="4820" spans="3:3">
      <c r="C4820"/>
    </row>
    <row r="4821" spans="3:3">
      <c r="C4821"/>
    </row>
    <row r="4822" spans="3:3">
      <c r="C4822"/>
    </row>
    <row r="4823" spans="3:3">
      <c r="C4823"/>
    </row>
    <row r="4824" spans="3:3">
      <c r="C4824"/>
    </row>
    <row r="4825" spans="3:3">
      <c r="C4825"/>
    </row>
    <row r="4826" spans="3:3">
      <c r="C4826"/>
    </row>
    <row r="4827" spans="3:3">
      <c r="C4827"/>
    </row>
    <row r="4828" spans="3:3">
      <c r="C4828"/>
    </row>
    <row r="4829" spans="3:3">
      <c r="C4829"/>
    </row>
    <row r="4830" spans="3:3">
      <c r="C4830"/>
    </row>
    <row r="4831" spans="3:3">
      <c r="C4831"/>
    </row>
    <row r="4832" spans="3:3">
      <c r="C4832"/>
    </row>
    <row r="4833" spans="3:3">
      <c r="C4833"/>
    </row>
    <row r="4834" spans="3:3">
      <c r="C4834"/>
    </row>
    <row r="4835" spans="3:3">
      <c r="C4835"/>
    </row>
    <row r="4836" spans="3:3">
      <c r="C4836"/>
    </row>
    <row r="4837" spans="3:3">
      <c r="C4837"/>
    </row>
    <row r="4838" spans="3:3">
      <c r="C4838"/>
    </row>
    <row r="4839" spans="3:3">
      <c r="C4839"/>
    </row>
    <row r="4840" spans="3:3">
      <c r="C4840"/>
    </row>
    <row r="4841" spans="3:3">
      <c r="C4841"/>
    </row>
    <row r="4842" spans="3:3">
      <c r="C4842"/>
    </row>
    <row r="4843" spans="3:3">
      <c r="C4843"/>
    </row>
    <row r="4844" spans="3:3">
      <c r="C4844"/>
    </row>
    <row r="4845" spans="3:3">
      <c r="C4845"/>
    </row>
    <row r="4846" spans="3:3">
      <c r="C4846"/>
    </row>
    <row r="4847" spans="3:3">
      <c r="C4847"/>
    </row>
    <row r="4848" spans="3:3">
      <c r="C4848"/>
    </row>
    <row r="4849" spans="3:3">
      <c r="C4849"/>
    </row>
    <row r="4850" spans="3:3">
      <c r="C4850"/>
    </row>
    <row r="4851" spans="3:3">
      <c r="C4851"/>
    </row>
    <row r="4852" spans="3:3">
      <c r="C4852"/>
    </row>
    <row r="4853" spans="3:3">
      <c r="C4853"/>
    </row>
    <row r="4854" spans="3:3">
      <c r="C4854"/>
    </row>
    <row r="4855" spans="3:3">
      <c r="C4855"/>
    </row>
    <row r="4856" spans="3:3">
      <c r="C4856"/>
    </row>
    <row r="4857" spans="3:3">
      <c r="C4857"/>
    </row>
    <row r="4858" spans="3:3">
      <c r="C4858"/>
    </row>
    <row r="4859" spans="3:3">
      <c r="C4859"/>
    </row>
    <row r="4860" spans="3:3">
      <c r="C4860"/>
    </row>
    <row r="4861" spans="3:3">
      <c r="C4861"/>
    </row>
    <row r="4862" spans="3:3">
      <c r="C4862"/>
    </row>
    <row r="4863" spans="3:3">
      <c r="C4863"/>
    </row>
    <row r="4864" spans="3:3">
      <c r="C4864"/>
    </row>
    <row r="4865" spans="3:3">
      <c r="C4865"/>
    </row>
    <row r="4866" spans="3:3">
      <c r="C4866"/>
    </row>
    <row r="4867" spans="3:3">
      <c r="C4867"/>
    </row>
    <row r="4868" spans="3:3">
      <c r="C4868"/>
    </row>
    <row r="4869" spans="3:3">
      <c r="C4869"/>
    </row>
    <row r="4870" spans="3:3">
      <c r="C4870"/>
    </row>
    <row r="4871" spans="3:3">
      <c r="C4871"/>
    </row>
    <row r="4872" spans="3:3">
      <c r="C4872"/>
    </row>
    <row r="4873" spans="3:3">
      <c r="C4873"/>
    </row>
    <row r="4874" spans="3:3">
      <c r="C4874"/>
    </row>
    <row r="4875" spans="3:3">
      <c r="C4875"/>
    </row>
    <row r="4876" spans="3:3">
      <c r="C4876"/>
    </row>
    <row r="4877" spans="3:3">
      <c r="C4877"/>
    </row>
    <row r="4878" spans="3:3">
      <c r="C4878"/>
    </row>
    <row r="4879" spans="3:3">
      <c r="C4879"/>
    </row>
    <row r="4880" spans="3:3">
      <c r="C4880"/>
    </row>
    <row r="4881" spans="3:3">
      <c r="C4881"/>
    </row>
    <row r="4882" spans="3:3">
      <c r="C4882"/>
    </row>
    <row r="4883" spans="3:3">
      <c r="C4883"/>
    </row>
    <row r="4884" spans="3:3">
      <c r="C4884"/>
    </row>
    <row r="4885" spans="3:3">
      <c r="C4885"/>
    </row>
    <row r="4886" spans="3:3">
      <c r="C4886"/>
    </row>
    <row r="4887" spans="3:3">
      <c r="C4887"/>
    </row>
    <row r="4888" spans="3:3">
      <c r="C4888"/>
    </row>
    <row r="4889" spans="3:3">
      <c r="C4889"/>
    </row>
    <row r="4890" spans="3:3">
      <c r="C4890"/>
    </row>
    <row r="4891" spans="3:3">
      <c r="C4891"/>
    </row>
    <row r="4892" spans="3:3">
      <c r="C4892"/>
    </row>
    <row r="4893" spans="3:3">
      <c r="C4893"/>
    </row>
    <row r="4894" spans="3:3">
      <c r="C4894"/>
    </row>
    <row r="4895" spans="3:3">
      <c r="C4895"/>
    </row>
    <row r="4896" spans="3:3">
      <c r="C4896"/>
    </row>
    <row r="4897" spans="3:3">
      <c r="C4897"/>
    </row>
    <row r="4898" spans="3:3">
      <c r="C4898"/>
    </row>
    <row r="4899" spans="3:3">
      <c r="C4899"/>
    </row>
    <row r="4900" spans="3:3">
      <c r="C4900"/>
    </row>
    <row r="4901" spans="3:3">
      <c r="C4901"/>
    </row>
    <row r="4902" spans="3:3">
      <c r="C4902"/>
    </row>
    <row r="4903" spans="3:3">
      <c r="C4903"/>
    </row>
    <row r="4904" spans="3:3">
      <c r="C4904"/>
    </row>
    <row r="4905" spans="3:3">
      <c r="C4905"/>
    </row>
    <row r="4906" spans="3:3">
      <c r="C4906"/>
    </row>
    <row r="4907" spans="3:3">
      <c r="C4907"/>
    </row>
    <row r="4908" spans="3:3">
      <c r="C4908"/>
    </row>
    <row r="4909" spans="3:3">
      <c r="C4909"/>
    </row>
    <row r="4910" spans="3:3">
      <c r="C4910"/>
    </row>
    <row r="4911" spans="3:3">
      <c r="C4911"/>
    </row>
    <row r="4912" spans="3:3">
      <c r="C4912"/>
    </row>
    <row r="4913" spans="3:3">
      <c r="C4913"/>
    </row>
    <row r="4914" spans="3:3">
      <c r="C4914"/>
    </row>
    <row r="4915" spans="3:3">
      <c r="C4915"/>
    </row>
    <row r="4916" spans="3:3">
      <c r="C4916"/>
    </row>
    <row r="4917" spans="3:3">
      <c r="C4917"/>
    </row>
    <row r="4918" spans="3:3">
      <c r="C4918"/>
    </row>
    <row r="4919" spans="3:3">
      <c r="C4919"/>
    </row>
    <row r="4920" spans="3:3">
      <c r="C4920"/>
    </row>
    <row r="4921" spans="3:3">
      <c r="C4921"/>
    </row>
    <row r="4922" spans="3:3">
      <c r="C4922"/>
    </row>
    <row r="4923" spans="3:3">
      <c r="C4923"/>
    </row>
    <row r="4924" spans="3:3">
      <c r="C4924"/>
    </row>
    <row r="4925" spans="3:3">
      <c r="C4925"/>
    </row>
    <row r="4926" spans="3:3">
      <c r="C4926"/>
    </row>
    <row r="4927" spans="3:3">
      <c r="C4927"/>
    </row>
    <row r="4928" spans="3:3">
      <c r="C4928"/>
    </row>
    <row r="4929" spans="3:3">
      <c r="C4929"/>
    </row>
    <row r="4930" spans="3:3">
      <c r="C4930"/>
    </row>
    <row r="4931" spans="3:3">
      <c r="C4931"/>
    </row>
    <row r="4932" spans="3:3">
      <c r="C4932"/>
    </row>
    <row r="4933" spans="3:3">
      <c r="C4933"/>
    </row>
    <row r="4934" spans="3:3">
      <c r="C4934"/>
    </row>
    <row r="4935" spans="3:3">
      <c r="C4935"/>
    </row>
    <row r="4936" spans="3:3">
      <c r="C4936"/>
    </row>
    <row r="4937" spans="3:3">
      <c r="C4937"/>
    </row>
    <row r="4938" spans="3:3">
      <c r="C4938"/>
    </row>
    <row r="4939" spans="3:3">
      <c r="C4939"/>
    </row>
    <row r="4940" spans="3:3">
      <c r="C4940"/>
    </row>
    <row r="4941" spans="3:3">
      <c r="C4941"/>
    </row>
    <row r="4942" spans="3:3">
      <c r="C4942"/>
    </row>
    <row r="4943" spans="3:3">
      <c r="C4943"/>
    </row>
    <row r="4944" spans="3:3">
      <c r="C4944"/>
    </row>
    <row r="4945" spans="3:3">
      <c r="C4945"/>
    </row>
    <row r="4946" spans="3:3">
      <c r="C4946"/>
    </row>
    <row r="4947" spans="3:3">
      <c r="C4947"/>
    </row>
    <row r="4948" spans="3:3">
      <c r="C4948"/>
    </row>
    <row r="4949" spans="3:3">
      <c r="C4949"/>
    </row>
    <row r="4950" spans="3:3">
      <c r="C4950"/>
    </row>
    <row r="4951" spans="3:3">
      <c r="C4951"/>
    </row>
    <row r="4952" spans="3:3">
      <c r="C4952"/>
    </row>
    <row r="4953" spans="3:3">
      <c r="C4953"/>
    </row>
    <row r="4954" spans="3:3">
      <c r="C4954"/>
    </row>
    <row r="4955" spans="3:3">
      <c r="C4955"/>
    </row>
    <row r="4956" spans="3:3">
      <c r="C4956"/>
    </row>
    <row r="4957" spans="3:3">
      <c r="C4957"/>
    </row>
    <row r="4958" spans="3:3">
      <c r="C4958"/>
    </row>
    <row r="4959" spans="3:3">
      <c r="C4959"/>
    </row>
    <row r="4960" spans="3:3">
      <c r="C4960"/>
    </row>
    <row r="4961" spans="3:3">
      <c r="C4961"/>
    </row>
    <row r="4962" spans="3:3">
      <c r="C4962"/>
    </row>
    <row r="4963" spans="3:3">
      <c r="C4963"/>
    </row>
    <row r="4964" spans="3:3">
      <c r="C4964"/>
    </row>
    <row r="4965" spans="3:3">
      <c r="C4965"/>
    </row>
    <row r="4966" spans="3:3">
      <c r="C4966"/>
    </row>
    <row r="4967" spans="3:3">
      <c r="C4967"/>
    </row>
    <row r="4968" spans="3:3">
      <c r="C4968"/>
    </row>
    <row r="4969" spans="3:3">
      <c r="C4969"/>
    </row>
    <row r="4970" spans="3:3">
      <c r="C4970"/>
    </row>
    <row r="4971" spans="3:3">
      <c r="C4971"/>
    </row>
    <row r="4972" spans="3:3">
      <c r="C4972"/>
    </row>
    <row r="4973" spans="3:3">
      <c r="C4973"/>
    </row>
    <row r="4974" spans="3:3">
      <c r="C4974"/>
    </row>
    <row r="4975" spans="3:3">
      <c r="C4975"/>
    </row>
    <row r="4976" spans="3:3">
      <c r="C4976"/>
    </row>
    <row r="4977" spans="3:3">
      <c r="C4977"/>
    </row>
    <row r="4978" spans="3:3">
      <c r="C4978"/>
    </row>
    <row r="4979" spans="3:3">
      <c r="C4979"/>
    </row>
    <row r="4980" spans="3:3">
      <c r="C4980"/>
    </row>
    <row r="4981" spans="3:3">
      <c r="C4981"/>
    </row>
    <row r="4982" spans="3:3">
      <c r="C4982"/>
    </row>
    <row r="4983" spans="3:3">
      <c r="C4983"/>
    </row>
    <row r="4984" spans="3:3">
      <c r="C4984"/>
    </row>
    <row r="4985" spans="3:3">
      <c r="C4985"/>
    </row>
    <row r="4986" spans="3:3">
      <c r="C4986"/>
    </row>
    <row r="4987" spans="3:3">
      <c r="C4987"/>
    </row>
    <row r="4988" spans="3:3">
      <c r="C4988"/>
    </row>
    <row r="4989" spans="3:3">
      <c r="C4989"/>
    </row>
    <row r="4990" spans="3:3">
      <c r="C4990"/>
    </row>
    <row r="4991" spans="3:3">
      <c r="C4991"/>
    </row>
    <row r="4992" spans="3:3">
      <c r="C4992"/>
    </row>
    <row r="4993" spans="3:3">
      <c r="C4993"/>
    </row>
    <row r="4994" spans="3:3">
      <c r="C4994"/>
    </row>
    <row r="4995" spans="3:3">
      <c r="C4995"/>
    </row>
    <row r="4996" spans="3:3">
      <c r="C4996"/>
    </row>
    <row r="4997" spans="3:3">
      <c r="C4997"/>
    </row>
    <row r="4998" spans="3:3">
      <c r="C4998"/>
    </row>
    <row r="4999" spans="3:3">
      <c r="C4999"/>
    </row>
    <row r="5000" spans="3:3">
      <c r="C5000"/>
    </row>
    <row r="5001" spans="3:3">
      <c r="C5001"/>
    </row>
    <row r="5002" spans="3:3">
      <c r="C5002"/>
    </row>
    <row r="5003" spans="3:3">
      <c r="C5003"/>
    </row>
    <row r="5004" spans="3:3">
      <c r="C5004"/>
    </row>
    <row r="5005" spans="3:3">
      <c r="C5005"/>
    </row>
    <row r="5006" spans="3:3">
      <c r="C5006"/>
    </row>
    <row r="5007" spans="3:3">
      <c r="C5007"/>
    </row>
    <row r="5008" spans="3:3">
      <c r="C5008"/>
    </row>
    <row r="5009" spans="3:3">
      <c r="C5009"/>
    </row>
    <row r="5010" spans="3:3">
      <c r="C5010"/>
    </row>
    <row r="5011" spans="3:3">
      <c r="C5011"/>
    </row>
    <row r="5012" spans="3:3">
      <c r="C5012"/>
    </row>
    <row r="5013" spans="3:3">
      <c r="C5013"/>
    </row>
    <row r="5014" spans="3:3">
      <c r="C5014"/>
    </row>
    <row r="5015" spans="3:3">
      <c r="C5015"/>
    </row>
    <row r="5016" spans="3:3">
      <c r="C5016"/>
    </row>
    <row r="5017" spans="3:3">
      <c r="C5017"/>
    </row>
    <row r="5018" spans="3:3">
      <c r="C5018"/>
    </row>
  </sheetData>
  <phoneticPr fontId="3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RefreshQueries">
                <anchor moveWithCells="1" sizeWithCells="1">
                  <from>
                    <xdr:col>3</xdr:col>
                    <xdr:colOff>152400</xdr:colOff>
                    <xdr:row>3</xdr:row>
                    <xdr:rowOff>53340</xdr:rowOff>
                  </from>
                  <to>
                    <xdr:col>5</xdr:col>
                    <xdr:colOff>15240</xdr:colOff>
                    <xdr:row>6</xdr:row>
                    <xdr:rowOff>137160</xdr:rowOff>
                  </to>
                </anchor>
              </controlPr>
            </control>
          </mc:Choice>
        </mc:AlternateContent>
        <mc:AlternateContent xmlns:mc="http://schemas.openxmlformats.org/markup-compatibility/2006">
          <mc:Choice Requires="x14">
            <control shapeId="8194" r:id="rId4" name="Button 2">
              <controlPr defaultSize="0" print="0" autoFill="0" autoPict="0" macro="[0]!InputsSheet">
                <anchor moveWithCells="1" sizeWithCells="1">
                  <from>
                    <xdr:col>3</xdr:col>
                    <xdr:colOff>152400</xdr:colOff>
                    <xdr:row>8</xdr:row>
                    <xdr:rowOff>53340</xdr:rowOff>
                  </from>
                  <to>
                    <xdr:col>5</xdr:col>
                    <xdr:colOff>15240</xdr:colOff>
                    <xdr:row>11</xdr:row>
                    <xdr:rowOff>53340</xdr:rowOff>
                  </to>
                </anchor>
              </controlPr>
            </control>
          </mc:Choice>
        </mc:AlternateContent>
        <mc:AlternateContent xmlns:mc="http://schemas.openxmlformats.org/markup-compatibility/2006">
          <mc:Choice Requires="x14">
            <control shapeId="8195" r:id="rId5" name="Button 3">
              <controlPr defaultSize="0" print="0" autoFill="0" autoPict="0" macro="[0]!ReadMeSheet">
                <anchor moveWithCells="1" sizeWithCells="1">
                  <from>
                    <xdr:col>3</xdr:col>
                    <xdr:colOff>152400</xdr:colOff>
                    <xdr:row>12</xdr:row>
                    <xdr:rowOff>152400</xdr:rowOff>
                  </from>
                  <to>
                    <xdr:col>5</xdr:col>
                    <xdr:colOff>15240</xdr:colOff>
                    <xdr:row>15</xdr:row>
                    <xdr:rowOff>152400</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7EEF1-2EBF-9844-9D4D-3ABAC32195A0}">
  <sheetPr codeName="Sheet7"/>
  <dimension ref="A1:AN1117"/>
  <sheetViews>
    <sheetView showGridLines="0" topLeftCell="A41" zoomScale="55" zoomScaleNormal="55" workbookViewId="0">
      <selection activeCell="AB99" sqref="AB99"/>
    </sheetView>
  </sheetViews>
  <sheetFormatPr baseColWidth="10" defaultColWidth="12.69921875" defaultRowHeight="15" customHeight="1"/>
  <cols>
    <col min="1" max="1" width="18.5" style="143" customWidth="1"/>
    <col min="2" max="2" width="15.69921875" style="143" customWidth="1"/>
    <col min="3" max="3" width="11.19921875" style="143" customWidth="1"/>
    <col min="4" max="4" width="19" style="143" customWidth="1"/>
    <col min="5" max="5" width="14" style="143" customWidth="1"/>
    <col min="6" max="6" width="11.19921875" style="143" customWidth="1"/>
    <col min="7" max="7" width="13.19921875" style="143" customWidth="1"/>
    <col min="8" max="8" width="12.69921875" style="143" bestFit="1" customWidth="1"/>
    <col min="9" max="9" width="11.19921875" style="143" customWidth="1"/>
    <col min="10" max="10" width="13" style="143" customWidth="1"/>
    <col min="11" max="11" width="11.19921875" style="143" customWidth="1"/>
    <col min="12" max="12" width="12" style="143" customWidth="1"/>
    <col min="13" max="13" width="13.19921875" style="143" customWidth="1"/>
    <col min="14" max="14" width="16.296875" style="143" customWidth="1"/>
    <col min="15" max="22" width="11.19921875" style="143" customWidth="1"/>
    <col min="23" max="24" width="11.19921875" style="5" customWidth="1"/>
    <col min="25" max="40" width="11.19921875" style="143" customWidth="1"/>
    <col min="41" max="16384" width="12.69921875" style="143"/>
  </cols>
  <sheetData>
    <row r="1" spans="1:40" ht="18.75" customHeight="1">
      <c r="A1" s="5"/>
      <c r="B1" s="5"/>
      <c r="C1" s="5"/>
      <c r="D1" s="5"/>
      <c r="E1" s="5"/>
      <c r="F1" s="5"/>
      <c r="G1" s="5"/>
      <c r="H1" s="5"/>
      <c r="I1" s="5"/>
      <c r="J1" s="5"/>
      <c r="K1" s="5"/>
      <c r="L1" s="5"/>
      <c r="M1" s="5"/>
      <c r="N1" s="5"/>
      <c r="O1" s="5"/>
      <c r="P1" s="5"/>
      <c r="Q1" s="5"/>
      <c r="R1" s="5"/>
      <c r="S1" s="5"/>
      <c r="T1" s="5"/>
      <c r="U1" s="5"/>
      <c r="V1" s="5"/>
      <c r="Y1" s="5"/>
      <c r="Z1" s="5"/>
      <c r="AA1" s="5"/>
      <c r="AB1" s="5"/>
      <c r="AC1" s="5"/>
      <c r="AD1" s="5"/>
      <c r="AE1" s="5"/>
      <c r="AF1" s="5"/>
      <c r="AG1" s="5"/>
      <c r="AH1" s="5"/>
      <c r="AI1" s="5"/>
      <c r="AJ1" s="5"/>
      <c r="AK1" s="5"/>
      <c r="AL1" s="5"/>
      <c r="AM1" s="5"/>
      <c r="AN1" s="5"/>
    </row>
    <row r="2" spans="1:40" ht="39.75" customHeight="1">
      <c r="A2" s="5"/>
      <c r="B2" s="5"/>
      <c r="C2" s="5"/>
      <c r="D2" s="16" t="s">
        <v>72</v>
      </c>
      <c r="E2" s="16"/>
      <c r="F2" s="5"/>
      <c r="G2" s="17"/>
      <c r="H2" s="5"/>
      <c r="I2" s="5"/>
      <c r="J2" s="5"/>
      <c r="K2" s="5"/>
      <c r="L2" s="5"/>
      <c r="M2" s="5"/>
      <c r="N2" s="5"/>
      <c r="O2" s="61"/>
      <c r="P2" s="5"/>
      <c r="Q2" s="5"/>
      <c r="R2" s="5"/>
      <c r="S2" s="5"/>
      <c r="T2" s="5"/>
      <c r="U2" s="5"/>
      <c r="V2" s="5"/>
      <c r="Y2" s="5"/>
      <c r="Z2" s="5"/>
      <c r="AA2" s="5"/>
      <c r="AB2" s="5"/>
      <c r="AC2" s="5"/>
      <c r="AD2" s="5"/>
      <c r="AE2" s="5"/>
      <c r="AF2" s="5"/>
      <c r="AG2" s="5"/>
      <c r="AH2" s="5"/>
      <c r="AI2" s="5"/>
      <c r="AJ2" s="5"/>
      <c r="AK2" s="5"/>
      <c r="AL2" s="5"/>
      <c r="AM2" s="5"/>
      <c r="AN2" s="5"/>
    </row>
    <row r="3" spans="1:40" ht="18.75" customHeight="1">
      <c r="A3" s="5"/>
      <c r="B3" s="53"/>
      <c r="C3" s="5"/>
      <c r="D3" s="5"/>
      <c r="E3" s="5"/>
      <c r="F3" s="5"/>
      <c r="G3" s="5"/>
      <c r="H3" s="5"/>
      <c r="I3" s="5"/>
      <c r="J3" s="5"/>
      <c r="K3" s="5"/>
      <c r="L3" s="5"/>
      <c r="M3" s="5"/>
      <c r="N3" s="5"/>
      <c r="O3" s="5"/>
      <c r="P3" s="5"/>
      <c r="Q3" s="5"/>
      <c r="R3" s="5"/>
      <c r="S3" s="5"/>
      <c r="T3" s="5"/>
      <c r="U3" s="5"/>
      <c r="V3" s="5"/>
      <c r="Y3" s="5"/>
      <c r="Z3" s="5"/>
      <c r="AA3" s="5"/>
      <c r="AB3" s="5"/>
      <c r="AC3" s="5"/>
      <c r="AD3" s="5"/>
      <c r="AE3" s="5"/>
      <c r="AF3" s="5"/>
      <c r="AG3" s="5"/>
      <c r="AH3" s="5"/>
      <c r="AI3" s="5"/>
      <c r="AJ3" s="5"/>
      <c r="AK3" s="5"/>
      <c r="AL3" s="5"/>
      <c r="AM3" s="5"/>
      <c r="AN3" s="5"/>
    </row>
    <row r="4" spans="1:40" ht="18.75" customHeight="1" thickBot="1">
      <c r="A4" s="5"/>
      <c r="B4" s="53"/>
      <c r="C4" s="5"/>
      <c r="D4" s="5"/>
      <c r="E4" s="5"/>
      <c r="F4" s="5"/>
      <c r="G4" s="5"/>
      <c r="H4" s="5"/>
      <c r="I4" s="5"/>
      <c r="J4" s="5"/>
      <c r="K4" s="5"/>
      <c r="L4" s="5"/>
      <c r="M4" s="5"/>
      <c r="N4" s="5"/>
      <c r="O4" s="5"/>
      <c r="P4" s="5"/>
      <c r="Q4" s="5"/>
      <c r="R4" s="5"/>
      <c r="S4" s="5"/>
      <c r="T4" s="5"/>
      <c r="U4" s="5"/>
      <c r="V4" s="5"/>
      <c r="Y4" s="5"/>
      <c r="Z4" s="5"/>
      <c r="AA4" s="5"/>
      <c r="AB4" s="5"/>
      <c r="AC4" s="5"/>
      <c r="AD4" s="5"/>
      <c r="AE4" s="5"/>
      <c r="AF4" s="5"/>
      <c r="AG4" s="5"/>
      <c r="AH4" s="5"/>
      <c r="AI4" s="5"/>
      <c r="AJ4" s="5"/>
      <c r="AK4" s="5"/>
      <c r="AL4" s="5"/>
      <c r="AM4" s="5"/>
      <c r="AN4" s="5"/>
    </row>
    <row r="5" spans="1:40" ht="35.25" customHeight="1" thickBot="1">
      <c r="A5" s="5"/>
      <c r="B5" s="18" t="s">
        <v>73</v>
      </c>
      <c r="C5" s="5"/>
      <c r="D5" s="5"/>
      <c r="E5" s="142" t="s">
        <v>21</v>
      </c>
      <c r="F5" s="5"/>
      <c r="G5" s="19" t="s">
        <v>22</v>
      </c>
      <c r="H5" s="20">
        <f>IF(Inputs!bs_option_type="Call",'BinomialModel (2)'!A126,'BinomialModel (2)'!A197)</f>
        <v>8.6399276564687071</v>
      </c>
      <c r="I5" s="5"/>
      <c r="J5" s="19" t="s">
        <v>49</v>
      </c>
      <c r="K5" s="137">
        <v>1.2526229117081313</v>
      </c>
      <c r="L5" s="5"/>
      <c r="M5" s="5"/>
      <c r="N5" s="5"/>
      <c r="O5" s="5"/>
      <c r="P5" s="5"/>
      <c r="Q5" s="5"/>
      <c r="R5" s="5"/>
      <c r="S5" s="5"/>
      <c r="T5" s="5"/>
      <c r="U5" s="5"/>
      <c r="V5" s="5"/>
      <c r="Y5" s="5"/>
      <c r="Z5" s="5"/>
      <c r="AA5" s="5"/>
      <c r="AB5" s="5"/>
      <c r="AC5" s="5"/>
      <c r="AD5" s="5"/>
      <c r="AE5" s="5"/>
      <c r="AF5" s="5"/>
      <c r="AG5" s="5"/>
      <c r="AH5" s="5"/>
      <c r="AI5" s="5"/>
      <c r="AJ5" s="5"/>
      <c r="AK5" s="5"/>
      <c r="AL5" s="5"/>
      <c r="AM5" s="5"/>
      <c r="AN5" s="5"/>
    </row>
    <row r="6" spans="1:40" ht="18.75" customHeight="1">
      <c r="A6" s="21" t="s">
        <v>23</v>
      </c>
      <c r="B6" s="22">
        <f>EXP(Inputs!Sigma*SQRT(Inputs!Time/n_periods))</f>
        <v>1.0261561097991629</v>
      </c>
      <c r="C6" s="5"/>
      <c r="D6" s="21" t="s">
        <v>24</v>
      </c>
      <c r="E6" s="22">
        <f>((1+Rate)^(1/(Time*12))-1)</f>
        <v>1.6597643621756308E-3</v>
      </c>
      <c r="F6" s="5"/>
      <c r="G6" s="5"/>
      <c r="H6" s="5"/>
      <c r="I6" s="5"/>
      <c r="J6" s="5"/>
      <c r="K6" s="5"/>
      <c r="L6" s="5"/>
      <c r="M6" s="5"/>
      <c r="N6" s="5"/>
      <c r="O6" s="5"/>
      <c r="P6" s="5"/>
      <c r="Q6" s="5"/>
      <c r="R6" s="5"/>
      <c r="S6" s="5"/>
      <c r="T6" s="5"/>
      <c r="U6" s="5"/>
      <c r="V6" s="5"/>
      <c r="Y6" s="5"/>
      <c r="Z6" s="5"/>
      <c r="AA6" s="5"/>
      <c r="AB6" s="5"/>
      <c r="AC6" s="5"/>
      <c r="AD6" s="5"/>
      <c r="AE6" s="5"/>
      <c r="AF6" s="5"/>
      <c r="AG6" s="5"/>
      <c r="AH6" s="5"/>
      <c r="AI6" s="5"/>
      <c r="AJ6" s="5"/>
      <c r="AK6" s="5"/>
      <c r="AL6" s="5"/>
      <c r="AM6" s="5"/>
      <c r="AN6" s="5"/>
    </row>
    <row r="7" spans="1:40" ht="18.75" customHeight="1">
      <c r="A7" s="21" t="s">
        <v>25</v>
      </c>
      <c r="B7" s="59">
        <f>EXP(-Inputs!Sigma*SQRT(Inputs!Time/n_periods))</f>
        <v>0.97451059390536376</v>
      </c>
      <c r="C7" s="5"/>
      <c r="D7" s="21" t="s">
        <v>26</v>
      </c>
      <c r="E7" s="22">
        <f>(EXP(Rate*(((Time*12)/12)/n_periods))-down_factor)/(up_factor-down_factor)</f>
        <v>0.49677278282438103</v>
      </c>
      <c r="F7" s="5"/>
      <c r="G7" s="5"/>
      <c r="H7" s="5"/>
      <c r="I7" s="5"/>
      <c r="J7" s="5"/>
      <c r="K7" s="5"/>
      <c r="L7" s="5"/>
      <c r="M7" s="5"/>
      <c r="N7" s="5"/>
      <c r="O7" s="5"/>
      <c r="P7" s="5"/>
      <c r="Q7" s="5"/>
      <c r="R7" s="5"/>
      <c r="S7" s="5"/>
      <c r="T7" s="5"/>
      <c r="U7" s="5"/>
      <c r="V7" s="5"/>
      <c r="Y7" s="5"/>
      <c r="Z7" s="5"/>
      <c r="AA7" s="5"/>
      <c r="AB7" s="5"/>
      <c r="AC7" s="5"/>
      <c r="AD7" s="5"/>
      <c r="AE7" s="5"/>
      <c r="AF7" s="5"/>
      <c r="AG7" s="5"/>
      <c r="AH7" s="5"/>
      <c r="AI7" s="5"/>
      <c r="AJ7" s="5"/>
      <c r="AK7" s="5"/>
      <c r="AL7" s="5"/>
      <c r="AM7" s="5"/>
      <c r="AN7" s="5"/>
    </row>
    <row r="8" spans="1:40" ht="18.75" customHeight="1">
      <c r="A8" s="58" t="s">
        <v>48</v>
      </c>
      <c r="B8" s="60" t="b">
        <f>(B6*B7)=1</f>
        <v>1</v>
      </c>
      <c r="C8" s="5"/>
      <c r="D8" s="5"/>
      <c r="E8" s="5"/>
      <c r="F8" s="5"/>
      <c r="G8" s="5"/>
      <c r="H8" s="5"/>
      <c r="I8" s="5"/>
      <c r="J8" s="5"/>
      <c r="K8" s="5"/>
      <c r="L8" s="5"/>
      <c r="M8" s="5"/>
      <c r="N8" s="5"/>
      <c r="O8" s="5"/>
      <c r="P8" s="5"/>
      <c r="Q8" s="5"/>
      <c r="R8" s="5"/>
      <c r="S8" s="5"/>
      <c r="T8" s="5"/>
      <c r="U8" s="5"/>
      <c r="V8" s="5"/>
      <c r="Y8" s="5"/>
      <c r="Z8" s="5"/>
      <c r="AA8" s="5"/>
      <c r="AB8" s="5"/>
      <c r="AC8" s="5"/>
      <c r="AD8" s="5"/>
      <c r="AE8" s="5"/>
      <c r="AF8" s="5"/>
      <c r="AG8" s="5"/>
      <c r="AH8" s="5"/>
      <c r="AI8" s="5"/>
      <c r="AJ8" s="5"/>
      <c r="AK8" s="5"/>
      <c r="AL8" s="5"/>
      <c r="AM8" s="5"/>
      <c r="AN8" s="5"/>
    </row>
    <row r="9" spans="1:40" ht="18.75" customHeight="1">
      <c r="A9" s="5"/>
      <c r="B9" s="5"/>
      <c r="C9" s="5"/>
      <c r="D9" s="5"/>
      <c r="E9" s="5"/>
      <c r="F9" s="5"/>
      <c r="G9" s="5"/>
      <c r="H9" s="5"/>
      <c r="I9" s="5"/>
      <c r="J9" s="5"/>
      <c r="K9" s="5"/>
      <c r="L9" s="5"/>
      <c r="M9" s="5"/>
      <c r="N9" s="5"/>
      <c r="O9" s="5"/>
      <c r="P9" s="5"/>
      <c r="Q9" s="5"/>
      <c r="R9" s="5"/>
      <c r="S9" s="5"/>
      <c r="T9" s="5"/>
      <c r="U9" s="5"/>
      <c r="V9" s="5"/>
      <c r="Y9" s="5"/>
      <c r="Z9" s="5"/>
      <c r="AA9" s="5"/>
      <c r="AB9" s="5"/>
      <c r="AC9" s="5"/>
      <c r="AD9" s="5"/>
      <c r="AE9" s="5"/>
      <c r="AF9" s="5"/>
      <c r="AG9" s="5"/>
      <c r="AH9" s="5"/>
      <c r="AI9" s="5"/>
      <c r="AJ9" s="5"/>
      <c r="AK9" s="5"/>
      <c r="AL9" s="5"/>
      <c r="AM9" s="5"/>
      <c r="AN9" s="5"/>
    </row>
    <row r="10" spans="1:40" ht="18.75" customHeight="1">
      <c r="A10" s="5"/>
      <c r="B10" s="5"/>
      <c r="C10" s="5"/>
      <c r="D10" s="5"/>
      <c r="E10" s="5"/>
      <c r="F10" s="5"/>
      <c r="G10" s="5"/>
      <c r="H10" s="5"/>
      <c r="I10" s="5"/>
      <c r="J10" s="5"/>
      <c r="K10" s="5"/>
      <c r="L10" s="5"/>
      <c r="M10" s="5"/>
      <c r="N10" s="5"/>
      <c r="O10" s="5"/>
      <c r="P10" s="5"/>
      <c r="Q10" s="5"/>
      <c r="R10" s="5"/>
      <c r="S10" s="5"/>
      <c r="T10" s="5"/>
      <c r="U10" s="5"/>
      <c r="V10" s="5"/>
      <c r="Y10" s="5"/>
      <c r="Z10" s="5"/>
      <c r="AA10" s="5"/>
      <c r="AB10" s="5"/>
      <c r="AC10" s="5"/>
      <c r="AD10" s="5"/>
      <c r="AE10" s="5"/>
      <c r="AF10" s="5"/>
      <c r="AG10" s="5"/>
      <c r="AH10" s="5"/>
      <c r="AI10" s="5"/>
      <c r="AJ10" s="5"/>
      <c r="AK10" s="5"/>
      <c r="AL10" s="5"/>
      <c r="AM10" s="5"/>
      <c r="AN10" s="5"/>
    </row>
    <row r="11" spans="1:40" ht="18.75" customHeight="1" thickBot="1">
      <c r="A11" s="141">
        <v>0</v>
      </c>
      <c r="B11" s="141">
        <v>1</v>
      </c>
      <c r="C11" s="141">
        <v>2</v>
      </c>
      <c r="D11" s="141">
        <v>3</v>
      </c>
      <c r="E11" s="141">
        <v>4</v>
      </c>
      <c r="F11" s="141">
        <v>5</v>
      </c>
      <c r="G11" s="141">
        <v>6</v>
      </c>
      <c r="H11" s="141">
        <v>7</v>
      </c>
      <c r="I11" s="141">
        <v>8</v>
      </c>
      <c r="J11" s="141">
        <v>9</v>
      </c>
      <c r="K11" s="141">
        <v>10</v>
      </c>
      <c r="L11" s="141">
        <v>11</v>
      </c>
      <c r="M11" s="141">
        <v>12</v>
      </c>
      <c r="N11" s="141">
        <f>M11+1</f>
        <v>13</v>
      </c>
      <c r="O11" s="141">
        <f t="shared" ref="O11:AE11" si="0">N11+1</f>
        <v>14</v>
      </c>
      <c r="P11" s="141">
        <f t="shared" si="0"/>
        <v>15</v>
      </c>
      <c r="Q11" s="141">
        <f t="shared" si="0"/>
        <v>16</v>
      </c>
      <c r="R11" s="141">
        <f t="shared" si="0"/>
        <v>17</v>
      </c>
      <c r="S11" s="141">
        <f t="shared" si="0"/>
        <v>18</v>
      </c>
      <c r="T11" s="141">
        <f t="shared" si="0"/>
        <v>19</v>
      </c>
      <c r="U11" s="141">
        <f t="shared" si="0"/>
        <v>20</v>
      </c>
      <c r="V11" s="141">
        <f t="shared" si="0"/>
        <v>21</v>
      </c>
      <c r="W11" s="141">
        <f t="shared" si="0"/>
        <v>22</v>
      </c>
      <c r="X11" s="141">
        <f t="shared" si="0"/>
        <v>23</v>
      </c>
      <c r="Y11" s="141">
        <f t="shared" si="0"/>
        <v>24</v>
      </c>
      <c r="Z11" s="141">
        <f t="shared" si="0"/>
        <v>25</v>
      </c>
      <c r="AA11" s="141">
        <f t="shared" si="0"/>
        <v>26</v>
      </c>
      <c r="AB11" s="141">
        <f t="shared" si="0"/>
        <v>27</v>
      </c>
      <c r="AC11" s="141">
        <f t="shared" si="0"/>
        <v>28</v>
      </c>
      <c r="AD11" s="141">
        <f t="shared" si="0"/>
        <v>29</v>
      </c>
      <c r="AE11" s="141">
        <f t="shared" si="0"/>
        <v>30</v>
      </c>
      <c r="AF11" s="5"/>
      <c r="AG11" s="5"/>
      <c r="AH11" s="5"/>
      <c r="AI11" s="5"/>
      <c r="AJ11" s="5"/>
      <c r="AK11" s="5"/>
      <c r="AL11" s="5"/>
      <c r="AM11" s="5"/>
    </row>
    <row r="12" spans="1:40" ht="18.75" customHeight="1" thickBot="1">
      <c r="A12" s="161" t="s">
        <v>27</v>
      </c>
      <c r="B12" s="162"/>
      <c r="C12" s="162"/>
      <c r="D12" s="162"/>
      <c r="E12" s="162"/>
      <c r="F12" s="162"/>
      <c r="G12" s="162"/>
      <c r="H12" s="162"/>
      <c r="I12" s="162"/>
      <c r="J12" s="162"/>
      <c r="K12" s="162"/>
      <c r="L12" s="162"/>
      <c r="M12" s="162"/>
      <c r="N12" s="162"/>
      <c r="O12" s="162"/>
      <c r="P12" s="162"/>
      <c r="Q12" s="162"/>
      <c r="R12" s="162"/>
      <c r="S12" s="162"/>
      <c r="T12" s="162"/>
      <c r="U12" s="162"/>
      <c r="V12" s="162"/>
      <c r="W12" s="162"/>
      <c r="X12" s="162"/>
      <c r="Y12" s="162"/>
      <c r="Z12" s="162"/>
      <c r="AA12" s="162"/>
      <c r="AB12" s="162"/>
      <c r="AC12" s="162"/>
      <c r="AD12" s="162"/>
      <c r="AE12" s="163"/>
      <c r="AF12" s="5"/>
      <c r="AG12" s="5"/>
      <c r="AH12" s="5"/>
      <c r="AI12" s="5"/>
      <c r="AJ12" s="5"/>
      <c r="AK12" s="5"/>
      <c r="AL12" s="5"/>
      <c r="AM12" s="5"/>
    </row>
    <row r="13" spans="1:40" ht="18.75" customHeight="1">
      <c r="A13" s="5"/>
      <c r="B13" s="5"/>
      <c r="C13" s="5"/>
      <c r="D13" s="5"/>
      <c r="E13" s="5"/>
      <c r="F13" s="5"/>
      <c r="G13" s="5"/>
      <c r="H13" s="5"/>
      <c r="I13" s="5"/>
      <c r="J13" s="5"/>
      <c r="K13" s="5"/>
      <c r="L13" s="5"/>
      <c r="M13" s="5"/>
      <c r="N13" s="5"/>
      <c r="O13" s="5"/>
      <c r="P13" s="5"/>
      <c r="Q13" s="5"/>
      <c r="R13" s="5"/>
      <c r="S13" s="5"/>
      <c r="T13" s="5"/>
      <c r="U13" s="5"/>
      <c r="V13" s="5"/>
      <c r="Y13" s="5"/>
      <c r="Z13" s="5"/>
      <c r="AA13" s="5"/>
      <c r="AB13" s="5"/>
      <c r="AC13" s="5"/>
      <c r="AD13" s="5"/>
      <c r="AE13" s="109"/>
      <c r="AF13" s="5"/>
      <c r="AG13" s="5"/>
      <c r="AH13" s="5"/>
      <c r="AI13" s="5"/>
      <c r="AJ13" s="5"/>
      <c r="AK13" s="5"/>
      <c r="AL13" s="5"/>
      <c r="AM13" s="5"/>
    </row>
    <row r="14" spans="1:40" ht="18.75" customHeight="1">
      <c r="A14" s="5"/>
      <c r="B14" s="5"/>
      <c r="C14" s="5"/>
      <c r="D14" s="5"/>
      <c r="E14" s="5"/>
      <c r="F14" s="5"/>
      <c r="G14" s="5"/>
      <c r="H14" s="5"/>
      <c r="I14" s="5"/>
      <c r="J14" s="5"/>
      <c r="K14" s="5"/>
      <c r="L14" s="5"/>
      <c r="M14" s="5"/>
      <c r="N14" s="5"/>
      <c r="O14" s="5"/>
      <c r="P14" s="5"/>
      <c r="Q14" s="5"/>
      <c r="R14" s="5"/>
      <c r="S14" s="5"/>
      <c r="T14" s="5"/>
      <c r="U14" s="5"/>
      <c r="V14" s="5"/>
      <c r="Y14" s="5"/>
      <c r="Z14" s="5"/>
      <c r="AA14" s="5"/>
      <c r="AB14" s="5"/>
      <c r="AC14" s="5"/>
      <c r="AD14" s="109">
        <f>EXP(-dividend_rate/12)*(('BinomialModel (2)'!AE14-'BinomialModel (2)'!AE16)/(Inputs!Stock*(up_factor-down_factor)))</f>
        <v>2.045858637030646</v>
      </c>
      <c r="AE14" s="26">
        <f>AD15*$B$6</f>
        <v>210.46253320276597</v>
      </c>
      <c r="AF14" s="5"/>
      <c r="AG14" s="5"/>
      <c r="AH14" s="5"/>
      <c r="AI14" s="5"/>
      <c r="AJ14" s="5"/>
      <c r="AK14" s="5"/>
      <c r="AL14" s="5"/>
      <c r="AM14" s="5"/>
    </row>
    <row r="15" spans="1:40" ht="18.75" customHeight="1">
      <c r="A15" s="5"/>
      <c r="B15" s="5"/>
      <c r="C15" s="5"/>
      <c r="D15" s="5"/>
      <c r="E15" s="5"/>
      <c r="F15" s="5"/>
      <c r="G15" s="5"/>
      <c r="H15" s="5"/>
      <c r="I15" s="5"/>
      <c r="J15" s="5"/>
      <c r="K15" s="5"/>
      <c r="L15" s="5"/>
      <c r="M15" s="5"/>
      <c r="N15" s="5"/>
      <c r="O15" s="5"/>
      <c r="P15" s="5"/>
      <c r="Q15" s="5"/>
      <c r="R15" s="5"/>
      <c r="S15" s="5"/>
      <c r="T15" s="5"/>
      <c r="U15" s="5"/>
      <c r="V15" s="5"/>
      <c r="Y15" s="5"/>
      <c r="Z15" s="5"/>
      <c r="AA15" s="5"/>
      <c r="AB15" s="5"/>
      <c r="AC15" s="109">
        <f>EXP(-dividend_rate/12)*(('BinomialModel (2)'!AD15-'BinomialModel (2)'!AD17)/(Inputs!Stock*(up_factor-down_factor)))</f>
        <v>1.9937109154191461</v>
      </c>
      <c r="AD15" s="26">
        <f>AC16*$B$6</f>
        <v>205.09796822625481</v>
      </c>
      <c r="AE15" s="26"/>
      <c r="AF15" s="5"/>
      <c r="AG15" s="5"/>
      <c r="AH15" s="5"/>
      <c r="AI15" s="5"/>
      <c r="AJ15" s="5"/>
      <c r="AK15" s="5"/>
      <c r="AL15" s="5"/>
      <c r="AM15" s="5"/>
    </row>
    <row r="16" spans="1:40" ht="18.75" customHeight="1">
      <c r="A16" s="5"/>
      <c r="B16" s="5"/>
      <c r="C16" s="5"/>
      <c r="D16" s="5"/>
      <c r="E16" s="5"/>
      <c r="F16" s="5"/>
      <c r="G16" s="5"/>
      <c r="H16" s="5"/>
      <c r="I16" s="5"/>
      <c r="J16" s="5"/>
      <c r="K16" s="5"/>
      <c r="L16" s="5"/>
      <c r="M16" s="5"/>
      <c r="N16" s="5"/>
      <c r="O16" s="5"/>
      <c r="P16" s="5"/>
      <c r="Q16" s="5"/>
      <c r="R16" s="5"/>
      <c r="S16" s="5"/>
      <c r="T16" s="5"/>
      <c r="U16" s="5"/>
      <c r="V16" s="5"/>
      <c r="Y16" s="5"/>
      <c r="Z16" s="5"/>
      <c r="AA16" s="5"/>
      <c r="AB16" s="109">
        <f>EXP(-dividend_rate/12)*(('BinomialModel (2)'!AC16-'BinomialModel (2)'!AC18)/(Inputs!Stock*(up_factor-down_factor)))</f>
        <v>1.9428924082607246</v>
      </c>
      <c r="AC16" s="26">
        <f>AB17*$B$6</f>
        <v>199.87014282495102</v>
      </c>
      <c r="AD16" s="109">
        <f>EXP(-dividend_rate/12)*(('BinomialModel (2)'!AE16-'BinomialModel (2)'!AE18)/(Inputs!Stock*(up_factor-down_factor)))</f>
        <v>1.9428924082607191</v>
      </c>
      <c r="AE16" s="26">
        <f>AD15*down_factor</f>
        <v>199.87014282495099</v>
      </c>
      <c r="AF16" s="5"/>
      <c r="AG16" s="5"/>
      <c r="AH16" s="5"/>
      <c r="AI16" s="5"/>
      <c r="AJ16" s="5"/>
      <c r="AK16" s="5"/>
      <c r="AL16" s="5"/>
      <c r="AM16" s="5"/>
    </row>
    <row r="17" spans="1:39" ht="18.75" customHeight="1">
      <c r="A17" s="135"/>
      <c r="B17" s="135"/>
      <c r="C17" s="135"/>
      <c r="D17" s="135"/>
      <c r="E17" s="135"/>
      <c r="F17" s="135"/>
      <c r="G17" s="135"/>
      <c r="H17" s="135"/>
      <c r="I17" s="135"/>
      <c r="J17" s="135"/>
      <c r="K17" s="135"/>
      <c r="L17" s="135"/>
      <c r="M17" s="135"/>
      <c r="N17" s="5"/>
      <c r="O17" s="5"/>
      <c r="P17" s="5"/>
      <c r="Q17" s="5"/>
      <c r="R17" s="5"/>
      <c r="S17" s="5"/>
      <c r="T17" s="5"/>
      <c r="U17" s="5"/>
      <c r="V17" s="5"/>
      <c r="Y17" s="5"/>
      <c r="Z17" s="5"/>
      <c r="AA17" s="109">
        <f>EXP(-dividend_rate/12)*(('BinomialModel (2)'!AB17-'BinomialModel (2)'!AB19)/(Inputs!Stock*(up_factor-down_factor)))</f>
        <v>1.8933692346683768</v>
      </c>
      <c r="AB17" s="26">
        <f>AA18*$B$6</f>
        <v>194.77557158829291</v>
      </c>
      <c r="AC17" s="109">
        <f>EXP(-dividend_rate/12)*(('BinomialModel (2)'!AD17-'BinomialModel (2)'!AD19)/(Inputs!Stock*(up_factor-down_factor)))</f>
        <v>1.8933692346683821</v>
      </c>
      <c r="AD17" s="26">
        <f>AC16*down_factor</f>
        <v>194.77557158829291</v>
      </c>
      <c r="AE17" s="26"/>
      <c r="AF17" s="5"/>
      <c r="AG17" s="5"/>
      <c r="AH17" s="5"/>
      <c r="AI17" s="5"/>
      <c r="AJ17" s="5"/>
      <c r="AK17" s="5"/>
      <c r="AL17" s="5"/>
      <c r="AM17" s="5"/>
    </row>
    <row r="18" spans="1:39" ht="18.75" customHeight="1">
      <c r="A18" s="135"/>
      <c r="B18" s="135"/>
      <c r="C18" s="135"/>
      <c r="D18" s="135"/>
      <c r="E18" s="135"/>
      <c r="F18" s="135"/>
      <c r="G18" s="135"/>
      <c r="H18" s="135"/>
      <c r="I18" s="135"/>
      <c r="J18" s="135"/>
      <c r="K18" s="135"/>
      <c r="L18" s="135"/>
      <c r="M18" s="135"/>
      <c r="N18" s="5"/>
      <c r="O18" s="5"/>
      <c r="P18" s="5"/>
      <c r="Q18" s="5"/>
      <c r="R18" s="5"/>
      <c r="S18" s="5"/>
      <c r="T18" s="5"/>
      <c r="U18" s="5"/>
      <c r="V18" s="5"/>
      <c r="Y18" s="5"/>
      <c r="Z18" s="109">
        <f>EXP(-dividend_rate/12)*(('BinomialModel (2)'!AA18-'BinomialModel (2)'!AA20)/(Inputs!Stock*(up_factor-down_factor)))</f>
        <v>1.8451083773588279</v>
      </c>
      <c r="AA18" s="26">
        <f>Z19*$B$6</f>
        <v>189.81085794676403</v>
      </c>
      <c r="AB18" s="109">
        <f>EXP(-dividend_rate/12)*(('BinomialModel (2)'!AC18-'BinomialModel (2)'!AC20)/(Inputs!Stock*(up_factor-down_factor)))</f>
        <v>1.8451083773588226</v>
      </c>
      <c r="AC18" s="26">
        <f>AB17*down_factor</f>
        <v>189.810857946764</v>
      </c>
      <c r="AD18" s="109">
        <f>EXP(-dividend_rate/12)*(('BinomialModel (2)'!AE18-'BinomialModel (2)'!AE20)/(Inputs!Stock*(up_factor-down_factor)))</f>
        <v>1.8451083773588279</v>
      </c>
      <c r="AE18" s="26">
        <f>AD17*down_factor</f>
        <v>189.810857946764</v>
      </c>
      <c r="AF18" s="5"/>
      <c r="AG18" s="5"/>
      <c r="AH18" s="5"/>
      <c r="AI18" s="5"/>
      <c r="AJ18" s="5"/>
      <c r="AK18" s="5"/>
      <c r="AL18" s="5"/>
      <c r="AM18" s="5"/>
    </row>
    <row r="19" spans="1:39" ht="18.75" customHeight="1">
      <c r="A19" s="135"/>
      <c r="B19" s="135"/>
      <c r="C19" s="135"/>
      <c r="D19" s="135"/>
      <c r="E19" s="135"/>
      <c r="F19" s="135"/>
      <c r="G19" s="135"/>
      <c r="H19" s="135"/>
      <c r="I19" s="135"/>
      <c r="J19" s="135"/>
      <c r="K19" s="135"/>
      <c r="L19" s="135"/>
      <c r="M19" s="135"/>
      <c r="N19" s="5"/>
      <c r="O19" s="5"/>
      <c r="P19" s="5"/>
      <c r="Q19" s="5"/>
      <c r="R19" s="5"/>
      <c r="S19" s="5"/>
      <c r="T19" s="5"/>
      <c r="U19" s="5"/>
      <c r="V19" s="5"/>
      <c r="Y19" s="109">
        <f>EXP(-dividend_rate/12)*(('BinomialModel (2)'!Z19-'BinomialModel (2)'!Z21)/(Inputs!Stock*(up_factor-down_factor)))</f>
        <v>1.7980776606397091</v>
      </c>
      <c r="Z19" s="26">
        <f>Y20*$B$6</f>
        <v>184.97269190738766</v>
      </c>
      <c r="AA19" s="109">
        <f>EXP(-dividend_rate/12)*(('BinomialModel (2)'!AB19-'BinomialModel (2)'!AB21)/(Inputs!Stock*(up_factor-down_factor)))</f>
        <v>1.7980776606397146</v>
      </c>
      <c r="AB19" s="26">
        <f>AA18*down_factor</f>
        <v>184.97269190738766</v>
      </c>
      <c r="AC19" s="109">
        <f>EXP(-dividend_rate/12)*(('BinomialModel (2)'!AD19-'BinomialModel (2)'!AD21)/(Inputs!Stock*(up_factor-down_factor)))</f>
        <v>1.7980776606397091</v>
      </c>
      <c r="AD19" s="26">
        <f>AC18*down_factor</f>
        <v>184.97269190738763</v>
      </c>
      <c r="AE19" s="26"/>
      <c r="AF19" s="5"/>
      <c r="AG19" s="5"/>
      <c r="AH19" s="5"/>
      <c r="AI19" s="5"/>
      <c r="AJ19" s="5"/>
      <c r="AK19" s="5"/>
      <c r="AL19" s="5"/>
      <c r="AM19" s="5"/>
    </row>
    <row r="20" spans="1:39" ht="18.75" customHeight="1">
      <c r="A20" s="135"/>
      <c r="B20" s="135"/>
      <c r="C20" s="135"/>
      <c r="D20" s="135"/>
      <c r="E20" s="135"/>
      <c r="F20" s="135"/>
      <c r="G20" s="135"/>
      <c r="H20" s="135"/>
      <c r="I20" s="135"/>
      <c r="J20" s="135"/>
      <c r="K20" s="135"/>
      <c r="L20" s="135"/>
      <c r="M20" s="135"/>
      <c r="N20" s="5"/>
      <c r="O20" s="5"/>
      <c r="P20" s="5"/>
      <c r="Q20" s="5"/>
      <c r="R20" s="5"/>
      <c r="S20" s="5"/>
      <c r="T20" s="5"/>
      <c r="U20" s="5"/>
      <c r="V20" s="5"/>
      <c r="X20" s="109">
        <f>EXP(-dividend_rate/12)*(('BinomialModel (2)'!Y20-'BinomialModel (2)'!Y22)/(Inputs!Stock*(up_factor-down_factor)))</f>
        <v>1.7522457289579769</v>
      </c>
      <c r="Y20" s="26">
        <f>X21*$B$6</f>
        <v>180.25784784694224</v>
      </c>
      <c r="Z20" s="109">
        <f>EXP(-dividend_rate/12)*(('BinomialModel (2)'!AA20-'BinomialModel (2)'!AA22)/(Inputs!Stock*(up_factor-down_factor)))</f>
        <v>1.7522457289579714</v>
      </c>
      <c r="AA20" s="26">
        <f>Z19*down_factor</f>
        <v>180.25784784694221</v>
      </c>
      <c r="AB20" s="109">
        <f>EXP(-dividend_rate/12)*(('BinomialModel (2)'!AC20-'BinomialModel (2)'!AC22)/(Inputs!Stock*(up_factor-down_factor)))</f>
        <v>1.7522457289579769</v>
      </c>
      <c r="AC20" s="26">
        <f>AB19*down_factor</f>
        <v>180.25784784694221</v>
      </c>
      <c r="AD20" s="109">
        <f>EXP(-dividend_rate/12)*(('BinomialModel (2)'!AE20-'BinomialModel (2)'!AE22)/(Inputs!Stock*(up_factor-down_factor)))</f>
        <v>1.7522457289579714</v>
      </c>
      <c r="AE20" s="26">
        <f>AD19*$B$7</f>
        <v>180.25784784694218</v>
      </c>
      <c r="AF20" s="5"/>
      <c r="AG20" s="5"/>
      <c r="AH20" s="5"/>
      <c r="AI20" s="5"/>
      <c r="AJ20" s="5"/>
      <c r="AK20" s="5"/>
      <c r="AL20" s="5"/>
      <c r="AM20" s="5"/>
    </row>
    <row r="21" spans="1:39" ht="18.75" customHeight="1">
      <c r="A21" s="135"/>
      <c r="B21" s="135"/>
      <c r="C21" s="135"/>
      <c r="D21" s="135"/>
      <c r="E21" s="135"/>
      <c r="F21" s="135"/>
      <c r="G21" s="135"/>
      <c r="H21" s="135"/>
      <c r="I21" s="135"/>
      <c r="J21" s="135"/>
      <c r="K21" s="135"/>
      <c r="L21" s="135"/>
      <c r="M21" s="135"/>
      <c r="N21" s="5"/>
      <c r="O21" s="5"/>
      <c r="P21" s="5"/>
      <c r="Q21" s="5"/>
      <c r="R21" s="5"/>
      <c r="S21" s="5"/>
      <c r="T21" s="5"/>
      <c r="U21" s="5"/>
      <c r="V21" s="5"/>
      <c r="W21" s="109">
        <f>EXP(-dividend_rate/12)*(('BinomialModel (2)'!X21-'BinomialModel (2)'!X23)/(Inputs!Stock*(up_factor-down_factor)))</f>
        <v>1.7075820259949712</v>
      </c>
      <c r="X21" s="26">
        <f>W22*$B$6</f>
        <v>175.66318236142638</v>
      </c>
      <c r="Y21" s="109">
        <f>EXP(-dividend_rate/12)*(('BinomialModel (2)'!Z21-'BinomialModel (2)'!Z23)/(Inputs!Stock*(up_factor-down_factor)))</f>
        <v>1.7075820259949765</v>
      </c>
      <c r="Z21" s="26">
        <f>Y20*down_factor</f>
        <v>175.66318236142638</v>
      </c>
      <c r="AA21" s="109">
        <f>EXP(-dividend_rate/12)*(('BinomialModel (2)'!AB21-'BinomialModel (2)'!AB23)/(Inputs!Stock*(up_factor-down_factor)))</f>
        <v>1.7075820259949712</v>
      </c>
      <c r="AB21" s="26">
        <f>AA20*down_factor</f>
        <v>175.66318236142635</v>
      </c>
      <c r="AC21" s="109">
        <f>EXP(-dividend_rate/12)*(('BinomialModel (2)'!AD21-'BinomialModel (2)'!AD23)/(Inputs!Stock*(up_factor-down_factor)))</f>
        <v>1.7075820259949765</v>
      </c>
      <c r="AD21" s="26">
        <f>AC20*$B$7</f>
        <v>175.66318236142635</v>
      </c>
      <c r="AE21" s="26"/>
      <c r="AF21" s="5"/>
      <c r="AG21" s="5"/>
      <c r="AH21" s="5"/>
      <c r="AI21" s="5"/>
      <c r="AJ21" s="5"/>
      <c r="AK21" s="5"/>
      <c r="AL21" s="5"/>
      <c r="AM21" s="5"/>
    </row>
    <row r="22" spans="1:39" ht="18.75" customHeight="1">
      <c r="A22" s="135"/>
      <c r="B22" s="135"/>
      <c r="C22" s="135"/>
      <c r="D22" s="135"/>
      <c r="E22" s="135"/>
      <c r="F22" s="135"/>
      <c r="G22" s="135"/>
      <c r="H22" s="135"/>
      <c r="I22" s="135"/>
      <c r="J22" s="135"/>
      <c r="K22" s="135"/>
      <c r="L22" s="135"/>
      <c r="M22" s="135"/>
      <c r="N22" s="5"/>
      <c r="O22" s="5"/>
      <c r="P22" s="5"/>
      <c r="Q22" s="5"/>
      <c r="R22" s="5"/>
      <c r="S22" s="5"/>
      <c r="T22" s="5"/>
      <c r="U22" s="5"/>
      <c r="V22" s="109">
        <f>EXP(-dividend_rate/12)*(('BinomialModel (2)'!W22-'BinomialModel (2)'!W24)/(Inputs!Stock*(up_factor-down_factor)))</f>
        <v>1.6640567742944821</v>
      </c>
      <c r="W22" s="26">
        <f>V23*$B$6</f>
        <v>171.18563217033986</v>
      </c>
      <c r="X22" s="109">
        <f>EXP(-dividend_rate/12)*(('BinomialModel (2)'!Y22-'BinomialModel (2)'!Y24)/(Inputs!Stock*(up_factor-down_factor)))</f>
        <v>1.6640567742944821</v>
      </c>
      <c r="Y22" s="26">
        <f>X21*down_factor</f>
        <v>171.18563217033983</v>
      </c>
      <c r="Z22" s="109">
        <f>EXP(-dividend_rate/12)*(('BinomialModel (2)'!AA22-'BinomialModel (2)'!AA24)/(Inputs!Stock*(up_factor-down_factor)))</f>
        <v>1.6640567742944876</v>
      </c>
      <c r="AA22" s="26">
        <f>Z21*down_factor</f>
        <v>171.18563217033983</v>
      </c>
      <c r="AB22" s="109">
        <f>EXP(-dividend_rate/12)*(('BinomialModel (2)'!AC22-'BinomialModel (2)'!AC24)/(Inputs!Stock*(up_factor-down_factor)))</f>
        <v>1.6640567742944821</v>
      </c>
      <c r="AC22" s="26">
        <f>AB21*$B$7</f>
        <v>171.1856321703398</v>
      </c>
      <c r="AD22" s="109">
        <f>EXP(-dividend_rate/12)*(('BinomialModel (2)'!AE22-'BinomialModel (2)'!AE24)/(Inputs!Stock*(up_factor-down_factor)))</f>
        <v>1.6640567742944876</v>
      </c>
      <c r="AE22" s="26">
        <f>AD21*$B$7</f>
        <v>171.1856321703398</v>
      </c>
      <c r="AF22" s="5"/>
      <c r="AG22" s="5"/>
      <c r="AH22" s="5"/>
      <c r="AI22" s="5"/>
      <c r="AJ22" s="5"/>
      <c r="AK22" s="5"/>
      <c r="AL22" s="5"/>
      <c r="AM22" s="5"/>
    </row>
    <row r="23" spans="1:39" ht="18.75" customHeight="1">
      <c r="A23" s="135"/>
      <c r="B23" s="135"/>
      <c r="C23" s="135"/>
      <c r="D23" s="135"/>
      <c r="E23" s="135"/>
      <c r="F23" s="135"/>
      <c r="G23" s="135"/>
      <c r="H23" s="135"/>
      <c r="I23" s="135"/>
      <c r="J23" s="135"/>
      <c r="K23" s="135"/>
      <c r="L23" s="135"/>
      <c r="M23" s="135"/>
      <c r="N23" s="5"/>
      <c r="O23" s="5"/>
      <c r="P23" s="5"/>
      <c r="Q23" s="5"/>
      <c r="R23" s="5"/>
      <c r="S23" s="5"/>
      <c r="T23" s="5"/>
      <c r="U23" s="109">
        <f>EXP(-dividend_rate/12)*(('BinomialModel (2)'!V23-'BinomialModel (2)'!V25)/(Inputs!Stock*(up_factor-down_factor)))</f>
        <v>1.6216409554099658</v>
      </c>
      <c r="V23" s="26">
        <f>U24*$B$6</f>
        <v>166.82221207438306</v>
      </c>
      <c r="W23" s="109">
        <f>EXP(-dividend_rate/12)*(('BinomialModel (2)'!X23-'BinomialModel (2)'!X25)/(Inputs!Stock*(up_factor-down_factor)))</f>
        <v>1.6216409554099602</v>
      </c>
      <c r="X23" s="26">
        <f>W22*down_factor</f>
        <v>166.82221207438303</v>
      </c>
      <c r="Y23" s="109">
        <f>EXP(-dividend_rate/12)*(('BinomialModel (2)'!Z23-'BinomialModel (2)'!Z25)/(Inputs!Stock*(up_factor-down_factor)))</f>
        <v>1.6216409554099602</v>
      </c>
      <c r="Z23" s="26">
        <f>Y22*down_factor</f>
        <v>166.822212074383</v>
      </c>
      <c r="AA23" s="109">
        <f>EXP(-dividend_rate/12)*(('BinomialModel (2)'!AB23-'BinomialModel (2)'!AB25)/(Inputs!Stock*(up_factor-down_factor)))</f>
        <v>1.6216409554099658</v>
      </c>
      <c r="AB23" s="26">
        <f>AA22*$B$7</f>
        <v>166.822212074383</v>
      </c>
      <c r="AC23" s="109">
        <f>EXP(-dividend_rate/12)*(('BinomialModel (2)'!AD23-'BinomialModel (2)'!AD25)/(Inputs!Stock*(up_factor-down_factor)))</f>
        <v>1.6216409554099602</v>
      </c>
      <c r="AD23" s="26">
        <f>AC22*$B$7</f>
        <v>166.82221207438297</v>
      </c>
      <c r="AE23" s="26"/>
      <c r="AF23" s="5"/>
      <c r="AG23" s="5"/>
      <c r="AH23" s="5"/>
      <c r="AI23" s="5"/>
      <c r="AJ23" s="5"/>
      <c r="AK23" s="5"/>
      <c r="AL23" s="5"/>
      <c r="AM23" s="5"/>
    </row>
    <row r="24" spans="1:39" ht="18.75" customHeight="1">
      <c r="A24" s="135"/>
      <c r="B24" s="135"/>
      <c r="C24" s="135"/>
      <c r="D24" s="135"/>
      <c r="E24" s="135"/>
      <c r="F24" s="135"/>
      <c r="G24" s="135"/>
      <c r="H24" s="135"/>
      <c r="I24" s="135"/>
      <c r="J24" s="135"/>
      <c r="K24" s="135"/>
      <c r="L24" s="135"/>
      <c r="M24" s="135"/>
      <c r="N24" s="5"/>
      <c r="O24" s="5"/>
      <c r="P24" s="5"/>
      <c r="Q24" s="5"/>
      <c r="R24" s="5"/>
      <c r="S24" s="5"/>
      <c r="T24" s="109">
        <f>EXP(-dividend_rate/12)*(('BinomialModel (2)'!U24-'BinomialModel (2)'!U26)/(Inputs!Stock*(up_factor-down_factor)))</f>
        <v>1.580306290557822</v>
      </c>
      <c r="U24" s="26">
        <f>T25*$B$6</f>
        <v>162.57001296521358</v>
      </c>
      <c r="V24" s="109">
        <f>EXP(-dividend_rate/12)*(('BinomialModel (2)'!W24-'BinomialModel (2)'!W26)/(Inputs!Stock*(up_factor-down_factor)))</f>
        <v>1.5803062905578276</v>
      </c>
      <c r="W24" s="26">
        <f>V23*down_factor</f>
        <v>162.57001296521358</v>
      </c>
      <c r="X24" s="109">
        <f>EXP(-dividend_rate/12)*(('BinomialModel (2)'!Y24-'BinomialModel (2)'!Y26)/(Inputs!Stock*(up_factor-down_factor)))</f>
        <v>1.580306290557822</v>
      </c>
      <c r="Y24" s="26">
        <f>X23*down_factor</f>
        <v>162.57001296521355</v>
      </c>
      <c r="Z24" s="109">
        <f>EXP(-dividend_rate/12)*(('BinomialModel (2)'!AA24-'BinomialModel (2)'!AA26)/(Inputs!Stock*(up_factor-down_factor)))</f>
        <v>1.580306290557822</v>
      </c>
      <c r="AA24" s="26">
        <f>Z23*$B$7</f>
        <v>162.57001296521352</v>
      </c>
      <c r="AB24" s="109">
        <f>EXP(-dividend_rate/12)*(('BinomialModel (2)'!AC24-'BinomialModel (2)'!AC26)/(Inputs!Stock*(up_factor-down_factor)))</f>
        <v>1.5803062905578276</v>
      </c>
      <c r="AC24" s="26">
        <f>AB23*$B$7</f>
        <v>162.57001296521352</v>
      </c>
      <c r="AD24" s="109">
        <f>EXP(-dividend_rate/12)*(('BinomialModel (2)'!AE24-'BinomialModel (2)'!AE26)/(Inputs!Stock*(up_factor-down_factor)))</f>
        <v>1.580306290557822</v>
      </c>
      <c r="AE24" s="26">
        <f>AD23*$B$7</f>
        <v>162.57001296521349</v>
      </c>
      <c r="AF24" s="5"/>
      <c r="AG24" s="5"/>
      <c r="AH24" s="5"/>
      <c r="AI24" s="5"/>
      <c r="AJ24" s="5"/>
      <c r="AK24" s="5"/>
      <c r="AL24" s="5"/>
      <c r="AM24" s="5"/>
    </row>
    <row r="25" spans="1:39" ht="18.75" customHeight="1">
      <c r="A25" s="135"/>
      <c r="B25" s="135"/>
      <c r="C25" s="135"/>
      <c r="D25" s="135"/>
      <c r="E25" s="135"/>
      <c r="F25" s="135"/>
      <c r="G25" s="135"/>
      <c r="H25" s="135"/>
      <c r="I25" s="135"/>
      <c r="J25" s="135"/>
      <c r="K25" s="135"/>
      <c r="L25" s="135"/>
      <c r="M25" s="135"/>
      <c r="N25" s="5"/>
      <c r="O25" s="5"/>
      <c r="P25" s="5"/>
      <c r="Q25" s="5"/>
      <c r="R25" s="5"/>
      <c r="S25" s="109">
        <f>EXP(-dividend_rate/12)*(('BinomialModel (2)'!T25-'BinomialModel (2)'!T27)/(Inputs!Stock*(up_factor-down_factor)))</f>
        <v>1.5400252217638897</v>
      </c>
      <c r="T25" s="26">
        <f>S26*$B$6</f>
        <v>158.42619988593299</v>
      </c>
      <c r="U25" s="109">
        <f>EXP(-dividend_rate/12)*(('BinomialModel (2)'!V25-'BinomialModel (2)'!V27)/(Inputs!Stock*(up_factor-down_factor)))</f>
        <v>1.5400252217638841</v>
      </c>
      <c r="V25" s="26">
        <f>U24*down_factor</f>
        <v>158.42619988593296</v>
      </c>
      <c r="W25" s="109">
        <f>EXP(-dividend_rate/12)*(('BinomialModel (2)'!X25-'BinomialModel (2)'!X27)/(Inputs!Stock*(up_factor-down_factor)))</f>
        <v>1.5400252217638897</v>
      </c>
      <c r="X25" s="26">
        <f>W24*down_factor</f>
        <v>158.42619988593296</v>
      </c>
      <c r="Y25" s="109">
        <f>EXP(-dividend_rate/12)*(('BinomialModel (2)'!Z25-'BinomialModel (2)'!Z27)/(Inputs!Stock*(up_factor-down_factor)))</f>
        <v>1.5400252217638841</v>
      </c>
      <c r="Z25" s="26">
        <f>Y24*$B$7</f>
        <v>158.42619988593293</v>
      </c>
      <c r="AA25" s="109">
        <f>EXP(-dividend_rate/12)*(('BinomialModel (2)'!AB25-'BinomialModel (2)'!AB27)/(Inputs!Stock*(up_factor-down_factor)))</f>
        <v>1.5400252217638841</v>
      </c>
      <c r="AB25" s="26">
        <f>AA24*$B$7</f>
        <v>158.4261998859329</v>
      </c>
      <c r="AC25" s="109">
        <f>EXP(-dividend_rate/12)*(('BinomialModel (2)'!AD25-'BinomialModel (2)'!AD27)/(Inputs!Stock*(up_factor-down_factor)))</f>
        <v>1.5400252217638897</v>
      </c>
      <c r="AD25" s="26">
        <f>AC24*$B$7</f>
        <v>158.4261998859329</v>
      </c>
      <c r="AE25" s="26"/>
      <c r="AF25" s="5"/>
      <c r="AG25" s="5"/>
      <c r="AH25" s="5"/>
      <c r="AI25" s="5"/>
      <c r="AJ25" s="5"/>
      <c r="AK25" s="5"/>
      <c r="AL25" s="5"/>
      <c r="AM25" s="5"/>
    </row>
    <row r="26" spans="1:39" ht="18.75" customHeight="1">
      <c r="A26" s="135"/>
      <c r="B26" s="135"/>
      <c r="C26" s="135"/>
      <c r="D26" s="135"/>
      <c r="E26" s="135"/>
      <c r="F26" s="135"/>
      <c r="G26" s="135"/>
      <c r="H26" s="135"/>
      <c r="I26" s="135"/>
      <c r="J26" s="135"/>
      <c r="K26" s="135"/>
      <c r="L26" s="135"/>
      <c r="M26" s="135"/>
      <c r="N26" s="5"/>
      <c r="O26" s="5"/>
      <c r="P26" s="5"/>
      <c r="Q26" s="5"/>
      <c r="R26" s="109">
        <f>EXP(-dividend_rate/12)*(('BinomialModel (2)'!S26-'BinomialModel (2)'!S28)/(Inputs!Stock*(up_factor-down_factor)))</f>
        <v>1.500770893490367</v>
      </c>
      <c r="S26" s="26">
        <f>R27*$B$6</f>
        <v>154.38801014101043</v>
      </c>
      <c r="T26" s="109">
        <f>EXP(-dividend_rate/12)*(('BinomialModel (2)'!U26-'BinomialModel (2)'!U28)/(Inputs!Stock*(up_factor-down_factor)))</f>
        <v>1.500770893490367</v>
      </c>
      <c r="U26" s="26">
        <f>T25*down_factor</f>
        <v>154.38801014101043</v>
      </c>
      <c r="V26" s="109">
        <f>EXP(-dividend_rate/12)*(('BinomialModel (2)'!W26-'BinomialModel (2)'!W28)/(Inputs!Stock*(up_factor-down_factor)))</f>
        <v>1.5007708934903614</v>
      </c>
      <c r="W26" s="26">
        <f>V25*down_factor</f>
        <v>154.3880101410104</v>
      </c>
      <c r="X26" s="109">
        <f>EXP(-dividend_rate/12)*(('BinomialModel (2)'!Y26-'BinomialModel (2)'!Y28)/(Inputs!Stock*(up_factor-down_factor)))</f>
        <v>1.500770893490367</v>
      </c>
      <c r="Y26" s="26">
        <f>X25*$B$7</f>
        <v>154.3880101410104</v>
      </c>
      <c r="Z26" s="109">
        <f>EXP(-dividend_rate/12)*(('BinomialModel (2)'!AA26-'BinomialModel (2)'!AA28)/(Inputs!Stock*(up_factor-down_factor)))</f>
        <v>1.5007708934903614</v>
      </c>
      <c r="AA26" s="26">
        <f>Z25*$B$7</f>
        <v>154.38801014101037</v>
      </c>
      <c r="AB26" s="109">
        <f>EXP(-dividend_rate/12)*(('BinomialModel (2)'!AC26-'BinomialModel (2)'!AC28)/(Inputs!Stock*(up_factor-down_factor)))</f>
        <v>1.5007708934903614</v>
      </c>
      <c r="AC26" s="26">
        <f>AB25*$B$7</f>
        <v>154.38801014101034</v>
      </c>
      <c r="AD26" s="109">
        <f>EXP(-dividend_rate/12)*(('BinomialModel (2)'!AE26-'BinomialModel (2)'!AE28)/(Inputs!Stock*(up_factor-down_factor)))</f>
        <v>1.500770893490367</v>
      </c>
      <c r="AE26" s="26">
        <f>AD25*$B$7</f>
        <v>154.38801014101034</v>
      </c>
      <c r="AF26" s="5"/>
      <c r="AG26" s="5"/>
      <c r="AH26" s="5"/>
      <c r="AI26" s="5"/>
      <c r="AJ26" s="5"/>
      <c r="AK26" s="5"/>
      <c r="AL26" s="5"/>
      <c r="AM26" s="5"/>
    </row>
    <row r="27" spans="1:39" ht="18.75" customHeight="1">
      <c r="A27" s="135"/>
      <c r="B27" s="135"/>
      <c r="C27" s="135"/>
      <c r="D27" s="135"/>
      <c r="E27" s="135"/>
      <c r="F27" s="135"/>
      <c r="G27" s="135"/>
      <c r="H27" s="135"/>
      <c r="I27" s="135"/>
      <c r="J27" s="135"/>
      <c r="K27" s="135"/>
      <c r="L27" s="135"/>
      <c r="M27" s="135"/>
      <c r="N27" s="5"/>
      <c r="P27" s="5"/>
      <c r="Q27" s="109">
        <f>EXP(-dividend_rate/12)*(('BinomialModel (2)'!R27-'BinomialModel (2)'!R29)/(Inputs!Stock*(up_factor-down_factor)))</f>
        <v>1.4625171347311772</v>
      </c>
      <c r="R27" s="26">
        <f>Q28*$B$6</f>
        <v>150.45275145438339</v>
      </c>
      <c r="S27" s="109">
        <f>EXP(-dividend_rate/12)*(('BinomialModel (2)'!T27-'BinomialModel (2)'!T29)/(Inputs!Stock*(up_factor-down_factor)))</f>
        <v>1.4625171347311772</v>
      </c>
      <c r="T27" s="26">
        <f>S26*down_factor</f>
        <v>150.45275145438339</v>
      </c>
      <c r="U27" s="109">
        <f>EXP(-dividend_rate/12)*(('BinomialModel (2)'!V27-'BinomialModel (2)'!V29)/(Inputs!Stock*(up_factor-down_factor)))</f>
        <v>1.4625171347311772</v>
      </c>
      <c r="V27" s="26">
        <f>U26*down_factor</f>
        <v>150.45275145438339</v>
      </c>
      <c r="W27" s="109">
        <f>EXP(-dividend_rate/12)*(('BinomialModel (2)'!X27-'BinomialModel (2)'!X29)/(Inputs!Stock*(up_factor-down_factor)))</f>
        <v>1.4625171347311716</v>
      </c>
      <c r="X27" s="26">
        <f>W26*$B$7</f>
        <v>150.45275145438336</v>
      </c>
      <c r="Y27" s="109">
        <f>EXP(-dividend_rate/12)*(('BinomialModel (2)'!Z27-'BinomialModel (2)'!Z29)/(Inputs!Stock*(up_factor-down_factor)))</f>
        <v>1.4625171347311772</v>
      </c>
      <c r="Z27" s="26">
        <f>Y26*$B$7</f>
        <v>150.45275145438336</v>
      </c>
      <c r="AA27" s="109">
        <f>EXP(-dividend_rate/12)*(('BinomialModel (2)'!AB27-'BinomialModel (2)'!AB29)/(Inputs!Stock*(up_factor-down_factor)))</f>
        <v>1.4625171347311716</v>
      </c>
      <c r="AB27" s="26">
        <f>AA26*$B$7</f>
        <v>150.45275145438333</v>
      </c>
      <c r="AC27" s="109">
        <f>EXP(-dividend_rate/12)*(('BinomialModel (2)'!AD27-'BinomialModel (2)'!AD29)/(Inputs!Stock*(up_factor-down_factor)))</f>
        <v>1.4625171347311716</v>
      </c>
      <c r="AD27" s="26">
        <f>AC26*$B$7</f>
        <v>150.4527514543833</v>
      </c>
      <c r="AE27" s="26"/>
      <c r="AF27" s="5"/>
      <c r="AG27" s="5"/>
      <c r="AH27" s="5"/>
      <c r="AI27" s="5"/>
      <c r="AJ27" s="5"/>
      <c r="AK27" s="5"/>
      <c r="AL27" s="5"/>
      <c r="AM27" s="5"/>
    </row>
    <row r="28" spans="1:39" ht="18.75" customHeight="1">
      <c r="A28" s="135"/>
      <c r="B28" s="135"/>
      <c r="C28" s="135"/>
      <c r="D28" s="135"/>
      <c r="E28" s="135"/>
      <c r="F28" s="135"/>
      <c r="G28" s="135"/>
      <c r="H28" s="135"/>
      <c r="I28" s="135"/>
      <c r="J28" s="135"/>
      <c r="K28" s="135"/>
      <c r="L28" s="135"/>
      <c r="M28" s="135"/>
      <c r="N28" s="135"/>
      <c r="O28" s="56"/>
      <c r="P28" s="109">
        <f>EXP(-dividend_rate/12)*(('BinomialModel (2)'!Q28-'BinomialModel (2)'!Q30)/(Inputs!Stock*(up_factor-down_factor)))</f>
        <v>1.4252384415636521</v>
      </c>
      <c r="Q28" s="26">
        <f>P29*$B$6</f>
        <v>146.61780017450724</v>
      </c>
      <c r="R28" s="109">
        <f>EXP(-dividend_rate/12)*(('BinomialModel (2)'!S28-'BinomialModel (2)'!S30)/(Inputs!Stock*(up_factor-down_factor)))</f>
        <v>1.4252384415636521</v>
      </c>
      <c r="S28" s="26">
        <f>R27*down_factor</f>
        <v>146.61780017450724</v>
      </c>
      <c r="T28" s="109">
        <f>EXP(-dividend_rate/12)*(('BinomialModel (2)'!U28-'BinomialModel (2)'!U30)/(Inputs!Stock*(up_factor-down_factor)))</f>
        <v>1.4252384415636521</v>
      </c>
      <c r="U28" s="26">
        <f>T27*down_factor</f>
        <v>146.61780017450724</v>
      </c>
      <c r="V28" s="109">
        <f>EXP(-dividend_rate/12)*(('BinomialModel (2)'!W28-'BinomialModel (2)'!W30)/(Inputs!Stock*(up_factor-down_factor)))</f>
        <v>1.4252384415636521</v>
      </c>
      <c r="W28" s="26">
        <f>V27*$B$7</f>
        <v>146.61780017450724</v>
      </c>
      <c r="X28" s="109">
        <f>EXP(-dividend_rate/12)*(('BinomialModel (2)'!Y28-'BinomialModel (2)'!Y30)/(Inputs!Stock*(up_factor-down_factor)))</f>
        <v>1.4252384415636468</v>
      </c>
      <c r="Y28" s="26">
        <f>X27*$B$7</f>
        <v>146.61780017450721</v>
      </c>
      <c r="Z28" s="109">
        <f>EXP(-dividend_rate/12)*(('BinomialModel (2)'!AA28-'BinomialModel (2)'!AA30)/(Inputs!Stock*(up_factor-down_factor)))</f>
        <v>1.4252384415636521</v>
      </c>
      <c r="AA28" s="26">
        <f>Z27*$B$7</f>
        <v>146.61780017450721</v>
      </c>
      <c r="AB28" s="109">
        <f>EXP(-dividend_rate/12)*(('BinomialModel (2)'!AC28-'BinomialModel (2)'!AC30)/(Inputs!Stock*(up_factor-down_factor)))</f>
        <v>1.4252384415636468</v>
      </c>
      <c r="AC28" s="26">
        <f>AB27*$B$7</f>
        <v>146.61780017450718</v>
      </c>
      <c r="AD28" s="109">
        <f>EXP(-dividend_rate/12)*(('BinomialModel (2)'!AE28-'BinomialModel (2)'!AE30)/(Inputs!Stock*(up_factor-down_factor)))</f>
        <v>1.4252384415636468</v>
      </c>
      <c r="AE28" s="26">
        <f>AD27*$B$7</f>
        <v>146.61780017450715</v>
      </c>
      <c r="AF28" s="5"/>
      <c r="AG28" s="5"/>
      <c r="AH28" s="5"/>
      <c r="AI28" s="5"/>
      <c r="AJ28" s="5"/>
      <c r="AK28" s="5"/>
      <c r="AL28" s="5"/>
      <c r="AM28" s="5"/>
    </row>
    <row r="29" spans="1:39" ht="18.75" customHeight="1">
      <c r="A29" s="135"/>
      <c r="B29" s="135"/>
      <c r="C29" s="135"/>
      <c r="D29" s="135"/>
      <c r="E29" s="135"/>
      <c r="F29" s="135"/>
      <c r="G29" s="135"/>
      <c r="H29" s="135"/>
      <c r="I29" s="135"/>
      <c r="J29" s="135"/>
      <c r="K29" s="135"/>
      <c r="L29" s="135"/>
      <c r="M29" s="135"/>
      <c r="N29" s="135"/>
      <c r="O29" s="109">
        <f>EXP(-dividend_rate/12)*(('BinomialModel (2)'!P29-'BinomialModel (2)'!P31)/(Inputs!Stock*(up_factor-down_factor)))</f>
        <v>1.3889099601449477</v>
      </c>
      <c r="P29" s="26">
        <f>O30*$B$6</f>
        <v>142.88059952515701</v>
      </c>
      <c r="Q29" s="109">
        <f>EXP(-dividend_rate/12)*(('BinomialModel (2)'!R29-'BinomialModel (2)'!R31)/(Inputs!Stock*(up_factor-down_factor)))</f>
        <v>1.3889099601449533</v>
      </c>
      <c r="R29" s="26">
        <f>Q28*down_factor</f>
        <v>142.88059952515701</v>
      </c>
      <c r="S29" s="109">
        <f>EXP(-dividend_rate/12)*(('BinomialModel (2)'!T29-'BinomialModel (2)'!T31)/(Inputs!Stock*(up_factor-down_factor)))</f>
        <v>1.3889099601449533</v>
      </c>
      <c r="T29" s="26">
        <f>S28*down_factor</f>
        <v>142.88059952515701</v>
      </c>
      <c r="U29" s="109">
        <f>EXP(-dividend_rate/12)*(('BinomialModel (2)'!V29-'BinomialModel (2)'!V31)/(Inputs!Stock*(up_factor-down_factor)))</f>
        <v>1.3889099601449533</v>
      </c>
      <c r="V29" s="26">
        <f>U28*$B$7</f>
        <v>142.88059952515701</v>
      </c>
      <c r="W29" s="109">
        <f>EXP(-dividend_rate/12)*(('BinomialModel (2)'!X29-'BinomialModel (2)'!X31)/(Inputs!Stock*(up_factor-down_factor)))</f>
        <v>1.3889099601449533</v>
      </c>
      <c r="X29" s="26">
        <f>W28*$B$7</f>
        <v>142.88059952515701</v>
      </c>
      <c r="Y29" s="109">
        <f>EXP(-dividend_rate/12)*(('BinomialModel (2)'!Z29-'BinomialModel (2)'!Z31)/(Inputs!Stock*(up_factor-down_factor)))</f>
        <v>1.3889099601449477</v>
      </c>
      <c r="Z29" s="26">
        <f>Y28*$B$7</f>
        <v>142.88059952515698</v>
      </c>
      <c r="AA29" s="109">
        <f>EXP(-dividend_rate/12)*(('BinomialModel (2)'!AB29-'BinomialModel (2)'!AB31)/(Inputs!Stock*(up_factor-down_factor)))</f>
        <v>1.3889099601449533</v>
      </c>
      <c r="AB29" s="26">
        <f>AA28*$B$7</f>
        <v>142.88059952515698</v>
      </c>
      <c r="AC29" s="109">
        <f>EXP(-dividend_rate/12)*(('BinomialModel (2)'!AD29-'BinomialModel (2)'!AD31)/(Inputs!Stock*(up_factor-down_factor)))</f>
        <v>1.3889099601449477</v>
      </c>
      <c r="AD29" s="26">
        <f>AC28*$B$7</f>
        <v>142.88059952515695</v>
      </c>
      <c r="AE29" s="26"/>
      <c r="AF29" s="5"/>
      <c r="AG29" s="5"/>
      <c r="AH29" s="5"/>
      <c r="AI29" s="5"/>
      <c r="AJ29" s="5"/>
      <c r="AK29" s="5"/>
      <c r="AL29" s="5"/>
      <c r="AM29" s="5"/>
    </row>
    <row r="30" spans="1:39" ht="18.75" customHeight="1">
      <c r="A30" s="135"/>
      <c r="B30" s="135"/>
      <c r="C30" s="135"/>
      <c r="D30" s="135"/>
      <c r="E30" s="135"/>
      <c r="F30" s="135"/>
      <c r="G30" s="135"/>
      <c r="H30" s="135"/>
      <c r="I30" s="135"/>
      <c r="J30" s="135"/>
      <c r="K30" s="135"/>
      <c r="L30" s="135"/>
      <c r="M30" s="135"/>
      <c r="N30" s="109">
        <f>EXP(-dividend_rate/12)*(('BinomialModel (2)'!O30-'BinomialModel (2)'!O32)/(Inputs!Stock*(up_factor-down_factor)))</f>
        <v>1.3535074701419316</v>
      </c>
      <c r="O30" s="26">
        <f>N31*up_factor</f>
        <v>139.23865790081521</v>
      </c>
      <c r="P30" s="109">
        <f>EXP(-dividend_rate/12)*(('BinomialModel (2)'!Q30-'BinomialModel (2)'!Q32)/(Inputs!Stock*(up_factor-down_factor)))</f>
        <v>1.3535074701419261</v>
      </c>
      <c r="Q30" s="26">
        <f>P29*down_factor</f>
        <v>139.23865790081518</v>
      </c>
      <c r="R30" s="109">
        <f>EXP(-dividend_rate/12)*(('BinomialModel (2)'!S30-'BinomialModel (2)'!S32)/(Inputs!Stock*(up_factor-down_factor)))</f>
        <v>1.3535074701419316</v>
      </c>
      <c r="S30" s="26">
        <f>R29*down_factor</f>
        <v>139.23865790081518</v>
      </c>
      <c r="T30" s="109">
        <f>EXP(-dividend_rate/12)*(('BinomialModel (2)'!U30-'BinomialModel (2)'!U32)/(Inputs!Stock*(up_factor-down_factor)))</f>
        <v>1.3535074701419316</v>
      </c>
      <c r="U30" s="26">
        <f>T29*$B$7</f>
        <v>139.23865790081518</v>
      </c>
      <c r="V30" s="109">
        <f>EXP(-dividend_rate/12)*(('BinomialModel (2)'!W30-'BinomialModel (2)'!W32)/(Inputs!Stock*(up_factor-down_factor)))</f>
        <v>1.3535074701419316</v>
      </c>
      <c r="W30" s="26">
        <f>V29*$B$7</f>
        <v>139.23865790081518</v>
      </c>
      <c r="X30" s="109">
        <f>EXP(-dividend_rate/12)*(('BinomialModel (2)'!Y30-'BinomialModel (2)'!Y32)/(Inputs!Stock*(up_factor-down_factor)))</f>
        <v>1.3535074701419316</v>
      </c>
      <c r="Y30" s="26">
        <f>X29*$B$7</f>
        <v>139.23865790081518</v>
      </c>
      <c r="Z30" s="109">
        <f>EXP(-dividend_rate/12)*(('BinomialModel (2)'!AA30-'BinomialModel (2)'!AA32)/(Inputs!Stock*(up_factor-down_factor)))</f>
        <v>1.3535074701419261</v>
      </c>
      <c r="AA30" s="26">
        <f>Z29*$B$7</f>
        <v>139.23865790081516</v>
      </c>
      <c r="AB30" s="109">
        <f>EXP(-dividend_rate/12)*(('BinomialModel (2)'!AC30-'BinomialModel (2)'!AC32)/(Inputs!Stock*(up_factor-down_factor)))</f>
        <v>1.3535074701419316</v>
      </c>
      <c r="AC30" s="26">
        <f>AB29*$B$7</f>
        <v>139.23865790081516</v>
      </c>
      <c r="AD30" s="109">
        <f>EXP(-dividend_rate/12)*(('BinomialModel (2)'!AE30-'BinomialModel (2)'!AE32)/(Inputs!Stock*(up_factor-down_factor)))</f>
        <v>1.3535074701419261</v>
      </c>
      <c r="AE30" s="26">
        <f>AD29*$B$7</f>
        <v>139.23865790081513</v>
      </c>
      <c r="AF30" s="5"/>
      <c r="AG30" s="5"/>
      <c r="AH30" s="5"/>
      <c r="AI30" s="5"/>
      <c r="AJ30" s="5"/>
      <c r="AK30" s="5"/>
      <c r="AL30" s="5"/>
      <c r="AM30" s="5"/>
    </row>
    <row r="31" spans="1:39" ht="19.95" customHeight="1">
      <c r="M31" s="109">
        <f>EXP(-dividend_rate/12)*(('BinomialModel (2)'!N31-'BinomialModel (2)'!N33)/(Inputs!Stock*(up_factor-down_factor)))</f>
        <v>1.3190073685833592</v>
      </c>
      <c r="N31" s="26">
        <f>M32*up_factor</f>
        <v>135.6895472055092</v>
      </c>
      <c r="O31" s="109">
        <f>EXP(-dividend_rate/12)*(('BinomialModel (2)'!P31-'BinomialModel (2)'!P33)/(Inputs!Stock*(up_factor-down_factor)))</f>
        <v>1.3190073685833592</v>
      </c>
      <c r="P31" s="26">
        <f>O30*down_factor</f>
        <v>135.6895472055092</v>
      </c>
      <c r="Q31" s="109">
        <f>EXP(-dividend_rate/12)*(('BinomialModel (2)'!R31-'BinomialModel (2)'!R33)/(Inputs!Stock*(up_factor-down_factor)))</f>
        <v>1.3190073685833539</v>
      </c>
      <c r="R31" s="26">
        <f>Q30*down_factor</f>
        <v>135.68954720550917</v>
      </c>
      <c r="S31" s="109">
        <f>EXP(-dividend_rate/12)*(('BinomialModel (2)'!T31-'BinomialModel (2)'!T33)/(Inputs!Stock*(up_factor-down_factor)))</f>
        <v>1.3190073685833592</v>
      </c>
      <c r="T31" s="26">
        <f>S30*$B$7</f>
        <v>135.68954720550917</v>
      </c>
      <c r="U31" s="109">
        <f>EXP(-dividend_rate/12)*(('BinomialModel (2)'!V31-'BinomialModel (2)'!V33)/(Inputs!Stock*(up_factor-down_factor)))</f>
        <v>1.3190073685833592</v>
      </c>
      <c r="V31" s="26">
        <f>U30*$B$7</f>
        <v>135.68954720550917</v>
      </c>
      <c r="W31" s="109">
        <f>EXP(-dividend_rate/12)*(('BinomialModel (2)'!X31-'BinomialModel (2)'!X33)/(Inputs!Stock*(up_factor-down_factor)))</f>
        <v>1.3190073685833592</v>
      </c>
      <c r="X31" s="26">
        <f>W30*$B$7</f>
        <v>135.68954720550917</v>
      </c>
      <c r="Y31" s="109">
        <f>EXP(-dividend_rate/12)*(('BinomialModel (2)'!Z31-'BinomialModel (2)'!Z33)/(Inputs!Stock*(up_factor-down_factor)))</f>
        <v>1.3190073685833592</v>
      </c>
      <c r="Z31" s="26">
        <f>Y30*$B$7</f>
        <v>135.68954720550917</v>
      </c>
      <c r="AA31" s="109">
        <f>EXP(-dividend_rate/12)*(('BinomialModel (2)'!AB31-'BinomialModel (2)'!AB33)/(Inputs!Stock*(up_factor-down_factor)))</f>
        <v>1.3190073685833539</v>
      </c>
      <c r="AB31" s="26">
        <f>AA30*$B$7</f>
        <v>135.68954720550914</v>
      </c>
      <c r="AC31" s="109">
        <f>EXP(-dividend_rate/12)*(('BinomialModel (2)'!AD31-'BinomialModel (2)'!AD33)/(Inputs!Stock*(up_factor-down_factor)))</f>
        <v>1.3190073685833592</v>
      </c>
      <c r="AD31" s="26">
        <f>AC30*$B$7</f>
        <v>135.68954720550914</v>
      </c>
      <c r="AE31" s="26"/>
      <c r="AF31" s="5"/>
      <c r="AG31" s="5"/>
      <c r="AH31" s="5"/>
      <c r="AI31" s="5"/>
      <c r="AJ31" s="5"/>
      <c r="AK31" s="5"/>
      <c r="AL31" s="5"/>
      <c r="AM31" s="5"/>
    </row>
    <row r="32" spans="1:39" ht="18" customHeight="1">
      <c r="A32" s="25"/>
      <c r="B32" s="25"/>
      <c r="C32" s="25"/>
      <c r="D32" s="25"/>
      <c r="E32" s="25"/>
      <c r="F32" s="25"/>
      <c r="G32" s="25"/>
      <c r="H32" s="25"/>
      <c r="I32" s="25"/>
      <c r="J32" s="25"/>
      <c r="K32" s="25"/>
      <c r="L32" s="109">
        <f>EXP(-dividend_rate/12)*(('BinomialModel (2)'!M32-'BinomialModel (2)'!M34)/(Inputs!Stock*(up_factor-down_factor)))</f>
        <v>1.28538665412372</v>
      </c>
      <c r="M32" s="26">
        <f>L33*up_factor</f>
        <v>132.23090123399066</v>
      </c>
      <c r="N32" s="109">
        <f>EXP(-dividend_rate/12)*(('BinomialModel (2)'!O32-'BinomialModel (2)'!O34)/(Inputs!Stock*(up_factor-down_factor)))</f>
        <v>1.28538665412372</v>
      </c>
      <c r="O32" s="26">
        <f>N31*down_factor</f>
        <v>132.23090123399066</v>
      </c>
      <c r="P32" s="109">
        <f>EXP(-dividend_rate/12)*(('BinomialModel (2)'!Q32-'BinomialModel (2)'!Q34)/(Inputs!Stock*(up_factor-down_factor)))</f>
        <v>1.28538665412372</v>
      </c>
      <c r="Q32" s="26">
        <f>P31*down_factor</f>
        <v>132.23090123399066</v>
      </c>
      <c r="R32" s="109">
        <f>EXP(-dividend_rate/12)*(('BinomialModel (2)'!S32-'BinomialModel (2)'!S34)/(Inputs!Stock*(up_factor-down_factor)))</f>
        <v>1.2853866541237144</v>
      </c>
      <c r="S32" s="26">
        <f>R31*$B$7</f>
        <v>132.23090123399064</v>
      </c>
      <c r="T32" s="109">
        <f>EXP(-dividend_rate/12)*(('BinomialModel (2)'!U32-'BinomialModel (2)'!U34)/(Inputs!Stock*(up_factor-down_factor)))</f>
        <v>1.28538665412372</v>
      </c>
      <c r="U32" s="26">
        <f>T31*$B$7</f>
        <v>132.23090123399064</v>
      </c>
      <c r="V32" s="109">
        <f>EXP(-dividend_rate/12)*(('BinomialModel (2)'!W32-'BinomialModel (2)'!W34)/(Inputs!Stock*(up_factor-down_factor)))</f>
        <v>1.28538665412372</v>
      </c>
      <c r="W32" s="26">
        <f>V31*$B$7</f>
        <v>132.23090123399064</v>
      </c>
      <c r="X32" s="109">
        <f>EXP(-dividend_rate/12)*(('BinomialModel (2)'!Y32-'BinomialModel (2)'!Y34)/(Inputs!Stock*(up_factor-down_factor)))</f>
        <v>1.28538665412372</v>
      </c>
      <c r="Y32" s="26">
        <f>X31*$B$7</f>
        <v>132.23090123399064</v>
      </c>
      <c r="Z32" s="109">
        <f>EXP(-dividend_rate/12)*(('BinomialModel (2)'!AA32-'BinomialModel (2)'!AA34)/(Inputs!Stock*(up_factor-down_factor)))</f>
        <v>1.28538665412372</v>
      </c>
      <c r="AA32" s="26">
        <f>Z31*$B$7</f>
        <v>132.23090123399064</v>
      </c>
      <c r="AB32" s="109">
        <f>EXP(-dividend_rate/12)*(('BinomialModel (2)'!AC32-'BinomialModel (2)'!AC34)/(Inputs!Stock*(up_factor-down_factor)))</f>
        <v>1.2853866541237144</v>
      </c>
      <c r="AC32" s="26">
        <f>AB31*$B$7</f>
        <v>132.23090123399061</v>
      </c>
      <c r="AD32" s="109">
        <f>EXP(-dividend_rate/12)*(('BinomialModel (2)'!AE32-'BinomialModel (2)'!AE34)/(Inputs!Stock*(up_factor-down_factor)))</f>
        <v>1.28538665412372</v>
      </c>
      <c r="AE32" s="26">
        <f>AD31*$B$7</f>
        <v>132.23090123399061</v>
      </c>
      <c r="AF32" s="5"/>
      <c r="AG32" s="5"/>
      <c r="AH32" s="5"/>
      <c r="AI32" s="5"/>
      <c r="AJ32" s="5"/>
      <c r="AK32" s="5"/>
      <c r="AL32" s="5"/>
      <c r="AM32" s="5"/>
    </row>
    <row r="33" spans="1:39" ht="18.75" customHeight="1">
      <c r="A33" s="25"/>
      <c r="B33" s="25"/>
      <c r="C33" s="25"/>
      <c r="D33" s="25"/>
      <c r="E33" s="25"/>
      <c r="F33" s="25"/>
      <c r="G33" s="25"/>
      <c r="H33" s="25"/>
      <c r="I33" s="109"/>
      <c r="J33" s="25"/>
      <c r="K33" s="109">
        <f>EXP(-dividend_rate/12)*(('BinomialModel (2)'!L33-'BinomialModel (2)'!L35)/(Inputs!Stock*(up_factor-down_factor)))</f>
        <v>1.2526229117081313</v>
      </c>
      <c r="L33" s="26">
        <f>K34*$B$6</f>
        <v>128.86041409417774</v>
      </c>
      <c r="M33" s="109">
        <f>EXP(-dividend_rate/12)*(('BinomialModel (2)'!N33-'BinomialModel (2)'!N35)/(Inputs!Stock*(up_factor-down_factor)))</f>
        <v>1.252622911708134</v>
      </c>
      <c r="N33" s="26">
        <f>M32*down_factor</f>
        <v>128.86041409417774</v>
      </c>
      <c r="O33" s="109">
        <f>EXP(-dividend_rate/12)*(('BinomialModel (2)'!P33-'BinomialModel (2)'!P35)/(Inputs!Stock*(up_factor-down_factor)))</f>
        <v>1.252622911708134</v>
      </c>
      <c r="P33" s="26">
        <f>O32*down_factor</f>
        <v>128.86041409417774</v>
      </c>
      <c r="Q33" s="109">
        <f>EXP(-dividend_rate/12)*(('BinomialModel (2)'!R33-'BinomialModel (2)'!R35)/(Inputs!Stock*(up_factor-down_factor)))</f>
        <v>1.252622911708134</v>
      </c>
      <c r="R33" s="26">
        <f>Q32*$B$7</f>
        <v>128.86041409417774</v>
      </c>
      <c r="S33" s="109">
        <f>EXP(-dividend_rate/12)*(('BinomialModel (2)'!T33-'BinomialModel (2)'!T35)/(Inputs!Stock*(up_factor-down_factor)))</f>
        <v>1.2526229117081285</v>
      </c>
      <c r="T33" s="26">
        <f>S32*$B$7</f>
        <v>128.86041409417771</v>
      </c>
      <c r="U33" s="109">
        <f>EXP(-dividend_rate/12)*(('BinomialModel (2)'!V33-'BinomialModel (2)'!V35)/(Inputs!Stock*(up_factor-down_factor)))</f>
        <v>1.252622911708134</v>
      </c>
      <c r="V33" s="26">
        <f>U32*$B$7</f>
        <v>128.86041409417771</v>
      </c>
      <c r="W33" s="109">
        <f>EXP(-dividend_rate/12)*(('BinomialModel (2)'!X33-'BinomialModel (2)'!X35)/(Inputs!Stock*(up_factor-down_factor)))</f>
        <v>1.252622911708134</v>
      </c>
      <c r="X33" s="26">
        <f>W32*$B$7</f>
        <v>128.86041409417771</v>
      </c>
      <c r="Y33" s="109">
        <f>EXP(-dividend_rate/12)*(('BinomialModel (2)'!Z33-'BinomialModel (2)'!Z35)/(Inputs!Stock*(up_factor-down_factor)))</f>
        <v>1.252622911708134</v>
      </c>
      <c r="Z33" s="26">
        <f>Y32*$B$7</f>
        <v>128.86041409417771</v>
      </c>
      <c r="AA33" s="109">
        <f>EXP(-dividend_rate/12)*(('BinomialModel (2)'!AB33-'BinomialModel (2)'!AB35)/(Inputs!Stock*(up_factor-down_factor)))</f>
        <v>1.252622911708134</v>
      </c>
      <c r="AB33" s="26">
        <f>AA32*$B$7</f>
        <v>128.86041409417771</v>
      </c>
      <c r="AC33" s="109">
        <f>EXP(-dividend_rate/12)*(('BinomialModel (2)'!AD33-'BinomialModel (2)'!AD35)/(Inputs!Stock*(up_factor-down_factor)))</f>
        <v>1.2526229117081285</v>
      </c>
      <c r="AD33" s="26">
        <f>AC32*$B$7</f>
        <v>128.86041409417768</v>
      </c>
      <c r="AE33" s="26"/>
      <c r="AF33" s="5"/>
      <c r="AG33" s="5"/>
      <c r="AH33" s="5"/>
      <c r="AI33" s="5"/>
      <c r="AJ33" s="5"/>
      <c r="AK33" s="5"/>
      <c r="AL33" s="5"/>
      <c r="AM33" s="5"/>
    </row>
    <row r="34" spans="1:39" ht="18.75" customHeight="1">
      <c r="A34" s="25"/>
      <c r="B34" s="25"/>
      <c r="C34" s="25"/>
      <c r="D34" s="25"/>
      <c r="E34" s="25"/>
      <c r="F34" s="25"/>
      <c r="G34" s="25"/>
      <c r="H34" s="25"/>
      <c r="I34" s="25"/>
      <c r="J34" s="109">
        <f>EXP(-dividend_rate/12)*(('BinomialModel (2)'!K34-'BinomialModel (2)'!K36)/(Inputs!Stock*(up_factor-down_factor)))</f>
        <v>1.2206942976281616</v>
      </c>
      <c r="K34" s="26">
        <f>J35*$B$6</f>
        <v>125.57583866980828</v>
      </c>
      <c r="L34" s="109">
        <f>EXP(-dividend_rate/12)*(('BinomialModel (2)'!M34-'BinomialModel (2)'!M36)/(Inputs!Stock*(up_factor-down_factor)))</f>
        <v>1.220694297628159</v>
      </c>
      <c r="M34" s="26">
        <f>L33*down_factor</f>
        <v>125.57583866980826</v>
      </c>
      <c r="N34" s="109">
        <f>EXP(-dividend_rate/12)*(('BinomialModel (2)'!O34-'BinomialModel (2)'!O36)/(Inputs!Stock*(up_factor-down_factor)))</f>
        <v>1.2206942976281616</v>
      </c>
      <c r="O34" s="26">
        <f>N33*down_factor</f>
        <v>125.57583866980826</v>
      </c>
      <c r="P34" s="109">
        <f>EXP(-dividend_rate/12)*(('BinomialModel (2)'!Q34-'BinomialModel (2)'!Q36)/(Inputs!Stock*(up_factor-down_factor)))</f>
        <v>1.2206942976281616</v>
      </c>
      <c r="Q34" s="26">
        <f>P33*$B$7</f>
        <v>125.57583866980826</v>
      </c>
      <c r="R34" s="109">
        <f>EXP(-dividend_rate/12)*(('BinomialModel (2)'!S34-'BinomialModel (2)'!S36)/(Inputs!Stock*(up_factor-down_factor)))</f>
        <v>1.2206942976281616</v>
      </c>
      <c r="S34" s="26">
        <f>R33*$B$7</f>
        <v>125.57583866980826</v>
      </c>
      <c r="T34" s="109">
        <f>EXP(-dividend_rate/12)*(('BinomialModel (2)'!U34-'BinomialModel (2)'!U36)/(Inputs!Stock*(up_factor-down_factor)))</f>
        <v>1.2206942976281561</v>
      </c>
      <c r="U34" s="26">
        <f>T33*$B$7</f>
        <v>125.57583866980823</v>
      </c>
      <c r="V34" s="109">
        <f>EXP(-dividend_rate/12)*(('BinomialModel (2)'!W34-'BinomialModel (2)'!W36)/(Inputs!Stock*(up_factor-down_factor)))</f>
        <v>1.2206942976281616</v>
      </c>
      <c r="W34" s="26">
        <f>V33*$B$7</f>
        <v>125.57583866980823</v>
      </c>
      <c r="X34" s="109">
        <f>EXP(-dividend_rate/12)*(('BinomialModel (2)'!Y34-'BinomialModel (2)'!Y36)/(Inputs!Stock*(up_factor-down_factor)))</f>
        <v>1.2206942976281616</v>
      </c>
      <c r="Y34" s="26">
        <f>X33*$B$7</f>
        <v>125.57583866980823</v>
      </c>
      <c r="Z34" s="109">
        <f>EXP(-dividend_rate/12)*(('BinomialModel (2)'!AA34-'BinomialModel (2)'!AA36)/(Inputs!Stock*(up_factor-down_factor)))</f>
        <v>1.2206942976281616</v>
      </c>
      <c r="AA34" s="26">
        <f>Z33*$B$7</f>
        <v>125.57583866980823</v>
      </c>
      <c r="AB34" s="109">
        <f>EXP(-dividend_rate/12)*(('BinomialModel (2)'!AC34-'BinomialModel (2)'!AC36)/(Inputs!Stock*(up_factor-down_factor)))</f>
        <v>1.2206942976281616</v>
      </c>
      <c r="AC34" s="26">
        <f>AB33*$B$7</f>
        <v>125.57583866980823</v>
      </c>
      <c r="AD34" s="109">
        <f>EXP(-dividend_rate/12)*(('BinomialModel (2)'!AE34-'BinomialModel (2)'!AE36)/(Inputs!Stock*(up_factor-down_factor)))</f>
        <v>1.2206942976281561</v>
      </c>
      <c r="AE34" s="26">
        <f>AD33*$B$7</f>
        <v>125.57583866980821</v>
      </c>
      <c r="AF34" s="5"/>
      <c r="AG34" s="5"/>
      <c r="AH34" s="5"/>
      <c r="AI34" s="5"/>
      <c r="AJ34" s="5"/>
      <c r="AK34" s="5"/>
      <c r="AL34" s="5"/>
      <c r="AM34" s="5"/>
    </row>
    <row r="35" spans="1:39" ht="18.75" customHeight="1">
      <c r="A35" s="25"/>
      <c r="B35" s="27"/>
      <c r="C35" s="25"/>
      <c r="D35" s="25"/>
      <c r="E35" s="25"/>
      <c r="F35" s="25"/>
      <c r="G35" s="25"/>
      <c r="H35" s="25"/>
      <c r="I35" s="109">
        <f>EXP(-dividend_rate/12)*(('BinomialModel (2)'!J35-'BinomialModel (2)'!J37)/(Inputs!Stock*(up_factor-down_factor)))</f>
        <v>1.1895795249585084</v>
      </c>
      <c r="J35" s="26">
        <f>I36*$B$6</f>
        <v>122.37498512227901</v>
      </c>
      <c r="K35" s="109">
        <f>EXP(-dividend_rate/12)*(('BinomialModel (2)'!L35-'BinomialModel (2)'!L37)/(Inputs!Stock*(up_factor-down_factor)))</f>
        <v>1.189579524958511</v>
      </c>
      <c r="L35" s="26">
        <f>K34*$B$7</f>
        <v>122.37498512227901</v>
      </c>
      <c r="M35" s="109">
        <f>EXP(-dividend_rate/12)*(('BinomialModel (2)'!N35-'BinomialModel (2)'!N37)/(Inputs!Stock*(up_factor-down_factor)))</f>
        <v>1.1895795249585084</v>
      </c>
      <c r="N35" s="26">
        <f>M34*down_factor</f>
        <v>122.374985122279</v>
      </c>
      <c r="O35" s="109">
        <f>EXP(-dividend_rate/12)*(('BinomialModel (2)'!P35-'BinomialModel (2)'!P37)/(Inputs!Stock*(up_factor-down_factor)))</f>
        <v>1.189579524958511</v>
      </c>
      <c r="P35" s="26">
        <f>O34*$B$7</f>
        <v>122.374985122279</v>
      </c>
      <c r="Q35" s="109">
        <f>EXP(-dividend_rate/12)*(('BinomialModel (2)'!R35-'BinomialModel (2)'!R37)/(Inputs!Stock*(up_factor-down_factor)))</f>
        <v>1.189579524958511</v>
      </c>
      <c r="R35" s="26">
        <f>Q34*$B$7</f>
        <v>122.374985122279</v>
      </c>
      <c r="S35" s="109">
        <f>EXP(-dividend_rate/12)*(('BinomialModel (2)'!T35-'BinomialModel (2)'!T37)/(Inputs!Stock*(up_factor-down_factor)))</f>
        <v>1.189579524958511</v>
      </c>
      <c r="T35" s="26">
        <f>S34*$B$7</f>
        <v>122.374985122279</v>
      </c>
      <c r="U35" s="109">
        <f>EXP(-dividend_rate/12)*(('BinomialModel (2)'!V35-'BinomialModel (2)'!V37)/(Inputs!Stock*(up_factor-down_factor)))</f>
        <v>1.1895795249585057</v>
      </c>
      <c r="V35" s="26">
        <f>U34*$B$7</f>
        <v>122.37498512227897</v>
      </c>
      <c r="W35" s="109">
        <f>EXP(-dividend_rate/12)*(('BinomialModel (2)'!X35-'BinomialModel (2)'!X37)/(Inputs!Stock*(up_factor-down_factor)))</f>
        <v>1.189579524958511</v>
      </c>
      <c r="X35" s="26">
        <f>W34*$B$7</f>
        <v>122.37498512227897</v>
      </c>
      <c r="Y35" s="109">
        <f>EXP(-dividend_rate/12)*(('BinomialModel (2)'!Z35-'BinomialModel (2)'!Z37)/(Inputs!Stock*(up_factor-down_factor)))</f>
        <v>1.189579524958511</v>
      </c>
      <c r="Z35" s="26">
        <f>Y34*$B$7</f>
        <v>122.37498512227897</v>
      </c>
      <c r="AA35" s="109">
        <f>EXP(-dividend_rate/12)*(('BinomialModel (2)'!AB35-'BinomialModel (2)'!AB37)/(Inputs!Stock*(up_factor-down_factor)))</f>
        <v>1.189579524958511</v>
      </c>
      <c r="AB35" s="26">
        <f>AA34*$B$7</f>
        <v>122.37498512227897</v>
      </c>
      <c r="AC35" s="109">
        <f>EXP(-dividend_rate/12)*(('BinomialModel (2)'!AD35-'BinomialModel (2)'!AD37)/(Inputs!Stock*(up_factor-down_factor)))</f>
        <v>1.189579524958511</v>
      </c>
      <c r="AD35" s="26">
        <f>AC34*$B$7</f>
        <v>122.37498512227897</v>
      </c>
      <c r="AE35" s="26"/>
      <c r="AF35" s="5"/>
      <c r="AG35" s="5"/>
      <c r="AH35" s="5"/>
      <c r="AI35" s="5"/>
      <c r="AJ35" s="5"/>
      <c r="AK35" s="5"/>
      <c r="AL35" s="5"/>
      <c r="AM35" s="5"/>
    </row>
    <row r="36" spans="1:39" ht="18.75" customHeight="1">
      <c r="A36" s="25"/>
      <c r="B36" s="25"/>
      <c r="C36" s="25"/>
      <c r="D36" s="25"/>
      <c r="E36" s="25"/>
      <c r="F36" s="25"/>
      <c r="G36" s="25"/>
      <c r="H36" s="109">
        <f>EXP(-dividend_rate/12)*(('BinomialModel (2)'!I36-'BinomialModel (2)'!I38)/(Inputs!Stock*(up_factor-down_factor)))</f>
        <v>1.1592578493649788</v>
      </c>
      <c r="I36" s="26">
        <f>H37*$B$6</f>
        <v>119.25571943067219</v>
      </c>
      <c r="J36" s="109">
        <f>EXP(-dividend_rate/12)*(('BinomialModel (2)'!K36-'BinomialModel (2)'!K38)/(Inputs!Stock*(up_factor-down_factor)))</f>
        <v>1.1592578493649761</v>
      </c>
      <c r="K36" s="26">
        <f>J35*$B$7</f>
        <v>119.25571943067217</v>
      </c>
      <c r="L36" s="109">
        <f>EXP(-dividend_rate/12)*(('BinomialModel (2)'!M36-'BinomialModel (2)'!M38)/(Inputs!Stock*(up_factor-down_factor)))</f>
        <v>1.1592578493649788</v>
      </c>
      <c r="M36" s="26">
        <f>L35*$B$7</f>
        <v>119.25571943067217</v>
      </c>
      <c r="N36" s="109">
        <f>EXP(-dividend_rate/12)*(('BinomialModel (2)'!O36-'BinomialModel (2)'!O38)/(Inputs!Stock*(up_factor-down_factor)))</f>
        <v>1.1592578493649761</v>
      </c>
      <c r="O36" s="26">
        <f>N35*$B$7</f>
        <v>119.25571943067216</v>
      </c>
      <c r="P36" s="109">
        <f>EXP(-dividend_rate/12)*(('BinomialModel (2)'!Q36-'BinomialModel (2)'!Q38)/(Inputs!Stock*(up_factor-down_factor)))</f>
        <v>1.1592578493649788</v>
      </c>
      <c r="Q36" s="26">
        <f>P35*$B$7</f>
        <v>119.25571943067216</v>
      </c>
      <c r="R36" s="109">
        <f>EXP(-dividend_rate/12)*(('BinomialModel (2)'!S36-'BinomialModel (2)'!S38)/(Inputs!Stock*(up_factor-down_factor)))</f>
        <v>1.1592578493649788</v>
      </c>
      <c r="S36" s="26">
        <f>R35*$B$7</f>
        <v>119.25571943067216</v>
      </c>
      <c r="T36" s="109">
        <f>EXP(-dividend_rate/12)*(('BinomialModel (2)'!U36-'BinomialModel (2)'!U38)/(Inputs!Stock*(up_factor-down_factor)))</f>
        <v>1.1592578493649788</v>
      </c>
      <c r="U36" s="26">
        <f>T35*$B$7</f>
        <v>119.25571943067216</v>
      </c>
      <c r="V36" s="109">
        <f>EXP(-dividend_rate/12)*(('BinomialModel (2)'!W36-'BinomialModel (2)'!W38)/(Inputs!Stock*(up_factor-down_factor)))</f>
        <v>1.1592578493649734</v>
      </c>
      <c r="W36" s="26">
        <f>V35*$B$7</f>
        <v>119.25571943067213</v>
      </c>
      <c r="X36" s="109">
        <f>EXP(-dividend_rate/12)*(('BinomialModel (2)'!Y36-'BinomialModel (2)'!Y38)/(Inputs!Stock*(up_factor-down_factor)))</f>
        <v>1.1592578493649788</v>
      </c>
      <c r="Y36" s="26">
        <f>X35*$B$7</f>
        <v>119.25571943067213</v>
      </c>
      <c r="Z36" s="109">
        <f>EXP(-dividend_rate/12)*(('BinomialModel (2)'!AA36-'BinomialModel (2)'!AA38)/(Inputs!Stock*(up_factor-down_factor)))</f>
        <v>1.1592578493649788</v>
      </c>
      <c r="AA36" s="26">
        <f>Z35*$B$7</f>
        <v>119.25571943067213</v>
      </c>
      <c r="AB36" s="109">
        <f>EXP(-dividend_rate/12)*(('BinomialModel (2)'!AC36-'BinomialModel (2)'!AC38)/(Inputs!Stock*(up_factor-down_factor)))</f>
        <v>1.1592578493649788</v>
      </c>
      <c r="AC36" s="26">
        <f>AB35*$B$7</f>
        <v>119.25571943067213</v>
      </c>
      <c r="AD36" s="109">
        <f>EXP(-dividend_rate/12)*(('BinomialModel (2)'!AE36-'BinomialModel (2)'!AE38)/(Inputs!Stock*(up_factor-down_factor)))</f>
        <v>1.1592578493649788</v>
      </c>
      <c r="AE36" s="26">
        <f>AD35*$B$7</f>
        <v>119.25571943067213</v>
      </c>
      <c r="AF36" s="5"/>
      <c r="AG36" s="5"/>
      <c r="AH36" s="5"/>
      <c r="AI36" s="5"/>
      <c r="AJ36" s="5"/>
      <c r="AK36" s="5"/>
      <c r="AL36" s="5"/>
      <c r="AM36" s="5"/>
    </row>
    <row r="37" spans="1:39" ht="18.75" customHeight="1">
      <c r="A37" s="25"/>
      <c r="B37" s="27"/>
      <c r="C37" s="25"/>
      <c r="D37" s="25"/>
      <c r="E37" s="25"/>
      <c r="F37" s="25"/>
      <c r="G37" s="109">
        <f>EXP(-dividend_rate/12)*(('BinomialModel (2)'!H37-'BinomialModel (2)'!H39)/(Inputs!Stock*(up_factor-down_factor)))</f>
        <v>1.1297090552741174</v>
      </c>
      <c r="H37" s="26">
        <f>G38*$B$6</f>
        <v>116.21596196899579</v>
      </c>
      <c r="I37" s="109">
        <f>EXP(-dividend_rate/12)*(('BinomialModel (2)'!J37-'BinomialModel (2)'!J39)/(Inputs!Stock*(up_factor-down_factor)))</f>
        <v>1.1297090552741202</v>
      </c>
      <c r="J37" s="26">
        <f>I36*$B$7</f>
        <v>116.21596196899579</v>
      </c>
      <c r="K37" s="109">
        <f>EXP(-dividend_rate/12)*(('BinomialModel (2)'!L37-'BinomialModel (2)'!L39)/(Inputs!Stock*(up_factor-down_factor)))</f>
        <v>1.1297090552741174</v>
      </c>
      <c r="L37" s="26">
        <f>K36*$B$7</f>
        <v>116.21596196899577</v>
      </c>
      <c r="M37" s="109">
        <f>EXP(-dividend_rate/12)*(('BinomialModel (2)'!N37-'BinomialModel (2)'!N39)/(Inputs!Stock*(up_factor-down_factor)))</f>
        <v>1.1297090552741202</v>
      </c>
      <c r="N37" s="26">
        <f>M36*$B$7</f>
        <v>116.21596196899577</v>
      </c>
      <c r="O37" s="109">
        <f>EXP(-dividend_rate/12)*(('BinomialModel (2)'!P37-'BinomialModel (2)'!P39)/(Inputs!Stock*(up_factor-down_factor)))</f>
        <v>1.1297090552741174</v>
      </c>
      <c r="P37" s="26">
        <f>O36*$B$7</f>
        <v>116.21596196899576</v>
      </c>
      <c r="Q37" s="109">
        <f>EXP(-dividend_rate/12)*(('BinomialModel (2)'!R37-'BinomialModel (2)'!R39)/(Inputs!Stock*(up_factor-down_factor)))</f>
        <v>1.1297090552741202</v>
      </c>
      <c r="R37" s="26">
        <f>Q36*$B$7</f>
        <v>116.21596196899576</v>
      </c>
      <c r="S37" s="109">
        <f>EXP(-dividend_rate/12)*(('BinomialModel (2)'!T37-'BinomialModel (2)'!T39)/(Inputs!Stock*(up_factor-down_factor)))</f>
        <v>1.1297090552741202</v>
      </c>
      <c r="T37" s="26">
        <f>S36*$B$7</f>
        <v>116.21596196899576</v>
      </c>
      <c r="U37" s="109">
        <f>EXP(-dividend_rate/12)*(('BinomialModel (2)'!V37-'BinomialModel (2)'!V39)/(Inputs!Stock*(up_factor-down_factor)))</f>
        <v>1.1297090552741202</v>
      </c>
      <c r="V37" s="26">
        <f>U36*$B$7</f>
        <v>116.21596196899576</v>
      </c>
      <c r="W37" s="109">
        <f>EXP(-dividend_rate/12)*(('BinomialModel (2)'!X37-'BinomialModel (2)'!X39)/(Inputs!Stock*(up_factor-down_factor)))</f>
        <v>1.1297090552741147</v>
      </c>
      <c r="X37" s="26">
        <f>W36*$B$7</f>
        <v>116.21596196899573</v>
      </c>
      <c r="Y37" s="109">
        <f>EXP(-dividend_rate/12)*(('BinomialModel (2)'!Z37-'BinomialModel (2)'!Z39)/(Inputs!Stock*(up_factor-down_factor)))</f>
        <v>1.1297090552741202</v>
      </c>
      <c r="Z37" s="26">
        <f>Y36*$B$7</f>
        <v>116.21596196899573</v>
      </c>
      <c r="AA37" s="109">
        <f>EXP(-dividend_rate/12)*(('BinomialModel (2)'!AB37-'BinomialModel (2)'!AB39)/(Inputs!Stock*(up_factor-down_factor)))</f>
        <v>1.1297090552741202</v>
      </c>
      <c r="AB37" s="26">
        <f>AA36*$B$7</f>
        <v>116.21596196899573</v>
      </c>
      <c r="AC37" s="109">
        <f>EXP(-dividend_rate/12)*(('BinomialModel (2)'!AD37-'BinomialModel (2)'!AD39)/(Inputs!Stock*(up_factor-down_factor)))</f>
        <v>1.1297090552741202</v>
      </c>
      <c r="AD37" s="26">
        <f>AC36*$B$7</f>
        <v>116.21596196899573</v>
      </c>
      <c r="AE37" s="26"/>
      <c r="AF37" s="5"/>
      <c r="AG37" s="5"/>
      <c r="AH37" s="5"/>
      <c r="AI37" s="5"/>
      <c r="AJ37" s="5"/>
      <c r="AK37" s="5"/>
      <c r="AL37" s="5"/>
      <c r="AM37" s="5"/>
    </row>
    <row r="38" spans="1:39" ht="18.75" customHeight="1">
      <c r="A38" s="25"/>
      <c r="B38" s="25"/>
      <c r="C38" s="25"/>
      <c r="D38" s="25"/>
      <c r="E38" s="25"/>
      <c r="F38" s="109">
        <f>EXP(-dividend_rate/12)*(('BinomialModel (2)'!G38-'BinomialModel (2)'!G40)/(Inputs!Stock*(up_factor-down_factor)))</f>
        <v>1.1009134423954503</v>
      </c>
      <c r="G38" s="26">
        <f>F39*$B$6*(1-dividend_rate)</f>
        <v>113.25368611968926</v>
      </c>
      <c r="H38" s="109">
        <f>EXP(-dividend_rate/12)*(('BinomialModel (2)'!I38-'BinomialModel (2)'!I40)/(Inputs!Stock*(up_factor-down_factor)))</f>
        <v>1.1009134423954476</v>
      </c>
      <c r="I38" s="26">
        <f>H37*$B$7</f>
        <v>113.25368611968925</v>
      </c>
      <c r="J38" s="109">
        <f>EXP(-dividend_rate/12)*(('BinomialModel (2)'!K38-'BinomialModel (2)'!K40)/(Inputs!Stock*(up_factor-down_factor)))</f>
        <v>1.1009134423954503</v>
      </c>
      <c r="K38" s="26">
        <f>J37*$B$7</f>
        <v>113.25368611968925</v>
      </c>
      <c r="L38" s="109">
        <f>EXP(-dividend_rate/12)*(('BinomialModel (2)'!M38-'BinomialModel (2)'!M40)/(Inputs!Stock*(up_factor-down_factor)))</f>
        <v>1.1009134423954476</v>
      </c>
      <c r="M38" s="26">
        <f>L37*$B$7</f>
        <v>113.25368611968923</v>
      </c>
      <c r="N38" s="109">
        <f>EXP(-dividend_rate/12)*(('BinomialModel (2)'!O38-'BinomialModel (2)'!O40)/(Inputs!Stock*(up_factor-down_factor)))</f>
        <v>1.1009134423954503</v>
      </c>
      <c r="O38" s="26">
        <f>N37*$B$7</f>
        <v>113.25368611968923</v>
      </c>
      <c r="P38" s="109">
        <f>EXP(-dividend_rate/12)*(('BinomialModel (2)'!Q38-'BinomialModel (2)'!Q40)/(Inputs!Stock*(up_factor-down_factor)))</f>
        <v>1.1009134423954476</v>
      </c>
      <c r="Q38" s="26">
        <f>P37*$B$7</f>
        <v>113.25368611968922</v>
      </c>
      <c r="R38" s="109">
        <f>EXP(-dividend_rate/12)*(('BinomialModel (2)'!S38-'BinomialModel (2)'!S40)/(Inputs!Stock*(up_factor-down_factor)))</f>
        <v>1.1009134423954503</v>
      </c>
      <c r="S38" s="26">
        <f>R37*$B$7</f>
        <v>113.25368611968922</v>
      </c>
      <c r="T38" s="109">
        <f>EXP(-dividend_rate/12)*(('BinomialModel (2)'!U38-'BinomialModel (2)'!U40)/(Inputs!Stock*(up_factor-down_factor)))</f>
        <v>1.1009134423954503</v>
      </c>
      <c r="U38" s="26">
        <f>T37*$B$7</f>
        <v>113.25368611968922</v>
      </c>
      <c r="V38" s="109">
        <f>EXP(-dividend_rate/12)*(('BinomialModel (2)'!W38-'BinomialModel (2)'!W40)/(Inputs!Stock*(up_factor-down_factor)))</f>
        <v>1.1009134423954503</v>
      </c>
      <c r="W38" s="26">
        <f>V37*$B$7</f>
        <v>113.25368611968922</v>
      </c>
      <c r="X38" s="109">
        <f>EXP(-dividend_rate/12)*(('BinomialModel (2)'!Y38-'BinomialModel (2)'!Y40)/(Inputs!Stock*(up_factor-down_factor)))</f>
        <v>1.100913442395445</v>
      </c>
      <c r="Y38" s="26">
        <f>X37*$B$7</f>
        <v>113.25368611968919</v>
      </c>
      <c r="Z38" s="109">
        <f>EXP(-dividend_rate/12)*(('BinomialModel (2)'!AA38-'BinomialModel (2)'!AA40)/(Inputs!Stock*(up_factor-down_factor)))</f>
        <v>1.1009134423954503</v>
      </c>
      <c r="AA38" s="26">
        <f>Z37*$B$7</f>
        <v>113.25368611968919</v>
      </c>
      <c r="AB38" s="109">
        <f>EXP(-dividend_rate/12)*(('BinomialModel (2)'!AC38-'BinomialModel (2)'!AC40)/(Inputs!Stock*(up_factor-down_factor)))</f>
        <v>1.1009134423954503</v>
      </c>
      <c r="AC38" s="26">
        <f>AB37*$B$7</f>
        <v>113.25368611968919</v>
      </c>
      <c r="AD38" s="109">
        <f>EXP(-dividend_rate/12)*(('BinomialModel (2)'!AE38-'BinomialModel (2)'!AE40)/(Inputs!Stock*(up_factor-down_factor)))</f>
        <v>1.1009134423954503</v>
      </c>
      <c r="AE38" s="26">
        <f>AD37*$B$7</f>
        <v>113.25368611968919</v>
      </c>
      <c r="AF38" s="5"/>
      <c r="AG38" s="5"/>
      <c r="AH38" s="5"/>
      <c r="AI38" s="5"/>
      <c r="AJ38" s="5"/>
      <c r="AK38" s="5"/>
      <c r="AL38" s="5"/>
      <c r="AM38" s="5"/>
    </row>
    <row r="39" spans="1:39" ht="18.75" customHeight="1">
      <c r="A39" s="25"/>
      <c r="B39" s="27"/>
      <c r="C39" s="25"/>
      <c r="D39" s="25"/>
      <c r="E39" s="110">
        <f>EXP(-dividend_rate/12)*(('BinomialModel (2)'!F39-'BinomialModel (2)'!F41)/(Inputs!Stock*(up_factor-down_factor)))</f>
        <v>1.1060327964816374</v>
      </c>
      <c r="F39" s="26">
        <f>E40*$B$6</f>
        <v>113.78032672419592</v>
      </c>
      <c r="G39" s="109">
        <f>EXP(-dividend_rate/12)*(('BinomialModel (2)'!H39-'BinomialModel (2)'!H41)/(Inputs!Stock*(up_factor-down_factor)))</f>
        <v>1.0728518125871891</v>
      </c>
      <c r="H39" s="26">
        <f>G38*$B$7</f>
        <v>110.36691692247004</v>
      </c>
      <c r="I39" s="109">
        <f>EXP(-dividend_rate/12)*(('BinomialModel (2)'!J39-'BinomialModel (2)'!J41)/(Inputs!Stock*(up_factor-down_factor)))</f>
        <v>1.0728518125871864</v>
      </c>
      <c r="J39" s="26">
        <f>I38*$B$7</f>
        <v>110.36691692247003</v>
      </c>
      <c r="K39" s="109">
        <f>EXP(-dividend_rate/12)*(('BinomialModel (2)'!L39-'BinomialModel (2)'!L41)/(Inputs!Stock*(up_factor-down_factor)))</f>
        <v>1.0728518125871891</v>
      </c>
      <c r="L39" s="26">
        <f>K38*$B$7</f>
        <v>110.36691692247003</v>
      </c>
      <c r="M39" s="109">
        <f>EXP(-dividend_rate/12)*(('BinomialModel (2)'!N39-'BinomialModel (2)'!N41)/(Inputs!Stock*(up_factor-down_factor)))</f>
        <v>1.0728518125871864</v>
      </c>
      <c r="N39" s="26">
        <f>M38*$B$7</f>
        <v>110.36691692247001</v>
      </c>
      <c r="O39" s="109">
        <f>EXP(-dividend_rate/12)*(('BinomialModel (2)'!P39-'BinomialModel (2)'!P41)/(Inputs!Stock*(up_factor-down_factor)))</f>
        <v>1.0728518125871891</v>
      </c>
      <c r="P39" s="26">
        <f>O38*$B$7</f>
        <v>110.36691692247001</v>
      </c>
      <c r="Q39" s="109">
        <f>EXP(-dividend_rate/12)*(('BinomialModel (2)'!R39-'BinomialModel (2)'!R41)/(Inputs!Stock*(up_factor-down_factor)))</f>
        <v>1.0728518125871864</v>
      </c>
      <c r="R39" s="26">
        <f>Q38*$B$7</f>
        <v>110.36691692247</v>
      </c>
      <c r="S39" s="109">
        <f>EXP(-dividend_rate/12)*(('BinomialModel (2)'!T39-'BinomialModel (2)'!T41)/(Inputs!Stock*(up_factor-down_factor)))</f>
        <v>1.0728518125871891</v>
      </c>
      <c r="T39" s="26">
        <f>S38*$B$7</f>
        <v>110.36691692247</v>
      </c>
      <c r="U39" s="109">
        <f>EXP(-dividend_rate/12)*(('BinomialModel (2)'!V39-'BinomialModel (2)'!V41)/(Inputs!Stock*(up_factor-down_factor)))</f>
        <v>1.0728518125871891</v>
      </c>
      <c r="V39" s="26">
        <f>U38*$B$7</f>
        <v>110.36691692247</v>
      </c>
      <c r="W39" s="109">
        <f>EXP(-dividend_rate/12)*(('BinomialModel (2)'!X39-'BinomialModel (2)'!X41)/(Inputs!Stock*(up_factor-down_factor)))</f>
        <v>1.0728518125871891</v>
      </c>
      <c r="X39" s="26">
        <f>W38*$B$7</f>
        <v>110.36691692247</v>
      </c>
      <c r="Y39" s="109">
        <f>EXP(-dividend_rate/12)*(('BinomialModel (2)'!Z39-'BinomialModel (2)'!Z41)/(Inputs!Stock*(up_factor-down_factor)))</f>
        <v>1.0728518125871835</v>
      </c>
      <c r="Z39" s="26">
        <f>Y38*$B$7</f>
        <v>110.36691692246997</v>
      </c>
      <c r="AA39" s="109">
        <f>EXP(-dividend_rate/12)*(('BinomialModel (2)'!AB39-'BinomialModel (2)'!AB41)/(Inputs!Stock*(up_factor-down_factor)))</f>
        <v>1.0728518125871891</v>
      </c>
      <c r="AB39" s="26">
        <f>AA38*$B$7</f>
        <v>110.36691692246997</v>
      </c>
      <c r="AC39" s="109">
        <f>EXP(-dividend_rate/12)*(('BinomialModel (2)'!AD39-'BinomialModel (2)'!AD41)/(Inputs!Stock*(up_factor-down_factor)))</f>
        <v>1.0728518125871891</v>
      </c>
      <c r="AD39" s="26">
        <f>AC38*$B$7</f>
        <v>110.36691692246997</v>
      </c>
      <c r="AE39" s="26"/>
      <c r="AF39" s="5"/>
      <c r="AG39" s="5"/>
      <c r="AH39" s="5"/>
      <c r="AI39" s="5"/>
      <c r="AJ39" s="5"/>
      <c r="AK39" s="5"/>
      <c r="AL39" s="5"/>
      <c r="AM39" s="5"/>
    </row>
    <row r="40" spans="1:39" ht="18.75" customHeight="1">
      <c r="A40" s="25"/>
      <c r="B40" s="25"/>
      <c r="C40" s="25"/>
      <c r="D40" s="110">
        <f>EXP(-dividend_rate/12)*(('BinomialModel (2)'!E40-'BinomialModel (2)'!E42)/(Inputs!Stock*(up_factor-down_factor)))</f>
        <v>1.0778406773781297</v>
      </c>
      <c r="E40" s="26">
        <f>D41*$B$6</f>
        <v>110.8801337707425</v>
      </c>
      <c r="F40" s="109">
        <f>EXP(-dividend_rate/12)*(('BinomialModel (2)'!G40-'BinomialModel (2)'!G42)/(Inputs!Stock*(up_factor-down_factor)))</f>
        <v>1.0455054570567879</v>
      </c>
      <c r="G40" s="26">
        <f>F39*$B$7*(1-dividend_rate)</f>
        <v>107.55372975762022</v>
      </c>
      <c r="H40" s="109">
        <f>EXP(-dividend_rate/12)*(('BinomialModel (2)'!I40-'BinomialModel (2)'!I42)/(Inputs!Stock*(up_factor-down_factor)))</f>
        <v>1.0455054570567879</v>
      </c>
      <c r="I40" s="26">
        <f>H39*$B$7</f>
        <v>107.55372975762022</v>
      </c>
      <c r="J40" s="109">
        <f>EXP(-dividend_rate/12)*(('BinomialModel (2)'!K40-'BinomialModel (2)'!K42)/(Inputs!Stock*(up_factor-down_factor)))</f>
        <v>1.0455054570567852</v>
      </c>
      <c r="K40" s="26">
        <f>J39*$B$7</f>
        <v>107.5537297576202</v>
      </c>
      <c r="L40" s="109">
        <f>EXP(-dividend_rate/12)*(('BinomialModel (2)'!M40-'BinomialModel (2)'!M42)/(Inputs!Stock*(up_factor-down_factor)))</f>
        <v>1.0455054570567879</v>
      </c>
      <c r="M40" s="26">
        <f>L39*$B$7</f>
        <v>107.5537297576202</v>
      </c>
      <c r="N40" s="109">
        <f>EXP(-dividend_rate/12)*(('BinomialModel (2)'!O40-'BinomialModel (2)'!O42)/(Inputs!Stock*(up_factor-down_factor)))</f>
        <v>1.0455054570567852</v>
      </c>
      <c r="O40" s="26">
        <f>N39*$B$7</f>
        <v>107.55372975762019</v>
      </c>
      <c r="P40" s="109">
        <f>EXP(-dividend_rate/12)*(('BinomialModel (2)'!Q40-'BinomialModel (2)'!Q42)/(Inputs!Stock*(up_factor-down_factor)))</f>
        <v>1.0455054570567879</v>
      </c>
      <c r="Q40" s="26">
        <f>P39*$B$7</f>
        <v>107.55372975762019</v>
      </c>
      <c r="R40" s="109">
        <f>EXP(-dividend_rate/12)*(('BinomialModel (2)'!S40-'BinomialModel (2)'!S42)/(Inputs!Stock*(up_factor-down_factor)))</f>
        <v>1.0455054570567852</v>
      </c>
      <c r="S40" s="26">
        <f>R39*$B$7</f>
        <v>107.55372975762018</v>
      </c>
      <c r="T40" s="109">
        <f>EXP(-dividend_rate/12)*(('BinomialModel (2)'!U40-'BinomialModel (2)'!U42)/(Inputs!Stock*(up_factor-down_factor)))</f>
        <v>1.0455054570567879</v>
      </c>
      <c r="U40" s="26">
        <f>T39*$B$7</f>
        <v>107.55372975762018</v>
      </c>
      <c r="V40" s="109">
        <f>EXP(-dividend_rate/12)*(('BinomialModel (2)'!W40-'BinomialModel (2)'!W42)/(Inputs!Stock*(up_factor-down_factor)))</f>
        <v>1.0455054570567879</v>
      </c>
      <c r="W40" s="26">
        <f>V39*$B$7</f>
        <v>107.55372975762018</v>
      </c>
      <c r="X40" s="109">
        <f>EXP(-dividend_rate/12)*(('BinomialModel (2)'!Y40-'BinomialModel (2)'!Y42)/(Inputs!Stock*(up_factor-down_factor)))</f>
        <v>1.0455054570567879</v>
      </c>
      <c r="Y40" s="26">
        <f>X39*$B$7</f>
        <v>107.55372975762018</v>
      </c>
      <c r="Z40" s="109">
        <f>EXP(-dividend_rate/12)*(('BinomialModel (2)'!AA40-'BinomialModel (2)'!AA42)/(Inputs!Stock*(up_factor-down_factor)))</f>
        <v>1.0455054570567826</v>
      </c>
      <c r="AA40" s="26">
        <f>Z39*$B$7</f>
        <v>107.55372975762015</v>
      </c>
      <c r="AB40" s="109">
        <f>EXP(-dividend_rate/12)*(('BinomialModel (2)'!AC40-'BinomialModel (2)'!AC42)/(Inputs!Stock*(up_factor-down_factor)))</f>
        <v>1.0455054570567879</v>
      </c>
      <c r="AC40" s="26">
        <f>AB39*$B$7</f>
        <v>107.55372975762015</v>
      </c>
      <c r="AD40" s="109">
        <f>EXP(-dividend_rate/12)*(('BinomialModel (2)'!AE40-'BinomialModel (2)'!AE42)/(Inputs!Stock*(up_factor-down_factor)))</f>
        <v>1.0455054570567879</v>
      </c>
      <c r="AE40" s="26">
        <f>AD39*$B$7</f>
        <v>107.55372975762015</v>
      </c>
      <c r="AF40" s="5"/>
      <c r="AG40" s="5"/>
      <c r="AH40" s="5"/>
      <c r="AI40" s="5"/>
      <c r="AJ40" s="5"/>
      <c r="AK40" s="5"/>
      <c r="AL40" s="5"/>
      <c r="AM40" s="5"/>
    </row>
    <row r="41" spans="1:39" ht="18.75" customHeight="1">
      <c r="A41" s="25"/>
      <c r="B41" s="25"/>
      <c r="C41" s="110">
        <f>EXP(-dividend_rate/12)*(('BinomialModel (2)'!D41-'BinomialModel (2)'!D43)/(Inputs!Stock*(up_factor-down_factor)))</f>
        <v>1.0503671586471217</v>
      </c>
      <c r="D41" s="26">
        <f>C42*$B$6</f>
        <v>108.05386501323247</v>
      </c>
      <c r="E41" s="110">
        <f>EXP(-dividend_rate/12)*(('BinomialModel (2)'!F41-'BinomialModel (2)'!F43)/(Inputs!Stock*(up_factor-down_factor)))</f>
        <v>1.050367158647119</v>
      </c>
      <c r="F41" s="26">
        <f>E40*$B$7</f>
        <v>108.05386501323245</v>
      </c>
      <c r="G41" s="109">
        <f>EXP(-dividend_rate/12)*(('BinomialModel (2)'!H41-'BinomialModel (2)'!H43)/(Inputs!Stock*(up_factor-down_factor)))</f>
        <v>1.0188561438877088</v>
      </c>
      <c r="H41" s="26">
        <f>G40*$B$7</f>
        <v>104.81224906283548</v>
      </c>
      <c r="I41" s="109">
        <f>EXP(-dividend_rate/12)*(('BinomialModel (2)'!J41-'BinomialModel (2)'!J43)/(Inputs!Stock*(up_factor-down_factor)))</f>
        <v>1.0188561438877088</v>
      </c>
      <c r="J41" s="26">
        <f>I40*$B$7</f>
        <v>104.81224906283548</v>
      </c>
      <c r="K41" s="109">
        <f>EXP(-dividend_rate/12)*(('BinomialModel (2)'!L41-'BinomialModel (2)'!L43)/(Inputs!Stock*(up_factor-down_factor)))</f>
        <v>1.018856143887706</v>
      </c>
      <c r="L41" s="26">
        <f>K40*$B$7</f>
        <v>104.81224906283546</v>
      </c>
      <c r="M41" s="109">
        <f>EXP(-dividend_rate/12)*(('BinomialModel (2)'!N41-'BinomialModel (2)'!N43)/(Inputs!Stock*(up_factor-down_factor)))</f>
        <v>1.0188561438877088</v>
      </c>
      <c r="N41" s="26">
        <f>M40*$B$7</f>
        <v>104.81224906283546</v>
      </c>
      <c r="O41" s="109">
        <f>EXP(-dividend_rate/12)*(('BinomialModel (2)'!P41-'BinomialModel (2)'!P43)/(Inputs!Stock*(up_factor-down_factor)))</f>
        <v>1.018856143887706</v>
      </c>
      <c r="P41" s="26">
        <f>O40*$B$7</f>
        <v>104.81224906283545</v>
      </c>
      <c r="Q41" s="109">
        <f>EXP(-dividend_rate/12)*(('BinomialModel (2)'!R41-'BinomialModel (2)'!R43)/(Inputs!Stock*(up_factor-down_factor)))</f>
        <v>1.0188561438877088</v>
      </c>
      <c r="R41" s="26">
        <f>Q40*$B$7</f>
        <v>104.81224906283545</v>
      </c>
      <c r="S41" s="109">
        <f>EXP(-dividend_rate/12)*(('BinomialModel (2)'!T41-'BinomialModel (2)'!T43)/(Inputs!Stock*(up_factor-down_factor)))</f>
        <v>1.018856143887706</v>
      </c>
      <c r="T41" s="26">
        <f>S40*$B$7</f>
        <v>104.81224906283543</v>
      </c>
      <c r="U41" s="109">
        <f>EXP(-dividend_rate/12)*(('BinomialModel (2)'!V41-'BinomialModel (2)'!V43)/(Inputs!Stock*(up_factor-down_factor)))</f>
        <v>1.0188561438877088</v>
      </c>
      <c r="V41" s="26">
        <f>U40*$B$7</f>
        <v>104.81224906283543</v>
      </c>
      <c r="W41" s="109">
        <f>EXP(-dividend_rate/12)*(('BinomialModel (2)'!X41-'BinomialModel (2)'!X43)/(Inputs!Stock*(up_factor-down_factor)))</f>
        <v>1.0188561438877088</v>
      </c>
      <c r="X41" s="26">
        <f>W40*$B$7</f>
        <v>104.81224906283543</v>
      </c>
      <c r="Y41" s="109">
        <f>EXP(-dividend_rate/12)*(('BinomialModel (2)'!Z41-'BinomialModel (2)'!Z43)/(Inputs!Stock*(up_factor-down_factor)))</f>
        <v>1.0188561438877088</v>
      </c>
      <c r="Z41" s="26">
        <f>Y40*$B$7</f>
        <v>104.81224906283543</v>
      </c>
      <c r="AA41" s="109">
        <f>EXP(-dividend_rate/12)*(('BinomialModel (2)'!AB41-'BinomialModel (2)'!AB43)/(Inputs!Stock*(up_factor-down_factor)))</f>
        <v>1.0188561438877033</v>
      </c>
      <c r="AB41" s="26">
        <f>AA40*$B$7</f>
        <v>104.81224906283541</v>
      </c>
      <c r="AC41" s="109">
        <f>EXP(-dividend_rate/12)*(('BinomialModel (2)'!AD41-'BinomialModel (2)'!AD43)/(Inputs!Stock*(up_factor-down_factor)))</f>
        <v>1.0188561438877088</v>
      </c>
      <c r="AD41" s="26">
        <f>AC40*$B$7</f>
        <v>104.81224906283541</v>
      </c>
      <c r="AE41" s="26"/>
      <c r="AF41" s="5"/>
      <c r="AG41" s="5"/>
      <c r="AH41" s="5"/>
      <c r="AI41" s="5"/>
      <c r="AJ41" s="5"/>
      <c r="AK41" s="5"/>
      <c r="AL41" s="5"/>
      <c r="AM41" s="5"/>
    </row>
    <row r="42" spans="1:39" ht="18.75" customHeight="1">
      <c r="A42" s="112" t="s">
        <v>49</v>
      </c>
      <c r="B42" s="110">
        <f>EXP(-dividend_rate/12)*(('BinomialModel (2)'!C42-'BinomialModel (2)'!C44)/(Inputs!Stock*(up_factor-down_factor)))</f>
        <v>1.0235939235918958</v>
      </c>
      <c r="C42" s="26">
        <f>B43*$B$6</f>
        <v>105.29963616781518</v>
      </c>
      <c r="D42" s="110">
        <f>EXP(-dividend_rate/12)*(('BinomialModel (2)'!E42-'BinomialModel (2)'!E44)/(Inputs!Stock*(up_factor-down_factor)))</f>
        <v>1.0235939235918958</v>
      </c>
      <c r="E42" s="26">
        <f>D41*$B$7</f>
        <v>105.29963616781518</v>
      </c>
      <c r="F42" s="109">
        <f>EXP(-dividend_rate/12)*(('BinomialModel (2)'!G42-'BinomialModel (2)'!G44)/(Inputs!Stock*(up_factor-down_factor)))</f>
        <v>0.99288610588413473</v>
      </c>
      <c r="G42" s="26">
        <f>F41*$B$7*(1-dividend_rate)</f>
        <v>102.1406470827807</v>
      </c>
      <c r="H42" s="109">
        <f>EXP(-dividend_rate/12)*(('BinomialModel (2)'!I42-'BinomialModel (2)'!I44)/(Inputs!Stock*(up_factor-down_factor)))</f>
        <v>0.99288610588414028</v>
      </c>
      <c r="I42" s="26">
        <f>H41*$B$7</f>
        <v>102.1406470827807</v>
      </c>
      <c r="J42" s="109">
        <f>EXP(-dividend_rate/12)*(('BinomialModel (2)'!K42-'BinomialModel (2)'!K44)/(Inputs!Stock*(up_factor-down_factor)))</f>
        <v>0.99288610588414028</v>
      </c>
      <c r="K42" s="26">
        <f>J41*$B$7</f>
        <v>102.1406470827807</v>
      </c>
      <c r="L42" s="109">
        <f>EXP(-dividend_rate/12)*(('BinomialModel (2)'!M42-'BinomialModel (2)'!M44)/(Inputs!Stock*(up_factor-down_factor)))</f>
        <v>0.9928861058841375</v>
      </c>
      <c r="M42" s="26">
        <f>L41*$B$7</f>
        <v>102.14064708278069</v>
      </c>
      <c r="N42" s="109">
        <f>EXP(-dividend_rate/12)*(('BinomialModel (2)'!O42-'BinomialModel (2)'!O44)/(Inputs!Stock*(up_factor-down_factor)))</f>
        <v>0.9928861058841375</v>
      </c>
      <c r="O42" s="26">
        <f>N41*$B$7</f>
        <v>102.14064708278069</v>
      </c>
      <c r="P42" s="109">
        <f>EXP(-dividend_rate/12)*(('BinomialModel (2)'!Q42-'BinomialModel (2)'!Q44)/(Inputs!Stock*(up_factor-down_factor)))</f>
        <v>0.99288610588413473</v>
      </c>
      <c r="Q42" s="26">
        <f>P41*$B$7</f>
        <v>102.14064708278067</v>
      </c>
      <c r="R42" s="109">
        <f>EXP(-dividend_rate/12)*(('BinomialModel (2)'!S42-'BinomialModel (2)'!S44)/(Inputs!Stock*(up_factor-down_factor)))</f>
        <v>0.9928861058841375</v>
      </c>
      <c r="S42" s="26">
        <f>R41*$B$7</f>
        <v>102.14064708278067</v>
      </c>
      <c r="T42" s="109">
        <f>EXP(-dividend_rate/12)*(('BinomialModel (2)'!U42-'BinomialModel (2)'!U44)/(Inputs!Stock*(up_factor-down_factor)))</f>
        <v>0.99288610588413473</v>
      </c>
      <c r="U42" s="26">
        <f>T41*$B$7</f>
        <v>102.14064708278066</v>
      </c>
      <c r="V42" s="109">
        <f>EXP(-dividend_rate/12)*(('BinomialModel (2)'!W42-'BinomialModel (2)'!W44)/(Inputs!Stock*(up_factor-down_factor)))</f>
        <v>0.9928861058841375</v>
      </c>
      <c r="W42" s="26">
        <f>V41*$B$7</f>
        <v>102.14064708278066</v>
      </c>
      <c r="X42" s="109">
        <f>EXP(-dividend_rate/12)*(('BinomialModel (2)'!Y42-'BinomialModel (2)'!Y44)/(Inputs!Stock*(up_factor-down_factor)))</f>
        <v>0.9928861058841375</v>
      </c>
      <c r="Y42" s="26">
        <f>X41*$B$7</f>
        <v>102.14064708278066</v>
      </c>
      <c r="Z42" s="109">
        <f>EXP(-dividend_rate/12)*(('BinomialModel (2)'!AA42-'BinomialModel (2)'!AA44)/(Inputs!Stock*(up_factor-down_factor)))</f>
        <v>0.9928861058841375</v>
      </c>
      <c r="AA42" s="26">
        <f>Z41*$B$7</f>
        <v>102.14064708278066</v>
      </c>
      <c r="AB42" s="109">
        <f>EXP(-dividend_rate/12)*(('BinomialModel (2)'!AC42-'BinomialModel (2)'!AC44)/(Inputs!Stock*(up_factor-down_factor)))</f>
        <v>0.99288610588413206</v>
      </c>
      <c r="AC42" s="26">
        <f>AB41*$B$7</f>
        <v>102.14064708278063</v>
      </c>
      <c r="AD42" s="109">
        <f>EXP(-dividend_rate/12)*(('BinomialModel (2)'!AE42-'BinomialModel (2)'!AE44)/(Inputs!Stock*(up_factor-down_factor)))</f>
        <v>0.9928861058841375</v>
      </c>
      <c r="AE42" s="26">
        <f>AD41*$B$7</f>
        <v>102.14064708278063</v>
      </c>
      <c r="AF42" s="5"/>
      <c r="AG42" s="5"/>
      <c r="AH42" s="5"/>
      <c r="AI42" s="5"/>
      <c r="AJ42" s="5"/>
      <c r="AK42" s="5"/>
      <c r="AL42" s="5"/>
      <c r="AM42" s="5"/>
    </row>
    <row r="43" spans="1:39" ht="18.75" customHeight="1">
      <c r="A43" s="108">
        <f>EXP(-dividend_rate/12)*(('BinomialModel (2)'!B43-'BinomialModel (2)'!B45)/(Inputs!Stock*(up_factor-down_factor)))</f>
        <v>0.99750312239746164</v>
      </c>
      <c r="B43" s="26">
        <f>A44*$B$6</f>
        <v>102.6156109799163</v>
      </c>
      <c r="C43" s="110">
        <f>EXP(-dividend_rate/12)*(('BinomialModel (2)'!D43-'BinomialModel (2)'!D45)/(Inputs!Stock*(up_factor-down_factor)))</f>
        <v>0.99750312239746164</v>
      </c>
      <c r="D43" s="26">
        <f>C42*$B$7</f>
        <v>102.6156109799163</v>
      </c>
      <c r="E43" s="110">
        <f>EXP(-dividend_rate/12)*(('BinomialModel (2)'!F43-'BinomialModel (2)'!F45)/(Inputs!Stock*(up_factor-down_factor)))</f>
        <v>0.99750312239746164</v>
      </c>
      <c r="F43" s="26">
        <f>E42*$B$7</f>
        <v>102.6156109799163</v>
      </c>
      <c r="G43" s="109">
        <f>EXP(-dividend_rate/12)*(('BinomialModel (2)'!H43-'BinomialModel (2)'!H45)/(Inputs!Stock*(up_factor-down_factor)))</f>
        <v>0.96757802872553422</v>
      </c>
      <c r="H43" s="26">
        <f>G42*$B$7</f>
        <v>99.537142650518788</v>
      </c>
      <c r="I43" s="109">
        <f>EXP(-dividend_rate/12)*(('BinomialModel (2)'!J43-'BinomialModel (2)'!J45)/(Inputs!Stock*(up_factor-down_factor)))</f>
        <v>0.967578028725537</v>
      </c>
      <c r="J43" s="26">
        <f>I42*$B$7</f>
        <v>99.537142650518788</v>
      </c>
      <c r="K43" s="109">
        <f>EXP(-dividend_rate/12)*(('BinomialModel (2)'!L43-'BinomialModel (2)'!L45)/(Inputs!Stock*(up_factor-down_factor)))</f>
        <v>0.967578028725537</v>
      </c>
      <c r="L43" s="26">
        <f>K42*$B$7</f>
        <v>99.537142650518788</v>
      </c>
      <c r="M43" s="109">
        <f>EXP(-dividend_rate/12)*(('BinomialModel (2)'!N43-'BinomialModel (2)'!N45)/(Inputs!Stock*(up_factor-down_factor)))</f>
        <v>0.96757802872553422</v>
      </c>
      <c r="N43" s="26">
        <f>M42*$B$7</f>
        <v>99.537142650518774</v>
      </c>
      <c r="O43" s="109">
        <f>EXP(-dividend_rate/12)*(('BinomialModel (2)'!P43-'BinomialModel (2)'!P45)/(Inputs!Stock*(up_factor-down_factor)))</f>
        <v>0.96757802872553422</v>
      </c>
      <c r="P43" s="26">
        <f>O42*$B$7</f>
        <v>99.537142650518774</v>
      </c>
      <c r="Q43" s="109">
        <f>EXP(-dividend_rate/12)*(('BinomialModel (2)'!R43-'BinomialModel (2)'!R45)/(Inputs!Stock*(up_factor-down_factor)))</f>
        <v>0.96757802872553145</v>
      </c>
      <c r="R43" s="26">
        <f>Q42*$B$7</f>
        <v>99.53714265051876</v>
      </c>
      <c r="S43" s="109">
        <f>EXP(-dividend_rate/12)*(('BinomialModel (2)'!T43-'BinomialModel (2)'!T45)/(Inputs!Stock*(up_factor-down_factor)))</f>
        <v>0.96757802872553422</v>
      </c>
      <c r="T43" s="26">
        <f>S42*$B$7</f>
        <v>99.53714265051876</v>
      </c>
      <c r="U43" s="109">
        <f>EXP(-dividend_rate/12)*(('BinomialModel (2)'!V43-'BinomialModel (2)'!V45)/(Inputs!Stock*(up_factor-down_factor)))</f>
        <v>0.96757802872553145</v>
      </c>
      <c r="V43" s="26">
        <f>U42*$B$7</f>
        <v>99.537142650518746</v>
      </c>
      <c r="W43" s="109">
        <f>EXP(-dividend_rate/12)*(('BinomialModel (2)'!X43-'BinomialModel (2)'!X45)/(Inputs!Stock*(up_factor-down_factor)))</f>
        <v>0.96757802872553422</v>
      </c>
      <c r="X43" s="26">
        <f>W42*$B$7</f>
        <v>99.537142650518746</v>
      </c>
      <c r="Y43" s="109">
        <f>EXP(-dividend_rate/12)*(('BinomialModel (2)'!Z43-'BinomialModel (2)'!Z45)/(Inputs!Stock*(up_factor-down_factor)))</f>
        <v>0.96757802872553422</v>
      </c>
      <c r="Z43" s="26">
        <f>Y42*$B$7</f>
        <v>99.537142650518746</v>
      </c>
      <c r="AA43" s="109">
        <f>EXP(-dividend_rate/12)*(('BinomialModel (2)'!AB43-'BinomialModel (2)'!AB45)/(Inputs!Stock*(up_factor-down_factor)))</f>
        <v>0.96757802872553422</v>
      </c>
      <c r="AB43" s="26">
        <f>AA42*$B$7</f>
        <v>99.537142650518746</v>
      </c>
      <c r="AC43" s="109">
        <f>EXP(-dividend_rate/12)*(('BinomialModel (2)'!AD43-'BinomialModel (2)'!AD45)/(Inputs!Stock*(up_factor-down_factor)))</f>
        <v>0.96757802872552867</v>
      </c>
      <c r="AD43" s="26">
        <f>AC42*$B$7</f>
        <v>99.537142650518717</v>
      </c>
      <c r="AE43" s="26"/>
      <c r="AF43" s="5"/>
      <c r="AG43" s="5"/>
      <c r="AH43" s="5"/>
      <c r="AI43" s="5"/>
      <c r="AJ43" s="5"/>
      <c r="AK43" s="5"/>
      <c r="AL43" s="5"/>
      <c r="AM43" s="5"/>
    </row>
    <row r="44" spans="1:39" ht="18.75" customHeight="1">
      <c r="A44" s="26">
        <f>Inputs!Stock</f>
        <v>100</v>
      </c>
      <c r="B44" s="110">
        <f>EXP(-dividend_rate/12)*(('BinomialModel (2)'!C44-'BinomialModel (2)'!C46)/(Inputs!Stock*(up_factor-down_factor)))</f>
        <v>0.97207736023000435</v>
      </c>
      <c r="C44" s="26">
        <f>B43*$B$7</f>
        <v>100</v>
      </c>
      <c r="D44" s="110">
        <f>EXP(-dividend_rate/12)*(('BinomialModel (2)'!E44-'BinomialModel (2)'!E46)/(Inputs!Stock*(up_factor-down_factor)))</f>
        <v>0.97207736023000435</v>
      </c>
      <c r="E44" s="26">
        <f>D43*$B$7</f>
        <v>100</v>
      </c>
      <c r="F44" s="109">
        <f>EXP(-dividend_rate/12)*(('BinomialModel (2)'!G44-'BinomialModel (2)'!G46)/(Inputs!Stock*(up_factor-down_factor)))</f>
        <v>0.94291503942310428</v>
      </c>
      <c r="G44" s="26">
        <f>F43*$B$7*(1-dividend_rate)</f>
        <v>97</v>
      </c>
      <c r="H44" s="111">
        <f>EXP(-dividend_rate/12)*(('BinomialModel (2)'!I42-'BinomialModel (2)'!I44)/(Inputs!Stock*(up_factor-down_factor)))</f>
        <v>0.99288610588414028</v>
      </c>
      <c r="I44" s="26">
        <f>H43*$B$7</f>
        <v>96.999999999999972</v>
      </c>
      <c r="J44" s="109">
        <f>EXP(-dividend_rate/12)*(('BinomialModel (2)'!K44-'BinomialModel (2)'!K46)/(Inputs!Stock*(up_factor-down_factor)))</f>
        <v>0.94291503942310428</v>
      </c>
      <c r="K44" s="26">
        <f>J43*$B$7</f>
        <v>96.999999999999972</v>
      </c>
      <c r="L44" s="109">
        <f>EXP(-dividend_rate/12)*(('BinomialModel (2)'!M44-'BinomialModel (2)'!M46)/(Inputs!Stock*(up_factor-down_factor)))</f>
        <v>0.94291503942310428</v>
      </c>
      <c r="M44" s="26">
        <f>L43*$B$7</f>
        <v>96.999999999999972</v>
      </c>
      <c r="N44" s="109">
        <f>EXP(-dividend_rate/12)*(('BinomialModel (2)'!O44-'BinomialModel (2)'!O46)/(Inputs!Stock*(up_factor-down_factor)))</f>
        <v>0.94291503942310428</v>
      </c>
      <c r="O44" s="26">
        <f>N43*$B$7</f>
        <v>96.999999999999972</v>
      </c>
      <c r="P44" s="109">
        <f>EXP(-dividend_rate/12)*(('BinomialModel (2)'!Q44-'BinomialModel (2)'!Q46)/(Inputs!Stock*(up_factor-down_factor)))</f>
        <v>0.94291503942310428</v>
      </c>
      <c r="Q44" s="26">
        <f>P43*$B$7</f>
        <v>96.999999999999972</v>
      </c>
      <c r="R44" s="109">
        <f>EXP(-dividend_rate/12)*(('BinomialModel (2)'!S44-'BinomialModel (2)'!S46)/(Inputs!Stock*(up_factor-down_factor)))</f>
        <v>0.94291503942310151</v>
      </c>
      <c r="S44" s="26">
        <f>R43*$B$7</f>
        <v>96.999999999999957</v>
      </c>
      <c r="T44" s="109">
        <f>EXP(-dividend_rate/12)*(('BinomialModel (2)'!U44-'BinomialModel (2)'!U46)/(Inputs!Stock*(up_factor-down_factor)))</f>
        <v>0.94291503942310151</v>
      </c>
      <c r="U44" s="26">
        <f>T43*$B$7</f>
        <v>96.999999999999957</v>
      </c>
      <c r="V44" s="109">
        <f>EXP(-dividend_rate/12)*(('BinomialModel (2)'!W44-'BinomialModel (2)'!W46)/(Inputs!Stock*(up_factor-down_factor)))</f>
        <v>0.94291503942309873</v>
      </c>
      <c r="W44" s="26">
        <f>V43*$B$7</f>
        <v>96.999999999999943</v>
      </c>
      <c r="X44" s="109">
        <f>EXP(-dividend_rate/12)*(('BinomialModel (2)'!Y44-'BinomialModel (2)'!Y46)/(Inputs!Stock*(up_factor-down_factor)))</f>
        <v>0.94291503942310151</v>
      </c>
      <c r="Y44" s="26">
        <f>X43*$B$7</f>
        <v>96.999999999999943</v>
      </c>
      <c r="Z44" s="109">
        <f>EXP(-dividend_rate/12)*(('BinomialModel (2)'!AA44-'BinomialModel (2)'!AA46)/(Inputs!Stock*(up_factor-down_factor)))</f>
        <v>0.94291503942310151</v>
      </c>
      <c r="AA44" s="26">
        <f>Z43*$B$7</f>
        <v>96.999999999999943</v>
      </c>
      <c r="AB44" s="109">
        <f>EXP(-dividend_rate/12)*(('BinomialModel (2)'!AC44-'BinomialModel (2)'!AC46)/(Inputs!Stock*(up_factor-down_factor)))</f>
        <v>0.94291503942310151</v>
      </c>
      <c r="AC44" s="26">
        <f>AB43*$B$7</f>
        <v>96.999999999999943</v>
      </c>
      <c r="AD44" s="109">
        <f>EXP(-dividend_rate/12)*(('BinomialModel (2)'!AE44-'BinomialModel (2)'!AE46)/(Inputs!Stock*(up_factor-down_factor)))</f>
        <v>0.94291503942309596</v>
      </c>
      <c r="AE44" s="26">
        <f>AD43*$B$7</f>
        <v>96.999999999999915</v>
      </c>
      <c r="AF44" s="5"/>
      <c r="AG44" s="5"/>
      <c r="AH44" s="5"/>
      <c r="AI44" s="5"/>
      <c r="AJ44" s="5"/>
      <c r="AK44" s="5"/>
      <c r="AL44" s="5"/>
      <c r="AM44" s="5"/>
    </row>
    <row r="45" spans="1:39" ht="18.75" customHeight="1">
      <c r="A45" s="28" t="s">
        <v>28</v>
      </c>
      <c r="B45" s="26">
        <f>A44*$B$7</f>
        <v>97.451059390536372</v>
      </c>
      <c r="C45" s="110">
        <f>EXP(-dividend_rate/12)*(('BinomialModel (2)'!D45-'BinomialModel (2)'!D47)/(Inputs!Stock*(up_factor-down_factor)))</f>
        <v>0.94729968563970002</v>
      </c>
      <c r="D45" s="26">
        <f>C44*$B$7</f>
        <v>97.451059390536372</v>
      </c>
      <c r="E45" s="110">
        <f>EXP(-dividend_rate/12)*(('BinomialModel (2)'!F45-'BinomialModel (2)'!F47)/(Inputs!Stock*(up_factor-down_factor)))</f>
        <v>0.94729968563970002</v>
      </c>
      <c r="F45" s="26">
        <f>E44*$B$7</f>
        <v>97.451059390536372</v>
      </c>
      <c r="G45" s="109">
        <f>EXP(-dividend_rate/12)*(('BinomialModel (2)'!H45-'BinomialModel (2)'!H47)/(Inputs!Stock*(up_factor-down_factor)))</f>
        <v>0.91888069507050851</v>
      </c>
      <c r="H45" s="26">
        <f>G44*$B$7</f>
        <v>94.527527608820279</v>
      </c>
      <c r="I45" s="109">
        <f>EXP(-dividend_rate/12)*(('BinomialModel (2)'!J45-'BinomialModel (2)'!J47)/(Inputs!Stock*(up_factor-down_factor)))</f>
        <v>0.91888069507050851</v>
      </c>
      <c r="J45" s="26">
        <f>I44*$B$7</f>
        <v>94.527527608820265</v>
      </c>
      <c r="K45" s="109">
        <f>EXP(-dividend_rate/12)*(('BinomialModel (2)'!L45-'BinomialModel (2)'!L47)/(Inputs!Stock*(up_factor-down_factor)))</f>
        <v>0.91888069507051129</v>
      </c>
      <c r="L45" s="26">
        <f>K44*$B$7</f>
        <v>94.527527608820265</v>
      </c>
      <c r="M45" s="109">
        <f>EXP(-dividend_rate/12)*(('BinomialModel (2)'!N45-'BinomialModel (2)'!N47)/(Inputs!Stock*(up_factor-down_factor)))</f>
        <v>0.91888069507051129</v>
      </c>
      <c r="N45" s="26">
        <f>M44*$B$7</f>
        <v>94.527527608820265</v>
      </c>
      <c r="O45" s="109">
        <f>EXP(-dividend_rate/12)*(('BinomialModel (2)'!P45-'BinomialModel (2)'!P47)/(Inputs!Stock*(up_factor-down_factor)))</f>
        <v>0.91888069507051129</v>
      </c>
      <c r="P45" s="26">
        <f>O44*$B$7</f>
        <v>94.527527608820265</v>
      </c>
      <c r="Q45" s="109">
        <f>EXP(-dividend_rate/12)*(('BinomialModel (2)'!R45-'BinomialModel (2)'!R47)/(Inputs!Stock*(up_factor-down_factor)))</f>
        <v>0.91888069507051129</v>
      </c>
      <c r="R45" s="26">
        <f>Q44*$B$7</f>
        <v>94.527527608820265</v>
      </c>
      <c r="S45" s="109">
        <f>EXP(-dividend_rate/12)*(('BinomialModel (2)'!T45-'BinomialModel (2)'!T47)/(Inputs!Stock*(up_factor-down_factor)))</f>
        <v>0.91888069507050851</v>
      </c>
      <c r="T45" s="26">
        <f>S44*$B$7</f>
        <v>94.52752760882025</v>
      </c>
      <c r="U45" s="109">
        <f>EXP(-dividend_rate/12)*(('BinomialModel (2)'!V45-'BinomialModel (2)'!V47)/(Inputs!Stock*(up_factor-down_factor)))</f>
        <v>0.91888069507050851</v>
      </c>
      <c r="V45" s="26">
        <f>U44*$B$7</f>
        <v>94.52752760882025</v>
      </c>
      <c r="W45" s="109">
        <f>EXP(-dividend_rate/12)*(('BinomialModel (2)'!X45-'BinomialModel (2)'!X47)/(Inputs!Stock*(up_factor-down_factor)))</f>
        <v>0.91888069507050585</v>
      </c>
      <c r="X45" s="26">
        <f>W44*$B$7</f>
        <v>94.527527608820236</v>
      </c>
      <c r="Y45" s="109">
        <f>EXP(-dividend_rate/12)*(('BinomialModel (2)'!Z45-'BinomialModel (2)'!Z47)/(Inputs!Stock*(up_factor-down_factor)))</f>
        <v>0.91888069507050851</v>
      </c>
      <c r="Z45" s="26">
        <f>Y44*$B$7</f>
        <v>94.527527608820236</v>
      </c>
      <c r="AA45" s="109">
        <f>EXP(-dividend_rate/12)*(('BinomialModel (2)'!AB45-'BinomialModel (2)'!AB47)/(Inputs!Stock*(up_factor-down_factor)))</f>
        <v>0.91888069507050851</v>
      </c>
      <c r="AB45" s="26">
        <f>AA44*$B$7</f>
        <v>94.527527608820236</v>
      </c>
      <c r="AC45" s="109">
        <f>EXP(-dividend_rate/12)*(('BinomialModel (2)'!AD45-'BinomialModel (2)'!AD47)/(Inputs!Stock*(up_factor-down_factor)))</f>
        <v>0.91888069507050851</v>
      </c>
      <c r="AD45" s="26">
        <f>AC44*$B$7</f>
        <v>94.527527608820236</v>
      </c>
      <c r="AE45" s="26"/>
      <c r="AF45" s="5"/>
      <c r="AG45" s="5"/>
      <c r="AH45" s="5"/>
      <c r="AI45" s="5"/>
      <c r="AJ45" s="5"/>
      <c r="AK45" s="5"/>
      <c r="AL45" s="5"/>
      <c r="AM45" s="5"/>
    </row>
    <row r="46" spans="1:39" ht="18.75" customHeight="1">
      <c r="A46" s="25"/>
      <c r="B46" s="25"/>
      <c r="C46" s="26">
        <f>B45*$B$7</f>
        <v>94.967089763378482</v>
      </c>
      <c r="D46" s="110">
        <f>EXP(-dividend_rate/12)*(('BinomialModel (2)'!E46-'BinomialModel (2)'!E48)/(Inputs!Stock*(up_factor-down_factor)))</f>
        <v>0.92315357925911024</v>
      </c>
      <c r="E46" s="26">
        <f>D45*$B$7</f>
        <v>94.967089763378482</v>
      </c>
      <c r="F46" s="109">
        <f>EXP(-dividend_rate/12)*(('BinomialModel (2)'!G46-'BinomialModel (2)'!G48)/(Inputs!Stock*(up_factor-down_factor)))</f>
        <v>0.89545897188133738</v>
      </c>
      <c r="G46" s="26">
        <f>F45*$B$7*(1-dividend_rate)</f>
        <v>92.118077070477128</v>
      </c>
      <c r="H46" s="109">
        <f>EXP(-dividend_rate/12)*(('BinomialModel (2)'!I46-'BinomialModel (2)'!I48)/(Inputs!Stock*(up_factor-down_factor)))</f>
        <v>0.89545897188133472</v>
      </c>
      <c r="I46" s="26">
        <f>H45*$B$7</f>
        <v>92.118077070477113</v>
      </c>
      <c r="J46" s="109">
        <f>EXP(-dividend_rate/12)*(('BinomialModel (2)'!K46-'BinomialModel (2)'!K48)/(Inputs!Stock*(up_factor-down_factor)))</f>
        <v>0.89545897188133472</v>
      </c>
      <c r="K46" s="26">
        <f>J45*$B$7</f>
        <v>92.118077070477099</v>
      </c>
      <c r="L46" s="109">
        <f>EXP(-dividend_rate/12)*(('BinomialModel (2)'!M46-'BinomialModel (2)'!M48)/(Inputs!Stock*(up_factor-down_factor)))</f>
        <v>0.89545897188133472</v>
      </c>
      <c r="M46" s="26">
        <f>L45*$B$7</f>
        <v>92.118077070477099</v>
      </c>
      <c r="N46" s="109">
        <f>EXP(-dividend_rate/12)*(('BinomialModel (2)'!O46-'BinomialModel (2)'!O48)/(Inputs!Stock*(up_factor-down_factor)))</f>
        <v>0.89545897188133472</v>
      </c>
      <c r="O46" s="26">
        <f>N45*$B$7</f>
        <v>92.118077070477099</v>
      </c>
      <c r="P46" s="109">
        <f>EXP(-dividend_rate/12)*(('BinomialModel (2)'!Q46-'BinomialModel (2)'!Q48)/(Inputs!Stock*(up_factor-down_factor)))</f>
        <v>0.89545897188133472</v>
      </c>
      <c r="Q46" s="26">
        <f>P45*$B$7</f>
        <v>92.118077070477099</v>
      </c>
      <c r="R46" s="109">
        <f>EXP(-dividend_rate/12)*(('BinomialModel (2)'!S46-'BinomialModel (2)'!S48)/(Inputs!Stock*(up_factor-down_factor)))</f>
        <v>0.89545897188133472</v>
      </c>
      <c r="S46" s="26">
        <f>R45*$B$7</f>
        <v>92.118077070477099</v>
      </c>
      <c r="T46" s="109">
        <f>EXP(-dividend_rate/12)*(('BinomialModel (2)'!U46-'BinomialModel (2)'!U48)/(Inputs!Stock*(up_factor-down_factor)))</f>
        <v>0.89545897188133472</v>
      </c>
      <c r="U46" s="26">
        <f>T45*$B$7</f>
        <v>92.118077070477099</v>
      </c>
      <c r="V46" s="109">
        <f>EXP(-dividend_rate/12)*(('BinomialModel (2)'!W46-'BinomialModel (2)'!W48)/(Inputs!Stock*(up_factor-down_factor)))</f>
        <v>0.89545897188133472</v>
      </c>
      <c r="W46" s="26">
        <f>V45*$B$7</f>
        <v>92.118077070477099</v>
      </c>
      <c r="X46" s="109">
        <f>EXP(-dividend_rate/12)*(('BinomialModel (2)'!Y46-'BinomialModel (2)'!Y48)/(Inputs!Stock*(up_factor-down_factor)))</f>
        <v>0.89545897188133206</v>
      </c>
      <c r="Y46" s="26">
        <f>X45*$B$7</f>
        <v>92.118077070477085</v>
      </c>
      <c r="Z46" s="109">
        <f>EXP(-dividend_rate/12)*(('BinomialModel (2)'!AA46-'BinomialModel (2)'!AA48)/(Inputs!Stock*(up_factor-down_factor)))</f>
        <v>0.89545897188133472</v>
      </c>
      <c r="AA46" s="26">
        <f>Z45*$B$7</f>
        <v>92.118077070477085</v>
      </c>
      <c r="AB46" s="109">
        <f>EXP(-dividend_rate/12)*(('BinomialModel (2)'!AC46-'BinomialModel (2)'!AC48)/(Inputs!Stock*(up_factor-down_factor)))</f>
        <v>0.89545897188133472</v>
      </c>
      <c r="AC46" s="26">
        <f>AB45*$B$7</f>
        <v>92.118077070477085</v>
      </c>
      <c r="AD46" s="109">
        <f>EXP(-dividend_rate/12)*(('BinomialModel (2)'!AE46-'BinomialModel (2)'!AE48)/(Inputs!Stock*(up_factor-down_factor)))</f>
        <v>0.89545897188133472</v>
      </c>
      <c r="AE46" s="26">
        <f>AD45*$B$7</f>
        <v>92.118077070477085</v>
      </c>
      <c r="AF46" s="5"/>
      <c r="AG46" s="5"/>
      <c r="AH46" s="5"/>
      <c r="AI46" s="5"/>
      <c r="AJ46" s="5"/>
      <c r="AK46" s="5"/>
      <c r="AL46" s="5"/>
      <c r="AM46" s="5"/>
    </row>
    <row r="47" spans="1:39" ht="18.75" customHeight="1">
      <c r="A47" s="25"/>
      <c r="B47" s="25"/>
      <c r="C47" s="25"/>
      <c r="D47" s="26">
        <f>C46*$B$7</f>
        <v>92.546435046773951</v>
      </c>
      <c r="E47" s="110">
        <f>EXP(-dividend_rate/12)*(('BinomialModel (2)'!F47-'BinomialModel (2)'!F49)/(Inputs!Stock*(up_factor-down_factor)))</f>
        <v>0.8996229427896566</v>
      </c>
      <c r="F47" s="26">
        <f>E46*$B$7</f>
        <v>92.546435046773951</v>
      </c>
      <c r="G47" s="109">
        <f>EXP(-dividend_rate/12)*(('BinomialModel (2)'!H47-'BinomialModel (2)'!H49)/(Inputs!Stock*(up_factor-down_factor)))</f>
        <v>0.87263425450596865</v>
      </c>
      <c r="H47" s="26">
        <f>G46*$B$7</f>
        <v>89.770041995370732</v>
      </c>
      <c r="I47" s="109">
        <f>EXP(-dividend_rate/12)*(('BinomialModel (2)'!J47-'BinomialModel (2)'!J49)/(Inputs!Stock*(up_factor-down_factor)))</f>
        <v>0.87263425450596588</v>
      </c>
      <c r="J47" s="26">
        <f>I46*$B$7</f>
        <v>89.770041995370718</v>
      </c>
      <c r="K47" s="109">
        <f>EXP(-dividend_rate/12)*(('BinomialModel (2)'!L47-'BinomialModel (2)'!L49)/(Inputs!Stock*(up_factor-down_factor)))</f>
        <v>0.87263425450596588</v>
      </c>
      <c r="L47" s="26">
        <f>K46*$B$7</f>
        <v>89.770041995370704</v>
      </c>
      <c r="M47" s="109">
        <f>EXP(-dividend_rate/12)*(('BinomialModel (2)'!N47-'BinomialModel (2)'!N49)/(Inputs!Stock*(up_factor-down_factor)))</f>
        <v>0.87263425450596588</v>
      </c>
      <c r="N47" s="26">
        <f>M46*$B$7</f>
        <v>89.770041995370704</v>
      </c>
      <c r="O47" s="109">
        <f>EXP(-dividend_rate/12)*(('BinomialModel (2)'!P47-'BinomialModel (2)'!P49)/(Inputs!Stock*(up_factor-down_factor)))</f>
        <v>0.87263425450596588</v>
      </c>
      <c r="P47" s="26">
        <f>O46*$B$7</f>
        <v>89.770041995370704</v>
      </c>
      <c r="Q47" s="109">
        <f>EXP(-dividend_rate/12)*(('BinomialModel (2)'!R47-'BinomialModel (2)'!R49)/(Inputs!Stock*(up_factor-down_factor)))</f>
        <v>0.87263425450596588</v>
      </c>
      <c r="R47" s="26">
        <f>Q46*$B$7</f>
        <v>89.770041995370704</v>
      </c>
      <c r="S47" s="109">
        <f>EXP(-dividend_rate/12)*(('BinomialModel (2)'!T47-'BinomialModel (2)'!T49)/(Inputs!Stock*(up_factor-down_factor)))</f>
        <v>0.87263425450596588</v>
      </c>
      <c r="T47" s="26">
        <f>S46*$B$7</f>
        <v>89.770041995370704</v>
      </c>
      <c r="U47" s="109">
        <f>EXP(-dividend_rate/12)*(('BinomialModel (2)'!V47-'BinomialModel (2)'!V49)/(Inputs!Stock*(up_factor-down_factor)))</f>
        <v>0.87263425450596588</v>
      </c>
      <c r="V47" s="26">
        <f>U46*$B$7</f>
        <v>89.770041995370704</v>
      </c>
      <c r="W47" s="109">
        <f>EXP(-dividend_rate/12)*(('BinomialModel (2)'!X47-'BinomialModel (2)'!X49)/(Inputs!Stock*(up_factor-down_factor)))</f>
        <v>0.87263425450596588</v>
      </c>
      <c r="X47" s="26">
        <f>W46*$B$7</f>
        <v>89.770041995370704</v>
      </c>
      <c r="Y47" s="109">
        <f>EXP(-dividend_rate/12)*(('BinomialModel (2)'!Z47-'BinomialModel (2)'!Z49)/(Inputs!Stock*(up_factor-down_factor)))</f>
        <v>0.8726342545059631</v>
      </c>
      <c r="Z47" s="26">
        <f>Y46*$B$7</f>
        <v>89.77004199537069</v>
      </c>
      <c r="AA47" s="109">
        <f>EXP(-dividend_rate/12)*(('BinomialModel (2)'!AB47-'BinomialModel (2)'!AB49)/(Inputs!Stock*(up_factor-down_factor)))</f>
        <v>0.87263425450596588</v>
      </c>
      <c r="AB47" s="26">
        <f>AA46*$B$7</f>
        <v>89.77004199537069</v>
      </c>
      <c r="AC47" s="109">
        <f>EXP(-dividend_rate/12)*(('BinomialModel (2)'!AD47-'BinomialModel (2)'!AD49)/(Inputs!Stock*(up_factor-down_factor)))</f>
        <v>0.87263425450596588</v>
      </c>
      <c r="AD47" s="26">
        <f>AC46*$B$7</f>
        <v>89.77004199537069</v>
      </c>
      <c r="AE47" s="26"/>
      <c r="AF47" s="5"/>
      <c r="AG47" s="5"/>
      <c r="AH47" s="5"/>
      <c r="AI47" s="5"/>
      <c r="AJ47" s="5"/>
      <c r="AK47" s="5"/>
      <c r="AL47" s="5"/>
      <c r="AM47" s="5"/>
    </row>
    <row r="48" spans="1:39" ht="18.75" customHeight="1">
      <c r="A48" s="25"/>
      <c r="B48" s="25"/>
      <c r="C48" s="25"/>
      <c r="D48" s="25"/>
      <c r="E48" s="26">
        <f>D47*$B$7</f>
        <v>90.18748138125585</v>
      </c>
      <c r="F48" s="109">
        <f>EXP(-dividend_rate/12)*(('BinomialModel (2)'!G48-'BinomialModel (2)'!G50)/(Inputs!Stock*(up_factor-down_factor)))</f>
        <v>0.8503913256207748</v>
      </c>
      <c r="G48" s="26">
        <f>F47*$B$7*(1-dividend_rate)</f>
        <v>87.481856939818172</v>
      </c>
      <c r="H48" s="26">
        <f>EXP(-dividend_rate/12)*(('BinomialModel (2)'!I48-'BinomialModel (2)'!I50)/(Inputs!Stock*(up_factor-down_factor)))</f>
        <v>0.8503913256207748</v>
      </c>
      <c r="I48" s="26">
        <f>H47*$B$7</f>
        <v>87.481856939818172</v>
      </c>
      <c r="J48" s="109">
        <f>EXP(-dividend_rate/12)*(('BinomialModel (2)'!K48-'BinomialModel (2)'!K50)/(Inputs!Stock*(up_factor-down_factor)))</f>
        <v>0.85039132562077202</v>
      </c>
      <c r="K48" s="26">
        <f>J47*$B$7</f>
        <v>87.481856939818158</v>
      </c>
      <c r="L48" s="109">
        <f>EXP(-dividend_rate/12)*(('BinomialModel (2)'!M48-'BinomialModel (2)'!M50)/(Inputs!Stock*(up_factor-down_factor)))</f>
        <v>0.8503913256207748</v>
      </c>
      <c r="M48" s="26">
        <f>L47*$B$7</f>
        <v>87.481856939818158</v>
      </c>
      <c r="N48" s="109">
        <f>EXP(-dividend_rate/12)*(('BinomialModel (2)'!O48-'BinomialModel (2)'!O50)/(Inputs!Stock*(up_factor-down_factor)))</f>
        <v>0.8503913256207748</v>
      </c>
      <c r="O48" s="26">
        <f>N47*$B$7</f>
        <v>87.481856939818158</v>
      </c>
      <c r="P48" s="109">
        <f>EXP(-dividend_rate/12)*(('BinomialModel (2)'!Q48-'BinomialModel (2)'!Q50)/(Inputs!Stock*(up_factor-down_factor)))</f>
        <v>0.8503913256207748</v>
      </c>
      <c r="Q48" s="26">
        <f>P47*$B$7</f>
        <v>87.481856939818158</v>
      </c>
      <c r="R48" s="109">
        <f>EXP(-dividend_rate/12)*(('BinomialModel (2)'!S48-'BinomialModel (2)'!S50)/(Inputs!Stock*(up_factor-down_factor)))</f>
        <v>0.8503913256207748</v>
      </c>
      <c r="S48" s="26">
        <f>R47*$B$7</f>
        <v>87.481856939818158</v>
      </c>
      <c r="T48" s="109">
        <f>EXP(-dividend_rate/12)*(('BinomialModel (2)'!U48-'BinomialModel (2)'!U50)/(Inputs!Stock*(up_factor-down_factor)))</f>
        <v>0.8503913256207748</v>
      </c>
      <c r="U48" s="26">
        <f>T47*$B$7</f>
        <v>87.481856939818158</v>
      </c>
      <c r="V48" s="109">
        <f>EXP(-dividend_rate/12)*(('BinomialModel (2)'!W48-'BinomialModel (2)'!W50)/(Inputs!Stock*(up_factor-down_factor)))</f>
        <v>0.8503913256207748</v>
      </c>
      <c r="W48" s="26">
        <f>V47*$B$7</f>
        <v>87.481856939818158</v>
      </c>
      <c r="X48" s="109">
        <f>EXP(-dividend_rate/12)*(('BinomialModel (2)'!Y48-'BinomialModel (2)'!Y50)/(Inputs!Stock*(up_factor-down_factor)))</f>
        <v>0.8503913256207748</v>
      </c>
      <c r="Y48" s="26">
        <f>X47*$B$7</f>
        <v>87.481856939818158</v>
      </c>
      <c r="Z48" s="109">
        <f>EXP(-dividend_rate/12)*(('BinomialModel (2)'!AA48-'BinomialModel (2)'!AA50)/(Inputs!Stock*(up_factor-down_factor)))</f>
        <v>0.85039132562077202</v>
      </c>
      <c r="AA48" s="26">
        <f>Z47*$B$7</f>
        <v>87.481856939818144</v>
      </c>
      <c r="AB48" s="109">
        <f>EXP(-dividend_rate/12)*(('BinomialModel (2)'!AC48-'BinomialModel (2)'!AC50)/(Inputs!Stock*(up_factor-down_factor)))</f>
        <v>0.8503913256207748</v>
      </c>
      <c r="AC48" s="26">
        <f>AB47*$B$7</f>
        <v>87.481856939818144</v>
      </c>
      <c r="AD48" s="109">
        <f>EXP(-dividend_rate/12)*(('BinomialModel (2)'!AE48-'BinomialModel (2)'!AE50)/(Inputs!Stock*(up_factor-down_factor)))</f>
        <v>0.8503913256207748</v>
      </c>
      <c r="AE48" s="26">
        <f>AD47*$B$7</f>
        <v>87.481856939818144</v>
      </c>
      <c r="AF48" s="5"/>
      <c r="AG48" s="5"/>
      <c r="AH48" s="5"/>
      <c r="AI48" s="5"/>
      <c r="AJ48" s="5"/>
      <c r="AK48" s="5"/>
      <c r="AL48" s="5"/>
      <c r="AM48" s="5"/>
    </row>
    <row r="49" spans="1:39" ht="18.75" customHeight="1">
      <c r="A49" s="25"/>
      <c r="B49" s="25"/>
      <c r="C49" s="25"/>
      <c r="D49" s="25"/>
      <c r="E49" s="25"/>
      <c r="F49" s="26">
        <f>E48*$B$7</f>
        <v>87.888656043676576</v>
      </c>
      <c r="G49" s="109">
        <f>EXP(-dividend_rate/12)*(('BinomialModel (2)'!H49-'BinomialModel (2)'!H51)/(Inputs!Stock*(up_factor-down_factor)))</f>
        <v>0.82871535578266908</v>
      </c>
      <c r="H49" s="26">
        <f>G48*$B$7</f>
        <v>85.25199636236627</v>
      </c>
      <c r="I49" s="109">
        <f>EXP(-dividend_rate/12)*(('BinomialModel (2)'!J49-'BinomialModel (2)'!J51)/(Inputs!Stock*(up_factor-down_factor)))</f>
        <v>0.82871535578266908</v>
      </c>
      <c r="J49" s="26">
        <f>I48*$B$7</f>
        <v>85.25199636236627</v>
      </c>
      <c r="K49" s="109">
        <f>EXP(-dividend_rate/12)*(('BinomialModel (2)'!L49-'BinomialModel (2)'!L51)/(Inputs!Stock*(up_factor-down_factor)))</f>
        <v>0.82871535578266631</v>
      </c>
      <c r="L49" s="26">
        <f>K48*$B$7</f>
        <v>85.251996362366256</v>
      </c>
      <c r="M49" s="109">
        <f>EXP(-dividend_rate/12)*(('BinomialModel (2)'!N49-'BinomialModel (2)'!N51)/(Inputs!Stock*(up_factor-down_factor)))</f>
        <v>0.82871535578266908</v>
      </c>
      <c r="N49" s="26">
        <f>M48*$B$7</f>
        <v>85.251996362366256</v>
      </c>
      <c r="O49" s="109">
        <f>EXP(-dividend_rate/12)*(('BinomialModel (2)'!P49-'BinomialModel (2)'!P51)/(Inputs!Stock*(up_factor-down_factor)))</f>
        <v>0.82871535578266908</v>
      </c>
      <c r="P49" s="26">
        <f>O48*$B$7</f>
        <v>85.251996362366256</v>
      </c>
      <c r="Q49" s="109">
        <f>EXP(-dividend_rate/12)*(('BinomialModel (2)'!R49-'BinomialModel (2)'!R51)/(Inputs!Stock*(up_factor-down_factor)))</f>
        <v>0.82871535578266908</v>
      </c>
      <c r="R49" s="26">
        <f>Q48*$B$7</f>
        <v>85.251996362366256</v>
      </c>
      <c r="S49" s="109">
        <f>EXP(-dividend_rate/12)*(('BinomialModel (2)'!T49-'BinomialModel (2)'!T51)/(Inputs!Stock*(up_factor-down_factor)))</f>
        <v>0.82871535578266908</v>
      </c>
      <c r="T49" s="26">
        <f>S48*$B$7</f>
        <v>85.251996362366256</v>
      </c>
      <c r="U49" s="109">
        <f>EXP(-dividend_rate/12)*(('BinomialModel (2)'!V49-'BinomialModel (2)'!V51)/(Inputs!Stock*(up_factor-down_factor)))</f>
        <v>0.82871535578266908</v>
      </c>
      <c r="V49" s="26">
        <f>U48*$B$7</f>
        <v>85.251996362366256</v>
      </c>
      <c r="W49" s="109">
        <f>EXP(-dividend_rate/12)*(('BinomialModel (2)'!X49-'BinomialModel (2)'!X51)/(Inputs!Stock*(up_factor-down_factor)))</f>
        <v>0.82871535578266908</v>
      </c>
      <c r="X49" s="26">
        <f>W48*$B$7</f>
        <v>85.251996362366256</v>
      </c>
      <c r="Y49" s="109">
        <f>EXP(-dividend_rate/12)*(('BinomialModel (2)'!Z49-'BinomialModel (2)'!Z51)/(Inputs!Stock*(up_factor-down_factor)))</f>
        <v>0.82871535578266908</v>
      </c>
      <c r="Z49" s="26">
        <f>Y48*$B$7</f>
        <v>85.251996362366256</v>
      </c>
      <c r="AA49" s="109">
        <f>EXP(-dividend_rate/12)*(('BinomialModel (2)'!AB49-'BinomialModel (2)'!AB51)/(Inputs!Stock*(up_factor-down_factor)))</f>
        <v>0.82871535578266631</v>
      </c>
      <c r="AB49" s="26">
        <f>AA48*$B$7</f>
        <v>85.251996362366242</v>
      </c>
      <c r="AC49" s="109">
        <f>EXP(-dividend_rate/12)*(('BinomialModel (2)'!AD49-'BinomialModel (2)'!AD51)/(Inputs!Stock*(up_factor-down_factor)))</f>
        <v>0.82871535578266908</v>
      </c>
      <c r="AD49" s="26">
        <f>AC48*$B$7</f>
        <v>85.251996362366242</v>
      </c>
      <c r="AE49" s="26"/>
      <c r="AF49" s="5"/>
      <c r="AG49" s="5"/>
      <c r="AH49" s="5"/>
      <c r="AI49" s="5"/>
      <c r="AJ49" s="5"/>
      <c r="AK49" s="5"/>
      <c r="AL49" s="5"/>
      <c r="AM49" s="5"/>
    </row>
    <row r="50" spans="1:39" ht="18.75" customHeight="1">
      <c r="A50" s="25"/>
      <c r="B50" s="25"/>
      <c r="C50" s="25"/>
      <c r="D50" s="25"/>
      <c r="E50" s="25"/>
      <c r="F50" s="25"/>
      <c r="G50" s="26">
        <f>F49*$B$7*(1-dividend_rate)</f>
        <v>83.078973606707464</v>
      </c>
      <c r="H50" s="109">
        <f>EXP(-dividend_rate/12)*(('BinomialModel (2)'!I50-'BinomialModel (2)'!I52)/(Inputs!Stock*(up_factor-down_factor)))</f>
        <v>0.80759189354226257</v>
      </c>
      <c r="I50" s="26">
        <f>H49*$B$7</f>
        <v>83.078973606707464</v>
      </c>
      <c r="J50" s="109">
        <f>EXP(-dividend_rate/12)*(('BinomialModel (2)'!K50-'BinomialModel (2)'!K52)/(Inputs!Stock*(up_factor-down_factor)))</f>
        <v>0.80759189354226257</v>
      </c>
      <c r="K50" s="26">
        <f>J49*$B$7</f>
        <v>83.078973606707464</v>
      </c>
      <c r="L50" s="109">
        <f>EXP(-dividend_rate/12)*(('BinomialModel (2)'!M50-'BinomialModel (2)'!M52)/(Inputs!Stock*(up_factor-down_factor)))</f>
        <v>0.8075918935422598</v>
      </c>
      <c r="M50" s="26">
        <f>L49*$B$7</f>
        <v>83.07897360670745</v>
      </c>
      <c r="N50" s="109">
        <f>EXP(-dividend_rate/12)*(('BinomialModel (2)'!O50-'BinomialModel (2)'!O52)/(Inputs!Stock*(up_factor-down_factor)))</f>
        <v>0.80759189354226257</v>
      </c>
      <c r="O50" s="26">
        <f>N49*$B$7</f>
        <v>83.07897360670745</v>
      </c>
      <c r="P50" s="109">
        <f>EXP(-dividend_rate/12)*(('BinomialModel (2)'!Q50-'BinomialModel (2)'!Q52)/(Inputs!Stock*(up_factor-down_factor)))</f>
        <v>0.80759189354226257</v>
      </c>
      <c r="Q50" s="26">
        <f>P49*$B$7</f>
        <v>83.07897360670745</v>
      </c>
      <c r="R50" s="109">
        <f>EXP(-dividend_rate/12)*(('BinomialModel (2)'!S50-'BinomialModel (2)'!S52)/(Inputs!Stock*(up_factor-down_factor)))</f>
        <v>0.80759189354226257</v>
      </c>
      <c r="S50" s="26">
        <f>R49*$B$7</f>
        <v>83.07897360670745</v>
      </c>
      <c r="T50" s="109">
        <f>EXP(-dividend_rate/12)*(('BinomialModel (2)'!U50-'BinomialModel (2)'!U52)/(Inputs!Stock*(up_factor-down_factor)))</f>
        <v>0.80759189354226257</v>
      </c>
      <c r="U50" s="26">
        <f>T49*$B$7</f>
        <v>83.07897360670745</v>
      </c>
      <c r="V50" s="109">
        <f>EXP(-dividend_rate/12)*(('BinomialModel (2)'!W50-'BinomialModel (2)'!W52)/(Inputs!Stock*(up_factor-down_factor)))</f>
        <v>0.80759189354226257</v>
      </c>
      <c r="W50" s="26">
        <f>V49*$B$7</f>
        <v>83.07897360670745</v>
      </c>
      <c r="X50" s="109">
        <f>EXP(-dividend_rate/12)*(('BinomialModel (2)'!Y50-'BinomialModel (2)'!Y52)/(Inputs!Stock*(up_factor-down_factor)))</f>
        <v>0.80759189354226257</v>
      </c>
      <c r="Y50" s="26">
        <f>X49*$B$7</f>
        <v>83.07897360670745</v>
      </c>
      <c r="Z50" s="109">
        <f>EXP(-dividend_rate/12)*(('BinomialModel (2)'!AA50-'BinomialModel (2)'!AA52)/(Inputs!Stock*(up_factor-down_factor)))</f>
        <v>0.80759189354226257</v>
      </c>
      <c r="AA50" s="26">
        <f>Z49*$B$7</f>
        <v>83.07897360670745</v>
      </c>
      <c r="AB50" s="109">
        <f>EXP(-dividend_rate/12)*(('BinomialModel (2)'!AC50-'BinomialModel (2)'!AC52)/(Inputs!Stock*(up_factor-down_factor)))</f>
        <v>0.8075918935422598</v>
      </c>
      <c r="AC50" s="26">
        <f>AB49*$B$7</f>
        <v>83.078973606707436</v>
      </c>
      <c r="AD50" s="109">
        <f>EXP(-dividend_rate/12)*(('BinomialModel (2)'!AE50-'BinomialModel (2)'!AE52)/(Inputs!Stock*(up_factor-down_factor)))</f>
        <v>0.80759189354226257</v>
      </c>
      <c r="AE50" s="26">
        <f>AD49*$B$7</f>
        <v>83.078973606707436</v>
      </c>
      <c r="AF50" s="5"/>
      <c r="AG50" s="5"/>
      <c r="AH50" s="5"/>
      <c r="AI50" s="5"/>
      <c r="AJ50" s="5"/>
      <c r="AK50" s="5"/>
      <c r="AL50" s="5"/>
      <c r="AM50" s="5"/>
    </row>
    <row r="51" spans="1:39" ht="18.75" customHeight="1">
      <c r="A51" s="25"/>
      <c r="B51" s="25"/>
      <c r="C51" s="25"/>
      <c r="D51" s="25"/>
      <c r="E51" s="25"/>
      <c r="F51" s="25"/>
      <c r="G51" s="25"/>
      <c r="H51" s="26">
        <f>G50*$B$7</f>
        <v>80.961339910520536</v>
      </c>
      <c r="I51" s="109">
        <f>EXP(-dividend_rate/12)*(('BinomialModel (2)'!J51-'BinomialModel (2)'!J53)/(Inputs!Stock*(up_factor-down_factor)))</f>
        <v>0.78700685580902796</v>
      </c>
      <c r="J51" s="26">
        <f>I50*$B$7</f>
        <v>80.961339910520536</v>
      </c>
      <c r="K51" s="109">
        <f>EXP(-dividend_rate/12)*(('BinomialModel (2)'!L51-'BinomialModel (2)'!L53)/(Inputs!Stock*(up_factor-down_factor)))</f>
        <v>0.78700685580902796</v>
      </c>
      <c r="L51" s="26">
        <f>K50*$B$7</f>
        <v>80.961339910520536</v>
      </c>
      <c r="M51" s="109">
        <f>EXP(-dividend_rate/12)*(('BinomialModel (2)'!N51-'BinomialModel (2)'!N53)/(Inputs!Stock*(up_factor-down_factor)))</f>
        <v>0.7870068558090253</v>
      </c>
      <c r="N51" s="26">
        <f>M50*$B$7</f>
        <v>80.961339910520522</v>
      </c>
      <c r="O51" s="109">
        <f>EXP(-dividend_rate/12)*(('BinomialModel (2)'!P51-'BinomialModel (2)'!P53)/(Inputs!Stock*(up_factor-down_factor)))</f>
        <v>0.78700685580902796</v>
      </c>
      <c r="P51" s="26">
        <f>O50*$B$7</f>
        <v>80.961339910520522</v>
      </c>
      <c r="Q51" s="109">
        <f>EXP(-dividend_rate/12)*(('BinomialModel (2)'!R51-'BinomialModel (2)'!R53)/(Inputs!Stock*(up_factor-down_factor)))</f>
        <v>0.78700685580902796</v>
      </c>
      <c r="R51" s="26">
        <f>Q50*$B$7</f>
        <v>80.961339910520522</v>
      </c>
      <c r="S51" s="109">
        <f>EXP(-dividend_rate/12)*(('BinomialModel (2)'!T51-'BinomialModel (2)'!T53)/(Inputs!Stock*(up_factor-down_factor)))</f>
        <v>0.78700685580902796</v>
      </c>
      <c r="T51" s="26">
        <f>S50*$B$7</f>
        <v>80.961339910520522</v>
      </c>
      <c r="U51" s="109">
        <f>EXP(-dividend_rate/12)*(('BinomialModel (2)'!V51-'BinomialModel (2)'!V53)/(Inputs!Stock*(up_factor-down_factor)))</f>
        <v>0.78700685580902796</v>
      </c>
      <c r="V51" s="26">
        <f>U50*$B$7</f>
        <v>80.961339910520522</v>
      </c>
      <c r="W51" s="109">
        <f>EXP(-dividend_rate/12)*(('BinomialModel (2)'!X51-'BinomialModel (2)'!X53)/(Inputs!Stock*(up_factor-down_factor)))</f>
        <v>0.78700685580902796</v>
      </c>
      <c r="X51" s="26">
        <f>W50*$B$7</f>
        <v>80.961339910520522</v>
      </c>
      <c r="Y51" s="109">
        <f>EXP(-dividend_rate/12)*(('BinomialModel (2)'!Z51-'BinomialModel (2)'!Z53)/(Inputs!Stock*(up_factor-down_factor)))</f>
        <v>0.78700685580902796</v>
      </c>
      <c r="Z51" s="26">
        <f>Y50*$B$7</f>
        <v>80.961339910520522</v>
      </c>
      <c r="AA51" s="109">
        <f>EXP(-dividend_rate/12)*(('BinomialModel (2)'!AB51-'BinomialModel (2)'!AB53)/(Inputs!Stock*(up_factor-down_factor)))</f>
        <v>0.78700685580902796</v>
      </c>
      <c r="AB51" s="26">
        <f>AA50*$B$7</f>
        <v>80.961339910520522</v>
      </c>
      <c r="AC51" s="109">
        <f>EXP(-dividend_rate/12)*(('BinomialModel (2)'!AD51-'BinomialModel (2)'!AD53)/(Inputs!Stock*(up_factor-down_factor)))</f>
        <v>0.7870068558090253</v>
      </c>
      <c r="AD51" s="26">
        <f>AC50*$B$7</f>
        <v>80.961339910520508</v>
      </c>
      <c r="AE51" s="26"/>
      <c r="AF51" s="5"/>
      <c r="AG51" s="5"/>
      <c r="AH51" s="5"/>
      <c r="AI51" s="5"/>
      <c r="AJ51" s="5"/>
      <c r="AK51" s="5"/>
      <c r="AL51" s="5"/>
      <c r="AM51" s="5"/>
    </row>
    <row r="52" spans="1:39" ht="18.75" customHeight="1">
      <c r="A52" s="25"/>
      <c r="B52" s="25"/>
      <c r="C52" s="25"/>
      <c r="D52" s="25"/>
      <c r="E52" s="25"/>
      <c r="F52" s="25"/>
      <c r="G52" s="25"/>
      <c r="H52" s="25"/>
      <c r="I52" s="26">
        <f>H51*$B$7</f>
        <v>78.897683439575403</v>
      </c>
      <c r="J52" s="109">
        <f>EXP(-dividend_rate/12)*(('BinomialModel (2)'!K52-'BinomialModel (2)'!K54)/(Inputs!Stock*(up_factor-down_factor)))</f>
        <v>0.76694651846204931</v>
      </c>
      <c r="K52" s="26">
        <f>J51*$B$7</f>
        <v>78.897683439575403</v>
      </c>
      <c r="L52" s="109">
        <f>EXP(-dividend_rate/12)*(('BinomialModel (2)'!M52-'BinomialModel (2)'!M54)/(Inputs!Stock*(up_factor-down_factor)))</f>
        <v>0.76694651846204931</v>
      </c>
      <c r="M52" s="26">
        <f>L51*$B$7</f>
        <v>78.897683439575403</v>
      </c>
      <c r="N52" s="109">
        <f>EXP(-dividend_rate/12)*(('BinomialModel (2)'!O52-'BinomialModel (2)'!O54)/(Inputs!Stock*(up_factor-down_factor)))</f>
        <v>0.76694651846204664</v>
      </c>
      <c r="O52" s="26">
        <f>N51*$B$7</f>
        <v>78.897683439575388</v>
      </c>
      <c r="P52" s="109">
        <f>EXP(-dividend_rate/12)*(('BinomialModel (2)'!Q52-'BinomialModel (2)'!Q54)/(Inputs!Stock*(up_factor-down_factor)))</f>
        <v>0.76694651846204931</v>
      </c>
      <c r="Q52" s="26">
        <f>P51*$B$7</f>
        <v>78.897683439575388</v>
      </c>
      <c r="R52" s="109">
        <f>EXP(-dividend_rate/12)*(('BinomialModel (2)'!S52-'BinomialModel (2)'!S54)/(Inputs!Stock*(up_factor-down_factor)))</f>
        <v>0.76694651846204931</v>
      </c>
      <c r="S52" s="26">
        <f>R51*$B$7</f>
        <v>78.897683439575388</v>
      </c>
      <c r="T52" s="109">
        <f>EXP(-dividend_rate/12)*(('BinomialModel (2)'!U52-'BinomialModel (2)'!U54)/(Inputs!Stock*(up_factor-down_factor)))</f>
        <v>0.76694651846204931</v>
      </c>
      <c r="U52" s="26">
        <f>T51*$B$7</f>
        <v>78.897683439575388</v>
      </c>
      <c r="V52" s="109">
        <f>EXP(-dividend_rate/12)*(('BinomialModel (2)'!W52-'BinomialModel (2)'!W54)/(Inputs!Stock*(up_factor-down_factor)))</f>
        <v>0.76694651846204931</v>
      </c>
      <c r="W52" s="26">
        <f>V51*$B$7</f>
        <v>78.897683439575388</v>
      </c>
      <c r="X52" s="109">
        <f>EXP(-dividend_rate/12)*(('BinomialModel (2)'!Y52-'BinomialModel (2)'!Y54)/(Inputs!Stock*(up_factor-down_factor)))</f>
        <v>0.76694651846204931</v>
      </c>
      <c r="Y52" s="26">
        <f>X51*$B$7</f>
        <v>78.897683439575388</v>
      </c>
      <c r="Z52" s="109">
        <f>EXP(-dividend_rate/12)*(('BinomialModel (2)'!AA52-'BinomialModel (2)'!AA54)/(Inputs!Stock*(up_factor-down_factor)))</f>
        <v>0.76694651846204931</v>
      </c>
      <c r="AA52" s="26">
        <f>Z51*$B$7</f>
        <v>78.897683439575388</v>
      </c>
      <c r="AB52" s="109">
        <f>EXP(-dividend_rate/12)*(('BinomialModel (2)'!AC52-'BinomialModel (2)'!AC54)/(Inputs!Stock*(up_factor-down_factor)))</f>
        <v>0.76694651846204931</v>
      </c>
      <c r="AC52" s="26">
        <f>AB51*$B$7</f>
        <v>78.897683439575388</v>
      </c>
      <c r="AD52" s="109">
        <f>EXP(-dividend_rate/12)*(('BinomialModel (2)'!AE52-'BinomialModel (2)'!AE54)/(Inputs!Stock*(up_factor-down_factor)))</f>
        <v>0.76694651846204664</v>
      </c>
      <c r="AE52" s="26">
        <f>AD51*$B$7</f>
        <v>78.897683439575374</v>
      </c>
      <c r="AF52" s="5"/>
      <c r="AG52" s="5"/>
      <c r="AH52" s="5"/>
      <c r="AI52" s="5"/>
      <c r="AJ52" s="5"/>
      <c r="AK52" s="5"/>
      <c r="AL52" s="5"/>
      <c r="AM52" s="5"/>
    </row>
    <row r="53" spans="1:39" ht="18.75" customHeight="1">
      <c r="A53" s="25"/>
      <c r="B53" s="25"/>
      <c r="C53" s="25"/>
      <c r="D53" s="25"/>
      <c r="E53" s="25"/>
      <c r="F53" s="25"/>
      <c r="G53" s="25"/>
      <c r="H53" s="25"/>
      <c r="I53" s="25"/>
      <c r="J53" s="26">
        <f>I52*$B$7</f>
        <v>76.886628346458011</v>
      </c>
      <c r="K53" s="109">
        <f>EXP(-dividend_rate/12)*(('BinomialModel (2)'!L53-'BinomialModel (2)'!L55)/(Inputs!Stock*(up_factor-down_factor)))</f>
        <v>0.7473975072001019</v>
      </c>
      <c r="L53" s="26">
        <f>K52*$B$7</f>
        <v>76.886628346458011</v>
      </c>
      <c r="M53" s="109">
        <f>EXP(-dividend_rate/12)*(('BinomialModel (2)'!N53-'BinomialModel (2)'!N55)/(Inputs!Stock*(up_factor-down_factor)))</f>
        <v>0.7473975072001019</v>
      </c>
      <c r="N53" s="26">
        <f>M52*$B$7</f>
        <v>76.886628346458011</v>
      </c>
      <c r="O53" s="109">
        <f>EXP(-dividend_rate/12)*(('BinomialModel (2)'!P53-'BinomialModel (2)'!P55)/(Inputs!Stock*(up_factor-down_factor)))</f>
        <v>0.74739750720009912</v>
      </c>
      <c r="P53" s="26">
        <f>O52*$B$7</f>
        <v>76.886628346457996</v>
      </c>
      <c r="Q53" s="109">
        <f>EXP(-dividend_rate/12)*(('BinomialModel (2)'!R53-'BinomialModel (2)'!R55)/(Inputs!Stock*(up_factor-down_factor)))</f>
        <v>0.7473975072001019</v>
      </c>
      <c r="R53" s="26">
        <f>Q52*$B$7</f>
        <v>76.886628346457996</v>
      </c>
      <c r="S53" s="109">
        <f>EXP(-dividend_rate/12)*(('BinomialModel (2)'!T53-'BinomialModel (2)'!T55)/(Inputs!Stock*(up_factor-down_factor)))</f>
        <v>0.7473975072001019</v>
      </c>
      <c r="T53" s="26">
        <f>S52*$B$7</f>
        <v>76.886628346457996</v>
      </c>
      <c r="U53" s="109">
        <f>EXP(-dividend_rate/12)*(('BinomialModel (2)'!V53-'BinomialModel (2)'!V55)/(Inputs!Stock*(up_factor-down_factor)))</f>
        <v>0.7473975072001019</v>
      </c>
      <c r="V53" s="26">
        <f>U52*$B$7</f>
        <v>76.886628346457996</v>
      </c>
      <c r="W53" s="109">
        <f>EXP(-dividend_rate/12)*(('BinomialModel (2)'!X53-'BinomialModel (2)'!X55)/(Inputs!Stock*(up_factor-down_factor)))</f>
        <v>0.7473975072001019</v>
      </c>
      <c r="X53" s="26">
        <f>W52*$B$7</f>
        <v>76.886628346457996</v>
      </c>
      <c r="Y53" s="109">
        <f>EXP(-dividend_rate/12)*(('BinomialModel (2)'!Z53-'BinomialModel (2)'!Z55)/(Inputs!Stock*(up_factor-down_factor)))</f>
        <v>0.7473975072001019</v>
      </c>
      <c r="Z53" s="26">
        <f>Y52*$B$7</f>
        <v>76.886628346457996</v>
      </c>
      <c r="AA53" s="109">
        <f>EXP(-dividend_rate/12)*(('BinomialModel (2)'!AB53-'BinomialModel (2)'!AB55)/(Inputs!Stock*(up_factor-down_factor)))</f>
        <v>0.7473975072001019</v>
      </c>
      <c r="AB53" s="26">
        <f>AA52*$B$7</f>
        <v>76.886628346457996</v>
      </c>
      <c r="AC53" s="109">
        <f>EXP(-dividend_rate/12)*(('BinomialModel (2)'!AD53-'BinomialModel (2)'!AD55)/(Inputs!Stock*(up_factor-down_factor)))</f>
        <v>0.7473975072001019</v>
      </c>
      <c r="AD53" s="26">
        <f>AC52*$B$7</f>
        <v>76.886628346457996</v>
      </c>
      <c r="AE53" s="26"/>
      <c r="AF53" s="5"/>
      <c r="AG53" s="5"/>
      <c r="AH53" s="5"/>
      <c r="AI53" s="5"/>
      <c r="AJ53" s="5"/>
      <c r="AK53" s="5"/>
      <c r="AL53" s="5"/>
      <c r="AM53" s="5"/>
    </row>
    <row r="54" spans="1:39" ht="18.75" customHeight="1">
      <c r="A54" s="25"/>
      <c r="B54" s="25"/>
      <c r="C54" s="25"/>
      <c r="D54" s="25"/>
      <c r="E54" s="25"/>
      <c r="F54" s="25"/>
      <c r="G54" s="25"/>
      <c r="H54" s="25"/>
      <c r="I54" s="25"/>
      <c r="J54" s="25"/>
      <c r="K54" s="26">
        <f>J53*$B$7</f>
        <v>74.926833853287775</v>
      </c>
      <c r="L54" s="109">
        <f>EXP(-dividend_rate/12)*(('BinomialModel (2)'!M54-'BinomialModel (2)'!M56)/(Inputs!Stock*(up_factor-down_factor)))</f>
        <v>0.72834678862495894</v>
      </c>
      <c r="M54" s="26">
        <f>L53*$B$7</f>
        <v>74.926833853287775</v>
      </c>
      <c r="N54" s="109">
        <f>EXP(-dividend_rate/12)*(('BinomialModel (2)'!O54-'BinomialModel (2)'!O56)/(Inputs!Stock*(up_factor-down_factor)))</f>
        <v>0.72834678862495894</v>
      </c>
      <c r="O54" s="26">
        <f>N53*$B$7</f>
        <v>74.926833853287775</v>
      </c>
      <c r="P54" s="109">
        <f>EXP(-dividend_rate/12)*(('BinomialModel (2)'!Q54-'BinomialModel (2)'!Q56)/(Inputs!Stock*(up_factor-down_factor)))</f>
        <v>0.72834678862495617</v>
      </c>
      <c r="Q54" s="26">
        <f>P53*$B$7</f>
        <v>74.926833853287761</v>
      </c>
      <c r="R54" s="109">
        <f>EXP(-dividend_rate/12)*(('BinomialModel (2)'!S54-'BinomialModel (2)'!S56)/(Inputs!Stock*(up_factor-down_factor)))</f>
        <v>0.72834678862495894</v>
      </c>
      <c r="S54" s="26">
        <f>R53*$B$7</f>
        <v>74.926833853287761</v>
      </c>
      <c r="T54" s="109">
        <f>EXP(-dividend_rate/12)*(('BinomialModel (2)'!U54-'BinomialModel (2)'!U56)/(Inputs!Stock*(up_factor-down_factor)))</f>
        <v>0.72834678862495894</v>
      </c>
      <c r="U54" s="26">
        <f>T53*$B$7</f>
        <v>74.926833853287761</v>
      </c>
      <c r="V54" s="109">
        <f>EXP(-dividend_rate/12)*(('BinomialModel (2)'!W54-'BinomialModel (2)'!W56)/(Inputs!Stock*(up_factor-down_factor)))</f>
        <v>0.72834678862495894</v>
      </c>
      <c r="W54" s="26">
        <f>V53*$B$7</f>
        <v>74.926833853287761</v>
      </c>
      <c r="X54" s="109">
        <f>EXP(-dividend_rate/12)*(('BinomialModel (2)'!Y54-'BinomialModel (2)'!Y56)/(Inputs!Stock*(up_factor-down_factor)))</f>
        <v>0.72834678862495894</v>
      </c>
      <c r="Y54" s="26">
        <f>X53*$B$7</f>
        <v>74.926833853287761</v>
      </c>
      <c r="Z54" s="109">
        <f>EXP(-dividend_rate/12)*(('BinomialModel (2)'!AA54-'BinomialModel (2)'!AA56)/(Inputs!Stock*(up_factor-down_factor)))</f>
        <v>0.72834678862495894</v>
      </c>
      <c r="AA54" s="26">
        <f>Z53*$B$7</f>
        <v>74.926833853287761</v>
      </c>
      <c r="AB54" s="109">
        <f>EXP(-dividend_rate/12)*(('BinomialModel (2)'!AC54-'BinomialModel (2)'!AC56)/(Inputs!Stock*(up_factor-down_factor)))</f>
        <v>0.72834678862495894</v>
      </c>
      <c r="AC54" s="26">
        <f>AB53*$B$7</f>
        <v>74.926833853287761</v>
      </c>
      <c r="AD54" s="109">
        <f>EXP(-dividend_rate/12)*(('BinomialModel (2)'!AE54-'BinomialModel (2)'!AE56)/(Inputs!Stock*(up_factor-down_factor)))</f>
        <v>0.72834678862495894</v>
      </c>
      <c r="AE54" s="26">
        <f>AD53*$B$7</f>
        <v>74.926833853287761</v>
      </c>
      <c r="AF54" s="5"/>
      <c r="AG54" s="5"/>
      <c r="AH54" s="5"/>
      <c r="AI54" s="5"/>
      <c r="AJ54" s="5"/>
      <c r="AK54" s="5"/>
      <c r="AL54" s="5"/>
      <c r="AM54" s="5"/>
    </row>
    <row r="55" spans="1:39" ht="18.75" customHeight="1">
      <c r="A55" s="25"/>
      <c r="B55" s="25"/>
      <c r="C55" s="25"/>
      <c r="D55" s="25"/>
      <c r="E55" s="25"/>
      <c r="F55" s="25"/>
      <c r="G55" s="25"/>
      <c r="H55" s="25"/>
      <c r="I55" s="25"/>
      <c r="J55" s="25"/>
      <c r="K55" s="25"/>
      <c r="L55" s="26">
        <f>K54*$B$7</f>
        <v>73.016993357815991</v>
      </c>
      <c r="M55" s="109">
        <f>EXP(-dividend_rate/12)*(('BinomialModel (2)'!N55-'BinomialModel (2)'!N57)/(Inputs!Stock*(up_factor-down_factor)))</f>
        <v>0.70978166155197431</v>
      </c>
      <c r="N55" s="26">
        <f>M54*$B$7</f>
        <v>73.016993357815991</v>
      </c>
      <c r="O55" s="109">
        <f>EXP(-dividend_rate/12)*(('BinomialModel (2)'!P55-'BinomialModel (2)'!P57)/(Inputs!Stock*(up_factor-down_factor)))</f>
        <v>0.70978166155197431</v>
      </c>
      <c r="P55" s="26">
        <f>O54*$B$7</f>
        <v>73.016993357815991</v>
      </c>
      <c r="Q55" s="109">
        <f>EXP(-dividend_rate/12)*(('BinomialModel (2)'!R55-'BinomialModel (2)'!R57)/(Inputs!Stock*(up_factor-down_factor)))</f>
        <v>0.70978166155197153</v>
      </c>
      <c r="R55" s="26">
        <f>Q54*$B$7</f>
        <v>73.016993357815977</v>
      </c>
      <c r="S55" s="109">
        <f>EXP(-dividend_rate/12)*(('BinomialModel (2)'!T55-'BinomialModel (2)'!T57)/(Inputs!Stock*(up_factor-down_factor)))</f>
        <v>0.70978166155197431</v>
      </c>
      <c r="T55" s="26">
        <f>S54*$B$7</f>
        <v>73.016993357815977</v>
      </c>
      <c r="U55" s="109">
        <f>EXP(-dividend_rate/12)*(('BinomialModel (2)'!V55-'BinomialModel (2)'!V57)/(Inputs!Stock*(up_factor-down_factor)))</f>
        <v>0.70978166155197431</v>
      </c>
      <c r="V55" s="26">
        <f>U54*$B$7</f>
        <v>73.016993357815977</v>
      </c>
      <c r="W55" s="109">
        <f>EXP(-dividend_rate/12)*(('BinomialModel (2)'!X55-'BinomialModel (2)'!X57)/(Inputs!Stock*(up_factor-down_factor)))</f>
        <v>0.70978166155197431</v>
      </c>
      <c r="X55" s="26">
        <f>W54*$B$7</f>
        <v>73.016993357815977</v>
      </c>
      <c r="Y55" s="109">
        <f>EXP(-dividend_rate/12)*(('BinomialModel (2)'!Z55-'BinomialModel (2)'!Z57)/(Inputs!Stock*(up_factor-down_factor)))</f>
        <v>0.70978166155197431</v>
      </c>
      <c r="Z55" s="26">
        <f>Y54*$B$7</f>
        <v>73.016993357815977</v>
      </c>
      <c r="AA55" s="109">
        <f>EXP(-dividend_rate/12)*(('BinomialModel (2)'!AB55-'BinomialModel (2)'!AB57)/(Inputs!Stock*(up_factor-down_factor)))</f>
        <v>0.70978166155197431</v>
      </c>
      <c r="AB55" s="26">
        <f>AA54*$B$7</f>
        <v>73.016993357815977</v>
      </c>
      <c r="AC55" s="109">
        <f>EXP(-dividend_rate/12)*(('BinomialModel (2)'!AD55-'BinomialModel (2)'!AD57)/(Inputs!Stock*(up_factor-down_factor)))</f>
        <v>0.70978166155197431</v>
      </c>
      <c r="AD55" s="26">
        <f>AC54*$B$7</f>
        <v>73.016993357815977</v>
      </c>
      <c r="AE55" s="26"/>
      <c r="AF55" s="5"/>
      <c r="AG55" s="5"/>
      <c r="AH55" s="5"/>
      <c r="AI55" s="5"/>
      <c r="AJ55" s="5"/>
      <c r="AK55" s="5"/>
      <c r="AL55" s="5"/>
      <c r="AM55" s="5"/>
    </row>
    <row r="56" spans="1:39" ht="18.75" customHeight="1">
      <c r="A56" s="25"/>
      <c r="B56" s="25"/>
      <c r="C56" s="25"/>
      <c r="D56" s="25"/>
      <c r="E56" s="25"/>
      <c r="F56" s="25"/>
      <c r="G56" s="25"/>
      <c r="H56" s="25"/>
      <c r="I56" s="25"/>
      <c r="J56" s="25"/>
      <c r="K56" s="25"/>
      <c r="L56" s="25"/>
      <c r="M56" s="26">
        <f>L55*$B$7</f>
        <v>71.155833562309269</v>
      </c>
      <c r="N56" s="109">
        <f>EXP(-dividend_rate/12)*(('BinomialModel (2)'!O56-'BinomialModel (2)'!O58)/(Inputs!Stock*(up_factor-down_factor)))</f>
        <v>0.69168974854215215</v>
      </c>
      <c r="O56" s="26">
        <f>N55*$B$7</f>
        <v>71.155833562309269</v>
      </c>
      <c r="P56" s="109">
        <f>EXP(-dividend_rate/12)*(('BinomialModel (2)'!Q56-'BinomialModel (2)'!Q58)/(Inputs!Stock*(up_factor-down_factor)))</f>
        <v>0.69168974854215215</v>
      </c>
      <c r="Q56" s="26">
        <f>P55*$B$7</f>
        <v>71.155833562309269</v>
      </c>
      <c r="R56" s="109">
        <f>EXP(-dividend_rate/12)*(('BinomialModel (2)'!S56-'BinomialModel (2)'!S58)/(Inputs!Stock*(up_factor-down_factor)))</f>
        <v>0.69168974854214937</v>
      </c>
      <c r="S56" s="26">
        <f>R55*$B$7</f>
        <v>71.155833562309255</v>
      </c>
      <c r="T56" s="109">
        <f>EXP(-dividend_rate/12)*(('BinomialModel (2)'!U56-'BinomialModel (2)'!U58)/(Inputs!Stock*(up_factor-down_factor)))</f>
        <v>0.69168974854215215</v>
      </c>
      <c r="U56" s="26">
        <f>T55*$B$7</f>
        <v>71.155833562309255</v>
      </c>
      <c r="V56" s="109">
        <f>EXP(-dividend_rate/12)*(('BinomialModel (2)'!W56-'BinomialModel (2)'!W58)/(Inputs!Stock*(up_factor-down_factor)))</f>
        <v>0.69168974854215215</v>
      </c>
      <c r="W56" s="26">
        <f>V55*$B$7</f>
        <v>71.155833562309255</v>
      </c>
      <c r="X56" s="109">
        <f>EXP(-dividend_rate/12)*(('BinomialModel (2)'!Y56-'BinomialModel (2)'!Y58)/(Inputs!Stock*(up_factor-down_factor)))</f>
        <v>0.69168974854215215</v>
      </c>
      <c r="Y56" s="26">
        <f>X55*$B$7</f>
        <v>71.155833562309255</v>
      </c>
      <c r="Z56" s="109">
        <f>EXP(-dividend_rate/12)*(('BinomialModel (2)'!AA56-'BinomialModel (2)'!AA58)/(Inputs!Stock*(up_factor-down_factor)))</f>
        <v>0.69168974854215215</v>
      </c>
      <c r="AA56" s="26">
        <f>Z55*$B$7</f>
        <v>71.155833562309255</v>
      </c>
      <c r="AB56" s="109">
        <f>EXP(-dividend_rate/12)*(('BinomialModel (2)'!AC56-'BinomialModel (2)'!AC58)/(Inputs!Stock*(up_factor-down_factor)))</f>
        <v>0.69168974854215215</v>
      </c>
      <c r="AC56" s="26">
        <f>AB55*$B$7</f>
        <v>71.155833562309255</v>
      </c>
      <c r="AD56" s="109">
        <f>EXP(-dividend_rate/12)*(('BinomialModel (2)'!AE56-'BinomialModel (2)'!AE58)/(Inputs!Stock*(up_factor-down_factor)))</f>
        <v>0.69168974854215215</v>
      </c>
      <c r="AE56" s="26">
        <f>AD55*$B$7</f>
        <v>71.155833562309255</v>
      </c>
      <c r="AF56" s="5"/>
      <c r="AG56" s="5"/>
      <c r="AH56" s="5"/>
      <c r="AI56" s="5"/>
      <c r="AJ56" s="5"/>
      <c r="AK56" s="5"/>
      <c r="AL56" s="5"/>
      <c r="AM56" s="5"/>
    </row>
    <row r="57" spans="1:39" ht="18.75" customHeight="1">
      <c r="A57" s="25"/>
      <c r="B57" s="25"/>
      <c r="C57" s="25"/>
      <c r="D57" s="25"/>
      <c r="E57" s="25"/>
      <c r="F57" s="25"/>
      <c r="G57" s="25"/>
      <c r="H57" s="25"/>
      <c r="I57" s="25"/>
      <c r="J57" s="25"/>
      <c r="K57" s="25"/>
      <c r="L57" s="25"/>
      <c r="M57" s="136"/>
      <c r="N57" s="26">
        <f>M56*$B$7</f>
        <v>69.342113624637221</v>
      </c>
      <c r="O57" s="109">
        <f>EXP(-dividend_rate/12)*(('BinomialModel (2)'!P57-'BinomialModel (2)'!P59)/(Inputs!Stock*(up_factor-down_factor)))</f>
        <v>0.674058987650065</v>
      </c>
      <c r="P57" s="26">
        <f>O56*$B$7</f>
        <v>69.342113624637221</v>
      </c>
      <c r="Q57" s="109">
        <f>EXP(-dividend_rate/12)*(('BinomialModel (2)'!R57-'BinomialModel (2)'!R59)/(Inputs!Stock*(up_factor-down_factor)))</f>
        <v>0.674058987650065</v>
      </c>
      <c r="R57" s="26">
        <f>Q56*$B$7</f>
        <v>69.342113624637221</v>
      </c>
      <c r="S57" s="109">
        <f>EXP(-dividend_rate/12)*(('BinomialModel (2)'!T57-'BinomialModel (2)'!T59)/(Inputs!Stock*(up_factor-down_factor)))</f>
        <v>0.67405898765006222</v>
      </c>
      <c r="T57" s="26">
        <f>S56*$B$7</f>
        <v>69.342113624637207</v>
      </c>
      <c r="U57" s="109">
        <f>EXP(-dividend_rate/12)*(('BinomialModel (2)'!V57-'BinomialModel (2)'!V59)/(Inputs!Stock*(up_factor-down_factor)))</f>
        <v>0.674058987650065</v>
      </c>
      <c r="V57" s="26">
        <f>U56*$B$7</f>
        <v>69.342113624637207</v>
      </c>
      <c r="W57" s="109">
        <f>EXP(-dividend_rate/12)*(('BinomialModel (2)'!X57-'BinomialModel (2)'!X59)/(Inputs!Stock*(up_factor-down_factor)))</f>
        <v>0.674058987650065</v>
      </c>
      <c r="X57" s="26">
        <f>W56*$B$7</f>
        <v>69.342113624637207</v>
      </c>
      <c r="Y57" s="109">
        <f>EXP(-dividend_rate/12)*(('BinomialModel (2)'!Z57-'BinomialModel (2)'!Z59)/(Inputs!Stock*(up_factor-down_factor)))</f>
        <v>0.674058987650065</v>
      </c>
      <c r="Z57" s="26">
        <f>Y56*$B$7</f>
        <v>69.342113624637207</v>
      </c>
      <c r="AA57" s="109">
        <f>EXP(-dividend_rate/12)*(('BinomialModel (2)'!AB57-'BinomialModel (2)'!AB59)/(Inputs!Stock*(up_factor-down_factor)))</f>
        <v>0.674058987650065</v>
      </c>
      <c r="AB57" s="26">
        <f>AA56*$B$7</f>
        <v>69.342113624637207</v>
      </c>
      <c r="AC57" s="109">
        <f>EXP(-dividend_rate/12)*(('BinomialModel (2)'!AD57-'BinomialModel (2)'!AD59)/(Inputs!Stock*(up_factor-down_factor)))</f>
        <v>0.674058987650065</v>
      </c>
      <c r="AD57" s="26">
        <f>AC56*$B$7</f>
        <v>69.342113624637207</v>
      </c>
      <c r="AE57" s="26"/>
      <c r="AF57" s="5"/>
      <c r="AG57" s="5"/>
      <c r="AH57" s="5"/>
      <c r="AI57" s="5"/>
      <c r="AJ57" s="5"/>
      <c r="AK57" s="5"/>
      <c r="AL57" s="5"/>
      <c r="AM57" s="5"/>
    </row>
    <row r="58" spans="1:39" ht="18.75" customHeight="1">
      <c r="A58" s="25"/>
      <c r="B58" s="25"/>
      <c r="C58" s="25"/>
      <c r="D58" s="25"/>
      <c r="E58" s="25"/>
      <c r="F58" s="25"/>
      <c r="G58" s="25"/>
      <c r="H58" s="25"/>
      <c r="I58" s="25"/>
      <c r="J58" s="25"/>
      <c r="K58" s="25"/>
      <c r="L58" s="25"/>
      <c r="M58" s="136"/>
      <c r="N58" s="56"/>
      <c r="O58" s="26">
        <f>N57*$B$7</f>
        <v>67.574624330998432</v>
      </c>
      <c r="P58" s="109">
        <f>EXP(-dividend_rate/12)*(('BinomialModel (2)'!Q58-'BinomialModel (2)'!Q60)/(Inputs!Stock*(up_factor-down_factor)))</f>
        <v>0.65687762438211184</v>
      </c>
      <c r="Q58" s="26">
        <f>P57*$B$7</f>
        <v>67.574624330998432</v>
      </c>
      <c r="R58" s="109">
        <f>EXP(-dividend_rate/12)*(('BinomialModel (2)'!S58-'BinomialModel (2)'!S60)/(Inputs!Stock*(up_factor-down_factor)))</f>
        <v>0.65687762438211184</v>
      </c>
      <c r="S58" s="26">
        <f>R57*$B$7</f>
        <v>67.574624330998432</v>
      </c>
      <c r="T58" s="109">
        <f>EXP(-dividend_rate/12)*(('BinomialModel (2)'!U58-'BinomialModel (2)'!U60)/(Inputs!Stock*(up_factor-down_factor)))</f>
        <v>0.65687762438210906</v>
      </c>
      <c r="U58" s="26">
        <f>T57*$B$7</f>
        <v>67.574624330998418</v>
      </c>
      <c r="V58" s="109">
        <f>EXP(-dividend_rate/12)*(('BinomialModel (2)'!W58-'BinomialModel (2)'!W60)/(Inputs!Stock*(up_factor-down_factor)))</f>
        <v>0.65687762438211184</v>
      </c>
      <c r="W58" s="26">
        <f>V57*$B$7</f>
        <v>67.574624330998418</v>
      </c>
      <c r="X58" s="109">
        <f>EXP(-dividend_rate/12)*(('BinomialModel (2)'!Y58-'BinomialModel (2)'!Y60)/(Inputs!Stock*(up_factor-down_factor)))</f>
        <v>0.65687762438211184</v>
      </c>
      <c r="Y58" s="26">
        <f>X57*$B$7</f>
        <v>67.574624330998418</v>
      </c>
      <c r="Z58" s="109">
        <f>EXP(-dividend_rate/12)*(('BinomialModel (2)'!AA58-'BinomialModel (2)'!AA60)/(Inputs!Stock*(up_factor-down_factor)))</f>
        <v>0.65687762438211184</v>
      </c>
      <c r="AA58" s="26">
        <f>Z57*$B$7</f>
        <v>67.574624330998418</v>
      </c>
      <c r="AB58" s="109">
        <f>EXP(-dividend_rate/12)*(('BinomialModel (2)'!AC58-'BinomialModel (2)'!AC60)/(Inputs!Stock*(up_factor-down_factor)))</f>
        <v>0.65687762438211184</v>
      </c>
      <c r="AC58" s="26">
        <f>AB57*$B$7</f>
        <v>67.574624330998418</v>
      </c>
      <c r="AD58" s="109">
        <f>EXP(-dividend_rate/12)*(('BinomialModel (2)'!AE58-'BinomialModel (2)'!AE60)/(Inputs!Stock*(up_factor-down_factor)))</f>
        <v>0.65687762438211184</v>
      </c>
      <c r="AE58" s="26">
        <f>AD57*$B$7</f>
        <v>67.574624330998418</v>
      </c>
      <c r="AF58" s="5"/>
      <c r="AG58" s="5"/>
      <c r="AH58" s="5"/>
      <c r="AI58" s="5"/>
      <c r="AJ58" s="5"/>
      <c r="AK58" s="5"/>
      <c r="AL58" s="5"/>
      <c r="AM58" s="5"/>
    </row>
    <row r="59" spans="1:39" ht="18.75" customHeight="1">
      <c r="A59" s="25"/>
      <c r="B59" s="25"/>
      <c r="C59" s="25"/>
      <c r="D59" s="25"/>
      <c r="E59" s="25"/>
      <c r="F59" s="25"/>
      <c r="G59" s="25"/>
      <c r="H59" s="25"/>
      <c r="I59" s="25"/>
      <c r="J59" s="25"/>
      <c r="K59" s="25"/>
      <c r="L59" s="25"/>
      <c r="M59" s="136"/>
      <c r="N59" s="25"/>
      <c r="O59" s="25"/>
      <c r="P59" s="26">
        <f>O58*$B$7</f>
        <v>65.852187289733124</v>
      </c>
      <c r="Q59" s="109">
        <f>EXP(-dividend_rate/12)*(('BinomialModel (2)'!R59-'BinomialModel (2)'!R61)/(Inputs!Stock*(up_factor-down_factor)))</f>
        <v>0.6401342038597555</v>
      </c>
      <c r="R59" s="26">
        <f>Q58*$B$7</f>
        <v>65.852187289733124</v>
      </c>
      <c r="S59" s="109">
        <f>EXP(-dividend_rate/12)*(('BinomialModel (2)'!T59-'BinomialModel (2)'!T61)/(Inputs!Stock*(up_factor-down_factor)))</f>
        <v>0.6401342038597555</v>
      </c>
      <c r="T59" s="26">
        <f>S58*$B$7</f>
        <v>65.852187289733124</v>
      </c>
      <c r="U59" s="109">
        <f>EXP(-dividend_rate/12)*(('BinomialModel (2)'!V59-'BinomialModel (2)'!V61)/(Inputs!Stock*(up_factor-down_factor)))</f>
        <v>0.64013420385975284</v>
      </c>
      <c r="V59" s="26">
        <f>U58*$B$7</f>
        <v>65.852187289733109</v>
      </c>
      <c r="W59" s="109">
        <f>EXP(-dividend_rate/12)*(('BinomialModel (2)'!X59-'BinomialModel (2)'!X61)/(Inputs!Stock*(up_factor-down_factor)))</f>
        <v>0.6401342038597555</v>
      </c>
      <c r="X59" s="26">
        <f>W58*$B$7</f>
        <v>65.852187289733109</v>
      </c>
      <c r="Y59" s="109">
        <f>EXP(-dividend_rate/12)*(('BinomialModel (2)'!Z59-'BinomialModel (2)'!Z61)/(Inputs!Stock*(up_factor-down_factor)))</f>
        <v>0.6401342038597555</v>
      </c>
      <c r="Z59" s="26">
        <f>Y58*$B$7</f>
        <v>65.852187289733109</v>
      </c>
      <c r="AA59" s="109">
        <f>EXP(-dividend_rate/12)*(('BinomialModel (2)'!AB59-'BinomialModel (2)'!AB61)/(Inputs!Stock*(up_factor-down_factor)))</f>
        <v>0.6401342038597555</v>
      </c>
      <c r="AB59" s="26">
        <f>AA58*$B$7</f>
        <v>65.852187289733109</v>
      </c>
      <c r="AC59" s="109">
        <f>EXP(-dividend_rate/12)*(('BinomialModel (2)'!AD59-'BinomialModel (2)'!AD61)/(Inputs!Stock*(up_factor-down_factor)))</f>
        <v>0.6401342038597555</v>
      </c>
      <c r="AD59" s="26">
        <f>AC58*$B$7</f>
        <v>65.852187289733109</v>
      </c>
      <c r="AE59" s="26"/>
      <c r="AF59" s="5"/>
      <c r="AG59" s="5"/>
      <c r="AH59" s="5"/>
      <c r="AI59" s="5"/>
      <c r="AJ59" s="5"/>
      <c r="AK59" s="5"/>
      <c r="AL59" s="5"/>
      <c r="AM59" s="5"/>
    </row>
    <row r="60" spans="1:39" ht="18.75" customHeight="1">
      <c r="A60" s="25"/>
      <c r="B60" s="25"/>
      <c r="C60" s="25"/>
      <c r="D60" s="25"/>
      <c r="E60" s="25"/>
      <c r="F60" s="25"/>
      <c r="G60" s="25"/>
      <c r="H60" s="25"/>
      <c r="I60" s="25"/>
      <c r="J60" s="25"/>
      <c r="K60" s="25"/>
      <c r="L60" s="25"/>
      <c r="M60" s="136"/>
      <c r="N60" s="25"/>
      <c r="O60" s="25"/>
      <c r="P60" s="5"/>
      <c r="Q60" s="26">
        <f>P59*$B$7</f>
        <v>64.173654145685077</v>
      </c>
      <c r="R60" s="109">
        <f>EXP(-dividend_rate/12)*(('BinomialModel (2)'!S60-'BinomialModel (2)'!S62)/(Inputs!Stock*(up_factor-down_factor)))</f>
        <v>0.62381756318250836</v>
      </c>
      <c r="S60" s="26">
        <f>R59*$B$7</f>
        <v>64.173654145685077</v>
      </c>
      <c r="T60" s="109">
        <f>EXP(-dividend_rate/12)*(('BinomialModel (2)'!U60-'BinomialModel (2)'!U62)/(Inputs!Stock*(up_factor-down_factor)))</f>
        <v>0.62381756318250836</v>
      </c>
      <c r="U60" s="26">
        <f>T59*$B$7</f>
        <v>64.173654145685077</v>
      </c>
      <c r="V60" s="109">
        <f>EXP(-dividend_rate/12)*(('BinomialModel (2)'!W60-'BinomialModel (2)'!W62)/(Inputs!Stock*(up_factor-down_factor)))</f>
        <v>0.6238175631825057</v>
      </c>
      <c r="W60" s="26">
        <f>V59*$B$7</f>
        <v>64.173654145685063</v>
      </c>
      <c r="X60" s="109">
        <f>EXP(-dividend_rate/12)*(('BinomialModel (2)'!Y60-'BinomialModel (2)'!Y62)/(Inputs!Stock*(up_factor-down_factor)))</f>
        <v>0.62381756318250836</v>
      </c>
      <c r="Y60" s="26">
        <f>X59*$B$7</f>
        <v>64.173654145685063</v>
      </c>
      <c r="Z60" s="109">
        <f>EXP(-dividend_rate/12)*(('BinomialModel (2)'!AA60-'BinomialModel (2)'!AA62)/(Inputs!Stock*(up_factor-down_factor)))</f>
        <v>0.62381756318250836</v>
      </c>
      <c r="AA60" s="26">
        <f>Z59*$B$7</f>
        <v>64.173654145685063</v>
      </c>
      <c r="AB60" s="109">
        <f>EXP(-dividend_rate/12)*(('BinomialModel (2)'!AC60-'BinomialModel (2)'!AC62)/(Inputs!Stock*(up_factor-down_factor)))</f>
        <v>0.62381756318250836</v>
      </c>
      <c r="AC60" s="26">
        <f>AB59*$B$7</f>
        <v>64.173654145685063</v>
      </c>
      <c r="AD60" s="109">
        <f>EXP(-dividend_rate/12)*(('BinomialModel (2)'!AE60-'BinomialModel (2)'!AE62)/(Inputs!Stock*(up_factor-down_factor)))</f>
        <v>0.62381756318250836</v>
      </c>
      <c r="AE60" s="26">
        <f>AD59*$B$7</f>
        <v>64.173654145685063</v>
      </c>
      <c r="AF60" s="5"/>
      <c r="AG60" s="5"/>
      <c r="AH60" s="5"/>
      <c r="AI60" s="5"/>
      <c r="AJ60" s="5"/>
      <c r="AK60" s="5"/>
      <c r="AL60" s="5"/>
      <c r="AM60" s="5"/>
    </row>
    <row r="61" spans="1:39" ht="18.75" customHeight="1">
      <c r="A61" s="25"/>
      <c r="B61" s="25"/>
      <c r="C61" s="25"/>
      <c r="D61" s="25"/>
      <c r="E61" s="25"/>
      <c r="F61" s="25"/>
      <c r="G61" s="25"/>
      <c r="H61" s="25"/>
      <c r="I61" s="25"/>
      <c r="J61" s="25"/>
      <c r="K61" s="25"/>
      <c r="L61" s="25"/>
      <c r="M61" s="136"/>
      <c r="N61" s="25"/>
      <c r="O61" s="25"/>
      <c r="P61" s="56"/>
      <c r="Q61" s="56"/>
      <c r="R61" s="26">
        <f>Q60*$B$7</f>
        <v>62.537905814588974</v>
      </c>
      <c r="S61" s="109">
        <f>EXP(-dividend_rate/12)*(('BinomialModel (2)'!T61-'BinomialModel (2)'!T63)/(Inputs!Stock*(up_factor-down_factor)))</f>
        <v>0.60791682398558256</v>
      </c>
      <c r="T61" s="26">
        <f>S60*$B$7</f>
        <v>62.537905814588974</v>
      </c>
      <c r="U61" s="109">
        <f>EXP(-dividend_rate/12)*(('BinomialModel (2)'!V61-'BinomialModel (2)'!V63)/(Inputs!Stock*(up_factor-down_factor)))</f>
        <v>0.60791682398558256</v>
      </c>
      <c r="V61" s="26">
        <f>U60*$B$7</f>
        <v>62.537905814588974</v>
      </c>
      <c r="W61" s="109">
        <f>EXP(-dividend_rate/12)*(('BinomialModel (2)'!X61-'BinomialModel (2)'!X63)/(Inputs!Stock*(up_factor-down_factor)))</f>
        <v>0.60791682398557989</v>
      </c>
      <c r="X61" s="26">
        <f>W60*$B$7</f>
        <v>62.53790581458896</v>
      </c>
      <c r="Y61" s="109">
        <f>EXP(-dividend_rate/12)*(('BinomialModel (2)'!Z61-'BinomialModel (2)'!Z63)/(Inputs!Stock*(up_factor-down_factor)))</f>
        <v>0.60791682398558256</v>
      </c>
      <c r="Z61" s="26">
        <f>Y60*$B$7</f>
        <v>62.53790581458896</v>
      </c>
      <c r="AA61" s="109">
        <f>EXP(-dividend_rate/12)*(('BinomialModel (2)'!AB61-'BinomialModel (2)'!AB63)/(Inputs!Stock*(up_factor-down_factor)))</f>
        <v>0.60791682398558256</v>
      </c>
      <c r="AB61" s="26">
        <f>AA60*$B$7</f>
        <v>62.53790581458896</v>
      </c>
      <c r="AC61" s="109">
        <f>EXP(-dividend_rate/12)*(('BinomialModel (2)'!AD61-'BinomialModel (2)'!AD63)/(Inputs!Stock*(up_factor-down_factor)))</f>
        <v>0.60791682398558256</v>
      </c>
      <c r="AD61" s="26">
        <f>AC60*$B$7</f>
        <v>62.53790581458896</v>
      </c>
      <c r="AE61" s="26"/>
      <c r="AF61" s="5"/>
      <c r="AG61" s="5"/>
      <c r="AH61" s="5"/>
      <c r="AI61" s="5"/>
      <c r="AJ61" s="5"/>
      <c r="AK61" s="5"/>
      <c r="AL61" s="5"/>
      <c r="AM61" s="5"/>
    </row>
    <row r="62" spans="1:39" ht="18.75" customHeight="1">
      <c r="A62" s="25"/>
      <c r="B62" s="25"/>
      <c r="C62" s="25"/>
      <c r="D62" s="25"/>
      <c r="E62" s="25"/>
      <c r="F62" s="25"/>
      <c r="G62" s="25"/>
      <c r="H62" s="25"/>
      <c r="I62" s="25"/>
      <c r="J62" s="25"/>
      <c r="K62" s="25"/>
      <c r="L62" s="25"/>
      <c r="M62" s="136"/>
      <c r="N62" s="25"/>
      <c r="O62" s="25"/>
      <c r="P62" s="5"/>
      <c r="Q62" s="5"/>
      <c r="R62" s="56"/>
      <c r="S62" s="26">
        <f>R61*$B$7</f>
        <v>60.943851736972803</v>
      </c>
      <c r="T62" s="109">
        <f>EXP(-dividend_rate/12)*(('BinomialModel (2)'!U62-'BinomialModel (2)'!U64)/(Inputs!Stock*(up_factor-down_factor)))</f>
        <v>0.59242138518725218</v>
      </c>
      <c r="U62" s="26">
        <f>T61*$B$7</f>
        <v>60.943851736972803</v>
      </c>
      <c r="V62" s="109">
        <f>EXP(-dividend_rate/12)*(('BinomialModel (2)'!W62-'BinomialModel (2)'!W64)/(Inputs!Stock*(up_factor-down_factor)))</f>
        <v>0.59242138518725218</v>
      </c>
      <c r="W62" s="26">
        <f>V61*$B$7</f>
        <v>60.943851736972803</v>
      </c>
      <c r="X62" s="109">
        <f>EXP(-dividend_rate/12)*(('BinomialModel (2)'!Y62-'BinomialModel (2)'!Y64)/(Inputs!Stock*(up_factor-down_factor)))</f>
        <v>0.59242138518724941</v>
      </c>
      <c r="Y62" s="26">
        <f>X61*$B$7</f>
        <v>60.943851736972789</v>
      </c>
      <c r="Z62" s="109">
        <f>EXP(-dividend_rate/12)*(('BinomialModel (2)'!AA62-'BinomialModel (2)'!AA64)/(Inputs!Stock*(up_factor-down_factor)))</f>
        <v>0.59242138518725218</v>
      </c>
      <c r="AA62" s="26">
        <f>Z61*$B$7</f>
        <v>60.943851736972789</v>
      </c>
      <c r="AB62" s="109">
        <f>EXP(-dividend_rate/12)*(('BinomialModel (2)'!AC62-'BinomialModel (2)'!AC64)/(Inputs!Stock*(up_factor-down_factor)))</f>
        <v>0.59242138518725218</v>
      </c>
      <c r="AC62" s="26">
        <f>AB61*$B$7</f>
        <v>60.943851736972789</v>
      </c>
      <c r="AD62" s="109">
        <f>EXP(-dividend_rate/12)*(('BinomialModel (2)'!AE62-'BinomialModel (2)'!AE64)/(Inputs!Stock*(up_factor-down_factor)))</f>
        <v>0.59242138518725218</v>
      </c>
      <c r="AE62" s="26">
        <f>AD61*$B$7</f>
        <v>60.943851736972789</v>
      </c>
      <c r="AF62" s="5"/>
      <c r="AG62" s="5"/>
      <c r="AH62" s="5"/>
      <c r="AI62" s="5"/>
      <c r="AJ62" s="5"/>
      <c r="AK62" s="5"/>
      <c r="AL62" s="5"/>
      <c r="AM62" s="5"/>
    </row>
    <row r="63" spans="1:39" ht="18.75" customHeight="1">
      <c r="A63" s="25"/>
      <c r="B63" s="25"/>
      <c r="C63" s="25"/>
      <c r="D63" s="25"/>
      <c r="E63" s="25"/>
      <c r="F63" s="25"/>
      <c r="G63" s="25"/>
      <c r="H63" s="25"/>
      <c r="I63" s="25"/>
      <c r="J63" s="25"/>
      <c r="K63" s="25"/>
      <c r="L63" s="25"/>
      <c r="M63" s="136"/>
      <c r="N63" s="25"/>
      <c r="O63" s="25"/>
      <c r="P63" s="5"/>
      <c r="Q63" s="5"/>
      <c r="R63" s="56"/>
      <c r="S63" s="56"/>
      <c r="T63" s="26">
        <f>S62*$B$7</f>
        <v>59.390429151077804</v>
      </c>
      <c r="U63" s="109">
        <f>EXP(-dividend_rate/12)*(('BinomialModel (2)'!V63-'BinomialModel (2)'!V65)/(Inputs!Stock*(up_factor-down_factor)))</f>
        <v>0.57732091592106782</v>
      </c>
      <c r="V63" s="26">
        <f>U62*$B$7</f>
        <v>59.390429151077804</v>
      </c>
      <c r="W63" s="109">
        <f>EXP(-dividend_rate/12)*(('BinomialModel (2)'!X63-'BinomialModel (2)'!X65)/(Inputs!Stock*(up_factor-down_factor)))</f>
        <v>0.57732091592106782</v>
      </c>
      <c r="X63" s="26">
        <f>W62*$B$7</f>
        <v>59.390429151077804</v>
      </c>
      <c r="Y63" s="109">
        <f>EXP(-dividend_rate/12)*(('BinomialModel (2)'!Z63-'BinomialModel (2)'!Z65)/(Inputs!Stock*(up_factor-down_factor)))</f>
        <v>0.57732091592106505</v>
      </c>
      <c r="Z63" s="26">
        <f>Y62*$B$7</f>
        <v>59.39042915107779</v>
      </c>
      <c r="AA63" s="109">
        <f>EXP(-dividend_rate/12)*(('BinomialModel (2)'!AB63-'BinomialModel (2)'!AB65)/(Inputs!Stock*(up_factor-down_factor)))</f>
        <v>0.57732091592106782</v>
      </c>
      <c r="AB63" s="26">
        <f>AA62*$B$7</f>
        <v>59.39042915107779</v>
      </c>
      <c r="AC63" s="109">
        <f>EXP(-dividend_rate/12)*(('BinomialModel (2)'!AD63-'BinomialModel (2)'!AD65)/(Inputs!Stock*(up_factor-down_factor)))</f>
        <v>0.57732091592106782</v>
      </c>
      <c r="AD63" s="26">
        <f>AC62*$B$7</f>
        <v>59.39042915107779</v>
      </c>
      <c r="AE63" s="26"/>
      <c r="AF63" s="5"/>
      <c r="AG63" s="5"/>
      <c r="AH63" s="5"/>
      <c r="AI63" s="5"/>
      <c r="AJ63" s="5"/>
      <c r="AK63" s="5"/>
      <c r="AL63" s="5"/>
      <c r="AM63" s="5"/>
    </row>
    <row r="64" spans="1:39" ht="18.75" customHeight="1">
      <c r="A64" s="25"/>
      <c r="B64" s="25"/>
      <c r="C64" s="25"/>
      <c r="D64" s="25"/>
      <c r="E64" s="25"/>
      <c r="F64" s="25"/>
      <c r="G64" s="25"/>
      <c r="H64" s="25"/>
      <c r="I64" s="25"/>
      <c r="J64" s="25"/>
      <c r="K64" s="25"/>
      <c r="L64" s="25"/>
      <c r="M64" s="136"/>
      <c r="N64" s="25"/>
      <c r="O64" s="25"/>
      <c r="P64" s="5"/>
      <c r="Q64" s="5"/>
      <c r="R64" s="5"/>
      <c r="S64" s="5"/>
      <c r="T64" s="56"/>
      <c r="U64" s="26">
        <f>T63*$B$7</f>
        <v>57.876602384311262</v>
      </c>
      <c r="V64" s="109">
        <f>EXP(-dividend_rate/12)*(('BinomialModel (2)'!W64-'BinomialModel (2)'!W66)/(Inputs!Stock*(up_factor-down_factor)))</f>
        <v>0.56260534864822875</v>
      </c>
      <c r="W64" s="26">
        <f>V63*$B$7</f>
        <v>57.876602384311262</v>
      </c>
      <c r="X64" s="109">
        <f>EXP(-dividend_rate/12)*(('BinomialModel (2)'!Y64-'BinomialModel (2)'!Y66)/(Inputs!Stock*(up_factor-down_factor)))</f>
        <v>0.56260534864822875</v>
      </c>
      <c r="Y64" s="26">
        <f>X63*$B$7</f>
        <v>57.876602384311262</v>
      </c>
      <c r="Z64" s="109">
        <f>EXP(-dividend_rate/12)*(('BinomialModel (2)'!AA64-'BinomialModel (2)'!AA66)/(Inputs!Stock*(up_factor-down_factor)))</f>
        <v>0.56260534864822598</v>
      </c>
      <c r="AA64" s="26">
        <f>Z63*$B$7</f>
        <v>57.876602384311248</v>
      </c>
      <c r="AB64" s="109">
        <f>EXP(-dividend_rate/12)*(('BinomialModel (2)'!AC64-'BinomialModel (2)'!AC66)/(Inputs!Stock*(up_factor-down_factor)))</f>
        <v>0.56260534864822875</v>
      </c>
      <c r="AC64" s="26">
        <f>AB63*$B$7</f>
        <v>57.876602384311248</v>
      </c>
      <c r="AD64" s="109">
        <f>EXP(-dividend_rate/12)*(('BinomialModel (2)'!AE64-'BinomialModel (2)'!AE66)/(Inputs!Stock*(up_factor-down_factor)))</f>
        <v>0.56260534864822875</v>
      </c>
      <c r="AE64" s="26">
        <f>AD63*$B$7</f>
        <v>57.876602384311248</v>
      </c>
      <c r="AF64" s="5"/>
      <c r="AG64" s="5"/>
      <c r="AH64" s="5"/>
      <c r="AI64" s="5"/>
      <c r="AJ64" s="5"/>
      <c r="AK64" s="5"/>
      <c r="AL64" s="5"/>
      <c r="AM64" s="5"/>
    </row>
    <row r="65" spans="1:40" ht="18.75" customHeight="1">
      <c r="A65" s="25"/>
      <c r="B65" s="25"/>
      <c r="C65" s="25"/>
      <c r="D65" s="25"/>
      <c r="E65" s="25"/>
      <c r="F65" s="25"/>
      <c r="G65" s="25"/>
      <c r="H65" s="25"/>
      <c r="I65" s="25"/>
      <c r="J65" s="25"/>
      <c r="K65" s="25"/>
      <c r="L65" s="25"/>
      <c r="M65" s="136"/>
      <c r="N65" s="25"/>
      <c r="O65" s="25"/>
      <c r="P65" s="5"/>
      <c r="Q65" s="5"/>
      <c r="R65" s="5"/>
      <c r="S65" s="56"/>
      <c r="T65" s="56"/>
      <c r="U65" s="56"/>
      <c r="V65" s="26">
        <f>U64*$B$7</f>
        <v>56.40136216275976</v>
      </c>
      <c r="W65" s="109">
        <f>EXP(-dividend_rate/12)*(('BinomialModel (2)'!X65-'BinomialModel (2)'!X67)/(Inputs!Stock*(up_factor-down_factor)))</f>
        <v>0.54826487244551925</v>
      </c>
      <c r="X65" s="26">
        <f>W64*$B$7</f>
        <v>56.40136216275976</v>
      </c>
      <c r="Y65" s="109">
        <f>EXP(-dividend_rate/12)*(('BinomialModel (2)'!Z65-'BinomialModel (2)'!Z67)/(Inputs!Stock*(up_factor-down_factor)))</f>
        <v>0.54826487244551925</v>
      </c>
      <c r="Z65" s="26">
        <f>Y64*$B$7</f>
        <v>56.40136216275976</v>
      </c>
      <c r="AA65" s="109">
        <f>EXP(-dividend_rate/12)*(('BinomialModel (2)'!AB65-'BinomialModel (2)'!AB67)/(Inputs!Stock*(up_factor-down_factor)))</f>
        <v>0.54826487244551647</v>
      </c>
      <c r="AB65" s="26">
        <f>AA64*$B$7</f>
        <v>56.401362162759746</v>
      </c>
      <c r="AC65" s="109">
        <f>EXP(-dividend_rate/12)*(('BinomialModel (2)'!AD65-'BinomialModel (2)'!AD67)/(Inputs!Stock*(up_factor-down_factor)))</f>
        <v>0.54826487244551925</v>
      </c>
      <c r="AD65" s="26">
        <f>AC64*$B$7</f>
        <v>56.401362162759746</v>
      </c>
      <c r="AE65" s="26"/>
      <c r="AF65" s="5"/>
      <c r="AG65" s="5"/>
      <c r="AH65" s="5"/>
      <c r="AI65" s="5"/>
      <c r="AJ65" s="5"/>
      <c r="AK65" s="5"/>
      <c r="AL65" s="5"/>
      <c r="AM65" s="5"/>
    </row>
    <row r="66" spans="1:40" ht="18.75" customHeight="1">
      <c r="A66" s="25"/>
      <c r="B66" s="25"/>
      <c r="C66" s="25"/>
      <c r="D66" s="25"/>
      <c r="E66" s="25"/>
      <c r="F66" s="25"/>
      <c r="G66" s="25"/>
      <c r="H66" s="25"/>
      <c r="I66" s="25"/>
      <c r="J66" s="25"/>
      <c r="K66" s="25"/>
      <c r="L66" s="25"/>
      <c r="M66" s="136"/>
      <c r="N66" s="25"/>
      <c r="O66" s="25"/>
      <c r="P66" s="5"/>
      <c r="Q66" s="5"/>
      <c r="R66" s="5"/>
      <c r="S66" s="5"/>
      <c r="T66" s="56"/>
      <c r="U66" s="56"/>
      <c r="V66" s="56"/>
      <c r="W66" s="26">
        <f>V65*$B$7</f>
        <v>54.963724938302526</v>
      </c>
      <c r="X66" s="109">
        <f>EXP(-dividend_rate/12)*(('BinomialModel (2)'!Y66-'BinomialModel (2)'!Y68)/(Inputs!Stock*(up_factor-down_factor)))</f>
        <v>0.53428992646433127</v>
      </c>
      <c r="Y66" s="26">
        <f>X65*$B$7</f>
        <v>54.963724938302526</v>
      </c>
      <c r="Z66" s="109">
        <f>EXP(-dividend_rate/12)*(('BinomialModel (2)'!AA66-'BinomialModel (2)'!AA68)/(Inputs!Stock*(up_factor-down_factor)))</f>
        <v>0.53428992646433127</v>
      </c>
      <c r="AA66" s="26">
        <f>Z65*$B$7</f>
        <v>54.963724938302526</v>
      </c>
      <c r="AB66" s="109">
        <f>EXP(-dividend_rate/12)*(('BinomialModel (2)'!AC66-'BinomialModel (2)'!AC68)/(Inputs!Stock*(up_factor-down_factor)))</f>
        <v>0.53428992646432849</v>
      </c>
      <c r="AC66" s="26">
        <f>AB65*$B$7</f>
        <v>54.963724938302512</v>
      </c>
      <c r="AD66" s="109">
        <f>EXP(-dividend_rate/12)*(('BinomialModel (2)'!AE66-'BinomialModel (2)'!AE68)/(Inputs!Stock*(up_factor-down_factor)))</f>
        <v>0.53428992646433127</v>
      </c>
      <c r="AE66" s="26">
        <f>AD65*$B$7</f>
        <v>54.963724938302512</v>
      </c>
      <c r="AF66" s="5"/>
      <c r="AG66" s="5"/>
      <c r="AH66" s="5"/>
      <c r="AI66" s="5"/>
      <c r="AJ66" s="5"/>
      <c r="AK66" s="5"/>
      <c r="AL66" s="5"/>
      <c r="AM66" s="5"/>
    </row>
    <row r="67" spans="1:40" ht="18.75" customHeight="1">
      <c r="A67" s="25"/>
      <c r="B67" s="25"/>
      <c r="C67" s="25"/>
      <c r="D67" s="25"/>
      <c r="E67" s="25"/>
      <c r="F67" s="25"/>
      <c r="G67" s="25"/>
      <c r="H67" s="25"/>
      <c r="I67" s="25"/>
      <c r="J67" s="25"/>
      <c r="K67" s="25"/>
      <c r="L67" s="25"/>
      <c r="M67" s="136"/>
      <c r="N67" s="25"/>
      <c r="O67" s="25"/>
      <c r="P67" s="5"/>
      <c r="Q67" s="5"/>
      <c r="R67" s="5"/>
      <c r="S67" s="5"/>
      <c r="T67" s="56"/>
      <c r="U67" s="56"/>
      <c r="V67" s="56"/>
      <c r="W67" s="56"/>
      <c r="X67" s="26">
        <f>W66*$B$7</f>
        <v>53.56273223287625</v>
      </c>
      <c r="Y67" s="109">
        <f>EXP(-dividend_rate/12)*(('BinomialModel (2)'!Z67-'BinomialModel (2)'!Z69)/(Inputs!Stock*(up_factor-down_factor)))</f>
        <v>0.52067119355640856</v>
      </c>
      <c r="Z67" s="26">
        <f>Y66*$B$7</f>
        <v>53.56273223287625</v>
      </c>
      <c r="AA67" s="109">
        <f>EXP(-dividend_rate/12)*(('BinomialModel (2)'!AB67-'BinomialModel (2)'!AB69)/(Inputs!Stock*(up_factor-down_factor)))</f>
        <v>0.52067119355640856</v>
      </c>
      <c r="AB67" s="26">
        <f>AA66*$B$7</f>
        <v>53.56273223287625</v>
      </c>
      <c r="AC67" s="109">
        <f>EXP(-dividend_rate/12)*(('BinomialModel (2)'!AD67-'BinomialModel (2)'!AD69)/(Inputs!Stock*(up_factor-down_factor)))</f>
        <v>0.52067119355640579</v>
      </c>
      <c r="AD67" s="26">
        <f>AC66*$B$7</f>
        <v>53.562732232876236</v>
      </c>
      <c r="AE67" s="26"/>
      <c r="AF67" s="5"/>
      <c r="AG67" s="5"/>
      <c r="AH67" s="5"/>
      <c r="AI67" s="5"/>
      <c r="AJ67" s="5"/>
      <c r="AK67" s="5"/>
      <c r="AL67" s="5"/>
      <c r="AM67" s="5"/>
    </row>
    <row r="68" spans="1:40" ht="18.75" customHeight="1">
      <c r="A68" s="25"/>
      <c r="B68" s="25"/>
      <c r="C68" s="25"/>
      <c r="D68" s="25"/>
      <c r="E68" s="25"/>
      <c r="F68" s="25"/>
      <c r="G68" s="25"/>
      <c r="H68" s="25"/>
      <c r="I68" s="25"/>
      <c r="J68" s="25"/>
      <c r="K68" s="25"/>
      <c r="L68" s="25"/>
      <c r="M68" s="136"/>
      <c r="N68" s="25"/>
      <c r="O68" s="25"/>
      <c r="P68" s="5"/>
      <c r="Q68" s="5"/>
      <c r="R68" s="5"/>
      <c r="S68" s="5"/>
      <c r="T68" s="56"/>
      <c r="U68" s="56"/>
      <c r="V68" s="56"/>
      <c r="W68" s="56"/>
      <c r="X68" s="56"/>
      <c r="Y68" s="26">
        <f>X67*$B$7</f>
        <v>52.197449999454207</v>
      </c>
      <c r="Z68" s="109">
        <f>EXP(-dividend_rate/12)*(('BinomialModel (2)'!AA68-'BinomialModel (2)'!AA70)/(Inputs!Stock*(up_factor-down_factor)))</f>
        <v>0.50739959406207069</v>
      </c>
      <c r="AA68" s="26">
        <f>Z67*$B$7</f>
        <v>52.197449999454207</v>
      </c>
      <c r="AB68" s="109">
        <f>EXP(-dividend_rate/12)*(('BinomialModel (2)'!AC68-'BinomialModel (2)'!AC70)/(Inputs!Stock*(up_factor-down_factor)))</f>
        <v>0.50739959406207069</v>
      </c>
      <c r="AC68" s="26">
        <f>AB67*$B$7</f>
        <v>52.197449999454207</v>
      </c>
      <c r="AD68" s="109">
        <f>EXP(-dividend_rate/12)*(('BinomialModel (2)'!AE68-'BinomialModel (2)'!AE70)/(Inputs!Stock*(up_factor-down_factor)))</f>
        <v>0.50739959406206792</v>
      </c>
      <c r="AE68" s="26">
        <f>AD67*$B$7</f>
        <v>52.197449999454193</v>
      </c>
      <c r="AF68" s="5"/>
      <c r="AG68" s="5"/>
      <c r="AH68" s="5"/>
      <c r="AI68" s="5"/>
      <c r="AJ68" s="5"/>
      <c r="AK68" s="5"/>
      <c r="AL68" s="5"/>
      <c r="AM68" s="5"/>
    </row>
    <row r="69" spans="1:40" ht="18.75" customHeight="1">
      <c r="A69" s="25"/>
      <c r="B69" s="25"/>
      <c r="C69" s="25"/>
      <c r="D69" s="25"/>
      <c r="E69" s="25"/>
      <c r="F69" s="25"/>
      <c r="G69" s="25"/>
      <c r="H69" s="25"/>
      <c r="I69" s="25"/>
      <c r="J69" s="25"/>
      <c r="K69" s="25"/>
      <c r="L69" s="25"/>
      <c r="M69" s="136"/>
      <c r="N69" s="25"/>
      <c r="O69" s="25"/>
      <c r="P69" s="5"/>
      <c r="Q69" s="5"/>
      <c r="R69" s="5"/>
      <c r="S69" s="5"/>
      <c r="T69" s="5"/>
      <c r="U69" s="5"/>
      <c r="V69" s="5"/>
      <c r="Y69" s="5"/>
      <c r="Z69" s="26">
        <f>Y68*$B$7</f>
        <v>50.866967999313651</v>
      </c>
      <c r="AA69" s="109">
        <f>EXP(-dividend_rate/12)*(('BinomialModel (2)'!AB69-'BinomialModel (2)'!AB71)/(Inputs!Stock*(up_factor-down_factor)))</f>
        <v>0.49446627975676977</v>
      </c>
      <c r="AB69" s="26">
        <f>AA68*$B$7</f>
        <v>50.866967999313651</v>
      </c>
      <c r="AC69" s="109">
        <f>EXP(-dividend_rate/12)*(('BinomialModel (2)'!AD69-'BinomialModel (2)'!AD71)/(Inputs!Stock*(up_factor-down_factor)))</f>
        <v>0.49446627975676977</v>
      </c>
      <c r="AD69" s="26">
        <f>AC68*$B$7</f>
        <v>50.866967999313651</v>
      </c>
      <c r="AE69" s="26"/>
      <c r="AF69" s="5"/>
      <c r="AG69" s="5"/>
      <c r="AH69" s="5"/>
      <c r="AI69" s="5"/>
      <c r="AJ69" s="5"/>
      <c r="AK69" s="5"/>
      <c r="AL69" s="5"/>
      <c r="AM69" s="5"/>
    </row>
    <row r="70" spans="1:40" ht="18.75" customHeight="1">
      <c r="A70" s="25"/>
      <c r="B70" s="25"/>
      <c r="C70" s="25"/>
      <c r="D70" s="25"/>
      <c r="E70" s="25"/>
      <c r="F70" s="25"/>
      <c r="G70" s="25"/>
      <c r="H70" s="25"/>
      <c r="I70" s="25"/>
      <c r="J70" s="25"/>
      <c r="K70" s="25"/>
      <c r="L70" s="25"/>
      <c r="M70" s="136"/>
      <c r="N70" s="25"/>
      <c r="O70" s="25"/>
      <c r="P70" s="5"/>
      <c r="Q70" s="5"/>
      <c r="R70" s="5"/>
      <c r="S70" s="5"/>
      <c r="T70" s="5"/>
      <c r="U70" s="5"/>
      <c r="V70" s="5"/>
      <c r="Y70" s="5"/>
      <c r="Z70" s="56"/>
      <c r="AA70" s="26">
        <f>Z69*$B$7</f>
        <v>49.570399195176279</v>
      </c>
      <c r="AB70" s="109">
        <f>EXP(-dividend_rate/12)*(('BinomialModel (2)'!AC70-'BinomialModel (2)'!AC72)/(Inputs!Stock*(up_factor-down_factor)))</f>
        <v>0.48186262795194484</v>
      </c>
      <c r="AC70" s="26">
        <f>AB69*$B$7</f>
        <v>49.570399195176279</v>
      </c>
      <c r="AD70" s="109">
        <f>EXP(-dividend_rate/12)*(('BinomialModel (2)'!AE70-'BinomialModel (2)'!AE72)/(Inputs!Stock*(up_factor-down_factor)))</f>
        <v>0.48186262795194484</v>
      </c>
      <c r="AE70" s="26">
        <f>AD69*$B$7</f>
        <v>49.570399195176279</v>
      </c>
      <c r="AF70" s="5"/>
      <c r="AG70" s="5"/>
      <c r="AH70" s="5"/>
      <c r="AI70" s="5"/>
      <c r="AJ70" s="5"/>
      <c r="AK70" s="5"/>
      <c r="AL70" s="5"/>
      <c r="AM70" s="5"/>
    </row>
    <row r="71" spans="1:40" ht="18.75" customHeight="1">
      <c r="A71" s="25"/>
      <c r="B71" s="25"/>
      <c r="C71" s="25"/>
      <c r="D71" s="25"/>
      <c r="E71" s="25"/>
      <c r="F71" s="25"/>
      <c r="G71" s="25"/>
      <c r="H71" s="25"/>
      <c r="I71" s="25"/>
      <c r="J71" s="25"/>
      <c r="K71" s="25"/>
      <c r="L71" s="25"/>
      <c r="M71" s="136"/>
      <c r="N71" s="25"/>
      <c r="O71" s="25"/>
      <c r="P71" s="5"/>
      <c r="Q71" s="5"/>
      <c r="R71" s="5"/>
      <c r="S71" s="5"/>
      <c r="T71" s="5"/>
      <c r="U71" s="5"/>
      <c r="V71" s="5"/>
      <c r="Y71" s="5"/>
      <c r="Z71" s="56"/>
      <c r="AA71" s="56"/>
      <c r="AB71" s="26">
        <f>AA70*$B$7</f>
        <v>48.3068791598172</v>
      </c>
      <c r="AC71" s="109">
        <f>EXP(-dividend_rate/12)*(('BinomialModel (2)'!AD71-'BinomialModel (2)'!AD73)/(Inputs!Stock*(up_factor-down_factor)))</f>
        <v>0.46958023574624924</v>
      </c>
      <c r="AD71" s="26">
        <f>AC70*$B$7</f>
        <v>48.3068791598172</v>
      </c>
      <c r="AE71" s="26"/>
      <c r="AF71" s="5"/>
      <c r="AG71" s="5"/>
      <c r="AH71" s="5"/>
      <c r="AI71" s="5"/>
      <c r="AJ71" s="5"/>
      <c r="AK71" s="5"/>
      <c r="AL71" s="5"/>
      <c r="AM71" s="5"/>
    </row>
    <row r="72" spans="1:40" ht="18.75" customHeight="1">
      <c r="A72" s="25"/>
      <c r="B72" s="25"/>
      <c r="C72" s="25"/>
      <c r="D72" s="25"/>
      <c r="E72" s="25"/>
      <c r="F72" s="25"/>
      <c r="G72" s="25"/>
      <c r="H72" s="25"/>
      <c r="I72" s="25"/>
      <c r="J72" s="25"/>
      <c r="K72" s="25"/>
      <c r="L72" s="25"/>
      <c r="M72" s="136"/>
      <c r="N72" s="25"/>
      <c r="O72" s="25"/>
      <c r="P72" s="5"/>
      <c r="Q72" s="5"/>
      <c r="R72" s="5"/>
      <c r="S72" s="5"/>
      <c r="T72" s="5"/>
      <c r="U72" s="5"/>
      <c r="V72" s="5"/>
      <c r="Y72" s="5"/>
      <c r="Z72" s="56"/>
      <c r="AA72" s="56"/>
      <c r="AB72" s="56"/>
      <c r="AC72" s="26">
        <f>AB71*$B$7</f>
        <v>47.075565499748102</v>
      </c>
      <c r="AD72" s="109">
        <f>EXP(-dividend_rate/12)*(('BinomialModel (2)'!AE72-'BinomialModel (2)'!AE74)/(Inputs!Stock*(up_factor-down_factor)))</f>
        <v>0.45761091442329893</v>
      </c>
      <c r="AE72" s="26">
        <f>AD71*$B$7</f>
        <v>47.075565499748102</v>
      </c>
      <c r="AF72" s="5"/>
      <c r="AG72" s="5"/>
      <c r="AH72" s="5"/>
      <c r="AI72" s="5"/>
      <c r="AJ72" s="5"/>
      <c r="AK72" s="5"/>
      <c r="AL72" s="5"/>
      <c r="AM72" s="5"/>
    </row>
    <row r="73" spans="1:40" ht="18.75" customHeight="1">
      <c r="A73" s="25"/>
      <c r="B73" s="25"/>
      <c r="C73" s="25"/>
      <c r="D73" s="25"/>
      <c r="E73" s="25"/>
      <c r="F73" s="25"/>
      <c r="G73" s="25"/>
      <c r="H73" s="25"/>
      <c r="I73" s="25"/>
      <c r="J73" s="25"/>
      <c r="K73" s="25"/>
      <c r="L73" s="25"/>
      <c r="M73" s="136"/>
      <c r="N73" s="25"/>
      <c r="O73" s="25"/>
      <c r="P73" s="5"/>
      <c r="Q73" s="5"/>
      <c r="R73" s="5"/>
      <c r="S73" s="5"/>
      <c r="T73" s="5"/>
      <c r="U73" s="5"/>
      <c r="V73" s="5"/>
      <c r="Y73" s="5"/>
      <c r="Z73" s="56"/>
      <c r="AA73" s="56"/>
      <c r="AB73" s="56"/>
      <c r="AC73" s="56"/>
      <c r="AD73" s="26">
        <f>AC72*$B$7</f>
        <v>45.875637293590373</v>
      </c>
      <c r="AE73" s="26"/>
      <c r="AF73" s="5"/>
      <c r="AG73" s="5"/>
      <c r="AH73" s="5"/>
      <c r="AI73" s="5"/>
      <c r="AJ73" s="5"/>
      <c r="AK73" s="5"/>
      <c r="AL73" s="5"/>
      <c r="AM73" s="5"/>
    </row>
    <row r="74" spans="1:40" ht="18.75" customHeight="1">
      <c r="N74" s="25"/>
      <c r="O74" s="25"/>
      <c r="P74" s="5"/>
      <c r="Q74" s="5"/>
      <c r="R74" s="5"/>
      <c r="S74" s="5"/>
      <c r="T74" s="5"/>
      <c r="U74" s="5"/>
      <c r="V74" s="5"/>
      <c r="Y74" s="5"/>
      <c r="Z74" s="56"/>
      <c r="AA74" s="56"/>
      <c r="AB74" s="56"/>
      <c r="AC74" s="56"/>
      <c r="AD74" s="56"/>
      <c r="AE74" s="26">
        <f>AD73*$B$7</f>
        <v>44.706294544763807</v>
      </c>
      <c r="AF74" s="5"/>
      <c r="AG74" s="5"/>
      <c r="AH74" s="5"/>
      <c r="AI74" s="5"/>
      <c r="AJ74" s="5"/>
      <c r="AK74" s="5"/>
      <c r="AL74" s="5"/>
      <c r="AM74" s="5"/>
      <c r="AN74" s="5"/>
    </row>
    <row r="75" spans="1:40" ht="18.75" customHeight="1">
      <c r="N75" s="25"/>
      <c r="O75" s="25"/>
      <c r="P75" s="5"/>
      <c r="Q75" s="5"/>
      <c r="R75" s="5"/>
      <c r="S75" s="5"/>
      <c r="T75" s="5"/>
      <c r="U75" s="5"/>
      <c r="V75" s="5"/>
      <c r="Y75" s="5"/>
      <c r="Z75" s="56"/>
      <c r="AA75" s="56"/>
      <c r="AB75" s="56"/>
      <c r="AC75" s="56"/>
      <c r="AD75" s="56"/>
      <c r="AE75" s="56"/>
      <c r="AF75" s="5"/>
      <c r="AG75" s="5"/>
      <c r="AH75" s="5"/>
      <c r="AI75" s="5"/>
      <c r="AJ75" s="5"/>
      <c r="AK75" s="5"/>
      <c r="AL75" s="5"/>
      <c r="AM75" s="5"/>
      <c r="AN75" s="5"/>
    </row>
    <row r="76" spans="1:40" ht="18.75" customHeight="1">
      <c r="N76" s="25"/>
      <c r="O76" s="25"/>
      <c r="P76" s="5"/>
      <c r="Q76" s="5"/>
      <c r="R76" s="5"/>
      <c r="S76" s="5"/>
      <c r="T76" s="5"/>
      <c r="U76" s="5"/>
      <c r="V76" s="5"/>
      <c r="Y76" s="5"/>
      <c r="Z76" s="56"/>
      <c r="AA76" s="56"/>
      <c r="AB76" s="56"/>
      <c r="AC76" s="56"/>
      <c r="AD76" s="56"/>
      <c r="AE76" s="56"/>
      <c r="AF76" s="5"/>
      <c r="AG76" s="5"/>
      <c r="AH76" s="5"/>
      <c r="AI76" s="5"/>
      <c r="AJ76" s="5"/>
      <c r="AK76" s="5"/>
      <c r="AL76" s="5"/>
      <c r="AM76" s="5"/>
      <c r="AN76" s="5"/>
    </row>
    <row r="77" spans="1:40" ht="18.75" customHeight="1">
      <c r="N77" s="25"/>
      <c r="O77" s="25"/>
      <c r="P77" s="5"/>
      <c r="Q77" s="5"/>
      <c r="R77" s="5"/>
      <c r="S77" s="5"/>
      <c r="T77" s="5"/>
      <c r="U77" s="5"/>
      <c r="V77" s="5"/>
      <c r="Y77" s="5"/>
      <c r="Z77" s="56"/>
      <c r="AA77" s="56"/>
      <c r="AB77" s="56"/>
      <c r="AC77" s="56"/>
      <c r="AD77" s="56"/>
      <c r="AE77" s="56"/>
      <c r="AF77" s="5"/>
      <c r="AG77" s="5"/>
      <c r="AH77" s="5"/>
      <c r="AI77" s="5"/>
      <c r="AJ77" s="5"/>
      <c r="AK77" s="5"/>
      <c r="AL77" s="5"/>
      <c r="AM77" s="5"/>
      <c r="AN77" s="5"/>
    </row>
    <row r="78" spans="1:40" ht="18.75" customHeight="1">
      <c r="N78" s="25"/>
      <c r="O78" s="25"/>
      <c r="P78" s="5"/>
      <c r="Q78" s="5"/>
      <c r="R78" s="5"/>
      <c r="S78" s="5"/>
      <c r="T78" s="5"/>
      <c r="U78" s="5"/>
      <c r="V78" s="5"/>
      <c r="Y78" s="5"/>
      <c r="Z78" s="56"/>
      <c r="AA78" s="56"/>
      <c r="AB78" s="56"/>
      <c r="AC78" s="56"/>
      <c r="AD78" s="56"/>
      <c r="AE78" s="56"/>
      <c r="AF78" s="5"/>
      <c r="AG78" s="5"/>
      <c r="AH78" s="5"/>
      <c r="AI78" s="5"/>
      <c r="AJ78" s="5"/>
      <c r="AK78" s="5"/>
      <c r="AL78" s="5"/>
      <c r="AM78" s="5"/>
      <c r="AN78" s="5"/>
    </row>
    <row r="79" spans="1:40" ht="18.75" customHeight="1">
      <c r="N79" s="25"/>
      <c r="O79" s="25"/>
      <c r="P79" s="5"/>
      <c r="Q79" s="5"/>
      <c r="R79" s="5"/>
      <c r="S79" s="5"/>
      <c r="T79" s="5"/>
      <c r="U79" s="5"/>
      <c r="V79" s="5"/>
      <c r="Y79" s="5"/>
      <c r="Z79" s="56"/>
      <c r="AA79" s="56"/>
      <c r="AB79" s="56"/>
      <c r="AC79" s="56"/>
      <c r="AD79" s="56"/>
      <c r="AE79" s="56"/>
      <c r="AF79" s="5"/>
      <c r="AG79" s="5"/>
      <c r="AH79" s="5"/>
      <c r="AI79" s="5"/>
      <c r="AJ79" s="5"/>
      <c r="AK79" s="5"/>
      <c r="AL79" s="5"/>
      <c r="AM79" s="5"/>
      <c r="AN79" s="5"/>
    </row>
    <row r="80" spans="1:40" ht="18.75" customHeight="1">
      <c r="N80" s="25"/>
      <c r="O80" s="25"/>
      <c r="P80" s="5"/>
      <c r="Q80" s="5"/>
      <c r="R80" s="5"/>
      <c r="S80" s="5"/>
      <c r="T80" s="5"/>
      <c r="U80" s="5"/>
      <c r="V80" s="5"/>
      <c r="Y80" s="5"/>
      <c r="Z80" s="56"/>
      <c r="AA80" s="56"/>
      <c r="AB80" s="56"/>
      <c r="AC80" s="56"/>
      <c r="AD80" s="56"/>
      <c r="AE80" s="56"/>
      <c r="AF80" s="5"/>
      <c r="AG80" s="5"/>
      <c r="AH80" s="5"/>
      <c r="AI80" s="5"/>
      <c r="AJ80" s="5"/>
      <c r="AK80" s="5"/>
      <c r="AL80" s="5"/>
      <c r="AM80" s="5"/>
      <c r="AN80" s="5"/>
    </row>
    <row r="81" spans="1:40" ht="18.75" customHeight="1">
      <c r="N81" s="25"/>
      <c r="O81" s="25"/>
      <c r="P81" s="5"/>
      <c r="Q81" s="5"/>
      <c r="R81" s="5"/>
      <c r="S81" s="5"/>
      <c r="T81" s="5"/>
      <c r="U81" s="5"/>
      <c r="V81" s="5"/>
      <c r="Y81" s="5"/>
      <c r="Z81" s="56"/>
      <c r="AA81" s="56"/>
      <c r="AB81" s="56"/>
      <c r="AC81" s="56"/>
      <c r="AD81" s="56"/>
      <c r="AE81" s="56"/>
      <c r="AF81" s="5"/>
      <c r="AG81" s="5"/>
      <c r="AH81" s="5"/>
      <c r="AI81" s="5"/>
      <c r="AJ81" s="5"/>
      <c r="AK81" s="5"/>
      <c r="AL81" s="5"/>
      <c r="AM81" s="5"/>
      <c r="AN81" s="5"/>
    </row>
    <row r="82" spans="1:40" ht="18.75" customHeight="1">
      <c r="N82" s="25"/>
      <c r="O82" s="25"/>
      <c r="P82" s="5"/>
      <c r="Q82" s="5"/>
      <c r="R82" s="5"/>
      <c r="S82" s="5"/>
      <c r="T82" s="5"/>
      <c r="U82" s="5"/>
      <c r="V82" s="5"/>
      <c r="Y82" s="5"/>
      <c r="Z82" s="56"/>
      <c r="AA82" s="56"/>
      <c r="AB82" s="56"/>
      <c r="AC82" s="56"/>
      <c r="AD82" s="56"/>
      <c r="AE82" s="56"/>
      <c r="AF82" s="5"/>
      <c r="AG82" s="5"/>
      <c r="AH82" s="5"/>
      <c r="AI82" s="5"/>
      <c r="AJ82" s="5"/>
      <c r="AK82" s="5"/>
      <c r="AL82" s="5"/>
      <c r="AM82" s="5"/>
      <c r="AN82" s="5"/>
    </row>
    <row r="83" spans="1:40" ht="18.75" customHeight="1">
      <c r="N83" s="25"/>
      <c r="O83" s="25"/>
      <c r="P83" s="5"/>
      <c r="Q83" s="5"/>
      <c r="R83" s="5"/>
      <c r="S83" s="5"/>
      <c r="T83" s="5"/>
      <c r="U83" s="5"/>
      <c r="V83" s="5"/>
      <c r="Y83" s="5"/>
      <c r="Z83" s="56"/>
      <c r="AA83" s="56"/>
      <c r="AB83" s="56"/>
      <c r="AC83" s="56"/>
      <c r="AD83" s="56"/>
      <c r="AE83" s="56"/>
      <c r="AF83" s="5"/>
      <c r="AG83" s="5"/>
      <c r="AH83" s="5"/>
      <c r="AI83" s="5"/>
      <c r="AJ83" s="5"/>
      <c r="AK83" s="5"/>
      <c r="AL83" s="5"/>
      <c r="AM83" s="5"/>
      <c r="AN83" s="5"/>
    </row>
    <row r="84" spans="1:40" ht="18.75" customHeight="1">
      <c r="N84" s="25"/>
      <c r="O84" s="25"/>
      <c r="P84" s="5"/>
      <c r="Q84" s="5"/>
      <c r="R84" s="5"/>
      <c r="S84" s="5"/>
      <c r="T84" s="5"/>
      <c r="U84" s="5"/>
      <c r="V84" s="5"/>
      <c r="Y84" s="5"/>
      <c r="Z84" s="56"/>
      <c r="AA84" s="56"/>
      <c r="AB84" s="56"/>
      <c r="AC84" s="56"/>
      <c r="AD84" s="56"/>
      <c r="AE84" s="56"/>
      <c r="AF84" s="5"/>
      <c r="AG84" s="5"/>
      <c r="AH84" s="5"/>
      <c r="AI84" s="5"/>
      <c r="AJ84" s="5"/>
      <c r="AK84" s="5"/>
      <c r="AL84" s="5"/>
      <c r="AM84" s="5"/>
      <c r="AN84" s="5"/>
    </row>
    <row r="85" spans="1:40" ht="18.75" customHeight="1">
      <c r="N85" s="25"/>
      <c r="O85" s="25"/>
      <c r="P85" s="5"/>
      <c r="Q85" s="5"/>
      <c r="R85" s="5"/>
      <c r="S85" s="5"/>
      <c r="T85" s="5"/>
      <c r="U85" s="5"/>
      <c r="V85" s="5"/>
      <c r="Y85" s="5"/>
      <c r="Z85" s="56"/>
      <c r="AA85" s="56"/>
      <c r="AB85" s="56"/>
      <c r="AC85" s="56"/>
      <c r="AD85" s="56"/>
      <c r="AE85" s="56"/>
      <c r="AF85" s="5"/>
      <c r="AG85" s="5"/>
      <c r="AH85" s="5"/>
      <c r="AI85" s="5"/>
      <c r="AJ85" s="5"/>
      <c r="AK85" s="5"/>
      <c r="AL85" s="5"/>
      <c r="AM85" s="5"/>
      <c r="AN85" s="5"/>
    </row>
    <row r="86" spans="1:40" ht="18.75" customHeight="1">
      <c r="N86" s="25"/>
      <c r="O86" s="25"/>
      <c r="P86" s="5"/>
      <c r="Q86" s="5"/>
      <c r="R86" s="5"/>
      <c r="S86" s="5"/>
      <c r="T86" s="5"/>
      <c r="U86" s="5"/>
      <c r="V86" s="5"/>
      <c r="Y86" s="5"/>
      <c r="Z86" s="56"/>
      <c r="AA86" s="56"/>
      <c r="AB86" s="56"/>
      <c r="AC86" s="56"/>
      <c r="AD86" s="56"/>
      <c r="AE86" s="56"/>
      <c r="AF86" s="5"/>
      <c r="AG86" s="5"/>
      <c r="AH86" s="5"/>
      <c r="AI86" s="5"/>
      <c r="AJ86" s="5"/>
      <c r="AK86" s="5"/>
      <c r="AL86" s="5"/>
      <c r="AM86" s="5"/>
      <c r="AN86" s="5"/>
    </row>
    <row r="87" spans="1:40" ht="18.75" customHeight="1">
      <c r="N87" s="25"/>
      <c r="O87" s="25"/>
      <c r="P87" s="5"/>
      <c r="Q87" s="5"/>
      <c r="R87" s="5"/>
      <c r="S87" s="5"/>
      <c r="T87" s="5"/>
      <c r="U87" s="5"/>
      <c r="V87" s="5"/>
      <c r="Y87" s="5"/>
      <c r="Z87" s="56"/>
      <c r="AA87" s="56"/>
      <c r="AB87" s="56"/>
      <c r="AC87" s="56"/>
      <c r="AD87" s="56"/>
      <c r="AE87" s="56"/>
      <c r="AF87" s="5"/>
      <c r="AG87" s="5"/>
      <c r="AH87" s="5"/>
      <c r="AI87" s="5"/>
      <c r="AJ87" s="5"/>
      <c r="AK87" s="5"/>
      <c r="AL87" s="5"/>
      <c r="AM87" s="5"/>
      <c r="AN87" s="5"/>
    </row>
    <row r="88" spans="1:40" ht="18.75" customHeight="1">
      <c r="N88" s="25"/>
      <c r="O88" s="25"/>
      <c r="P88" s="5"/>
      <c r="Q88" s="5"/>
      <c r="R88" s="5"/>
      <c r="S88" s="5"/>
      <c r="T88" s="5"/>
      <c r="U88" s="5"/>
      <c r="V88" s="5"/>
      <c r="Y88" s="5"/>
      <c r="Z88" s="56"/>
      <c r="AA88" s="56"/>
      <c r="AB88" s="56"/>
      <c r="AC88" s="56"/>
      <c r="AD88" s="56"/>
      <c r="AE88" s="56"/>
      <c r="AF88" s="5"/>
      <c r="AG88" s="5"/>
      <c r="AH88" s="5"/>
      <c r="AI88" s="5"/>
      <c r="AJ88" s="5"/>
      <c r="AK88" s="5"/>
      <c r="AL88" s="5"/>
      <c r="AM88" s="5"/>
      <c r="AN88" s="5"/>
    </row>
    <row r="89" spans="1:40" ht="18.75" customHeight="1">
      <c r="N89" s="25"/>
      <c r="O89" s="25"/>
      <c r="P89" s="5"/>
      <c r="Q89" s="5"/>
      <c r="R89" s="5"/>
      <c r="S89" s="5"/>
      <c r="T89" s="5"/>
      <c r="U89" s="5"/>
      <c r="V89" s="5"/>
      <c r="Y89" s="5"/>
      <c r="Z89" s="56"/>
      <c r="AA89" s="56"/>
      <c r="AB89" s="56"/>
      <c r="AC89" s="56"/>
      <c r="AD89" s="56"/>
      <c r="AE89" s="56"/>
      <c r="AF89" s="5"/>
      <c r="AG89" s="5"/>
      <c r="AH89" s="5"/>
      <c r="AI89" s="5"/>
      <c r="AJ89" s="5"/>
      <c r="AK89" s="5"/>
      <c r="AL89" s="5"/>
      <c r="AM89" s="5"/>
      <c r="AN89" s="5"/>
    </row>
    <row r="90" spans="1:40" ht="18.75" customHeight="1" thickBot="1">
      <c r="N90" s="25"/>
      <c r="O90" s="25"/>
      <c r="P90" s="5"/>
      <c r="Q90" s="5"/>
      <c r="R90" s="5"/>
      <c r="S90" s="5"/>
      <c r="T90" s="5"/>
      <c r="U90" s="5"/>
      <c r="V90" s="5"/>
      <c r="Y90" s="5"/>
      <c r="Z90" s="56"/>
      <c r="AA90" s="56"/>
      <c r="AB90" s="56"/>
      <c r="AC90" s="56"/>
      <c r="AD90" s="56"/>
      <c r="AE90" s="56"/>
      <c r="AF90" s="5"/>
      <c r="AG90" s="5"/>
      <c r="AH90" s="5"/>
      <c r="AI90" s="5"/>
      <c r="AJ90" s="5"/>
      <c r="AK90" s="5"/>
      <c r="AL90" s="5"/>
      <c r="AM90" s="5"/>
      <c r="AN90" s="5"/>
    </row>
    <row r="91" spans="1:40" ht="18.75" customHeight="1" thickBot="1">
      <c r="A91" s="161" t="s">
        <v>30</v>
      </c>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3"/>
      <c r="AF91" s="5"/>
      <c r="AG91" s="5"/>
      <c r="AH91" s="5"/>
      <c r="AI91" s="5"/>
      <c r="AJ91" s="5"/>
      <c r="AK91" s="5"/>
      <c r="AL91" s="5"/>
      <c r="AM91" s="5"/>
      <c r="AN91" s="5"/>
    </row>
    <row r="92" spans="1:40" ht="18.75" customHeight="1">
      <c r="A92" s="140">
        <v>0</v>
      </c>
      <c r="B92" s="140">
        <v>1</v>
      </c>
      <c r="C92" s="140">
        <v>2</v>
      </c>
      <c r="D92" s="140">
        <v>3</v>
      </c>
      <c r="E92" s="140">
        <v>4</v>
      </c>
      <c r="F92" s="140">
        <v>5</v>
      </c>
      <c r="G92" s="140">
        <v>6</v>
      </c>
      <c r="H92" s="140">
        <v>7</v>
      </c>
      <c r="I92" s="140">
        <v>8</v>
      </c>
      <c r="J92" s="140">
        <v>9</v>
      </c>
      <c r="K92" s="140">
        <v>10</v>
      </c>
      <c r="L92" s="140">
        <v>11</v>
      </c>
      <c r="M92" s="140">
        <v>12</v>
      </c>
      <c r="N92" s="140">
        <f>M92+1</f>
        <v>13</v>
      </c>
      <c r="O92" s="140">
        <f t="shared" ref="O92:AE92" si="1">N92+1</f>
        <v>14</v>
      </c>
      <c r="P92" s="140">
        <f t="shared" si="1"/>
        <v>15</v>
      </c>
      <c r="Q92" s="140">
        <f t="shared" si="1"/>
        <v>16</v>
      </c>
      <c r="R92" s="140">
        <f t="shared" si="1"/>
        <v>17</v>
      </c>
      <c r="S92" s="140">
        <f t="shared" si="1"/>
        <v>18</v>
      </c>
      <c r="T92" s="140">
        <f t="shared" si="1"/>
        <v>19</v>
      </c>
      <c r="U92" s="140">
        <f t="shared" si="1"/>
        <v>20</v>
      </c>
      <c r="V92" s="140">
        <f t="shared" si="1"/>
        <v>21</v>
      </c>
      <c r="W92" s="140">
        <f t="shared" si="1"/>
        <v>22</v>
      </c>
      <c r="X92" s="140">
        <f t="shared" si="1"/>
        <v>23</v>
      </c>
      <c r="Y92" s="140">
        <f t="shared" si="1"/>
        <v>24</v>
      </c>
      <c r="Z92" s="140">
        <f t="shared" si="1"/>
        <v>25</v>
      </c>
      <c r="AA92" s="140">
        <f t="shared" si="1"/>
        <v>26</v>
      </c>
      <c r="AB92" s="140">
        <f t="shared" si="1"/>
        <v>27</v>
      </c>
      <c r="AC92" s="140">
        <f t="shared" si="1"/>
        <v>28</v>
      </c>
      <c r="AD92" s="140">
        <f t="shared" si="1"/>
        <v>29</v>
      </c>
      <c r="AE92" s="140">
        <f t="shared" si="1"/>
        <v>30</v>
      </c>
      <c r="AF92" s="5"/>
      <c r="AG92" s="5"/>
      <c r="AH92" s="5"/>
      <c r="AI92" s="5"/>
      <c r="AJ92" s="5"/>
      <c r="AK92" s="5"/>
      <c r="AL92" s="5"/>
      <c r="AM92" s="5"/>
      <c r="AN92" s="5"/>
    </row>
    <row r="93" spans="1:40" ht="18.75" customHeight="1">
      <c r="N93" s="25"/>
      <c r="O93" s="25"/>
      <c r="P93" s="5"/>
      <c r="Q93" s="5"/>
      <c r="R93" s="5"/>
      <c r="S93" s="5"/>
      <c r="T93" s="5"/>
      <c r="U93" s="5"/>
      <c r="V93" s="5"/>
      <c r="Y93" s="5"/>
      <c r="Z93" s="56"/>
      <c r="AA93" s="56"/>
      <c r="AB93" s="56"/>
      <c r="AC93" s="56"/>
      <c r="AD93" s="56"/>
      <c r="AE93" s="56"/>
      <c r="AF93" s="5"/>
      <c r="AG93" s="5"/>
      <c r="AH93" s="5"/>
      <c r="AI93" s="5"/>
      <c r="AJ93" s="5"/>
      <c r="AK93" s="5"/>
      <c r="AL93" s="5"/>
      <c r="AM93" s="5"/>
      <c r="AN93" s="5"/>
    </row>
    <row r="94" spans="1:40" ht="18.75" customHeight="1">
      <c r="N94" s="25"/>
      <c r="O94" s="25"/>
      <c r="P94" s="5"/>
      <c r="Q94" s="5"/>
      <c r="R94" s="5"/>
      <c r="S94" s="5"/>
      <c r="T94" s="5"/>
      <c r="U94" s="5"/>
      <c r="V94" s="5"/>
      <c r="Y94" s="5"/>
      <c r="Z94" s="56"/>
      <c r="AA94" s="56"/>
      <c r="AB94" s="56"/>
      <c r="AC94" s="56"/>
      <c r="AD94" s="56"/>
      <c r="AE94" s="56"/>
      <c r="AF94" s="5"/>
      <c r="AG94" s="5"/>
      <c r="AH94" s="5"/>
      <c r="AI94" s="5"/>
      <c r="AJ94" s="5"/>
      <c r="AK94" s="5"/>
      <c r="AL94" s="5"/>
      <c r="AM94" s="5"/>
      <c r="AN94" s="5"/>
    </row>
    <row r="95" spans="1:40" ht="18.75" customHeight="1">
      <c r="Y95" s="5"/>
      <c r="Z95" s="56"/>
      <c r="AA95" s="56"/>
      <c r="AB95" s="56"/>
      <c r="AC95" s="56"/>
      <c r="AD95" s="56"/>
      <c r="AE95" s="56"/>
      <c r="AF95" s="5"/>
      <c r="AG95" s="5"/>
      <c r="AH95" s="5"/>
      <c r="AI95" s="5"/>
      <c r="AJ95" s="5"/>
      <c r="AK95" s="5"/>
      <c r="AL95" s="5"/>
      <c r="AM95" s="5"/>
      <c r="AN95" s="5"/>
    </row>
    <row r="96" spans="1:40" ht="18.75" customHeight="1">
      <c r="W96" s="143"/>
      <c r="X96" s="143"/>
      <c r="AE96" s="26">
        <f>IF(AE14&gt;Exercise,AE14-Exercise,0)</f>
        <v>105.46253320276597</v>
      </c>
      <c r="AF96" s="5"/>
      <c r="AG96" s="5"/>
      <c r="AH96" s="5"/>
      <c r="AI96" s="5"/>
      <c r="AJ96" s="5"/>
      <c r="AK96" s="5"/>
      <c r="AL96" s="5"/>
      <c r="AM96" s="5"/>
      <c r="AN96" s="5"/>
    </row>
    <row r="97" spans="1:40" ht="18.75" customHeight="1">
      <c r="W97" s="143"/>
      <c r="X97" s="143"/>
      <c r="AD97" s="26">
        <f>IF(AVERAGE(AD15,AE14)&gt;Exercise,AVERAGE(AD15,AE14)-Exercise,0)</f>
        <v>102.78025071451037</v>
      </c>
      <c r="AE97" s="26"/>
      <c r="AF97" s="5"/>
      <c r="AG97" s="5"/>
      <c r="AH97" s="5"/>
      <c r="AI97" s="5"/>
      <c r="AJ97" s="5"/>
      <c r="AK97" s="5"/>
      <c r="AL97" s="5"/>
      <c r="AM97" s="5"/>
      <c r="AN97" s="5"/>
    </row>
    <row r="98" spans="1:40" ht="18.75" customHeight="1">
      <c r="W98" s="143"/>
      <c r="X98" s="143"/>
      <c r="AC98" s="26">
        <f>IF(AVERAGE(AC16,AD15,AE14)&gt;Exercise,AVERAGE(AC16,AD15,AE14)-Exercise,0)</f>
        <v>100.14354808465725</v>
      </c>
      <c r="AD98" s="26"/>
      <c r="AE98" s="26">
        <f>IF(AE16&gt;Exercise,AE16-Exercise,0)</f>
        <v>94.870142824950989</v>
      </c>
      <c r="AF98" s="5"/>
      <c r="AG98" s="5"/>
      <c r="AH98" s="5"/>
      <c r="AI98" s="5"/>
      <c r="AJ98" s="5"/>
      <c r="AK98" s="5"/>
      <c r="AL98" s="5"/>
      <c r="AM98" s="5"/>
      <c r="AN98" s="5"/>
    </row>
    <row r="99" spans="1:40" ht="18.75" customHeight="1">
      <c r="W99" s="143"/>
      <c r="X99" s="143"/>
      <c r="AB99" s="26">
        <f>IF(AB17&gt;Exercise,AB17-Exercise,0)</f>
        <v>89.775571588292905</v>
      </c>
      <c r="AC99" s="26"/>
      <c r="AD99" s="26">
        <f>IF(AD17&gt;Exercise,AD17-Exercise,0)</f>
        <v>89.775571588292905</v>
      </c>
      <c r="AE99" s="26"/>
      <c r="AF99" s="5"/>
      <c r="AG99" s="5"/>
      <c r="AH99" s="5"/>
      <c r="AI99" s="5"/>
      <c r="AJ99" s="5"/>
      <c r="AK99" s="5"/>
      <c r="AL99" s="5"/>
      <c r="AM99" s="5"/>
      <c r="AN99" s="5"/>
    </row>
    <row r="100" spans="1:40" ht="18.75" customHeight="1">
      <c r="W100" s="143"/>
      <c r="X100" s="143"/>
      <c r="AA100" s="26">
        <f>IF(AA18&gt;Exercise,AA18-Exercise,0)</f>
        <v>84.810857946764031</v>
      </c>
      <c r="AB100" s="26"/>
      <c r="AC100" s="26">
        <f>IF(AC18&gt;Exercise,AC18-Exercise,0)</f>
        <v>84.810857946764003</v>
      </c>
      <c r="AD100" s="26"/>
      <c r="AE100" s="26">
        <f>IF(AE18&gt;Exercise,AE18-Exercise,0)</f>
        <v>84.810857946764003</v>
      </c>
      <c r="AF100" s="5"/>
      <c r="AG100" s="5"/>
      <c r="AH100" s="5"/>
      <c r="AI100" s="5"/>
      <c r="AJ100" s="5"/>
      <c r="AK100" s="5"/>
      <c r="AL100" s="5"/>
      <c r="AM100" s="5"/>
      <c r="AN100" s="5"/>
    </row>
    <row r="101" spans="1:40" ht="18.75" customHeight="1">
      <c r="W101" s="143"/>
      <c r="X101" s="143"/>
      <c r="Z101" s="26">
        <f>IF(Z19&gt;Exercise,Z19-Exercise,0)</f>
        <v>79.972691907387656</v>
      </c>
      <c r="AA101" s="26"/>
      <c r="AB101" s="26">
        <f>IF(AB19&gt;Exercise,AB19-Exercise,0)</f>
        <v>79.972691907387656</v>
      </c>
      <c r="AC101" s="26"/>
      <c r="AD101" s="26">
        <f>IF(AD19&gt;Exercise,AD19-Exercise,0)</f>
        <v>79.972691907387627</v>
      </c>
      <c r="AE101" s="26"/>
      <c r="AF101" s="5"/>
      <c r="AG101" s="5"/>
      <c r="AH101" s="5"/>
      <c r="AI101" s="5"/>
      <c r="AJ101" s="5"/>
      <c r="AK101" s="5"/>
      <c r="AL101" s="5"/>
      <c r="AM101" s="5"/>
      <c r="AN101" s="5"/>
    </row>
    <row r="102" spans="1:40" ht="18.75" customHeight="1">
      <c r="W102" s="143"/>
      <c r="X102" s="143"/>
      <c r="Y102" s="26">
        <f>IF(Y20&gt;Exercise,Y20-Exercise,0)</f>
        <v>75.257847846942241</v>
      </c>
      <c r="Z102" s="26"/>
      <c r="AA102" s="26">
        <f>IF(AA20&gt;Exercise,AA20-Exercise,0)</f>
        <v>75.257847846942212</v>
      </c>
      <c r="AB102" s="26"/>
      <c r="AC102" s="26">
        <f>IF(AC20&gt;Exercise,AC20-Exercise,0)</f>
        <v>75.257847846942212</v>
      </c>
      <c r="AD102" s="26"/>
      <c r="AE102" s="26">
        <f>IF(AE20&gt;Exercise,AE20-Exercise,0)</f>
        <v>75.257847846942184</v>
      </c>
      <c r="AF102" s="5"/>
      <c r="AG102" s="5"/>
      <c r="AH102" s="5"/>
      <c r="AI102" s="5"/>
      <c r="AJ102" s="5"/>
      <c r="AK102" s="5"/>
      <c r="AL102" s="5"/>
      <c r="AM102" s="5"/>
      <c r="AN102" s="5"/>
    </row>
    <row r="103" spans="1:40" ht="18.75" customHeight="1">
      <c r="W103" s="143"/>
      <c r="X103" s="26">
        <f>IF(X21&gt;Exercise,X21-Exercise,0)</f>
        <v>70.663182361426379</v>
      </c>
      <c r="Y103" s="26"/>
      <c r="Z103" s="26">
        <f>IF(Z21&gt;Exercise,Z21-Exercise,0)</f>
        <v>70.663182361426379</v>
      </c>
      <c r="AA103" s="26"/>
      <c r="AB103" s="26">
        <f>IF(AB21&gt;Exercise,AB21-Exercise,0)</f>
        <v>70.663182361426351</v>
      </c>
      <c r="AC103" s="26"/>
      <c r="AD103" s="26">
        <f>IF(AD21&gt;Exercise,AD21-Exercise,0)</f>
        <v>70.663182361426351</v>
      </c>
      <c r="AE103" s="26"/>
      <c r="AF103" s="5"/>
      <c r="AG103" s="5"/>
      <c r="AH103" s="5"/>
      <c r="AI103" s="5"/>
      <c r="AJ103" s="5"/>
      <c r="AK103" s="5"/>
      <c r="AL103" s="5"/>
      <c r="AM103" s="5"/>
      <c r="AN103" s="5"/>
    </row>
    <row r="104" spans="1:40" ht="18.75" customHeight="1">
      <c r="W104" s="26">
        <f>IF(W22&gt;Exercise,W22-Exercise,0)</f>
        <v>66.185632170339858</v>
      </c>
      <c r="X104" s="26"/>
      <c r="Y104" s="26">
        <f>IF(Y22&gt;Exercise,Y22-Exercise,0)</f>
        <v>66.185632170339829</v>
      </c>
      <c r="Z104" s="26"/>
      <c r="AA104" s="26">
        <f>IF(AA22&gt;Exercise,AA22-Exercise,0)</f>
        <v>66.185632170339829</v>
      </c>
      <c r="AB104" s="26"/>
      <c r="AC104" s="26">
        <f>IF(AC22&gt;Exercise,AC22-Exercise,0)</f>
        <v>66.185632170339801</v>
      </c>
      <c r="AD104" s="26"/>
      <c r="AE104" s="26">
        <f>IF(AE22&gt;Exercise,AE22-Exercise,0)</f>
        <v>66.185632170339801</v>
      </c>
      <c r="AF104" s="5"/>
      <c r="AG104" s="5"/>
      <c r="AH104" s="5"/>
      <c r="AI104" s="5"/>
      <c r="AJ104" s="5"/>
      <c r="AK104" s="5"/>
      <c r="AL104" s="5"/>
      <c r="AM104" s="5"/>
      <c r="AN104" s="5"/>
    </row>
    <row r="105" spans="1:40" ht="18.75" customHeight="1">
      <c r="V105" s="26">
        <f>IF(V23&gt;Exercise,V23-Exercise,0)</f>
        <v>61.82221207438306</v>
      </c>
      <c r="W105" s="26"/>
      <c r="X105" s="26">
        <f>IF(X23&gt;Exercise,X23-Exercise,0)</f>
        <v>61.822212074383032</v>
      </c>
      <c r="Y105" s="26"/>
      <c r="Z105" s="26">
        <f>IF(Z23&gt;Exercise,Z23-Exercise,0)</f>
        <v>61.822212074383003</v>
      </c>
      <c r="AA105" s="26"/>
      <c r="AB105" s="26">
        <f>IF(AB23&gt;Exercise,AB23-Exercise,0)</f>
        <v>61.822212074383003</v>
      </c>
      <c r="AC105" s="26"/>
      <c r="AD105" s="26">
        <f>IF(AD23&gt;Exercise,AD23-Exercise,0)</f>
        <v>61.822212074382975</v>
      </c>
      <c r="AE105" s="26"/>
      <c r="AF105" s="5"/>
      <c r="AG105" s="5"/>
      <c r="AH105" s="5"/>
      <c r="AI105" s="5"/>
      <c r="AJ105" s="5"/>
      <c r="AK105" s="5"/>
      <c r="AL105" s="5"/>
      <c r="AM105" s="5"/>
      <c r="AN105" s="5"/>
    </row>
    <row r="106" spans="1:40" ht="18.75" customHeight="1">
      <c r="U106" s="26">
        <f>IF(U24&gt;Exercise,U24-Exercise,0)</f>
        <v>57.570012965213579</v>
      </c>
      <c r="V106" s="26"/>
      <c r="W106" s="26">
        <f>IF(W24&gt;Exercise,W24-Exercise,0)</f>
        <v>57.570012965213579</v>
      </c>
      <c r="X106" s="26"/>
      <c r="Y106" s="26">
        <f>IF(Y24&gt;Exercise,Y24-Exercise,0)</f>
        <v>57.57001296521355</v>
      </c>
      <c r="Z106" s="26"/>
      <c r="AA106" s="26">
        <f>IF(AA24&gt;Exercise,AA24-Exercise,0)</f>
        <v>57.570012965213522</v>
      </c>
      <c r="AB106" s="26"/>
      <c r="AC106" s="26">
        <f>IF(AC24&gt;Exercise,AC24-Exercise,0)</f>
        <v>57.570012965213522</v>
      </c>
      <c r="AD106" s="26"/>
      <c r="AE106" s="26">
        <f>IF(AE24&gt;Exercise,AE24-Exercise,0)</f>
        <v>57.570012965213493</v>
      </c>
      <c r="AF106" s="5"/>
      <c r="AG106" s="5"/>
      <c r="AH106" s="5"/>
      <c r="AI106" s="5"/>
      <c r="AJ106" s="5"/>
      <c r="AK106" s="5"/>
      <c r="AL106" s="5"/>
      <c r="AM106" s="5"/>
      <c r="AN106" s="5"/>
    </row>
    <row r="107" spans="1:40" ht="18.75" customHeight="1">
      <c r="T107" s="26">
        <f>IF(T25&gt;Exercise,T25-Exercise,0)</f>
        <v>53.426199885932988</v>
      </c>
      <c r="U107" s="26"/>
      <c r="V107" s="26">
        <f>IF(V25&gt;Exercise,V25-Exercise,0)</f>
        <v>53.426199885932959</v>
      </c>
      <c r="W107" s="26"/>
      <c r="X107" s="26">
        <f>IF(X25&gt;Exercise,X25-Exercise,0)</f>
        <v>53.426199885932959</v>
      </c>
      <c r="Y107" s="26"/>
      <c r="Z107" s="26">
        <f>IF(Z25&gt;Exercise,Z25-Exercise,0)</f>
        <v>53.426199885932931</v>
      </c>
      <c r="AA107" s="26"/>
      <c r="AB107" s="26">
        <f>IF(AB25&gt;Exercise,AB25-Exercise,0)</f>
        <v>53.426199885932903</v>
      </c>
      <c r="AC107" s="26"/>
      <c r="AD107" s="26">
        <f>IF(AD25&gt;Exercise,AD25-Exercise,0)</f>
        <v>53.426199885932903</v>
      </c>
      <c r="AE107" s="26"/>
      <c r="AF107" s="5"/>
      <c r="AG107" s="5"/>
      <c r="AH107" s="5"/>
      <c r="AI107" s="5"/>
      <c r="AJ107" s="5"/>
      <c r="AK107" s="5"/>
      <c r="AL107" s="5"/>
      <c r="AM107" s="5"/>
      <c r="AN107" s="5"/>
    </row>
    <row r="108" spans="1:40" ht="18.75" customHeight="1">
      <c r="S108" s="26">
        <f>IF(S26&gt;Exercise,S26-Exercise,0)</f>
        <v>49.388010141010426</v>
      </c>
      <c r="T108" s="26"/>
      <c r="U108" s="26">
        <f>IF(U26&gt;Exercise,U26-Exercise,0)</f>
        <v>49.388010141010426</v>
      </c>
      <c r="V108" s="26"/>
      <c r="W108" s="26">
        <f>IF(W26&gt;Exercise,W26-Exercise,0)</f>
        <v>49.388010141010398</v>
      </c>
      <c r="X108" s="26"/>
      <c r="Y108" s="26">
        <f>IF(Y26&gt;Exercise,Y26-Exercise,0)</f>
        <v>49.388010141010398</v>
      </c>
      <c r="Z108" s="26"/>
      <c r="AA108" s="26">
        <f>IF(AA26&gt;Exercise,AA26-Exercise,0)</f>
        <v>49.388010141010369</v>
      </c>
      <c r="AB108" s="26"/>
      <c r="AC108" s="26">
        <f>IF(AC26&gt;Exercise,AC26-Exercise,0)</f>
        <v>49.388010141010341</v>
      </c>
      <c r="AD108" s="26"/>
      <c r="AE108" s="26">
        <f>IF(AE26&gt;Exercise,AE26-Exercise,0)</f>
        <v>49.388010141010341</v>
      </c>
      <c r="AF108" s="5"/>
      <c r="AG108" s="5"/>
      <c r="AH108" s="5"/>
      <c r="AI108" s="5"/>
      <c r="AJ108" s="5"/>
      <c r="AK108" s="5"/>
      <c r="AL108" s="5"/>
      <c r="AM108" s="5"/>
      <c r="AN108" s="5"/>
    </row>
    <row r="109" spans="1:40" ht="18.75" customHeight="1">
      <c r="A109" s="25"/>
      <c r="B109" s="25"/>
      <c r="C109" s="25"/>
      <c r="D109" s="25"/>
      <c r="E109" s="25"/>
      <c r="F109" s="25"/>
      <c r="G109" s="25"/>
      <c r="H109" s="25"/>
      <c r="I109" s="25"/>
      <c r="J109" s="25"/>
      <c r="K109" s="25"/>
      <c r="L109" s="25"/>
      <c r="M109" s="25"/>
      <c r="R109" s="26">
        <f>IF(R27&gt;Exercise,R27-Exercise,0)</f>
        <v>45.452751454383389</v>
      </c>
      <c r="S109" s="26"/>
      <c r="T109" s="26">
        <f>IF(T27&gt;Exercise,T27-Exercise,0)</f>
        <v>45.452751454383389</v>
      </c>
      <c r="U109" s="26"/>
      <c r="V109" s="26">
        <f>IF(V27&gt;Exercise,V27-Exercise,0)</f>
        <v>45.452751454383389</v>
      </c>
      <c r="W109" s="26"/>
      <c r="X109" s="26">
        <f>IF(X27&gt;Exercise,X27-Exercise,0)</f>
        <v>45.45275145438336</v>
      </c>
      <c r="Y109" s="26"/>
      <c r="Z109" s="26">
        <f>IF(Z27&gt;Exercise,Z27-Exercise,0)</f>
        <v>45.45275145438336</v>
      </c>
      <c r="AA109" s="26"/>
      <c r="AB109" s="26">
        <f>IF(AB27&gt;Exercise,AB27-Exercise,0)</f>
        <v>45.452751454383332</v>
      </c>
      <c r="AC109" s="26"/>
      <c r="AD109" s="26">
        <f>IF(AD27&gt;Exercise,AD27-Exercise,0)</f>
        <v>45.452751454383304</v>
      </c>
      <c r="AE109" s="26"/>
      <c r="AF109" s="5"/>
      <c r="AG109" s="5"/>
      <c r="AH109" s="5"/>
      <c r="AI109" s="5"/>
      <c r="AJ109" s="5"/>
      <c r="AK109" s="5"/>
      <c r="AL109" s="5"/>
      <c r="AM109" s="5"/>
      <c r="AN109" s="5"/>
    </row>
    <row r="110" spans="1:40" ht="18.75" customHeight="1">
      <c r="A110" s="25"/>
      <c r="B110" s="25"/>
      <c r="C110" s="25"/>
      <c r="D110" s="25"/>
      <c r="E110" s="25"/>
      <c r="F110" s="25"/>
      <c r="G110" s="25"/>
      <c r="H110" s="25"/>
      <c r="I110" s="25"/>
      <c r="J110" s="25"/>
      <c r="K110" s="25"/>
      <c r="L110" s="25"/>
      <c r="M110" s="25"/>
      <c r="Q110" s="26">
        <f>IF(Q28&gt;Exercise,Q28-Exercise,0)</f>
        <v>41.617800174507238</v>
      </c>
      <c r="R110" s="26"/>
      <c r="S110" s="26">
        <f>IF(S28&gt;Exercise,S28-Exercise,0)</f>
        <v>41.617800174507238</v>
      </c>
      <c r="T110" s="26"/>
      <c r="U110" s="26">
        <f>IF(U28&gt;Exercise,U28-Exercise,0)</f>
        <v>41.617800174507238</v>
      </c>
      <c r="V110" s="26"/>
      <c r="W110" s="26">
        <f>IF(W28&gt;Exercise,W28-Exercise,0)</f>
        <v>41.617800174507238</v>
      </c>
      <c r="X110" s="26"/>
      <c r="Y110" s="26">
        <f>IF(Y28&gt;Exercise,Y28-Exercise,0)</f>
        <v>41.617800174507209</v>
      </c>
      <c r="Z110" s="26"/>
      <c r="AA110" s="26">
        <f>IF(AA28&gt;Exercise,AA28-Exercise,0)</f>
        <v>41.617800174507209</v>
      </c>
      <c r="AB110" s="26"/>
      <c r="AC110" s="26">
        <f>IF(AC28&gt;Exercise,AC28-Exercise,0)</f>
        <v>41.617800174507181</v>
      </c>
      <c r="AD110" s="26"/>
      <c r="AE110" s="26">
        <f>IF(AE28&gt;Exercise,AE28-Exercise,0)</f>
        <v>41.617800174507153</v>
      </c>
      <c r="AF110" s="5"/>
      <c r="AG110" s="5"/>
      <c r="AH110" s="5"/>
      <c r="AI110" s="5"/>
      <c r="AJ110" s="5"/>
      <c r="AK110" s="5"/>
      <c r="AL110" s="5"/>
      <c r="AM110" s="5"/>
      <c r="AN110" s="5"/>
    </row>
    <row r="111" spans="1:40" ht="18.75" customHeight="1">
      <c r="A111" s="25"/>
      <c r="B111" s="25"/>
      <c r="C111" s="25"/>
      <c r="D111" s="25"/>
      <c r="E111" s="25"/>
      <c r="F111" s="25"/>
      <c r="G111" s="25"/>
      <c r="H111" s="25"/>
      <c r="I111" s="25"/>
      <c r="J111" s="25"/>
      <c r="K111" s="25"/>
      <c r="L111" s="25"/>
      <c r="M111" s="25"/>
      <c r="P111" s="26">
        <f>IF(P29&gt;Exercise,P29-Exercise,0)</f>
        <v>37.88059952515701</v>
      </c>
      <c r="Q111" s="26"/>
      <c r="R111" s="26">
        <f>IF(R29&gt;Exercise,R29-Exercise,0)</f>
        <v>37.88059952515701</v>
      </c>
      <c r="S111" s="26"/>
      <c r="T111" s="26">
        <f>IF(T29&gt;Exercise,T29-Exercise,0)</f>
        <v>37.88059952515701</v>
      </c>
      <c r="U111" s="26"/>
      <c r="V111" s="26">
        <f>IF(V29&gt;Exercise,V29-Exercise,0)</f>
        <v>37.88059952515701</v>
      </c>
      <c r="W111" s="26"/>
      <c r="X111" s="26">
        <f>IF(X29&gt;Exercise,X29-Exercise,0)</f>
        <v>37.88059952515701</v>
      </c>
      <c r="Y111" s="26"/>
      <c r="Z111" s="26">
        <f>IF(Z29&gt;Exercise,Z29-Exercise,0)</f>
        <v>37.880599525156981</v>
      </c>
      <c r="AA111" s="26"/>
      <c r="AB111" s="26">
        <f>IF(AB29&gt;Exercise,AB29-Exercise,0)</f>
        <v>37.880599525156981</v>
      </c>
      <c r="AC111" s="26"/>
      <c r="AD111" s="26">
        <f>IF(AD29&gt;Exercise,AD29-Exercise,0)</f>
        <v>37.880599525156953</v>
      </c>
      <c r="AE111" s="26"/>
      <c r="AF111" s="5"/>
      <c r="AG111" s="5"/>
      <c r="AH111" s="5"/>
      <c r="AI111" s="5"/>
      <c r="AJ111" s="5"/>
      <c r="AK111" s="5"/>
      <c r="AL111" s="5"/>
      <c r="AM111" s="5"/>
      <c r="AN111" s="5"/>
    </row>
    <row r="112" spans="1:40" ht="18.75" customHeight="1">
      <c r="A112" s="25"/>
      <c r="B112" s="25"/>
      <c r="C112" s="25"/>
      <c r="D112" s="25"/>
      <c r="E112" s="25"/>
      <c r="F112" s="25"/>
      <c r="G112" s="25"/>
      <c r="H112" s="25"/>
      <c r="I112" s="25"/>
      <c r="J112" s="25"/>
      <c r="K112" s="25"/>
      <c r="L112" s="25"/>
      <c r="M112" s="25"/>
      <c r="O112" s="26">
        <f>IF(O30&gt;Exercise,O30-Exercise,0)</f>
        <v>34.238657900815213</v>
      </c>
      <c r="P112" s="26"/>
      <c r="Q112" s="26">
        <f>IF(Q30&gt;Exercise,Q30-Exercise,0)</f>
        <v>34.238657900815184</v>
      </c>
      <c r="R112" s="26"/>
      <c r="S112" s="26">
        <f>IF(S30&gt;Exercise,S30-Exercise,0)</f>
        <v>34.238657900815184</v>
      </c>
      <c r="T112" s="26"/>
      <c r="U112" s="26">
        <f>IF(U30&gt;Exercise,U30-Exercise,0)</f>
        <v>34.238657900815184</v>
      </c>
      <c r="V112" s="26"/>
      <c r="W112" s="26">
        <f>IF(W30&gt;Exercise,W30-Exercise,0)</f>
        <v>34.238657900815184</v>
      </c>
      <c r="X112" s="26"/>
      <c r="Y112" s="26">
        <f>IF(Y30&gt;Exercise,Y30-Exercise,0)</f>
        <v>34.238657900815184</v>
      </c>
      <c r="Z112" s="26"/>
      <c r="AA112" s="26">
        <f>IF(AA30&gt;Exercise,AA30-Exercise,0)</f>
        <v>34.238657900815156</v>
      </c>
      <c r="AB112" s="26"/>
      <c r="AC112" s="26">
        <f>IF(AC30&gt;Exercise,AC30-Exercise,0)</f>
        <v>34.238657900815156</v>
      </c>
      <c r="AD112" s="26"/>
      <c r="AE112" s="26">
        <f>IF(AE30&gt;Exercise,AE30-Exercise,0)</f>
        <v>34.238657900815127</v>
      </c>
      <c r="AF112" s="5"/>
      <c r="AG112" s="5"/>
      <c r="AH112" s="5"/>
      <c r="AI112" s="5"/>
      <c r="AJ112" s="5"/>
      <c r="AK112" s="5"/>
      <c r="AL112" s="5"/>
      <c r="AM112" s="5"/>
    </row>
    <row r="113" spans="1:39" ht="25.5" customHeight="1">
      <c r="A113" s="24" t="s">
        <v>29</v>
      </c>
      <c r="B113" s="5"/>
      <c r="C113" s="5"/>
      <c r="D113" s="5"/>
      <c r="E113" s="5"/>
      <c r="F113" s="5"/>
      <c r="G113" s="5"/>
      <c r="H113" s="5"/>
      <c r="I113" s="5"/>
      <c r="J113" s="5"/>
      <c r="K113" s="5"/>
      <c r="L113" s="5"/>
      <c r="M113" s="5"/>
      <c r="N113" s="26">
        <f>IF(N31&gt;Exercise,N31-Exercise,0)</f>
        <v>30.6895472055092</v>
      </c>
      <c r="O113" s="26"/>
      <c r="P113" s="26">
        <f>IF(P31&gt;Exercise,P31-Exercise,0)</f>
        <v>30.6895472055092</v>
      </c>
      <c r="Q113" s="26"/>
      <c r="R113" s="26">
        <f>IF(R31&gt;Exercise,R31-Exercise,0)</f>
        <v>30.689547205509172</v>
      </c>
      <c r="S113" s="26"/>
      <c r="T113" s="26">
        <f>IF(T31&gt;Exercise,T31-Exercise,0)</f>
        <v>30.689547205509172</v>
      </c>
      <c r="U113" s="26"/>
      <c r="V113" s="26">
        <f>IF(V31&gt;Exercise,V31-Exercise,0)</f>
        <v>30.689547205509172</v>
      </c>
      <c r="W113" s="26"/>
      <c r="X113" s="26">
        <f>IF(X31&gt;Exercise,X31-Exercise,0)</f>
        <v>30.689547205509172</v>
      </c>
      <c r="Y113" s="26"/>
      <c r="Z113" s="26">
        <f>IF(Z31&gt;Exercise,Z31-Exercise,0)</f>
        <v>30.689547205509172</v>
      </c>
      <c r="AA113" s="26"/>
      <c r="AB113" s="26">
        <f>IF(AB31&gt;Exercise,AB31-Exercise,0)</f>
        <v>30.689547205509143</v>
      </c>
      <c r="AC113" s="26"/>
      <c r="AD113" s="26">
        <f>IF(AD31&gt;Exercise,AD31-Exercise,0)</f>
        <v>30.689547205509143</v>
      </c>
      <c r="AE113" s="26"/>
      <c r="AF113" s="5"/>
      <c r="AG113" s="5"/>
      <c r="AH113" s="5"/>
      <c r="AI113" s="5"/>
      <c r="AJ113" s="5"/>
      <c r="AK113" s="5"/>
      <c r="AL113" s="5"/>
      <c r="AM113" s="5"/>
    </row>
    <row r="114" spans="1:39" ht="18.75" customHeight="1">
      <c r="A114" s="25"/>
      <c r="B114" s="25"/>
      <c r="C114" s="25"/>
      <c r="D114" s="25"/>
      <c r="E114" s="25"/>
      <c r="F114" s="25"/>
      <c r="G114" s="25"/>
      <c r="H114" s="25"/>
      <c r="I114" s="25"/>
      <c r="J114" s="25"/>
      <c r="K114" s="25"/>
      <c r="L114" s="25"/>
      <c r="M114" s="26">
        <f>IF(M32&gt;Exercise,M32-Exercise,0)</f>
        <v>27.230901233990664</v>
      </c>
      <c r="N114" s="26"/>
      <c r="O114" s="26">
        <f>IF(O32&gt;Exercise,O32-Exercise,0)</f>
        <v>27.230901233990664</v>
      </c>
      <c r="P114" s="26"/>
      <c r="Q114" s="26">
        <f>IF(Q32&gt;Exercise,Q32-Exercise,0)</f>
        <v>27.230901233990664</v>
      </c>
      <c r="R114" s="26"/>
      <c r="S114" s="26">
        <f>IF(S32&gt;Exercise,S32-Exercise,0)</f>
        <v>27.230901233990636</v>
      </c>
      <c r="T114" s="26"/>
      <c r="U114" s="26">
        <f>IF(U32&gt;Exercise,U32-Exercise,0)</f>
        <v>27.230901233990636</v>
      </c>
      <c r="V114" s="26"/>
      <c r="W114" s="26">
        <f>IF(W32&gt;Exercise,W32-Exercise,0)</f>
        <v>27.230901233990636</v>
      </c>
      <c r="X114" s="26"/>
      <c r="Y114" s="26">
        <f>IF(Y32&gt;Exercise,Y32-Exercise,0)</f>
        <v>27.230901233990636</v>
      </c>
      <c r="Z114" s="26"/>
      <c r="AA114" s="26">
        <f>IF(AA32&gt;Exercise,AA32-Exercise,0)</f>
        <v>27.230901233990636</v>
      </c>
      <c r="AB114" s="26"/>
      <c r="AC114" s="26">
        <f>IF(AC32&gt;Exercise,AC32-Exercise,0)</f>
        <v>27.230901233990608</v>
      </c>
      <c r="AD114" s="26"/>
      <c r="AE114" s="26">
        <f>IF(AE32&gt;Exercise,AE32-Exercise,0)</f>
        <v>27.230901233990608</v>
      </c>
      <c r="AF114" s="5"/>
      <c r="AG114" s="5"/>
      <c r="AH114" s="5"/>
      <c r="AI114" s="5"/>
      <c r="AJ114" s="5"/>
      <c r="AK114" s="5"/>
      <c r="AL114" s="5"/>
      <c r="AM114" s="5"/>
    </row>
    <row r="115" spans="1:39" ht="18.75" customHeight="1">
      <c r="A115" s="25"/>
      <c r="B115" s="25"/>
      <c r="C115" s="25"/>
      <c r="D115" s="25"/>
      <c r="E115" s="25"/>
      <c r="F115" s="25"/>
      <c r="G115" s="25"/>
      <c r="H115" s="25"/>
      <c r="I115" s="25"/>
      <c r="J115" s="25"/>
      <c r="K115" s="25"/>
      <c r="L115" s="26">
        <f>((M114*$E$7)/(1+$E$6))+((M116*(1-$E$7))/(1+$E$6))</f>
        <v>23.842319986662066</v>
      </c>
      <c r="M115" s="25"/>
      <c r="N115" s="26">
        <f>IF(N33&gt;Exercise,N33-Exercise,0)</f>
        <v>23.860414094177742</v>
      </c>
      <c r="O115" s="26"/>
      <c r="P115" s="26">
        <f>IF(P33&gt;Exercise,P33-Exercise,0)</f>
        <v>23.860414094177742</v>
      </c>
      <c r="Q115" s="26"/>
      <c r="R115" s="26">
        <f>IF(R33&gt;Exercise,R33-Exercise,0)</f>
        <v>23.860414094177742</v>
      </c>
      <c r="S115" s="26"/>
      <c r="T115" s="26">
        <f>IF(T33&gt;Exercise,T33-Exercise,0)</f>
        <v>23.860414094177713</v>
      </c>
      <c r="U115" s="26"/>
      <c r="V115" s="26">
        <f>IF(V33&gt;Exercise,V33-Exercise,0)</f>
        <v>23.860414094177713</v>
      </c>
      <c r="W115" s="26"/>
      <c r="X115" s="26">
        <f>IF(X33&gt;Exercise,X33-Exercise,0)</f>
        <v>23.860414094177713</v>
      </c>
      <c r="Y115" s="26"/>
      <c r="Z115" s="26">
        <f>IF(Z33&gt;Exercise,Z33-Exercise,0)</f>
        <v>23.860414094177713</v>
      </c>
      <c r="AA115" s="26"/>
      <c r="AB115" s="26">
        <f>IF(AB33&gt;Exercise,AB33-Exercise,0)</f>
        <v>23.860414094177713</v>
      </c>
      <c r="AC115" s="26"/>
      <c r="AD115" s="26">
        <f>IF(AD33&gt;Exercise,AD33-Exercise,0)</f>
        <v>23.860414094177685</v>
      </c>
      <c r="AE115" s="26"/>
      <c r="AF115" s="5"/>
      <c r="AG115" s="5"/>
      <c r="AH115" s="5"/>
      <c r="AI115" s="5"/>
      <c r="AJ115" s="5"/>
      <c r="AK115" s="5"/>
      <c r="AL115" s="5"/>
      <c r="AM115" s="5"/>
    </row>
    <row r="116" spans="1:39" ht="18.75" customHeight="1">
      <c r="A116" s="25"/>
      <c r="B116" s="25"/>
      <c r="C116" s="25"/>
      <c r="D116" s="25"/>
      <c r="E116" s="25"/>
      <c r="F116" s="25"/>
      <c r="G116" s="25"/>
      <c r="H116" s="25"/>
      <c r="I116" s="25"/>
      <c r="J116" s="25"/>
      <c r="K116" s="26">
        <f>((L115*$E$7)/(1+$E$6))+((L117*(1-$E$7))/(1+$E$6))</f>
        <v>20.549433216135682</v>
      </c>
      <c r="L116" s="25"/>
      <c r="M116" s="26">
        <f>IF(M34&gt;Exercise,M34-Exercise,0)</f>
        <v>20.575838669808263</v>
      </c>
      <c r="N116" s="26"/>
      <c r="O116" s="26">
        <f>IF(O34&gt;Exercise,O34-Exercise,0)</f>
        <v>20.575838669808263</v>
      </c>
      <c r="P116" s="26"/>
      <c r="Q116" s="26">
        <f>IF(Q34&gt;Exercise,Q34-Exercise,0)</f>
        <v>20.575838669808263</v>
      </c>
      <c r="R116" s="26"/>
      <c r="S116" s="26">
        <f>IF(S34&gt;Exercise,S34-Exercise,0)</f>
        <v>20.575838669808263</v>
      </c>
      <c r="T116" s="26"/>
      <c r="U116" s="26">
        <f>IF(U34&gt;Exercise,U34-Exercise,0)</f>
        <v>20.575838669808235</v>
      </c>
      <c r="V116" s="26"/>
      <c r="W116" s="26">
        <f>IF(W34&gt;Exercise,W34-Exercise,0)</f>
        <v>20.575838669808235</v>
      </c>
      <c r="X116" s="26"/>
      <c r="Y116" s="26">
        <f>IF(Y34&gt;Exercise,Y34-Exercise,0)</f>
        <v>20.575838669808235</v>
      </c>
      <c r="Z116" s="26"/>
      <c r="AA116" s="26">
        <f>IF(AA34&gt;Exercise,AA34-Exercise,0)</f>
        <v>20.575838669808235</v>
      </c>
      <c r="AB116" s="26"/>
      <c r="AC116" s="26">
        <f>IF(AC34&gt;Exercise,AC34-Exercise,0)</f>
        <v>20.575838669808235</v>
      </c>
      <c r="AD116" s="26"/>
      <c r="AE116" s="26">
        <f>IF(AE34&gt;Exercise,AE34-Exercise,0)</f>
        <v>20.575838669808206</v>
      </c>
      <c r="AF116" s="5"/>
      <c r="AG116" s="5"/>
      <c r="AH116" s="5"/>
      <c r="AI116" s="5"/>
      <c r="AJ116" s="5"/>
      <c r="AK116" s="5"/>
      <c r="AL116" s="5"/>
      <c r="AM116" s="5"/>
    </row>
    <row r="117" spans="1:39" ht="18.75" customHeight="1">
      <c r="A117" s="25"/>
      <c r="B117" s="25"/>
      <c r="C117" s="25"/>
      <c r="D117" s="25"/>
      <c r="E117" s="25"/>
      <c r="F117" s="25"/>
      <c r="G117" s="25"/>
      <c r="H117" s="25"/>
      <c r="I117" s="25"/>
      <c r="J117" s="26">
        <f>((K116*$E$7)/(1+$E$6))+((K118*(1-$E$7))/(1+$E$6))</f>
        <v>17.349655430181709</v>
      </c>
      <c r="K117" s="25"/>
      <c r="L117" s="26">
        <f>((M116*$E$7)/(1+$E$6))+((M118*(1-$E$7))/(1+$E$6))</f>
        <v>17.366558258388796</v>
      </c>
      <c r="M117" s="25"/>
      <c r="N117" s="26">
        <f>IF(N35&gt;Exercise,N35-Exercise,0)</f>
        <v>17.374985122279</v>
      </c>
      <c r="O117" s="26"/>
      <c r="P117" s="26">
        <f>IF(P35&gt;Exercise,P35-Exercise,0)</f>
        <v>17.374985122279</v>
      </c>
      <c r="Q117" s="26"/>
      <c r="R117" s="26">
        <f>IF(R35&gt;Exercise,R35-Exercise,0)</f>
        <v>17.374985122279</v>
      </c>
      <c r="S117" s="26"/>
      <c r="T117" s="26">
        <f>IF(T35&gt;Exercise,T35-Exercise,0)</f>
        <v>17.374985122279</v>
      </c>
      <c r="U117" s="26"/>
      <c r="V117" s="26">
        <f>IF(V35&gt;Exercise,V35-Exercise,0)</f>
        <v>17.374985122278972</v>
      </c>
      <c r="W117" s="26"/>
      <c r="X117" s="26">
        <f>IF(X35&gt;Exercise,X35-Exercise,0)</f>
        <v>17.374985122278972</v>
      </c>
      <c r="Y117" s="26"/>
      <c r="Z117" s="26">
        <f>IF(Z35&gt;Exercise,Z35-Exercise,0)</f>
        <v>17.374985122278972</v>
      </c>
      <c r="AA117" s="26"/>
      <c r="AB117" s="26">
        <f>IF(AB35&gt;Exercise,AB35-Exercise,0)</f>
        <v>17.374985122278972</v>
      </c>
      <c r="AC117" s="26"/>
      <c r="AD117" s="26">
        <f>IF(AD35&gt;Exercise,AD35-Exercise,0)</f>
        <v>17.374985122278972</v>
      </c>
      <c r="AE117" s="26"/>
      <c r="AF117" s="5"/>
      <c r="AG117" s="5"/>
      <c r="AH117" s="5"/>
      <c r="AI117" s="5"/>
      <c r="AJ117" s="5"/>
      <c r="AK117" s="5"/>
      <c r="AL117" s="5"/>
      <c r="AM117" s="5"/>
    </row>
    <row r="118" spans="1:39" ht="18.75" customHeight="1">
      <c r="A118" s="25"/>
      <c r="B118" s="25"/>
      <c r="C118" s="25"/>
      <c r="D118" s="25"/>
      <c r="E118" s="25"/>
      <c r="F118" s="25"/>
      <c r="G118" s="25"/>
      <c r="H118" s="25"/>
      <c r="I118" s="26">
        <f>((J117*$E$7)/(1+$E$6))+((J119*(1-$E$7))/(1+$E$6))</f>
        <v>14.240470807035516</v>
      </c>
      <c r="J118" s="25"/>
      <c r="K118" s="26">
        <f>((L117*$E$7)/(1+$E$6))+((L119*(1-$E$7))/(1+$E$6))</f>
        <v>14.248141596870376</v>
      </c>
      <c r="L118" s="25"/>
      <c r="M118" s="26">
        <f>IF(M36&gt;Exercise,M36-Exercise,0)</f>
        <v>14.255719430672173</v>
      </c>
      <c r="N118" s="26"/>
      <c r="O118" s="26">
        <f>IF(O36&gt;Exercise,O36-Exercise,0)</f>
        <v>14.255719430672158</v>
      </c>
      <c r="P118" s="26"/>
      <c r="Q118" s="26">
        <f>IF(Q36&gt;Exercise,Q36-Exercise,0)</f>
        <v>14.255719430672158</v>
      </c>
      <c r="R118" s="26"/>
      <c r="S118" s="26">
        <f>IF(S36&gt;Exercise,S36-Exercise,0)</f>
        <v>14.255719430672158</v>
      </c>
      <c r="T118" s="26"/>
      <c r="U118" s="26">
        <f>IF(U36&gt;Exercise,U36-Exercise,0)</f>
        <v>14.255719430672158</v>
      </c>
      <c r="V118" s="26"/>
      <c r="W118" s="26">
        <f>IF(W36&gt;Exercise,W36-Exercise,0)</f>
        <v>14.25571943067213</v>
      </c>
      <c r="X118" s="26"/>
      <c r="Y118" s="26">
        <f>IF(Y36&gt;Exercise,Y36-Exercise,0)</f>
        <v>14.25571943067213</v>
      </c>
      <c r="Z118" s="26"/>
      <c r="AA118" s="26">
        <f>IF(AA36&gt;Exercise,AA36-Exercise,0)</f>
        <v>14.25571943067213</v>
      </c>
      <c r="AB118" s="26"/>
      <c r="AC118" s="26">
        <f>IF(AC36&gt;Exercise,AC36-Exercise,0)</f>
        <v>14.25571943067213</v>
      </c>
      <c r="AD118" s="26"/>
      <c r="AE118" s="26">
        <f>IF(AE36&gt;Exercise,AE36-Exercise,0)</f>
        <v>14.25571943067213</v>
      </c>
      <c r="AF118" s="5"/>
      <c r="AG118" s="5"/>
      <c r="AH118" s="5"/>
      <c r="AI118" s="5"/>
      <c r="AJ118" s="5"/>
      <c r="AK118" s="5"/>
      <c r="AL118" s="5"/>
      <c r="AM118" s="5"/>
    </row>
    <row r="119" spans="1:39" ht="18.75" customHeight="1">
      <c r="A119" s="25"/>
      <c r="B119" s="25"/>
      <c r="C119" s="25"/>
      <c r="D119" s="25"/>
      <c r="E119" s="25"/>
      <c r="F119" s="25"/>
      <c r="G119" s="25"/>
      <c r="H119" s="26">
        <f>((I118*$E$7)/(1+$E$6))+((I120*(1-$E$7))/(1+$E$6))</f>
        <v>11.310945252672973</v>
      </c>
      <c r="I119" s="25"/>
      <c r="J119" s="26">
        <f>((K118*$E$7)/(1+$E$6))+((K120*(1-$E$7))/(1+$E$6))</f>
        <v>11.218133342569223</v>
      </c>
      <c r="K119" s="25"/>
      <c r="L119" s="26">
        <f>((M118*$E$7)/(1+$E$6))+((M120*(1-$E$7))/(1+$E$6))</f>
        <v>11.216715805037008</v>
      </c>
      <c r="M119" s="25"/>
      <c r="N119" s="26">
        <f>IF(N37&gt;Exercise,N37-Exercise,0)</f>
        <v>11.215961968995771</v>
      </c>
      <c r="O119" s="26"/>
      <c r="P119" s="26">
        <f>IF(P37&gt;Exercise,P37-Exercise,0)</f>
        <v>11.215961968995757</v>
      </c>
      <c r="Q119" s="26"/>
      <c r="R119" s="26">
        <f>IF(R37&gt;Exercise,R37-Exercise,0)</f>
        <v>11.215961968995757</v>
      </c>
      <c r="S119" s="26"/>
      <c r="T119" s="26">
        <f>IF(T37&gt;Exercise,T37-Exercise,0)</f>
        <v>11.215961968995757</v>
      </c>
      <c r="U119" s="26"/>
      <c r="V119" s="26">
        <f>IF(V37&gt;Exercise,V37-Exercise,0)</f>
        <v>11.215961968995757</v>
      </c>
      <c r="W119" s="26"/>
      <c r="X119" s="26">
        <f>IF(X37&gt;Exercise,X37-Exercise,0)</f>
        <v>11.215961968995728</v>
      </c>
      <c r="Y119" s="26"/>
      <c r="Z119" s="26">
        <f>IF(Z37&gt;Exercise,Z37-Exercise,0)</f>
        <v>11.215961968995728</v>
      </c>
      <c r="AA119" s="26"/>
      <c r="AB119" s="26">
        <f>IF(AB37&gt;Exercise,AB37-Exercise,0)</f>
        <v>11.215961968995728</v>
      </c>
      <c r="AC119" s="26"/>
      <c r="AD119" s="26">
        <f>IF(AD37&gt;Exercise,AD37-Exercise,0)</f>
        <v>11.215961968995728</v>
      </c>
      <c r="AE119" s="26"/>
      <c r="AF119" s="5"/>
      <c r="AG119" s="5"/>
      <c r="AH119" s="5"/>
      <c r="AI119" s="5"/>
      <c r="AJ119" s="5"/>
      <c r="AK119" s="5"/>
      <c r="AL119" s="5"/>
      <c r="AM119" s="5"/>
    </row>
    <row r="120" spans="1:39" ht="18.75" customHeight="1">
      <c r="A120" s="25"/>
      <c r="B120" s="25"/>
      <c r="C120" s="25"/>
      <c r="D120" s="25"/>
      <c r="E120" s="25"/>
      <c r="F120" s="25"/>
      <c r="G120" s="26">
        <f>((H119*$E$7)/(1+$E$6))+((H121*(1-$E$7))/(1+$E$6))</f>
        <v>8.6851059905726231</v>
      </c>
      <c r="H120" s="25"/>
      <c r="I120" s="26">
        <f>((J119*$E$7)/(1+$E$6))+((J121*(1-$E$7))/(1+$E$6))</f>
        <v>8.4563002550802011</v>
      </c>
      <c r="J120" s="25"/>
      <c r="K120" s="26">
        <f>((L119*$E$7)/(1+$E$6))+((L121*(1-$E$7))/(1+$E$6))</f>
        <v>8.2639883285504485</v>
      </c>
      <c r="L120" s="25"/>
      <c r="M120" s="26">
        <f>IF(M38&gt;Exercise,M38-Exercise,0)</f>
        <v>8.2536861196892346</v>
      </c>
      <c r="N120" s="26"/>
      <c r="O120" s="26">
        <f>IF(O38&gt;Exercise,O38-Exercise,0)</f>
        <v>8.2536861196892346</v>
      </c>
      <c r="P120" s="26"/>
      <c r="Q120" s="26">
        <f>IF(Q38&gt;Exercise,Q38-Exercise,0)</f>
        <v>8.2536861196892204</v>
      </c>
      <c r="R120" s="26"/>
      <c r="S120" s="26">
        <f>IF(S38&gt;Exercise,S38-Exercise,0)</f>
        <v>8.2536861196892204</v>
      </c>
      <c r="T120" s="26"/>
      <c r="U120" s="26">
        <f>IF(U38&gt;Exercise,U38-Exercise,0)</f>
        <v>8.2536861196892204</v>
      </c>
      <c r="V120" s="26"/>
      <c r="W120" s="26">
        <f>IF(W38&gt;Exercise,W38-Exercise,0)</f>
        <v>8.2536861196892204</v>
      </c>
      <c r="X120" s="26"/>
      <c r="Y120" s="26">
        <f>IF(Y38&gt;Exercise,Y38-Exercise,0)</f>
        <v>8.253686119689192</v>
      </c>
      <c r="Z120" s="26"/>
      <c r="AA120" s="26">
        <f>IF(AA38&gt;Exercise,AA38-Exercise,0)</f>
        <v>8.253686119689192</v>
      </c>
      <c r="AB120" s="26"/>
      <c r="AC120" s="26">
        <f>IF(AC38&gt;Exercise,AC38-Exercise,0)</f>
        <v>8.253686119689192</v>
      </c>
      <c r="AD120" s="26"/>
      <c r="AE120" s="26">
        <f>IF(AE38&gt;Exercise,AE38-Exercise,0)</f>
        <v>8.253686119689192</v>
      </c>
      <c r="AF120" s="5"/>
      <c r="AG120" s="5"/>
      <c r="AH120" s="5"/>
      <c r="AI120" s="5"/>
      <c r="AJ120" s="5"/>
      <c r="AK120" s="5"/>
      <c r="AL120" s="5"/>
      <c r="AM120" s="5"/>
    </row>
    <row r="121" spans="1:39" ht="18.75" customHeight="1">
      <c r="A121" s="25"/>
      <c r="B121" s="25"/>
      <c r="C121" s="25"/>
      <c r="D121" s="25"/>
      <c r="E121" s="25"/>
      <c r="F121" s="26">
        <f>((G120*$E$7)/(1+$E$6))+((G122*(1-$E$7))/(1+$E$6))</f>
        <v>6.4556497645846349</v>
      </c>
      <c r="G121" s="25"/>
      <c r="H121" s="26">
        <f>((I120*$E$7)/(1+$E$6))+((I122*(1-$E$7))/(1+$E$6))</f>
        <v>6.1215915302090131</v>
      </c>
      <c r="I121" s="25"/>
      <c r="J121" s="26">
        <f>((K120*$E$7)/(1+$E$6))+((K122*(1-$E$7))/(1+$E$6))</f>
        <v>5.7577815811682873</v>
      </c>
      <c r="K121" s="25"/>
      <c r="L121" s="26">
        <f>((M120*$E$7)/(1+$E$6))+((M122*(1-$E$7))/(1+$E$6))</f>
        <v>5.3763894020560592</v>
      </c>
      <c r="M121" s="25"/>
      <c r="N121" s="26">
        <f>IF(N39&gt;Exercise,N39-Exercise,0)</f>
        <v>5.3669169224700113</v>
      </c>
      <c r="O121" s="26"/>
      <c r="P121" s="26">
        <f>IF(P39&gt;Exercise,P39-Exercise,0)</f>
        <v>5.3669169224700113</v>
      </c>
      <c r="Q121" s="26"/>
      <c r="R121" s="26">
        <f>IF(R39&gt;Exercise,R39-Exercise,0)</f>
        <v>5.3669169224699971</v>
      </c>
      <c r="S121" s="26"/>
      <c r="T121" s="26">
        <f>IF(T39&gt;Exercise,T39-Exercise,0)</f>
        <v>5.3669169224699971</v>
      </c>
      <c r="U121" s="26"/>
      <c r="V121" s="26">
        <f>IF(V39&gt;Exercise,V39-Exercise,0)</f>
        <v>5.3669169224699971</v>
      </c>
      <c r="W121" s="26"/>
      <c r="X121" s="26">
        <f>IF(X39&gt;Exercise,X39-Exercise,0)</f>
        <v>5.3669169224699971</v>
      </c>
      <c r="Y121" s="26"/>
      <c r="Z121" s="26">
        <f>IF(Z39&gt;Exercise,Z39-Exercise,0)</f>
        <v>5.3669169224699687</v>
      </c>
      <c r="AA121" s="26"/>
      <c r="AB121" s="26">
        <f>IF(AB39&gt;Exercise,AB39-Exercise,0)</f>
        <v>5.3669169224699687</v>
      </c>
      <c r="AC121" s="26"/>
      <c r="AD121" s="26">
        <f>IF(AD39&gt;Exercise,AD39-Exercise,0)</f>
        <v>5.3669169224699687</v>
      </c>
      <c r="AE121" s="26"/>
      <c r="AF121" s="5"/>
      <c r="AG121" s="5"/>
      <c r="AH121" s="5"/>
      <c r="AI121" s="5"/>
      <c r="AJ121" s="5"/>
      <c r="AK121" s="5"/>
      <c r="AL121" s="5"/>
      <c r="AM121" s="5"/>
    </row>
    <row r="122" spans="1:39" ht="18.75" customHeight="1">
      <c r="A122" s="25"/>
      <c r="B122" s="25"/>
      <c r="C122" s="25"/>
      <c r="D122" s="25"/>
      <c r="E122" s="26">
        <f>((F121*$E$7)/(1+$E$6))+((F123*(1-$E$7))/(1+$E$6))</f>
        <v>4.6567083772418796</v>
      </c>
      <c r="F122" s="25"/>
      <c r="G122" s="26">
        <f>((H121*$E$7)/(1+$E$6))+((H123*(1-$E$7))/(1+$E$6))</f>
        <v>4.2760810156779625</v>
      </c>
      <c r="H122" s="25"/>
      <c r="I122" s="26">
        <f>((J121*$E$7)/(1+$E$6))+((J123*(1-$E$7))/(1+$E$6))</f>
        <v>3.8370184553870876</v>
      </c>
      <c r="J122" s="25"/>
      <c r="K122" s="26">
        <f>((L121*$E$7)/(1+$E$6))+((L123*(1-$E$7))/(1+$E$6))</f>
        <v>3.3027101991180086</v>
      </c>
      <c r="L122" s="25"/>
      <c r="M122" s="26">
        <f>IF(M40&gt;Exercise,M40-Exercise,0)</f>
        <v>2.5537297576202036</v>
      </c>
      <c r="N122" s="26"/>
      <c r="O122" s="26">
        <f>IF(O40&gt;Exercise,O40-Exercise,0)</f>
        <v>2.5537297576201894</v>
      </c>
      <c r="P122" s="26"/>
      <c r="Q122" s="26">
        <f>IF(Q40&gt;Exercise,Q40-Exercise,0)</f>
        <v>2.5537297576201894</v>
      </c>
      <c r="R122" s="26"/>
      <c r="S122" s="26">
        <f>IF(S40&gt;Exercise,S40-Exercise,0)</f>
        <v>2.5537297576201752</v>
      </c>
      <c r="T122" s="26"/>
      <c r="U122" s="26">
        <f>IF(U40&gt;Exercise,U40-Exercise,0)</f>
        <v>2.5537297576201752</v>
      </c>
      <c r="V122" s="26"/>
      <c r="W122" s="26">
        <f>IF(W40&gt;Exercise,W40-Exercise,0)</f>
        <v>2.5537297576201752</v>
      </c>
      <c r="X122" s="26"/>
      <c r="Y122" s="26">
        <f>IF(Y40&gt;Exercise,Y40-Exercise,0)</f>
        <v>2.5537297576201752</v>
      </c>
      <c r="Z122" s="26"/>
      <c r="AA122" s="26">
        <f>IF(AA40&gt;Exercise,AA40-Exercise,0)</f>
        <v>2.5537297576201468</v>
      </c>
      <c r="AB122" s="26"/>
      <c r="AC122" s="26">
        <f>IF(AC40&gt;Exercise,AC40-Exercise,0)</f>
        <v>2.5537297576201468</v>
      </c>
      <c r="AD122" s="26"/>
      <c r="AE122" s="26">
        <f>IF(AE40&gt;Exercise,AE40-Exercise,0)</f>
        <v>2.5537297576201468</v>
      </c>
      <c r="AF122" s="5"/>
      <c r="AG122" s="5"/>
      <c r="AH122" s="5"/>
      <c r="AI122" s="5"/>
      <c r="AJ122" s="5"/>
      <c r="AK122" s="5"/>
      <c r="AL122" s="5"/>
      <c r="AM122" s="5"/>
    </row>
    <row r="123" spans="1:39" ht="18.75" customHeight="1">
      <c r="A123" s="25"/>
      <c r="B123" s="25"/>
      <c r="C123" s="25"/>
      <c r="D123" s="26">
        <f>((E122*$E$7)/(1+$E$6))+((E124*(1-$E$7))/(1+$E$6))</f>
        <v>3.269196787086238</v>
      </c>
      <c r="E123" s="25"/>
      <c r="F123" s="26">
        <f>((G122*$E$7)/(1+$E$6))+((G124*(1-$E$7))/(1+$E$6))</f>
        <v>2.8961993064269684</v>
      </c>
      <c r="G123" s="25"/>
      <c r="H123" s="26">
        <f>((I122*$E$7)/(1+$E$6))+((I124*(1-$E$7))/(1+$E$6))</f>
        <v>2.4683447166332027</v>
      </c>
      <c r="I123" s="25"/>
      <c r="J123" s="26">
        <f>((K122*$E$7)/(1+$E$6))+((K124*(1-$E$7))/(1+$E$6))</f>
        <v>1.9535466074787748</v>
      </c>
      <c r="K123" s="25"/>
      <c r="L123" s="26">
        <f>((M122*$E$7)/(1+$E$6))+((M124*(1-$E$7))/(1+$E$6))</f>
        <v>1.2665213113379259</v>
      </c>
      <c r="M123" s="25"/>
      <c r="N123" s="26">
        <f>IF(N41&gt;Exercise,N41-Exercise,0)</f>
        <v>0</v>
      </c>
      <c r="O123" s="26"/>
      <c r="P123" s="26">
        <f>IF(P41&gt;Exercise,P41-Exercise,0)</f>
        <v>0</v>
      </c>
      <c r="Q123" s="26"/>
      <c r="R123" s="26">
        <f>IF(R41&gt;Exercise,R41-Exercise,0)</f>
        <v>0</v>
      </c>
      <c r="S123" s="26"/>
      <c r="T123" s="26">
        <f>IF(T41&gt;Exercise,T41-Exercise,0)</f>
        <v>0</v>
      </c>
      <c r="U123" s="26"/>
      <c r="V123" s="26">
        <f>IF(V41&gt;Exercise,V41-Exercise,0)</f>
        <v>0</v>
      </c>
      <c r="W123" s="26"/>
      <c r="X123" s="26">
        <f>IF(X41&gt;Exercise,X41-Exercise,0)</f>
        <v>0</v>
      </c>
      <c r="Y123" s="26"/>
      <c r="Z123" s="26">
        <f>IF(Z41&gt;Exercise,Z41-Exercise,0)</f>
        <v>0</v>
      </c>
      <c r="AA123" s="26"/>
      <c r="AB123" s="26">
        <f>IF(AB41&gt;Exercise,AB41-Exercise,0)</f>
        <v>0</v>
      </c>
      <c r="AC123" s="26"/>
      <c r="AD123" s="26">
        <f>IF(AD41&gt;Exercise,AD41-Exercise,0)</f>
        <v>0</v>
      </c>
      <c r="AE123" s="26"/>
      <c r="AF123" s="5"/>
      <c r="AG123" s="5"/>
      <c r="AH123" s="5"/>
      <c r="AI123" s="5"/>
      <c r="AJ123" s="5"/>
      <c r="AK123" s="5"/>
      <c r="AL123" s="5"/>
      <c r="AM123" s="5"/>
    </row>
    <row r="124" spans="1:39" ht="18.75" customHeight="1">
      <c r="A124" s="25"/>
      <c r="B124" s="25"/>
      <c r="C124" s="26">
        <f>((D123*$E$7)/(1+$E$6))+((D125*(1-$E$7))/(1+$E$6))</f>
        <v>2.2400686067030784</v>
      </c>
      <c r="D124" s="25"/>
      <c r="E124" s="26">
        <f>((F123*$E$7)/(1+$E$6))+((F125*(1-$E$7))/(1+$E$6))</f>
        <v>1.9102641336405475</v>
      </c>
      <c r="F124" s="25"/>
      <c r="G124" s="26">
        <f>((H123*$E$7)/(1+$E$6))+((H125*(1-$E$7))/(1+$E$6))</f>
        <v>1.5435684370179974</v>
      </c>
      <c r="H124" s="25"/>
      <c r="I124" s="26">
        <f>((J123*$E$7)/(1+$E$6))+((J125*(1-$E$7))/(1+$E$6))</f>
        <v>1.1253668960410133</v>
      </c>
      <c r="J124" s="25"/>
      <c r="K124" s="26">
        <f>((L123*$E$7)/(1+$E$6))+((L125*(1-$E$7))/(1+$E$6))</f>
        <v>0.62813076727741268</v>
      </c>
      <c r="L124" s="25"/>
      <c r="M124" s="26">
        <f>IF(M42&gt;Exercise,M42-Exercise,0)</f>
        <v>0</v>
      </c>
      <c r="N124" s="26"/>
      <c r="O124" s="26">
        <f>IF(O42&gt;Exercise,O42-Exercise,0)</f>
        <v>0</v>
      </c>
      <c r="P124" s="26"/>
      <c r="Q124" s="26">
        <f>IF(Q42&gt;Exercise,Q42-Exercise,0)</f>
        <v>0</v>
      </c>
      <c r="R124" s="26"/>
      <c r="S124" s="26">
        <f>IF(S42&gt;Exercise,S42-Exercise,0)</f>
        <v>0</v>
      </c>
      <c r="T124" s="26"/>
      <c r="U124" s="26">
        <f>IF(U42&gt;Exercise,U42-Exercise,0)</f>
        <v>0</v>
      </c>
      <c r="V124" s="26"/>
      <c r="W124" s="26">
        <f>IF(W42&gt;Exercise,W42-Exercise,0)</f>
        <v>0</v>
      </c>
      <c r="X124" s="26"/>
      <c r="Y124" s="26">
        <f>IF(Y42&gt;Exercise,Y42-Exercise,0)</f>
        <v>0</v>
      </c>
      <c r="Z124" s="26"/>
      <c r="AA124" s="26">
        <f>IF(AA42&gt;Exercise,AA42-Exercise,0)</f>
        <v>0</v>
      </c>
      <c r="AB124" s="26"/>
      <c r="AC124" s="26">
        <f>IF(AC42&gt;Exercise,AC42-Exercise,0)</f>
        <v>0</v>
      </c>
      <c r="AD124" s="26"/>
      <c r="AE124" s="26">
        <f>IF(AE42&gt;Exercise,AE42-Exercise,0)</f>
        <v>0</v>
      </c>
      <c r="AF124" s="5"/>
      <c r="AG124" s="5"/>
      <c r="AH124" s="5"/>
      <c r="AI124" s="5"/>
      <c r="AJ124" s="5"/>
      <c r="AK124" s="5"/>
      <c r="AL124" s="5"/>
      <c r="AM124" s="5"/>
    </row>
    <row r="125" spans="1:39" ht="18.75" customHeight="1">
      <c r="A125" s="28"/>
      <c r="B125" s="26">
        <f>((C124*$E$7)/(1+$E$6))+((C126*(1-$E$7))/(1+$E$6))</f>
        <v>1.502042107576208</v>
      </c>
      <c r="C125" s="25"/>
      <c r="D125" s="26">
        <f>((E124*$E$7)/(1+$E$6))+((E126*(1-$E$7))/(1+$E$6))</f>
        <v>1.2315283952689646</v>
      </c>
      <c r="E125" s="25"/>
      <c r="F125" s="26">
        <f>((G124*$E$7)/(1+$E$6))+((G126*(1-$E$7))/(1+$E$6))</f>
        <v>0.9432751582243657</v>
      </c>
      <c r="G125" s="25"/>
      <c r="H125" s="26">
        <f>((I124*$E$7)/(1+$E$6))+((I126*(1-$E$7))/(1+$E$6))</f>
        <v>0.63574447511839483</v>
      </c>
      <c r="I125" s="25"/>
      <c r="J125" s="26">
        <f>((K124*$E$7)/(1+$E$6))+((K126*(1-$E$7))/(1+$E$6))</f>
        <v>0.31152121742327327</v>
      </c>
      <c r="K125" s="25"/>
      <c r="L125" s="26">
        <f>((M124*$E$7)/(1+$E$6))+((M126*(1-$E$7))/(1+$E$6))</f>
        <v>0</v>
      </c>
      <c r="M125" s="25"/>
      <c r="N125" s="26">
        <f>IF(N43&gt;Exercise,N43-Exercise,0)</f>
        <v>0</v>
      </c>
      <c r="O125" s="26"/>
      <c r="P125" s="26">
        <f>IF(P43&gt;Exercise,P43-Exercise,0)</f>
        <v>0</v>
      </c>
      <c r="Q125" s="26"/>
      <c r="R125" s="26">
        <f>IF(R43&gt;Exercise,R43-Exercise,0)</f>
        <v>0</v>
      </c>
      <c r="S125" s="26"/>
      <c r="T125" s="26">
        <f>IF(T43&gt;Exercise,T43-Exercise,0)</f>
        <v>0</v>
      </c>
      <c r="U125" s="26"/>
      <c r="V125" s="26">
        <f>IF(V43&gt;Exercise,V43-Exercise,0)</f>
        <v>0</v>
      </c>
      <c r="W125" s="26"/>
      <c r="X125" s="26">
        <f>IF(X43&gt;Exercise,X43-Exercise,0)</f>
        <v>0</v>
      </c>
      <c r="Y125" s="26"/>
      <c r="Z125" s="26">
        <f>IF(Z43&gt;Exercise,Z43-Exercise,0)</f>
        <v>0</v>
      </c>
      <c r="AA125" s="26"/>
      <c r="AB125" s="26">
        <f>IF(AB43&gt;Exercise,AB43-Exercise,0)</f>
        <v>0</v>
      </c>
      <c r="AC125" s="26"/>
      <c r="AD125" s="26">
        <f>IF(AD43&gt;Exercise,AD43-Exercise,0)</f>
        <v>0</v>
      </c>
      <c r="AE125" s="26"/>
      <c r="AF125" s="5"/>
      <c r="AG125" s="5"/>
      <c r="AH125" s="5"/>
      <c r="AI125" s="5"/>
      <c r="AJ125" s="5"/>
      <c r="AK125" s="5"/>
      <c r="AL125" s="5"/>
      <c r="AM125" s="5"/>
    </row>
    <row r="126" spans="1:39" ht="18.75" customHeight="1">
      <c r="A126" s="29">
        <f>((B125*$E$7)/(1+$E$6))+((B127*(1-$E$7))/(1+$E$6))</f>
        <v>0.9879269990802334</v>
      </c>
      <c r="B126" s="25"/>
      <c r="C126" s="26">
        <f>((D125*$E$7)/(1+$E$6))+((D127*(1-$E$7))/(1+$E$6))</f>
        <v>0.77843569405094426</v>
      </c>
      <c r="D126" s="25"/>
      <c r="E126" s="26">
        <f>((F125*$E$7)/(1+$E$6))+((F127*(1-$E$7))/(1+$E$6))</f>
        <v>0.56556005497790152</v>
      </c>
      <c r="F126" s="25"/>
      <c r="G126" s="26">
        <f>((H125*$E$7)/(1+$E$6))+((H127*(1-$E$7))/(1+$E$6))</f>
        <v>0.35379243948220024</v>
      </c>
      <c r="H126" s="25"/>
      <c r="I126" s="26">
        <f>((J125*$E$7)/(1+$E$6))+((J127*(1-$E$7))/(1+$E$6))</f>
        <v>0.15449883043544393</v>
      </c>
      <c r="J126" s="25"/>
      <c r="K126" s="26">
        <f>((L125*$E$7)/(1+$E$6))+((L127*(1-$E$7))/(1+$E$6))</f>
        <v>0</v>
      </c>
      <c r="L126" s="25"/>
      <c r="M126" s="26">
        <f>IF(M44&gt;Exercise,M44-Exercise,0)</f>
        <v>0</v>
      </c>
      <c r="N126" s="26"/>
      <c r="O126" s="26">
        <f>IF(O44&gt;Exercise,O44-Exercise,0)</f>
        <v>0</v>
      </c>
      <c r="P126" s="26"/>
      <c r="Q126" s="26">
        <f>IF(Q44&gt;Exercise,Q44-Exercise,0)</f>
        <v>0</v>
      </c>
      <c r="R126" s="26"/>
      <c r="S126" s="26">
        <f>IF(S44&gt;Exercise,S44-Exercise,0)</f>
        <v>0</v>
      </c>
      <c r="T126" s="26"/>
      <c r="U126" s="26">
        <f>IF(U44&gt;Exercise,U44-Exercise,0)</f>
        <v>0</v>
      </c>
      <c r="V126" s="26"/>
      <c r="W126" s="26">
        <f>IF(W44&gt;Exercise,W44-Exercise,0)</f>
        <v>0</v>
      </c>
      <c r="X126" s="26"/>
      <c r="Y126" s="26">
        <f>IF(Y44&gt;Exercise,Y44-Exercise,0)</f>
        <v>0</v>
      </c>
      <c r="Z126" s="26"/>
      <c r="AA126" s="26">
        <f>IF(AA44&gt;Exercise,AA44-Exercise,0)</f>
        <v>0</v>
      </c>
      <c r="AB126" s="26"/>
      <c r="AC126" s="26">
        <f>IF(AC44&gt;Exercise,AC44-Exercise,0)</f>
        <v>0</v>
      </c>
      <c r="AD126" s="26"/>
      <c r="AE126" s="26">
        <f>IF(AE44&gt;Exercise,AE44-Exercise,0)</f>
        <v>0</v>
      </c>
      <c r="AF126" s="5"/>
      <c r="AG126" s="5"/>
      <c r="AH126" s="5"/>
      <c r="AI126" s="5"/>
      <c r="AJ126" s="5"/>
      <c r="AK126" s="5"/>
      <c r="AL126" s="5"/>
      <c r="AM126" s="5"/>
    </row>
    <row r="127" spans="1:39" ht="18.75" customHeight="1">
      <c r="A127" s="25"/>
      <c r="B127" s="26">
        <f>((C126*$E$7)/(1+$E$6))+((C128*(1-$E$7))/(1+$E$6))</f>
        <v>0.4836643947276128</v>
      </c>
      <c r="C127" s="25"/>
      <c r="D127" s="26">
        <f>((E126*$E$7)/(1+$E$6))+((E128*(1-$E$7))/(1+$E$6))</f>
        <v>0.33372186578405966</v>
      </c>
      <c r="E127" s="25"/>
      <c r="F127" s="26">
        <f>((G126*$E$7)/(1+$E$6))+((G128*(1-$E$7))/(1+$E$6))</f>
        <v>0.19455491026716462</v>
      </c>
      <c r="G127" s="25"/>
      <c r="H127" s="26">
        <f>((I126*$E$7)/(1+$E$6))+((I128*(1-$E$7))/(1+$E$6))</f>
        <v>7.6623636756938202E-2</v>
      </c>
      <c r="I127" s="25"/>
      <c r="J127" s="26">
        <f>((K126*$E$7)/(1+$E$6))+((K128*(1-$E$7))/(1+$E$6))</f>
        <v>0</v>
      </c>
      <c r="K127" s="25"/>
      <c r="L127" s="26">
        <f>((M126*$E$7)/(1+$E$6))+((M128*(1-$E$7))/(1+$E$6))</f>
        <v>0</v>
      </c>
      <c r="M127" s="25"/>
      <c r="N127" s="26">
        <f>IF(N45&gt;Exercise,N45-Exercise,0)</f>
        <v>0</v>
      </c>
      <c r="O127" s="26"/>
      <c r="P127" s="26">
        <f>IF(P45&gt;Exercise,P45-Exercise,0)</f>
        <v>0</v>
      </c>
      <c r="Q127" s="26"/>
      <c r="R127" s="26">
        <f>IF(R45&gt;Exercise,R45-Exercise,0)</f>
        <v>0</v>
      </c>
      <c r="S127" s="26"/>
      <c r="T127" s="26">
        <f>IF(T45&gt;Exercise,T45-Exercise,0)</f>
        <v>0</v>
      </c>
      <c r="U127" s="26"/>
      <c r="V127" s="26">
        <f>IF(V45&gt;Exercise,V45-Exercise,0)</f>
        <v>0</v>
      </c>
      <c r="W127" s="26"/>
      <c r="X127" s="26">
        <f>IF(X45&gt;Exercise,X45-Exercise,0)</f>
        <v>0</v>
      </c>
      <c r="Y127" s="26"/>
      <c r="Z127" s="26">
        <f>IF(Z45&gt;Exercise,Z45-Exercise,0)</f>
        <v>0</v>
      </c>
      <c r="AA127" s="26"/>
      <c r="AB127" s="26">
        <f>IF(AB45&gt;Exercise,AB45-Exercise,0)</f>
        <v>0</v>
      </c>
      <c r="AC127" s="26"/>
      <c r="AD127" s="26">
        <f>IF(AD45&gt;Exercise,AD45-Exercise,0)</f>
        <v>0</v>
      </c>
      <c r="AE127" s="26"/>
      <c r="AF127" s="5"/>
      <c r="AG127" s="5"/>
      <c r="AH127" s="5"/>
      <c r="AI127" s="5"/>
      <c r="AJ127" s="5"/>
      <c r="AK127" s="5"/>
      <c r="AL127" s="5"/>
      <c r="AM127" s="5"/>
    </row>
    <row r="128" spans="1:39" ht="18.75" customHeight="1">
      <c r="A128" s="25"/>
      <c r="B128" s="25"/>
      <c r="C128" s="26">
        <f>((D127*$E$7)/(1+$E$6))+((D129*(1-$E$7))/(1+$E$6))</f>
        <v>0.19426909819864049</v>
      </c>
      <c r="D128" s="25"/>
      <c r="E128" s="26">
        <f>((F127*$E$7)/(1+$E$6))+((F129*(1-$E$7))/(1+$E$6))</f>
        <v>0.10595794753978198</v>
      </c>
      <c r="F128" s="25"/>
      <c r="G128" s="26">
        <f>((H127*$E$7)/(1+$E$6))+((H129*(1-$E$7))/(1+$E$6))</f>
        <v>3.8001463786565277E-2</v>
      </c>
      <c r="H128" s="25"/>
      <c r="I128" s="26">
        <f>((J127*$E$7)/(1+$E$6))+((J129*(1-$E$7))/(1+$E$6))</f>
        <v>0</v>
      </c>
      <c r="J128" s="25"/>
      <c r="K128" s="26">
        <f>((L127*$E$7)/(1+$E$6))+((L129*(1-$E$7))/(1+$E$6))</f>
        <v>0</v>
      </c>
      <c r="L128" s="25"/>
      <c r="M128" s="26">
        <f>IF(M46&gt;Exercise,M46-Exercise,0)</f>
        <v>0</v>
      </c>
      <c r="N128" s="26"/>
      <c r="O128" s="26">
        <f>IF(O46&gt;Exercise,O46-Exercise,0)</f>
        <v>0</v>
      </c>
      <c r="P128" s="26"/>
      <c r="Q128" s="26">
        <f>IF(Q46&gt;Exercise,Q46-Exercise,0)</f>
        <v>0</v>
      </c>
      <c r="R128" s="26"/>
      <c r="S128" s="26">
        <f>IF(S46&gt;Exercise,S46-Exercise,0)</f>
        <v>0</v>
      </c>
      <c r="T128" s="26"/>
      <c r="U128" s="26">
        <f>IF(U46&gt;Exercise,U46-Exercise,0)</f>
        <v>0</v>
      </c>
      <c r="V128" s="26"/>
      <c r="W128" s="26">
        <f>IF(W46&gt;Exercise,W46-Exercise,0)</f>
        <v>0</v>
      </c>
      <c r="X128" s="26"/>
      <c r="Y128" s="26">
        <f>IF(Y46&gt;Exercise,Y46-Exercise,0)</f>
        <v>0</v>
      </c>
      <c r="Z128" s="26"/>
      <c r="AA128" s="26">
        <f>IF(AA46&gt;Exercise,AA46-Exercise,0)</f>
        <v>0</v>
      </c>
      <c r="AB128" s="26"/>
      <c r="AC128" s="26">
        <f>IF(AC46&gt;Exercise,AC46-Exercise,0)</f>
        <v>0</v>
      </c>
      <c r="AD128" s="26"/>
      <c r="AE128" s="26">
        <f>IF(AE46&gt;Exercise,AE46-Exercise,0)</f>
        <v>0</v>
      </c>
      <c r="AF128" s="5"/>
      <c r="AG128" s="5"/>
      <c r="AH128" s="5"/>
      <c r="AI128" s="5"/>
      <c r="AJ128" s="5"/>
      <c r="AK128" s="5"/>
      <c r="AL128" s="5"/>
      <c r="AM128" s="5"/>
    </row>
    <row r="129" spans="1:39" ht="18.75" customHeight="1">
      <c r="A129" s="25"/>
      <c r="B129" s="25"/>
      <c r="C129" s="25"/>
      <c r="D129" s="26">
        <f>((E128*$E$7)/(1+$E$6))+((E130*(1-$E$7))/(1+$E$6))</f>
        <v>5.7245709664303132E-2</v>
      </c>
      <c r="E129" s="25"/>
      <c r="F129" s="26">
        <f>((G128*$E$7)/(1+$E$6))+((G130*(1-$E$7))/(1+$E$6))</f>
        <v>1.8846811650334111E-2</v>
      </c>
      <c r="G129" s="25"/>
      <c r="H129" s="26">
        <f>((I128*$E$7)/(1+$E$6))+((I130*(1-$E$7))/(1+$E$6))</f>
        <v>0</v>
      </c>
      <c r="I129" s="25"/>
      <c r="J129" s="26">
        <f>((K128*$E$7)/(1+$E$6))+((K130*(1-$E$7))/(1+$E$6))</f>
        <v>0</v>
      </c>
      <c r="K129" s="25"/>
      <c r="L129" s="26">
        <f>((M128*$E$7)/(1+$E$6))+((M130*(1-$E$7))/(1+$E$6))</f>
        <v>0</v>
      </c>
      <c r="M129" s="26"/>
      <c r="N129" s="26">
        <f>IF(N47&gt;Exercise,N47-Exercise,0)</f>
        <v>0</v>
      </c>
      <c r="O129" s="26"/>
      <c r="P129" s="26">
        <f>IF(P47&gt;Exercise,P47-Exercise,0)</f>
        <v>0</v>
      </c>
      <c r="Q129" s="26"/>
      <c r="R129" s="26">
        <f>IF(R47&gt;Exercise,R47-Exercise,0)</f>
        <v>0</v>
      </c>
      <c r="S129" s="26"/>
      <c r="T129" s="26">
        <f>IF(T47&gt;Exercise,T47-Exercise,0)</f>
        <v>0</v>
      </c>
      <c r="U129" s="26"/>
      <c r="V129" s="26">
        <f>IF(V47&gt;Exercise,V47-Exercise,0)</f>
        <v>0</v>
      </c>
      <c r="W129" s="26"/>
      <c r="X129" s="26">
        <f>IF(X47&gt;Exercise,X47-Exercise,0)</f>
        <v>0</v>
      </c>
      <c r="Y129" s="26"/>
      <c r="Z129" s="26">
        <f>IF(Z47&gt;Exercise,Z47-Exercise,0)</f>
        <v>0</v>
      </c>
      <c r="AA129" s="26"/>
      <c r="AB129" s="26">
        <f>IF(AB47&gt;Exercise,AB47-Exercise,0)</f>
        <v>0</v>
      </c>
      <c r="AC129" s="26"/>
      <c r="AD129" s="26">
        <f>IF(AD47&gt;Exercise,AD47-Exercise,0)</f>
        <v>0</v>
      </c>
      <c r="AE129" s="26"/>
      <c r="AF129" s="5"/>
      <c r="AG129" s="5"/>
      <c r="AH129" s="5"/>
      <c r="AI129" s="5"/>
      <c r="AJ129" s="5"/>
      <c r="AK129" s="5"/>
      <c r="AL129" s="5"/>
      <c r="AM129" s="5"/>
    </row>
    <row r="130" spans="1:39" ht="18.75" customHeight="1">
      <c r="A130" s="25"/>
      <c r="B130" s="25"/>
      <c r="C130" s="25"/>
      <c r="D130" s="25"/>
      <c r="E130" s="26">
        <f>((F129*$E$7)/(1+$E$6))+((F131*(1-$E$7))/(1+$E$6))</f>
        <v>9.3470691386563082E-3</v>
      </c>
      <c r="F130" s="25"/>
      <c r="G130" s="26">
        <f>((H129*$E$7)/(1+$E$6))+((H131*(1-$E$7))/(1+$E$6))</f>
        <v>0</v>
      </c>
      <c r="H130" s="25"/>
      <c r="I130" s="26">
        <f>((J129*$E$7)/(1+$E$6))+((J131*(1-$E$7))/(1+$E$6))</f>
        <v>0</v>
      </c>
      <c r="J130" s="25"/>
      <c r="K130" s="26">
        <f>((L129*$E$7)/(1+$E$6))+((L131*(1-$E$7))/(1+$E$6))</f>
        <v>0</v>
      </c>
      <c r="L130" s="25"/>
      <c r="M130" s="26">
        <f>IF(M48&gt;Exercise,M48-Exercise,0)</f>
        <v>0</v>
      </c>
      <c r="N130" s="26"/>
      <c r="O130" s="26">
        <f>IF(O48&gt;Exercise,O48-Exercise,0)</f>
        <v>0</v>
      </c>
      <c r="P130" s="26"/>
      <c r="Q130" s="26">
        <f>IF(Q48&gt;Exercise,Q48-Exercise,0)</f>
        <v>0</v>
      </c>
      <c r="R130" s="26"/>
      <c r="S130" s="26">
        <f>IF(S48&gt;Exercise,S48-Exercise,0)</f>
        <v>0</v>
      </c>
      <c r="T130" s="26"/>
      <c r="U130" s="26">
        <f>IF(U48&gt;Exercise,U48-Exercise,0)</f>
        <v>0</v>
      </c>
      <c r="V130" s="26"/>
      <c r="W130" s="26">
        <f>IF(W48&gt;Exercise,W48-Exercise,0)</f>
        <v>0</v>
      </c>
      <c r="X130" s="26"/>
      <c r="Y130" s="26">
        <f>IF(Y48&gt;Exercise,Y48-Exercise,0)</f>
        <v>0</v>
      </c>
      <c r="Z130" s="26"/>
      <c r="AA130" s="26">
        <f>IF(AA48&gt;Exercise,AA48-Exercise,0)</f>
        <v>0</v>
      </c>
      <c r="AB130" s="26"/>
      <c r="AC130" s="26">
        <f>IF(AC48&gt;Exercise,AC48-Exercise,0)</f>
        <v>0</v>
      </c>
      <c r="AD130" s="26"/>
      <c r="AE130" s="26">
        <f>IF(AE48&gt;Exercise,AE48-Exercise,0)</f>
        <v>0</v>
      </c>
      <c r="AF130" s="5"/>
      <c r="AG130" s="5"/>
      <c r="AH130" s="5"/>
      <c r="AI130" s="5"/>
      <c r="AJ130" s="5"/>
      <c r="AK130" s="5"/>
      <c r="AL130" s="5"/>
      <c r="AM130" s="5"/>
    </row>
    <row r="131" spans="1:39" ht="18.75" customHeight="1">
      <c r="A131" s="25"/>
      <c r="B131" s="25"/>
      <c r="C131" s="25"/>
      <c r="D131" s="25"/>
      <c r="E131" s="25"/>
      <c r="F131" s="26">
        <f>((G130*$E$7)/(1+$E$6))+((G132*(1-$E$7))/(1+$E$6))</f>
        <v>0</v>
      </c>
      <c r="G131" s="25"/>
      <c r="H131" s="26">
        <f>((I130*$E$7)/(1+$E$6))+((I132*(1-$E$7))/(1+$E$6))</f>
        <v>0</v>
      </c>
      <c r="I131" s="25"/>
      <c r="J131" s="26">
        <f>((K130*$E$7)/(1+$E$6))+((K132*(1-$E$7))/(1+$E$6))</f>
        <v>0</v>
      </c>
      <c r="K131" s="25"/>
      <c r="L131" s="26">
        <f>((M130*$E$7)/(1+$E$6))+((M132*(1-$E$7))/(1+$E$6))</f>
        <v>0</v>
      </c>
      <c r="M131" s="25"/>
      <c r="N131" s="26">
        <f>IF(N49&gt;Exercise,N49-Exercise,0)</f>
        <v>0</v>
      </c>
      <c r="O131" s="26"/>
      <c r="P131" s="26">
        <f>IF(P49&gt;Exercise,P49-Exercise,0)</f>
        <v>0</v>
      </c>
      <c r="Q131" s="26"/>
      <c r="R131" s="26">
        <f>IF(R49&gt;Exercise,R49-Exercise,0)</f>
        <v>0</v>
      </c>
      <c r="S131" s="26"/>
      <c r="T131" s="26">
        <f>IF(T49&gt;Exercise,T49-Exercise,0)</f>
        <v>0</v>
      </c>
      <c r="U131" s="26"/>
      <c r="V131" s="26">
        <f>IF(V49&gt;Exercise,V49-Exercise,0)</f>
        <v>0</v>
      </c>
      <c r="W131" s="26"/>
      <c r="X131" s="26">
        <f>IF(X49&gt;Exercise,X49-Exercise,0)</f>
        <v>0</v>
      </c>
      <c r="Y131" s="26"/>
      <c r="Z131" s="26">
        <f>IF(Z49&gt;Exercise,Z49-Exercise,0)</f>
        <v>0</v>
      </c>
      <c r="AA131" s="26"/>
      <c r="AB131" s="26">
        <f>IF(AB49&gt;Exercise,AB49-Exercise,0)</f>
        <v>0</v>
      </c>
      <c r="AC131" s="26"/>
      <c r="AD131" s="26">
        <f>IF(AD49&gt;Exercise,AD49-Exercise,0)</f>
        <v>0</v>
      </c>
      <c r="AE131" s="26"/>
      <c r="AF131" s="5"/>
      <c r="AG131" s="5"/>
      <c r="AH131" s="5"/>
      <c r="AI131" s="5"/>
      <c r="AJ131" s="5"/>
      <c r="AK131" s="5"/>
      <c r="AL131" s="5"/>
      <c r="AM131" s="5"/>
    </row>
    <row r="132" spans="1:39" ht="18.75" customHeight="1">
      <c r="A132" s="25"/>
      <c r="B132" s="25"/>
      <c r="C132" s="25"/>
      <c r="D132" s="25"/>
      <c r="E132" s="25"/>
      <c r="F132" s="25"/>
      <c r="G132" s="26">
        <f>((H131*$E$7)/(1+$E$6))+((H133*(1-$E$7))/(1+$E$6))</f>
        <v>0</v>
      </c>
      <c r="H132" s="25"/>
      <c r="I132" s="26">
        <f>((J131*$E$7)/(1+$E$6))+((J133*(1-$E$7))/(1+$E$6))</f>
        <v>0</v>
      </c>
      <c r="J132" s="25"/>
      <c r="K132" s="26">
        <f>((L131*$E$7)/(1+$E$6))+((L133*(1-$E$7))/(1+$E$6))</f>
        <v>0</v>
      </c>
      <c r="L132" s="25"/>
      <c r="M132" s="26">
        <f>IF(M50&gt;Exercise,M50-Exercise,0)</f>
        <v>0</v>
      </c>
      <c r="N132" s="26"/>
      <c r="O132" s="26">
        <f>IF(O50&gt;Exercise,O50-Exercise,0)</f>
        <v>0</v>
      </c>
      <c r="P132" s="26"/>
      <c r="Q132" s="26">
        <f>IF(Q50&gt;Exercise,Q50-Exercise,0)</f>
        <v>0</v>
      </c>
      <c r="R132" s="26"/>
      <c r="S132" s="26">
        <f>IF(S50&gt;Exercise,S50-Exercise,0)</f>
        <v>0</v>
      </c>
      <c r="T132" s="26"/>
      <c r="U132" s="26">
        <f>IF(U50&gt;Exercise,U50-Exercise,0)</f>
        <v>0</v>
      </c>
      <c r="V132" s="26"/>
      <c r="W132" s="26">
        <f>IF(W50&gt;Exercise,W50-Exercise,0)</f>
        <v>0</v>
      </c>
      <c r="X132" s="26"/>
      <c r="Y132" s="26">
        <f>IF(Y50&gt;Exercise,Y50-Exercise,0)</f>
        <v>0</v>
      </c>
      <c r="Z132" s="26"/>
      <c r="AA132" s="26">
        <f>IF(AA50&gt;Exercise,AA50-Exercise,0)</f>
        <v>0</v>
      </c>
      <c r="AB132" s="26"/>
      <c r="AC132" s="26">
        <f>IF(AC50&gt;Exercise,AC50-Exercise,0)</f>
        <v>0</v>
      </c>
      <c r="AD132" s="26"/>
      <c r="AE132" s="26">
        <f>IF(AE50&gt;Exercise,AE50-Exercise,0)</f>
        <v>0</v>
      </c>
      <c r="AF132" s="5"/>
      <c r="AG132" s="5"/>
      <c r="AH132" s="5"/>
      <c r="AI132" s="5"/>
      <c r="AJ132" s="5"/>
      <c r="AK132" s="5"/>
      <c r="AL132" s="5"/>
      <c r="AM132" s="5"/>
    </row>
    <row r="133" spans="1:39" ht="18.75" customHeight="1">
      <c r="A133" s="25"/>
      <c r="B133" s="25"/>
      <c r="C133" s="25"/>
      <c r="D133" s="25"/>
      <c r="E133" s="25"/>
      <c r="F133" s="25"/>
      <c r="G133" s="25"/>
      <c r="H133" s="26">
        <f>((I132*$E$7)/(1+$E$6))+((I134*(1-$E$7))/(1+$E$6))</f>
        <v>0</v>
      </c>
      <c r="I133" s="25"/>
      <c r="J133" s="26">
        <f>((K132*$E$7)/(1+$E$6))+((K134*(1-$E$7))/(1+$E$6))</f>
        <v>0</v>
      </c>
      <c r="K133" s="25"/>
      <c r="L133" s="26">
        <f>((M132*$E$7)/(1+$E$6))+((M134*(1-$E$7))/(1+$E$6))</f>
        <v>0</v>
      </c>
      <c r="M133" s="25"/>
      <c r="N133" s="26">
        <f>IF(N51&gt;Exercise,N51-Exercise,0)</f>
        <v>0</v>
      </c>
      <c r="O133" s="26"/>
      <c r="P133" s="26">
        <f>IF(P51&gt;Exercise,P51-Exercise,0)</f>
        <v>0</v>
      </c>
      <c r="Q133" s="26"/>
      <c r="R133" s="26">
        <f>IF(R51&gt;Exercise,R51-Exercise,0)</f>
        <v>0</v>
      </c>
      <c r="S133" s="26"/>
      <c r="T133" s="26">
        <f>IF(T51&gt;Exercise,T51-Exercise,0)</f>
        <v>0</v>
      </c>
      <c r="U133" s="26"/>
      <c r="V133" s="26">
        <f>IF(V51&gt;Exercise,V51-Exercise,0)</f>
        <v>0</v>
      </c>
      <c r="W133" s="26"/>
      <c r="X133" s="26">
        <f>IF(X51&gt;Exercise,X51-Exercise,0)</f>
        <v>0</v>
      </c>
      <c r="Y133" s="26"/>
      <c r="Z133" s="26">
        <f>IF(Z51&gt;Exercise,Z51-Exercise,0)</f>
        <v>0</v>
      </c>
      <c r="AA133" s="26"/>
      <c r="AB133" s="26">
        <f>IF(AB51&gt;Exercise,AB51-Exercise,0)</f>
        <v>0</v>
      </c>
      <c r="AC133" s="26"/>
      <c r="AD133" s="26">
        <f>IF(AD51&gt;Exercise,AD51-Exercise,0)</f>
        <v>0</v>
      </c>
      <c r="AE133" s="26"/>
      <c r="AF133" s="5"/>
      <c r="AG133" s="5"/>
      <c r="AH133" s="5"/>
      <c r="AI133" s="5"/>
      <c r="AJ133" s="5"/>
      <c r="AK133" s="5"/>
      <c r="AL133" s="5"/>
      <c r="AM133" s="5"/>
    </row>
    <row r="134" spans="1:39" ht="18.75" customHeight="1">
      <c r="A134" s="25"/>
      <c r="B134" s="25"/>
      <c r="C134" s="25"/>
      <c r="D134" s="25"/>
      <c r="E134" s="25"/>
      <c r="F134" s="25"/>
      <c r="G134" s="25"/>
      <c r="H134" s="25"/>
      <c r="I134" s="26">
        <f>((J133*$E$7)/(1+$E$6))+((J135*(1-$E$7))/(1+$E$6))</f>
        <v>0</v>
      </c>
      <c r="J134" s="25"/>
      <c r="K134" s="26">
        <f>((L133*$E$7)/(1+$E$6))+((L135*(1-$E$7))/(1+$E$6))</f>
        <v>0</v>
      </c>
      <c r="L134" s="26"/>
      <c r="M134" s="26">
        <f>IF(M52&gt;Exercise,M52-Exercise,0)</f>
        <v>0</v>
      </c>
      <c r="N134" s="26"/>
      <c r="O134" s="26">
        <f>IF(O52&gt;Exercise,O52-Exercise,0)</f>
        <v>0</v>
      </c>
      <c r="P134" s="26"/>
      <c r="Q134" s="26">
        <f>IF(Q52&gt;Exercise,Q52-Exercise,0)</f>
        <v>0</v>
      </c>
      <c r="R134" s="26"/>
      <c r="S134" s="26">
        <f>IF(S52&gt;Exercise,S52-Exercise,0)</f>
        <v>0</v>
      </c>
      <c r="T134" s="26"/>
      <c r="U134" s="26">
        <f>IF(U52&gt;Exercise,U52-Exercise,0)</f>
        <v>0</v>
      </c>
      <c r="V134" s="26"/>
      <c r="W134" s="26">
        <f>IF(W52&gt;Exercise,W52-Exercise,0)</f>
        <v>0</v>
      </c>
      <c r="X134" s="26"/>
      <c r="Y134" s="26">
        <f>IF(Y52&gt;Exercise,Y52-Exercise,0)</f>
        <v>0</v>
      </c>
      <c r="Z134" s="26"/>
      <c r="AA134" s="26">
        <f>IF(AA52&gt;Exercise,AA52-Exercise,0)</f>
        <v>0</v>
      </c>
      <c r="AB134" s="26"/>
      <c r="AC134" s="26">
        <f>IF(AC52&gt;Exercise,AC52-Exercise,0)</f>
        <v>0</v>
      </c>
      <c r="AD134" s="26"/>
      <c r="AE134" s="26">
        <f>IF(AE52&gt;Exercise,AE52-Exercise,0)</f>
        <v>0</v>
      </c>
      <c r="AF134" s="5"/>
      <c r="AG134" s="5"/>
      <c r="AH134" s="5"/>
      <c r="AI134" s="5"/>
      <c r="AJ134" s="5"/>
      <c r="AK134" s="5"/>
      <c r="AL134" s="5"/>
      <c r="AM134" s="5"/>
    </row>
    <row r="135" spans="1:39" ht="18.75" customHeight="1">
      <c r="A135" s="25"/>
      <c r="B135" s="25"/>
      <c r="C135" s="25"/>
      <c r="D135" s="25"/>
      <c r="E135" s="25"/>
      <c r="F135" s="25"/>
      <c r="G135" s="25"/>
      <c r="H135" s="25"/>
      <c r="I135" s="25"/>
      <c r="J135" s="26">
        <f>((K134*$E$7)/(1+$E$6))+((K136*(1-$E$7))/(1+$E$6))</f>
        <v>0</v>
      </c>
      <c r="K135" s="25"/>
      <c r="L135" s="26">
        <f>((M134*$E$7)/(1+$E$6))+((M136*(1-$E$7))/(1+$E$6))</f>
        <v>0</v>
      </c>
      <c r="M135" s="25"/>
      <c r="N135" s="26">
        <f>IF(N53&gt;Exercise,N53-Exercise,0)</f>
        <v>0</v>
      </c>
      <c r="O135" s="26"/>
      <c r="P135" s="26">
        <f>IF(P53&gt;Exercise,P53-Exercise,0)</f>
        <v>0</v>
      </c>
      <c r="Q135" s="26"/>
      <c r="R135" s="26">
        <f>IF(R53&gt;Exercise,R53-Exercise,0)</f>
        <v>0</v>
      </c>
      <c r="S135" s="26"/>
      <c r="T135" s="26">
        <f>IF(T53&gt;Exercise,T53-Exercise,0)</f>
        <v>0</v>
      </c>
      <c r="U135" s="26"/>
      <c r="V135" s="26">
        <f>IF(V53&gt;Exercise,V53-Exercise,0)</f>
        <v>0</v>
      </c>
      <c r="W135" s="26"/>
      <c r="X135" s="26">
        <f>IF(X53&gt;Exercise,X53-Exercise,0)</f>
        <v>0</v>
      </c>
      <c r="Y135" s="26"/>
      <c r="Z135" s="26">
        <f>IF(Z53&gt;Exercise,Z53-Exercise,0)</f>
        <v>0</v>
      </c>
      <c r="AA135" s="26"/>
      <c r="AB135" s="26">
        <f>IF(AB53&gt;Exercise,AB53-Exercise,0)</f>
        <v>0</v>
      </c>
      <c r="AC135" s="26"/>
      <c r="AD135" s="26">
        <f>IF(AD53&gt;Exercise,AD53-Exercise,0)</f>
        <v>0</v>
      </c>
      <c r="AE135" s="26"/>
      <c r="AF135" s="5"/>
      <c r="AG135" s="5"/>
      <c r="AH135" s="5"/>
      <c r="AI135" s="5"/>
      <c r="AJ135" s="5"/>
      <c r="AK135" s="5"/>
      <c r="AL135" s="5"/>
      <c r="AM135" s="5"/>
    </row>
    <row r="136" spans="1:39" ht="18.75" customHeight="1">
      <c r="A136" s="25"/>
      <c r="B136" s="25"/>
      <c r="C136" s="25"/>
      <c r="D136" s="25"/>
      <c r="E136" s="25"/>
      <c r="F136" s="25"/>
      <c r="G136" s="25"/>
      <c r="H136" s="25"/>
      <c r="I136" s="25"/>
      <c r="J136" s="25"/>
      <c r="K136" s="26">
        <f>((L135*$E$7)/(1+$E$6))+((L137*(1-$E$7))/(1+$E$6))</f>
        <v>0</v>
      </c>
      <c r="L136" s="25"/>
      <c r="M136" s="26">
        <f>IF(M54&gt;Exercise,M54-Exercise,0)</f>
        <v>0</v>
      </c>
      <c r="N136" s="26"/>
      <c r="O136" s="26">
        <f>IF(O54&gt;Exercise,O54-Exercise,0)</f>
        <v>0</v>
      </c>
      <c r="P136" s="26"/>
      <c r="Q136" s="26">
        <f>IF(Q54&gt;Exercise,Q54-Exercise,0)</f>
        <v>0</v>
      </c>
      <c r="R136" s="26"/>
      <c r="S136" s="26">
        <f>IF(S54&gt;Exercise,S54-Exercise,0)</f>
        <v>0</v>
      </c>
      <c r="T136" s="26"/>
      <c r="U136" s="26">
        <f>IF(U54&gt;Exercise,U54-Exercise,0)</f>
        <v>0</v>
      </c>
      <c r="V136" s="26"/>
      <c r="W136" s="26">
        <f>IF(W54&gt;Exercise,W54-Exercise,0)</f>
        <v>0</v>
      </c>
      <c r="X136" s="26"/>
      <c r="Y136" s="26">
        <f>IF(Y54&gt;Exercise,Y54-Exercise,0)</f>
        <v>0</v>
      </c>
      <c r="Z136" s="26"/>
      <c r="AA136" s="26">
        <f>IF(AA54&gt;Exercise,AA54-Exercise,0)</f>
        <v>0</v>
      </c>
      <c r="AB136" s="26"/>
      <c r="AC136" s="26">
        <f>IF(AC54&gt;Exercise,AC54-Exercise,0)</f>
        <v>0</v>
      </c>
      <c r="AD136" s="26"/>
      <c r="AE136" s="26">
        <f>IF(AE54&gt;Exercise,AE54-Exercise,0)</f>
        <v>0</v>
      </c>
      <c r="AF136" s="5"/>
      <c r="AG136" s="5"/>
      <c r="AH136" s="5"/>
      <c r="AI136" s="5"/>
      <c r="AJ136" s="5"/>
      <c r="AK136" s="5"/>
      <c r="AL136" s="5"/>
      <c r="AM136" s="5"/>
    </row>
    <row r="137" spans="1:39" ht="18.75" customHeight="1">
      <c r="A137" s="25"/>
      <c r="B137" s="25"/>
      <c r="C137" s="25"/>
      <c r="D137" s="25"/>
      <c r="E137" s="25"/>
      <c r="F137" s="25"/>
      <c r="G137" s="25"/>
      <c r="H137" s="25"/>
      <c r="I137" s="25"/>
      <c r="J137" s="25"/>
      <c r="K137" s="25"/>
      <c r="L137" s="26">
        <f>((M136*$E$7)/(1+$E$6))+((M138*(1-$E$7))/(1+$E$6))</f>
        <v>0</v>
      </c>
      <c r="M137" s="25"/>
      <c r="N137" s="26">
        <f>IF(N55&gt;Exercise,N55-Exercise,0)</f>
        <v>0</v>
      </c>
      <c r="O137" s="26"/>
      <c r="P137" s="26">
        <f>IF(P55&gt;Exercise,P55-Exercise,0)</f>
        <v>0</v>
      </c>
      <c r="Q137" s="26"/>
      <c r="R137" s="26">
        <f>IF(R55&gt;Exercise,R55-Exercise,0)</f>
        <v>0</v>
      </c>
      <c r="S137" s="26"/>
      <c r="T137" s="26">
        <f>IF(T55&gt;Exercise,T55-Exercise,0)</f>
        <v>0</v>
      </c>
      <c r="U137" s="26"/>
      <c r="V137" s="26">
        <f>IF(V55&gt;Exercise,V55-Exercise,0)</f>
        <v>0</v>
      </c>
      <c r="W137" s="26"/>
      <c r="X137" s="26">
        <f>IF(X55&gt;Exercise,X55-Exercise,0)</f>
        <v>0</v>
      </c>
      <c r="Y137" s="26"/>
      <c r="Z137" s="26">
        <f>IF(Z55&gt;Exercise,Z55-Exercise,0)</f>
        <v>0</v>
      </c>
      <c r="AA137" s="26"/>
      <c r="AB137" s="26">
        <f>IF(AB55&gt;Exercise,AB55-Exercise,0)</f>
        <v>0</v>
      </c>
      <c r="AC137" s="26"/>
      <c r="AD137" s="26">
        <f>IF(AD55&gt;Exercise,AD55-Exercise,0)</f>
        <v>0</v>
      </c>
      <c r="AE137" s="26"/>
      <c r="AF137" s="5"/>
      <c r="AG137" s="5"/>
      <c r="AH137" s="5"/>
      <c r="AI137" s="5"/>
      <c r="AJ137" s="5"/>
      <c r="AK137" s="5"/>
      <c r="AL137" s="5"/>
      <c r="AM137" s="5"/>
    </row>
    <row r="138" spans="1:39" ht="18.75" customHeight="1">
      <c r="A138" s="56"/>
      <c r="B138" s="56"/>
      <c r="C138" s="56"/>
      <c r="D138" s="56"/>
      <c r="E138" s="56"/>
      <c r="F138" s="56"/>
      <c r="G138" s="56"/>
      <c r="H138" s="56"/>
      <c r="I138" s="56"/>
      <c r="J138" s="56"/>
      <c r="K138" s="56"/>
      <c r="L138" s="56"/>
      <c r="M138" s="57">
        <f>IF(M56&gt;Exercise,M56-Exercise,0)</f>
        <v>0</v>
      </c>
      <c r="N138" s="26"/>
      <c r="O138" s="26">
        <f>IF(O56&gt;Exercise,O56-Exercise,0)</f>
        <v>0</v>
      </c>
      <c r="P138" s="26"/>
      <c r="Q138" s="26">
        <f>IF(Q56&gt;Exercise,Q56-Exercise,0)</f>
        <v>0</v>
      </c>
      <c r="R138" s="26"/>
      <c r="S138" s="26">
        <f>IF(S56&gt;Exercise,S56-Exercise,0)</f>
        <v>0</v>
      </c>
      <c r="T138" s="26"/>
      <c r="U138" s="26">
        <f>IF(U56&gt;Exercise,U56-Exercise,0)</f>
        <v>0</v>
      </c>
      <c r="V138" s="26"/>
      <c r="W138" s="26">
        <f>IF(W56&gt;Exercise,W56-Exercise,0)</f>
        <v>0</v>
      </c>
      <c r="X138" s="26"/>
      <c r="Y138" s="26">
        <f>IF(Y56&gt;Exercise,Y56-Exercise,0)</f>
        <v>0</v>
      </c>
      <c r="Z138" s="26"/>
      <c r="AA138" s="26">
        <f>IF(AA56&gt;Exercise,AA56-Exercise,0)</f>
        <v>0</v>
      </c>
      <c r="AB138" s="26"/>
      <c r="AC138" s="26">
        <f>IF(AC56&gt;Exercise,AC56-Exercise,0)</f>
        <v>0</v>
      </c>
      <c r="AD138" s="26"/>
      <c r="AE138" s="26">
        <f>IF(AE56&gt;Exercise,AE56-Exercise,0)</f>
        <v>0</v>
      </c>
      <c r="AF138" s="5"/>
      <c r="AG138" s="5"/>
      <c r="AH138" s="5"/>
      <c r="AI138" s="5"/>
      <c r="AJ138" s="5"/>
      <c r="AK138" s="5"/>
      <c r="AL138" s="5"/>
      <c r="AM138" s="5"/>
    </row>
    <row r="139" spans="1:39" ht="18.75" customHeight="1">
      <c r="A139" s="56"/>
      <c r="B139" s="56"/>
      <c r="C139" s="56"/>
      <c r="D139" s="56"/>
      <c r="E139" s="56"/>
      <c r="F139" s="56"/>
      <c r="G139" s="56"/>
      <c r="H139" s="56"/>
      <c r="I139" s="56"/>
      <c r="J139" s="56"/>
      <c r="K139" s="56"/>
      <c r="L139" s="56"/>
      <c r="M139" s="56"/>
      <c r="N139" s="26">
        <f>IF(N57&gt;Exercise,N57-Exercise,0)</f>
        <v>0</v>
      </c>
      <c r="O139" s="26"/>
      <c r="P139" s="26">
        <f>IF(P57&gt;Exercise,P57-Exercise,0)</f>
        <v>0</v>
      </c>
      <c r="Q139" s="26"/>
      <c r="R139" s="26">
        <f>IF(R57&gt;Exercise,R57-Exercise,0)</f>
        <v>0</v>
      </c>
      <c r="S139" s="26"/>
      <c r="T139" s="26">
        <f>IF(T57&gt;Exercise,T57-Exercise,0)</f>
        <v>0</v>
      </c>
      <c r="U139" s="26"/>
      <c r="V139" s="26">
        <f>IF(V57&gt;Exercise,V57-Exercise,0)</f>
        <v>0</v>
      </c>
      <c r="W139" s="26"/>
      <c r="X139" s="26">
        <f>IF(X57&gt;Exercise,X57-Exercise,0)</f>
        <v>0</v>
      </c>
      <c r="Y139" s="26"/>
      <c r="Z139" s="26">
        <f>IF(Z57&gt;Exercise,Z57-Exercise,0)</f>
        <v>0</v>
      </c>
      <c r="AA139" s="26"/>
      <c r="AB139" s="26">
        <f>IF(AB57&gt;Exercise,AB57-Exercise,0)</f>
        <v>0</v>
      </c>
      <c r="AC139" s="26"/>
      <c r="AD139" s="26">
        <f>IF(AD57&gt;Exercise,AD57-Exercise,0)</f>
        <v>0</v>
      </c>
      <c r="AE139" s="26"/>
      <c r="AF139" s="5"/>
      <c r="AG139" s="5"/>
      <c r="AH139" s="5"/>
      <c r="AI139" s="5"/>
      <c r="AJ139" s="5"/>
      <c r="AK139" s="5"/>
      <c r="AL139" s="5"/>
      <c r="AM139" s="5"/>
    </row>
    <row r="140" spans="1:39" ht="18.75" customHeight="1">
      <c r="A140" s="56"/>
      <c r="B140" s="56"/>
      <c r="C140" s="56"/>
      <c r="D140" s="56"/>
      <c r="E140" s="56"/>
      <c r="F140" s="56"/>
      <c r="G140" s="56"/>
      <c r="H140" s="56"/>
      <c r="I140" s="56"/>
      <c r="J140" s="56"/>
      <c r="K140" s="56"/>
      <c r="L140" s="56"/>
      <c r="M140" s="56"/>
      <c r="N140" s="5"/>
      <c r="O140" s="26">
        <f>IF(O58&gt;Exercise,O58-Exercise,0)</f>
        <v>0</v>
      </c>
      <c r="P140" s="26"/>
      <c r="Q140" s="26">
        <f>IF(Q58&gt;Exercise,Q58-Exercise,0)</f>
        <v>0</v>
      </c>
      <c r="R140" s="26"/>
      <c r="S140" s="26">
        <f>IF(S58&gt;Exercise,S58-Exercise,0)</f>
        <v>0</v>
      </c>
      <c r="T140" s="26"/>
      <c r="U140" s="26">
        <f>IF(U58&gt;Exercise,U58-Exercise,0)</f>
        <v>0</v>
      </c>
      <c r="V140" s="26"/>
      <c r="W140" s="26">
        <f>IF(W58&gt;Exercise,W58-Exercise,0)</f>
        <v>0</v>
      </c>
      <c r="X140" s="26"/>
      <c r="Y140" s="26">
        <f>IF(Y58&gt;Exercise,Y58-Exercise,0)</f>
        <v>0</v>
      </c>
      <c r="Z140" s="26"/>
      <c r="AA140" s="26">
        <f>IF(AA58&gt;Exercise,AA58-Exercise,0)</f>
        <v>0</v>
      </c>
      <c r="AB140" s="26"/>
      <c r="AC140" s="26">
        <f>IF(AC58&gt;Exercise,AC58-Exercise,0)</f>
        <v>0</v>
      </c>
      <c r="AD140" s="26"/>
      <c r="AE140" s="26">
        <f>IF(AE58&gt;Exercise,AE58-Exercise,0)</f>
        <v>0</v>
      </c>
      <c r="AF140" s="5"/>
      <c r="AG140" s="5"/>
      <c r="AH140" s="5"/>
      <c r="AI140" s="5"/>
      <c r="AJ140" s="5"/>
      <c r="AK140" s="5"/>
      <c r="AL140" s="5"/>
      <c r="AM140" s="5"/>
    </row>
    <row r="141" spans="1:39" ht="18.75" customHeight="1">
      <c r="A141" s="56"/>
      <c r="B141" s="56"/>
      <c r="C141" s="56"/>
      <c r="D141" s="56"/>
      <c r="E141" s="56"/>
      <c r="F141" s="56"/>
      <c r="G141" s="56"/>
      <c r="H141" s="56"/>
      <c r="I141" s="56"/>
      <c r="J141" s="56"/>
      <c r="K141" s="56"/>
      <c r="L141" s="56"/>
      <c r="M141" s="56"/>
      <c r="N141" s="5"/>
      <c r="O141" s="5"/>
      <c r="P141" s="26">
        <f>IF(P59&gt;Exercise,P59-Exercise,0)</f>
        <v>0</v>
      </c>
      <c r="Q141" s="26"/>
      <c r="R141" s="26">
        <f>IF(R59&gt;Exercise,R59-Exercise,0)</f>
        <v>0</v>
      </c>
      <c r="S141" s="26"/>
      <c r="T141" s="26">
        <f>IF(T59&gt;Exercise,T59-Exercise,0)</f>
        <v>0</v>
      </c>
      <c r="U141" s="26"/>
      <c r="V141" s="26">
        <f>IF(V59&gt;Exercise,V59-Exercise,0)</f>
        <v>0</v>
      </c>
      <c r="W141" s="26"/>
      <c r="X141" s="26">
        <f>IF(X59&gt;Exercise,X59-Exercise,0)</f>
        <v>0</v>
      </c>
      <c r="Y141" s="26"/>
      <c r="Z141" s="26">
        <f>IF(Z59&gt;Exercise,Z59-Exercise,0)</f>
        <v>0</v>
      </c>
      <c r="AA141" s="26"/>
      <c r="AB141" s="26">
        <f>IF(AB59&gt;Exercise,AB59-Exercise,0)</f>
        <v>0</v>
      </c>
      <c r="AC141" s="26"/>
      <c r="AD141" s="26">
        <f>IF(AD59&gt;Exercise,AD59-Exercise,0)</f>
        <v>0</v>
      </c>
      <c r="AE141" s="26"/>
      <c r="AF141" s="5"/>
      <c r="AG141" s="5"/>
      <c r="AH141" s="5"/>
      <c r="AI141" s="5"/>
      <c r="AJ141" s="5"/>
      <c r="AK141" s="5"/>
      <c r="AL141" s="5"/>
      <c r="AM141" s="5"/>
    </row>
    <row r="142" spans="1:39" ht="18.75" customHeight="1">
      <c r="A142" s="56"/>
      <c r="B142" s="56"/>
      <c r="C142" s="56"/>
      <c r="D142" s="56"/>
      <c r="E142" s="56"/>
      <c r="F142" s="56"/>
      <c r="G142" s="56"/>
      <c r="H142" s="56"/>
      <c r="I142" s="56"/>
      <c r="J142" s="56"/>
      <c r="K142" s="56"/>
      <c r="L142" s="56"/>
      <c r="M142" s="56"/>
      <c r="N142" s="5"/>
      <c r="O142" s="5"/>
      <c r="P142" s="5"/>
      <c r="Q142" s="26">
        <f>IF(Q60&gt;Exercise,Q60-Exercise,0)</f>
        <v>0</v>
      </c>
      <c r="R142" s="26"/>
      <c r="S142" s="26">
        <f>IF(S60&gt;Exercise,S60-Exercise,0)</f>
        <v>0</v>
      </c>
      <c r="T142" s="26"/>
      <c r="U142" s="26">
        <f>IF(U60&gt;Exercise,U60-Exercise,0)</f>
        <v>0</v>
      </c>
      <c r="V142" s="26"/>
      <c r="W142" s="26">
        <f>IF(W60&gt;Exercise,W60-Exercise,0)</f>
        <v>0</v>
      </c>
      <c r="X142" s="26"/>
      <c r="Y142" s="26">
        <f>IF(Y60&gt;Exercise,Y60-Exercise,0)</f>
        <v>0</v>
      </c>
      <c r="Z142" s="26"/>
      <c r="AA142" s="26">
        <f>IF(AA60&gt;Exercise,AA60-Exercise,0)</f>
        <v>0</v>
      </c>
      <c r="AB142" s="26"/>
      <c r="AC142" s="26">
        <f>IF(AC60&gt;Exercise,AC60-Exercise,0)</f>
        <v>0</v>
      </c>
      <c r="AD142" s="26"/>
      <c r="AE142" s="26">
        <f>IF(AE60&gt;Exercise,AE60-Exercise,0)</f>
        <v>0</v>
      </c>
      <c r="AF142" s="5"/>
      <c r="AG142" s="5"/>
      <c r="AH142" s="5"/>
      <c r="AI142" s="5"/>
      <c r="AJ142" s="5"/>
      <c r="AK142" s="5"/>
      <c r="AL142" s="5"/>
      <c r="AM142" s="5"/>
    </row>
    <row r="143" spans="1:39" ht="18.75" customHeight="1">
      <c r="A143" s="56"/>
      <c r="B143" s="56"/>
      <c r="C143" s="56"/>
      <c r="D143" s="56"/>
      <c r="E143" s="56"/>
      <c r="F143" s="56"/>
      <c r="G143" s="56"/>
      <c r="H143" s="56"/>
      <c r="I143" s="56"/>
      <c r="J143" s="56"/>
      <c r="K143" s="56"/>
      <c r="L143" s="56"/>
      <c r="M143" s="56"/>
      <c r="N143" s="5"/>
      <c r="O143" s="5"/>
      <c r="P143" s="5"/>
      <c r="Q143" s="5"/>
      <c r="R143" s="26">
        <f>IF(R61&gt;Exercise,R61-Exercise,0)</f>
        <v>0</v>
      </c>
      <c r="S143" s="26"/>
      <c r="T143" s="26">
        <f>IF(T61&gt;Exercise,T61-Exercise,0)</f>
        <v>0</v>
      </c>
      <c r="U143" s="26"/>
      <c r="V143" s="26">
        <f>IF(V61&gt;Exercise,V61-Exercise,0)</f>
        <v>0</v>
      </c>
      <c r="W143" s="26"/>
      <c r="X143" s="26">
        <f>IF(X61&gt;Exercise,X61-Exercise,0)</f>
        <v>0</v>
      </c>
      <c r="Y143" s="26"/>
      <c r="Z143" s="26">
        <f>IF(Z61&gt;Exercise,Z61-Exercise,0)</f>
        <v>0</v>
      </c>
      <c r="AA143" s="26"/>
      <c r="AB143" s="26">
        <f>IF(AB61&gt;Exercise,AB61-Exercise,0)</f>
        <v>0</v>
      </c>
      <c r="AC143" s="26"/>
      <c r="AD143" s="26">
        <f>IF(AD61&gt;Exercise,AD61-Exercise,0)</f>
        <v>0</v>
      </c>
      <c r="AE143" s="26"/>
      <c r="AF143" s="5"/>
      <c r="AG143" s="5"/>
      <c r="AH143" s="5"/>
      <c r="AI143" s="5"/>
      <c r="AJ143" s="5"/>
      <c r="AK143" s="5"/>
      <c r="AL143" s="5"/>
      <c r="AM143" s="5"/>
    </row>
    <row r="144" spans="1:39" ht="18.75" customHeight="1">
      <c r="A144" s="56"/>
      <c r="B144" s="56"/>
      <c r="C144" s="56"/>
      <c r="D144" s="56"/>
      <c r="E144" s="56"/>
      <c r="F144" s="56"/>
      <c r="G144" s="56"/>
      <c r="H144" s="56"/>
      <c r="I144" s="56"/>
      <c r="J144" s="56"/>
      <c r="K144" s="56"/>
      <c r="L144" s="56"/>
      <c r="M144" s="56"/>
      <c r="N144" s="5"/>
      <c r="O144" s="5"/>
      <c r="P144" s="5"/>
      <c r="Q144" s="5"/>
      <c r="R144" s="5"/>
      <c r="S144" s="26">
        <f>IF(S62&gt;Exercise,S62-Exercise,0)</f>
        <v>0</v>
      </c>
      <c r="T144" s="26"/>
      <c r="U144" s="26">
        <f>IF(U62&gt;Exercise,U62-Exercise,0)</f>
        <v>0</v>
      </c>
      <c r="V144" s="26"/>
      <c r="W144" s="26">
        <f>IF(W62&gt;Exercise,W62-Exercise,0)</f>
        <v>0</v>
      </c>
      <c r="X144" s="26"/>
      <c r="Y144" s="26">
        <f>IF(Y62&gt;Exercise,Y62-Exercise,0)</f>
        <v>0</v>
      </c>
      <c r="Z144" s="26"/>
      <c r="AA144" s="26">
        <f>IF(AA62&gt;Exercise,AA62-Exercise,0)</f>
        <v>0</v>
      </c>
      <c r="AB144" s="26"/>
      <c r="AC144" s="26">
        <f>IF(AC62&gt;Exercise,AC62-Exercise,0)</f>
        <v>0</v>
      </c>
      <c r="AD144" s="26"/>
      <c r="AE144" s="26">
        <f>IF(AE62&gt;Exercise,AE62-Exercise,0)</f>
        <v>0</v>
      </c>
      <c r="AF144" s="5"/>
      <c r="AG144" s="5"/>
      <c r="AH144" s="5"/>
      <c r="AI144" s="5"/>
      <c r="AJ144" s="5"/>
      <c r="AK144" s="5"/>
      <c r="AL144" s="5"/>
      <c r="AM144" s="5"/>
    </row>
    <row r="145" spans="1:39" ht="18.75" customHeight="1">
      <c r="A145" s="56"/>
      <c r="B145" s="56"/>
      <c r="C145" s="56"/>
      <c r="D145" s="56"/>
      <c r="E145" s="56"/>
      <c r="F145" s="56"/>
      <c r="G145" s="56"/>
      <c r="H145" s="56"/>
      <c r="I145" s="56"/>
      <c r="J145" s="56"/>
      <c r="K145" s="56"/>
      <c r="L145" s="56"/>
      <c r="M145" s="56"/>
      <c r="N145" s="5"/>
      <c r="O145" s="5"/>
      <c r="P145" s="5"/>
      <c r="Q145" s="5"/>
      <c r="R145" s="5"/>
      <c r="S145" s="5"/>
      <c r="T145" s="26">
        <f>IF(T63&gt;Exercise,T63-Exercise,0)</f>
        <v>0</v>
      </c>
      <c r="U145" s="26"/>
      <c r="V145" s="26">
        <f>IF(V63&gt;Exercise,V63-Exercise,0)</f>
        <v>0</v>
      </c>
      <c r="W145" s="26"/>
      <c r="X145" s="26">
        <f>IF(X63&gt;Exercise,X63-Exercise,0)</f>
        <v>0</v>
      </c>
      <c r="Y145" s="26"/>
      <c r="Z145" s="26">
        <f>IF(Z63&gt;Exercise,Z63-Exercise,0)</f>
        <v>0</v>
      </c>
      <c r="AA145" s="26"/>
      <c r="AB145" s="26">
        <f>IF(AB63&gt;Exercise,AB63-Exercise,0)</f>
        <v>0</v>
      </c>
      <c r="AC145" s="26"/>
      <c r="AD145" s="26">
        <f>IF(AD63&gt;Exercise,AD63-Exercise,0)</f>
        <v>0</v>
      </c>
      <c r="AE145" s="26"/>
      <c r="AF145" s="5"/>
      <c r="AG145" s="5"/>
      <c r="AH145" s="5"/>
      <c r="AI145" s="5"/>
      <c r="AJ145" s="5"/>
      <c r="AK145" s="5"/>
      <c r="AL145" s="5"/>
      <c r="AM145" s="5"/>
    </row>
    <row r="146" spans="1:39" ht="18.75" customHeight="1">
      <c r="A146" s="56"/>
      <c r="B146" s="56"/>
      <c r="C146" s="56"/>
      <c r="D146" s="56"/>
      <c r="E146" s="56"/>
      <c r="F146" s="56"/>
      <c r="G146" s="56"/>
      <c r="H146" s="56"/>
      <c r="I146" s="56"/>
      <c r="J146" s="56"/>
      <c r="K146" s="56"/>
      <c r="L146" s="56"/>
      <c r="M146" s="56"/>
      <c r="N146" s="5"/>
      <c r="O146" s="5"/>
      <c r="P146" s="5"/>
      <c r="Q146" s="5"/>
      <c r="R146" s="5"/>
      <c r="S146" s="5"/>
      <c r="T146" s="5"/>
      <c r="U146" s="26">
        <f>IF(U64&gt;Exercise,U64-Exercise,0)</f>
        <v>0</v>
      </c>
      <c r="V146" s="26"/>
      <c r="W146" s="26">
        <f>IF(W64&gt;Exercise,W64-Exercise,0)</f>
        <v>0</v>
      </c>
      <c r="X146" s="26"/>
      <c r="Y146" s="26">
        <f>IF(Y64&gt;Exercise,Y64-Exercise,0)</f>
        <v>0</v>
      </c>
      <c r="Z146" s="26"/>
      <c r="AA146" s="26">
        <f>IF(AA64&gt;Exercise,AA64-Exercise,0)</f>
        <v>0</v>
      </c>
      <c r="AB146" s="26"/>
      <c r="AC146" s="26">
        <f>IF(AC64&gt;Exercise,AC64-Exercise,0)</f>
        <v>0</v>
      </c>
      <c r="AD146" s="26"/>
      <c r="AE146" s="26">
        <f>IF(AE64&gt;Exercise,AE64-Exercise,0)</f>
        <v>0</v>
      </c>
      <c r="AF146" s="5"/>
      <c r="AG146" s="5"/>
      <c r="AH146" s="5"/>
      <c r="AI146" s="5"/>
      <c r="AJ146" s="5"/>
      <c r="AK146" s="5"/>
      <c r="AL146" s="5"/>
      <c r="AM146" s="5"/>
    </row>
    <row r="147" spans="1:39" ht="18.75" customHeight="1">
      <c r="A147" s="56"/>
      <c r="B147" s="56"/>
      <c r="C147" s="56"/>
      <c r="D147" s="56"/>
      <c r="E147" s="56"/>
      <c r="F147" s="56"/>
      <c r="G147" s="56"/>
      <c r="H147" s="56"/>
      <c r="I147" s="56"/>
      <c r="J147" s="56"/>
      <c r="K147" s="56"/>
      <c r="L147" s="56"/>
      <c r="M147" s="56"/>
      <c r="N147" s="5"/>
      <c r="O147" s="5"/>
      <c r="P147" s="5"/>
      <c r="Q147" s="5"/>
      <c r="R147" s="5"/>
      <c r="S147" s="5"/>
      <c r="T147" s="5"/>
      <c r="U147" s="5"/>
      <c r="V147" s="26">
        <f>IF(V65&gt;Exercise,V65-Exercise,0)</f>
        <v>0</v>
      </c>
      <c r="W147" s="26"/>
      <c r="X147" s="26">
        <f>IF(X65&gt;Exercise,X65-Exercise,0)</f>
        <v>0</v>
      </c>
      <c r="Y147" s="26"/>
      <c r="Z147" s="26">
        <f>IF(Z65&gt;Exercise,Z65-Exercise,0)</f>
        <v>0</v>
      </c>
      <c r="AA147" s="26"/>
      <c r="AB147" s="26">
        <f>IF(AB65&gt;Exercise,AB65-Exercise,0)</f>
        <v>0</v>
      </c>
      <c r="AC147" s="26"/>
      <c r="AD147" s="26">
        <f>IF(AD65&gt;Exercise,AD65-Exercise,0)</f>
        <v>0</v>
      </c>
      <c r="AE147" s="26"/>
      <c r="AF147" s="5"/>
      <c r="AG147" s="5"/>
      <c r="AH147" s="5"/>
      <c r="AI147" s="5"/>
      <c r="AJ147" s="5"/>
      <c r="AK147" s="5"/>
      <c r="AL147" s="5"/>
      <c r="AM147" s="5"/>
    </row>
    <row r="148" spans="1:39" ht="18.75" customHeight="1">
      <c r="A148" s="56"/>
      <c r="B148" s="56"/>
      <c r="C148" s="56"/>
      <c r="D148" s="56"/>
      <c r="E148" s="56"/>
      <c r="F148" s="56"/>
      <c r="G148" s="56"/>
      <c r="H148" s="56"/>
      <c r="I148" s="56"/>
      <c r="J148" s="56"/>
      <c r="K148" s="56"/>
      <c r="L148" s="56"/>
      <c r="M148" s="56"/>
      <c r="N148" s="5"/>
      <c r="O148" s="5"/>
      <c r="P148" s="5"/>
      <c r="Q148" s="5"/>
      <c r="R148" s="5"/>
      <c r="S148" s="5"/>
      <c r="T148" s="5"/>
      <c r="U148" s="5"/>
      <c r="V148" s="5"/>
      <c r="W148" s="26">
        <f>IF(W66&gt;Exercise,W66-Exercise,0)</f>
        <v>0</v>
      </c>
      <c r="X148" s="26"/>
      <c r="Y148" s="26">
        <f>IF(Y66&gt;Exercise,Y66-Exercise,0)</f>
        <v>0</v>
      </c>
      <c r="Z148" s="26"/>
      <c r="AA148" s="26">
        <f>IF(AA66&gt;Exercise,AA66-Exercise,0)</f>
        <v>0</v>
      </c>
      <c r="AB148" s="26"/>
      <c r="AC148" s="26">
        <f>IF(AC66&gt;Exercise,AC66-Exercise,0)</f>
        <v>0</v>
      </c>
      <c r="AD148" s="26"/>
      <c r="AE148" s="26">
        <f>IF(AE66&gt;Exercise,AE66-Exercise,0)</f>
        <v>0</v>
      </c>
      <c r="AF148" s="5"/>
      <c r="AG148" s="5"/>
      <c r="AH148" s="5"/>
      <c r="AI148" s="5"/>
      <c r="AJ148" s="5"/>
      <c r="AK148" s="5"/>
      <c r="AL148" s="5"/>
      <c r="AM148" s="5"/>
    </row>
    <row r="149" spans="1:39" ht="18.75" customHeight="1">
      <c r="A149" s="56"/>
      <c r="B149" s="56"/>
      <c r="C149" s="56"/>
      <c r="D149" s="56"/>
      <c r="E149" s="56"/>
      <c r="F149" s="56"/>
      <c r="G149" s="56"/>
      <c r="H149" s="56"/>
      <c r="I149" s="56"/>
      <c r="J149" s="56"/>
      <c r="K149" s="56"/>
      <c r="L149" s="56"/>
      <c r="M149" s="56"/>
      <c r="N149" s="5"/>
      <c r="O149" s="5"/>
      <c r="P149" s="5"/>
      <c r="Q149" s="5"/>
      <c r="R149" s="5"/>
      <c r="S149" s="5"/>
      <c r="T149" s="5"/>
      <c r="U149" s="5"/>
      <c r="V149" s="5"/>
      <c r="X149" s="26">
        <f>IF(X67&gt;Exercise,X67-Exercise,0)</f>
        <v>0</v>
      </c>
      <c r="Y149" s="26"/>
      <c r="Z149" s="26">
        <f>IF(Z67&gt;Exercise,Z67-Exercise,0)</f>
        <v>0</v>
      </c>
      <c r="AA149" s="26"/>
      <c r="AB149" s="26">
        <f>IF(AB67&gt;Exercise,AB67-Exercise,0)</f>
        <v>0</v>
      </c>
      <c r="AC149" s="26"/>
      <c r="AD149" s="26">
        <f>IF(AD67&gt;Exercise,AD67-Exercise,0)</f>
        <v>0</v>
      </c>
      <c r="AE149" s="26"/>
      <c r="AF149" s="5"/>
      <c r="AG149" s="5"/>
      <c r="AH149" s="5"/>
      <c r="AI149" s="5"/>
      <c r="AJ149" s="5"/>
      <c r="AK149" s="5"/>
      <c r="AL149" s="5"/>
      <c r="AM149" s="5"/>
    </row>
    <row r="150" spans="1:39" ht="18.75" customHeight="1">
      <c r="A150" s="56"/>
      <c r="B150" s="56"/>
      <c r="C150" s="56"/>
      <c r="D150" s="56"/>
      <c r="E150" s="56"/>
      <c r="F150" s="56"/>
      <c r="G150" s="56"/>
      <c r="H150" s="56"/>
      <c r="I150" s="56"/>
      <c r="J150" s="56"/>
      <c r="K150" s="56"/>
      <c r="L150" s="56"/>
      <c r="M150" s="56"/>
      <c r="N150" s="5"/>
      <c r="O150" s="5"/>
      <c r="P150" s="5"/>
      <c r="Q150" s="5"/>
      <c r="R150" s="5"/>
      <c r="S150" s="5"/>
      <c r="T150" s="5"/>
      <c r="U150" s="5"/>
      <c r="V150" s="5"/>
      <c r="Y150" s="26">
        <f>IF(Y68&gt;Exercise,Y68-Exercise,0)</f>
        <v>0</v>
      </c>
      <c r="Z150" s="26"/>
      <c r="AA150" s="26">
        <f>IF(AA68&gt;Exercise,AA68-Exercise,0)</f>
        <v>0</v>
      </c>
      <c r="AB150" s="26"/>
      <c r="AC150" s="26">
        <f>IF(AC68&gt;Exercise,AC68-Exercise,0)</f>
        <v>0</v>
      </c>
      <c r="AD150" s="26"/>
      <c r="AE150" s="26">
        <f>IF(AE68&gt;Exercise,AE68-Exercise,0)</f>
        <v>0</v>
      </c>
      <c r="AF150" s="5"/>
      <c r="AG150" s="5"/>
      <c r="AH150" s="5"/>
      <c r="AI150" s="5"/>
      <c r="AJ150" s="5"/>
      <c r="AK150" s="5"/>
      <c r="AL150" s="5"/>
    </row>
    <row r="151" spans="1:39" ht="18.75" customHeight="1">
      <c r="A151" s="56"/>
      <c r="B151" s="56"/>
      <c r="C151" s="56"/>
      <c r="D151" s="56"/>
      <c r="E151" s="56"/>
      <c r="F151" s="56"/>
      <c r="G151" s="56"/>
      <c r="H151" s="56"/>
      <c r="I151" s="56"/>
      <c r="J151" s="56"/>
      <c r="K151" s="56"/>
      <c r="L151" s="56"/>
      <c r="M151" s="56"/>
      <c r="N151" s="5"/>
      <c r="O151" s="5"/>
      <c r="P151" s="5"/>
      <c r="Q151" s="5"/>
      <c r="R151" s="5"/>
      <c r="S151" s="5"/>
      <c r="T151" s="5"/>
      <c r="U151" s="5"/>
      <c r="V151" s="5"/>
      <c r="Y151" s="5"/>
      <c r="Z151" s="26">
        <f>IF(Z69&gt;Exercise,Z69-Exercise,0)</f>
        <v>0</v>
      </c>
      <c r="AA151" s="26"/>
      <c r="AB151" s="26">
        <f>IF(AB69&gt;Exercise,AB69-Exercise,0)</f>
        <v>0</v>
      </c>
      <c r="AC151" s="26"/>
      <c r="AD151" s="26">
        <f>IF(AD69&gt;Exercise,AD69-Exercise,0)</f>
        <v>0</v>
      </c>
      <c r="AE151" s="26"/>
      <c r="AF151" s="5"/>
      <c r="AG151" s="5"/>
      <c r="AH151" s="5"/>
      <c r="AI151" s="5"/>
      <c r="AJ151" s="5"/>
      <c r="AK151" s="5"/>
      <c r="AL151" s="5"/>
      <c r="AM151" s="5"/>
    </row>
    <row r="152" spans="1:39" ht="18.75" customHeight="1">
      <c r="A152" s="56"/>
      <c r="B152" s="56"/>
      <c r="C152" s="56"/>
      <c r="D152" s="56"/>
      <c r="E152" s="56"/>
      <c r="F152" s="56"/>
      <c r="G152" s="56"/>
      <c r="H152" s="56"/>
      <c r="I152" s="56"/>
      <c r="J152" s="56"/>
      <c r="K152" s="56"/>
      <c r="L152" s="56"/>
      <c r="M152" s="56"/>
      <c r="N152" s="5"/>
      <c r="O152" s="5"/>
      <c r="P152" s="5"/>
      <c r="Q152" s="5"/>
      <c r="R152" s="5"/>
      <c r="S152" s="5"/>
      <c r="T152" s="5"/>
      <c r="U152" s="5"/>
      <c r="V152" s="5"/>
      <c r="Y152" s="5"/>
      <c r="Z152" s="5"/>
      <c r="AA152" s="26">
        <f>IF(AA70&gt;Exercise,AA70-Exercise,0)</f>
        <v>0</v>
      </c>
      <c r="AB152" s="26"/>
      <c r="AC152" s="26">
        <f>IF(AC70&gt;Exercise,AC70-Exercise,0)</f>
        <v>0</v>
      </c>
      <c r="AD152" s="26"/>
      <c r="AE152" s="26">
        <f>IF(AE70&gt;Exercise,AE70-Exercise,0)</f>
        <v>0</v>
      </c>
      <c r="AF152" s="5"/>
      <c r="AG152" s="5"/>
      <c r="AH152" s="5"/>
      <c r="AI152" s="5"/>
      <c r="AJ152" s="5"/>
      <c r="AK152" s="5"/>
      <c r="AL152" s="5"/>
      <c r="AM152" s="5"/>
    </row>
    <row r="153" spans="1:39" ht="18.75" customHeight="1">
      <c r="A153" s="56"/>
      <c r="B153" s="56"/>
      <c r="C153" s="56"/>
      <c r="D153" s="56"/>
      <c r="E153" s="56"/>
      <c r="F153" s="56"/>
      <c r="G153" s="56"/>
      <c r="H153" s="56"/>
      <c r="I153" s="56"/>
      <c r="J153" s="56"/>
      <c r="K153" s="56"/>
      <c r="L153" s="56"/>
      <c r="M153" s="56"/>
      <c r="N153" s="5"/>
      <c r="O153" s="5"/>
      <c r="P153" s="5"/>
      <c r="Q153" s="5"/>
      <c r="R153" s="5"/>
      <c r="S153" s="5"/>
      <c r="T153" s="5"/>
      <c r="U153" s="5"/>
      <c r="V153" s="5"/>
      <c r="Y153" s="5"/>
      <c r="Z153" s="5"/>
      <c r="AA153" s="5"/>
      <c r="AB153" s="26">
        <f>IF(AB71&gt;Exercise,AB71-Exercise,0)</f>
        <v>0</v>
      </c>
      <c r="AC153" s="26"/>
      <c r="AD153" s="26">
        <f>IF(AD71&gt;Exercise,AD71-Exercise,0)</f>
        <v>0</v>
      </c>
      <c r="AE153" s="26"/>
      <c r="AF153" s="5"/>
      <c r="AG153" s="5"/>
      <c r="AH153" s="5"/>
      <c r="AI153" s="5"/>
      <c r="AJ153" s="5"/>
      <c r="AK153" s="5"/>
      <c r="AL153" s="5"/>
      <c r="AM153" s="5"/>
    </row>
    <row r="154" spans="1:39" ht="18.75" customHeight="1">
      <c r="A154" s="56"/>
      <c r="B154" s="56"/>
      <c r="C154" s="56"/>
      <c r="D154" s="56"/>
      <c r="E154" s="56"/>
      <c r="F154" s="56"/>
      <c r="G154" s="56"/>
      <c r="H154" s="56"/>
      <c r="I154" s="56"/>
      <c r="J154" s="56"/>
      <c r="K154" s="56"/>
      <c r="L154" s="56"/>
      <c r="M154" s="56"/>
      <c r="N154" s="5"/>
      <c r="O154" s="5"/>
      <c r="P154" s="5"/>
      <c r="Q154" s="5"/>
      <c r="R154" s="5"/>
      <c r="S154" s="5"/>
      <c r="T154" s="5"/>
      <c r="U154" s="5"/>
      <c r="V154" s="5"/>
      <c r="Y154" s="5"/>
      <c r="Z154" s="5"/>
      <c r="AA154" s="5"/>
      <c r="AB154" s="5"/>
      <c r="AC154" s="26">
        <f>IF(AC72&gt;Exercise,AC72-Exercise,0)</f>
        <v>0</v>
      </c>
      <c r="AD154" s="26"/>
      <c r="AE154" s="26">
        <f>IF(AE72&gt;Exercise,AE72-Exercise,0)</f>
        <v>0</v>
      </c>
      <c r="AF154" s="5"/>
      <c r="AG154" s="5"/>
      <c r="AH154" s="5"/>
      <c r="AI154" s="5"/>
      <c r="AJ154" s="5"/>
      <c r="AK154" s="5"/>
      <c r="AL154" s="5"/>
      <c r="AM154" s="5"/>
    </row>
    <row r="155" spans="1:39" ht="18.75" customHeight="1">
      <c r="A155" s="56"/>
      <c r="B155" s="56"/>
      <c r="C155" s="56"/>
      <c r="D155" s="56"/>
      <c r="E155" s="56"/>
      <c r="F155" s="56"/>
      <c r="G155" s="56"/>
      <c r="H155" s="56"/>
      <c r="I155" s="56"/>
      <c r="J155" s="56"/>
      <c r="K155" s="56"/>
      <c r="L155" s="56"/>
      <c r="M155" s="56"/>
      <c r="N155" s="5"/>
      <c r="O155" s="5"/>
      <c r="P155" s="5"/>
      <c r="Q155" s="5"/>
      <c r="R155" s="5"/>
      <c r="S155" s="5"/>
      <c r="T155" s="5"/>
      <c r="U155" s="5"/>
      <c r="V155" s="5"/>
      <c r="Y155" s="5"/>
      <c r="Z155" s="5"/>
      <c r="AA155" s="5"/>
      <c r="AB155" s="5"/>
      <c r="AC155" s="5"/>
      <c r="AD155" s="26">
        <f>IF(AD73&gt;Exercise,AD73-Exercise,0)</f>
        <v>0</v>
      </c>
      <c r="AE155" s="26"/>
      <c r="AF155" s="5"/>
      <c r="AG155" s="5"/>
      <c r="AH155" s="5"/>
      <c r="AI155" s="5"/>
      <c r="AJ155" s="5"/>
      <c r="AK155" s="5"/>
      <c r="AL155" s="5"/>
      <c r="AM155" s="5"/>
    </row>
    <row r="156" spans="1:39" ht="18.75" customHeight="1">
      <c r="A156" s="56"/>
      <c r="B156" s="56"/>
      <c r="C156" s="56"/>
      <c r="D156" s="56"/>
      <c r="E156" s="56"/>
      <c r="F156" s="56"/>
      <c r="G156" s="56"/>
      <c r="H156" s="56"/>
      <c r="I156" s="56"/>
      <c r="J156" s="56"/>
      <c r="K156" s="56"/>
      <c r="L156" s="56"/>
      <c r="M156" s="56"/>
      <c r="N156" s="5"/>
      <c r="O156" s="5"/>
      <c r="P156" s="5"/>
      <c r="Q156" s="5"/>
      <c r="R156" s="5"/>
      <c r="S156" s="5"/>
      <c r="T156" s="5"/>
      <c r="U156" s="5"/>
      <c r="V156" s="5"/>
      <c r="Y156" s="5"/>
      <c r="Z156" s="5"/>
      <c r="AA156" s="5"/>
      <c r="AB156" s="5"/>
      <c r="AC156" s="5"/>
      <c r="AD156" s="5"/>
      <c r="AE156" s="26">
        <f>IF(AE74&gt;Exercise,AE74-Exercise,0)</f>
        <v>0</v>
      </c>
      <c r="AF156" s="5"/>
      <c r="AG156" s="5"/>
      <c r="AH156" s="5"/>
      <c r="AI156" s="5"/>
      <c r="AJ156" s="5"/>
      <c r="AK156" s="5"/>
      <c r="AL156" s="5"/>
      <c r="AM156" s="5"/>
    </row>
    <row r="157" spans="1:39" ht="18.75" customHeight="1">
      <c r="A157" s="56"/>
      <c r="B157" s="56"/>
      <c r="C157" s="56"/>
      <c r="D157" s="56"/>
      <c r="E157" s="56"/>
      <c r="F157" s="56"/>
      <c r="G157" s="56"/>
      <c r="H157" s="56"/>
      <c r="I157" s="56"/>
      <c r="J157" s="56"/>
      <c r="K157" s="56"/>
      <c r="L157" s="56"/>
      <c r="M157" s="56"/>
      <c r="N157" s="5"/>
      <c r="O157" s="5"/>
      <c r="P157" s="5"/>
      <c r="Q157" s="5"/>
      <c r="R157" s="5"/>
      <c r="S157" s="5"/>
      <c r="T157" s="5"/>
      <c r="U157" s="5"/>
      <c r="V157" s="5"/>
      <c r="Y157" s="5"/>
      <c r="Z157" s="5"/>
      <c r="AA157" s="5"/>
      <c r="AB157" s="5"/>
      <c r="AC157" s="5"/>
      <c r="AD157" s="5"/>
      <c r="AE157" s="5"/>
      <c r="AF157" s="5"/>
      <c r="AG157" s="5"/>
      <c r="AH157" s="5"/>
      <c r="AI157" s="5"/>
      <c r="AJ157" s="5"/>
      <c r="AK157" s="5"/>
      <c r="AL157" s="5"/>
      <c r="AM157" s="5"/>
    </row>
    <row r="158" spans="1:39" ht="18.75" customHeight="1" thickBot="1">
      <c r="A158" s="56"/>
      <c r="B158" s="56"/>
      <c r="C158" s="56"/>
      <c r="D158" s="56"/>
      <c r="E158" s="56"/>
      <c r="F158" s="56"/>
      <c r="G158" s="56"/>
      <c r="H158" s="56"/>
      <c r="I158" s="56"/>
      <c r="J158" s="56"/>
      <c r="K158" s="56"/>
      <c r="L158" s="56"/>
      <c r="M158" s="56"/>
      <c r="N158" s="5"/>
      <c r="O158" s="5"/>
      <c r="P158" s="5"/>
      <c r="Q158" s="5"/>
      <c r="R158" s="5"/>
      <c r="S158" s="5"/>
      <c r="T158" s="5"/>
      <c r="U158" s="5"/>
      <c r="V158" s="5"/>
      <c r="Y158" s="5"/>
      <c r="Z158" s="5"/>
      <c r="AA158" s="5"/>
      <c r="AB158" s="5"/>
      <c r="AC158" s="5"/>
      <c r="AD158" s="5"/>
      <c r="AE158" s="5"/>
      <c r="AF158" s="5"/>
      <c r="AG158" s="5"/>
      <c r="AH158" s="5"/>
      <c r="AI158" s="5"/>
      <c r="AJ158" s="5"/>
      <c r="AK158" s="5"/>
      <c r="AL158" s="5"/>
      <c r="AM158" s="5"/>
    </row>
    <row r="159" spans="1:39" ht="18.75" customHeight="1" thickBot="1">
      <c r="A159" s="161" t="s">
        <v>31</v>
      </c>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3"/>
      <c r="AF159" s="5"/>
      <c r="AG159" s="5"/>
      <c r="AH159" s="5"/>
      <c r="AI159" s="5"/>
      <c r="AJ159" s="5"/>
      <c r="AK159" s="5"/>
      <c r="AL159" s="5"/>
      <c r="AM159" s="5"/>
    </row>
    <row r="160" spans="1:39" ht="18.75" customHeight="1">
      <c r="A160" s="25"/>
      <c r="B160" s="25"/>
      <c r="C160" s="25"/>
      <c r="D160" s="25"/>
      <c r="E160" s="25"/>
      <c r="F160" s="25"/>
      <c r="G160" s="25"/>
      <c r="H160" s="25"/>
      <c r="I160" s="25"/>
      <c r="J160" s="25"/>
      <c r="K160" s="25"/>
      <c r="L160" s="25"/>
      <c r="M160" s="5"/>
      <c r="N160" s="5"/>
      <c r="O160" s="5"/>
      <c r="P160" s="5"/>
      <c r="Q160" s="5"/>
      <c r="R160" s="5"/>
      <c r="S160" s="5"/>
      <c r="T160" s="5"/>
      <c r="U160" s="5"/>
      <c r="V160" s="5"/>
      <c r="Y160" s="5"/>
      <c r="Z160" s="5"/>
      <c r="AA160" s="5"/>
      <c r="AB160" s="5"/>
      <c r="AC160" s="5"/>
      <c r="AD160" s="5"/>
      <c r="AE160" s="5"/>
      <c r="AF160" s="5"/>
      <c r="AG160" s="5"/>
      <c r="AH160" s="5"/>
      <c r="AI160" s="5"/>
      <c r="AJ160" s="5"/>
      <c r="AK160" s="5"/>
      <c r="AL160" s="5"/>
      <c r="AM160" s="5"/>
    </row>
    <row r="161" spans="1:39" ht="18.75" customHeight="1">
      <c r="A161" s="25"/>
      <c r="B161" s="25"/>
      <c r="C161" s="25"/>
      <c r="D161" s="25"/>
      <c r="E161" s="25"/>
      <c r="F161" s="25"/>
      <c r="G161" s="25"/>
      <c r="H161" s="25"/>
      <c r="I161" s="25"/>
      <c r="J161" s="25"/>
      <c r="K161" s="25"/>
      <c r="L161" s="25"/>
      <c r="M161" s="5"/>
      <c r="N161" s="5"/>
      <c r="O161" s="5"/>
      <c r="P161" s="5"/>
      <c r="Q161" s="5"/>
      <c r="R161" s="5"/>
      <c r="S161" s="5"/>
      <c r="T161" s="5"/>
      <c r="U161" s="5"/>
      <c r="V161" s="5"/>
      <c r="Y161" s="5"/>
      <c r="Z161" s="5"/>
      <c r="AA161" s="5"/>
      <c r="AB161" s="5"/>
      <c r="AC161" s="5"/>
      <c r="AD161" s="5"/>
      <c r="AE161" s="5"/>
      <c r="AF161" s="5"/>
      <c r="AG161" s="5"/>
      <c r="AH161" s="5"/>
      <c r="AI161" s="5"/>
      <c r="AJ161" s="5"/>
      <c r="AK161" s="5"/>
      <c r="AL161" s="5"/>
      <c r="AM161" s="5"/>
    </row>
    <row r="162" spans="1:39" ht="18.75" customHeight="1">
      <c r="A162" s="25"/>
      <c r="B162" s="25"/>
      <c r="C162" s="25"/>
      <c r="D162" s="25"/>
      <c r="E162" s="25"/>
      <c r="F162" s="25"/>
      <c r="G162" s="25"/>
      <c r="H162" s="25"/>
      <c r="I162" s="25"/>
      <c r="J162" s="25"/>
      <c r="K162" s="25"/>
      <c r="L162" s="25"/>
      <c r="M162" s="5"/>
      <c r="N162" s="5"/>
      <c r="O162" s="5"/>
      <c r="P162" s="5"/>
      <c r="Q162" s="5"/>
      <c r="R162" s="5"/>
      <c r="S162" s="5"/>
      <c r="T162" s="5"/>
      <c r="U162" s="5"/>
      <c r="V162" s="5"/>
      <c r="Y162" s="5"/>
      <c r="Z162" s="5"/>
      <c r="AA162" s="5"/>
      <c r="AB162" s="5"/>
      <c r="AC162" s="5"/>
      <c r="AD162" s="5"/>
      <c r="AE162" s="5"/>
      <c r="AF162" s="5"/>
      <c r="AG162" s="5"/>
      <c r="AH162" s="5"/>
      <c r="AI162" s="5"/>
      <c r="AJ162" s="5"/>
      <c r="AK162" s="5"/>
      <c r="AL162" s="5"/>
      <c r="AM162" s="5"/>
    </row>
    <row r="163" spans="1:39" ht="18.75" customHeight="1">
      <c r="A163" s="25"/>
      <c r="B163" s="25"/>
      <c r="C163" s="25"/>
      <c r="D163" s="25"/>
      <c r="E163" s="25"/>
      <c r="F163" s="25"/>
      <c r="G163" s="25"/>
      <c r="H163" s="25"/>
      <c r="I163" s="25"/>
      <c r="J163" s="25"/>
      <c r="K163" s="25"/>
      <c r="L163" s="25"/>
      <c r="M163" s="5"/>
      <c r="N163" s="5"/>
      <c r="O163" s="5"/>
      <c r="P163" s="5"/>
      <c r="Q163" s="5"/>
      <c r="R163" s="5"/>
      <c r="S163" s="5"/>
      <c r="T163" s="5"/>
      <c r="U163" s="5"/>
      <c r="V163" s="5"/>
      <c r="Y163" s="5"/>
      <c r="Z163" s="5"/>
      <c r="AA163" s="5"/>
      <c r="AB163" s="5"/>
      <c r="AC163" s="5"/>
      <c r="AD163" s="5"/>
      <c r="AE163" s="5"/>
      <c r="AF163" s="5"/>
      <c r="AG163" s="5"/>
      <c r="AH163" s="5"/>
      <c r="AI163" s="5"/>
      <c r="AJ163" s="5"/>
      <c r="AK163" s="5"/>
      <c r="AL163" s="5"/>
      <c r="AM163" s="5"/>
    </row>
    <row r="164" spans="1:39" ht="18.75" customHeight="1">
      <c r="A164" s="25"/>
      <c r="B164" s="25"/>
      <c r="C164" s="25"/>
      <c r="D164" s="25"/>
      <c r="E164" s="25"/>
      <c r="F164" s="25"/>
      <c r="G164" s="25"/>
      <c r="H164" s="25"/>
      <c r="I164" s="25"/>
      <c r="J164" s="25"/>
      <c r="K164" s="25"/>
      <c r="L164" s="25"/>
      <c r="M164" s="5"/>
      <c r="N164" s="5"/>
      <c r="O164" s="5"/>
      <c r="P164" s="5"/>
      <c r="Q164" s="5"/>
      <c r="R164" s="5"/>
      <c r="S164" s="5"/>
      <c r="T164" s="5"/>
      <c r="U164" s="5"/>
      <c r="V164" s="5"/>
      <c r="Y164" s="5"/>
      <c r="Z164" s="5"/>
      <c r="AA164" s="5"/>
      <c r="AB164" s="5"/>
      <c r="AC164" s="5"/>
      <c r="AD164" s="5"/>
      <c r="AE164" s="5"/>
      <c r="AF164" s="5"/>
      <c r="AG164" s="5"/>
      <c r="AH164" s="5"/>
      <c r="AI164" s="5"/>
      <c r="AJ164" s="5"/>
      <c r="AK164" s="5"/>
      <c r="AL164" s="5"/>
      <c r="AM164" s="5"/>
    </row>
    <row r="165" spans="1:39" ht="18.75" customHeight="1">
      <c r="A165" s="25"/>
      <c r="B165" s="25"/>
      <c r="C165" s="25"/>
      <c r="D165" s="25"/>
      <c r="E165" s="25"/>
      <c r="F165" s="25"/>
      <c r="G165" s="25"/>
      <c r="H165" s="25"/>
      <c r="I165" s="25"/>
      <c r="J165" s="25"/>
      <c r="K165" s="25"/>
      <c r="L165" s="25"/>
      <c r="M165" s="5"/>
      <c r="N165" s="5"/>
      <c r="O165" s="5"/>
      <c r="P165" s="5"/>
      <c r="Q165" s="5"/>
      <c r="R165" s="5"/>
      <c r="S165" s="5"/>
      <c r="T165" s="5"/>
      <c r="U165" s="5"/>
      <c r="V165" s="5"/>
      <c r="Y165" s="5"/>
      <c r="Z165" s="5"/>
      <c r="AA165" s="5"/>
      <c r="AB165" s="5"/>
      <c r="AC165" s="5"/>
      <c r="AD165" s="5"/>
      <c r="AE165" s="5"/>
      <c r="AF165" s="5"/>
      <c r="AG165" s="5"/>
      <c r="AH165" s="5"/>
      <c r="AI165" s="5"/>
      <c r="AJ165" s="5"/>
      <c r="AK165" s="5"/>
      <c r="AL165" s="5"/>
      <c r="AM165" s="5"/>
    </row>
    <row r="166" spans="1:39" ht="18.75" customHeight="1">
      <c r="A166" s="25"/>
      <c r="B166" s="25"/>
      <c r="C166" s="25"/>
      <c r="D166" s="25"/>
      <c r="E166" s="25"/>
      <c r="F166" s="25"/>
      <c r="G166" s="25"/>
      <c r="H166" s="25"/>
      <c r="I166" s="25"/>
      <c r="J166" s="25"/>
      <c r="K166" s="25"/>
      <c r="L166" s="25"/>
      <c r="M166" s="25"/>
      <c r="N166" s="25"/>
      <c r="O166" s="25"/>
      <c r="P166" s="25"/>
      <c r="Q166" s="25"/>
      <c r="R166" s="25"/>
      <c r="S166" s="25"/>
      <c r="T166" s="25"/>
      <c r="U166" s="25"/>
      <c r="V166" s="25"/>
      <c r="W166" s="25"/>
      <c r="X166" s="25"/>
      <c r="Y166" s="25"/>
      <c r="Z166" s="25"/>
      <c r="AA166" s="25"/>
      <c r="AB166" s="25"/>
      <c r="AC166" s="25"/>
      <c r="AD166" s="25"/>
      <c r="AE166" s="25"/>
      <c r="AF166" s="5"/>
      <c r="AG166" s="5"/>
      <c r="AH166" s="5"/>
      <c r="AI166" s="5"/>
      <c r="AJ166" s="5"/>
      <c r="AK166" s="5"/>
      <c r="AL166" s="5"/>
      <c r="AM166" s="5"/>
    </row>
    <row r="167" spans="1:39" ht="18.75" customHeight="1">
      <c r="A167" s="25"/>
      <c r="B167" s="25"/>
      <c r="C167" s="25"/>
      <c r="D167" s="25"/>
      <c r="E167" s="25"/>
      <c r="F167" s="25"/>
      <c r="G167" s="25"/>
      <c r="H167" s="25"/>
      <c r="I167" s="25"/>
      <c r="J167" s="25"/>
      <c r="K167" s="25"/>
      <c r="L167" s="25"/>
      <c r="M167" s="25"/>
      <c r="N167" s="25"/>
      <c r="O167" s="25"/>
      <c r="P167" s="25"/>
      <c r="Q167" s="25"/>
      <c r="R167" s="25"/>
      <c r="S167" s="25"/>
      <c r="T167" s="25"/>
      <c r="U167" s="25"/>
      <c r="V167" s="25"/>
      <c r="W167" s="25"/>
      <c r="X167" s="25"/>
      <c r="Y167" s="25"/>
      <c r="Z167" s="25"/>
      <c r="AA167" s="25"/>
      <c r="AB167" s="25"/>
      <c r="AC167" s="25"/>
      <c r="AD167" s="25"/>
      <c r="AE167" s="26">
        <f>IF(AE14&lt;Exercise,Exercise-AE14,0)</f>
        <v>0</v>
      </c>
      <c r="AF167" s="5"/>
      <c r="AG167" s="5"/>
      <c r="AH167" s="5"/>
      <c r="AI167" s="5"/>
      <c r="AJ167" s="5"/>
      <c r="AK167" s="5"/>
      <c r="AL167" s="5"/>
      <c r="AM167" s="5"/>
    </row>
    <row r="168" spans="1:39" ht="18.75" customHeight="1">
      <c r="A168" s="25"/>
      <c r="B168" s="25"/>
      <c r="C168" s="25"/>
      <c r="D168" s="25"/>
      <c r="E168" s="25"/>
      <c r="F168" s="25"/>
      <c r="G168" s="25"/>
      <c r="H168" s="25"/>
      <c r="I168" s="25"/>
      <c r="J168" s="25"/>
      <c r="K168" s="25"/>
      <c r="L168" s="25"/>
      <c r="M168" s="25"/>
      <c r="N168" s="25"/>
      <c r="O168" s="25"/>
      <c r="P168" s="25"/>
      <c r="Q168" s="25"/>
      <c r="R168" s="25"/>
      <c r="S168" s="25"/>
      <c r="T168" s="25"/>
      <c r="U168" s="25"/>
      <c r="V168" s="25"/>
      <c r="W168" s="25"/>
      <c r="X168" s="25"/>
      <c r="Y168" s="25"/>
      <c r="Z168" s="25"/>
      <c r="AA168" s="25"/>
      <c r="AB168" s="25"/>
      <c r="AC168" s="25"/>
      <c r="AD168" s="26">
        <f>IF(AD15&lt;Exercise,Exercise-AD15,0)</f>
        <v>0</v>
      </c>
      <c r="AE168" s="26"/>
      <c r="AF168" s="5"/>
      <c r="AG168" s="5"/>
      <c r="AH168" s="5"/>
      <c r="AI168" s="5"/>
      <c r="AJ168" s="5"/>
      <c r="AK168" s="5"/>
      <c r="AL168" s="5"/>
      <c r="AM168" s="5"/>
    </row>
    <row r="169" spans="1:39" ht="18.75" customHeight="1">
      <c r="A169" s="25"/>
      <c r="B169" s="25"/>
      <c r="C169" s="25"/>
      <c r="D169" s="25"/>
      <c r="E169" s="25"/>
      <c r="F169" s="25"/>
      <c r="G169" s="25"/>
      <c r="H169" s="25"/>
      <c r="I169" s="25"/>
      <c r="J169" s="25"/>
      <c r="K169" s="25"/>
      <c r="L169" s="25"/>
      <c r="M169" s="25"/>
      <c r="N169" s="25"/>
      <c r="O169" s="25"/>
      <c r="P169" s="25"/>
      <c r="Q169" s="25"/>
      <c r="R169" s="25"/>
      <c r="S169" s="25"/>
      <c r="T169" s="25"/>
      <c r="U169" s="25"/>
      <c r="V169" s="25"/>
      <c r="W169" s="25"/>
      <c r="X169" s="25"/>
      <c r="Y169" s="25"/>
      <c r="Z169" s="25"/>
      <c r="AA169" s="25"/>
      <c r="AB169" s="25"/>
      <c r="AC169" s="26">
        <f>IF(AC16&lt;Exercise,Exercise-AC16,0)</f>
        <v>0</v>
      </c>
      <c r="AD169" s="26"/>
      <c r="AE169" s="26">
        <f>IF(AE16&lt;Exercise,Exercise-AE16,0)</f>
        <v>0</v>
      </c>
      <c r="AF169" s="5"/>
      <c r="AG169" s="5"/>
      <c r="AH169" s="5"/>
      <c r="AI169" s="5"/>
      <c r="AJ169" s="5"/>
      <c r="AK169" s="5"/>
      <c r="AL169" s="5"/>
      <c r="AM169" s="5"/>
    </row>
    <row r="170" spans="1:39" ht="18.75" customHeight="1">
      <c r="A170" s="25"/>
      <c r="B170" s="25"/>
      <c r="C170" s="25"/>
      <c r="D170" s="25"/>
      <c r="E170" s="25"/>
      <c r="F170" s="25"/>
      <c r="G170" s="25"/>
      <c r="H170" s="25"/>
      <c r="I170" s="25"/>
      <c r="J170" s="25"/>
      <c r="K170" s="25"/>
      <c r="L170" s="25"/>
      <c r="M170" s="25"/>
      <c r="N170" s="25"/>
      <c r="O170" s="25"/>
      <c r="P170" s="25"/>
      <c r="Q170" s="25"/>
      <c r="R170" s="25"/>
      <c r="S170" s="25"/>
      <c r="T170" s="25"/>
      <c r="U170" s="25"/>
      <c r="V170" s="25"/>
      <c r="W170" s="25"/>
      <c r="X170" s="25"/>
      <c r="Y170" s="25"/>
      <c r="Z170" s="25"/>
      <c r="AA170" s="25"/>
      <c r="AB170" s="26">
        <f>IF(AB17&lt;Exercise,Exercise-AB17,0)</f>
        <v>0</v>
      </c>
      <c r="AC170" s="26"/>
      <c r="AD170" s="26">
        <f>IF(AD17&lt;Exercise,Exercise-AD17,0)</f>
        <v>0</v>
      </c>
      <c r="AE170" s="26"/>
      <c r="AF170" s="5"/>
      <c r="AG170" s="5"/>
      <c r="AH170" s="5"/>
      <c r="AI170" s="5"/>
      <c r="AJ170" s="5"/>
      <c r="AK170" s="5"/>
      <c r="AL170" s="5"/>
      <c r="AM170" s="5"/>
    </row>
    <row r="171" spans="1:39" ht="18.75" customHeight="1">
      <c r="A171" s="25"/>
      <c r="B171" s="25"/>
      <c r="C171" s="25"/>
      <c r="D171" s="25"/>
      <c r="E171" s="25"/>
      <c r="F171" s="25"/>
      <c r="G171" s="25"/>
      <c r="H171" s="25"/>
      <c r="I171" s="25"/>
      <c r="J171" s="25"/>
      <c r="K171" s="25"/>
      <c r="L171" s="25"/>
      <c r="M171" s="25"/>
      <c r="N171" s="25"/>
      <c r="O171" s="25"/>
      <c r="P171" s="25"/>
      <c r="Q171" s="25"/>
      <c r="R171" s="25"/>
      <c r="S171" s="25"/>
      <c r="T171" s="25"/>
      <c r="U171" s="25"/>
      <c r="V171" s="25"/>
      <c r="W171" s="25"/>
      <c r="X171" s="25"/>
      <c r="Y171" s="25"/>
      <c r="Z171" s="25"/>
      <c r="AA171" s="26">
        <f>IF(AA18&lt;Exercise,Exercise-AA18,0)</f>
        <v>0</v>
      </c>
      <c r="AB171" s="26"/>
      <c r="AC171" s="26">
        <f>IF(AC18&lt;Exercise,Exercise-AC18,0)</f>
        <v>0</v>
      </c>
      <c r="AD171" s="26"/>
      <c r="AE171" s="26">
        <f>IF(AE18&lt;Exercise,Exercise-AE18,0)</f>
        <v>0</v>
      </c>
      <c r="AF171" s="5"/>
      <c r="AG171" s="5"/>
      <c r="AH171" s="5"/>
      <c r="AI171" s="5"/>
      <c r="AJ171" s="5"/>
      <c r="AK171" s="5"/>
      <c r="AL171" s="5"/>
      <c r="AM171" s="5"/>
    </row>
    <row r="172" spans="1:39" ht="18.75" customHeight="1">
      <c r="A172" s="25"/>
      <c r="B172" s="25"/>
      <c r="C172" s="25"/>
      <c r="D172" s="25"/>
      <c r="E172" s="25"/>
      <c r="F172" s="25"/>
      <c r="G172" s="25"/>
      <c r="H172" s="25"/>
      <c r="I172" s="25"/>
      <c r="J172" s="25"/>
      <c r="K172" s="25"/>
      <c r="L172" s="25"/>
      <c r="M172" s="25"/>
      <c r="N172" s="25"/>
      <c r="O172" s="25"/>
      <c r="P172" s="25"/>
      <c r="Q172" s="25"/>
      <c r="R172" s="25"/>
      <c r="S172" s="25"/>
      <c r="T172" s="25"/>
      <c r="U172" s="25"/>
      <c r="V172" s="25"/>
      <c r="W172" s="25"/>
      <c r="X172" s="25"/>
      <c r="Y172" s="25"/>
      <c r="Z172" s="26">
        <f>IF(Z19&lt;Exercise,Exercise-Z19,0)</f>
        <v>0</v>
      </c>
      <c r="AA172" s="26"/>
      <c r="AB172" s="26">
        <f>IF(AB19&lt;Exercise,Exercise-AB19,0)</f>
        <v>0</v>
      </c>
      <c r="AC172" s="26"/>
      <c r="AD172" s="26">
        <f>IF(AD19&lt;Exercise,Exercise-AD19,0)</f>
        <v>0</v>
      </c>
      <c r="AE172" s="26"/>
      <c r="AF172" s="5"/>
      <c r="AG172" s="5"/>
      <c r="AH172" s="5"/>
      <c r="AI172" s="5"/>
      <c r="AJ172" s="5"/>
      <c r="AK172" s="5"/>
      <c r="AL172" s="5"/>
      <c r="AM172" s="5"/>
    </row>
    <row r="173" spans="1:39" ht="18.75" customHeight="1">
      <c r="A173" s="25"/>
      <c r="B173" s="25"/>
      <c r="C173" s="25"/>
      <c r="D173" s="25"/>
      <c r="E173" s="25"/>
      <c r="F173" s="25"/>
      <c r="G173" s="25"/>
      <c r="H173" s="25"/>
      <c r="I173" s="25"/>
      <c r="J173" s="25"/>
      <c r="K173" s="25"/>
      <c r="L173" s="25"/>
      <c r="M173" s="25"/>
      <c r="N173" s="25"/>
      <c r="O173" s="25"/>
      <c r="P173" s="25"/>
      <c r="Q173" s="25"/>
      <c r="R173" s="25"/>
      <c r="S173" s="25"/>
      <c r="T173" s="25"/>
      <c r="U173" s="25"/>
      <c r="V173" s="25"/>
      <c r="W173" s="25"/>
      <c r="X173" s="25"/>
      <c r="Y173" s="26">
        <f>IF(Y20&lt;Exercise,Exercise-Y20,0)</f>
        <v>0</v>
      </c>
      <c r="Z173" s="26"/>
      <c r="AA173" s="26">
        <f>IF(AA20&lt;Exercise,Exercise-AA20,0)</f>
        <v>0</v>
      </c>
      <c r="AB173" s="26"/>
      <c r="AC173" s="26">
        <f>IF(AC20&lt;Exercise,Exercise-AC20,0)</f>
        <v>0</v>
      </c>
      <c r="AD173" s="26"/>
      <c r="AE173" s="26">
        <f>IF(AE20&lt;Exercise,Exercise-AE20,0)</f>
        <v>0</v>
      </c>
      <c r="AF173" s="5"/>
      <c r="AG173" s="5"/>
      <c r="AH173" s="5"/>
      <c r="AI173" s="5"/>
      <c r="AJ173" s="5"/>
      <c r="AK173" s="5"/>
      <c r="AL173" s="5"/>
      <c r="AM173" s="5"/>
    </row>
    <row r="174" spans="1:39" ht="18.75" customHeight="1">
      <c r="A174" s="25"/>
      <c r="B174" s="25"/>
      <c r="C174" s="25"/>
      <c r="D174" s="25"/>
      <c r="E174" s="25"/>
      <c r="F174" s="25"/>
      <c r="G174" s="25"/>
      <c r="H174" s="25"/>
      <c r="I174" s="25"/>
      <c r="J174" s="25"/>
      <c r="K174" s="25"/>
      <c r="L174" s="25"/>
      <c r="M174" s="25"/>
      <c r="N174" s="25"/>
      <c r="O174" s="25"/>
      <c r="P174" s="25"/>
      <c r="Q174" s="25"/>
      <c r="R174" s="25"/>
      <c r="S174" s="25"/>
      <c r="T174" s="25"/>
      <c r="U174" s="25"/>
      <c r="V174" s="25"/>
      <c r="W174" s="25"/>
      <c r="X174" s="26">
        <f>IF(X21&lt;Exercise,Exercise-X21,0)</f>
        <v>0</v>
      </c>
      <c r="Y174" s="26"/>
      <c r="Z174" s="26">
        <f>IF(Z21&lt;Exercise,Exercise-Z21,0)</f>
        <v>0</v>
      </c>
      <c r="AA174" s="26"/>
      <c r="AB174" s="26">
        <f>IF(AB21&lt;Exercise,Exercise-AB21,0)</f>
        <v>0</v>
      </c>
      <c r="AC174" s="26"/>
      <c r="AD174" s="26">
        <f>IF(AD21&lt;Exercise,Exercise-AD21,0)</f>
        <v>0</v>
      </c>
      <c r="AE174" s="26"/>
      <c r="AF174" s="5"/>
      <c r="AG174" s="5"/>
      <c r="AH174" s="5"/>
      <c r="AI174" s="5"/>
      <c r="AJ174" s="5"/>
      <c r="AK174" s="5"/>
      <c r="AL174" s="5"/>
      <c r="AM174" s="5"/>
    </row>
    <row r="175" spans="1:39" ht="18.75" customHeight="1">
      <c r="A175" s="25"/>
      <c r="B175" s="25"/>
      <c r="C175" s="25"/>
      <c r="D175" s="25"/>
      <c r="E175" s="25"/>
      <c r="F175" s="25"/>
      <c r="G175" s="25"/>
      <c r="H175" s="25"/>
      <c r="I175" s="25"/>
      <c r="J175" s="25"/>
      <c r="K175" s="25"/>
      <c r="L175" s="25"/>
      <c r="M175" s="25"/>
      <c r="N175" s="25"/>
      <c r="O175" s="25"/>
      <c r="P175" s="25"/>
      <c r="Q175" s="25"/>
      <c r="R175" s="25"/>
      <c r="S175" s="25"/>
      <c r="T175" s="25"/>
      <c r="U175" s="25"/>
      <c r="V175" s="25"/>
      <c r="W175" s="26">
        <f>IF(W22&lt;Exercise,Exercise-W22,0)</f>
        <v>0</v>
      </c>
      <c r="X175" s="26"/>
      <c r="Y175" s="26">
        <f>IF(Y22&lt;Exercise,Exercise-Y22,0)</f>
        <v>0</v>
      </c>
      <c r="Z175" s="26"/>
      <c r="AA175" s="26">
        <f>IF(AA22&lt;Exercise,Exercise-AA22,0)</f>
        <v>0</v>
      </c>
      <c r="AB175" s="26"/>
      <c r="AC175" s="26">
        <f>IF(AC22&lt;Exercise,Exercise-AC22,0)</f>
        <v>0</v>
      </c>
      <c r="AD175" s="26"/>
      <c r="AE175" s="26">
        <f>IF(AE22&lt;Exercise,Exercise-AE22,0)</f>
        <v>0</v>
      </c>
      <c r="AF175" s="5"/>
      <c r="AG175" s="5"/>
      <c r="AH175" s="5"/>
      <c r="AI175" s="5"/>
      <c r="AJ175" s="5"/>
      <c r="AK175" s="5"/>
      <c r="AL175" s="5"/>
      <c r="AM175" s="5"/>
    </row>
    <row r="176" spans="1:39" ht="18.75" customHeight="1">
      <c r="A176" s="25"/>
      <c r="B176" s="25"/>
      <c r="C176" s="25"/>
      <c r="D176" s="25"/>
      <c r="E176" s="25"/>
      <c r="F176" s="25"/>
      <c r="G176" s="25"/>
      <c r="H176" s="25"/>
      <c r="I176" s="25"/>
      <c r="J176" s="25"/>
      <c r="K176" s="25"/>
      <c r="L176" s="25"/>
      <c r="M176" s="25"/>
      <c r="N176" s="25"/>
      <c r="O176" s="25"/>
      <c r="P176" s="25"/>
      <c r="Q176" s="25"/>
      <c r="R176" s="25"/>
      <c r="S176" s="25"/>
      <c r="T176" s="25"/>
      <c r="U176" s="25"/>
      <c r="V176" s="26">
        <f>IF(V23&lt;Exercise,Exercise-V23,0)</f>
        <v>0</v>
      </c>
      <c r="W176" s="26"/>
      <c r="X176" s="26">
        <f>IF(X23&lt;Exercise,Exercise-X23,0)</f>
        <v>0</v>
      </c>
      <c r="Y176" s="26"/>
      <c r="Z176" s="26">
        <f>IF(Z23&lt;Exercise,Exercise-Z23,0)</f>
        <v>0</v>
      </c>
      <c r="AA176" s="26"/>
      <c r="AB176" s="26">
        <f>IF(AB23&lt;Exercise,Exercise-AB23,0)</f>
        <v>0</v>
      </c>
      <c r="AC176" s="26"/>
      <c r="AD176" s="26">
        <f>IF(AD23&lt;Exercise,Exercise-AD23,0)</f>
        <v>0</v>
      </c>
      <c r="AE176" s="26"/>
      <c r="AF176" s="5"/>
      <c r="AG176" s="5"/>
      <c r="AH176" s="5"/>
      <c r="AI176" s="5"/>
      <c r="AJ176" s="5"/>
      <c r="AK176" s="5"/>
      <c r="AL176" s="5"/>
      <c r="AM176" s="5"/>
    </row>
    <row r="177" spans="1:39" ht="18.75" customHeight="1">
      <c r="A177" s="25"/>
      <c r="B177" s="25"/>
      <c r="C177" s="25"/>
      <c r="D177" s="25"/>
      <c r="E177" s="25"/>
      <c r="F177" s="25"/>
      <c r="G177" s="25"/>
      <c r="H177" s="25"/>
      <c r="I177" s="25"/>
      <c r="J177" s="25"/>
      <c r="K177" s="25"/>
      <c r="L177" s="25"/>
      <c r="M177" s="25"/>
      <c r="N177" s="25"/>
      <c r="O177" s="25"/>
      <c r="P177" s="25"/>
      <c r="Q177" s="25"/>
      <c r="R177" s="25"/>
      <c r="S177" s="25"/>
      <c r="T177" s="25"/>
      <c r="U177" s="26">
        <f>IF(U24&lt;Exercise,Exercise-U24,0)</f>
        <v>0</v>
      </c>
      <c r="V177" s="26"/>
      <c r="W177" s="26">
        <f>IF(W24&lt;Exercise,Exercise-W24,0)</f>
        <v>0</v>
      </c>
      <c r="X177" s="26"/>
      <c r="Y177" s="26">
        <f>IF(Y24&lt;Exercise,Exercise-Y24,0)</f>
        <v>0</v>
      </c>
      <c r="Z177" s="26"/>
      <c r="AA177" s="26">
        <f>IF(AA24&lt;Exercise,Exercise-AA24,0)</f>
        <v>0</v>
      </c>
      <c r="AB177" s="26"/>
      <c r="AC177" s="26">
        <f>IF(AC24&lt;Exercise,Exercise-AC24,0)</f>
        <v>0</v>
      </c>
      <c r="AD177" s="26"/>
      <c r="AE177" s="26">
        <f>IF(AE24&lt;Exercise,Exercise-AE24,0)</f>
        <v>0</v>
      </c>
      <c r="AF177" s="5"/>
      <c r="AG177" s="5"/>
      <c r="AH177" s="5"/>
      <c r="AI177" s="5"/>
      <c r="AJ177" s="5"/>
      <c r="AK177" s="5"/>
      <c r="AL177" s="5"/>
      <c r="AM177" s="5"/>
    </row>
    <row r="178" spans="1:39" ht="18.75" customHeight="1">
      <c r="A178" s="25"/>
      <c r="B178" s="25"/>
      <c r="C178" s="25"/>
      <c r="D178" s="25"/>
      <c r="E178" s="25"/>
      <c r="F178" s="25"/>
      <c r="G178" s="25"/>
      <c r="H178" s="25"/>
      <c r="I178" s="25"/>
      <c r="J178" s="25"/>
      <c r="K178" s="25"/>
      <c r="L178" s="25"/>
      <c r="M178" s="25"/>
      <c r="N178" s="25"/>
      <c r="O178" s="25"/>
      <c r="P178" s="25"/>
      <c r="Q178" s="25"/>
      <c r="R178" s="25"/>
      <c r="S178" s="25"/>
      <c r="T178" s="26">
        <f>IF(T25&lt;Exercise,Exercise-T25,0)</f>
        <v>0</v>
      </c>
      <c r="U178" s="26"/>
      <c r="V178" s="26">
        <f>IF(V25&lt;Exercise,Exercise-V25,0)</f>
        <v>0</v>
      </c>
      <c r="W178" s="26"/>
      <c r="X178" s="26">
        <f>IF(X25&lt;Exercise,Exercise-X25,0)</f>
        <v>0</v>
      </c>
      <c r="Y178" s="26"/>
      <c r="Z178" s="26">
        <f>IF(Z25&lt;Exercise,Exercise-Z25,0)</f>
        <v>0</v>
      </c>
      <c r="AA178" s="26"/>
      <c r="AB178" s="26">
        <f>IF(AB25&lt;Exercise,Exercise-AB25,0)</f>
        <v>0</v>
      </c>
      <c r="AC178" s="26"/>
      <c r="AD178" s="26">
        <f>IF(AD25&lt;Exercise,Exercise-AD25,0)</f>
        <v>0</v>
      </c>
      <c r="AE178" s="26"/>
      <c r="AF178" s="5"/>
      <c r="AG178" s="5"/>
      <c r="AH178" s="5"/>
      <c r="AI178" s="5"/>
      <c r="AJ178" s="5"/>
      <c r="AK178" s="5"/>
      <c r="AL178" s="5"/>
      <c r="AM178" s="5"/>
    </row>
    <row r="179" spans="1:39" ht="18.75" customHeight="1">
      <c r="A179" s="25"/>
      <c r="B179" s="25"/>
      <c r="C179" s="25"/>
      <c r="D179" s="25"/>
      <c r="E179" s="25"/>
      <c r="F179" s="25"/>
      <c r="G179" s="25"/>
      <c r="H179" s="25"/>
      <c r="I179" s="25"/>
      <c r="J179" s="25"/>
      <c r="K179" s="25"/>
      <c r="L179" s="25"/>
      <c r="M179" s="25"/>
      <c r="N179" s="25"/>
      <c r="O179" s="25"/>
      <c r="P179" s="25"/>
      <c r="Q179" s="25"/>
      <c r="R179" s="25"/>
      <c r="S179" s="26">
        <f>IF(S26&lt;Exercise,Exercise-S26,0)</f>
        <v>0</v>
      </c>
      <c r="T179" s="26"/>
      <c r="U179" s="26">
        <f>IF(U26&lt;Exercise,Exercise-U26,0)</f>
        <v>0</v>
      </c>
      <c r="V179" s="26"/>
      <c r="W179" s="26">
        <f>IF(W26&lt;Exercise,Exercise-W26,0)</f>
        <v>0</v>
      </c>
      <c r="X179" s="26"/>
      <c r="Y179" s="26">
        <f>IF(Y26&lt;Exercise,Exercise-Y26,0)</f>
        <v>0</v>
      </c>
      <c r="Z179" s="26"/>
      <c r="AA179" s="26">
        <f>IF(AA26&lt;Exercise,Exercise-AA26,0)</f>
        <v>0</v>
      </c>
      <c r="AB179" s="26"/>
      <c r="AC179" s="26">
        <f>IF(AC26&lt;Exercise,Exercise-AC26,0)</f>
        <v>0</v>
      </c>
      <c r="AD179" s="26"/>
      <c r="AE179" s="26">
        <f>IF(AE26&lt;Exercise,Exercise-AE26,0)</f>
        <v>0</v>
      </c>
      <c r="AF179" s="5"/>
      <c r="AG179" s="5"/>
      <c r="AH179" s="5"/>
      <c r="AI179" s="5"/>
      <c r="AJ179" s="5"/>
      <c r="AK179" s="5"/>
      <c r="AL179" s="5"/>
      <c r="AM179" s="5"/>
    </row>
    <row r="180" spans="1:39" ht="18.75" customHeight="1">
      <c r="A180" s="25"/>
      <c r="B180" s="25"/>
      <c r="C180" s="25"/>
      <c r="D180" s="25"/>
      <c r="E180" s="25"/>
      <c r="F180" s="25"/>
      <c r="G180" s="25"/>
      <c r="H180" s="25"/>
      <c r="I180" s="25"/>
      <c r="J180" s="25"/>
      <c r="K180" s="25"/>
      <c r="L180" s="25"/>
      <c r="M180" s="25"/>
      <c r="N180" s="25"/>
      <c r="O180" s="25"/>
      <c r="P180" s="25"/>
      <c r="Q180" s="25"/>
      <c r="R180" s="26">
        <f>IF(R27&lt;Exercise,Exercise-R27,0)</f>
        <v>0</v>
      </c>
      <c r="S180" s="26"/>
      <c r="T180" s="26">
        <f>IF(T27&lt;Exercise,Exercise-T27,0)</f>
        <v>0</v>
      </c>
      <c r="U180" s="26"/>
      <c r="V180" s="26">
        <f>IF(V27&lt;Exercise,Exercise-V27,0)</f>
        <v>0</v>
      </c>
      <c r="W180" s="26"/>
      <c r="X180" s="26">
        <f>IF(X27&lt;Exercise,Exercise-X27,0)</f>
        <v>0</v>
      </c>
      <c r="Y180" s="26"/>
      <c r="Z180" s="26">
        <f>IF(Z27&lt;Exercise,Exercise-Z27,0)</f>
        <v>0</v>
      </c>
      <c r="AA180" s="26"/>
      <c r="AB180" s="26">
        <f>IF(AB27&lt;Exercise,Exercise-AB27,0)</f>
        <v>0</v>
      </c>
      <c r="AC180" s="26"/>
      <c r="AD180" s="26">
        <f>IF(AD27&lt;Exercise,Exercise-AD27,0)</f>
        <v>0</v>
      </c>
      <c r="AE180" s="26"/>
      <c r="AF180" s="5"/>
      <c r="AG180" s="5"/>
      <c r="AH180" s="5"/>
      <c r="AI180" s="5"/>
      <c r="AJ180" s="5"/>
      <c r="AK180" s="5"/>
      <c r="AL180" s="5"/>
      <c r="AM180" s="5"/>
    </row>
    <row r="181" spans="1:39" ht="18.75" customHeight="1">
      <c r="A181" s="25"/>
      <c r="B181" s="25"/>
      <c r="C181" s="25"/>
      <c r="D181" s="25"/>
      <c r="E181" s="25"/>
      <c r="F181" s="25"/>
      <c r="G181" s="25"/>
      <c r="H181" s="25"/>
      <c r="I181" s="25"/>
      <c r="J181" s="25"/>
      <c r="K181" s="25"/>
      <c r="L181" s="25"/>
      <c r="M181" s="25"/>
      <c r="N181" s="25"/>
      <c r="O181" s="25"/>
      <c r="P181" s="25"/>
      <c r="Q181" s="26">
        <f>IF(Q28&lt;Exercise,Exercise-Q28,0)</f>
        <v>0</v>
      </c>
      <c r="R181" s="26"/>
      <c r="S181" s="26">
        <f>IF(S28&lt;Exercise,Exercise-S28,0)</f>
        <v>0</v>
      </c>
      <c r="T181" s="26"/>
      <c r="U181" s="26">
        <f>IF(U28&lt;Exercise,Exercise-U28,0)</f>
        <v>0</v>
      </c>
      <c r="V181" s="26"/>
      <c r="W181" s="26">
        <f>IF(W28&lt;Exercise,Exercise-W28,0)</f>
        <v>0</v>
      </c>
      <c r="X181" s="26"/>
      <c r="Y181" s="26">
        <f>IF(Y28&lt;Exercise,Exercise-Y28,0)</f>
        <v>0</v>
      </c>
      <c r="Z181" s="26"/>
      <c r="AA181" s="26">
        <f>IF(AA28&lt;Exercise,Exercise-AA28,0)</f>
        <v>0</v>
      </c>
      <c r="AB181" s="26"/>
      <c r="AC181" s="26">
        <f>IF(AC28&lt;Exercise,Exercise-AC28,0)</f>
        <v>0</v>
      </c>
      <c r="AD181" s="26"/>
      <c r="AE181" s="26">
        <f>IF(AE28&lt;Exercise,Exercise-AE28,0)</f>
        <v>0</v>
      </c>
      <c r="AF181" s="5"/>
      <c r="AG181" s="5"/>
      <c r="AH181" s="5"/>
      <c r="AI181" s="5"/>
      <c r="AJ181" s="5"/>
      <c r="AK181" s="5"/>
      <c r="AL181" s="5"/>
      <c r="AM181" s="5"/>
    </row>
    <row r="182" spans="1:39" ht="18.75" customHeight="1">
      <c r="A182" s="25"/>
      <c r="B182" s="25"/>
      <c r="C182" s="25"/>
      <c r="D182" s="25"/>
      <c r="E182" s="25"/>
      <c r="F182" s="25"/>
      <c r="G182" s="25"/>
      <c r="H182" s="25"/>
      <c r="I182" s="25"/>
      <c r="J182" s="25"/>
      <c r="K182" s="25"/>
      <c r="L182" s="25"/>
      <c r="M182" s="25"/>
      <c r="N182" s="25"/>
      <c r="O182" s="25"/>
      <c r="P182" s="26">
        <f>IF(P29&lt;Exercise,Exercise-P29,0)</f>
        <v>0</v>
      </c>
      <c r="Q182" s="26"/>
      <c r="R182" s="26">
        <f>IF(R29&lt;Exercise,Exercise-R29,0)</f>
        <v>0</v>
      </c>
      <c r="S182" s="26"/>
      <c r="T182" s="26">
        <f>IF(T29&lt;Exercise,Exercise-T29,0)</f>
        <v>0</v>
      </c>
      <c r="U182" s="26"/>
      <c r="V182" s="26">
        <f>IF(V29&lt;Exercise,Exercise-V29,0)</f>
        <v>0</v>
      </c>
      <c r="W182" s="26"/>
      <c r="X182" s="26">
        <f>IF(X29&lt;Exercise,Exercise-X29,0)</f>
        <v>0</v>
      </c>
      <c r="Y182" s="26"/>
      <c r="Z182" s="26">
        <f>IF(Z29&lt;Exercise,Exercise-Z29,0)</f>
        <v>0</v>
      </c>
      <c r="AA182" s="26"/>
      <c r="AB182" s="26">
        <f>IF(AB29&lt;Exercise,Exercise-AB29,0)</f>
        <v>0</v>
      </c>
      <c r="AC182" s="26"/>
      <c r="AD182" s="26">
        <f>IF(AD29&lt;Exercise,Exercise-AD29,0)</f>
        <v>0</v>
      </c>
      <c r="AE182" s="26"/>
      <c r="AF182" s="5"/>
      <c r="AG182" s="5"/>
      <c r="AH182" s="5"/>
      <c r="AI182" s="5"/>
      <c r="AJ182" s="5"/>
      <c r="AK182" s="5"/>
      <c r="AL182" s="5"/>
      <c r="AM182" s="5"/>
    </row>
    <row r="183" spans="1:39" ht="18.75" customHeight="1">
      <c r="A183" s="25"/>
      <c r="B183" s="25"/>
      <c r="C183" s="25"/>
      <c r="D183" s="25"/>
      <c r="E183" s="25"/>
      <c r="F183" s="25"/>
      <c r="G183" s="25"/>
      <c r="H183" s="25"/>
      <c r="I183" s="25"/>
      <c r="J183" s="25"/>
      <c r="K183" s="25"/>
      <c r="L183" s="25"/>
      <c r="M183" s="25"/>
      <c r="N183" s="25"/>
      <c r="O183" s="26">
        <f>IF(O30&lt;Exercise,Exercise-O30,0)</f>
        <v>0</v>
      </c>
      <c r="P183" s="26"/>
      <c r="Q183" s="26">
        <f>IF(Q30&lt;Exercise,Exercise-Q30,0)</f>
        <v>0</v>
      </c>
      <c r="R183" s="26"/>
      <c r="S183" s="26">
        <f>IF(S30&lt;Exercise,Exercise-S30,0)</f>
        <v>0</v>
      </c>
      <c r="T183" s="26"/>
      <c r="U183" s="26">
        <f>IF(U30&lt;Exercise,Exercise-U30,0)</f>
        <v>0</v>
      </c>
      <c r="V183" s="26"/>
      <c r="W183" s="26">
        <f>IF(W30&lt;Exercise,Exercise-W30,0)</f>
        <v>0</v>
      </c>
      <c r="X183" s="26"/>
      <c r="Y183" s="26">
        <f>IF(Y30&lt;Exercise,Exercise-Y30,0)</f>
        <v>0</v>
      </c>
      <c r="Z183" s="26"/>
      <c r="AA183" s="26">
        <f>IF(AA30&lt;Exercise,Exercise-AA30,0)</f>
        <v>0</v>
      </c>
      <c r="AB183" s="26"/>
      <c r="AC183" s="26">
        <f>IF(AC30&lt;Exercise,Exercise-AC30,0)</f>
        <v>0</v>
      </c>
      <c r="AD183" s="26"/>
      <c r="AE183" s="26">
        <f>IF(AE30&lt;Exercise,Exercise-AE30,0)</f>
        <v>0</v>
      </c>
      <c r="AF183" s="5"/>
      <c r="AG183" s="5"/>
      <c r="AH183" s="5"/>
      <c r="AI183" s="5"/>
      <c r="AJ183" s="5"/>
      <c r="AK183" s="5"/>
      <c r="AL183" s="5"/>
      <c r="AM183" s="5"/>
    </row>
    <row r="184" spans="1:39" ht="18.75" customHeight="1">
      <c r="A184" s="25"/>
      <c r="B184" s="25"/>
      <c r="C184" s="25"/>
      <c r="D184" s="25"/>
      <c r="E184" s="25"/>
      <c r="F184" s="25"/>
      <c r="G184" s="25"/>
      <c r="H184" s="25"/>
      <c r="I184" s="25"/>
      <c r="J184" s="25"/>
      <c r="K184" s="25"/>
      <c r="L184" s="25"/>
      <c r="M184" s="25"/>
      <c r="N184" s="26">
        <f>IF(N31&lt;Exercise,Exercise-N31,0)</f>
        <v>0</v>
      </c>
      <c r="O184" s="26"/>
      <c r="P184" s="26">
        <f>IF(P31&lt;Exercise,Exercise-P31,0)</f>
        <v>0</v>
      </c>
      <c r="Q184" s="26"/>
      <c r="R184" s="26">
        <f>IF(R31&lt;Exercise,Exercise-R31,0)</f>
        <v>0</v>
      </c>
      <c r="S184" s="26"/>
      <c r="T184" s="26">
        <f>IF(T31&lt;Exercise,Exercise-T31,0)</f>
        <v>0</v>
      </c>
      <c r="U184" s="26"/>
      <c r="V184" s="26">
        <f>IF(V31&lt;Exercise,Exercise-V31,0)</f>
        <v>0</v>
      </c>
      <c r="W184" s="26"/>
      <c r="X184" s="26">
        <f>IF(X31&lt;Exercise,Exercise-X31,0)</f>
        <v>0</v>
      </c>
      <c r="Y184" s="26"/>
      <c r="Z184" s="26">
        <f>IF(Z31&lt;Exercise,Exercise-Z31,0)</f>
        <v>0</v>
      </c>
      <c r="AA184" s="26"/>
      <c r="AB184" s="26">
        <f>IF(AB31&lt;Exercise,Exercise-AB31,0)</f>
        <v>0</v>
      </c>
      <c r="AC184" s="26"/>
      <c r="AD184" s="26">
        <f>IF(AD31&lt;Exercise,Exercise-AD31,0)</f>
        <v>0</v>
      </c>
      <c r="AE184" s="26"/>
      <c r="AF184" s="5"/>
      <c r="AG184" s="5"/>
      <c r="AH184" s="5"/>
      <c r="AI184" s="5"/>
      <c r="AJ184" s="5"/>
      <c r="AK184" s="5"/>
      <c r="AL184" s="5"/>
      <c r="AM184" s="5"/>
    </row>
    <row r="185" spans="1:39" ht="18.75" customHeight="1">
      <c r="A185" s="25"/>
      <c r="B185" s="25"/>
      <c r="C185" s="25"/>
      <c r="D185" s="25"/>
      <c r="E185" s="25"/>
      <c r="F185" s="25"/>
      <c r="G185" s="25"/>
      <c r="H185" s="25"/>
      <c r="I185" s="25"/>
      <c r="J185" s="25"/>
      <c r="K185" s="25"/>
      <c r="L185" s="25"/>
      <c r="M185" s="26">
        <f>IF(M32&lt;Exercise,Exercise-M32,0)</f>
        <v>0</v>
      </c>
      <c r="N185" s="26"/>
      <c r="O185" s="26">
        <f>IF(O32&lt;Exercise,Exercise-O32,0)</f>
        <v>0</v>
      </c>
      <c r="P185" s="26"/>
      <c r="Q185" s="26">
        <f>IF(Q32&lt;Exercise,Exercise-Q32,0)</f>
        <v>0</v>
      </c>
      <c r="R185" s="26"/>
      <c r="S185" s="26">
        <f>IF(S32&lt;Exercise,Exercise-S32,0)</f>
        <v>0</v>
      </c>
      <c r="T185" s="26"/>
      <c r="U185" s="26">
        <f>IF(U32&lt;Exercise,Exercise-U32,0)</f>
        <v>0</v>
      </c>
      <c r="V185" s="26"/>
      <c r="W185" s="26">
        <f>IF(W32&lt;Exercise,Exercise-W32,0)</f>
        <v>0</v>
      </c>
      <c r="X185" s="26"/>
      <c r="Y185" s="26">
        <f>IF(Y32&lt;Exercise,Exercise-Y32,0)</f>
        <v>0</v>
      </c>
      <c r="Z185" s="26"/>
      <c r="AA185" s="26">
        <f>IF(AA32&lt;Exercise,Exercise-AA32,0)</f>
        <v>0</v>
      </c>
      <c r="AB185" s="26"/>
      <c r="AC185" s="26">
        <f>IF(AC32&lt;Exercise,Exercise-AC32,0)</f>
        <v>0</v>
      </c>
      <c r="AD185" s="26"/>
      <c r="AE185" s="26">
        <f>IF(AE32&lt;Exercise,Exercise-AE32,0)</f>
        <v>0</v>
      </c>
      <c r="AF185" s="5"/>
      <c r="AG185" s="5"/>
      <c r="AH185" s="5"/>
      <c r="AI185" s="5"/>
      <c r="AJ185" s="5"/>
      <c r="AK185" s="5"/>
      <c r="AL185" s="5"/>
      <c r="AM185" s="5"/>
    </row>
    <row r="186" spans="1:39" ht="18.75" customHeight="1">
      <c r="A186" s="25"/>
      <c r="B186" s="25"/>
      <c r="C186" s="25"/>
      <c r="D186" s="25"/>
      <c r="E186" s="25"/>
      <c r="F186" s="25"/>
      <c r="G186" s="25"/>
      <c r="H186" s="25"/>
      <c r="I186" s="25"/>
      <c r="J186" s="25"/>
      <c r="K186" s="25"/>
      <c r="L186" s="26">
        <f>((M185*$E$7)/(1+$E$6))+((M187*(1-$E$7))/(1+$E$6))</f>
        <v>0</v>
      </c>
      <c r="M186" s="26"/>
      <c r="N186" s="26">
        <f>IF(N33&lt;Exercise,Exercise-N33,0)</f>
        <v>0</v>
      </c>
      <c r="O186" s="26"/>
      <c r="P186" s="26">
        <f>IF(P33&lt;Exercise,Exercise-P33,0)</f>
        <v>0</v>
      </c>
      <c r="Q186" s="26"/>
      <c r="R186" s="26">
        <f>IF(R33&lt;Exercise,Exercise-R33,0)</f>
        <v>0</v>
      </c>
      <c r="S186" s="26"/>
      <c r="T186" s="26">
        <f>IF(T33&lt;Exercise,Exercise-T33,0)</f>
        <v>0</v>
      </c>
      <c r="U186" s="26"/>
      <c r="V186" s="26">
        <f>IF(V33&lt;Exercise,Exercise-V33,0)</f>
        <v>0</v>
      </c>
      <c r="W186" s="26"/>
      <c r="X186" s="26">
        <f>IF(X33&lt;Exercise,Exercise-X33,0)</f>
        <v>0</v>
      </c>
      <c r="Y186" s="26"/>
      <c r="Z186" s="26">
        <f>IF(Z33&lt;Exercise,Exercise-Z33,0)</f>
        <v>0</v>
      </c>
      <c r="AA186" s="26"/>
      <c r="AB186" s="26">
        <f>IF(AB33&lt;Exercise,Exercise-AB33,0)</f>
        <v>0</v>
      </c>
      <c r="AC186" s="26"/>
      <c r="AD186" s="26">
        <f>IF(AD33&lt;Exercise,Exercise-AD33,0)</f>
        <v>0</v>
      </c>
      <c r="AE186" s="26"/>
      <c r="AF186" s="5"/>
      <c r="AG186" s="5"/>
      <c r="AH186" s="5"/>
      <c r="AI186" s="5"/>
      <c r="AJ186" s="5"/>
      <c r="AK186" s="5"/>
      <c r="AL186" s="5"/>
      <c r="AM186" s="5"/>
    </row>
    <row r="187" spans="1:39" ht="18.75" customHeight="1">
      <c r="A187" s="25"/>
      <c r="B187" s="25"/>
      <c r="C187" s="25"/>
      <c r="D187" s="25"/>
      <c r="E187" s="25"/>
      <c r="F187" s="25"/>
      <c r="G187" s="25"/>
      <c r="H187" s="25"/>
      <c r="I187" s="25"/>
      <c r="J187" s="25"/>
      <c r="K187" s="26">
        <f>((L186*$E$7)/(1+$E$6))+((L188*(1-$E$7))/(1+$E$6))</f>
        <v>0</v>
      </c>
      <c r="L187" s="25"/>
      <c r="M187" s="26">
        <f>IF(M34&lt;Exercise,Exercise-M34,0)</f>
        <v>0</v>
      </c>
      <c r="N187" s="26"/>
      <c r="O187" s="26">
        <f>IF(O34&lt;Exercise,Exercise-O34,0)</f>
        <v>0</v>
      </c>
      <c r="P187" s="26"/>
      <c r="Q187" s="26">
        <f>IF(Q34&lt;Exercise,Exercise-Q34,0)</f>
        <v>0</v>
      </c>
      <c r="R187" s="26"/>
      <c r="S187" s="26">
        <f>IF(S34&lt;Exercise,Exercise-S34,0)</f>
        <v>0</v>
      </c>
      <c r="T187" s="26"/>
      <c r="U187" s="26">
        <f>IF(U34&lt;Exercise,Exercise-U34,0)</f>
        <v>0</v>
      </c>
      <c r="V187" s="26"/>
      <c r="W187" s="26">
        <f>IF(W34&lt;Exercise,Exercise-W34,0)</f>
        <v>0</v>
      </c>
      <c r="X187" s="26"/>
      <c r="Y187" s="26">
        <f>IF(Y34&lt;Exercise,Exercise-Y34,0)</f>
        <v>0</v>
      </c>
      <c r="Z187" s="26"/>
      <c r="AA187" s="26">
        <f>IF(AA34&lt;Exercise,Exercise-AA34,0)</f>
        <v>0</v>
      </c>
      <c r="AB187" s="26"/>
      <c r="AC187" s="26">
        <f>IF(AC34&lt;Exercise,Exercise-AC34,0)</f>
        <v>0</v>
      </c>
      <c r="AD187" s="26"/>
      <c r="AE187" s="26">
        <f>IF(AE34&lt;Exercise,Exercise-AE34,0)</f>
        <v>0</v>
      </c>
      <c r="AF187" s="5"/>
      <c r="AG187" s="5"/>
      <c r="AH187" s="5"/>
      <c r="AI187" s="5"/>
      <c r="AJ187" s="5"/>
      <c r="AK187" s="5"/>
      <c r="AL187" s="5"/>
      <c r="AM187" s="5"/>
    </row>
    <row r="188" spans="1:39" ht="18.75" customHeight="1">
      <c r="A188" s="25"/>
      <c r="B188" s="25"/>
      <c r="C188" s="25"/>
      <c r="D188" s="25"/>
      <c r="E188" s="25"/>
      <c r="F188" s="25"/>
      <c r="G188" s="25"/>
      <c r="H188" s="25"/>
      <c r="I188" s="25"/>
      <c r="J188" s="26">
        <f>((K187*$E$7)/(1+$E$6))+((K189*(1-$E$7))/(1+$E$6))</f>
        <v>0</v>
      </c>
      <c r="K188" s="25"/>
      <c r="L188" s="26">
        <f>((M187*$E$7)/(1+$E$6))+((M189*(1-$E$7))/(1+$E$6))</f>
        <v>0</v>
      </c>
      <c r="M188" s="26"/>
      <c r="N188" s="26">
        <f>IF(N35&lt;Exercise,Exercise-N35,0)</f>
        <v>0</v>
      </c>
      <c r="O188" s="26"/>
      <c r="P188" s="26">
        <f>IF(P35&lt;Exercise,Exercise-P35,0)</f>
        <v>0</v>
      </c>
      <c r="Q188" s="26"/>
      <c r="R188" s="26">
        <f>IF(R35&lt;Exercise,Exercise-R35,0)</f>
        <v>0</v>
      </c>
      <c r="S188" s="26"/>
      <c r="T188" s="26">
        <f>IF(T35&lt;Exercise,Exercise-T35,0)</f>
        <v>0</v>
      </c>
      <c r="U188" s="26"/>
      <c r="V188" s="26">
        <f>IF(V35&lt;Exercise,Exercise-V35,0)</f>
        <v>0</v>
      </c>
      <c r="W188" s="26"/>
      <c r="X188" s="26">
        <f>IF(X35&lt;Exercise,Exercise-X35,0)</f>
        <v>0</v>
      </c>
      <c r="Y188" s="26"/>
      <c r="Z188" s="26">
        <f>IF(Z35&lt;Exercise,Exercise-Z35,0)</f>
        <v>0</v>
      </c>
      <c r="AA188" s="26"/>
      <c r="AB188" s="26">
        <f>IF(AB35&lt;Exercise,Exercise-AB35,0)</f>
        <v>0</v>
      </c>
      <c r="AC188" s="26"/>
      <c r="AD188" s="26">
        <f>IF(AD35&lt;Exercise,Exercise-AD35,0)</f>
        <v>0</v>
      </c>
      <c r="AE188" s="26"/>
      <c r="AF188" s="5"/>
      <c r="AG188" s="5"/>
      <c r="AH188" s="5"/>
      <c r="AI188" s="5"/>
      <c r="AJ188" s="5"/>
      <c r="AK188" s="5"/>
      <c r="AL188" s="5"/>
      <c r="AM188" s="5"/>
    </row>
    <row r="189" spans="1:39" ht="18.75" customHeight="1">
      <c r="A189" s="25"/>
      <c r="B189" s="25"/>
      <c r="C189" s="25"/>
      <c r="D189" s="25"/>
      <c r="E189" s="25"/>
      <c r="F189" s="25"/>
      <c r="G189" s="25"/>
      <c r="H189" s="25"/>
      <c r="I189" s="26">
        <f>((J188*$E$7)/(1+$E$6))+((J190*(1-$E$7))/(1+$E$6))</f>
        <v>0</v>
      </c>
      <c r="J189" s="25"/>
      <c r="K189" s="26">
        <f>((L188*$E$7)/(1+$E$6))+((L190*(1-$E$7))/(1+$E$6))</f>
        <v>0</v>
      </c>
      <c r="L189" s="25"/>
      <c r="M189" s="26">
        <f>IF(M36&lt;Exercise,Exercise-M36,0)</f>
        <v>0</v>
      </c>
      <c r="N189" s="26"/>
      <c r="O189" s="26">
        <f>IF(O36&lt;Exercise,Exercise-O36,0)</f>
        <v>0</v>
      </c>
      <c r="P189" s="26"/>
      <c r="Q189" s="26">
        <f>IF(Q36&lt;Exercise,Exercise-Q36,0)</f>
        <v>0</v>
      </c>
      <c r="R189" s="26"/>
      <c r="S189" s="26">
        <f>IF(S36&lt;Exercise,Exercise-S36,0)</f>
        <v>0</v>
      </c>
      <c r="T189" s="26"/>
      <c r="U189" s="26">
        <f>IF(U36&lt;Exercise,Exercise-U36,0)</f>
        <v>0</v>
      </c>
      <c r="V189" s="26"/>
      <c r="W189" s="26">
        <f>IF(W36&lt;Exercise,Exercise-W36,0)</f>
        <v>0</v>
      </c>
      <c r="X189" s="26"/>
      <c r="Y189" s="26">
        <f>IF(Y36&lt;Exercise,Exercise-Y36,0)</f>
        <v>0</v>
      </c>
      <c r="Z189" s="26"/>
      <c r="AA189" s="26">
        <f>IF(AA36&lt;Exercise,Exercise-AA36,0)</f>
        <v>0</v>
      </c>
      <c r="AB189" s="26"/>
      <c r="AC189" s="26">
        <f>IF(AC36&lt;Exercise,Exercise-AC36,0)</f>
        <v>0</v>
      </c>
      <c r="AD189" s="26"/>
      <c r="AE189" s="26">
        <f>IF(AE36&lt;Exercise,Exercise-AE36,0)</f>
        <v>0</v>
      </c>
      <c r="AF189" s="5"/>
      <c r="AG189" s="5"/>
      <c r="AH189" s="5"/>
      <c r="AI189" s="5"/>
      <c r="AJ189" s="5"/>
      <c r="AK189" s="5"/>
      <c r="AL189" s="5"/>
      <c r="AM189" s="5"/>
    </row>
    <row r="190" spans="1:39" ht="18.75" customHeight="1">
      <c r="A190" s="25"/>
      <c r="B190" s="25"/>
      <c r="C190" s="25"/>
      <c r="D190" s="25"/>
      <c r="E190" s="25"/>
      <c r="F190" s="25"/>
      <c r="G190" s="25"/>
      <c r="H190" s="26">
        <f>((I189*$E$7)/(1+$E$6))+((I191*(1-$E$7))/(1+$E$6))</f>
        <v>9.1513934358498125E-2</v>
      </c>
      <c r="I190" s="25"/>
      <c r="J190" s="26">
        <f>((K189*$E$7)/(1+$E$6))+((K191*(1-$E$7))/(1+$E$6))</f>
        <v>0</v>
      </c>
      <c r="K190" s="25"/>
      <c r="L190" s="26">
        <f>((M189*$E$7)/(1+$E$6))+((M191*(1-$E$7))/(1+$E$6))</f>
        <v>0</v>
      </c>
      <c r="M190" s="26"/>
      <c r="N190" s="26">
        <f>IF(N37&lt;Exercise,Exercise-N37,0)</f>
        <v>0</v>
      </c>
      <c r="O190" s="26"/>
      <c r="P190" s="26">
        <f>IF(P37&lt;Exercise,Exercise-P37,0)</f>
        <v>0</v>
      </c>
      <c r="Q190" s="26"/>
      <c r="R190" s="26">
        <f>IF(R37&lt;Exercise,Exercise-R37,0)</f>
        <v>0</v>
      </c>
      <c r="S190" s="26"/>
      <c r="T190" s="26">
        <f>IF(T37&lt;Exercise,Exercise-T37,0)</f>
        <v>0</v>
      </c>
      <c r="U190" s="26"/>
      <c r="V190" s="26">
        <f>IF(V37&lt;Exercise,Exercise-V37,0)</f>
        <v>0</v>
      </c>
      <c r="W190" s="26"/>
      <c r="X190" s="26">
        <f>IF(X37&lt;Exercise,Exercise-X37,0)</f>
        <v>0</v>
      </c>
      <c r="Y190" s="26"/>
      <c r="Z190" s="26">
        <f>IF(Z37&lt;Exercise,Exercise-Z37,0)</f>
        <v>0</v>
      </c>
      <c r="AA190" s="26"/>
      <c r="AB190" s="26">
        <f>IF(AB37&lt;Exercise,Exercise-AB37,0)</f>
        <v>0</v>
      </c>
      <c r="AC190" s="26"/>
      <c r="AD190" s="26">
        <f>IF(AD37&lt;Exercise,Exercise-AD37,0)</f>
        <v>0</v>
      </c>
      <c r="AE190" s="26"/>
      <c r="AF190" s="5"/>
      <c r="AG190" s="5"/>
      <c r="AH190" s="5"/>
      <c r="AI190" s="5"/>
      <c r="AJ190" s="5"/>
      <c r="AK190" s="5"/>
      <c r="AL190" s="5"/>
      <c r="AM190" s="5"/>
    </row>
    <row r="191" spans="1:39" ht="18.75" customHeight="1">
      <c r="A191" s="25"/>
      <c r="B191" s="25"/>
      <c r="C191" s="25"/>
      <c r="D191" s="25"/>
      <c r="E191" s="25"/>
      <c r="F191" s="25"/>
      <c r="G191" s="26">
        <f>((H190*$E$7)/(1+$E$6))+((H192*(1-$E$7))/(1+$E$6))</f>
        <v>0.40095108806536772</v>
      </c>
      <c r="H191" s="25"/>
      <c r="I191" s="26">
        <f>((J190*$E$7)/(1+$E$6))+((J192*(1-$E$7))/(1+$E$6))</f>
        <v>0.182155938305298</v>
      </c>
      <c r="J191" s="25"/>
      <c r="K191" s="26">
        <f>((L190*$E$7)/(1+$E$6))+((L192*(1-$E$7))/(1+$E$6))</f>
        <v>0</v>
      </c>
      <c r="L191" s="25"/>
      <c r="M191" s="26">
        <f>IF(M38&lt;Exercise,Exercise-M38,0)</f>
        <v>0</v>
      </c>
      <c r="N191" s="26"/>
      <c r="O191" s="26">
        <f>IF(O38&lt;Exercise,Exercise-O38,0)</f>
        <v>0</v>
      </c>
      <c r="P191" s="26"/>
      <c r="Q191" s="26">
        <f>IF(Q38&lt;Exercise,Exercise-Q38,0)</f>
        <v>0</v>
      </c>
      <c r="R191" s="26"/>
      <c r="S191" s="26">
        <f>IF(S38&lt;Exercise,Exercise-S38,0)</f>
        <v>0</v>
      </c>
      <c r="T191" s="26"/>
      <c r="U191" s="26">
        <f>IF(U38&lt;Exercise,Exercise-U38,0)</f>
        <v>0</v>
      </c>
      <c r="V191" s="26"/>
      <c r="W191" s="26">
        <f>IF(W38&lt;Exercise,Exercise-W38,0)</f>
        <v>0</v>
      </c>
      <c r="X191" s="26"/>
      <c r="Y191" s="26">
        <f>IF(Y38&lt;Exercise,Exercise-Y38,0)</f>
        <v>0</v>
      </c>
      <c r="Z191" s="26"/>
      <c r="AA191" s="26">
        <f>IF(AA38&lt;Exercise,Exercise-AA38,0)</f>
        <v>0</v>
      </c>
      <c r="AB191" s="26"/>
      <c r="AC191" s="26">
        <f>IF(AC38&lt;Exercise,Exercise-AC38,0)</f>
        <v>0</v>
      </c>
      <c r="AD191" s="26"/>
      <c r="AE191" s="26">
        <f>IF(AE38&lt;Exercise,Exercise-AE38,0)</f>
        <v>0</v>
      </c>
      <c r="AF191" s="5"/>
      <c r="AG191" s="5"/>
      <c r="AH191" s="5"/>
      <c r="AI191" s="5"/>
      <c r="AJ191" s="5"/>
      <c r="AK191" s="5"/>
      <c r="AL191" s="5"/>
      <c r="AM191" s="5"/>
    </row>
    <row r="192" spans="1:39" ht="18.75" customHeight="1">
      <c r="A192" s="25"/>
      <c r="B192" s="25"/>
      <c r="C192" s="25"/>
      <c r="D192" s="25"/>
      <c r="E192" s="25"/>
      <c r="F192" s="26">
        <f>((G191*$E$7)/(1+$E$6))+((G193*(1-$E$7))/(1+$E$6))</f>
        <v>1.0233260769115886</v>
      </c>
      <c r="G192" s="25"/>
      <c r="H192" s="26">
        <f>((I191*$E$7)/(1+$E$6))+((I193*(1-$E$7))/(1+$E$6))</f>
        <v>0.70774180806985743</v>
      </c>
      <c r="I192" s="25"/>
      <c r="J192" s="26">
        <f>((K191*$E$7)/(1+$E$6))+((K193*(1-$E$7))/(1+$E$6))</f>
        <v>0.36257632340339119</v>
      </c>
      <c r="K192" s="25"/>
      <c r="L192" s="26">
        <f>((M191*$E$7)/(1+$E$6))+((M193*(1-$E$7))/(1+$E$6))</f>
        <v>0</v>
      </c>
      <c r="M192" s="26"/>
      <c r="N192" s="26">
        <f>IF(N39&lt;Exercise,Exercise-N39,0)</f>
        <v>0</v>
      </c>
      <c r="O192" s="26"/>
      <c r="P192" s="26">
        <f>IF(P39&lt;Exercise,Exercise-P39,0)</f>
        <v>0</v>
      </c>
      <c r="Q192" s="26"/>
      <c r="R192" s="26">
        <f>IF(R39&lt;Exercise,Exercise-R39,0)</f>
        <v>0</v>
      </c>
      <c r="S192" s="26"/>
      <c r="T192" s="26">
        <f>IF(T39&lt;Exercise,Exercise-T39,0)</f>
        <v>0</v>
      </c>
      <c r="U192" s="26"/>
      <c r="V192" s="26">
        <f>IF(V39&lt;Exercise,Exercise-V39,0)</f>
        <v>0</v>
      </c>
      <c r="W192" s="26"/>
      <c r="X192" s="26">
        <f>IF(X39&lt;Exercise,Exercise-X39,0)</f>
        <v>0</v>
      </c>
      <c r="Y192" s="26"/>
      <c r="Z192" s="26">
        <f>IF(Z39&lt;Exercise,Exercise-Z39,0)</f>
        <v>0</v>
      </c>
      <c r="AA192" s="26"/>
      <c r="AB192" s="26">
        <f>IF(AB39&lt;Exercise,Exercise-AB39,0)</f>
        <v>0</v>
      </c>
      <c r="AC192" s="26"/>
      <c r="AD192" s="26">
        <f>IF(AD39&lt;Exercise,Exercise-AD39,0)</f>
        <v>0</v>
      </c>
      <c r="AE192" s="26"/>
      <c r="AF192" s="5"/>
      <c r="AG192" s="5"/>
      <c r="AH192" s="5"/>
      <c r="AI192" s="5"/>
      <c r="AJ192" s="5"/>
      <c r="AK192" s="5"/>
      <c r="AL192" s="5"/>
      <c r="AM192" s="5"/>
    </row>
    <row r="193" spans="1:40" ht="18.75" customHeight="1">
      <c r="A193" s="25"/>
      <c r="B193" s="25"/>
      <c r="C193" s="25"/>
      <c r="D193" s="25"/>
      <c r="E193" s="26">
        <f>((F192*$E$7)/(1+$E$6))+((F194*(1-$E$7))/(1+$E$6))</f>
        <v>1.9950261152170166</v>
      </c>
      <c r="F193" s="25"/>
      <c r="G193" s="26">
        <f>((H192*$E$7)/(1+$E$6))+((H194*(1-$E$7))/(1+$E$6))</f>
        <v>1.6410936075860703</v>
      </c>
      <c r="H193" s="25"/>
      <c r="I193" s="26">
        <f>((J192*$E$7)/(1+$E$6))+((J194*(1-$E$7))/(1+$E$6))</f>
        <v>1.2289207721942088</v>
      </c>
      <c r="J193" s="25"/>
      <c r="K193" s="26">
        <f>((L192*$E$7)/(1+$E$6))+((L194*(1-$E$7))/(1+$E$6))</f>
        <v>0.72169807647109241</v>
      </c>
      <c r="L193" s="25"/>
      <c r="M193" s="26">
        <f>IF(M40&lt;Exercise,Exercise-M40,0)</f>
        <v>0</v>
      </c>
      <c r="N193" s="26"/>
      <c r="O193" s="26">
        <f>IF(O40&lt;Exercise,Exercise-O40,0)</f>
        <v>0</v>
      </c>
      <c r="P193" s="26"/>
      <c r="Q193" s="26">
        <f>IF(Q40&lt;Exercise,Exercise-Q40,0)</f>
        <v>0</v>
      </c>
      <c r="R193" s="26"/>
      <c r="S193" s="26">
        <f>IF(S40&lt;Exercise,Exercise-S40,0)</f>
        <v>0</v>
      </c>
      <c r="T193" s="26"/>
      <c r="U193" s="26">
        <f>IF(U40&lt;Exercise,Exercise-U40,0)</f>
        <v>0</v>
      </c>
      <c r="V193" s="26"/>
      <c r="W193" s="26">
        <f>IF(W40&lt;Exercise,Exercise-W40,0)</f>
        <v>0</v>
      </c>
      <c r="X193" s="26"/>
      <c r="Y193" s="26">
        <f>IF(Y40&lt;Exercise,Exercise-Y40,0)</f>
        <v>0</v>
      </c>
      <c r="Z193" s="26"/>
      <c r="AA193" s="26">
        <f>IF(AA40&lt;Exercise,Exercise-AA40,0)</f>
        <v>0</v>
      </c>
      <c r="AB193" s="26"/>
      <c r="AC193" s="26">
        <f>IF(AC40&lt;Exercise,Exercise-AC40,0)</f>
        <v>0</v>
      </c>
      <c r="AD193" s="26"/>
      <c r="AE193" s="26">
        <f>IF(AE40&lt;Exercise,Exercise-AE40,0)</f>
        <v>0</v>
      </c>
      <c r="AF193" s="5"/>
      <c r="AG193" s="5"/>
      <c r="AH193" s="5"/>
      <c r="AI193" s="5"/>
      <c r="AJ193" s="5"/>
      <c r="AK193" s="5"/>
      <c r="AL193" s="5"/>
      <c r="AM193" s="5"/>
    </row>
    <row r="194" spans="1:40" ht="18.75" customHeight="1">
      <c r="A194" s="25"/>
      <c r="B194" s="25"/>
      <c r="C194" s="25"/>
      <c r="D194" s="26">
        <f>((E193*$E$7)/(1+$E$6))+((E195*(1-$E$7))/(1+$E$6))</f>
        <v>3.2991607959793425</v>
      </c>
      <c r="E194" s="25"/>
      <c r="F194" s="26">
        <f>((G193*$E$7)/(1+$E$6))+((G195*(1-$E$7))/(1+$E$6))</f>
        <v>2.9608431234365389</v>
      </c>
      <c r="G194" s="25"/>
      <c r="H194" s="26">
        <f>((I193*$E$7)/(1+$E$6))+((I195*(1-$E$7))/(1+$E$6))</f>
        <v>2.5678868802200423</v>
      </c>
      <c r="I194" s="25"/>
      <c r="J194" s="26">
        <f>((K193*$E$7)/(1+$E$6))+((K195*(1-$E$7))/(1+$E$6))</f>
        <v>2.0882066908669814</v>
      </c>
      <c r="K194" s="25"/>
      <c r="L194" s="26">
        <f>((M193*$E$7)/(1+$E$6))+((M195*(1-$E$7))/(1+$E$6))</f>
        <v>1.4365199268750795</v>
      </c>
      <c r="M194" s="26"/>
      <c r="N194" s="26">
        <f>IF(N41&lt;Exercise,Exercise-N41,0)</f>
        <v>0.18775093716453739</v>
      </c>
      <c r="O194" s="26"/>
      <c r="P194" s="26">
        <f>IF(P41&lt;Exercise,Exercise-P41,0)</f>
        <v>0.1877509371645516</v>
      </c>
      <c r="Q194" s="26"/>
      <c r="R194" s="26">
        <f>IF(R41&lt;Exercise,Exercise-R41,0)</f>
        <v>0.1877509371645516</v>
      </c>
      <c r="S194" s="26"/>
      <c r="T194" s="26">
        <f>IF(T41&lt;Exercise,Exercise-T41,0)</f>
        <v>0.18775093716456581</v>
      </c>
      <c r="U194" s="26"/>
      <c r="V194" s="26">
        <f>IF(V41&lt;Exercise,Exercise-V41,0)</f>
        <v>0.18775093716456581</v>
      </c>
      <c r="W194" s="26"/>
      <c r="X194" s="26">
        <f>IF(X41&lt;Exercise,Exercise-X41,0)</f>
        <v>0.18775093716456581</v>
      </c>
      <c r="Y194" s="26"/>
      <c r="Z194" s="26">
        <f>IF(Z41&lt;Exercise,Exercise-Z41,0)</f>
        <v>0.18775093716456581</v>
      </c>
      <c r="AA194" s="26"/>
      <c r="AB194" s="26">
        <f>IF(AB41&lt;Exercise,Exercise-AB41,0)</f>
        <v>0.18775093716459423</v>
      </c>
      <c r="AC194" s="26"/>
      <c r="AD194" s="26">
        <f>IF(AD41&lt;Exercise,Exercise-AD41,0)</f>
        <v>0.18775093716459423</v>
      </c>
      <c r="AE194" s="26"/>
      <c r="AF194" s="5"/>
      <c r="AG194" s="5"/>
      <c r="AH194" s="5"/>
      <c r="AI194" s="5"/>
      <c r="AJ194" s="5"/>
      <c r="AK194" s="5"/>
      <c r="AL194" s="5"/>
      <c r="AM194" s="5"/>
    </row>
    <row r="195" spans="1:40" ht="18.75" customHeight="1">
      <c r="A195" s="25"/>
      <c r="B195" s="25"/>
      <c r="C195" s="26">
        <f>((D194*$E$7)/(1+$E$6))+((D196*(1-$E$7))/(1+$E$6))</f>
        <v>4.8848192263925618</v>
      </c>
      <c r="D195" s="25"/>
      <c r="E195" s="26">
        <f>((F194*$E$7)/(1+$E$6))+((F196*(1-$E$7))/(1+$E$6))</f>
        <v>4.5974499618976798</v>
      </c>
      <c r="F195" s="25"/>
      <c r="G195" s="26">
        <f>((H194*$E$7)/(1+$E$6))+((H196*(1-$E$7))/(1+$E$6))</f>
        <v>4.273430994231143</v>
      </c>
      <c r="H195" s="25"/>
      <c r="I195" s="26">
        <f>((J194*$E$7)/(1+$E$6))+((J196*(1-$E$7))/(1+$E$6))</f>
        <v>3.8981488053968611</v>
      </c>
      <c r="J195" s="25"/>
      <c r="K195" s="26">
        <f>((L194*$E$7)/(1+$E$6))+((L196*(1-$E$7))/(1+$E$6))</f>
        <v>3.444075759322347</v>
      </c>
      <c r="L195" s="25"/>
      <c r="M195" s="26">
        <f>IF(M42&lt;Exercise,Exercise-M42,0)</f>
        <v>2.8593529172193115</v>
      </c>
      <c r="N195" s="26"/>
      <c r="O195" s="26">
        <f>IF(O42&lt;Exercise,Exercise-O42,0)</f>
        <v>2.8593529172193115</v>
      </c>
      <c r="P195" s="26"/>
      <c r="Q195" s="26">
        <f>IF(Q42&lt;Exercise,Exercise-Q42,0)</f>
        <v>2.8593529172193257</v>
      </c>
      <c r="R195" s="26"/>
      <c r="S195" s="26">
        <f>IF(S42&lt;Exercise,Exercise-S42,0)</f>
        <v>2.8593529172193257</v>
      </c>
      <c r="T195" s="26"/>
      <c r="U195" s="26">
        <f>IF(U42&lt;Exercise,Exercise-U42,0)</f>
        <v>2.8593529172193399</v>
      </c>
      <c r="V195" s="26"/>
      <c r="W195" s="26">
        <f>IF(W42&lt;Exercise,Exercise-W42,0)</f>
        <v>2.8593529172193399</v>
      </c>
      <c r="X195" s="26"/>
      <c r="Y195" s="26">
        <f>IF(Y42&lt;Exercise,Exercise-Y42,0)</f>
        <v>2.8593529172193399</v>
      </c>
      <c r="Z195" s="26"/>
      <c r="AA195" s="26">
        <f>IF(AA42&lt;Exercise,Exercise-AA42,0)</f>
        <v>2.8593529172193399</v>
      </c>
      <c r="AB195" s="26"/>
      <c r="AC195" s="26">
        <f>IF(AC42&lt;Exercise,Exercise-AC42,0)</f>
        <v>2.8593529172193684</v>
      </c>
      <c r="AD195" s="26"/>
      <c r="AE195" s="26">
        <f>IF(AE42&lt;Exercise,Exercise-AE42,0)</f>
        <v>2.8593529172193684</v>
      </c>
      <c r="AF195" s="5"/>
      <c r="AG195" s="5"/>
      <c r="AH195" s="5"/>
      <c r="AI195" s="5"/>
      <c r="AJ195" s="5"/>
      <c r="AK195" s="5"/>
      <c r="AL195" s="5"/>
      <c r="AM195" s="5"/>
    </row>
    <row r="196" spans="1:40" ht="18.75" customHeight="1">
      <c r="A196" s="25"/>
      <c r="B196" s="26">
        <f>((C195*$E$7)/(1+$E$6))+((C197*(1-$E$7))/(1+$E$6))</f>
        <v>6.6867976260687527</v>
      </c>
      <c r="C196" s="25"/>
      <c r="D196" s="26">
        <f>((E195*$E$7)/(1+$E$6))+((E197*(1-$E$7))/(1+$E$6))</f>
        <v>6.4662511775885214</v>
      </c>
      <c r="E196" s="25"/>
      <c r="F196" s="26">
        <f>((G195*$E$7)/(1+$E$6))+((G197*(1-$E$7))/(1+$E$6))</f>
        <v>6.2282290396696229</v>
      </c>
      <c r="G196" s="25"/>
      <c r="H196" s="26">
        <f>((I195*$E$7)/(1+$E$6))+((I197*(1-$E$7))/(1+$E$6))</f>
        <v>5.9711944598294675</v>
      </c>
      <c r="I196" s="25"/>
      <c r="J196" s="26">
        <f>((K195*$E$7)/(1+$E$6))+((K197*(1-$E$7))/(1+$E$6))</f>
        <v>5.6977334831383022</v>
      </c>
      <c r="K196" s="25"/>
      <c r="L196" s="26">
        <f>((M195*$E$7)/(1+$E$6))+((M197*(1-$E$7))/(1+$E$6))</f>
        <v>5.4372419028301699</v>
      </c>
      <c r="M196" s="26"/>
      <c r="N196" s="26">
        <f>IF(N43&lt;Exercise,Exercise-N43,0)</f>
        <v>5.4628573494812258</v>
      </c>
      <c r="O196" s="26"/>
      <c r="P196" s="26">
        <f>IF(P43&lt;Exercise,Exercise-P43,0)</f>
        <v>5.4628573494812258</v>
      </c>
      <c r="Q196" s="26"/>
      <c r="R196" s="26">
        <f>IF(R43&lt;Exercise,Exercise-R43,0)</f>
        <v>5.46285734948124</v>
      </c>
      <c r="S196" s="26"/>
      <c r="T196" s="26">
        <f>IF(T43&lt;Exercise,Exercise-T43,0)</f>
        <v>5.46285734948124</v>
      </c>
      <c r="U196" s="26"/>
      <c r="V196" s="26">
        <f>IF(V43&lt;Exercise,Exercise-V43,0)</f>
        <v>5.4628573494812542</v>
      </c>
      <c r="W196" s="26"/>
      <c r="X196" s="26">
        <f>IF(X43&lt;Exercise,Exercise-X43,0)</f>
        <v>5.4628573494812542</v>
      </c>
      <c r="Y196" s="26"/>
      <c r="Z196" s="26">
        <f>IF(Z43&lt;Exercise,Exercise-Z43,0)</f>
        <v>5.4628573494812542</v>
      </c>
      <c r="AA196" s="26"/>
      <c r="AB196" s="26">
        <f>IF(AB43&lt;Exercise,Exercise-AB43,0)</f>
        <v>5.4628573494812542</v>
      </c>
      <c r="AC196" s="26"/>
      <c r="AD196" s="26">
        <f>IF(AD43&lt;Exercise,Exercise-AD43,0)</f>
        <v>5.4628573494812827</v>
      </c>
      <c r="AE196" s="26"/>
      <c r="AF196" s="5"/>
      <c r="AG196" s="5"/>
      <c r="AH196" s="5"/>
      <c r="AI196" s="5"/>
      <c r="AJ196" s="5"/>
      <c r="AK196" s="5"/>
      <c r="AL196" s="5"/>
      <c r="AM196" s="5"/>
    </row>
    <row r="197" spans="1:40" ht="18.75" customHeight="1">
      <c r="A197" s="29">
        <f>((B196*$E$7)/(1+$E$6))+((B198*(1-$E$7))/(1+$E$6))</f>
        <v>8.6399276564687071</v>
      </c>
      <c r="B197" s="25"/>
      <c r="C197" s="26">
        <f>((D196*$E$7)/(1+$E$6))+((D198*(1-$E$7))/(1+$E$6))</f>
        <v>8.4877183665642342</v>
      </c>
      <c r="D197" s="25"/>
      <c r="E197" s="26">
        <f>((F196*$E$7)/(1+$E$6))+((F198*(1-$E$7))/(1+$E$6))</f>
        <v>8.3324102438578471</v>
      </c>
      <c r="F197" s="25"/>
      <c r="G197" s="26">
        <f>((H196*$E$7)/(1+$E$6))+((H198*(1-$E$7))/(1+$E$6))</f>
        <v>8.1784968789171621</v>
      </c>
      <c r="H197" s="25"/>
      <c r="I197" s="26">
        <f>((J196*$E$7)/(1+$E$6))+((J198*(1-$E$7))/(1+$E$6))</f>
        <v>8.0373454925063559</v>
      </c>
      <c r="J197" s="25"/>
      <c r="K197" s="26">
        <f>((L196*$E$7)/(1+$E$6))+((L198*(1-$E$7))/(1+$E$6))</f>
        <v>7.9412780996453849</v>
      </c>
      <c r="L197" s="25"/>
      <c r="M197" s="26">
        <f>IF(M44&lt;Exercise,Exercise-M44,0)</f>
        <v>8.0000000000000284</v>
      </c>
      <c r="N197" s="26"/>
      <c r="O197" s="26">
        <f>IF(O44&lt;Exercise,Exercise-O44,0)</f>
        <v>8.0000000000000284</v>
      </c>
      <c r="P197" s="26"/>
      <c r="Q197" s="26">
        <f>IF(Q44&lt;Exercise,Exercise-Q44,0)</f>
        <v>8.0000000000000284</v>
      </c>
      <c r="R197" s="26"/>
      <c r="S197" s="26">
        <f>IF(S44&lt;Exercise,Exercise-S44,0)</f>
        <v>8.0000000000000426</v>
      </c>
      <c r="T197" s="26"/>
      <c r="U197" s="26">
        <f>IF(U44&lt;Exercise,Exercise-U44,0)</f>
        <v>8.0000000000000426</v>
      </c>
      <c r="V197" s="26"/>
      <c r="W197" s="26">
        <f>IF(W44&lt;Exercise,Exercise-W44,0)</f>
        <v>8.0000000000000568</v>
      </c>
      <c r="X197" s="26"/>
      <c r="Y197" s="26">
        <f>IF(Y44&lt;Exercise,Exercise-Y44,0)</f>
        <v>8.0000000000000568</v>
      </c>
      <c r="Z197" s="26"/>
      <c r="AA197" s="26">
        <f>IF(AA44&lt;Exercise,Exercise-AA44,0)</f>
        <v>8.0000000000000568</v>
      </c>
      <c r="AB197" s="26"/>
      <c r="AC197" s="26">
        <f>IF(AC44&lt;Exercise,Exercise-AC44,0)</f>
        <v>8.0000000000000568</v>
      </c>
      <c r="AD197" s="26"/>
      <c r="AE197" s="26">
        <f>IF(AE44&lt;Exercise,Exercise-AE44,0)</f>
        <v>8.0000000000000853</v>
      </c>
      <c r="AF197" s="5"/>
      <c r="AG197" s="5"/>
      <c r="AH197" s="5"/>
      <c r="AI197" s="5"/>
      <c r="AJ197" s="5"/>
      <c r="AK197" s="5"/>
      <c r="AL197" s="5"/>
      <c r="AM197" s="5"/>
    </row>
    <row r="198" spans="1:40" ht="18.75" customHeight="1">
      <c r="A198" s="25"/>
      <c r="B198" s="26">
        <f>((C197*$E$7)/(1+$E$6))+((C199*(1-$E$7))/(1+$E$6))</f>
        <v>10.596503236704116</v>
      </c>
      <c r="C198" s="25"/>
      <c r="D198" s="26">
        <f>((E197*$E$7)/(1+$E$6))+((E199*(1-$E$7))/(1+$E$6))</f>
        <v>10.511252584430835</v>
      </c>
      <c r="E198" s="25"/>
      <c r="F198" s="26">
        <f>((G197*$E$7)/(1+$E$6))+((G199*(1-$E$7))/(1+$E$6))</f>
        <v>10.437085336531744</v>
      </c>
      <c r="G198" s="25"/>
      <c r="H198" s="26">
        <f>((I197*$E$7)/(1+$E$6))+((I199*(1-$E$7))/(1+$E$6))</f>
        <v>10.384462901882817</v>
      </c>
      <c r="I198" s="25"/>
      <c r="J198" s="26">
        <f>((K197*$E$7)/(1+$E$6))+((K199*(1-$E$7))/(1+$E$6))</f>
        <v>10.373458540676005</v>
      </c>
      <c r="K198" s="25"/>
      <c r="L198" s="26">
        <f>((M197*$E$7)/(1+$E$6))+((M199*(1-$E$7))/(1+$E$6))</f>
        <v>10.439389563529254</v>
      </c>
      <c r="M198" s="26"/>
      <c r="N198" s="26">
        <f>IF(N45&lt;Exercise,Exercise-N45,0)</f>
        <v>10.472472391179735</v>
      </c>
      <c r="O198" s="26"/>
      <c r="P198" s="26">
        <f>IF(P45&lt;Exercise,Exercise-P45,0)</f>
        <v>10.472472391179735</v>
      </c>
      <c r="Q198" s="26"/>
      <c r="R198" s="26">
        <f>IF(R45&lt;Exercise,Exercise-R45,0)</f>
        <v>10.472472391179735</v>
      </c>
      <c r="S198" s="26"/>
      <c r="T198" s="26">
        <f>IF(T45&lt;Exercise,Exercise-T45,0)</f>
        <v>10.47247239117975</v>
      </c>
      <c r="U198" s="26"/>
      <c r="V198" s="26">
        <f>IF(V45&lt;Exercise,Exercise-V45,0)</f>
        <v>10.47247239117975</v>
      </c>
      <c r="W198" s="26"/>
      <c r="X198" s="26">
        <f>IF(X45&lt;Exercise,Exercise-X45,0)</f>
        <v>10.472472391179764</v>
      </c>
      <c r="Y198" s="26"/>
      <c r="Z198" s="26">
        <f>IF(Z45&lt;Exercise,Exercise-Z45,0)</f>
        <v>10.472472391179764</v>
      </c>
      <c r="AA198" s="26"/>
      <c r="AB198" s="26">
        <f>IF(AB45&lt;Exercise,Exercise-AB45,0)</f>
        <v>10.472472391179764</v>
      </c>
      <c r="AC198" s="26"/>
      <c r="AD198" s="26">
        <f>IF(AD45&lt;Exercise,Exercise-AD45,0)</f>
        <v>10.472472391179764</v>
      </c>
      <c r="AE198" s="26"/>
      <c r="AF198" s="5"/>
      <c r="AG198" s="5"/>
      <c r="AH198" s="5"/>
      <c r="AI198" s="5"/>
      <c r="AJ198" s="5"/>
      <c r="AK198" s="5"/>
      <c r="AL198" s="5"/>
      <c r="AM198" s="5"/>
    </row>
    <row r="199" spans="1:40" ht="18.75" customHeight="1">
      <c r="A199" s="25"/>
      <c r="B199" s="25"/>
      <c r="C199" s="26">
        <f>((D198*$E$7)/(1+$E$6))+((D200*(1-$E$7))/(1+$E$6))</f>
        <v>12.71319047141219</v>
      </c>
      <c r="D199" s="25"/>
      <c r="E199" s="26">
        <f>((F198*$E$7)/(1+$E$6))+((F200*(1-$E$7))/(1+$E$6))</f>
        <v>12.696817549450738</v>
      </c>
      <c r="F199" s="25"/>
      <c r="G199" s="26">
        <f>((H198*$E$7)/(1+$E$6))+((H200*(1-$E$7))/(1+$E$6))</f>
        <v>12.701128966813322</v>
      </c>
      <c r="H199" s="25"/>
      <c r="I199" s="26">
        <f>((J198*$E$7)/(1+$E$6))+((J200*(1-$E$7))/(1+$E$6))</f>
        <v>12.735726442748593</v>
      </c>
      <c r="J199" s="25"/>
      <c r="K199" s="26">
        <f>((L198*$E$7)/(1+$E$6))+((L200*(1-$E$7))/(1+$E$6))</f>
        <v>12.808657792612461</v>
      </c>
      <c r="L199" s="25"/>
      <c r="M199" s="26">
        <f>IF(M46&lt;Exercise,Exercise-M46,0)</f>
        <v>12.881922929522901</v>
      </c>
      <c r="N199" s="26"/>
      <c r="O199" s="26">
        <f>IF(O46&lt;Exercise,Exercise-O46,0)</f>
        <v>12.881922929522901</v>
      </c>
      <c r="P199" s="26"/>
      <c r="Q199" s="26">
        <f>IF(Q46&lt;Exercise,Exercise-Q46,0)</f>
        <v>12.881922929522901</v>
      </c>
      <c r="R199" s="26"/>
      <c r="S199" s="26">
        <f>IF(S46&lt;Exercise,Exercise-S46,0)</f>
        <v>12.881922929522901</v>
      </c>
      <c r="T199" s="26"/>
      <c r="U199" s="26">
        <f>IF(U46&lt;Exercise,Exercise-U46,0)</f>
        <v>12.881922929522901</v>
      </c>
      <c r="V199" s="26"/>
      <c r="W199" s="26">
        <f>IF(W46&lt;Exercise,Exercise-W46,0)</f>
        <v>12.881922929522901</v>
      </c>
      <c r="X199" s="26"/>
      <c r="Y199" s="26">
        <f>IF(Y46&lt;Exercise,Exercise-Y46,0)</f>
        <v>12.881922929522915</v>
      </c>
      <c r="Z199" s="26"/>
      <c r="AA199" s="26">
        <f>IF(AA46&lt;Exercise,Exercise-AA46,0)</f>
        <v>12.881922929522915</v>
      </c>
      <c r="AB199" s="26"/>
      <c r="AC199" s="26">
        <f>IF(AC46&lt;Exercise,Exercise-AC46,0)</f>
        <v>12.881922929522915</v>
      </c>
      <c r="AD199" s="26"/>
      <c r="AE199" s="26">
        <f>IF(AE46&lt;Exercise,Exercise-AE46,0)</f>
        <v>12.881922929522915</v>
      </c>
      <c r="AF199" s="5"/>
      <c r="AG199" s="5"/>
      <c r="AH199" s="5"/>
      <c r="AI199" s="5"/>
      <c r="AJ199" s="5"/>
      <c r="AK199" s="5"/>
      <c r="AL199" s="5"/>
      <c r="AM199" s="5"/>
    </row>
    <row r="200" spans="1:40" ht="18.75" customHeight="1">
      <c r="A200" s="25"/>
      <c r="B200" s="25"/>
      <c r="C200" s="25"/>
      <c r="D200" s="26">
        <f>((E199*$E$7)/(1+$E$6))+((E201*(1-$E$7))/(1+$E$6))</f>
        <v>14.928817278034339</v>
      </c>
      <c r="E200" s="25"/>
      <c r="F200" s="26">
        <f>((G199*$E$7)/(1+$E$6))+((G201*(1-$E$7))/(1+$E$6))</f>
        <v>14.969443405321675</v>
      </c>
      <c r="G200" s="25"/>
      <c r="H200" s="26">
        <f>((I199*$E$7)/(1+$E$6))+((I201*(1-$E$7))/(1+$E$6))</f>
        <v>15.029972656442016</v>
      </c>
      <c r="I200" s="25"/>
      <c r="J200" s="26">
        <f>((K199*$E$7)/(1+$E$6))+((K201*(1-$E$7))/(1+$E$6))</f>
        <v>15.109701187338947</v>
      </c>
      <c r="K200" s="25"/>
      <c r="L200" s="26">
        <f>((M199*$E$7)/(1+$E$6))+((M201*(1-$E$7))/(1+$E$6))</f>
        <v>15.189783622562096</v>
      </c>
      <c r="M200" s="26"/>
      <c r="N200" s="26">
        <f>IF(N47&lt;Exercise,Exercise-N47,0)</f>
        <v>15.229958004629296</v>
      </c>
      <c r="O200" s="26"/>
      <c r="P200" s="26">
        <f>IF(P47&lt;Exercise,Exercise-P47,0)</f>
        <v>15.229958004629296</v>
      </c>
      <c r="Q200" s="26"/>
      <c r="R200" s="26">
        <f>IF(R47&lt;Exercise,Exercise-R47,0)</f>
        <v>15.229958004629296</v>
      </c>
      <c r="S200" s="26"/>
      <c r="T200" s="26">
        <f>IF(T47&lt;Exercise,Exercise-T47,0)</f>
        <v>15.229958004629296</v>
      </c>
      <c r="U200" s="26"/>
      <c r="V200" s="26">
        <f>IF(V47&lt;Exercise,Exercise-V47,0)</f>
        <v>15.229958004629296</v>
      </c>
      <c r="W200" s="26"/>
      <c r="X200" s="26">
        <f>IF(X47&lt;Exercise,Exercise-X47,0)</f>
        <v>15.229958004629296</v>
      </c>
      <c r="Y200" s="26"/>
      <c r="Z200" s="26">
        <f>IF(Z47&lt;Exercise,Exercise-Z47,0)</f>
        <v>15.22995800462931</v>
      </c>
      <c r="AA200" s="26"/>
      <c r="AB200" s="26">
        <f>IF(AB47&lt;Exercise,Exercise-AB47,0)</f>
        <v>15.22995800462931</v>
      </c>
      <c r="AC200" s="26"/>
      <c r="AD200" s="26">
        <f>IF(AD47&lt;Exercise,Exercise-AD47,0)</f>
        <v>15.22995800462931</v>
      </c>
      <c r="AE200" s="26"/>
      <c r="AF200" s="5"/>
      <c r="AG200" s="5"/>
      <c r="AH200" s="5"/>
      <c r="AI200" s="5"/>
      <c r="AJ200" s="5"/>
      <c r="AK200" s="5"/>
      <c r="AL200" s="5"/>
      <c r="AM200" s="5"/>
    </row>
    <row r="201" spans="1:40" ht="18.75" customHeight="1">
      <c r="A201" s="25"/>
      <c r="B201" s="25"/>
      <c r="C201" s="25"/>
      <c r="D201" s="25"/>
      <c r="E201" s="26">
        <f>((F200*$E$7)/(1+$E$6))+((F202*(1-$E$7))/(1+$E$6))</f>
        <v>17.181428020516602</v>
      </c>
      <c r="F201" s="25"/>
      <c r="G201" s="26">
        <f>((H200*$E$7)/(1+$E$6))+((H202*(1-$E$7))/(1+$E$6))</f>
        <v>17.258037076959983</v>
      </c>
      <c r="H201" s="25"/>
      <c r="I201" s="26">
        <f>((J200*$E$7)/(1+$E$6))+((J202*(1-$E$7))/(1+$E$6))</f>
        <v>17.344365140173615</v>
      </c>
      <c r="J201" s="25"/>
      <c r="K201" s="26">
        <f>((L200*$E$7)/(1+$E$6))+((L202*(1-$E$7))/(1+$E$6))</f>
        <v>17.431066634756966</v>
      </c>
      <c r="L201" s="25"/>
      <c r="M201" s="26">
        <f>IF(M48&lt;Exercise,Exercise-M48,0)</f>
        <v>17.518143060181842</v>
      </c>
      <c r="N201" s="26"/>
      <c r="O201" s="26">
        <f>IF(O48&lt;Exercise,Exercise-O48,0)</f>
        <v>17.518143060181842</v>
      </c>
      <c r="P201" s="26"/>
      <c r="Q201" s="26">
        <f>IF(Q48&lt;Exercise,Exercise-Q48,0)</f>
        <v>17.518143060181842</v>
      </c>
      <c r="R201" s="26"/>
      <c r="S201" s="26">
        <f>IF(S48&lt;Exercise,Exercise-S48,0)</f>
        <v>17.518143060181842</v>
      </c>
      <c r="T201" s="26"/>
      <c r="U201" s="26">
        <f>IF(U48&lt;Exercise,Exercise-U48,0)</f>
        <v>17.518143060181842</v>
      </c>
      <c r="V201" s="26"/>
      <c r="W201" s="26">
        <f>IF(W48&lt;Exercise,Exercise-W48,0)</f>
        <v>17.518143060181842</v>
      </c>
      <c r="X201" s="26"/>
      <c r="Y201" s="26">
        <f>IF(Y48&lt;Exercise,Exercise-Y48,0)</f>
        <v>17.518143060181842</v>
      </c>
      <c r="Z201" s="26"/>
      <c r="AA201" s="26">
        <f>IF(AA48&lt;Exercise,Exercise-AA48,0)</f>
        <v>17.518143060181856</v>
      </c>
      <c r="AB201" s="26"/>
      <c r="AC201" s="26">
        <f>IF(AC48&lt;Exercise,Exercise-AC48,0)</f>
        <v>17.518143060181856</v>
      </c>
      <c r="AD201" s="26"/>
      <c r="AE201" s="26">
        <f>IF(AE48&lt;Exercise,Exercise-AE48,0)</f>
        <v>17.518143060181856</v>
      </c>
      <c r="AF201" s="5"/>
      <c r="AG201" s="5"/>
      <c r="AH201" s="5"/>
      <c r="AI201" s="5"/>
      <c r="AJ201" s="5"/>
      <c r="AK201" s="5"/>
      <c r="AL201" s="5"/>
      <c r="AM201" s="5"/>
    </row>
    <row r="202" spans="1:40" ht="18.75" customHeight="1">
      <c r="A202" s="25"/>
      <c r="B202" s="25"/>
      <c r="C202" s="25"/>
      <c r="D202" s="25"/>
      <c r="E202" s="25"/>
      <c r="F202" s="26">
        <f>((G201*$E$7)/(1+$E$6))+((G203*(1-$E$7))/(1+$E$6))</f>
        <v>19.421710016991774</v>
      </c>
      <c r="G202" s="25"/>
      <c r="H202" s="26">
        <f>((I201*$E$7)/(1+$E$6))+((I203*(1-$E$7))/(1+$E$6))</f>
        <v>19.514445312919683</v>
      </c>
      <c r="I202" s="25"/>
      <c r="J202" s="26">
        <f>((K201*$E$7)/(1+$E$6))+((K203*(1-$E$7))/(1+$E$6))</f>
        <v>19.607572993006755</v>
      </c>
      <c r="K202" s="25"/>
      <c r="L202" s="26">
        <f>((M201*$E$7)/(1+$E$6))+((M203*(1-$E$7))/(1+$E$6))</f>
        <v>19.701094612718016</v>
      </c>
      <c r="M202" s="26"/>
      <c r="N202" s="26">
        <f>IF(N49&lt;Exercise,Exercise-N49,0)</f>
        <v>19.748003637633744</v>
      </c>
      <c r="O202" s="26"/>
      <c r="P202" s="26">
        <f>IF(P49&lt;Exercise,Exercise-P49,0)</f>
        <v>19.748003637633744</v>
      </c>
      <c r="Q202" s="26"/>
      <c r="R202" s="26">
        <f>IF(R49&lt;Exercise,Exercise-R49,0)</f>
        <v>19.748003637633744</v>
      </c>
      <c r="S202" s="26"/>
      <c r="T202" s="26">
        <f>IF(T49&lt;Exercise,Exercise-T49,0)</f>
        <v>19.748003637633744</v>
      </c>
      <c r="U202" s="26"/>
      <c r="V202" s="26">
        <f>IF(V49&lt;Exercise,Exercise-V49,0)</f>
        <v>19.748003637633744</v>
      </c>
      <c r="W202" s="26"/>
      <c r="X202" s="26">
        <f>IF(X49&lt;Exercise,Exercise-X49,0)</f>
        <v>19.748003637633744</v>
      </c>
      <c r="Y202" s="26"/>
      <c r="Z202" s="26">
        <f>IF(Z49&lt;Exercise,Exercise-Z49,0)</f>
        <v>19.748003637633744</v>
      </c>
      <c r="AA202" s="26"/>
      <c r="AB202" s="26">
        <f>IF(AB49&lt;Exercise,Exercise-AB49,0)</f>
        <v>19.748003637633758</v>
      </c>
      <c r="AC202" s="26"/>
      <c r="AD202" s="26">
        <f>IF(AD49&lt;Exercise,Exercise-AD49,0)</f>
        <v>19.748003637633758</v>
      </c>
      <c r="AE202" s="26"/>
      <c r="AF202" s="5"/>
      <c r="AG202" s="5"/>
      <c r="AH202" s="5"/>
      <c r="AI202" s="5"/>
      <c r="AJ202" s="5"/>
      <c r="AK202" s="5"/>
      <c r="AL202" s="5"/>
      <c r="AM202" s="5"/>
    </row>
    <row r="203" spans="1:40" ht="18.75" customHeight="1">
      <c r="A203" s="25"/>
      <c r="B203" s="25"/>
      <c r="C203" s="25"/>
      <c r="D203" s="25"/>
      <c r="E203" s="25"/>
      <c r="F203" s="25"/>
      <c r="G203" s="26">
        <f>((H202*$E$7)/(1+$E$6))+((H204*(1-$E$7))/(1+$E$6))</f>
        <v>21.621688976583222</v>
      </c>
      <c r="H203" s="25"/>
      <c r="I203" s="26">
        <f>((J202*$E$7)/(1+$E$6))+((J204*(1-$E$7))/(1+$E$6))</f>
        <v>21.721055188827023</v>
      </c>
      <c r="J203" s="25"/>
      <c r="K203" s="26">
        <f>((L202*$E$7)/(1+$E$6))+((L204*(1-$E$7))/(1+$E$6))</f>
        <v>21.820833789106679</v>
      </c>
      <c r="L203" s="25"/>
      <c r="M203" s="26">
        <f>IF(M50&lt;Exercise,Exercise-M50,0)</f>
        <v>21.92102639329255</v>
      </c>
      <c r="N203" s="26"/>
      <c r="O203" s="26">
        <f>IF(O50&lt;Exercise,Exercise-O50,0)</f>
        <v>21.92102639329255</v>
      </c>
      <c r="P203" s="26"/>
      <c r="Q203" s="26">
        <f>IF(Q50&lt;Exercise,Exercise-Q50,0)</f>
        <v>21.92102639329255</v>
      </c>
      <c r="R203" s="26"/>
      <c r="S203" s="26">
        <f>IF(S50&lt;Exercise,Exercise-S50,0)</f>
        <v>21.92102639329255</v>
      </c>
      <c r="T203" s="26"/>
      <c r="U203" s="26">
        <f>IF(U50&lt;Exercise,Exercise-U50,0)</f>
        <v>21.92102639329255</v>
      </c>
      <c r="V203" s="26"/>
      <c r="W203" s="26">
        <f>IF(W50&lt;Exercise,Exercise-W50,0)</f>
        <v>21.92102639329255</v>
      </c>
      <c r="X203" s="26"/>
      <c r="Y203" s="26">
        <f>IF(Y50&lt;Exercise,Exercise-Y50,0)</f>
        <v>21.92102639329255</v>
      </c>
      <c r="Z203" s="26"/>
      <c r="AA203" s="26">
        <f>IF(AA50&lt;Exercise,Exercise-AA50,0)</f>
        <v>21.92102639329255</v>
      </c>
      <c r="AB203" s="26"/>
      <c r="AC203" s="26">
        <f>IF(AC50&lt;Exercise,Exercise-AC50,0)</f>
        <v>21.921026393292564</v>
      </c>
      <c r="AD203" s="26"/>
      <c r="AE203" s="26">
        <f>IF(AE50&lt;Exercise,Exercise-AE50,0)</f>
        <v>21.921026393292564</v>
      </c>
      <c r="AF203" s="5"/>
      <c r="AG203" s="5"/>
      <c r="AH203" s="5"/>
      <c r="AI203" s="5"/>
      <c r="AJ203" s="5"/>
      <c r="AK203" s="5"/>
      <c r="AL203" s="5"/>
      <c r="AM203" s="5"/>
    </row>
    <row r="204" spans="1:40" ht="18.75" customHeight="1">
      <c r="A204" s="25"/>
      <c r="B204" s="25"/>
      <c r="C204" s="25"/>
      <c r="D204" s="25"/>
      <c r="E204" s="25"/>
      <c r="F204" s="25"/>
      <c r="G204" s="25"/>
      <c r="H204" s="26">
        <f>((I203*$E$7)/(1+$E$6))+((I205*(1-$E$7))/(1+$E$6))</f>
        <v>23.773218486010986</v>
      </c>
      <c r="I204" s="25"/>
      <c r="J204" s="26">
        <f>((K203*$E$7)/(1+$E$6))+((K205*(1-$E$7))/(1+$E$6))</f>
        <v>23.879070948136992</v>
      </c>
      <c r="K204" s="25"/>
      <c r="L204" s="26">
        <f>((M203*$E$7)/(1+$E$6))+((M205*(1-$E$7))/(1+$E$6))</f>
        <v>23.985355370244537</v>
      </c>
      <c r="M204" s="26"/>
      <c r="N204" s="26">
        <f>IF(N51&lt;Exercise,Exercise-N51,0)</f>
        <v>24.038660089479478</v>
      </c>
      <c r="O204" s="26"/>
      <c r="P204" s="26">
        <f>IF(P51&lt;Exercise,Exercise-P51,0)</f>
        <v>24.038660089479478</v>
      </c>
      <c r="Q204" s="26"/>
      <c r="R204" s="26">
        <f>IF(R51&lt;Exercise,Exercise-R51,0)</f>
        <v>24.038660089479478</v>
      </c>
      <c r="S204" s="26"/>
      <c r="T204" s="26">
        <f>IF(T51&lt;Exercise,Exercise-T51,0)</f>
        <v>24.038660089479478</v>
      </c>
      <c r="U204" s="26"/>
      <c r="V204" s="26">
        <f>IF(V51&lt;Exercise,Exercise-V51,0)</f>
        <v>24.038660089479478</v>
      </c>
      <c r="W204" s="26"/>
      <c r="X204" s="26">
        <f>IF(X51&lt;Exercise,Exercise-X51,0)</f>
        <v>24.038660089479478</v>
      </c>
      <c r="Y204" s="26"/>
      <c r="Z204" s="26">
        <f>IF(Z51&lt;Exercise,Exercise-Z51,0)</f>
        <v>24.038660089479478</v>
      </c>
      <c r="AA204" s="26"/>
      <c r="AB204" s="26">
        <f>IF(AB51&lt;Exercise,Exercise-AB51,0)</f>
        <v>24.038660089479478</v>
      </c>
      <c r="AC204" s="26"/>
      <c r="AD204" s="26">
        <f>IF(AD51&lt;Exercise,Exercise-AD51,0)</f>
        <v>24.038660089479492</v>
      </c>
      <c r="AE204" s="26"/>
      <c r="AF204" s="5"/>
      <c r="AG204" s="5"/>
      <c r="AH204" s="5"/>
      <c r="AI204" s="5"/>
      <c r="AJ204" s="5"/>
      <c r="AK204" s="5"/>
      <c r="AL204" s="5"/>
      <c r="AM204" s="5"/>
      <c r="AN204" s="5"/>
    </row>
    <row r="205" spans="1:40" ht="18.75" customHeight="1">
      <c r="A205" s="25"/>
      <c r="B205" s="25"/>
      <c r="C205" s="25"/>
      <c r="D205" s="25"/>
      <c r="E205" s="25"/>
      <c r="F205" s="25"/>
      <c r="G205" s="25"/>
      <c r="H205" s="25"/>
      <c r="I205" s="26">
        <f>((J204*$E$7)/(1+$E$6))+((J206*(1-$E$7))/(1+$E$6))</f>
        <v>25.877470355996561</v>
      </c>
      <c r="J205" s="25"/>
      <c r="K205" s="26">
        <f>((L204*$E$7)/(1+$E$6))+((L206*(1-$E$7))/(1+$E$6))</f>
        <v>25.989667902981267</v>
      </c>
      <c r="L205" s="25"/>
      <c r="M205" s="26">
        <f>IF(M52&lt;Exercise,Exercise-M52,0)</f>
        <v>26.102316560424597</v>
      </c>
      <c r="N205" s="26"/>
      <c r="O205" s="26">
        <f>IF(O52&lt;Exercise,Exercise-O52,0)</f>
        <v>26.102316560424612</v>
      </c>
      <c r="P205" s="26"/>
      <c r="Q205" s="26">
        <f>IF(Q52&lt;Exercise,Exercise-Q52,0)</f>
        <v>26.102316560424612</v>
      </c>
      <c r="R205" s="26"/>
      <c r="S205" s="26">
        <f>IF(S52&lt;Exercise,Exercise-S52,0)</f>
        <v>26.102316560424612</v>
      </c>
      <c r="T205" s="26"/>
      <c r="U205" s="26">
        <f>IF(U52&lt;Exercise,Exercise-U52,0)</f>
        <v>26.102316560424612</v>
      </c>
      <c r="V205" s="26"/>
      <c r="W205" s="26">
        <f>IF(W52&lt;Exercise,Exercise-W52,0)</f>
        <v>26.102316560424612</v>
      </c>
      <c r="X205" s="26"/>
      <c r="Y205" s="26">
        <f>IF(Y52&lt;Exercise,Exercise-Y52,0)</f>
        <v>26.102316560424612</v>
      </c>
      <c r="Z205" s="26"/>
      <c r="AA205" s="26">
        <f>IF(AA52&lt;Exercise,Exercise-AA52,0)</f>
        <v>26.102316560424612</v>
      </c>
      <c r="AB205" s="26"/>
      <c r="AC205" s="26">
        <f>IF(AC52&lt;Exercise,Exercise-AC52,0)</f>
        <v>26.102316560424612</v>
      </c>
      <c r="AD205" s="26"/>
      <c r="AE205" s="26">
        <f>IF(AE52&lt;Exercise,Exercise-AE52,0)</f>
        <v>26.102316560424626</v>
      </c>
      <c r="AF205" s="5"/>
      <c r="AG205" s="5"/>
      <c r="AH205" s="5"/>
      <c r="AI205" s="5"/>
      <c r="AJ205" s="5"/>
      <c r="AK205" s="5"/>
      <c r="AL205" s="5"/>
      <c r="AM205" s="5"/>
      <c r="AN205" s="5"/>
    </row>
    <row r="206" spans="1:40" ht="18.75" customHeight="1">
      <c r="A206" s="25"/>
      <c r="B206" s="25"/>
      <c r="C206" s="25"/>
      <c r="D206" s="25"/>
      <c r="E206" s="25"/>
      <c r="F206" s="25"/>
      <c r="G206" s="25"/>
      <c r="H206" s="25"/>
      <c r="I206" s="25"/>
      <c r="J206" s="26">
        <f>((K205*$E$7)/(1+$E$6))+((K207*(1-$E$7))/(1+$E$6))</f>
        <v>27.935588245426395</v>
      </c>
      <c r="K206" s="25"/>
      <c r="L206" s="26">
        <f>((M205*$E$7)/(1+$E$6))+((M207*(1-$E$7))/(1+$E$6))</f>
        <v>28.053993129541944</v>
      </c>
      <c r="M206" s="26"/>
      <c r="N206" s="26">
        <f>IF(N53&lt;Exercise,Exercise-N53,0)</f>
        <v>28.113371653541989</v>
      </c>
      <c r="O206" s="26"/>
      <c r="P206" s="26">
        <f>IF(P53&lt;Exercise,Exercise-P53,0)</f>
        <v>28.113371653542004</v>
      </c>
      <c r="Q206" s="26"/>
      <c r="R206" s="26">
        <f>IF(R53&lt;Exercise,Exercise-R53,0)</f>
        <v>28.113371653542004</v>
      </c>
      <c r="S206" s="26"/>
      <c r="T206" s="26">
        <f>IF(T53&lt;Exercise,Exercise-T53,0)</f>
        <v>28.113371653542004</v>
      </c>
      <c r="U206" s="26"/>
      <c r="V206" s="26">
        <f>IF(V53&lt;Exercise,Exercise-V53,0)</f>
        <v>28.113371653542004</v>
      </c>
      <c r="W206" s="26"/>
      <c r="X206" s="26">
        <f>IF(X53&lt;Exercise,Exercise-X53,0)</f>
        <v>28.113371653542004</v>
      </c>
      <c r="Y206" s="26"/>
      <c r="Z206" s="26">
        <f>IF(Z53&lt;Exercise,Exercise-Z53,0)</f>
        <v>28.113371653542004</v>
      </c>
      <c r="AA206" s="26"/>
      <c r="AB206" s="26">
        <f>IF(AB53&lt;Exercise,Exercise-AB53,0)</f>
        <v>28.113371653542004</v>
      </c>
      <c r="AC206" s="26"/>
      <c r="AD206" s="26">
        <f>IF(AD53&lt;Exercise,Exercise-AD53,0)</f>
        <v>28.113371653542004</v>
      </c>
      <c r="AE206" s="26"/>
      <c r="AF206" s="5"/>
      <c r="AG206" s="5"/>
      <c r="AH206" s="5"/>
      <c r="AI206" s="5"/>
      <c r="AJ206" s="5"/>
      <c r="AK206" s="5"/>
      <c r="AL206" s="5"/>
      <c r="AM206" s="5"/>
      <c r="AN206" s="5"/>
    </row>
    <row r="207" spans="1:40" ht="18.75" customHeight="1">
      <c r="A207" s="25"/>
      <c r="B207" s="25"/>
      <c r="C207" s="25"/>
      <c r="D207" s="25"/>
      <c r="E207" s="25"/>
      <c r="F207" s="25"/>
      <c r="G207" s="25"/>
      <c r="H207" s="25"/>
      <c r="I207" s="25"/>
      <c r="J207" s="25"/>
      <c r="K207" s="26">
        <f>((L206*$E$7)/(1+$E$6))+((L208*(1-$E$7))/(1+$E$6))</f>
        <v>29.948688337990887</v>
      </c>
      <c r="L207" s="25"/>
      <c r="M207" s="26">
        <f>IF(M54&lt;Exercise,Exercise-M54,0)</f>
        <v>30.073166146712225</v>
      </c>
      <c r="N207" s="26"/>
      <c r="O207" s="26">
        <f>IF(O54&lt;Exercise,Exercise-O54,0)</f>
        <v>30.073166146712225</v>
      </c>
      <c r="P207" s="26"/>
      <c r="Q207" s="26">
        <f>IF(Q54&lt;Exercise,Exercise-Q54,0)</f>
        <v>30.073166146712239</v>
      </c>
      <c r="R207" s="26"/>
      <c r="S207" s="26">
        <f>IF(S54&lt;Exercise,Exercise-S54,0)</f>
        <v>30.073166146712239</v>
      </c>
      <c r="T207" s="26"/>
      <c r="U207" s="26">
        <f>IF(U54&lt;Exercise,Exercise-U54,0)</f>
        <v>30.073166146712239</v>
      </c>
      <c r="V207" s="26"/>
      <c r="W207" s="26">
        <f>IF(W54&lt;Exercise,Exercise-W54,0)</f>
        <v>30.073166146712239</v>
      </c>
      <c r="X207" s="26"/>
      <c r="Y207" s="26">
        <f>IF(Y54&lt;Exercise,Exercise-Y54,0)</f>
        <v>30.073166146712239</v>
      </c>
      <c r="Z207" s="26"/>
      <c r="AA207" s="26">
        <f>IF(AA54&lt;Exercise,Exercise-AA54,0)</f>
        <v>30.073166146712239</v>
      </c>
      <c r="AB207" s="26"/>
      <c r="AC207" s="26">
        <f>IF(AC54&lt;Exercise,Exercise-AC54,0)</f>
        <v>30.073166146712239</v>
      </c>
      <c r="AD207" s="26"/>
      <c r="AE207" s="26">
        <f>IF(AE54&lt;Exercise,Exercise-AE54,0)</f>
        <v>30.073166146712239</v>
      </c>
      <c r="AF207" s="5"/>
      <c r="AG207" s="5"/>
      <c r="AH207" s="5"/>
      <c r="AI207" s="5"/>
      <c r="AJ207" s="5"/>
      <c r="AK207" s="5"/>
      <c r="AL207" s="5"/>
      <c r="AM207" s="5"/>
      <c r="AN207" s="5"/>
    </row>
    <row r="208" spans="1:40" ht="18.75" customHeight="1">
      <c r="A208" s="25"/>
      <c r="B208" s="25"/>
      <c r="C208" s="25"/>
      <c r="D208" s="25"/>
      <c r="E208" s="25"/>
      <c r="F208" s="25"/>
      <c r="G208" s="25"/>
      <c r="H208" s="25"/>
      <c r="I208" s="25"/>
      <c r="J208" s="25"/>
      <c r="K208" s="25"/>
      <c r="L208" s="26">
        <f>((M207*$E$7)/(1+$E$6))+((M209*(1-$E$7))/(1+$E$6))</f>
        <v>31.917860002560623</v>
      </c>
      <c r="M208" s="26"/>
      <c r="N208" s="26">
        <f>IF(N55&lt;Exercise,Exercise-N55,0)</f>
        <v>31.983006642184009</v>
      </c>
      <c r="O208" s="26"/>
      <c r="P208" s="26">
        <f>IF(P55&lt;Exercise,Exercise-P55,0)</f>
        <v>31.983006642184009</v>
      </c>
      <c r="Q208" s="26"/>
      <c r="R208" s="26">
        <f>IF(R55&lt;Exercise,Exercise-R55,0)</f>
        <v>31.983006642184023</v>
      </c>
      <c r="S208" s="26"/>
      <c r="T208" s="26">
        <f>IF(T55&lt;Exercise,Exercise-T55,0)</f>
        <v>31.983006642184023</v>
      </c>
      <c r="U208" s="26"/>
      <c r="V208" s="26">
        <f>IF(V55&lt;Exercise,Exercise-V55,0)</f>
        <v>31.983006642184023</v>
      </c>
      <c r="W208" s="26"/>
      <c r="X208" s="26">
        <f>IF(X55&lt;Exercise,Exercise-X55,0)</f>
        <v>31.983006642184023</v>
      </c>
      <c r="Y208" s="26"/>
      <c r="Z208" s="26">
        <f>IF(Z55&lt;Exercise,Exercise-Z55,0)</f>
        <v>31.983006642184023</v>
      </c>
      <c r="AA208" s="26"/>
      <c r="AB208" s="26">
        <f>IF(AB55&lt;Exercise,Exercise-AB55,0)</f>
        <v>31.983006642184023</v>
      </c>
      <c r="AC208" s="26"/>
      <c r="AD208" s="26">
        <f>IF(AD55&lt;Exercise,Exercise-AD55,0)</f>
        <v>31.983006642184023</v>
      </c>
      <c r="AE208" s="26"/>
      <c r="AF208" s="5"/>
      <c r="AG208" s="5"/>
      <c r="AH208" s="5"/>
      <c r="AI208" s="5"/>
      <c r="AJ208" s="5"/>
      <c r="AK208" s="5"/>
      <c r="AL208" s="5"/>
      <c r="AM208" s="5"/>
      <c r="AN208" s="5"/>
    </row>
    <row r="209" spans="1:40" ht="18.75" customHeight="1">
      <c r="A209" s="25"/>
      <c r="B209" s="25"/>
      <c r="C209" s="25"/>
      <c r="D209" s="25"/>
      <c r="E209" s="25"/>
      <c r="F209" s="25"/>
      <c r="G209" s="25"/>
      <c r="H209" s="25"/>
      <c r="I209" s="25"/>
      <c r="J209" s="25"/>
      <c r="K209" s="25"/>
      <c r="L209" s="25"/>
      <c r="M209" s="26">
        <f>IF(M56&lt;Exercise,Exercise-M56,0)</f>
        <v>33.844166437690731</v>
      </c>
      <c r="N209" s="26"/>
      <c r="O209" s="26">
        <f>IF(O56&lt;Exercise,Exercise-O56,0)</f>
        <v>33.844166437690731</v>
      </c>
      <c r="P209" s="26"/>
      <c r="Q209" s="26">
        <f>IF(Q56&lt;Exercise,Exercise-Q56,0)</f>
        <v>33.844166437690731</v>
      </c>
      <c r="R209" s="26"/>
      <c r="S209" s="26">
        <f>IF(S56&lt;Exercise,Exercise-S56,0)</f>
        <v>33.844166437690745</v>
      </c>
      <c r="T209" s="26"/>
      <c r="U209" s="26">
        <f>IF(U56&lt;Exercise,Exercise-U56,0)</f>
        <v>33.844166437690745</v>
      </c>
      <c r="V209" s="26"/>
      <c r="W209" s="26">
        <f>IF(W56&lt;Exercise,Exercise-W56,0)</f>
        <v>33.844166437690745</v>
      </c>
      <c r="X209" s="26"/>
      <c r="Y209" s="26">
        <f>IF(Y56&lt;Exercise,Exercise-Y56,0)</f>
        <v>33.844166437690745</v>
      </c>
      <c r="Z209" s="26"/>
      <c r="AA209" s="26">
        <f>IF(AA56&lt;Exercise,Exercise-AA56,0)</f>
        <v>33.844166437690745</v>
      </c>
      <c r="AB209" s="26"/>
      <c r="AC209" s="26">
        <f>IF(AC56&lt;Exercise,Exercise-AC56,0)</f>
        <v>33.844166437690745</v>
      </c>
      <c r="AD209" s="26"/>
      <c r="AE209" s="26">
        <f>IF(AE56&lt;Exercise,Exercise-AE56,0)</f>
        <v>33.844166437690745</v>
      </c>
      <c r="AF209" s="5"/>
      <c r="AG209" s="5"/>
      <c r="AH209" s="5"/>
      <c r="AI209" s="5"/>
      <c r="AJ209" s="5"/>
      <c r="AK209" s="5"/>
      <c r="AL209" s="5"/>
      <c r="AM209" s="5"/>
      <c r="AN209" s="5"/>
    </row>
    <row r="210" spans="1:40" ht="18.75" customHeight="1">
      <c r="A210" s="5"/>
      <c r="B210" s="5"/>
      <c r="C210" s="5"/>
      <c r="D210" s="5"/>
      <c r="E210" s="5"/>
      <c r="F210" s="5"/>
      <c r="G210" s="5"/>
      <c r="H210" s="5"/>
      <c r="I210" s="5"/>
      <c r="J210" s="5"/>
      <c r="K210" s="5"/>
      <c r="L210" s="5"/>
      <c r="M210" s="5"/>
      <c r="N210" s="26">
        <f>IF(N57&lt;Exercise,Exercise-N57,0)</f>
        <v>35.657886375362779</v>
      </c>
      <c r="O210" s="26"/>
      <c r="P210" s="26">
        <f>IF(P57&lt;Exercise,Exercise-P57,0)</f>
        <v>35.657886375362779</v>
      </c>
      <c r="Q210" s="26"/>
      <c r="R210" s="26">
        <f>IF(R57&lt;Exercise,Exercise-R57,0)</f>
        <v>35.657886375362779</v>
      </c>
      <c r="S210" s="26"/>
      <c r="T210" s="26">
        <f>IF(T57&lt;Exercise,Exercise-T57,0)</f>
        <v>35.657886375362793</v>
      </c>
      <c r="U210" s="26"/>
      <c r="V210" s="26">
        <f>IF(V57&lt;Exercise,Exercise-V57,0)</f>
        <v>35.657886375362793</v>
      </c>
      <c r="W210" s="26"/>
      <c r="X210" s="26">
        <f>IF(X57&lt;Exercise,Exercise-X57,0)</f>
        <v>35.657886375362793</v>
      </c>
      <c r="Y210" s="26"/>
      <c r="Z210" s="26">
        <f>IF(Z57&lt;Exercise,Exercise-Z57,0)</f>
        <v>35.657886375362793</v>
      </c>
      <c r="AA210" s="26"/>
      <c r="AB210" s="26">
        <f>IF(AB57&lt;Exercise,Exercise-AB57,0)</f>
        <v>35.657886375362793</v>
      </c>
      <c r="AC210" s="26"/>
      <c r="AD210" s="26">
        <f>IF(AD57&lt;Exercise,Exercise-AD57,0)</f>
        <v>35.657886375362793</v>
      </c>
      <c r="AE210" s="26"/>
      <c r="AF210" s="5"/>
      <c r="AG210" s="5"/>
      <c r="AH210" s="5"/>
      <c r="AI210" s="5"/>
      <c r="AJ210" s="5"/>
      <c r="AK210" s="5"/>
      <c r="AL210" s="5"/>
      <c r="AM210" s="5"/>
      <c r="AN210" s="5"/>
    </row>
    <row r="211" spans="1:40" ht="18.75" customHeight="1">
      <c r="A211" s="5"/>
      <c r="B211" s="5"/>
      <c r="C211" s="5"/>
      <c r="D211" s="5"/>
      <c r="E211" s="5"/>
      <c r="F211" s="5"/>
      <c r="G211" s="5"/>
      <c r="H211" s="5"/>
      <c r="I211" s="5"/>
      <c r="J211" s="5"/>
      <c r="K211" s="5"/>
      <c r="L211" s="5"/>
      <c r="M211" s="5"/>
      <c r="N211" s="5"/>
      <c r="O211" s="26">
        <f>IF(O58&lt;Exercise,Exercise-O58,0)</f>
        <v>37.425375669001568</v>
      </c>
      <c r="P211" s="26"/>
      <c r="Q211" s="26">
        <f>IF(Q58&lt;Exercise,Exercise-Q58,0)</f>
        <v>37.425375669001568</v>
      </c>
      <c r="R211" s="26"/>
      <c r="S211" s="26">
        <f>IF(S58&lt;Exercise,Exercise-S58,0)</f>
        <v>37.425375669001568</v>
      </c>
      <c r="T211" s="26"/>
      <c r="U211" s="26">
        <f>IF(U58&lt;Exercise,Exercise-U58,0)</f>
        <v>37.425375669001582</v>
      </c>
      <c r="V211" s="26"/>
      <c r="W211" s="26">
        <f>IF(W58&lt;Exercise,Exercise-W58,0)</f>
        <v>37.425375669001582</v>
      </c>
      <c r="X211" s="26"/>
      <c r="Y211" s="26">
        <f>IF(Y58&lt;Exercise,Exercise-Y58,0)</f>
        <v>37.425375669001582</v>
      </c>
      <c r="Z211" s="26"/>
      <c r="AA211" s="26">
        <f>IF(AA58&lt;Exercise,Exercise-AA58,0)</f>
        <v>37.425375669001582</v>
      </c>
      <c r="AB211" s="26"/>
      <c r="AC211" s="26">
        <f>IF(AC58&lt;Exercise,Exercise-AC58,0)</f>
        <v>37.425375669001582</v>
      </c>
      <c r="AD211" s="26"/>
      <c r="AE211" s="26">
        <f>IF(AE58&lt;Exercise,Exercise-AE58,0)</f>
        <v>37.425375669001582</v>
      </c>
      <c r="AF211" s="5"/>
      <c r="AG211" s="5"/>
      <c r="AH211" s="5"/>
      <c r="AI211" s="5"/>
      <c r="AJ211" s="5"/>
      <c r="AK211" s="5"/>
      <c r="AL211" s="5"/>
      <c r="AM211" s="5"/>
      <c r="AN211" s="5"/>
    </row>
    <row r="212" spans="1:40" ht="18.75" customHeight="1">
      <c r="A212" s="5"/>
      <c r="B212" s="5"/>
      <c r="C212" s="5"/>
      <c r="D212" s="5"/>
      <c r="E212" s="5"/>
      <c r="F212" s="5"/>
      <c r="G212" s="5"/>
      <c r="H212" s="5"/>
      <c r="I212" s="5"/>
      <c r="J212" s="5"/>
      <c r="K212" s="5"/>
      <c r="L212" s="5"/>
      <c r="M212" s="5"/>
      <c r="N212" s="5"/>
      <c r="O212" s="5"/>
      <c r="P212" s="26">
        <f>IF(P59&lt;Exercise,Exercise-P59,0)</f>
        <v>39.147812710266876</v>
      </c>
      <c r="Q212" s="26"/>
      <c r="R212" s="26">
        <f>IF(R59&lt;Exercise,Exercise-R59,0)</f>
        <v>39.147812710266876</v>
      </c>
      <c r="S212" s="26"/>
      <c r="T212" s="26">
        <f>IF(T59&lt;Exercise,Exercise-T59,0)</f>
        <v>39.147812710266876</v>
      </c>
      <c r="U212" s="26"/>
      <c r="V212" s="26">
        <f>IF(V59&lt;Exercise,Exercise-V59,0)</f>
        <v>39.147812710266891</v>
      </c>
      <c r="W212" s="26"/>
      <c r="X212" s="26">
        <f>IF(X59&lt;Exercise,Exercise-X59,0)</f>
        <v>39.147812710266891</v>
      </c>
      <c r="Y212" s="26"/>
      <c r="Z212" s="26">
        <f>IF(Z59&lt;Exercise,Exercise-Z59,0)</f>
        <v>39.147812710266891</v>
      </c>
      <c r="AA212" s="26"/>
      <c r="AB212" s="26">
        <f>IF(AB59&lt;Exercise,Exercise-AB59,0)</f>
        <v>39.147812710266891</v>
      </c>
      <c r="AC212" s="26"/>
      <c r="AD212" s="26">
        <f>IF(AD59&lt;Exercise,Exercise-AD59,0)</f>
        <v>39.147812710266891</v>
      </c>
      <c r="AE212" s="26"/>
      <c r="AF212" s="5"/>
      <c r="AG212" s="5"/>
      <c r="AH212" s="5"/>
      <c r="AI212" s="5"/>
      <c r="AJ212" s="5"/>
      <c r="AK212" s="5"/>
      <c r="AL212" s="5"/>
      <c r="AM212" s="5"/>
      <c r="AN212" s="5"/>
    </row>
    <row r="213" spans="1:40" ht="18.75" customHeight="1">
      <c r="A213" s="5"/>
      <c r="B213" s="5"/>
      <c r="C213" s="5"/>
      <c r="D213" s="5"/>
      <c r="E213" s="5"/>
      <c r="F213" s="5"/>
      <c r="G213" s="5"/>
      <c r="H213" s="5"/>
      <c r="I213" s="5"/>
      <c r="J213" s="5"/>
      <c r="K213" s="5"/>
      <c r="L213" s="5"/>
      <c r="M213" s="5"/>
      <c r="N213" s="5"/>
      <c r="O213" s="5"/>
      <c r="P213" s="5"/>
      <c r="Q213" s="26">
        <f>IF(Q60&lt;Exercise,Exercise-Q60,0)</f>
        <v>40.826345854314923</v>
      </c>
      <c r="R213" s="26"/>
      <c r="S213" s="26">
        <f>IF(S60&lt;Exercise,Exercise-S60,0)</f>
        <v>40.826345854314923</v>
      </c>
      <c r="T213" s="26"/>
      <c r="U213" s="26">
        <f>IF(U60&lt;Exercise,Exercise-U60,0)</f>
        <v>40.826345854314923</v>
      </c>
      <c r="V213" s="26"/>
      <c r="W213" s="26">
        <f>IF(W60&lt;Exercise,Exercise-W60,0)</f>
        <v>40.826345854314937</v>
      </c>
      <c r="X213" s="26"/>
      <c r="Y213" s="26">
        <f>IF(Y60&lt;Exercise,Exercise-Y60,0)</f>
        <v>40.826345854314937</v>
      </c>
      <c r="Z213" s="26"/>
      <c r="AA213" s="26">
        <f>IF(AA60&lt;Exercise,Exercise-AA60,0)</f>
        <v>40.826345854314937</v>
      </c>
      <c r="AB213" s="26"/>
      <c r="AC213" s="26">
        <f>IF(AC60&lt;Exercise,Exercise-AC60,0)</f>
        <v>40.826345854314937</v>
      </c>
      <c r="AD213" s="26"/>
      <c r="AE213" s="26">
        <f>IF(AE60&lt;Exercise,Exercise-AE60,0)</f>
        <v>40.826345854314937</v>
      </c>
      <c r="AF213" s="5"/>
      <c r="AG213" s="5"/>
      <c r="AH213" s="5"/>
      <c r="AI213" s="5"/>
      <c r="AJ213" s="5"/>
      <c r="AK213" s="5"/>
      <c r="AL213" s="5"/>
      <c r="AM213" s="5"/>
      <c r="AN213" s="5"/>
    </row>
    <row r="214" spans="1:40" ht="18.75" customHeight="1">
      <c r="A214" s="5"/>
      <c r="B214" s="5"/>
      <c r="C214" s="5"/>
      <c r="D214" s="5"/>
      <c r="E214" s="5"/>
      <c r="F214" s="5"/>
      <c r="G214" s="5"/>
      <c r="H214" s="5"/>
      <c r="I214" s="5"/>
      <c r="J214" s="5"/>
      <c r="K214" s="5"/>
      <c r="L214" s="5"/>
      <c r="M214" s="5"/>
      <c r="N214" s="5"/>
      <c r="O214" s="5"/>
      <c r="P214" s="5"/>
      <c r="Q214" s="5"/>
      <c r="R214" s="26">
        <f>IF(R61&lt;Exercise,Exercise-R61,0)</f>
        <v>42.462094185411026</v>
      </c>
      <c r="S214" s="26"/>
      <c r="T214" s="26">
        <f>IF(T61&lt;Exercise,Exercise-T61,0)</f>
        <v>42.462094185411026</v>
      </c>
      <c r="U214" s="26"/>
      <c r="V214" s="26">
        <f>IF(V61&lt;Exercise,Exercise-V61,0)</f>
        <v>42.462094185411026</v>
      </c>
      <c r="W214" s="26"/>
      <c r="X214" s="26">
        <f>IF(X61&lt;Exercise,Exercise-X61,0)</f>
        <v>42.46209418541104</v>
      </c>
      <c r="Y214" s="26"/>
      <c r="Z214" s="26">
        <f>IF(Z61&lt;Exercise,Exercise-Z61,0)</f>
        <v>42.46209418541104</v>
      </c>
      <c r="AA214" s="26"/>
      <c r="AB214" s="26">
        <f>IF(AB61&lt;Exercise,Exercise-AB61,0)</f>
        <v>42.46209418541104</v>
      </c>
      <c r="AC214" s="26"/>
      <c r="AD214" s="26">
        <f>IF(AD61&lt;Exercise,Exercise-AD61,0)</f>
        <v>42.46209418541104</v>
      </c>
      <c r="AE214" s="26"/>
      <c r="AF214" s="5"/>
      <c r="AG214" s="5"/>
      <c r="AH214" s="5"/>
      <c r="AI214" s="5"/>
      <c r="AJ214" s="5"/>
      <c r="AK214" s="5"/>
      <c r="AL214" s="5"/>
      <c r="AM214" s="5"/>
      <c r="AN214" s="5"/>
    </row>
    <row r="215" spans="1:40" ht="18.75" customHeight="1">
      <c r="A215" s="5"/>
      <c r="B215" s="5"/>
      <c r="C215" s="5"/>
      <c r="D215" s="5"/>
      <c r="E215" s="5"/>
      <c r="F215" s="5"/>
      <c r="G215" s="5"/>
      <c r="H215" s="5"/>
      <c r="I215" s="5"/>
      <c r="J215" s="5"/>
      <c r="K215" s="5"/>
      <c r="L215" s="5"/>
      <c r="M215" s="5"/>
      <c r="N215" s="5"/>
      <c r="O215" s="5"/>
      <c r="P215" s="5"/>
      <c r="Q215" s="5"/>
      <c r="R215" s="5"/>
      <c r="S215" s="26">
        <f>IF(S62&lt;Exercise,Exercise-S62,0)</f>
        <v>44.056148263027197</v>
      </c>
      <c r="T215" s="26"/>
      <c r="U215" s="26">
        <f>IF(U62&lt;Exercise,Exercise-U62,0)</f>
        <v>44.056148263027197</v>
      </c>
      <c r="V215" s="26"/>
      <c r="W215" s="26">
        <f>IF(W62&lt;Exercise,Exercise-W62,0)</f>
        <v>44.056148263027197</v>
      </c>
      <c r="X215" s="26"/>
      <c r="Y215" s="26">
        <f>IF(Y62&lt;Exercise,Exercise-Y62,0)</f>
        <v>44.056148263027211</v>
      </c>
      <c r="Z215" s="26"/>
      <c r="AA215" s="26">
        <f>IF(AA62&lt;Exercise,Exercise-AA62,0)</f>
        <v>44.056148263027211</v>
      </c>
      <c r="AB215" s="26"/>
      <c r="AC215" s="26">
        <f>IF(AC62&lt;Exercise,Exercise-AC62,0)</f>
        <v>44.056148263027211</v>
      </c>
      <c r="AD215" s="26"/>
      <c r="AE215" s="26">
        <f>IF(AE62&lt;Exercise,Exercise-AE62,0)</f>
        <v>44.056148263027211</v>
      </c>
      <c r="AF215" s="5"/>
      <c r="AG215" s="5"/>
      <c r="AH215" s="5"/>
      <c r="AI215" s="5"/>
      <c r="AJ215" s="5"/>
      <c r="AK215" s="5"/>
      <c r="AL215" s="5"/>
      <c r="AM215" s="5"/>
      <c r="AN215" s="5"/>
    </row>
    <row r="216" spans="1:40" ht="18.75" customHeight="1">
      <c r="A216" s="5"/>
      <c r="B216" s="5"/>
      <c r="C216" s="5"/>
      <c r="D216" s="5"/>
      <c r="E216" s="5"/>
      <c r="F216" s="5"/>
      <c r="G216" s="5"/>
      <c r="H216" s="5"/>
      <c r="I216" s="5"/>
      <c r="J216" s="5"/>
      <c r="K216" s="5"/>
      <c r="L216" s="5"/>
      <c r="M216" s="5"/>
      <c r="N216" s="5"/>
      <c r="O216" s="5"/>
      <c r="P216" s="5"/>
      <c r="Q216" s="5"/>
      <c r="R216" s="5"/>
      <c r="S216" s="5"/>
      <c r="T216" s="26">
        <f>IF(T63&lt;Exercise,Exercise-T63,0)</f>
        <v>45.609570848922196</v>
      </c>
      <c r="U216" s="26"/>
      <c r="V216" s="26">
        <f>IF(V63&lt;Exercise,Exercise-V63,0)</f>
        <v>45.609570848922196</v>
      </c>
      <c r="W216" s="26"/>
      <c r="X216" s="26">
        <f>IF(X63&lt;Exercise,Exercise-X63,0)</f>
        <v>45.609570848922196</v>
      </c>
      <c r="Y216" s="26"/>
      <c r="Z216" s="26">
        <f>IF(Z63&lt;Exercise,Exercise-Z63,0)</f>
        <v>45.60957084892221</v>
      </c>
      <c r="AA216" s="26"/>
      <c r="AB216" s="26">
        <f>IF(AB63&lt;Exercise,Exercise-AB63,0)</f>
        <v>45.60957084892221</v>
      </c>
      <c r="AC216" s="26"/>
      <c r="AD216" s="26">
        <f>IF(AD63&lt;Exercise,Exercise-AD63,0)</f>
        <v>45.60957084892221</v>
      </c>
      <c r="AE216" s="26"/>
      <c r="AF216" s="5"/>
      <c r="AG216" s="5"/>
      <c r="AH216" s="5"/>
      <c r="AI216" s="5"/>
      <c r="AJ216" s="5"/>
      <c r="AK216" s="5"/>
      <c r="AL216" s="5"/>
      <c r="AM216" s="5"/>
      <c r="AN216" s="5"/>
    </row>
    <row r="217" spans="1:40" ht="18.75" customHeight="1">
      <c r="A217" s="5"/>
      <c r="B217" s="5"/>
      <c r="C217" s="5"/>
      <c r="D217" s="5"/>
      <c r="E217" s="5"/>
      <c r="F217" s="5"/>
      <c r="G217" s="5"/>
      <c r="H217" s="5"/>
      <c r="I217" s="5"/>
      <c r="J217" s="5"/>
      <c r="K217" s="5"/>
      <c r="L217" s="5"/>
      <c r="M217" s="5"/>
      <c r="N217" s="5"/>
      <c r="O217" s="5"/>
      <c r="P217" s="5"/>
      <c r="Q217" s="5"/>
      <c r="R217" s="5"/>
      <c r="S217" s="5"/>
      <c r="T217" s="5"/>
      <c r="U217" s="26">
        <f>IF(U64&lt;Exercise,Exercise-U64,0)</f>
        <v>47.123397615688738</v>
      </c>
      <c r="V217" s="26"/>
      <c r="W217" s="26">
        <f>IF(W64&lt;Exercise,Exercise-W64,0)</f>
        <v>47.123397615688738</v>
      </c>
      <c r="X217" s="26"/>
      <c r="Y217" s="26">
        <f>IF(Y64&lt;Exercise,Exercise-Y64,0)</f>
        <v>47.123397615688738</v>
      </c>
      <c r="Z217" s="26"/>
      <c r="AA217" s="26">
        <f>IF(AA64&lt;Exercise,Exercise-AA64,0)</f>
        <v>47.123397615688752</v>
      </c>
      <c r="AB217" s="26"/>
      <c r="AC217" s="26">
        <f>IF(AC64&lt;Exercise,Exercise-AC64,0)</f>
        <v>47.123397615688752</v>
      </c>
      <c r="AD217" s="26"/>
      <c r="AE217" s="26">
        <f>IF(AE64&lt;Exercise,Exercise-AE64,0)</f>
        <v>47.123397615688752</v>
      </c>
      <c r="AF217" s="5"/>
      <c r="AG217" s="5"/>
      <c r="AH217" s="5"/>
      <c r="AI217" s="5"/>
      <c r="AJ217" s="5"/>
      <c r="AK217" s="5"/>
      <c r="AL217" s="5"/>
      <c r="AM217" s="5"/>
      <c r="AN217" s="5"/>
    </row>
    <row r="218" spans="1:40" ht="18.75" customHeight="1">
      <c r="A218" s="5"/>
      <c r="B218" s="5"/>
      <c r="C218" s="5"/>
      <c r="D218" s="5"/>
      <c r="E218" s="5"/>
      <c r="F218" s="5"/>
      <c r="G218" s="5"/>
      <c r="H218" s="5"/>
      <c r="I218" s="5"/>
      <c r="J218" s="5"/>
      <c r="K218" s="5"/>
      <c r="L218" s="5"/>
      <c r="M218" s="5"/>
      <c r="N218" s="5"/>
      <c r="O218" s="5"/>
      <c r="P218" s="5"/>
      <c r="Q218" s="5"/>
      <c r="R218" s="5"/>
      <c r="S218" s="5"/>
      <c r="T218" s="5"/>
      <c r="U218" s="26"/>
      <c r="V218" s="26">
        <f>IF(V65&lt;Exercise,Exercise-V65,0)</f>
        <v>48.59863783724024</v>
      </c>
      <c r="W218" s="26"/>
      <c r="X218" s="26">
        <f>IF(X65&lt;Exercise,Exercise-X65,0)</f>
        <v>48.59863783724024</v>
      </c>
      <c r="Y218" s="26"/>
      <c r="Z218" s="26">
        <f>IF(Z65&lt;Exercise,Exercise-Z65,0)</f>
        <v>48.59863783724024</v>
      </c>
      <c r="AA218" s="26"/>
      <c r="AB218" s="26">
        <f>IF(AB65&lt;Exercise,Exercise-AB65,0)</f>
        <v>48.598637837240254</v>
      </c>
      <c r="AC218" s="26"/>
      <c r="AD218" s="26">
        <f>IF(AD65&lt;Exercise,Exercise-AD65,0)</f>
        <v>48.598637837240254</v>
      </c>
      <c r="AE218" s="26"/>
      <c r="AF218" s="5"/>
      <c r="AG218" s="5"/>
      <c r="AH218" s="5"/>
      <c r="AI218" s="5"/>
      <c r="AJ218" s="5"/>
      <c r="AK218" s="5"/>
      <c r="AL218" s="5"/>
      <c r="AM218" s="5"/>
      <c r="AN218" s="5"/>
    </row>
    <row r="219" spans="1:40" ht="18.75" customHeight="1">
      <c r="A219" s="5"/>
      <c r="B219" s="5"/>
      <c r="C219" s="5"/>
      <c r="D219" s="5"/>
      <c r="E219" s="5"/>
      <c r="F219" s="5"/>
      <c r="G219" s="5"/>
      <c r="H219" s="5"/>
      <c r="I219" s="5"/>
      <c r="J219" s="5"/>
      <c r="K219" s="5"/>
      <c r="L219" s="5"/>
      <c r="M219" s="5"/>
      <c r="N219" s="5"/>
      <c r="O219" s="5"/>
      <c r="P219" s="5"/>
      <c r="Q219" s="5"/>
      <c r="R219" s="5"/>
      <c r="S219" s="5"/>
      <c r="T219" s="5"/>
      <c r="U219" s="5"/>
      <c r="V219" s="5"/>
      <c r="W219" s="26">
        <f>IF(W66&lt;Exercise,Exercise-W66,0)</f>
        <v>50.036275061697474</v>
      </c>
      <c r="X219" s="26"/>
      <c r="Y219" s="26">
        <f>IF(Y66&lt;Exercise,Exercise-Y66,0)</f>
        <v>50.036275061697474</v>
      </c>
      <c r="Z219" s="26"/>
      <c r="AA219" s="26">
        <f>IF(AA66&lt;Exercise,Exercise-AA66,0)</f>
        <v>50.036275061697474</v>
      </c>
      <c r="AB219" s="26"/>
      <c r="AC219" s="26">
        <f>IF(AC66&lt;Exercise,Exercise-AC66,0)</f>
        <v>50.036275061697488</v>
      </c>
      <c r="AD219" s="26"/>
      <c r="AE219" s="26">
        <f>IF(AE66&lt;Exercise,Exercise-AE66,0)</f>
        <v>50.036275061697488</v>
      </c>
      <c r="AF219" s="5"/>
      <c r="AG219" s="5"/>
      <c r="AH219" s="5"/>
      <c r="AI219" s="5"/>
      <c r="AJ219" s="5"/>
      <c r="AK219" s="5"/>
      <c r="AL219" s="5"/>
      <c r="AM219" s="5"/>
      <c r="AN219" s="5"/>
    </row>
    <row r="220" spans="1:40" ht="18.75" customHeight="1">
      <c r="A220" s="5"/>
      <c r="B220" s="5"/>
      <c r="C220" s="5"/>
      <c r="D220" s="5"/>
      <c r="E220" s="5"/>
      <c r="F220" s="5"/>
      <c r="G220" s="5"/>
      <c r="H220" s="5"/>
      <c r="I220" s="5"/>
      <c r="J220" s="5"/>
      <c r="K220" s="5"/>
      <c r="L220" s="5"/>
      <c r="M220" s="5"/>
      <c r="N220" s="5"/>
      <c r="O220" s="5"/>
      <c r="P220" s="5"/>
      <c r="Q220" s="5"/>
      <c r="R220" s="5"/>
      <c r="S220" s="5"/>
      <c r="T220" s="5"/>
      <c r="U220" s="5"/>
      <c r="V220" s="5"/>
      <c r="X220" s="26">
        <f>IF(X67&lt;Exercise,Exercise-X67,0)</f>
        <v>51.43726776712375</v>
      </c>
      <c r="Y220" s="26"/>
      <c r="Z220" s="26">
        <f>IF(Z67&lt;Exercise,Exercise-Z67,0)</f>
        <v>51.43726776712375</v>
      </c>
      <c r="AA220" s="26"/>
      <c r="AB220" s="26">
        <f>IF(AB67&lt;Exercise,Exercise-AB67,0)</f>
        <v>51.43726776712375</v>
      </c>
      <c r="AC220" s="26"/>
      <c r="AD220" s="26">
        <f>IF(AD67&lt;Exercise,Exercise-AD67,0)</f>
        <v>51.437267767123764</v>
      </c>
      <c r="AE220" s="26"/>
      <c r="AF220" s="5"/>
      <c r="AG220" s="5"/>
      <c r="AH220" s="5"/>
      <c r="AI220" s="5"/>
      <c r="AJ220" s="5"/>
      <c r="AK220" s="5"/>
      <c r="AL220" s="5"/>
      <c r="AM220" s="5"/>
      <c r="AN220" s="5"/>
    </row>
    <row r="221" spans="1:40" ht="18.75" customHeight="1">
      <c r="A221" s="5"/>
      <c r="B221" s="5"/>
      <c r="C221" s="5"/>
      <c r="D221" s="5"/>
      <c r="E221" s="5"/>
      <c r="F221" s="5"/>
      <c r="G221" s="5"/>
      <c r="H221" s="5"/>
      <c r="I221" s="5"/>
      <c r="J221" s="5"/>
      <c r="K221" s="5"/>
      <c r="L221" s="5"/>
      <c r="M221" s="5"/>
      <c r="N221" s="5"/>
      <c r="O221" s="5"/>
      <c r="P221" s="5"/>
      <c r="Q221" s="5"/>
      <c r="R221" s="5"/>
      <c r="S221" s="5"/>
      <c r="T221" s="5"/>
      <c r="U221" s="5"/>
      <c r="V221" s="5"/>
      <c r="Y221" s="26">
        <f>IF(Y68&lt;Exercise,Exercise-Y68,0)</f>
        <v>52.802550000545793</v>
      </c>
      <c r="Z221" s="26"/>
      <c r="AA221" s="26">
        <f>IF(AA68&lt;Exercise,Exercise-AA68,0)</f>
        <v>52.802550000545793</v>
      </c>
      <c r="AB221" s="26"/>
      <c r="AC221" s="26">
        <f>IF(AC68&lt;Exercise,Exercise-AC68,0)</f>
        <v>52.802550000545793</v>
      </c>
      <c r="AD221" s="26"/>
      <c r="AE221" s="26">
        <f>IF(AE68&lt;Exercise,Exercise-AE68,0)</f>
        <v>52.802550000545807</v>
      </c>
      <c r="AF221" s="5"/>
      <c r="AG221" s="5"/>
      <c r="AH221" s="5"/>
      <c r="AI221" s="5"/>
      <c r="AJ221" s="5"/>
      <c r="AK221" s="5"/>
      <c r="AL221" s="5"/>
      <c r="AM221" s="5"/>
      <c r="AN221" s="5"/>
    </row>
    <row r="222" spans="1:40" ht="18.75" customHeight="1">
      <c r="A222" s="5"/>
      <c r="B222" s="5"/>
      <c r="C222" s="5"/>
      <c r="D222" s="5"/>
      <c r="E222" s="5"/>
      <c r="F222" s="5"/>
      <c r="G222" s="5"/>
      <c r="H222" s="5"/>
      <c r="I222" s="5"/>
      <c r="J222" s="5"/>
      <c r="K222" s="5"/>
      <c r="L222" s="5"/>
      <c r="M222" s="5"/>
      <c r="N222" s="5"/>
      <c r="O222" s="5"/>
      <c r="P222" s="5"/>
      <c r="Q222" s="5"/>
      <c r="R222" s="5"/>
      <c r="S222" s="5"/>
      <c r="T222" s="5"/>
      <c r="U222" s="5"/>
      <c r="V222" s="5"/>
      <c r="Y222" s="5"/>
      <c r="Z222" s="26">
        <f>IF(Z69&lt;Exercise,Exercise-Z69,0)</f>
        <v>54.133032000686349</v>
      </c>
      <c r="AA222" s="26"/>
      <c r="AB222" s="26">
        <f>IF(AB69&lt;Exercise,Exercise-AB69,0)</f>
        <v>54.133032000686349</v>
      </c>
      <c r="AC222" s="26"/>
      <c r="AD222" s="26">
        <f>IF(AD69&lt;Exercise,Exercise-AD69,0)</f>
        <v>54.133032000686349</v>
      </c>
      <c r="AE222" s="26"/>
      <c r="AF222" s="5"/>
      <c r="AG222" s="5"/>
      <c r="AH222" s="5"/>
      <c r="AI222" s="5"/>
      <c r="AJ222" s="5"/>
      <c r="AK222" s="5"/>
      <c r="AL222" s="5"/>
      <c r="AM222" s="5"/>
      <c r="AN222" s="5"/>
    </row>
    <row r="223" spans="1:40" ht="18.75" customHeight="1">
      <c r="A223" s="5"/>
      <c r="B223" s="5"/>
      <c r="C223" s="5"/>
      <c r="D223" s="5"/>
      <c r="E223" s="5"/>
      <c r="F223" s="5"/>
      <c r="G223" s="5"/>
      <c r="H223" s="5"/>
      <c r="I223" s="5"/>
      <c r="J223" s="5"/>
      <c r="K223" s="5"/>
      <c r="L223" s="5"/>
      <c r="M223" s="5"/>
      <c r="N223" s="5"/>
      <c r="O223" s="5"/>
      <c r="P223" s="5"/>
      <c r="Q223" s="5"/>
      <c r="R223" s="5"/>
      <c r="S223" s="5"/>
      <c r="T223" s="5"/>
      <c r="U223" s="5"/>
      <c r="V223" s="5"/>
      <c r="Y223" s="5"/>
      <c r="Z223" s="5"/>
      <c r="AA223" s="26">
        <f>IF(AA70&lt;Exercise,Exercise-AA70,0)</f>
        <v>55.429600804823721</v>
      </c>
      <c r="AB223" s="26"/>
      <c r="AC223" s="26">
        <f>IF(AC70&lt;Exercise,Exercise-AC70,0)</f>
        <v>55.429600804823721</v>
      </c>
      <c r="AD223" s="26"/>
      <c r="AE223" s="26">
        <f>IF(AE70&lt;Exercise,Exercise-AE70,0)</f>
        <v>55.429600804823721</v>
      </c>
      <c r="AF223" s="5"/>
      <c r="AG223" s="5"/>
      <c r="AH223" s="5"/>
      <c r="AI223" s="5"/>
      <c r="AJ223" s="5"/>
      <c r="AK223" s="5"/>
      <c r="AL223" s="5"/>
      <c r="AM223" s="5"/>
      <c r="AN223" s="5"/>
    </row>
    <row r="224" spans="1:40" ht="18.75" customHeight="1">
      <c r="A224" s="5"/>
      <c r="B224" s="5"/>
      <c r="C224" s="5"/>
      <c r="D224" s="5"/>
      <c r="E224" s="5"/>
      <c r="F224" s="5"/>
      <c r="G224" s="5"/>
      <c r="H224" s="5"/>
      <c r="I224" s="5"/>
      <c r="J224" s="5"/>
      <c r="K224" s="5"/>
      <c r="L224" s="5"/>
      <c r="M224" s="5"/>
      <c r="N224" s="5"/>
      <c r="O224" s="5"/>
      <c r="P224" s="5"/>
      <c r="Q224" s="5"/>
      <c r="R224" s="5"/>
      <c r="S224" s="5"/>
      <c r="T224" s="5"/>
      <c r="U224" s="5"/>
      <c r="V224" s="5"/>
      <c r="Y224" s="5"/>
      <c r="Z224" s="5"/>
      <c r="AA224" s="5"/>
      <c r="AB224" s="26">
        <f>IF(AB71&lt;Exercise,Exercise-AB71,0)</f>
        <v>56.6931208401828</v>
      </c>
      <c r="AC224" s="26"/>
      <c r="AD224" s="26">
        <f>IF(AD71&lt;Exercise,Exercise-AD71,0)</f>
        <v>56.6931208401828</v>
      </c>
      <c r="AE224" s="26"/>
      <c r="AF224" s="5"/>
      <c r="AG224" s="5"/>
      <c r="AH224" s="5"/>
      <c r="AI224" s="5"/>
      <c r="AJ224" s="5"/>
      <c r="AK224" s="5"/>
      <c r="AL224" s="5"/>
      <c r="AM224" s="5"/>
      <c r="AN224" s="5"/>
    </row>
    <row r="225" spans="1:40" ht="18.75" customHeight="1">
      <c r="A225" s="5"/>
      <c r="B225" s="5"/>
      <c r="C225" s="5"/>
      <c r="D225" s="5"/>
      <c r="E225" s="5"/>
      <c r="F225" s="5"/>
      <c r="G225" s="5"/>
      <c r="H225" s="5"/>
      <c r="I225" s="5"/>
      <c r="J225" s="5"/>
      <c r="K225" s="5"/>
      <c r="L225" s="5"/>
      <c r="M225" s="5"/>
      <c r="N225" s="5"/>
      <c r="O225" s="5"/>
      <c r="P225" s="5"/>
      <c r="Q225" s="5"/>
      <c r="R225" s="5"/>
      <c r="S225" s="5"/>
      <c r="T225" s="5"/>
      <c r="U225" s="5"/>
      <c r="V225" s="5"/>
      <c r="Y225" s="5"/>
      <c r="Z225" s="5"/>
      <c r="AA225" s="5"/>
      <c r="AB225" s="5"/>
      <c r="AC225" s="26">
        <f>IF(AC72&lt;Exercise,Exercise-AC72,0)</f>
        <v>57.924434500251898</v>
      </c>
      <c r="AD225" s="26"/>
      <c r="AE225" s="26">
        <f>IF(AE72&lt;Exercise,Exercise-AE72,0)</f>
        <v>57.924434500251898</v>
      </c>
      <c r="AF225" s="5"/>
      <c r="AG225" s="5"/>
      <c r="AH225" s="5"/>
      <c r="AI225" s="5"/>
      <c r="AJ225" s="5"/>
      <c r="AK225" s="5"/>
      <c r="AL225" s="5"/>
      <c r="AM225" s="5"/>
      <c r="AN225" s="5"/>
    </row>
    <row r="226" spans="1:40" ht="18.75" customHeight="1">
      <c r="A226" s="5"/>
      <c r="B226" s="5"/>
      <c r="C226" s="5"/>
      <c r="D226" s="5"/>
      <c r="E226" s="5"/>
      <c r="F226" s="5"/>
      <c r="G226" s="5"/>
      <c r="H226" s="5"/>
      <c r="I226" s="5"/>
      <c r="J226" s="5"/>
      <c r="K226" s="5"/>
      <c r="L226" s="5"/>
      <c r="M226" s="5"/>
      <c r="N226" s="5"/>
      <c r="O226" s="5"/>
      <c r="P226" s="5"/>
      <c r="Q226" s="5"/>
      <c r="R226" s="5"/>
      <c r="S226" s="5"/>
      <c r="T226" s="5"/>
      <c r="U226" s="5"/>
      <c r="V226" s="5"/>
      <c r="Y226" s="5"/>
      <c r="Z226" s="5"/>
      <c r="AA226" s="5"/>
      <c r="AB226" s="5"/>
      <c r="AC226" s="5"/>
      <c r="AD226" s="26">
        <f>IF(AD73&lt;Exercise,Exercise-AD73,0)</f>
        <v>59.124362706409627</v>
      </c>
      <c r="AE226" s="26"/>
      <c r="AF226" s="5"/>
      <c r="AG226" s="5"/>
      <c r="AH226" s="5"/>
      <c r="AI226" s="5"/>
      <c r="AJ226" s="5"/>
      <c r="AK226" s="5"/>
      <c r="AL226" s="5"/>
      <c r="AM226" s="5"/>
      <c r="AN226" s="5"/>
    </row>
    <row r="227" spans="1:40" ht="18.75" customHeight="1">
      <c r="A227" s="5"/>
      <c r="B227" s="5"/>
      <c r="C227" s="5"/>
      <c r="D227" s="5"/>
      <c r="E227" s="5"/>
      <c r="F227" s="5"/>
      <c r="G227" s="5"/>
      <c r="H227" s="5"/>
      <c r="I227" s="5"/>
      <c r="J227" s="5"/>
      <c r="K227" s="5"/>
      <c r="L227" s="5"/>
      <c r="M227" s="5"/>
      <c r="N227" s="5"/>
      <c r="O227" s="5"/>
      <c r="P227" s="5"/>
      <c r="Q227" s="5"/>
      <c r="R227" s="5"/>
      <c r="S227" s="5"/>
      <c r="T227" s="5"/>
      <c r="U227" s="5"/>
      <c r="V227" s="5"/>
      <c r="Y227" s="5"/>
      <c r="Z227" s="5"/>
      <c r="AA227" s="5"/>
      <c r="AB227" s="5"/>
      <c r="AC227" s="5"/>
      <c r="AD227" s="5"/>
      <c r="AE227" s="26">
        <f>IF(AE74&lt;Exercise,Exercise-AE74,0)</f>
        <v>60.293705455236193</v>
      </c>
      <c r="AF227" s="5"/>
      <c r="AG227" s="5"/>
      <c r="AH227" s="5"/>
      <c r="AI227" s="5"/>
      <c r="AJ227" s="5"/>
      <c r="AK227" s="5"/>
      <c r="AL227" s="5"/>
      <c r="AM227" s="5"/>
      <c r="AN227" s="5"/>
    </row>
    <row r="228" spans="1:40" ht="18.75" customHeight="1">
      <c r="A228" s="5"/>
      <c r="B228" s="5"/>
      <c r="C228" s="5"/>
      <c r="D228" s="5"/>
      <c r="E228" s="5"/>
      <c r="F228" s="5"/>
      <c r="G228" s="5"/>
      <c r="H228" s="5"/>
      <c r="I228" s="5"/>
      <c r="J228" s="5"/>
      <c r="K228" s="5"/>
      <c r="L228" s="5"/>
      <c r="M228" s="5"/>
      <c r="N228" s="5"/>
      <c r="O228" s="5"/>
      <c r="P228" s="5"/>
      <c r="Q228" s="5"/>
      <c r="R228" s="5"/>
      <c r="S228" s="5"/>
      <c r="T228" s="5"/>
      <c r="U228" s="5"/>
      <c r="V228" s="5"/>
      <c r="Y228" s="5"/>
      <c r="Z228" s="5"/>
      <c r="AA228" s="5"/>
      <c r="AB228" s="5"/>
      <c r="AC228" s="5"/>
      <c r="AD228" s="5"/>
      <c r="AE228" s="5"/>
      <c r="AF228" s="5"/>
      <c r="AG228" s="5"/>
      <c r="AH228" s="5"/>
      <c r="AI228" s="5"/>
      <c r="AJ228" s="5"/>
      <c r="AK228" s="5"/>
      <c r="AL228" s="5"/>
      <c r="AM228" s="5"/>
      <c r="AN228" s="5"/>
    </row>
    <row r="229" spans="1:40" ht="18.75" customHeight="1">
      <c r="A229" s="5"/>
      <c r="B229" s="5"/>
      <c r="C229" s="5"/>
      <c r="D229" s="5"/>
      <c r="E229" s="5"/>
      <c r="F229" s="5"/>
      <c r="G229" s="5"/>
      <c r="H229" s="5"/>
      <c r="I229" s="5"/>
      <c r="J229" s="5"/>
      <c r="K229" s="5"/>
      <c r="L229" s="5"/>
      <c r="M229" s="5"/>
      <c r="N229" s="5"/>
      <c r="O229" s="5"/>
      <c r="P229" s="5"/>
      <c r="Q229" s="5"/>
      <c r="R229" s="5"/>
      <c r="S229" s="5"/>
      <c r="T229" s="5"/>
      <c r="U229" s="5"/>
      <c r="V229" s="5"/>
      <c r="Y229" s="5"/>
      <c r="Z229" s="5"/>
      <c r="AA229" s="5"/>
      <c r="AB229" s="5"/>
      <c r="AC229" s="5"/>
      <c r="AD229" s="5"/>
      <c r="AE229" s="5"/>
      <c r="AF229" s="5"/>
      <c r="AG229" s="5"/>
      <c r="AH229" s="5"/>
      <c r="AI229" s="5"/>
      <c r="AJ229" s="5"/>
      <c r="AK229" s="5"/>
      <c r="AL229" s="5"/>
      <c r="AM229" s="5"/>
      <c r="AN229" s="5"/>
    </row>
    <row r="230" spans="1:40" ht="18.75" customHeight="1">
      <c r="A230" s="5"/>
      <c r="B230" s="5"/>
      <c r="C230" s="5"/>
      <c r="D230" s="5"/>
      <c r="E230" s="5"/>
      <c r="F230" s="5"/>
      <c r="G230" s="5"/>
      <c r="H230" s="5"/>
      <c r="I230" s="5"/>
      <c r="J230" s="5"/>
      <c r="K230" s="5"/>
      <c r="L230" s="5"/>
      <c r="M230" s="5"/>
      <c r="N230" s="5"/>
      <c r="O230" s="5"/>
      <c r="P230" s="5"/>
      <c r="Q230" s="5"/>
      <c r="R230" s="5"/>
      <c r="S230" s="5"/>
      <c r="T230" s="5"/>
      <c r="U230" s="5"/>
      <c r="V230" s="5"/>
      <c r="Y230" s="5"/>
      <c r="Z230" s="5"/>
      <c r="AA230" s="5"/>
      <c r="AB230" s="5"/>
      <c r="AC230" s="5"/>
      <c r="AD230" s="5"/>
      <c r="AE230" s="5"/>
      <c r="AF230" s="5"/>
      <c r="AG230" s="5"/>
      <c r="AH230" s="5"/>
      <c r="AI230" s="5"/>
      <c r="AJ230" s="5"/>
      <c r="AK230" s="5"/>
      <c r="AL230" s="5"/>
      <c r="AM230" s="5"/>
      <c r="AN230" s="5"/>
    </row>
    <row r="231" spans="1:40" ht="18.75" customHeight="1">
      <c r="A231" s="5"/>
      <c r="B231" s="5"/>
      <c r="C231" s="5"/>
      <c r="D231" s="5"/>
      <c r="E231" s="5"/>
      <c r="F231" s="5"/>
      <c r="G231" s="5"/>
      <c r="H231" s="5"/>
      <c r="I231" s="5"/>
      <c r="J231" s="5"/>
      <c r="K231" s="5"/>
      <c r="L231" s="5"/>
      <c r="M231" s="5"/>
      <c r="N231" s="5"/>
      <c r="O231" s="5"/>
      <c r="P231" s="5"/>
      <c r="Q231" s="5"/>
      <c r="R231" s="5"/>
      <c r="S231" s="5"/>
      <c r="T231" s="5"/>
      <c r="U231" s="5"/>
      <c r="V231" s="5"/>
      <c r="Y231" s="5"/>
      <c r="Z231" s="5"/>
      <c r="AA231" s="5"/>
      <c r="AB231" s="5"/>
      <c r="AC231" s="5"/>
      <c r="AD231" s="5"/>
      <c r="AE231" s="5"/>
      <c r="AF231" s="5"/>
      <c r="AG231" s="5"/>
      <c r="AH231" s="5"/>
      <c r="AI231" s="5"/>
      <c r="AJ231" s="5"/>
      <c r="AK231" s="5"/>
      <c r="AL231" s="5"/>
      <c r="AM231" s="5"/>
      <c r="AN231" s="5"/>
    </row>
    <row r="232" spans="1:40" ht="18.75" customHeight="1">
      <c r="A232" s="5"/>
      <c r="B232" s="5"/>
      <c r="C232" s="5"/>
      <c r="D232" s="5"/>
      <c r="E232" s="5"/>
      <c r="F232" s="5"/>
      <c r="G232" s="5"/>
      <c r="H232" s="5"/>
      <c r="I232" s="5"/>
      <c r="J232" s="5"/>
      <c r="K232" s="5"/>
      <c r="L232" s="5"/>
      <c r="M232" s="5"/>
      <c r="N232" s="5"/>
      <c r="O232" s="5"/>
      <c r="P232" s="5"/>
      <c r="Q232" s="5"/>
      <c r="R232" s="5"/>
      <c r="S232" s="5"/>
      <c r="T232" s="5"/>
      <c r="U232" s="5"/>
      <c r="V232" s="5"/>
      <c r="Y232" s="5"/>
      <c r="Z232" s="5"/>
      <c r="AA232" s="5"/>
      <c r="AB232" s="5"/>
      <c r="AC232" s="5"/>
      <c r="AD232" s="5"/>
      <c r="AE232" s="5"/>
      <c r="AF232" s="5"/>
      <c r="AG232" s="5"/>
      <c r="AH232" s="5"/>
      <c r="AI232" s="5"/>
      <c r="AJ232" s="5"/>
      <c r="AK232" s="5"/>
      <c r="AL232" s="5"/>
      <c r="AM232" s="5"/>
      <c r="AN232" s="5"/>
    </row>
    <row r="233" spans="1:40" ht="18.75" customHeight="1">
      <c r="A233" s="5"/>
      <c r="B233" s="5"/>
      <c r="C233" s="5"/>
      <c r="D233" s="5"/>
      <c r="E233" s="5"/>
      <c r="F233" s="5"/>
      <c r="G233" s="5"/>
      <c r="H233" s="5"/>
      <c r="I233" s="5"/>
      <c r="J233" s="5"/>
      <c r="K233" s="5"/>
      <c r="L233" s="5"/>
      <c r="M233" s="5"/>
      <c r="N233" s="5"/>
      <c r="O233" s="5"/>
      <c r="P233" s="5"/>
      <c r="Q233" s="5"/>
      <c r="R233" s="5"/>
      <c r="S233" s="5"/>
      <c r="T233" s="5"/>
      <c r="U233" s="5"/>
      <c r="V233" s="5"/>
      <c r="Y233" s="5"/>
      <c r="Z233" s="5"/>
      <c r="AA233" s="5"/>
      <c r="AB233" s="5"/>
      <c r="AC233" s="5"/>
      <c r="AD233" s="5"/>
      <c r="AE233" s="5"/>
      <c r="AF233" s="5"/>
      <c r="AG233" s="5"/>
      <c r="AH233" s="5"/>
      <c r="AI233" s="5"/>
      <c r="AJ233" s="5"/>
      <c r="AK233" s="5"/>
      <c r="AL233" s="5"/>
      <c r="AM233" s="5"/>
      <c r="AN233" s="5"/>
    </row>
    <row r="234" spans="1:40" ht="18.75" customHeight="1">
      <c r="A234" s="5"/>
      <c r="B234" s="5"/>
      <c r="C234" s="5"/>
      <c r="D234" s="5"/>
      <c r="E234" s="5"/>
      <c r="F234" s="5"/>
      <c r="G234" s="5"/>
      <c r="H234" s="5"/>
      <c r="I234" s="5"/>
      <c r="J234" s="5"/>
      <c r="K234" s="5"/>
      <c r="L234" s="5"/>
      <c r="M234" s="5"/>
      <c r="N234" s="5"/>
      <c r="O234" s="5"/>
      <c r="P234" s="5"/>
      <c r="Q234" s="5"/>
      <c r="R234" s="5"/>
      <c r="S234" s="5"/>
      <c r="T234" s="5"/>
      <c r="U234" s="5"/>
      <c r="V234" s="5"/>
      <c r="Y234" s="5"/>
      <c r="Z234" s="5"/>
      <c r="AA234" s="5"/>
      <c r="AB234" s="5"/>
      <c r="AC234" s="5"/>
      <c r="AD234" s="5"/>
      <c r="AE234" s="5"/>
      <c r="AF234" s="5"/>
      <c r="AG234" s="5"/>
      <c r="AH234" s="5"/>
      <c r="AI234" s="5"/>
      <c r="AJ234" s="5"/>
      <c r="AK234" s="5"/>
      <c r="AL234" s="5"/>
      <c r="AM234" s="5"/>
      <c r="AN234" s="5"/>
    </row>
    <row r="235" spans="1:40" ht="18.75" customHeight="1">
      <c r="A235" s="5"/>
      <c r="B235" s="5"/>
      <c r="C235" s="5"/>
      <c r="D235" s="5"/>
      <c r="E235" s="5"/>
      <c r="F235" s="5"/>
      <c r="G235" s="5"/>
      <c r="H235" s="5"/>
      <c r="I235" s="5"/>
      <c r="J235" s="5"/>
      <c r="K235" s="5"/>
      <c r="L235" s="5"/>
      <c r="M235" s="5"/>
      <c r="N235" s="5"/>
      <c r="O235" s="5"/>
      <c r="P235" s="5"/>
      <c r="Q235" s="5"/>
      <c r="R235" s="5"/>
      <c r="S235" s="5"/>
      <c r="T235" s="5"/>
      <c r="U235" s="5"/>
      <c r="V235" s="5"/>
      <c r="Y235" s="5"/>
      <c r="Z235" s="5"/>
      <c r="AA235" s="5"/>
      <c r="AB235" s="5"/>
      <c r="AC235" s="5"/>
      <c r="AD235" s="5"/>
      <c r="AE235" s="5"/>
      <c r="AF235" s="5"/>
      <c r="AG235" s="5"/>
      <c r="AH235" s="5"/>
      <c r="AI235" s="5"/>
      <c r="AJ235" s="5"/>
      <c r="AK235" s="5"/>
      <c r="AL235" s="5"/>
      <c r="AM235" s="5"/>
      <c r="AN235" s="5"/>
    </row>
    <row r="236" spans="1:40" ht="18.75" customHeight="1">
      <c r="A236" s="5"/>
      <c r="B236" s="5"/>
      <c r="C236" s="5"/>
      <c r="D236" s="5"/>
      <c r="E236" s="5"/>
      <c r="F236" s="5"/>
      <c r="G236" s="5"/>
      <c r="H236" s="5"/>
      <c r="I236" s="5"/>
      <c r="J236" s="5"/>
      <c r="K236" s="5"/>
      <c r="L236" s="5"/>
      <c r="M236" s="5"/>
      <c r="N236" s="5"/>
      <c r="O236" s="5"/>
      <c r="P236" s="5"/>
      <c r="Q236" s="5"/>
      <c r="R236" s="5"/>
      <c r="S236" s="5"/>
      <c r="T236" s="5"/>
      <c r="U236" s="5"/>
      <c r="V236" s="5"/>
      <c r="Y236" s="5"/>
      <c r="Z236" s="5"/>
      <c r="AA236" s="5"/>
      <c r="AB236" s="5"/>
      <c r="AC236" s="5"/>
      <c r="AD236" s="5"/>
      <c r="AE236" s="5"/>
      <c r="AF236" s="5"/>
      <c r="AG236" s="5"/>
      <c r="AH236" s="5"/>
      <c r="AI236" s="5"/>
      <c r="AJ236" s="5"/>
      <c r="AK236" s="5"/>
      <c r="AL236" s="5"/>
      <c r="AM236" s="5"/>
      <c r="AN236" s="5"/>
    </row>
    <row r="237" spans="1:40" ht="18.75" customHeight="1">
      <c r="A237" s="5"/>
      <c r="B237" s="5"/>
      <c r="C237" s="5"/>
      <c r="D237" s="5"/>
      <c r="E237" s="5"/>
      <c r="F237" s="5"/>
      <c r="G237" s="5"/>
      <c r="H237" s="5"/>
      <c r="I237" s="5"/>
      <c r="J237" s="5"/>
      <c r="K237" s="5"/>
      <c r="L237" s="5"/>
      <c r="M237" s="5"/>
      <c r="N237" s="5"/>
      <c r="O237" s="5"/>
      <c r="P237" s="5"/>
      <c r="Q237" s="5"/>
      <c r="R237" s="5"/>
      <c r="S237" s="5"/>
      <c r="T237" s="5"/>
      <c r="U237" s="5"/>
      <c r="V237" s="5"/>
      <c r="Y237" s="5"/>
      <c r="Z237" s="5"/>
      <c r="AA237" s="5"/>
      <c r="AB237" s="5"/>
      <c r="AC237" s="5"/>
      <c r="AD237" s="5"/>
      <c r="AE237" s="5"/>
      <c r="AF237" s="5"/>
      <c r="AG237" s="5"/>
      <c r="AH237" s="5"/>
      <c r="AI237" s="5"/>
      <c r="AJ237" s="5"/>
      <c r="AK237" s="5"/>
      <c r="AL237" s="5"/>
      <c r="AM237" s="5"/>
      <c r="AN237" s="5"/>
    </row>
    <row r="238" spans="1:40" ht="18.75" customHeight="1">
      <c r="A238" s="5"/>
      <c r="B238" s="5"/>
      <c r="C238" s="5"/>
      <c r="D238" s="5"/>
      <c r="E238" s="5"/>
      <c r="F238" s="5"/>
      <c r="G238" s="5"/>
      <c r="H238" s="5"/>
      <c r="I238" s="5"/>
      <c r="J238" s="5"/>
      <c r="K238" s="5"/>
      <c r="L238" s="5"/>
      <c r="M238" s="5"/>
      <c r="N238" s="5"/>
      <c r="O238" s="5"/>
      <c r="P238" s="5"/>
      <c r="Q238" s="5"/>
      <c r="R238" s="5"/>
      <c r="S238" s="5"/>
      <c r="T238" s="5"/>
      <c r="U238" s="5"/>
      <c r="V238" s="5"/>
      <c r="Y238" s="5"/>
      <c r="Z238" s="5"/>
      <c r="AA238" s="5"/>
      <c r="AB238" s="5"/>
      <c r="AC238" s="5"/>
      <c r="AD238" s="5"/>
      <c r="AE238" s="5"/>
      <c r="AF238" s="5"/>
      <c r="AG238" s="5"/>
      <c r="AH238" s="5"/>
      <c r="AI238" s="5"/>
      <c r="AJ238" s="5"/>
      <c r="AK238" s="5"/>
      <c r="AL238" s="5"/>
      <c r="AM238" s="5"/>
      <c r="AN238" s="5"/>
    </row>
    <row r="239" spans="1:40" ht="18.75" customHeight="1">
      <c r="A239" s="5"/>
      <c r="B239" s="5"/>
      <c r="C239" s="5"/>
      <c r="D239" s="5"/>
      <c r="E239" s="5"/>
      <c r="F239" s="5"/>
      <c r="G239" s="5"/>
      <c r="H239" s="5"/>
      <c r="I239" s="5"/>
      <c r="J239" s="5"/>
      <c r="K239" s="5"/>
      <c r="L239" s="5"/>
      <c r="M239" s="5"/>
      <c r="N239" s="5"/>
      <c r="O239" s="5"/>
      <c r="P239" s="5"/>
      <c r="Q239" s="5"/>
      <c r="R239" s="5"/>
      <c r="S239" s="5"/>
      <c r="T239" s="5"/>
      <c r="U239" s="5"/>
      <c r="V239" s="5"/>
      <c r="Y239" s="5"/>
      <c r="Z239" s="5"/>
      <c r="AA239" s="5"/>
      <c r="AB239" s="5"/>
      <c r="AC239" s="5"/>
      <c r="AD239" s="5"/>
      <c r="AE239" s="5"/>
      <c r="AF239" s="5"/>
      <c r="AG239" s="5"/>
      <c r="AH239" s="5"/>
      <c r="AI239" s="5"/>
      <c r="AJ239" s="5"/>
      <c r="AK239" s="5"/>
      <c r="AL239" s="5"/>
      <c r="AM239" s="5"/>
      <c r="AN239" s="5"/>
    </row>
    <row r="240" spans="1:40" ht="18.75" customHeight="1">
      <c r="A240" s="5"/>
      <c r="B240" s="5"/>
      <c r="C240" s="5"/>
      <c r="D240" s="5"/>
      <c r="E240" s="5"/>
      <c r="F240" s="5"/>
      <c r="G240" s="5"/>
      <c r="H240" s="5"/>
      <c r="I240" s="5"/>
      <c r="J240" s="5"/>
      <c r="K240" s="5"/>
      <c r="L240" s="5"/>
      <c r="M240" s="5"/>
      <c r="N240" s="5"/>
      <c r="O240" s="5"/>
      <c r="P240" s="5"/>
      <c r="Q240" s="5"/>
      <c r="R240" s="5"/>
      <c r="S240" s="5"/>
      <c r="T240" s="5"/>
      <c r="U240" s="5"/>
      <c r="V240" s="5"/>
      <c r="Y240" s="5"/>
      <c r="Z240" s="5"/>
      <c r="AA240" s="5"/>
      <c r="AB240" s="5"/>
      <c r="AC240" s="5"/>
      <c r="AD240" s="5"/>
      <c r="AE240" s="5"/>
      <c r="AF240" s="5"/>
      <c r="AG240" s="5"/>
      <c r="AH240" s="5"/>
      <c r="AI240" s="5"/>
      <c r="AJ240" s="5"/>
      <c r="AK240" s="5"/>
      <c r="AL240" s="5"/>
      <c r="AM240" s="5"/>
      <c r="AN240" s="5"/>
    </row>
    <row r="241" spans="1:40" ht="18.75" customHeight="1">
      <c r="A241" s="5"/>
      <c r="B241" s="5"/>
      <c r="C241" s="5"/>
      <c r="D241" s="5"/>
      <c r="E241" s="5"/>
      <c r="F241" s="5"/>
      <c r="G241" s="5"/>
      <c r="H241" s="5"/>
      <c r="I241" s="5"/>
      <c r="J241" s="5"/>
      <c r="K241" s="5"/>
      <c r="L241" s="5"/>
      <c r="M241" s="5"/>
      <c r="N241" s="5"/>
      <c r="O241" s="5"/>
      <c r="P241" s="5"/>
      <c r="Q241" s="5"/>
      <c r="R241" s="5"/>
      <c r="S241" s="5"/>
      <c r="T241" s="5"/>
      <c r="U241" s="5"/>
      <c r="V241" s="5"/>
      <c r="Y241" s="5"/>
      <c r="Z241" s="5"/>
      <c r="AA241" s="5"/>
      <c r="AB241" s="5"/>
      <c r="AC241" s="5"/>
      <c r="AD241" s="5"/>
      <c r="AE241" s="5"/>
      <c r="AF241" s="5"/>
      <c r="AG241" s="5"/>
      <c r="AH241" s="5"/>
      <c r="AI241" s="5"/>
      <c r="AJ241" s="5"/>
      <c r="AK241" s="5"/>
      <c r="AL241" s="5"/>
      <c r="AM241" s="5"/>
      <c r="AN241" s="5"/>
    </row>
    <row r="242" spans="1:40" ht="18.75" customHeight="1">
      <c r="A242" s="5"/>
      <c r="B242" s="5"/>
      <c r="C242" s="5"/>
      <c r="D242" s="5"/>
      <c r="E242" s="5"/>
      <c r="F242" s="5"/>
      <c r="G242" s="5"/>
      <c r="H242" s="5"/>
      <c r="I242" s="5"/>
      <c r="J242" s="5"/>
      <c r="K242" s="5"/>
      <c r="L242" s="5"/>
      <c r="M242" s="5"/>
      <c r="N242" s="5"/>
      <c r="O242" s="5"/>
      <c r="P242" s="5"/>
      <c r="Q242" s="5"/>
      <c r="R242" s="5"/>
      <c r="S242" s="5"/>
      <c r="T242" s="5"/>
      <c r="U242" s="5"/>
      <c r="V242" s="5"/>
      <c r="Y242" s="5"/>
      <c r="Z242" s="5"/>
      <c r="AA242" s="5"/>
      <c r="AB242" s="5"/>
      <c r="AC242" s="5"/>
      <c r="AD242" s="5"/>
      <c r="AE242" s="5"/>
      <c r="AF242" s="5"/>
      <c r="AG242" s="5"/>
      <c r="AH242" s="5"/>
      <c r="AI242" s="5"/>
      <c r="AJ242" s="5"/>
      <c r="AK242" s="5"/>
      <c r="AL242" s="5"/>
      <c r="AM242" s="5"/>
      <c r="AN242" s="5"/>
    </row>
    <row r="243" spans="1:40" ht="18.75" customHeight="1">
      <c r="A243" s="5"/>
      <c r="B243" s="5"/>
      <c r="C243" s="5"/>
      <c r="D243" s="5"/>
      <c r="E243" s="5"/>
      <c r="F243" s="5"/>
      <c r="G243" s="5"/>
      <c r="H243" s="5"/>
      <c r="I243" s="5"/>
      <c r="J243" s="5"/>
      <c r="K243" s="5"/>
      <c r="L243" s="5"/>
      <c r="M243" s="5"/>
      <c r="N243" s="5"/>
      <c r="O243" s="5"/>
      <c r="P243" s="5"/>
      <c r="Q243" s="5"/>
      <c r="R243" s="5"/>
      <c r="S243" s="5"/>
      <c r="T243" s="5"/>
      <c r="U243" s="5"/>
      <c r="V243" s="5"/>
      <c r="Y243" s="5"/>
      <c r="Z243" s="5"/>
      <c r="AA243" s="5"/>
      <c r="AB243" s="5"/>
      <c r="AC243" s="5"/>
      <c r="AD243" s="5"/>
      <c r="AE243" s="5"/>
      <c r="AF243" s="5"/>
      <c r="AG243" s="5"/>
      <c r="AH243" s="5"/>
      <c r="AI243" s="5"/>
      <c r="AJ243" s="5"/>
      <c r="AK243" s="5"/>
      <c r="AL243" s="5"/>
      <c r="AM243" s="5"/>
      <c r="AN243" s="5"/>
    </row>
    <row r="244" spans="1:40" ht="18.75" customHeight="1">
      <c r="A244" s="5"/>
      <c r="B244" s="5"/>
      <c r="C244" s="5"/>
      <c r="D244" s="5"/>
      <c r="E244" s="5"/>
      <c r="F244" s="5"/>
      <c r="G244" s="5"/>
      <c r="H244" s="5"/>
      <c r="I244" s="5"/>
      <c r="J244" s="5"/>
      <c r="K244" s="5"/>
      <c r="L244" s="5"/>
      <c r="M244" s="5"/>
      <c r="N244" s="5"/>
      <c r="O244" s="5"/>
      <c r="P244" s="5"/>
      <c r="Q244" s="5"/>
      <c r="R244" s="5"/>
      <c r="S244" s="5"/>
      <c r="T244" s="5"/>
      <c r="U244" s="5"/>
      <c r="V244" s="5"/>
      <c r="Y244" s="5"/>
      <c r="Z244" s="5"/>
      <c r="AA244" s="5"/>
      <c r="AB244" s="5"/>
      <c r="AC244" s="5"/>
      <c r="AD244" s="5"/>
      <c r="AE244" s="5"/>
      <c r="AF244" s="5"/>
      <c r="AG244" s="5"/>
      <c r="AH244" s="5"/>
      <c r="AI244" s="5"/>
      <c r="AJ244" s="5"/>
      <c r="AK244" s="5"/>
      <c r="AL244" s="5"/>
      <c r="AM244" s="5"/>
      <c r="AN244" s="5"/>
    </row>
    <row r="245" spans="1:40" ht="18.75" customHeight="1">
      <c r="A245" s="5"/>
      <c r="B245" s="5"/>
      <c r="C245" s="5"/>
      <c r="D245" s="5"/>
      <c r="E245" s="5"/>
      <c r="F245" s="5"/>
      <c r="G245" s="5"/>
      <c r="H245" s="5"/>
      <c r="I245" s="5"/>
      <c r="J245" s="5"/>
      <c r="K245" s="5"/>
      <c r="L245" s="5"/>
      <c r="M245" s="5"/>
      <c r="N245" s="5"/>
      <c r="O245" s="5"/>
      <c r="P245" s="5"/>
      <c r="Q245" s="5"/>
      <c r="R245" s="5"/>
      <c r="S245" s="5"/>
      <c r="T245" s="5"/>
      <c r="U245" s="5"/>
      <c r="V245" s="5"/>
      <c r="Y245" s="5"/>
      <c r="Z245" s="5"/>
      <c r="AA245" s="5"/>
      <c r="AB245" s="5"/>
      <c r="AC245" s="5"/>
      <c r="AD245" s="5"/>
      <c r="AE245" s="5"/>
      <c r="AF245" s="5"/>
      <c r="AG245" s="5"/>
      <c r="AH245" s="5"/>
      <c r="AI245" s="5"/>
      <c r="AJ245" s="5"/>
      <c r="AK245" s="5"/>
      <c r="AL245" s="5"/>
      <c r="AM245" s="5"/>
      <c r="AN245" s="5"/>
    </row>
    <row r="246" spans="1:40" ht="18.75" customHeight="1">
      <c r="A246" s="5"/>
      <c r="B246" s="5"/>
      <c r="C246" s="5"/>
      <c r="D246" s="5"/>
      <c r="E246" s="5"/>
      <c r="F246" s="5"/>
      <c r="G246" s="5"/>
      <c r="H246" s="5"/>
      <c r="I246" s="5"/>
      <c r="J246" s="5"/>
      <c r="K246" s="5"/>
      <c r="L246" s="5"/>
      <c r="M246" s="5"/>
      <c r="N246" s="5"/>
      <c r="O246" s="5"/>
      <c r="P246" s="5"/>
      <c r="Q246" s="5"/>
      <c r="R246" s="5"/>
      <c r="S246" s="5"/>
      <c r="T246" s="5"/>
      <c r="U246" s="5"/>
      <c r="V246" s="5"/>
      <c r="Y246" s="5"/>
      <c r="Z246" s="5"/>
      <c r="AA246" s="5"/>
      <c r="AB246" s="5"/>
      <c r="AC246" s="5"/>
      <c r="AD246" s="5"/>
      <c r="AE246" s="5"/>
      <c r="AF246" s="5"/>
      <c r="AG246" s="5"/>
      <c r="AH246" s="5"/>
      <c r="AI246" s="5"/>
      <c r="AJ246" s="5"/>
      <c r="AK246" s="5"/>
      <c r="AL246" s="5"/>
      <c r="AM246" s="5"/>
      <c r="AN246" s="5"/>
    </row>
    <row r="247" spans="1:40" ht="18.75" customHeight="1">
      <c r="A247" s="5"/>
      <c r="B247" s="5"/>
      <c r="C247" s="5"/>
      <c r="D247" s="5"/>
      <c r="E247" s="5"/>
      <c r="F247" s="5"/>
      <c r="G247" s="5"/>
      <c r="H247" s="5"/>
      <c r="I247" s="5"/>
      <c r="J247" s="5"/>
      <c r="K247" s="5"/>
      <c r="L247" s="5"/>
      <c r="M247" s="5"/>
      <c r="N247" s="5"/>
      <c r="O247" s="5"/>
      <c r="P247" s="5"/>
      <c r="Q247" s="5"/>
      <c r="R247" s="5"/>
      <c r="S247" s="5"/>
      <c r="T247" s="5"/>
      <c r="U247" s="5"/>
      <c r="V247" s="5"/>
      <c r="Y247" s="5"/>
      <c r="Z247" s="5"/>
      <c r="AA247" s="5"/>
      <c r="AB247" s="5"/>
      <c r="AC247" s="5"/>
      <c r="AD247" s="5"/>
      <c r="AE247" s="5"/>
      <c r="AF247" s="5"/>
      <c r="AG247" s="5"/>
      <c r="AH247" s="5"/>
      <c r="AI247" s="5"/>
      <c r="AJ247" s="5"/>
      <c r="AK247" s="5"/>
      <c r="AL247" s="5"/>
      <c r="AM247" s="5"/>
      <c r="AN247" s="5"/>
    </row>
    <row r="248" spans="1:40" ht="18.75" customHeight="1">
      <c r="A248" s="5"/>
      <c r="B248" s="5"/>
      <c r="C248" s="5"/>
      <c r="D248" s="5"/>
      <c r="E248" s="5"/>
      <c r="F248" s="5"/>
      <c r="G248" s="5"/>
      <c r="H248" s="5"/>
      <c r="I248" s="5"/>
      <c r="J248" s="5"/>
      <c r="K248" s="5"/>
      <c r="L248" s="5"/>
      <c r="M248" s="5"/>
      <c r="N248" s="5"/>
      <c r="O248" s="5"/>
      <c r="P248" s="5"/>
      <c r="Q248" s="5"/>
      <c r="R248" s="5"/>
      <c r="S248" s="5"/>
      <c r="T248" s="5"/>
      <c r="U248" s="5"/>
      <c r="V248" s="5"/>
      <c r="Y248" s="5"/>
      <c r="Z248" s="5"/>
      <c r="AA248" s="5"/>
      <c r="AB248" s="5"/>
      <c r="AC248" s="5"/>
      <c r="AD248" s="5"/>
      <c r="AE248" s="5"/>
      <c r="AF248" s="5"/>
      <c r="AG248" s="5"/>
      <c r="AH248" s="5"/>
      <c r="AI248" s="5"/>
      <c r="AJ248" s="5"/>
      <c r="AK248" s="5"/>
      <c r="AL248" s="5"/>
      <c r="AM248" s="5"/>
      <c r="AN248" s="5"/>
    </row>
    <row r="249" spans="1:40" ht="18.75" customHeight="1">
      <c r="A249" s="5"/>
      <c r="B249" s="5"/>
      <c r="C249" s="5"/>
      <c r="D249" s="5"/>
      <c r="E249" s="5"/>
      <c r="F249" s="5"/>
      <c r="G249" s="5"/>
      <c r="H249" s="5"/>
      <c r="I249" s="5"/>
      <c r="J249" s="5"/>
      <c r="K249" s="5"/>
      <c r="L249" s="5"/>
      <c r="M249" s="5"/>
      <c r="N249" s="5"/>
      <c r="O249" s="5"/>
      <c r="P249" s="5"/>
      <c r="Q249" s="5"/>
      <c r="R249" s="5"/>
      <c r="S249" s="5"/>
      <c r="T249" s="5"/>
      <c r="U249" s="5"/>
      <c r="V249" s="5"/>
      <c r="Y249" s="5"/>
      <c r="Z249" s="5"/>
      <c r="AA249" s="5"/>
      <c r="AB249" s="5"/>
      <c r="AC249" s="5"/>
      <c r="AD249" s="5"/>
      <c r="AE249" s="5"/>
      <c r="AF249" s="5"/>
      <c r="AG249" s="5"/>
      <c r="AH249" s="5"/>
      <c r="AI249" s="5"/>
      <c r="AJ249" s="5"/>
      <c r="AK249" s="5"/>
      <c r="AL249" s="5"/>
      <c r="AM249" s="5"/>
      <c r="AN249" s="5"/>
    </row>
    <row r="250" spans="1:40" ht="18.75" customHeight="1">
      <c r="A250" s="5"/>
      <c r="B250" s="5"/>
      <c r="C250" s="5"/>
      <c r="D250" s="5"/>
      <c r="E250" s="5"/>
      <c r="F250" s="5"/>
      <c r="G250" s="5"/>
      <c r="H250" s="5"/>
      <c r="I250" s="5"/>
      <c r="J250" s="5"/>
      <c r="K250" s="5"/>
      <c r="L250" s="5"/>
      <c r="M250" s="5"/>
      <c r="N250" s="5"/>
      <c r="O250" s="5"/>
      <c r="P250" s="5"/>
      <c r="Q250" s="5"/>
      <c r="R250" s="5"/>
      <c r="S250" s="5"/>
      <c r="T250" s="5"/>
      <c r="U250" s="5"/>
      <c r="V250" s="5"/>
      <c r="Y250" s="5"/>
      <c r="Z250" s="5"/>
      <c r="AA250" s="5"/>
      <c r="AB250" s="5"/>
      <c r="AC250" s="5"/>
      <c r="AD250" s="5"/>
      <c r="AE250" s="5"/>
      <c r="AF250" s="5"/>
      <c r="AG250" s="5"/>
      <c r="AH250" s="5"/>
      <c r="AI250" s="5"/>
      <c r="AJ250" s="5"/>
      <c r="AK250" s="5"/>
      <c r="AL250" s="5"/>
      <c r="AM250" s="5"/>
      <c r="AN250" s="5"/>
    </row>
    <row r="251" spans="1:40" ht="18.75" customHeight="1">
      <c r="A251" s="5"/>
      <c r="B251" s="5"/>
      <c r="C251" s="5"/>
      <c r="D251" s="5"/>
      <c r="E251" s="5"/>
      <c r="F251" s="5"/>
      <c r="G251" s="5"/>
      <c r="H251" s="5"/>
      <c r="I251" s="5"/>
      <c r="J251" s="5"/>
      <c r="K251" s="5"/>
      <c r="L251" s="5"/>
      <c r="M251" s="5"/>
      <c r="N251" s="5"/>
      <c r="O251" s="5"/>
      <c r="P251" s="5"/>
      <c r="Q251" s="5"/>
      <c r="R251" s="5"/>
      <c r="S251" s="5"/>
      <c r="T251" s="5"/>
      <c r="U251" s="5"/>
      <c r="V251" s="5"/>
      <c r="Y251" s="5"/>
      <c r="Z251" s="5"/>
      <c r="AA251" s="5"/>
      <c r="AB251" s="5"/>
      <c r="AC251" s="5"/>
      <c r="AD251" s="5"/>
      <c r="AE251" s="5"/>
      <c r="AF251" s="5"/>
      <c r="AG251" s="5"/>
      <c r="AH251" s="5"/>
      <c r="AI251" s="5"/>
      <c r="AJ251" s="5"/>
      <c r="AK251" s="5"/>
      <c r="AL251" s="5"/>
      <c r="AM251" s="5"/>
      <c r="AN251" s="5"/>
    </row>
    <row r="252" spans="1:40" ht="18.75" customHeight="1">
      <c r="A252" s="5"/>
      <c r="B252" s="5"/>
      <c r="C252" s="5"/>
      <c r="D252" s="5"/>
      <c r="E252" s="5"/>
      <c r="F252" s="5"/>
      <c r="G252" s="5"/>
      <c r="H252" s="5"/>
      <c r="I252" s="5"/>
      <c r="J252" s="5"/>
      <c r="K252" s="5"/>
      <c r="L252" s="5"/>
      <c r="M252" s="5"/>
      <c r="N252" s="5"/>
      <c r="O252" s="5"/>
      <c r="P252" s="5"/>
      <c r="Q252" s="5"/>
      <c r="R252" s="5"/>
      <c r="S252" s="5"/>
      <c r="T252" s="5"/>
      <c r="U252" s="5"/>
      <c r="V252" s="5"/>
      <c r="Y252" s="5"/>
      <c r="Z252" s="5"/>
      <c r="AA252" s="5"/>
      <c r="AB252" s="5"/>
      <c r="AC252" s="5"/>
      <c r="AD252" s="5"/>
      <c r="AE252" s="5"/>
      <c r="AF252" s="5"/>
      <c r="AG252" s="5"/>
      <c r="AH252" s="5"/>
      <c r="AI252" s="5"/>
      <c r="AJ252" s="5"/>
      <c r="AK252" s="5"/>
      <c r="AL252" s="5"/>
      <c r="AM252" s="5"/>
      <c r="AN252" s="5"/>
    </row>
    <row r="253" spans="1:40" ht="18.75" customHeight="1">
      <c r="A253" s="5"/>
      <c r="B253" s="5"/>
      <c r="C253" s="5"/>
      <c r="D253" s="5"/>
      <c r="E253" s="5"/>
      <c r="F253" s="5"/>
      <c r="G253" s="5"/>
      <c r="H253" s="5"/>
      <c r="I253" s="5"/>
      <c r="J253" s="5"/>
      <c r="K253" s="5"/>
      <c r="L253" s="5"/>
      <c r="M253" s="5"/>
      <c r="N253" s="5"/>
      <c r="O253" s="5"/>
      <c r="P253" s="5"/>
      <c r="Q253" s="5"/>
      <c r="R253" s="5"/>
      <c r="S253" s="5"/>
      <c r="T253" s="5"/>
      <c r="U253" s="5"/>
      <c r="V253" s="5"/>
      <c r="Y253" s="5"/>
      <c r="Z253" s="5"/>
      <c r="AA253" s="5"/>
      <c r="AB253" s="5"/>
      <c r="AC253" s="5"/>
      <c r="AD253" s="5"/>
      <c r="AE253" s="5"/>
      <c r="AF253" s="5"/>
      <c r="AG253" s="5"/>
      <c r="AH253" s="5"/>
      <c r="AI253" s="5"/>
      <c r="AJ253" s="5"/>
      <c r="AK253" s="5"/>
      <c r="AL253" s="5"/>
      <c r="AM253" s="5"/>
      <c r="AN253" s="5"/>
    </row>
    <row r="254" spans="1:40" ht="18.75" customHeight="1">
      <c r="A254" s="5"/>
      <c r="B254" s="5"/>
      <c r="C254" s="5"/>
      <c r="D254" s="5"/>
      <c r="E254" s="5"/>
      <c r="F254" s="5"/>
      <c r="G254" s="5"/>
      <c r="H254" s="5"/>
      <c r="I254" s="5"/>
      <c r="J254" s="5"/>
      <c r="K254" s="5"/>
      <c r="L254" s="5"/>
      <c r="M254" s="5"/>
      <c r="N254" s="5"/>
      <c r="O254" s="5"/>
      <c r="P254" s="5"/>
      <c r="Q254" s="5"/>
      <c r="R254" s="5"/>
      <c r="S254" s="5"/>
      <c r="T254" s="5"/>
      <c r="U254" s="5"/>
      <c r="V254" s="5"/>
      <c r="Y254" s="5"/>
      <c r="Z254" s="5"/>
      <c r="AA254" s="5"/>
      <c r="AB254" s="5"/>
      <c r="AC254" s="5"/>
      <c r="AD254" s="5"/>
      <c r="AE254" s="5"/>
      <c r="AF254" s="5"/>
      <c r="AG254" s="5"/>
      <c r="AH254" s="5"/>
      <c r="AI254" s="5"/>
      <c r="AJ254" s="5"/>
      <c r="AK254" s="5"/>
      <c r="AL254" s="5"/>
      <c r="AM254" s="5"/>
      <c r="AN254" s="5"/>
    </row>
    <row r="255" spans="1:40" ht="18.75" customHeight="1">
      <c r="A255" s="5"/>
      <c r="B255" s="5"/>
      <c r="C255" s="5"/>
      <c r="D255" s="5"/>
      <c r="E255" s="5"/>
      <c r="F255" s="5"/>
      <c r="G255" s="5"/>
      <c r="H255" s="5"/>
      <c r="I255" s="5"/>
      <c r="J255" s="5"/>
      <c r="K255" s="5"/>
      <c r="L255" s="5"/>
      <c r="M255" s="5"/>
      <c r="N255" s="5"/>
      <c r="O255" s="5"/>
      <c r="P255" s="5"/>
      <c r="Q255" s="5"/>
      <c r="R255" s="5"/>
      <c r="S255" s="5"/>
      <c r="T255" s="5"/>
      <c r="U255" s="5"/>
      <c r="V255" s="5"/>
      <c r="Y255" s="5"/>
      <c r="Z255" s="5"/>
      <c r="AA255" s="5"/>
      <c r="AB255" s="5"/>
      <c r="AC255" s="5"/>
      <c r="AD255" s="5"/>
      <c r="AE255" s="5"/>
      <c r="AF255" s="5"/>
      <c r="AG255" s="5"/>
      <c r="AH255" s="5"/>
      <c r="AI255" s="5"/>
      <c r="AJ255" s="5"/>
      <c r="AK255" s="5"/>
      <c r="AL255" s="5"/>
      <c r="AM255" s="5"/>
      <c r="AN255" s="5"/>
    </row>
    <row r="256" spans="1:40" ht="18.75" customHeight="1">
      <c r="A256" s="5"/>
      <c r="B256" s="5"/>
      <c r="C256" s="5"/>
      <c r="D256" s="5"/>
      <c r="E256" s="5"/>
      <c r="F256" s="5"/>
      <c r="G256" s="5"/>
      <c r="H256" s="5"/>
      <c r="I256" s="5"/>
      <c r="J256" s="5"/>
      <c r="K256" s="5"/>
      <c r="L256" s="5"/>
      <c r="M256" s="5"/>
      <c r="N256" s="5"/>
      <c r="O256" s="5"/>
      <c r="P256" s="5"/>
      <c r="Q256" s="5"/>
      <c r="R256" s="5"/>
      <c r="S256" s="5"/>
      <c r="T256" s="5"/>
      <c r="U256" s="5"/>
      <c r="V256" s="5"/>
      <c r="Y256" s="5"/>
      <c r="Z256" s="5"/>
      <c r="AA256" s="5"/>
      <c r="AB256" s="5"/>
      <c r="AC256" s="5"/>
      <c r="AD256" s="5"/>
      <c r="AE256" s="5"/>
      <c r="AF256" s="5"/>
      <c r="AG256" s="5"/>
      <c r="AH256" s="5"/>
      <c r="AI256" s="5"/>
      <c r="AJ256" s="5"/>
      <c r="AK256" s="5"/>
      <c r="AL256" s="5"/>
      <c r="AM256" s="5"/>
      <c r="AN256" s="5"/>
    </row>
    <row r="257" spans="1:40" ht="18.75" customHeight="1">
      <c r="A257" s="5"/>
      <c r="B257" s="5"/>
      <c r="C257" s="5"/>
      <c r="D257" s="5"/>
      <c r="E257" s="5"/>
      <c r="F257" s="5"/>
      <c r="G257" s="5"/>
      <c r="H257" s="5"/>
      <c r="I257" s="5"/>
      <c r="J257" s="5"/>
      <c r="K257" s="5"/>
      <c r="L257" s="5"/>
      <c r="M257" s="5"/>
      <c r="N257" s="5"/>
      <c r="O257" s="5"/>
      <c r="P257" s="5"/>
      <c r="Q257" s="5"/>
      <c r="R257" s="5"/>
      <c r="S257" s="5"/>
      <c r="T257" s="5"/>
      <c r="U257" s="5"/>
      <c r="V257" s="5"/>
      <c r="Y257" s="5"/>
      <c r="Z257" s="5"/>
      <c r="AA257" s="5"/>
      <c r="AB257" s="5"/>
      <c r="AC257" s="5"/>
      <c r="AD257" s="5"/>
      <c r="AE257" s="5"/>
      <c r="AF257" s="5"/>
      <c r="AG257" s="5"/>
      <c r="AH257" s="5"/>
      <c r="AI257" s="5"/>
      <c r="AJ257" s="5"/>
      <c r="AK257" s="5"/>
      <c r="AL257" s="5"/>
      <c r="AM257" s="5"/>
      <c r="AN257" s="5"/>
    </row>
    <row r="258" spans="1:40" ht="18.75" customHeight="1">
      <c r="A258" s="5"/>
      <c r="B258" s="5"/>
      <c r="C258" s="5"/>
      <c r="D258" s="5"/>
      <c r="E258" s="5"/>
      <c r="F258" s="5"/>
      <c r="G258" s="5"/>
      <c r="H258" s="5"/>
      <c r="I258" s="5"/>
      <c r="J258" s="5"/>
      <c r="K258" s="5"/>
      <c r="L258" s="5"/>
      <c r="M258" s="5"/>
      <c r="N258" s="5"/>
      <c r="O258" s="5"/>
      <c r="P258" s="5"/>
      <c r="Q258" s="5"/>
      <c r="R258" s="5"/>
      <c r="S258" s="5"/>
      <c r="T258" s="5"/>
      <c r="U258" s="5"/>
      <c r="V258" s="5"/>
      <c r="Y258" s="5"/>
      <c r="Z258" s="5"/>
      <c r="AA258" s="5"/>
      <c r="AB258" s="5"/>
      <c r="AC258" s="5"/>
      <c r="AD258" s="5"/>
      <c r="AE258" s="5"/>
      <c r="AF258" s="5"/>
      <c r="AG258" s="5"/>
      <c r="AH258" s="5"/>
      <c r="AI258" s="5"/>
      <c r="AJ258" s="5"/>
      <c r="AK258" s="5"/>
      <c r="AL258" s="5"/>
      <c r="AM258" s="5"/>
      <c r="AN258" s="5"/>
    </row>
    <row r="259" spans="1:40" ht="18.75" customHeight="1">
      <c r="A259" s="5"/>
      <c r="B259" s="5"/>
      <c r="C259" s="5"/>
      <c r="D259" s="5"/>
      <c r="E259" s="5"/>
      <c r="F259" s="5"/>
      <c r="G259" s="5"/>
      <c r="H259" s="5"/>
      <c r="I259" s="5"/>
      <c r="J259" s="5"/>
      <c r="K259" s="5"/>
      <c r="L259" s="5"/>
      <c r="M259" s="5"/>
      <c r="N259" s="5"/>
      <c r="O259" s="5"/>
      <c r="P259" s="5"/>
      <c r="Q259" s="5"/>
      <c r="R259" s="5"/>
      <c r="S259" s="5"/>
      <c r="T259" s="5"/>
      <c r="U259" s="5"/>
      <c r="V259" s="5"/>
      <c r="Y259" s="5"/>
      <c r="Z259" s="5"/>
      <c r="AA259" s="5"/>
      <c r="AB259" s="5"/>
      <c r="AC259" s="5"/>
      <c r="AD259" s="5"/>
      <c r="AE259" s="5"/>
      <c r="AF259" s="5"/>
      <c r="AG259" s="5"/>
      <c r="AH259" s="5"/>
      <c r="AI259" s="5"/>
      <c r="AJ259" s="5"/>
      <c r="AK259" s="5"/>
      <c r="AL259" s="5"/>
      <c r="AM259" s="5"/>
      <c r="AN259" s="5"/>
    </row>
    <row r="260" spans="1:40" ht="18.75" customHeight="1">
      <c r="A260" s="5"/>
      <c r="B260" s="5"/>
      <c r="C260" s="5"/>
      <c r="D260" s="5"/>
      <c r="E260" s="5"/>
      <c r="F260" s="5"/>
      <c r="G260" s="5"/>
      <c r="H260" s="5"/>
      <c r="I260" s="5"/>
      <c r="J260" s="5"/>
      <c r="K260" s="5"/>
      <c r="L260" s="5"/>
      <c r="M260" s="5"/>
      <c r="N260" s="5"/>
      <c r="O260" s="5"/>
      <c r="P260" s="5"/>
      <c r="Q260" s="5"/>
      <c r="R260" s="5"/>
      <c r="S260" s="5"/>
      <c r="T260" s="5"/>
      <c r="U260" s="5"/>
      <c r="V260" s="5"/>
      <c r="Y260" s="5"/>
      <c r="Z260" s="5"/>
      <c r="AA260" s="5"/>
      <c r="AB260" s="5"/>
      <c r="AC260" s="5"/>
      <c r="AD260" s="5"/>
      <c r="AE260" s="5"/>
      <c r="AF260" s="5"/>
      <c r="AG260" s="5"/>
      <c r="AH260" s="5"/>
      <c r="AI260" s="5"/>
      <c r="AJ260" s="5"/>
      <c r="AK260" s="5"/>
      <c r="AL260" s="5"/>
      <c r="AM260" s="5"/>
      <c r="AN260" s="5"/>
    </row>
    <row r="261" spans="1:40" ht="18.75" customHeight="1">
      <c r="A261" s="5"/>
      <c r="B261" s="5"/>
      <c r="C261" s="5"/>
      <c r="D261" s="5"/>
      <c r="E261" s="5"/>
      <c r="F261" s="5"/>
      <c r="G261" s="5"/>
      <c r="H261" s="5"/>
      <c r="I261" s="5"/>
      <c r="J261" s="5"/>
      <c r="K261" s="5"/>
      <c r="L261" s="5"/>
      <c r="M261" s="5"/>
      <c r="N261" s="5"/>
      <c r="O261" s="5"/>
      <c r="P261" s="5"/>
      <c r="Q261" s="5"/>
      <c r="R261" s="5"/>
      <c r="S261" s="5"/>
      <c r="T261" s="5"/>
      <c r="U261" s="5"/>
      <c r="V261" s="5"/>
      <c r="Y261" s="5"/>
      <c r="Z261" s="5"/>
      <c r="AA261" s="5"/>
      <c r="AB261" s="5"/>
      <c r="AC261" s="5"/>
      <c r="AD261" s="5"/>
      <c r="AE261" s="5"/>
      <c r="AF261" s="5"/>
      <c r="AG261" s="5"/>
      <c r="AH261" s="5"/>
      <c r="AI261" s="5"/>
      <c r="AJ261" s="5"/>
      <c r="AK261" s="5"/>
      <c r="AL261" s="5"/>
      <c r="AM261" s="5"/>
      <c r="AN261" s="5"/>
    </row>
    <row r="262" spans="1:40" ht="18.75" customHeight="1">
      <c r="A262" s="5"/>
      <c r="B262" s="5"/>
      <c r="C262" s="5"/>
      <c r="D262" s="5"/>
      <c r="E262" s="5"/>
      <c r="F262" s="5"/>
      <c r="G262" s="5"/>
      <c r="H262" s="5"/>
      <c r="I262" s="5"/>
      <c r="J262" s="5"/>
      <c r="K262" s="5"/>
      <c r="L262" s="5"/>
      <c r="M262" s="5"/>
      <c r="N262" s="5"/>
      <c r="O262" s="5"/>
      <c r="P262" s="5"/>
      <c r="Q262" s="5"/>
      <c r="R262" s="5"/>
      <c r="S262" s="5"/>
      <c r="T262" s="5"/>
      <c r="U262" s="5"/>
      <c r="V262" s="5"/>
      <c r="Y262" s="5"/>
      <c r="Z262" s="5"/>
      <c r="AA262" s="5"/>
      <c r="AB262" s="5"/>
      <c r="AC262" s="5"/>
      <c r="AD262" s="5"/>
      <c r="AE262" s="5"/>
      <c r="AF262" s="5"/>
      <c r="AG262" s="5"/>
      <c r="AH262" s="5"/>
      <c r="AI262" s="5"/>
      <c r="AJ262" s="5"/>
      <c r="AK262" s="5"/>
      <c r="AL262" s="5"/>
      <c r="AM262" s="5"/>
      <c r="AN262" s="5"/>
    </row>
    <row r="263" spans="1:40" ht="18.75" customHeight="1">
      <c r="A263" s="5"/>
      <c r="B263" s="5"/>
      <c r="C263" s="5"/>
      <c r="D263" s="5"/>
      <c r="E263" s="5"/>
      <c r="F263" s="5"/>
      <c r="G263" s="5"/>
      <c r="H263" s="5"/>
      <c r="I263" s="5"/>
      <c r="J263" s="5"/>
      <c r="K263" s="5"/>
      <c r="L263" s="5"/>
      <c r="M263" s="5"/>
      <c r="N263" s="5"/>
      <c r="O263" s="5"/>
      <c r="P263" s="5"/>
      <c r="Q263" s="5"/>
      <c r="R263" s="5"/>
      <c r="S263" s="5"/>
      <c r="T263" s="5"/>
      <c r="U263" s="5"/>
      <c r="V263" s="5"/>
      <c r="Y263" s="5"/>
      <c r="Z263" s="5"/>
      <c r="AA263" s="5"/>
      <c r="AB263" s="5"/>
      <c r="AC263" s="5"/>
      <c r="AD263" s="5"/>
      <c r="AE263" s="5"/>
      <c r="AF263" s="5"/>
      <c r="AG263" s="5"/>
      <c r="AH263" s="5"/>
      <c r="AI263" s="5"/>
      <c r="AJ263" s="5"/>
      <c r="AK263" s="5"/>
      <c r="AL263" s="5"/>
      <c r="AM263" s="5"/>
      <c r="AN263" s="5"/>
    </row>
    <row r="264" spans="1:40" ht="18.75" customHeight="1">
      <c r="A264" s="5"/>
      <c r="B264" s="5"/>
      <c r="C264" s="5"/>
      <c r="D264" s="5"/>
      <c r="E264" s="5"/>
      <c r="F264" s="5"/>
      <c r="G264" s="5"/>
      <c r="H264" s="5"/>
      <c r="I264" s="5"/>
      <c r="J264" s="5"/>
      <c r="K264" s="5"/>
      <c r="L264" s="5"/>
      <c r="M264" s="5"/>
      <c r="N264" s="5"/>
      <c r="O264" s="5"/>
      <c r="P264" s="5"/>
      <c r="Q264" s="5"/>
      <c r="R264" s="5"/>
      <c r="S264" s="5"/>
      <c r="T264" s="5"/>
      <c r="U264" s="5"/>
      <c r="V264" s="5"/>
      <c r="Y264" s="5"/>
      <c r="Z264" s="5"/>
      <c r="AA264" s="5"/>
      <c r="AB264" s="5"/>
      <c r="AC264" s="5"/>
      <c r="AD264" s="5"/>
      <c r="AE264" s="5"/>
      <c r="AF264" s="5"/>
      <c r="AG264" s="5"/>
      <c r="AH264" s="5"/>
      <c r="AI264" s="5"/>
      <c r="AJ264" s="5"/>
      <c r="AK264" s="5"/>
      <c r="AL264" s="5"/>
      <c r="AM264" s="5"/>
      <c r="AN264" s="5"/>
    </row>
    <row r="265" spans="1:40" ht="18.75" customHeight="1">
      <c r="A265" s="5"/>
      <c r="B265" s="5"/>
      <c r="C265" s="5"/>
      <c r="D265" s="5"/>
      <c r="E265" s="5"/>
      <c r="F265" s="5"/>
      <c r="G265" s="5"/>
      <c r="H265" s="5"/>
      <c r="I265" s="5"/>
      <c r="J265" s="5"/>
      <c r="K265" s="5"/>
      <c r="L265" s="5"/>
      <c r="M265" s="5"/>
      <c r="N265" s="5"/>
      <c r="O265" s="5"/>
      <c r="P265" s="5"/>
      <c r="Q265" s="5"/>
      <c r="R265" s="5"/>
      <c r="S265" s="5"/>
      <c r="T265" s="5"/>
      <c r="U265" s="5"/>
      <c r="V265" s="5"/>
      <c r="Y265" s="5"/>
      <c r="Z265" s="5"/>
      <c r="AA265" s="5"/>
      <c r="AB265" s="5"/>
      <c r="AC265" s="5"/>
      <c r="AD265" s="5"/>
      <c r="AE265" s="5"/>
      <c r="AF265" s="5"/>
      <c r="AG265" s="5"/>
      <c r="AH265" s="5"/>
      <c r="AI265" s="5"/>
      <c r="AJ265" s="5"/>
      <c r="AK265" s="5"/>
      <c r="AL265" s="5"/>
      <c r="AM265" s="5"/>
      <c r="AN265" s="5"/>
    </row>
    <row r="266" spans="1:40" ht="18.75" customHeight="1">
      <c r="A266" s="5"/>
      <c r="B266" s="5"/>
      <c r="C266" s="5"/>
      <c r="D266" s="5"/>
      <c r="E266" s="5"/>
      <c r="F266" s="5"/>
      <c r="G266" s="5"/>
      <c r="H266" s="5"/>
      <c r="I266" s="5"/>
      <c r="J266" s="5"/>
      <c r="K266" s="5"/>
      <c r="L266" s="5"/>
      <c r="M266" s="5"/>
      <c r="N266" s="5"/>
      <c r="O266" s="5"/>
      <c r="P266" s="5"/>
      <c r="Q266" s="5"/>
      <c r="R266" s="5"/>
      <c r="S266" s="5"/>
      <c r="T266" s="5"/>
      <c r="U266" s="5"/>
      <c r="V266" s="5"/>
      <c r="Y266" s="5"/>
      <c r="Z266" s="5"/>
      <c r="AA266" s="5"/>
      <c r="AB266" s="5"/>
      <c r="AC266" s="5"/>
      <c r="AD266" s="5"/>
      <c r="AE266" s="5"/>
      <c r="AF266" s="5"/>
      <c r="AG266" s="5"/>
      <c r="AH266" s="5"/>
      <c r="AI266" s="5"/>
      <c r="AJ266" s="5"/>
      <c r="AK266" s="5"/>
      <c r="AL266" s="5"/>
      <c r="AM266" s="5"/>
      <c r="AN266" s="5"/>
    </row>
    <row r="267" spans="1:40" ht="18.75" customHeight="1">
      <c r="A267" s="5"/>
      <c r="B267" s="5"/>
      <c r="C267" s="5"/>
      <c r="D267" s="5"/>
      <c r="E267" s="5"/>
      <c r="F267" s="5"/>
      <c r="G267" s="5"/>
      <c r="H267" s="5"/>
      <c r="I267" s="5"/>
      <c r="J267" s="5"/>
      <c r="K267" s="5"/>
      <c r="L267" s="5"/>
      <c r="M267" s="5"/>
      <c r="N267" s="5"/>
      <c r="O267" s="5"/>
      <c r="P267" s="5"/>
      <c r="Q267" s="5"/>
      <c r="R267" s="5"/>
      <c r="S267" s="5"/>
      <c r="T267" s="5"/>
      <c r="U267" s="5"/>
      <c r="V267" s="5"/>
      <c r="Y267" s="5"/>
      <c r="Z267" s="5"/>
      <c r="AA267" s="5"/>
      <c r="AB267" s="5"/>
      <c r="AC267" s="5"/>
      <c r="AD267" s="5"/>
      <c r="AE267" s="5"/>
      <c r="AF267" s="5"/>
      <c r="AG267" s="5"/>
      <c r="AH267" s="5"/>
      <c r="AI267" s="5"/>
      <c r="AJ267" s="5"/>
      <c r="AK267" s="5"/>
      <c r="AL267" s="5"/>
      <c r="AM267" s="5"/>
      <c r="AN267" s="5"/>
    </row>
    <row r="268" spans="1:40" ht="18.75" customHeight="1">
      <c r="A268" s="5"/>
      <c r="B268" s="5"/>
      <c r="C268" s="5"/>
      <c r="D268" s="5"/>
      <c r="E268" s="5"/>
      <c r="F268" s="5"/>
      <c r="G268" s="5"/>
      <c r="H268" s="5"/>
      <c r="I268" s="5"/>
      <c r="J268" s="5"/>
      <c r="K268" s="5"/>
      <c r="L268" s="5"/>
      <c r="M268" s="5"/>
      <c r="N268" s="5"/>
      <c r="O268" s="5"/>
      <c r="P268" s="5"/>
      <c r="Q268" s="5"/>
      <c r="R268" s="5"/>
      <c r="S268" s="5"/>
      <c r="T268" s="5"/>
      <c r="U268" s="5"/>
      <c r="V268" s="5"/>
      <c r="Y268" s="5"/>
      <c r="Z268" s="5"/>
      <c r="AA268" s="5"/>
      <c r="AB268" s="5"/>
      <c r="AC268" s="5"/>
      <c r="AD268" s="5"/>
      <c r="AE268" s="5"/>
      <c r="AF268" s="5"/>
      <c r="AG268" s="5"/>
      <c r="AH268" s="5"/>
      <c r="AI268" s="5"/>
      <c r="AJ268" s="5"/>
      <c r="AK268" s="5"/>
      <c r="AL268" s="5"/>
      <c r="AM268" s="5"/>
      <c r="AN268" s="5"/>
    </row>
    <row r="269" spans="1:40" ht="18.75" customHeight="1">
      <c r="A269" s="5"/>
      <c r="B269" s="5"/>
      <c r="C269" s="5"/>
      <c r="D269" s="5"/>
      <c r="E269" s="5"/>
      <c r="F269" s="5"/>
      <c r="G269" s="5"/>
      <c r="H269" s="5"/>
      <c r="I269" s="5"/>
      <c r="J269" s="5"/>
      <c r="K269" s="5"/>
      <c r="L269" s="5"/>
      <c r="M269" s="5"/>
      <c r="N269" s="5"/>
      <c r="O269" s="5"/>
      <c r="P269" s="5"/>
      <c r="Q269" s="5"/>
      <c r="R269" s="5"/>
      <c r="S269" s="5"/>
      <c r="T269" s="5"/>
      <c r="U269" s="5"/>
      <c r="V269" s="5"/>
      <c r="Y269" s="5"/>
      <c r="Z269" s="5"/>
      <c r="AA269" s="5"/>
      <c r="AB269" s="5"/>
      <c r="AC269" s="5"/>
      <c r="AD269" s="5"/>
      <c r="AE269" s="5"/>
      <c r="AF269" s="5"/>
      <c r="AG269" s="5"/>
      <c r="AH269" s="5"/>
      <c r="AI269" s="5"/>
      <c r="AJ269" s="5"/>
      <c r="AK269" s="5"/>
      <c r="AL269" s="5"/>
      <c r="AM269" s="5"/>
      <c r="AN269" s="5"/>
    </row>
    <row r="270" spans="1:40" ht="18.75" customHeight="1">
      <c r="A270" s="5"/>
      <c r="B270" s="5"/>
      <c r="C270" s="5"/>
      <c r="D270" s="5"/>
      <c r="E270" s="5"/>
      <c r="F270" s="5"/>
      <c r="G270" s="5"/>
      <c r="H270" s="5"/>
      <c r="I270" s="5"/>
      <c r="J270" s="5"/>
      <c r="K270" s="5"/>
      <c r="L270" s="5"/>
      <c r="M270" s="5"/>
      <c r="N270" s="5"/>
      <c r="O270" s="5"/>
      <c r="P270" s="5"/>
      <c r="Q270" s="5"/>
      <c r="R270" s="5"/>
      <c r="S270" s="5"/>
      <c r="T270" s="5"/>
      <c r="U270" s="5"/>
      <c r="V270" s="5"/>
      <c r="Y270" s="5"/>
      <c r="Z270" s="5"/>
      <c r="AA270" s="5"/>
      <c r="AB270" s="5"/>
      <c r="AC270" s="5"/>
      <c r="AD270" s="5"/>
      <c r="AE270" s="5"/>
      <c r="AF270" s="5"/>
      <c r="AG270" s="5"/>
      <c r="AH270" s="5"/>
      <c r="AI270" s="5"/>
      <c r="AJ270" s="5"/>
      <c r="AK270" s="5"/>
      <c r="AL270" s="5"/>
      <c r="AM270" s="5"/>
      <c r="AN270" s="5"/>
    </row>
    <row r="271" spans="1:40" ht="18.75" customHeight="1">
      <c r="A271" s="5"/>
      <c r="B271" s="5"/>
      <c r="C271" s="5"/>
      <c r="D271" s="5"/>
      <c r="E271" s="5"/>
      <c r="F271" s="5"/>
      <c r="G271" s="5"/>
      <c r="H271" s="5"/>
      <c r="I271" s="5"/>
      <c r="J271" s="5"/>
      <c r="K271" s="5"/>
      <c r="L271" s="5"/>
      <c r="M271" s="5"/>
      <c r="N271" s="5"/>
      <c r="O271" s="5"/>
      <c r="P271" s="5"/>
      <c r="Q271" s="5"/>
      <c r="R271" s="5"/>
      <c r="S271" s="5"/>
      <c r="T271" s="5"/>
      <c r="U271" s="5"/>
      <c r="V271" s="5"/>
      <c r="Y271" s="5"/>
      <c r="Z271" s="5"/>
      <c r="AA271" s="5"/>
      <c r="AB271" s="5"/>
      <c r="AC271" s="5"/>
      <c r="AD271" s="5"/>
      <c r="AE271" s="5"/>
      <c r="AF271" s="5"/>
      <c r="AG271" s="5"/>
      <c r="AH271" s="5"/>
      <c r="AI271" s="5"/>
      <c r="AJ271" s="5"/>
      <c r="AK271" s="5"/>
      <c r="AL271" s="5"/>
      <c r="AM271" s="5"/>
      <c r="AN271" s="5"/>
    </row>
    <row r="272" spans="1:40" ht="18.75" customHeight="1">
      <c r="A272" s="5"/>
      <c r="B272" s="5"/>
      <c r="C272" s="5"/>
      <c r="D272" s="5"/>
      <c r="E272" s="5"/>
      <c r="F272" s="5"/>
      <c r="G272" s="5"/>
      <c r="H272" s="5"/>
      <c r="I272" s="5"/>
      <c r="J272" s="5"/>
      <c r="K272" s="5"/>
      <c r="L272" s="5"/>
      <c r="M272" s="5"/>
      <c r="N272" s="5"/>
      <c r="O272" s="5"/>
      <c r="P272" s="5"/>
      <c r="Q272" s="5"/>
      <c r="R272" s="5"/>
      <c r="S272" s="5"/>
      <c r="T272" s="5"/>
      <c r="U272" s="5"/>
      <c r="V272" s="5"/>
      <c r="Y272" s="5"/>
      <c r="Z272" s="5"/>
      <c r="AA272" s="5"/>
      <c r="AB272" s="5"/>
      <c r="AC272" s="5"/>
      <c r="AD272" s="5"/>
      <c r="AE272" s="5"/>
      <c r="AF272" s="5"/>
      <c r="AG272" s="5"/>
      <c r="AH272" s="5"/>
      <c r="AI272" s="5"/>
      <c r="AJ272" s="5"/>
      <c r="AK272" s="5"/>
      <c r="AL272" s="5"/>
      <c r="AM272" s="5"/>
      <c r="AN272" s="5"/>
    </row>
    <row r="273" spans="1:40" ht="18.75" customHeight="1">
      <c r="A273" s="5"/>
      <c r="B273" s="5"/>
      <c r="C273" s="5"/>
      <c r="D273" s="5"/>
      <c r="E273" s="5"/>
      <c r="F273" s="5"/>
      <c r="G273" s="5"/>
      <c r="H273" s="5"/>
      <c r="I273" s="5"/>
      <c r="J273" s="5"/>
      <c r="K273" s="5"/>
      <c r="L273" s="5"/>
      <c r="M273" s="5"/>
      <c r="N273" s="5"/>
      <c r="O273" s="5"/>
      <c r="P273" s="5"/>
      <c r="Q273" s="5"/>
      <c r="R273" s="5"/>
      <c r="S273" s="5"/>
      <c r="T273" s="5"/>
      <c r="U273" s="5"/>
      <c r="V273" s="5"/>
      <c r="Y273" s="5"/>
      <c r="Z273" s="5"/>
      <c r="AA273" s="5"/>
      <c r="AB273" s="5"/>
      <c r="AC273" s="5"/>
      <c r="AD273" s="5"/>
      <c r="AE273" s="5"/>
      <c r="AF273" s="5"/>
      <c r="AG273" s="5"/>
      <c r="AH273" s="5"/>
      <c r="AI273" s="5"/>
      <c r="AJ273" s="5"/>
      <c r="AK273" s="5"/>
      <c r="AL273" s="5"/>
      <c r="AM273" s="5"/>
      <c r="AN273" s="5"/>
    </row>
    <row r="274" spans="1:40" ht="18.75" customHeight="1">
      <c r="A274" s="5"/>
      <c r="B274" s="5"/>
      <c r="C274" s="5"/>
      <c r="D274" s="5"/>
      <c r="E274" s="5"/>
      <c r="F274" s="5"/>
      <c r="G274" s="5"/>
      <c r="H274" s="5"/>
      <c r="I274" s="5"/>
      <c r="J274" s="5"/>
      <c r="K274" s="5"/>
      <c r="L274" s="5"/>
      <c r="M274" s="5"/>
      <c r="N274" s="5"/>
      <c r="O274" s="5"/>
      <c r="P274" s="5"/>
      <c r="Q274" s="5"/>
      <c r="R274" s="5"/>
      <c r="S274" s="5"/>
      <c r="T274" s="5"/>
      <c r="U274" s="5"/>
      <c r="V274" s="5"/>
      <c r="Y274" s="5"/>
      <c r="Z274" s="5"/>
      <c r="AA274" s="5"/>
      <c r="AB274" s="5"/>
      <c r="AC274" s="5"/>
      <c r="AD274" s="5"/>
      <c r="AE274" s="5"/>
      <c r="AF274" s="5"/>
      <c r="AG274" s="5"/>
      <c r="AH274" s="5"/>
      <c r="AI274" s="5"/>
      <c r="AJ274" s="5"/>
      <c r="AK274" s="5"/>
      <c r="AL274" s="5"/>
      <c r="AM274" s="5"/>
      <c r="AN274" s="5"/>
    </row>
    <row r="275" spans="1:40" ht="18.75" customHeight="1">
      <c r="A275" s="5"/>
      <c r="B275" s="5"/>
      <c r="C275" s="5"/>
      <c r="D275" s="5"/>
      <c r="E275" s="5"/>
      <c r="F275" s="5"/>
      <c r="G275" s="5"/>
      <c r="H275" s="5"/>
      <c r="I275" s="5"/>
      <c r="J275" s="5"/>
      <c r="K275" s="5"/>
      <c r="L275" s="5"/>
      <c r="M275" s="5"/>
      <c r="N275" s="5"/>
      <c r="O275" s="5"/>
      <c r="P275" s="5"/>
      <c r="Q275" s="5"/>
      <c r="R275" s="5"/>
      <c r="S275" s="5"/>
      <c r="T275" s="5"/>
      <c r="U275" s="5"/>
      <c r="V275" s="5"/>
      <c r="Y275" s="5"/>
      <c r="Z275" s="5"/>
      <c r="AA275" s="5"/>
      <c r="AB275" s="5"/>
      <c r="AC275" s="5"/>
      <c r="AD275" s="5"/>
      <c r="AE275" s="5"/>
      <c r="AF275" s="5"/>
      <c r="AG275" s="5"/>
      <c r="AH275" s="5"/>
      <c r="AI275" s="5"/>
      <c r="AJ275" s="5"/>
      <c r="AK275" s="5"/>
      <c r="AL275" s="5"/>
      <c r="AM275" s="5"/>
      <c r="AN275" s="5"/>
    </row>
    <row r="276" spans="1:40" ht="18.75" customHeight="1">
      <c r="A276" s="5"/>
      <c r="B276" s="5"/>
      <c r="C276" s="5"/>
      <c r="D276" s="5"/>
      <c r="E276" s="5"/>
      <c r="F276" s="5"/>
      <c r="G276" s="5"/>
      <c r="H276" s="5"/>
      <c r="I276" s="5"/>
      <c r="J276" s="5"/>
      <c r="K276" s="5"/>
      <c r="L276" s="5"/>
      <c r="M276" s="5"/>
      <c r="N276" s="5"/>
      <c r="O276" s="5"/>
      <c r="P276" s="5"/>
      <c r="Q276" s="5"/>
      <c r="R276" s="5"/>
      <c r="S276" s="5"/>
      <c r="T276" s="5"/>
      <c r="U276" s="5"/>
      <c r="V276" s="5"/>
      <c r="Y276" s="5"/>
      <c r="Z276" s="5"/>
      <c r="AA276" s="5"/>
      <c r="AB276" s="5"/>
      <c r="AC276" s="5"/>
      <c r="AD276" s="5"/>
      <c r="AE276" s="5"/>
      <c r="AF276" s="5"/>
      <c r="AG276" s="5"/>
      <c r="AH276" s="5"/>
      <c r="AI276" s="5"/>
      <c r="AJ276" s="5"/>
      <c r="AK276" s="5"/>
      <c r="AL276" s="5"/>
      <c r="AM276" s="5"/>
      <c r="AN276" s="5"/>
    </row>
    <row r="277" spans="1:40" ht="18.75" customHeight="1">
      <c r="A277" s="5"/>
      <c r="B277" s="5"/>
      <c r="C277" s="5"/>
      <c r="D277" s="5"/>
      <c r="E277" s="5"/>
      <c r="F277" s="5"/>
      <c r="G277" s="5"/>
      <c r="H277" s="5"/>
      <c r="I277" s="5"/>
      <c r="J277" s="5"/>
      <c r="K277" s="5"/>
      <c r="L277" s="5"/>
      <c r="M277" s="5"/>
      <c r="N277" s="5"/>
      <c r="O277" s="5"/>
      <c r="P277" s="5"/>
      <c r="Q277" s="5"/>
      <c r="R277" s="5"/>
      <c r="S277" s="5"/>
      <c r="T277" s="5"/>
      <c r="U277" s="5"/>
      <c r="V277" s="5"/>
      <c r="Y277" s="5"/>
      <c r="Z277" s="5"/>
      <c r="AA277" s="5"/>
      <c r="AB277" s="5"/>
      <c r="AC277" s="5"/>
      <c r="AD277" s="5"/>
      <c r="AE277" s="5"/>
      <c r="AF277" s="5"/>
      <c r="AG277" s="5"/>
      <c r="AH277" s="5"/>
      <c r="AI277" s="5"/>
      <c r="AJ277" s="5"/>
      <c r="AK277" s="5"/>
      <c r="AL277" s="5"/>
      <c r="AM277" s="5"/>
      <c r="AN277" s="5"/>
    </row>
    <row r="278" spans="1:40" ht="18.75" customHeight="1">
      <c r="A278" s="5"/>
      <c r="B278" s="5"/>
      <c r="C278" s="5"/>
      <c r="D278" s="5"/>
      <c r="E278" s="5"/>
      <c r="F278" s="5"/>
      <c r="G278" s="5"/>
      <c r="H278" s="5"/>
      <c r="I278" s="5"/>
      <c r="J278" s="5"/>
      <c r="K278" s="5"/>
      <c r="L278" s="5"/>
      <c r="M278" s="5"/>
      <c r="N278" s="5"/>
      <c r="O278" s="5"/>
      <c r="P278" s="5"/>
      <c r="Q278" s="5"/>
      <c r="R278" s="5"/>
      <c r="S278" s="5"/>
      <c r="T278" s="5"/>
      <c r="U278" s="5"/>
      <c r="V278" s="5"/>
      <c r="Y278" s="5"/>
      <c r="Z278" s="5"/>
      <c r="AA278" s="5"/>
      <c r="AB278" s="5"/>
      <c r="AC278" s="5"/>
      <c r="AD278" s="5"/>
      <c r="AE278" s="5"/>
      <c r="AF278" s="5"/>
      <c r="AG278" s="5"/>
      <c r="AH278" s="5"/>
      <c r="AI278" s="5"/>
      <c r="AJ278" s="5"/>
      <c r="AK278" s="5"/>
      <c r="AL278" s="5"/>
      <c r="AM278" s="5"/>
      <c r="AN278" s="5"/>
    </row>
    <row r="279" spans="1:40" ht="18.75" customHeight="1">
      <c r="A279" s="5"/>
      <c r="B279" s="5"/>
      <c r="C279" s="5"/>
      <c r="D279" s="5"/>
      <c r="E279" s="5"/>
      <c r="F279" s="5"/>
      <c r="G279" s="5"/>
      <c r="H279" s="5"/>
      <c r="I279" s="5"/>
      <c r="J279" s="5"/>
      <c r="K279" s="5"/>
      <c r="L279" s="5"/>
      <c r="M279" s="5"/>
      <c r="N279" s="5"/>
      <c r="O279" s="5"/>
      <c r="P279" s="5"/>
      <c r="Q279" s="5"/>
      <c r="R279" s="5"/>
      <c r="S279" s="5"/>
      <c r="T279" s="5"/>
      <c r="U279" s="5"/>
      <c r="V279" s="5"/>
      <c r="Y279" s="5"/>
      <c r="Z279" s="5"/>
      <c r="AA279" s="5"/>
      <c r="AB279" s="5"/>
      <c r="AC279" s="5"/>
      <c r="AD279" s="5"/>
      <c r="AE279" s="5"/>
      <c r="AF279" s="5"/>
      <c r="AG279" s="5"/>
      <c r="AH279" s="5"/>
      <c r="AI279" s="5"/>
      <c r="AJ279" s="5"/>
      <c r="AK279" s="5"/>
      <c r="AL279" s="5"/>
      <c r="AM279" s="5"/>
      <c r="AN279" s="5"/>
    </row>
    <row r="280" spans="1:40" ht="18.75" customHeight="1">
      <c r="A280" s="5"/>
      <c r="B280" s="5"/>
      <c r="C280" s="5"/>
      <c r="D280" s="5"/>
      <c r="E280" s="5"/>
      <c r="F280" s="5"/>
      <c r="G280" s="5"/>
      <c r="H280" s="5"/>
      <c r="I280" s="5"/>
      <c r="J280" s="5"/>
      <c r="K280" s="5"/>
      <c r="L280" s="5"/>
      <c r="M280" s="5"/>
      <c r="N280" s="5"/>
      <c r="O280" s="5"/>
      <c r="P280" s="5"/>
      <c r="Q280" s="5"/>
      <c r="R280" s="5"/>
      <c r="S280" s="5"/>
      <c r="T280" s="5"/>
      <c r="U280" s="5"/>
      <c r="V280" s="5"/>
      <c r="Y280" s="5"/>
      <c r="Z280" s="5"/>
      <c r="AA280" s="5"/>
      <c r="AB280" s="5"/>
      <c r="AC280" s="5"/>
      <c r="AD280" s="5"/>
      <c r="AE280" s="5"/>
      <c r="AF280" s="5"/>
      <c r="AG280" s="5"/>
      <c r="AH280" s="5"/>
      <c r="AI280" s="5"/>
      <c r="AJ280" s="5"/>
      <c r="AK280" s="5"/>
      <c r="AL280" s="5"/>
      <c r="AM280" s="5"/>
      <c r="AN280" s="5"/>
    </row>
    <row r="281" spans="1:40" ht="18.75" customHeight="1">
      <c r="A281" s="5"/>
      <c r="B281" s="5"/>
      <c r="C281" s="5"/>
      <c r="D281" s="5"/>
      <c r="E281" s="5"/>
      <c r="F281" s="5"/>
      <c r="G281" s="5"/>
      <c r="H281" s="5"/>
      <c r="I281" s="5"/>
      <c r="J281" s="5"/>
      <c r="K281" s="5"/>
      <c r="L281" s="5"/>
      <c r="M281" s="5"/>
      <c r="N281" s="5"/>
      <c r="O281" s="5"/>
      <c r="P281" s="5"/>
      <c r="Q281" s="5"/>
      <c r="R281" s="5"/>
      <c r="S281" s="5"/>
      <c r="T281" s="5"/>
      <c r="U281" s="5"/>
      <c r="V281" s="5"/>
      <c r="Y281" s="5"/>
      <c r="Z281" s="5"/>
      <c r="AA281" s="5"/>
      <c r="AB281" s="5"/>
      <c r="AC281" s="5"/>
      <c r="AD281" s="5"/>
      <c r="AE281" s="5"/>
      <c r="AF281" s="5"/>
      <c r="AG281" s="5"/>
      <c r="AH281" s="5"/>
      <c r="AI281" s="5"/>
      <c r="AJ281" s="5"/>
      <c r="AK281" s="5"/>
      <c r="AL281" s="5"/>
      <c r="AM281" s="5"/>
      <c r="AN281" s="5"/>
    </row>
    <row r="282" spans="1:40" ht="18.75" customHeight="1">
      <c r="A282" s="5"/>
      <c r="B282" s="5"/>
      <c r="C282" s="5"/>
      <c r="D282" s="5"/>
      <c r="E282" s="5"/>
      <c r="F282" s="5"/>
      <c r="G282" s="5"/>
      <c r="H282" s="5"/>
      <c r="I282" s="5"/>
      <c r="J282" s="5"/>
      <c r="K282" s="5"/>
      <c r="L282" s="5"/>
      <c r="M282" s="5"/>
      <c r="N282" s="5"/>
      <c r="O282" s="5"/>
      <c r="P282" s="5"/>
      <c r="Q282" s="5"/>
      <c r="R282" s="5"/>
      <c r="S282" s="5"/>
      <c r="T282" s="5"/>
      <c r="U282" s="5"/>
      <c r="V282" s="5"/>
      <c r="Y282" s="5"/>
      <c r="Z282" s="5"/>
      <c r="AA282" s="5"/>
      <c r="AB282" s="5"/>
      <c r="AC282" s="5"/>
      <c r="AD282" s="5"/>
      <c r="AE282" s="5"/>
      <c r="AF282" s="5"/>
      <c r="AG282" s="5"/>
      <c r="AH282" s="5"/>
      <c r="AI282" s="5"/>
      <c r="AJ282" s="5"/>
      <c r="AK282" s="5"/>
      <c r="AL282" s="5"/>
      <c r="AM282" s="5"/>
      <c r="AN282" s="5"/>
    </row>
    <row r="283" spans="1:40" ht="18.75" customHeight="1">
      <c r="A283" s="5"/>
      <c r="B283" s="5"/>
      <c r="C283" s="5"/>
      <c r="D283" s="5"/>
      <c r="E283" s="5"/>
      <c r="F283" s="5"/>
      <c r="G283" s="5"/>
      <c r="H283" s="5"/>
      <c r="I283" s="5"/>
      <c r="J283" s="5"/>
      <c r="K283" s="5"/>
      <c r="L283" s="5"/>
      <c r="M283" s="5"/>
      <c r="N283" s="5"/>
      <c r="O283" s="5"/>
      <c r="P283" s="5"/>
      <c r="Q283" s="5"/>
      <c r="R283" s="5"/>
      <c r="S283" s="5"/>
      <c r="T283" s="5"/>
      <c r="U283" s="5"/>
      <c r="V283" s="5"/>
      <c r="Y283" s="5"/>
      <c r="Z283" s="5"/>
      <c r="AA283" s="5"/>
      <c r="AB283" s="5"/>
      <c r="AC283" s="5"/>
      <c r="AD283" s="5"/>
      <c r="AE283" s="5"/>
      <c r="AF283" s="5"/>
      <c r="AG283" s="5"/>
      <c r="AH283" s="5"/>
      <c r="AI283" s="5"/>
      <c r="AJ283" s="5"/>
      <c r="AK283" s="5"/>
      <c r="AL283" s="5"/>
      <c r="AM283" s="5"/>
      <c r="AN283" s="5"/>
    </row>
    <row r="284" spans="1:40" ht="18.75" customHeight="1">
      <c r="A284" s="5"/>
      <c r="B284" s="5"/>
      <c r="C284" s="5"/>
      <c r="D284" s="5"/>
      <c r="E284" s="5"/>
      <c r="F284" s="5"/>
      <c r="G284" s="5"/>
      <c r="H284" s="5"/>
      <c r="I284" s="5"/>
      <c r="J284" s="5"/>
      <c r="K284" s="5"/>
      <c r="L284" s="5"/>
      <c r="M284" s="5"/>
      <c r="N284" s="5"/>
      <c r="O284" s="5"/>
      <c r="P284" s="5"/>
      <c r="Q284" s="5"/>
      <c r="R284" s="5"/>
      <c r="S284" s="5"/>
      <c r="T284" s="5"/>
      <c r="U284" s="5"/>
      <c r="V284" s="5"/>
      <c r="Y284" s="5"/>
      <c r="Z284" s="5"/>
      <c r="AA284" s="5"/>
      <c r="AB284" s="5"/>
      <c r="AC284" s="5"/>
      <c r="AD284" s="5"/>
      <c r="AE284" s="5"/>
      <c r="AF284" s="5"/>
      <c r="AG284" s="5"/>
      <c r="AH284" s="5"/>
      <c r="AI284" s="5"/>
      <c r="AJ284" s="5"/>
      <c r="AK284" s="5"/>
      <c r="AL284" s="5"/>
      <c r="AM284" s="5"/>
      <c r="AN284" s="5"/>
    </row>
    <row r="285" spans="1:40" ht="18.75" customHeight="1">
      <c r="A285" s="5"/>
      <c r="B285" s="5"/>
      <c r="C285" s="5"/>
      <c r="D285" s="5"/>
      <c r="E285" s="5"/>
      <c r="F285" s="5"/>
      <c r="G285" s="5"/>
      <c r="H285" s="5"/>
      <c r="I285" s="5"/>
      <c r="J285" s="5"/>
      <c r="K285" s="5"/>
      <c r="L285" s="5"/>
      <c r="M285" s="5"/>
      <c r="N285" s="5"/>
      <c r="O285" s="5"/>
      <c r="P285" s="5"/>
      <c r="Q285" s="5"/>
      <c r="R285" s="5"/>
      <c r="S285" s="5"/>
      <c r="T285" s="5"/>
      <c r="U285" s="5"/>
      <c r="V285" s="5"/>
      <c r="Y285" s="5"/>
      <c r="Z285" s="5"/>
      <c r="AA285" s="5"/>
      <c r="AB285" s="5"/>
      <c r="AC285" s="5"/>
      <c r="AD285" s="5"/>
      <c r="AE285" s="5"/>
      <c r="AF285" s="5"/>
      <c r="AG285" s="5"/>
      <c r="AH285" s="5"/>
      <c r="AI285" s="5"/>
      <c r="AJ285" s="5"/>
      <c r="AK285" s="5"/>
      <c r="AL285" s="5"/>
      <c r="AM285" s="5"/>
      <c r="AN285" s="5"/>
    </row>
    <row r="286" spans="1:40" ht="18.75" customHeight="1">
      <c r="A286" s="5"/>
      <c r="B286" s="5"/>
      <c r="C286" s="5"/>
      <c r="D286" s="5"/>
      <c r="E286" s="5"/>
      <c r="F286" s="5"/>
      <c r="G286" s="5"/>
      <c r="H286" s="5"/>
      <c r="I286" s="5"/>
      <c r="J286" s="5"/>
      <c r="K286" s="5"/>
      <c r="L286" s="5"/>
      <c r="M286" s="5"/>
      <c r="N286" s="5"/>
      <c r="O286" s="5"/>
      <c r="P286" s="5"/>
      <c r="Q286" s="5"/>
      <c r="R286" s="5"/>
      <c r="S286" s="5"/>
      <c r="T286" s="5"/>
      <c r="U286" s="5"/>
      <c r="V286" s="5"/>
      <c r="Y286" s="5"/>
      <c r="Z286" s="5"/>
      <c r="AA286" s="5"/>
      <c r="AB286" s="5"/>
      <c r="AC286" s="5"/>
      <c r="AD286" s="5"/>
      <c r="AE286" s="5"/>
      <c r="AF286" s="5"/>
      <c r="AG286" s="5"/>
      <c r="AH286" s="5"/>
      <c r="AI286" s="5"/>
      <c r="AJ286" s="5"/>
      <c r="AK286" s="5"/>
      <c r="AL286" s="5"/>
      <c r="AM286" s="5"/>
      <c r="AN286" s="5"/>
    </row>
    <row r="287" spans="1:40" ht="18.75" customHeight="1">
      <c r="A287" s="5"/>
      <c r="B287" s="5"/>
      <c r="C287" s="5"/>
      <c r="D287" s="5"/>
      <c r="E287" s="5"/>
      <c r="F287" s="5"/>
      <c r="G287" s="5"/>
      <c r="H287" s="5"/>
      <c r="I287" s="5"/>
      <c r="J287" s="5"/>
      <c r="K287" s="5"/>
      <c r="L287" s="5"/>
      <c r="M287" s="5"/>
      <c r="N287" s="5"/>
      <c r="O287" s="5"/>
      <c r="P287" s="5"/>
      <c r="Q287" s="5"/>
      <c r="R287" s="5"/>
      <c r="S287" s="5"/>
      <c r="T287" s="5"/>
      <c r="U287" s="5"/>
      <c r="V287" s="5"/>
      <c r="Y287" s="5"/>
      <c r="Z287" s="5"/>
      <c r="AA287" s="5"/>
      <c r="AB287" s="5"/>
      <c r="AC287" s="5"/>
      <c r="AD287" s="5"/>
      <c r="AE287" s="5"/>
      <c r="AF287" s="5"/>
      <c r="AG287" s="5"/>
      <c r="AH287" s="5"/>
      <c r="AI287" s="5"/>
      <c r="AJ287" s="5"/>
      <c r="AK287" s="5"/>
      <c r="AL287" s="5"/>
      <c r="AM287" s="5"/>
      <c r="AN287" s="5"/>
    </row>
    <row r="288" spans="1:40" ht="18.75" customHeight="1">
      <c r="A288" s="5"/>
      <c r="B288" s="5"/>
      <c r="C288" s="5"/>
      <c r="D288" s="5"/>
      <c r="E288" s="5"/>
      <c r="F288" s="5"/>
      <c r="G288" s="5"/>
      <c r="H288" s="5"/>
      <c r="I288" s="5"/>
      <c r="J288" s="5"/>
      <c r="K288" s="5"/>
      <c r="L288" s="5"/>
      <c r="M288" s="5"/>
      <c r="N288" s="5"/>
      <c r="O288" s="5"/>
      <c r="P288" s="5"/>
      <c r="Q288" s="5"/>
      <c r="R288" s="5"/>
      <c r="S288" s="5"/>
      <c r="T288" s="5"/>
      <c r="U288" s="5"/>
      <c r="V288" s="5"/>
      <c r="Y288" s="5"/>
      <c r="Z288" s="5"/>
      <c r="AA288" s="5"/>
      <c r="AB288" s="5"/>
      <c r="AC288" s="5"/>
      <c r="AD288" s="5"/>
      <c r="AE288" s="5"/>
      <c r="AF288" s="5"/>
      <c r="AG288" s="5"/>
      <c r="AH288" s="5"/>
      <c r="AI288" s="5"/>
      <c r="AJ288" s="5"/>
      <c r="AK288" s="5"/>
      <c r="AL288" s="5"/>
      <c r="AM288" s="5"/>
      <c r="AN288" s="5"/>
    </row>
    <row r="289" spans="1:40" ht="18.75" customHeight="1">
      <c r="A289" s="5"/>
      <c r="B289" s="5"/>
      <c r="C289" s="5"/>
      <c r="D289" s="5"/>
      <c r="E289" s="5"/>
      <c r="F289" s="5"/>
      <c r="G289" s="5"/>
      <c r="H289" s="5"/>
      <c r="I289" s="5"/>
      <c r="J289" s="5"/>
      <c r="K289" s="5"/>
      <c r="L289" s="5"/>
      <c r="M289" s="5"/>
      <c r="N289" s="5"/>
      <c r="O289" s="5"/>
      <c r="P289" s="5"/>
      <c r="Q289" s="5"/>
      <c r="R289" s="5"/>
      <c r="S289" s="5"/>
      <c r="T289" s="5"/>
      <c r="U289" s="5"/>
      <c r="V289" s="5"/>
      <c r="Y289" s="5"/>
      <c r="Z289" s="5"/>
      <c r="AA289" s="5"/>
      <c r="AB289" s="5"/>
      <c r="AC289" s="5"/>
      <c r="AD289" s="5"/>
      <c r="AE289" s="5"/>
      <c r="AF289" s="5"/>
      <c r="AG289" s="5"/>
      <c r="AH289" s="5"/>
      <c r="AI289" s="5"/>
      <c r="AJ289" s="5"/>
      <c r="AK289" s="5"/>
      <c r="AL289" s="5"/>
      <c r="AM289" s="5"/>
      <c r="AN289" s="5"/>
    </row>
    <row r="290" spans="1:40" ht="18.75" customHeight="1">
      <c r="A290" s="5"/>
      <c r="B290" s="5"/>
      <c r="C290" s="5"/>
      <c r="D290" s="5"/>
      <c r="E290" s="5"/>
      <c r="F290" s="5"/>
      <c r="G290" s="5"/>
      <c r="H290" s="5"/>
      <c r="I290" s="5"/>
      <c r="J290" s="5"/>
      <c r="K290" s="5"/>
      <c r="L290" s="5"/>
      <c r="M290" s="5"/>
      <c r="N290" s="5"/>
      <c r="O290" s="5"/>
      <c r="P290" s="5"/>
      <c r="Q290" s="5"/>
      <c r="R290" s="5"/>
      <c r="S290" s="5"/>
      <c r="T290" s="5"/>
      <c r="U290" s="5"/>
      <c r="V290" s="5"/>
      <c r="Y290" s="5"/>
      <c r="Z290" s="5"/>
      <c r="AA290" s="5"/>
      <c r="AB290" s="5"/>
      <c r="AC290" s="5"/>
      <c r="AD290" s="5"/>
      <c r="AE290" s="5"/>
      <c r="AF290" s="5"/>
      <c r="AG290" s="5"/>
      <c r="AH290" s="5"/>
      <c r="AI290" s="5"/>
      <c r="AJ290" s="5"/>
      <c r="AK290" s="5"/>
      <c r="AL290" s="5"/>
      <c r="AM290" s="5"/>
      <c r="AN290" s="5"/>
    </row>
    <row r="291" spans="1:40" ht="18.75" customHeight="1">
      <c r="A291" s="5"/>
      <c r="B291" s="5"/>
      <c r="C291" s="5"/>
      <c r="D291" s="5"/>
      <c r="E291" s="5"/>
      <c r="F291" s="5"/>
      <c r="G291" s="5"/>
      <c r="H291" s="5"/>
      <c r="I291" s="5"/>
      <c r="J291" s="5"/>
      <c r="K291" s="5"/>
      <c r="L291" s="5"/>
      <c r="M291" s="5"/>
      <c r="N291" s="5"/>
      <c r="O291" s="5"/>
      <c r="P291" s="5"/>
      <c r="Q291" s="5"/>
      <c r="R291" s="5"/>
      <c r="S291" s="5"/>
      <c r="T291" s="5"/>
      <c r="U291" s="5"/>
      <c r="V291" s="5"/>
      <c r="Y291" s="5"/>
      <c r="Z291" s="5"/>
      <c r="AA291" s="5"/>
      <c r="AB291" s="5"/>
      <c r="AC291" s="5"/>
      <c r="AD291" s="5"/>
      <c r="AE291" s="5"/>
      <c r="AF291" s="5"/>
      <c r="AG291" s="5"/>
      <c r="AH291" s="5"/>
      <c r="AI291" s="5"/>
      <c r="AJ291" s="5"/>
      <c r="AK291" s="5"/>
      <c r="AL291" s="5"/>
      <c r="AM291" s="5"/>
      <c r="AN291" s="5"/>
    </row>
    <row r="292" spans="1:40" ht="18.75" customHeight="1">
      <c r="A292" s="5"/>
      <c r="B292" s="5"/>
      <c r="C292" s="5"/>
      <c r="D292" s="5"/>
      <c r="E292" s="5"/>
      <c r="F292" s="5"/>
      <c r="G292" s="5"/>
      <c r="H292" s="5"/>
      <c r="I292" s="5"/>
      <c r="J292" s="5"/>
      <c r="K292" s="5"/>
      <c r="L292" s="5"/>
      <c r="M292" s="5"/>
      <c r="N292" s="5"/>
      <c r="O292" s="5"/>
      <c r="P292" s="5"/>
      <c r="Q292" s="5"/>
      <c r="R292" s="5"/>
      <c r="S292" s="5"/>
      <c r="T292" s="5"/>
      <c r="U292" s="5"/>
      <c r="V292" s="5"/>
      <c r="Y292" s="5"/>
      <c r="Z292" s="5"/>
      <c r="AA292" s="5"/>
      <c r="AB292" s="5"/>
      <c r="AC292" s="5"/>
      <c r="AD292" s="5"/>
      <c r="AE292" s="5"/>
      <c r="AF292" s="5"/>
      <c r="AG292" s="5"/>
      <c r="AH292" s="5"/>
      <c r="AI292" s="5"/>
      <c r="AJ292" s="5"/>
      <c r="AK292" s="5"/>
      <c r="AL292" s="5"/>
      <c r="AM292" s="5"/>
      <c r="AN292" s="5"/>
    </row>
    <row r="293" spans="1:40" ht="18.75" customHeight="1">
      <c r="A293" s="5"/>
      <c r="B293" s="5"/>
      <c r="C293" s="5"/>
      <c r="D293" s="5"/>
      <c r="E293" s="5"/>
      <c r="F293" s="5"/>
      <c r="G293" s="5"/>
      <c r="H293" s="5"/>
      <c r="I293" s="5"/>
      <c r="J293" s="5"/>
      <c r="K293" s="5"/>
      <c r="L293" s="5"/>
      <c r="M293" s="5"/>
      <c r="N293" s="5"/>
      <c r="O293" s="5"/>
      <c r="P293" s="5"/>
      <c r="Q293" s="5"/>
      <c r="R293" s="5"/>
      <c r="S293" s="5"/>
      <c r="T293" s="5"/>
      <c r="U293" s="5"/>
      <c r="V293" s="5"/>
      <c r="Y293" s="5"/>
      <c r="Z293" s="5"/>
      <c r="AA293" s="5"/>
      <c r="AB293" s="5"/>
      <c r="AC293" s="5"/>
      <c r="AD293" s="5"/>
      <c r="AE293" s="5"/>
      <c r="AF293" s="5"/>
      <c r="AG293" s="5"/>
      <c r="AH293" s="5"/>
      <c r="AI293" s="5"/>
      <c r="AJ293" s="5"/>
      <c r="AK293" s="5"/>
      <c r="AL293" s="5"/>
      <c r="AM293" s="5"/>
      <c r="AN293" s="5"/>
    </row>
    <row r="294" spans="1:40" ht="18.75" customHeight="1">
      <c r="A294" s="5"/>
      <c r="B294" s="5"/>
      <c r="C294" s="5"/>
      <c r="D294" s="5"/>
      <c r="E294" s="5"/>
      <c r="F294" s="5"/>
      <c r="G294" s="5"/>
      <c r="H294" s="5"/>
      <c r="I294" s="5"/>
      <c r="J294" s="5"/>
      <c r="K294" s="5"/>
      <c r="L294" s="5"/>
      <c r="M294" s="5"/>
      <c r="N294" s="5"/>
      <c r="O294" s="5"/>
      <c r="P294" s="5"/>
      <c r="Q294" s="5"/>
      <c r="R294" s="5"/>
      <c r="S294" s="5"/>
      <c r="T294" s="5"/>
      <c r="U294" s="5"/>
      <c r="V294" s="5"/>
      <c r="Y294" s="5"/>
      <c r="Z294" s="5"/>
      <c r="AA294" s="5"/>
      <c r="AB294" s="5"/>
      <c r="AC294" s="5"/>
      <c r="AD294" s="5"/>
      <c r="AE294" s="5"/>
      <c r="AF294" s="5"/>
      <c r="AG294" s="5"/>
      <c r="AH294" s="5"/>
      <c r="AI294" s="5"/>
      <c r="AJ294" s="5"/>
      <c r="AK294" s="5"/>
      <c r="AL294" s="5"/>
      <c r="AM294" s="5"/>
      <c r="AN294" s="5"/>
    </row>
    <row r="295" spans="1:40" ht="18.75" customHeight="1">
      <c r="A295" s="5"/>
      <c r="B295" s="5"/>
      <c r="C295" s="5"/>
      <c r="D295" s="5"/>
      <c r="E295" s="5"/>
      <c r="F295" s="5"/>
      <c r="G295" s="5"/>
      <c r="H295" s="5"/>
      <c r="I295" s="5"/>
      <c r="J295" s="5"/>
      <c r="K295" s="5"/>
      <c r="L295" s="5"/>
      <c r="M295" s="5"/>
      <c r="N295" s="5"/>
      <c r="O295" s="5"/>
      <c r="P295" s="5"/>
      <c r="Q295" s="5"/>
      <c r="R295" s="5"/>
      <c r="S295" s="5"/>
      <c r="T295" s="5"/>
      <c r="U295" s="5"/>
      <c r="V295" s="5"/>
      <c r="Y295" s="5"/>
      <c r="Z295" s="5"/>
      <c r="AA295" s="5"/>
      <c r="AB295" s="5"/>
      <c r="AC295" s="5"/>
      <c r="AD295" s="5"/>
      <c r="AE295" s="5"/>
      <c r="AF295" s="5"/>
      <c r="AG295" s="5"/>
      <c r="AH295" s="5"/>
      <c r="AI295" s="5"/>
      <c r="AJ295" s="5"/>
      <c r="AK295" s="5"/>
      <c r="AL295" s="5"/>
      <c r="AM295" s="5"/>
      <c r="AN295" s="5"/>
    </row>
    <row r="296" spans="1:40" ht="18.75" customHeight="1">
      <c r="A296" s="5"/>
      <c r="B296" s="5"/>
      <c r="C296" s="5"/>
      <c r="D296" s="5"/>
      <c r="E296" s="5"/>
      <c r="F296" s="5"/>
      <c r="G296" s="5"/>
      <c r="H296" s="5"/>
      <c r="I296" s="5"/>
      <c r="J296" s="5"/>
      <c r="K296" s="5"/>
      <c r="L296" s="5"/>
      <c r="M296" s="5"/>
      <c r="N296" s="5"/>
      <c r="O296" s="5"/>
      <c r="P296" s="5"/>
      <c r="Q296" s="5"/>
      <c r="R296" s="5"/>
      <c r="S296" s="5"/>
      <c r="T296" s="5"/>
      <c r="U296" s="5"/>
      <c r="V296" s="5"/>
      <c r="Y296" s="5"/>
      <c r="Z296" s="5"/>
      <c r="AA296" s="5"/>
      <c r="AB296" s="5"/>
      <c r="AC296" s="5"/>
      <c r="AD296" s="5"/>
      <c r="AE296" s="5"/>
      <c r="AF296" s="5"/>
      <c r="AG296" s="5"/>
      <c r="AH296" s="5"/>
      <c r="AI296" s="5"/>
      <c r="AJ296" s="5"/>
      <c r="AK296" s="5"/>
      <c r="AL296" s="5"/>
      <c r="AM296" s="5"/>
      <c r="AN296" s="5"/>
    </row>
    <row r="297" spans="1:40" ht="18.75" customHeight="1">
      <c r="A297" s="5"/>
      <c r="B297" s="5"/>
      <c r="C297" s="5"/>
      <c r="D297" s="5"/>
      <c r="E297" s="5"/>
      <c r="F297" s="5"/>
      <c r="G297" s="5"/>
      <c r="H297" s="5"/>
      <c r="I297" s="5"/>
      <c r="J297" s="5"/>
      <c r="K297" s="5"/>
      <c r="L297" s="5"/>
      <c r="M297" s="5"/>
      <c r="N297" s="5"/>
      <c r="O297" s="5"/>
      <c r="P297" s="5"/>
      <c r="Q297" s="5"/>
      <c r="R297" s="5"/>
      <c r="S297" s="5"/>
      <c r="T297" s="5"/>
      <c r="U297" s="5"/>
      <c r="V297" s="5"/>
      <c r="Y297" s="5"/>
      <c r="Z297" s="5"/>
      <c r="AA297" s="5"/>
      <c r="AB297" s="5"/>
      <c r="AC297" s="5"/>
      <c r="AD297" s="5"/>
      <c r="AE297" s="5"/>
      <c r="AF297" s="5"/>
      <c r="AG297" s="5"/>
      <c r="AH297" s="5"/>
      <c r="AI297" s="5"/>
      <c r="AJ297" s="5"/>
      <c r="AK297" s="5"/>
      <c r="AL297" s="5"/>
      <c r="AM297" s="5"/>
      <c r="AN297" s="5"/>
    </row>
    <row r="298" spans="1:40" ht="18.75" customHeight="1">
      <c r="A298" s="5"/>
      <c r="B298" s="5"/>
      <c r="C298" s="5"/>
      <c r="D298" s="5"/>
      <c r="E298" s="5"/>
      <c r="F298" s="5"/>
      <c r="G298" s="5"/>
      <c r="H298" s="5"/>
      <c r="I298" s="5"/>
      <c r="J298" s="5"/>
      <c r="K298" s="5"/>
      <c r="L298" s="5"/>
      <c r="M298" s="5"/>
      <c r="N298" s="5"/>
      <c r="O298" s="5"/>
      <c r="P298" s="5"/>
      <c r="Q298" s="5"/>
      <c r="R298" s="5"/>
      <c r="S298" s="5"/>
      <c r="T298" s="5"/>
      <c r="U298" s="5"/>
      <c r="V298" s="5"/>
      <c r="Y298" s="5"/>
      <c r="Z298" s="5"/>
      <c r="AA298" s="5"/>
      <c r="AB298" s="5"/>
      <c r="AC298" s="5"/>
      <c r="AD298" s="5"/>
      <c r="AE298" s="5"/>
      <c r="AF298" s="5"/>
      <c r="AG298" s="5"/>
      <c r="AH298" s="5"/>
      <c r="AI298" s="5"/>
      <c r="AJ298" s="5"/>
      <c r="AK298" s="5"/>
      <c r="AL298" s="5"/>
      <c r="AM298" s="5"/>
      <c r="AN298" s="5"/>
    </row>
    <row r="299" spans="1:40" ht="18.75" customHeight="1">
      <c r="A299" s="5"/>
      <c r="B299" s="5"/>
      <c r="C299" s="5"/>
      <c r="D299" s="5"/>
      <c r="E299" s="5"/>
      <c r="F299" s="5"/>
      <c r="G299" s="5"/>
      <c r="H299" s="5"/>
      <c r="I299" s="5"/>
      <c r="J299" s="5"/>
      <c r="K299" s="5"/>
      <c r="L299" s="5"/>
      <c r="M299" s="5"/>
      <c r="N299" s="5"/>
      <c r="O299" s="5"/>
      <c r="P299" s="5"/>
      <c r="Q299" s="5"/>
      <c r="R299" s="5"/>
      <c r="S299" s="5"/>
      <c r="T299" s="5"/>
      <c r="U299" s="5"/>
      <c r="V299" s="5"/>
      <c r="Y299" s="5"/>
      <c r="Z299" s="5"/>
      <c r="AA299" s="5"/>
      <c r="AB299" s="5"/>
      <c r="AC299" s="5"/>
      <c r="AD299" s="5"/>
      <c r="AE299" s="5"/>
      <c r="AF299" s="5"/>
      <c r="AG299" s="5"/>
      <c r="AH299" s="5"/>
      <c r="AI299" s="5"/>
      <c r="AJ299" s="5"/>
      <c r="AK299" s="5"/>
      <c r="AL299" s="5"/>
      <c r="AM299" s="5"/>
      <c r="AN299" s="5"/>
    </row>
    <row r="300" spans="1:40" ht="18.75" customHeight="1">
      <c r="A300" s="5"/>
      <c r="B300" s="5"/>
      <c r="C300" s="5"/>
      <c r="D300" s="5"/>
      <c r="E300" s="5"/>
      <c r="F300" s="5"/>
      <c r="G300" s="5"/>
      <c r="H300" s="5"/>
      <c r="I300" s="5"/>
      <c r="J300" s="5"/>
      <c r="K300" s="5"/>
      <c r="L300" s="5"/>
      <c r="M300" s="5"/>
      <c r="N300" s="5"/>
      <c r="O300" s="5"/>
      <c r="P300" s="5"/>
      <c r="Q300" s="5"/>
      <c r="R300" s="5"/>
      <c r="S300" s="5"/>
      <c r="T300" s="5"/>
      <c r="U300" s="5"/>
      <c r="V300" s="5"/>
      <c r="Y300" s="5"/>
      <c r="Z300" s="5"/>
      <c r="AA300" s="5"/>
      <c r="AB300" s="5"/>
      <c r="AC300" s="5"/>
      <c r="AD300" s="5"/>
      <c r="AE300" s="5"/>
      <c r="AF300" s="5"/>
      <c r="AG300" s="5"/>
      <c r="AH300" s="5"/>
      <c r="AI300" s="5"/>
      <c r="AJ300" s="5"/>
      <c r="AK300" s="5"/>
      <c r="AL300" s="5"/>
      <c r="AM300" s="5"/>
      <c r="AN300" s="5"/>
    </row>
    <row r="301" spans="1:40" ht="18.75" customHeight="1">
      <c r="A301" s="5"/>
      <c r="B301" s="5"/>
      <c r="C301" s="5"/>
      <c r="D301" s="5"/>
      <c r="E301" s="5"/>
      <c r="F301" s="5"/>
      <c r="G301" s="5"/>
      <c r="H301" s="5"/>
      <c r="I301" s="5"/>
      <c r="J301" s="5"/>
      <c r="K301" s="5"/>
      <c r="L301" s="5"/>
      <c r="M301" s="5"/>
      <c r="N301" s="5"/>
      <c r="O301" s="5"/>
      <c r="P301" s="5"/>
      <c r="Q301" s="5"/>
      <c r="R301" s="5"/>
      <c r="S301" s="5"/>
      <c r="T301" s="5"/>
      <c r="U301" s="5"/>
      <c r="V301" s="5"/>
      <c r="Y301" s="5"/>
      <c r="Z301" s="5"/>
      <c r="AA301" s="5"/>
      <c r="AB301" s="5"/>
      <c r="AC301" s="5"/>
      <c r="AD301" s="5"/>
      <c r="AE301" s="5"/>
      <c r="AF301" s="5"/>
      <c r="AG301" s="5"/>
      <c r="AH301" s="5"/>
      <c r="AI301" s="5"/>
      <c r="AJ301" s="5"/>
      <c r="AK301" s="5"/>
      <c r="AL301" s="5"/>
      <c r="AM301" s="5"/>
      <c r="AN301" s="5"/>
    </row>
    <row r="302" spans="1:40" ht="18.75" customHeight="1">
      <c r="A302" s="5"/>
      <c r="B302" s="5"/>
      <c r="C302" s="5"/>
      <c r="D302" s="5"/>
      <c r="E302" s="5"/>
      <c r="F302" s="5"/>
      <c r="G302" s="5"/>
      <c r="H302" s="5"/>
      <c r="I302" s="5"/>
      <c r="J302" s="5"/>
      <c r="K302" s="5"/>
      <c r="L302" s="5"/>
      <c r="M302" s="5"/>
      <c r="N302" s="5"/>
      <c r="O302" s="5"/>
      <c r="P302" s="5"/>
      <c r="Q302" s="5"/>
      <c r="R302" s="5"/>
      <c r="S302" s="5"/>
      <c r="T302" s="5"/>
      <c r="U302" s="5"/>
      <c r="V302" s="5"/>
      <c r="Y302" s="5"/>
      <c r="Z302" s="5"/>
      <c r="AA302" s="5"/>
      <c r="AB302" s="5"/>
      <c r="AC302" s="5"/>
      <c r="AD302" s="5"/>
      <c r="AE302" s="5"/>
      <c r="AF302" s="5"/>
      <c r="AG302" s="5"/>
      <c r="AH302" s="5"/>
      <c r="AI302" s="5"/>
      <c r="AJ302" s="5"/>
      <c r="AK302" s="5"/>
      <c r="AL302" s="5"/>
      <c r="AM302" s="5"/>
      <c r="AN302" s="5"/>
    </row>
    <row r="303" spans="1:40" ht="18.75" customHeight="1">
      <c r="A303" s="5"/>
      <c r="B303" s="5"/>
      <c r="C303" s="5"/>
      <c r="D303" s="5"/>
      <c r="E303" s="5"/>
      <c r="F303" s="5"/>
      <c r="G303" s="5"/>
      <c r="H303" s="5"/>
      <c r="I303" s="5"/>
      <c r="J303" s="5"/>
      <c r="K303" s="5"/>
      <c r="L303" s="5"/>
      <c r="M303" s="5"/>
      <c r="N303" s="5"/>
      <c r="O303" s="5"/>
      <c r="P303" s="5"/>
      <c r="Q303" s="5"/>
      <c r="R303" s="5"/>
      <c r="S303" s="5"/>
      <c r="T303" s="5"/>
      <c r="U303" s="5"/>
      <c r="V303" s="5"/>
      <c r="Y303" s="5"/>
      <c r="Z303" s="5"/>
      <c r="AA303" s="5"/>
      <c r="AB303" s="5"/>
      <c r="AC303" s="5"/>
      <c r="AD303" s="5"/>
      <c r="AE303" s="5"/>
      <c r="AF303" s="5"/>
      <c r="AG303" s="5"/>
      <c r="AH303" s="5"/>
      <c r="AI303" s="5"/>
      <c r="AJ303" s="5"/>
      <c r="AK303" s="5"/>
      <c r="AL303" s="5"/>
      <c r="AM303" s="5"/>
      <c r="AN303" s="5"/>
    </row>
    <row r="304" spans="1:40" ht="18.75" customHeight="1">
      <c r="A304" s="5"/>
      <c r="B304" s="5"/>
      <c r="C304" s="5"/>
      <c r="D304" s="5"/>
      <c r="E304" s="5"/>
      <c r="F304" s="5"/>
      <c r="G304" s="5"/>
      <c r="H304" s="5"/>
      <c r="I304" s="5"/>
      <c r="J304" s="5"/>
      <c r="K304" s="5"/>
      <c r="L304" s="5"/>
      <c r="M304" s="5"/>
      <c r="N304" s="5"/>
      <c r="O304" s="5"/>
      <c r="P304" s="5"/>
      <c r="Q304" s="5"/>
      <c r="R304" s="5"/>
      <c r="S304" s="5"/>
      <c r="T304" s="5"/>
      <c r="U304" s="5"/>
      <c r="V304" s="5"/>
      <c r="Y304" s="5"/>
      <c r="Z304" s="5"/>
      <c r="AA304" s="5"/>
      <c r="AB304" s="5"/>
      <c r="AC304" s="5"/>
      <c r="AD304" s="5"/>
      <c r="AE304" s="5"/>
      <c r="AF304" s="5"/>
      <c r="AG304" s="5"/>
      <c r="AH304" s="5"/>
      <c r="AI304" s="5"/>
      <c r="AJ304" s="5"/>
      <c r="AK304" s="5"/>
      <c r="AL304" s="5"/>
      <c r="AM304" s="5"/>
      <c r="AN304" s="5"/>
    </row>
    <row r="305" spans="1:40" ht="18.75" customHeight="1">
      <c r="A305" s="5"/>
      <c r="B305" s="5"/>
      <c r="C305" s="5"/>
      <c r="D305" s="5"/>
      <c r="E305" s="5"/>
      <c r="F305" s="5"/>
      <c r="G305" s="5"/>
      <c r="H305" s="5"/>
      <c r="I305" s="5"/>
      <c r="J305" s="5"/>
      <c r="K305" s="5"/>
      <c r="L305" s="5"/>
      <c r="M305" s="5"/>
      <c r="N305" s="5"/>
      <c r="O305" s="5"/>
      <c r="P305" s="5"/>
      <c r="Q305" s="5"/>
      <c r="R305" s="5"/>
      <c r="S305" s="5"/>
      <c r="T305" s="5"/>
      <c r="U305" s="5"/>
      <c r="V305" s="5"/>
      <c r="Y305" s="5"/>
      <c r="Z305" s="5"/>
      <c r="AA305" s="5"/>
      <c r="AB305" s="5"/>
      <c r="AC305" s="5"/>
      <c r="AD305" s="5"/>
      <c r="AE305" s="5"/>
      <c r="AF305" s="5"/>
      <c r="AG305" s="5"/>
      <c r="AH305" s="5"/>
      <c r="AI305" s="5"/>
      <c r="AJ305" s="5"/>
      <c r="AK305" s="5"/>
      <c r="AL305" s="5"/>
      <c r="AM305" s="5"/>
      <c r="AN305" s="5"/>
    </row>
    <row r="306" spans="1:40" ht="18.75" customHeight="1">
      <c r="A306" s="5"/>
      <c r="B306" s="5"/>
      <c r="C306" s="5"/>
      <c r="D306" s="5"/>
      <c r="E306" s="5"/>
      <c r="F306" s="5"/>
      <c r="G306" s="5"/>
      <c r="H306" s="5"/>
      <c r="I306" s="5"/>
      <c r="J306" s="5"/>
      <c r="K306" s="5"/>
      <c r="L306" s="5"/>
      <c r="M306" s="5"/>
      <c r="N306" s="5"/>
      <c r="O306" s="5"/>
      <c r="P306" s="5"/>
      <c r="Q306" s="5"/>
      <c r="R306" s="5"/>
      <c r="S306" s="5"/>
      <c r="T306" s="5"/>
      <c r="U306" s="5"/>
      <c r="V306" s="5"/>
      <c r="Y306" s="5"/>
      <c r="Z306" s="5"/>
      <c r="AA306" s="5"/>
      <c r="AB306" s="5"/>
      <c r="AC306" s="5"/>
      <c r="AD306" s="5"/>
      <c r="AE306" s="5"/>
      <c r="AF306" s="5"/>
      <c r="AG306" s="5"/>
      <c r="AH306" s="5"/>
      <c r="AI306" s="5"/>
      <c r="AJ306" s="5"/>
      <c r="AK306" s="5"/>
      <c r="AL306" s="5"/>
      <c r="AM306" s="5"/>
      <c r="AN306" s="5"/>
    </row>
    <row r="307" spans="1:40" ht="18.75" customHeight="1">
      <c r="A307" s="5"/>
      <c r="B307" s="5"/>
      <c r="C307" s="5"/>
      <c r="D307" s="5"/>
      <c r="E307" s="5"/>
      <c r="F307" s="5"/>
      <c r="G307" s="5"/>
      <c r="H307" s="5"/>
      <c r="I307" s="5"/>
      <c r="J307" s="5"/>
      <c r="K307" s="5"/>
      <c r="L307" s="5"/>
      <c r="M307" s="5"/>
      <c r="N307" s="5"/>
      <c r="O307" s="5"/>
      <c r="P307" s="5"/>
      <c r="Q307" s="5"/>
      <c r="R307" s="5"/>
      <c r="S307" s="5"/>
      <c r="T307" s="5"/>
      <c r="U307" s="5"/>
      <c r="V307" s="5"/>
      <c r="Y307" s="5"/>
      <c r="Z307" s="5"/>
      <c r="AA307" s="5"/>
      <c r="AB307" s="5"/>
      <c r="AC307" s="5"/>
      <c r="AD307" s="5"/>
      <c r="AE307" s="5"/>
      <c r="AF307" s="5"/>
      <c r="AG307" s="5"/>
      <c r="AH307" s="5"/>
      <c r="AI307" s="5"/>
      <c r="AJ307" s="5"/>
      <c r="AK307" s="5"/>
      <c r="AL307" s="5"/>
      <c r="AM307" s="5"/>
      <c r="AN307" s="5"/>
    </row>
    <row r="308" spans="1:40" ht="18.75" customHeight="1">
      <c r="A308" s="5"/>
      <c r="B308" s="5"/>
      <c r="C308" s="5"/>
      <c r="D308" s="5"/>
      <c r="E308" s="5"/>
      <c r="F308" s="5"/>
      <c r="G308" s="5"/>
      <c r="H308" s="5"/>
      <c r="I308" s="5"/>
      <c r="J308" s="5"/>
      <c r="K308" s="5"/>
      <c r="L308" s="5"/>
      <c r="M308" s="5"/>
      <c r="N308" s="5"/>
      <c r="O308" s="5"/>
      <c r="P308" s="5"/>
      <c r="Q308" s="5"/>
      <c r="R308" s="5"/>
      <c r="S308" s="5"/>
      <c r="T308" s="5"/>
      <c r="U308" s="5"/>
      <c r="V308" s="5"/>
      <c r="Y308" s="5"/>
      <c r="Z308" s="5"/>
      <c r="AA308" s="5"/>
      <c r="AB308" s="5"/>
      <c r="AC308" s="5"/>
      <c r="AD308" s="5"/>
      <c r="AE308" s="5"/>
      <c r="AF308" s="5"/>
      <c r="AG308" s="5"/>
      <c r="AH308" s="5"/>
      <c r="AI308" s="5"/>
      <c r="AJ308" s="5"/>
      <c r="AK308" s="5"/>
      <c r="AL308" s="5"/>
      <c r="AM308" s="5"/>
      <c r="AN308" s="5"/>
    </row>
    <row r="309" spans="1:40" ht="18.75" customHeight="1">
      <c r="A309" s="5"/>
      <c r="B309" s="5"/>
      <c r="C309" s="5"/>
      <c r="D309" s="5"/>
      <c r="E309" s="5"/>
      <c r="F309" s="5"/>
      <c r="G309" s="5"/>
      <c r="H309" s="5"/>
      <c r="I309" s="5"/>
      <c r="J309" s="5"/>
      <c r="K309" s="5"/>
      <c r="L309" s="5"/>
      <c r="M309" s="5"/>
      <c r="N309" s="5"/>
      <c r="O309" s="5"/>
      <c r="P309" s="5"/>
      <c r="Q309" s="5"/>
      <c r="R309" s="5"/>
      <c r="S309" s="5"/>
      <c r="T309" s="5"/>
      <c r="U309" s="5"/>
      <c r="V309" s="5"/>
      <c r="Y309" s="5"/>
      <c r="Z309" s="5"/>
      <c r="AA309" s="5"/>
      <c r="AB309" s="5"/>
      <c r="AC309" s="5"/>
      <c r="AD309" s="5"/>
      <c r="AE309" s="5"/>
      <c r="AF309" s="5"/>
      <c r="AG309" s="5"/>
      <c r="AH309" s="5"/>
      <c r="AI309" s="5"/>
      <c r="AJ309" s="5"/>
      <c r="AK309" s="5"/>
      <c r="AL309" s="5"/>
      <c r="AM309" s="5"/>
      <c r="AN309" s="5"/>
    </row>
    <row r="310" spans="1:40" ht="18.75" customHeight="1">
      <c r="A310" s="5"/>
      <c r="B310" s="5"/>
      <c r="C310" s="5"/>
      <c r="D310" s="5"/>
      <c r="E310" s="5"/>
      <c r="F310" s="5"/>
      <c r="G310" s="5"/>
      <c r="H310" s="5"/>
      <c r="I310" s="5"/>
      <c r="J310" s="5"/>
      <c r="K310" s="5"/>
      <c r="L310" s="5"/>
      <c r="M310" s="5"/>
      <c r="N310" s="5"/>
      <c r="O310" s="5"/>
      <c r="P310" s="5"/>
      <c r="Q310" s="5"/>
      <c r="R310" s="5"/>
      <c r="S310" s="5"/>
      <c r="T310" s="5"/>
      <c r="U310" s="5"/>
      <c r="V310" s="5"/>
      <c r="Y310" s="5"/>
      <c r="Z310" s="5"/>
      <c r="AA310" s="5"/>
      <c r="AB310" s="5"/>
      <c r="AC310" s="5"/>
      <c r="AD310" s="5"/>
      <c r="AE310" s="5"/>
      <c r="AF310" s="5"/>
      <c r="AG310" s="5"/>
      <c r="AH310" s="5"/>
      <c r="AI310" s="5"/>
      <c r="AJ310" s="5"/>
      <c r="AK310" s="5"/>
      <c r="AL310" s="5"/>
      <c r="AM310" s="5"/>
      <c r="AN310" s="5"/>
    </row>
    <row r="311" spans="1:40" ht="18.75" customHeight="1">
      <c r="A311" s="5"/>
      <c r="B311" s="5"/>
      <c r="C311" s="5"/>
      <c r="D311" s="5"/>
      <c r="E311" s="5"/>
      <c r="F311" s="5"/>
      <c r="G311" s="5"/>
      <c r="H311" s="5"/>
      <c r="I311" s="5"/>
      <c r="J311" s="5"/>
      <c r="K311" s="5"/>
      <c r="L311" s="5"/>
      <c r="M311" s="5"/>
      <c r="N311" s="5"/>
      <c r="O311" s="5"/>
      <c r="P311" s="5"/>
      <c r="Q311" s="5"/>
      <c r="R311" s="5"/>
      <c r="S311" s="5"/>
      <c r="T311" s="5"/>
      <c r="U311" s="5"/>
      <c r="V311" s="5"/>
      <c r="Y311" s="5"/>
      <c r="Z311" s="5"/>
      <c r="AA311" s="5"/>
      <c r="AB311" s="5"/>
      <c r="AC311" s="5"/>
      <c r="AD311" s="5"/>
      <c r="AE311" s="5"/>
      <c r="AF311" s="5"/>
      <c r="AG311" s="5"/>
      <c r="AH311" s="5"/>
      <c r="AI311" s="5"/>
      <c r="AJ311" s="5"/>
      <c r="AK311" s="5"/>
      <c r="AL311" s="5"/>
      <c r="AM311" s="5"/>
      <c r="AN311" s="5"/>
    </row>
    <row r="312" spans="1:40" ht="18.75" customHeight="1">
      <c r="A312" s="5"/>
      <c r="B312" s="5"/>
      <c r="C312" s="5"/>
      <c r="D312" s="5"/>
      <c r="E312" s="5"/>
      <c r="F312" s="5"/>
      <c r="G312" s="5"/>
      <c r="H312" s="5"/>
      <c r="I312" s="5"/>
      <c r="J312" s="5"/>
      <c r="K312" s="5"/>
      <c r="L312" s="5"/>
      <c r="M312" s="5"/>
      <c r="N312" s="5"/>
      <c r="O312" s="5"/>
      <c r="P312" s="5"/>
      <c r="Q312" s="5"/>
      <c r="R312" s="5"/>
      <c r="S312" s="5"/>
      <c r="T312" s="5"/>
      <c r="U312" s="5"/>
      <c r="V312" s="5"/>
      <c r="Y312" s="5"/>
      <c r="Z312" s="5"/>
      <c r="AA312" s="5"/>
      <c r="AB312" s="5"/>
      <c r="AC312" s="5"/>
      <c r="AD312" s="5"/>
      <c r="AE312" s="5"/>
      <c r="AF312" s="5"/>
      <c r="AG312" s="5"/>
      <c r="AH312" s="5"/>
      <c r="AI312" s="5"/>
      <c r="AJ312" s="5"/>
      <c r="AK312" s="5"/>
      <c r="AL312" s="5"/>
      <c r="AM312" s="5"/>
      <c r="AN312" s="5"/>
    </row>
    <row r="313" spans="1:40" ht="18.75" customHeight="1">
      <c r="A313" s="5"/>
      <c r="B313" s="5"/>
      <c r="C313" s="5"/>
      <c r="D313" s="5"/>
      <c r="E313" s="5"/>
      <c r="F313" s="5"/>
      <c r="G313" s="5"/>
      <c r="H313" s="5"/>
      <c r="I313" s="5"/>
      <c r="J313" s="5"/>
      <c r="K313" s="5"/>
      <c r="L313" s="5"/>
      <c r="M313" s="5"/>
      <c r="N313" s="5"/>
      <c r="O313" s="5"/>
      <c r="P313" s="5"/>
      <c r="Q313" s="5"/>
      <c r="R313" s="5"/>
      <c r="S313" s="5"/>
      <c r="T313" s="5"/>
      <c r="U313" s="5"/>
      <c r="V313" s="5"/>
      <c r="Y313" s="5"/>
      <c r="Z313" s="5"/>
      <c r="AA313" s="5"/>
      <c r="AB313" s="5"/>
      <c r="AC313" s="5"/>
      <c r="AD313" s="5"/>
      <c r="AE313" s="5"/>
      <c r="AF313" s="5"/>
      <c r="AG313" s="5"/>
      <c r="AH313" s="5"/>
      <c r="AI313" s="5"/>
      <c r="AJ313" s="5"/>
      <c r="AK313" s="5"/>
      <c r="AL313" s="5"/>
      <c r="AM313" s="5"/>
      <c r="AN313" s="5"/>
    </row>
    <row r="314" spans="1:40" ht="18.75" customHeight="1">
      <c r="A314" s="5"/>
      <c r="B314" s="5"/>
      <c r="C314" s="5"/>
      <c r="D314" s="5"/>
      <c r="E314" s="5"/>
      <c r="F314" s="5"/>
      <c r="G314" s="5"/>
      <c r="H314" s="5"/>
      <c r="I314" s="5"/>
      <c r="J314" s="5"/>
      <c r="K314" s="5"/>
      <c r="L314" s="5"/>
      <c r="M314" s="5"/>
      <c r="N314" s="5"/>
      <c r="O314" s="5"/>
      <c r="P314" s="5"/>
      <c r="Q314" s="5"/>
      <c r="R314" s="5"/>
      <c r="S314" s="5"/>
      <c r="T314" s="5"/>
      <c r="U314" s="5"/>
      <c r="V314" s="5"/>
      <c r="Y314" s="5"/>
      <c r="Z314" s="5"/>
      <c r="AA314" s="5"/>
      <c r="AB314" s="5"/>
      <c r="AC314" s="5"/>
      <c r="AD314" s="5"/>
      <c r="AE314" s="5"/>
      <c r="AF314" s="5"/>
      <c r="AG314" s="5"/>
      <c r="AH314" s="5"/>
      <c r="AI314" s="5"/>
      <c r="AJ314" s="5"/>
      <c r="AK314" s="5"/>
      <c r="AL314" s="5"/>
      <c r="AM314" s="5"/>
      <c r="AN314" s="5"/>
    </row>
    <row r="315" spans="1:40" ht="18.75" customHeight="1">
      <c r="A315" s="5"/>
      <c r="B315" s="5"/>
      <c r="C315" s="5"/>
      <c r="D315" s="5"/>
      <c r="E315" s="5"/>
      <c r="F315" s="5"/>
      <c r="G315" s="5"/>
      <c r="H315" s="5"/>
      <c r="I315" s="5"/>
      <c r="J315" s="5"/>
      <c r="K315" s="5"/>
      <c r="L315" s="5"/>
      <c r="M315" s="5"/>
      <c r="N315" s="5"/>
      <c r="O315" s="5"/>
      <c r="P315" s="5"/>
      <c r="Q315" s="5"/>
      <c r="R315" s="5"/>
      <c r="S315" s="5"/>
      <c r="T315" s="5"/>
      <c r="U315" s="5"/>
      <c r="V315" s="5"/>
      <c r="Y315" s="5"/>
      <c r="Z315" s="5"/>
      <c r="AA315" s="5"/>
      <c r="AB315" s="5"/>
      <c r="AC315" s="5"/>
      <c r="AD315" s="5"/>
      <c r="AE315" s="5"/>
      <c r="AF315" s="5"/>
      <c r="AG315" s="5"/>
      <c r="AH315" s="5"/>
      <c r="AI315" s="5"/>
      <c r="AJ315" s="5"/>
      <c r="AK315" s="5"/>
      <c r="AL315" s="5"/>
      <c r="AM315" s="5"/>
      <c r="AN315" s="5"/>
    </row>
    <row r="316" spans="1:40" ht="18.75" customHeight="1">
      <c r="A316" s="5"/>
      <c r="B316" s="5"/>
      <c r="C316" s="5"/>
      <c r="D316" s="5"/>
      <c r="E316" s="5"/>
      <c r="F316" s="5"/>
      <c r="G316" s="5"/>
      <c r="H316" s="5"/>
      <c r="I316" s="5"/>
      <c r="J316" s="5"/>
      <c r="K316" s="5"/>
      <c r="L316" s="5"/>
      <c r="M316" s="5"/>
      <c r="N316" s="5"/>
      <c r="O316" s="5"/>
      <c r="P316" s="5"/>
      <c r="Q316" s="5"/>
      <c r="R316" s="5"/>
      <c r="S316" s="5"/>
      <c r="T316" s="5"/>
      <c r="U316" s="5"/>
      <c r="V316" s="5"/>
      <c r="Y316" s="5"/>
      <c r="Z316" s="5"/>
      <c r="AA316" s="5"/>
      <c r="AB316" s="5"/>
      <c r="AC316" s="5"/>
      <c r="AD316" s="5"/>
      <c r="AE316" s="5"/>
      <c r="AF316" s="5"/>
      <c r="AG316" s="5"/>
      <c r="AH316" s="5"/>
      <c r="AI316" s="5"/>
      <c r="AJ316" s="5"/>
      <c r="AK316" s="5"/>
      <c r="AL316" s="5"/>
      <c r="AM316" s="5"/>
      <c r="AN316" s="5"/>
    </row>
    <row r="317" spans="1:40" ht="18.75" customHeight="1">
      <c r="A317" s="5"/>
      <c r="B317" s="5"/>
      <c r="C317" s="5"/>
      <c r="D317" s="5"/>
      <c r="E317" s="5"/>
      <c r="F317" s="5"/>
      <c r="G317" s="5"/>
      <c r="H317" s="5"/>
      <c r="I317" s="5"/>
      <c r="J317" s="5"/>
      <c r="K317" s="5"/>
      <c r="L317" s="5"/>
      <c r="M317" s="5"/>
      <c r="N317" s="5"/>
      <c r="O317" s="5"/>
      <c r="P317" s="5"/>
      <c r="Q317" s="5"/>
      <c r="R317" s="5"/>
      <c r="S317" s="5"/>
      <c r="T317" s="5"/>
      <c r="U317" s="5"/>
      <c r="V317" s="5"/>
      <c r="Y317" s="5"/>
      <c r="Z317" s="5"/>
      <c r="AA317" s="5"/>
      <c r="AB317" s="5"/>
      <c r="AC317" s="5"/>
      <c r="AD317" s="5"/>
      <c r="AE317" s="5"/>
      <c r="AF317" s="5"/>
      <c r="AG317" s="5"/>
      <c r="AH317" s="5"/>
      <c r="AI317" s="5"/>
      <c r="AJ317" s="5"/>
      <c r="AK317" s="5"/>
      <c r="AL317" s="5"/>
      <c r="AM317" s="5"/>
      <c r="AN317" s="5"/>
    </row>
    <row r="318" spans="1:40" ht="18.75" customHeight="1">
      <c r="A318" s="5"/>
      <c r="B318" s="5"/>
      <c r="C318" s="5"/>
      <c r="D318" s="5"/>
      <c r="E318" s="5"/>
      <c r="F318" s="5"/>
      <c r="G318" s="5"/>
      <c r="H318" s="5"/>
      <c r="I318" s="5"/>
      <c r="J318" s="5"/>
      <c r="K318" s="5"/>
      <c r="L318" s="5"/>
      <c r="M318" s="5"/>
      <c r="N318" s="5"/>
      <c r="O318" s="5"/>
      <c r="P318" s="5"/>
      <c r="Q318" s="5"/>
      <c r="R318" s="5"/>
      <c r="S318" s="5"/>
      <c r="T318" s="5"/>
      <c r="U318" s="5"/>
      <c r="V318" s="5"/>
      <c r="Y318" s="5"/>
      <c r="Z318" s="5"/>
      <c r="AA318" s="5"/>
      <c r="AB318" s="5"/>
      <c r="AC318" s="5"/>
      <c r="AD318" s="5"/>
      <c r="AE318" s="5"/>
      <c r="AF318" s="5"/>
      <c r="AG318" s="5"/>
      <c r="AH318" s="5"/>
      <c r="AI318" s="5"/>
      <c r="AJ318" s="5"/>
      <c r="AK318" s="5"/>
      <c r="AL318" s="5"/>
      <c r="AM318" s="5"/>
      <c r="AN318" s="5"/>
    </row>
    <row r="319" spans="1:40" ht="18.75" customHeight="1">
      <c r="A319" s="5"/>
      <c r="B319" s="5"/>
      <c r="C319" s="5"/>
      <c r="D319" s="5"/>
      <c r="E319" s="5"/>
      <c r="F319" s="5"/>
      <c r="G319" s="5"/>
      <c r="H319" s="5"/>
      <c r="I319" s="5"/>
      <c r="J319" s="5"/>
      <c r="K319" s="5"/>
      <c r="L319" s="5"/>
      <c r="M319" s="5"/>
      <c r="N319" s="5"/>
      <c r="O319" s="5"/>
      <c r="P319" s="5"/>
      <c r="Q319" s="5"/>
      <c r="R319" s="5"/>
      <c r="S319" s="5"/>
      <c r="T319" s="5"/>
      <c r="U319" s="5"/>
      <c r="V319" s="5"/>
      <c r="Y319" s="5"/>
      <c r="Z319" s="5"/>
      <c r="AA319" s="5"/>
      <c r="AB319" s="5"/>
      <c r="AC319" s="5"/>
      <c r="AD319" s="5"/>
      <c r="AE319" s="5"/>
      <c r="AF319" s="5"/>
      <c r="AG319" s="5"/>
      <c r="AH319" s="5"/>
      <c r="AI319" s="5"/>
      <c r="AJ319" s="5"/>
      <c r="AK319" s="5"/>
      <c r="AL319" s="5"/>
      <c r="AM319" s="5"/>
      <c r="AN319" s="5"/>
    </row>
    <row r="320" spans="1:40" ht="18.75" customHeight="1">
      <c r="A320" s="5"/>
      <c r="B320" s="5"/>
      <c r="C320" s="5"/>
      <c r="D320" s="5"/>
      <c r="E320" s="5"/>
      <c r="F320" s="5"/>
      <c r="G320" s="5"/>
      <c r="H320" s="5"/>
      <c r="I320" s="5"/>
      <c r="J320" s="5"/>
      <c r="K320" s="5"/>
      <c r="L320" s="5"/>
      <c r="M320" s="5"/>
      <c r="N320" s="5"/>
      <c r="O320" s="5"/>
      <c r="P320" s="5"/>
      <c r="Q320" s="5"/>
      <c r="R320" s="5"/>
      <c r="S320" s="5"/>
      <c r="T320" s="5"/>
      <c r="U320" s="5"/>
      <c r="V320" s="5"/>
      <c r="Y320" s="5"/>
      <c r="Z320" s="5"/>
      <c r="AA320" s="5"/>
      <c r="AB320" s="5"/>
      <c r="AC320" s="5"/>
      <c r="AD320" s="5"/>
      <c r="AE320" s="5"/>
      <c r="AF320" s="5"/>
      <c r="AG320" s="5"/>
      <c r="AH320" s="5"/>
      <c r="AI320" s="5"/>
      <c r="AJ320" s="5"/>
      <c r="AK320" s="5"/>
      <c r="AL320" s="5"/>
      <c r="AM320" s="5"/>
      <c r="AN320" s="5"/>
    </row>
    <row r="321" spans="1:40" ht="18.75" customHeight="1">
      <c r="A321" s="5"/>
      <c r="B321" s="5"/>
      <c r="C321" s="5"/>
      <c r="D321" s="5"/>
      <c r="E321" s="5"/>
      <c r="F321" s="5"/>
      <c r="G321" s="5"/>
      <c r="H321" s="5"/>
      <c r="I321" s="5"/>
      <c r="J321" s="5"/>
      <c r="K321" s="5"/>
      <c r="L321" s="5"/>
      <c r="M321" s="5"/>
      <c r="N321" s="5"/>
      <c r="O321" s="5"/>
      <c r="P321" s="5"/>
      <c r="Q321" s="5"/>
      <c r="R321" s="5"/>
      <c r="S321" s="5"/>
      <c r="T321" s="5"/>
      <c r="U321" s="5"/>
      <c r="V321" s="5"/>
      <c r="Y321" s="5"/>
      <c r="Z321" s="5"/>
      <c r="AA321" s="5"/>
      <c r="AB321" s="5"/>
      <c r="AC321" s="5"/>
      <c r="AD321" s="5"/>
      <c r="AE321" s="5"/>
      <c r="AF321" s="5"/>
      <c r="AG321" s="5"/>
      <c r="AH321" s="5"/>
      <c r="AI321" s="5"/>
      <c r="AJ321" s="5"/>
      <c r="AK321" s="5"/>
      <c r="AL321" s="5"/>
      <c r="AM321" s="5"/>
      <c r="AN321" s="5"/>
    </row>
    <row r="322" spans="1:40" ht="18.75" customHeight="1">
      <c r="A322" s="5"/>
      <c r="B322" s="5"/>
      <c r="C322" s="5"/>
      <c r="D322" s="5"/>
      <c r="E322" s="5"/>
      <c r="F322" s="5"/>
      <c r="G322" s="5"/>
      <c r="H322" s="5"/>
      <c r="I322" s="5"/>
      <c r="J322" s="5"/>
      <c r="K322" s="5"/>
      <c r="L322" s="5"/>
      <c r="M322" s="5"/>
      <c r="N322" s="5"/>
      <c r="O322" s="5"/>
      <c r="P322" s="5"/>
      <c r="Q322" s="5"/>
      <c r="R322" s="5"/>
      <c r="S322" s="5"/>
      <c r="T322" s="5"/>
      <c r="U322" s="5"/>
      <c r="V322" s="5"/>
      <c r="Y322" s="5"/>
      <c r="Z322" s="5"/>
      <c r="AA322" s="5"/>
      <c r="AB322" s="5"/>
      <c r="AC322" s="5"/>
      <c r="AD322" s="5"/>
      <c r="AE322" s="5"/>
      <c r="AF322" s="5"/>
      <c r="AG322" s="5"/>
      <c r="AH322" s="5"/>
      <c r="AI322" s="5"/>
      <c r="AJ322" s="5"/>
      <c r="AK322" s="5"/>
      <c r="AL322" s="5"/>
      <c r="AM322" s="5"/>
      <c r="AN322" s="5"/>
    </row>
    <row r="323" spans="1:40" ht="18.75" customHeight="1">
      <c r="A323" s="5"/>
      <c r="B323" s="5"/>
      <c r="C323" s="5"/>
      <c r="D323" s="5"/>
      <c r="E323" s="5"/>
      <c r="F323" s="5"/>
      <c r="G323" s="5"/>
      <c r="H323" s="5"/>
      <c r="I323" s="5"/>
      <c r="J323" s="5"/>
      <c r="K323" s="5"/>
      <c r="L323" s="5"/>
      <c r="M323" s="5"/>
      <c r="N323" s="5"/>
      <c r="O323" s="5"/>
      <c r="P323" s="5"/>
      <c r="Q323" s="5"/>
      <c r="R323" s="5"/>
      <c r="S323" s="5"/>
      <c r="T323" s="5"/>
      <c r="U323" s="5"/>
      <c r="V323" s="5"/>
      <c r="Y323" s="5"/>
      <c r="Z323" s="5"/>
      <c r="AA323" s="5"/>
      <c r="AB323" s="5"/>
      <c r="AC323" s="5"/>
      <c r="AD323" s="5"/>
      <c r="AE323" s="5"/>
      <c r="AF323" s="5"/>
      <c r="AG323" s="5"/>
      <c r="AH323" s="5"/>
      <c r="AI323" s="5"/>
      <c r="AJ323" s="5"/>
      <c r="AK323" s="5"/>
      <c r="AL323" s="5"/>
      <c r="AM323" s="5"/>
      <c r="AN323" s="5"/>
    </row>
    <row r="324" spans="1:40" ht="18.75" customHeight="1">
      <c r="A324" s="5"/>
      <c r="B324" s="5"/>
      <c r="C324" s="5"/>
      <c r="D324" s="5"/>
      <c r="E324" s="5"/>
      <c r="F324" s="5"/>
      <c r="G324" s="5"/>
      <c r="H324" s="5"/>
      <c r="I324" s="5"/>
      <c r="J324" s="5"/>
      <c r="K324" s="5"/>
      <c r="L324" s="5"/>
      <c r="M324" s="5"/>
      <c r="N324" s="5"/>
      <c r="O324" s="5"/>
      <c r="P324" s="5"/>
      <c r="Q324" s="5"/>
      <c r="R324" s="5"/>
      <c r="S324" s="5"/>
      <c r="T324" s="5"/>
      <c r="U324" s="5"/>
      <c r="V324" s="5"/>
      <c r="Y324" s="5"/>
      <c r="Z324" s="5"/>
      <c r="AA324" s="5"/>
      <c r="AB324" s="5"/>
      <c r="AC324" s="5"/>
      <c r="AD324" s="5"/>
      <c r="AE324" s="5"/>
      <c r="AF324" s="5"/>
      <c r="AG324" s="5"/>
      <c r="AH324" s="5"/>
      <c r="AI324" s="5"/>
      <c r="AJ324" s="5"/>
      <c r="AK324" s="5"/>
      <c r="AL324" s="5"/>
      <c r="AM324" s="5"/>
      <c r="AN324" s="5"/>
    </row>
    <row r="325" spans="1:40" ht="18.75" customHeight="1">
      <c r="A325" s="5"/>
      <c r="B325" s="5"/>
      <c r="C325" s="5"/>
      <c r="D325" s="5"/>
      <c r="E325" s="5"/>
      <c r="F325" s="5"/>
      <c r="G325" s="5"/>
      <c r="H325" s="5"/>
      <c r="I325" s="5"/>
      <c r="J325" s="5"/>
      <c r="K325" s="5"/>
      <c r="L325" s="5"/>
      <c r="M325" s="5"/>
      <c r="N325" s="5"/>
      <c r="O325" s="5"/>
      <c r="P325" s="5"/>
      <c r="Q325" s="5"/>
      <c r="R325" s="5"/>
      <c r="S325" s="5"/>
      <c r="T325" s="5"/>
      <c r="U325" s="5"/>
      <c r="V325" s="5"/>
      <c r="Y325" s="5"/>
      <c r="Z325" s="5"/>
      <c r="AA325" s="5"/>
      <c r="AB325" s="5"/>
      <c r="AC325" s="5"/>
      <c r="AD325" s="5"/>
      <c r="AE325" s="5"/>
      <c r="AF325" s="5"/>
      <c r="AG325" s="5"/>
      <c r="AH325" s="5"/>
      <c r="AI325" s="5"/>
      <c r="AJ325" s="5"/>
      <c r="AK325" s="5"/>
      <c r="AL325" s="5"/>
      <c r="AM325" s="5"/>
      <c r="AN325" s="5"/>
    </row>
    <row r="326" spans="1:40" ht="18.75" customHeight="1">
      <c r="A326" s="5"/>
      <c r="B326" s="5"/>
      <c r="C326" s="5"/>
      <c r="D326" s="5"/>
      <c r="E326" s="5"/>
      <c r="F326" s="5"/>
      <c r="G326" s="5"/>
      <c r="H326" s="5"/>
      <c r="I326" s="5"/>
      <c r="J326" s="5"/>
      <c r="K326" s="5"/>
      <c r="L326" s="5"/>
      <c r="M326" s="5"/>
      <c r="N326" s="5"/>
      <c r="O326" s="5"/>
      <c r="P326" s="5"/>
      <c r="Q326" s="5"/>
      <c r="R326" s="5"/>
      <c r="S326" s="5"/>
      <c r="T326" s="5"/>
      <c r="U326" s="5"/>
      <c r="V326" s="5"/>
      <c r="Y326" s="5"/>
      <c r="Z326" s="5"/>
      <c r="AA326" s="5"/>
      <c r="AB326" s="5"/>
      <c r="AC326" s="5"/>
      <c r="AD326" s="5"/>
      <c r="AE326" s="5"/>
      <c r="AF326" s="5"/>
      <c r="AG326" s="5"/>
      <c r="AH326" s="5"/>
      <c r="AI326" s="5"/>
      <c r="AJ326" s="5"/>
      <c r="AK326" s="5"/>
      <c r="AL326" s="5"/>
      <c r="AM326" s="5"/>
      <c r="AN326" s="5"/>
    </row>
    <row r="327" spans="1:40" ht="18.75" customHeight="1">
      <c r="A327" s="5"/>
      <c r="B327" s="5"/>
      <c r="C327" s="5"/>
      <c r="D327" s="5"/>
      <c r="E327" s="5"/>
      <c r="F327" s="5"/>
      <c r="G327" s="5"/>
      <c r="H327" s="5"/>
      <c r="I327" s="5"/>
      <c r="J327" s="5"/>
      <c r="K327" s="5"/>
      <c r="L327" s="5"/>
      <c r="M327" s="5"/>
      <c r="N327" s="5"/>
      <c r="O327" s="5"/>
      <c r="P327" s="5"/>
      <c r="Q327" s="5"/>
      <c r="R327" s="5"/>
      <c r="S327" s="5"/>
      <c r="T327" s="5"/>
      <c r="U327" s="5"/>
      <c r="V327" s="5"/>
      <c r="Y327" s="5"/>
      <c r="Z327" s="5"/>
      <c r="AA327" s="5"/>
      <c r="AB327" s="5"/>
      <c r="AC327" s="5"/>
      <c r="AD327" s="5"/>
      <c r="AE327" s="5"/>
      <c r="AF327" s="5"/>
      <c r="AG327" s="5"/>
      <c r="AH327" s="5"/>
      <c r="AI327" s="5"/>
      <c r="AJ327" s="5"/>
      <c r="AK327" s="5"/>
      <c r="AL327" s="5"/>
      <c r="AM327" s="5"/>
      <c r="AN327" s="5"/>
    </row>
    <row r="328" spans="1:40" ht="18.75" customHeight="1">
      <c r="A328" s="5"/>
      <c r="B328" s="5"/>
      <c r="C328" s="5"/>
      <c r="D328" s="5"/>
      <c r="E328" s="5"/>
      <c r="F328" s="5"/>
      <c r="G328" s="5"/>
      <c r="H328" s="5"/>
      <c r="I328" s="5"/>
      <c r="J328" s="5"/>
      <c r="K328" s="5"/>
      <c r="L328" s="5"/>
      <c r="M328" s="5"/>
      <c r="N328" s="5"/>
      <c r="O328" s="5"/>
      <c r="P328" s="5"/>
      <c r="Q328" s="5"/>
      <c r="R328" s="5"/>
      <c r="S328" s="5"/>
      <c r="T328" s="5"/>
      <c r="U328" s="5"/>
      <c r="V328" s="5"/>
      <c r="Y328" s="5"/>
      <c r="Z328" s="5"/>
      <c r="AA328" s="5"/>
      <c r="AB328" s="5"/>
      <c r="AC328" s="5"/>
      <c r="AD328" s="5"/>
      <c r="AE328" s="5"/>
      <c r="AF328" s="5"/>
      <c r="AG328" s="5"/>
      <c r="AH328" s="5"/>
      <c r="AI328" s="5"/>
      <c r="AJ328" s="5"/>
      <c r="AK328" s="5"/>
      <c r="AL328" s="5"/>
      <c r="AM328" s="5"/>
      <c r="AN328" s="5"/>
    </row>
    <row r="329" spans="1:40" ht="18.75" customHeight="1">
      <c r="A329" s="5"/>
      <c r="B329" s="5"/>
      <c r="C329" s="5"/>
      <c r="D329" s="5"/>
      <c r="E329" s="5"/>
      <c r="F329" s="5"/>
      <c r="G329" s="5"/>
      <c r="H329" s="5"/>
      <c r="I329" s="5"/>
      <c r="J329" s="5"/>
      <c r="K329" s="5"/>
      <c r="L329" s="5"/>
      <c r="M329" s="5"/>
      <c r="N329" s="5"/>
      <c r="O329" s="5"/>
      <c r="P329" s="5"/>
      <c r="Q329" s="5"/>
      <c r="R329" s="5"/>
      <c r="S329" s="5"/>
      <c r="T329" s="5"/>
      <c r="U329" s="5"/>
      <c r="V329" s="5"/>
      <c r="Y329" s="5"/>
      <c r="Z329" s="5"/>
      <c r="AA329" s="5"/>
      <c r="AB329" s="5"/>
      <c r="AC329" s="5"/>
      <c r="AD329" s="5"/>
      <c r="AE329" s="5"/>
      <c r="AF329" s="5"/>
      <c r="AG329" s="5"/>
      <c r="AH329" s="5"/>
      <c r="AI329" s="5"/>
      <c r="AJ329" s="5"/>
      <c r="AK329" s="5"/>
      <c r="AL329" s="5"/>
      <c r="AM329" s="5"/>
      <c r="AN329" s="5"/>
    </row>
    <row r="330" spans="1:40" ht="18.75" customHeight="1">
      <c r="A330" s="5"/>
      <c r="B330" s="5"/>
      <c r="C330" s="5"/>
      <c r="D330" s="5"/>
      <c r="E330" s="5"/>
      <c r="F330" s="5"/>
      <c r="G330" s="5"/>
      <c r="H330" s="5"/>
      <c r="I330" s="5"/>
      <c r="J330" s="5"/>
      <c r="K330" s="5"/>
      <c r="L330" s="5"/>
      <c r="M330" s="5"/>
      <c r="N330" s="5"/>
      <c r="O330" s="5"/>
      <c r="P330" s="5"/>
      <c r="Q330" s="5"/>
      <c r="R330" s="5"/>
      <c r="S330" s="5"/>
      <c r="T330" s="5"/>
      <c r="U330" s="5"/>
      <c r="V330" s="5"/>
      <c r="Y330" s="5"/>
      <c r="Z330" s="5"/>
      <c r="AA330" s="5"/>
      <c r="AB330" s="5"/>
      <c r="AC330" s="5"/>
      <c r="AD330" s="5"/>
      <c r="AE330" s="5"/>
      <c r="AF330" s="5"/>
      <c r="AG330" s="5"/>
      <c r="AH330" s="5"/>
      <c r="AI330" s="5"/>
      <c r="AJ330" s="5"/>
      <c r="AK330" s="5"/>
      <c r="AL330" s="5"/>
      <c r="AM330" s="5"/>
      <c r="AN330" s="5"/>
    </row>
    <row r="331" spans="1:40" ht="18.75" customHeight="1">
      <c r="A331" s="5"/>
      <c r="B331" s="5"/>
      <c r="C331" s="5"/>
      <c r="D331" s="5"/>
      <c r="E331" s="5"/>
      <c r="F331" s="5"/>
      <c r="G331" s="5"/>
      <c r="H331" s="5"/>
      <c r="I331" s="5"/>
      <c r="J331" s="5"/>
      <c r="K331" s="5"/>
      <c r="L331" s="5"/>
      <c r="M331" s="5"/>
      <c r="N331" s="5"/>
      <c r="O331" s="5"/>
      <c r="P331" s="5"/>
      <c r="Q331" s="5"/>
      <c r="R331" s="5"/>
      <c r="S331" s="5"/>
      <c r="T331" s="5"/>
      <c r="U331" s="5"/>
      <c r="V331" s="5"/>
      <c r="Y331" s="5"/>
      <c r="Z331" s="5"/>
      <c r="AA331" s="5"/>
      <c r="AB331" s="5"/>
      <c r="AC331" s="5"/>
      <c r="AD331" s="5"/>
      <c r="AE331" s="5"/>
      <c r="AF331" s="5"/>
      <c r="AG331" s="5"/>
      <c r="AH331" s="5"/>
      <c r="AI331" s="5"/>
      <c r="AJ331" s="5"/>
      <c r="AK331" s="5"/>
      <c r="AL331" s="5"/>
      <c r="AM331" s="5"/>
      <c r="AN331" s="5"/>
    </row>
    <row r="332" spans="1:40" ht="18.75" customHeight="1">
      <c r="A332" s="5"/>
      <c r="B332" s="5"/>
      <c r="C332" s="5"/>
      <c r="D332" s="5"/>
      <c r="E332" s="5"/>
      <c r="F332" s="5"/>
      <c r="G332" s="5"/>
      <c r="H332" s="5"/>
      <c r="I332" s="5"/>
      <c r="J332" s="5"/>
      <c r="K332" s="5"/>
      <c r="L332" s="5"/>
      <c r="M332" s="5"/>
      <c r="N332" s="5"/>
      <c r="O332" s="5"/>
      <c r="P332" s="5"/>
      <c r="Q332" s="5"/>
      <c r="R332" s="5"/>
      <c r="S332" s="5"/>
      <c r="T332" s="5"/>
      <c r="U332" s="5"/>
      <c r="V332" s="5"/>
      <c r="Y332" s="5"/>
      <c r="Z332" s="5"/>
      <c r="AA332" s="5"/>
      <c r="AB332" s="5"/>
      <c r="AC332" s="5"/>
      <c r="AD332" s="5"/>
      <c r="AE332" s="5"/>
      <c r="AF332" s="5"/>
      <c r="AG332" s="5"/>
      <c r="AH332" s="5"/>
      <c r="AI332" s="5"/>
      <c r="AJ332" s="5"/>
      <c r="AK332" s="5"/>
      <c r="AL332" s="5"/>
      <c r="AM332" s="5"/>
      <c r="AN332" s="5"/>
    </row>
    <row r="333" spans="1:40" ht="18.75" customHeight="1">
      <c r="A333" s="5"/>
      <c r="B333" s="5"/>
      <c r="C333" s="5"/>
      <c r="D333" s="5"/>
      <c r="E333" s="5"/>
      <c r="F333" s="5"/>
      <c r="G333" s="5"/>
      <c r="H333" s="5"/>
      <c r="I333" s="5"/>
      <c r="J333" s="5"/>
      <c r="K333" s="5"/>
      <c r="L333" s="5"/>
      <c r="M333" s="5"/>
      <c r="N333" s="5"/>
      <c r="O333" s="5"/>
      <c r="P333" s="5"/>
      <c r="Q333" s="5"/>
      <c r="R333" s="5"/>
      <c r="S333" s="5"/>
      <c r="T333" s="5"/>
      <c r="U333" s="5"/>
      <c r="V333" s="5"/>
      <c r="Y333" s="5"/>
      <c r="Z333" s="5"/>
      <c r="AA333" s="5"/>
      <c r="AB333" s="5"/>
      <c r="AC333" s="5"/>
      <c r="AD333" s="5"/>
      <c r="AE333" s="5"/>
      <c r="AF333" s="5"/>
      <c r="AG333" s="5"/>
      <c r="AH333" s="5"/>
      <c r="AI333" s="5"/>
      <c r="AJ333" s="5"/>
      <c r="AK333" s="5"/>
      <c r="AL333" s="5"/>
      <c r="AM333" s="5"/>
      <c r="AN333" s="5"/>
    </row>
    <row r="334" spans="1:40" ht="18.75" customHeight="1">
      <c r="A334" s="5"/>
      <c r="B334" s="5"/>
      <c r="C334" s="5"/>
      <c r="D334" s="5"/>
      <c r="E334" s="5"/>
      <c r="F334" s="5"/>
      <c r="G334" s="5"/>
      <c r="H334" s="5"/>
      <c r="I334" s="5"/>
      <c r="J334" s="5"/>
      <c r="K334" s="5"/>
      <c r="L334" s="5"/>
      <c r="M334" s="5"/>
      <c r="N334" s="5"/>
      <c r="O334" s="5"/>
      <c r="P334" s="5"/>
      <c r="Q334" s="5"/>
      <c r="R334" s="5"/>
      <c r="S334" s="5"/>
      <c r="T334" s="5"/>
      <c r="U334" s="5"/>
      <c r="V334" s="5"/>
      <c r="Y334" s="5"/>
      <c r="Z334" s="5"/>
      <c r="AA334" s="5"/>
      <c r="AB334" s="5"/>
      <c r="AC334" s="5"/>
      <c r="AD334" s="5"/>
      <c r="AE334" s="5"/>
      <c r="AF334" s="5"/>
      <c r="AG334" s="5"/>
      <c r="AH334" s="5"/>
      <c r="AI334" s="5"/>
      <c r="AJ334" s="5"/>
      <c r="AK334" s="5"/>
      <c r="AL334" s="5"/>
      <c r="AM334" s="5"/>
      <c r="AN334" s="5"/>
    </row>
    <row r="335" spans="1:40" ht="18.75" customHeight="1">
      <c r="A335" s="5"/>
      <c r="B335" s="5"/>
      <c r="C335" s="5"/>
      <c r="D335" s="5"/>
      <c r="E335" s="5"/>
      <c r="F335" s="5"/>
      <c r="G335" s="5"/>
      <c r="H335" s="5"/>
      <c r="I335" s="5"/>
      <c r="J335" s="5"/>
      <c r="K335" s="5"/>
      <c r="L335" s="5"/>
      <c r="M335" s="5"/>
      <c r="N335" s="5"/>
      <c r="O335" s="5"/>
      <c r="P335" s="5"/>
      <c r="Q335" s="5"/>
      <c r="R335" s="5"/>
      <c r="S335" s="5"/>
      <c r="T335" s="5"/>
      <c r="U335" s="5"/>
      <c r="V335" s="5"/>
      <c r="Y335" s="5"/>
      <c r="Z335" s="5"/>
      <c r="AA335" s="5"/>
      <c r="AB335" s="5"/>
      <c r="AC335" s="5"/>
      <c r="AD335" s="5"/>
      <c r="AE335" s="5"/>
      <c r="AF335" s="5"/>
      <c r="AG335" s="5"/>
      <c r="AH335" s="5"/>
      <c r="AI335" s="5"/>
      <c r="AJ335" s="5"/>
      <c r="AK335" s="5"/>
      <c r="AL335" s="5"/>
      <c r="AM335" s="5"/>
      <c r="AN335" s="5"/>
    </row>
    <row r="336" spans="1:40" ht="18.75" customHeight="1">
      <c r="A336" s="5"/>
      <c r="B336" s="5"/>
      <c r="C336" s="5"/>
      <c r="D336" s="5"/>
      <c r="E336" s="5"/>
      <c r="F336" s="5"/>
      <c r="G336" s="5"/>
      <c r="H336" s="5"/>
      <c r="I336" s="5"/>
      <c r="J336" s="5"/>
      <c r="K336" s="5"/>
      <c r="L336" s="5"/>
      <c r="M336" s="5"/>
      <c r="N336" s="5"/>
      <c r="O336" s="5"/>
      <c r="P336" s="5"/>
      <c r="Q336" s="5"/>
      <c r="R336" s="5"/>
      <c r="S336" s="5"/>
      <c r="T336" s="5"/>
      <c r="U336" s="5"/>
      <c r="V336" s="5"/>
      <c r="Y336" s="5"/>
      <c r="Z336" s="5"/>
      <c r="AA336" s="5"/>
      <c r="AB336" s="5"/>
      <c r="AC336" s="5"/>
      <c r="AD336" s="5"/>
      <c r="AE336" s="5"/>
      <c r="AF336" s="5"/>
      <c r="AG336" s="5"/>
      <c r="AH336" s="5"/>
      <c r="AI336" s="5"/>
      <c r="AJ336" s="5"/>
      <c r="AK336" s="5"/>
      <c r="AL336" s="5"/>
      <c r="AM336" s="5"/>
      <c r="AN336" s="5"/>
    </row>
    <row r="337" spans="1:40" ht="18.75" customHeight="1">
      <c r="A337" s="5"/>
      <c r="B337" s="5"/>
      <c r="C337" s="5"/>
      <c r="D337" s="5"/>
      <c r="E337" s="5"/>
      <c r="F337" s="5"/>
      <c r="G337" s="5"/>
      <c r="H337" s="5"/>
      <c r="I337" s="5"/>
      <c r="J337" s="5"/>
      <c r="K337" s="5"/>
      <c r="L337" s="5"/>
      <c r="M337" s="5"/>
      <c r="N337" s="5"/>
      <c r="O337" s="5"/>
      <c r="P337" s="5"/>
      <c r="Q337" s="5"/>
      <c r="R337" s="5"/>
      <c r="S337" s="5"/>
      <c r="T337" s="5"/>
      <c r="U337" s="5"/>
      <c r="V337" s="5"/>
      <c r="Y337" s="5"/>
      <c r="Z337" s="5"/>
      <c r="AA337" s="5"/>
      <c r="AB337" s="5"/>
      <c r="AC337" s="5"/>
      <c r="AD337" s="5"/>
      <c r="AE337" s="5"/>
      <c r="AF337" s="5"/>
      <c r="AG337" s="5"/>
      <c r="AH337" s="5"/>
      <c r="AI337" s="5"/>
      <c r="AJ337" s="5"/>
      <c r="AK337" s="5"/>
      <c r="AL337" s="5"/>
      <c r="AM337" s="5"/>
      <c r="AN337" s="5"/>
    </row>
    <row r="338" spans="1:40" ht="18.75" customHeight="1">
      <c r="A338" s="5"/>
      <c r="B338" s="5"/>
      <c r="C338" s="5"/>
      <c r="D338" s="5"/>
      <c r="E338" s="5"/>
      <c r="F338" s="5"/>
      <c r="G338" s="5"/>
      <c r="H338" s="5"/>
      <c r="I338" s="5"/>
      <c r="J338" s="5"/>
      <c r="K338" s="5"/>
      <c r="L338" s="5"/>
      <c r="M338" s="5"/>
      <c r="N338" s="5"/>
      <c r="O338" s="5"/>
      <c r="P338" s="5"/>
      <c r="Q338" s="5"/>
      <c r="R338" s="5"/>
      <c r="S338" s="5"/>
      <c r="T338" s="5"/>
      <c r="U338" s="5"/>
      <c r="V338" s="5"/>
      <c r="Y338" s="5"/>
      <c r="Z338" s="5"/>
      <c r="AA338" s="5"/>
      <c r="AB338" s="5"/>
      <c r="AC338" s="5"/>
      <c r="AD338" s="5"/>
      <c r="AE338" s="5"/>
      <c r="AF338" s="5"/>
      <c r="AG338" s="5"/>
      <c r="AH338" s="5"/>
      <c r="AI338" s="5"/>
      <c r="AJ338" s="5"/>
      <c r="AK338" s="5"/>
      <c r="AL338" s="5"/>
      <c r="AM338" s="5"/>
      <c r="AN338" s="5"/>
    </row>
    <row r="339" spans="1:40" ht="18.75" customHeight="1">
      <c r="A339" s="5"/>
      <c r="B339" s="5"/>
      <c r="C339" s="5"/>
      <c r="D339" s="5"/>
      <c r="E339" s="5"/>
      <c r="F339" s="5"/>
      <c r="G339" s="5"/>
      <c r="H339" s="5"/>
      <c r="I339" s="5"/>
      <c r="J339" s="5"/>
      <c r="K339" s="5"/>
      <c r="L339" s="5"/>
      <c r="M339" s="5"/>
      <c r="N339" s="5"/>
      <c r="O339" s="5"/>
      <c r="P339" s="5"/>
      <c r="Q339" s="5"/>
      <c r="R339" s="5"/>
      <c r="S339" s="5"/>
      <c r="T339" s="5"/>
      <c r="U339" s="5"/>
      <c r="V339" s="5"/>
      <c r="Y339" s="5"/>
      <c r="Z339" s="5"/>
      <c r="AA339" s="5"/>
      <c r="AB339" s="5"/>
      <c r="AC339" s="5"/>
      <c r="AD339" s="5"/>
      <c r="AE339" s="5"/>
      <c r="AF339" s="5"/>
      <c r="AG339" s="5"/>
      <c r="AH339" s="5"/>
      <c r="AI339" s="5"/>
      <c r="AJ339" s="5"/>
      <c r="AK339" s="5"/>
      <c r="AL339" s="5"/>
      <c r="AM339" s="5"/>
      <c r="AN339" s="5"/>
    </row>
    <row r="340" spans="1:40" ht="18.75" customHeight="1">
      <c r="A340" s="5"/>
      <c r="B340" s="5"/>
      <c r="C340" s="5"/>
      <c r="D340" s="5"/>
      <c r="E340" s="5"/>
      <c r="F340" s="5"/>
      <c r="G340" s="5"/>
      <c r="H340" s="5"/>
      <c r="I340" s="5"/>
      <c r="J340" s="5"/>
      <c r="K340" s="5"/>
      <c r="L340" s="5"/>
      <c r="M340" s="5"/>
      <c r="N340" s="5"/>
      <c r="O340" s="5"/>
      <c r="P340" s="5"/>
      <c r="Q340" s="5"/>
      <c r="R340" s="5"/>
      <c r="S340" s="5"/>
      <c r="T340" s="5"/>
      <c r="U340" s="5"/>
      <c r="V340" s="5"/>
      <c r="Y340" s="5"/>
      <c r="Z340" s="5"/>
      <c r="AA340" s="5"/>
      <c r="AB340" s="5"/>
      <c r="AC340" s="5"/>
      <c r="AD340" s="5"/>
      <c r="AE340" s="5"/>
      <c r="AF340" s="5"/>
      <c r="AG340" s="5"/>
      <c r="AH340" s="5"/>
      <c r="AI340" s="5"/>
      <c r="AJ340" s="5"/>
      <c r="AK340" s="5"/>
      <c r="AL340" s="5"/>
      <c r="AM340" s="5"/>
      <c r="AN340" s="5"/>
    </row>
    <row r="341" spans="1:40" ht="18.75" customHeight="1">
      <c r="A341" s="5"/>
      <c r="B341" s="5"/>
      <c r="C341" s="5"/>
      <c r="D341" s="5"/>
      <c r="E341" s="5"/>
      <c r="F341" s="5"/>
      <c r="G341" s="5"/>
      <c r="H341" s="5"/>
      <c r="I341" s="5"/>
      <c r="J341" s="5"/>
      <c r="K341" s="5"/>
      <c r="L341" s="5"/>
      <c r="M341" s="5"/>
      <c r="N341" s="5"/>
      <c r="O341" s="5"/>
      <c r="P341" s="5"/>
      <c r="Q341" s="5"/>
      <c r="R341" s="5"/>
      <c r="S341" s="5"/>
      <c r="T341" s="5"/>
      <c r="U341" s="5"/>
      <c r="V341" s="5"/>
      <c r="Y341" s="5"/>
      <c r="Z341" s="5"/>
      <c r="AA341" s="5"/>
      <c r="AB341" s="5"/>
      <c r="AC341" s="5"/>
      <c r="AD341" s="5"/>
      <c r="AE341" s="5"/>
      <c r="AF341" s="5"/>
      <c r="AG341" s="5"/>
      <c r="AH341" s="5"/>
      <c r="AI341" s="5"/>
      <c r="AJ341" s="5"/>
      <c r="AK341" s="5"/>
      <c r="AL341" s="5"/>
      <c r="AM341" s="5"/>
      <c r="AN341" s="5"/>
    </row>
    <row r="342" spans="1:40" ht="18.75" customHeight="1">
      <c r="A342" s="5"/>
      <c r="B342" s="5"/>
      <c r="C342" s="5"/>
      <c r="D342" s="5"/>
      <c r="E342" s="5"/>
      <c r="F342" s="5"/>
      <c r="G342" s="5"/>
      <c r="H342" s="5"/>
      <c r="I342" s="5"/>
      <c r="J342" s="5"/>
      <c r="K342" s="5"/>
      <c r="L342" s="5"/>
      <c r="M342" s="5"/>
      <c r="N342" s="5"/>
      <c r="O342" s="5"/>
      <c r="P342" s="5"/>
      <c r="Q342" s="5"/>
      <c r="R342" s="5"/>
      <c r="S342" s="5"/>
      <c r="T342" s="5"/>
      <c r="U342" s="5"/>
      <c r="V342" s="5"/>
      <c r="Y342" s="5"/>
      <c r="Z342" s="5"/>
      <c r="AA342" s="5"/>
      <c r="AB342" s="5"/>
      <c r="AC342" s="5"/>
      <c r="AD342" s="5"/>
      <c r="AE342" s="5"/>
      <c r="AF342" s="5"/>
      <c r="AG342" s="5"/>
      <c r="AH342" s="5"/>
      <c r="AI342" s="5"/>
      <c r="AJ342" s="5"/>
      <c r="AK342" s="5"/>
      <c r="AL342" s="5"/>
      <c r="AM342" s="5"/>
      <c r="AN342" s="5"/>
    </row>
    <row r="343" spans="1:40" ht="18.75" customHeight="1">
      <c r="A343" s="5"/>
      <c r="B343" s="5"/>
      <c r="C343" s="5"/>
      <c r="D343" s="5"/>
      <c r="E343" s="5"/>
      <c r="F343" s="5"/>
      <c r="G343" s="5"/>
      <c r="H343" s="5"/>
      <c r="I343" s="5"/>
      <c r="J343" s="5"/>
      <c r="K343" s="5"/>
      <c r="L343" s="5"/>
      <c r="M343" s="5"/>
      <c r="N343" s="5"/>
      <c r="O343" s="5"/>
      <c r="P343" s="5"/>
      <c r="Q343" s="5"/>
      <c r="R343" s="5"/>
      <c r="S343" s="5"/>
      <c r="T343" s="5"/>
      <c r="U343" s="5"/>
      <c r="V343" s="5"/>
      <c r="Y343" s="5"/>
      <c r="Z343" s="5"/>
      <c r="AA343" s="5"/>
      <c r="AB343" s="5"/>
      <c r="AC343" s="5"/>
      <c r="AD343" s="5"/>
      <c r="AE343" s="5"/>
      <c r="AF343" s="5"/>
      <c r="AG343" s="5"/>
      <c r="AH343" s="5"/>
      <c r="AI343" s="5"/>
      <c r="AJ343" s="5"/>
      <c r="AK343" s="5"/>
      <c r="AL343" s="5"/>
      <c r="AM343" s="5"/>
      <c r="AN343" s="5"/>
    </row>
    <row r="344" spans="1:40" ht="18.75" customHeight="1">
      <c r="A344" s="5"/>
      <c r="B344" s="5"/>
      <c r="C344" s="5"/>
      <c r="D344" s="5"/>
      <c r="E344" s="5"/>
      <c r="F344" s="5"/>
      <c r="G344" s="5"/>
      <c r="H344" s="5"/>
      <c r="I344" s="5"/>
      <c r="J344" s="5"/>
      <c r="K344" s="5"/>
      <c r="L344" s="5"/>
      <c r="M344" s="5"/>
      <c r="N344" s="5"/>
      <c r="O344" s="5"/>
      <c r="P344" s="5"/>
      <c r="Q344" s="5"/>
      <c r="R344" s="5"/>
      <c r="S344" s="5"/>
      <c r="T344" s="5"/>
      <c r="U344" s="5"/>
      <c r="V344" s="5"/>
      <c r="Y344" s="5"/>
      <c r="Z344" s="5"/>
      <c r="AA344" s="5"/>
      <c r="AB344" s="5"/>
      <c r="AC344" s="5"/>
      <c r="AD344" s="5"/>
      <c r="AE344" s="5"/>
      <c r="AF344" s="5"/>
      <c r="AG344" s="5"/>
      <c r="AH344" s="5"/>
      <c r="AI344" s="5"/>
      <c r="AJ344" s="5"/>
      <c r="AK344" s="5"/>
      <c r="AL344" s="5"/>
      <c r="AM344" s="5"/>
      <c r="AN344" s="5"/>
    </row>
    <row r="345" spans="1:40" ht="18.75" customHeight="1">
      <c r="A345" s="5"/>
      <c r="B345" s="5"/>
      <c r="C345" s="5"/>
      <c r="D345" s="5"/>
      <c r="E345" s="5"/>
      <c r="F345" s="5"/>
      <c r="G345" s="5"/>
      <c r="H345" s="5"/>
      <c r="I345" s="5"/>
      <c r="J345" s="5"/>
      <c r="K345" s="5"/>
      <c r="L345" s="5"/>
      <c r="M345" s="5"/>
      <c r="N345" s="5"/>
      <c r="O345" s="5"/>
      <c r="P345" s="5"/>
      <c r="Q345" s="5"/>
      <c r="R345" s="5"/>
      <c r="S345" s="5"/>
      <c r="T345" s="5"/>
      <c r="U345" s="5"/>
      <c r="V345" s="5"/>
      <c r="Y345" s="5"/>
      <c r="Z345" s="5"/>
      <c r="AA345" s="5"/>
      <c r="AB345" s="5"/>
      <c r="AC345" s="5"/>
      <c r="AD345" s="5"/>
      <c r="AE345" s="5"/>
      <c r="AF345" s="5"/>
      <c r="AG345" s="5"/>
      <c r="AH345" s="5"/>
      <c r="AI345" s="5"/>
      <c r="AJ345" s="5"/>
      <c r="AK345" s="5"/>
      <c r="AL345" s="5"/>
      <c r="AM345" s="5"/>
      <c r="AN345" s="5"/>
    </row>
    <row r="346" spans="1:40" ht="18.75" customHeight="1">
      <c r="A346" s="5"/>
      <c r="B346" s="5"/>
      <c r="C346" s="5"/>
      <c r="D346" s="5"/>
      <c r="E346" s="5"/>
      <c r="F346" s="5"/>
      <c r="G346" s="5"/>
      <c r="H346" s="5"/>
      <c r="I346" s="5"/>
      <c r="J346" s="5"/>
      <c r="K346" s="5"/>
      <c r="L346" s="5"/>
      <c r="M346" s="5"/>
      <c r="N346" s="5"/>
      <c r="O346" s="5"/>
      <c r="P346" s="5"/>
      <c r="Q346" s="5"/>
      <c r="R346" s="5"/>
      <c r="S346" s="5"/>
      <c r="T346" s="5"/>
      <c r="U346" s="5"/>
      <c r="V346" s="5"/>
      <c r="Y346" s="5"/>
      <c r="Z346" s="5"/>
      <c r="AA346" s="5"/>
      <c r="AB346" s="5"/>
      <c r="AC346" s="5"/>
      <c r="AD346" s="5"/>
      <c r="AE346" s="5"/>
      <c r="AF346" s="5"/>
      <c r="AG346" s="5"/>
      <c r="AH346" s="5"/>
      <c r="AI346" s="5"/>
      <c r="AJ346" s="5"/>
      <c r="AK346" s="5"/>
      <c r="AL346" s="5"/>
      <c r="AM346" s="5"/>
      <c r="AN346" s="5"/>
    </row>
    <row r="347" spans="1:40" ht="18.75" customHeight="1">
      <c r="A347" s="5"/>
      <c r="B347" s="5"/>
      <c r="C347" s="5"/>
      <c r="D347" s="5"/>
      <c r="E347" s="5"/>
      <c r="F347" s="5"/>
      <c r="G347" s="5"/>
      <c r="H347" s="5"/>
      <c r="I347" s="5"/>
      <c r="J347" s="5"/>
      <c r="K347" s="5"/>
      <c r="L347" s="5"/>
      <c r="M347" s="5"/>
      <c r="N347" s="5"/>
      <c r="O347" s="5"/>
      <c r="P347" s="5"/>
      <c r="Q347" s="5"/>
      <c r="R347" s="5"/>
      <c r="S347" s="5"/>
      <c r="T347" s="5"/>
      <c r="U347" s="5"/>
      <c r="V347" s="5"/>
      <c r="Y347" s="5"/>
      <c r="Z347" s="5"/>
      <c r="AA347" s="5"/>
      <c r="AB347" s="5"/>
      <c r="AC347" s="5"/>
      <c r="AD347" s="5"/>
      <c r="AE347" s="5"/>
      <c r="AF347" s="5"/>
      <c r="AG347" s="5"/>
      <c r="AH347" s="5"/>
      <c r="AI347" s="5"/>
      <c r="AJ347" s="5"/>
      <c r="AK347" s="5"/>
      <c r="AL347" s="5"/>
      <c r="AM347" s="5"/>
      <c r="AN347" s="5"/>
    </row>
    <row r="348" spans="1:40" ht="18.75" customHeight="1">
      <c r="A348" s="5"/>
      <c r="B348" s="5"/>
      <c r="C348" s="5"/>
      <c r="D348" s="5"/>
      <c r="E348" s="5"/>
      <c r="F348" s="5"/>
      <c r="G348" s="5"/>
      <c r="H348" s="5"/>
      <c r="I348" s="5"/>
      <c r="J348" s="5"/>
      <c r="K348" s="5"/>
      <c r="L348" s="5"/>
      <c r="M348" s="5"/>
      <c r="N348" s="5"/>
      <c r="O348" s="5"/>
      <c r="P348" s="5"/>
      <c r="Q348" s="5"/>
      <c r="R348" s="5"/>
      <c r="S348" s="5"/>
      <c r="T348" s="5"/>
      <c r="U348" s="5"/>
      <c r="V348" s="5"/>
      <c r="Y348" s="5"/>
      <c r="Z348" s="5"/>
      <c r="AA348" s="5"/>
      <c r="AB348" s="5"/>
      <c r="AC348" s="5"/>
      <c r="AD348" s="5"/>
      <c r="AE348" s="5"/>
      <c r="AF348" s="5"/>
      <c r="AG348" s="5"/>
      <c r="AH348" s="5"/>
      <c r="AI348" s="5"/>
      <c r="AJ348" s="5"/>
      <c r="AK348" s="5"/>
      <c r="AL348" s="5"/>
      <c r="AM348" s="5"/>
      <c r="AN348" s="5"/>
    </row>
    <row r="349" spans="1:40" ht="18.75" customHeight="1">
      <c r="A349" s="5"/>
      <c r="B349" s="5"/>
      <c r="C349" s="5"/>
      <c r="D349" s="5"/>
      <c r="E349" s="5"/>
      <c r="F349" s="5"/>
      <c r="G349" s="5"/>
      <c r="H349" s="5"/>
      <c r="I349" s="5"/>
      <c r="J349" s="5"/>
      <c r="K349" s="5"/>
      <c r="L349" s="5"/>
      <c r="M349" s="5"/>
      <c r="N349" s="5"/>
      <c r="O349" s="5"/>
      <c r="P349" s="5"/>
      <c r="Q349" s="5"/>
      <c r="R349" s="5"/>
      <c r="S349" s="5"/>
      <c r="T349" s="5"/>
      <c r="U349" s="5"/>
      <c r="V349" s="5"/>
      <c r="Y349" s="5"/>
      <c r="Z349" s="5"/>
      <c r="AA349" s="5"/>
      <c r="AB349" s="5"/>
      <c r="AC349" s="5"/>
      <c r="AD349" s="5"/>
      <c r="AE349" s="5"/>
      <c r="AF349" s="5"/>
      <c r="AG349" s="5"/>
      <c r="AH349" s="5"/>
      <c r="AI349" s="5"/>
      <c r="AJ349" s="5"/>
      <c r="AK349" s="5"/>
      <c r="AL349" s="5"/>
      <c r="AM349" s="5"/>
      <c r="AN349" s="5"/>
    </row>
    <row r="350" spans="1:40" ht="18.75" customHeight="1">
      <c r="A350" s="5"/>
      <c r="B350" s="5"/>
      <c r="C350" s="5"/>
      <c r="D350" s="5"/>
      <c r="E350" s="5"/>
      <c r="F350" s="5"/>
      <c r="G350" s="5"/>
      <c r="H350" s="5"/>
      <c r="I350" s="5"/>
      <c r="J350" s="5"/>
      <c r="K350" s="5"/>
      <c r="L350" s="5"/>
      <c r="M350" s="5"/>
      <c r="N350" s="5"/>
      <c r="O350" s="5"/>
      <c r="P350" s="5"/>
      <c r="Q350" s="5"/>
      <c r="R350" s="5"/>
      <c r="S350" s="5"/>
      <c r="T350" s="5"/>
      <c r="U350" s="5"/>
      <c r="V350" s="5"/>
      <c r="Y350" s="5"/>
      <c r="Z350" s="5"/>
      <c r="AA350" s="5"/>
      <c r="AB350" s="5"/>
      <c r="AC350" s="5"/>
      <c r="AD350" s="5"/>
      <c r="AE350" s="5"/>
      <c r="AF350" s="5"/>
      <c r="AG350" s="5"/>
      <c r="AH350" s="5"/>
      <c r="AI350" s="5"/>
      <c r="AJ350" s="5"/>
      <c r="AK350" s="5"/>
      <c r="AL350" s="5"/>
      <c r="AM350" s="5"/>
      <c r="AN350" s="5"/>
    </row>
    <row r="351" spans="1:40" ht="18.75" customHeight="1">
      <c r="A351" s="5"/>
      <c r="B351" s="5"/>
      <c r="C351" s="5"/>
      <c r="D351" s="5"/>
      <c r="E351" s="5"/>
      <c r="F351" s="5"/>
      <c r="G351" s="5"/>
      <c r="H351" s="5"/>
      <c r="I351" s="5"/>
      <c r="J351" s="5"/>
      <c r="K351" s="5"/>
      <c r="L351" s="5"/>
      <c r="M351" s="5"/>
      <c r="N351" s="5"/>
      <c r="O351" s="5"/>
      <c r="P351" s="5"/>
      <c r="Q351" s="5"/>
      <c r="R351" s="5"/>
      <c r="S351" s="5"/>
      <c r="T351" s="5"/>
      <c r="U351" s="5"/>
      <c r="V351" s="5"/>
      <c r="Y351" s="5"/>
      <c r="Z351" s="5"/>
      <c r="AA351" s="5"/>
      <c r="AB351" s="5"/>
      <c r="AC351" s="5"/>
      <c r="AD351" s="5"/>
      <c r="AE351" s="5"/>
      <c r="AF351" s="5"/>
      <c r="AG351" s="5"/>
      <c r="AH351" s="5"/>
      <c r="AI351" s="5"/>
      <c r="AJ351" s="5"/>
      <c r="AK351" s="5"/>
      <c r="AL351" s="5"/>
      <c r="AM351" s="5"/>
      <c r="AN351" s="5"/>
    </row>
    <row r="352" spans="1:40" ht="18.75" customHeight="1">
      <c r="A352" s="5"/>
      <c r="B352" s="5"/>
      <c r="C352" s="5"/>
      <c r="D352" s="5"/>
      <c r="E352" s="5"/>
      <c r="F352" s="5"/>
      <c r="G352" s="5"/>
      <c r="H352" s="5"/>
      <c r="I352" s="5"/>
      <c r="J352" s="5"/>
      <c r="K352" s="5"/>
      <c r="L352" s="5"/>
      <c r="M352" s="5"/>
      <c r="N352" s="5"/>
      <c r="O352" s="5"/>
      <c r="P352" s="5"/>
      <c r="Q352" s="5"/>
      <c r="R352" s="5"/>
      <c r="S352" s="5"/>
      <c r="T352" s="5"/>
      <c r="U352" s="5"/>
      <c r="V352" s="5"/>
      <c r="Y352" s="5"/>
      <c r="Z352" s="5"/>
      <c r="AA352" s="5"/>
      <c r="AB352" s="5"/>
      <c r="AC352" s="5"/>
      <c r="AD352" s="5"/>
      <c r="AE352" s="5"/>
      <c r="AF352" s="5"/>
      <c r="AG352" s="5"/>
      <c r="AH352" s="5"/>
      <c r="AI352" s="5"/>
      <c r="AJ352" s="5"/>
      <c r="AK352" s="5"/>
      <c r="AL352" s="5"/>
      <c r="AM352" s="5"/>
      <c r="AN352" s="5"/>
    </row>
    <row r="353" spans="1:40" ht="18.75" customHeight="1">
      <c r="A353" s="5"/>
      <c r="B353" s="5"/>
      <c r="C353" s="5"/>
      <c r="D353" s="5"/>
      <c r="E353" s="5"/>
      <c r="F353" s="5"/>
      <c r="G353" s="5"/>
      <c r="H353" s="5"/>
      <c r="I353" s="5"/>
      <c r="J353" s="5"/>
      <c r="K353" s="5"/>
      <c r="L353" s="5"/>
      <c r="M353" s="5"/>
      <c r="N353" s="5"/>
      <c r="O353" s="5"/>
      <c r="P353" s="5"/>
      <c r="Q353" s="5"/>
      <c r="R353" s="5"/>
      <c r="S353" s="5"/>
      <c r="T353" s="5"/>
      <c r="U353" s="5"/>
      <c r="V353" s="5"/>
      <c r="Y353" s="5"/>
      <c r="Z353" s="5"/>
      <c r="AA353" s="5"/>
      <c r="AB353" s="5"/>
      <c r="AC353" s="5"/>
      <c r="AD353" s="5"/>
      <c r="AE353" s="5"/>
      <c r="AF353" s="5"/>
      <c r="AG353" s="5"/>
      <c r="AH353" s="5"/>
      <c r="AI353" s="5"/>
      <c r="AJ353" s="5"/>
      <c r="AK353" s="5"/>
      <c r="AL353" s="5"/>
      <c r="AM353" s="5"/>
      <c r="AN353" s="5"/>
    </row>
    <row r="354" spans="1:40" ht="18.75" customHeight="1">
      <c r="A354" s="5"/>
      <c r="B354" s="5"/>
      <c r="C354" s="5"/>
      <c r="D354" s="5"/>
      <c r="E354" s="5"/>
      <c r="F354" s="5"/>
      <c r="G354" s="5"/>
      <c r="H354" s="5"/>
      <c r="I354" s="5"/>
      <c r="J354" s="5"/>
      <c r="K354" s="5"/>
      <c r="L354" s="5"/>
      <c r="M354" s="5"/>
      <c r="N354" s="5"/>
      <c r="O354" s="5"/>
      <c r="P354" s="5"/>
      <c r="Q354" s="5"/>
      <c r="R354" s="5"/>
      <c r="S354" s="5"/>
      <c r="T354" s="5"/>
      <c r="U354" s="5"/>
      <c r="V354" s="5"/>
      <c r="Y354" s="5"/>
      <c r="Z354" s="5"/>
      <c r="AA354" s="5"/>
      <c r="AB354" s="5"/>
      <c r="AC354" s="5"/>
      <c r="AD354" s="5"/>
      <c r="AE354" s="5"/>
      <c r="AF354" s="5"/>
      <c r="AG354" s="5"/>
      <c r="AH354" s="5"/>
      <c r="AI354" s="5"/>
      <c r="AJ354" s="5"/>
      <c r="AK354" s="5"/>
      <c r="AL354" s="5"/>
      <c r="AM354" s="5"/>
      <c r="AN354" s="5"/>
    </row>
    <row r="355" spans="1:40" ht="18.75" customHeight="1">
      <c r="A355" s="5"/>
      <c r="B355" s="5"/>
      <c r="C355" s="5"/>
      <c r="D355" s="5"/>
      <c r="E355" s="5"/>
      <c r="F355" s="5"/>
      <c r="G355" s="5"/>
      <c r="H355" s="5"/>
      <c r="I355" s="5"/>
      <c r="J355" s="5"/>
      <c r="K355" s="5"/>
      <c r="L355" s="5"/>
      <c r="M355" s="5"/>
      <c r="N355" s="5"/>
      <c r="O355" s="5"/>
      <c r="P355" s="5"/>
      <c r="Q355" s="5"/>
      <c r="R355" s="5"/>
      <c r="S355" s="5"/>
      <c r="T355" s="5"/>
      <c r="U355" s="5"/>
      <c r="V355" s="5"/>
      <c r="Y355" s="5"/>
      <c r="Z355" s="5"/>
      <c r="AA355" s="5"/>
      <c r="AB355" s="5"/>
      <c r="AC355" s="5"/>
      <c r="AD355" s="5"/>
      <c r="AE355" s="5"/>
      <c r="AF355" s="5"/>
      <c r="AG355" s="5"/>
      <c r="AH355" s="5"/>
      <c r="AI355" s="5"/>
      <c r="AJ355" s="5"/>
      <c r="AK355" s="5"/>
      <c r="AL355" s="5"/>
      <c r="AM355" s="5"/>
      <c r="AN355" s="5"/>
    </row>
    <row r="356" spans="1:40" ht="18.75" customHeight="1">
      <c r="A356" s="5"/>
      <c r="B356" s="5"/>
      <c r="C356" s="5"/>
      <c r="D356" s="5"/>
      <c r="E356" s="5"/>
      <c r="F356" s="5"/>
      <c r="G356" s="5"/>
      <c r="H356" s="5"/>
      <c r="I356" s="5"/>
      <c r="J356" s="5"/>
      <c r="K356" s="5"/>
      <c r="L356" s="5"/>
      <c r="M356" s="5"/>
      <c r="N356" s="5"/>
      <c r="O356" s="5"/>
      <c r="P356" s="5"/>
      <c r="Q356" s="5"/>
      <c r="R356" s="5"/>
      <c r="S356" s="5"/>
      <c r="T356" s="5"/>
      <c r="U356" s="5"/>
      <c r="V356" s="5"/>
      <c r="Y356" s="5"/>
      <c r="Z356" s="5"/>
      <c r="AA356" s="5"/>
      <c r="AB356" s="5"/>
      <c r="AC356" s="5"/>
      <c r="AD356" s="5"/>
      <c r="AE356" s="5"/>
      <c r="AF356" s="5"/>
      <c r="AG356" s="5"/>
      <c r="AH356" s="5"/>
      <c r="AI356" s="5"/>
      <c r="AJ356" s="5"/>
      <c r="AK356" s="5"/>
      <c r="AL356" s="5"/>
      <c r="AM356" s="5"/>
      <c r="AN356" s="5"/>
    </row>
    <row r="357" spans="1:40" ht="18.75" customHeight="1">
      <c r="A357" s="5"/>
      <c r="B357" s="5"/>
      <c r="C357" s="5"/>
      <c r="D357" s="5"/>
      <c r="E357" s="5"/>
      <c r="F357" s="5"/>
      <c r="G357" s="5"/>
      <c r="H357" s="5"/>
      <c r="I357" s="5"/>
      <c r="J357" s="5"/>
      <c r="K357" s="5"/>
      <c r="L357" s="5"/>
      <c r="M357" s="5"/>
      <c r="N357" s="5"/>
      <c r="O357" s="5"/>
      <c r="P357" s="5"/>
      <c r="Q357" s="5"/>
      <c r="R357" s="5"/>
      <c r="S357" s="5"/>
      <c r="T357" s="5"/>
      <c r="U357" s="5"/>
      <c r="V357" s="5"/>
      <c r="Y357" s="5"/>
      <c r="Z357" s="5"/>
      <c r="AA357" s="5"/>
      <c r="AB357" s="5"/>
      <c r="AC357" s="5"/>
      <c r="AD357" s="5"/>
      <c r="AE357" s="5"/>
      <c r="AF357" s="5"/>
      <c r="AG357" s="5"/>
      <c r="AH357" s="5"/>
      <c r="AI357" s="5"/>
      <c r="AJ357" s="5"/>
      <c r="AK357" s="5"/>
      <c r="AL357" s="5"/>
      <c r="AM357" s="5"/>
      <c r="AN357" s="5"/>
    </row>
    <row r="358" spans="1:40" ht="18.75" customHeight="1">
      <c r="A358" s="5"/>
      <c r="B358" s="5"/>
      <c r="C358" s="5"/>
      <c r="D358" s="5"/>
      <c r="E358" s="5"/>
      <c r="F358" s="5"/>
      <c r="G358" s="5"/>
      <c r="H358" s="5"/>
      <c r="I358" s="5"/>
      <c r="J358" s="5"/>
      <c r="K358" s="5"/>
      <c r="L358" s="5"/>
      <c r="M358" s="5"/>
      <c r="N358" s="5"/>
      <c r="O358" s="5"/>
      <c r="P358" s="5"/>
      <c r="Q358" s="5"/>
      <c r="R358" s="5"/>
      <c r="S358" s="5"/>
      <c r="T358" s="5"/>
      <c r="U358" s="5"/>
      <c r="V358" s="5"/>
      <c r="Y358" s="5"/>
      <c r="Z358" s="5"/>
      <c r="AA358" s="5"/>
      <c r="AB358" s="5"/>
      <c r="AC358" s="5"/>
      <c r="AD358" s="5"/>
      <c r="AE358" s="5"/>
      <c r="AF358" s="5"/>
      <c r="AG358" s="5"/>
      <c r="AH358" s="5"/>
      <c r="AI358" s="5"/>
      <c r="AJ358" s="5"/>
      <c r="AK358" s="5"/>
      <c r="AL358" s="5"/>
      <c r="AM358" s="5"/>
      <c r="AN358" s="5"/>
    </row>
    <row r="359" spans="1:40" ht="18.75" customHeight="1">
      <c r="A359" s="5"/>
      <c r="B359" s="5"/>
      <c r="C359" s="5"/>
      <c r="D359" s="5"/>
      <c r="E359" s="5"/>
      <c r="F359" s="5"/>
      <c r="G359" s="5"/>
      <c r="H359" s="5"/>
      <c r="I359" s="5"/>
      <c r="J359" s="5"/>
      <c r="K359" s="5"/>
      <c r="L359" s="5"/>
      <c r="M359" s="5"/>
      <c r="N359" s="5"/>
      <c r="O359" s="5"/>
      <c r="P359" s="5"/>
      <c r="Q359" s="5"/>
      <c r="R359" s="5"/>
      <c r="S359" s="5"/>
      <c r="T359" s="5"/>
      <c r="U359" s="5"/>
      <c r="V359" s="5"/>
      <c r="Y359" s="5"/>
      <c r="Z359" s="5"/>
      <c r="AA359" s="5"/>
      <c r="AB359" s="5"/>
      <c r="AC359" s="5"/>
      <c r="AD359" s="5"/>
      <c r="AE359" s="5"/>
      <c r="AF359" s="5"/>
      <c r="AG359" s="5"/>
      <c r="AH359" s="5"/>
      <c r="AI359" s="5"/>
      <c r="AJ359" s="5"/>
      <c r="AK359" s="5"/>
      <c r="AL359" s="5"/>
      <c r="AM359" s="5"/>
      <c r="AN359" s="5"/>
    </row>
    <row r="360" spans="1:40" ht="18.75" customHeight="1">
      <c r="A360" s="5"/>
      <c r="B360" s="5"/>
      <c r="C360" s="5"/>
      <c r="D360" s="5"/>
      <c r="E360" s="5"/>
      <c r="F360" s="5"/>
      <c r="G360" s="5"/>
      <c r="H360" s="5"/>
      <c r="I360" s="5"/>
      <c r="J360" s="5"/>
      <c r="K360" s="5"/>
      <c r="L360" s="5"/>
      <c r="M360" s="5"/>
      <c r="N360" s="5"/>
      <c r="O360" s="5"/>
      <c r="P360" s="5"/>
      <c r="Q360" s="5"/>
      <c r="R360" s="5"/>
      <c r="S360" s="5"/>
      <c r="T360" s="5"/>
      <c r="U360" s="5"/>
      <c r="V360" s="5"/>
      <c r="Y360" s="5"/>
      <c r="Z360" s="5"/>
      <c r="AA360" s="5"/>
      <c r="AB360" s="5"/>
      <c r="AC360" s="5"/>
      <c r="AD360" s="5"/>
      <c r="AE360" s="5"/>
      <c r="AF360" s="5"/>
      <c r="AG360" s="5"/>
      <c r="AH360" s="5"/>
      <c r="AI360" s="5"/>
      <c r="AJ360" s="5"/>
      <c r="AK360" s="5"/>
      <c r="AL360" s="5"/>
      <c r="AM360" s="5"/>
      <c r="AN360" s="5"/>
    </row>
    <row r="361" spans="1:40" ht="18.75" customHeight="1">
      <c r="A361" s="5"/>
      <c r="B361" s="5"/>
      <c r="C361" s="5"/>
      <c r="D361" s="5"/>
      <c r="E361" s="5"/>
      <c r="F361" s="5"/>
      <c r="G361" s="5"/>
      <c r="H361" s="5"/>
      <c r="I361" s="5"/>
      <c r="J361" s="5"/>
      <c r="K361" s="5"/>
      <c r="L361" s="5"/>
      <c r="M361" s="5"/>
      <c r="N361" s="5"/>
      <c r="O361" s="5"/>
      <c r="P361" s="5"/>
      <c r="Q361" s="5"/>
      <c r="R361" s="5"/>
      <c r="S361" s="5"/>
      <c r="T361" s="5"/>
      <c r="U361" s="5"/>
      <c r="V361" s="5"/>
      <c r="Y361" s="5"/>
      <c r="Z361" s="5"/>
      <c r="AA361" s="5"/>
      <c r="AB361" s="5"/>
      <c r="AC361" s="5"/>
      <c r="AD361" s="5"/>
      <c r="AE361" s="5"/>
      <c r="AF361" s="5"/>
      <c r="AG361" s="5"/>
      <c r="AH361" s="5"/>
      <c r="AI361" s="5"/>
      <c r="AJ361" s="5"/>
      <c r="AK361" s="5"/>
      <c r="AL361" s="5"/>
      <c r="AM361" s="5"/>
      <c r="AN361" s="5"/>
    </row>
    <row r="362" spans="1:40" ht="18.75" customHeight="1">
      <c r="A362" s="5"/>
      <c r="B362" s="5"/>
      <c r="C362" s="5"/>
      <c r="D362" s="5"/>
      <c r="E362" s="5"/>
      <c r="F362" s="5"/>
      <c r="G362" s="5"/>
      <c r="H362" s="5"/>
      <c r="I362" s="5"/>
      <c r="J362" s="5"/>
      <c r="K362" s="5"/>
      <c r="L362" s="5"/>
      <c r="M362" s="5"/>
      <c r="N362" s="5"/>
      <c r="O362" s="5"/>
      <c r="P362" s="5"/>
      <c r="Q362" s="5"/>
      <c r="R362" s="5"/>
      <c r="S362" s="5"/>
      <c r="T362" s="5"/>
      <c r="U362" s="5"/>
      <c r="V362" s="5"/>
      <c r="Y362" s="5"/>
      <c r="Z362" s="5"/>
      <c r="AA362" s="5"/>
      <c r="AB362" s="5"/>
      <c r="AC362" s="5"/>
      <c r="AD362" s="5"/>
      <c r="AE362" s="5"/>
      <c r="AF362" s="5"/>
      <c r="AG362" s="5"/>
      <c r="AH362" s="5"/>
      <c r="AI362" s="5"/>
      <c r="AJ362" s="5"/>
      <c r="AK362" s="5"/>
      <c r="AL362" s="5"/>
      <c r="AM362" s="5"/>
      <c r="AN362" s="5"/>
    </row>
    <row r="363" spans="1:40" ht="18.75" customHeight="1">
      <c r="A363" s="5"/>
      <c r="B363" s="5"/>
      <c r="C363" s="5"/>
      <c r="D363" s="5"/>
      <c r="E363" s="5"/>
      <c r="F363" s="5"/>
      <c r="G363" s="5"/>
      <c r="H363" s="5"/>
      <c r="I363" s="5"/>
      <c r="J363" s="5"/>
      <c r="K363" s="5"/>
      <c r="L363" s="5"/>
      <c r="M363" s="5"/>
      <c r="N363" s="5"/>
      <c r="O363" s="5"/>
      <c r="P363" s="5"/>
      <c r="Q363" s="5"/>
      <c r="R363" s="5"/>
      <c r="S363" s="5"/>
      <c r="T363" s="5"/>
      <c r="U363" s="5"/>
      <c r="V363" s="5"/>
      <c r="Y363" s="5"/>
      <c r="Z363" s="5"/>
      <c r="AA363" s="5"/>
      <c r="AB363" s="5"/>
      <c r="AC363" s="5"/>
      <c r="AD363" s="5"/>
      <c r="AE363" s="5"/>
      <c r="AF363" s="5"/>
      <c r="AG363" s="5"/>
      <c r="AH363" s="5"/>
      <c r="AI363" s="5"/>
      <c r="AJ363" s="5"/>
      <c r="AK363" s="5"/>
      <c r="AL363" s="5"/>
      <c r="AM363" s="5"/>
      <c r="AN363" s="5"/>
    </row>
    <row r="364" spans="1:40" ht="18.75" customHeight="1">
      <c r="A364" s="5"/>
      <c r="B364" s="5"/>
      <c r="C364" s="5"/>
      <c r="D364" s="5"/>
      <c r="E364" s="5"/>
      <c r="F364" s="5"/>
      <c r="G364" s="5"/>
      <c r="H364" s="5"/>
      <c r="I364" s="5"/>
      <c r="J364" s="5"/>
      <c r="K364" s="5"/>
      <c r="L364" s="5"/>
      <c r="M364" s="5"/>
      <c r="N364" s="5"/>
      <c r="O364" s="5"/>
      <c r="P364" s="5"/>
      <c r="Q364" s="5"/>
      <c r="R364" s="5"/>
      <c r="S364" s="5"/>
      <c r="T364" s="5"/>
      <c r="U364" s="5"/>
      <c r="V364" s="5"/>
      <c r="Y364" s="5"/>
      <c r="Z364" s="5"/>
      <c r="AA364" s="5"/>
      <c r="AB364" s="5"/>
      <c r="AC364" s="5"/>
      <c r="AD364" s="5"/>
      <c r="AE364" s="5"/>
      <c r="AF364" s="5"/>
      <c r="AG364" s="5"/>
      <c r="AH364" s="5"/>
      <c r="AI364" s="5"/>
      <c r="AJ364" s="5"/>
      <c r="AK364" s="5"/>
      <c r="AL364" s="5"/>
      <c r="AM364" s="5"/>
      <c r="AN364" s="5"/>
    </row>
    <row r="365" spans="1:40" ht="18.75" customHeight="1">
      <c r="A365" s="5"/>
      <c r="B365" s="5"/>
      <c r="C365" s="5"/>
      <c r="D365" s="5"/>
      <c r="E365" s="5"/>
      <c r="F365" s="5"/>
      <c r="G365" s="5"/>
      <c r="H365" s="5"/>
      <c r="I365" s="5"/>
      <c r="J365" s="5"/>
      <c r="K365" s="5"/>
      <c r="L365" s="5"/>
      <c r="M365" s="5"/>
      <c r="N365" s="5"/>
      <c r="O365" s="5"/>
      <c r="P365" s="5"/>
      <c r="Q365" s="5"/>
      <c r="R365" s="5"/>
      <c r="S365" s="5"/>
      <c r="T365" s="5"/>
      <c r="U365" s="5"/>
      <c r="V365" s="5"/>
      <c r="Y365" s="5"/>
      <c r="Z365" s="5"/>
      <c r="AA365" s="5"/>
      <c r="AB365" s="5"/>
      <c r="AC365" s="5"/>
      <c r="AD365" s="5"/>
      <c r="AE365" s="5"/>
      <c r="AF365" s="5"/>
      <c r="AG365" s="5"/>
      <c r="AH365" s="5"/>
      <c r="AI365" s="5"/>
      <c r="AJ365" s="5"/>
      <c r="AK365" s="5"/>
      <c r="AL365" s="5"/>
      <c r="AM365" s="5"/>
      <c r="AN365" s="5"/>
    </row>
    <row r="366" spans="1:40" ht="18.75" customHeight="1">
      <c r="A366" s="5"/>
      <c r="B366" s="5"/>
      <c r="C366" s="5"/>
      <c r="D366" s="5"/>
      <c r="E366" s="5"/>
      <c r="F366" s="5"/>
      <c r="G366" s="5"/>
      <c r="H366" s="5"/>
      <c r="I366" s="5"/>
      <c r="J366" s="5"/>
      <c r="K366" s="5"/>
      <c r="L366" s="5"/>
      <c r="M366" s="5"/>
      <c r="N366" s="5"/>
      <c r="O366" s="5"/>
      <c r="P366" s="5"/>
      <c r="Q366" s="5"/>
      <c r="R366" s="5"/>
      <c r="S366" s="5"/>
      <c r="T366" s="5"/>
      <c r="U366" s="5"/>
      <c r="V366" s="5"/>
      <c r="Y366" s="5"/>
      <c r="Z366" s="5"/>
      <c r="AA366" s="5"/>
      <c r="AB366" s="5"/>
      <c r="AC366" s="5"/>
      <c r="AD366" s="5"/>
      <c r="AE366" s="5"/>
      <c r="AF366" s="5"/>
      <c r="AG366" s="5"/>
      <c r="AH366" s="5"/>
      <c r="AI366" s="5"/>
      <c r="AJ366" s="5"/>
      <c r="AK366" s="5"/>
      <c r="AL366" s="5"/>
      <c r="AM366" s="5"/>
      <c r="AN366" s="5"/>
    </row>
    <row r="367" spans="1:40" ht="18.75" customHeight="1">
      <c r="A367" s="5"/>
      <c r="B367" s="5"/>
      <c r="C367" s="5"/>
      <c r="D367" s="5"/>
      <c r="E367" s="5"/>
      <c r="F367" s="5"/>
      <c r="G367" s="5"/>
      <c r="H367" s="5"/>
      <c r="I367" s="5"/>
      <c r="J367" s="5"/>
      <c r="K367" s="5"/>
      <c r="L367" s="5"/>
      <c r="M367" s="5"/>
      <c r="N367" s="5"/>
      <c r="O367" s="5"/>
      <c r="P367" s="5"/>
      <c r="Q367" s="5"/>
      <c r="R367" s="5"/>
      <c r="S367" s="5"/>
      <c r="T367" s="5"/>
      <c r="U367" s="5"/>
      <c r="V367" s="5"/>
      <c r="Y367" s="5"/>
      <c r="Z367" s="5"/>
      <c r="AA367" s="5"/>
      <c r="AB367" s="5"/>
      <c r="AC367" s="5"/>
      <c r="AD367" s="5"/>
      <c r="AE367" s="5"/>
      <c r="AF367" s="5"/>
      <c r="AG367" s="5"/>
      <c r="AH367" s="5"/>
      <c r="AI367" s="5"/>
      <c r="AJ367" s="5"/>
      <c r="AK367" s="5"/>
      <c r="AL367" s="5"/>
      <c r="AM367" s="5"/>
      <c r="AN367" s="5"/>
    </row>
    <row r="368" spans="1:40" ht="18.75" customHeight="1">
      <c r="A368" s="5"/>
      <c r="B368" s="5"/>
      <c r="C368" s="5"/>
      <c r="D368" s="5"/>
      <c r="E368" s="5"/>
      <c r="F368" s="5"/>
      <c r="G368" s="5"/>
      <c r="H368" s="5"/>
      <c r="I368" s="5"/>
      <c r="J368" s="5"/>
      <c r="K368" s="5"/>
      <c r="L368" s="5"/>
      <c r="M368" s="5"/>
      <c r="N368" s="5"/>
      <c r="O368" s="5"/>
      <c r="P368" s="5"/>
      <c r="Q368" s="5"/>
      <c r="R368" s="5"/>
      <c r="S368" s="5"/>
      <c r="T368" s="5"/>
      <c r="U368" s="5"/>
      <c r="V368" s="5"/>
      <c r="Y368" s="5"/>
      <c r="Z368" s="5"/>
      <c r="AA368" s="5"/>
      <c r="AB368" s="5"/>
      <c r="AC368" s="5"/>
      <c r="AD368" s="5"/>
      <c r="AE368" s="5"/>
      <c r="AF368" s="5"/>
      <c r="AG368" s="5"/>
      <c r="AH368" s="5"/>
      <c r="AI368" s="5"/>
      <c r="AJ368" s="5"/>
      <c r="AK368" s="5"/>
      <c r="AL368" s="5"/>
      <c r="AM368" s="5"/>
      <c r="AN368" s="5"/>
    </row>
    <row r="369" spans="1:40" ht="18.75" customHeight="1">
      <c r="A369" s="5"/>
      <c r="B369" s="5"/>
      <c r="C369" s="5"/>
      <c r="D369" s="5"/>
      <c r="E369" s="5"/>
      <c r="F369" s="5"/>
      <c r="G369" s="5"/>
      <c r="H369" s="5"/>
      <c r="I369" s="5"/>
      <c r="J369" s="5"/>
      <c r="K369" s="5"/>
      <c r="L369" s="5"/>
      <c r="M369" s="5"/>
      <c r="N369" s="5"/>
      <c r="O369" s="5"/>
      <c r="P369" s="5"/>
      <c r="Q369" s="5"/>
      <c r="R369" s="5"/>
      <c r="S369" s="5"/>
      <c r="T369" s="5"/>
      <c r="U369" s="5"/>
      <c r="V369" s="5"/>
      <c r="Y369" s="5"/>
      <c r="Z369" s="5"/>
      <c r="AA369" s="5"/>
      <c r="AB369" s="5"/>
      <c r="AC369" s="5"/>
      <c r="AD369" s="5"/>
      <c r="AE369" s="5"/>
      <c r="AF369" s="5"/>
      <c r="AG369" s="5"/>
      <c r="AH369" s="5"/>
      <c r="AI369" s="5"/>
      <c r="AJ369" s="5"/>
      <c r="AK369" s="5"/>
      <c r="AL369" s="5"/>
      <c r="AM369" s="5"/>
      <c r="AN369" s="5"/>
    </row>
    <row r="370" spans="1:40" ht="18.75" customHeight="1">
      <c r="A370" s="5"/>
      <c r="B370" s="5"/>
      <c r="C370" s="5"/>
      <c r="D370" s="5"/>
      <c r="E370" s="5"/>
      <c r="F370" s="5"/>
      <c r="G370" s="5"/>
      <c r="H370" s="5"/>
      <c r="I370" s="5"/>
      <c r="J370" s="5"/>
      <c r="K370" s="5"/>
      <c r="L370" s="5"/>
      <c r="M370" s="5"/>
      <c r="N370" s="5"/>
      <c r="O370" s="5"/>
      <c r="P370" s="5"/>
      <c r="Q370" s="5"/>
      <c r="R370" s="5"/>
      <c r="S370" s="5"/>
      <c r="T370" s="5"/>
      <c r="U370" s="5"/>
      <c r="V370" s="5"/>
      <c r="Y370" s="5"/>
      <c r="Z370" s="5"/>
      <c r="AA370" s="5"/>
      <c r="AB370" s="5"/>
      <c r="AC370" s="5"/>
      <c r="AD370" s="5"/>
      <c r="AE370" s="5"/>
      <c r="AF370" s="5"/>
      <c r="AG370" s="5"/>
      <c r="AH370" s="5"/>
      <c r="AI370" s="5"/>
      <c r="AJ370" s="5"/>
      <c r="AK370" s="5"/>
      <c r="AL370" s="5"/>
      <c r="AM370" s="5"/>
      <c r="AN370" s="5"/>
    </row>
    <row r="371" spans="1:40" ht="18.75" customHeight="1">
      <c r="A371" s="5"/>
      <c r="B371" s="5"/>
      <c r="C371" s="5"/>
      <c r="D371" s="5"/>
      <c r="E371" s="5"/>
      <c r="F371" s="5"/>
      <c r="G371" s="5"/>
      <c r="H371" s="5"/>
      <c r="I371" s="5"/>
      <c r="J371" s="5"/>
      <c r="K371" s="5"/>
      <c r="L371" s="5"/>
      <c r="M371" s="5"/>
      <c r="N371" s="5"/>
      <c r="O371" s="5"/>
      <c r="P371" s="5"/>
      <c r="Q371" s="5"/>
      <c r="R371" s="5"/>
      <c r="S371" s="5"/>
      <c r="T371" s="5"/>
      <c r="U371" s="5"/>
      <c r="V371" s="5"/>
      <c r="Y371" s="5"/>
      <c r="Z371" s="5"/>
      <c r="AA371" s="5"/>
      <c r="AB371" s="5"/>
      <c r="AC371" s="5"/>
      <c r="AD371" s="5"/>
      <c r="AE371" s="5"/>
      <c r="AF371" s="5"/>
      <c r="AG371" s="5"/>
      <c r="AH371" s="5"/>
      <c r="AI371" s="5"/>
      <c r="AJ371" s="5"/>
      <c r="AK371" s="5"/>
      <c r="AL371" s="5"/>
      <c r="AM371" s="5"/>
      <c r="AN371" s="5"/>
    </row>
    <row r="372" spans="1:40" ht="18.75" customHeight="1">
      <c r="A372" s="5"/>
      <c r="B372" s="5"/>
      <c r="C372" s="5"/>
      <c r="D372" s="5"/>
      <c r="E372" s="5"/>
      <c r="F372" s="5"/>
      <c r="G372" s="5"/>
      <c r="H372" s="5"/>
      <c r="I372" s="5"/>
      <c r="J372" s="5"/>
      <c r="K372" s="5"/>
      <c r="L372" s="5"/>
      <c r="M372" s="5"/>
      <c r="N372" s="5"/>
      <c r="O372" s="5"/>
      <c r="P372" s="5"/>
      <c r="Q372" s="5"/>
      <c r="R372" s="5"/>
      <c r="S372" s="5"/>
      <c r="T372" s="5"/>
      <c r="U372" s="5"/>
      <c r="V372" s="5"/>
      <c r="Y372" s="5"/>
      <c r="Z372" s="5"/>
      <c r="AA372" s="5"/>
      <c r="AB372" s="5"/>
      <c r="AC372" s="5"/>
      <c r="AD372" s="5"/>
      <c r="AE372" s="5"/>
      <c r="AF372" s="5"/>
      <c r="AG372" s="5"/>
      <c r="AH372" s="5"/>
      <c r="AI372" s="5"/>
      <c r="AJ372" s="5"/>
      <c r="AK372" s="5"/>
      <c r="AL372" s="5"/>
      <c r="AM372" s="5"/>
      <c r="AN372" s="5"/>
    </row>
    <row r="373" spans="1:40" ht="18.75" customHeight="1">
      <c r="A373" s="5"/>
      <c r="B373" s="5"/>
      <c r="C373" s="5"/>
      <c r="D373" s="5"/>
      <c r="E373" s="5"/>
      <c r="F373" s="5"/>
      <c r="G373" s="5"/>
      <c r="H373" s="5"/>
      <c r="I373" s="5"/>
      <c r="J373" s="5"/>
      <c r="K373" s="5"/>
      <c r="L373" s="5"/>
      <c r="M373" s="5"/>
      <c r="N373" s="5"/>
      <c r="O373" s="5"/>
      <c r="P373" s="5"/>
      <c r="Q373" s="5"/>
      <c r="R373" s="5"/>
      <c r="S373" s="5"/>
      <c r="T373" s="5"/>
      <c r="U373" s="5"/>
      <c r="V373" s="5"/>
      <c r="Y373" s="5"/>
      <c r="Z373" s="5"/>
      <c r="AA373" s="5"/>
      <c r="AB373" s="5"/>
      <c r="AC373" s="5"/>
      <c r="AD373" s="5"/>
      <c r="AE373" s="5"/>
      <c r="AF373" s="5"/>
      <c r="AG373" s="5"/>
      <c r="AH373" s="5"/>
      <c r="AI373" s="5"/>
      <c r="AJ373" s="5"/>
      <c r="AK373" s="5"/>
      <c r="AL373" s="5"/>
      <c r="AM373" s="5"/>
      <c r="AN373" s="5"/>
    </row>
    <row r="374" spans="1:40" ht="18.75" customHeight="1">
      <c r="A374" s="5"/>
      <c r="B374" s="5"/>
      <c r="C374" s="5"/>
      <c r="D374" s="5"/>
      <c r="E374" s="5"/>
      <c r="F374" s="5"/>
      <c r="G374" s="5"/>
      <c r="H374" s="5"/>
      <c r="I374" s="5"/>
      <c r="J374" s="5"/>
      <c r="K374" s="5"/>
      <c r="L374" s="5"/>
      <c r="M374" s="5"/>
      <c r="N374" s="5"/>
      <c r="O374" s="5"/>
      <c r="P374" s="5"/>
      <c r="Q374" s="5"/>
      <c r="R374" s="5"/>
      <c r="S374" s="5"/>
      <c r="T374" s="5"/>
      <c r="U374" s="5"/>
      <c r="V374" s="5"/>
      <c r="Y374" s="5"/>
      <c r="Z374" s="5"/>
      <c r="AA374" s="5"/>
      <c r="AB374" s="5"/>
      <c r="AC374" s="5"/>
      <c r="AD374" s="5"/>
      <c r="AE374" s="5"/>
      <c r="AF374" s="5"/>
      <c r="AG374" s="5"/>
      <c r="AH374" s="5"/>
      <c r="AI374" s="5"/>
      <c r="AJ374" s="5"/>
      <c r="AK374" s="5"/>
      <c r="AL374" s="5"/>
      <c r="AM374" s="5"/>
      <c r="AN374" s="5"/>
    </row>
    <row r="375" spans="1:40" ht="18.75" customHeight="1">
      <c r="A375" s="5"/>
      <c r="B375" s="5"/>
      <c r="C375" s="5"/>
      <c r="D375" s="5"/>
      <c r="E375" s="5"/>
      <c r="F375" s="5"/>
      <c r="G375" s="5"/>
      <c r="H375" s="5"/>
      <c r="I375" s="5"/>
      <c r="J375" s="5"/>
      <c r="K375" s="5"/>
      <c r="L375" s="5"/>
      <c r="M375" s="5"/>
      <c r="N375" s="5"/>
      <c r="O375" s="5"/>
      <c r="P375" s="5"/>
      <c r="Q375" s="5"/>
      <c r="R375" s="5"/>
      <c r="S375" s="5"/>
      <c r="T375" s="5"/>
      <c r="U375" s="5"/>
      <c r="V375" s="5"/>
      <c r="Y375" s="5"/>
      <c r="Z375" s="5"/>
      <c r="AA375" s="5"/>
      <c r="AB375" s="5"/>
      <c r="AC375" s="5"/>
      <c r="AD375" s="5"/>
      <c r="AE375" s="5"/>
      <c r="AF375" s="5"/>
      <c r="AG375" s="5"/>
      <c r="AH375" s="5"/>
      <c r="AI375" s="5"/>
      <c r="AJ375" s="5"/>
      <c r="AK375" s="5"/>
      <c r="AL375" s="5"/>
      <c r="AM375" s="5"/>
      <c r="AN375" s="5"/>
    </row>
    <row r="376" spans="1:40" ht="18.75" customHeight="1">
      <c r="A376" s="5"/>
      <c r="B376" s="5"/>
      <c r="C376" s="5"/>
      <c r="D376" s="5"/>
      <c r="E376" s="5"/>
      <c r="F376" s="5"/>
      <c r="G376" s="5"/>
      <c r="H376" s="5"/>
      <c r="I376" s="5"/>
      <c r="J376" s="5"/>
      <c r="K376" s="5"/>
      <c r="L376" s="5"/>
      <c r="M376" s="5"/>
      <c r="N376" s="5"/>
      <c r="O376" s="5"/>
      <c r="P376" s="5"/>
      <c r="Q376" s="5"/>
      <c r="R376" s="5"/>
      <c r="S376" s="5"/>
      <c r="T376" s="5"/>
      <c r="U376" s="5"/>
      <c r="V376" s="5"/>
      <c r="Y376" s="5"/>
      <c r="Z376" s="5"/>
      <c r="AA376" s="5"/>
      <c r="AB376" s="5"/>
      <c r="AC376" s="5"/>
      <c r="AD376" s="5"/>
      <c r="AE376" s="5"/>
      <c r="AF376" s="5"/>
      <c r="AG376" s="5"/>
      <c r="AH376" s="5"/>
      <c r="AI376" s="5"/>
      <c r="AJ376" s="5"/>
      <c r="AK376" s="5"/>
      <c r="AL376" s="5"/>
      <c r="AM376" s="5"/>
      <c r="AN376" s="5"/>
    </row>
    <row r="377" spans="1:40" ht="18.75" customHeight="1">
      <c r="A377" s="5"/>
      <c r="B377" s="5"/>
      <c r="C377" s="5"/>
      <c r="D377" s="5"/>
      <c r="E377" s="5"/>
      <c r="F377" s="5"/>
      <c r="G377" s="5"/>
      <c r="H377" s="5"/>
      <c r="I377" s="5"/>
      <c r="J377" s="5"/>
      <c r="K377" s="5"/>
      <c r="L377" s="5"/>
      <c r="M377" s="5"/>
      <c r="N377" s="5"/>
      <c r="O377" s="5"/>
      <c r="P377" s="5"/>
      <c r="Q377" s="5"/>
      <c r="R377" s="5"/>
      <c r="S377" s="5"/>
      <c r="T377" s="5"/>
      <c r="U377" s="5"/>
      <c r="V377" s="5"/>
      <c r="Y377" s="5"/>
      <c r="Z377" s="5"/>
      <c r="AA377" s="5"/>
      <c r="AB377" s="5"/>
      <c r="AC377" s="5"/>
      <c r="AD377" s="5"/>
      <c r="AE377" s="5"/>
      <c r="AF377" s="5"/>
      <c r="AG377" s="5"/>
      <c r="AH377" s="5"/>
      <c r="AI377" s="5"/>
      <c r="AJ377" s="5"/>
      <c r="AK377" s="5"/>
      <c r="AL377" s="5"/>
      <c r="AM377" s="5"/>
      <c r="AN377" s="5"/>
    </row>
    <row r="378" spans="1:40" ht="18.75" customHeight="1">
      <c r="A378" s="5"/>
      <c r="B378" s="5"/>
      <c r="C378" s="5"/>
      <c r="D378" s="5"/>
      <c r="E378" s="5"/>
      <c r="F378" s="5"/>
      <c r="G378" s="5"/>
      <c r="H378" s="5"/>
      <c r="I378" s="5"/>
      <c r="J378" s="5"/>
      <c r="K378" s="5"/>
      <c r="L378" s="5"/>
      <c r="M378" s="5"/>
      <c r="N378" s="5"/>
      <c r="O378" s="5"/>
      <c r="P378" s="5"/>
      <c r="Q378" s="5"/>
      <c r="R378" s="5"/>
      <c r="S378" s="5"/>
      <c r="T378" s="5"/>
      <c r="U378" s="5"/>
      <c r="V378" s="5"/>
      <c r="Y378" s="5"/>
      <c r="Z378" s="5"/>
      <c r="AA378" s="5"/>
      <c r="AB378" s="5"/>
      <c r="AC378" s="5"/>
      <c r="AD378" s="5"/>
      <c r="AE378" s="5"/>
      <c r="AF378" s="5"/>
      <c r="AG378" s="5"/>
      <c r="AH378" s="5"/>
      <c r="AI378" s="5"/>
      <c r="AJ378" s="5"/>
      <c r="AK378" s="5"/>
      <c r="AL378" s="5"/>
      <c r="AM378" s="5"/>
      <c r="AN378" s="5"/>
    </row>
    <row r="379" spans="1:40" ht="18.75" customHeight="1">
      <c r="A379" s="5"/>
      <c r="B379" s="5"/>
      <c r="C379" s="5"/>
      <c r="D379" s="5"/>
      <c r="E379" s="5"/>
      <c r="F379" s="5"/>
      <c r="G379" s="5"/>
      <c r="H379" s="5"/>
      <c r="I379" s="5"/>
      <c r="J379" s="5"/>
      <c r="K379" s="5"/>
      <c r="L379" s="5"/>
      <c r="M379" s="5"/>
      <c r="N379" s="5"/>
      <c r="O379" s="5"/>
      <c r="P379" s="5"/>
      <c r="Q379" s="5"/>
      <c r="R379" s="5"/>
      <c r="S379" s="5"/>
      <c r="T379" s="5"/>
      <c r="U379" s="5"/>
      <c r="V379" s="5"/>
      <c r="Y379" s="5"/>
      <c r="Z379" s="5"/>
      <c r="AA379" s="5"/>
      <c r="AB379" s="5"/>
      <c r="AC379" s="5"/>
      <c r="AD379" s="5"/>
      <c r="AE379" s="5"/>
      <c r="AF379" s="5"/>
      <c r="AG379" s="5"/>
      <c r="AH379" s="5"/>
      <c r="AI379" s="5"/>
      <c r="AJ379" s="5"/>
      <c r="AK379" s="5"/>
      <c r="AL379" s="5"/>
      <c r="AM379" s="5"/>
      <c r="AN379" s="5"/>
    </row>
    <row r="380" spans="1:40" ht="18.75" customHeight="1">
      <c r="A380" s="5"/>
      <c r="B380" s="5"/>
      <c r="C380" s="5"/>
      <c r="D380" s="5"/>
      <c r="E380" s="5"/>
      <c r="F380" s="5"/>
      <c r="G380" s="5"/>
      <c r="H380" s="5"/>
      <c r="I380" s="5"/>
      <c r="J380" s="5"/>
      <c r="K380" s="5"/>
      <c r="L380" s="5"/>
      <c r="M380" s="5"/>
      <c r="N380" s="5"/>
      <c r="O380" s="5"/>
      <c r="P380" s="5"/>
      <c r="Q380" s="5"/>
      <c r="R380" s="5"/>
      <c r="S380" s="5"/>
      <c r="T380" s="5"/>
      <c r="U380" s="5"/>
      <c r="V380" s="5"/>
      <c r="Y380" s="5"/>
      <c r="Z380" s="5"/>
      <c r="AA380" s="5"/>
      <c r="AB380" s="5"/>
      <c r="AC380" s="5"/>
      <c r="AD380" s="5"/>
      <c r="AE380" s="5"/>
      <c r="AF380" s="5"/>
      <c r="AG380" s="5"/>
      <c r="AH380" s="5"/>
      <c r="AI380" s="5"/>
      <c r="AJ380" s="5"/>
      <c r="AK380" s="5"/>
      <c r="AL380" s="5"/>
      <c r="AM380" s="5"/>
      <c r="AN380" s="5"/>
    </row>
    <row r="381" spans="1:40" ht="18.75" customHeight="1">
      <c r="A381" s="5"/>
      <c r="B381" s="5"/>
      <c r="C381" s="5"/>
      <c r="D381" s="5"/>
      <c r="E381" s="5"/>
      <c r="F381" s="5"/>
      <c r="G381" s="5"/>
      <c r="H381" s="5"/>
      <c r="I381" s="5"/>
      <c r="J381" s="5"/>
      <c r="K381" s="5"/>
      <c r="L381" s="5"/>
      <c r="M381" s="5"/>
      <c r="N381" s="5"/>
      <c r="O381" s="5"/>
      <c r="P381" s="5"/>
      <c r="Q381" s="5"/>
      <c r="R381" s="5"/>
      <c r="S381" s="5"/>
      <c r="T381" s="5"/>
      <c r="U381" s="5"/>
      <c r="V381" s="5"/>
      <c r="Y381" s="5"/>
      <c r="Z381" s="5"/>
      <c r="AA381" s="5"/>
      <c r="AB381" s="5"/>
      <c r="AC381" s="5"/>
      <c r="AD381" s="5"/>
      <c r="AE381" s="5"/>
      <c r="AF381" s="5"/>
      <c r="AG381" s="5"/>
      <c r="AH381" s="5"/>
      <c r="AI381" s="5"/>
      <c r="AJ381" s="5"/>
      <c r="AK381" s="5"/>
      <c r="AL381" s="5"/>
      <c r="AM381" s="5"/>
      <c r="AN381" s="5"/>
    </row>
    <row r="382" spans="1:40" ht="18.75" customHeight="1">
      <c r="A382" s="5"/>
      <c r="B382" s="5"/>
      <c r="C382" s="5"/>
      <c r="D382" s="5"/>
      <c r="E382" s="5"/>
      <c r="F382" s="5"/>
      <c r="G382" s="5"/>
      <c r="H382" s="5"/>
      <c r="I382" s="5"/>
      <c r="J382" s="5"/>
      <c r="K382" s="5"/>
      <c r="L382" s="5"/>
      <c r="M382" s="5"/>
      <c r="N382" s="5"/>
      <c r="O382" s="5"/>
      <c r="P382" s="5"/>
      <c r="Q382" s="5"/>
      <c r="R382" s="5"/>
      <c r="S382" s="5"/>
      <c r="T382" s="5"/>
      <c r="U382" s="5"/>
      <c r="V382" s="5"/>
      <c r="Y382" s="5"/>
      <c r="Z382" s="5"/>
      <c r="AA382" s="5"/>
      <c r="AB382" s="5"/>
      <c r="AC382" s="5"/>
      <c r="AD382" s="5"/>
      <c r="AE382" s="5"/>
      <c r="AF382" s="5"/>
      <c r="AG382" s="5"/>
      <c r="AH382" s="5"/>
      <c r="AI382" s="5"/>
      <c r="AJ382" s="5"/>
      <c r="AK382" s="5"/>
      <c r="AL382" s="5"/>
      <c r="AM382" s="5"/>
      <c r="AN382" s="5"/>
    </row>
    <row r="383" spans="1:40" ht="18.75" customHeight="1">
      <c r="A383" s="5"/>
      <c r="B383" s="5"/>
      <c r="C383" s="5"/>
      <c r="D383" s="5"/>
      <c r="E383" s="5"/>
      <c r="F383" s="5"/>
      <c r="G383" s="5"/>
      <c r="H383" s="5"/>
      <c r="I383" s="5"/>
      <c r="J383" s="5"/>
      <c r="K383" s="5"/>
      <c r="L383" s="5"/>
      <c r="M383" s="5"/>
      <c r="N383" s="5"/>
      <c r="O383" s="5"/>
      <c r="P383" s="5"/>
      <c r="Q383" s="5"/>
      <c r="R383" s="5"/>
      <c r="S383" s="5"/>
      <c r="T383" s="5"/>
      <c r="U383" s="5"/>
      <c r="V383" s="5"/>
      <c r="Y383" s="5"/>
      <c r="Z383" s="5"/>
      <c r="AA383" s="5"/>
      <c r="AB383" s="5"/>
      <c r="AC383" s="5"/>
      <c r="AD383" s="5"/>
      <c r="AE383" s="5"/>
      <c r="AF383" s="5"/>
      <c r="AG383" s="5"/>
      <c r="AH383" s="5"/>
      <c r="AI383" s="5"/>
      <c r="AJ383" s="5"/>
      <c r="AK383" s="5"/>
      <c r="AL383" s="5"/>
      <c r="AM383" s="5"/>
      <c r="AN383" s="5"/>
    </row>
    <row r="384" spans="1:40" ht="18.75" customHeight="1">
      <c r="A384" s="5"/>
      <c r="B384" s="5"/>
      <c r="C384" s="5"/>
      <c r="D384" s="5"/>
      <c r="E384" s="5"/>
      <c r="F384" s="5"/>
      <c r="G384" s="5"/>
      <c r="H384" s="5"/>
      <c r="I384" s="5"/>
      <c r="J384" s="5"/>
      <c r="K384" s="5"/>
      <c r="L384" s="5"/>
      <c r="M384" s="5"/>
      <c r="N384" s="5"/>
      <c r="O384" s="5"/>
      <c r="P384" s="5"/>
      <c r="Q384" s="5"/>
      <c r="R384" s="5"/>
      <c r="S384" s="5"/>
      <c r="T384" s="5"/>
      <c r="U384" s="5"/>
      <c r="V384" s="5"/>
      <c r="Y384" s="5"/>
      <c r="Z384" s="5"/>
      <c r="AA384" s="5"/>
      <c r="AB384" s="5"/>
      <c r="AC384" s="5"/>
      <c r="AD384" s="5"/>
      <c r="AE384" s="5"/>
      <c r="AF384" s="5"/>
      <c r="AG384" s="5"/>
      <c r="AH384" s="5"/>
      <c r="AI384" s="5"/>
      <c r="AJ384" s="5"/>
      <c r="AK384" s="5"/>
      <c r="AL384" s="5"/>
      <c r="AM384" s="5"/>
      <c r="AN384" s="5"/>
    </row>
    <row r="385" spans="1:40" ht="18.75" customHeight="1">
      <c r="A385" s="5"/>
      <c r="B385" s="5"/>
      <c r="C385" s="5"/>
      <c r="D385" s="5"/>
      <c r="E385" s="5"/>
      <c r="F385" s="5"/>
      <c r="G385" s="5"/>
      <c r="H385" s="5"/>
      <c r="I385" s="5"/>
      <c r="J385" s="5"/>
      <c r="K385" s="5"/>
      <c r="L385" s="5"/>
      <c r="M385" s="5"/>
      <c r="N385" s="5"/>
      <c r="O385" s="5"/>
      <c r="P385" s="5"/>
      <c r="Q385" s="5"/>
      <c r="R385" s="5"/>
      <c r="S385" s="5"/>
      <c r="T385" s="5"/>
      <c r="U385" s="5"/>
      <c r="V385" s="5"/>
      <c r="Y385" s="5"/>
      <c r="Z385" s="5"/>
      <c r="AA385" s="5"/>
      <c r="AB385" s="5"/>
      <c r="AC385" s="5"/>
      <c r="AD385" s="5"/>
      <c r="AE385" s="5"/>
      <c r="AF385" s="5"/>
      <c r="AG385" s="5"/>
      <c r="AH385" s="5"/>
      <c r="AI385" s="5"/>
      <c r="AJ385" s="5"/>
      <c r="AK385" s="5"/>
      <c r="AL385" s="5"/>
      <c r="AM385" s="5"/>
      <c r="AN385" s="5"/>
    </row>
    <row r="386" spans="1:40" ht="18.75" customHeight="1">
      <c r="A386" s="5"/>
      <c r="B386" s="5"/>
      <c r="C386" s="5"/>
      <c r="D386" s="5"/>
      <c r="E386" s="5"/>
      <c r="F386" s="5"/>
      <c r="G386" s="5"/>
      <c r="H386" s="5"/>
      <c r="I386" s="5"/>
      <c r="J386" s="5"/>
      <c r="K386" s="5"/>
      <c r="L386" s="5"/>
      <c r="M386" s="5"/>
      <c r="N386" s="5"/>
      <c r="O386" s="5"/>
      <c r="P386" s="5"/>
      <c r="Q386" s="5"/>
      <c r="R386" s="5"/>
      <c r="S386" s="5"/>
      <c r="T386" s="5"/>
      <c r="U386" s="5"/>
      <c r="V386" s="5"/>
      <c r="Y386" s="5"/>
      <c r="Z386" s="5"/>
      <c r="AA386" s="5"/>
      <c r="AB386" s="5"/>
      <c r="AC386" s="5"/>
      <c r="AD386" s="5"/>
      <c r="AE386" s="5"/>
      <c r="AF386" s="5"/>
      <c r="AG386" s="5"/>
      <c r="AH386" s="5"/>
      <c r="AI386" s="5"/>
      <c r="AJ386" s="5"/>
      <c r="AK386" s="5"/>
      <c r="AL386" s="5"/>
      <c r="AM386" s="5"/>
      <c r="AN386" s="5"/>
    </row>
    <row r="387" spans="1:40" ht="18.75" customHeight="1">
      <c r="A387" s="5"/>
      <c r="B387" s="5"/>
      <c r="C387" s="5"/>
      <c r="D387" s="5"/>
      <c r="E387" s="5"/>
      <c r="F387" s="5"/>
      <c r="G387" s="5"/>
      <c r="H387" s="5"/>
      <c r="I387" s="5"/>
      <c r="J387" s="5"/>
      <c r="K387" s="5"/>
      <c r="L387" s="5"/>
      <c r="M387" s="5"/>
      <c r="N387" s="5"/>
      <c r="O387" s="5"/>
      <c r="P387" s="5"/>
      <c r="Q387" s="5"/>
      <c r="R387" s="5"/>
      <c r="S387" s="5"/>
      <c r="T387" s="5"/>
      <c r="U387" s="5"/>
      <c r="V387" s="5"/>
      <c r="Y387" s="5"/>
      <c r="Z387" s="5"/>
      <c r="AA387" s="5"/>
      <c r="AB387" s="5"/>
      <c r="AC387" s="5"/>
      <c r="AD387" s="5"/>
      <c r="AE387" s="5"/>
      <c r="AF387" s="5"/>
      <c r="AG387" s="5"/>
      <c r="AH387" s="5"/>
      <c r="AI387" s="5"/>
      <c r="AJ387" s="5"/>
      <c r="AK387" s="5"/>
      <c r="AL387" s="5"/>
      <c r="AM387" s="5"/>
      <c r="AN387" s="5"/>
    </row>
    <row r="388" spans="1:40" ht="18.75" customHeight="1">
      <c r="A388" s="5"/>
      <c r="B388" s="5"/>
      <c r="C388" s="5"/>
      <c r="D388" s="5"/>
      <c r="E388" s="5"/>
      <c r="F388" s="5"/>
      <c r="G388" s="5"/>
      <c r="H388" s="5"/>
      <c r="I388" s="5"/>
      <c r="J388" s="5"/>
      <c r="K388" s="5"/>
      <c r="L388" s="5"/>
      <c r="M388" s="5"/>
      <c r="N388" s="5"/>
      <c r="O388" s="5"/>
      <c r="P388" s="5"/>
      <c r="Q388" s="5"/>
      <c r="R388" s="5"/>
      <c r="S388" s="5"/>
      <c r="T388" s="5"/>
      <c r="U388" s="5"/>
      <c r="V388" s="5"/>
      <c r="Y388" s="5"/>
      <c r="Z388" s="5"/>
      <c r="AA388" s="5"/>
      <c r="AB388" s="5"/>
      <c r="AC388" s="5"/>
      <c r="AD388" s="5"/>
      <c r="AE388" s="5"/>
      <c r="AF388" s="5"/>
      <c r="AG388" s="5"/>
      <c r="AH388" s="5"/>
      <c r="AI388" s="5"/>
      <c r="AJ388" s="5"/>
      <c r="AK388" s="5"/>
      <c r="AL388" s="5"/>
      <c r="AM388" s="5"/>
      <c r="AN388" s="5"/>
    </row>
    <row r="389" spans="1:40" ht="18.75" customHeight="1">
      <c r="A389" s="5"/>
      <c r="B389" s="5"/>
      <c r="C389" s="5"/>
      <c r="D389" s="5"/>
      <c r="E389" s="5"/>
      <c r="F389" s="5"/>
      <c r="G389" s="5"/>
      <c r="H389" s="5"/>
      <c r="I389" s="5"/>
      <c r="J389" s="5"/>
      <c r="K389" s="5"/>
      <c r="L389" s="5"/>
      <c r="M389" s="5"/>
      <c r="N389" s="5"/>
      <c r="O389" s="5"/>
      <c r="P389" s="5"/>
      <c r="Q389" s="5"/>
      <c r="R389" s="5"/>
      <c r="S389" s="5"/>
      <c r="T389" s="5"/>
      <c r="U389" s="5"/>
      <c r="V389" s="5"/>
      <c r="Y389" s="5"/>
      <c r="Z389" s="5"/>
      <c r="AA389" s="5"/>
      <c r="AB389" s="5"/>
      <c r="AC389" s="5"/>
      <c r="AD389" s="5"/>
      <c r="AE389" s="5"/>
      <c r="AF389" s="5"/>
      <c r="AG389" s="5"/>
      <c r="AH389" s="5"/>
      <c r="AI389" s="5"/>
      <c r="AJ389" s="5"/>
      <c r="AK389" s="5"/>
      <c r="AL389" s="5"/>
      <c r="AM389" s="5"/>
      <c r="AN389" s="5"/>
    </row>
    <row r="390" spans="1:40" ht="18.75" customHeight="1">
      <c r="A390" s="5"/>
      <c r="B390" s="5"/>
      <c r="C390" s="5"/>
      <c r="D390" s="5"/>
      <c r="E390" s="5"/>
      <c r="F390" s="5"/>
      <c r="G390" s="5"/>
      <c r="H390" s="5"/>
      <c r="I390" s="5"/>
      <c r="J390" s="5"/>
      <c r="K390" s="5"/>
      <c r="L390" s="5"/>
      <c r="M390" s="5"/>
      <c r="N390" s="5"/>
      <c r="O390" s="5"/>
      <c r="P390" s="5"/>
      <c r="Q390" s="5"/>
      <c r="R390" s="5"/>
      <c r="S390" s="5"/>
      <c r="T390" s="5"/>
      <c r="U390" s="5"/>
      <c r="V390" s="5"/>
      <c r="Y390" s="5"/>
      <c r="Z390" s="5"/>
      <c r="AA390" s="5"/>
      <c r="AB390" s="5"/>
      <c r="AC390" s="5"/>
      <c r="AD390" s="5"/>
      <c r="AE390" s="5"/>
      <c r="AF390" s="5"/>
      <c r="AG390" s="5"/>
      <c r="AH390" s="5"/>
      <c r="AI390" s="5"/>
      <c r="AJ390" s="5"/>
      <c r="AK390" s="5"/>
      <c r="AL390" s="5"/>
      <c r="AM390" s="5"/>
      <c r="AN390" s="5"/>
    </row>
    <row r="391" spans="1:40" ht="18.75" customHeight="1">
      <c r="A391" s="5"/>
      <c r="B391" s="5"/>
      <c r="C391" s="5"/>
      <c r="D391" s="5"/>
      <c r="E391" s="5"/>
      <c r="F391" s="5"/>
      <c r="G391" s="5"/>
      <c r="H391" s="5"/>
      <c r="I391" s="5"/>
      <c r="J391" s="5"/>
      <c r="K391" s="5"/>
      <c r="L391" s="5"/>
      <c r="M391" s="5"/>
      <c r="N391" s="5"/>
      <c r="O391" s="5"/>
      <c r="P391" s="5"/>
      <c r="Q391" s="5"/>
      <c r="R391" s="5"/>
      <c r="S391" s="5"/>
      <c r="T391" s="5"/>
      <c r="U391" s="5"/>
      <c r="V391" s="5"/>
      <c r="Y391" s="5"/>
      <c r="Z391" s="5"/>
      <c r="AA391" s="5"/>
      <c r="AB391" s="5"/>
      <c r="AC391" s="5"/>
      <c r="AD391" s="5"/>
      <c r="AE391" s="5"/>
      <c r="AF391" s="5"/>
      <c r="AG391" s="5"/>
      <c r="AH391" s="5"/>
      <c r="AI391" s="5"/>
      <c r="AJ391" s="5"/>
      <c r="AK391" s="5"/>
      <c r="AL391" s="5"/>
      <c r="AM391" s="5"/>
      <c r="AN391" s="5"/>
    </row>
    <row r="392" spans="1:40" ht="18.75" customHeight="1">
      <c r="A392" s="5"/>
      <c r="B392" s="5"/>
      <c r="C392" s="5"/>
      <c r="D392" s="5"/>
      <c r="E392" s="5"/>
      <c r="F392" s="5"/>
      <c r="G392" s="5"/>
      <c r="H392" s="5"/>
      <c r="I392" s="5"/>
      <c r="J392" s="5"/>
      <c r="K392" s="5"/>
      <c r="L392" s="5"/>
      <c r="M392" s="5"/>
      <c r="N392" s="5"/>
      <c r="O392" s="5"/>
      <c r="P392" s="5"/>
      <c r="Q392" s="5"/>
      <c r="R392" s="5"/>
      <c r="S392" s="5"/>
      <c r="T392" s="5"/>
      <c r="U392" s="5"/>
      <c r="V392" s="5"/>
      <c r="Y392" s="5"/>
      <c r="Z392" s="5"/>
      <c r="AA392" s="5"/>
      <c r="AB392" s="5"/>
      <c r="AC392" s="5"/>
      <c r="AD392" s="5"/>
      <c r="AE392" s="5"/>
      <c r="AF392" s="5"/>
      <c r="AG392" s="5"/>
      <c r="AH392" s="5"/>
      <c r="AI392" s="5"/>
      <c r="AJ392" s="5"/>
      <c r="AK392" s="5"/>
      <c r="AL392" s="5"/>
      <c r="AM392" s="5"/>
      <c r="AN392" s="5"/>
    </row>
    <row r="393" spans="1:40" ht="18.75" customHeight="1">
      <c r="A393" s="5"/>
      <c r="B393" s="5"/>
      <c r="C393" s="5"/>
      <c r="D393" s="5"/>
      <c r="E393" s="5"/>
      <c r="F393" s="5"/>
      <c r="G393" s="5"/>
      <c r="H393" s="5"/>
      <c r="I393" s="5"/>
      <c r="J393" s="5"/>
      <c r="K393" s="5"/>
      <c r="L393" s="5"/>
      <c r="M393" s="5"/>
      <c r="N393" s="5"/>
      <c r="O393" s="5"/>
      <c r="P393" s="5"/>
      <c r="Q393" s="5"/>
      <c r="R393" s="5"/>
      <c r="S393" s="5"/>
      <c r="T393" s="5"/>
      <c r="U393" s="5"/>
      <c r="V393" s="5"/>
      <c r="Y393" s="5"/>
      <c r="Z393" s="5"/>
      <c r="AA393" s="5"/>
      <c r="AB393" s="5"/>
      <c r="AC393" s="5"/>
      <c r="AD393" s="5"/>
      <c r="AE393" s="5"/>
      <c r="AF393" s="5"/>
      <c r="AG393" s="5"/>
      <c r="AH393" s="5"/>
      <c r="AI393" s="5"/>
      <c r="AJ393" s="5"/>
      <c r="AK393" s="5"/>
      <c r="AL393" s="5"/>
      <c r="AM393" s="5"/>
      <c r="AN393" s="5"/>
    </row>
    <row r="394" spans="1:40" ht="18.75" customHeight="1">
      <c r="A394" s="5"/>
      <c r="B394" s="5"/>
      <c r="C394" s="5"/>
      <c r="D394" s="5"/>
      <c r="E394" s="5"/>
      <c r="F394" s="5"/>
      <c r="G394" s="5"/>
      <c r="H394" s="5"/>
      <c r="I394" s="5"/>
      <c r="J394" s="5"/>
      <c r="K394" s="5"/>
      <c r="L394" s="5"/>
      <c r="M394" s="5"/>
      <c r="N394" s="5"/>
      <c r="O394" s="5"/>
      <c r="P394" s="5"/>
      <c r="Q394" s="5"/>
      <c r="R394" s="5"/>
      <c r="S394" s="5"/>
      <c r="T394" s="5"/>
      <c r="U394" s="5"/>
      <c r="V394" s="5"/>
      <c r="Y394" s="5"/>
      <c r="Z394" s="5"/>
      <c r="AA394" s="5"/>
      <c r="AB394" s="5"/>
      <c r="AC394" s="5"/>
      <c r="AD394" s="5"/>
      <c r="AE394" s="5"/>
      <c r="AF394" s="5"/>
      <c r="AG394" s="5"/>
      <c r="AH394" s="5"/>
      <c r="AI394" s="5"/>
      <c r="AJ394" s="5"/>
      <c r="AK394" s="5"/>
      <c r="AL394" s="5"/>
      <c r="AM394" s="5"/>
      <c r="AN394" s="5"/>
    </row>
    <row r="395" spans="1:40" ht="18.75" customHeight="1">
      <c r="A395" s="5"/>
      <c r="B395" s="5"/>
      <c r="C395" s="5"/>
      <c r="D395" s="5"/>
      <c r="E395" s="5"/>
      <c r="F395" s="5"/>
      <c r="G395" s="5"/>
      <c r="H395" s="5"/>
      <c r="I395" s="5"/>
      <c r="J395" s="5"/>
      <c r="K395" s="5"/>
      <c r="L395" s="5"/>
      <c r="M395" s="5"/>
      <c r="N395" s="5"/>
      <c r="O395" s="5"/>
      <c r="P395" s="5"/>
      <c r="Q395" s="5"/>
      <c r="R395" s="5"/>
      <c r="S395" s="5"/>
      <c r="T395" s="5"/>
      <c r="U395" s="5"/>
      <c r="V395" s="5"/>
      <c r="Y395" s="5"/>
      <c r="Z395" s="5"/>
      <c r="AA395" s="5"/>
      <c r="AB395" s="5"/>
      <c r="AC395" s="5"/>
      <c r="AD395" s="5"/>
      <c r="AE395" s="5"/>
      <c r="AF395" s="5"/>
      <c r="AG395" s="5"/>
      <c r="AH395" s="5"/>
      <c r="AI395" s="5"/>
      <c r="AJ395" s="5"/>
      <c r="AK395" s="5"/>
      <c r="AL395" s="5"/>
      <c r="AM395" s="5"/>
      <c r="AN395" s="5"/>
    </row>
    <row r="396" spans="1:40" ht="18.75" customHeight="1">
      <c r="A396" s="5"/>
      <c r="B396" s="5"/>
      <c r="C396" s="5"/>
      <c r="D396" s="5"/>
      <c r="E396" s="5"/>
      <c r="F396" s="5"/>
      <c r="G396" s="5"/>
      <c r="H396" s="5"/>
      <c r="I396" s="5"/>
      <c r="J396" s="5"/>
      <c r="K396" s="5"/>
      <c r="L396" s="5"/>
      <c r="M396" s="5"/>
      <c r="N396" s="5"/>
      <c r="O396" s="5"/>
      <c r="P396" s="5"/>
      <c r="Q396" s="5"/>
      <c r="R396" s="5"/>
      <c r="S396" s="5"/>
      <c r="T396" s="5"/>
      <c r="U396" s="5"/>
      <c r="V396" s="5"/>
      <c r="Y396" s="5"/>
      <c r="Z396" s="5"/>
      <c r="AA396" s="5"/>
      <c r="AB396" s="5"/>
      <c r="AC396" s="5"/>
      <c r="AD396" s="5"/>
      <c r="AE396" s="5"/>
      <c r="AF396" s="5"/>
      <c r="AG396" s="5"/>
      <c r="AH396" s="5"/>
      <c r="AI396" s="5"/>
      <c r="AJ396" s="5"/>
      <c r="AK396" s="5"/>
      <c r="AL396" s="5"/>
      <c r="AM396" s="5"/>
      <c r="AN396" s="5"/>
    </row>
    <row r="397" spans="1:40" ht="18.75" customHeight="1">
      <c r="A397" s="5"/>
      <c r="B397" s="5"/>
      <c r="C397" s="5"/>
      <c r="D397" s="5"/>
      <c r="E397" s="5"/>
      <c r="F397" s="5"/>
      <c r="G397" s="5"/>
      <c r="H397" s="5"/>
      <c r="I397" s="5"/>
      <c r="J397" s="5"/>
      <c r="K397" s="5"/>
      <c r="L397" s="5"/>
      <c r="M397" s="5"/>
      <c r="N397" s="5"/>
      <c r="O397" s="5"/>
      <c r="P397" s="5"/>
      <c r="Q397" s="5"/>
      <c r="R397" s="5"/>
      <c r="S397" s="5"/>
      <c r="T397" s="5"/>
      <c r="U397" s="5"/>
      <c r="V397" s="5"/>
      <c r="Y397" s="5"/>
      <c r="Z397" s="5"/>
      <c r="AA397" s="5"/>
      <c r="AB397" s="5"/>
      <c r="AC397" s="5"/>
      <c r="AD397" s="5"/>
      <c r="AE397" s="5"/>
      <c r="AF397" s="5"/>
      <c r="AG397" s="5"/>
      <c r="AH397" s="5"/>
      <c r="AI397" s="5"/>
      <c r="AJ397" s="5"/>
      <c r="AK397" s="5"/>
      <c r="AL397" s="5"/>
      <c r="AM397" s="5"/>
      <c r="AN397" s="5"/>
    </row>
    <row r="398" spans="1:40" ht="18.75" customHeight="1">
      <c r="A398" s="5"/>
      <c r="B398" s="5"/>
      <c r="C398" s="5"/>
      <c r="D398" s="5"/>
      <c r="E398" s="5"/>
      <c r="F398" s="5"/>
      <c r="G398" s="5"/>
      <c r="H398" s="5"/>
      <c r="I398" s="5"/>
      <c r="J398" s="5"/>
      <c r="K398" s="5"/>
      <c r="L398" s="5"/>
      <c r="M398" s="5"/>
      <c r="N398" s="5"/>
      <c r="O398" s="5"/>
      <c r="P398" s="5"/>
      <c r="Q398" s="5"/>
      <c r="R398" s="5"/>
      <c r="S398" s="5"/>
      <c r="T398" s="5"/>
      <c r="U398" s="5"/>
      <c r="V398" s="5"/>
      <c r="Y398" s="5"/>
      <c r="Z398" s="5"/>
      <c r="AA398" s="5"/>
      <c r="AB398" s="5"/>
      <c r="AC398" s="5"/>
      <c r="AD398" s="5"/>
      <c r="AE398" s="5"/>
      <c r="AF398" s="5"/>
      <c r="AG398" s="5"/>
      <c r="AH398" s="5"/>
      <c r="AI398" s="5"/>
      <c r="AJ398" s="5"/>
      <c r="AK398" s="5"/>
      <c r="AL398" s="5"/>
      <c r="AM398" s="5"/>
      <c r="AN398" s="5"/>
    </row>
    <row r="399" spans="1:40" ht="18.75" customHeight="1">
      <c r="A399" s="5"/>
      <c r="B399" s="5"/>
      <c r="C399" s="5"/>
      <c r="D399" s="5"/>
      <c r="E399" s="5"/>
      <c r="F399" s="5"/>
      <c r="G399" s="5"/>
      <c r="H399" s="5"/>
      <c r="I399" s="5"/>
      <c r="J399" s="5"/>
      <c r="K399" s="5"/>
      <c r="L399" s="5"/>
      <c r="M399" s="5"/>
      <c r="N399" s="5"/>
      <c r="O399" s="5"/>
      <c r="P399" s="5"/>
      <c r="Q399" s="5"/>
      <c r="R399" s="5"/>
      <c r="S399" s="5"/>
      <c r="T399" s="5"/>
      <c r="U399" s="5"/>
      <c r="V399" s="5"/>
      <c r="Y399" s="5"/>
      <c r="Z399" s="5"/>
      <c r="AA399" s="5"/>
      <c r="AB399" s="5"/>
      <c r="AC399" s="5"/>
      <c r="AD399" s="5"/>
      <c r="AE399" s="5"/>
      <c r="AF399" s="5"/>
      <c r="AG399" s="5"/>
      <c r="AH399" s="5"/>
      <c r="AI399" s="5"/>
      <c r="AJ399" s="5"/>
      <c r="AK399" s="5"/>
      <c r="AL399" s="5"/>
      <c r="AM399" s="5"/>
      <c r="AN399" s="5"/>
    </row>
    <row r="400" spans="1:40" ht="18.75" customHeight="1">
      <c r="A400" s="5"/>
      <c r="B400" s="5"/>
      <c r="C400" s="5"/>
      <c r="D400" s="5"/>
      <c r="E400" s="5"/>
      <c r="F400" s="5"/>
      <c r="G400" s="5"/>
      <c r="H400" s="5"/>
      <c r="I400" s="5"/>
      <c r="J400" s="5"/>
      <c r="K400" s="5"/>
      <c r="L400" s="5"/>
      <c r="M400" s="5"/>
      <c r="N400" s="5"/>
      <c r="O400" s="5"/>
      <c r="P400" s="5"/>
      <c r="Q400" s="5"/>
      <c r="R400" s="5"/>
      <c r="S400" s="5"/>
      <c r="T400" s="5"/>
      <c r="U400" s="5"/>
      <c r="V400" s="5"/>
      <c r="Y400" s="5"/>
      <c r="Z400" s="5"/>
      <c r="AA400" s="5"/>
      <c r="AB400" s="5"/>
      <c r="AC400" s="5"/>
      <c r="AD400" s="5"/>
      <c r="AE400" s="5"/>
      <c r="AF400" s="5"/>
      <c r="AG400" s="5"/>
      <c r="AH400" s="5"/>
      <c r="AI400" s="5"/>
      <c r="AJ400" s="5"/>
      <c r="AK400" s="5"/>
      <c r="AL400" s="5"/>
      <c r="AM400" s="5"/>
      <c r="AN400" s="5"/>
    </row>
    <row r="401" spans="1:40" ht="18.75" customHeight="1">
      <c r="A401" s="5"/>
      <c r="B401" s="5"/>
      <c r="C401" s="5"/>
      <c r="D401" s="5"/>
      <c r="E401" s="5"/>
      <c r="F401" s="5"/>
      <c r="G401" s="5"/>
      <c r="H401" s="5"/>
      <c r="I401" s="5"/>
      <c r="J401" s="5"/>
      <c r="K401" s="5"/>
      <c r="L401" s="5"/>
      <c r="M401" s="5"/>
      <c r="N401" s="5"/>
      <c r="O401" s="5"/>
      <c r="P401" s="5"/>
      <c r="Q401" s="5"/>
      <c r="R401" s="5"/>
      <c r="S401" s="5"/>
      <c r="T401" s="5"/>
      <c r="U401" s="5"/>
      <c r="V401" s="5"/>
      <c r="Y401" s="5"/>
      <c r="Z401" s="5"/>
      <c r="AA401" s="5"/>
      <c r="AB401" s="5"/>
      <c r="AC401" s="5"/>
      <c r="AD401" s="5"/>
      <c r="AE401" s="5"/>
      <c r="AF401" s="5"/>
      <c r="AG401" s="5"/>
      <c r="AH401" s="5"/>
      <c r="AI401" s="5"/>
      <c r="AJ401" s="5"/>
      <c r="AK401" s="5"/>
      <c r="AL401" s="5"/>
      <c r="AM401" s="5"/>
      <c r="AN401" s="5"/>
    </row>
    <row r="402" spans="1:40" ht="18.75" customHeight="1">
      <c r="A402" s="5"/>
      <c r="B402" s="5"/>
      <c r="C402" s="5"/>
      <c r="D402" s="5"/>
      <c r="E402" s="5"/>
      <c r="F402" s="5"/>
      <c r="G402" s="5"/>
      <c r="H402" s="5"/>
      <c r="I402" s="5"/>
      <c r="J402" s="5"/>
      <c r="K402" s="5"/>
      <c r="L402" s="5"/>
      <c r="M402" s="5"/>
      <c r="N402" s="5"/>
      <c r="O402" s="5"/>
      <c r="P402" s="5"/>
      <c r="Q402" s="5"/>
      <c r="R402" s="5"/>
      <c r="S402" s="5"/>
      <c r="T402" s="5"/>
      <c r="U402" s="5"/>
      <c r="V402" s="5"/>
      <c r="Y402" s="5"/>
      <c r="Z402" s="5"/>
      <c r="AA402" s="5"/>
      <c r="AB402" s="5"/>
      <c r="AC402" s="5"/>
      <c r="AD402" s="5"/>
      <c r="AE402" s="5"/>
      <c r="AF402" s="5"/>
      <c r="AG402" s="5"/>
      <c r="AH402" s="5"/>
      <c r="AI402" s="5"/>
      <c r="AJ402" s="5"/>
      <c r="AK402" s="5"/>
      <c r="AL402" s="5"/>
      <c r="AM402" s="5"/>
      <c r="AN402" s="5"/>
    </row>
    <row r="403" spans="1:40" ht="18.75" customHeight="1">
      <c r="A403" s="5"/>
      <c r="B403" s="5"/>
      <c r="C403" s="5"/>
      <c r="D403" s="5"/>
      <c r="E403" s="5"/>
      <c r="F403" s="5"/>
      <c r="G403" s="5"/>
      <c r="H403" s="5"/>
      <c r="I403" s="5"/>
      <c r="J403" s="5"/>
      <c r="K403" s="5"/>
      <c r="L403" s="5"/>
      <c r="M403" s="5"/>
      <c r="N403" s="5"/>
      <c r="O403" s="5"/>
      <c r="P403" s="5"/>
      <c r="Q403" s="5"/>
      <c r="R403" s="5"/>
      <c r="S403" s="5"/>
      <c r="T403" s="5"/>
      <c r="U403" s="5"/>
      <c r="V403" s="5"/>
      <c r="Y403" s="5"/>
      <c r="Z403" s="5"/>
      <c r="AA403" s="5"/>
      <c r="AB403" s="5"/>
      <c r="AC403" s="5"/>
      <c r="AD403" s="5"/>
      <c r="AE403" s="5"/>
      <c r="AF403" s="5"/>
      <c r="AG403" s="5"/>
      <c r="AH403" s="5"/>
      <c r="AI403" s="5"/>
      <c r="AJ403" s="5"/>
      <c r="AK403" s="5"/>
      <c r="AL403" s="5"/>
      <c r="AM403" s="5"/>
      <c r="AN403" s="5"/>
    </row>
    <row r="404" spans="1:40" ht="18.75" customHeight="1">
      <c r="A404" s="5"/>
      <c r="B404" s="5"/>
      <c r="C404" s="5"/>
      <c r="D404" s="5"/>
      <c r="E404" s="5"/>
      <c r="F404" s="5"/>
      <c r="G404" s="5"/>
      <c r="H404" s="5"/>
      <c r="I404" s="5"/>
      <c r="J404" s="5"/>
      <c r="K404" s="5"/>
      <c r="L404" s="5"/>
      <c r="M404" s="5"/>
      <c r="N404" s="5"/>
      <c r="O404" s="5"/>
      <c r="P404" s="5"/>
      <c r="Q404" s="5"/>
      <c r="R404" s="5"/>
      <c r="S404" s="5"/>
      <c r="T404" s="5"/>
      <c r="U404" s="5"/>
      <c r="V404" s="5"/>
      <c r="Y404" s="5"/>
      <c r="Z404" s="5"/>
      <c r="AA404" s="5"/>
      <c r="AB404" s="5"/>
      <c r="AC404" s="5"/>
      <c r="AD404" s="5"/>
      <c r="AE404" s="5"/>
      <c r="AF404" s="5"/>
      <c r="AG404" s="5"/>
      <c r="AH404" s="5"/>
      <c r="AI404" s="5"/>
      <c r="AJ404" s="5"/>
      <c r="AK404" s="5"/>
      <c r="AL404" s="5"/>
      <c r="AM404" s="5"/>
      <c r="AN404" s="5"/>
    </row>
    <row r="405" spans="1:40" ht="18.75" customHeight="1">
      <c r="A405" s="5"/>
      <c r="B405" s="5"/>
      <c r="C405" s="5"/>
      <c r="D405" s="5"/>
      <c r="E405" s="5"/>
      <c r="F405" s="5"/>
      <c r="G405" s="5"/>
      <c r="H405" s="5"/>
      <c r="I405" s="5"/>
      <c r="J405" s="5"/>
      <c r="K405" s="5"/>
      <c r="L405" s="5"/>
      <c r="M405" s="5"/>
      <c r="N405" s="5"/>
      <c r="O405" s="5"/>
      <c r="P405" s="5"/>
      <c r="Q405" s="5"/>
      <c r="R405" s="5"/>
      <c r="S405" s="5"/>
      <c r="T405" s="5"/>
      <c r="U405" s="5"/>
      <c r="V405" s="5"/>
      <c r="Y405" s="5"/>
      <c r="Z405" s="5"/>
      <c r="AA405" s="5"/>
      <c r="AB405" s="5"/>
      <c r="AC405" s="5"/>
      <c r="AD405" s="5"/>
      <c r="AE405" s="5"/>
      <c r="AF405" s="5"/>
      <c r="AG405" s="5"/>
      <c r="AH405" s="5"/>
      <c r="AI405" s="5"/>
      <c r="AJ405" s="5"/>
      <c r="AK405" s="5"/>
      <c r="AL405" s="5"/>
      <c r="AM405" s="5"/>
      <c r="AN405" s="5"/>
    </row>
    <row r="406" spans="1:40" ht="18.75" customHeight="1">
      <c r="A406" s="5"/>
      <c r="B406" s="5"/>
      <c r="C406" s="5"/>
      <c r="D406" s="5"/>
      <c r="E406" s="5"/>
      <c r="F406" s="5"/>
      <c r="G406" s="5"/>
      <c r="H406" s="5"/>
      <c r="I406" s="5"/>
      <c r="J406" s="5"/>
      <c r="K406" s="5"/>
      <c r="L406" s="5"/>
      <c r="M406" s="5"/>
      <c r="N406" s="5"/>
      <c r="O406" s="5"/>
      <c r="P406" s="5"/>
      <c r="Q406" s="5"/>
      <c r="R406" s="5"/>
      <c r="S406" s="5"/>
      <c r="T406" s="5"/>
      <c r="U406" s="5"/>
      <c r="V406" s="5"/>
      <c r="Y406" s="5"/>
      <c r="Z406" s="5"/>
      <c r="AA406" s="5"/>
      <c r="AB406" s="5"/>
      <c r="AC406" s="5"/>
      <c r="AD406" s="5"/>
      <c r="AE406" s="5"/>
      <c r="AF406" s="5"/>
      <c r="AG406" s="5"/>
      <c r="AH406" s="5"/>
      <c r="AI406" s="5"/>
      <c r="AJ406" s="5"/>
      <c r="AK406" s="5"/>
      <c r="AL406" s="5"/>
      <c r="AM406" s="5"/>
      <c r="AN406" s="5"/>
    </row>
    <row r="407" spans="1:40" ht="18.75" customHeight="1">
      <c r="A407" s="5"/>
      <c r="B407" s="5"/>
      <c r="C407" s="5"/>
      <c r="D407" s="5"/>
      <c r="E407" s="5"/>
      <c r="F407" s="5"/>
      <c r="G407" s="5"/>
      <c r="H407" s="5"/>
      <c r="I407" s="5"/>
      <c r="J407" s="5"/>
      <c r="K407" s="5"/>
      <c r="L407" s="5"/>
      <c r="M407" s="5"/>
      <c r="N407" s="5"/>
      <c r="O407" s="5"/>
      <c r="P407" s="5"/>
      <c r="Q407" s="5"/>
      <c r="R407" s="5"/>
      <c r="S407" s="5"/>
      <c r="T407" s="5"/>
      <c r="U407" s="5"/>
      <c r="V407" s="5"/>
      <c r="Y407" s="5"/>
      <c r="Z407" s="5"/>
      <c r="AA407" s="5"/>
      <c r="AB407" s="5"/>
      <c r="AC407" s="5"/>
      <c r="AD407" s="5"/>
      <c r="AE407" s="5"/>
      <c r="AF407" s="5"/>
      <c r="AG407" s="5"/>
      <c r="AH407" s="5"/>
      <c r="AI407" s="5"/>
      <c r="AJ407" s="5"/>
      <c r="AK407" s="5"/>
      <c r="AL407" s="5"/>
      <c r="AM407" s="5"/>
      <c r="AN407" s="5"/>
    </row>
    <row r="408" spans="1:40" ht="18.75" customHeight="1">
      <c r="A408" s="5"/>
      <c r="B408" s="5"/>
      <c r="C408" s="5"/>
      <c r="D408" s="5"/>
      <c r="E408" s="5"/>
      <c r="F408" s="5"/>
      <c r="G408" s="5"/>
      <c r="H408" s="5"/>
      <c r="I408" s="5"/>
      <c r="J408" s="5"/>
      <c r="K408" s="5"/>
      <c r="L408" s="5"/>
      <c r="M408" s="5"/>
      <c r="N408" s="5"/>
      <c r="O408" s="5"/>
      <c r="P408" s="5"/>
      <c r="Q408" s="5"/>
      <c r="R408" s="5"/>
      <c r="S408" s="5"/>
      <c r="T408" s="5"/>
      <c r="U408" s="5"/>
      <c r="V408" s="5"/>
      <c r="Y408" s="5"/>
      <c r="Z408" s="5"/>
      <c r="AA408" s="5"/>
      <c r="AB408" s="5"/>
      <c r="AC408" s="5"/>
      <c r="AD408" s="5"/>
      <c r="AE408" s="5"/>
      <c r="AF408" s="5"/>
      <c r="AG408" s="5"/>
      <c r="AH408" s="5"/>
      <c r="AI408" s="5"/>
      <c r="AJ408" s="5"/>
      <c r="AK408" s="5"/>
      <c r="AL408" s="5"/>
      <c r="AM408" s="5"/>
      <c r="AN408" s="5"/>
    </row>
    <row r="409" spans="1:40" ht="18.75" customHeight="1">
      <c r="A409" s="5"/>
      <c r="B409" s="5"/>
      <c r="C409" s="5"/>
      <c r="D409" s="5"/>
      <c r="E409" s="5"/>
      <c r="F409" s="5"/>
      <c r="G409" s="5"/>
      <c r="H409" s="5"/>
      <c r="I409" s="5"/>
      <c r="J409" s="5"/>
      <c r="K409" s="5"/>
      <c r="L409" s="5"/>
      <c r="M409" s="5"/>
      <c r="N409" s="5"/>
      <c r="O409" s="5"/>
      <c r="P409" s="5"/>
      <c r="Q409" s="5"/>
      <c r="R409" s="5"/>
      <c r="S409" s="5"/>
      <c r="T409" s="5"/>
      <c r="U409" s="5"/>
      <c r="V409" s="5"/>
      <c r="Y409" s="5"/>
      <c r="Z409" s="5"/>
      <c r="AA409" s="5"/>
      <c r="AB409" s="5"/>
      <c r="AC409" s="5"/>
      <c r="AD409" s="5"/>
      <c r="AE409" s="5"/>
      <c r="AF409" s="5"/>
      <c r="AG409" s="5"/>
      <c r="AH409" s="5"/>
      <c r="AI409" s="5"/>
      <c r="AJ409" s="5"/>
      <c r="AK409" s="5"/>
      <c r="AL409" s="5"/>
      <c r="AM409" s="5"/>
      <c r="AN409" s="5"/>
    </row>
    <row r="410" spans="1:40" ht="18.75" customHeight="1">
      <c r="A410" s="5"/>
      <c r="B410" s="5"/>
      <c r="C410" s="5"/>
      <c r="D410" s="5"/>
      <c r="E410" s="5"/>
      <c r="F410" s="5"/>
      <c r="G410" s="5"/>
      <c r="H410" s="5"/>
      <c r="I410" s="5"/>
      <c r="J410" s="5"/>
      <c r="K410" s="5"/>
      <c r="L410" s="5"/>
      <c r="M410" s="5"/>
      <c r="N410" s="5"/>
      <c r="O410" s="5"/>
      <c r="P410" s="5"/>
      <c r="Q410" s="5"/>
      <c r="R410" s="5"/>
      <c r="S410" s="5"/>
      <c r="T410" s="5"/>
      <c r="U410" s="5"/>
      <c r="V410" s="5"/>
      <c r="Y410" s="5"/>
      <c r="Z410" s="5"/>
      <c r="AA410" s="5"/>
      <c r="AB410" s="5"/>
      <c r="AC410" s="5"/>
      <c r="AD410" s="5"/>
      <c r="AE410" s="5"/>
      <c r="AF410" s="5"/>
      <c r="AG410" s="5"/>
      <c r="AH410" s="5"/>
      <c r="AI410" s="5"/>
      <c r="AJ410" s="5"/>
      <c r="AK410" s="5"/>
      <c r="AL410" s="5"/>
      <c r="AM410" s="5"/>
      <c r="AN410" s="5"/>
    </row>
    <row r="411" spans="1:40" ht="18.75" customHeight="1">
      <c r="A411" s="5"/>
      <c r="B411" s="5"/>
      <c r="C411" s="5"/>
      <c r="D411" s="5"/>
      <c r="E411" s="5"/>
      <c r="F411" s="5"/>
      <c r="G411" s="5"/>
      <c r="H411" s="5"/>
      <c r="I411" s="5"/>
      <c r="J411" s="5"/>
      <c r="K411" s="5"/>
      <c r="L411" s="5"/>
      <c r="M411" s="5"/>
      <c r="N411" s="5"/>
      <c r="O411" s="5"/>
      <c r="P411" s="5"/>
      <c r="Q411" s="5"/>
      <c r="R411" s="5"/>
      <c r="S411" s="5"/>
      <c r="T411" s="5"/>
      <c r="U411" s="5"/>
      <c r="V411" s="5"/>
      <c r="Y411" s="5"/>
      <c r="Z411" s="5"/>
      <c r="AA411" s="5"/>
      <c r="AB411" s="5"/>
      <c r="AC411" s="5"/>
      <c r="AD411" s="5"/>
      <c r="AE411" s="5"/>
      <c r="AF411" s="5"/>
      <c r="AG411" s="5"/>
      <c r="AH411" s="5"/>
      <c r="AI411" s="5"/>
      <c r="AJ411" s="5"/>
      <c r="AK411" s="5"/>
      <c r="AL411" s="5"/>
      <c r="AM411" s="5"/>
      <c r="AN411" s="5"/>
    </row>
    <row r="412" spans="1:40" ht="18.75" customHeight="1">
      <c r="A412" s="5"/>
      <c r="B412" s="5"/>
      <c r="C412" s="5"/>
      <c r="D412" s="5"/>
      <c r="E412" s="5"/>
      <c r="F412" s="5"/>
      <c r="G412" s="5"/>
      <c r="H412" s="5"/>
      <c r="I412" s="5"/>
      <c r="J412" s="5"/>
      <c r="K412" s="5"/>
      <c r="L412" s="5"/>
      <c r="M412" s="5"/>
      <c r="N412" s="5"/>
      <c r="O412" s="5"/>
      <c r="P412" s="5"/>
      <c r="Q412" s="5"/>
      <c r="R412" s="5"/>
      <c r="S412" s="5"/>
      <c r="T412" s="5"/>
      <c r="U412" s="5"/>
      <c r="V412" s="5"/>
      <c r="Y412" s="5"/>
      <c r="Z412" s="5"/>
      <c r="AA412" s="5"/>
      <c r="AB412" s="5"/>
      <c r="AC412" s="5"/>
      <c r="AD412" s="5"/>
      <c r="AE412" s="5"/>
      <c r="AF412" s="5"/>
      <c r="AG412" s="5"/>
      <c r="AH412" s="5"/>
      <c r="AI412" s="5"/>
      <c r="AJ412" s="5"/>
      <c r="AK412" s="5"/>
      <c r="AL412" s="5"/>
      <c r="AM412" s="5"/>
      <c r="AN412" s="5"/>
    </row>
    <row r="413" spans="1:40" ht="18.75" customHeight="1">
      <c r="A413" s="5"/>
      <c r="B413" s="5"/>
      <c r="C413" s="5"/>
      <c r="D413" s="5"/>
      <c r="E413" s="5"/>
      <c r="F413" s="5"/>
      <c r="G413" s="5"/>
      <c r="H413" s="5"/>
      <c r="I413" s="5"/>
      <c r="J413" s="5"/>
      <c r="K413" s="5"/>
      <c r="L413" s="5"/>
      <c r="M413" s="5"/>
      <c r="N413" s="5"/>
      <c r="O413" s="5"/>
      <c r="P413" s="5"/>
      <c r="Q413" s="5"/>
      <c r="R413" s="5"/>
      <c r="S413" s="5"/>
      <c r="T413" s="5"/>
      <c r="U413" s="5"/>
      <c r="V413" s="5"/>
      <c r="Y413" s="5"/>
      <c r="Z413" s="5"/>
      <c r="AA413" s="5"/>
      <c r="AB413" s="5"/>
      <c r="AC413" s="5"/>
      <c r="AD413" s="5"/>
      <c r="AE413" s="5"/>
      <c r="AF413" s="5"/>
      <c r="AG413" s="5"/>
      <c r="AH413" s="5"/>
      <c r="AI413" s="5"/>
      <c r="AJ413" s="5"/>
      <c r="AK413" s="5"/>
      <c r="AL413" s="5"/>
      <c r="AM413" s="5"/>
      <c r="AN413" s="5"/>
    </row>
    <row r="414" spans="1:40" ht="18.75" customHeight="1">
      <c r="A414" s="5"/>
      <c r="B414" s="5"/>
      <c r="C414" s="5"/>
      <c r="D414" s="5"/>
      <c r="E414" s="5"/>
      <c r="F414" s="5"/>
      <c r="G414" s="5"/>
      <c r="H414" s="5"/>
      <c r="I414" s="5"/>
      <c r="J414" s="5"/>
      <c r="K414" s="5"/>
      <c r="L414" s="5"/>
      <c r="M414" s="5"/>
      <c r="N414" s="5"/>
      <c r="O414" s="5"/>
      <c r="P414" s="5"/>
      <c r="Q414" s="5"/>
      <c r="R414" s="5"/>
      <c r="S414" s="5"/>
      <c r="T414" s="5"/>
      <c r="U414" s="5"/>
      <c r="V414" s="5"/>
      <c r="Y414" s="5"/>
      <c r="Z414" s="5"/>
      <c r="AA414" s="5"/>
      <c r="AB414" s="5"/>
      <c r="AC414" s="5"/>
      <c r="AD414" s="5"/>
      <c r="AE414" s="5"/>
      <c r="AF414" s="5"/>
      <c r="AG414" s="5"/>
      <c r="AH414" s="5"/>
      <c r="AI414" s="5"/>
      <c r="AJ414" s="5"/>
      <c r="AK414" s="5"/>
      <c r="AL414" s="5"/>
      <c r="AM414" s="5"/>
      <c r="AN414" s="5"/>
    </row>
    <row r="415" spans="1:40" ht="18.75" customHeight="1">
      <c r="A415" s="5"/>
      <c r="B415" s="5"/>
      <c r="C415" s="5"/>
      <c r="D415" s="5"/>
      <c r="E415" s="5"/>
      <c r="F415" s="5"/>
      <c r="G415" s="5"/>
      <c r="H415" s="5"/>
      <c r="I415" s="5"/>
      <c r="J415" s="5"/>
      <c r="K415" s="5"/>
      <c r="L415" s="5"/>
      <c r="M415" s="5"/>
      <c r="N415" s="5"/>
      <c r="O415" s="5"/>
      <c r="P415" s="5"/>
      <c r="Q415" s="5"/>
      <c r="R415" s="5"/>
      <c r="S415" s="5"/>
      <c r="T415" s="5"/>
      <c r="U415" s="5"/>
      <c r="V415" s="5"/>
      <c r="Y415" s="5"/>
      <c r="Z415" s="5"/>
      <c r="AA415" s="5"/>
      <c r="AB415" s="5"/>
      <c r="AC415" s="5"/>
      <c r="AD415" s="5"/>
      <c r="AE415" s="5"/>
      <c r="AF415" s="5"/>
      <c r="AG415" s="5"/>
      <c r="AH415" s="5"/>
      <c r="AI415" s="5"/>
      <c r="AJ415" s="5"/>
      <c r="AK415" s="5"/>
      <c r="AL415" s="5"/>
      <c r="AM415" s="5"/>
      <c r="AN415" s="5"/>
    </row>
    <row r="416" spans="1:40" ht="18.75" customHeight="1">
      <c r="A416" s="5"/>
      <c r="B416" s="5"/>
      <c r="C416" s="5"/>
      <c r="D416" s="5"/>
      <c r="E416" s="5"/>
      <c r="F416" s="5"/>
      <c r="G416" s="5"/>
      <c r="H416" s="5"/>
      <c r="I416" s="5"/>
      <c r="J416" s="5"/>
      <c r="K416" s="5"/>
      <c r="L416" s="5"/>
      <c r="M416" s="5"/>
      <c r="N416" s="5"/>
      <c r="O416" s="5"/>
      <c r="P416" s="5"/>
      <c r="Q416" s="5"/>
      <c r="R416" s="5"/>
      <c r="S416" s="5"/>
      <c r="T416" s="5"/>
      <c r="U416" s="5"/>
      <c r="V416" s="5"/>
      <c r="Y416" s="5"/>
      <c r="Z416" s="5"/>
      <c r="AA416" s="5"/>
      <c r="AB416" s="5"/>
      <c r="AC416" s="5"/>
      <c r="AD416" s="5"/>
      <c r="AE416" s="5"/>
      <c r="AF416" s="5"/>
      <c r="AG416" s="5"/>
      <c r="AH416" s="5"/>
      <c r="AI416" s="5"/>
      <c r="AJ416" s="5"/>
      <c r="AK416" s="5"/>
      <c r="AL416" s="5"/>
      <c r="AM416" s="5"/>
      <c r="AN416" s="5"/>
    </row>
    <row r="417" spans="1:40" ht="18.75" customHeight="1">
      <c r="A417" s="5"/>
      <c r="B417" s="5"/>
      <c r="C417" s="5"/>
      <c r="D417" s="5"/>
      <c r="E417" s="5"/>
      <c r="F417" s="5"/>
      <c r="G417" s="5"/>
      <c r="H417" s="5"/>
      <c r="I417" s="5"/>
      <c r="J417" s="5"/>
      <c r="K417" s="5"/>
      <c r="L417" s="5"/>
      <c r="M417" s="5"/>
      <c r="N417" s="5"/>
      <c r="O417" s="5"/>
      <c r="P417" s="5"/>
      <c r="Q417" s="5"/>
      <c r="R417" s="5"/>
      <c r="S417" s="5"/>
      <c r="T417" s="5"/>
      <c r="U417" s="5"/>
      <c r="V417" s="5"/>
      <c r="Y417" s="5"/>
      <c r="Z417" s="5"/>
      <c r="AA417" s="5"/>
      <c r="AB417" s="5"/>
      <c r="AC417" s="5"/>
      <c r="AD417" s="5"/>
      <c r="AE417" s="5"/>
      <c r="AF417" s="5"/>
      <c r="AG417" s="5"/>
      <c r="AH417" s="5"/>
      <c r="AI417" s="5"/>
      <c r="AJ417" s="5"/>
      <c r="AK417" s="5"/>
      <c r="AL417" s="5"/>
      <c r="AM417" s="5"/>
      <c r="AN417" s="5"/>
    </row>
    <row r="418" spans="1:40" ht="18.75" customHeight="1">
      <c r="A418" s="5"/>
      <c r="B418" s="5"/>
      <c r="C418" s="5"/>
      <c r="D418" s="5"/>
      <c r="E418" s="5"/>
      <c r="F418" s="5"/>
      <c r="G418" s="5"/>
      <c r="H418" s="5"/>
      <c r="I418" s="5"/>
      <c r="J418" s="5"/>
      <c r="K418" s="5"/>
      <c r="L418" s="5"/>
      <c r="M418" s="5"/>
      <c r="N418" s="5"/>
      <c r="O418" s="5"/>
      <c r="P418" s="5"/>
      <c r="Q418" s="5"/>
      <c r="R418" s="5"/>
      <c r="S418" s="5"/>
      <c r="T418" s="5"/>
      <c r="U418" s="5"/>
      <c r="V418" s="5"/>
      <c r="Y418" s="5"/>
      <c r="Z418" s="5"/>
      <c r="AA418" s="5"/>
      <c r="AB418" s="5"/>
      <c r="AC418" s="5"/>
      <c r="AD418" s="5"/>
      <c r="AE418" s="5"/>
      <c r="AF418" s="5"/>
      <c r="AG418" s="5"/>
      <c r="AH418" s="5"/>
      <c r="AI418" s="5"/>
      <c r="AJ418" s="5"/>
      <c r="AK418" s="5"/>
      <c r="AL418" s="5"/>
      <c r="AM418" s="5"/>
      <c r="AN418" s="5"/>
    </row>
    <row r="419" spans="1:40" ht="18.75" customHeight="1">
      <c r="A419" s="5"/>
      <c r="B419" s="5"/>
      <c r="C419" s="5"/>
      <c r="D419" s="5"/>
      <c r="E419" s="5"/>
      <c r="F419" s="5"/>
      <c r="G419" s="5"/>
      <c r="H419" s="5"/>
      <c r="I419" s="5"/>
      <c r="J419" s="5"/>
      <c r="K419" s="5"/>
      <c r="L419" s="5"/>
      <c r="M419" s="5"/>
      <c r="N419" s="5"/>
      <c r="O419" s="5"/>
      <c r="P419" s="5"/>
      <c r="Q419" s="5"/>
      <c r="R419" s="5"/>
      <c r="S419" s="5"/>
      <c r="T419" s="5"/>
      <c r="U419" s="5"/>
      <c r="V419" s="5"/>
      <c r="Y419" s="5"/>
      <c r="Z419" s="5"/>
      <c r="AA419" s="5"/>
      <c r="AB419" s="5"/>
      <c r="AC419" s="5"/>
      <c r="AD419" s="5"/>
      <c r="AE419" s="5"/>
      <c r="AF419" s="5"/>
      <c r="AG419" s="5"/>
      <c r="AH419" s="5"/>
      <c r="AI419" s="5"/>
      <c r="AJ419" s="5"/>
      <c r="AK419" s="5"/>
      <c r="AL419" s="5"/>
      <c r="AM419" s="5"/>
      <c r="AN419" s="5"/>
    </row>
    <row r="420" spans="1:40" ht="18.75" customHeight="1">
      <c r="A420" s="5"/>
      <c r="B420" s="5"/>
      <c r="C420" s="5"/>
      <c r="D420" s="5"/>
      <c r="E420" s="5"/>
      <c r="F420" s="5"/>
      <c r="G420" s="5"/>
      <c r="H420" s="5"/>
      <c r="I420" s="5"/>
      <c r="J420" s="5"/>
      <c r="K420" s="5"/>
      <c r="L420" s="5"/>
      <c r="M420" s="5"/>
      <c r="N420" s="5"/>
      <c r="O420" s="5"/>
      <c r="P420" s="5"/>
      <c r="Q420" s="5"/>
      <c r="R420" s="5"/>
      <c r="S420" s="5"/>
      <c r="T420" s="5"/>
      <c r="U420" s="5"/>
      <c r="V420" s="5"/>
      <c r="Y420" s="5"/>
      <c r="Z420" s="5"/>
      <c r="AA420" s="5"/>
      <c r="AB420" s="5"/>
      <c r="AC420" s="5"/>
      <c r="AD420" s="5"/>
      <c r="AE420" s="5"/>
      <c r="AF420" s="5"/>
      <c r="AG420" s="5"/>
      <c r="AH420" s="5"/>
      <c r="AI420" s="5"/>
      <c r="AJ420" s="5"/>
      <c r="AK420" s="5"/>
      <c r="AL420" s="5"/>
      <c r="AM420" s="5"/>
      <c r="AN420" s="5"/>
    </row>
    <row r="421" spans="1:40" ht="18.75" customHeight="1">
      <c r="A421" s="5"/>
      <c r="B421" s="5"/>
      <c r="C421" s="5"/>
      <c r="D421" s="5"/>
      <c r="E421" s="5"/>
      <c r="F421" s="5"/>
      <c r="G421" s="5"/>
      <c r="H421" s="5"/>
      <c r="I421" s="5"/>
      <c r="J421" s="5"/>
      <c r="K421" s="5"/>
      <c r="L421" s="5"/>
      <c r="M421" s="5"/>
      <c r="N421" s="5"/>
      <c r="O421" s="5"/>
      <c r="P421" s="5"/>
      <c r="Q421" s="5"/>
      <c r="R421" s="5"/>
      <c r="S421" s="5"/>
      <c r="T421" s="5"/>
      <c r="U421" s="5"/>
      <c r="V421" s="5"/>
      <c r="Y421" s="5"/>
      <c r="Z421" s="5"/>
      <c r="AA421" s="5"/>
      <c r="AB421" s="5"/>
      <c r="AC421" s="5"/>
      <c r="AD421" s="5"/>
      <c r="AE421" s="5"/>
      <c r="AF421" s="5"/>
      <c r="AG421" s="5"/>
      <c r="AH421" s="5"/>
      <c r="AI421" s="5"/>
      <c r="AJ421" s="5"/>
      <c r="AK421" s="5"/>
      <c r="AL421" s="5"/>
      <c r="AM421" s="5"/>
      <c r="AN421" s="5"/>
    </row>
    <row r="422" spans="1:40" ht="18.75" customHeight="1">
      <c r="A422" s="5"/>
      <c r="B422" s="5"/>
      <c r="C422" s="5"/>
      <c r="D422" s="5"/>
      <c r="E422" s="5"/>
      <c r="F422" s="5"/>
      <c r="G422" s="5"/>
      <c r="H422" s="5"/>
      <c r="I422" s="5"/>
      <c r="J422" s="5"/>
      <c r="K422" s="5"/>
      <c r="L422" s="5"/>
      <c r="M422" s="5"/>
      <c r="N422" s="5"/>
      <c r="O422" s="5"/>
      <c r="P422" s="5"/>
      <c r="Q422" s="5"/>
      <c r="R422" s="5"/>
      <c r="S422" s="5"/>
      <c r="T422" s="5"/>
      <c r="U422" s="5"/>
      <c r="V422" s="5"/>
      <c r="Y422" s="5"/>
      <c r="Z422" s="5"/>
      <c r="AA422" s="5"/>
      <c r="AB422" s="5"/>
      <c r="AC422" s="5"/>
      <c r="AD422" s="5"/>
      <c r="AE422" s="5"/>
      <c r="AF422" s="5"/>
      <c r="AG422" s="5"/>
      <c r="AH422" s="5"/>
      <c r="AI422" s="5"/>
      <c r="AJ422" s="5"/>
      <c r="AK422" s="5"/>
      <c r="AL422" s="5"/>
      <c r="AM422" s="5"/>
      <c r="AN422" s="5"/>
    </row>
    <row r="423" spans="1:40" ht="18.75" customHeight="1">
      <c r="A423" s="5"/>
      <c r="B423" s="5"/>
      <c r="C423" s="5"/>
      <c r="D423" s="5"/>
      <c r="E423" s="5"/>
      <c r="F423" s="5"/>
      <c r="G423" s="5"/>
      <c r="H423" s="5"/>
      <c r="I423" s="5"/>
      <c r="J423" s="5"/>
      <c r="K423" s="5"/>
      <c r="L423" s="5"/>
      <c r="M423" s="5"/>
      <c r="N423" s="5"/>
      <c r="O423" s="5"/>
      <c r="P423" s="5"/>
      <c r="Q423" s="5"/>
      <c r="R423" s="5"/>
      <c r="S423" s="5"/>
      <c r="T423" s="5"/>
      <c r="U423" s="5"/>
      <c r="V423" s="5"/>
      <c r="Y423" s="5"/>
      <c r="Z423" s="5"/>
      <c r="AA423" s="5"/>
      <c r="AB423" s="5"/>
      <c r="AC423" s="5"/>
      <c r="AD423" s="5"/>
      <c r="AE423" s="5"/>
      <c r="AF423" s="5"/>
      <c r="AG423" s="5"/>
      <c r="AH423" s="5"/>
      <c r="AI423" s="5"/>
      <c r="AJ423" s="5"/>
      <c r="AK423" s="5"/>
      <c r="AL423" s="5"/>
      <c r="AM423" s="5"/>
      <c r="AN423" s="5"/>
    </row>
    <row r="424" spans="1:40" ht="18.75" customHeight="1">
      <c r="A424" s="5"/>
      <c r="B424" s="5"/>
      <c r="C424" s="5"/>
      <c r="D424" s="5"/>
      <c r="E424" s="5"/>
      <c r="F424" s="5"/>
      <c r="G424" s="5"/>
      <c r="H424" s="5"/>
      <c r="I424" s="5"/>
      <c r="J424" s="5"/>
      <c r="K424" s="5"/>
      <c r="L424" s="5"/>
      <c r="M424" s="5"/>
      <c r="N424" s="5"/>
      <c r="O424" s="5"/>
      <c r="P424" s="5"/>
      <c r="Q424" s="5"/>
      <c r="R424" s="5"/>
      <c r="S424" s="5"/>
      <c r="T424" s="5"/>
      <c r="U424" s="5"/>
      <c r="V424" s="5"/>
      <c r="Y424" s="5"/>
      <c r="Z424" s="5"/>
      <c r="AA424" s="5"/>
      <c r="AB424" s="5"/>
      <c r="AC424" s="5"/>
      <c r="AD424" s="5"/>
      <c r="AE424" s="5"/>
      <c r="AF424" s="5"/>
      <c r="AG424" s="5"/>
      <c r="AH424" s="5"/>
      <c r="AI424" s="5"/>
      <c r="AJ424" s="5"/>
      <c r="AK424" s="5"/>
      <c r="AL424" s="5"/>
      <c r="AM424" s="5"/>
      <c r="AN424" s="5"/>
    </row>
    <row r="425" spans="1:40" ht="18.75" customHeight="1">
      <c r="A425" s="5"/>
      <c r="B425" s="5"/>
      <c r="C425" s="5"/>
      <c r="D425" s="5"/>
      <c r="E425" s="5"/>
      <c r="F425" s="5"/>
      <c r="G425" s="5"/>
      <c r="H425" s="5"/>
      <c r="I425" s="5"/>
      <c r="J425" s="5"/>
      <c r="K425" s="5"/>
      <c r="L425" s="5"/>
      <c r="M425" s="5"/>
      <c r="N425" s="5"/>
      <c r="O425" s="5"/>
      <c r="P425" s="5"/>
      <c r="Q425" s="5"/>
      <c r="R425" s="5"/>
      <c r="S425" s="5"/>
      <c r="T425" s="5"/>
      <c r="U425" s="5"/>
      <c r="V425" s="5"/>
      <c r="Y425" s="5"/>
      <c r="Z425" s="5"/>
      <c r="AA425" s="5"/>
      <c r="AB425" s="5"/>
      <c r="AC425" s="5"/>
      <c r="AD425" s="5"/>
      <c r="AE425" s="5"/>
      <c r="AF425" s="5"/>
      <c r="AG425" s="5"/>
      <c r="AH425" s="5"/>
      <c r="AI425" s="5"/>
      <c r="AJ425" s="5"/>
      <c r="AK425" s="5"/>
      <c r="AL425" s="5"/>
      <c r="AM425" s="5"/>
      <c r="AN425" s="5"/>
    </row>
    <row r="426" spans="1:40" ht="18.75" customHeight="1">
      <c r="A426" s="5"/>
      <c r="B426" s="5"/>
      <c r="C426" s="5"/>
      <c r="D426" s="5"/>
      <c r="E426" s="5"/>
      <c r="F426" s="5"/>
      <c r="G426" s="5"/>
      <c r="H426" s="5"/>
      <c r="I426" s="5"/>
      <c r="J426" s="5"/>
      <c r="K426" s="5"/>
      <c r="L426" s="5"/>
      <c r="M426" s="5"/>
      <c r="N426" s="5"/>
      <c r="O426" s="5"/>
      <c r="P426" s="5"/>
      <c r="Q426" s="5"/>
      <c r="R426" s="5"/>
      <c r="S426" s="5"/>
      <c r="T426" s="5"/>
      <c r="U426" s="5"/>
      <c r="V426" s="5"/>
      <c r="Y426" s="5"/>
      <c r="Z426" s="5"/>
      <c r="AA426" s="5"/>
      <c r="AB426" s="5"/>
      <c r="AC426" s="5"/>
      <c r="AD426" s="5"/>
      <c r="AE426" s="5"/>
      <c r="AF426" s="5"/>
      <c r="AG426" s="5"/>
      <c r="AH426" s="5"/>
      <c r="AI426" s="5"/>
      <c r="AJ426" s="5"/>
      <c r="AK426" s="5"/>
      <c r="AL426" s="5"/>
      <c r="AM426" s="5"/>
      <c r="AN426" s="5"/>
    </row>
    <row r="427" spans="1:40" ht="18.75" customHeight="1">
      <c r="A427" s="5"/>
      <c r="B427" s="5"/>
      <c r="C427" s="5"/>
      <c r="D427" s="5"/>
      <c r="E427" s="5"/>
      <c r="F427" s="5"/>
      <c r="G427" s="5"/>
      <c r="H427" s="5"/>
      <c r="I427" s="5"/>
      <c r="J427" s="5"/>
      <c r="K427" s="5"/>
      <c r="L427" s="5"/>
      <c r="M427" s="5"/>
      <c r="N427" s="5"/>
      <c r="O427" s="5"/>
      <c r="P427" s="5"/>
      <c r="Q427" s="5"/>
      <c r="R427" s="5"/>
      <c r="S427" s="5"/>
      <c r="T427" s="5"/>
      <c r="U427" s="5"/>
      <c r="V427" s="5"/>
      <c r="Y427" s="5"/>
      <c r="Z427" s="5"/>
      <c r="AA427" s="5"/>
      <c r="AB427" s="5"/>
      <c r="AC427" s="5"/>
      <c r="AD427" s="5"/>
      <c r="AE427" s="5"/>
      <c r="AF427" s="5"/>
      <c r="AG427" s="5"/>
      <c r="AH427" s="5"/>
      <c r="AI427" s="5"/>
      <c r="AJ427" s="5"/>
      <c r="AK427" s="5"/>
      <c r="AL427" s="5"/>
      <c r="AM427" s="5"/>
      <c r="AN427" s="5"/>
    </row>
    <row r="428" spans="1:40" ht="18.75" customHeight="1">
      <c r="A428" s="5"/>
      <c r="B428" s="5"/>
      <c r="C428" s="5"/>
      <c r="D428" s="5"/>
      <c r="E428" s="5"/>
      <c r="F428" s="5"/>
      <c r="G428" s="5"/>
      <c r="H428" s="5"/>
      <c r="I428" s="5"/>
      <c r="J428" s="5"/>
      <c r="K428" s="5"/>
      <c r="L428" s="5"/>
      <c r="M428" s="5"/>
      <c r="N428" s="5"/>
      <c r="O428" s="5"/>
      <c r="P428" s="5"/>
      <c r="Q428" s="5"/>
      <c r="R428" s="5"/>
      <c r="S428" s="5"/>
      <c r="T428" s="5"/>
      <c r="U428" s="5"/>
      <c r="V428" s="5"/>
      <c r="Y428" s="5"/>
      <c r="Z428" s="5"/>
      <c r="AA428" s="5"/>
      <c r="AB428" s="5"/>
      <c r="AC428" s="5"/>
      <c r="AD428" s="5"/>
      <c r="AE428" s="5"/>
      <c r="AF428" s="5"/>
      <c r="AG428" s="5"/>
      <c r="AH428" s="5"/>
      <c r="AI428" s="5"/>
      <c r="AJ428" s="5"/>
      <c r="AK428" s="5"/>
      <c r="AL428" s="5"/>
      <c r="AM428" s="5"/>
      <c r="AN428" s="5"/>
    </row>
    <row r="429" spans="1:40" ht="18.75" customHeight="1">
      <c r="A429" s="5"/>
      <c r="B429" s="5"/>
      <c r="C429" s="5"/>
      <c r="D429" s="5"/>
      <c r="E429" s="5"/>
      <c r="F429" s="5"/>
      <c r="G429" s="5"/>
      <c r="H429" s="5"/>
      <c r="I429" s="5"/>
      <c r="J429" s="5"/>
      <c r="K429" s="5"/>
      <c r="L429" s="5"/>
      <c r="M429" s="5"/>
      <c r="N429" s="5"/>
      <c r="O429" s="5"/>
      <c r="P429" s="5"/>
      <c r="Q429" s="5"/>
      <c r="R429" s="5"/>
      <c r="S429" s="5"/>
      <c r="T429" s="5"/>
      <c r="U429" s="5"/>
      <c r="V429" s="5"/>
      <c r="Y429" s="5"/>
      <c r="Z429" s="5"/>
      <c r="AA429" s="5"/>
      <c r="AB429" s="5"/>
      <c r="AC429" s="5"/>
      <c r="AD429" s="5"/>
      <c r="AE429" s="5"/>
      <c r="AF429" s="5"/>
      <c r="AG429" s="5"/>
      <c r="AH429" s="5"/>
      <c r="AI429" s="5"/>
      <c r="AJ429" s="5"/>
      <c r="AK429" s="5"/>
      <c r="AL429" s="5"/>
      <c r="AM429" s="5"/>
      <c r="AN429" s="5"/>
    </row>
    <row r="430" spans="1:40" ht="18.75" customHeight="1">
      <c r="A430" s="5"/>
      <c r="B430" s="5"/>
      <c r="C430" s="5"/>
      <c r="D430" s="5"/>
      <c r="E430" s="5"/>
      <c r="F430" s="5"/>
      <c r="G430" s="5"/>
      <c r="H430" s="5"/>
      <c r="I430" s="5"/>
      <c r="J430" s="5"/>
      <c r="K430" s="5"/>
      <c r="L430" s="5"/>
      <c r="M430" s="5"/>
      <c r="N430" s="5"/>
      <c r="O430" s="5"/>
      <c r="P430" s="5"/>
      <c r="Q430" s="5"/>
      <c r="R430" s="5"/>
      <c r="S430" s="5"/>
      <c r="T430" s="5"/>
      <c r="U430" s="5"/>
      <c r="V430" s="5"/>
      <c r="Y430" s="5"/>
      <c r="Z430" s="5"/>
      <c r="AA430" s="5"/>
      <c r="AB430" s="5"/>
      <c r="AC430" s="5"/>
      <c r="AD430" s="5"/>
      <c r="AE430" s="5"/>
      <c r="AF430" s="5"/>
      <c r="AG430" s="5"/>
      <c r="AH430" s="5"/>
      <c r="AI430" s="5"/>
      <c r="AJ430" s="5"/>
      <c r="AK430" s="5"/>
      <c r="AL430" s="5"/>
      <c r="AM430" s="5"/>
      <c r="AN430" s="5"/>
    </row>
    <row r="431" spans="1:40" ht="18.75" customHeight="1">
      <c r="A431" s="5"/>
      <c r="B431" s="5"/>
      <c r="C431" s="5"/>
      <c r="D431" s="5"/>
      <c r="E431" s="5"/>
      <c r="F431" s="5"/>
      <c r="G431" s="5"/>
      <c r="H431" s="5"/>
      <c r="I431" s="5"/>
      <c r="J431" s="5"/>
      <c r="K431" s="5"/>
      <c r="L431" s="5"/>
      <c r="M431" s="5"/>
      <c r="N431" s="5"/>
      <c r="O431" s="5"/>
      <c r="P431" s="5"/>
      <c r="Q431" s="5"/>
      <c r="R431" s="5"/>
      <c r="S431" s="5"/>
      <c r="T431" s="5"/>
      <c r="U431" s="5"/>
      <c r="V431" s="5"/>
      <c r="Y431" s="5"/>
      <c r="Z431" s="5"/>
      <c r="AA431" s="5"/>
      <c r="AB431" s="5"/>
      <c r="AC431" s="5"/>
      <c r="AD431" s="5"/>
      <c r="AE431" s="5"/>
      <c r="AF431" s="5"/>
      <c r="AG431" s="5"/>
      <c r="AH431" s="5"/>
      <c r="AI431" s="5"/>
      <c r="AJ431" s="5"/>
      <c r="AK431" s="5"/>
      <c r="AL431" s="5"/>
      <c r="AM431" s="5"/>
      <c r="AN431" s="5"/>
    </row>
    <row r="432" spans="1:40" ht="18.75" customHeight="1">
      <c r="A432" s="5"/>
      <c r="B432" s="5"/>
      <c r="C432" s="5"/>
      <c r="D432" s="5"/>
      <c r="E432" s="5"/>
      <c r="F432" s="5"/>
      <c r="G432" s="5"/>
      <c r="H432" s="5"/>
      <c r="I432" s="5"/>
      <c r="J432" s="5"/>
      <c r="K432" s="5"/>
      <c r="L432" s="5"/>
      <c r="M432" s="5"/>
      <c r="N432" s="5"/>
      <c r="O432" s="5"/>
      <c r="P432" s="5"/>
      <c r="Q432" s="5"/>
      <c r="R432" s="5"/>
      <c r="S432" s="5"/>
      <c r="T432" s="5"/>
      <c r="U432" s="5"/>
      <c r="V432" s="5"/>
      <c r="Y432" s="5"/>
      <c r="Z432" s="5"/>
      <c r="AA432" s="5"/>
      <c r="AB432" s="5"/>
      <c r="AC432" s="5"/>
      <c r="AD432" s="5"/>
      <c r="AE432" s="5"/>
      <c r="AF432" s="5"/>
      <c r="AG432" s="5"/>
      <c r="AH432" s="5"/>
      <c r="AI432" s="5"/>
      <c r="AJ432" s="5"/>
      <c r="AK432" s="5"/>
      <c r="AL432" s="5"/>
      <c r="AM432" s="5"/>
      <c r="AN432" s="5"/>
    </row>
    <row r="433" spans="1:40" ht="18.75" customHeight="1">
      <c r="A433" s="5"/>
      <c r="B433" s="5"/>
      <c r="C433" s="5"/>
      <c r="D433" s="5"/>
      <c r="E433" s="5"/>
      <c r="F433" s="5"/>
      <c r="G433" s="5"/>
      <c r="H433" s="5"/>
      <c r="I433" s="5"/>
      <c r="J433" s="5"/>
      <c r="K433" s="5"/>
      <c r="L433" s="5"/>
      <c r="M433" s="5"/>
      <c r="N433" s="5"/>
      <c r="O433" s="5"/>
      <c r="P433" s="5"/>
      <c r="Q433" s="5"/>
      <c r="R433" s="5"/>
      <c r="S433" s="5"/>
      <c r="T433" s="5"/>
      <c r="U433" s="5"/>
      <c r="V433" s="5"/>
      <c r="Y433" s="5"/>
      <c r="Z433" s="5"/>
      <c r="AA433" s="5"/>
      <c r="AB433" s="5"/>
      <c r="AC433" s="5"/>
      <c r="AD433" s="5"/>
      <c r="AE433" s="5"/>
      <c r="AF433" s="5"/>
      <c r="AG433" s="5"/>
      <c r="AH433" s="5"/>
      <c r="AI433" s="5"/>
      <c r="AJ433" s="5"/>
      <c r="AK433" s="5"/>
      <c r="AL433" s="5"/>
      <c r="AM433" s="5"/>
      <c r="AN433" s="5"/>
    </row>
    <row r="434" spans="1:40" ht="18.75" customHeight="1">
      <c r="A434" s="5"/>
      <c r="B434" s="5"/>
      <c r="C434" s="5"/>
      <c r="D434" s="5"/>
      <c r="E434" s="5"/>
      <c r="F434" s="5"/>
      <c r="G434" s="5"/>
      <c r="H434" s="5"/>
      <c r="I434" s="5"/>
      <c r="J434" s="5"/>
      <c r="K434" s="5"/>
      <c r="L434" s="5"/>
      <c r="M434" s="5"/>
      <c r="N434" s="5"/>
      <c r="O434" s="5"/>
      <c r="P434" s="5"/>
      <c r="Q434" s="5"/>
      <c r="R434" s="5"/>
      <c r="S434" s="5"/>
      <c r="T434" s="5"/>
      <c r="U434" s="5"/>
      <c r="V434" s="5"/>
      <c r="Y434" s="5"/>
      <c r="Z434" s="5"/>
      <c r="AA434" s="5"/>
      <c r="AB434" s="5"/>
      <c r="AC434" s="5"/>
      <c r="AD434" s="5"/>
      <c r="AE434" s="5"/>
      <c r="AF434" s="5"/>
      <c r="AG434" s="5"/>
      <c r="AH434" s="5"/>
      <c r="AI434" s="5"/>
      <c r="AJ434" s="5"/>
      <c r="AK434" s="5"/>
      <c r="AL434" s="5"/>
      <c r="AM434" s="5"/>
      <c r="AN434" s="5"/>
    </row>
    <row r="435" spans="1:40" ht="18.75" customHeight="1">
      <c r="A435" s="5"/>
      <c r="B435" s="5"/>
      <c r="C435" s="5"/>
      <c r="D435" s="5"/>
      <c r="E435" s="5"/>
      <c r="F435" s="5"/>
      <c r="G435" s="5"/>
      <c r="H435" s="5"/>
      <c r="I435" s="5"/>
      <c r="J435" s="5"/>
      <c r="K435" s="5"/>
      <c r="L435" s="5"/>
      <c r="M435" s="5"/>
      <c r="N435" s="5"/>
      <c r="O435" s="5"/>
      <c r="P435" s="5"/>
      <c r="Q435" s="5"/>
      <c r="R435" s="5"/>
      <c r="S435" s="5"/>
      <c r="T435" s="5"/>
      <c r="U435" s="5"/>
      <c r="V435" s="5"/>
      <c r="Y435" s="5"/>
      <c r="Z435" s="5"/>
      <c r="AA435" s="5"/>
      <c r="AB435" s="5"/>
      <c r="AC435" s="5"/>
      <c r="AD435" s="5"/>
      <c r="AE435" s="5"/>
      <c r="AF435" s="5"/>
      <c r="AG435" s="5"/>
      <c r="AH435" s="5"/>
      <c r="AI435" s="5"/>
      <c r="AJ435" s="5"/>
      <c r="AK435" s="5"/>
      <c r="AL435" s="5"/>
      <c r="AM435" s="5"/>
      <c r="AN435" s="5"/>
    </row>
    <row r="436" spans="1:40" ht="18.75" customHeight="1">
      <c r="A436" s="5"/>
      <c r="B436" s="5"/>
      <c r="C436" s="5"/>
      <c r="D436" s="5"/>
      <c r="E436" s="5"/>
      <c r="F436" s="5"/>
      <c r="G436" s="5"/>
      <c r="H436" s="5"/>
      <c r="I436" s="5"/>
      <c r="J436" s="5"/>
      <c r="K436" s="5"/>
      <c r="L436" s="5"/>
      <c r="M436" s="5"/>
      <c r="N436" s="5"/>
      <c r="O436" s="5"/>
      <c r="P436" s="5"/>
      <c r="Q436" s="5"/>
      <c r="R436" s="5"/>
      <c r="S436" s="5"/>
      <c r="T436" s="5"/>
      <c r="U436" s="5"/>
      <c r="V436" s="5"/>
      <c r="Y436" s="5"/>
      <c r="Z436" s="5"/>
      <c r="AA436" s="5"/>
      <c r="AB436" s="5"/>
      <c r="AC436" s="5"/>
      <c r="AD436" s="5"/>
      <c r="AE436" s="5"/>
      <c r="AF436" s="5"/>
      <c r="AG436" s="5"/>
      <c r="AH436" s="5"/>
      <c r="AI436" s="5"/>
      <c r="AJ436" s="5"/>
      <c r="AK436" s="5"/>
      <c r="AL436" s="5"/>
      <c r="AM436" s="5"/>
      <c r="AN436" s="5"/>
    </row>
    <row r="437" spans="1:40" ht="18.75" customHeight="1">
      <c r="A437" s="5"/>
      <c r="B437" s="5"/>
      <c r="C437" s="5"/>
      <c r="D437" s="5"/>
      <c r="E437" s="5"/>
      <c r="F437" s="5"/>
      <c r="G437" s="5"/>
      <c r="H437" s="5"/>
      <c r="I437" s="5"/>
      <c r="J437" s="5"/>
      <c r="K437" s="5"/>
      <c r="L437" s="5"/>
      <c r="M437" s="5"/>
      <c r="N437" s="5"/>
      <c r="O437" s="5"/>
      <c r="P437" s="5"/>
      <c r="Q437" s="5"/>
      <c r="R437" s="5"/>
      <c r="S437" s="5"/>
      <c r="T437" s="5"/>
      <c r="U437" s="5"/>
      <c r="V437" s="5"/>
      <c r="Y437" s="5"/>
      <c r="Z437" s="5"/>
      <c r="AA437" s="5"/>
      <c r="AB437" s="5"/>
      <c r="AC437" s="5"/>
      <c r="AD437" s="5"/>
      <c r="AE437" s="5"/>
      <c r="AF437" s="5"/>
      <c r="AG437" s="5"/>
      <c r="AH437" s="5"/>
      <c r="AI437" s="5"/>
      <c r="AJ437" s="5"/>
      <c r="AK437" s="5"/>
      <c r="AL437" s="5"/>
      <c r="AM437" s="5"/>
      <c r="AN437" s="5"/>
    </row>
    <row r="438" spans="1:40" ht="18.75" customHeight="1">
      <c r="A438" s="5"/>
      <c r="B438" s="5"/>
      <c r="C438" s="5"/>
      <c r="D438" s="5"/>
      <c r="E438" s="5"/>
      <c r="F438" s="5"/>
      <c r="G438" s="5"/>
      <c r="H438" s="5"/>
      <c r="I438" s="5"/>
      <c r="J438" s="5"/>
      <c r="K438" s="5"/>
      <c r="L438" s="5"/>
      <c r="M438" s="5"/>
      <c r="N438" s="5"/>
      <c r="O438" s="5"/>
      <c r="P438" s="5"/>
      <c r="Q438" s="5"/>
      <c r="R438" s="5"/>
      <c r="S438" s="5"/>
      <c r="T438" s="5"/>
      <c r="U438" s="5"/>
      <c r="V438" s="5"/>
      <c r="Y438" s="5"/>
      <c r="Z438" s="5"/>
      <c r="AA438" s="5"/>
      <c r="AB438" s="5"/>
      <c r="AC438" s="5"/>
      <c r="AD438" s="5"/>
      <c r="AE438" s="5"/>
      <c r="AF438" s="5"/>
      <c r="AG438" s="5"/>
      <c r="AH438" s="5"/>
      <c r="AI438" s="5"/>
      <c r="AJ438" s="5"/>
      <c r="AK438" s="5"/>
      <c r="AL438" s="5"/>
      <c r="AM438" s="5"/>
      <c r="AN438" s="5"/>
    </row>
    <row r="439" spans="1:40" ht="18.75" customHeight="1">
      <c r="A439" s="5"/>
      <c r="B439" s="5"/>
      <c r="C439" s="5"/>
      <c r="D439" s="5"/>
      <c r="E439" s="5"/>
      <c r="F439" s="5"/>
      <c r="G439" s="5"/>
      <c r="H439" s="5"/>
      <c r="I439" s="5"/>
      <c r="J439" s="5"/>
      <c r="K439" s="5"/>
      <c r="L439" s="5"/>
      <c r="M439" s="5"/>
      <c r="N439" s="5"/>
      <c r="O439" s="5"/>
      <c r="P439" s="5"/>
      <c r="Q439" s="5"/>
      <c r="R439" s="5"/>
      <c r="S439" s="5"/>
      <c r="T439" s="5"/>
      <c r="U439" s="5"/>
      <c r="V439" s="5"/>
      <c r="Y439" s="5"/>
      <c r="Z439" s="5"/>
      <c r="AA439" s="5"/>
      <c r="AB439" s="5"/>
      <c r="AC439" s="5"/>
      <c r="AD439" s="5"/>
      <c r="AE439" s="5"/>
      <c r="AF439" s="5"/>
      <c r="AG439" s="5"/>
      <c r="AH439" s="5"/>
      <c r="AI439" s="5"/>
      <c r="AJ439" s="5"/>
      <c r="AK439" s="5"/>
      <c r="AL439" s="5"/>
      <c r="AM439" s="5"/>
      <c r="AN439" s="5"/>
    </row>
    <row r="440" spans="1:40" ht="18.75" customHeight="1">
      <c r="A440" s="5"/>
      <c r="B440" s="5"/>
      <c r="C440" s="5"/>
      <c r="D440" s="5"/>
      <c r="E440" s="5"/>
      <c r="F440" s="5"/>
      <c r="G440" s="5"/>
      <c r="H440" s="5"/>
      <c r="I440" s="5"/>
      <c r="J440" s="5"/>
      <c r="K440" s="5"/>
      <c r="L440" s="5"/>
      <c r="M440" s="5"/>
      <c r="N440" s="5"/>
      <c r="O440" s="5"/>
      <c r="P440" s="5"/>
      <c r="Q440" s="5"/>
      <c r="R440" s="5"/>
      <c r="S440" s="5"/>
      <c r="T440" s="5"/>
      <c r="U440" s="5"/>
      <c r="V440" s="5"/>
      <c r="Y440" s="5"/>
      <c r="Z440" s="5"/>
      <c r="AA440" s="5"/>
      <c r="AB440" s="5"/>
      <c r="AC440" s="5"/>
      <c r="AD440" s="5"/>
      <c r="AE440" s="5"/>
      <c r="AF440" s="5"/>
      <c r="AG440" s="5"/>
      <c r="AH440" s="5"/>
      <c r="AI440" s="5"/>
      <c r="AJ440" s="5"/>
      <c r="AK440" s="5"/>
      <c r="AL440" s="5"/>
      <c r="AM440" s="5"/>
      <c r="AN440" s="5"/>
    </row>
    <row r="441" spans="1:40" ht="18.75" customHeight="1">
      <c r="A441" s="5"/>
      <c r="B441" s="5"/>
      <c r="C441" s="5"/>
      <c r="D441" s="5"/>
      <c r="E441" s="5"/>
      <c r="F441" s="5"/>
      <c r="G441" s="5"/>
      <c r="H441" s="5"/>
      <c r="I441" s="5"/>
      <c r="J441" s="5"/>
      <c r="K441" s="5"/>
      <c r="L441" s="5"/>
      <c r="M441" s="5"/>
      <c r="N441" s="5"/>
      <c r="O441" s="5"/>
      <c r="P441" s="5"/>
      <c r="Q441" s="5"/>
      <c r="R441" s="5"/>
      <c r="S441" s="5"/>
      <c r="T441" s="5"/>
      <c r="U441" s="5"/>
      <c r="V441" s="5"/>
      <c r="Y441" s="5"/>
      <c r="Z441" s="5"/>
      <c r="AA441" s="5"/>
      <c r="AB441" s="5"/>
      <c r="AC441" s="5"/>
      <c r="AD441" s="5"/>
      <c r="AE441" s="5"/>
      <c r="AF441" s="5"/>
      <c r="AG441" s="5"/>
      <c r="AH441" s="5"/>
      <c r="AI441" s="5"/>
      <c r="AJ441" s="5"/>
      <c r="AK441" s="5"/>
      <c r="AL441" s="5"/>
      <c r="AM441" s="5"/>
      <c r="AN441" s="5"/>
    </row>
    <row r="442" spans="1:40" ht="18.75" customHeight="1">
      <c r="A442" s="5"/>
      <c r="B442" s="5"/>
      <c r="C442" s="5"/>
      <c r="D442" s="5"/>
      <c r="E442" s="5"/>
      <c r="F442" s="5"/>
      <c r="G442" s="5"/>
      <c r="H442" s="5"/>
      <c r="I442" s="5"/>
      <c r="J442" s="5"/>
      <c r="K442" s="5"/>
      <c r="L442" s="5"/>
      <c r="M442" s="5"/>
      <c r="N442" s="5"/>
      <c r="O442" s="5"/>
      <c r="P442" s="5"/>
      <c r="Q442" s="5"/>
      <c r="R442" s="5"/>
      <c r="S442" s="5"/>
      <c r="T442" s="5"/>
      <c r="U442" s="5"/>
      <c r="V442" s="5"/>
      <c r="Y442" s="5"/>
      <c r="Z442" s="5"/>
      <c r="AA442" s="5"/>
      <c r="AB442" s="5"/>
      <c r="AC442" s="5"/>
      <c r="AD442" s="5"/>
      <c r="AE442" s="5"/>
      <c r="AF442" s="5"/>
      <c r="AG442" s="5"/>
      <c r="AH442" s="5"/>
      <c r="AI442" s="5"/>
      <c r="AJ442" s="5"/>
      <c r="AK442" s="5"/>
      <c r="AL442" s="5"/>
      <c r="AM442" s="5"/>
      <c r="AN442" s="5"/>
    </row>
    <row r="443" spans="1:40" ht="18.75" customHeight="1">
      <c r="A443" s="5"/>
      <c r="B443" s="5"/>
      <c r="C443" s="5"/>
      <c r="D443" s="5"/>
      <c r="E443" s="5"/>
      <c r="F443" s="5"/>
      <c r="G443" s="5"/>
      <c r="H443" s="5"/>
      <c r="I443" s="5"/>
      <c r="J443" s="5"/>
      <c r="K443" s="5"/>
      <c r="L443" s="5"/>
      <c r="M443" s="5"/>
      <c r="N443" s="5"/>
      <c r="O443" s="5"/>
      <c r="P443" s="5"/>
      <c r="Q443" s="5"/>
      <c r="R443" s="5"/>
      <c r="S443" s="5"/>
      <c r="T443" s="5"/>
      <c r="U443" s="5"/>
      <c r="V443" s="5"/>
      <c r="Y443" s="5"/>
      <c r="Z443" s="5"/>
      <c r="AA443" s="5"/>
      <c r="AB443" s="5"/>
      <c r="AC443" s="5"/>
      <c r="AD443" s="5"/>
      <c r="AE443" s="5"/>
      <c r="AF443" s="5"/>
      <c r="AG443" s="5"/>
      <c r="AH443" s="5"/>
      <c r="AI443" s="5"/>
      <c r="AJ443" s="5"/>
      <c r="AK443" s="5"/>
      <c r="AL443" s="5"/>
      <c r="AM443" s="5"/>
      <c r="AN443" s="5"/>
    </row>
    <row r="444" spans="1:40" ht="18.75" customHeight="1">
      <c r="A444" s="5"/>
      <c r="B444" s="5"/>
      <c r="C444" s="5"/>
      <c r="D444" s="5"/>
      <c r="E444" s="5"/>
      <c r="F444" s="5"/>
      <c r="G444" s="5"/>
      <c r="H444" s="5"/>
      <c r="I444" s="5"/>
      <c r="J444" s="5"/>
      <c r="K444" s="5"/>
      <c r="L444" s="5"/>
      <c r="M444" s="5"/>
      <c r="N444" s="5"/>
      <c r="O444" s="5"/>
      <c r="P444" s="5"/>
      <c r="Q444" s="5"/>
      <c r="R444" s="5"/>
      <c r="S444" s="5"/>
      <c r="T444" s="5"/>
      <c r="U444" s="5"/>
      <c r="V444" s="5"/>
      <c r="Y444" s="5"/>
      <c r="Z444" s="5"/>
      <c r="AA444" s="5"/>
      <c r="AB444" s="5"/>
      <c r="AC444" s="5"/>
      <c r="AD444" s="5"/>
      <c r="AE444" s="5"/>
      <c r="AF444" s="5"/>
      <c r="AG444" s="5"/>
      <c r="AH444" s="5"/>
      <c r="AI444" s="5"/>
      <c r="AJ444" s="5"/>
      <c r="AK444" s="5"/>
      <c r="AL444" s="5"/>
      <c r="AM444" s="5"/>
      <c r="AN444" s="5"/>
    </row>
    <row r="445" spans="1:40" ht="18.75" customHeight="1">
      <c r="A445" s="5"/>
      <c r="B445" s="5"/>
      <c r="C445" s="5"/>
      <c r="D445" s="5"/>
      <c r="E445" s="5"/>
      <c r="F445" s="5"/>
      <c r="G445" s="5"/>
      <c r="H445" s="5"/>
      <c r="I445" s="5"/>
      <c r="J445" s="5"/>
      <c r="K445" s="5"/>
      <c r="L445" s="5"/>
      <c r="M445" s="5"/>
      <c r="N445" s="5"/>
      <c r="O445" s="5"/>
      <c r="P445" s="5"/>
      <c r="Q445" s="5"/>
      <c r="R445" s="5"/>
      <c r="S445" s="5"/>
      <c r="T445" s="5"/>
      <c r="U445" s="5"/>
      <c r="V445" s="5"/>
      <c r="Y445" s="5"/>
      <c r="Z445" s="5"/>
      <c r="AA445" s="5"/>
      <c r="AB445" s="5"/>
      <c r="AC445" s="5"/>
      <c r="AD445" s="5"/>
      <c r="AE445" s="5"/>
      <c r="AF445" s="5"/>
      <c r="AG445" s="5"/>
      <c r="AH445" s="5"/>
      <c r="AI445" s="5"/>
      <c r="AJ445" s="5"/>
      <c r="AK445" s="5"/>
      <c r="AL445" s="5"/>
      <c r="AM445" s="5"/>
      <c r="AN445" s="5"/>
    </row>
    <row r="446" spans="1:40" ht="18.75" customHeight="1">
      <c r="A446" s="5"/>
      <c r="B446" s="5"/>
      <c r="C446" s="5"/>
      <c r="D446" s="5"/>
      <c r="E446" s="5"/>
      <c r="F446" s="5"/>
      <c r="G446" s="5"/>
      <c r="H446" s="5"/>
      <c r="I446" s="5"/>
      <c r="J446" s="5"/>
      <c r="K446" s="5"/>
      <c r="L446" s="5"/>
      <c r="M446" s="5"/>
      <c r="N446" s="5"/>
      <c r="O446" s="5"/>
      <c r="P446" s="5"/>
      <c r="Q446" s="5"/>
      <c r="R446" s="5"/>
      <c r="S446" s="5"/>
      <c r="T446" s="5"/>
      <c r="U446" s="5"/>
      <c r="V446" s="5"/>
      <c r="Y446" s="5"/>
      <c r="Z446" s="5"/>
      <c r="AA446" s="5"/>
      <c r="AB446" s="5"/>
      <c r="AC446" s="5"/>
      <c r="AD446" s="5"/>
      <c r="AE446" s="5"/>
      <c r="AF446" s="5"/>
      <c r="AG446" s="5"/>
      <c r="AH446" s="5"/>
      <c r="AI446" s="5"/>
      <c r="AJ446" s="5"/>
      <c r="AK446" s="5"/>
      <c r="AL446" s="5"/>
      <c r="AM446" s="5"/>
      <c r="AN446" s="5"/>
    </row>
    <row r="447" spans="1:40" ht="18.75" customHeight="1">
      <c r="A447" s="5"/>
      <c r="B447" s="5"/>
      <c r="C447" s="5"/>
      <c r="D447" s="5"/>
      <c r="E447" s="5"/>
      <c r="F447" s="5"/>
      <c r="G447" s="5"/>
      <c r="H447" s="5"/>
      <c r="I447" s="5"/>
      <c r="J447" s="5"/>
      <c r="K447" s="5"/>
      <c r="L447" s="5"/>
      <c r="M447" s="5"/>
      <c r="N447" s="5"/>
      <c r="O447" s="5"/>
      <c r="P447" s="5"/>
      <c r="Q447" s="5"/>
      <c r="R447" s="5"/>
      <c r="S447" s="5"/>
      <c r="T447" s="5"/>
      <c r="U447" s="5"/>
      <c r="V447" s="5"/>
      <c r="Y447" s="5"/>
      <c r="Z447" s="5"/>
      <c r="AA447" s="5"/>
      <c r="AB447" s="5"/>
      <c r="AC447" s="5"/>
      <c r="AD447" s="5"/>
      <c r="AE447" s="5"/>
      <c r="AF447" s="5"/>
      <c r="AG447" s="5"/>
      <c r="AH447" s="5"/>
      <c r="AI447" s="5"/>
      <c r="AJ447" s="5"/>
      <c r="AK447" s="5"/>
      <c r="AL447" s="5"/>
      <c r="AM447" s="5"/>
      <c r="AN447" s="5"/>
    </row>
    <row r="448" spans="1:40" ht="18.75" customHeight="1">
      <c r="A448" s="5"/>
      <c r="B448" s="5"/>
      <c r="C448" s="5"/>
      <c r="D448" s="5"/>
      <c r="E448" s="5"/>
      <c r="F448" s="5"/>
      <c r="G448" s="5"/>
      <c r="H448" s="5"/>
      <c r="I448" s="5"/>
      <c r="J448" s="5"/>
      <c r="K448" s="5"/>
      <c r="L448" s="5"/>
      <c r="M448" s="5"/>
      <c r="N448" s="5"/>
      <c r="O448" s="5"/>
      <c r="P448" s="5"/>
      <c r="Q448" s="5"/>
      <c r="R448" s="5"/>
      <c r="S448" s="5"/>
      <c r="T448" s="5"/>
      <c r="U448" s="5"/>
      <c r="V448" s="5"/>
      <c r="Y448" s="5"/>
      <c r="Z448" s="5"/>
      <c r="AA448" s="5"/>
      <c r="AB448" s="5"/>
      <c r="AC448" s="5"/>
      <c r="AD448" s="5"/>
      <c r="AE448" s="5"/>
      <c r="AF448" s="5"/>
      <c r="AG448" s="5"/>
      <c r="AH448" s="5"/>
      <c r="AI448" s="5"/>
      <c r="AJ448" s="5"/>
      <c r="AK448" s="5"/>
      <c r="AL448" s="5"/>
      <c r="AM448" s="5"/>
      <c r="AN448" s="5"/>
    </row>
    <row r="449" spans="1:40" ht="18.75" customHeight="1">
      <c r="A449" s="5"/>
      <c r="B449" s="5"/>
      <c r="C449" s="5"/>
      <c r="D449" s="5"/>
      <c r="E449" s="5"/>
      <c r="F449" s="5"/>
      <c r="G449" s="5"/>
      <c r="H449" s="5"/>
      <c r="I449" s="5"/>
      <c r="J449" s="5"/>
      <c r="K449" s="5"/>
      <c r="L449" s="5"/>
      <c r="M449" s="5"/>
      <c r="N449" s="5"/>
      <c r="O449" s="5"/>
      <c r="P449" s="5"/>
      <c r="Q449" s="5"/>
      <c r="R449" s="5"/>
      <c r="S449" s="5"/>
      <c r="T449" s="5"/>
      <c r="U449" s="5"/>
      <c r="V449" s="5"/>
      <c r="Y449" s="5"/>
      <c r="Z449" s="5"/>
      <c r="AA449" s="5"/>
      <c r="AB449" s="5"/>
      <c r="AC449" s="5"/>
      <c r="AD449" s="5"/>
      <c r="AE449" s="5"/>
      <c r="AF449" s="5"/>
      <c r="AG449" s="5"/>
      <c r="AH449" s="5"/>
      <c r="AI449" s="5"/>
      <c r="AJ449" s="5"/>
      <c r="AK449" s="5"/>
      <c r="AL449" s="5"/>
      <c r="AM449" s="5"/>
      <c r="AN449" s="5"/>
    </row>
    <row r="450" spans="1:40" ht="18.75" customHeight="1">
      <c r="A450" s="5"/>
      <c r="B450" s="5"/>
      <c r="C450" s="5"/>
      <c r="D450" s="5"/>
      <c r="E450" s="5"/>
      <c r="F450" s="5"/>
      <c r="G450" s="5"/>
      <c r="H450" s="5"/>
      <c r="I450" s="5"/>
      <c r="J450" s="5"/>
      <c r="K450" s="5"/>
      <c r="L450" s="5"/>
      <c r="M450" s="5"/>
      <c r="N450" s="5"/>
      <c r="O450" s="5"/>
      <c r="P450" s="5"/>
      <c r="Q450" s="5"/>
      <c r="R450" s="5"/>
      <c r="S450" s="5"/>
      <c r="T450" s="5"/>
      <c r="U450" s="5"/>
      <c r="V450" s="5"/>
      <c r="Y450" s="5"/>
      <c r="Z450" s="5"/>
      <c r="AA450" s="5"/>
      <c r="AB450" s="5"/>
      <c r="AC450" s="5"/>
      <c r="AD450" s="5"/>
      <c r="AE450" s="5"/>
      <c r="AF450" s="5"/>
      <c r="AG450" s="5"/>
      <c r="AH450" s="5"/>
      <c r="AI450" s="5"/>
      <c r="AJ450" s="5"/>
      <c r="AK450" s="5"/>
      <c r="AL450" s="5"/>
      <c r="AM450" s="5"/>
      <c r="AN450" s="5"/>
    </row>
    <row r="451" spans="1:40" ht="18.75" customHeight="1">
      <c r="A451" s="5"/>
      <c r="B451" s="5"/>
      <c r="C451" s="5"/>
      <c r="D451" s="5"/>
      <c r="E451" s="5"/>
      <c r="F451" s="5"/>
      <c r="G451" s="5"/>
      <c r="H451" s="5"/>
      <c r="I451" s="5"/>
      <c r="J451" s="5"/>
      <c r="K451" s="5"/>
      <c r="L451" s="5"/>
      <c r="M451" s="5"/>
      <c r="N451" s="5"/>
      <c r="O451" s="5"/>
      <c r="P451" s="5"/>
      <c r="Q451" s="5"/>
      <c r="R451" s="5"/>
      <c r="S451" s="5"/>
      <c r="T451" s="5"/>
      <c r="U451" s="5"/>
      <c r="V451" s="5"/>
      <c r="Y451" s="5"/>
      <c r="Z451" s="5"/>
      <c r="AA451" s="5"/>
      <c r="AB451" s="5"/>
      <c r="AC451" s="5"/>
      <c r="AD451" s="5"/>
      <c r="AE451" s="5"/>
      <c r="AF451" s="5"/>
      <c r="AG451" s="5"/>
      <c r="AH451" s="5"/>
      <c r="AI451" s="5"/>
      <c r="AJ451" s="5"/>
      <c r="AK451" s="5"/>
      <c r="AL451" s="5"/>
      <c r="AM451" s="5"/>
      <c r="AN451" s="5"/>
    </row>
    <row r="452" spans="1:40" ht="18.75" customHeight="1">
      <c r="A452" s="5"/>
      <c r="B452" s="5"/>
      <c r="C452" s="5"/>
      <c r="D452" s="5"/>
      <c r="E452" s="5"/>
      <c r="F452" s="5"/>
      <c r="G452" s="5"/>
      <c r="H452" s="5"/>
      <c r="I452" s="5"/>
      <c r="J452" s="5"/>
      <c r="K452" s="5"/>
      <c r="L452" s="5"/>
      <c r="M452" s="5"/>
      <c r="N452" s="5"/>
      <c r="O452" s="5"/>
      <c r="P452" s="5"/>
      <c r="Q452" s="5"/>
      <c r="R452" s="5"/>
      <c r="S452" s="5"/>
      <c r="T452" s="5"/>
      <c r="U452" s="5"/>
      <c r="V452" s="5"/>
      <c r="Y452" s="5"/>
      <c r="Z452" s="5"/>
      <c r="AA452" s="5"/>
      <c r="AB452" s="5"/>
      <c r="AC452" s="5"/>
      <c r="AD452" s="5"/>
      <c r="AE452" s="5"/>
      <c r="AF452" s="5"/>
      <c r="AG452" s="5"/>
      <c r="AH452" s="5"/>
      <c r="AI452" s="5"/>
      <c r="AJ452" s="5"/>
      <c r="AK452" s="5"/>
      <c r="AL452" s="5"/>
      <c r="AM452" s="5"/>
      <c r="AN452" s="5"/>
    </row>
    <row r="453" spans="1:40" ht="18.75" customHeight="1">
      <c r="A453" s="5"/>
      <c r="B453" s="5"/>
      <c r="C453" s="5"/>
      <c r="D453" s="5"/>
      <c r="E453" s="5"/>
      <c r="F453" s="5"/>
      <c r="G453" s="5"/>
      <c r="H453" s="5"/>
      <c r="I453" s="5"/>
      <c r="J453" s="5"/>
      <c r="K453" s="5"/>
      <c r="L453" s="5"/>
      <c r="M453" s="5"/>
      <c r="N453" s="5"/>
      <c r="O453" s="5"/>
      <c r="P453" s="5"/>
      <c r="Q453" s="5"/>
      <c r="R453" s="5"/>
      <c r="S453" s="5"/>
      <c r="T453" s="5"/>
      <c r="U453" s="5"/>
      <c r="V453" s="5"/>
      <c r="Y453" s="5"/>
      <c r="Z453" s="5"/>
      <c r="AA453" s="5"/>
      <c r="AB453" s="5"/>
      <c r="AC453" s="5"/>
      <c r="AD453" s="5"/>
      <c r="AE453" s="5"/>
      <c r="AF453" s="5"/>
      <c r="AG453" s="5"/>
      <c r="AH453" s="5"/>
      <c r="AI453" s="5"/>
      <c r="AJ453" s="5"/>
      <c r="AK453" s="5"/>
      <c r="AL453" s="5"/>
      <c r="AM453" s="5"/>
      <c r="AN453" s="5"/>
    </row>
    <row r="454" spans="1:40" ht="18.75" customHeight="1">
      <c r="A454" s="5"/>
      <c r="B454" s="5"/>
      <c r="C454" s="5"/>
      <c r="D454" s="5"/>
      <c r="E454" s="5"/>
      <c r="F454" s="5"/>
      <c r="G454" s="5"/>
      <c r="H454" s="5"/>
      <c r="I454" s="5"/>
      <c r="J454" s="5"/>
      <c r="K454" s="5"/>
      <c r="L454" s="5"/>
      <c r="M454" s="5"/>
      <c r="N454" s="5"/>
      <c r="O454" s="5"/>
      <c r="P454" s="5"/>
      <c r="Q454" s="5"/>
      <c r="R454" s="5"/>
      <c r="S454" s="5"/>
      <c r="T454" s="5"/>
      <c r="U454" s="5"/>
      <c r="V454" s="5"/>
      <c r="Y454" s="5"/>
      <c r="Z454" s="5"/>
      <c r="AA454" s="5"/>
      <c r="AB454" s="5"/>
      <c r="AC454" s="5"/>
      <c r="AD454" s="5"/>
      <c r="AE454" s="5"/>
      <c r="AF454" s="5"/>
      <c r="AG454" s="5"/>
      <c r="AH454" s="5"/>
      <c r="AI454" s="5"/>
      <c r="AJ454" s="5"/>
      <c r="AK454" s="5"/>
      <c r="AL454" s="5"/>
      <c r="AM454" s="5"/>
      <c r="AN454" s="5"/>
    </row>
    <row r="455" spans="1:40" ht="18.75" customHeight="1">
      <c r="A455" s="5"/>
      <c r="B455" s="5"/>
      <c r="C455" s="5"/>
      <c r="D455" s="5"/>
      <c r="E455" s="5"/>
      <c r="F455" s="5"/>
      <c r="G455" s="5"/>
      <c r="H455" s="5"/>
      <c r="I455" s="5"/>
      <c r="J455" s="5"/>
      <c r="K455" s="5"/>
      <c r="L455" s="5"/>
      <c r="M455" s="5"/>
      <c r="N455" s="5"/>
      <c r="O455" s="5"/>
      <c r="P455" s="5"/>
      <c r="Q455" s="5"/>
      <c r="R455" s="5"/>
      <c r="S455" s="5"/>
      <c r="T455" s="5"/>
      <c r="U455" s="5"/>
      <c r="V455" s="5"/>
      <c r="Y455" s="5"/>
      <c r="Z455" s="5"/>
      <c r="AA455" s="5"/>
      <c r="AB455" s="5"/>
      <c r="AC455" s="5"/>
      <c r="AD455" s="5"/>
      <c r="AE455" s="5"/>
      <c r="AF455" s="5"/>
      <c r="AG455" s="5"/>
      <c r="AH455" s="5"/>
      <c r="AI455" s="5"/>
      <c r="AJ455" s="5"/>
      <c r="AK455" s="5"/>
      <c r="AL455" s="5"/>
      <c r="AM455" s="5"/>
      <c r="AN455" s="5"/>
    </row>
    <row r="456" spans="1:40" ht="18.75" customHeight="1">
      <c r="A456" s="5"/>
      <c r="B456" s="5"/>
      <c r="C456" s="5"/>
      <c r="D456" s="5"/>
      <c r="E456" s="5"/>
      <c r="F456" s="5"/>
      <c r="G456" s="5"/>
      <c r="H456" s="5"/>
      <c r="I456" s="5"/>
      <c r="J456" s="5"/>
      <c r="K456" s="5"/>
      <c r="L456" s="5"/>
      <c r="M456" s="5"/>
      <c r="N456" s="5"/>
      <c r="O456" s="5"/>
      <c r="P456" s="5"/>
      <c r="Q456" s="5"/>
      <c r="R456" s="5"/>
      <c r="S456" s="5"/>
      <c r="T456" s="5"/>
      <c r="U456" s="5"/>
      <c r="V456" s="5"/>
      <c r="Y456" s="5"/>
      <c r="Z456" s="5"/>
      <c r="AA456" s="5"/>
      <c r="AB456" s="5"/>
      <c r="AC456" s="5"/>
      <c r="AD456" s="5"/>
      <c r="AE456" s="5"/>
      <c r="AF456" s="5"/>
      <c r="AG456" s="5"/>
      <c r="AH456" s="5"/>
      <c r="AI456" s="5"/>
      <c r="AJ456" s="5"/>
      <c r="AK456" s="5"/>
      <c r="AL456" s="5"/>
      <c r="AM456" s="5"/>
      <c r="AN456" s="5"/>
    </row>
    <row r="457" spans="1:40" ht="18.75" customHeight="1">
      <c r="A457" s="5"/>
      <c r="B457" s="5"/>
      <c r="C457" s="5"/>
      <c r="D457" s="5"/>
      <c r="E457" s="5"/>
      <c r="F457" s="5"/>
      <c r="G457" s="5"/>
      <c r="H457" s="5"/>
      <c r="I457" s="5"/>
      <c r="J457" s="5"/>
      <c r="K457" s="5"/>
      <c r="L457" s="5"/>
      <c r="M457" s="5"/>
      <c r="N457" s="5"/>
      <c r="O457" s="5"/>
      <c r="P457" s="5"/>
      <c r="Q457" s="5"/>
      <c r="R457" s="5"/>
      <c r="S457" s="5"/>
      <c r="T457" s="5"/>
      <c r="U457" s="5"/>
      <c r="V457" s="5"/>
      <c r="Y457" s="5"/>
      <c r="Z457" s="5"/>
      <c r="AA457" s="5"/>
      <c r="AB457" s="5"/>
      <c r="AC457" s="5"/>
      <c r="AD457" s="5"/>
      <c r="AE457" s="5"/>
      <c r="AF457" s="5"/>
      <c r="AG457" s="5"/>
      <c r="AH457" s="5"/>
      <c r="AI457" s="5"/>
      <c r="AJ457" s="5"/>
      <c r="AK457" s="5"/>
      <c r="AL457" s="5"/>
      <c r="AM457" s="5"/>
      <c r="AN457" s="5"/>
    </row>
    <row r="458" spans="1:40" ht="18.75" customHeight="1">
      <c r="A458" s="5"/>
      <c r="B458" s="5"/>
      <c r="C458" s="5"/>
      <c r="D458" s="5"/>
      <c r="E458" s="5"/>
      <c r="F458" s="5"/>
      <c r="G458" s="5"/>
      <c r="H458" s="5"/>
      <c r="I458" s="5"/>
      <c r="J458" s="5"/>
      <c r="K458" s="5"/>
      <c r="L458" s="5"/>
      <c r="M458" s="5"/>
      <c r="N458" s="5"/>
      <c r="O458" s="5"/>
      <c r="P458" s="5"/>
      <c r="Q458" s="5"/>
      <c r="R458" s="5"/>
      <c r="S458" s="5"/>
      <c r="T458" s="5"/>
      <c r="U458" s="5"/>
      <c r="V458" s="5"/>
      <c r="Y458" s="5"/>
      <c r="Z458" s="5"/>
      <c r="AA458" s="5"/>
      <c r="AB458" s="5"/>
      <c r="AC458" s="5"/>
      <c r="AD458" s="5"/>
      <c r="AE458" s="5"/>
      <c r="AF458" s="5"/>
      <c r="AG458" s="5"/>
      <c r="AH458" s="5"/>
      <c r="AI458" s="5"/>
      <c r="AJ458" s="5"/>
      <c r="AK458" s="5"/>
      <c r="AL458" s="5"/>
      <c r="AM458" s="5"/>
      <c r="AN458" s="5"/>
    </row>
    <row r="459" spans="1:40" ht="18.75" customHeight="1">
      <c r="A459" s="5"/>
      <c r="B459" s="5"/>
      <c r="C459" s="5"/>
      <c r="D459" s="5"/>
      <c r="E459" s="5"/>
      <c r="F459" s="5"/>
      <c r="G459" s="5"/>
      <c r="H459" s="5"/>
      <c r="I459" s="5"/>
      <c r="J459" s="5"/>
      <c r="K459" s="5"/>
      <c r="L459" s="5"/>
      <c r="M459" s="5"/>
      <c r="N459" s="5"/>
      <c r="O459" s="5"/>
      <c r="P459" s="5"/>
      <c r="Q459" s="5"/>
      <c r="R459" s="5"/>
      <c r="S459" s="5"/>
      <c r="T459" s="5"/>
      <c r="U459" s="5"/>
      <c r="V459" s="5"/>
      <c r="Y459" s="5"/>
      <c r="Z459" s="5"/>
      <c r="AA459" s="5"/>
      <c r="AB459" s="5"/>
      <c r="AC459" s="5"/>
      <c r="AD459" s="5"/>
      <c r="AE459" s="5"/>
      <c r="AF459" s="5"/>
      <c r="AG459" s="5"/>
      <c r="AH459" s="5"/>
      <c r="AI459" s="5"/>
      <c r="AJ459" s="5"/>
      <c r="AK459" s="5"/>
      <c r="AL459" s="5"/>
      <c r="AM459" s="5"/>
      <c r="AN459" s="5"/>
    </row>
    <row r="460" spans="1:40" ht="18.75" customHeight="1">
      <c r="A460" s="5"/>
      <c r="B460" s="5"/>
      <c r="C460" s="5"/>
      <c r="D460" s="5"/>
      <c r="E460" s="5"/>
      <c r="F460" s="5"/>
      <c r="G460" s="5"/>
      <c r="H460" s="5"/>
      <c r="I460" s="5"/>
      <c r="J460" s="5"/>
      <c r="K460" s="5"/>
      <c r="L460" s="5"/>
      <c r="M460" s="5"/>
      <c r="N460" s="5"/>
      <c r="O460" s="5"/>
      <c r="P460" s="5"/>
      <c r="Q460" s="5"/>
      <c r="R460" s="5"/>
      <c r="S460" s="5"/>
      <c r="T460" s="5"/>
      <c r="U460" s="5"/>
      <c r="V460" s="5"/>
      <c r="Y460" s="5"/>
      <c r="Z460" s="5"/>
      <c r="AA460" s="5"/>
      <c r="AB460" s="5"/>
      <c r="AC460" s="5"/>
      <c r="AD460" s="5"/>
      <c r="AE460" s="5"/>
      <c r="AF460" s="5"/>
      <c r="AG460" s="5"/>
      <c r="AH460" s="5"/>
      <c r="AI460" s="5"/>
      <c r="AJ460" s="5"/>
      <c r="AK460" s="5"/>
      <c r="AL460" s="5"/>
      <c r="AM460" s="5"/>
      <c r="AN460" s="5"/>
    </row>
    <row r="461" spans="1:40" ht="18.75" customHeight="1">
      <c r="A461" s="5"/>
      <c r="B461" s="5"/>
      <c r="C461" s="5"/>
      <c r="D461" s="5"/>
      <c r="E461" s="5"/>
      <c r="F461" s="5"/>
      <c r="G461" s="5"/>
      <c r="H461" s="5"/>
      <c r="I461" s="5"/>
      <c r="J461" s="5"/>
      <c r="K461" s="5"/>
      <c r="L461" s="5"/>
      <c r="M461" s="5"/>
      <c r="N461" s="5"/>
      <c r="O461" s="5"/>
      <c r="P461" s="5"/>
      <c r="Q461" s="5"/>
      <c r="R461" s="5"/>
      <c r="S461" s="5"/>
      <c r="T461" s="5"/>
      <c r="U461" s="5"/>
      <c r="V461" s="5"/>
      <c r="Y461" s="5"/>
      <c r="Z461" s="5"/>
      <c r="AA461" s="5"/>
      <c r="AB461" s="5"/>
      <c r="AC461" s="5"/>
      <c r="AD461" s="5"/>
      <c r="AE461" s="5"/>
      <c r="AF461" s="5"/>
      <c r="AG461" s="5"/>
      <c r="AH461" s="5"/>
      <c r="AI461" s="5"/>
      <c r="AJ461" s="5"/>
      <c r="AK461" s="5"/>
      <c r="AL461" s="5"/>
      <c r="AM461" s="5"/>
      <c r="AN461" s="5"/>
    </row>
    <row r="462" spans="1:40" ht="18.75" customHeight="1">
      <c r="A462" s="5"/>
      <c r="B462" s="5"/>
      <c r="C462" s="5"/>
      <c r="D462" s="5"/>
      <c r="E462" s="5"/>
      <c r="F462" s="5"/>
      <c r="G462" s="5"/>
      <c r="H462" s="5"/>
      <c r="I462" s="5"/>
      <c r="J462" s="5"/>
      <c r="K462" s="5"/>
      <c r="L462" s="5"/>
      <c r="M462" s="5"/>
      <c r="N462" s="5"/>
      <c r="O462" s="5"/>
      <c r="P462" s="5"/>
      <c r="Q462" s="5"/>
      <c r="R462" s="5"/>
      <c r="S462" s="5"/>
      <c r="T462" s="5"/>
      <c r="U462" s="5"/>
      <c r="V462" s="5"/>
      <c r="Y462" s="5"/>
      <c r="Z462" s="5"/>
      <c r="AA462" s="5"/>
      <c r="AB462" s="5"/>
      <c r="AC462" s="5"/>
      <c r="AD462" s="5"/>
      <c r="AE462" s="5"/>
      <c r="AF462" s="5"/>
      <c r="AG462" s="5"/>
      <c r="AH462" s="5"/>
      <c r="AI462" s="5"/>
      <c r="AJ462" s="5"/>
      <c r="AK462" s="5"/>
      <c r="AL462" s="5"/>
      <c r="AM462" s="5"/>
      <c r="AN462" s="5"/>
    </row>
    <row r="463" spans="1:40" ht="18.75" customHeight="1">
      <c r="A463" s="5"/>
      <c r="B463" s="5"/>
      <c r="C463" s="5"/>
      <c r="D463" s="5"/>
      <c r="E463" s="5"/>
      <c r="F463" s="5"/>
      <c r="G463" s="5"/>
      <c r="H463" s="5"/>
      <c r="I463" s="5"/>
      <c r="J463" s="5"/>
      <c r="K463" s="5"/>
      <c r="L463" s="5"/>
      <c r="M463" s="5"/>
      <c r="N463" s="5"/>
      <c r="O463" s="5"/>
      <c r="P463" s="5"/>
      <c r="Q463" s="5"/>
      <c r="R463" s="5"/>
      <c r="S463" s="5"/>
      <c r="T463" s="5"/>
      <c r="U463" s="5"/>
      <c r="V463" s="5"/>
      <c r="Y463" s="5"/>
      <c r="Z463" s="5"/>
      <c r="AA463" s="5"/>
      <c r="AB463" s="5"/>
      <c r="AC463" s="5"/>
      <c r="AD463" s="5"/>
      <c r="AE463" s="5"/>
      <c r="AF463" s="5"/>
      <c r="AG463" s="5"/>
      <c r="AH463" s="5"/>
      <c r="AI463" s="5"/>
      <c r="AJ463" s="5"/>
      <c r="AK463" s="5"/>
      <c r="AL463" s="5"/>
      <c r="AM463" s="5"/>
      <c r="AN463" s="5"/>
    </row>
    <row r="464" spans="1:40" ht="18.75" customHeight="1">
      <c r="A464" s="5"/>
      <c r="B464" s="5"/>
      <c r="C464" s="5"/>
      <c r="D464" s="5"/>
      <c r="E464" s="5"/>
      <c r="F464" s="5"/>
      <c r="G464" s="5"/>
      <c r="H464" s="5"/>
      <c r="I464" s="5"/>
      <c r="J464" s="5"/>
      <c r="K464" s="5"/>
      <c r="L464" s="5"/>
      <c r="M464" s="5"/>
      <c r="N464" s="5"/>
      <c r="O464" s="5"/>
      <c r="P464" s="5"/>
      <c r="Q464" s="5"/>
      <c r="R464" s="5"/>
      <c r="S464" s="5"/>
      <c r="T464" s="5"/>
      <c r="U464" s="5"/>
      <c r="V464" s="5"/>
      <c r="Y464" s="5"/>
      <c r="Z464" s="5"/>
      <c r="AA464" s="5"/>
      <c r="AB464" s="5"/>
      <c r="AC464" s="5"/>
      <c r="AD464" s="5"/>
      <c r="AE464" s="5"/>
      <c r="AF464" s="5"/>
      <c r="AG464" s="5"/>
      <c r="AH464" s="5"/>
      <c r="AI464" s="5"/>
      <c r="AJ464" s="5"/>
      <c r="AK464" s="5"/>
      <c r="AL464" s="5"/>
      <c r="AM464" s="5"/>
      <c r="AN464" s="5"/>
    </row>
    <row r="465" spans="1:40" ht="18.75" customHeight="1">
      <c r="A465" s="5"/>
      <c r="B465" s="5"/>
      <c r="C465" s="5"/>
      <c r="D465" s="5"/>
      <c r="E465" s="5"/>
      <c r="F465" s="5"/>
      <c r="G465" s="5"/>
      <c r="H465" s="5"/>
      <c r="I465" s="5"/>
      <c r="J465" s="5"/>
      <c r="K465" s="5"/>
      <c r="L465" s="5"/>
      <c r="M465" s="5"/>
      <c r="N465" s="5"/>
      <c r="O465" s="5"/>
      <c r="P465" s="5"/>
      <c r="Q465" s="5"/>
      <c r="R465" s="5"/>
      <c r="S465" s="5"/>
      <c r="T465" s="5"/>
      <c r="U465" s="5"/>
      <c r="V465" s="5"/>
      <c r="Y465" s="5"/>
      <c r="Z465" s="5"/>
      <c r="AA465" s="5"/>
      <c r="AB465" s="5"/>
      <c r="AC465" s="5"/>
      <c r="AD465" s="5"/>
      <c r="AE465" s="5"/>
      <c r="AF465" s="5"/>
      <c r="AG465" s="5"/>
      <c r="AH465" s="5"/>
      <c r="AI465" s="5"/>
      <c r="AJ465" s="5"/>
      <c r="AK465" s="5"/>
      <c r="AL465" s="5"/>
      <c r="AM465" s="5"/>
      <c r="AN465" s="5"/>
    </row>
    <row r="466" spans="1:40" ht="18.75" customHeight="1">
      <c r="A466" s="5"/>
      <c r="B466" s="5"/>
      <c r="C466" s="5"/>
      <c r="D466" s="5"/>
      <c r="E466" s="5"/>
      <c r="F466" s="5"/>
      <c r="G466" s="5"/>
      <c r="H466" s="5"/>
      <c r="I466" s="5"/>
      <c r="J466" s="5"/>
      <c r="K466" s="5"/>
      <c r="L466" s="5"/>
      <c r="M466" s="5"/>
      <c r="N466" s="5"/>
      <c r="O466" s="5"/>
      <c r="P466" s="5"/>
      <c r="Q466" s="5"/>
      <c r="R466" s="5"/>
      <c r="S466" s="5"/>
      <c r="T466" s="5"/>
      <c r="U466" s="5"/>
      <c r="V466" s="5"/>
      <c r="Y466" s="5"/>
      <c r="Z466" s="5"/>
      <c r="AA466" s="5"/>
      <c r="AB466" s="5"/>
      <c r="AC466" s="5"/>
      <c r="AD466" s="5"/>
      <c r="AE466" s="5"/>
      <c r="AF466" s="5"/>
      <c r="AG466" s="5"/>
      <c r="AH466" s="5"/>
      <c r="AI466" s="5"/>
      <c r="AJ466" s="5"/>
      <c r="AK466" s="5"/>
      <c r="AL466" s="5"/>
      <c r="AM466" s="5"/>
      <c r="AN466" s="5"/>
    </row>
    <row r="467" spans="1:40" ht="18.75" customHeight="1">
      <c r="A467" s="5"/>
      <c r="B467" s="5"/>
      <c r="C467" s="5"/>
      <c r="D467" s="5"/>
      <c r="E467" s="5"/>
      <c r="F467" s="5"/>
      <c r="G467" s="5"/>
      <c r="H467" s="5"/>
      <c r="I467" s="5"/>
      <c r="J467" s="5"/>
      <c r="K467" s="5"/>
      <c r="L467" s="5"/>
      <c r="M467" s="5"/>
      <c r="N467" s="5"/>
      <c r="O467" s="5"/>
      <c r="P467" s="5"/>
      <c r="Q467" s="5"/>
      <c r="R467" s="5"/>
      <c r="S467" s="5"/>
      <c r="T467" s="5"/>
      <c r="U467" s="5"/>
      <c r="V467" s="5"/>
      <c r="Y467" s="5"/>
      <c r="Z467" s="5"/>
      <c r="AA467" s="5"/>
      <c r="AB467" s="5"/>
      <c r="AC467" s="5"/>
      <c r="AD467" s="5"/>
      <c r="AE467" s="5"/>
      <c r="AF467" s="5"/>
      <c r="AG467" s="5"/>
      <c r="AH467" s="5"/>
      <c r="AI467" s="5"/>
      <c r="AJ467" s="5"/>
      <c r="AK467" s="5"/>
      <c r="AL467" s="5"/>
      <c r="AM467" s="5"/>
      <c r="AN467" s="5"/>
    </row>
    <row r="468" spans="1:40" ht="18.75" customHeight="1">
      <c r="A468" s="5"/>
      <c r="B468" s="5"/>
      <c r="C468" s="5"/>
      <c r="D468" s="5"/>
      <c r="E468" s="5"/>
      <c r="F468" s="5"/>
      <c r="G468" s="5"/>
      <c r="H468" s="5"/>
      <c r="I468" s="5"/>
      <c r="J468" s="5"/>
      <c r="K468" s="5"/>
      <c r="L468" s="5"/>
      <c r="M468" s="5"/>
      <c r="N468" s="5"/>
      <c r="O468" s="5"/>
      <c r="P468" s="5"/>
      <c r="Q468" s="5"/>
      <c r="R468" s="5"/>
      <c r="S468" s="5"/>
      <c r="T468" s="5"/>
      <c r="U468" s="5"/>
      <c r="V468" s="5"/>
      <c r="Y468" s="5"/>
      <c r="Z468" s="5"/>
      <c r="AA468" s="5"/>
      <c r="AB468" s="5"/>
      <c r="AC468" s="5"/>
      <c r="AD468" s="5"/>
      <c r="AE468" s="5"/>
      <c r="AF468" s="5"/>
      <c r="AG468" s="5"/>
      <c r="AH468" s="5"/>
      <c r="AI468" s="5"/>
      <c r="AJ468" s="5"/>
      <c r="AK468" s="5"/>
      <c r="AL468" s="5"/>
      <c r="AM468" s="5"/>
      <c r="AN468" s="5"/>
    </row>
    <row r="469" spans="1:40" ht="18.75" customHeight="1">
      <c r="A469" s="5"/>
      <c r="B469" s="5"/>
      <c r="C469" s="5"/>
      <c r="D469" s="5"/>
      <c r="E469" s="5"/>
      <c r="F469" s="5"/>
      <c r="G469" s="5"/>
      <c r="H469" s="5"/>
      <c r="I469" s="5"/>
      <c r="J469" s="5"/>
      <c r="K469" s="5"/>
      <c r="L469" s="5"/>
      <c r="M469" s="5"/>
      <c r="N469" s="5"/>
      <c r="O469" s="5"/>
      <c r="P469" s="5"/>
      <c r="Q469" s="5"/>
      <c r="R469" s="5"/>
      <c r="S469" s="5"/>
      <c r="T469" s="5"/>
      <c r="U469" s="5"/>
      <c r="V469" s="5"/>
      <c r="Y469" s="5"/>
      <c r="Z469" s="5"/>
      <c r="AA469" s="5"/>
      <c r="AB469" s="5"/>
      <c r="AC469" s="5"/>
      <c r="AD469" s="5"/>
      <c r="AE469" s="5"/>
      <c r="AF469" s="5"/>
      <c r="AG469" s="5"/>
      <c r="AH469" s="5"/>
      <c r="AI469" s="5"/>
      <c r="AJ469" s="5"/>
      <c r="AK469" s="5"/>
      <c r="AL469" s="5"/>
      <c r="AM469" s="5"/>
      <c r="AN469" s="5"/>
    </row>
    <row r="470" spans="1:40" ht="18.75" customHeight="1">
      <c r="A470" s="5"/>
      <c r="B470" s="5"/>
      <c r="C470" s="5"/>
      <c r="D470" s="5"/>
      <c r="E470" s="5"/>
      <c r="F470" s="5"/>
      <c r="G470" s="5"/>
      <c r="H470" s="5"/>
      <c r="I470" s="5"/>
      <c r="J470" s="5"/>
      <c r="K470" s="5"/>
      <c r="L470" s="5"/>
      <c r="M470" s="5"/>
      <c r="N470" s="5"/>
      <c r="O470" s="5"/>
      <c r="P470" s="5"/>
      <c r="Q470" s="5"/>
      <c r="R470" s="5"/>
      <c r="S470" s="5"/>
      <c r="T470" s="5"/>
      <c r="U470" s="5"/>
      <c r="V470" s="5"/>
      <c r="Y470" s="5"/>
      <c r="Z470" s="5"/>
      <c r="AA470" s="5"/>
      <c r="AB470" s="5"/>
      <c r="AC470" s="5"/>
      <c r="AD470" s="5"/>
      <c r="AE470" s="5"/>
      <c r="AF470" s="5"/>
      <c r="AG470" s="5"/>
      <c r="AH470" s="5"/>
      <c r="AI470" s="5"/>
      <c r="AJ470" s="5"/>
      <c r="AK470" s="5"/>
      <c r="AL470" s="5"/>
      <c r="AM470" s="5"/>
      <c r="AN470" s="5"/>
    </row>
    <row r="471" spans="1:40" ht="18.75" customHeight="1">
      <c r="A471" s="5"/>
      <c r="B471" s="5"/>
      <c r="C471" s="5"/>
      <c r="D471" s="5"/>
      <c r="E471" s="5"/>
      <c r="F471" s="5"/>
      <c r="G471" s="5"/>
      <c r="H471" s="5"/>
      <c r="I471" s="5"/>
      <c r="J471" s="5"/>
      <c r="K471" s="5"/>
      <c r="L471" s="5"/>
      <c r="M471" s="5"/>
      <c r="N471" s="5"/>
      <c r="O471" s="5"/>
      <c r="P471" s="5"/>
      <c r="Q471" s="5"/>
      <c r="R471" s="5"/>
      <c r="S471" s="5"/>
      <c r="T471" s="5"/>
      <c r="U471" s="5"/>
      <c r="V471" s="5"/>
      <c r="Y471" s="5"/>
      <c r="Z471" s="5"/>
      <c r="AA471" s="5"/>
      <c r="AB471" s="5"/>
      <c r="AC471" s="5"/>
      <c r="AD471" s="5"/>
      <c r="AE471" s="5"/>
      <c r="AF471" s="5"/>
      <c r="AG471" s="5"/>
      <c r="AH471" s="5"/>
      <c r="AI471" s="5"/>
      <c r="AJ471" s="5"/>
      <c r="AK471" s="5"/>
      <c r="AL471" s="5"/>
      <c r="AM471" s="5"/>
      <c r="AN471" s="5"/>
    </row>
    <row r="472" spans="1:40" ht="18.75" customHeight="1">
      <c r="A472" s="5"/>
      <c r="B472" s="5"/>
      <c r="C472" s="5"/>
      <c r="D472" s="5"/>
      <c r="E472" s="5"/>
      <c r="F472" s="5"/>
      <c r="G472" s="5"/>
      <c r="H472" s="5"/>
      <c r="I472" s="5"/>
      <c r="J472" s="5"/>
      <c r="K472" s="5"/>
      <c r="L472" s="5"/>
      <c r="M472" s="5"/>
      <c r="N472" s="5"/>
      <c r="O472" s="5"/>
      <c r="P472" s="5"/>
      <c r="Q472" s="5"/>
      <c r="R472" s="5"/>
      <c r="S472" s="5"/>
      <c r="T472" s="5"/>
      <c r="U472" s="5"/>
      <c r="V472" s="5"/>
      <c r="Y472" s="5"/>
      <c r="Z472" s="5"/>
      <c r="AA472" s="5"/>
      <c r="AB472" s="5"/>
      <c r="AC472" s="5"/>
      <c r="AD472" s="5"/>
      <c r="AE472" s="5"/>
      <c r="AF472" s="5"/>
      <c r="AG472" s="5"/>
      <c r="AH472" s="5"/>
      <c r="AI472" s="5"/>
      <c r="AJ472" s="5"/>
      <c r="AK472" s="5"/>
      <c r="AL472" s="5"/>
      <c r="AM472" s="5"/>
      <c r="AN472" s="5"/>
    </row>
    <row r="473" spans="1:40" ht="18.75" customHeight="1">
      <c r="A473" s="5"/>
      <c r="B473" s="5"/>
      <c r="C473" s="5"/>
      <c r="D473" s="5"/>
      <c r="E473" s="5"/>
      <c r="F473" s="5"/>
      <c r="G473" s="5"/>
      <c r="H473" s="5"/>
      <c r="I473" s="5"/>
      <c r="J473" s="5"/>
      <c r="K473" s="5"/>
      <c r="L473" s="5"/>
      <c r="M473" s="5"/>
      <c r="N473" s="5"/>
      <c r="O473" s="5"/>
      <c r="P473" s="5"/>
      <c r="Q473" s="5"/>
      <c r="R473" s="5"/>
      <c r="S473" s="5"/>
      <c r="T473" s="5"/>
      <c r="U473" s="5"/>
      <c r="V473" s="5"/>
      <c r="Y473" s="5"/>
      <c r="Z473" s="5"/>
      <c r="AA473" s="5"/>
      <c r="AB473" s="5"/>
      <c r="AC473" s="5"/>
      <c r="AD473" s="5"/>
      <c r="AE473" s="5"/>
      <c r="AF473" s="5"/>
      <c r="AG473" s="5"/>
      <c r="AH473" s="5"/>
      <c r="AI473" s="5"/>
      <c r="AJ473" s="5"/>
      <c r="AK473" s="5"/>
      <c r="AL473" s="5"/>
      <c r="AM473" s="5"/>
      <c r="AN473" s="5"/>
    </row>
    <row r="474" spans="1:40" ht="18.75" customHeight="1">
      <c r="A474" s="5"/>
      <c r="B474" s="5"/>
      <c r="C474" s="5"/>
      <c r="D474" s="5"/>
      <c r="E474" s="5"/>
      <c r="F474" s="5"/>
      <c r="G474" s="5"/>
      <c r="H474" s="5"/>
      <c r="I474" s="5"/>
      <c r="J474" s="5"/>
      <c r="K474" s="5"/>
      <c r="L474" s="5"/>
      <c r="M474" s="5"/>
      <c r="N474" s="5"/>
      <c r="O474" s="5"/>
      <c r="P474" s="5"/>
      <c r="Q474" s="5"/>
      <c r="R474" s="5"/>
      <c r="S474" s="5"/>
      <c r="T474" s="5"/>
      <c r="U474" s="5"/>
      <c r="V474" s="5"/>
      <c r="Y474" s="5"/>
      <c r="Z474" s="5"/>
      <c r="AA474" s="5"/>
      <c r="AB474" s="5"/>
      <c r="AC474" s="5"/>
      <c r="AD474" s="5"/>
      <c r="AE474" s="5"/>
      <c r="AF474" s="5"/>
      <c r="AG474" s="5"/>
      <c r="AH474" s="5"/>
      <c r="AI474" s="5"/>
      <c r="AJ474" s="5"/>
      <c r="AK474" s="5"/>
      <c r="AL474" s="5"/>
      <c r="AM474" s="5"/>
      <c r="AN474" s="5"/>
    </row>
    <row r="475" spans="1:40" ht="18.75" customHeight="1">
      <c r="A475" s="5"/>
      <c r="B475" s="5"/>
      <c r="C475" s="5"/>
      <c r="D475" s="5"/>
      <c r="E475" s="5"/>
      <c r="F475" s="5"/>
      <c r="G475" s="5"/>
      <c r="H475" s="5"/>
      <c r="I475" s="5"/>
      <c r="J475" s="5"/>
      <c r="K475" s="5"/>
      <c r="L475" s="5"/>
      <c r="M475" s="5"/>
      <c r="N475" s="5"/>
      <c r="O475" s="5"/>
      <c r="P475" s="5"/>
      <c r="Q475" s="5"/>
      <c r="R475" s="5"/>
      <c r="S475" s="5"/>
      <c r="T475" s="5"/>
      <c r="U475" s="5"/>
      <c r="V475" s="5"/>
      <c r="Y475" s="5"/>
      <c r="Z475" s="5"/>
      <c r="AA475" s="5"/>
      <c r="AB475" s="5"/>
      <c r="AC475" s="5"/>
      <c r="AD475" s="5"/>
      <c r="AE475" s="5"/>
      <c r="AF475" s="5"/>
      <c r="AG475" s="5"/>
      <c r="AH475" s="5"/>
      <c r="AI475" s="5"/>
      <c r="AJ475" s="5"/>
      <c r="AK475" s="5"/>
      <c r="AL475" s="5"/>
      <c r="AM475" s="5"/>
      <c r="AN475" s="5"/>
    </row>
    <row r="476" spans="1:40" ht="18.75" customHeight="1">
      <c r="A476" s="5"/>
      <c r="B476" s="5"/>
      <c r="C476" s="5"/>
      <c r="D476" s="5"/>
      <c r="E476" s="5"/>
      <c r="F476" s="5"/>
      <c r="G476" s="5"/>
      <c r="H476" s="5"/>
      <c r="I476" s="5"/>
      <c r="J476" s="5"/>
      <c r="K476" s="5"/>
      <c r="L476" s="5"/>
      <c r="M476" s="5"/>
      <c r="N476" s="5"/>
      <c r="O476" s="5"/>
      <c r="P476" s="5"/>
      <c r="Q476" s="5"/>
      <c r="R476" s="5"/>
      <c r="S476" s="5"/>
      <c r="T476" s="5"/>
      <c r="U476" s="5"/>
      <c r="V476" s="5"/>
      <c r="Y476" s="5"/>
      <c r="Z476" s="5"/>
      <c r="AA476" s="5"/>
      <c r="AB476" s="5"/>
      <c r="AC476" s="5"/>
      <c r="AD476" s="5"/>
      <c r="AE476" s="5"/>
      <c r="AF476" s="5"/>
      <c r="AG476" s="5"/>
      <c r="AH476" s="5"/>
      <c r="AI476" s="5"/>
      <c r="AJ476" s="5"/>
      <c r="AK476" s="5"/>
      <c r="AL476" s="5"/>
      <c r="AM476" s="5"/>
      <c r="AN476" s="5"/>
    </row>
    <row r="477" spans="1:40" ht="18.75" customHeight="1">
      <c r="A477" s="5"/>
      <c r="B477" s="5"/>
      <c r="C477" s="5"/>
      <c r="D477" s="5"/>
      <c r="E477" s="5"/>
      <c r="F477" s="5"/>
      <c r="G477" s="5"/>
      <c r="H477" s="5"/>
      <c r="I477" s="5"/>
      <c r="J477" s="5"/>
      <c r="K477" s="5"/>
      <c r="L477" s="5"/>
      <c r="M477" s="5"/>
      <c r="N477" s="5"/>
      <c r="O477" s="5"/>
      <c r="P477" s="5"/>
      <c r="Q477" s="5"/>
      <c r="R477" s="5"/>
      <c r="S477" s="5"/>
      <c r="T477" s="5"/>
      <c r="U477" s="5"/>
      <c r="V477" s="5"/>
      <c r="Y477" s="5"/>
      <c r="Z477" s="5"/>
      <c r="AA477" s="5"/>
      <c r="AB477" s="5"/>
      <c r="AC477" s="5"/>
      <c r="AD477" s="5"/>
      <c r="AE477" s="5"/>
      <c r="AF477" s="5"/>
      <c r="AG477" s="5"/>
      <c r="AH477" s="5"/>
      <c r="AI477" s="5"/>
      <c r="AJ477" s="5"/>
      <c r="AK477" s="5"/>
      <c r="AL477" s="5"/>
      <c r="AM477" s="5"/>
      <c r="AN477" s="5"/>
    </row>
    <row r="478" spans="1:40" ht="18.75" customHeight="1">
      <c r="A478" s="5"/>
      <c r="B478" s="5"/>
      <c r="C478" s="5"/>
      <c r="D478" s="5"/>
      <c r="E478" s="5"/>
      <c r="F478" s="5"/>
      <c r="G478" s="5"/>
      <c r="H478" s="5"/>
      <c r="I478" s="5"/>
      <c r="J478" s="5"/>
      <c r="K478" s="5"/>
      <c r="L478" s="5"/>
      <c r="M478" s="5"/>
      <c r="N478" s="5"/>
      <c r="O478" s="5"/>
      <c r="P478" s="5"/>
      <c r="Q478" s="5"/>
      <c r="R478" s="5"/>
      <c r="S478" s="5"/>
      <c r="T478" s="5"/>
      <c r="U478" s="5"/>
      <c r="V478" s="5"/>
      <c r="Y478" s="5"/>
      <c r="Z478" s="5"/>
      <c r="AA478" s="5"/>
      <c r="AB478" s="5"/>
      <c r="AC478" s="5"/>
      <c r="AD478" s="5"/>
      <c r="AE478" s="5"/>
      <c r="AF478" s="5"/>
      <c r="AG478" s="5"/>
      <c r="AH478" s="5"/>
      <c r="AI478" s="5"/>
      <c r="AJ478" s="5"/>
      <c r="AK478" s="5"/>
      <c r="AL478" s="5"/>
      <c r="AM478" s="5"/>
      <c r="AN478" s="5"/>
    </row>
    <row r="479" spans="1:40" ht="18.75" customHeight="1">
      <c r="A479" s="5"/>
      <c r="B479" s="5"/>
      <c r="C479" s="5"/>
      <c r="D479" s="5"/>
      <c r="E479" s="5"/>
      <c r="F479" s="5"/>
      <c r="G479" s="5"/>
      <c r="H479" s="5"/>
      <c r="I479" s="5"/>
      <c r="J479" s="5"/>
      <c r="K479" s="5"/>
      <c r="L479" s="5"/>
      <c r="M479" s="5"/>
      <c r="N479" s="5"/>
      <c r="O479" s="5"/>
      <c r="P479" s="5"/>
      <c r="Q479" s="5"/>
      <c r="R479" s="5"/>
      <c r="S479" s="5"/>
      <c r="T479" s="5"/>
      <c r="U479" s="5"/>
      <c r="V479" s="5"/>
      <c r="Y479" s="5"/>
      <c r="Z479" s="5"/>
      <c r="AA479" s="5"/>
      <c r="AB479" s="5"/>
      <c r="AC479" s="5"/>
      <c r="AD479" s="5"/>
      <c r="AE479" s="5"/>
      <c r="AF479" s="5"/>
      <c r="AG479" s="5"/>
      <c r="AH479" s="5"/>
      <c r="AI479" s="5"/>
      <c r="AJ479" s="5"/>
      <c r="AK479" s="5"/>
      <c r="AL479" s="5"/>
      <c r="AM479" s="5"/>
      <c r="AN479" s="5"/>
    </row>
    <row r="480" spans="1:40" ht="18.75" customHeight="1">
      <c r="A480" s="5"/>
      <c r="B480" s="5"/>
      <c r="C480" s="5"/>
      <c r="D480" s="5"/>
      <c r="E480" s="5"/>
      <c r="F480" s="5"/>
      <c r="G480" s="5"/>
      <c r="H480" s="5"/>
      <c r="I480" s="5"/>
      <c r="J480" s="5"/>
      <c r="K480" s="5"/>
      <c r="L480" s="5"/>
      <c r="M480" s="5"/>
      <c r="N480" s="5"/>
      <c r="O480" s="5"/>
      <c r="P480" s="5"/>
      <c r="Q480" s="5"/>
      <c r="R480" s="5"/>
      <c r="S480" s="5"/>
      <c r="T480" s="5"/>
      <c r="U480" s="5"/>
      <c r="V480" s="5"/>
      <c r="Y480" s="5"/>
      <c r="Z480" s="5"/>
      <c r="AA480" s="5"/>
      <c r="AB480" s="5"/>
      <c r="AC480" s="5"/>
      <c r="AD480" s="5"/>
      <c r="AE480" s="5"/>
      <c r="AF480" s="5"/>
      <c r="AG480" s="5"/>
      <c r="AH480" s="5"/>
      <c r="AI480" s="5"/>
      <c r="AJ480" s="5"/>
      <c r="AK480" s="5"/>
      <c r="AL480" s="5"/>
      <c r="AM480" s="5"/>
      <c r="AN480" s="5"/>
    </row>
    <row r="481" spans="1:40" ht="18.75" customHeight="1">
      <c r="A481" s="5"/>
      <c r="B481" s="5"/>
      <c r="C481" s="5"/>
      <c r="D481" s="5"/>
      <c r="E481" s="5"/>
      <c r="F481" s="5"/>
      <c r="G481" s="5"/>
      <c r="H481" s="5"/>
      <c r="I481" s="5"/>
      <c r="J481" s="5"/>
      <c r="K481" s="5"/>
      <c r="L481" s="5"/>
      <c r="M481" s="5"/>
      <c r="N481" s="5"/>
      <c r="O481" s="5"/>
      <c r="P481" s="5"/>
      <c r="Q481" s="5"/>
      <c r="R481" s="5"/>
      <c r="S481" s="5"/>
      <c r="T481" s="5"/>
      <c r="U481" s="5"/>
      <c r="V481" s="5"/>
      <c r="Y481" s="5"/>
      <c r="Z481" s="5"/>
      <c r="AA481" s="5"/>
      <c r="AB481" s="5"/>
      <c r="AC481" s="5"/>
      <c r="AD481" s="5"/>
      <c r="AE481" s="5"/>
      <c r="AF481" s="5"/>
      <c r="AG481" s="5"/>
      <c r="AH481" s="5"/>
      <c r="AI481" s="5"/>
      <c r="AJ481" s="5"/>
      <c r="AK481" s="5"/>
      <c r="AL481" s="5"/>
      <c r="AM481" s="5"/>
      <c r="AN481" s="5"/>
    </row>
    <row r="482" spans="1:40" ht="18.75" customHeight="1">
      <c r="A482" s="5"/>
      <c r="B482" s="5"/>
      <c r="C482" s="5"/>
      <c r="D482" s="5"/>
      <c r="E482" s="5"/>
      <c r="F482" s="5"/>
      <c r="G482" s="5"/>
      <c r="H482" s="5"/>
      <c r="I482" s="5"/>
      <c r="J482" s="5"/>
      <c r="K482" s="5"/>
      <c r="L482" s="5"/>
      <c r="M482" s="5"/>
      <c r="N482" s="5"/>
      <c r="O482" s="5"/>
      <c r="P482" s="5"/>
      <c r="Q482" s="5"/>
      <c r="R482" s="5"/>
      <c r="S482" s="5"/>
      <c r="T482" s="5"/>
      <c r="U482" s="5"/>
      <c r="V482" s="5"/>
      <c r="Y482" s="5"/>
      <c r="Z482" s="5"/>
      <c r="AA482" s="5"/>
      <c r="AB482" s="5"/>
      <c r="AC482" s="5"/>
      <c r="AD482" s="5"/>
      <c r="AE482" s="5"/>
      <c r="AF482" s="5"/>
      <c r="AG482" s="5"/>
      <c r="AH482" s="5"/>
      <c r="AI482" s="5"/>
      <c r="AJ482" s="5"/>
      <c r="AK482" s="5"/>
      <c r="AL482" s="5"/>
      <c r="AM482" s="5"/>
      <c r="AN482" s="5"/>
    </row>
    <row r="483" spans="1:40" ht="18.75" customHeight="1">
      <c r="A483" s="5"/>
      <c r="B483" s="5"/>
      <c r="C483" s="5"/>
      <c r="D483" s="5"/>
      <c r="E483" s="5"/>
      <c r="F483" s="5"/>
      <c r="G483" s="5"/>
      <c r="H483" s="5"/>
      <c r="I483" s="5"/>
      <c r="J483" s="5"/>
      <c r="K483" s="5"/>
      <c r="L483" s="5"/>
      <c r="M483" s="5"/>
      <c r="N483" s="5"/>
      <c r="O483" s="5"/>
      <c r="P483" s="5"/>
      <c r="Q483" s="5"/>
      <c r="R483" s="5"/>
      <c r="S483" s="5"/>
      <c r="T483" s="5"/>
      <c r="U483" s="5"/>
      <c r="V483" s="5"/>
      <c r="Y483" s="5"/>
      <c r="Z483" s="5"/>
      <c r="AA483" s="5"/>
      <c r="AB483" s="5"/>
      <c r="AC483" s="5"/>
      <c r="AD483" s="5"/>
      <c r="AE483" s="5"/>
      <c r="AF483" s="5"/>
      <c r="AG483" s="5"/>
      <c r="AH483" s="5"/>
      <c r="AI483" s="5"/>
      <c r="AJ483" s="5"/>
      <c r="AK483" s="5"/>
      <c r="AL483" s="5"/>
      <c r="AM483" s="5"/>
      <c r="AN483" s="5"/>
    </row>
    <row r="484" spans="1:40" ht="18.75" customHeight="1">
      <c r="A484" s="5"/>
      <c r="B484" s="5"/>
      <c r="C484" s="5"/>
      <c r="D484" s="5"/>
      <c r="E484" s="5"/>
      <c r="F484" s="5"/>
      <c r="G484" s="5"/>
      <c r="H484" s="5"/>
      <c r="I484" s="5"/>
      <c r="J484" s="5"/>
      <c r="K484" s="5"/>
      <c r="L484" s="5"/>
      <c r="M484" s="5"/>
      <c r="N484" s="5"/>
      <c r="O484" s="5"/>
      <c r="P484" s="5"/>
      <c r="Q484" s="5"/>
      <c r="R484" s="5"/>
      <c r="S484" s="5"/>
      <c r="T484" s="5"/>
      <c r="U484" s="5"/>
      <c r="V484" s="5"/>
      <c r="Y484" s="5"/>
      <c r="Z484" s="5"/>
      <c r="AA484" s="5"/>
      <c r="AB484" s="5"/>
      <c r="AC484" s="5"/>
      <c r="AD484" s="5"/>
      <c r="AE484" s="5"/>
      <c r="AF484" s="5"/>
      <c r="AG484" s="5"/>
      <c r="AH484" s="5"/>
      <c r="AI484" s="5"/>
      <c r="AJ484" s="5"/>
      <c r="AK484" s="5"/>
      <c r="AL484" s="5"/>
      <c r="AM484" s="5"/>
      <c r="AN484" s="5"/>
    </row>
    <row r="485" spans="1:40" ht="18.75" customHeight="1">
      <c r="A485" s="5"/>
      <c r="B485" s="5"/>
      <c r="C485" s="5"/>
      <c r="D485" s="5"/>
      <c r="E485" s="5"/>
      <c r="F485" s="5"/>
      <c r="G485" s="5"/>
      <c r="H485" s="5"/>
      <c r="I485" s="5"/>
      <c r="J485" s="5"/>
      <c r="K485" s="5"/>
      <c r="L485" s="5"/>
      <c r="M485" s="5"/>
      <c r="N485" s="5"/>
      <c r="O485" s="5"/>
      <c r="P485" s="5"/>
      <c r="Q485" s="5"/>
      <c r="R485" s="5"/>
      <c r="S485" s="5"/>
      <c r="T485" s="5"/>
      <c r="U485" s="5"/>
      <c r="V485" s="5"/>
      <c r="Y485" s="5"/>
      <c r="Z485" s="5"/>
      <c r="AA485" s="5"/>
      <c r="AB485" s="5"/>
      <c r="AC485" s="5"/>
      <c r="AD485" s="5"/>
      <c r="AE485" s="5"/>
      <c r="AF485" s="5"/>
      <c r="AG485" s="5"/>
      <c r="AH485" s="5"/>
      <c r="AI485" s="5"/>
      <c r="AJ485" s="5"/>
      <c r="AK485" s="5"/>
      <c r="AL485" s="5"/>
      <c r="AM485" s="5"/>
      <c r="AN485" s="5"/>
    </row>
    <row r="486" spans="1:40" ht="18.75" customHeight="1">
      <c r="A486" s="5"/>
      <c r="B486" s="5"/>
      <c r="C486" s="5"/>
      <c r="D486" s="5"/>
      <c r="E486" s="5"/>
      <c r="F486" s="5"/>
      <c r="G486" s="5"/>
      <c r="H486" s="5"/>
      <c r="I486" s="5"/>
      <c r="J486" s="5"/>
      <c r="K486" s="5"/>
      <c r="L486" s="5"/>
      <c r="M486" s="5"/>
      <c r="N486" s="5"/>
      <c r="O486" s="5"/>
      <c r="P486" s="5"/>
      <c r="Q486" s="5"/>
      <c r="R486" s="5"/>
      <c r="S486" s="5"/>
      <c r="T486" s="5"/>
      <c r="U486" s="5"/>
      <c r="V486" s="5"/>
      <c r="Y486" s="5"/>
      <c r="Z486" s="5"/>
      <c r="AA486" s="5"/>
      <c r="AB486" s="5"/>
      <c r="AC486" s="5"/>
      <c r="AD486" s="5"/>
      <c r="AE486" s="5"/>
      <c r="AF486" s="5"/>
      <c r="AG486" s="5"/>
      <c r="AH486" s="5"/>
      <c r="AI486" s="5"/>
      <c r="AJ486" s="5"/>
      <c r="AK486" s="5"/>
      <c r="AL486" s="5"/>
      <c r="AM486" s="5"/>
      <c r="AN486" s="5"/>
    </row>
    <row r="487" spans="1:40" ht="18.75" customHeight="1">
      <c r="A487" s="5"/>
      <c r="B487" s="5"/>
      <c r="C487" s="5"/>
      <c r="D487" s="5"/>
      <c r="E487" s="5"/>
      <c r="F487" s="5"/>
      <c r="G487" s="5"/>
      <c r="H487" s="5"/>
      <c r="I487" s="5"/>
      <c r="J487" s="5"/>
      <c r="K487" s="5"/>
      <c r="L487" s="5"/>
      <c r="M487" s="5"/>
      <c r="N487" s="5"/>
      <c r="O487" s="5"/>
      <c r="P487" s="5"/>
      <c r="Q487" s="5"/>
      <c r="R487" s="5"/>
      <c r="S487" s="5"/>
      <c r="T487" s="5"/>
      <c r="U487" s="5"/>
      <c r="V487" s="5"/>
      <c r="Y487" s="5"/>
      <c r="Z487" s="5"/>
      <c r="AA487" s="5"/>
      <c r="AB487" s="5"/>
      <c r="AC487" s="5"/>
      <c r="AD487" s="5"/>
      <c r="AE487" s="5"/>
      <c r="AF487" s="5"/>
      <c r="AG487" s="5"/>
      <c r="AH487" s="5"/>
      <c r="AI487" s="5"/>
      <c r="AJ487" s="5"/>
      <c r="AK487" s="5"/>
      <c r="AL487" s="5"/>
      <c r="AM487" s="5"/>
      <c r="AN487" s="5"/>
    </row>
    <row r="488" spans="1:40" ht="18.75" customHeight="1">
      <c r="A488" s="5"/>
      <c r="B488" s="5"/>
      <c r="C488" s="5"/>
      <c r="D488" s="5"/>
      <c r="E488" s="5"/>
      <c r="F488" s="5"/>
      <c r="G488" s="5"/>
      <c r="H488" s="5"/>
      <c r="I488" s="5"/>
      <c r="J488" s="5"/>
      <c r="K488" s="5"/>
      <c r="L488" s="5"/>
      <c r="M488" s="5"/>
      <c r="N488" s="5"/>
      <c r="O488" s="5"/>
      <c r="P488" s="5"/>
      <c r="Q488" s="5"/>
      <c r="R488" s="5"/>
      <c r="S488" s="5"/>
      <c r="T488" s="5"/>
      <c r="U488" s="5"/>
      <c r="V488" s="5"/>
      <c r="Y488" s="5"/>
      <c r="Z488" s="5"/>
      <c r="AA488" s="5"/>
      <c r="AB488" s="5"/>
      <c r="AC488" s="5"/>
      <c r="AD488" s="5"/>
      <c r="AE488" s="5"/>
      <c r="AF488" s="5"/>
      <c r="AG488" s="5"/>
      <c r="AH488" s="5"/>
      <c r="AI488" s="5"/>
      <c r="AJ488" s="5"/>
      <c r="AK488" s="5"/>
      <c r="AL488" s="5"/>
      <c r="AM488" s="5"/>
      <c r="AN488" s="5"/>
    </row>
    <row r="489" spans="1:40" ht="18.75" customHeight="1">
      <c r="A489" s="5"/>
      <c r="B489" s="5"/>
      <c r="C489" s="5"/>
      <c r="D489" s="5"/>
      <c r="E489" s="5"/>
      <c r="F489" s="5"/>
      <c r="G489" s="5"/>
      <c r="H489" s="5"/>
      <c r="I489" s="5"/>
      <c r="J489" s="5"/>
      <c r="K489" s="5"/>
      <c r="L489" s="5"/>
      <c r="M489" s="5"/>
      <c r="N489" s="5"/>
      <c r="O489" s="5"/>
      <c r="P489" s="5"/>
      <c r="Q489" s="5"/>
      <c r="R489" s="5"/>
      <c r="S489" s="5"/>
      <c r="T489" s="5"/>
      <c r="U489" s="5"/>
      <c r="V489" s="5"/>
      <c r="Y489" s="5"/>
      <c r="Z489" s="5"/>
      <c r="AA489" s="5"/>
      <c r="AB489" s="5"/>
      <c r="AC489" s="5"/>
      <c r="AD489" s="5"/>
      <c r="AE489" s="5"/>
      <c r="AF489" s="5"/>
      <c r="AG489" s="5"/>
      <c r="AH489" s="5"/>
      <c r="AI489" s="5"/>
      <c r="AJ489" s="5"/>
      <c r="AK489" s="5"/>
      <c r="AL489" s="5"/>
      <c r="AM489" s="5"/>
      <c r="AN489" s="5"/>
    </row>
    <row r="490" spans="1:40" ht="18.75" customHeight="1">
      <c r="A490" s="5"/>
      <c r="B490" s="5"/>
      <c r="C490" s="5"/>
      <c r="D490" s="5"/>
      <c r="E490" s="5"/>
      <c r="F490" s="5"/>
      <c r="G490" s="5"/>
      <c r="H490" s="5"/>
      <c r="I490" s="5"/>
      <c r="J490" s="5"/>
      <c r="K490" s="5"/>
      <c r="L490" s="5"/>
      <c r="M490" s="5"/>
      <c r="N490" s="5"/>
      <c r="O490" s="5"/>
      <c r="P490" s="5"/>
      <c r="Q490" s="5"/>
      <c r="R490" s="5"/>
      <c r="S490" s="5"/>
      <c r="T490" s="5"/>
      <c r="U490" s="5"/>
      <c r="V490" s="5"/>
      <c r="Y490" s="5"/>
      <c r="Z490" s="5"/>
      <c r="AA490" s="5"/>
      <c r="AB490" s="5"/>
      <c r="AC490" s="5"/>
      <c r="AD490" s="5"/>
      <c r="AE490" s="5"/>
      <c r="AF490" s="5"/>
      <c r="AG490" s="5"/>
      <c r="AH490" s="5"/>
      <c r="AI490" s="5"/>
      <c r="AJ490" s="5"/>
      <c r="AK490" s="5"/>
      <c r="AL490" s="5"/>
      <c r="AM490" s="5"/>
      <c r="AN490" s="5"/>
    </row>
    <row r="491" spans="1:40" ht="18.75" customHeight="1">
      <c r="A491" s="5"/>
      <c r="B491" s="5"/>
      <c r="C491" s="5"/>
      <c r="D491" s="5"/>
      <c r="E491" s="5"/>
      <c r="F491" s="5"/>
      <c r="G491" s="5"/>
      <c r="H491" s="5"/>
      <c r="I491" s="5"/>
      <c r="J491" s="5"/>
      <c r="K491" s="5"/>
      <c r="L491" s="5"/>
      <c r="M491" s="5"/>
      <c r="N491" s="5"/>
      <c r="O491" s="5"/>
      <c r="P491" s="5"/>
      <c r="Q491" s="5"/>
      <c r="R491" s="5"/>
      <c r="S491" s="5"/>
      <c r="T491" s="5"/>
      <c r="U491" s="5"/>
      <c r="V491" s="5"/>
      <c r="Y491" s="5"/>
      <c r="Z491" s="5"/>
      <c r="AA491" s="5"/>
      <c r="AB491" s="5"/>
      <c r="AC491" s="5"/>
      <c r="AD491" s="5"/>
      <c r="AE491" s="5"/>
      <c r="AF491" s="5"/>
      <c r="AG491" s="5"/>
      <c r="AH491" s="5"/>
      <c r="AI491" s="5"/>
      <c r="AJ491" s="5"/>
      <c r="AK491" s="5"/>
      <c r="AL491" s="5"/>
      <c r="AM491" s="5"/>
      <c r="AN491" s="5"/>
    </row>
    <row r="492" spans="1:40" ht="18.75" customHeight="1">
      <c r="A492" s="5"/>
      <c r="B492" s="5"/>
      <c r="C492" s="5"/>
      <c r="D492" s="5"/>
      <c r="E492" s="5"/>
      <c r="F492" s="5"/>
      <c r="G492" s="5"/>
      <c r="H492" s="5"/>
      <c r="I492" s="5"/>
      <c r="J492" s="5"/>
      <c r="K492" s="5"/>
      <c r="L492" s="5"/>
      <c r="M492" s="5"/>
      <c r="N492" s="5"/>
      <c r="O492" s="5"/>
      <c r="P492" s="5"/>
      <c r="Q492" s="5"/>
      <c r="R492" s="5"/>
      <c r="S492" s="5"/>
      <c r="T492" s="5"/>
      <c r="U492" s="5"/>
      <c r="V492" s="5"/>
      <c r="Y492" s="5"/>
      <c r="Z492" s="5"/>
      <c r="AA492" s="5"/>
      <c r="AB492" s="5"/>
      <c r="AC492" s="5"/>
      <c r="AD492" s="5"/>
      <c r="AE492" s="5"/>
      <c r="AF492" s="5"/>
      <c r="AG492" s="5"/>
      <c r="AH492" s="5"/>
      <c r="AI492" s="5"/>
      <c r="AJ492" s="5"/>
      <c r="AK492" s="5"/>
      <c r="AL492" s="5"/>
      <c r="AM492" s="5"/>
      <c r="AN492" s="5"/>
    </row>
    <row r="493" spans="1:40" ht="18.75" customHeight="1">
      <c r="A493" s="5"/>
      <c r="B493" s="5"/>
      <c r="C493" s="5"/>
      <c r="D493" s="5"/>
      <c r="E493" s="5"/>
      <c r="F493" s="5"/>
      <c r="G493" s="5"/>
      <c r="H493" s="5"/>
      <c r="I493" s="5"/>
      <c r="J493" s="5"/>
      <c r="K493" s="5"/>
      <c r="L493" s="5"/>
      <c r="M493" s="5"/>
      <c r="N493" s="5"/>
      <c r="O493" s="5"/>
      <c r="P493" s="5"/>
      <c r="Q493" s="5"/>
      <c r="R493" s="5"/>
      <c r="S493" s="5"/>
      <c r="T493" s="5"/>
      <c r="U493" s="5"/>
      <c r="V493" s="5"/>
      <c r="Y493" s="5"/>
      <c r="Z493" s="5"/>
      <c r="AA493" s="5"/>
      <c r="AB493" s="5"/>
      <c r="AC493" s="5"/>
      <c r="AD493" s="5"/>
      <c r="AE493" s="5"/>
      <c r="AF493" s="5"/>
      <c r="AG493" s="5"/>
      <c r="AH493" s="5"/>
      <c r="AI493" s="5"/>
      <c r="AJ493" s="5"/>
      <c r="AK493" s="5"/>
      <c r="AL493" s="5"/>
      <c r="AM493" s="5"/>
      <c r="AN493" s="5"/>
    </row>
    <row r="494" spans="1:40" ht="18.75" customHeight="1">
      <c r="A494" s="5"/>
      <c r="B494" s="5"/>
      <c r="C494" s="5"/>
      <c r="D494" s="5"/>
      <c r="E494" s="5"/>
      <c r="F494" s="5"/>
      <c r="G494" s="5"/>
      <c r="H494" s="5"/>
      <c r="I494" s="5"/>
      <c r="J494" s="5"/>
      <c r="K494" s="5"/>
      <c r="L494" s="5"/>
      <c r="M494" s="5"/>
      <c r="N494" s="5"/>
      <c r="O494" s="5"/>
      <c r="P494" s="5"/>
      <c r="Q494" s="5"/>
      <c r="R494" s="5"/>
      <c r="S494" s="5"/>
      <c r="T494" s="5"/>
      <c r="U494" s="5"/>
      <c r="V494" s="5"/>
      <c r="Y494" s="5"/>
      <c r="Z494" s="5"/>
      <c r="AA494" s="5"/>
      <c r="AB494" s="5"/>
      <c r="AC494" s="5"/>
      <c r="AD494" s="5"/>
      <c r="AE494" s="5"/>
      <c r="AF494" s="5"/>
      <c r="AG494" s="5"/>
      <c r="AH494" s="5"/>
      <c r="AI494" s="5"/>
      <c r="AJ494" s="5"/>
      <c r="AK494" s="5"/>
      <c r="AL494" s="5"/>
      <c r="AM494" s="5"/>
      <c r="AN494" s="5"/>
    </row>
    <row r="495" spans="1:40" ht="18.75" customHeight="1">
      <c r="A495" s="5"/>
      <c r="B495" s="5"/>
      <c r="C495" s="5"/>
      <c r="D495" s="5"/>
      <c r="E495" s="5"/>
      <c r="F495" s="5"/>
      <c r="G495" s="5"/>
      <c r="H495" s="5"/>
      <c r="I495" s="5"/>
      <c r="J495" s="5"/>
      <c r="K495" s="5"/>
      <c r="L495" s="5"/>
      <c r="M495" s="5"/>
      <c r="N495" s="5"/>
      <c r="O495" s="5"/>
      <c r="P495" s="5"/>
      <c r="Q495" s="5"/>
      <c r="R495" s="5"/>
      <c r="S495" s="5"/>
      <c r="T495" s="5"/>
      <c r="U495" s="5"/>
      <c r="V495" s="5"/>
      <c r="Y495" s="5"/>
      <c r="Z495" s="5"/>
      <c r="AA495" s="5"/>
      <c r="AB495" s="5"/>
      <c r="AC495" s="5"/>
      <c r="AD495" s="5"/>
      <c r="AE495" s="5"/>
      <c r="AF495" s="5"/>
      <c r="AG495" s="5"/>
      <c r="AH495" s="5"/>
      <c r="AI495" s="5"/>
      <c r="AJ495" s="5"/>
      <c r="AK495" s="5"/>
      <c r="AL495" s="5"/>
      <c r="AM495" s="5"/>
      <c r="AN495" s="5"/>
    </row>
    <row r="496" spans="1:40" ht="18.75" customHeight="1">
      <c r="A496" s="5"/>
      <c r="B496" s="5"/>
      <c r="C496" s="5"/>
      <c r="D496" s="5"/>
      <c r="E496" s="5"/>
      <c r="F496" s="5"/>
      <c r="G496" s="5"/>
      <c r="H496" s="5"/>
      <c r="I496" s="5"/>
      <c r="J496" s="5"/>
      <c r="K496" s="5"/>
      <c r="L496" s="5"/>
      <c r="M496" s="5"/>
      <c r="N496" s="5"/>
      <c r="O496" s="5"/>
      <c r="P496" s="5"/>
      <c r="Q496" s="5"/>
      <c r="R496" s="5"/>
      <c r="S496" s="5"/>
      <c r="T496" s="5"/>
      <c r="U496" s="5"/>
      <c r="V496" s="5"/>
      <c r="Y496" s="5"/>
      <c r="Z496" s="5"/>
      <c r="AA496" s="5"/>
      <c r="AB496" s="5"/>
      <c r="AC496" s="5"/>
      <c r="AD496" s="5"/>
      <c r="AE496" s="5"/>
      <c r="AF496" s="5"/>
      <c r="AG496" s="5"/>
      <c r="AH496" s="5"/>
      <c r="AI496" s="5"/>
      <c r="AJ496" s="5"/>
      <c r="AK496" s="5"/>
      <c r="AL496" s="5"/>
      <c r="AM496" s="5"/>
      <c r="AN496" s="5"/>
    </row>
    <row r="497" spans="1:40" ht="18.75" customHeight="1">
      <c r="A497" s="5"/>
      <c r="B497" s="5"/>
      <c r="C497" s="5"/>
      <c r="D497" s="5"/>
      <c r="E497" s="5"/>
      <c r="F497" s="5"/>
      <c r="G497" s="5"/>
      <c r="H497" s="5"/>
      <c r="I497" s="5"/>
      <c r="J497" s="5"/>
      <c r="K497" s="5"/>
      <c r="L497" s="5"/>
      <c r="M497" s="5"/>
      <c r="N497" s="5"/>
      <c r="O497" s="5"/>
      <c r="P497" s="5"/>
      <c r="Q497" s="5"/>
      <c r="R497" s="5"/>
      <c r="S497" s="5"/>
      <c r="T497" s="5"/>
      <c r="U497" s="5"/>
      <c r="V497" s="5"/>
      <c r="Y497" s="5"/>
      <c r="Z497" s="5"/>
      <c r="AA497" s="5"/>
      <c r="AB497" s="5"/>
      <c r="AC497" s="5"/>
      <c r="AD497" s="5"/>
      <c r="AE497" s="5"/>
      <c r="AF497" s="5"/>
      <c r="AG497" s="5"/>
      <c r="AH497" s="5"/>
      <c r="AI497" s="5"/>
      <c r="AJ497" s="5"/>
      <c r="AK497" s="5"/>
      <c r="AL497" s="5"/>
      <c r="AM497" s="5"/>
      <c r="AN497" s="5"/>
    </row>
    <row r="498" spans="1:40" ht="18.75" customHeight="1">
      <c r="A498" s="5"/>
      <c r="B498" s="5"/>
      <c r="C498" s="5"/>
      <c r="D498" s="5"/>
      <c r="E498" s="5"/>
      <c r="F498" s="5"/>
      <c r="G498" s="5"/>
      <c r="H498" s="5"/>
      <c r="I498" s="5"/>
      <c r="J498" s="5"/>
      <c r="K498" s="5"/>
      <c r="L498" s="5"/>
      <c r="M498" s="5"/>
      <c r="N498" s="5"/>
      <c r="O498" s="5"/>
      <c r="P498" s="5"/>
      <c r="Q498" s="5"/>
      <c r="R498" s="5"/>
      <c r="S498" s="5"/>
      <c r="T498" s="5"/>
      <c r="U498" s="5"/>
      <c r="V498" s="5"/>
      <c r="Y498" s="5"/>
      <c r="Z498" s="5"/>
      <c r="AA498" s="5"/>
      <c r="AB498" s="5"/>
      <c r="AC498" s="5"/>
      <c r="AD498" s="5"/>
      <c r="AE498" s="5"/>
      <c r="AF498" s="5"/>
      <c r="AG498" s="5"/>
      <c r="AH498" s="5"/>
      <c r="AI498" s="5"/>
      <c r="AJ498" s="5"/>
      <c r="AK498" s="5"/>
      <c r="AL498" s="5"/>
      <c r="AM498" s="5"/>
      <c r="AN498" s="5"/>
    </row>
    <row r="499" spans="1:40" ht="18.75" customHeight="1">
      <c r="A499" s="5"/>
      <c r="B499" s="5"/>
      <c r="C499" s="5"/>
      <c r="D499" s="5"/>
      <c r="E499" s="5"/>
      <c r="F499" s="5"/>
      <c r="G499" s="5"/>
      <c r="H499" s="5"/>
      <c r="I499" s="5"/>
      <c r="J499" s="5"/>
      <c r="K499" s="5"/>
      <c r="L499" s="5"/>
      <c r="M499" s="5"/>
      <c r="N499" s="5"/>
      <c r="O499" s="5"/>
      <c r="P499" s="5"/>
      <c r="Q499" s="5"/>
      <c r="R499" s="5"/>
      <c r="S499" s="5"/>
      <c r="T499" s="5"/>
      <c r="U499" s="5"/>
      <c r="V499" s="5"/>
      <c r="Y499" s="5"/>
      <c r="Z499" s="5"/>
      <c r="AA499" s="5"/>
      <c r="AB499" s="5"/>
      <c r="AC499" s="5"/>
      <c r="AD499" s="5"/>
      <c r="AE499" s="5"/>
      <c r="AF499" s="5"/>
      <c r="AG499" s="5"/>
      <c r="AH499" s="5"/>
      <c r="AI499" s="5"/>
      <c r="AJ499" s="5"/>
      <c r="AK499" s="5"/>
      <c r="AL499" s="5"/>
      <c r="AM499" s="5"/>
      <c r="AN499" s="5"/>
    </row>
    <row r="500" spans="1:40" ht="18.75" customHeight="1">
      <c r="A500" s="5"/>
      <c r="B500" s="5"/>
      <c r="C500" s="5"/>
      <c r="D500" s="5"/>
      <c r="E500" s="5"/>
      <c r="F500" s="5"/>
      <c r="G500" s="5"/>
      <c r="H500" s="5"/>
      <c r="I500" s="5"/>
      <c r="J500" s="5"/>
      <c r="K500" s="5"/>
      <c r="L500" s="5"/>
      <c r="M500" s="5"/>
      <c r="N500" s="5"/>
      <c r="O500" s="5"/>
      <c r="P500" s="5"/>
      <c r="Q500" s="5"/>
      <c r="R500" s="5"/>
      <c r="S500" s="5"/>
      <c r="T500" s="5"/>
      <c r="U500" s="5"/>
      <c r="V500" s="5"/>
      <c r="Y500" s="5"/>
      <c r="Z500" s="5"/>
      <c r="AA500" s="5"/>
      <c r="AB500" s="5"/>
      <c r="AC500" s="5"/>
      <c r="AD500" s="5"/>
      <c r="AE500" s="5"/>
      <c r="AF500" s="5"/>
      <c r="AG500" s="5"/>
      <c r="AH500" s="5"/>
      <c r="AI500" s="5"/>
      <c r="AJ500" s="5"/>
      <c r="AK500" s="5"/>
      <c r="AL500" s="5"/>
      <c r="AM500" s="5"/>
      <c r="AN500" s="5"/>
    </row>
    <row r="501" spans="1:40" ht="18.75" customHeight="1">
      <c r="A501" s="5"/>
      <c r="B501" s="5"/>
      <c r="C501" s="5"/>
      <c r="D501" s="5"/>
      <c r="E501" s="5"/>
      <c r="F501" s="5"/>
      <c r="G501" s="5"/>
      <c r="H501" s="5"/>
      <c r="I501" s="5"/>
      <c r="J501" s="5"/>
      <c r="K501" s="5"/>
      <c r="L501" s="5"/>
      <c r="M501" s="5"/>
      <c r="N501" s="5"/>
      <c r="O501" s="5"/>
      <c r="P501" s="5"/>
      <c r="Q501" s="5"/>
      <c r="R501" s="5"/>
      <c r="S501" s="5"/>
      <c r="T501" s="5"/>
      <c r="U501" s="5"/>
      <c r="V501" s="5"/>
      <c r="Y501" s="5"/>
      <c r="Z501" s="5"/>
      <c r="AA501" s="5"/>
      <c r="AB501" s="5"/>
      <c r="AC501" s="5"/>
      <c r="AD501" s="5"/>
      <c r="AE501" s="5"/>
      <c r="AF501" s="5"/>
      <c r="AG501" s="5"/>
      <c r="AH501" s="5"/>
      <c r="AI501" s="5"/>
      <c r="AJ501" s="5"/>
      <c r="AK501" s="5"/>
      <c r="AL501" s="5"/>
      <c r="AM501" s="5"/>
      <c r="AN501" s="5"/>
    </row>
    <row r="502" spans="1:40" ht="18.75" customHeight="1">
      <c r="A502" s="5"/>
      <c r="B502" s="5"/>
      <c r="C502" s="5"/>
      <c r="D502" s="5"/>
      <c r="E502" s="5"/>
      <c r="F502" s="5"/>
      <c r="G502" s="5"/>
      <c r="H502" s="5"/>
      <c r="I502" s="5"/>
      <c r="J502" s="5"/>
      <c r="K502" s="5"/>
      <c r="L502" s="5"/>
      <c r="M502" s="5"/>
      <c r="N502" s="5"/>
      <c r="O502" s="5"/>
      <c r="P502" s="5"/>
      <c r="Q502" s="5"/>
      <c r="R502" s="5"/>
      <c r="S502" s="5"/>
      <c r="T502" s="5"/>
      <c r="U502" s="5"/>
      <c r="V502" s="5"/>
      <c r="Y502" s="5"/>
      <c r="Z502" s="5"/>
      <c r="AA502" s="5"/>
      <c r="AB502" s="5"/>
      <c r="AC502" s="5"/>
      <c r="AD502" s="5"/>
      <c r="AE502" s="5"/>
      <c r="AF502" s="5"/>
      <c r="AG502" s="5"/>
      <c r="AH502" s="5"/>
      <c r="AI502" s="5"/>
      <c r="AJ502" s="5"/>
      <c r="AK502" s="5"/>
      <c r="AL502" s="5"/>
      <c r="AM502" s="5"/>
      <c r="AN502" s="5"/>
    </row>
    <row r="503" spans="1:40" ht="18.75" customHeight="1">
      <c r="A503" s="5"/>
      <c r="B503" s="5"/>
      <c r="C503" s="5"/>
      <c r="D503" s="5"/>
      <c r="E503" s="5"/>
      <c r="F503" s="5"/>
      <c r="G503" s="5"/>
      <c r="H503" s="5"/>
      <c r="I503" s="5"/>
      <c r="J503" s="5"/>
      <c r="K503" s="5"/>
      <c r="L503" s="5"/>
      <c r="M503" s="5"/>
      <c r="N503" s="5"/>
      <c r="O503" s="5"/>
      <c r="P503" s="5"/>
      <c r="Q503" s="5"/>
      <c r="R503" s="5"/>
      <c r="S503" s="5"/>
      <c r="T503" s="5"/>
      <c r="U503" s="5"/>
      <c r="V503" s="5"/>
      <c r="Y503" s="5"/>
      <c r="Z503" s="5"/>
      <c r="AA503" s="5"/>
      <c r="AB503" s="5"/>
      <c r="AC503" s="5"/>
      <c r="AD503" s="5"/>
      <c r="AE503" s="5"/>
      <c r="AF503" s="5"/>
      <c r="AG503" s="5"/>
      <c r="AH503" s="5"/>
      <c r="AI503" s="5"/>
      <c r="AJ503" s="5"/>
      <c r="AK503" s="5"/>
      <c r="AL503" s="5"/>
      <c r="AM503" s="5"/>
      <c r="AN503" s="5"/>
    </row>
    <row r="504" spans="1:40" ht="18.75" customHeight="1">
      <c r="A504" s="5"/>
      <c r="B504" s="5"/>
      <c r="C504" s="5"/>
      <c r="D504" s="5"/>
      <c r="E504" s="5"/>
      <c r="F504" s="5"/>
      <c r="G504" s="5"/>
      <c r="H504" s="5"/>
      <c r="I504" s="5"/>
      <c r="J504" s="5"/>
      <c r="K504" s="5"/>
      <c r="L504" s="5"/>
      <c r="M504" s="5"/>
      <c r="N504" s="5"/>
      <c r="O504" s="5"/>
      <c r="P504" s="5"/>
      <c r="Q504" s="5"/>
      <c r="R504" s="5"/>
      <c r="S504" s="5"/>
      <c r="T504" s="5"/>
      <c r="U504" s="5"/>
      <c r="V504" s="5"/>
      <c r="Y504" s="5"/>
      <c r="Z504" s="5"/>
      <c r="AA504" s="5"/>
      <c r="AB504" s="5"/>
      <c r="AC504" s="5"/>
      <c r="AD504" s="5"/>
      <c r="AE504" s="5"/>
      <c r="AF504" s="5"/>
      <c r="AG504" s="5"/>
      <c r="AH504" s="5"/>
      <c r="AI504" s="5"/>
      <c r="AJ504" s="5"/>
      <c r="AK504" s="5"/>
      <c r="AL504" s="5"/>
      <c r="AM504" s="5"/>
      <c r="AN504" s="5"/>
    </row>
    <row r="505" spans="1:40" ht="18.75" customHeight="1">
      <c r="A505" s="5"/>
      <c r="B505" s="5"/>
      <c r="C505" s="5"/>
      <c r="D505" s="5"/>
      <c r="E505" s="5"/>
      <c r="F505" s="5"/>
      <c r="G505" s="5"/>
      <c r="H505" s="5"/>
      <c r="I505" s="5"/>
      <c r="J505" s="5"/>
      <c r="K505" s="5"/>
      <c r="L505" s="5"/>
      <c r="M505" s="5"/>
      <c r="N505" s="5"/>
      <c r="O505" s="5"/>
      <c r="P505" s="5"/>
      <c r="Q505" s="5"/>
      <c r="R505" s="5"/>
      <c r="S505" s="5"/>
      <c r="T505" s="5"/>
      <c r="U505" s="5"/>
      <c r="V505" s="5"/>
      <c r="Y505" s="5"/>
      <c r="Z505" s="5"/>
      <c r="AA505" s="5"/>
      <c r="AB505" s="5"/>
      <c r="AC505" s="5"/>
      <c r="AD505" s="5"/>
      <c r="AE505" s="5"/>
      <c r="AF505" s="5"/>
      <c r="AG505" s="5"/>
      <c r="AH505" s="5"/>
      <c r="AI505" s="5"/>
      <c r="AJ505" s="5"/>
      <c r="AK505" s="5"/>
      <c r="AL505" s="5"/>
      <c r="AM505" s="5"/>
      <c r="AN505" s="5"/>
    </row>
    <row r="506" spans="1:40" ht="18.75" customHeight="1">
      <c r="A506" s="5"/>
      <c r="B506" s="5"/>
      <c r="C506" s="5"/>
      <c r="D506" s="5"/>
      <c r="E506" s="5"/>
      <c r="F506" s="5"/>
      <c r="G506" s="5"/>
      <c r="H506" s="5"/>
      <c r="I506" s="5"/>
      <c r="J506" s="5"/>
      <c r="K506" s="5"/>
      <c r="L506" s="5"/>
      <c r="M506" s="5"/>
      <c r="N506" s="5"/>
      <c r="O506" s="5"/>
      <c r="P506" s="5"/>
      <c r="Q506" s="5"/>
      <c r="R506" s="5"/>
      <c r="S506" s="5"/>
      <c r="T506" s="5"/>
      <c r="U506" s="5"/>
      <c r="V506" s="5"/>
      <c r="Y506" s="5"/>
      <c r="Z506" s="5"/>
      <c r="AA506" s="5"/>
      <c r="AB506" s="5"/>
      <c r="AC506" s="5"/>
      <c r="AD506" s="5"/>
      <c r="AE506" s="5"/>
      <c r="AF506" s="5"/>
      <c r="AG506" s="5"/>
      <c r="AH506" s="5"/>
      <c r="AI506" s="5"/>
      <c r="AJ506" s="5"/>
      <c r="AK506" s="5"/>
      <c r="AL506" s="5"/>
      <c r="AM506" s="5"/>
      <c r="AN506" s="5"/>
    </row>
    <row r="507" spans="1:40" ht="18.75" customHeight="1">
      <c r="A507" s="5"/>
      <c r="B507" s="5"/>
      <c r="C507" s="5"/>
      <c r="D507" s="5"/>
      <c r="E507" s="5"/>
      <c r="F507" s="5"/>
      <c r="G507" s="5"/>
      <c r="H507" s="5"/>
      <c r="I507" s="5"/>
      <c r="J507" s="5"/>
      <c r="K507" s="5"/>
      <c r="L507" s="5"/>
      <c r="M507" s="5"/>
      <c r="N507" s="5"/>
      <c r="O507" s="5"/>
      <c r="P507" s="5"/>
      <c r="Q507" s="5"/>
      <c r="R507" s="5"/>
      <c r="S507" s="5"/>
      <c r="T507" s="5"/>
      <c r="U507" s="5"/>
      <c r="V507" s="5"/>
      <c r="Y507" s="5"/>
      <c r="Z507" s="5"/>
      <c r="AA507" s="5"/>
      <c r="AB507" s="5"/>
      <c r="AC507" s="5"/>
      <c r="AD507" s="5"/>
      <c r="AE507" s="5"/>
      <c r="AF507" s="5"/>
      <c r="AG507" s="5"/>
      <c r="AH507" s="5"/>
      <c r="AI507" s="5"/>
      <c r="AJ507" s="5"/>
      <c r="AK507" s="5"/>
      <c r="AL507" s="5"/>
      <c r="AM507" s="5"/>
      <c r="AN507" s="5"/>
    </row>
    <row r="508" spans="1:40" ht="18.75" customHeight="1">
      <c r="A508" s="5"/>
      <c r="B508" s="5"/>
      <c r="C508" s="5"/>
      <c r="D508" s="5"/>
      <c r="E508" s="5"/>
      <c r="F508" s="5"/>
      <c r="G508" s="5"/>
      <c r="H508" s="5"/>
      <c r="I508" s="5"/>
      <c r="J508" s="5"/>
      <c r="K508" s="5"/>
      <c r="L508" s="5"/>
      <c r="M508" s="5"/>
      <c r="N508" s="5"/>
      <c r="O508" s="5"/>
      <c r="P508" s="5"/>
      <c r="Q508" s="5"/>
      <c r="R508" s="5"/>
      <c r="S508" s="5"/>
      <c r="T508" s="5"/>
      <c r="U508" s="5"/>
      <c r="V508" s="5"/>
      <c r="Y508" s="5"/>
      <c r="Z508" s="5"/>
      <c r="AA508" s="5"/>
      <c r="AB508" s="5"/>
      <c r="AC508" s="5"/>
      <c r="AD508" s="5"/>
      <c r="AE508" s="5"/>
      <c r="AF508" s="5"/>
      <c r="AG508" s="5"/>
      <c r="AH508" s="5"/>
      <c r="AI508" s="5"/>
      <c r="AJ508" s="5"/>
      <c r="AK508" s="5"/>
      <c r="AL508" s="5"/>
      <c r="AM508" s="5"/>
      <c r="AN508" s="5"/>
    </row>
    <row r="509" spans="1:40" ht="18.75" customHeight="1">
      <c r="A509" s="5"/>
      <c r="B509" s="5"/>
      <c r="C509" s="5"/>
      <c r="D509" s="5"/>
      <c r="E509" s="5"/>
      <c r="F509" s="5"/>
      <c r="G509" s="5"/>
      <c r="H509" s="5"/>
      <c r="I509" s="5"/>
      <c r="J509" s="5"/>
      <c r="K509" s="5"/>
      <c r="L509" s="5"/>
      <c r="M509" s="5"/>
      <c r="N509" s="5"/>
      <c r="O509" s="5"/>
      <c r="P509" s="5"/>
      <c r="Q509" s="5"/>
      <c r="R509" s="5"/>
      <c r="S509" s="5"/>
      <c r="T509" s="5"/>
      <c r="U509" s="5"/>
      <c r="V509" s="5"/>
      <c r="Y509" s="5"/>
      <c r="Z509" s="5"/>
      <c r="AA509" s="5"/>
      <c r="AB509" s="5"/>
      <c r="AC509" s="5"/>
      <c r="AD509" s="5"/>
      <c r="AE509" s="5"/>
      <c r="AF509" s="5"/>
      <c r="AG509" s="5"/>
      <c r="AH509" s="5"/>
      <c r="AI509" s="5"/>
      <c r="AJ509" s="5"/>
      <c r="AK509" s="5"/>
      <c r="AL509" s="5"/>
      <c r="AM509" s="5"/>
      <c r="AN509" s="5"/>
    </row>
    <row r="510" spans="1:40" ht="18.75" customHeight="1">
      <c r="A510" s="5"/>
      <c r="B510" s="5"/>
      <c r="C510" s="5"/>
      <c r="D510" s="5"/>
      <c r="E510" s="5"/>
      <c r="F510" s="5"/>
      <c r="G510" s="5"/>
      <c r="H510" s="5"/>
      <c r="I510" s="5"/>
      <c r="J510" s="5"/>
      <c r="K510" s="5"/>
      <c r="L510" s="5"/>
      <c r="M510" s="5"/>
      <c r="N510" s="5"/>
      <c r="O510" s="5"/>
      <c r="P510" s="5"/>
      <c r="Q510" s="5"/>
      <c r="R510" s="5"/>
      <c r="S510" s="5"/>
      <c r="T510" s="5"/>
      <c r="U510" s="5"/>
      <c r="V510" s="5"/>
      <c r="Y510" s="5"/>
      <c r="Z510" s="5"/>
      <c r="AA510" s="5"/>
      <c r="AB510" s="5"/>
      <c r="AC510" s="5"/>
      <c r="AD510" s="5"/>
      <c r="AE510" s="5"/>
      <c r="AF510" s="5"/>
      <c r="AG510" s="5"/>
      <c r="AH510" s="5"/>
      <c r="AI510" s="5"/>
      <c r="AJ510" s="5"/>
      <c r="AK510" s="5"/>
      <c r="AL510" s="5"/>
      <c r="AM510" s="5"/>
      <c r="AN510" s="5"/>
    </row>
    <row r="511" spans="1:40" ht="18.75" customHeight="1">
      <c r="A511" s="5"/>
      <c r="B511" s="5"/>
      <c r="C511" s="5"/>
      <c r="D511" s="5"/>
      <c r="E511" s="5"/>
      <c r="F511" s="5"/>
      <c r="G511" s="5"/>
      <c r="H511" s="5"/>
      <c r="I511" s="5"/>
      <c r="J511" s="5"/>
      <c r="K511" s="5"/>
      <c r="L511" s="5"/>
      <c r="M511" s="5"/>
      <c r="N511" s="5"/>
      <c r="O511" s="5"/>
      <c r="P511" s="5"/>
      <c r="Q511" s="5"/>
      <c r="R511" s="5"/>
      <c r="S511" s="5"/>
      <c r="T511" s="5"/>
      <c r="U511" s="5"/>
      <c r="V511" s="5"/>
      <c r="Y511" s="5"/>
      <c r="Z511" s="5"/>
      <c r="AA511" s="5"/>
      <c r="AB511" s="5"/>
      <c r="AC511" s="5"/>
      <c r="AD511" s="5"/>
      <c r="AE511" s="5"/>
      <c r="AF511" s="5"/>
      <c r="AG511" s="5"/>
      <c r="AH511" s="5"/>
      <c r="AI511" s="5"/>
      <c r="AJ511" s="5"/>
      <c r="AK511" s="5"/>
      <c r="AL511" s="5"/>
      <c r="AM511" s="5"/>
      <c r="AN511" s="5"/>
    </row>
    <row r="512" spans="1:40" ht="18.75" customHeight="1">
      <c r="A512" s="5"/>
      <c r="B512" s="5"/>
      <c r="C512" s="5"/>
      <c r="D512" s="5"/>
      <c r="E512" s="5"/>
      <c r="F512" s="5"/>
      <c r="G512" s="5"/>
      <c r="H512" s="5"/>
      <c r="I512" s="5"/>
      <c r="J512" s="5"/>
      <c r="K512" s="5"/>
      <c r="L512" s="5"/>
      <c r="M512" s="5"/>
      <c r="N512" s="5"/>
      <c r="O512" s="5"/>
      <c r="P512" s="5"/>
      <c r="Q512" s="5"/>
      <c r="R512" s="5"/>
      <c r="S512" s="5"/>
      <c r="T512" s="5"/>
      <c r="U512" s="5"/>
      <c r="V512" s="5"/>
      <c r="Y512" s="5"/>
      <c r="Z512" s="5"/>
      <c r="AA512" s="5"/>
      <c r="AB512" s="5"/>
      <c r="AC512" s="5"/>
      <c r="AD512" s="5"/>
      <c r="AE512" s="5"/>
      <c r="AF512" s="5"/>
      <c r="AG512" s="5"/>
      <c r="AH512" s="5"/>
      <c r="AI512" s="5"/>
      <c r="AJ512" s="5"/>
      <c r="AK512" s="5"/>
      <c r="AL512" s="5"/>
      <c r="AM512" s="5"/>
      <c r="AN512" s="5"/>
    </row>
    <row r="513" spans="1:40" ht="18.75" customHeight="1">
      <c r="A513" s="5"/>
      <c r="B513" s="5"/>
      <c r="C513" s="5"/>
      <c r="D513" s="5"/>
      <c r="E513" s="5"/>
      <c r="F513" s="5"/>
      <c r="G513" s="5"/>
      <c r="H513" s="5"/>
      <c r="I513" s="5"/>
      <c r="J513" s="5"/>
      <c r="K513" s="5"/>
      <c r="L513" s="5"/>
      <c r="M513" s="5"/>
      <c r="N513" s="5"/>
      <c r="O513" s="5"/>
      <c r="P513" s="5"/>
      <c r="Q513" s="5"/>
      <c r="R513" s="5"/>
      <c r="S513" s="5"/>
      <c r="T513" s="5"/>
      <c r="U513" s="5"/>
      <c r="V513" s="5"/>
      <c r="Y513" s="5"/>
      <c r="Z513" s="5"/>
      <c r="AA513" s="5"/>
      <c r="AB513" s="5"/>
      <c r="AC513" s="5"/>
      <c r="AD513" s="5"/>
      <c r="AE513" s="5"/>
      <c r="AF513" s="5"/>
      <c r="AG513" s="5"/>
      <c r="AH513" s="5"/>
      <c r="AI513" s="5"/>
      <c r="AJ513" s="5"/>
      <c r="AK513" s="5"/>
      <c r="AL513" s="5"/>
      <c r="AM513" s="5"/>
      <c r="AN513" s="5"/>
    </row>
    <row r="514" spans="1:40" ht="18.75" customHeight="1">
      <c r="A514" s="5"/>
      <c r="B514" s="5"/>
      <c r="C514" s="5"/>
      <c r="D514" s="5"/>
      <c r="E514" s="5"/>
      <c r="F514" s="5"/>
      <c r="G514" s="5"/>
      <c r="H514" s="5"/>
      <c r="I514" s="5"/>
      <c r="J514" s="5"/>
      <c r="K514" s="5"/>
      <c r="L514" s="5"/>
      <c r="M514" s="5"/>
      <c r="N514" s="5"/>
      <c r="O514" s="5"/>
      <c r="P514" s="5"/>
      <c r="Q514" s="5"/>
      <c r="R514" s="5"/>
      <c r="S514" s="5"/>
      <c r="T514" s="5"/>
      <c r="U514" s="5"/>
      <c r="V514" s="5"/>
      <c r="Y514" s="5"/>
      <c r="Z514" s="5"/>
      <c r="AA514" s="5"/>
      <c r="AB514" s="5"/>
      <c r="AC514" s="5"/>
      <c r="AD514" s="5"/>
      <c r="AE514" s="5"/>
      <c r="AF514" s="5"/>
      <c r="AG514" s="5"/>
      <c r="AH514" s="5"/>
      <c r="AI514" s="5"/>
      <c r="AJ514" s="5"/>
      <c r="AK514" s="5"/>
      <c r="AL514" s="5"/>
      <c r="AM514" s="5"/>
      <c r="AN514" s="5"/>
    </row>
    <row r="515" spans="1:40" ht="18.75" customHeight="1">
      <c r="A515" s="5"/>
      <c r="B515" s="5"/>
      <c r="C515" s="5"/>
      <c r="D515" s="5"/>
      <c r="E515" s="5"/>
      <c r="F515" s="5"/>
      <c r="G515" s="5"/>
      <c r="H515" s="5"/>
      <c r="I515" s="5"/>
      <c r="J515" s="5"/>
      <c r="K515" s="5"/>
      <c r="L515" s="5"/>
      <c r="M515" s="5"/>
      <c r="N515" s="5"/>
      <c r="O515" s="5"/>
      <c r="P515" s="5"/>
      <c r="Q515" s="5"/>
      <c r="R515" s="5"/>
      <c r="S515" s="5"/>
      <c r="T515" s="5"/>
      <c r="U515" s="5"/>
      <c r="V515" s="5"/>
      <c r="Y515" s="5"/>
      <c r="Z515" s="5"/>
      <c r="AA515" s="5"/>
      <c r="AB515" s="5"/>
      <c r="AC515" s="5"/>
      <c r="AD515" s="5"/>
      <c r="AE515" s="5"/>
      <c r="AF515" s="5"/>
      <c r="AG515" s="5"/>
      <c r="AH515" s="5"/>
      <c r="AI515" s="5"/>
      <c r="AJ515" s="5"/>
      <c r="AK515" s="5"/>
      <c r="AL515" s="5"/>
      <c r="AM515" s="5"/>
      <c r="AN515" s="5"/>
    </row>
    <row r="516" spans="1:40" ht="18.75" customHeight="1">
      <c r="A516" s="5"/>
      <c r="B516" s="5"/>
      <c r="C516" s="5"/>
      <c r="D516" s="5"/>
      <c r="E516" s="5"/>
      <c r="F516" s="5"/>
      <c r="G516" s="5"/>
      <c r="H516" s="5"/>
      <c r="I516" s="5"/>
      <c r="J516" s="5"/>
      <c r="K516" s="5"/>
      <c r="L516" s="5"/>
      <c r="M516" s="5"/>
      <c r="N516" s="5"/>
      <c r="O516" s="5"/>
      <c r="P516" s="5"/>
      <c r="Q516" s="5"/>
      <c r="R516" s="5"/>
      <c r="S516" s="5"/>
      <c r="T516" s="5"/>
      <c r="U516" s="5"/>
      <c r="V516" s="5"/>
      <c r="Y516" s="5"/>
      <c r="Z516" s="5"/>
      <c r="AA516" s="5"/>
      <c r="AB516" s="5"/>
      <c r="AC516" s="5"/>
      <c r="AD516" s="5"/>
      <c r="AE516" s="5"/>
      <c r="AF516" s="5"/>
      <c r="AG516" s="5"/>
      <c r="AH516" s="5"/>
      <c r="AI516" s="5"/>
      <c r="AJ516" s="5"/>
      <c r="AK516" s="5"/>
      <c r="AL516" s="5"/>
      <c r="AM516" s="5"/>
      <c r="AN516" s="5"/>
    </row>
    <row r="517" spans="1:40" ht="18.75" customHeight="1">
      <c r="A517" s="5"/>
      <c r="B517" s="5"/>
      <c r="C517" s="5"/>
      <c r="D517" s="5"/>
      <c r="E517" s="5"/>
      <c r="F517" s="5"/>
      <c r="G517" s="5"/>
      <c r="H517" s="5"/>
      <c r="I517" s="5"/>
      <c r="J517" s="5"/>
      <c r="K517" s="5"/>
      <c r="L517" s="5"/>
      <c r="M517" s="5"/>
      <c r="N517" s="5"/>
      <c r="O517" s="5"/>
      <c r="P517" s="5"/>
      <c r="Q517" s="5"/>
      <c r="R517" s="5"/>
      <c r="S517" s="5"/>
      <c r="T517" s="5"/>
      <c r="U517" s="5"/>
      <c r="V517" s="5"/>
      <c r="Y517" s="5"/>
      <c r="Z517" s="5"/>
      <c r="AA517" s="5"/>
      <c r="AB517" s="5"/>
      <c r="AC517" s="5"/>
      <c r="AD517" s="5"/>
      <c r="AE517" s="5"/>
      <c r="AF517" s="5"/>
      <c r="AG517" s="5"/>
      <c r="AH517" s="5"/>
      <c r="AI517" s="5"/>
      <c r="AJ517" s="5"/>
      <c r="AK517" s="5"/>
      <c r="AL517" s="5"/>
      <c r="AM517" s="5"/>
      <c r="AN517" s="5"/>
    </row>
    <row r="518" spans="1:40" ht="18.75" customHeight="1">
      <c r="A518" s="5"/>
      <c r="B518" s="5"/>
      <c r="C518" s="5"/>
      <c r="D518" s="5"/>
      <c r="E518" s="5"/>
      <c r="F518" s="5"/>
      <c r="G518" s="5"/>
      <c r="H518" s="5"/>
      <c r="I518" s="5"/>
      <c r="J518" s="5"/>
      <c r="K518" s="5"/>
      <c r="L518" s="5"/>
      <c r="M518" s="5"/>
      <c r="N518" s="5"/>
      <c r="O518" s="5"/>
      <c r="P518" s="5"/>
      <c r="Q518" s="5"/>
      <c r="R518" s="5"/>
      <c r="S518" s="5"/>
      <c r="T518" s="5"/>
      <c r="U518" s="5"/>
      <c r="V518" s="5"/>
      <c r="Y518" s="5"/>
      <c r="Z518" s="5"/>
      <c r="AA518" s="5"/>
      <c r="AB518" s="5"/>
      <c r="AC518" s="5"/>
      <c r="AD518" s="5"/>
      <c r="AE518" s="5"/>
      <c r="AF518" s="5"/>
      <c r="AG518" s="5"/>
      <c r="AH518" s="5"/>
      <c r="AI518" s="5"/>
      <c r="AJ518" s="5"/>
      <c r="AK518" s="5"/>
      <c r="AL518" s="5"/>
      <c r="AM518" s="5"/>
      <c r="AN518" s="5"/>
    </row>
    <row r="519" spans="1:40" ht="18.75" customHeight="1">
      <c r="A519" s="5"/>
      <c r="B519" s="5"/>
      <c r="C519" s="5"/>
      <c r="D519" s="5"/>
      <c r="E519" s="5"/>
      <c r="F519" s="5"/>
      <c r="G519" s="5"/>
      <c r="H519" s="5"/>
      <c r="I519" s="5"/>
      <c r="J519" s="5"/>
      <c r="K519" s="5"/>
      <c r="L519" s="5"/>
      <c r="M519" s="5"/>
      <c r="N519" s="5"/>
      <c r="O519" s="5"/>
      <c r="P519" s="5"/>
      <c r="Q519" s="5"/>
      <c r="R519" s="5"/>
      <c r="S519" s="5"/>
      <c r="T519" s="5"/>
      <c r="U519" s="5"/>
      <c r="V519" s="5"/>
      <c r="Y519" s="5"/>
      <c r="Z519" s="5"/>
      <c r="AA519" s="5"/>
      <c r="AB519" s="5"/>
      <c r="AC519" s="5"/>
      <c r="AD519" s="5"/>
      <c r="AE519" s="5"/>
      <c r="AF519" s="5"/>
      <c r="AG519" s="5"/>
      <c r="AH519" s="5"/>
      <c r="AI519" s="5"/>
      <c r="AJ519" s="5"/>
      <c r="AK519" s="5"/>
      <c r="AL519" s="5"/>
      <c r="AM519" s="5"/>
      <c r="AN519" s="5"/>
    </row>
    <row r="520" spans="1:40" ht="18.75" customHeight="1">
      <c r="A520" s="5"/>
      <c r="B520" s="5"/>
      <c r="C520" s="5"/>
      <c r="D520" s="5"/>
      <c r="E520" s="5"/>
      <c r="F520" s="5"/>
      <c r="G520" s="5"/>
      <c r="H520" s="5"/>
      <c r="I520" s="5"/>
      <c r="J520" s="5"/>
      <c r="K520" s="5"/>
      <c r="L520" s="5"/>
      <c r="M520" s="5"/>
      <c r="N520" s="5"/>
      <c r="O520" s="5"/>
      <c r="P520" s="5"/>
      <c r="Q520" s="5"/>
      <c r="R520" s="5"/>
      <c r="S520" s="5"/>
      <c r="T520" s="5"/>
      <c r="U520" s="5"/>
      <c r="V520" s="5"/>
      <c r="Y520" s="5"/>
      <c r="Z520" s="5"/>
      <c r="AA520" s="5"/>
      <c r="AB520" s="5"/>
      <c r="AC520" s="5"/>
      <c r="AD520" s="5"/>
      <c r="AE520" s="5"/>
      <c r="AF520" s="5"/>
      <c r="AG520" s="5"/>
      <c r="AH520" s="5"/>
      <c r="AI520" s="5"/>
      <c r="AJ520" s="5"/>
      <c r="AK520" s="5"/>
      <c r="AL520" s="5"/>
      <c r="AM520" s="5"/>
      <c r="AN520" s="5"/>
    </row>
    <row r="521" spans="1:40" ht="18.75" customHeight="1">
      <c r="A521" s="5"/>
      <c r="B521" s="5"/>
      <c r="C521" s="5"/>
      <c r="D521" s="5"/>
      <c r="E521" s="5"/>
      <c r="F521" s="5"/>
      <c r="G521" s="5"/>
      <c r="H521" s="5"/>
      <c r="I521" s="5"/>
      <c r="J521" s="5"/>
      <c r="K521" s="5"/>
      <c r="L521" s="5"/>
      <c r="M521" s="5"/>
      <c r="N521" s="5"/>
      <c r="O521" s="5"/>
      <c r="P521" s="5"/>
      <c r="Q521" s="5"/>
      <c r="R521" s="5"/>
      <c r="S521" s="5"/>
      <c r="T521" s="5"/>
      <c r="U521" s="5"/>
      <c r="V521" s="5"/>
      <c r="Y521" s="5"/>
      <c r="Z521" s="5"/>
      <c r="AA521" s="5"/>
      <c r="AB521" s="5"/>
      <c r="AC521" s="5"/>
      <c r="AD521" s="5"/>
      <c r="AE521" s="5"/>
      <c r="AF521" s="5"/>
      <c r="AG521" s="5"/>
      <c r="AH521" s="5"/>
      <c r="AI521" s="5"/>
      <c r="AJ521" s="5"/>
      <c r="AK521" s="5"/>
      <c r="AL521" s="5"/>
      <c r="AM521" s="5"/>
      <c r="AN521" s="5"/>
    </row>
    <row r="522" spans="1:40" ht="18.75" customHeight="1">
      <c r="A522" s="5"/>
      <c r="B522" s="5"/>
      <c r="C522" s="5"/>
      <c r="D522" s="5"/>
      <c r="E522" s="5"/>
      <c r="F522" s="5"/>
      <c r="G522" s="5"/>
      <c r="H522" s="5"/>
      <c r="I522" s="5"/>
      <c r="J522" s="5"/>
      <c r="K522" s="5"/>
      <c r="L522" s="5"/>
      <c r="M522" s="5"/>
      <c r="N522" s="5"/>
      <c r="O522" s="5"/>
      <c r="P522" s="5"/>
      <c r="Q522" s="5"/>
      <c r="R522" s="5"/>
      <c r="S522" s="5"/>
      <c r="T522" s="5"/>
      <c r="U522" s="5"/>
      <c r="V522" s="5"/>
      <c r="Y522" s="5"/>
      <c r="Z522" s="5"/>
      <c r="AA522" s="5"/>
      <c r="AB522" s="5"/>
      <c r="AC522" s="5"/>
      <c r="AD522" s="5"/>
      <c r="AE522" s="5"/>
      <c r="AF522" s="5"/>
      <c r="AG522" s="5"/>
      <c r="AH522" s="5"/>
      <c r="AI522" s="5"/>
      <c r="AJ522" s="5"/>
      <c r="AK522" s="5"/>
      <c r="AL522" s="5"/>
      <c r="AM522" s="5"/>
      <c r="AN522" s="5"/>
    </row>
    <row r="523" spans="1:40" ht="18.75" customHeight="1">
      <c r="A523" s="5"/>
      <c r="B523" s="5"/>
      <c r="C523" s="5"/>
      <c r="D523" s="5"/>
      <c r="E523" s="5"/>
      <c r="F523" s="5"/>
      <c r="G523" s="5"/>
      <c r="H523" s="5"/>
      <c r="I523" s="5"/>
      <c r="J523" s="5"/>
      <c r="K523" s="5"/>
      <c r="L523" s="5"/>
      <c r="M523" s="5"/>
      <c r="N523" s="5"/>
      <c r="O523" s="5"/>
      <c r="P523" s="5"/>
      <c r="Q523" s="5"/>
      <c r="R523" s="5"/>
      <c r="S523" s="5"/>
      <c r="T523" s="5"/>
      <c r="U523" s="5"/>
      <c r="V523" s="5"/>
      <c r="Y523" s="5"/>
      <c r="Z523" s="5"/>
      <c r="AA523" s="5"/>
      <c r="AB523" s="5"/>
      <c r="AC523" s="5"/>
      <c r="AD523" s="5"/>
      <c r="AE523" s="5"/>
      <c r="AF523" s="5"/>
      <c r="AG523" s="5"/>
      <c r="AH523" s="5"/>
      <c r="AI523" s="5"/>
      <c r="AJ523" s="5"/>
      <c r="AK523" s="5"/>
      <c r="AL523" s="5"/>
      <c r="AM523" s="5"/>
      <c r="AN523" s="5"/>
    </row>
    <row r="524" spans="1:40" ht="18.75" customHeight="1">
      <c r="A524" s="5"/>
      <c r="B524" s="5"/>
      <c r="C524" s="5"/>
      <c r="D524" s="5"/>
      <c r="E524" s="5"/>
      <c r="F524" s="5"/>
      <c r="G524" s="5"/>
      <c r="H524" s="5"/>
      <c r="I524" s="5"/>
      <c r="J524" s="5"/>
      <c r="K524" s="5"/>
      <c r="L524" s="5"/>
      <c r="M524" s="5"/>
      <c r="N524" s="5"/>
      <c r="O524" s="5"/>
      <c r="P524" s="5"/>
      <c r="Q524" s="5"/>
      <c r="R524" s="5"/>
      <c r="S524" s="5"/>
      <c r="T524" s="5"/>
      <c r="U524" s="5"/>
      <c r="V524" s="5"/>
      <c r="Y524" s="5"/>
      <c r="Z524" s="5"/>
      <c r="AA524" s="5"/>
      <c r="AB524" s="5"/>
      <c r="AC524" s="5"/>
      <c r="AD524" s="5"/>
      <c r="AE524" s="5"/>
      <c r="AF524" s="5"/>
      <c r="AG524" s="5"/>
      <c r="AH524" s="5"/>
      <c r="AI524" s="5"/>
      <c r="AJ524" s="5"/>
      <c r="AK524" s="5"/>
      <c r="AL524" s="5"/>
      <c r="AM524" s="5"/>
      <c r="AN524" s="5"/>
    </row>
    <row r="525" spans="1:40" ht="18.75" customHeight="1">
      <c r="A525" s="5"/>
      <c r="B525" s="5"/>
      <c r="C525" s="5"/>
      <c r="D525" s="5"/>
      <c r="E525" s="5"/>
      <c r="F525" s="5"/>
      <c r="G525" s="5"/>
      <c r="H525" s="5"/>
      <c r="I525" s="5"/>
      <c r="J525" s="5"/>
      <c r="K525" s="5"/>
      <c r="L525" s="5"/>
      <c r="M525" s="5"/>
      <c r="N525" s="5"/>
      <c r="O525" s="5"/>
      <c r="P525" s="5"/>
      <c r="Q525" s="5"/>
      <c r="R525" s="5"/>
      <c r="S525" s="5"/>
      <c r="T525" s="5"/>
      <c r="U525" s="5"/>
      <c r="V525" s="5"/>
      <c r="Y525" s="5"/>
      <c r="Z525" s="5"/>
      <c r="AA525" s="5"/>
      <c r="AB525" s="5"/>
      <c r="AC525" s="5"/>
      <c r="AD525" s="5"/>
      <c r="AE525" s="5"/>
      <c r="AF525" s="5"/>
      <c r="AG525" s="5"/>
      <c r="AH525" s="5"/>
      <c r="AI525" s="5"/>
      <c r="AJ525" s="5"/>
      <c r="AK525" s="5"/>
      <c r="AL525" s="5"/>
      <c r="AM525" s="5"/>
      <c r="AN525" s="5"/>
    </row>
    <row r="526" spans="1:40" ht="18.75" customHeight="1">
      <c r="A526" s="5"/>
      <c r="B526" s="5"/>
      <c r="C526" s="5"/>
      <c r="D526" s="5"/>
      <c r="E526" s="5"/>
      <c r="F526" s="5"/>
      <c r="G526" s="5"/>
      <c r="H526" s="5"/>
      <c r="I526" s="5"/>
      <c r="J526" s="5"/>
      <c r="K526" s="5"/>
      <c r="L526" s="5"/>
      <c r="M526" s="5"/>
      <c r="N526" s="5"/>
      <c r="O526" s="5"/>
      <c r="P526" s="5"/>
      <c r="Q526" s="5"/>
      <c r="R526" s="5"/>
      <c r="S526" s="5"/>
      <c r="T526" s="5"/>
      <c r="U526" s="5"/>
      <c r="V526" s="5"/>
      <c r="Y526" s="5"/>
      <c r="Z526" s="5"/>
      <c r="AA526" s="5"/>
      <c r="AB526" s="5"/>
      <c r="AC526" s="5"/>
      <c r="AD526" s="5"/>
      <c r="AE526" s="5"/>
      <c r="AF526" s="5"/>
      <c r="AG526" s="5"/>
      <c r="AH526" s="5"/>
      <c r="AI526" s="5"/>
      <c r="AJ526" s="5"/>
      <c r="AK526" s="5"/>
      <c r="AL526" s="5"/>
      <c r="AM526" s="5"/>
      <c r="AN526" s="5"/>
    </row>
    <row r="527" spans="1:40" ht="18.75" customHeight="1">
      <c r="A527" s="5"/>
      <c r="B527" s="5"/>
      <c r="C527" s="5"/>
      <c r="D527" s="5"/>
      <c r="E527" s="5"/>
      <c r="F527" s="5"/>
      <c r="G527" s="5"/>
      <c r="H527" s="5"/>
      <c r="I527" s="5"/>
      <c r="J527" s="5"/>
      <c r="K527" s="5"/>
      <c r="L527" s="5"/>
      <c r="M527" s="5"/>
      <c r="N527" s="5"/>
      <c r="O527" s="5"/>
      <c r="P527" s="5"/>
      <c r="Q527" s="5"/>
      <c r="R527" s="5"/>
      <c r="S527" s="5"/>
      <c r="T527" s="5"/>
      <c r="U527" s="5"/>
      <c r="V527" s="5"/>
      <c r="Y527" s="5"/>
      <c r="Z527" s="5"/>
      <c r="AA527" s="5"/>
      <c r="AB527" s="5"/>
      <c r="AC527" s="5"/>
      <c r="AD527" s="5"/>
      <c r="AE527" s="5"/>
      <c r="AF527" s="5"/>
      <c r="AG527" s="5"/>
      <c r="AH527" s="5"/>
      <c r="AI527" s="5"/>
      <c r="AJ527" s="5"/>
      <c r="AK527" s="5"/>
      <c r="AL527" s="5"/>
      <c r="AM527" s="5"/>
      <c r="AN527" s="5"/>
    </row>
    <row r="528" spans="1:40" ht="18.75" customHeight="1">
      <c r="A528" s="5"/>
      <c r="B528" s="5"/>
      <c r="C528" s="5"/>
      <c r="D528" s="5"/>
      <c r="E528" s="5"/>
      <c r="F528" s="5"/>
      <c r="G528" s="5"/>
      <c r="H528" s="5"/>
      <c r="I528" s="5"/>
      <c r="J528" s="5"/>
      <c r="K528" s="5"/>
      <c r="L528" s="5"/>
      <c r="M528" s="5"/>
      <c r="N528" s="5"/>
      <c r="O528" s="5"/>
      <c r="P528" s="5"/>
      <c r="Q528" s="5"/>
      <c r="R528" s="5"/>
      <c r="S528" s="5"/>
      <c r="T528" s="5"/>
      <c r="U528" s="5"/>
      <c r="V528" s="5"/>
      <c r="Y528" s="5"/>
      <c r="Z528" s="5"/>
      <c r="AA528" s="5"/>
      <c r="AB528" s="5"/>
      <c r="AC528" s="5"/>
      <c r="AD528" s="5"/>
      <c r="AE528" s="5"/>
      <c r="AF528" s="5"/>
      <c r="AG528" s="5"/>
      <c r="AH528" s="5"/>
      <c r="AI528" s="5"/>
      <c r="AJ528" s="5"/>
      <c r="AK528" s="5"/>
      <c r="AL528" s="5"/>
      <c r="AM528" s="5"/>
      <c r="AN528" s="5"/>
    </row>
    <row r="529" spans="1:40" ht="18.75" customHeight="1">
      <c r="A529" s="5"/>
      <c r="B529" s="5"/>
      <c r="C529" s="5"/>
      <c r="D529" s="5"/>
      <c r="E529" s="5"/>
      <c r="F529" s="5"/>
      <c r="G529" s="5"/>
      <c r="H529" s="5"/>
      <c r="I529" s="5"/>
      <c r="J529" s="5"/>
      <c r="K529" s="5"/>
      <c r="L529" s="5"/>
      <c r="M529" s="5"/>
      <c r="N529" s="5"/>
      <c r="O529" s="5"/>
      <c r="P529" s="5"/>
      <c r="Q529" s="5"/>
      <c r="R529" s="5"/>
      <c r="S529" s="5"/>
      <c r="T529" s="5"/>
      <c r="U529" s="5"/>
      <c r="V529" s="5"/>
      <c r="Y529" s="5"/>
      <c r="Z529" s="5"/>
      <c r="AA529" s="5"/>
      <c r="AB529" s="5"/>
      <c r="AC529" s="5"/>
      <c r="AD529" s="5"/>
      <c r="AE529" s="5"/>
      <c r="AF529" s="5"/>
      <c r="AG529" s="5"/>
      <c r="AH529" s="5"/>
      <c r="AI529" s="5"/>
      <c r="AJ529" s="5"/>
      <c r="AK529" s="5"/>
      <c r="AL529" s="5"/>
      <c r="AM529" s="5"/>
      <c r="AN529" s="5"/>
    </row>
    <row r="530" spans="1:40" ht="18.75" customHeight="1">
      <c r="A530" s="5"/>
      <c r="B530" s="5"/>
      <c r="C530" s="5"/>
      <c r="D530" s="5"/>
      <c r="E530" s="5"/>
      <c r="F530" s="5"/>
      <c r="G530" s="5"/>
      <c r="H530" s="5"/>
      <c r="I530" s="5"/>
      <c r="J530" s="5"/>
      <c r="K530" s="5"/>
      <c r="L530" s="5"/>
      <c r="M530" s="5"/>
      <c r="N530" s="5"/>
      <c r="O530" s="5"/>
      <c r="P530" s="5"/>
      <c r="Q530" s="5"/>
      <c r="R530" s="5"/>
      <c r="S530" s="5"/>
      <c r="T530" s="5"/>
      <c r="U530" s="5"/>
      <c r="V530" s="5"/>
      <c r="Y530" s="5"/>
      <c r="Z530" s="5"/>
      <c r="AA530" s="5"/>
      <c r="AB530" s="5"/>
      <c r="AC530" s="5"/>
      <c r="AD530" s="5"/>
      <c r="AE530" s="5"/>
      <c r="AF530" s="5"/>
      <c r="AG530" s="5"/>
      <c r="AH530" s="5"/>
      <c r="AI530" s="5"/>
      <c r="AJ530" s="5"/>
      <c r="AK530" s="5"/>
      <c r="AL530" s="5"/>
      <c r="AM530" s="5"/>
      <c r="AN530" s="5"/>
    </row>
    <row r="531" spans="1:40" ht="18.75" customHeight="1">
      <c r="A531" s="5"/>
      <c r="B531" s="5"/>
      <c r="C531" s="5"/>
      <c r="D531" s="5"/>
      <c r="E531" s="5"/>
      <c r="F531" s="5"/>
      <c r="G531" s="5"/>
      <c r="H531" s="5"/>
      <c r="I531" s="5"/>
      <c r="J531" s="5"/>
      <c r="K531" s="5"/>
      <c r="L531" s="5"/>
      <c r="M531" s="5"/>
      <c r="N531" s="5"/>
      <c r="O531" s="5"/>
      <c r="P531" s="5"/>
      <c r="Q531" s="5"/>
      <c r="R531" s="5"/>
      <c r="S531" s="5"/>
      <c r="T531" s="5"/>
      <c r="U531" s="5"/>
      <c r="V531" s="5"/>
      <c r="Y531" s="5"/>
      <c r="Z531" s="5"/>
      <c r="AA531" s="5"/>
      <c r="AB531" s="5"/>
      <c r="AC531" s="5"/>
      <c r="AD531" s="5"/>
      <c r="AE531" s="5"/>
      <c r="AF531" s="5"/>
      <c r="AG531" s="5"/>
      <c r="AH531" s="5"/>
      <c r="AI531" s="5"/>
      <c r="AJ531" s="5"/>
      <c r="AK531" s="5"/>
      <c r="AL531" s="5"/>
      <c r="AM531" s="5"/>
      <c r="AN531" s="5"/>
    </row>
    <row r="532" spans="1:40" ht="18.75" customHeight="1">
      <c r="A532" s="5"/>
      <c r="B532" s="5"/>
      <c r="C532" s="5"/>
      <c r="D532" s="5"/>
      <c r="E532" s="5"/>
      <c r="F532" s="5"/>
      <c r="G532" s="5"/>
      <c r="H532" s="5"/>
      <c r="I532" s="5"/>
      <c r="J532" s="5"/>
      <c r="K532" s="5"/>
      <c r="L532" s="5"/>
      <c r="M532" s="5"/>
      <c r="N532" s="5"/>
      <c r="O532" s="5"/>
      <c r="P532" s="5"/>
      <c r="Q532" s="5"/>
      <c r="R532" s="5"/>
      <c r="S532" s="5"/>
      <c r="T532" s="5"/>
      <c r="U532" s="5"/>
      <c r="V532" s="5"/>
      <c r="Y532" s="5"/>
      <c r="Z532" s="5"/>
      <c r="AA532" s="5"/>
      <c r="AB532" s="5"/>
      <c r="AC532" s="5"/>
      <c r="AD532" s="5"/>
      <c r="AE532" s="5"/>
      <c r="AF532" s="5"/>
      <c r="AG532" s="5"/>
      <c r="AH532" s="5"/>
      <c r="AI532" s="5"/>
      <c r="AJ532" s="5"/>
      <c r="AK532" s="5"/>
      <c r="AL532" s="5"/>
      <c r="AM532" s="5"/>
      <c r="AN532" s="5"/>
    </row>
    <row r="533" spans="1:40" ht="18.75" customHeight="1">
      <c r="A533" s="5"/>
      <c r="B533" s="5"/>
      <c r="C533" s="5"/>
      <c r="D533" s="5"/>
      <c r="E533" s="5"/>
      <c r="F533" s="5"/>
      <c r="G533" s="5"/>
      <c r="H533" s="5"/>
      <c r="I533" s="5"/>
      <c r="J533" s="5"/>
      <c r="K533" s="5"/>
      <c r="L533" s="5"/>
      <c r="M533" s="5"/>
      <c r="N533" s="5"/>
      <c r="O533" s="5"/>
      <c r="P533" s="5"/>
      <c r="Q533" s="5"/>
      <c r="R533" s="5"/>
      <c r="S533" s="5"/>
      <c r="T533" s="5"/>
      <c r="U533" s="5"/>
      <c r="V533" s="5"/>
      <c r="Y533" s="5"/>
      <c r="Z533" s="5"/>
      <c r="AA533" s="5"/>
      <c r="AB533" s="5"/>
      <c r="AC533" s="5"/>
      <c r="AD533" s="5"/>
      <c r="AE533" s="5"/>
      <c r="AF533" s="5"/>
      <c r="AG533" s="5"/>
      <c r="AH533" s="5"/>
      <c r="AI533" s="5"/>
      <c r="AJ533" s="5"/>
      <c r="AK533" s="5"/>
      <c r="AL533" s="5"/>
      <c r="AM533" s="5"/>
      <c r="AN533" s="5"/>
    </row>
    <row r="534" spans="1:40" ht="18.75" customHeight="1">
      <c r="A534" s="5"/>
      <c r="B534" s="5"/>
      <c r="C534" s="5"/>
      <c r="D534" s="5"/>
      <c r="E534" s="5"/>
      <c r="F534" s="5"/>
      <c r="G534" s="5"/>
      <c r="H534" s="5"/>
      <c r="I534" s="5"/>
      <c r="J534" s="5"/>
      <c r="K534" s="5"/>
      <c r="L534" s="5"/>
      <c r="M534" s="5"/>
      <c r="N534" s="5"/>
      <c r="O534" s="5"/>
      <c r="P534" s="5"/>
      <c r="Q534" s="5"/>
      <c r="R534" s="5"/>
      <c r="S534" s="5"/>
      <c r="T534" s="5"/>
      <c r="U534" s="5"/>
      <c r="V534" s="5"/>
      <c r="Y534" s="5"/>
      <c r="Z534" s="5"/>
      <c r="AA534" s="5"/>
      <c r="AB534" s="5"/>
      <c r="AC534" s="5"/>
      <c r="AD534" s="5"/>
      <c r="AE534" s="5"/>
      <c r="AF534" s="5"/>
      <c r="AG534" s="5"/>
      <c r="AH534" s="5"/>
      <c r="AI534" s="5"/>
      <c r="AJ534" s="5"/>
      <c r="AK534" s="5"/>
      <c r="AL534" s="5"/>
      <c r="AM534" s="5"/>
      <c r="AN534" s="5"/>
    </row>
    <row r="535" spans="1:40" ht="18.75" customHeight="1">
      <c r="A535" s="5"/>
      <c r="B535" s="5"/>
      <c r="C535" s="5"/>
      <c r="D535" s="5"/>
      <c r="E535" s="5"/>
      <c r="F535" s="5"/>
      <c r="G535" s="5"/>
      <c r="H535" s="5"/>
      <c r="I535" s="5"/>
      <c r="J535" s="5"/>
      <c r="K535" s="5"/>
      <c r="L535" s="5"/>
      <c r="M535" s="5"/>
      <c r="N535" s="5"/>
      <c r="O535" s="5"/>
      <c r="P535" s="5"/>
      <c r="Q535" s="5"/>
      <c r="R535" s="5"/>
      <c r="S535" s="5"/>
      <c r="T535" s="5"/>
      <c r="U535" s="5"/>
      <c r="V535" s="5"/>
      <c r="Y535" s="5"/>
      <c r="Z535" s="5"/>
      <c r="AA535" s="5"/>
      <c r="AB535" s="5"/>
      <c r="AC535" s="5"/>
      <c r="AD535" s="5"/>
      <c r="AE535" s="5"/>
      <c r="AF535" s="5"/>
      <c r="AG535" s="5"/>
      <c r="AH535" s="5"/>
      <c r="AI535" s="5"/>
      <c r="AJ535" s="5"/>
      <c r="AK535" s="5"/>
      <c r="AL535" s="5"/>
      <c r="AM535" s="5"/>
      <c r="AN535" s="5"/>
    </row>
    <row r="536" spans="1:40" ht="18.75" customHeight="1">
      <c r="A536" s="5"/>
      <c r="B536" s="5"/>
      <c r="C536" s="5"/>
      <c r="D536" s="5"/>
      <c r="E536" s="5"/>
      <c r="F536" s="5"/>
      <c r="G536" s="5"/>
      <c r="H536" s="5"/>
      <c r="I536" s="5"/>
      <c r="J536" s="5"/>
      <c r="K536" s="5"/>
      <c r="L536" s="5"/>
      <c r="M536" s="5"/>
      <c r="N536" s="5"/>
      <c r="O536" s="5"/>
      <c r="P536" s="5"/>
      <c r="Q536" s="5"/>
      <c r="R536" s="5"/>
      <c r="S536" s="5"/>
      <c r="T536" s="5"/>
      <c r="U536" s="5"/>
      <c r="V536" s="5"/>
      <c r="Y536" s="5"/>
      <c r="Z536" s="5"/>
      <c r="AA536" s="5"/>
      <c r="AB536" s="5"/>
      <c r="AC536" s="5"/>
      <c r="AD536" s="5"/>
      <c r="AE536" s="5"/>
      <c r="AF536" s="5"/>
      <c r="AG536" s="5"/>
      <c r="AH536" s="5"/>
      <c r="AI536" s="5"/>
      <c r="AJ536" s="5"/>
      <c r="AK536" s="5"/>
      <c r="AL536" s="5"/>
      <c r="AM536" s="5"/>
      <c r="AN536" s="5"/>
    </row>
    <row r="537" spans="1:40" ht="18.75" customHeight="1">
      <c r="A537" s="5"/>
      <c r="B537" s="5"/>
      <c r="C537" s="5"/>
      <c r="D537" s="5"/>
      <c r="E537" s="5"/>
      <c r="F537" s="5"/>
      <c r="G537" s="5"/>
      <c r="H537" s="5"/>
      <c r="I537" s="5"/>
      <c r="J537" s="5"/>
      <c r="K537" s="5"/>
      <c r="L537" s="5"/>
      <c r="M537" s="5"/>
      <c r="N537" s="5"/>
      <c r="O537" s="5"/>
      <c r="P537" s="5"/>
      <c r="Q537" s="5"/>
      <c r="R537" s="5"/>
      <c r="S537" s="5"/>
      <c r="T537" s="5"/>
      <c r="U537" s="5"/>
      <c r="V537" s="5"/>
      <c r="Y537" s="5"/>
      <c r="Z537" s="5"/>
      <c r="AA537" s="5"/>
      <c r="AB537" s="5"/>
      <c r="AC537" s="5"/>
      <c r="AD537" s="5"/>
      <c r="AE537" s="5"/>
      <c r="AF537" s="5"/>
      <c r="AG537" s="5"/>
      <c r="AH537" s="5"/>
      <c r="AI537" s="5"/>
      <c r="AJ537" s="5"/>
      <c r="AK537" s="5"/>
      <c r="AL537" s="5"/>
      <c r="AM537" s="5"/>
      <c r="AN537" s="5"/>
    </row>
    <row r="538" spans="1:40" ht="18.75" customHeight="1">
      <c r="A538" s="5"/>
      <c r="B538" s="5"/>
      <c r="C538" s="5"/>
      <c r="D538" s="5"/>
      <c r="E538" s="5"/>
      <c r="F538" s="5"/>
      <c r="G538" s="5"/>
      <c r="H538" s="5"/>
      <c r="I538" s="5"/>
      <c r="J538" s="5"/>
      <c r="K538" s="5"/>
      <c r="L538" s="5"/>
      <c r="M538" s="5"/>
      <c r="N538" s="5"/>
      <c r="O538" s="5"/>
      <c r="P538" s="5"/>
      <c r="Q538" s="5"/>
      <c r="R538" s="5"/>
      <c r="S538" s="5"/>
      <c r="T538" s="5"/>
      <c r="U538" s="5"/>
      <c r="V538" s="5"/>
      <c r="Y538" s="5"/>
      <c r="Z538" s="5"/>
      <c r="AA538" s="5"/>
      <c r="AB538" s="5"/>
      <c r="AC538" s="5"/>
      <c r="AD538" s="5"/>
      <c r="AE538" s="5"/>
      <c r="AF538" s="5"/>
      <c r="AG538" s="5"/>
      <c r="AH538" s="5"/>
      <c r="AI538" s="5"/>
      <c r="AJ538" s="5"/>
      <c r="AK538" s="5"/>
      <c r="AL538" s="5"/>
      <c r="AM538" s="5"/>
      <c r="AN538" s="5"/>
    </row>
    <row r="539" spans="1:40" ht="18.75" customHeight="1">
      <c r="A539" s="5"/>
      <c r="B539" s="5"/>
      <c r="C539" s="5"/>
      <c r="D539" s="5"/>
      <c r="E539" s="5"/>
      <c r="F539" s="5"/>
      <c r="G539" s="5"/>
      <c r="H539" s="5"/>
      <c r="I539" s="5"/>
      <c r="J539" s="5"/>
      <c r="K539" s="5"/>
      <c r="L539" s="5"/>
      <c r="M539" s="5"/>
      <c r="N539" s="5"/>
      <c r="O539" s="5"/>
      <c r="P539" s="5"/>
      <c r="Q539" s="5"/>
      <c r="R539" s="5"/>
      <c r="S539" s="5"/>
      <c r="T539" s="5"/>
      <c r="U539" s="5"/>
      <c r="V539" s="5"/>
      <c r="Y539" s="5"/>
      <c r="Z539" s="5"/>
      <c r="AA539" s="5"/>
      <c r="AB539" s="5"/>
      <c r="AC539" s="5"/>
      <c r="AD539" s="5"/>
      <c r="AE539" s="5"/>
      <c r="AF539" s="5"/>
      <c r="AG539" s="5"/>
      <c r="AH539" s="5"/>
      <c r="AI539" s="5"/>
      <c r="AJ539" s="5"/>
      <c r="AK539" s="5"/>
      <c r="AL539" s="5"/>
      <c r="AM539" s="5"/>
      <c r="AN539" s="5"/>
    </row>
    <row r="540" spans="1:40" ht="18.75" customHeight="1">
      <c r="A540" s="5"/>
      <c r="B540" s="5"/>
      <c r="C540" s="5"/>
      <c r="D540" s="5"/>
      <c r="E540" s="5"/>
      <c r="F540" s="5"/>
      <c r="G540" s="5"/>
      <c r="H540" s="5"/>
      <c r="I540" s="5"/>
      <c r="J540" s="5"/>
      <c r="K540" s="5"/>
      <c r="L540" s="5"/>
      <c r="M540" s="5"/>
      <c r="N540" s="5"/>
      <c r="O540" s="5"/>
      <c r="P540" s="5"/>
      <c r="Q540" s="5"/>
      <c r="R540" s="5"/>
      <c r="S540" s="5"/>
      <c r="T540" s="5"/>
      <c r="U540" s="5"/>
      <c r="V540" s="5"/>
      <c r="Y540" s="5"/>
      <c r="Z540" s="5"/>
      <c r="AA540" s="5"/>
      <c r="AB540" s="5"/>
      <c r="AC540" s="5"/>
      <c r="AD540" s="5"/>
      <c r="AE540" s="5"/>
      <c r="AF540" s="5"/>
      <c r="AG540" s="5"/>
      <c r="AH540" s="5"/>
      <c r="AI540" s="5"/>
      <c r="AJ540" s="5"/>
      <c r="AK540" s="5"/>
      <c r="AL540" s="5"/>
      <c r="AM540" s="5"/>
      <c r="AN540" s="5"/>
    </row>
    <row r="541" spans="1:40" ht="18.75" customHeight="1">
      <c r="A541" s="5"/>
      <c r="B541" s="5"/>
      <c r="C541" s="5"/>
      <c r="D541" s="5"/>
      <c r="E541" s="5"/>
      <c r="F541" s="5"/>
      <c r="G541" s="5"/>
      <c r="H541" s="5"/>
      <c r="I541" s="5"/>
      <c r="J541" s="5"/>
      <c r="K541" s="5"/>
      <c r="L541" s="5"/>
      <c r="M541" s="5"/>
      <c r="N541" s="5"/>
      <c r="O541" s="5"/>
      <c r="P541" s="5"/>
      <c r="Q541" s="5"/>
      <c r="R541" s="5"/>
      <c r="S541" s="5"/>
      <c r="T541" s="5"/>
      <c r="U541" s="5"/>
      <c r="V541" s="5"/>
      <c r="Y541" s="5"/>
      <c r="Z541" s="5"/>
      <c r="AA541" s="5"/>
      <c r="AB541" s="5"/>
      <c r="AC541" s="5"/>
      <c r="AD541" s="5"/>
      <c r="AE541" s="5"/>
      <c r="AF541" s="5"/>
      <c r="AG541" s="5"/>
      <c r="AH541" s="5"/>
      <c r="AI541" s="5"/>
      <c r="AJ541" s="5"/>
      <c r="AK541" s="5"/>
      <c r="AL541" s="5"/>
      <c r="AM541" s="5"/>
      <c r="AN541" s="5"/>
    </row>
    <row r="542" spans="1:40" ht="18.75" customHeight="1">
      <c r="A542" s="5"/>
      <c r="B542" s="5"/>
      <c r="C542" s="5"/>
      <c r="D542" s="5"/>
      <c r="E542" s="5"/>
      <c r="F542" s="5"/>
      <c r="G542" s="5"/>
      <c r="H542" s="5"/>
      <c r="I542" s="5"/>
      <c r="J542" s="5"/>
      <c r="K542" s="5"/>
      <c r="L542" s="5"/>
      <c r="M542" s="5"/>
      <c r="N542" s="5"/>
      <c r="O542" s="5"/>
      <c r="P542" s="5"/>
      <c r="Q542" s="5"/>
      <c r="R542" s="5"/>
      <c r="S542" s="5"/>
      <c r="T542" s="5"/>
      <c r="U542" s="5"/>
      <c r="V542" s="5"/>
      <c r="Y542" s="5"/>
      <c r="Z542" s="5"/>
      <c r="AA542" s="5"/>
      <c r="AB542" s="5"/>
      <c r="AC542" s="5"/>
      <c r="AD542" s="5"/>
      <c r="AE542" s="5"/>
      <c r="AF542" s="5"/>
      <c r="AG542" s="5"/>
      <c r="AH542" s="5"/>
      <c r="AI542" s="5"/>
      <c r="AJ542" s="5"/>
      <c r="AK542" s="5"/>
      <c r="AL542" s="5"/>
      <c r="AM542" s="5"/>
      <c r="AN542" s="5"/>
    </row>
    <row r="543" spans="1:40" ht="18.75" customHeight="1">
      <c r="A543" s="5"/>
      <c r="B543" s="5"/>
      <c r="C543" s="5"/>
      <c r="D543" s="5"/>
      <c r="E543" s="5"/>
      <c r="F543" s="5"/>
      <c r="G543" s="5"/>
      <c r="H543" s="5"/>
      <c r="I543" s="5"/>
      <c r="J543" s="5"/>
      <c r="K543" s="5"/>
      <c r="L543" s="5"/>
      <c r="M543" s="5"/>
      <c r="N543" s="5"/>
      <c r="O543" s="5"/>
      <c r="P543" s="5"/>
      <c r="Q543" s="5"/>
      <c r="R543" s="5"/>
      <c r="S543" s="5"/>
      <c r="T543" s="5"/>
      <c r="U543" s="5"/>
      <c r="V543" s="5"/>
      <c r="Y543" s="5"/>
      <c r="Z543" s="5"/>
      <c r="AA543" s="5"/>
      <c r="AB543" s="5"/>
      <c r="AC543" s="5"/>
      <c r="AD543" s="5"/>
      <c r="AE543" s="5"/>
      <c r="AF543" s="5"/>
      <c r="AG543" s="5"/>
      <c r="AH543" s="5"/>
      <c r="AI543" s="5"/>
      <c r="AJ543" s="5"/>
      <c r="AK543" s="5"/>
      <c r="AL543" s="5"/>
      <c r="AM543" s="5"/>
      <c r="AN543" s="5"/>
    </row>
    <row r="544" spans="1:40" ht="18.75" customHeight="1">
      <c r="A544" s="5"/>
      <c r="B544" s="5"/>
      <c r="C544" s="5"/>
      <c r="D544" s="5"/>
      <c r="E544" s="5"/>
      <c r="F544" s="5"/>
      <c r="G544" s="5"/>
      <c r="H544" s="5"/>
      <c r="I544" s="5"/>
      <c r="J544" s="5"/>
      <c r="K544" s="5"/>
      <c r="L544" s="5"/>
      <c r="M544" s="5"/>
      <c r="N544" s="5"/>
      <c r="O544" s="5"/>
      <c r="P544" s="5"/>
      <c r="Q544" s="5"/>
      <c r="R544" s="5"/>
      <c r="S544" s="5"/>
      <c r="T544" s="5"/>
      <c r="U544" s="5"/>
      <c r="V544" s="5"/>
      <c r="Y544" s="5"/>
      <c r="Z544" s="5"/>
      <c r="AA544" s="5"/>
      <c r="AB544" s="5"/>
      <c r="AC544" s="5"/>
      <c r="AD544" s="5"/>
      <c r="AE544" s="5"/>
      <c r="AF544" s="5"/>
      <c r="AG544" s="5"/>
      <c r="AH544" s="5"/>
      <c r="AI544" s="5"/>
      <c r="AJ544" s="5"/>
      <c r="AK544" s="5"/>
      <c r="AL544" s="5"/>
      <c r="AM544" s="5"/>
      <c r="AN544" s="5"/>
    </row>
    <row r="545" spans="1:40" ht="18.75" customHeight="1">
      <c r="A545" s="5"/>
      <c r="B545" s="5"/>
      <c r="C545" s="5"/>
      <c r="D545" s="5"/>
      <c r="E545" s="5"/>
      <c r="F545" s="5"/>
      <c r="G545" s="5"/>
      <c r="H545" s="5"/>
      <c r="I545" s="5"/>
      <c r="J545" s="5"/>
      <c r="K545" s="5"/>
      <c r="L545" s="5"/>
      <c r="M545" s="5"/>
      <c r="N545" s="5"/>
      <c r="O545" s="5"/>
      <c r="P545" s="5"/>
      <c r="Q545" s="5"/>
      <c r="R545" s="5"/>
      <c r="S545" s="5"/>
      <c r="T545" s="5"/>
      <c r="U545" s="5"/>
      <c r="V545" s="5"/>
      <c r="Y545" s="5"/>
      <c r="Z545" s="5"/>
      <c r="AA545" s="5"/>
      <c r="AB545" s="5"/>
      <c r="AC545" s="5"/>
      <c r="AD545" s="5"/>
      <c r="AE545" s="5"/>
      <c r="AF545" s="5"/>
      <c r="AG545" s="5"/>
      <c r="AH545" s="5"/>
      <c r="AI545" s="5"/>
      <c r="AJ545" s="5"/>
      <c r="AK545" s="5"/>
      <c r="AL545" s="5"/>
      <c r="AM545" s="5"/>
      <c r="AN545" s="5"/>
    </row>
    <row r="546" spans="1:40" ht="18.75" customHeight="1">
      <c r="A546" s="5"/>
      <c r="B546" s="5"/>
      <c r="C546" s="5"/>
      <c r="D546" s="5"/>
      <c r="E546" s="5"/>
      <c r="F546" s="5"/>
      <c r="G546" s="5"/>
      <c r="H546" s="5"/>
      <c r="I546" s="5"/>
      <c r="J546" s="5"/>
      <c r="K546" s="5"/>
      <c r="L546" s="5"/>
      <c r="M546" s="5"/>
      <c r="N546" s="5"/>
      <c r="O546" s="5"/>
      <c r="P546" s="5"/>
      <c r="Q546" s="5"/>
      <c r="R546" s="5"/>
      <c r="S546" s="5"/>
      <c r="T546" s="5"/>
      <c r="U546" s="5"/>
      <c r="V546" s="5"/>
      <c r="Y546" s="5"/>
      <c r="Z546" s="5"/>
      <c r="AA546" s="5"/>
      <c r="AB546" s="5"/>
      <c r="AC546" s="5"/>
      <c r="AD546" s="5"/>
      <c r="AE546" s="5"/>
      <c r="AF546" s="5"/>
      <c r="AG546" s="5"/>
      <c r="AH546" s="5"/>
      <c r="AI546" s="5"/>
      <c r="AJ546" s="5"/>
      <c r="AK546" s="5"/>
      <c r="AL546" s="5"/>
      <c r="AM546" s="5"/>
      <c r="AN546" s="5"/>
    </row>
    <row r="547" spans="1:40" ht="18.75" customHeight="1">
      <c r="A547" s="5"/>
      <c r="B547" s="5"/>
      <c r="C547" s="5"/>
      <c r="D547" s="5"/>
      <c r="E547" s="5"/>
      <c r="F547" s="5"/>
      <c r="G547" s="5"/>
      <c r="H547" s="5"/>
      <c r="I547" s="5"/>
      <c r="J547" s="5"/>
      <c r="K547" s="5"/>
      <c r="L547" s="5"/>
      <c r="M547" s="5"/>
      <c r="N547" s="5"/>
      <c r="O547" s="5"/>
      <c r="P547" s="5"/>
      <c r="Q547" s="5"/>
      <c r="R547" s="5"/>
      <c r="S547" s="5"/>
      <c r="T547" s="5"/>
      <c r="U547" s="5"/>
      <c r="V547" s="5"/>
      <c r="Y547" s="5"/>
      <c r="Z547" s="5"/>
      <c r="AA547" s="5"/>
      <c r="AB547" s="5"/>
      <c r="AC547" s="5"/>
      <c r="AD547" s="5"/>
      <c r="AE547" s="5"/>
      <c r="AF547" s="5"/>
      <c r="AG547" s="5"/>
      <c r="AH547" s="5"/>
      <c r="AI547" s="5"/>
      <c r="AJ547" s="5"/>
      <c r="AK547" s="5"/>
      <c r="AL547" s="5"/>
      <c r="AM547" s="5"/>
      <c r="AN547" s="5"/>
    </row>
    <row r="548" spans="1:40" ht="18.75" customHeight="1">
      <c r="A548" s="5"/>
      <c r="B548" s="5"/>
      <c r="C548" s="5"/>
      <c r="D548" s="5"/>
      <c r="E548" s="5"/>
      <c r="F548" s="5"/>
      <c r="G548" s="5"/>
      <c r="H548" s="5"/>
      <c r="I548" s="5"/>
      <c r="J548" s="5"/>
      <c r="K548" s="5"/>
      <c r="L548" s="5"/>
      <c r="M548" s="5"/>
      <c r="N548" s="5"/>
      <c r="O548" s="5"/>
      <c r="P548" s="5"/>
      <c r="Q548" s="5"/>
      <c r="R548" s="5"/>
      <c r="S548" s="5"/>
      <c r="T548" s="5"/>
      <c r="U548" s="5"/>
      <c r="V548" s="5"/>
      <c r="Y548" s="5"/>
      <c r="Z548" s="5"/>
      <c r="AA548" s="5"/>
      <c r="AB548" s="5"/>
      <c r="AC548" s="5"/>
      <c r="AD548" s="5"/>
      <c r="AE548" s="5"/>
      <c r="AF548" s="5"/>
      <c r="AG548" s="5"/>
      <c r="AH548" s="5"/>
      <c r="AI548" s="5"/>
      <c r="AJ548" s="5"/>
      <c r="AK548" s="5"/>
      <c r="AL548" s="5"/>
      <c r="AM548" s="5"/>
      <c r="AN548" s="5"/>
    </row>
    <row r="549" spans="1:40" ht="18.75" customHeight="1">
      <c r="A549" s="5"/>
      <c r="B549" s="5"/>
      <c r="C549" s="5"/>
      <c r="D549" s="5"/>
      <c r="E549" s="5"/>
      <c r="F549" s="5"/>
      <c r="G549" s="5"/>
      <c r="H549" s="5"/>
      <c r="I549" s="5"/>
      <c r="J549" s="5"/>
      <c r="K549" s="5"/>
      <c r="L549" s="5"/>
      <c r="M549" s="5"/>
      <c r="N549" s="5"/>
      <c r="O549" s="5"/>
      <c r="P549" s="5"/>
      <c r="Q549" s="5"/>
      <c r="R549" s="5"/>
      <c r="S549" s="5"/>
      <c r="T549" s="5"/>
      <c r="U549" s="5"/>
      <c r="V549" s="5"/>
      <c r="Y549" s="5"/>
      <c r="Z549" s="5"/>
      <c r="AA549" s="5"/>
      <c r="AB549" s="5"/>
      <c r="AC549" s="5"/>
      <c r="AD549" s="5"/>
      <c r="AE549" s="5"/>
      <c r="AF549" s="5"/>
      <c r="AG549" s="5"/>
      <c r="AH549" s="5"/>
      <c r="AI549" s="5"/>
      <c r="AJ549" s="5"/>
      <c r="AK549" s="5"/>
      <c r="AL549" s="5"/>
      <c r="AM549" s="5"/>
      <c r="AN549" s="5"/>
    </row>
    <row r="550" spans="1:40" ht="18.75" customHeight="1">
      <c r="A550" s="5"/>
      <c r="B550" s="5"/>
      <c r="C550" s="5"/>
      <c r="D550" s="5"/>
      <c r="E550" s="5"/>
      <c r="F550" s="5"/>
      <c r="G550" s="5"/>
      <c r="H550" s="5"/>
      <c r="I550" s="5"/>
      <c r="J550" s="5"/>
      <c r="K550" s="5"/>
      <c r="L550" s="5"/>
      <c r="M550" s="5"/>
      <c r="N550" s="5"/>
      <c r="O550" s="5"/>
      <c r="P550" s="5"/>
      <c r="Q550" s="5"/>
      <c r="R550" s="5"/>
      <c r="S550" s="5"/>
      <c r="T550" s="5"/>
      <c r="U550" s="5"/>
      <c r="V550" s="5"/>
      <c r="Y550" s="5"/>
      <c r="Z550" s="5"/>
      <c r="AA550" s="5"/>
      <c r="AB550" s="5"/>
      <c r="AC550" s="5"/>
      <c r="AD550" s="5"/>
      <c r="AE550" s="5"/>
      <c r="AF550" s="5"/>
      <c r="AG550" s="5"/>
      <c r="AH550" s="5"/>
      <c r="AI550" s="5"/>
      <c r="AJ550" s="5"/>
      <c r="AK550" s="5"/>
      <c r="AL550" s="5"/>
      <c r="AM550" s="5"/>
      <c r="AN550" s="5"/>
    </row>
    <row r="551" spans="1:40" ht="18.75" customHeight="1">
      <c r="A551" s="5"/>
      <c r="B551" s="5"/>
      <c r="C551" s="5"/>
      <c r="D551" s="5"/>
      <c r="E551" s="5"/>
      <c r="F551" s="5"/>
      <c r="G551" s="5"/>
      <c r="H551" s="5"/>
      <c r="I551" s="5"/>
      <c r="J551" s="5"/>
      <c r="K551" s="5"/>
      <c r="L551" s="5"/>
      <c r="M551" s="5"/>
      <c r="N551" s="5"/>
      <c r="O551" s="5"/>
      <c r="P551" s="5"/>
      <c r="Q551" s="5"/>
      <c r="R551" s="5"/>
      <c r="S551" s="5"/>
      <c r="T551" s="5"/>
      <c r="U551" s="5"/>
      <c r="V551" s="5"/>
      <c r="Y551" s="5"/>
      <c r="Z551" s="5"/>
      <c r="AA551" s="5"/>
      <c r="AB551" s="5"/>
      <c r="AC551" s="5"/>
      <c r="AD551" s="5"/>
      <c r="AE551" s="5"/>
      <c r="AF551" s="5"/>
      <c r="AG551" s="5"/>
      <c r="AH551" s="5"/>
      <c r="AI551" s="5"/>
      <c r="AJ551" s="5"/>
      <c r="AK551" s="5"/>
      <c r="AL551" s="5"/>
      <c r="AM551" s="5"/>
      <c r="AN551" s="5"/>
    </row>
    <row r="552" spans="1:40" ht="18.75" customHeight="1">
      <c r="A552" s="5"/>
      <c r="B552" s="5"/>
      <c r="C552" s="5"/>
      <c r="D552" s="5"/>
      <c r="E552" s="5"/>
      <c r="F552" s="5"/>
      <c r="G552" s="5"/>
      <c r="H552" s="5"/>
      <c r="I552" s="5"/>
      <c r="J552" s="5"/>
      <c r="K552" s="5"/>
      <c r="L552" s="5"/>
      <c r="M552" s="5"/>
      <c r="N552" s="5"/>
      <c r="O552" s="5"/>
      <c r="P552" s="5"/>
      <c r="Q552" s="5"/>
      <c r="R552" s="5"/>
      <c r="S552" s="5"/>
      <c r="T552" s="5"/>
      <c r="U552" s="5"/>
      <c r="V552" s="5"/>
      <c r="Y552" s="5"/>
      <c r="Z552" s="5"/>
      <c r="AA552" s="5"/>
      <c r="AB552" s="5"/>
      <c r="AC552" s="5"/>
      <c r="AD552" s="5"/>
      <c r="AE552" s="5"/>
      <c r="AF552" s="5"/>
      <c r="AG552" s="5"/>
      <c r="AH552" s="5"/>
      <c r="AI552" s="5"/>
      <c r="AJ552" s="5"/>
      <c r="AK552" s="5"/>
      <c r="AL552" s="5"/>
      <c r="AM552" s="5"/>
      <c r="AN552" s="5"/>
    </row>
    <row r="553" spans="1:40" ht="18.75" customHeight="1">
      <c r="A553" s="5"/>
      <c r="B553" s="5"/>
      <c r="C553" s="5"/>
      <c r="D553" s="5"/>
      <c r="E553" s="5"/>
      <c r="F553" s="5"/>
      <c r="G553" s="5"/>
      <c r="H553" s="5"/>
      <c r="I553" s="5"/>
      <c r="J553" s="5"/>
      <c r="K553" s="5"/>
      <c r="L553" s="5"/>
      <c r="M553" s="5"/>
      <c r="N553" s="5"/>
      <c r="O553" s="5"/>
      <c r="P553" s="5"/>
      <c r="Q553" s="5"/>
      <c r="R553" s="5"/>
      <c r="S553" s="5"/>
      <c r="T553" s="5"/>
      <c r="U553" s="5"/>
      <c r="V553" s="5"/>
      <c r="Y553" s="5"/>
      <c r="Z553" s="5"/>
      <c r="AA553" s="5"/>
      <c r="AB553" s="5"/>
      <c r="AC553" s="5"/>
      <c r="AD553" s="5"/>
      <c r="AE553" s="5"/>
      <c r="AF553" s="5"/>
      <c r="AG553" s="5"/>
      <c r="AH553" s="5"/>
      <c r="AI553" s="5"/>
      <c r="AJ553" s="5"/>
      <c r="AK553" s="5"/>
      <c r="AL553" s="5"/>
      <c r="AM553" s="5"/>
      <c r="AN553" s="5"/>
    </row>
    <row r="554" spans="1:40" ht="18.75" customHeight="1">
      <c r="A554" s="5"/>
      <c r="B554" s="5"/>
      <c r="C554" s="5"/>
      <c r="D554" s="5"/>
      <c r="E554" s="5"/>
      <c r="F554" s="5"/>
      <c r="G554" s="5"/>
      <c r="H554" s="5"/>
      <c r="I554" s="5"/>
      <c r="J554" s="5"/>
      <c r="K554" s="5"/>
      <c r="L554" s="5"/>
      <c r="M554" s="5"/>
      <c r="N554" s="5"/>
      <c r="O554" s="5"/>
      <c r="P554" s="5"/>
      <c r="Q554" s="5"/>
      <c r="R554" s="5"/>
      <c r="S554" s="5"/>
      <c r="T554" s="5"/>
      <c r="U554" s="5"/>
      <c r="V554" s="5"/>
      <c r="Y554" s="5"/>
      <c r="Z554" s="5"/>
      <c r="AA554" s="5"/>
      <c r="AB554" s="5"/>
      <c r="AC554" s="5"/>
      <c r="AD554" s="5"/>
      <c r="AE554" s="5"/>
      <c r="AF554" s="5"/>
      <c r="AG554" s="5"/>
      <c r="AH554" s="5"/>
      <c r="AI554" s="5"/>
      <c r="AJ554" s="5"/>
      <c r="AK554" s="5"/>
      <c r="AL554" s="5"/>
      <c r="AM554" s="5"/>
      <c r="AN554" s="5"/>
    </row>
    <row r="555" spans="1:40" ht="18.75" customHeight="1">
      <c r="A555" s="5"/>
      <c r="B555" s="5"/>
      <c r="C555" s="5"/>
      <c r="D555" s="5"/>
      <c r="E555" s="5"/>
      <c r="F555" s="5"/>
      <c r="G555" s="5"/>
      <c r="H555" s="5"/>
      <c r="I555" s="5"/>
      <c r="J555" s="5"/>
      <c r="K555" s="5"/>
      <c r="L555" s="5"/>
      <c r="M555" s="5"/>
      <c r="N555" s="5"/>
      <c r="O555" s="5"/>
      <c r="P555" s="5"/>
      <c r="Q555" s="5"/>
      <c r="R555" s="5"/>
      <c r="S555" s="5"/>
      <c r="T555" s="5"/>
      <c r="U555" s="5"/>
      <c r="V555" s="5"/>
      <c r="Y555" s="5"/>
      <c r="Z555" s="5"/>
      <c r="AA555" s="5"/>
      <c r="AB555" s="5"/>
      <c r="AC555" s="5"/>
      <c r="AD555" s="5"/>
      <c r="AE555" s="5"/>
      <c r="AF555" s="5"/>
      <c r="AG555" s="5"/>
      <c r="AH555" s="5"/>
      <c r="AI555" s="5"/>
      <c r="AJ555" s="5"/>
      <c r="AK555" s="5"/>
      <c r="AL555" s="5"/>
      <c r="AM555" s="5"/>
      <c r="AN555" s="5"/>
    </row>
    <row r="556" spans="1:40" ht="18.75" customHeight="1">
      <c r="A556" s="5"/>
      <c r="B556" s="5"/>
      <c r="C556" s="5"/>
      <c r="D556" s="5"/>
      <c r="E556" s="5"/>
      <c r="F556" s="5"/>
      <c r="G556" s="5"/>
      <c r="H556" s="5"/>
      <c r="I556" s="5"/>
      <c r="J556" s="5"/>
      <c r="K556" s="5"/>
      <c r="L556" s="5"/>
      <c r="M556" s="5"/>
      <c r="N556" s="5"/>
      <c r="O556" s="5"/>
      <c r="P556" s="5"/>
      <c r="Q556" s="5"/>
      <c r="R556" s="5"/>
      <c r="S556" s="5"/>
      <c r="T556" s="5"/>
      <c r="U556" s="5"/>
      <c r="V556" s="5"/>
      <c r="Y556" s="5"/>
      <c r="Z556" s="5"/>
      <c r="AA556" s="5"/>
      <c r="AB556" s="5"/>
      <c r="AC556" s="5"/>
      <c r="AD556" s="5"/>
      <c r="AE556" s="5"/>
      <c r="AF556" s="5"/>
      <c r="AG556" s="5"/>
      <c r="AH556" s="5"/>
      <c r="AI556" s="5"/>
      <c r="AJ556" s="5"/>
      <c r="AK556" s="5"/>
      <c r="AL556" s="5"/>
      <c r="AM556" s="5"/>
      <c r="AN556" s="5"/>
    </row>
    <row r="557" spans="1:40" ht="18.75" customHeight="1">
      <c r="A557" s="5"/>
      <c r="B557" s="5"/>
      <c r="C557" s="5"/>
      <c r="D557" s="5"/>
      <c r="E557" s="5"/>
      <c r="F557" s="5"/>
      <c r="G557" s="5"/>
      <c r="H557" s="5"/>
      <c r="I557" s="5"/>
      <c r="J557" s="5"/>
      <c r="K557" s="5"/>
      <c r="L557" s="5"/>
      <c r="M557" s="5"/>
      <c r="N557" s="5"/>
      <c r="O557" s="5"/>
      <c r="P557" s="5"/>
      <c r="Q557" s="5"/>
      <c r="R557" s="5"/>
      <c r="S557" s="5"/>
      <c r="T557" s="5"/>
      <c r="U557" s="5"/>
      <c r="V557" s="5"/>
      <c r="Y557" s="5"/>
      <c r="Z557" s="5"/>
      <c r="AA557" s="5"/>
      <c r="AB557" s="5"/>
      <c r="AC557" s="5"/>
      <c r="AD557" s="5"/>
      <c r="AE557" s="5"/>
      <c r="AF557" s="5"/>
      <c r="AG557" s="5"/>
      <c r="AH557" s="5"/>
      <c r="AI557" s="5"/>
      <c r="AJ557" s="5"/>
      <c r="AK557" s="5"/>
      <c r="AL557" s="5"/>
      <c r="AM557" s="5"/>
      <c r="AN557" s="5"/>
    </row>
    <row r="558" spans="1:40" ht="18.75" customHeight="1">
      <c r="A558" s="5"/>
      <c r="B558" s="5"/>
      <c r="C558" s="5"/>
      <c r="D558" s="5"/>
      <c r="E558" s="5"/>
      <c r="F558" s="5"/>
      <c r="G558" s="5"/>
      <c r="H558" s="5"/>
      <c r="I558" s="5"/>
      <c r="J558" s="5"/>
      <c r="K558" s="5"/>
      <c r="L558" s="5"/>
      <c r="M558" s="5"/>
      <c r="N558" s="5"/>
      <c r="O558" s="5"/>
      <c r="P558" s="5"/>
      <c r="Q558" s="5"/>
      <c r="R558" s="5"/>
      <c r="S558" s="5"/>
      <c r="T558" s="5"/>
      <c r="U558" s="5"/>
      <c r="V558" s="5"/>
      <c r="Y558" s="5"/>
      <c r="Z558" s="5"/>
      <c r="AA558" s="5"/>
      <c r="AB558" s="5"/>
      <c r="AC558" s="5"/>
      <c r="AD558" s="5"/>
      <c r="AE558" s="5"/>
      <c r="AF558" s="5"/>
      <c r="AG558" s="5"/>
      <c r="AH558" s="5"/>
      <c r="AI558" s="5"/>
      <c r="AJ558" s="5"/>
      <c r="AK558" s="5"/>
      <c r="AL558" s="5"/>
      <c r="AM558" s="5"/>
      <c r="AN558" s="5"/>
    </row>
    <row r="559" spans="1:40" ht="18.75" customHeight="1">
      <c r="A559" s="5"/>
      <c r="B559" s="5"/>
      <c r="C559" s="5"/>
      <c r="D559" s="5"/>
      <c r="E559" s="5"/>
      <c r="F559" s="5"/>
      <c r="G559" s="5"/>
      <c r="H559" s="5"/>
      <c r="I559" s="5"/>
      <c r="J559" s="5"/>
      <c r="K559" s="5"/>
      <c r="L559" s="5"/>
      <c r="M559" s="5"/>
      <c r="N559" s="5"/>
      <c r="O559" s="5"/>
      <c r="P559" s="5"/>
      <c r="Q559" s="5"/>
      <c r="R559" s="5"/>
      <c r="S559" s="5"/>
      <c r="T559" s="5"/>
      <c r="U559" s="5"/>
      <c r="V559" s="5"/>
      <c r="Y559" s="5"/>
      <c r="Z559" s="5"/>
      <c r="AA559" s="5"/>
      <c r="AB559" s="5"/>
      <c r="AC559" s="5"/>
      <c r="AD559" s="5"/>
      <c r="AE559" s="5"/>
      <c r="AF559" s="5"/>
      <c r="AG559" s="5"/>
      <c r="AH559" s="5"/>
      <c r="AI559" s="5"/>
      <c r="AJ559" s="5"/>
      <c r="AK559" s="5"/>
      <c r="AL559" s="5"/>
      <c r="AM559" s="5"/>
      <c r="AN559" s="5"/>
    </row>
    <row r="560" spans="1:40" ht="18.75" customHeight="1">
      <c r="A560" s="5"/>
      <c r="B560" s="5"/>
      <c r="C560" s="5"/>
      <c r="D560" s="5"/>
      <c r="E560" s="5"/>
      <c r="F560" s="5"/>
      <c r="G560" s="5"/>
      <c r="H560" s="5"/>
      <c r="I560" s="5"/>
      <c r="J560" s="5"/>
      <c r="K560" s="5"/>
      <c r="L560" s="5"/>
      <c r="M560" s="5"/>
      <c r="N560" s="5"/>
      <c r="O560" s="5"/>
      <c r="P560" s="5"/>
      <c r="Q560" s="5"/>
      <c r="R560" s="5"/>
      <c r="S560" s="5"/>
      <c r="T560" s="5"/>
      <c r="U560" s="5"/>
      <c r="V560" s="5"/>
      <c r="Y560" s="5"/>
      <c r="Z560" s="5"/>
      <c r="AA560" s="5"/>
      <c r="AB560" s="5"/>
      <c r="AC560" s="5"/>
      <c r="AD560" s="5"/>
      <c r="AE560" s="5"/>
      <c r="AF560" s="5"/>
      <c r="AG560" s="5"/>
      <c r="AH560" s="5"/>
      <c r="AI560" s="5"/>
      <c r="AJ560" s="5"/>
      <c r="AK560" s="5"/>
      <c r="AL560" s="5"/>
      <c r="AM560" s="5"/>
      <c r="AN560" s="5"/>
    </row>
    <row r="561" spans="1:40" ht="18.75" customHeight="1">
      <c r="A561" s="5"/>
      <c r="B561" s="5"/>
      <c r="C561" s="5"/>
      <c r="D561" s="5"/>
      <c r="E561" s="5"/>
      <c r="F561" s="5"/>
      <c r="G561" s="5"/>
      <c r="H561" s="5"/>
      <c r="I561" s="5"/>
      <c r="J561" s="5"/>
      <c r="K561" s="5"/>
      <c r="L561" s="5"/>
      <c r="M561" s="5"/>
      <c r="N561" s="5"/>
      <c r="O561" s="5"/>
      <c r="P561" s="5"/>
      <c r="Q561" s="5"/>
      <c r="R561" s="5"/>
      <c r="S561" s="5"/>
      <c r="T561" s="5"/>
      <c r="U561" s="5"/>
      <c r="V561" s="5"/>
      <c r="Y561" s="5"/>
      <c r="Z561" s="5"/>
      <c r="AA561" s="5"/>
      <c r="AB561" s="5"/>
      <c r="AC561" s="5"/>
      <c r="AD561" s="5"/>
      <c r="AE561" s="5"/>
      <c r="AF561" s="5"/>
      <c r="AG561" s="5"/>
      <c r="AH561" s="5"/>
      <c r="AI561" s="5"/>
      <c r="AJ561" s="5"/>
      <c r="AK561" s="5"/>
      <c r="AL561" s="5"/>
      <c r="AM561" s="5"/>
      <c r="AN561" s="5"/>
    </row>
    <row r="562" spans="1:40" ht="18.75" customHeight="1">
      <c r="A562" s="5"/>
      <c r="B562" s="5"/>
      <c r="C562" s="5"/>
      <c r="D562" s="5"/>
      <c r="E562" s="5"/>
      <c r="F562" s="5"/>
      <c r="G562" s="5"/>
      <c r="H562" s="5"/>
      <c r="I562" s="5"/>
      <c r="J562" s="5"/>
      <c r="K562" s="5"/>
      <c r="L562" s="5"/>
      <c r="M562" s="5"/>
      <c r="N562" s="5"/>
      <c r="O562" s="5"/>
      <c r="P562" s="5"/>
      <c r="Q562" s="5"/>
      <c r="R562" s="5"/>
      <c r="S562" s="5"/>
      <c r="T562" s="5"/>
      <c r="U562" s="5"/>
      <c r="V562" s="5"/>
      <c r="Y562" s="5"/>
      <c r="Z562" s="5"/>
      <c r="AA562" s="5"/>
      <c r="AB562" s="5"/>
      <c r="AC562" s="5"/>
      <c r="AD562" s="5"/>
      <c r="AE562" s="5"/>
      <c r="AF562" s="5"/>
      <c r="AG562" s="5"/>
      <c r="AH562" s="5"/>
      <c r="AI562" s="5"/>
      <c r="AJ562" s="5"/>
      <c r="AK562" s="5"/>
      <c r="AL562" s="5"/>
      <c r="AM562" s="5"/>
      <c r="AN562" s="5"/>
    </row>
    <row r="563" spans="1:40" ht="18.75" customHeight="1">
      <c r="A563" s="5"/>
      <c r="B563" s="5"/>
      <c r="C563" s="5"/>
      <c r="D563" s="5"/>
      <c r="E563" s="5"/>
      <c r="F563" s="5"/>
      <c r="G563" s="5"/>
      <c r="H563" s="5"/>
      <c r="I563" s="5"/>
      <c r="J563" s="5"/>
      <c r="K563" s="5"/>
      <c r="L563" s="5"/>
      <c r="M563" s="5"/>
      <c r="N563" s="5"/>
      <c r="O563" s="5"/>
      <c r="P563" s="5"/>
      <c r="Q563" s="5"/>
      <c r="R563" s="5"/>
      <c r="S563" s="5"/>
      <c r="T563" s="5"/>
      <c r="U563" s="5"/>
      <c r="V563" s="5"/>
      <c r="Y563" s="5"/>
      <c r="Z563" s="5"/>
      <c r="AA563" s="5"/>
      <c r="AB563" s="5"/>
      <c r="AC563" s="5"/>
      <c r="AD563" s="5"/>
      <c r="AE563" s="5"/>
      <c r="AF563" s="5"/>
      <c r="AG563" s="5"/>
      <c r="AH563" s="5"/>
      <c r="AI563" s="5"/>
      <c r="AJ563" s="5"/>
      <c r="AK563" s="5"/>
      <c r="AL563" s="5"/>
      <c r="AM563" s="5"/>
      <c r="AN563" s="5"/>
    </row>
    <row r="564" spans="1:40" ht="18.75" customHeight="1">
      <c r="A564" s="5"/>
      <c r="B564" s="5"/>
      <c r="C564" s="5"/>
      <c r="D564" s="5"/>
      <c r="E564" s="5"/>
      <c r="F564" s="5"/>
      <c r="G564" s="5"/>
      <c r="H564" s="5"/>
      <c r="I564" s="5"/>
      <c r="J564" s="5"/>
      <c r="K564" s="5"/>
      <c r="L564" s="5"/>
      <c r="M564" s="5"/>
      <c r="N564" s="5"/>
      <c r="O564" s="5"/>
      <c r="P564" s="5"/>
      <c r="Q564" s="5"/>
      <c r="R564" s="5"/>
      <c r="S564" s="5"/>
      <c r="T564" s="5"/>
      <c r="U564" s="5"/>
      <c r="V564" s="5"/>
      <c r="Y564" s="5"/>
      <c r="Z564" s="5"/>
      <c r="AA564" s="5"/>
      <c r="AB564" s="5"/>
      <c r="AC564" s="5"/>
      <c r="AD564" s="5"/>
      <c r="AE564" s="5"/>
      <c r="AF564" s="5"/>
      <c r="AG564" s="5"/>
      <c r="AH564" s="5"/>
      <c r="AI564" s="5"/>
      <c r="AJ564" s="5"/>
      <c r="AK564" s="5"/>
      <c r="AL564" s="5"/>
      <c r="AM564" s="5"/>
      <c r="AN564" s="5"/>
    </row>
    <row r="565" spans="1:40" ht="18.75" customHeight="1">
      <c r="A565" s="5"/>
      <c r="B565" s="5"/>
      <c r="C565" s="5"/>
      <c r="D565" s="5"/>
      <c r="E565" s="5"/>
      <c r="F565" s="5"/>
      <c r="G565" s="5"/>
      <c r="H565" s="5"/>
      <c r="I565" s="5"/>
      <c r="J565" s="5"/>
      <c r="K565" s="5"/>
      <c r="L565" s="5"/>
      <c r="M565" s="5"/>
      <c r="N565" s="5"/>
      <c r="O565" s="5"/>
      <c r="P565" s="5"/>
      <c r="Q565" s="5"/>
      <c r="R565" s="5"/>
      <c r="S565" s="5"/>
      <c r="T565" s="5"/>
      <c r="U565" s="5"/>
      <c r="V565" s="5"/>
      <c r="Y565" s="5"/>
      <c r="Z565" s="5"/>
      <c r="AA565" s="5"/>
      <c r="AB565" s="5"/>
      <c r="AC565" s="5"/>
      <c r="AD565" s="5"/>
      <c r="AE565" s="5"/>
      <c r="AF565" s="5"/>
      <c r="AG565" s="5"/>
      <c r="AH565" s="5"/>
      <c r="AI565" s="5"/>
      <c r="AJ565" s="5"/>
      <c r="AK565" s="5"/>
      <c r="AL565" s="5"/>
      <c r="AM565" s="5"/>
      <c r="AN565" s="5"/>
    </row>
    <row r="566" spans="1:40" ht="18.75" customHeight="1">
      <c r="A566" s="5"/>
      <c r="B566" s="5"/>
      <c r="C566" s="5"/>
      <c r="D566" s="5"/>
      <c r="E566" s="5"/>
      <c r="F566" s="5"/>
      <c r="G566" s="5"/>
      <c r="H566" s="5"/>
      <c r="I566" s="5"/>
      <c r="J566" s="5"/>
      <c r="K566" s="5"/>
      <c r="L566" s="5"/>
      <c r="M566" s="5"/>
      <c r="N566" s="5"/>
      <c r="O566" s="5"/>
      <c r="P566" s="5"/>
      <c r="Q566" s="5"/>
      <c r="R566" s="5"/>
      <c r="S566" s="5"/>
      <c r="T566" s="5"/>
      <c r="U566" s="5"/>
      <c r="V566" s="5"/>
      <c r="Y566" s="5"/>
      <c r="Z566" s="5"/>
      <c r="AA566" s="5"/>
      <c r="AB566" s="5"/>
      <c r="AC566" s="5"/>
      <c r="AD566" s="5"/>
      <c r="AE566" s="5"/>
      <c r="AF566" s="5"/>
      <c r="AG566" s="5"/>
      <c r="AH566" s="5"/>
      <c r="AI566" s="5"/>
      <c r="AJ566" s="5"/>
      <c r="AK566" s="5"/>
      <c r="AL566" s="5"/>
      <c r="AM566" s="5"/>
      <c r="AN566" s="5"/>
    </row>
    <row r="567" spans="1:40" ht="18.75" customHeight="1">
      <c r="A567" s="5"/>
      <c r="B567" s="5"/>
      <c r="C567" s="5"/>
      <c r="D567" s="5"/>
      <c r="E567" s="5"/>
      <c r="F567" s="5"/>
      <c r="G567" s="5"/>
      <c r="H567" s="5"/>
      <c r="I567" s="5"/>
      <c r="J567" s="5"/>
      <c r="K567" s="5"/>
      <c r="L567" s="5"/>
      <c r="M567" s="5"/>
      <c r="N567" s="5"/>
      <c r="O567" s="5"/>
      <c r="P567" s="5"/>
      <c r="Q567" s="5"/>
      <c r="R567" s="5"/>
      <c r="S567" s="5"/>
      <c r="T567" s="5"/>
      <c r="U567" s="5"/>
      <c r="V567" s="5"/>
      <c r="Y567" s="5"/>
      <c r="Z567" s="5"/>
      <c r="AA567" s="5"/>
      <c r="AB567" s="5"/>
      <c r="AC567" s="5"/>
      <c r="AD567" s="5"/>
      <c r="AE567" s="5"/>
      <c r="AF567" s="5"/>
      <c r="AG567" s="5"/>
      <c r="AH567" s="5"/>
      <c r="AI567" s="5"/>
      <c r="AJ567" s="5"/>
      <c r="AK567" s="5"/>
      <c r="AL567" s="5"/>
      <c r="AM567" s="5"/>
      <c r="AN567" s="5"/>
    </row>
    <row r="568" spans="1:40" ht="18.75" customHeight="1">
      <c r="A568" s="5"/>
      <c r="B568" s="5"/>
      <c r="C568" s="5"/>
      <c r="D568" s="5"/>
      <c r="E568" s="5"/>
      <c r="F568" s="5"/>
      <c r="G568" s="5"/>
      <c r="H568" s="5"/>
      <c r="I568" s="5"/>
      <c r="J568" s="5"/>
      <c r="K568" s="5"/>
      <c r="L568" s="5"/>
      <c r="M568" s="5"/>
      <c r="N568" s="5"/>
      <c r="O568" s="5"/>
      <c r="P568" s="5"/>
      <c r="Q568" s="5"/>
      <c r="R568" s="5"/>
      <c r="S568" s="5"/>
      <c r="T568" s="5"/>
      <c r="U568" s="5"/>
      <c r="V568" s="5"/>
      <c r="Y568" s="5"/>
      <c r="Z568" s="5"/>
      <c r="AA568" s="5"/>
      <c r="AB568" s="5"/>
      <c r="AC568" s="5"/>
      <c r="AD568" s="5"/>
      <c r="AE568" s="5"/>
      <c r="AF568" s="5"/>
      <c r="AG568" s="5"/>
      <c r="AH568" s="5"/>
      <c r="AI568" s="5"/>
      <c r="AJ568" s="5"/>
      <c r="AK568" s="5"/>
      <c r="AL568" s="5"/>
      <c r="AM568" s="5"/>
      <c r="AN568" s="5"/>
    </row>
    <row r="569" spans="1:40" ht="18.75" customHeight="1">
      <c r="A569" s="5"/>
      <c r="B569" s="5"/>
      <c r="C569" s="5"/>
      <c r="D569" s="5"/>
      <c r="E569" s="5"/>
      <c r="F569" s="5"/>
      <c r="G569" s="5"/>
      <c r="H569" s="5"/>
      <c r="I569" s="5"/>
      <c r="J569" s="5"/>
      <c r="K569" s="5"/>
      <c r="L569" s="5"/>
      <c r="M569" s="5"/>
      <c r="N569" s="5"/>
      <c r="O569" s="5"/>
      <c r="P569" s="5"/>
      <c r="Q569" s="5"/>
      <c r="R569" s="5"/>
      <c r="S569" s="5"/>
      <c r="T569" s="5"/>
      <c r="U569" s="5"/>
      <c r="V569" s="5"/>
      <c r="Y569" s="5"/>
      <c r="Z569" s="5"/>
      <c r="AA569" s="5"/>
      <c r="AB569" s="5"/>
      <c r="AC569" s="5"/>
      <c r="AD569" s="5"/>
      <c r="AE569" s="5"/>
      <c r="AF569" s="5"/>
      <c r="AG569" s="5"/>
      <c r="AH569" s="5"/>
      <c r="AI569" s="5"/>
      <c r="AJ569" s="5"/>
      <c r="AK569" s="5"/>
      <c r="AL569" s="5"/>
      <c r="AM569" s="5"/>
      <c r="AN569" s="5"/>
    </row>
    <row r="570" spans="1:40" ht="18.75" customHeight="1">
      <c r="A570" s="5"/>
      <c r="B570" s="5"/>
      <c r="C570" s="5"/>
      <c r="D570" s="5"/>
      <c r="E570" s="5"/>
      <c r="F570" s="5"/>
      <c r="G570" s="5"/>
      <c r="H570" s="5"/>
      <c r="I570" s="5"/>
      <c r="J570" s="5"/>
      <c r="K570" s="5"/>
      <c r="L570" s="5"/>
      <c r="M570" s="5"/>
      <c r="N570" s="5"/>
      <c r="O570" s="5"/>
      <c r="P570" s="5"/>
      <c r="Q570" s="5"/>
      <c r="R570" s="5"/>
      <c r="S570" s="5"/>
      <c r="T570" s="5"/>
      <c r="U570" s="5"/>
      <c r="V570" s="5"/>
      <c r="Y570" s="5"/>
      <c r="Z570" s="5"/>
      <c r="AA570" s="5"/>
      <c r="AB570" s="5"/>
      <c r="AC570" s="5"/>
      <c r="AD570" s="5"/>
      <c r="AE570" s="5"/>
      <c r="AF570" s="5"/>
      <c r="AG570" s="5"/>
      <c r="AH570" s="5"/>
      <c r="AI570" s="5"/>
      <c r="AJ570" s="5"/>
      <c r="AK570" s="5"/>
      <c r="AL570" s="5"/>
      <c r="AM570" s="5"/>
      <c r="AN570" s="5"/>
    </row>
    <row r="571" spans="1:40" ht="18.75" customHeight="1">
      <c r="A571" s="5"/>
      <c r="B571" s="5"/>
      <c r="C571" s="5"/>
      <c r="D571" s="5"/>
      <c r="E571" s="5"/>
      <c r="F571" s="5"/>
      <c r="G571" s="5"/>
      <c r="H571" s="5"/>
      <c r="I571" s="5"/>
      <c r="J571" s="5"/>
      <c r="K571" s="5"/>
      <c r="L571" s="5"/>
      <c r="M571" s="5"/>
      <c r="N571" s="5"/>
      <c r="O571" s="5"/>
      <c r="P571" s="5"/>
      <c r="Q571" s="5"/>
      <c r="R571" s="5"/>
      <c r="S571" s="5"/>
      <c r="T571" s="5"/>
      <c r="U571" s="5"/>
      <c r="V571" s="5"/>
      <c r="Y571" s="5"/>
      <c r="Z571" s="5"/>
      <c r="AA571" s="5"/>
      <c r="AB571" s="5"/>
      <c r="AC571" s="5"/>
      <c r="AD571" s="5"/>
      <c r="AE571" s="5"/>
      <c r="AF571" s="5"/>
      <c r="AG571" s="5"/>
      <c r="AH571" s="5"/>
      <c r="AI571" s="5"/>
      <c r="AJ571" s="5"/>
      <c r="AK571" s="5"/>
      <c r="AL571" s="5"/>
      <c r="AM571" s="5"/>
      <c r="AN571" s="5"/>
    </row>
    <row r="572" spans="1:40" ht="18.75" customHeight="1">
      <c r="A572" s="5"/>
      <c r="B572" s="5"/>
      <c r="C572" s="5"/>
      <c r="D572" s="5"/>
      <c r="E572" s="5"/>
      <c r="F572" s="5"/>
      <c r="G572" s="5"/>
      <c r="H572" s="5"/>
      <c r="I572" s="5"/>
      <c r="J572" s="5"/>
      <c r="K572" s="5"/>
      <c r="L572" s="5"/>
      <c r="M572" s="5"/>
      <c r="N572" s="5"/>
      <c r="O572" s="5"/>
      <c r="P572" s="5"/>
      <c r="Q572" s="5"/>
      <c r="R572" s="5"/>
      <c r="S572" s="5"/>
      <c r="T572" s="5"/>
      <c r="U572" s="5"/>
      <c r="V572" s="5"/>
      <c r="Y572" s="5"/>
      <c r="Z572" s="5"/>
      <c r="AA572" s="5"/>
      <c r="AB572" s="5"/>
      <c r="AC572" s="5"/>
      <c r="AD572" s="5"/>
      <c r="AE572" s="5"/>
      <c r="AF572" s="5"/>
      <c r="AG572" s="5"/>
      <c r="AH572" s="5"/>
      <c r="AI572" s="5"/>
      <c r="AJ572" s="5"/>
      <c r="AK572" s="5"/>
      <c r="AL572" s="5"/>
      <c r="AM572" s="5"/>
      <c r="AN572" s="5"/>
    </row>
    <row r="573" spans="1:40" ht="18.75" customHeight="1">
      <c r="A573" s="5"/>
      <c r="B573" s="5"/>
      <c r="C573" s="5"/>
      <c r="D573" s="5"/>
      <c r="E573" s="5"/>
      <c r="F573" s="5"/>
      <c r="G573" s="5"/>
      <c r="H573" s="5"/>
      <c r="I573" s="5"/>
      <c r="J573" s="5"/>
      <c r="K573" s="5"/>
      <c r="L573" s="5"/>
      <c r="M573" s="5"/>
      <c r="N573" s="5"/>
      <c r="O573" s="5"/>
      <c r="P573" s="5"/>
      <c r="Q573" s="5"/>
      <c r="R573" s="5"/>
      <c r="S573" s="5"/>
      <c r="T573" s="5"/>
      <c r="U573" s="5"/>
      <c r="V573" s="5"/>
      <c r="Y573" s="5"/>
      <c r="Z573" s="5"/>
      <c r="AA573" s="5"/>
      <c r="AB573" s="5"/>
      <c r="AC573" s="5"/>
      <c r="AD573" s="5"/>
      <c r="AE573" s="5"/>
      <c r="AF573" s="5"/>
      <c r="AG573" s="5"/>
      <c r="AH573" s="5"/>
      <c r="AI573" s="5"/>
      <c r="AJ573" s="5"/>
      <c r="AK573" s="5"/>
      <c r="AL573" s="5"/>
      <c r="AM573" s="5"/>
      <c r="AN573" s="5"/>
    </row>
    <row r="574" spans="1:40" ht="18.75" customHeight="1">
      <c r="A574" s="5"/>
      <c r="B574" s="5"/>
      <c r="C574" s="5"/>
      <c r="D574" s="5"/>
      <c r="E574" s="5"/>
      <c r="F574" s="5"/>
      <c r="G574" s="5"/>
      <c r="H574" s="5"/>
      <c r="I574" s="5"/>
      <c r="J574" s="5"/>
      <c r="K574" s="5"/>
      <c r="L574" s="5"/>
      <c r="M574" s="5"/>
      <c r="N574" s="5"/>
      <c r="O574" s="5"/>
      <c r="P574" s="5"/>
      <c r="Q574" s="5"/>
      <c r="R574" s="5"/>
      <c r="S574" s="5"/>
      <c r="T574" s="5"/>
      <c r="U574" s="5"/>
      <c r="V574" s="5"/>
      <c r="Y574" s="5"/>
      <c r="Z574" s="5"/>
      <c r="AA574" s="5"/>
      <c r="AB574" s="5"/>
      <c r="AC574" s="5"/>
      <c r="AD574" s="5"/>
      <c r="AE574" s="5"/>
      <c r="AF574" s="5"/>
      <c r="AG574" s="5"/>
      <c r="AH574" s="5"/>
      <c r="AI574" s="5"/>
      <c r="AJ574" s="5"/>
      <c r="AK574" s="5"/>
      <c r="AL574" s="5"/>
      <c r="AM574" s="5"/>
      <c r="AN574" s="5"/>
    </row>
    <row r="575" spans="1:40" ht="18.75" customHeight="1">
      <c r="A575" s="5"/>
      <c r="B575" s="5"/>
      <c r="C575" s="5"/>
      <c r="D575" s="5"/>
      <c r="E575" s="5"/>
      <c r="F575" s="5"/>
      <c r="G575" s="5"/>
      <c r="H575" s="5"/>
      <c r="I575" s="5"/>
      <c r="J575" s="5"/>
      <c r="K575" s="5"/>
      <c r="L575" s="5"/>
      <c r="M575" s="5"/>
      <c r="N575" s="5"/>
      <c r="O575" s="5"/>
      <c r="P575" s="5"/>
      <c r="Q575" s="5"/>
      <c r="R575" s="5"/>
      <c r="S575" s="5"/>
      <c r="T575" s="5"/>
      <c r="U575" s="5"/>
      <c r="V575" s="5"/>
      <c r="Y575" s="5"/>
      <c r="Z575" s="5"/>
      <c r="AA575" s="5"/>
      <c r="AB575" s="5"/>
      <c r="AC575" s="5"/>
      <c r="AD575" s="5"/>
      <c r="AE575" s="5"/>
      <c r="AF575" s="5"/>
      <c r="AG575" s="5"/>
      <c r="AH575" s="5"/>
      <c r="AI575" s="5"/>
      <c r="AJ575" s="5"/>
      <c r="AK575" s="5"/>
      <c r="AL575" s="5"/>
      <c r="AM575" s="5"/>
      <c r="AN575" s="5"/>
    </row>
    <row r="576" spans="1:40" ht="18.75" customHeight="1">
      <c r="A576" s="5"/>
      <c r="B576" s="5"/>
      <c r="C576" s="5"/>
      <c r="D576" s="5"/>
      <c r="E576" s="5"/>
      <c r="F576" s="5"/>
      <c r="G576" s="5"/>
      <c r="H576" s="5"/>
      <c r="I576" s="5"/>
      <c r="J576" s="5"/>
      <c r="K576" s="5"/>
      <c r="L576" s="5"/>
      <c r="M576" s="5"/>
      <c r="N576" s="5"/>
      <c r="O576" s="5"/>
      <c r="P576" s="5"/>
      <c r="Q576" s="5"/>
      <c r="R576" s="5"/>
      <c r="S576" s="5"/>
      <c r="T576" s="5"/>
      <c r="U576" s="5"/>
      <c r="V576" s="5"/>
      <c r="Y576" s="5"/>
      <c r="Z576" s="5"/>
      <c r="AA576" s="5"/>
      <c r="AB576" s="5"/>
      <c r="AC576" s="5"/>
      <c r="AD576" s="5"/>
      <c r="AE576" s="5"/>
      <c r="AF576" s="5"/>
      <c r="AG576" s="5"/>
      <c r="AH576" s="5"/>
      <c r="AI576" s="5"/>
      <c r="AJ576" s="5"/>
      <c r="AK576" s="5"/>
      <c r="AL576" s="5"/>
      <c r="AM576" s="5"/>
      <c r="AN576" s="5"/>
    </row>
    <row r="577" spans="1:40" ht="18.75" customHeight="1">
      <c r="A577" s="5"/>
      <c r="B577" s="5"/>
      <c r="C577" s="5"/>
      <c r="D577" s="5"/>
      <c r="E577" s="5"/>
      <c r="F577" s="5"/>
      <c r="G577" s="5"/>
      <c r="H577" s="5"/>
      <c r="I577" s="5"/>
      <c r="J577" s="5"/>
      <c r="K577" s="5"/>
      <c r="L577" s="5"/>
      <c r="M577" s="5"/>
      <c r="N577" s="5"/>
      <c r="O577" s="5"/>
      <c r="P577" s="5"/>
      <c r="Q577" s="5"/>
      <c r="R577" s="5"/>
      <c r="S577" s="5"/>
      <c r="T577" s="5"/>
      <c r="U577" s="5"/>
      <c r="V577" s="5"/>
      <c r="Y577" s="5"/>
      <c r="Z577" s="5"/>
      <c r="AA577" s="5"/>
      <c r="AB577" s="5"/>
      <c r="AC577" s="5"/>
      <c r="AD577" s="5"/>
      <c r="AE577" s="5"/>
      <c r="AF577" s="5"/>
      <c r="AG577" s="5"/>
      <c r="AH577" s="5"/>
      <c r="AI577" s="5"/>
      <c r="AJ577" s="5"/>
      <c r="AK577" s="5"/>
      <c r="AL577" s="5"/>
      <c r="AM577" s="5"/>
      <c r="AN577" s="5"/>
    </row>
    <row r="578" spans="1:40" ht="18.75" customHeight="1">
      <c r="A578" s="5"/>
      <c r="B578" s="5"/>
      <c r="C578" s="5"/>
      <c r="D578" s="5"/>
      <c r="E578" s="5"/>
      <c r="F578" s="5"/>
      <c r="G578" s="5"/>
      <c r="H578" s="5"/>
      <c r="I578" s="5"/>
      <c r="J578" s="5"/>
      <c r="K578" s="5"/>
      <c r="L578" s="5"/>
      <c r="M578" s="5"/>
      <c r="N578" s="5"/>
      <c r="O578" s="5"/>
      <c r="P578" s="5"/>
      <c r="Q578" s="5"/>
      <c r="R578" s="5"/>
      <c r="S578" s="5"/>
      <c r="T578" s="5"/>
      <c r="U578" s="5"/>
      <c r="V578" s="5"/>
      <c r="Y578" s="5"/>
      <c r="Z578" s="5"/>
      <c r="AA578" s="5"/>
      <c r="AB578" s="5"/>
      <c r="AC578" s="5"/>
      <c r="AD578" s="5"/>
      <c r="AE578" s="5"/>
      <c r="AF578" s="5"/>
      <c r="AG578" s="5"/>
      <c r="AH578" s="5"/>
      <c r="AI578" s="5"/>
      <c r="AJ578" s="5"/>
      <c r="AK578" s="5"/>
      <c r="AL578" s="5"/>
      <c r="AM578" s="5"/>
      <c r="AN578" s="5"/>
    </row>
    <row r="579" spans="1:40" ht="18.75" customHeight="1">
      <c r="A579" s="5"/>
      <c r="B579" s="5"/>
      <c r="C579" s="5"/>
      <c r="D579" s="5"/>
      <c r="E579" s="5"/>
      <c r="F579" s="5"/>
      <c r="G579" s="5"/>
      <c r="H579" s="5"/>
      <c r="I579" s="5"/>
      <c r="J579" s="5"/>
      <c r="K579" s="5"/>
      <c r="L579" s="5"/>
      <c r="M579" s="5"/>
      <c r="N579" s="5"/>
      <c r="O579" s="5"/>
      <c r="P579" s="5"/>
      <c r="Q579" s="5"/>
      <c r="R579" s="5"/>
      <c r="S579" s="5"/>
      <c r="T579" s="5"/>
      <c r="U579" s="5"/>
      <c r="V579" s="5"/>
      <c r="Y579" s="5"/>
      <c r="Z579" s="5"/>
      <c r="AA579" s="5"/>
      <c r="AB579" s="5"/>
      <c r="AC579" s="5"/>
      <c r="AD579" s="5"/>
      <c r="AE579" s="5"/>
      <c r="AF579" s="5"/>
      <c r="AG579" s="5"/>
      <c r="AH579" s="5"/>
      <c r="AI579" s="5"/>
      <c r="AJ579" s="5"/>
      <c r="AK579" s="5"/>
      <c r="AL579" s="5"/>
      <c r="AM579" s="5"/>
      <c r="AN579" s="5"/>
    </row>
    <row r="580" spans="1:40" ht="18.75" customHeight="1">
      <c r="A580" s="5"/>
      <c r="B580" s="5"/>
      <c r="C580" s="5"/>
      <c r="D580" s="5"/>
      <c r="E580" s="5"/>
      <c r="F580" s="5"/>
      <c r="G580" s="5"/>
      <c r="H580" s="5"/>
      <c r="I580" s="5"/>
      <c r="J580" s="5"/>
      <c r="K580" s="5"/>
      <c r="L580" s="5"/>
      <c r="M580" s="5"/>
      <c r="N580" s="5"/>
      <c r="O580" s="5"/>
      <c r="P580" s="5"/>
      <c r="Q580" s="5"/>
      <c r="R580" s="5"/>
      <c r="S580" s="5"/>
      <c r="T580" s="5"/>
      <c r="U580" s="5"/>
      <c r="V580" s="5"/>
      <c r="Y580" s="5"/>
      <c r="Z580" s="5"/>
      <c r="AA580" s="5"/>
      <c r="AB580" s="5"/>
      <c r="AC580" s="5"/>
      <c r="AD580" s="5"/>
      <c r="AE580" s="5"/>
      <c r="AF580" s="5"/>
      <c r="AG580" s="5"/>
      <c r="AH580" s="5"/>
      <c r="AI580" s="5"/>
      <c r="AJ580" s="5"/>
      <c r="AK580" s="5"/>
      <c r="AL580" s="5"/>
      <c r="AM580" s="5"/>
      <c r="AN580" s="5"/>
    </row>
    <row r="581" spans="1:40" ht="18.75" customHeight="1">
      <c r="A581" s="5"/>
      <c r="B581" s="5"/>
      <c r="C581" s="5"/>
      <c r="D581" s="5"/>
      <c r="E581" s="5"/>
      <c r="F581" s="5"/>
      <c r="G581" s="5"/>
      <c r="H581" s="5"/>
      <c r="I581" s="5"/>
      <c r="J581" s="5"/>
      <c r="K581" s="5"/>
      <c r="L581" s="5"/>
      <c r="M581" s="5"/>
      <c r="N581" s="5"/>
      <c r="O581" s="5"/>
      <c r="P581" s="5"/>
      <c r="Q581" s="5"/>
      <c r="R581" s="5"/>
      <c r="S581" s="5"/>
      <c r="T581" s="5"/>
      <c r="U581" s="5"/>
      <c r="V581" s="5"/>
      <c r="Y581" s="5"/>
      <c r="Z581" s="5"/>
      <c r="AA581" s="5"/>
      <c r="AB581" s="5"/>
      <c r="AC581" s="5"/>
      <c r="AD581" s="5"/>
      <c r="AE581" s="5"/>
      <c r="AF581" s="5"/>
      <c r="AG581" s="5"/>
      <c r="AH581" s="5"/>
      <c r="AI581" s="5"/>
      <c r="AJ581" s="5"/>
      <c r="AK581" s="5"/>
      <c r="AL581" s="5"/>
      <c r="AM581" s="5"/>
      <c r="AN581" s="5"/>
    </row>
    <row r="582" spans="1:40" ht="18.75" customHeight="1">
      <c r="A582" s="5"/>
      <c r="B582" s="5"/>
      <c r="C582" s="5"/>
      <c r="D582" s="5"/>
      <c r="E582" s="5"/>
      <c r="F582" s="5"/>
      <c r="G582" s="5"/>
      <c r="H582" s="5"/>
      <c r="I582" s="5"/>
      <c r="J582" s="5"/>
      <c r="K582" s="5"/>
      <c r="L582" s="5"/>
      <c r="M582" s="5"/>
      <c r="N582" s="5"/>
      <c r="O582" s="5"/>
      <c r="P582" s="5"/>
      <c r="Q582" s="5"/>
      <c r="R582" s="5"/>
      <c r="S582" s="5"/>
      <c r="T582" s="5"/>
      <c r="U582" s="5"/>
      <c r="V582" s="5"/>
      <c r="Y582" s="5"/>
      <c r="Z582" s="5"/>
      <c r="AA582" s="5"/>
      <c r="AB582" s="5"/>
      <c r="AC582" s="5"/>
      <c r="AD582" s="5"/>
      <c r="AE582" s="5"/>
      <c r="AF582" s="5"/>
      <c r="AG582" s="5"/>
      <c r="AH582" s="5"/>
      <c r="AI582" s="5"/>
      <c r="AJ582" s="5"/>
      <c r="AK582" s="5"/>
      <c r="AL582" s="5"/>
      <c r="AM582" s="5"/>
      <c r="AN582" s="5"/>
    </row>
    <row r="583" spans="1:40" ht="18.75" customHeight="1">
      <c r="A583" s="5"/>
      <c r="B583" s="5"/>
      <c r="C583" s="5"/>
      <c r="D583" s="5"/>
      <c r="E583" s="5"/>
      <c r="F583" s="5"/>
      <c r="G583" s="5"/>
      <c r="H583" s="5"/>
      <c r="I583" s="5"/>
      <c r="J583" s="5"/>
      <c r="K583" s="5"/>
      <c r="L583" s="5"/>
      <c r="M583" s="5"/>
      <c r="N583" s="5"/>
      <c r="O583" s="5"/>
      <c r="P583" s="5"/>
      <c r="Q583" s="5"/>
      <c r="R583" s="5"/>
      <c r="S583" s="5"/>
      <c r="T583" s="5"/>
      <c r="U583" s="5"/>
      <c r="V583" s="5"/>
      <c r="Y583" s="5"/>
      <c r="Z583" s="5"/>
      <c r="AA583" s="5"/>
      <c r="AB583" s="5"/>
      <c r="AC583" s="5"/>
      <c r="AD583" s="5"/>
      <c r="AE583" s="5"/>
      <c r="AF583" s="5"/>
      <c r="AG583" s="5"/>
      <c r="AH583" s="5"/>
      <c r="AI583" s="5"/>
      <c r="AJ583" s="5"/>
      <c r="AK583" s="5"/>
      <c r="AL583" s="5"/>
      <c r="AM583" s="5"/>
      <c r="AN583" s="5"/>
    </row>
    <row r="584" spans="1:40" ht="18.75" customHeight="1">
      <c r="A584" s="5"/>
      <c r="B584" s="5"/>
      <c r="C584" s="5"/>
      <c r="D584" s="5"/>
      <c r="E584" s="5"/>
      <c r="F584" s="5"/>
      <c r="G584" s="5"/>
      <c r="H584" s="5"/>
      <c r="I584" s="5"/>
      <c r="J584" s="5"/>
      <c r="K584" s="5"/>
      <c r="L584" s="5"/>
      <c r="M584" s="5"/>
      <c r="N584" s="5"/>
      <c r="O584" s="5"/>
      <c r="P584" s="5"/>
      <c r="Q584" s="5"/>
      <c r="R584" s="5"/>
      <c r="S584" s="5"/>
      <c r="T584" s="5"/>
      <c r="U584" s="5"/>
      <c r="V584" s="5"/>
      <c r="Y584" s="5"/>
      <c r="Z584" s="5"/>
      <c r="AA584" s="5"/>
      <c r="AB584" s="5"/>
      <c r="AC584" s="5"/>
      <c r="AD584" s="5"/>
      <c r="AE584" s="5"/>
      <c r="AF584" s="5"/>
      <c r="AG584" s="5"/>
      <c r="AH584" s="5"/>
      <c r="AI584" s="5"/>
      <c r="AJ584" s="5"/>
      <c r="AK584" s="5"/>
      <c r="AL584" s="5"/>
      <c r="AM584" s="5"/>
      <c r="AN584" s="5"/>
    </row>
    <row r="585" spans="1:40" ht="18.75" customHeight="1">
      <c r="A585" s="5"/>
      <c r="B585" s="5"/>
      <c r="C585" s="5"/>
      <c r="D585" s="5"/>
      <c r="E585" s="5"/>
      <c r="F585" s="5"/>
      <c r="G585" s="5"/>
      <c r="H585" s="5"/>
      <c r="I585" s="5"/>
      <c r="J585" s="5"/>
      <c r="K585" s="5"/>
      <c r="L585" s="5"/>
      <c r="M585" s="5"/>
      <c r="N585" s="5"/>
      <c r="O585" s="5"/>
      <c r="P585" s="5"/>
      <c r="Q585" s="5"/>
      <c r="R585" s="5"/>
      <c r="S585" s="5"/>
      <c r="T585" s="5"/>
      <c r="U585" s="5"/>
      <c r="V585" s="5"/>
      <c r="Y585" s="5"/>
      <c r="Z585" s="5"/>
      <c r="AA585" s="5"/>
      <c r="AB585" s="5"/>
      <c r="AC585" s="5"/>
      <c r="AD585" s="5"/>
      <c r="AE585" s="5"/>
      <c r="AF585" s="5"/>
      <c r="AG585" s="5"/>
      <c r="AH585" s="5"/>
      <c r="AI585" s="5"/>
      <c r="AJ585" s="5"/>
      <c r="AK585" s="5"/>
      <c r="AL585" s="5"/>
      <c r="AM585" s="5"/>
      <c r="AN585" s="5"/>
    </row>
    <row r="586" spans="1:40" ht="18.75" customHeight="1">
      <c r="A586" s="5"/>
      <c r="B586" s="5"/>
      <c r="C586" s="5"/>
      <c r="D586" s="5"/>
      <c r="E586" s="5"/>
      <c r="F586" s="5"/>
      <c r="G586" s="5"/>
      <c r="H586" s="5"/>
      <c r="I586" s="5"/>
      <c r="J586" s="5"/>
      <c r="K586" s="5"/>
      <c r="L586" s="5"/>
      <c r="M586" s="5"/>
      <c r="N586" s="5"/>
      <c r="O586" s="5"/>
      <c r="P586" s="5"/>
      <c r="Q586" s="5"/>
      <c r="R586" s="5"/>
      <c r="S586" s="5"/>
      <c r="T586" s="5"/>
      <c r="U586" s="5"/>
      <c r="V586" s="5"/>
      <c r="Y586" s="5"/>
      <c r="Z586" s="5"/>
      <c r="AA586" s="5"/>
      <c r="AB586" s="5"/>
      <c r="AC586" s="5"/>
      <c r="AD586" s="5"/>
      <c r="AE586" s="5"/>
      <c r="AF586" s="5"/>
      <c r="AG586" s="5"/>
      <c r="AH586" s="5"/>
      <c r="AI586" s="5"/>
      <c r="AJ586" s="5"/>
      <c r="AK586" s="5"/>
      <c r="AL586" s="5"/>
      <c r="AM586" s="5"/>
      <c r="AN586" s="5"/>
    </row>
    <row r="587" spans="1:40" ht="18.75" customHeight="1">
      <c r="A587" s="5"/>
      <c r="B587" s="5"/>
      <c r="C587" s="5"/>
      <c r="D587" s="5"/>
      <c r="E587" s="5"/>
      <c r="F587" s="5"/>
      <c r="G587" s="5"/>
      <c r="H587" s="5"/>
      <c r="I587" s="5"/>
      <c r="J587" s="5"/>
      <c r="K587" s="5"/>
      <c r="L587" s="5"/>
      <c r="M587" s="5"/>
      <c r="N587" s="5"/>
      <c r="O587" s="5"/>
      <c r="P587" s="5"/>
      <c r="Q587" s="5"/>
      <c r="R587" s="5"/>
      <c r="S587" s="5"/>
      <c r="T587" s="5"/>
      <c r="U587" s="5"/>
      <c r="V587" s="5"/>
      <c r="Y587" s="5"/>
      <c r="Z587" s="5"/>
      <c r="AA587" s="5"/>
      <c r="AB587" s="5"/>
      <c r="AC587" s="5"/>
      <c r="AD587" s="5"/>
      <c r="AE587" s="5"/>
      <c r="AF587" s="5"/>
      <c r="AG587" s="5"/>
      <c r="AH587" s="5"/>
      <c r="AI587" s="5"/>
      <c r="AJ587" s="5"/>
      <c r="AK587" s="5"/>
      <c r="AL587" s="5"/>
      <c r="AM587" s="5"/>
      <c r="AN587" s="5"/>
    </row>
    <row r="588" spans="1:40" ht="18.75" customHeight="1">
      <c r="A588" s="5"/>
      <c r="B588" s="5"/>
      <c r="C588" s="5"/>
      <c r="D588" s="5"/>
      <c r="E588" s="5"/>
      <c r="F588" s="5"/>
      <c r="G588" s="5"/>
      <c r="H588" s="5"/>
      <c r="I588" s="5"/>
      <c r="J588" s="5"/>
      <c r="K588" s="5"/>
      <c r="L588" s="5"/>
      <c r="M588" s="5"/>
      <c r="N588" s="5"/>
      <c r="O588" s="5"/>
      <c r="P588" s="5"/>
      <c r="Q588" s="5"/>
      <c r="R588" s="5"/>
      <c r="S588" s="5"/>
      <c r="T588" s="5"/>
      <c r="U588" s="5"/>
      <c r="V588" s="5"/>
      <c r="Y588" s="5"/>
      <c r="Z588" s="5"/>
      <c r="AA588" s="5"/>
      <c r="AB588" s="5"/>
      <c r="AC588" s="5"/>
      <c r="AD588" s="5"/>
      <c r="AE588" s="5"/>
      <c r="AF588" s="5"/>
      <c r="AG588" s="5"/>
      <c r="AH588" s="5"/>
      <c r="AI588" s="5"/>
      <c r="AJ588" s="5"/>
      <c r="AK588" s="5"/>
      <c r="AL588" s="5"/>
      <c r="AM588" s="5"/>
      <c r="AN588" s="5"/>
    </row>
    <row r="589" spans="1:40" ht="18.75" customHeight="1">
      <c r="A589" s="5"/>
      <c r="B589" s="5"/>
      <c r="C589" s="5"/>
      <c r="D589" s="5"/>
      <c r="E589" s="5"/>
      <c r="F589" s="5"/>
      <c r="G589" s="5"/>
      <c r="H589" s="5"/>
      <c r="I589" s="5"/>
      <c r="J589" s="5"/>
      <c r="K589" s="5"/>
      <c r="L589" s="5"/>
      <c r="M589" s="5"/>
      <c r="N589" s="5"/>
      <c r="O589" s="5"/>
      <c r="P589" s="5"/>
      <c r="Q589" s="5"/>
      <c r="R589" s="5"/>
      <c r="S589" s="5"/>
      <c r="T589" s="5"/>
      <c r="U589" s="5"/>
      <c r="V589" s="5"/>
      <c r="Y589" s="5"/>
      <c r="Z589" s="5"/>
      <c r="AA589" s="5"/>
      <c r="AB589" s="5"/>
      <c r="AC589" s="5"/>
      <c r="AD589" s="5"/>
      <c r="AE589" s="5"/>
      <c r="AF589" s="5"/>
      <c r="AG589" s="5"/>
      <c r="AH589" s="5"/>
      <c r="AI589" s="5"/>
      <c r="AJ589" s="5"/>
      <c r="AK589" s="5"/>
      <c r="AL589" s="5"/>
      <c r="AM589" s="5"/>
      <c r="AN589" s="5"/>
    </row>
    <row r="590" spans="1:40" ht="18.75" customHeight="1">
      <c r="A590" s="5"/>
      <c r="B590" s="5"/>
      <c r="C590" s="5"/>
      <c r="D590" s="5"/>
      <c r="E590" s="5"/>
      <c r="F590" s="5"/>
      <c r="G590" s="5"/>
      <c r="H590" s="5"/>
      <c r="I590" s="5"/>
      <c r="J590" s="5"/>
      <c r="K590" s="5"/>
      <c r="L590" s="5"/>
      <c r="M590" s="5"/>
      <c r="N590" s="5"/>
      <c r="O590" s="5"/>
      <c r="P590" s="5"/>
      <c r="Q590" s="5"/>
      <c r="R590" s="5"/>
      <c r="S590" s="5"/>
      <c r="T590" s="5"/>
      <c r="U590" s="5"/>
      <c r="V590" s="5"/>
      <c r="Y590" s="5"/>
      <c r="Z590" s="5"/>
      <c r="AA590" s="5"/>
      <c r="AB590" s="5"/>
      <c r="AC590" s="5"/>
      <c r="AD590" s="5"/>
      <c r="AE590" s="5"/>
      <c r="AF590" s="5"/>
      <c r="AG590" s="5"/>
      <c r="AH590" s="5"/>
      <c r="AI590" s="5"/>
      <c r="AJ590" s="5"/>
      <c r="AK590" s="5"/>
      <c r="AL590" s="5"/>
      <c r="AM590" s="5"/>
      <c r="AN590" s="5"/>
    </row>
    <row r="591" spans="1:40" ht="18.75" customHeight="1">
      <c r="A591" s="5"/>
      <c r="B591" s="5"/>
      <c r="C591" s="5"/>
      <c r="D591" s="5"/>
      <c r="E591" s="5"/>
      <c r="F591" s="5"/>
      <c r="G591" s="5"/>
      <c r="H591" s="5"/>
      <c r="I591" s="5"/>
      <c r="J591" s="5"/>
      <c r="K591" s="5"/>
      <c r="L591" s="5"/>
      <c r="M591" s="5"/>
      <c r="N591" s="5"/>
      <c r="O591" s="5"/>
      <c r="P591" s="5"/>
      <c r="Q591" s="5"/>
      <c r="R591" s="5"/>
      <c r="S591" s="5"/>
      <c r="T591" s="5"/>
      <c r="U591" s="5"/>
      <c r="V591" s="5"/>
      <c r="Y591" s="5"/>
      <c r="Z591" s="5"/>
      <c r="AA591" s="5"/>
      <c r="AB591" s="5"/>
      <c r="AC591" s="5"/>
      <c r="AD591" s="5"/>
      <c r="AE591" s="5"/>
      <c r="AF591" s="5"/>
      <c r="AG591" s="5"/>
      <c r="AH591" s="5"/>
      <c r="AI591" s="5"/>
      <c r="AJ591" s="5"/>
      <c r="AK591" s="5"/>
      <c r="AL591" s="5"/>
      <c r="AM591" s="5"/>
      <c r="AN591" s="5"/>
    </row>
    <row r="592" spans="1:40" ht="18.75" customHeight="1">
      <c r="A592" s="5"/>
      <c r="B592" s="5"/>
      <c r="C592" s="5"/>
      <c r="D592" s="5"/>
      <c r="E592" s="5"/>
      <c r="F592" s="5"/>
      <c r="G592" s="5"/>
      <c r="H592" s="5"/>
      <c r="I592" s="5"/>
      <c r="J592" s="5"/>
      <c r="K592" s="5"/>
      <c r="L592" s="5"/>
      <c r="M592" s="5"/>
      <c r="N592" s="5"/>
      <c r="O592" s="5"/>
      <c r="P592" s="5"/>
      <c r="Q592" s="5"/>
      <c r="R592" s="5"/>
      <c r="S592" s="5"/>
      <c r="T592" s="5"/>
      <c r="U592" s="5"/>
      <c r="V592" s="5"/>
      <c r="Y592" s="5"/>
      <c r="Z592" s="5"/>
      <c r="AA592" s="5"/>
      <c r="AB592" s="5"/>
      <c r="AC592" s="5"/>
      <c r="AD592" s="5"/>
      <c r="AE592" s="5"/>
      <c r="AF592" s="5"/>
      <c r="AG592" s="5"/>
      <c r="AH592" s="5"/>
      <c r="AI592" s="5"/>
      <c r="AJ592" s="5"/>
      <c r="AK592" s="5"/>
      <c r="AL592" s="5"/>
      <c r="AM592" s="5"/>
      <c r="AN592" s="5"/>
    </row>
    <row r="593" spans="1:40" ht="18.75" customHeight="1">
      <c r="A593" s="5"/>
      <c r="B593" s="5"/>
      <c r="C593" s="5"/>
      <c r="D593" s="5"/>
      <c r="E593" s="5"/>
      <c r="F593" s="5"/>
      <c r="G593" s="5"/>
      <c r="H593" s="5"/>
      <c r="I593" s="5"/>
      <c r="J593" s="5"/>
      <c r="K593" s="5"/>
      <c r="L593" s="5"/>
      <c r="M593" s="5"/>
      <c r="N593" s="5"/>
      <c r="O593" s="5"/>
      <c r="P593" s="5"/>
      <c r="Q593" s="5"/>
      <c r="R593" s="5"/>
      <c r="S593" s="5"/>
      <c r="T593" s="5"/>
      <c r="U593" s="5"/>
      <c r="V593" s="5"/>
      <c r="Y593" s="5"/>
      <c r="Z593" s="5"/>
      <c r="AA593" s="5"/>
      <c r="AB593" s="5"/>
      <c r="AC593" s="5"/>
      <c r="AD593" s="5"/>
      <c r="AE593" s="5"/>
      <c r="AF593" s="5"/>
      <c r="AG593" s="5"/>
      <c r="AH593" s="5"/>
      <c r="AI593" s="5"/>
      <c r="AJ593" s="5"/>
      <c r="AK593" s="5"/>
      <c r="AL593" s="5"/>
      <c r="AM593" s="5"/>
      <c r="AN593" s="5"/>
    </row>
    <row r="594" spans="1:40" ht="18.75" customHeight="1">
      <c r="A594" s="5"/>
      <c r="B594" s="5"/>
      <c r="C594" s="5"/>
      <c r="D594" s="5"/>
      <c r="E594" s="5"/>
      <c r="F594" s="5"/>
      <c r="G594" s="5"/>
      <c r="H594" s="5"/>
      <c r="I594" s="5"/>
      <c r="J594" s="5"/>
      <c r="K594" s="5"/>
      <c r="L594" s="5"/>
      <c r="M594" s="5"/>
      <c r="N594" s="5"/>
      <c r="O594" s="5"/>
      <c r="P594" s="5"/>
      <c r="Q594" s="5"/>
      <c r="R594" s="5"/>
      <c r="S594" s="5"/>
      <c r="T594" s="5"/>
      <c r="U594" s="5"/>
      <c r="V594" s="5"/>
      <c r="Y594" s="5"/>
      <c r="Z594" s="5"/>
      <c r="AA594" s="5"/>
      <c r="AB594" s="5"/>
      <c r="AC594" s="5"/>
      <c r="AD594" s="5"/>
      <c r="AE594" s="5"/>
      <c r="AF594" s="5"/>
      <c r="AG594" s="5"/>
      <c r="AH594" s="5"/>
      <c r="AI594" s="5"/>
      <c r="AJ594" s="5"/>
      <c r="AK594" s="5"/>
      <c r="AL594" s="5"/>
      <c r="AM594" s="5"/>
      <c r="AN594" s="5"/>
    </row>
    <row r="595" spans="1:40" ht="18.75" customHeight="1">
      <c r="A595" s="5"/>
      <c r="B595" s="5"/>
      <c r="C595" s="5"/>
      <c r="D595" s="5"/>
      <c r="E595" s="5"/>
      <c r="F595" s="5"/>
      <c r="G595" s="5"/>
      <c r="H595" s="5"/>
      <c r="I595" s="5"/>
      <c r="J595" s="5"/>
      <c r="K595" s="5"/>
      <c r="L595" s="5"/>
      <c r="M595" s="5"/>
      <c r="N595" s="5"/>
      <c r="O595" s="5"/>
      <c r="P595" s="5"/>
      <c r="Q595" s="5"/>
      <c r="R595" s="5"/>
      <c r="S595" s="5"/>
      <c r="T595" s="5"/>
      <c r="U595" s="5"/>
      <c r="V595" s="5"/>
      <c r="Y595" s="5"/>
      <c r="Z595" s="5"/>
      <c r="AA595" s="5"/>
      <c r="AB595" s="5"/>
      <c r="AC595" s="5"/>
      <c r="AD595" s="5"/>
      <c r="AE595" s="5"/>
      <c r="AF595" s="5"/>
      <c r="AG595" s="5"/>
      <c r="AH595" s="5"/>
      <c r="AI595" s="5"/>
      <c r="AJ595" s="5"/>
      <c r="AK595" s="5"/>
      <c r="AL595" s="5"/>
      <c r="AM595" s="5"/>
      <c r="AN595" s="5"/>
    </row>
    <row r="596" spans="1:40" ht="18.75" customHeight="1">
      <c r="A596" s="5"/>
      <c r="B596" s="5"/>
      <c r="C596" s="5"/>
      <c r="D596" s="5"/>
      <c r="E596" s="5"/>
      <c r="F596" s="5"/>
      <c r="G596" s="5"/>
      <c r="H596" s="5"/>
      <c r="I596" s="5"/>
      <c r="J596" s="5"/>
      <c r="K596" s="5"/>
      <c r="L596" s="5"/>
      <c r="M596" s="5"/>
      <c r="N596" s="5"/>
      <c r="O596" s="5"/>
      <c r="P596" s="5"/>
      <c r="Q596" s="5"/>
      <c r="R596" s="5"/>
      <c r="S596" s="5"/>
      <c r="T596" s="5"/>
      <c r="U596" s="5"/>
      <c r="V596" s="5"/>
      <c r="Y596" s="5"/>
      <c r="Z596" s="5"/>
      <c r="AA596" s="5"/>
      <c r="AB596" s="5"/>
      <c r="AC596" s="5"/>
      <c r="AD596" s="5"/>
      <c r="AE596" s="5"/>
      <c r="AF596" s="5"/>
      <c r="AG596" s="5"/>
      <c r="AH596" s="5"/>
      <c r="AI596" s="5"/>
      <c r="AJ596" s="5"/>
      <c r="AK596" s="5"/>
      <c r="AL596" s="5"/>
      <c r="AM596" s="5"/>
      <c r="AN596" s="5"/>
    </row>
    <row r="597" spans="1:40" ht="18.75" customHeight="1">
      <c r="A597" s="5"/>
      <c r="B597" s="5"/>
      <c r="C597" s="5"/>
      <c r="D597" s="5"/>
      <c r="E597" s="5"/>
      <c r="F597" s="5"/>
      <c r="G597" s="5"/>
      <c r="H597" s="5"/>
      <c r="I597" s="5"/>
      <c r="J597" s="5"/>
      <c r="K597" s="5"/>
      <c r="L597" s="5"/>
      <c r="M597" s="5"/>
      <c r="N597" s="5"/>
      <c r="O597" s="5"/>
      <c r="P597" s="5"/>
      <c r="Q597" s="5"/>
      <c r="R597" s="5"/>
      <c r="S597" s="5"/>
      <c r="T597" s="5"/>
      <c r="U597" s="5"/>
      <c r="V597" s="5"/>
      <c r="Y597" s="5"/>
      <c r="Z597" s="5"/>
      <c r="AA597" s="5"/>
      <c r="AB597" s="5"/>
      <c r="AC597" s="5"/>
      <c r="AD597" s="5"/>
      <c r="AE597" s="5"/>
      <c r="AF597" s="5"/>
      <c r="AG597" s="5"/>
      <c r="AH597" s="5"/>
      <c r="AI597" s="5"/>
      <c r="AJ597" s="5"/>
      <c r="AK597" s="5"/>
      <c r="AL597" s="5"/>
      <c r="AM597" s="5"/>
      <c r="AN597" s="5"/>
    </row>
    <row r="598" spans="1:40" ht="18.75" customHeight="1">
      <c r="A598" s="5"/>
      <c r="B598" s="5"/>
      <c r="C598" s="5"/>
      <c r="D598" s="5"/>
      <c r="E598" s="5"/>
      <c r="F598" s="5"/>
      <c r="G598" s="5"/>
      <c r="H598" s="5"/>
      <c r="I598" s="5"/>
      <c r="J598" s="5"/>
      <c r="K598" s="5"/>
      <c r="L598" s="5"/>
      <c r="M598" s="5"/>
      <c r="N598" s="5"/>
      <c r="O598" s="5"/>
      <c r="P598" s="5"/>
      <c r="Q598" s="5"/>
      <c r="R598" s="5"/>
      <c r="S598" s="5"/>
      <c r="T598" s="5"/>
      <c r="U598" s="5"/>
      <c r="V598" s="5"/>
      <c r="Y598" s="5"/>
      <c r="Z598" s="5"/>
      <c r="AA598" s="5"/>
      <c r="AB598" s="5"/>
      <c r="AC598" s="5"/>
      <c r="AD598" s="5"/>
      <c r="AE598" s="5"/>
      <c r="AF598" s="5"/>
      <c r="AG598" s="5"/>
      <c r="AH598" s="5"/>
      <c r="AI598" s="5"/>
      <c r="AJ598" s="5"/>
      <c r="AK598" s="5"/>
      <c r="AL598" s="5"/>
      <c r="AM598" s="5"/>
      <c r="AN598" s="5"/>
    </row>
    <row r="599" spans="1:40" ht="18.75" customHeight="1">
      <c r="A599" s="5"/>
      <c r="B599" s="5"/>
      <c r="C599" s="5"/>
      <c r="D599" s="5"/>
      <c r="E599" s="5"/>
      <c r="F599" s="5"/>
      <c r="G599" s="5"/>
      <c r="H599" s="5"/>
      <c r="I599" s="5"/>
      <c r="J599" s="5"/>
      <c r="K599" s="5"/>
      <c r="L599" s="5"/>
      <c r="M599" s="5"/>
      <c r="N599" s="5"/>
      <c r="O599" s="5"/>
      <c r="P599" s="5"/>
      <c r="Q599" s="5"/>
      <c r="R599" s="5"/>
      <c r="S599" s="5"/>
      <c r="T599" s="5"/>
      <c r="U599" s="5"/>
      <c r="V599" s="5"/>
      <c r="Y599" s="5"/>
      <c r="Z599" s="5"/>
      <c r="AA599" s="5"/>
      <c r="AB599" s="5"/>
      <c r="AC599" s="5"/>
      <c r="AD599" s="5"/>
      <c r="AE599" s="5"/>
      <c r="AF599" s="5"/>
      <c r="AG599" s="5"/>
      <c r="AH599" s="5"/>
      <c r="AI599" s="5"/>
      <c r="AJ599" s="5"/>
      <c r="AK599" s="5"/>
      <c r="AL599" s="5"/>
      <c r="AM599" s="5"/>
      <c r="AN599" s="5"/>
    </row>
    <row r="600" spans="1:40" ht="18.75" customHeight="1">
      <c r="A600" s="5"/>
      <c r="B600" s="5"/>
      <c r="C600" s="5"/>
      <c r="D600" s="5"/>
      <c r="E600" s="5"/>
      <c r="F600" s="5"/>
      <c r="G600" s="5"/>
      <c r="H600" s="5"/>
      <c r="I600" s="5"/>
      <c r="J600" s="5"/>
      <c r="K600" s="5"/>
      <c r="L600" s="5"/>
      <c r="M600" s="5"/>
      <c r="N600" s="5"/>
      <c r="O600" s="5"/>
      <c r="P600" s="5"/>
      <c r="Q600" s="5"/>
      <c r="R600" s="5"/>
      <c r="S600" s="5"/>
      <c r="T600" s="5"/>
      <c r="U600" s="5"/>
      <c r="V600" s="5"/>
      <c r="Y600" s="5"/>
      <c r="Z600" s="5"/>
      <c r="AA600" s="5"/>
      <c r="AB600" s="5"/>
      <c r="AC600" s="5"/>
      <c r="AD600" s="5"/>
      <c r="AE600" s="5"/>
      <c r="AF600" s="5"/>
      <c r="AG600" s="5"/>
      <c r="AH600" s="5"/>
      <c r="AI600" s="5"/>
      <c r="AJ600" s="5"/>
      <c r="AK600" s="5"/>
      <c r="AL600" s="5"/>
      <c r="AM600" s="5"/>
      <c r="AN600" s="5"/>
    </row>
    <row r="601" spans="1:40" ht="18.75" customHeight="1">
      <c r="A601" s="5"/>
      <c r="B601" s="5"/>
      <c r="C601" s="5"/>
      <c r="D601" s="5"/>
      <c r="E601" s="5"/>
      <c r="F601" s="5"/>
      <c r="G601" s="5"/>
      <c r="H601" s="5"/>
      <c r="I601" s="5"/>
      <c r="J601" s="5"/>
      <c r="K601" s="5"/>
      <c r="L601" s="5"/>
      <c r="M601" s="5"/>
      <c r="N601" s="5"/>
      <c r="O601" s="5"/>
      <c r="P601" s="5"/>
      <c r="Q601" s="5"/>
      <c r="R601" s="5"/>
      <c r="S601" s="5"/>
      <c r="T601" s="5"/>
      <c r="U601" s="5"/>
      <c r="V601" s="5"/>
      <c r="Y601" s="5"/>
      <c r="Z601" s="5"/>
      <c r="AA601" s="5"/>
      <c r="AB601" s="5"/>
      <c r="AC601" s="5"/>
      <c r="AD601" s="5"/>
      <c r="AE601" s="5"/>
      <c r="AF601" s="5"/>
      <c r="AG601" s="5"/>
      <c r="AH601" s="5"/>
      <c r="AI601" s="5"/>
      <c r="AJ601" s="5"/>
      <c r="AK601" s="5"/>
      <c r="AL601" s="5"/>
      <c r="AM601" s="5"/>
      <c r="AN601" s="5"/>
    </row>
    <row r="602" spans="1:40" ht="18.75" customHeight="1">
      <c r="A602" s="5"/>
      <c r="B602" s="5"/>
      <c r="C602" s="5"/>
      <c r="D602" s="5"/>
      <c r="E602" s="5"/>
      <c r="F602" s="5"/>
      <c r="G602" s="5"/>
      <c r="H602" s="5"/>
      <c r="I602" s="5"/>
      <c r="J602" s="5"/>
      <c r="K602" s="5"/>
      <c r="L602" s="5"/>
      <c r="M602" s="5"/>
      <c r="N602" s="5"/>
      <c r="O602" s="5"/>
      <c r="P602" s="5"/>
      <c r="Q602" s="5"/>
      <c r="R602" s="5"/>
      <c r="S602" s="5"/>
      <c r="T602" s="5"/>
      <c r="U602" s="5"/>
      <c r="V602" s="5"/>
      <c r="Y602" s="5"/>
      <c r="Z602" s="5"/>
      <c r="AA602" s="5"/>
      <c r="AB602" s="5"/>
      <c r="AC602" s="5"/>
      <c r="AD602" s="5"/>
      <c r="AE602" s="5"/>
      <c r="AF602" s="5"/>
      <c r="AG602" s="5"/>
      <c r="AH602" s="5"/>
      <c r="AI602" s="5"/>
      <c r="AJ602" s="5"/>
      <c r="AK602" s="5"/>
      <c r="AL602" s="5"/>
      <c r="AM602" s="5"/>
      <c r="AN602" s="5"/>
    </row>
    <row r="603" spans="1:40" ht="18.75" customHeight="1">
      <c r="A603" s="5"/>
      <c r="B603" s="5"/>
      <c r="C603" s="5"/>
      <c r="D603" s="5"/>
      <c r="E603" s="5"/>
      <c r="F603" s="5"/>
      <c r="G603" s="5"/>
      <c r="H603" s="5"/>
      <c r="I603" s="5"/>
      <c r="J603" s="5"/>
      <c r="K603" s="5"/>
      <c r="L603" s="5"/>
      <c r="M603" s="5"/>
      <c r="N603" s="5"/>
      <c r="O603" s="5"/>
      <c r="P603" s="5"/>
      <c r="Q603" s="5"/>
      <c r="R603" s="5"/>
      <c r="S603" s="5"/>
      <c r="T603" s="5"/>
      <c r="U603" s="5"/>
      <c r="V603" s="5"/>
      <c r="Y603" s="5"/>
      <c r="Z603" s="5"/>
      <c r="AA603" s="5"/>
      <c r="AB603" s="5"/>
      <c r="AC603" s="5"/>
      <c r="AD603" s="5"/>
      <c r="AE603" s="5"/>
      <c r="AF603" s="5"/>
      <c r="AG603" s="5"/>
      <c r="AH603" s="5"/>
      <c r="AI603" s="5"/>
      <c r="AJ603" s="5"/>
      <c r="AK603" s="5"/>
      <c r="AL603" s="5"/>
      <c r="AM603" s="5"/>
      <c r="AN603" s="5"/>
    </row>
    <row r="604" spans="1:40" ht="18.75" customHeight="1">
      <c r="A604" s="5"/>
      <c r="B604" s="5"/>
      <c r="C604" s="5"/>
      <c r="D604" s="5"/>
      <c r="E604" s="5"/>
      <c r="F604" s="5"/>
      <c r="G604" s="5"/>
      <c r="H604" s="5"/>
      <c r="I604" s="5"/>
      <c r="J604" s="5"/>
      <c r="K604" s="5"/>
      <c r="L604" s="5"/>
      <c r="M604" s="5"/>
      <c r="N604" s="5"/>
      <c r="O604" s="5"/>
      <c r="P604" s="5"/>
      <c r="Q604" s="5"/>
      <c r="R604" s="5"/>
      <c r="S604" s="5"/>
      <c r="T604" s="5"/>
      <c r="U604" s="5"/>
      <c r="V604" s="5"/>
      <c r="Y604" s="5"/>
      <c r="Z604" s="5"/>
      <c r="AA604" s="5"/>
      <c r="AB604" s="5"/>
      <c r="AC604" s="5"/>
      <c r="AD604" s="5"/>
      <c r="AE604" s="5"/>
      <c r="AF604" s="5"/>
      <c r="AG604" s="5"/>
      <c r="AH604" s="5"/>
      <c r="AI604" s="5"/>
      <c r="AJ604" s="5"/>
      <c r="AK604" s="5"/>
      <c r="AL604" s="5"/>
      <c r="AM604" s="5"/>
      <c r="AN604" s="5"/>
    </row>
    <row r="605" spans="1:40" ht="18.75" customHeight="1">
      <c r="A605" s="5"/>
      <c r="B605" s="5"/>
      <c r="C605" s="5"/>
      <c r="D605" s="5"/>
      <c r="E605" s="5"/>
      <c r="F605" s="5"/>
      <c r="G605" s="5"/>
      <c r="H605" s="5"/>
      <c r="I605" s="5"/>
      <c r="J605" s="5"/>
      <c r="K605" s="5"/>
      <c r="L605" s="5"/>
      <c r="M605" s="5"/>
      <c r="N605" s="5"/>
      <c r="O605" s="5"/>
      <c r="P605" s="5"/>
      <c r="Q605" s="5"/>
      <c r="R605" s="5"/>
      <c r="S605" s="5"/>
      <c r="T605" s="5"/>
      <c r="U605" s="5"/>
      <c r="V605" s="5"/>
      <c r="Y605" s="5"/>
      <c r="Z605" s="5"/>
      <c r="AA605" s="5"/>
      <c r="AB605" s="5"/>
      <c r="AC605" s="5"/>
      <c r="AD605" s="5"/>
      <c r="AE605" s="5"/>
      <c r="AF605" s="5"/>
      <c r="AG605" s="5"/>
      <c r="AH605" s="5"/>
      <c r="AI605" s="5"/>
      <c r="AJ605" s="5"/>
      <c r="AK605" s="5"/>
      <c r="AL605" s="5"/>
      <c r="AM605" s="5"/>
      <c r="AN605" s="5"/>
    </row>
    <row r="606" spans="1:40" ht="18.75" customHeight="1">
      <c r="A606" s="5"/>
      <c r="B606" s="5"/>
      <c r="C606" s="5"/>
      <c r="D606" s="5"/>
      <c r="E606" s="5"/>
      <c r="F606" s="5"/>
      <c r="G606" s="5"/>
      <c r="H606" s="5"/>
      <c r="I606" s="5"/>
      <c r="J606" s="5"/>
      <c r="K606" s="5"/>
      <c r="L606" s="5"/>
      <c r="M606" s="5"/>
      <c r="N606" s="5"/>
      <c r="O606" s="5"/>
      <c r="P606" s="5"/>
      <c r="Q606" s="5"/>
      <c r="R606" s="5"/>
      <c r="S606" s="5"/>
      <c r="T606" s="5"/>
      <c r="U606" s="5"/>
      <c r="V606" s="5"/>
      <c r="Y606" s="5"/>
      <c r="Z606" s="5"/>
      <c r="AA606" s="5"/>
      <c r="AB606" s="5"/>
      <c r="AC606" s="5"/>
      <c r="AD606" s="5"/>
      <c r="AE606" s="5"/>
      <c r="AF606" s="5"/>
      <c r="AG606" s="5"/>
      <c r="AH606" s="5"/>
      <c r="AI606" s="5"/>
      <c r="AJ606" s="5"/>
      <c r="AK606" s="5"/>
      <c r="AL606" s="5"/>
      <c r="AM606" s="5"/>
      <c r="AN606" s="5"/>
    </row>
    <row r="607" spans="1:40" ht="18.75" customHeight="1">
      <c r="A607" s="5"/>
      <c r="B607" s="5"/>
      <c r="C607" s="5"/>
      <c r="D607" s="5"/>
      <c r="E607" s="5"/>
      <c r="F607" s="5"/>
      <c r="G607" s="5"/>
      <c r="H607" s="5"/>
      <c r="I607" s="5"/>
      <c r="J607" s="5"/>
      <c r="K607" s="5"/>
      <c r="L607" s="5"/>
      <c r="M607" s="5"/>
      <c r="N607" s="5"/>
      <c r="O607" s="5"/>
      <c r="P607" s="5"/>
      <c r="Q607" s="5"/>
      <c r="R607" s="5"/>
      <c r="S607" s="5"/>
      <c r="T607" s="5"/>
      <c r="U607" s="5"/>
      <c r="V607" s="5"/>
      <c r="Y607" s="5"/>
      <c r="Z607" s="5"/>
      <c r="AA607" s="5"/>
      <c r="AB607" s="5"/>
      <c r="AC607" s="5"/>
      <c r="AD607" s="5"/>
      <c r="AE607" s="5"/>
      <c r="AF607" s="5"/>
      <c r="AG607" s="5"/>
      <c r="AH607" s="5"/>
      <c r="AI607" s="5"/>
      <c r="AJ607" s="5"/>
      <c r="AK607" s="5"/>
      <c r="AL607" s="5"/>
      <c r="AM607" s="5"/>
      <c r="AN607" s="5"/>
    </row>
    <row r="608" spans="1:40" ht="18.75" customHeight="1">
      <c r="A608" s="5"/>
      <c r="B608" s="5"/>
      <c r="C608" s="5"/>
      <c r="D608" s="5"/>
      <c r="E608" s="5"/>
      <c r="F608" s="5"/>
      <c r="G608" s="5"/>
      <c r="H608" s="5"/>
      <c r="I608" s="5"/>
      <c r="J608" s="5"/>
      <c r="K608" s="5"/>
      <c r="L608" s="5"/>
      <c r="M608" s="5"/>
      <c r="N608" s="5"/>
      <c r="O608" s="5"/>
      <c r="P608" s="5"/>
      <c r="Q608" s="5"/>
      <c r="R608" s="5"/>
      <c r="S608" s="5"/>
      <c r="T608" s="5"/>
      <c r="U608" s="5"/>
      <c r="V608" s="5"/>
      <c r="Y608" s="5"/>
      <c r="Z608" s="5"/>
      <c r="AA608" s="5"/>
      <c r="AB608" s="5"/>
      <c r="AC608" s="5"/>
      <c r="AD608" s="5"/>
      <c r="AE608" s="5"/>
      <c r="AF608" s="5"/>
      <c r="AG608" s="5"/>
      <c r="AH608" s="5"/>
      <c r="AI608" s="5"/>
      <c r="AJ608" s="5"/>
      <c r="AK608" s="5"/>
      <c r="AL608" s="5"/>
      <c r="AM608" s="5"/>
      <c r="AN608" s="5"/>
    </row>
    <row r="609" spans="1:40" ht="18.75" customHeight="1">
      <c r="A609" s="5"/>
      <c r="B609" s="5"/>
      <c r="C609" s="5"/>
      <c r="D609" s="5"/>
      <c r="E609" s="5"/>
      <c r="F609" s="5"/>
      <c r="G609" s="5"/>
      <c r="H609" s="5"/>
      <c r="I609" s="5"/>
      <c r="J609" s="5"/>
      <c r="K609" s="5"/>
      <c r="L609" s="5"/>
      <c r="M609" s="5"/>
      <c r="N609" s="5"/>
      <c r="O609" s="5"/>
      <c r="P609" s="5"/>
      <c r="Q609" s="5"/>
      <c r="R609" s="5"/>
      <c r="S609" s="5"/>
      <c r="T609" s="5"/>
      <c r="U609" s="5"/>
      <c r="V609" s="5"/>
      <c r="Y609" s="5"/>
      <c r="Z609" s="5"/>
      <c r="AA609" s="5"/>
      <c r="AB609" s="5"/>
      <c r="AC609" s="5"/>
      <c r="AD609" s="5"/>
      <c r="AE609" s="5"/>
      <c r="AF609" s="5"/>
      <c r="AG609" s="5"/>
      <c r="AH609" s="5"/>
      <c r="AI609" s="5"/>
      <c r="AJ609" s="5"/>
      <c r="AK609" s="5"/>
      <c r="AL609" s="5"/>
      <c r="AM609" s="5"/>
      <c r="AN609" s="5"/>
    </row>
    <row r="610" spans="1:40" ht="18.75" customHeight="1">
      <c r="A610" s="5"/>
      <c r="B610" s="5"/>
      <c r="C610" s="5"/>
      <c r="D610" s="5"/>
      <c r="E610" s="5"/>
      <c r="F610" s="5"/>
      <c r="G610" s="5"/>
      <c r="H610" s="5"/>
      <c r="I610" s="5"/>
      <c r="J610" s="5"/>
      <c r="K610" s="5"/>
      <c r="L610" s="5"/>
      <c r="M610" s="5"/>
      <c r="N610" s="5"/>
      <c r="O610" s="5"/>
      <c r="P610" s="5"/>
      <c r="Q610" s="5"/>
      <c r="R610" s="5"/>
      <c r="S610" s="5"/>
      <c r="T610" s="5"/>
      <c r="U610" s="5"/>
      <c r="V610" s="5"/>
      <c r="Y610" s="5"/>
      <c r="Z610" s="5"/>
      <c r="AA610" s="5"/>
      <c r="AB610" s="5"/>
      <c r="AC610" s="5"/>
      <c r="AD610" s="5"/>
      <c r="AE610" s="5"/>
      <c r="AF610" s="5"/>
      <c r="AG610" s="5"/>
      <c r="AH610" s="5"/>
      <c r="AI610" s="5"/>
      <c r="AJ610" s="5"/>
      <c r="AK610" s="5"/>
      <c r="AL610" s="5"/>
      <c r="AM610" s="5"/>
      <c r="AN610" s="5"/>
    </row>
    <row r="611" spans="1:40" ht="18.75" customHeight="1">
      <c r="A611" s="5"/>
      <c r="B611" s="5"/>
      <c r="C611" s="5"/>
      <c r="D611" s="5"/>
      <c r="E611" s="5"/>
      <c r="F611" s="5"/>
      <c r="G611" s="5"/>
      <c r="H611" s="5"/>
      <c r="I611" s="5"/>
      <c r="J611" s="5"/>
      <c r="K611" s="5"/>
      <c r="L611" s="5"/>
      <c r="M611" s="5"/>
      <c r="N611" s="5"/>
      <c r="O611" s="5"/>
      <c r="P611" s="5"/>
      <c r="Q611" s="5"/>
      <c r="R611" s="5"/>
      <c r="S611" s="5"/>
      <c r="T611" s="5"/>
      <c r="U611" s="5"/>
      <c r="V611" s="5"/>
      <c r="Y611" s="5"/>
      <c r="Z611" s="5"/>
      <c r="AA611" s="5"/>
      <c r="AB611" s="5"/>
      <c r="AC611" s="5"/>
      <c r="AD611" s="5"/>
      <c r="AE611" s="5"/>
      <c r="AF611" s="5"/>
      <c r="AG611" s="5"/>
      <c r="AH611" s="5"/>
      <c r="AI611" s="5"/>
      <c r="AJ611" s="5"/>
      <c r="AK611" s="5"/>
      <c r="AL611" s="5"/>
      <c r="AM611" s="5"/>
      <c r="AN611" s="5"/>
    </row>
    <row r="612" spans="1:40" ht="18.75" customHeight="1">
      <c r="A612" s="5"/>
      <c r="B612" s="5"/>
      <c r="C612" s="5"/>
      <c r="D612" s="5"/>
      <c r="E612" s="5"/>
      <c r="F612" s="5"/>
      <c r="G612" s="5"/>
      <c r="H612" s="5"/>
      <c r="I612" s="5"/>
      <c r="J612" s="5"/>
      <c r="K612" s="5"/>
      <c r="L612" s="5"/>
      <c r="M612" s="5"/>
      <c r="N612" s="5"/>
      <c r="O612" s="5"/>
      <c r="P612" s="5"/>
      <c r="Q612" s="5"/>
      <c r="R612" s="5"/>
      <c r="S612" s="5"/>
      <c r="T612" s="5"/>
      <c r="U612" s="5"/>
      <c r="V612" s="5"/>
      <c r="Y612" s="5"/>
      <c r="Z612" s="5"/>
      <c r="AA612" s="5"/>
      <c r="AB612" s="5"/>
      <c r="AC612" s="5"/>
      <c r="AD612" s="5"/>
      <c r="AE612" s="5"/>
      <c r="AF612" s="5"/>
      <c r="AG612" s="5"/>
      <c r="AH612" s="5"/>
      <c r="AI612" s="5"/>
      <c r="AJ612" s="5"/>
      <c r="AK612" s="5"/>
      <c r="AL612" s="5"/>
      <c r="AM612" s="5"/>
      <c r="AN612" s="5"/>
    </row>
    <row r="613" spans="1:40" ht="18.75" customHeight="1">
      <c r="A613" s="5"/>
      <c r="B613" s="5"/>
      <c r="C613" s="5"/>
      <c r="D613" s="5"/>
      <c r="E613" s="5"/>
      <c r="F613" s="5"/>
      <c r="G613" s="5"/>
      <c r="H613" s="5"/>
      <c r="I613" s="5"/>
      <c r="J613" s="5"/>
      <c r="K613" s="5"/>
      <c r="L613" s="5"/>
      <c r="M613" s="5"/>
      <c r="N613" s="5"/>
      <c r="O613" s="5"/>
      <c r="P613" s="5"/>
      <c r="Q613" s="5"/>
      <c r="R613" s="5"/>
      <c r="S613" s="5"/>
      <c r="T613" s="5"/>
      <c r="U613" s="5"/>
      <c r="V613" s="5"/>
      <c r="Y613" s="5"/>
      <c r="Z613" s="5"/>
      <c r="AA613" s="5"/>
      <c r="AB613" s="5"/>
      <c r="AC613" s="5"/>
      <c r="AD613" s="5"/>
      <c r="AE613" s="5"/>
      <c r="AF613" s="5"/>
      <c r="AG613" s="5"/>
      <c r="AH613" s="5"/>
      <c r="AI613" s="5"/>
      <c r="AJ613" s="5"/>
      <c r="AK613" s="5"/>
      <c r="AL613" s="5"/>
      <c r="AM613" s="5"/>
      <c r="AN613" s="5"/>
    </row>
    <row r="614" spans="1:40" ht="18.75" customHeight="1">
      <c r="A614" s="5"/>
      <c r="B614" s="5"/>
      <c r="C614" s="5"/>
      <c r="D614" s="5"/>
      <c r="E614" s="5"/>
      <c r="F614" s="5"/>
      <c r="G614" s="5"/>
      <c r="H614" s="5"/>
      <c r="I614" s="5"/>
      <c r="J614" s="5"/>
      <c r="K614" s="5"/>
      <c r="L614" s="5"/>
      <c r="M614" s="5"/>
      <c r="N614" s="5"/>
      <c r="O614" s="5"/>
      <c r="P614" s="5"/>
      <c r="Q614" s="5"/>
      <c r="R614" s="5"/>
      <c r="S614" s="5"/>
      <c r="T614" s="5"/>
      <c r="U614" s="5"/>
      <c r="V614" s="5"/>
      <c r="Y614" s="5"/>
      <c r="Z614" s="5"/>
      <c r="AA614" s="5"/>
      <c r="AB614" s="5"/>
      <c r="AC614" s="5"/>
      <c r="AD614" s="5"/>
      <c r="AE614" s="5"/>
      <c r="AF614" s="5"/>
      <c r="AG614" s="5"/>
      <c r="AH614" s="5"/>
      <c r="AI614" s="5"/>
      <c r="AJ614" s="5"/>
      <c r="AK614" s="5"/>
      <c r="AL614" s="5"/>
      <c r="AM614" s="5"/>
      <c r="AN614" s="5"/>
    </row>
    <row r="615" spans="1:40" ht="18.75" customHeight="1">
      <c r="A615" s="5"/>
      <c r="B615" s="5"/>
      <c r="C615" s="5"/>
      <c r="D615" s="5"/>
      <c r="E615" s="5"/>
      <c r="F615" s="5"/>
      <c r="G615" s="5"/>
      <c r="H615" s="5"/>
      <c r="I615" s="5"/>
      <c r="J615" s="5"/>
      <c r="K615" s="5"/>
      <c r="L615" s="5"/>
      <c r="M615" s="5"/>
      <c r="N615" s="5"/>
      <c r="O615" s="5"/>
      <c r="P615" s="5"/>
      <c r="Q615" s="5"/>
      <c r="R615" s="5"/>
      <c r="S615" s="5"/>
      <c r="T615" s="5"/>
      <c r="U615" s="5"/>
      <c r="V615" s="5"/>
      <c r="Y615" s="5"/>
      <c r="Z615" s="5"/>
      <c r="AA615" s="5"/>
      <c r="AB615" s="5"/>
      <c r="AC615" s="5"/>
      <c r="AD615" s="5"/>
      <c r="AE615" s="5"/>
      <c r="AF615" s="5"/>
      <c r="AG615" s="5"/>
      <c r="AH615" s="5"/>
      <c r="AI615" s="5"/>
      <c r="AJ615" s="5"/>
      <c r="AK615" s="5"/>
      <c r="AL615" s="5"/>
      <c r="AM615" s="5"/>
      <c r="AN615" s="5"/>
    </row>
    <row r="616" spans="1:40" ht="18.75" customHeight="1">
      <c r="A616" s="5"/>
      <c r="B616" s="5"/>
      <c r="C616" s="5"/>
      <c r="D616" s="5"/>
      <c r="E616" s="5"/>
      <c r="F616" s="5"/>
      <c r="G616" s="5"/>
      <c r="H616" s="5"/>
      <c r="I616" s="5"/>
      <c r="J616" s="5"/>
      <c r="K616" s="5"/>
      <c r="L616" s="5"/>
      <c r="M616" s="5"/>
      <c r="N616" s="5"/>
      <c r="O616" s="5"/>
      <c r="P616" s="5"/>
      <c r="Q616" s="5"/>
      <c r="R616" s="5"/>
      <c r="S616" s="5"/>
      <c r="T616" s="5"/>
      <c r="U616" s="5"/>
      <c r="V616" s="5"/>
      <c r="Y616" s="5"/>
      <c r="Z616" s="5"/>
      <c r="AA616" s="5"/>
      <c r="AB616" s="5"/>
      <c r="AC616" s="5"/>
      <c r="AD616" s="5"/>
      <c r="AE616" s="5"/>
      <c r="AF616" s="5"/>
      <c r="AG616" s="5"/>
      <c r="AH616" s="5"/>
      <c r="AI616" s="5"/>
      <c r="AJ616" s="5"/>
      <c r="AK616" s="5"/>
      <c r="AL616" s="5"/>
      <c r="AM616" s="5"/>
      <c r="AN616" s="5"/>
    </row>
    <row r="617" spans="1:40" ht="18.75" customHeight="1">
      <c r="A617" s="5"/>
      <c r="B617" s="5"/>
      <c r="C617" s="5"/>
      <c r="D617" s="5"/>
      <c r="E617" s="5"/>
      <c r="F617" s="5"/>
      <c r="G617" s="5"/>
      <c r="H617" s="5"/>
      <c r="I617" s="5"/>
      <c r="J617" s="5"/>
      <c r="K617" s="5"/>
      <c r="L617" s="5"/>
      <c r="M617" s="5"/>
      <c r="N617" s="5"/>
      <c r="O617" s="5"/>
      <c r="P617" s="5"/>
      <c r="Q617" s="5"/>
      <c r="R617" s="5"/>
      <c r="S617" s="5"/>
      <c r="T617" s="5"/>
      <c r="U617" s="5"/>
      <c r="V617" s="5"/>
      <c r="Y617" s="5"/>
      <c r="Z617" s="5"/>
      <c r="AA617" s="5"/>
      <c r="AB617" s="5"/>
      <c r="AC617" s="5"/>
      <c r="AD617" s="5"/>
      <c r="AE617" s="5"/>
      <c r="AF617" s="5"/>
      <c r="AG617" s="5"/>
      <c r="AH617" s="5"/>
      <c r="AI617" s="5"/>
      <c r="AJ617" s="5"/>
      <c r="AK617" s="5"/>
      <c r="AL617" s="5"/>
      <c r="AM617" s="5"/>
      <c r="AN617" s="5"/>
    </row>
    <row r="618" spans="1:40" ht="18.75" customHeight="1">
      <c r="A618" s="5"/>
      <c r="B618" s="5"/>
      <c r="C618" s="5"/>
      <c r="D618" s="5"/>
      <c r="E618" s="5"/>
      <c r="F618" s="5"/>
      <c r="G618" s="5"/>
      <c r="H618" s="5"/>
      <c r="I618" s="5"/>
      <c r="J618" s="5"/>
      <c r="K618" s="5"/>
      <c r="L618" s="5"/>
      <c r="M618" s="5"/>
      <c r="N618" s="5"/>
      <c r="O618" s="5"/>
      <c r="P618" s="5"/>
      <c r="Q618" s="5"/>
      <c r="R618" s="5"/>
      <c r="S618" s="5"/>
      <c r="T618" s="5"/>
      <c r="U618" s="5"/>
      <c r="V618" s="5"/>
      <c r="Y618" s="5"/>
      <c r="Z618" s="5"/>
      <c r="AA618" s="5"/>
      <c r="AB618" s="5"/>
      <c r="AC618" s="5"/>
      <c r="AD618" s="5"/>
      <c r="AE618" s="5"/>
      <c r="AF618" s="5"/>
      <c r="AG618" s="5"/>
      <c r="AH618" s="5"/>
      <c r="AI618" s="5"/>
      <c r="AJ618" s="5"/>
      <c r="AK618" s="5"/>
      <c r="AL618" s="5"/>
      <c r="AM618" s="5"/>
      <c r="AN618" s="5"/>
    </row>
    <row r="619" spans="1:40" ht="18.75" customHeight="1">
      <c r="A619" s="5"/>
      <c r="B619" s="5"/>
      <c r="C619" s="5"/>
      <c r="D619" s="5"/>
      <c r="E619" s="5"/>
      <c r="F619" s="5"/>
      <c r="G619" s="5"/>
      <c r="H619" s="5"/>
      <c r="I619" s="5"/>
      <c r="J619" s="5"/>
      <c r="K619" s="5"/>
      <c r="L619" s="5"/>
      <c r="M619" s="5"/>
      <c r="N619" s="5"/>
      <c r="O619" s="5"/>
      <c r="P619" s="5"/>
      <c r="Q619" s="5"/>
      <c r="R619" s="5"/>
      <c r="S619" s="5"/>
      <c r="T619" s="5"/>
      <c r="U619" s="5"/>
      <c r="V619" s="5"/>
      <c r="Y619" s="5"/>
      <c r="Z619" s="5"/>
      <c r="AA619" s="5"/>
      <c r="AB619" s="5"/>
      <c r="AC619" s="5"/>
      <c r="AD619" s="5"/>
      <c r="AE619" s="5"/>
      <c r="AF619" s="5"/>
      <c r="AG619" s="5"/>
      <c r="AH619" s="5"/>
      <c r="AI619" s="5"/>
      <c r="AJ619" s="5"/>
      <c r="AK619" s="5"/>
      <c r="AL619" s="5"/>
      <c r="AM619" s="5"/>
      <c r="AN619" s="5"/>
    </row>
    <row r="620" spans="1:40" ht="18.75" customHeight="1">
      <c r="A620" s="5"/>
      <c r="B620" s="5"/>
      <c r="C620" s="5"/>
      <c r="D620" s="5"/>
      <c r="E620" s="5"/>
      <c r="F620" s="5"/>
      <c r="G620" s="5"/>
      <c r="H620" s="5"/>
      <c r="I620" s="5"/>
      <c r="J620" s="5"/>
      <c r="K620" s="5"/>
      <c r="L620" s="5"/>
      <c r="M620" s="5"/>
      <c r="N620" s="5"/>
      <c r="O620" s="5"/>
      <c r="P620" s="5"/>
      <c r="Q620" s="5"/>
      <c r="R620" s="5"/>
      <c r="S620" s="5"/>
      <c r="T620" s="5"/>
      <c r="U620" s="5"/>
      <c r="V620" s="5"/>
      <c r="Y620" s="5"/>
      <c r="Z620" s="5"/>
      <c r="AA620" s="5"/>
      <c r="AB620" s="5"/>
      <c r="AC620" s="5"/>
      <c r="AD620" s="5"/>
      <c r="AE620" s="5"/>
      <c r="AF620" s="5"/>
      <c r="AG620" s="5"/>
      <c r="AH620" s="5"/>
      <c r="AI620" s="5"/>
      <c r="AJ620" s="5"/>
      <c r="AK620" s="5"/>
      <c r="AL620" s="5"/>
      <c r="AM620" s="5"/>
      <c r="AN620" s="5"/>
    </row>
    <row r="621" spans="1:40" ht="18.75" customHeight="1">
      <c r="A621" s="5"/>
      <c r="B621" s="5"/>
      <c r="C621" s="5"/>
      <c r="D621" s="5"/>
      <c r="E621" s="5"/>
      <c r="F621" s="5"/>
      <c r="G621" s="5"/>
      <c r="H621" s="5"/>
      <c r="I621" s="5"/>
      <c r="J621" s="5"/>
      <c r="K621" s="5"/>
      <c r="L621" s="5"/>
      <c r="M621" s="5"/>
      <c r="N621" s="5"/>
      <c r="O621" s="5"/>
      <c r="P621" s="5"/>
      <c r="Q621" s="5"/>
      <c r="R621" s="5"/>
      <c r="S621" s="5"/>
      <c r="T621" s="5"/>
      <c r="U621" s="5"/>
      <c r="V621" s="5"/>
      <c r="Y621" s="5"/>
      <c r="Z621" s="5"/>
      <c r="AA621" s="5"/>
      <c r="AB621" s="5"/>
      <c r="AC621" s="5"/>
      <c r="AD621" s="5"/>
      <c r="AE621" s="5"/>
      <c r="AF621" s="5"/>
      <c r="AG621" s="5"/>
      <c r="AH621" s="5"/>
      <c r="AI621" s="5"/>
      <c r="AJ621" s="5"/>
      <c r="AK621" s="5"/>
      <c r="AL621" s="5"/>
      <c r="AM621" s="5"/>
      <c r="AN621" s="5"/>
    </row>
    <row r="622" spans="1:40" ht="18.75" customHeight="1">
      <c r="A622" s="5"/>
      <c r="B622" s="5"/>
      <c r="C622" s="5"/>
      <c r="D622" s="5"/>
      <c r="E622" s="5"/>
      <c r="F622" s="5"/>
      <c r="G622" s="5"/>
      <c r="H622" s="5"/>
      <c r="I622" s="5"/>
      <c r="J622" s="5"/>
      <c r="K622" s="5"/>
      <c r="L622" s="5"/>
      <c r="M622" s="5"/>
      <c r="N622" s="5"/>
      <c r="O622" s="5"/>
      <c r="P622" s="5"/>
      <c r="Q622" s="5"/>
      <c r="R622" s="5"/>
      <c r="S622" s="5"/>
      <c r="T622" s="5"/>
      <c r="U622" s="5"/>
      <c r="V622" s="5"/>
      <c r="Y622" s="5"/>
      <c r="Z622" s="5"/>
      <c r="AA622" s="5"/>
      <c r="AB622" s="5"/>
      <c r="AC622" s="5"/>
      <c r="AD622" s="5"/>
      <c r="AE622" s="5"/>
      <c r="AF622" s="5"/>
      <c r="AG622" s="5"/>
      <c r="AH622" s="5"/>
      <c r="AI622" s="5"/>
      <c r="AJ622" s="5"/>
      <c r="AK622" s="5"/>
      <c r="AL622" s="5"/>
      <c r="AM622" s="5"/>
      <c r="AN622" s="5"/>
    </row>
    <row r="623" spans="1:40" ht="18.75" customHeight="1">
      <c r="A623" s="5"/>
      <c r="B623" s="5"/>
      <c r="C623" s="5"/>
      <c r="D623" s="5"/>
      <c r="E623" s="5"/>
      <c r="F623" s="5"/>
      <c r="G623" s="5"/>
      <c r="H623" s="5"/>
      <c r="I623" s="5"/>
      <c r="J623" s="5"/>
      <c r="K623" s="5"/>
      <c r="L623" s="5"/>
      <c r="M623" s="5"/>
      <c r="N623" s="5"/>
      <c r="O623" s="5"/>
      <c r="P623" s="5"/>
      <c r="Q623" s="5"/>
      <c r="R623" s="5"/>
      <c r="S623" s="5"/>
      <c r="T623" s="5"/>
      <c r="U623" s="5"/>
      <c r="V623" s="5"/>
      <c r="Y623" s="5"/>
      <c r="Z623" s="5"/>
      <c r="AA623" s="5"/>
      <c r="AB623" s="5"/>
      <c r="AC623" s="5"/>
      <c r="AD623" s="5"/>
      <c r="AE623" s="5"/>
      <c r="AF623" s="5"/>
      <c r="AG623" s="5"/>
      <c r="AH623" s="5"/>
      <c r="AI623" s="5"/>
      <c r="AJ623" s="5"/>
      <c r="AK623" s="5"/>
      <c r="AL623" s="5"/>
      <c r="AM623" s="5"/>
      <c r="AN623" s="5"/>
    </row>
    <row r="624" spans="1:40" ht="18.75" customHeight="1">
      <c r="A624" s="5"/>
      <c r="B624" s="5"/>
      <c r="C624" s="5"/>
      <c r="D624" s="5"/>
      <c r="E624" s="5"/>
      <c r="F624" s="5"/>
      <c r="G624" s="5"/>
      <c r="H624" s="5"/>
      <c r="I624" s="5"/>
      <c r="J624" s="5"/>
      <c r="K624" s="5"/>
      <c r="L624" s="5"/>
      <c r="M624" s="5"/>
      <c r="N624" s="5"/>
      <c r="O624" s="5"/>
      <c r="P624" s="5"/>
      <c r="Q624" s="5"/>
      <c r="R624" s="5"/>
      <c r="S624" s="5"/>
      <c r="T624" s="5"/>
      <c r="U624" s="5"/>
      <c r="V624" s="5"/>
      <c r="Y624" s="5"/>
      <c r="Z624" s="5"/>
      <c r="AA624" s="5"/>
      <c r="AB624" s="5"/>
      <c r="AC624" s="5"/>
      <c r="AD624" s="5"/>
      <c r="AE624" s="5"/>
      <c r="AF624" s="5"/>
      <c r="AG624" s="5"/>
      <c r="AH624" s="5"/>
      <c r="AI624" s="5"/>
      <c r="AJ624" s="5"/>
      <c r="AK624" s="5"/>
      <c r="AL624" s="5"/>
      <c r="AM624" s="5"/>
      <c r="AN624" s="5"/>
    </row>
    <row r="625" spans="1:40" ht="18.75" customHeight="1">
      <c r="A625" s="5"/>
      <c r="B625" s="5"/>
      <c r="C625" s="5"/>
      <c r="D625" s="5"/>
      <c r="E625" s="5"/>
      <c r="F625" s="5"/>
      <c r="G625" s="5"/>
      <c r="H625" s="5"/>
      <c r="I625" s="5"/>
      <c r="J625" s="5"/>
      <c r="K625" s="5"/>
      <c r="L625" s="5"/>
      <c r="M625" s="5"/>
      <c r="N625" s="5"/>
      <c r="O625" s="5"/>
      <c r="P625" s="5"/>
      <c r="Q625" s="5"/>
      <c r="R625" s="5"/>
      <c r="S625" s="5"/>
      <c r="T625" s="5"/>
      <c r="U625" s="5"/>
      <c r="V625" s="5"/>
      <c r="Y625" s="5"/>
      <c r="Z625" s="5"/>
      <c r="AA625" s="5"/>
      <c r="AB625" s="5"/>
      <c r="AC625" s="5"/>
      <c r="AD625" s="5"/>
      <c r="AE625" s="5"/>
      <c r="AF625" s="5"/>
      <c r="AG625" s="5"/>
      <c r="AH625" s="5"/>
      <c r="AI625" s="5"/>
      <c r="AJ625" s="5"/>
      <c r="AK625" s="5"/>
      <c r="AL625" s="5"/>
      <c r="AM625" s="5"/>
      <c r="AN625" s="5"/>
    </row>
    <row r="626" spans="1:40" ht="18.75" customHeight="1">
      <c r="A626" s="5"/>
      <c r="B626" s="5"/>
      <c r="C626" s="5"/>
      <c r="D626" s="5"/>
      <c r="E626" s="5"/>
      <c r="F626" s="5"/>
      <c r="G626" s="5"/>
      <c r="H626" s="5"/>
      <c r="I626" s="5"/>
      <c r="J626" s="5"/>
      <c r="K626" s="5"/>
      <c r="L626" s="5"/>
      <c r="M626" s="5"/>
      <c r="N626" s="5"/>
      <c r="O626" s="5"/>
      <c r="P626" s="5"/>
      <c r="Q626" s="5"/>
      <c r="R626" s="5"/>
      <c r="S626" s="5"/>
      <c r="T626" s="5"/>
      <c r="U626" s="5"/>
      <c r="V626" s="5"/>
      <c r="Y626" s="5"/>
      <c r="Z626" s="5"/>
      <c r="AA626" s="5"/>
      <c r="AB626" s="5"/>
      <c r="AC626" s="5"/>
      <c r="AD626" s="5"/>
      <c r="AE626" s="5"/>
      <c r="AF626" s="5"/>
      <c r="AG626" s="5"/>
      <c r="AH626" s="5"/>
      <c r="AI626" s="5"/>
      <c r="AJ626" s="5"/>
      <c r="AK626" s="5"/>
      <c r="AL626" s="5"/>
      <c r="AM626" s="5"/>
      <c r="AN626" s="5"/>
    </row>
    <row r="627" spans="1:40" ht="18.75" customHeight="1">
      <c r="A627" s="5"/>
      <c r="B627" s="5"/>
      <c r="C627" s="5"/>
      <c r="D627" s="5"/>
      <c r="E627" s="5"/>
      <c r="F627" s="5"/>
      <c r="G627" s="5"/>
      <c r="H627" s="5"/>
      <c r="I627" s="5"/>
      <c r="J627" s="5"/>
      <c r="K627" s="5"/>
      <c r="L627" s="5"/>
      <c r="M627" s="5"/>
      <c r="N627" s="5"/>
      <c r="O627" s="5"/>
      <c r="P627" s="5"/>
      <c r="Q627" s="5"/>
      <c r="R627" s="5"/>
      <c r="S627" s="5"/>
      <c r="T627" s="5"/>
      <c r="U627" s="5"/>
      <c r="V627" s="5"/>
      <c r="Y627" s="5"/>
      <c r="Z627" s="5"/>
      <c r="AA627" s="5"/>
      <c r="AB627" s="5"/>
      <c r="AC627" s="5"/>
      <c r="AD627" s="5"/>
      <c r="AE627" s="5"/>
      <c r="AF627" s="5"/>
      <c r="AG627" s="5"/>
      <c r="AH627" s="5"/>
      <c r="AI627" s="5"/>
      <c r="AJ627" s="5"/>
      <c r="AK627" s="5"/>
      <c r="AL627" s="5"/>
      <c r="AM627" s="5"/>
      <c r="AN627" s="5"/>
    </row>
    <row r="628" spans="1:40" ht="18.75" customHeight="1">
      <c r="A628" s="5"/>
      <c r="B628" s="5"/>
      <c r="C628" s="5"/>
      <c r="D628" s="5"/>
      <c r="E628" s="5"/>
      <c r="F628" s="5"/>
      <c r="G628" s="5"/>
      <c r="H628" s="5"/>
      <c r="I628" s="5"/>
      <c r="J628" s="5"/>
      <c r="K628" s="5"/>
      <c r="L628" s="5"/>
      <c r="M628" s="5"/>
      <c r="N628" s="5"/>
      <c r="O628" s="5"/>
      <c r="P628" s="5"/>
      <c r="Q628" s="5"/>
      <c r="R628" s="5"/>
      <c r="S628" s="5"/>
      <c r="T628" s="5"/>
      <c r="U628" s="5"/>
      <c r="V628" s="5"/>
      <c r="Y628" s="5"/>
      <c r="Z628" s="5"/>
      <c r="AA628" s="5"/>
      <c r="AB628" s="5"/>
      <c r="AC628" s="5"/>
      <c r="AD628" s="5"/>
      <c r="AE628" s="5"/>
      <c r="AF628" s="5"/>
      <c r="AG628" s="5"/>
      <c r="AH628" s="5"/>
      <c r="AI628" s="5"/>
      <c r="AJ628" s="5"/>
      <c r="AK628" s="5"/>
      <c r="AL628" s="5"/>
      <c r="AM628" s="5"/>
      <c r="AN628" s="5"/>
    </row>
    <row r="629" spans="1:40" ht="18.75" customHeight="1">
      <c r="A629" s="5"/>
      <c r="B629" s="5"/>
      <c r="C629" s="5"/>
      <c r="D629" s="5"/>
      <c r="E629" s="5"/>
      <c r="F629" s="5"/>
      <c r="G629" s="5"/>
      <c r="H629" s="5"/>
      <c r="I629" s="5"/>
      <c r="J629" s="5"/>
      <c r="K629" s="5"/>
      <c r="L629" s="5"/>
      <c r="M629" s="5"/>
      <c r="N629" s="5"/>
      <c r="O629" s="5"/>
      <c r="P629" s="5"/>
      <c r="Q629" s="5"/>
      <c r="R629" s="5"/>
      <c r="S629" s="5"/>
      <c r="T629" s="5"/>
      <c r="U629" s="5"/>
      <c r="V629" s="5"/>
      <c r="Y629" s="5"/>
      <c r="Z629" s="5"/>
      <c r="AA629" s="5"/>
      <c r="AB629" s="5"/>
      <c r="AC629" s="5"/>
      <c r="AD629" s="5"/>
      <c r="AE629" s="5"/>
      <c r="AF629" s="5"/>
      <c r="AG629" s="5"/>
      <c r="AH629" s="5"/>
      <c r="AI629" s="5"/>
      <c r="AJ629" s="5"/>
      <c r="AK629" s="5"/>
      <c r="AL629" s="5"/>
      <c r="AM629" s="5"/>
      <c r="AN629" s="5"/>
    </row>
    <row r="630" spans="1:40" ht="18.75" customHeight="1">
      <c r="A630" s="5"/>
      <c r="B630" s="5"/>
      <c r="C630" s="5"/>
      <c r="D630" s="5"/>
      <c r="E630" s="5"/>
      <c r="F630" s="5"/>
      <c r="G630" s="5"/>
      <c r="H630" s="5"/>
      <c r="I630" s="5"/>
      <c r="J630" s="5"/>
      <c r="K630" s="5"/>
      <c r="L630" s="5"/>
      <c r="M630" s="5"/>
      <c r="N630" s="5"/>
      <c r="O630" s="5"/>
      <c r="P630" s="5"/>
      <c r="Q630" s="5"/>
      <c r="R630" s="5"/>
      <c r="S630" s="5"/>
      <c r="T630" s="5"/>
      <c r="U630" s="5"/>
      <c r="V630" s="5"/>
      <c r="Y630" s="5"/>
      <c r="Z630" s="5"/>
      <c r="AA630" s="5"/>
      <c r="AB630" s="5"/>
      <c r="AC630" s="5"/>
      <c r="AD630" s="5"/>
      <c r="AE630" s="5"/>
      <c r="AF630" s="5"/>
      <c r="AG630" s="5"/>
      <c r="AH630" s="5"/>
      <c r="AI630" s="5"/>
      <c r="AJ630" s="5"/>
      <c r="AK630" s="5"/>
      <c r="AL630" s="5"/>
      <c r="AM630" s="5"/>
      <c r="AN630" s="5"/>
    </row>
    <row r="631" spans="1:40" ht="18.75" customHeight="1">
      <c r="A631" s="5"/>
      <c r="B631" s="5"/>
      <c r="C631" s="5"/>
      <c r="D631" s="5"/>
      <c r="E631" s="5"/>
      <c r="F631" s="5"/>
      <c r="G631" s="5"/>
      <c r="H631" s="5"/>
      <c r="I631" s="5"/>
      <c r="J631" s="5"/>
      <c r="K631" s="5"/>
      <c r="L631" s="5"/>
      <c r="M631" s="5"/>
      <c r="N631" s="5"/>
      <c r="O631" s="5"/>
      <c r="P631" s="5"/>
      <c r="Q631" s="5"/>
      <c r="R631" s="5"/>
      <c r="S631" s="5"/>
      <c r="T631" s="5"/>
      <c r="U631" s="5"/>
      <c r="V631" s="5"/>
      <c r="Y631" s="5"/>
      <c r="Z631" s="5"/>
      <c r="AA631" s="5"/>
      <c r="AB631" s="5"/>
      <c r="AC631" s="5"/>
      <c r="AD631" s="5"/>
      <c r="AE631" s="5"/>
      <c r="AF631" s="5"/>
      <c r="AG631" s="5"/>
      <c r="AH631" s="5"/>
      <c r="AI631" s="5"/>
      <c r="AJ631" s="5"/>
      <c r="AK631" s="5"/>
      <c r="AL631" s="5"/>
      <c r="AM631" s="5"/>
      <c r="AN631" s="5"/>
    </row>
    <row r="632" spans="1:40" ht="18.75" customHeight="1">
      <c r="A632" s="5"/>
      <c r="B632" s="5"/>
      <c r="C632" s="5"/>
      <c r="D632" s="5"/>
      <c r="E632" s="5"/>
      <c r="F632" s="5"/>
      <c r="G632" s="5"/>
      <c r="H632" s="5"/>
      <c r="I632" s="5"/>
      <c r="J632" s="5"/>
      <c r="K632" s="5"/>
      <c r="L632" s="5"/>
      <c r="M632" s="5"/>
      <c r="N632" s="5"/>
      <c r="O632" s="5"/>
      <c r="P632" s="5"/>
      <c r="Q632" s="5"/>
      <c r="R632" s="5"/>
      <c r="S632" s="5"/>
      <c r="T632" s="5"/>
      <c r="U632" s="5"/>
      <c r="V632" s="5"/>
      <c r="Y632" s="5"/>
      <c r="Z632" s="5"/>
      <c r="AA632" s="5"/>
      <c r="AB632" s="5"/>
      <c r="AC632" s="5"/>
      <c r="AD632" s="5"/>
      <c r="AE632" s="5"/>
      <c r="AF632" s="5"/>
      <c r="AG632" s="5"/>
      <c r="AH632" s="5"/>
      <c r="AI632" s="5"/>
      <c r="AJ632" s="5"/>
      <c r="AK632" s="5"/>
      <c r="AL632" s="5"/>
      <c r="AM632" s="5"/>
      <c r="AN632" s="5"/>
    </row>
    <row r="633" spans="1:40" ht="18.75" customHeight="1">
      <c r="A633" s="5"/>
      <c r="B633" s="5"/>
      <c r="C633" s="5"/>
      <c r="D633" s="5"/>
      <c r="E633" s="5"/>
      <c r="F633" s="5"/>
      <c r="G633" s="5"/>
      <c r="H633" s="5"/>
      <c r="I633" s="5"/>
      <c r="J633" s="5"/>
      <c r="K633" s="5"/>
      <c r="L633" s="5"/>
      <c r="M633" s="5"/>
      <c r="N633" s="5"/>
      <c r="O633" s="5"/>
      <c r="P633" s="5"/>
      <c r="Q633" s="5"/>
      <c r="R633" s="5"/>
      <c r="S633" s="5"/>
      <c r="T633" s="5"/>
      <c r="U633" s="5"/>
      <c r="V633" s="5"/>
      <c r="Y633" s="5"/>
      <c r="Z633" s="5"/>
      <c r="AA633" s="5"/>
      <c r="AB633" s="5"/>
      <c r="AC633" s="5"/>
      <c r="AD633" s="5"/>
      <c r="AE633" s="5"/>
      <c r="AF633" s="5"/>
      <c r="AG633" s="5"/>
      <c r="AH633" s="5"/>
      <c r="AI633" s="5"/>
      <c r="AJ633" s="5"/>
      <c r="AK633" s="5"/>
      <c r="AL633" s="5"/>
      <c r="AM633" s="5"/>
      <c r="AN633" s="5"/>
    </row>
    <row r="634" spans="1:40" ht="18.75" customHeight="1">
      <c r="A634" s="5"/>
      <c r="B634" s="5"/>
      <c r="C634" s="5"/>
      <c r="D634" s="5"/>
      <c r="E634" s="5"/>
      <c r="F634" s="5"/>
      <c r="G634" s="5"/>
      <c r="H634" s="5"/>
      <c r="I634" s="5"/>
      <c r="J634" s="5"/>
      <c r="K634" s="5"/>
      <c r="L634" s="5"/>
      <c r="M634" s="5"/>
      <c r="N634" s="5"/>
      <c r="O634" s="5"/>
      <c r="P634" s="5"/>
      <c r="Q634" s="5"/>
      <c r="R634" s="5"/>
      <c r="S634" s="5"/>
      <c r="T634" s="5"/>
      <c r="U634" s="5"/>
      <c r="V634" s="5"/>
      <c r="Y634" s="5"/>
      <c r="Z634" s="5"/>
      <c r="AA634" s="5"/>
      <c r="AB634" s="5"/>
      <c r="AC634" s="5"/>
      <c r="AD634" s="5"/>
      <c r="AE634" s="5"/>
      <c r="AF634" s="5"/>
      <c r="AG634" s="5"/>
      <c r="AH634" s="5"/>
      <c r="AI634" s="5"/>
      <c r="AJ634" s="5"/>
      <c r="AK634" s="5"/>
      <c r="AL634" s="5"/>
      <c r="AM634" s="5"/>
      <c r="AN634" s="5"/>
    </row>
    <row r="635" spans="1:40" ht="18.75" customHeight="1">
      <c r="A635" s="5"/>
      <c r="B635" s="5"/>
      <c r="C635" s="5"/>
      <c r="D635" s="5"/>
      <c r="E635" s="5"/>
      <c r="F635" s="5"/>
      <c r="G635" s="5"/>
      <c r="H635" s="5"/>
      <c r="I635" s="5"/>
      <c r="J635" s="5"/>
      <c r="K635" s="5"/>
      <c r="L635" s="5"/>
      <c r="M635" s="5"/>
      <c r="N635" s="5"/>
      <c r="O635" s="5"/>
      <c r="P635" s="5"/>
      <c r="Q635" s="5"/>
      <c r="R635" s="5"/>
      <c r="S635" s="5"/>
      <c r="T635" s="5"/>
      <c r="U635" s="5"/>
      <c r="V635" s="5"/>
      <c r="Y635" s="5"/>
      <c r="Z635" s="5"/>
      <c r="AA635" s="5"/>
      <c r="AB635" s="5"/>
      <c r="AC635" s="5"/>
      <c r="AD635" s="5"/>
      <c r="AE635" s="5"/>
      <c r="AF635" s="5"/>
      <c r="AG635" s="5"/>
      <c r="AH635" s="5"/>
      <c r="AI635" s="5"/>
      <c r="AJ635" s="5"/>
      <c r="AK635" s="5"/>
      <c r="AL635" s="5"/>
      <c r="AM635" s="5"/>
      <c r="AN635" s="5"/>
    </row>
    <row r="636" spans="1:40" ht="18.75" customHeight="1">
      <c r="A636" s="5"/>
      <c r="B636" s="5"/>
      <c r="C636" s="5"/>
      <c r="D636" s="5"/>
      <c r="E636" s="5"/>
      <c r="F636" s="5"/>
      <c r="G636" s="5"/>
      <c r="H636" s="5"/>
      <c r="I636" s="5"/>
      <c r="J636" s="5"/>
      <c r="K636" s="5"/>
      <c r="L636" s="5"/>
      <c r="M636" s="5"/>
      <c r="N636" s="5"/>
      <c r="O636" s="5"/>
      <c r="P636" s="5"/>
      <c r="Q636" s="5"/>
      <c r="R636" s="5"/>
      <c r="S636" s="5"/>
      <c r="T636" s="5"/>
      <c r="U636" s="5"/>
      <c r="V636" s="5"/>
      <c r="Y636" s="5"/>
      <c r="Z636" s="5"/>
      <c r="AA636" s="5"/>
      <c r="AB636" s="5"/>
      <c r="AC636" s="5"/>
      <c r="AD636" s="5"/>
      <c r="AE636" s="5"/>
      <c r="AF636" s="5"/>
      <c r="AG636" s="5"/>
      <c r="AH636" s="5"/>
      <c r="AI636" s="5"/>
      <c r="AJ636" s="5"/>
      <c r="AK636" s="5"/>
      <c r="AL636" s="5"/>
      <c r="AM636" s="5"/>
      <c r="AN636" s="5"/>
    </row>
    <row r="637" spans="1:40" ht="18.75" customHeight="1">
      <c r="A637" s="5"/>
      <c r="B637" s="5"/>
      <c r="C637" s="5"/>
      <c r="D637" s="5"/>
      <c r="E637" s="5"/>
      <c r="F637" s="5"/>
      <c r="G637" s="5"/>
      <c r="H637" s="5"/>
      <c r="I637" s="5"/>
      <c r="J637" s="5"/>
      <c r="K637" s="5"/>
      <c r="L637" s="5"/>
      <c r="M637" s="5"/>
      <c r="N637" s="5"/>
      <c r="O637" s="5"/>
      <c r="P637" s="5"/>
      <c r="Q637" s="5"/>
      <c r="R637" s="5"/>
      <c r="S637" s="5"/>
      <c r="T637" s="5"/>
      <c r="U637" s="5"/>
      <c r="V637" s="5"/>
      <c r="Y637" s="5"/>
      <c r="Z637" s="5"/>
      <c r="AA637" s="5"/>
      <c r="AB637" s="5"/>
      <c r="AC637" s="5"/>
      <c r="AD637" s="5"/>
      <c r="AE637" s="5"/>
      <c r="AF637" s="5"/>
      <c r="AG637" s="5"/>
      <c r="AH637" s="5"/>
      <c r="AI637" s="5"/>
      <c r="AJ637" s="5"/>
      <c r="AK637" s="5"/>
      <c r="AL637" s="5"/>
      <c r="AM637" s="5"/>
      <c r="AN637" s="5"/>
    </row>
    <row r="638" spans="1:40" ht="18.75" customHeight="1">
      <c r="A638" s="5"/>
      <c r="B638" s="5"/>
      <c r="C638" s="5"/>
      <c r="D638" s="5"/>
      <c r="E638" s="5"/>
      <c r="F638" s="5"/>
      <c r="G638" s="5"/>
      <c r="H638" s="5"/>
      <c r="I638" s="5"/>
      <c r="J638" s="5"/>
      <c r="K638" s="5"/>
      <c r="L638" s="5"/>
      <c r="M638" s="5"/>
      <c r="N638" s="5"/>
      <c r="O638" s="5"/>
      <c r="P638" s="5"/>
      <c r="Q638" s="5"/>
      <c r="R638" s="5"/>
      <c r="S638" s="5"/>
      <c r="T638" s="5"/>
      <c r="U638" s="5"/>
      <c r="V638" s="5"/>
      <c r="Y638" s="5"/>
      <c r="Z638" s="5"/>
      <c r="AA638" s="5"/>
      <c r="AB638" s="5"/>
      <c r="AC638" s="5"/>
      <c r="AD638" s="5"/>
      <c r="AE638" s="5"/>
      <c r="AF638" s="5"/>
      <c r="AG638" s="5"/>
      <c r="AH638" s="5"/>
      <c r="AI638" s="5"/>
      <c r="AJ638" s="5"/>
      <c r="AK638" s="5"/>
      <c r="AL638" s="5"/>
      <c r="AM638" s="5"/>
      <c r="AN638" s="5"/>
    </row>
    <row r="639" spans="1:40" ht="18.75" customHeight="1">
      <c r="A639" s="5"/>
      <c r="B639" s="5"/>
      <c r="C639" s="5"/>
      <c r="D639" s="5"/>
      <c r="E639" s="5"/>
      <c r="F639" s="5"/>
      <c r="G639" s="5"/>
      <c r="H639" s="5"/>
      <c r="I639" s="5"/>
      <c r="J639" s="5"/>
      <c r="K639" s="5"/>
      <c r="L639" s="5"/>
      <c r="M639" s="5"/>
      <c r="N639" s="5"/>
      <c r="O639" s="5"/>
      <c r="P639" s="5"/>
      <c r="Q639" s="5"/>
      <c r="R639" s="5"/>
      <c r="S639" s="5"/>
      <c r="T639" s="5"/>
      <c r="U639" s="5"/>
      <c r="V639" s="5"/>
      <c r="Y639" s="5"/>
      <c r="Z639" s="5"/>
      <c r="AA639" s="5"/>
      <c r="AB639" s="5"/>
      <c r="AC639" s="5"/>
      <c r="AD639" s="5"/>
      <c r="AE639" s="5"/>
      <c r="AF639" s="5"/>
      <c r="AG639" s="5"/>
      <c r="AH639" s="5"/>
      <c r="AI639" s="5"/>
      <c r="AJ639" s="5"/>
      <c r="AK639" s="5"/>
      <c r="AL639" s="5"/>
      <c r="AM639" s="5"/>
      <c r="AN639" s="5"/>
    </row>
    <row r="640" spans="1:40" ht="18.75" customHeight="1">
      <c r="A640" s="5"/>
      <c r="B640" s="5"/>
      <c r="C640" s="5"/>
      <c r="D640" s="5"/>
      <c r="E640" s="5"/>
      <c r="F640" s="5"/>
      <c r="G640" s="5"/>
      <c r="H640" s="5"/>
      <c r="I640" s="5"/>
      <c r="J640" s="5"/>
      <c r="K640" s="5"/>
      <c r="L640" s="5"/>
      <c r="M640" s="5"/>
      <c r="N640" s="5"/>
      <c r="O640" s="5"/>
      <c r="P640" s="5"/>
      <c r="Q640" s="5"/>
      <c r="R640" s="5"/>
      <c r="S640" s="5"/>
      <c r="T640" s="5"/>
      <c r="U640" s="5"/>
      <c r="V640" s="5"/>
      <c r="Y640" s="5"/>
      <c r="Z640" s="5"/>
      <c r="AA640" s="5"/>
      <c r="AB640" s="5"/>
      <c r="AC640" s="5"/>
      <c r="AD640" s="5"/>
      <c r="AE640" s="5"/>
      <c r="AF640" s="5"/>
      <c r="AG640" s="5"/>
      <c r="AH640" s="5"/>
      <c r="AI640" s="5"/>
      <c r="AJ640" s="5"/>
      <c r="AK640" s="5"/>
      <c r="AL640" s="5"/>
      <c r="AM640" s="5"/>
      <c r="AN640" s="5"/>
    </row>
    <row r="641" spans="1:40" ht="18.75" customHeight="1">
      <c r="A641" s="5"/>
      <c r="B641" s="5"/>
      <c r="C641" s="5"/>
      <c r="D641" s="5"/>
      <c r="E641" s="5"/>
      <c r="F641" s="5"/>
      <c r="G641" s="5"/>
      <c r="H641" s="5"/>
      <c r="I641" s="5"/>
      <c r="J641" s="5"/>
      <c r="K641" s="5"/>
      <c r="L641" s="5"/>
      <c r="M641" s="5"/>
      <c r="N641" s="5"/>
      <c r="O641" s="5"/>
      <c r="P641" s="5"/>
      <c r="Q641" s="5"/>
      <c r="R641" s="5"/>
      <c r="S641" s="5"/>
      <c r="T641" s="5"/>
      <c r="U641" s="5"/>
      <c r="V641" s="5"/>
      <c r="Y641" s="5"/>
      <c r="Z641" s="5"/>
      <c r="AA641" s="5"/>
      <c r="AB641" s="5"/>
      <c r="AC641" s="5"/>
      <c r="AD641" s="5"/>
      <c r="AE641" s="5"/>
      <c r="AF641" s="5"/>
      <c r="AG641" s="5"/>
      <c r="AH641" s="5"/>
      <c r="AI641" s="5"/>
      <c r="AJ641" s="5"/>
      <c r="AK641" s="5"/>
      <c r="AL641" s="5"/>
      <c r="AM641" s="5"/>
      <c r="AN641" s="5"/>
    </row>
    <row r="642" spans="1:40" ht="18.75" customHeight="1">
      <c r="A642" s="5"/>
      <c r="B642" s="5"/>
      <c r="C642" s="5"/>
      <c r="D642" s="5"/>
      <c r="E642" s="5"/>
      <c r="F642" s="5"/>
      <c r="G642" s="5"/>
      <c r="H642" s="5"/>
      <c r="I642" s="5"/>
      <c r="J642" s="5"/>
      <c r="K642" s="5"/>
      <c r="L642" s="5"/>
      <c r="M642" s="5"/>
      <c r="N642" s="5"/>
      <c r="O642" s="5"/>
      <c r="P642" s="5"/>
      <c r="Q642" s="5"/>
      <c r="R642" s="5"/>
      <c r="S642" s="5"/>
      <c r="T642" s="5"/>
      <c r="U642" s="5"/>
      <c r="V642" s="5"/>
      <c r="Y642" s="5"/>
      <c r="Z642" s="5"/>
      <c r="AA642" s="5"/>
      <c r="AB642" s="5"/>
      <c r="AC642" s="5"/>
      <c r="AD642" s="5"/>
      <c r="AE642" s="5"/>
      <c r="AF642" s="5"/>
      <c r="AG642" s="5"/>
      <c r="AH642" s="5"/>
      <c r="AI642" s="5"/>
      <c r="AJ642" s="5"/>
      <c r="AK642" s="5"/>
      <c r="AL642" s="5"/>
      <c r="AM642" s="5"/>
      <c r="AN642" s="5"/>
    </row>
    <row r="643" spans="1:40" ht="18.75" customHeight="1">
      <c r="A643" s="5"/>
      <c r="B643" s="5"/>
      <c r="C643" s="5"/>
      <c r="D643" s="5"/>
      <c r="E643" s="5"/>
      <c r="F643" s="5"/>
      <c r="G643" s="5"/>
      <c r="H643" s="5"/>
      <c r="I643" s="5"/>
      <c r="J643" s="5"/>
      <c r="K643" s="5"/>
      <c r="L643" s="5"/>
      <c r="M643" s="5"/>
      <c r="N643" s="5"/>
      <c r="O643" s="5"/>
      <c r="P643" s="5"/>
      <c r="Q643" s="5"/>
      <c r="R643" s="5"/>
      <c r="S643" s="5"/>
      <c r="T643" s="5"/>
      <c r="U643" s="5"/>
      <c r="V643" s="5"/>
      <c r="Y643" s="5"/>
      <c r="Z643" s="5"/>
      <c r="AA643" s="5"/>
      <c r="AB643" s="5"/>
      <c r="AC643" s="5"/>
      <c r="AD643" s="5"/>
      <c r="AE643" s="5"/>
      <c r="AF643" s="5"/>
      <c r="AG643" s="5"/>
      <c r="AH643" s="5"/>
      <c r="AI643" s="5"/>
      <c r="AJ643" s="5"/>
      <c r="AK643" s="5"/>
      <c r="AL643" s="5"/>
      <c r="AM643" s="5"/>
      <c r="AN643" s="5"/>
    </row>
    <row r="644" spans="1:40" ht="18.75" customHeight="1">
      <c r="A644" s="5"/>
      <c r="B644" s="5"/>
      <c r="C644" s="5"/>
      <c r="D644" s="5"/>
      <c r="E644" s="5"/>
      <c r="F644" s="5"/>
      <c r="G644" s="5"/>
      <c r="H644" s="5"/>
      <c r="I644" s="5"/>
      <c r="J644" s="5"/>
      <c r="K644" s="5"/>
      <c r="L644" s="5"/>
      <c r="M644" s="5"/>
      <c r="N644" s="5"/>
      <c r="O644" s="5"/>
      <c r="P644" s="5"/>
      <c r="Q644" s="5"/>
      <c r="R644" s="5"/>
      <c r="S644" s="5"/>
      <c r="T644" s="5"/>
      <c r="U644" s="5"/>
      <c r="V644" s="5"/>
      <c r="Y644" s="5"/>
      <c r="Z644" s="5"/>
      <c r="AA644" s="5"/>
      <c r="AB644" s="5"/>
      <c r="AC644" s="5"/>
      <c r="AD644" s="5"/>
      <c r="AE644" s="5"/>
      <c r="AF644" s="5"/>
      <c r="AG644" s="5"/>
      <c r="AH644" s="5"/>
      <c r="AI644" s="5"/>
      <c r="AJ644" s="5"/>
      <c r="AK644" s="5"/>
      <c r="AL644" s="5"/>
      <c r="AM644" s="5"/>
      <c r="AN644" s="5"/>
    </row>
    <row r="645" spans="1:40" ht="18.75" customHeight="1">
      <c r="A645" s="5"/>
      <c r="B645" s="5"/>
      <c r="C645" s="5"/>
      <c r="D645" s="5"/>
      <c r="E645" s="5"/>
      <c r="F645" s="5"/>
      <c r="G645" s="5"/>
      <c r="H645" s="5"/>
      <c r="I645" s="5"/>
      <c r="J645" s="5"/>
      <c r="K645" s="5"/>
      <c r="L645" s="5"/>
      <c r="M645" s="5"/>
      <c r="N645" s="5"/>
      <c r="O645" s="5"/>
      <c r="P645" s="5"/>
      <c r="Q645" s="5"/>
      <c r="R645" s="5"/>
      <c r="S645" s="5"/>
      <c r="T645" s="5"/>
      <c r="U645" s="5"/>
      <c r="V645" s="5"/>
      <c r="Y645" s="5"/>
      <c r="Z645" s="5"/>
      <c r="AA645" s="5"/>
      <c r="AB645" s="5"/>
      <c r="AC645" s="5"/>
      <c r="AD645" s="5"/>
      <c r="AE645" s="5"/>
      <c r="AF645" s="5"/>
      <c r="AG645" s="5"/>
      <c r="AH645" s="5"/>
      <c r="AI645" s="5"/>
      <c r="AJ645" s="5"/>
      <c r="AK645" s="5"/>
      <c r="AL645" s="5"/>
      <c r="AM645" s="5"/>
      <c r="AN645" s="5"/>
    </row>
    <row r="646" spans="1:40" ht="18.75" customHeight="1">
      <c r="A646" s="5"/>
      <c r="B646" s="5"/>
      <c r="C646" s="5"/>
      <c r="D646" s="5"/>
      <c r="E646" s="5"/>
      <c r="F646" s="5"/>
      <c r="G646" s="5"/>
      <c r="H646" s="5"/>
      <c r="I646" s="5"/>
      <c r="J646" s="5"/>
      <c r="K646" s="5"/>
      <c r="L646" s="5"/>
      <c r="M646" s="5"/>
      <c r="N646" s="5"/>
      <c r="O646" s="5"/>
      <c r="P646" s="5"/>
      <c r="Q646" s="5"/>
      <c r="R646" s="5"/>
      <c r="S646" s="5"/>
      <c r="T646" s="5"/>
      <c r="U646" s="5"/>
      <c r="V646" s="5"/>
      <c r="Y646" s="5"/>
      <c r="Z646" s="5"/>
      <c r="AA646" s="5"/>
      <c r="AB646" s="5"/>
      <c r="AC646" s="5"/>
      <c r="AD646" s="5"/>
      <c r="AE646" s="5"/>
      <c r="AF646" s="5"/>
      <c r="AG646" s="5"/>
      <c r="AH646" s="5"/>
      <c r="AI646" s="5"/>
      <c r="AJ646" s="5"/>
      <c r="AK646" s="5"/>
      <c r="AL646" s="5"/>
      <c r="AM646" s="5"/>
      <c r="AN646" s="5"/>
    </row>
    <row r="647" spans="1:40" ht="18.75" customHeight="1">
      <c r="A647" s="5"/>
      <c r="B647" s="5"/>
      <c r="C647" s="5"/>
      <c r="D647" s="5"/>
      <c r="E647" s="5"/>
      <c r="F647" s="5"/>
      <c r="G647" s="5"/>
      <c r="H647" s="5"/>
      <c r="I647" s="5"/>
      <c r="J647" s="5"/>
      <c r="K647" s="5"/>
      <c r="L647" s="5"/>
      <c r="M647" s="5"/>
      <c r="N647" s="5"/>
      <c r="O647" s="5"/>
      <c r="P647" s="5"/>
      <c r="Q647" s="5"/>
      <c r="R647" s="5"/>
      <c r="S647" s="5"/>
      <c r="T647" s="5"/>
      <c r="U647" s="5"/>
      <c r="V647" s="5"/>
      <c r="Y647" s="5"/>
      <c r="Z647" s="5"/>
      <c r="AA647" s="5"/>
      <c r="AB647" s="5"/>
      <c r="AC647" s="5"/>
      <c r="AD647" s="5"/>
      <c r="AE647" s="5"/>
      <c r="AF647" s="5"/>
      <c r="AG647" s="5"/>
      <c r="AH647" s="5"/>
      <c r="AI647" s="5"/>
      <c r="AJ647" s="5"/>
      <c r="AK647" s="5"/>
      <c r="AL647" s="5"/>
      <c r="AM647" s="5"/>
      <c r="AN647" s="5"/>
    </row>
    <row r="648" spans="1:40" ht="18.75" customHeight="1">
      <c r="A648" s="5"/>
      <c r="B648" s="5"/>
      <c r="C648" s="5"/>
      <c r="D648" s="5"/>
      <c r="E648" s="5"/>
      <c r="F648" s="5"/>
      <c r="G648" s="5"/>
      <c r="H648" s="5"/>
      <c r="I648" s="5"/>
      <c r="J648" s="5"/>
      <c r="K648" s="5"/>
      <c r="L648" s="5"/>
      <c r="M648" s="5"/>
      <c r="N648" s="5"/>
      <c r="O648" s="5"/>
      <c r="P648" s="5"/>
      <c r="Q648" s="5"/>
      <c r="R648" s="5"/>
      <c r="S648" s="5"/>
      <c r="T648" s="5"/>
      <c r="U648" s="5"/>
      <c r="V648" s="5"/>
      <c r="Y648" s="5"/>
      <c r="Z648" s="5"/>
      <c r="AA648" s="5"/>
      <c r="AB648" s="5"/>
      <c r="AC648" s="5"/>
      <c r="AD648" s="5"/>
      <c r="AE648" s="5"/>
      <c r="AF648" s="5"/>
      <c r="AG648" s="5"/>
      <c r="AH648" s="5"/>
      <c r="AI648" s="5"/>
      <c r="AJ648" s="5"/>
      <c r="AK648" s="5"/>
      <c r="AL648" s="5"/>
      <c r="AM648" s="5"/>
      <c r="AN648" s="5"/>
    </row>
    <row r="649" spans="1:40" ht="18.75" customHeight="1">
      <c r="A649" s="5"/>
      <c r="B649" s="5"/>
      <c r="C649" s="5"/>
      <c r="D649" s="5"/>
      <c r="E649" s="5"/>
      <c r="F649" s="5"/>
      <c r="G649" s="5"/>
      <c r="H649" s="5"/>
      <c r="I649" s="5"/>
      <c r="J649" s="5"/>
      <c r="K649" s="5"/>
      <c r="L649" s="5"/>
      <c r="M649" s="5"/>
      <c r="N649" s="5"/>
      <c r="O649" s="5"/>
      <c r="P649" s="5"/>
      <c r="Q649" s="5"/>
      <c r="R649" s="5"/>
      <c r="S649" s="5"/>
      <c r="T649" s="5"/>
      <c r="U649" s="5"/>
      <c r="V649" s="5"/>
      <c r="Y649" s="5"/>
      <c r="Z649" s="5"/>
      <c r="AA649" s="5"/>
      <c r="AB649" s="5"/>
      <c r="AC649" s="5"/>
      <c r="AD649" s="5"/>
      <c r="AE649" s="5"/>
      <c r="AF649" s="5"/>
      <c r="AG649" s="5"/>
      <c r="AH649" s="5"/>
      <c r="AI649" s="5"/>
      <c r="AJ649" s="5"/>
      <c r="AK649" s="5"/>
      <c r="AL649" s="5"/>
      <c r="AM649" s="5"/>
      <c r="AN649" s="5"/>
    </row>
    <row r="650" spans="1:40" ht="18.75" customHeight="1">
      <c r="A650" s="5"/>
      <c r="B650" s="5"/>
      <c r="C650" s="5"/>
      <c r="D650" s="5"/>
      <c r="E650" s="5"/>
      <c r="F650" s="5"/>
      <c r="G650" s="5"/>
      <c r="H650" s="5"/>
      <c r="I650" s="5"/>
      <c r="J650" s="5"/>
      <c r="K650" s="5"/>
      <c r="L650" s="5"/>
      <c r="M650" s="5"/>
      <c r="N650" s="5"/>
      <c r="O650" s="5"/>
      <c r="P650" s="5"/>
      <c r="Q650" s="5"/>
      <c r="R650" s="5"/>
      <c r="S650" s="5"/>
      <c r="T650" s="5"/>
      <c r="U650" s="5"/>
      <c r="V650" s="5"/>
      <c r="Y650" s="5"/>
      <c r="Z650" s="5"/>
      <c r="AA650" s="5"/>
      <c r="AB650" s="5"/>
      <c r="AC650" s="5"/>
      <c r="AD650" s="5"/>
      <c r="AE650" s="5"/>
      <c r="AF650" s="5"/>
      <c r="AG650" s="5"/>
      <c r="AH650" s="5"/>
      <c r="AI650" s="5"/>
      <c r="AJ650" s="5"/>
      <c r="AK650" s="5"/>
      <c r="AL650" s="5"/>
      <c r="AM650" s="5"/>
      <c r="AN650" s="5"/>
    </row>
    <row r="651" spans="1:40" ht="18.75" customHeight="1">
      <c r="A651" s="5"/>
      <c r="B651" s="5"/>
      <c r="C651" s="5"/>
      <c r="D651" s="5"/>
      <c r="E651" s="5"/>
      <c r="F651" s="5"/>
      <c r="G651" s="5"/>
      <c r="H651" s="5"/>
      <c r="I651" s="5"/>
      <c r="J651" s="5"/>
      <c r="K651" s="5"/>
      <c r="L651" s="5"/>
      <c r="M651" s="5"/>
      <c r="N651" s="5"/>
      <c r="O651" s="5"/>
      <c r="P651" s="5"/>
      <c r="Q651" s="5"/>
      <c r="R651" s="5"/>
      <c r="S651" s="5"/>
      <c r="T651" s="5"/>
      <c r="U651" s="5"/>
      <c r="V651" s="5"/>
      <c r="Y651" s="5"/>
      <c r="Z651" s="5"/>
      <c r="AA651" s="5"/>
      <c r="AB651" s="5"/>
      <c r="AC651" s="5"/>
      <c r="AD651" s="5"/>
      <c r="AE651" s="5"/>
      <c r="AF651" s="5"/>
      <c r="AG651" s="5"/>
      <c r="AH651" s="5"/>
      <c r="AI651" s="5"/>
      <c r="AJ651" s="5"/>
      <c r="AK651" s="5"/>
      <c r="AL651" s="5"/>
      <c r="AM651" s="5"/>
      <c r="AN651" s="5"/>
    </row>
    <row r="652" spans="1:40" ht="18.75" customHeight="1">
      <c r="A652" s="5"/>
      <c r="B652" s="5"/>
      <c r="C652" s="5"/>
      <c r="D652" s="5"/>
      <c r="E652" s="5"/>
      <c r="F652" s="5"/>
      <c r="G652" s="5"/>
      <c r="H652" s="5"/>
      <c r="I652" s="5"/>
      <c r="J652" s="5"/>
      <c r="K652" s="5"/>
      <c r="L652" s="5"/>
      <c r="M652" s="5"/>
      <c r="N652" s="5"/>
      <c r="O652" s="5"/>
      <c r="P652" s="5"/>
      <c r="Q652" s="5"/>
      <c r="R652" s="5"/>
      <c r="S652" s="5"/>
      <c r="T652" s="5"/>
      <c r="U652" s="5"/>
      <c r="V652" s="5"/>
      <c r="Y652" s="5"/>
      <c r="Z652" s="5"/>
      <c r="AA652" s="5"/>
      <c r="AB652" s="5"/>
      <c r="AC652" s="5"/>
      <c r="AD652" s="5"/>
      <c r="AE652" s="5"/>
      <c r="AF652" s="5"/>
      <c r="AG652" s="5"/>
      <c r="AH652" s="5"/>
      <c r="AI652" s="5"/>
      <c r="AJ652" s="5"/>
      <c r="AK652" s="5"/>
      <c r="AL652" s="5"/>
      <c r="AM652" s="5"/>
      <c r="AN652" s="5"/>
    </row>
    <row r="653" spans="1:40" ht="18.75" customHeight="1">
      <c r="A653" s="5"/>
      <c r="B653" s="5"/>
      <c r="C653" s="5"/>
      <c r="D653" s="5"/>
      <c r="E653" s="5"/>
      <c r="F653" s="5"/>
      <c r="G653" s="5"/>
      <c r="H653" s="5"/>
      <c r="I653" s="5"/>
      <c r="J653" s="5"/>
      <c r="K653" s="5"/>
      <c r="L653" s="5"/>
      <c r="M653" s="5"/>
      <c r="N653" s="5"/>
      <c r="O653" s="5"/>
      <c r="P653" s="5"/>
      <c r="Q653" s="5"/>
      <c r="R653" s="5"/>
      <c r="S653" s="5"/>
      <c r="T653" s="5"/>
      <c r="U653" s="5"/>
      <c r="V653" s="5"/>
      <c r="Y653" s="5"/>
      <c r="Z653" s="5"/>
      <c r="AA653" s="5"/>
      <c r="AB653" s="5"/>
      <c r="AC653" s="5"/>
      <c r="AD653" s="5"/>
      <c r="AE653" s="5"/>
      <c r="AF653" s="5"/>
      <c r="AG653" s="5"/>
      <c r="AH653" s="5"/>
      <c r="AI653" s="5"/>
      <c r="AJ653" s="5"/>
      <c r="AK653" s="5"/>
      <c r="AL653" s="5"/>
      <c r="AM653" s="5"/>
      <c r="AN653" s="5"/>
    </row>
    <row r="654" spans="1:40" ht="18.75" customHeight="1">
      <c r="A654" s="5"/>
      <c r="B654" s="5"/>
      <c r="C654" s="5"/>
      <c r="D654" s="5"/>
      <c r="E654" s="5"/>
      <c r="F654" s="5"/>
      <c r="G654" s="5"/>
      <c r="H654" s="5"/>
      <c r="I654" s="5"/>
      <c r="J654" s="5"/>
      <c r="K654" s="5"/>
      <c r="L654" s="5"/>
      <c r="M654" s="5"/>
      <c r="N654" s="5"/>
      <c r="O654" s="5"/>
      <c r="P654" s="5"/>
      <c r="Q654" s="5"/>
      <c r="R654" s="5"/>
      <c r="S654" s="5"/>
      <c r="T654" s="5"/>
      <c r="U654" s="5"/>
      <c r="V654" s="5"/>
      <c r="Y654" s="5"/>
      <c r="Z654" s="5"/>
      <c r="AA654" s="5"/>
      <c r="AB654" s="5"/>
      <c r="AC654" s="5"/>
      <c r="AD654" s="5"/>
      <c r="AE654" s="5"/>
      <c r="AF654" s="5"/>
      <c r="AG654" s="5"/>
      <c r="AH654" s="5"/>
      <c r="AI654" s="5"/>
      <c r="AJ654" s="5"/>
      <c r="AK654" s="5"/>
      <c r="AL654" s="5"/>
      <c r="AM654" s="5"/>
      <c r="AN654" s="5"/>
    </row>
    <row r="655" spans="1:40" ht="18.75" customHeight="1">
      <c r="A655" s="5"/>
      <c r="B655" s="5"/>
      <c r="C655" s="5"/>
      <c r="D655" s="5"/>
      <c r="E655" s="5"/>
      <c r="F655" s="5"/>
      <c r="G655" s="5"/>
      <c r="H655" s="5"/>
      <c r="I655" s="5"/>
      <c r="J655" s="5"/>
      <c r="K655" s="5"/>
      <c r="L655" s="5"/>
      <c r="M655" s="5"/>
      <c r="N655" s="5"/>
      <c r="O655" s="5"/>
      <c r="P655" s="5"/>
      <c r="Q655" s="5"/>
      <c r="R655" s="5"/>
      <c r="S655" s="5"/>
      <c r="T655" s="5"/>
      <c r="U655" s="5"/>
      <c r="V655" s="5"/>
      <c r="Y655" s="5"/>
      <c r="Z655" s="5"/>
      <c r="AA655" s="5"/>
      <c r="AB655" s="5"/>
      <c r="AC655" s="5"/>
      <c r="AD655" s="5"/>
      <c r="AE655" s="5"/>
      <c r="AF655" s="5"/>
      <c r="AG655" s="5"/>
      <c r="AH655" s="5"/>
      <c r="AI655" s="5"/>
      <c r="AJ655" s="5"/>
      <c r="AK655" s="5"/>
      <c r="AL655" s="5"/>
      <c r="AM655" s="5"/>
      <c r="AN655" s="5"/>
    </row>
    <row r="656" spans="1:40" ht="18.75" customHeight="1">
      <c r="A656" s="5"/>
      <c r="B656" s="5"/>
      <c r="C656" s="5"/>
      <c r="D656" s="5"/>
      <c r="E656" s="5"/>
      <c r="F656" s="5"/>
      <c r="G656" s="5"/>
      <c r="H656" s="5"/>
      <c r="I656" s="5"/>
      <c r="J656" s="5"/>
      <c r="K656" s="5"/>
      <c r="L656" s="5"/>
      <c r="M656" s="5"/>
      <c r="N656" s="5"/>
      <c r="O656" s="5"/>
      <c r="P656" s="5"/>
      <c r="Q656" s="5"/>
      <c r="R656" s="5"/>
      <c r="S656" s="5"/>
      <c r="T656" s="5"/>
      <c r="U656" s="5"/>
      <c r="V656" s="5"/>
      <c r="Y656" s="5"/>
      <c r="Z656" s="5"/>
      <c r="AA656" s="5"/>
      <c r="AB656" s="5"/>
      <c r="AC656" s="5"/>
      <c r="AD656" s="5"/>
      <c r="AE656" s="5"/>
      <c r="AF656" s="5"/>
      <c r="AG656" s="5"/>
      <c r="AH656" s="5"/>
      <c r="AI656" s="5"/>
      <c r="AJ656" s="5"/>
      <c r="AK656" s="5"/>
      <c r="AL656" s="5"/>
      <c r="AM656" s="5"/>
      <c r="AN656" s="5"/>
    </row>
    <row r="657" spans="1:40" ht="18.75" customHeight="1">
      <c r="A657" s="5"/>
      <c r="B657" s="5"/>
      <c r="C657" s="5"/>
      <c r="D657" s="5"/>
      <c r="E657" s="5"/>
      <c r="F657" s="5"/>
      <c r="G657" s="5"/>
      <c r="H657" s="5"/>
      <c r="I657" s="5"/>
      <c r="J657" s="5"/>
      <c r="K657" s="5"/>
      <c r="L657" s="5"/>
      <c r="M657" s="5"/>
      <c r="N657" s="5"/>
      <c r="O657" s="5"/>
      <c r="P657" s="5"/>
      <c r="Q657" s="5"/>
      <c r="R657" s="5"/>
      <c r="S657" s="5"/>
      <c r="T657" s="5"/>
      <c r="U657" s="5"/>
      <c r="V657" s="5"/>
      <c r="Y657" s="5"/>
      <c r="Z657" s="5"/>
      <c r="AA657" s="5"/>
      <c r="AB657" s="5"/>
      <c r="AC657" s="5"/>
      <c r="AD657" s="5"/>
      <c r="AE657" s="5"/>
      <c r="AF657" s="5"/>
      <c r="AG657" s="5"/>
      <c r="AH657" s="5"/>
      <c r="AI657" s="5"/>
      <c r="AJ657" s="5"/>
      <c r="AK657" s="5"/>
      <c r="AL657" s="5"/>
      <c r="AM657" s="5"/>
      <c r="AN657" s="5"/>
    </row>
    <row r="658" spans="1:40" ht="18.75" customHeight="1">
      <c r="A658" s="5"/>
      <c r="B658" s="5"/>
      <c r="C658" s="5"/>
      <c r="D658" s="5"/>
      <c r="E658" s="5"/>
      <c r="F658" s="5"/>
      <c r="G658" s="5"/>
      <c r="H658" s="5"/>
      <c r="I658" s="5"/>
      <c r="J658" s="5"/>
      <c r="K658" s="5"/>
      <c r="L658" s="5"/>
      <c r="M658" s="5"/>
      <c r="N658" s="5"/>
      <c r="O658" s="5"/>
      <c r="P658" s="5"/>
      <c r="Q658" s="5"/>
      <c r="R658" s="5"/>
      <c r="S658" s="5"/>
      <c r="T658" s="5"/>
      <c r="U658" s="5"/>
      <c r="V658" s="5"/>
      <c r="Y658" s="5"/>
      <c r="Z658" s="5"/>
      <c r="AA658" s="5"/>
      <c r="AB658" s="5"/>
      <c r="AC658" s="5"/>
      <c r="AD658" s="5"/>
      <c r="AE658" s="5"/>
      <c r="AF658" s="5"/>
      <c r="AG658" s="5"/>
      <c r="AH658" s="5"/>
      <c r="AI658" s="5"/>
      <c r="AJ658" s="5"/>
      <c r="AK658" s="5"/>
      <c r="AL658" s="5"/>
      <c r="AM658" s="5"/>
      <c r="AN658" s="5"/>
    </row>
    <row r="659" spans="1:40" ht="18.75" customHeight="1">
      <c r="A659" s="5"/>
      <c r="B659" s="5"/>
      <c r="C659" s="5"/>
      <c r="D659" s="5"/>
      <c r="E659" s="5"/>
      <c r="F659" s="5"/>
      <c r="G659" s="5"/>
      <c r="H659" s="5"/>
      <c r="I659" s="5"/>
      <c r="J659" s="5"/>
      <c r="K659" s="5"/>
      <c r="L659" s="5"/>
      <c r="M659" s="5"/>
      <c r="N659" s="5"/>
      <c r="O659" s="5"/>
      <c r="P659" s="5"/>
      <c r="Q659" s="5"/>
      <c r="R659" s="5"/>
      <c r="S659" s="5"/>
      <c r="T659" s="5"/>
      <c r="U659" s="5"/>
      <c r="V659" s="5"/>
      <c r="Y659" s="5"/>
      <c r="Z659" s="5"/>
      <c r="AA659" s="5"/>
      <c r="AB659" s="5"/>
      <c r="AC659" s="5"/>
      <c r="AD659" s="5"/>
      <c r="AE659" s="5"/>
      <c r="AF659" s="5"/>
      <c r="AG659" s="5"/>
      <c r="AH659" s="5"/>
      <c r="AI659" s="5"/>
      <c r="AJ659" s="5"/>
      <c r="AK659" s="5"/>
      <c r="AL659" s="5"/>
      <c r="AM659" s="5"/>
      <c r="AN659" s="5"/>
    </row>
    <row r="660" spans="1:40" ht="18.75" customHeight="1">
      <c r="A660" s="5"/>
      <c r="B660" s="5"/>
      <c r="C660" s="5"/>
      <c r="D660" s="5"/>
      <c r="E660" s="5"/>
      <c r="F660" s="5"/>
      <c r="G660" s="5"/>
      <c r="H660" s="5"/>
      <c r="I660" s="5"/>
      <c r="J660" s="5"/>
      <c r="K660" s="5"/>
      <c r="L660" s="5"/>
      <c r="M660" s="5"/>
      <c r="N660" s="5"/>
      <c r="O660" s="5"/>
      <c r="P660" s="5"/>
      <c r="Q660" s="5"/>
      <c r="R660" s="5"/>
      <c r="S660" s="5"/>
      <c r="T660" s="5"/>
      <c r="U660" s="5"/>
      <c r="V660" s="5"/>
      <c r="Y660" s="5"/>
      <c r="Z660" s="5"/>
      <c r="AA660" s="5"/>
      <c r="AB660" s="5"/>
      <c r="AC660" s="5"/>
      <c r="AD660" s="5"/>
      <c r="AE660" s="5"/>
      <c r="AF660" s="5"/>
      <c r="AG660" s="5"/>
      <c r="AH660" s="5"/>
      <c r="AI660" s="5"/>
      <c r="AJ660" s="5"/>
      <c r="AK660" s="5"/>
      <c r="AL660" s="5"/>
      <c r="AM660" s="5"/>
      <c r="AN660" s="5"/>
    </row>
    <row r="661" spans="1:40" ht="18.75" customHeight="1">
      <c r="A661" s="5"/>
      <c r="B661" s="5"/>
      <c r="C661" s="5"/>
      <c r="D661" s="5"/>
      <c r="E661" s="5"/>
      <c r="F661" s="5"/>
      <c r="G661" s="5"/>
      <c r="H661" s="5"/>
      <c r="I661" s="5"/>
      <c r="J661" s="5"/>
      <c r="K661" s="5"/>
      <c r="L661" s="5"/>
      <c r="M661" s="5"/>
      <c r="N661" s="5"/>
      <c r="O661" s="5"/>
      <c r="P661" s="5"/>
      <c r="Q661" s="5"/>
      <c r="R661" s="5"/>
      <c r="S661" s="5"/>
      <c r="T661" s="5"/>
      <c r="U661" s="5"/>
      <c r="V661" s="5"/>
      <c r="Y661" s="5"/>
      <c r="Z661" s="5"/>
      <c r="AA661" s="5"/>
      <c r="AB661" s="5"/>
      <c r="AC661" s="5"/>
      <c r="AD661" s="5"/>
      <c r="AE661" s="5"/>
      <c r="AF661" s="5"/>
      <c r="AG661" s="5"/>
      <c r="AH661" s="5"/>
      <c r="AI661" s="5"/>
      <c r="AJ661" s="5"/>
      <c r="AK661" s="5"/>
      <c r="AL661" s="5"/>
      <c r="AM661" s="5"/>
      <c r="AN661" s="5"/>
    </row>
    <row r="662" spans="1:40" ht="18.75" customHeight="1">
      <c r="A662" s="5"/>
      <c r="B662" s="5"/>
      <c r="C662" s="5"/>
      <c r="D662" s="5"/>
      <c r="E662" s="5"/>
      <c r="F662" s="5"/>
      <c r="G662" s="5"/>
      <c r="H662" s="5"/>
      <c r="I662" s="5"/>
      <c r="J662" s="5"/>
      <c r="K662" s="5"/>
      <c r="L662" s="5"/>
      <c r="M662" s="5"/>
      <c r="N662" s="5"/>
      <c r="O662" s="5"/>
      <c r="P662" s="5"/>
      <c r="Q662" s="5"/>
      <c r="R662" s="5"/>
      <c r="S662" s="5"/>
      <c r="T662" s="5"/>
      <c r="U662" s="5"/>
      <c r="V662" s="5"/>
      <c r="Y662" s="5"/>
      <c r="Z662" s="5"/>
      <c r="AA662" s="5"/>
      <c r="AB662" s="5"/>
      <c r="AC662" s="5"/>
      <c r="AD662" s="5"/>
      <c r="AE662" s="5"/>
      <c r="AF662" s="5"/>
      <c r="AG662" s="5"/>
      <c r="AH662" s="5"/>
      <c r="AI662" s="5"/>
      <c r="AJ662" s="5"/>
      <c r="AK662" s="5"/>
      <c r="AL662" s="5"/>
      <c r="AM662" s="5"/>
      <c r="AN662" s="5"/>
    </row>
    <row r="663" spans="1:40" ht="18.75" customHeight="1">
      <c r="A663" s="5"/>
      <c r="B663" s="5"/>
      <c r="C663" s="5"/>
      <c r="D663" s="5"/>
      <c r="E663" s="5"/>
      <c r="F663" s="5"/>
      <c r="G663" s="5"/>
      <c r="H663" s="5"/>
      <c r="I663" s="5"/>
      <c r="J663" s="5"/>
      <c r="K663" s="5"/>
      <c r="L663" s="5"/>
      <c r="M663" s="5"/>
      <c r="N663" s="5"/>
      <c r="O663" s="5"/>
      <c r="P663" s="5"/>
      <c r="Q663" s="5"/>
      <c r="R663" s="5"/>
      <c r="S663" s="5"/>
      <c r="T663" s="5"/>
      <c r="U663" s="5"/>
      <c r="V663" s="5"/>
      <c r="Y663" s="5"/>
      <c r="Z663" s="5"/>
      <c r="AA663" s="5"/>
      <c r="AB663" s="5"/>
      <c r="AC663" s="5"/>
      <c r="AD663" s="5"/>
      <c r="AE663" s="5"/>
      <c r="AF663" s="5"/>
      <c r="AG663" s="5"/>
      <c r="AH663" s="5"/>
      <c r="AI663" s="5"/>
      <c r="AJ663" s="5"/>
      <c r="AK663" s="5"/>
      <c r="AL663" s="5"/>
      <c r="AM663" s="5"/>
      <c r="AN663" s="5"/>
    </row>
    <row r="664" spans="1:40" ht="18.75" customHeight="1">
      <c r="A664" s="5"/>
      <c r="B664" s="5"/>
      <c r="C664" s="5"/>
      <c r="D664" s="5"/>
      <c r="E664" s="5"/>
      <c r="F664" s="5"/>
      <c r="G664" s="5"/>
      <c r="H664" s="5"/>
      <c r="I664" s="5"/>
      <c r="J664" s="5"/>
      <c r="K664" s="5"/>
      <c r="L664" s="5"/>
      <c r="M664" s="5"/>
      <c r="N664" s="5"/>
      <c r="O664" s="5"/>
      <c r="P664" s="5"/>
      <c r="Q664" s="5"/>
      <c r="R664" s="5"/>
      <c r="S664" s="5"/>
      <c r="T664" s="5"/>
      <c r="U664" s="5"/>
      <c r="V664" s="5"/>
      <c r="Y664" s="5"/>
      <c r="Z664" s="5"/>
      <c r="AA664" s="5"/>
      <c r="AB664" s="5"/>
      <c r="AC664" s="5"/>
      <c r="AD664" s="5"/>
      <c r="AE664" s="5"/>
      <c r="AF664" s="5"/>
      <c r="AG664" s="5"/>
      <c r="AH664" s="5"/>
      <c r="AI664" s="5"/>
      <c r="AJ664" s="5"/>
      <c r="AK664" s="5"/>
      <c r="AL664" s="5"/>
      <c r="AM664" s="5"/>
      <c r="AN664" s="5"/>
    </row>
    <row r="665" spans="1:40" ht="18.75" customHeight="1">
      <c r="A665" s="5"/>
      <c r="B665" s="5"/>
      <c r="C665" s="5"/>
      <c r="D665" s="5"/>
      <c r="E665" s="5"/>
      <c r="F665" s="5"/>
      <c r="G665" s="5"/>
      <c r="H665" s="5"/>
      <c r="I665" s="5"/>
      <c r="J665" s="5"/>
      <c r="K665" s="5"/>
      <c r="L665" s="5"/>
      <c r="M665" s="5"/>
      <c r="N665" s="5"/>
      <c r="O665" s="5"/>
      <c r="P665" s="5"/>
      <c r="Q665" s="5"/>
      <c r="R665" s="5"/>
      <c r="S665" s="5"/>
      <c r="T665" s="5"/>
      <c r="U665" s="5"/>
      <c r="V665" s="5"/>
      <c r="Y665" s="5"/>
      <c r="Z665" s="5"/>
      <c r="AA665" s="5"/>
      <c r="AB665" s="5"/>
      <c r="AC665" s="5"/>
      <c r="AD665" s="5"/>
      <c r="AE665" s="5"/>
      <c r="AF665" s="5"/>
      <c r="AG665" s="5"/>
      <c r="AH665" s="5"/>
      <c r="AI665" s="5"/>
      <c r="AJ665" s="5"/>
      <c r="AK665" s="5"/>
      <c r="AL665" s="5"/>
      <c r="AM665" s="5"/>
      <c r="AN665" s="5"/>
    </row>
    <row r="666" spans="1:40" ht="18.75" customHeight="1">
      <c r="A666" s="5"/>
      <c r="B666" s="5"/>
      <c r="C666" s="5"/>
      <c r="D666" s="5"/>
      <c r="E666" s="5"/>
      <c r="F666" s="5"/>
      <c r="G666" s="5"/>
      <c r="H666" s="5"/>
      <c r="I666" s="5"/>
      <c r="J666" s="5"/>
      <c r="K666" s="5"/>
      <c r="L666" s="5"/>
      <c r="M666" s="5"/>
      <c r="N666" s="5"/>
      <c r="O666" s="5"/>
      <c r="P666" s="5"/>
      <c r="Q666" s="5"/>
      <c r="R666" s="5"/>
      <c r="S666" s="5"/>
      <c r="T666" s="5"/>
      <c r="U666" s="5"/>
      <c r="V666" s="5"/>
      <c r="Y666" s="5"/>
      <c r="Z666" s="5"/>
      <c r="AA666" s="5"/>
      <c r="AB666" s="5"/>
      <c r="AC666" s="5"/>
      <c r="AD666" s="5"/>
      <c r="AE666" s="5"/>
      <c r="AF666" s="5"/>
      <c r="AG666" s="5"/>
      <c r="AH666" s="5"/>
      <c r="AI666" s="5"/>
      <c r="AJ666" s="5"/>
      <c r="AK666" s="5"/>
      <c r="AL666" s="5"/>
      <c r="AM666" s="5"/>
      <c r="AN666" s="5"/>
    </row>
    <row r="667" spans="1:40" ht="18.75" customHeight="1">
      <c r="A667" s="5"/>
      <c r="B667" s="5"/>
      <c r="C667" s="5"/>
      <c r="D667" s="5"/>
      <c r="E667" s="5"/>
      <c r="F667" s="5"/>
      <c r="G667" s="5"/>
      <c r="H667" s="5"/>
      <c r="I667" s="5"/>
      <c r="J667" s="5"/>
      <c r="K667" s="5"/>
      <c r="L667" s="5"/>
      <c r="M667" s="5"/>
      <c r="N667" s="5"/>
      <c r="O667" s="5"/>
      <c r="P667" s="5"/>
      <c r="Q667" s="5"/>
      <c r="R667" s="5"/>
      <c r="S667" s="5"/>
      <c r="T667" s="5"/>
      <c r="U667" s="5"/>
      <c r="V667" s="5"/>
      <c r="Y667" s="5"/>
      <c r="Z667" s="5"/>
      <c r="AA667" s="5"/>
      <c r="AB667" s="5"/>
      <c r="AC667" s="5"/>
      <c r="AD667" s="5"/>
      <c r="AE667" s="5"/>
      <c r="AF667" s="5"/>
      <c r="AG667" s="5"/>
      <c r="AH667" s="5"/>
      <c r="AI667" s="5"/>
      <c r="AJ667" s="5"/>
      <c r="AK667" s="5"/>
      <c r="AL667" s="5"/>
      <c r="AM667" s="5"/>
      <c r="AN667" s="5"/>
    </row>
    <row r="668" spans="1:40" ht="18.75" customHeight="1">
      <c r="A668" s="5"/>
      <c r="B668" s="5"/>
      <c r="C668" s="5"/>
      <c r="D668" s="5"/>
      <c r="E668" s="5"/>
      <c r="F668" s="5"/>
      <c r="G668" s="5"/>
      <c r="H668" s="5"/>
      <c r="I668" s="5"/>
      <c r="J668" s="5"/>
      <c r="K668" s="5"/>
      <c r="L668" s="5"/>
      <c r="M668" s="5"/>
      <c r="N668" s="5"/>
      <c r="O668" s="5"/>
      <c r="P668" s="5"/>
      <c r="Q668" s="5"/>
      <c r="R668" s="5"/>
      <c r="S668" s="5"/>
      <c r="T668" s="5"/>
      <c r="U668" s="5"/>
      <c r="V668" s="5"/>
      <c r="Y668" s="5"/>
      <c r="Z668" s="5"/>
      <c r="AA668" s="5"/>
      <c r="AB668" s="5"/>
      <c r="AC668" s="5"/>
      <c r="AD668" s="5"/>
      <c r="AE668" s="5"/>
      <c r="AF668" s="5"/>
      <c r="AG668" s="5"/>
      <c r="AH668" s="5"/>
      <c r="AI668" s="5"/>
      <c r="AJ668" s="5"/>
      <c r="AK668" s="5"/>
      <c r="AL668" s="5"/>
      <c r="AM668" s="5"/>
      <c r="AN668" s="5"/>
    </row>
    <row r="669" spans="1:40" ht="18.75" customHeight="1">
      <c r="A669" s="5"/>
      <c r="B669" s="5"/>
      <c r="C669" s="5"/>
      <c r="D669" s="5"/>
      <c r="E669" s="5"/>
      <c r="F669" s="5"/>
      <c r="G669" s="5"/>
      <c r="H669" s="5"/>
      <c r="I669" s="5"/>
      <c r="J669" s="5"/>
      <c r="K669" s="5"/>
      <c r="L669" s="5"/>
      <c r="M669" s="5"/>
      <c r="N669" s="5"/>
      <c r="O669" s="5"/>
      <c r="P669" s="5"/>
      <c r="Q669" s="5"/>
      <c r="R669" s="5"/>
      <c r="S669" s="5"/>
      <c r="T669" s="5"/>
      <c r="U669" s="5"/>
      <c r="V669" s="5"/>
      <c r="Y669" s="5"/>
      <c r="Z669" s="5"/>
      <c r="AA669" s="5"/>
      <c r="AB669" s="5"/>
      <c r="AC669" s="5"/>
      <c r="AD669" s="5"/>
      <c r="AE669" s="5"/>
      <c r="AF669" s="5"/>
      <c r="AG669" s="5"/>
      <c r="AH669" s="5"/>
      <c r="AI669" s="5"/>
      <c r="AJ669" s="5"/>
      <c r="AK669" s="5"/>
      <c r="AL669" s="5"/>
      <c r="AM669" s="5"/>
      <c r="AN669" s="5"/>
    </row>
    <row r="670" spans="1:40" ht="18.75" customHeight="1">
      <c r="A670" s="5"/>
      <c r="B670" s="5"/>
      <c r="C670" s="5"/>
      <c r="D670" s="5"/>
      <c r="E670" s="5"/>
      <c r="F670" s="5"/>
      <c r="G670" s="5"/>
      <c r="H670" s="5"/>
      <c r="I670" s="5"/>
      <c r="J670" s="5"/>
      <c r="K670" s="5"/>
      <c r="L670" s="5"/>
      <c r="M670" s="5"/>
      <c r="N670" s="5"/>
      <c r="O670" s="5"/>
      <c r="P670" s="5"/>
      <c r="Q670" s="5"/>
      <c r="R670" s="5"/>
      <c r="S670" s="5"/>
      <c r="T670" s="5"/>
      <c r="U670" s="5"/>
      <c r="V670" s="5"/>
      <c r="Y670" s="5"/>
      <c r="Z670" s="5"/>
      <c r="AA670" s="5"/>
      <c r="AB670" s="5"/>
      <c r="AC670" s="5"/>
      <c r="AD670" s="5"/>
      <c r="AE670" s="5"/>
      <c r="AF670" s="5"/>
      <c r="AG670" s="5"/>
      <c r="AH670" s="5"/>
      <c r="AI670" s="5"/>
      <c r="AJ670" s="5"/>
      <c r="AK670" s="5"/>
      <c r="AL670" s="5"/>
      <c r="AM670" s="5"/>
      <c r="AN670" s="5"/>
    </row>
    <row r="671" spans="1:40" ht="18.75" customHeight="1">
      <c r="A671" s="5"/>
      <c r="B671" s="5"/>
      <c r="C671" s="5"/>
      <c r="D671" s="5"/>
      <c r="E671" s="5"/>
      <c r="F671" s="5"/>
      <c r="G671" s="5"/>
      <c r="H671" s="5"/>
      <c r="I671" s="5"/>
      <c r="J671" s="5"/>
      <c r="K671" s="5"/>
      <c r="L671" s="5"/>
      <c r="M671" s="5"/>
      <c r="N671" s="5"/>
      <c r="O671" s="5"/>
      <c r="P671" s="5"/>
      <c r="Q671" s="5"/>
      <c r="R671" s="5"/>
      <c r="S671" s="5"/>
      <c r="T671" s="5"/>
      <c r="U671" s="5"/>
      <c r="V671" s="5"/>
      <c r="Y671" s="5"/>
      <c r="Z671" s="5"/>
      <c r="AA671" s="5"/>
      <c r="AB671" s="5"/>
      <c r="AC671" s="5"/>
      <c r="AD671" s="5"/>
      <c r="AE671" s="5"/>
      <c r="AF671" s="5"/>
      <c r="AG671" s="5"/>
      <c r="AH671" s="5"/>
      <c r="AI671" s="5"/>
      <c r="AJ671" s="5"/>
      <c r="AK671" s="5"/>
      <c r="AL671" s="5"/>
      <c r="AM671" s="5"/>
      <c r="AN671" s="5"/>
    </row>
    <row r="672" spans="1:40" ht="18.75" customHeight="1">
      <c r="A672" s="5"/>
      <c r="B672" s="5"/>
      <c r="C672" s="5"/>
      <c r="D672" s="5"/>
      <c r="E672" s="5"/>
      <c r="F672" s="5"/>
      <c r="G672" s="5"/>
      <c r="H672" s="5"/>
      <c r="I672" s="5"/>
      <c r="J672" s="5"/>
      <c r="K672" s="5"/>
      <c r="L672" s="5"/>
      <c r="M672" s="5"/>
      <c r="N672" s="5"/>
      <c r="O672" s="5"/>
      <c r="P672" s="5"/>
      <c r="Q672" s="5"/>
      <c r="R672" s="5"/>
      <c r="S672" s="5"/>
      <c r="T672" s="5"/>
      <c r="U672" s="5"/>
      <c r="V672" s="5"/>
      <c r="Y672" s="5"/>
      <c r="Z672" s="5"/>
      <c r="AA672" s="5"/>
      <c r="AB672" s="5"/>
      <c r="AC672" s="5"/>
      <c r="AD672" s="5"/>
      <c r="AE672" s="5"/>
      <c r="AF672" s="5"/>
      <c r="AG672" s="5"/>
      <c r="AH672" s="5"/>
      <c r="AI672" s="5"/>
      <c r="AJ672" s="5"/>
      <c r="AK672" s="5"/>
      <c r="AL672" s="5"/>
      <c r="AM672" s="5"/>
      <c r="AN672" s="5"/>
    </row>
    <row r="673" spans="1:40" ht="18.75" customHeight="1">
      <c r="A673" s="5"/>
      <c r="B673" s="5"/>
      <c r="C673" s="5"/>
      <c r="D673" s="5"/>
      <c r="E673" s="5"/>
      <c r="F673" s="5"/>
      <c r="G673" s="5"/>
      <c r="H673" s="5"/>
      <c r="I673" s="5"/>
      <c r="J673" s="5"/>
      <c r="K673" s="5"/>
      <c r="L673" s="5"/>
      <c r="M673" s="5"/>
      <c r="N673" s="5"/>
      <c r="O673" s="5"/>
      <c r="P673" s="5"/>
      <c r="Q673" s="5"/>
      <c r="R673" s="5"/>
      <c r="S673" s="5"/>
      <c r="T673" s="5"/>
      <c r="U673" s="5"/>
      <c r="V673" s="5"/>
      <c r="Y673" s="5"/>
      <c r="Z673" s="5"/>
      <c r="AA673" s="5"/>
      <c r="AB673" s="5"/>
      <c r="AC673" s="5"/>
      <c r="AD673" s="5"/>
      <c r="AE673" s="5"/>
      <c r="AF673" s="5"/>
      <c r="AG673" s="5"/>
      <c r="AH673" s="5"/>
      <c r="AI673" s="5"/>
      <c r="AJ673" s="5"/>
      <c r="AK673" s="5"/>
      <c r="AL673" s="5"/>
      <c r="AM673" s="5"/>
      <c r="AN673" s="5"/>
    </row>
    <row r="674" spans="1:40" ht="18.75" customHeight="1">
      <c r="A674" s="5"/>
      <c r="B674" s="5"/>
      <c r="C674" s="5"/>
      <c r="D674" s="5"/>
      <c r="E674" s="5"/>
      <c r="F674" s="5"/>
      <c r="G674" s="5"/>
      <c r="H674" s="5"/>
      <c r="I674" s="5"/>
      <c r="J674" s="5"/>
      <c r="K674" s="5"/>
      <c r="L674" s="5"/>
      <c r="M674" s="5"/>
      <c r="N674" s="5"/>
      <c r="O674" s="5"/>
      <c r="P674" s="5"/>
      <c r="Q674" s="5"/>
      <c r="R674" s="5"/>
      <c r="S674" s="5"/>
      <c r="T674" s="5"/>
      <c r="U674" s="5"/>
      <c r="V674" s="5"/>
      <c r="Y674" s="5"/>
      <c r="Z674" s="5"/>
      <c r="AA674" s="5"/>
      <c r="AB674" s="5"/>
      <c r="AC674" s="5"/>
      <c r="AD674" s="5"/>
      <c r="AE674" s="5"/>
      <c r="AF674" s="5"/>
      <c r="AG674" s="5"/>
      <c r="AH674" s="5"/>
      <c r="AI674" s="5"/>
      <c r="AJ674" s="5"/>
      <c r="AK674" s="5"/>
      <c r="AL674" s="5"/>
      <c r="AM674" s="5"/>
      <c r="AN674" s="5"/>
    </row>
    <row r="675" spans="1:40" ht="18.75" customHeight="1">
      <c r="A675" s="5"/>
      <c r="B675" s="5"/>
      <c r="C675" s="5"/>
      <c r="D675" s="5"/>
      <c r="E675" s="5"/>
      <c r="F675" s="5"/>
      <c r="G675" s="5"/>
      <c r="H675" s="5"/>
      <c r="I675" s="5"/>
      <c r="J675" s="5"/>
      <c r="K675" s="5"/>
      <c r="L675" s="5"/>
      <c r="M675" s="5"/>
      <c r="N675" s="5"/>
      <c r="O675" s="5"/>
      <c r="P675" s="5"/>
      <c r="Q675" s="5"/>
      <c r="R675" s="5"/>
      <c r="S675" s="5"/>
      <c r="T675" s="5"/>
      <c r="U675" s="5"/>
      <c r="V675" s="5"/>
      <c r="Y675" s="5"/>
      <c r="Z675" s="5"/>
      <c r="AA675" s="5"/>
      <c r="AB675" s="5"/>
      <c r="AC675" s="5"/>
      <c r="AD675" s="5"/>
      <c r="AE675" s="5"/>
      <c r="AF675" s="5"/>
      <c r="AG675" s="5"/>
      <c r="AH675" s="5"/>
      <c r="AI675" s="5"/>
      <c r="AJ675" s="5"/>
      <c r="AK675" s="5"/>
      <c r="AL675" s="5"/>
      <c r="AM675" s="5"/>
      <c r="AN675" s="5"/>
    </row>
    <row r="676" spans="1:40" ht="18.75" customHeight="1">
      <c r="A676" s="5"/>
      <c r="B676" s="5"/>
      <c r="C676" s="5"/>
      <c r="D676" s="5"/>
      <c r="E676" s="5"/>
      <c r="F676" s="5"/>
      <c r="G676" s="5"/>
      <c r="H676" s="5"/>
      <c r="I676" s="5"/>
      <c r="J676" s="5"/>
      <c r="K676" s="5"/>
      <c r="L676" s="5"/>
      <c r="M676" s="5"/>
      <c r="N676" s="5"/>
      <c r="O676" s="5"/>
      <c r="P676" s="5"/>
      <c r="Q676" s="5"/>
      <c r="R676" s="5"/>
      <c r="S676" s="5"/>
      <c r="T676" s="5"/>
      <c r="U676" s="5"/>
      <c r="V676" s="5"/>
      <c r="Y676" s="5"/>
      <c r="Z676" s="5"/>
      <c r="AA676" s="5"/>
      <c r="AB676" s="5"/>
      <c r="AC676" s="5"/>
      <c r="AD676" s="5"/>
      <c r="AE676" s="5"/>
      <c r="AF676" s="5"/>
      <c r="AG676" s="5"/>
      <c r="AH676" s="5"/>
      <c r="AI676" s="5"/>
      <c r="AJ676" s="5"/>
      <c r="AK676" s="5"/>
      <c r="AL676" s="5"/>
      <c r="AM676" s="5"/>
      <c r="AN676" s="5"/>
    </row>
    <row r="677" spans="1:40" ht="18.75" customHeight="1">
      <c r="A677" s="5"/>
      <c r="B677" s="5"/>
      <c r="C677" s="5"/>
      <c r="D677" s="5"/>
      <c r="E677" s="5"/>
      <c r="F677" s="5"/>
      <c r="G677" s="5"/>
      <c r="H677" s="5"/>
      <c r="I677" s="5"/>
      <c r="J677" s="5"/>
      <c r="K677" s="5"/>
      <c r="L677" s="5"/>
      <c r="M677" s="5"/>
      <c r="N677" s="5"/>
      <c r="O677" s="5"/>
      <c r="P677" s="5"/>
      <c r="Q677" s="5"/>
      <c r="R677" s="5"/>
      <c r="S677" s="5"/>
      <c r="T677" s="5"/>
      <c r="U677" s="5"/>
      <c r="V677" s="5"/>
      <c r="Y677" s="5"/>
      <c r="Z677" s="5"/>
      <c r="AA677" s="5"/>
      <c r="AB677" s="5"/>
      <c r="AC677" s="5"/>
      <c r="AD677" s="5"/>
      <c r="AE677" s="5"/>
      <c r="AF677" s="5"/>
      <c r="AG677" s="5"/>
      <c r="AH677" s="5"/>
      <c r="AI677" s="5"/>
      <c r="AJ677" s="5"/>
      <c r="AK677" s="5"/>
      <c r="AL677" s="5"/>
      <c r="AM677" s="5"/>
      <c r="AN677" s="5"/>
    </row>
    <row r="678" spans="1:40" ht="18.75" customHeight="1">
      <c r="A678" s="5"/>
      <c r="B678" s="5"/>
      <c r="C678" s="5"/>
      <c r="D678" s="5"/>
      <c r="E678" s="5"/>
      <c r="F678" s="5"/>
      <c r="G678" s="5"/>
      <c r="H678" s="5"/>
      <c r="I678" s="5"/>
      <c r="J678" s="5"/>
      <c r="K678" s="5"/>
      <c r="L678" s="5"/>
      <c r="M678" s="5"/>
      <c r="N678" s="5"/>
      <c r="O678" s="5"/>
      <c r="P678" s="5"/>
      <c r="Q678" s="5"/>
      <c r="R678" s="5"/>
      <c r="S678" s="5"/>
      <c r="T678" s="5"/>
      <c r="U678" s="5"/>
      <c r="V678" s="5"/>
      <c r="Y678" s="5"/>
      <c r="Z678" s="5"/>
      <c r="AA678" s="5"/>
      <c r="AB678" s="5"/>
      <c r="AC678" s="5"/>
      <c r="AD678" s="5"/>
      <c r="AE678" s="5"/>
      <c r="AF678" s="5"/>
      <c r="AG678" s="5"/>
      <c r="AH678" s="5"/>
      <c r="AI678" s="5"/>
      <c r="AJ678" s="5"/>
      <c r="AK678" s="5"/>
      <c r="AL678" s="5"/>
      <c r="AM678" s="5"/>
      <c r="AN678" s="5"/>
    </row>
    <row r="679" spans="1:40" ht="18.75" customHeight="1">
      <c r="A679" s="5"/>
      <c r="B679" s="5"/>
      <c r="C679" s="5"/>
      <c r="D679" s="5"/>
      <c r="E679" s="5"/>
      <c r="F679" s="5"/>
      <c r="G679" s="5"/>
      <c r="H679" s="5"/>
      <c r="I679" s="5"/>
      <c r="J679" s="5"/>
      <c r="K679" s="5"/>
      <c r="L679" s="5"/>
      <c r="M679" s="5"/>
      <c r="N679" s="5"/>
      <c r="O679" s="5"/>
      <c r="P679" s="5"/>
      <c r="Q679" s="5"/>
      <c r="R679" s="5"/>
      <c r="S679" s="5"/>
      <c r="T679" s="5"/>
      <c r="U679" s="5"/>
      <c r="V679" s="5"/>
      <c r="Y679" s="5"/>
      <c r="Z679" s="5"/>
      <c r="AA679" s="5"/>
      <c r="AB679" s="5"/>
      <c r="AC679" s="5"/>
      <c r="AD679" s="5"/>
      <c r="AE679" s="5"/>
      <c r="AF679" s="5"/>
      <c r="AG679" s="5"/>
      <c r="AH679" s="5"/>
      <c r="AI679" s="5"/>
      <c r="AJ679" s="5"/>
      <c r="AK679" s="5"/>
      <c r="AL679" s="5"/>
      <c r="AM679" s="5"/>
      <c r="AN679" s="5"/>
    </row>
    <row r="680" spans="1:40" ht="18.75" customHeight="1">
      <c r="A680" s="5"/>
      <c r="B680" s="5"/>
      <c r="C680" s="5"/>
      <c r="D680" s="5"/>
      <c r="E680" s="5"/>
      <c r="F680" s="5"/>
      <c r="G680" s="5"/>
      <c r="H680" s="5"/>
      <c r="I680" s="5"/>
      <c r="J680" s="5"/>
      <c r="K680" s="5"/>
      <c r="L680" s="5"/>
      <c r="M680" s="5"/>
      <c r="N680" s="5"/>
      <c r="O680" s="5"/>
      <c r="P680" s="5"/>
      <c r="Q680" s="5"/>
      <c r="R680" s="5"/>
      <c r="S680" s="5"/>
      <c r="T680" s="5"/>
      <c r="U680" s="5"/>
      <c r="V680" s="5"/>
      <c r="Y680" s="5"/>
      <c r="Z680" s="5"/>
      <c r="AA680" s="5"/>
      <c r="AB680" s="5"/>
      <c r="AC680" s="5"/>
      <c r="AD680" s="5"/>
      <c r="AE680" s="5"/>
      <c r="AF680" s="5"/>
      <c r="AG680" s="5"/>
      <c r="AH680" s="5"/>
      <c r="AI680" s="5"/>
      <c r="AJ680" s="5"/>
      <c r="AK680" s="5"/>
      <c r="AL680" s="5"/>
      <c r="AM680" s="5"/>
      <c r="AN680" s="5"/>
    </row>
    <row r="681" spans="1:40" ht="18.75" customHeight="1">
      <c r="A681" s="5"/>
      <c r="B681" s="5"/>
      <c r="C681" s="5"/>
      <c r="D681" s="5"/>
      <c r="E681" s="5"/>
      <c r="F681" s="5"/>
      <c r="G681" s="5"/>
      <c r="H681" s="5"/>
      <c r="I681" s="5"/>
      <c r="J681" s="5"/>
      <c r="K681" s="5"/>
      <c r="L681" s="5"/>
      <c r="M681" s="5"/>
      <c r="N681" s="5"/>
      <c r="O681" s="5"/>
      <c r="P681" s="5"/>
      <c r="Q681" s="5"/>
      <c r="R681" s="5"/>
      <c r="S681" s="5"/>
      <c r="T681" s="5"/>
      <c r="U681" s="5"/>
      <c r="V681" s="5"/>
      <c r="Y681" s="5"/>
      <c r="Z681" s="5"/>
      <c r="AA681" s="5"/>
      <c r="AB681" s="5"/>
      <c r="AC681" s="5"/>
      <c r="AD681" s="5"/>
      <c r="AE681" s="5"/>
      <c r="AF681" s="5"/>
      <c r="AG681" s="5"/>
      <c r="AH681" s="5"/>
      <c r="AI681" s="5"/>
      <c r="AJ681" s="5"/>
      <c r="AK681" s="5"/>
      <c r="AL681" s="5"/>
      <c r="AM681" s="5"/>
      <c r="AN681" s="5"/>
    </row>
    <row r="682" spans="1:40" ht="18.75" customHeight="1">
      <c r="A682" s="5"/>
      <c r="B682" s="5"/>
      <c r="C682" s="5"/>
      <c r="D682" s="5"/>
      <c r="E682" s="5"/>
      <c r="F682" s="5"/>
      <c r="G682" s="5"/>
      <c r="H682" s="5"/>
      <c r="I682" s="5"/>
      <c r="J682" s="5"/>
      <c r="K682" s="5"/>
      <c r="L682" s="5"/>
      <c r="M682" s="5"/>
      <c r="N682" s="5"/>
      <c r="O682" s="5"/>
      <c r="P682" s="5"/>
      <c r="Q682" s="5"/>
      <c r="R682" s="5"/>
      <c r="S682" s="5"/>
      <c r="T682" s="5"/>
      <c r="U682" s="5"/>
      <c r="V682" s="5"/>
      <c r="Y682" s="5"/>
      <c r="Z682" s="5"/>
      <c r="AA682" s="5"/>
      <c r="AB682" s="5"/>
      <c r="AC682" s="5"/>
      <c r="AD682" s="5"/>
      <c r="AE682" s="5"/>
      <c r="AF682" s="5"/>
      <c r="AG682" s="5"/>
      <c r="AH682" s="5"/>
      <c r="AI682" s="5"/>
      <c r="AJ682" s="5"/>
      <c r="AK682" s="5"/>
      <c r="AL682" s="5"/>
      <c r="AM682" s="5"/>
      <c r="AN682" s="5"/>
    </row>
    <row r="683" spans="1:40" ht="18.75" customHeight="1">
      <c r="A683" s="5"/>
      <c r="B683" s="5"/>
      <c r="C683" s="5"/>
      <c r="D683" s="5"/>
      <c r="E683" s="5"/>
      <c r="F683" s="5"/>
      <c r="G683" s="5"/>
      <c r="H683" s="5"/>
      <c r="I683" s="5"/>
      <c r="J683" s="5"/>
      <c r="K683" s="5"/>
      <c r="L683" s="5"/>
      <c r="M683" s="5"/>
      <c r="N683" s="5"/>
      <c r="O683" s="5"/>
      <c r="P683" s="5"/>
      <c r="Q683" s="5"/>
      <c r="R683" s="5"/>
      <c r="S683" s="5"/>
      <c r="T683" s="5"/>
      <c r="U683" s="5"/>
      <c r="V683" s="5"/>
      <c r="Y683" s="5"/>
      <c r="Z683" s="5"/>
      <c r="AA683" s="5"/>
      <c r="AB683" s="5"/>
      <c r="AC683" s="5"/>
      <c r="AD683" s="5"/>
      <c r="AE683" s="5"/>
      <c r="AF683" s="5"/>
      <c r="AG683" s="5"/>
      <c r="AH683" s="5"/>
      <c r="AI683" s="5"/>
      <c r="AJ683" s="5"/>
      <c r="AK683" s="5"/>
      <c r="AL683" s="5"/>
      <c r="AM683" s="5"/>
      <c r="AN683" s="5"/>
    </row>
    <row r="684" spans="1:40" ht="18.75" customHeight="1">
      <c r="A684" s="5"/>
      <c r="B684" s="5"/>
      <c r="C684" s="5"/>
      <c r="D684" s="5"/>
      <c r="E684" s="5"/>
      <c r="F684" s="5"/>
      <c r="G684" s="5"/>
      <c r="H684" s="5"/>
      <c r="I684" s="5"/>
      <c r="J684" s="5"/>
      <c r="K684" s="5"/>
      <c r="L684" s="5"/>
      <c r="M684" s="5"/>
      <c r="N684" s="5"/>
      <c r="O684" s="5"/>
      <c r="P684" s="5"/>
      <c r="Q684" s="5"/>
      <c r="R684" s="5"/>
      <c r="S684" s="5"/>
      <c r="T684" s="5"/>
      <c r="U684" s="5"/>
      <c r="V684" s="5"/>
      <c r="Y684" s="5"/>
      <c r="Z684" s="5"/>
      <c r="AA684" s="5"/>
      <c r="AB684" s="5"/>
      <c r="AC684" s="5"/>
      <c r="AD684" s="5"/>
      <c r="AE684" s="5"/>
      <c r="AF684" s="5"/>
      <c r="AG684" s="5"/>
      <c r="AH684" s="5"/>
      <c r="AI684" s="5"/>
      <c r="AJ684" s="5"/>
      <c r="AK684" s="5"/>
      <c r="AL684" s="5"/>
      <c r="AM684" s="5"/>
      <c r="AN684" s="5"/>
    </row>
    <row r="685" spans="1:40" ht="18.75" customHeight="1">
      <c r="A685" s="5"/>
      <c r="B685" s="5"/>
      <c r="C685" s="5"/>
      <c r="D685" s="5"/>
      <c r="E685" s="5"/>
      <c r="F685" s="5"/>
      <c r="G685" s="5"/>
      <c r="H685" s="5"/>
      <c r="I685" s="5"/>
      <c r="J685" s="5"/>
      <c r="K685" s="5"/>
      <c r="L685" s="5"/>
      <c r="M685" s="5"/>
      <c r="N685" s="5"/>
      <c r="O685" s="5"/>
      <c r="P685" s="5"/>
      <c r="Q685" s="5"/>
      <c r="R685" s="5"/>
      <c r="S685" s="5"/>
      <c r="T685" s="5"/>
      <c r="U685" s="5"/>
      <c r="V685" s="5"/>
      <c r="Y685" s="5"/>
      <c r="Z685" s="5"/>
      <c r="AA685" s="5"/>
      <c r="AB685" s="5"/>
      <c r="AC685" s="5"/>
      <c r="AD685" s="5"/>
      <c r="AE685" s="5"/>
      <c r="AF685" s="5"/>
      <c r="AG685" s="5"/>
      <c r="AH685" s="5"/>
      <c r="AI685" s="5"/>
      <c r="AJ685" s="5"/>
      <c r="AK685" s="5"/>
      <c r="AL685" s="5"/>
      <c r="AM685" s="5"/>
      <c r="AN685" s="5"/>
    </row>
    <row r="686" spans="1:40" ht="18.75" customHeight="1">
      <c r="A686" s="5"/>
      <c r="B686" s="5"/>
      <c r="C686" s="5"/>
      <c r="D686" s="5"/>
      <c r="E686" s="5"/>
      <c r="F686" s="5"/>
      <c r="G686" s="5"/>
      <c r="H686" s="5"/>
      <c r="I686" s="5"/>
      <c r="J686" s="5"/>
      <c r="K686" s="5"/>
      <c r="L686" s="5"/>
      <c r="M686" s="5"/>
      <c r="N686" s="5"/>
      <c r="O686" s="5"/>
      <c r="P686" s="5"/>
      <c r="Q686" s="5"/>
      <c r="R686" s="5"/>
      <c r="S686" s="5"/>
      <c r="T686" s="5"/>
      <c r="U686" s="5"/>
      <c r="V686" s="5"/>
      <c r="Y686" s="5"/>
      <c r="Z686" s="5"/>
      <c r="AA686" s="5"/>
      <c r="AB686" s="5"/>
      <c r="AC686" s="5"/>
      <c r="AD686" s="5"/>
      <c r="AE686" s="5"/>
      <c r="AF686" s="5"/>
      <c r="AG686" s="5"/>
      <c r="AH686" s="5"/>
      <c r="AI686" s="5"/>
      <c r="AJ686" s="5"/>
      <c r="AK686" s="5"/>
      <c r="AL686" s="5"/>
      <c r="AM686" s="5"/>
      <c r="AN686" s="5"/>
    </row>
    <row r="687" spans="1:40" ht="18.75" customHeight="1">
      <c r="A687" s="5"/>
      <c r="B687" s="5"/>
      <c r="C687" s="5"/>
      <c r="D687" s="5"/>
      <c r="E687" s="5"/>
      <c r="F687" s="5"/>
      <c r="G687" s="5"/>
      <c r="H687" s="5"/>
      <c r="I687" s="5"/>
      <c r="J687" s="5"/>
      <c r="K687" s="5"/>
      <c r="L687" s="5"/>
      <c r="M687" s="5"/>
      <c r="N687" s="5"/>
      <c r="O687" s="5"/>
      <c r="P687" s="5"/>
      <c r="Q687" s="5"/>
      <c r="R687" s="5"/>
      <c r="S687" s="5"/>
      <c r="T687" s="5"/>
      <c r="U687" s="5"/>
      <c r="V687" s="5"/>
      <c r="Y687" s="5"/>
      <c r="Z687" s="5"/>
      <c r="AA687" s="5"/>
      <c r="AB687" s="5"/>
      <c r="AC687" s="5"/>
      <c r="AD687" s="5"/>
      <c r="AE687" s="5"/>
      <c r="AF687" s="5"/>
      <c r="AG687" s="5"/>
      <c r="AH687" s="5"/>
      <c r="AI687" s="5"/>
      <c r="AJ687" s="5"/>
      <c r="AK687" s="5"/>
      <c r="AL687" s="5"/>
      <c r="AM687" s="5"/>
      <c r="AN687" s="5"/>
    </row>
    <row r="688" spans="1:40" ht="18.75" customHeight="1">
      <c r="A688" s="5"/>
      <c r="B688" s="5"/>
      <c r="C688" s="5"/>
      <c r="D688" s="5"/>
      <c r="E688" s="5"/>
      <c r="F688" s="5"/>
      <c r="G688" s="5"/>
      <c r="H688" s="5"/>
      <c r="I688" s="5"/>
      <c r="J688" s="5"/>
      <c r="K688" s="5"/>
      <c r="L688" s="5"/>
      <c r="M688" s="5"/>
      <c r="N688" s="5"/>
      <c r="O688" s="5"/>
      <c r="P688" s="5"/>
      <c r="Q688" s="5"/>
      <c r="R688" s="5"/>
      <c r="S688" s="5"/>
      <c r="T688" s="5"/>
      <c r="U688" s="5"/>
      <c r="V688" s="5"/>
      <c r="Y688" s="5"/>
      <c r="Z688" s="5"/>
      <c r="AA688" s="5"/>
      <c r="AB688" s="5"/>
      <c r="AC688" s="5"/>
      <c r="AD688" s="5"/>
      <c r="AE688" s="5"/>
      <c r="AF688" s="5"/>
      <c r="AG688" s="5"/>
      <c r="AH688" s="5"/>
      <c r="AI688" s="5"/>
      <c r="AJ688" s="5"/>
      <c r="AK688" s="5"/>
      <c r="AL688" s="5"/>
      <c r="AM688" s="5"/>
      <c r="AN688" s="5"/>
    </row>
    <row r="689" spans="1:40" ht="18.75" customHeight="1">
      <c r="A689" s="5"/>
      <c r="B689" s="5"/>
      <c r="C689" s="5"/>
      <c r="D689" s="5"/>
      <c r="E689" s="5"/>
      <c r="F689" s="5"/>
      <c r="G689" s="5"/>
      <c r="H689" s="5"/>
      <c r="I689" s="5"/>
      <c r="J689" s="5"/>
      <c r="K689" s="5"/>
      <c r="L689" s="5"/>
      <c r="M689" s="5"/>
      <c r="N689" s="5"/>
      <c r="O689" s="5"/>
      <c r="P689" s="5"/>
      <c r="Q689" s="5"/>
      <c r="R689" s="5"/>
      <c r="S689" s="5"/>
      <c r="T689" s="5"/>
      <c r="U689" s="5"/>
      <c r="V689" s="5"/>
      <c r="Y689" s="5"/>
      <c r="Z689" s="5"/>
      <c r="AA689" s="5"/>
      <c r="AB689" s="5"/>
      <c r="AC689" s="5"/>
      <c r="AD689" s="5"/>
      <c r="AE689" s="5"/>
      <c r="AF689" s="5"/>
      <c r="AG689" s="5"/>
      <c r="AH689" s="5"/>
      <c r="AI689" s="5"/>
      <c r="AJ689" s="5"/>
      <c r="AK689" s="5"/>
      <c r="AL689" s="5"/>
      <c r="AM689" s="5"/>
      <c r="AN689" s="5"/>
    </row>
    <row r="690" spans="1:40" ht="18.75" customHeight="1">
      <c r="A690" s="5"/>
      <c r="B690" s="5"/>
      <c r="C690" s="5"/>
      <c r="D690" s="5"/>
      <c r="E690" s="5"/>
      <c r="F690" s="5"/>
      <c r="G690" s="5"/>
      <c r="H690" s="5"/>
      <c r="I690" s="5"/>
      <c r="J690" s="5"/>
      <c r="K690" s="5"/>
      <c r="L690" s="5"/>
      <c r="M690" s="5"/>
      <c r="N690" s="5"/>
      <c r="O690" s="5"/>
      <c r="P690" s="5"/>
      <c r="Q690" s="5"/>
      <c r="R690" s="5"/>
      <c r="S690" s="5"/>
      <c r="T690" s="5"/>
      <c r="U690" s="5"/>
      <c r="V690" s="5"/>
      <c r="Y690" s="5"/>
      <c r="Z690" s="5"/>
      <c r="AA690" s="5"/>
      <c r="AB690" s="5"/>
      <c r="AC690" s="5"/>
      <c r="AD690" s="5"/>
      <c r="AE690" s="5"/>
      <c r="AF690" s="5"/>
      <c r="AG690" s="5"/>
      <c r="AH690" s="5"/>
      <c r="AI690" s="5"/>
      <c r="AJ690" s="5"/>
      <c r="AK690" s="5"/>
      <c r="AL690" s="5"/>
      <c r="AM690" s="5"/>
      <c r="AN690" s="5"/>
    </row>
    <row r="691" spans="1:40" ht="18.75" customHeight="1">
      <c r="A691" s="5"/>
      <c r="B691" s="5"/>
      <c r="C691" s="5"/>
      <c r="D691" s="5"/>
      <c r="E691" s="5"/>
      <c r="F691" s="5"/>
      <c r="G691" s="5"/>
      <c r="H691" s="5"/>
      <c r="I691" s="5"/>
      <c r="J691" s="5"/>
      <c r="K691" s="5"/>
      <c r="L691" s="5"/>
      <c r="M691" s="5"/>
      <c r="N691" s="5"/>
      <c r="O691" s="5"/>
      <c r="P691" s="5"/>
      <c r="Q691" s="5"/>
      <c r="R691" s="5"/>
      <c r="S691" s="5"/>
      <c r="T691" s="5"/>
      <c r="U691" s="5"/>
      <c r="V691" s="5"/>
      <c r="Y691" s="5"/>
      <c r="Z691" s="5"/>
      <c r="AA691" s="5"/>
      <c r="AB691" s="5"/>
      <c r="AC691" s="5"/>
      <c r="AD691" s="5"/>
      <c r="AE691" s="5"/>
      <c r="AF691" s="5"/>
      <c r="AG691" s="5"/>
      <c r="AH691" s="5"/>
      <c r="AI691" s="5"/>
      <c r="AJ691" s="5"/>
      <c r="AK691" s="5"/>
      <c r="AL691" s="5"/>
      <c r="AM691" s="5"/>
      <c r="AN691" s="5"/>
    </row>
    <row r="692" spans="1:40" ht="18.75" customHeight="1">
      <c r="A692" s="5"/>
      <c r="B692" s="5"/>
      <c r="C692" s="5"/>
      <c r="D692" s="5"/>
      <c r="E692" s="5"/>
      <c r="F692" s="5"/>
      <c r="G692" s="5"/>
      <c r="H692" s="5"/>
      <c r="I692" s="5"/>
      <c r="J692" s="5"/>
      <c r="K692" s="5"/>
      <c r="L692" s="5"/>
      <c r="M692" s="5"/>
      <c r="N692" s="5"/>
      <c r="O692" s="5"/>
      <c r="P692" s="5"/>
      <c r="Q692" s="5"/>
      <c r="R692" s="5"/>
      <c r="S692" s="5"/>
      <c r="T692" s="5"/>
      <c r="U692" s="5"/>
      <c r="V692" s="5"/>
      <c r="Y692" s="5"/>
      <c r="Z692" s="5"/>
      <c r="AA692" s="5"/>
      <c r="AB692" s="5"/>
      <c r="AC692" s="5"/>
      <c r="AD692" s="5"/>
      <c r="AE692" s="5"/>
      <c r="AF692" s="5"/>
      <c r="AG692" s="5"/>
      <c r="AH692" s="5"/>
      <c r="AI692" s="5"/>
      <c r="AJ692" s="5"/>
      <c r="AK692" s="5"/>
      <c r="AL692" s="5"/>
      <c r="AM692" s="5"/>
      <c r="AN692" s="5"/>
    </row>
    <row r="693" spans="1:40" ht="18.75" customHeight="1">
      <c r="A693" s="5"/>
      <c r="B693" s="5"/>
      <c r="C693" s="5"/>
      <c r="D693" s="5"/>
      <c r="E693" s="5"/>
      <c r="F693" s="5"/>
      <c r="G693" s="5"/>
      <c r="H693" s="5"/>
      <c r="I693" s="5"/>
      <c r="J693" s="5"/>
      <c r="K693" s="5"/>
      <c r="L693" s="5"/>
      <c r="M693" s="5"/>
      <c r="N693" s="5"/>
      <c r="O693" s="5"/>
      <c r="P693" s="5"/>
      <c r="Q693" s="5"/>
      <c r="R693" s="5"/>
      <c r="S693" s="5"/>
      <c r="T693" s="5"/>
      <c r="U693" s="5"/>
      <c r="V693" s="5"/>
      <c r="Y693" s="5"/>
      <c r="Z693" s="5"/>
      <c r="AA693" s="5"/>
      <c r="AB693" s="5"/>
      <c r="AC693" s="5"/>
      <c r="AD693" s="5"/>
      <c r="AE693" s="5"/>
      <c r="AF693" s="5"/>
      <c r="AG693" s="5"/>
      <c r="AH693" s="5"/>
      <c r="AI693" s="5"/>
      <c r="AJ693" s="5"/>
      <c r="AK693" s="5"/>
      <c r="AL693" s="5"/>
      <c r="AM693" s="5"/>
      <c r="AN693" s="5"/>
    </row>
    <row r="694" spans="1:40" ht="18.75" customHeight="1">
      <c r="A694" s="5"/>
      <c r="B694" s="5"/>
      <c r="C694" s="5"/>
      <c r="D694" s="5"/>
      <c r="E694" s="5"/>
      <c r="F694" s="5"/>
      <c r="G694" s="5"/>
      <c r="H694" s="5"/>
      <c r="I694" s="5"/>
      <c r="J694" s="5"/>
      <c r="K694" s="5"/>
      <c r="L694" s="5"/>
      <c r="M694" s="5"/>
      <c r="N694" s="5"/>
      <c r="O694" s="5"/>
      <c r="P694" s="5"/>
      <c r="Q694" s="5"/>
      <c r="R694" s="5"/>
      <c r="S694" s="5"/>
      <c r="T694" s="5"/>
      <c r="U694" s="5"/>
      <c r="V694" s="5"/>
      <c r="Y694" s="5"/>
      <c r="Z694" s="5"/>
      <c r="AA694" s="5"/>
      <c r="AB694" s="5"/>
      <c r="AC694" s="5"/>
      <c r="AD694" s="5"/>
      <c r="AE694" s="5"/>
      <c r="AF694" s="5"/>
      <c r="AG694" s="5"/>
      <c r="AH694" s="5"/>
      <c r="AI694" s="5"/>
      <c r="AJ694" s="5"/>
      <c r="AK694" s="5"/>
      <c r="AL694" s="5"/>
      <c r="AM694" s="5"/>
      <c r="AN694" s="5"/>
    </row>
    <row r="695" spans="1:40" ht="18.75" customHeight="1">
      <c r="A695" s="5"/>
      <c r="B695" s="5"/>
      <c r="C695" s="5"/>
      <c r="D695" s="5"/>
      <c r="E695" s="5"/>
      <c r="F695" s="5"/>
      <c r="G695" s="5"/>
      <c r="H695" s="5"/>
      <c r="I695" s="5"/>
      <c r="J695" s="5"/>
      <c r="K695" s="5"/>
      <c r="L695" s="5"/>
      <c r="M695" s="5"/>
      <c r="N695" s="5"/>
      <c r="O695" s="5"/>
      <c r="P695" s="5"/>
      <c r="Q695" s="5"/>
      <c r="R695" s="5"/>
      <c r="S695" s="5"/>
      <c r="T695" s="5"/>
      <c r="U695" s="5"/>
      <c r="V695" s="5"/>
      <c r="Y695" s="5"/>
      <c r="Z695" s="5"/>
      <c r="AA695" s="5"/>
      <c r="AB695" s="5"/>
      <c r="AC695" s="5"/>
      <c r="AD695" s="5"/>
      <c r="AE695" s="5"/>
      <c r="AF695" s="5"/>
      <c r="AG695" s="5"/>
      <c r="AH695" s="5"/>
      <c r="AI695" s="5"/>
      <c r="AJ695" s="5"/>
      <c r="AK695" s="5"/>
      <c r="AL695" s="5"/>
      <c r="AM695" s="5"/>
      <c r="AN695" s="5"/>
    </row>
    <row r="696" spans="1:40" ht="18.75" customHeight="1">
      <c r="A696" s="5"/>
      <c r="B696" s="5"/>
      <c r="C696" s="5"/>
      <c r="D696" s="5"/>
      <c r="E696" s="5"/>
      <c r="F696" s="5"/>
      <c r="G696" s="5"/>
      <c r="H696" s="5"/>
      <c r="I696" s="5"/>
      <c r="J696" s="5"/>
      <c r="K696" s="5"/>
      <c r="L696" s="5"/>
      <c r="M696" s="5"/>
      <c r="N696" s="5"/>
      <c r="O696" s="5"/>
      <c r="P696" s="5"/>
      <c r="Q696" s="5"/>
      <c r="R696" s="5"/>
      <c r="S696" s="5"/>
      <c r="T696" s="5"/>
      <c r="U696" s="5"/>
      <c r="V696" s="5"/>
      <c r="Y696" s="5"/>
      <c r="Z696" s="5"/>
      <c r="AA696" s="5"/>
      <c r="AB696" s="5"/>
      <c r="AC696" s="5"/>
      <c r="AD696" s="5"/>
      <c r="AE696" s="5"/>
      <c r="AF696" s="5"/>
      <c r="AG696" s="5"/>
      <c r="AH696" s="5"/>
      <c r="AI696" s="5"/>
      <c r="AJ696" s="5"/>
      <c r="AK696" s="5"/>
      <c r="AL696" s="5"/>
      <c r="AM696" s="5"/>
      <c r="AN696" s="5"/>
    </row>
    <row r="697" spans="1:40" ht="18.75" customHeight="1">
      <c r="A697" s="5"/>
      <c r="B697" s="5"/>
      <c r="C697" s="5"/>
      <c r="D697" s="5"/>
      <c r="E697" s="5"/>
      <c r="F697" s="5"/>
      <c r="G697" s="5"/>
      <c r="H697" s="5"/>
      <c r="I697" s="5"/>
      <c r="J697" s="5"/>
      <c r="K697" s="5"/>
      <c r="L697" s="5"/>
      <c r="M697" s="5"/>
      <c r="N697" s="5"/>
      <c r="O697" s="5"/>
      <c r="P697" s="5"/>
      <c r="Q697" s="5"/>
      <c r="R697" s="5"/>
      <c r="S697" s="5"/>
      <c r="T697" s="5"/>
      <c r="U697" s="5"/>
      <c r="V697" s="5"/>
      <c r="Y697" s="5"/>
      <c r="Z697" s="5"/>
      <c r="AA697" s="5"/>
      <c r="AB697" s="5"/>
      <c r="AC697" s="5"/>
      <c r="AD697" s="5"/>
      <c r="AE697" s="5"/>
      <c r="AF697" s="5"/>
      <c r="AG697" s="5"/>
      <c r="AH697" s="5"/>
      <c r="AI697" s="5"/>
      <c r="AJ697" s="5"/>
      <c r="AK697" s="5"/>
      <c r="AL697" s="5"/>
      <c r="AM697" s="5"/>
      <c r="AN697" s="5"/>
    </row>
    <row r="698" spans="1:40" ht="18.75" customHeight="1">
      <c r="A698" s="5"/>
      <c r="B698" s="5"/>
      <c r="C698" s="5"/>
      <c r="D698" s="5"/>
      <c r="E698" s="5"/>
      <c r="F698" s="5"/>
      <c r="G698" s="5"/>
      <c r="H698" s="5"/>
      <c r="I698" s="5"/>
      <c r="J698" s="5"/>
      <c r="K698" s="5"/>
      <c r="L698" s="5"/>
      <c r="M698" s="5"/>
      <c r="N698" s="5"/>
      <c r="O698" s="5"/>
      <c r="P698" s="5"/>
      <c r="Q698" s="5"/>
      <c r="R698" s="5"/>
      <c r="S698" s="5"/>
      <c r="T698" s="5"/>
      <c r="U698" s="5"/>
      <c r="V698" s="5"/>
      <c r="Y698" s="5"/>
      <c r="Z698" s="5"/>
      <c r="AA698" s="5"/>
      <c r="AB698" s="5"/>
      <c r="AC698" s="5"/>
      <c r="AD698" s="5"/>
      <c r="AE698" s="5"/>
      <c r="AF698" s="5"/>
      <c r="AG698" s="5"/>
      <c r="AH698" s="5"/>
      <c r="AI698" s="5"/>
      <c r="AJ698" s="5"/>
      <c r="AK698" s="5"/>
      <c r="AL698" s="5"/>
      <c r="AM698" s="5"/>
      <c r="AN698" s="5"/>
    </row>
    <row r="699" spans="1:40" ht="18.75" customHeight="1">
      <c r="A699" s="5"/>
      <c r="B699" s="5"/>
      <c r="C699" s="5"/>
      <c r="D699" s="5"/>
      <c r="E699" s="5"/>
      <c r="F699" s="5"/>
      <c r="G699" s="5"/>
      <c r="H699" s="5"/>
      <c r="I699" s="5"/>
      <c r="J699" s="5"/>
      <c r="K699" s="5"/>
      <c r="L699" s="5"/>
      <c r="M699" s="5"/>
      <c r="N699" s="5"/>
      <c r="O699" s="5"/>
      <c r="P699" s="5"/>
      <c r="Q699" s="5"/>
      <c r="R699" s="5"/>
      <c r="S699" s="5"/>
      <c r="T699" s="5"/>
      <c r="U699" s="5"/>
      <c r="V699" s="5"/>
      <c r="Y699" s="5"/>
      <c r="Z699" s="5"/>
      <c r="AA699" s="5"/>
      <c r="AB699" s="5"/>
      <c r="AC699" s="5"/>
      <c r="AD699" s="5"/>
      <c r="AE699" s="5"/>
      <c r="AF699" s="5"/>
      <c r="AG699" s="5"/>
      <c r="AH699" s="5"/>
      <c r="AI699" s="5"/>
      <c r="AJ699" s="5"/>
      <c r="AK699" s="5"/>
      <c r="AL699" s="5"/>
      <c r="AM699" s="5"/>
      <c r="AN699" s="5"/>
    </row>
    <row r="700" spans="1:40" ht="18.75" customHeight="1">
      <c r="A700" s="5"/>
      <c r="B700" s="5"/>
      <c r="C700" s="5"/>
      <c r="D700" s="5"/>
      <c r="E700" s="5"/>
      <c r="F700" s="5"/>
      <c r="G700" s="5"/>
      <c r="H700" s="5"/>
      <c r="I700" s="5"/>
      <c r="J700" s="5"/>
      <c r="K700" s="5"/>
      <c r="L700" s="5"/>
      <c r="M700" s="5"/>
      <c r="N700" s="5"/>
      <c r="O700" s="5"/>
      <c r="P700" s="5"/>
      <c r="Q700" s="5"/>
      <c r="R700" s="5"/>
      <c r="S700" s="5"/>
      <c r="T700" s="5"/>
      <c r="U700" s="5"/>
      <c r="V700" s="5"/>
      <c r="Y700" s="5"/>
      <c r="Z700" s="5"/>
      <c r="AA700" s="5"/>
      <c r="AB700" s="5"/>
      <c r="AC700" s="5"/>
      <c r="AD700" s="5"/>
      <c r="AE700" s="5"/>
      <c r="AF700" s="5"/>
      <c r="AG700" s="5"/>
      <c r="AH700" s="5"/>
      <c r="AI700" s="5"/>
      <c r="AJ700" s="5"/>
      <c r="AK700" s="5"/>
      <c r="AL700" s="5"/>
      <c r="AM700" s="5"/>
      <c r="AN700" s="5"/>
    </row>
    <row r="701" spans="1:40" ht="18.75" customHeight="1">
      <c r="A701" s="5"/>
      <c r="B701" s="5"/>
      <c r="C701" s="5"/>
      <c r="D701" s="5"/>
      <c r="E701" s="5"/>
      <c r="F701" s="5"/>
      <c r="G701" s="5"/>
      <c r="H701" s="5"/>
      <c r="I701" s="5"/>
      <c r="J701" s="5"/>
      <c r="K701" s="5"/>
      <c r="L701" s="5"/>
      <c r="M701" s="5"/>
      <c r="N701" s="5"/>
      <c r="O701" s="5"/>
      <c r="P701" s="5"/>
      <c r="Q701" s="5"/>
      <c r="R701" s="5"/>
      <c r="S701" s="5"/>
      <c r="T701" s="5"/>
      <c r="U701" s="5"/>
      <c r="V701" s="5"/>
      <c r="Y701" s="5"/>
      <c r="Z701" s="5"/>
      <c r="AA701" s="5"/>
      <c r="AB701" s="5"/>
      <c r="AC701" s="5"/>
      <c r="AD701" s="5"/>
      <c r="AE701" s="5"/>
      <c r="AF701" s="5"/>
      <c r="AG701" s="5"/>
      <c r="AH701" s="5"/>
      <c r="AI701" s="5"/>
      <c r="AJ701" s="5"/>
      <c r="AK701" s="5"/>
      <c r="AL701" s="5"/>
      <c r="AM701" s="5"/>
      <c r="AN701" s="5"/>
    </row>
    <row r="702" spans="1:40" ht="18.75" customHeight="1">
      <c r="A702" s="5"/>
      <c r="B702" s="5"/>
      <c r="C702" s="5"/>
      <c r="D702" s="5"/>
      <c r="E702" s="5"/>
      <c r="F702" s="5"/>
      <c r="G702" s="5"/>
      <c r="H702" s="5"/>
      <c r="I702" s="5"/>
      <c r="J702" s="5"/>
      <c r="K702" s="5"/>
      <c r="L702" s="5"/>
      <c r="M702" s="5"/>
      <c r="N702" s="5"/>
      <c r="O702" s="5"/>
      <c r="P702" s="5"/>
      <c r="Q702" s="5"/>
      <c r="R702" s="5"/>
      <c r="S702" s="5"/>
      <c r="T702" s="5"/>
      <c r="U702" s="5"/>
      <c r="V702" s="5"/>
      <c r="Y702" s="5"/>
      <c r="Z702" s="5"/>
      <c r="AA702" s="5"/>
      <c r="AB702" s="5"/>
      <c r="AC702" s="5"/>
      <c r="AD702" s="5"/>
      <c r="AE702" s="5"/>
      <c r="AF702" s="5"/>
      <c r="AG702" s="5"/>
      <c r="AH702" s="5"/>
      <c r="AI702" s="5"/>
      <c r="AJ702" s="5"/>
      <c r="AK702" s="5"/>
      <c r="AL702" s="5"/>
      <c r="AM702" s="5"/>
      <c r="AN702" s="5"/>
    </row>
    <row r="703" spans="1:40" ht="18.75" customHeight="1">
      <c r="A703" s="5"/>
      <c r="B703" s="5"/>
      <c r="C703" s="5"/>
      <c r="D703" s="5"/>
      <c r="E703" s="5"/>
      <c r="F703" s="5"/>
      <c r="G703" s="5"/>
      <c r="H703" s="5"/>
      <c r="I703" s="5"/>
      <c r="J703" s="5"/>
      <c r="K703" s="5"/>
      <c r="L703" s="5"/>
      <c r="M703" s="5"/>
      <c r="N703" s="5"/>
      <c r="O703" s="5"/>
      <c r="P703" s="5"/>
      <c r="Q703" s="5"/>
      <c r="R703" s="5"/>
      <c r="S703" s="5"/>
      <c r="T703" s="5"/>
      <c r="U703" s="5"/>
      <c r="V703" s="5"/>
      <c r="Y703" s="5"/>
      <c r="Z703" s="5"/>
      <c r="AA703" s="5"/>
      <c r="AB703" s="5"/>
      <c r="AC703" s="5"/>
      <c r="AD703" s="5"/>
      <c r="AE703" s="5"/>
      <c r="AF703" s="5"/>
      <c r="AG703" s="5"/>
      <c r="AH703" s="5"/>
      <c r="AI703" s="5"/>
      <c r="AJ703" s="5"/>
      <c r="AK703" s="5"/>
      <c r="AL703" s="5"/>
      <c r="AM703" s="5"/>
      <c r="AN703" s="5"/>
    </row>
    <row r="704" spans="1:40" ht="18.75" customHeight="1">
      <c r="A704" s="5"/>
      <c r="B704" s="5"/>
      <c r="C704" s="5"/>
      <c r="D704" s="5"/>
      <c r="E704" s="5"/>
      <c r="F704" s="5"/>
      <c r="G704" s="5"/>
      <c r="H704" s="5"/>
      <c r="I704" s="5"/>
      <c r="J704" s="5"/>
      <c r="K704" s="5"/>
      <c r="L704" s="5"/>
      <c r="M704" s="5"/>
      <c r="N704" s="5"/>
      <c r="O704" s="5"/>
      <c r="P704" s="5"/>
      <c r="Q704" s="5"/>
      <c r="R704" s="5"/>
      <c r="S704" s="5"/>
      <c r="T704" s="5"/>
      <c r="U704" s="5"/>
      <c r="V704" s="5"/>
      <c r="Y704" s="5"/>
      <c r="Z704" s="5"/>
      <c r="AA704" s="5"/>
      <c r="AB704" s="5"/>
      <c r="AC704" s="5"/>
      <c r="AD704" s="5"/>
      <c r="AE704" s="5"/>
      <c r="AF704" s="5"/>
      <c r="AG704" s="5"/>
      <c r="AH704" s="5"/>
      <c r="AI704" s="5"/>
      <c r="AJ704" s="5"/>
      <c r="AK704" s="5"/>
      <c r="AL704" s="5"/>
      <c r="AM704" s="5"/>
      <c r="AN704" s="5"/>
    </row>
    <row r="705" spans="1:40" ht="18.75" customHeight="1">
      <c r="A705" s="5"/>
      <c r="B705" s="5"/>
      <c r="C705" s="5"/>
      <c r="D705" s="5"/>
      <c r="E705" s="5"/>
      <c r="F705" s="5"/>
      <c r="G705" s="5"/>
      <c r="H705" s="5"/>
      <c r="I705" s="5"/>
      <c r="J705" s="5"/>
      <c r="K705" s="5"/>
      <c r="L705" s="5"/>
      <c r="M705" s="5"/>
      <c r="N705" s="5"/>
      <c r="O705" s="5"/>
      <c r="P705" s="5"/>
      <c r="Q705" s="5"/>
      <c r="R705" s="5"/>
      <c r="S705" s="5"/>
      <c r="T705" s="5"/>
      <c r="U705" s="5"/>
      <c r="V705" s="5"/>
      <c r="Y705" s="5"/>
      <c r="Z705" s="5"/>
      <c r="AA705" s="5"/>
      <c r="AB705" s="5"/>
      <c r="AC705" s="5"/>
      <c r="AD705" s="5"/>
      <c r="AE705" s="5"/>
      <c r="AF705" s="5"/>
      <c r="AG705" s="5"/>
      <c r="AH705" s="5"/>
      <c r="AI705" s="5"/>
      <c r="AJ705" s="5"/>
      <c r="AK705" s="5"/>
      <c r="AL705" s="5"/>
      <c r="AM705" s="5"/>
      <c r="AN705" s="5"/>
    </row>
    <row r="706" spans="1:40" ht="18.75" customHeight="1">
      <c r="A706" s="5"/>
      <c r="B706" s="5"/>
      <c r="C706" s="5"/>
      <c r="D706" s="5"/>
      <c r="E706" s="5"/>
      <c r="F706" s="5"/>
      <c r="G706" s="5"/>
      <c r="H706" s="5"/>
      <c r="I706" s="5"/>
      <c r="J706" s="5"/>
      <c r="K706" s="5"/>
      <c r="L706" s="5"/>
      <c r="M706" s="5"/>
      <c r="N706" s="5"/>
      <c r="O706" s="5"/>
      <c r="P706" s="5"/>
      <c r="Q706" s="5"/>
      <c r="R706" s="5"/>
      <c r="S706" s="5"/>
      <c r="T706" s="5"/>
      <c r="U706" s="5"/>
      <c r="V706" s="5"/>
      <c r="Y706" s="5"/>
      <c r="Z706" s="5"/>
      <c r="AA706" s="5"/>
      <c r="AB706" s="5"/>
      <c r="AC706" s="5"/>
      <c r="AD706" s="5"/>
      <c r="AE706" s="5"/>
      <c r="AF706" s="5"/>
      <c r="AG706" s="5"/>
      <c r="AH706" s="5"/>
      <c r="AI706" s="5"/>
      <c r="AJ706" s="5"/>
      <c r="AK706" s="5"/>
      <c r="AL706" s="5"/>
      <c r="AM706" s="5"/>
      <c r="AN706" s="5"/>
    </row>
    <row r="707" spans="1:40" ht="18.75" customHeight="1">
      <c r="A707" s="5"/>
      <c r="B707" s="5"/>
      <c r="C707" s="5"/>
      <c r="D707" s="5"/>
      <c r="E707" s="5"/>
      <c r="F707" s="5"/>
      <c r="G707" s="5"/>
      <c r="H707" s="5"/>
      <c r="I707" s="5"/>
      <c r="J707" s="5"/>
      <c r="K707" s="5"/>
      <c r="L707" s="5"/>
      <c r="M707" s="5"/>
      <c r="N707" s="5"/>
      <c r="O707" s="5"/>
      <c r="P707" s="5"/>
      <c r="Q707" s="5"/>
      <c r="R707" s="5"/>
      <c r="S707" s="5"/>
      <c r="T707" s="5"/>
      <c r="U707" s="5"/>
      <c r="V707" s="5"/>
      <c r="Y707" s="5"/>
      <c r="Z707" s="5"/>
      <c r="AA707" s="5"/>
      <c r="AB707" s="5"/>
      <c r="AC707" s="5"/>
      <c r="AD707" s="5"/>
      <c r="AE707" s="5"/>
      <c r="AF707" s="5"/>
      <c r="AG707" s="5"/>
      <c r="AH707" s="5"/>
      <c r="AI707" s="5"/>
      <c r="AJ707" s="5"/>
      <c r="AK707" s="5"/>
      <c r="AL707" s="5"/>
      <c r="AM707" s="5"/>
      <c r="AN707" s="5"/>
    </row>
    <row r="708" spans="1:40" ht="18.75" customHeight="1">
      <c r="A708" s="5"/>
      <c r="B708" s="5"/>
      <c r="C708" s="5"/>
      <c r="D708" s="5"/>
      <c r="E708" s="5"/>
      <c r="F708" s="5"/>
      <c r="G708" s="5"/>
      <c r="H708" s="5"/>
      <c r="I708" s="5"/>
      <c r="J708" s="5"/>
      <c r="K708" s="5"/>
      <c r="L708" s="5"/>
      <c r="M708" s="5"/>
      <c r="N708" s="5"/>
      <c r="O708" s="5"/>
      <c r="P708" s="5"/>
      <c r="Q708" s="5"/>
      <c r="R708" s="5"/>
      <c r="S708" s="5"/>
      <c r="T708" s="5"/>
      <c r="U708" s="5"/>
      <c r="V708" s="5"/>
      <c r="Y708" s="5"/>
      <c r="Z708" s="5"/>
      <c r="AA708" s="5"/>
      <c r="AB708" s="5"/>
      <c r="AC708" s="5"/>
      <c r="AD708" s="5"/>
      <c r="AE708" s="5"/>
      <c r="AF708" s="5"/>
      <c r="AG708" s="5"/>
      <c r="AH708" s="5"/>
      <c r="AI708" s="5"/>
      <c r="AJ708" s="5"/>
      <c r="AK708" s="5"/>
      <c r="AL708" s="5"/>
      <c r="AM708" s="5"/>
      <c r="AN708" s="5"/>
    </row>
    <row r="709" spans="1:40" ht="18.75" customHeight="1">
      <c r="A709" s="5"/>
      <c r="B709" s="5"/>
      <c r="C709" s="5"/>
      <c r="D709" s="5"/>
      <c r="E709" s="5"/>
      <c r="F709" s="5"/>
      <c r="G709" s="5"/>
      <c r="H709" s="5"/>
      <c r="I709" s="5"/>
      <c r="J709" s="5"/>
      <c r="K709" s="5"/>
      <c r="L709" s="5"/>
      <c r="M709" s="5"/>
      <c r="N709" s="5"/>
      <c r="O709" s="5"/>
      <c r="P709" s="5"/>
      <c r="Q709" s="5"/>
      <c r="R709" s="5"/>
      <c r="S709" s="5"/>
      <c r="T709" s="5"/>
      <c r="U709" s="5"/>
      <c r="V709" s="5"/>
      <c r="Y709" s="5"/>
      <c r="Z709" s="5"/>
      <c r="AA709" s="5"/>
      <c r="AB709" s="5"/>
      <c r="AC709" s="5"/>
      <c r="AD709" s="5"/>
      <c r="AE709" s="5"/>
      <c r="AF709" s="5"/>
      <c r="AG709" s="5"/>
      <c r="AH709" s="5"/>
      <c r="AI709" s="5"/>
      <c r="AJ709" s="5"/>
      <c r="AK709" s="5"/>
      <c r="AL709" s="5"/>
      <c r="AM709" s="5"/>
      <c r="AN709" s="5"/>
    </row>
    <row r="710" spans="1:40" ht="18.75" customHeight="1">
      <c r="A710" s="5"/>
      <c r="B710" s="5"/>
      <c r="C710" s="5"/>
      <c r="D710" s="5"/>
      <c r="E710" s="5"/>
      <c r="F710" s="5"/>
      <c r="G710" s="5"/>
      <c r="H710" s="5"/>
      <c r="I710" s="5"/>
      <c r="J710" s="5"/>
      <c r="K710" s="5"/>
      <c r="L710" s="5"/>
      <c r="M710" s="5"/>
      <c r="N710" s="5"/>
      <c r="O710" s="5"/>
      <c r="P710" s="5"/>
      <c r="Q710" s="5"/>
      <c r="R710" s="5"/>
      <c r="S710" s="5"/>
      <c r="T710" s="5"/>
      <c r="U710" s="5"/>
      <c r="V710" s="5"/>
      <c r="Y710" s="5"/>
      <c r="Z710" s="5"/>
      <c r="AA710" s="5"/>
      <c r="AB710" s="5"/>
      <c r="AC710" s="5"/>
      <c r="AD710" s="5"/>
      <c r="AE710" s="5"/>
      <c r="AF710" s="5"/>
      <c r="AG710" s="5"/>
      <c r="AH710" s="5"/>
      <c r="AI710" s="5"/>
      <c r="AJ710" s="5"/>
      <c r="AK710" s="5"/>
      <c r="AL710" s="5"/>
      <c r="AM710" s="5"/>
      <c r="AN710" s="5"/>
    </row>
    <row r="711" spans="1:40" ht="18.75" customHeight="1">
      <c r="A711" s="5"/>
      <c r="B711" s="5"/>
      <c r="C711" s="5"/>
      <c r="D711" s="5"/>
      <c r="E711" s="5"/>
      <c r="F711" s="5"/>
      <c r="G711" s="5"/>
      <c r="H711" s="5"/>
      <c r="I711" s="5"/>
      <c r="J711" s="5"/>
      <c r="K711" s="5"/>
      <c r="L711" s="5"/>
      <c r="M711" s="5"/>
      <c r="N711" s="5"/>
      <c r="O711" s="5"/>
      <c r="P711" s="5"/>
      <c r="Q711" s="5"/>
      <c r="R711" s="5"/>
      <c r="S711" s="5"/>
      <c r="T711" s="5"/>
      <c r="U711" s="5"/>
      <c r="V711" s="5"/>
      <c r="Y711" s="5"/>
      <c r="Z711" s="5"/>
      <c r="AA711" s="5"/>
      <c r="AB711" s="5"/>
      <c r="AC711" s="5"/>
      <c r="AD711" s="5"/>
      <c r="AE711" s="5"/>
      <c r="AF711" s="5"/>
      <c r="AG711" s="5"/>
      <c r="AH711" s="5"/>
      <c r="AI711" s="5"/>
      <c r="AJ711" s="5"/>
      <c r="AK711" s="5"/>
      <c r="AL711" s="5"/>
      <c r="AM711" s="5"/>
      <c r="AN711" s="5"/>
    </row>
    <row r="712" spans="1:40" ht="18.75" customHeight="1">
      <c r="A712" s="5"/>
      <c r="B712" s="5"/>
      <c r="C712" s="5"/>
      <c r="D712" s="5"/>
      <c r="E712" s="5"/>
      <c r="F712" s="5"/>
      <c r="G712" s="5"/>
      <c r="H712" s="5"/>
      <c r="I712" s="5"/>
      <c r="J712" s="5"/>
      <c r="K712" s="5"/>
      <c r="L712" s="5"/>
      <c r="M712" s="5"/>
      <c r="N712" s="5"/>
      <c r="O712" s="5"/>
      <c r="P712" s="5"/>
      <c r="Q712" s="5"/>
      <c r="R712" s="5"/>
      <c r="S712" s="5"/>
      <c r="T712" s="5"/>
      <c r="U712" s="5"/>
      <c r="V712" s="5"/>
      <c r="Y712" s="5"/>
      <c r="Z712" s="5"/>
      <c r="AA712" s="5"/>
      <c r="AB712" s="5"/>
      <c r="AC712" s="5"/>
      <c r="AD712" s="5"/>
      <c r="AE712" s="5"/>
      <c r="AF712" s="5"/>
      <c r="AG712" s="5"/>
      <c r="AH712" s="5"/>
      <c r="AI712" s="5"/>
      <c r="AJ712" s="5"/>
      <c r="AK712" s="5"/>
      <c r="AL712" s="5"/>
      <c r="AM712" s="5"/>
      <c r="AN712" s="5"/>
    </row>
    <row r="713" spans="1:40" ht="18.75" customHeight="1">
      <c r="A713" s="5"/>
      <c r="B713" s="5"/>
      <c r="C713" s="5"/>
      <c r="D713" s="5"/>
      <c r="E713" s="5"/>
      <c r="F713" s="5"/>
      <c r="G713" s="5"/>
      <c r="H713" s="5"/>
      <c r="I713" s="5"/>
      <c r="J713" s="5"/>
      <c r="K713" s="5"/>
      <c r="L713" s="5"/>
      <c r="M713" s="5"/>
      <c r="N713" s="5"/>
      <c r="O713" s="5"/>
      <c r="P713" s="5"/>
      <c r="Q713" s="5"/>
      <c r="R713" s="5"/>
      <c r="S713" s="5"/>
      <c r="T713" s="5"/>
      <c r="U713" s="5"/>
      <c r="V713" s="5"/>
      <c r="Y713" s="5"/>
      <c r="Z713" s="5"/>
      <c r="AA713" s="5"/>
      <c r="AB713" s="5"/>
      <c r="AC713" s="5"/>
      <c r="AD713" s="5"/>
      <c r="AE713" s="5"/>
      <c r="AF713" s="5"/>
      <c r="AG713" s="5"/>
      <c r="AH713" s="5"/>
      <c r="AI713" s="5"/>
      <c r="AJ713" s="5"/>
      <c r="AK713" s="5"/>
      <c r="AL713" s="5"/>
      <c r="AM713" s="5"/>
      <c r="AN713" s="5"/>
    </row>
    <row r="714" spans="1:40" ht="18.75" customHeight="1">
      <c r="A714" s="5"/>
      <c r="B714" s="5"/>
      <c r="C714" s="5"/>
      <c r="D714" s="5"/>
      <c r="E714" s="5"/>
      <c r="F714" s="5"/>
      <c r="G714" s="5"/>
      <c r="H714" s="5"/>
      <c r="I714" s="5"/>
      <c r="J714" s="5"/>
      <c r="K714" s="5"/>
      <c r="L714" s="5"/>
      <c r="M714" s="5"/>
      <c r="N714" s="5"/>
      <c r="O714" s="5"/>
      <c r="P714" s="5"/>
      <c r="Q714" s="5"/>
      <c r="R714" s="5"/>
      <c r="S714" s="5"/>
      <c r="T714" s="5"/>
      <c r="U714" s="5"/>
      <c r="V714" s="5"/>
      <c r="Y714" s="5"/>
      <c r="Z714" s="5"/>
      <c r="AA714" s="5"/>
      <c r="AB714" s="5"/>
      <c r="AC714" s="5"/>
      <c r="AD714" s="5"/>
      <c r="AE714" s="5"/>
      <c r="AF714" s="5"/>
      <c r="AG714" s="5"/>
      <c r="AH714" s="5"/>
      <c r="AI714" s="5"/>
      <c r="AJ714" s="5"/>
      <c r="AK714" s="5"/>
      <c r="AL714" s="5"/>
      <c r="AM714" s="5"/>
      <c r="AN714" s="5"/>
    </row>
    <row r="715" spans="1:40" ht="18.75" customHeight="1">
      <c r="A715" s="5"/>
      <c r="B715" s="5"/>
      <c r="C715" s="5"/>
      <c r="D715" s="5"/>
      <c r="E715" s="5"/>
      <c r="F715" s="5"/>
      <c r="G715" s="5"/>
      <c r="H715" s="5"/>
      <c r="I715" s="5"/>
      <c r="J715" s="5"/>
      <c r="K715" s="5"/>
      <c r="L715" s="5"/>
      <c r="M715" s="5"/>
      <c r="N715" s="5"/>
      <c r="O715" s="5"/>
      <c r="P715" s="5"/>
      <c r="Q715" s="5"/>
      <c r="R715" s="5"/>
      <c r="S715" s="5"/>
      <c r="T715" s="5"/>
      <c r="U715" s="5"/>
      <c r="V715" s="5"/>
      <c r="Y715" s="5"/>
      <c r="Z715" s="5"/>
      <c r="AA715" s="5"/>
      <c r="AB715" s="5"/>
      <c r="AC715" s="5"/>
      <c r="AD715" s="5"/>
      <c r="AE715" s="5"/>
      <c r="AF715" s="5"/>
      <c r="AG715" s="5"/>
      <c r="AH715" s="5"/>
      <c r="AI715" s="5"/>
      <c r="AJ715" s="5"/>
      <c r="AK715" s="5"/>
      <c r="AL715" s="5"/>
      <c r="AM715" s="5"/>
      <c r="AN715" s="5"/>
    </row>
    <row r="716" spans="1:40" ht="18.75" customHeight="1">
      <c r="A716" s="5"/>
      <c r="B716" s="5"/>
      <c r="C716" s="5"/>
      <c r="D716" s="5"/>
      <c r="E716" s="5"/>
      <c r="F716" s="5"/>
      <c r="G716" s="5"/>
      <c r="H716" s="5"/>
      <c r="I716" s="5"/>
      <c r="J716" s="5"/>
      <c r="K716" s="5"/>
      <c r="L716" s="5"/>
      <c r="M716" s="5"/>
      <c r="N716" s="5"/>
      <c r="O716" s="5"/>
      <c r="P716" s="5"/>
      <c r="Q716" s="5"/>
      <c r="R716" s="5"/>
      <c r="S716" s="5"/>
      <c r="T716" s="5"/>
      <c r="U716" s="5"/>
      <c r="V716" s="5"/>
      <c r="Y716" s="5"/>
      <c r="Z716" s="5"/>
      <c r="AA716" s="5"/>
      <c r="AB716" s="5"/>
      <c r="AC716" s="5"/>
      <c r="AD716" s="5"/>
      <c r="AE716" s="5"/>
      <c r="AF716" s="5"/>
      <c r="AG716" s="5"/>
      <c r="AH716" s="5"/>
      <c r="AI716" s="5"/>
      <c r="AJ716" s="5"/>
      <c r="AK716" s="5"/>
      <c r="AL716" s="5"/>
      <c r="AM716" s="5"/>
      <c r="AN716" s="5"/>
    </row>
    <row r="717" spans="1:40" ht="18.75" customHeight="1">
      <c r="A717" s="5"/>
      <c r="B717" s="5"/>
      <c r="C717" s="5"/>
      <c r="D717" s="5"/>
      <c r="E717" s="5"/>
      <c r="F717" s="5"/>
      <c r="G717" s="5"/>
      <c r="H717" s="5"/>
      <c r="I717" s="5"/>
      <c r="J717" s="5"/>
      <c r="K717" s="5"/>
      <c r="L717" s="5"/>
      <c r="M717" s="5"/>
      <c r="N717" s="5"/>
      <c r="O717" s="5"/>
      <c r="P717" s="5"/>
      <c r="Q717" s="5"/>
      <c r="R717" s="5"/>
      <c r="S717" s="5"/>
      <c r="T717" s="5"/>
      <c r="U717" s="5"/>
      <c r="V717" s="5"/>
      <c r="Y717" s="5"/>
      <c r="Z717" s="5"/>
      <c r="AA717" s="5"/>
      <c r="AB717" s="5"/>
      <c r="AC717" s="5"/>
      <c r="AD717" s="5"/>
      <c r="AE717" s="5"/>
      <c r="AF717" s="5"/>
      <c r="AG717" s="5"/>
      <c r="AH717" s="5"/>
      <c r="AI717" s="5"/>
      <c r="AJ717" s="5"/>
      <c r="AK717" s="5"/>
      <c r="AL717" s="5"/>
      <c r="AM717" s="5"/>
      <c r="AN717" s="5"/>
    </row>
    <row r="718" spans="1:40" ht="18.75" customHeight="1">
      <c r="A718" s="5"/>
      <c r="B718" s="5"/>
      <c r="C718" s="5"/>
      <c r="D718" s="5"/>
      <c r="E718" s="5"/>
      <c r="F718" s="5"/>
      <c r="G718" s="5"/>
      <c r="H718" s="5"/>
      <c r="I718" s="5"/>
      <c r="J718" s="5"/>
      <c r="K718" s="5"/>
      <c r="L718" s="5"/>
      <c r="M718" s="5"/>
      <c r="N718" s="5"/>
      <c r="O718" s="5"/>
      <c r="P718" s="5"/>
      <c r="Q718" s="5"/>
      <c r="R718" s="5"/>
      <c r="S718" s="5"/>
      <c r="T718" s="5"/>
      <c r="U718" s="5"/>
      <c r="V718" s="5"/>
      <c r="Y718" s="5"/>
      <c r="Z718" s="5"/>
      <c r="AA718" s="5"/>
      <c r="AB718" s="5"/>
      <c r="AC718" s="5"/>
      <c r="AD718" s="5"/>
      <c r="AE718" s="5"/>
      <c r="AF718" s="5"/>
      <c r="AG718" s="5"/>
      <c r="AH718" s="5"/>
      <c r="AI718" s="5"/>
      <c r="AJ718" s="5"/>
      <c r="AK718" s="5"/>
      <c r="AL718" s="5"/>
      <c r="AM718" s="5"/>
      <c r="AN718" s="5"/>
    </row>
    <row r="719" spans="1:40" ht="18.75" customHeight="1">
      <c r="A719" s="5"/>
      <c r="B719" s="5"/>
      <c r="C719" s="5"/>
      <c r="D719" s="5"/>
      <c r="E719" s="5"/>
      <c r="F719" s="5"/>
      <c r="G719" s="5"/>
      <c r="H719" s="5"/>
      <c r="I719" s="5"/>
      <c r="J719" s="5"/>
      <c r="K719" s="5"/>
      <c r="L719" s="5"/>
      <c r="M719" s="5"/>
      <c r="N719" s="5"/>
      <c r="O719" s="5"/>
      <c r="P719" s="5"/>
      <c r="Q719" s="5"/>
      <c r="R719" s="5"/>
      <c r="S719" s="5"/>
      <c r="T719" s="5"/>
      <c r="U719" s="5"/>
      <c r="V719" s="5"/>
      <c r="Y719" s="5"/>
      <c r="Z719" s="5"/>
      <c r="AA719" s="5"/>
      <c r="AB719" s="5"/>
      <c r="AC719" s="5"/>
      <c r="AD719" s="5"/>
      <c r="AE719" s="5"/>
      <c r="AF719" s="5"/>
      <c r="AG719" s="5"/>
      <c r="AH719" s="5"/>
      <c r="AI719" s="5"/>
      <c r="AJ719" s="5"/>
      <c r="AK719" s="5"/>
      <c r="AL719" s="5"/>
      <c r="AM719" s="5"/>
      <c r="AN719" s="5"/>
    </row>
    <row r="720" spans="1:40" ht="18.75" customHeight="1">
      <c r="A720" s="5"/>
      <c r="B720" s="5"/>
      <c r="C720" s="5"/>
      <c r="D720" s="5"/>
      <c r="E720" s="5"/>
      <c r="F720" s="5"/>
      <c r="G720" s="5"/>
      <c r="H720" s="5"/>
      <c r="I720" s="5"/>
      <c r="J720" s="5"/>
      <c r="K720" s="5"/>
      <c r="L720" s="5"/>
      <c r="M720" s="5"/>
      <c r="N720" s="5"/>
      <c r="O720" s="5"/>
      <c r="P720" s="5"/>
      <c r="Q720" s="5"/>
      <c r="R720" s="5"/>
      <c r="S720" s="5"/>
      <c r="T720" s="5"/>
      <c r="U720" s="5"/>
      <c r="V720" s="5"/>
      <c r="Y720" s="5"/>
      <c r="Z720" s="5"/>
      <c r="AA720" s="5"/>
      <c r="AB720" s="5"/>
      <c r="AC720" s="5"/>
      <c r="AD720" s="5"/>
      <c r="AE720" s="5"/>
      <c r="AF720" s="5"/>
      <c r="AG720" s="5"/>
      <c r="AH720" s="5"/>
      <c r="AI720" s="5"/>
      <c r="AJ720" s="5"/>
      <c r="AK720" s="5"/>
      <c r="AL720" s="5"/>
      <c r="AM720" s="5"/>
      <c r="AN720" s="5"/>
    </row>
    <row r="721" spans="1:40" ht="18.75" customHeight="1">
      <c r="A721" s="5"/>
      <c r="B721" s="5"/>
      <c r="C721" s="5"/>
      <c r="D721" s="5"/>
      <c r="E721" s="5"/>
      <c r="F721" s="5"/>
      <c r="G721" s="5"/>
      <c r="H721" s="5"/>
      <c r="I721" s="5"/>
      <c r="J721" s="5"/>
      <c r="K721" s="5"/>
      <c r="L721" s="5"/>
      <c r="M721" s="5"/>
      <c r="N721" s="5"/>
      <c r="O721" s="5"/>
      <c r="P721" s="5"/>
      <c r="Q721" s="5"/>
      <c r="R721" s="5"/>
      <c r="S721" s="5"/>
      <c r="T721" s="5"/>
      <c r="U721" s="5"/>
      <c r="V721" s="5"/>
      <c r="Y721" s="5"/>
      <c r="Z721" s="5"/>
      <c r="AA721" s="5"/>
      <c r="AB721" s="5"/>
      <c r="AC721" s="5"/>
      <c r="AD721" s="5"/>
      <c r="AE721" s="5"/>
      <c r="AF721" s="5"/>
      <c r="AG721" s="5"/>
      <c r="AH721" s="5"/>
      <c r="AI721" s="5"/>
      <c r="AJ721" s="5"/>
      <c r="AK721" s="5"/>
      <c r="AL721" s="5"/>
      <c r="AM721" s="5"/>
      <c r="AN721" s="5"/>
    </row>
    <row r="722" spans="1:40" ht="18.75" customHeight="1">
      <c r="A722" s="5"/>
      <c r="B722" s="5"/>
      <c r="C722" s="5"/>
      <c r="D722" s="5"/>
      <c r="E722" s="5"/>
      <c r="F722" s="5"/>
      <c r="G722" s="5"/>
      <c r="H722" s="5"/>
      <c r="I722" s="5"/>
      <c r="J722" s="5"/>
      <c r="K722" s="5"/>
      <c r="L722" s="5"/>
      <c r="M722" s="5"/>
      <c r="N722" s="5"/>
      <c r="O722" s="5"/>
      <c r="P722" s="5"/>
      <c r="Q722" s="5"/>
      <c r="R722" s="5"/>
      <c r="S722" s="5"/>
      <c r="T722" s="5"/>
      <c r="U722" s="5"/>
      <c r="V722" s="5"/>
      <c r="Y722" s="5"/>
      <c r="Z722" s="5"/>
      <c r="AA722" s="5"/>
      <c r="AB722" s="5"/>
      <c r="AC722" s="5"/>
      <c r="AD722" s="5"/>
      <c r="AE722" s="5"/>
      <c r="AF722" s="5"/>
      <c r="AG722" s="5"/>
      <c r="AH722" s="5"/>
      <c r="AI722" s="5"/>
      <c r="AJ722" s="5"/>
      <c r="AK722" s="5"/>
      <c r="AL722" s="5"/>
      <c r="AM722" s="5"/>
      <c r="AN722" s="5"/>
    </row>
    <row r="723" spans="1:40" ht="18.75" customHeight="1">
      <c r="A723" s="5"/>
      <c r="B723" s="5"/>
      <c r="C723" s="5"/>
      <c r="D723" s="5"/>
      <c r="E723" s="5"/>
      <c r="F723" s="5"/>
      <c r="G723" s="5"/>
      <c r="H723" s="5"/>
      <c r="I723" s="5"/>
      <c r="J723" s="5"/>
      <c r="K723" s="5"/>
      <c r="L723" s="5"/>
      <c r="M723" s="5"/>
      <c r="N723" s="5"/>
      <c r="O723" s="5"/>
      <c r="P723" s="5"/>
      <c r="Q723" s="5"/>
      <c r="R723" s="5"/>
      <c r="S723" s="5"/>
      <c r="T723" s="5"/>
      <c r="U723" s="5"/>
      <c r="V723" s="5"/>
      <c r="Y723" s="5"/>
      <c r="Z723" s="5"/>
      <c r="AA723" s="5"/>
      <c r="AB723" s="5"/>
      <c r="AC723" s="5"/>
      <c r="AD723" s="5"/>
      <c r="AE723" s="5"/>
      <c r="AF723" s="5"/>
      <c r="AG723" s="5"/>
      <c r="AH723" s="5"/>
      <c r="AI723" s="5"/>
      <c r="AJ723" s="5"/>
      <c r="AK723" s="5"/>
      <c r="AL723" s="5"/>
      <c r="AM723" s="5"/>
      <c r="AN723" s="5"/>
    </row>
    <row r="724" spans="1:40" ht="18.75" customHeight="1">
      <c r="A724" s="5"/>
      <c r="B724" s="5"/>
      <c r="C724" s="5"/>
      <c r="D724" s="5"/>
      <c r="E724" s="5"/>
      <c r="F724" s="5"/>
      <c r="G724" s="5"/>
      <c r="H724" s="5"/>
      <c r="I724" s="5"/>
      <c r="J724" s="5"/>
      <c r="K724" s="5"/>
      <c r="L724" s="5"/>
      <c r="M724" s="5"/>
      <c r="N724" s="5"/>
      <c r="O724" s="5"/>
      <c r="P724" s="5"/>
      <c r="Q724" s="5"/>
      <c r="R724" s="5"/>
      <c r="S724" s="5"/>
      <c r="T724" s="5"/>
      <c r="U724" s="5"/>
      <c r="V724" s="5"/>
      <c r="Y724" s="5"/>
      <c r="Z724" s="5"/>
      <c r="AA724" s="5"/>
      <c r="AB724" s="5"/>
      <c r="AC724" s="5"/>
      <c r="AD724" s="5"/>
      <c r="AE724" s="5"/>
      <c r="AF724" s="5"/>
      <c r="AG724" s="5"/>
      <c r="AH724" s="5"/>
      <c r="AI724" s="5"/>
      <c r="AJ724" s="5"/>
      <c r="AK724" s="5"/>
      <c r="AL724" s="5"/>
      <c r="AM724" s="5"/>
      <c r="AN724" s="5"/>
    </row>
    <row r="725" spans="1:40" ht="18.75" customHeight="1">
      <c r="A725" s="5"/>
      <c r="B725" s="5"/>
      <c r="C725" s="5"/>
      <c r="D725" s="5"/>
      <c r="E725" s="5"/>
      <c r="F725" s="5"/>
      <c r="G725" s="5"/>
      <c r="H725" s="5"/>
      <c r="I725" s="5"/>
      <c r="J725" s="5"/>
      <c r="K725" s="5"/>
      <c r="L725" s="5"/>
      <c r="M725" s="5"/>
      <c r="N725" s="5"/>
      <c r="O725" s="5"/>
      <c r="P725" s="5"/>
      <c r="Q725" s="5"/>
      <c r="R725" s="5"/>
      <c r="S725" s="5"/>
      <c r="T725" s="5"/>
      <c r="U725" s="5"/>
      <c r="V725" s="5"/>
      <c r="Y725" s="5"/>
      <c r="Z725" s="5"/>
      <c r="AA725" s="5"/>
      <c r="AB725" s="5"/>
      <c r="AC725" s="5"/>
      <c r="AD725" s="5"/>
      <c r="AE725" s="5"/>
      <c r="AF725" s="5"/>
      <c r="AG725" s="5"/>
      <c r="AH725" s="5"/>
      <c r="AI725" s="5"/>
      <c r="AJ725" s="5"/>
      <c r="AK725" s="5"/>
      <c r="AL725" s="5"/>
      <c r="AM725" s="5"/>
      <c r="AN725" s="5"/>
    </row>
    <row r="726" spans="1:40" ht="18.75" customHeight="1">
      <c r="A726" s="5"/>
      <c r="B726" s="5"/>
      <c r="C726" s="5"/>
      <c r="D726" s="5"/>
      <c r="E726" s="5"/>
      <c r="F726" s="5"/>
      <c r="G726" s="5"/>
      <c r="H726" s="5"/>
      <c r="I726" s="5"/>
      <c r="J726" s="5"/>
      <c r="K726" s="5"/>
      <c r="L726" s="5"/>
      <c r="M726" s="5"/>
      <c r="N726" s="5"/>
      <c r="O726" s="5"/>
      <c r="P726" s="5"/>
      <c r="Q726" s="5"/>
      <c r="R726" s="5"/>
      <c r="S726" s="5"/>
      <c r="T726" s="5"/>
      <c r="U726" s="5"/>
      <c r="V726" s="5"/>
      <c r="Y726" s="5"/>
      <c r="Z726" s="5"/>
      <c r="AA726" s="5"/>
      <c r="AB726" s="5"/>
      <c r="AC726" s="5"/>
      <c r="AD726" s="5"/>
      <c r="AE726" s="5"/>
      <c r="AF726" s="5"/>
      <c r="AG726" s="5"/>
      <c r="AH726" s="5"/>
      <c r="AI726" s="5"/>
      <c r="AJ726" s="5"/>
      <c r="AK726" s="5"/>
      <c r="AL726" s="5"/>
      <c r="AM726" s="5"/>
      <c r="AN726" s="5"/>
    </row>
    <row r="727" spans="1:40" ht="18.75" customHeight="1">
      <c r="A727" s="5"/>
      <c r="B727" s="5"/>
      <c r="C727" s="5"/>
      <c r="D727" s="5"/>
      <c r="E727" s="5"/>
      <c r="F727" s="5"/>
      <c r="G727" s="5"/>
      <c r="H727" s="5"/>
      <c r="I727" s="5"/>
      <c r="J727" s="5"/>
      <c r="K727" s="5"/>
      <c r="L727" s="5"/>
      <c r="M727" s="5"/>
      <c r="N727" s="5"/>
      <c r="O727" s="5"/>
      <c r="P727" s="5"/>
      <c r="Q727" s="5"/>
      <c r="R727" s="5"/>
      <c r="S727" s="5"/>
      <c r="T727" s="5"/>
      <c r="U727" s="5"/>
      <c r="V727" s="5"/>
      <c r="Y727" s="5"/>
      <c r="Z727" s="5"/>
      <c r="AA727" s="5"/>
      <c r="AB727" s="5"/>
      <c r="AC727" s="5"/>
      <c r="AD727" s="5"/>
      <c r="AE727" s="5"/>
      <c r="AF727" s="5"/>
      <c r="AG727" s="5"/>
      <c r="AH727" s="5"/>
      <c r="AI727" s="5"/>
      <c r="AJ727" s="5"/>
      <c r="AK727" s="5"/>
      <c r="AL727" s="5"/>
      <c r="AM727" s="5"/>
      <c r="AN727" s="5"/>
    </row>
    <row r="728" spans="1:40" ht="18.75" customHeight="1">
      <c r="A728" s="5"/>
      <c r="B728" s="5"/>
      <c r="C728" s="5"/>
      <c r="D728" s="5"/>
      <c r="E728" s="5"/>
      <c r="F728" s="5"/>
      <c r="G728" s="5"/>
      <c r="H728" s="5"/>
      <c r="I728" s="5"/>
      <c r="J728" s="5"/>
      <c r="K728" s="5"/>
      <c r="L728" s="5"/>
      <c r="M728" s="5"/>
      <c r="N728" s="5"/>
      <c r="O728" s="5"/>
      <c r="P728" s="5"/>
      <c r="Q728" s="5"/>
      <c r="R728" s="5"/>
      <c r="S728" s="5"/>
      <c r="T728" s="5"/>
      <c r="U728" s="5"/>
      <c r="V728" s="5"/>
      <c r="Y728" s="5"/>
      <c r="Z728" s="5"/>
      <c r="AA728" s="5"/>
      <c r="AB728" s="5"/>
      <c r="AC728" s="5"/>
      <c r="AD728" s="5"/>
      <c r="AE728" s="5"/>
      <c r="AF728" s="5"/>
      <c r="AG728" s="5"/>
      <c r="AH728" s="5"/>
      <c r="AI728" s="5"/>
      <c r="AJ728" s="5"/>
      <c r="AK728" s="5"/>
      <c r="AL728" s="5"/>
      <c r="AM728" s="5"/>
      <c r="AN728" s="5"/>
    </row>
    <row r="729" spans="1:40" ht="18.75" customHeight="1">
      <c r="A729" s="5"/>
      <c r="B729" s="5"/>
      <c r="C729" s="5"/>
      <c r="D729" s="5"/>
      <c r="E729" s="5"/>
      <c r="F729" s="5"/>
      <c r="G729" s="5"/>
      <c r="H729" s="5"/>
      <c r="I729" s="5"/>
      <c r="J729" s="5"/>
      <c r="K729" s="5"/>
      <c r="L729" s="5"/>
      <c r="M729" s="5"/>
      <c r="N729" s="5"/>
      <c r="O729" s="5"/>
      <c r="P729" s="5"/>
      <c r="Q729" s="5"/>
      <c r="R729" s="5"/>
      <c r="S729" s="5"/>
      <c r="T729" s="5"/>
      <c r="U729" s="5"/>
      <c r="V729" s="5"/>
      <c r="Y729" s="5"/>
      <c r="Z729" s="5"/>
      <c r="AA729" s="5"/>
      <c r="AB729" s="5"/>
      <c r="AC729" s="5"/>
      <c r="AD729" s="5"/>
      <c r="AE729" s="5"/>
      <c r="AF729" s="5"/>
      <c r="AG729" s="5"/>
      <c r="AH729" s="5"/>
      <c r="AI729" s="5"/>
      <c r="AJ729" s="5"/>
      <c r="AK729" s="5"/>
      <c r="AL729" s="5"/>
      <c r="AM729" s="5"/>
      <c r="AN729" s="5"/>
    </row>
    <row r="730" spans="1:40" ht="18.75" customHeight="1">
      <c r="A730" s="5"/>
      <c r="B730" s="5"/>
      <c r="C730" s="5"/>
      <c r="D730" s="5"/>
      <c r="E730" s="5"/>
      <c r="F730" s="5"/>
      <c r="G730" s="5"/>
      <c r="H730" s="5"/>
      <c r="I730" s="5"/>
      <c r="J730" s="5"/>
      <c r="K730" s="5"/>
      <c r="L730" s="5"/>
      <c r="M730" s="5"/>
      <c r="N730" s="5"/>
      <c r="O730" s="5"/>
      <c r="P730" s="5"/>
      <c r="Q730" s="5"/>
      <c r="R730" s="5"/>
      <c r="S730" s="5"/>
      <c r="T730" s="5"/>
      <c r="U730" s="5"/>
      <c r="V730" s="5"/>
      <c r="Y730" s="5"/>
      <c r="Z730" s="5"/>
      <c r="AA730" s="5"/>
      <c r="AB730" s="5"/>
      <c r="AC730" s="5"/>
      <c r="AD730" s="5"/>
      <c r="AE730" s="5"/>
      <c r="AF730" s="5"/>
      <c r="AG730" s="5"/>
      <c r="AH730" s="5"/>
      <c r="AI730" s="5"/>
      <c r="AJ730" s="5"/>
      <c r="AK730" s="5"/>
      <c r="AL730" s="5"/>
      <c r="AM730" s="5"/>
      <c r="AN730" s="5"/>
    </row>
    <row r="731" spans="1:40" ht="18.75" customHeight="1">
      <c r="A731" s="5"/>
      <c r="B731" s="5"/>
      <c r="C731" s="5"/>
      <c r="D731" s="5"/>
      <c r="E731" s="5"/>
      <c r="F731" s="5"/>
      <c r="G731" s="5"/>
      <c r="H731" s="5"/>
      <c r="I731" s="5"/>
      <c r="J731" s="5"/>
      <c r="K731" s="5"/>
      <c r="L731" s="5"/>
      <c r="M731" s="5"/>
      <c r="N731" s="5"/>
      <c r="O731" s="5"/>
      <c r="P731" s="5"/>
      <c r="Q731" s="5"/>
      <c r="R731" s="5"/>
      <c r="S731" s="5"/>
      <c r="T731" s="5"/>
      <c r="U731" s="5"/>
      <c r="V731" s="5"/>
      <c r="Y731" s="5"/>
      <c r="Z731" s="5"/>
      <c r="AA731" s="5"/>
      <c r="AB731" s="5"/>
      <c r="AC731" s="5"/>
      <c r="AD731" s="5"/>
      <c r="AE731" s="5"/>
      <c r="AF731" s="5"/>
      <c r="AG731" s="5"/>
      <c r="AH731" s="5"/>
      <c r="AI731" s="5"/>
      <c r="AJ731" s="5"/>
      <c r="AK731" s="5"/>
      <c r="AL731" s="5"/>
      <c r="AM731" s="5"/>
      <c r="AN731" s="5"/>
    </row>
    <row r="732" spans="1:40" ht="18.75" customHeight="1">
      <c r="A732" s="5"/>
      <c r="B732" s="5"/>
      <c r="C732" s="5"/>
      <c r="D732" s="5"/>
      <c r="E732" s="5"/>
      <c r="F732" s="5"/>
      <c r="G732" s="5"/>
      <c r="H732" s="5"/>
      <c r="I732" s="5"/>
      <c r="J732" s="5"/>
      <c r="K732" s="5"/>
      <c r="L732" s="5"/>
      <c r="M732" s="5"/>
      <c r="N732" s="5"/>
      <c r="O732" s="5"/>
      <c r="P732" s="5"/>
      <c r="Q732" s="5"/>
      <c r="R732" s="5"/>
      <c r="S732" s="5"/>
      <c r="T732" s="5"/>
      <c r="U732" s="5"/>
      <c r="V732" s="5"/>
      <c r="Y732" s="5"/>
      <c r="Z732" s="5"/>
      <c r="AA732" s="5"/>
      <c r="AB732" s="5"/>
      <c r="AC732" s="5"/>
      <c r="AD732" s="5"/>
      <c r="AE732" s="5"/>
      <c r="AF732" s="5"/>
      <c r="AG732" s="5"/>
      <c r="AH732" s="5"/>
      <c r="AI732" s="5"/>
      <c r="AJ732" s="5"/>
      <c r="AK732" s="5"/>
      <c r="AL732" s="5"/>
      <c r="AM732" s="5"/>
      <c r="AN732" s="5"/>
    </row>
    <row r="733" spans="1:40" ht="18.75" customHeight="1">
      <c r="A733" s="5"/>
      <c r="B733" s="5"/>
      <c r="C733" s="5"/>
      <c r="D733" s="5"/>
      <c r="E733" s="5"/>
      <c r="F733" s="5"/>
      <c r="G733" s="5"/>
      <c r="H733" s="5"/>
      <c r="I733" s="5"/>
      <c r="J733" s="5"/>
      <c r="K733" s="5"/>
      <c r="L733" s="5"/>
      <c r="M733" s="5"/>
      <c r="N733" s="5"/>
      <c r="O733" s="5"/>
      <c r="P733" s="5"/>
      <c r="Q733" s="5"/>
      <c r="R733" s="5"/>
      <c r="S733" s="5"/>
      <c r="T733" s="5"/>
      <c r="U733" s="5"/>
      <c r="V733" s="5"/>
      <c r="Y733" s="5"/>
      <c r="Z733" s="5"/>
      <c r="AA733" s="5"/>
      <c r="AB733" s="5"/>
      <c r="AC733" s="5"/>
      <c r="AD733" s="5"/>
      <c r="AE733" s="5"/>
      <c r="AF733" s="5"/>
      <c r="AG733" s="5"/>
      <c r="AH733" s="5"/>
      <c r="AI733" s="5"/>
      <c r="AJ733" s="5"/>
      <c r="AK733" s="5"/>
      <c r="AL733" s="5"/>
      <c r="AM733" s="5"/>
      <c r="AN733" s="5"/>
    </row>
    <row r="734" spans="1:40" ht="18.75" customHeight="1">
      <c r="A734" s="5"/>
      <c r="B734" s="5"/>
      <c r="C734" s="5"/>
      <c r="D734" s="5"/>
      <c r="E734" s="5"/>
      <c r="F734" s="5"/>
      <c r="G734" s="5"/>
      <c r="H734" s="5"/>
      <c r="I734" s="5"/>
      <c r="J734" s="5"/>
      <c r="K734" s="5"/>
      <c r="L734" s="5"/>
      <c r="M734" s="5"/>
      <c r="N734" s="5"/>
      <c r="O734" s="5"/>
      <c r="P734" s="5"/>
      <c r="Q734" s="5"/>
      <c r="R734" s="5"/>
      <c r="S734" s="5"/>
      <c r="T734" s="5"/>
      <c r="U734" s="5"/>
      <c r="V734" s="5"/>
      <c r="Y734" s="5"/>
      <c r="Z734" s="5"/>
      <c r="AA734" s="5"/>
      <c r="AB734" s="5"/>
      <c r="AC734" s="5"/>
      <c r="AD734" s="5"/>
      <c r="AE734" s="5"/>
      <c r="AF734" s="5"/>
      <c r="AG734" s="5"/>
      <c r="AH734" s="5"/>
      <c r="AI734" s="5"/>
      <c r="AJ734" s="5"/>
      <c r="AK734" s="5"/>
      <c r="AL734" s="5"/>
      <c r="AM734" s="5"/>
      <c r="AN734" s="5"/>
    </row>
    <row r="735" spans="1:40" ht="18.75" customHeight="1">
      <c r="A735" s="5"/>
      <c r="B735" s="5"/>
      <c r="C735" s="5"/>
      <c r="D735" s="5"/>
      <c r="E735" s="5"/>
      <c r="F735" s="5"/>
      <c r="G735" s="5"/>
      <c r="H735" s="5"/>
      <c r="I735" s="5"/>
      <c r="J735" s="5"/>
      <c r="K735" s="5"/>
      <c r="L735" s="5"/>
      <c r="M735" s="5"/>
      <c r="N735" s="5"/>
      <c r="O735" s="5"/>
      <c r="P735" s="5"/>
      <c r="Q735" s="5"/>
      <c r="R735" s="5"/>
      <c r="S735" s="5"/>
      <c r="T735" s="5"/>
      <c r="U735" s="5"/>
      <c r="V735" s="5"/>
      <c r="Y735" s="5"/>
      <c r="Z735" s="5"/>
      <c r="AA735" s="5"/>
      <c r="AB735" s="5"/>
      <c r="AC735" s="5"/>
      <c r="AD735" s="5"/>
      <c r="AE735" s="5"/>
      <c r="AF735" s="5"/>
      <c r="AG735" s="5"/>
      <c r="AH735" s="5"/>
      <c r="AI735" s="5"/>
      <c r="AJ735" s="5"/>
      <c r="AK735" s="5"/>
      <c r="AL735" s="5"/>
      <c r="AM735" s="5"/>
      <c r="AN735" s="5"/>
    </row>
    <row r="736" spans="1:40" ht="18.75" customHeight="1">
      <c r="A736" s="5"/>
      <c r="B736" s="5"/>
      <c r="C736" s="5"/>
      <c r="D736" s="5"/>
      <c r="E736" s="5"/>
      <c r="F736" s="5"/>
      <c r="G736" s="5"/>
      <c r="H736" s="5"/>
      <c r="I736" s="5"/>
      <c r="J736" s="5"/>
      <c r="K736" s="5"/>
      <c r="L736" s="5"/>
      <c r="M736" s="5"/>
      <c r="N736" s="5"/>
      <c r="O736" s="5"/>
      <c r="P736" s="5"/>
      <c r="Q736" s="5"/>
      <c r="R736" s="5"/>
      <c r="S736" s="5"/>
      <c r="T736" s="5"/>
      <c r="U736" s="5"/>
      <c r="V736" s="5"/>
      <c r="Y736" s="5"/>
      <c r="Z736" s="5"/>
      <c r="AA736" s="5"/>
      <c r="AB736" s="5"/>
      <c r="AC736" s="5"/>
      <c r="AD736" s="5"/>
      <c r="AE736" s="5"/>
      <c r="AF736" s="5"/>
      <c r="AG736" s="5"/>
      <c r="AH736" s="5"/>
      <c r="AI736" s="5"/>
      <c r="AJ736" s="5"/>
      <c r="AK736" s="5"/>
      <c r="AL736" s="5"/>
      <c r="AM736" s="5"/>
      <c r="AN736" s="5"/>
    </row>
    <row r="737" spans="1:40" ht="18.75" customHeight="1">
      <c r="A737" s="5"/>
      <c r="B737" s="5"/>
      <c r="C737" s="5"/>
      <c r="D737" s="5"/>
      <c r="E737" s="5"/>
      <c r="F737" s="5"/>
      <c r="G737" s="5"/>
      <c r="H737" s="5"/>
      <c r="I737" s="5"/>
      <c r="J737" s="5"/>
      <c r="K737" s="5"/>
      <c r="L737" s="5"/>
      <c r="M737" s="5"/>
      <c r="N737" s="5"/>
      <c r="O737" s="5"/>
      <c r="P737" s="5"/>
      <c r="Q737" s="5"/>
      <c r="R737" s="5"/>
      <c r="S737" s="5"/>
      <c r="T737" s="5"/>
      <c r="U737" s="5"/>
      <c r="V737" s="5"/>
      <c r="Y737" s="5"/>
      <c r="Z737" s="5"/>
      <c r="AA737" s="5"/>
      <c r="AB737" s="5"/>
      <c r="AC737" s="5"/>
      <c r="AD737" s="5"/>
      <c r="AE737" s="5"/>
      <c r="AF737" s="5"/>
      <c r="AG737" s="5"/>
      <c r="AH737" s="5"/>
      <c r="AI737" s="5"/>
      <c r="AJ737" s="5"/>
      <c r="AK737" s="5"/>
      <c r="AL737" s="5"/>
      <c r="AM737" s="5"/>
      <c r="AN737" s="5"/>
    </row>
    <row r="738" spans="1:40" ht="18.75" customHeight="1">
      <c r="A738" s="5"/>
      <c r="B738" s="5"/>
      <c r="C738" s="5"/>
      <c r="D738" s="5"/>
      <c r="E738" s="5"/>
      <c r="F738" s="5"/>
      <c r="G738" s="5"/>
      <c r="H738" s="5"/>
      <c r="I738" s="5"/>
      <c r="J738" s="5"/>
      <c r="K738" s="5"/>
      <c r="L738" s="5"/>
      <c r="M738" s="5"/>
      <c r="N738" s="5"/>
      <c r="O738" s="5"/>
      <c r="P738" s="5"/>
      <c r="Q738" s="5"/>
      <c r="R738" s="5"/>
      <c r="S738" s="5"/>
      <c r="T738" s="5"/>
      <c r="U738" s="5"/>
      <c r="V738" s="5"/>
      <c r="Y738" s="5"/>
      <c r="Z738" s="5"/>
      <c r="AA738" s="5"/>
      <c r="AB738" s="5"/>
      <c r="AC738" s="5"/>
      <c r="AD738" s="5"/>
      <c r="AE738" s="5"/>
      <c r="AF738" s="5"/>
      <c r="AG738" s="5"/>
      <c r="AH738" s="5"/>
      <c r="AI738" s="5"/>
      <c r="AJ738" s="5"/>
      <c r="AK738" s="5"/>
      <c r="AL738" s="5"/>
      <c r="AM738" s="5"/>
      <c r="AN738" s="5"/>
    </row>
    <row r="739" spans="1:40" ht="18.75" customHeight="1">
      <c r="A739" s="5"/>
      <c r="B739" s="5"/>
      <c r="C739" s="5"/>
      <c r="D739" s="5"/>
      <c r="E739" s="5"/>
      <c r="F739" s="5"/>
      <c r="G739" s="5"/>
      <c r="H739" s="5"/>
      <c r="I739" s="5"/>
      <c r="J739" s="5"/>
      <c r="K739" s="5"/>
      <c r="L739" s="5"/>
      <c r="M739" s="5"/>
      <c r="N739" s="5"/>
      <c r="O739" s="5"/>
      <c r="P739" s="5"/>
      <c r="Q739" s="5"/>
      <c r="R739" s="5"/>
      <c r="S739" s="5"/>
      <c r="T739" s="5"/>
      <c r="U739" s="5"/>
      <c r="V739" s="5"/>
      <c r="Y739" s="5"/>
      <c r="Z739" s="5"/>
      <c r="AA739" s="5"/>
      <c r="AB739" s="5"/>
      <c r="AC739" s="5"/>
      <c r="AD739" s="5"/>
      <c r="AE739" s="5"/>
      <c r="AF739" s="5"/>
      <c r="AG739" s="5"/>
      <c r="AH739" s="5"/>
      <c r="AI739" s="5"/>
      <c r="AJ739" s="5"/>
      <c r="AK739" s="5"/>
      <c r="AL739" s="5"/>
      <c r="AM739" s="5"/>
      <c r="AN739" s="5"/>
    </row>
    <row r="740" spans="1:40" ht="18.75" customHeight="1">
      <c r="A740" s="5"/>
      <c r="B740" s="5"/>
      <c r="C740" s="5"/>
      <c r="D740" s="5"/>
      <c r="E740" s="5"/>
      <c r="F740" s="5"/>
      <c r="G740" s="5"/>
      <c r="H740" s="5"/>
      <c r="I740" s="5"/>
      <c r="J740" s="5"/>
      <c r="K740" s="5"/>
      <c r="L740" s="5"/>
      <c r="M740" s="5"/>
      <c r="N740" s="5"/>
      <c r="O740" s="5"/>
      <c r="P740" s="5"/>
      <c r="Q740" s="5"/>
      <c r="R740" s="5"/>
      <c r="S740" s="5"/>
      <c r="T740" s="5"/>
      <c r="U740" s="5"/>
      <c r="V740" s="5"/>
      <c r="Y740" s="5"/>
      <c r="Z740" s="5"/>
      <c r="AA740" s="5"/>
      <c r="AB740" s="5"/>
      <c r="AC740" s="5"/>
      <c r="AD740" s="5"/>
      <c r="AE740" s="5"/>
      <c r="AF740" s="5"/>
      <c r="AG740" s="5"/>
      <c r="AH740" s="5"/>
      <c r="AI740" s="5"/>
      <c r="AJ740" s="5"/>
      <c r="AK740" s="5"/>
      <c r="AL740" s="5"/>
      <c r="AM740" s="5"/>
      <c r="AN740" s="5"/>
    </row>
    <row r="741" spans="1:40" ht="18.75" customHeight="1">
      <c r="A741" s="5"/>
      <c r="B741" s="5"/>
      <c r="C741" s="5"/>
      <c r="D741" s="5"/>
      <c r="E741" s="5"/>
      <c r="F741" s="5"/>
      <c r="G741" s="5"/>
      <c r="H741" s="5"/>
      <c r="I741" s="5"/>
      <c r="J741" s="5"/>
      <c r="K741" s="5"/>
      <c r="L741" s="5"/>
      <c r="M741" s="5"/>
      <c r="N741" s="5"/>
      <c r="O741" s="5"/>
      <c r="P741" s="5"/>
      <c r="Q741" s="5"/>
      <c r="R741" s="5"/>
      <c r="S741" s="5"/>
      <c r="T741" s="5"/>
      <c r="U741" s="5"/>
      <c r="V741" s="5"/>
      <c r="Y741" s="5"/>
      <c r="Z741" s="5"/>
      <c r="AA741" s="5"/>
      <c r="AB741" s="5"/>
      <c r="AC741" s="5"/>
      <c r="AD741" s="5"/>
      <c r="AE741" s="5"/>
      <c r="AF741" s="5"/>
      <c r="AG741" s="5"/>
      <c r="AH741" s="5"/>
      <c r="AI741" s="5"/>
      <c r="AJ741" s="5"/>
      <c r="AK741" s="5"/>
      <c r="AL741" s="5"/>
      <c r="AM741" s="5"/>
      <c r="AN741" s="5"/>
    </row>
    <row r="742" spans="1:40" ht="18.75" customHeight="1">
      <c r="A742" s="5"/>
      <c r="B742" s="5"/>
      <c r="C742" s="5"/>
      <c r="D742" s="5"/>
      <c r="E742" s="5"/>
      <c r="F742" s="5"/>
      <c r="G742" s="5"/>
      <c r="H742" s="5"/>
      <c r="I742" s="5"/>
      <c r="J742" s="5"/>
      <c r="K742" s="5"/>
      <c r="L742" s="5"/>
      <c r="M742" s="5"/>
      <c r="N742" s="5"/>
      <c r="O742" s="5"/>
      <c r="P742" s="5"/>
      <c r="Q742" s="5"/>
      <c r="R742" s="5"/>
      <c r="S742" s="5"/>
      <c r="T742" s="5"/>
      <c r="U742" s="5"/>
      <c r="V742" s="5"/>
      <c r="Y742" s="5"/>
      <c r="Z742" s="5"/>
      <c r="AA742" s="5"/>
      <c r="AB742" s="5"/>
      <c r="AC742" s="5"/>
      <c r="AD742" s="5"/>
      <c r="AE742" s="5"/>
      <c r="AF742" s="5"/>
      <c r="AG742" s="5"/>
      <c r="AH742" s="5"/>
      <c r="AI742" s="5"/>
      <c r="AJ742" s="5"/>
      <c r="AK742" s="5"/>
      <c r="AL742" s="5"/>
      <c r="AM742" s="5"/>
      <c r="AN742" s="5"/>
    </row>
    <row r="743" spans="1:40" ht="18.75" customHeight="1">
      <c r="A743" s="5"/>
      <c r="B743" s="5"/>
      <c r="C743" s="5"/>
      <c r="D743" s="5"/>
      <c r="E743" s="5"/>
      <c r="F743" s="5"/>
      <c r="G743" s="5"/>
      <c r="H743" s="5"/>
      <c r="I743" s="5"/>
      <c r="J743" s="5"/>
      <c r="K743" s="5"/>
      <c r="L743" s="5"/>
      <c r="M743" s="5"/>
      <c r="N743" s="5"/>
      <c r="O743" s="5"/>
      <c r="P743" s="5"/>
      <c r="Q743" s="5"/>
      <c r="R743" s="5"/>
      <c r="S743" s="5"/>
      <c r="T743" s="5"/>
      <c r="U743" s="5"/>
      <c r="V743" s="5"/>
      <c r="Y743" s="5"/>
      <c r="Z743" s="5"/>
      <c r="AA743" s="5"/>
      <c r="AB743" s="5"/>
      <c r="AC743" s="5"/>
      <c r="AD743" s="5"/>
      <c r="AE743" s="5"/>
      <c r="AF743" s="5"/>
      <c r="AG743" s="5"/>
      <c r="AH743" s="5"/>
      <c r="AI743" s="5"/>
      <c r="AJ743" s="5"/>
      <c r="AK743" s="5"/>
      <c r="AL743" s="5"/>
      <c r="AM743" s="5"/>
      <c r="AN743" s="5"/>
    </row>
    <row r="744" spans="1:40" ht="18.75" customHeight="1">
      <c r="A744" s="5"/>
      <c r="B744" s="5"/>
      <c r="C744" s="5"/>
      <c r="D744" s="5"/>
      <c r="E744" s="5"/>
      <c r="F744" s="5"/>
      <c r="G744" s="5"/>
      <c r="H744" s="5"/>
      <c r="I744" s="5"/>
      <c r="J744" s="5"/>
      <c r="K744" s="5"/>
      <c r="L744" s="5"/>
      <c r="M744" s="5"/>
      <c r="N744" s="5"/>
      <c r="O744" s="5"/>
      <c r="P744" s="5"/>
      <c r="Q744" s="5"/>
      <c r="R744" s="5"/>
      <c r="S744" s="5"/>
      <c r="T744" s="5"/>
      <c r="U744" s="5"/>
      <c r="V744" s="5"/>
      <c r="Y744" s="5"/>
      <c r="Z744" s="5"/>
      <c r="AA744" s="5"/>
      <c r="AB744" s="5"/>
      <c r="AC744" s="5"/>
      <c r="AD744" s="5"/>
      <c r="AE744" s="5"/>
      <c r="AF744" s="5"/>
      <c r="AG744" s="5"/>
      <c r="AH744" s="5"/>
      <c r="AI744" s="5"/>
      <c r="AJ744" s="5"/>
      <c r="AK744" s="5"/>
      <c r="AL744" s="5"/>
      <c r="AM744" s="5"/>
      <c r="AN744" s="5"/>
    </row>
    <row r="745" spans="1:40" ht="18.75" customHeight="1">
      <c r="A745" s="5"/>
      <c r="B745" s="5"/>
      <c r="C745" s="5"/>
      <c r="D745" s="5"/>
      <c r="E745" s="5"/>
      <c r="F745" s="5"/>
      <c r="G745" s="5"/>
      <c r="H745" s="5"/>
      <c r="I745" s="5"/>
      <c r="J745" s="5"/>
      <c r="K745" s="5"/>
      <c r="L745" s="5"/>
      <c r="M745" s="5"/>
      <c r="N745" s="5"/>
      <c r="O745" s="5"/>
      <c r="P745" s="5"/>
      <c r="Q745" s="5"/>
      <c r="R745" s="5"/>
      <c r="S745" s="5"/>
      <c r="T745" s="5"/>
      <c r="U745" s="5"/>
      <c r="V745" s="5"/>
      <c r="Y745" s="5"/>
      <c r="Z745" s="5"/>
      <c r="AA745" s="5"/>
      <c r="AB745" s="5"/>
      <c r="AC745" s="5"/>
      <c r="AD745" s="5"/>
      <c r="AE745" s="5"/>
      <c r="AF745" s="5"/>
      <c r="AG745" s="5"/>
      <c r="AH745" s="5"/>
      <c r="AI745" s="5"/>
      <c r="AJ745" s="5"/>
      <c r="AK745" s="5"/>
      <c r="AL745" s="5"/>
      <c r="AM745" s="5"/>
      <c r="AN745" s="5"/>
    </row>
    <row r="746" spans="1:40" ht="18.75" customHeight="1">
      <c r="A746" s="5"/>
      <c r="B746" s="5"/>
      <c r="C746" s="5"/>
      <c r="D746" s="5"/>
      <c r="E746" s="5"/>
      <c r="F746" s="5"/>
      <c r="G746" s="5"/>
      <c r="H746" s="5"/>
      <c r="I746" s="5"/>
      <c r="J746" s="5"/>
      <c r="K746" s="5"/>
      <c r="L746" s="5"/>
      <c r="M746" s="5"/>
      <c r="N746" s="5"/>
      <c r="O746" s="5"/>
      <c r="P746" s="5"/>
      <c r="Q746" s="5"/>
      <c r="R746" s="5"/>
      <c r="S746" s="5"/>
      <c r="T746" s="5"/>
      <c r="U746" s="5"/>
      <c r="V746" s="5"/>
      <c r="Y746" s="5"/>
      <c r="Z746" s="5"/>
      <c r="AA746" s="5"/>
      <c r="AB746" s="5"/>
      <c r="AC746" s="5"/>
      <c r="AD746" s="5"/>
      <c r="AE746" s="5"/>
      <c r="AF746" s="5"/>
      <c r="AG746" s="5"/>
      <c r="AH746" s="5"/>
      <c r="AI746" s="5"/>
      <c r="AJ746" s="5"/>
      <c r="AK746" s="5"/>
      <c r="AL746" s="5"/>
      <c r="AM746" s="5"/>
      <c r="AN746" s="5"/>
    </row>
    <row r="747" spans="1:40" ht="18.75" customHeight="1">
      <c r="A747" s="5"/>
      <c r="B747" s="5"/>
      <c r="C747" s="5"/>
      <c r="D747" s="5"/>
      <c r="E747" s="5"/>
      <c r="F747" s="5"/>
      <c r="G747" s="5"/>
      <c r="H747" s="5"/>
      <c r="I747" s="5"/>
      <c r="J747" s="5"/>
      <c r="K747" s="5"/>
      <c r="L747" s="5"/>
      <c r="M747" s="5"/>
      <c r="N747" s="5"/>
      <c r="O747" s="5"/>
      <c r="P747" s="5"/>
      <c r="Q747" s="5"/>
      <c r="R747" s="5"/>
      <c r="S747" s="5"/>
      <c r="T747" s="5"/>
      <c r="U747" s="5"/>
      <c r="V747" s="5"/>
      <c r="Y747" s="5"/>
      <c r="Z747" s="5"/>
      <c r="AA747" s="5"/>
      <c r="AB747" s="5"/>
      <c r="AC747" s="5"/>
      <c r="AD747" s="5"/>
      <c r="AE747" s="5"/>
      <c r="AF747" s="5"/>
      <c r="AG747" s="5"/>
      <c r="AH747" s="5"/>
      <c r="AI747" s="5"/>
      <c r="AJ747" s="5"/>
      <c r="AK747" s="5"/>
      <c r="AL747" s="5"/>
      <c r="AM747" s="5"/>
      <c r="AN747" s="5"/>
    </row>
    <row r="748" spans="1:40" ht="18.75" customHeight="1">
      <c r="A748" s="5"/>
      <c r="B748" s="5"/>
      <c r="C748" s="5"/>
      <c r="D748" s="5"/>
      <c r="E748" s="5"/>
      <c r="F748" s="5"/>
      <c r="G748" s="5"/>
      <c r="H748" s="5"/>
      <c r="I748" s="5"/>
      <c r="J748" s="5"/>
      <c r="K748" s="5"/>
      <c r="L748" s="5"/>
      <c r="M748" s="5"/>
      <c r="N748" s="5"/>
      <c r="O748" s="5"/>
      <c r="P748" s="5"/>
      <c r="Q748" s="5"/>
      <c r="R748" s="5"/>
      <c r="S748" s="5"/>
      <c r="T748" s="5"/>
      <c r="U748" s="5"/>
      <c r="V748" s="5"/>
      <c r="Y748" s="5"/>
      <c r="Z748" s="5"/>
      <c r="AA748" s="5"/>
      <c r="AB748" s="5"/>
      <c r="AC748" s="5"/>
      <c r="AD748" s="5"/>
      <c r="AE748" s="5"/>
      <c r="AF748" s="5"/>
      <c r="AG748" s="5"/>
      <c r="AH748" s="5"/>
      <c r="AI748" s="5"/>
      <c r="AJ748" s="5"/>
      <c r="AK748" s="5"/>
      <c r="AL748" s="5"/>
      <c r="AM748" s="5"/>
      <c r="AN748" s="5"/>
    </row>
    <row r="749" spans="1:40" ht="18.75" customHeight="1">
      <c r="A749" s="5"/>
      <c r="B749" s="5"/>
      <c r="C749" s="5"/>
      <c r="D749" s="5"/>
      <c r="E749" s="5"/>
      <c r="F749" s="5"/>
      <c r="G749" s="5"/>
      <c r="H749" s="5"/>
      <c r="I749" s="5"/>
      <c r="J749" s="5"/>
      <c r="K749" s="5"/>
      <c r="L749" s="5"/>
      <c r="M749" s="5"/>
      <c r="N749" s="5"/>
      <c r="O749" s="5"/>
      <c r="P749" s="5"/>
      <c r="Q749" s="5"/>
      <c r="R749" s="5"/>
      <c r="S749" s="5"/>
      <c r="T749" s="5"/>
      <c r="U749" s="5"/>
      <c r="V749" s="5"/>
      <c r="Y749" s="5"/>
      <c r="Z749" s="5"/>
      <c r="AA749" s="5"/>
      <c r="AB749" s="5"/>
      <c r="AC749" s="5"/>
      <c r="AD749" s="5"/>
      <c r="AE749" s="5"/>
      <c r="AF749" s="5"/>
      <c r="AG749" s="5"/>
      <c r="AH749" s="5"/>
      <c r="AI749" s="5"/>
      <c r="AJ749" s="5"/>
      <c r="AK749" s="5"/>
      <c r="AL749" s="5"/>
      <c r="AM749" s="5"/>
      <c r="AN749" s="5"/>
    </row>
    <row r="750" spans="1:40" ht="18.75" customHeight="1">
      <c r="A750" s="5"/>
      <c r="B750" s="5"/>
      <c r="C750" s="5"/>
      <c r="D750" s="5"/>
      <c r="E750" s="5"/>
      <c r="F750" s="5"/>
      <c r="G750" s="5"/>
      <c r="H750" s="5"/>
      <c r="I750" s="5"/>
      <c r="J750" s="5"/>
      <c r="K750" s="5"/>
      <c r="L750" s="5"/>
      <c r="M750" s="5"/>
      <c r="N750" s="5"/>
      <c r="O750" s="5"/>
      <c r="P750" s="5"/>
      <c r="Q750" s="5"/>
      <c r="R750" s="5"/>
      <c r="S750" s="5"/>
      <c r="T750" s="5"/>
      <c r="U750" s="5"/>
      <c r="V750" s="5"/>
      <c r="Y750" s="5"/>
      <c r="Z750" s="5"/>
      <c r="AA750" s="5"/>
      <c r="AB750" s="5"/>
      <c r="AC750" s="5"/>
      <c r="AD750" s="5"/>
      <c r="AE750" s="5"/>
      <c r="AF750" s="5"/>
      <c r="AG750" s="5"/>
      <c r="AH750" s="5"/>
      <c r="AI750" s="5"/>
      <c r="AJ750" s="5"/>
      <c r="AK750" s="5"/>
      <c r="AL750" s="5"/>
      <c r="AM750" s="5"/>
      <c r="AN750" s="5"/>
    </row>
    <row r="751" spans="1:40" ht="18.75" customHeight="1">
      <c r="A751" s="5"/>
      <c r="B751" s="5"/>
      <c r="C751" s="5"/>
      <c r="D751" s="5"/>
      <c r="E751" s="5"/>
      <c r="F751" s="5"/>
      <c r="G751" s="5"/>
      <c r="H751" s="5"/>
      <c r="I751" s="5"/>
      <c r="J751" s="5"/>
      <c r="K751" s="5"/>
      <c r="L751" s="5"/>
      <c r="M751" s="5"/>
      <c r="N751" s="5"/>
      <c r="O751" s="5"/>
      <c r="P751" s="5"/>
      <c r="Q751" s="5"/>
      <c r="R751" s="5"/>
      <c r="S751" s="5"/>
      <c r="T751" s="5"/>
      <c r="U751" s="5"/>
      <c r="V751" s="5"/>
      <c r="Y751" s="5"/>
      <c r="Z751" s="5"/>
      <c r="AA751" s="5"/>
      <c r="AB751" s="5"/>
      <c r="AC751" s="5"/>
      <c r="AD751" s="5"/>
      <c r="AE751" s="5"/>
      <c r="AF751" s="5"/>
      <c r="AG751" s="5"/>
      <c r="AH751" s="5"/>
      <c r="AI751" s="5"/>
      <c r="AJ751" s="5"/>
      <c r="AK751" s="5"/>
      <c r="AL751" s="5"/>
      <c r="AM751" s="5"/>
      <c r="AN751" s="5"/>
    </row>
    <row r="752" spans="1:40" ht="18.75" customHeight="1">
      <c r="A752" s="5"/>
      <c r="B752" s="5"/>
      <c r="C752" s="5"/>
      <c r="D752" s="5"/>
      <c r="E752" s="5"/>
      <c r="F752" s="5"/>
      <c r="G752" s="5"/>
      <c r="H752" s="5"/>
      <c r="I752" s="5"/>
      <c r="J752" s="5"/>
      <c r="K752" s="5"/>
      <c r="L752" s="5"/>
      <c r="M752" s="5"/>
      <c r="N752" s="5"/>
      <c r="O752" s="5"/>
      <c r="P752" s="5"/>
      <c r="Q752" s="5"/>
      <c r="R752" s="5"/>
      <c r="S752" s="5"/>
      <c r="T752" s="5"/>
      <c r="U752" s="5"/>
      <c r="V752" s="5"/>
      <c r="Y752" s="5"/>
      <c r="Z752" s="5"/>
      <c r="AA752" s="5"/>
      <c r="AB752" s="5"/>
      <c r="AC752" s="5"/>
      <c r="AD752" s="5"/>
      <c r="AE752" s="5"/>
      <c r="AF752" s="5"/>
      <c r="AG752" s="5"/>
      <c r="AH752" s="5"/>
      <c r="AI752" s="5"/>
      <c r="AJ752" s="5"/>
      <c r="AK752" s="5"/>
      <c r="AL752" s="5"/>
      <c r="AM752" s="5"/>
      <c r="AN752" s="5"/>
    </row>
    <row r="753" spans="1:40" ht="18.75" customHeight="1">
      <c r="A753" s="5"/>
      <c r="B753" s="5"/>
      <c r="C753" s="5"/>
      <c r="D753" s="5"/>
      <c r="E753" s="5"/>
      <c r="F753" s="5"/>
      <c r="G753" s="5"/>
      <c r="H753" s="5"/>
      <c r="I753" s="5"/>
      <c r="J753" s="5"/>
      <c r="K753" s="5"/>
      <c r="L753" s="5"/>
      <c r="M753" s="5"/>
      <c r="N753" s="5"/>
      <c r="O753" s="5"/>
      <c r="P753" s="5"/>
      <c r="Q753" s="5"/>
      <c r="R753" s="5"/>
      <c r="S753" s="5"/>
      <c r="T753" s="5"/>
      <c r="U753" s="5"/>
      <c r="V753" s="5"/>
      <c r="Y753" s="5"/>
      <c r="Z753" s="5"/>
      <c r="AA753" s="5"/>
      <c r="AB753" s="5"/>
      <c r="AC753" s="5"/>
      <c r="AD753" s="5"/>
      <c r="AE753" s="5"/>
      <c r="AF753" s="5"/>
      <c r="AG753" s="5"/>
      <c r="AH753" s="5"/>
      <c r="AI753" s="5"/>
      <c r="AJ753" s="5"/>
      <c r="AK753" s="5"/>
      <c r="AL753" s="5"/>
      <c r="AM753" s="5"/>
      <c r="AN753" s="5"/>
    </row>
    <row r="754" spans="1:40" ht="18.75" customHeight="1">
      <c r="A754" s="5"/>
      <c r="B754" s="5"/>
      <c r="C754" s="5"/>
      <c r="D754" s="5"/>
      <c r="E754" s="5"/>
      <c r="F754" s="5"/>
      <c r="G754" s="5"/>
      <c r="H754" s="5"/>
      <c r="I754" s="5"/>
      <c r="J754" s="5"/>
      <c r="K754" s="5"/>
      <c r="L754" s="5"/>
      <c r="M754" s="5"/>
      <c r="N754" s="5"/>
      <c r="O754" s="5"/>
      <c r="P754" s="5"/>
      <c r="Q754" s="5"/>
      <c r="R754" s="5"/>
      <c r="S754" s="5"/>
      <c r="T754" s="5"/>
      <c r="U754" s="5"/>
      <c r="V754" s="5"/>
      <c r="Y754" s="5"/>
      <c r="Z754" s="5"/>
      <c r="AA754" s="5"/>
      <c r="AB754" s="5"/>
      <c r="AC754" s="5"/>
      <c r="AD754" s="5"/>
      <c r="AE754" s="5"/>
      <c r="AF754" s="5"/>
      <c r="AG754" s="5"/>
      <c r="AH754" s="5"/>
      <c r="AI754" s="5"/>
      <c r="AJ754" s="5"/>
      <c r="AK754" s="5"/>
      <c r="AL754" s="5"/>
      <c r="AM754" s="5"/>
      <c r="AN754" s="5"/>
    </row>
    <row r="755" spans="1:40" ht="18.75" customHeight="1">
      <c r="A755" s="5"/>
      <c r="B755" s="5"/>
      <c r="C755" s="5"/>
      <c r="D755" s="5"/>
      <c r="E755" s="5"/>
      <c r="F755" s="5"/>
      <c r="G755" s="5"/>
      <c r="H755" s="5"/>
      <c r="I755" s="5"/>
      <c r="J755" s="5"/>
      <c r="K755" s="5"/>
      <c r="L755" s="5"/>
      <c r="M755" s="5"/>
      <c r="N755" s="5"/>
      <c r="O755" s="5"/>
      <c r="P755" s="5"/>
      <c r="Q755" s="5"/>
      <c r="R755" s="5"/>
      <c r="S755" s="5"/>
      <c r="T755" s="5"/>
      <c r="U755" s="5"/>
      <c r="V755" s="5"/>
      <c r="Y755" s="5"/>
      <c r="Z755" s="5"/>
      <c r="AA755" s="5"/>
      <c r="AB755" s="5"/>
      <c r="AC755" s="5"/>
      <c r="AD755" s="5"/>
      <c r="AE755" s="5"/>
      <c r="AF755" s="5"/>
      <c r="AG755" s="5"/>
      <c r="AH755" s="5"/>
      <c r="AI755" s="5"/>
      <c r="AJ755" s="5"/>
      <c r="AK755" s="5"/>
      <c r="AL755" s="5"/>
      <c r="AM755" s="5"/>
      <c r="AN755" s="5"/>
    </row>
    <row r="756" spans="1:40" ht="18.75" customHeight="1">
      <c r="A756" s="5"/>
      <c r="B756" s="5"/>
      <c r="C756" s="5"/>
      <c r="D756" s="5"/>
      <c r="E756" s="5"/>
      <c r="F756" s="5"/>
      <c r="G756" s="5"/>
      <c r="H756" s="5"/>
      <c r="I756" s="5"/>
      <c r="J756" s="5"/>
      <c r="K756" s="5"/>
      <c r="L756" s="5"/>
      <c r="M756" s="5"/>
      <c r="N756" s="5"/>
      <c r="O756" s="5"/>
      <c r="P756" s="5"/>
      <c r="Q756" s="5"/>
      <c r="R756" s="5"/>
      <c r="S756" s="5"/>
      <c r="T756" s="5"/>
      <c r="U756" s="5"/>
      <c r="V756" s="5"/>
      <c r="Y756" s="5"/>
      <c r="Z756" s="5"/>
      <c r="AA756" s="5"/>
      <c r="AB756" s="5"/>
      <c r="AC756" s="5"/>
      <c r="AD756" s="5"/>
      <c r="AE756" s="5"/>
      <c r="AF756" s="5"/>
      <c r="AG756" s="5"/>
      <c r="AH756" s="5"/>
      <c r="AI756" s="5"/>
      <c r="AJ756" s="5"/>
      <c r="AK756" s="5"/>
      <c r="AL756" s="5"/>
      <c r="AM756" s="5"/>
      <c r="AN756" s="5"/>
    </row>
    <row r="757" spans="1:40" ht="18.75" customHeight="1">
      <c r="A757" s="5"/>
      <c r="B757" s="5"/>
      <c r="C757" s="5"/>
      <c r="D757" s="5"/>
      <c r="E757" s="5"/>
      <c r="F757" s="5"/>
      <c r="G757" s="5"/>
      <c r="H757" s="5"/>
      <c r="I757" s="5"/>
      <c r="J757" s="5"/>
      <c r="K757" s="5"/>
      <c r="L757" s="5"/>
      <c r="M757" s="5"/>
      <c r="N757" s="5"/>
      <c r="O757" s="5"/>
      <c r="P757" s="5"/>
      <c r="Q757" s="5"/>
      <c r="R757" s="5"/>
      <c r="S757" s="5"/>
      <c r="T757" s="5"/>
      <c r="U757" s="5"/>
      <c r="V757" s="5"/>
      <c r="Y757" s="5"/>
      <c r="Z757" s="5"/>
      <c r="AA757" s="5"/>
      <c r="AB757" s="5"/>
      <c r="AC757" s="5"/>
      <c r="AD757" s="5"/>
      <c r="AE757" s="5"/>
      <c r="AF757" s="5"/>
      <c r="AG757" s="5"/>
      <c r="AH757" s="5"/>
      <c r="AI757" s="5"/>
      <c r="AJ757" s="5"/>
      <c r="AK757" s="5"/>
      <c r="AL757" s="5"/>
      <c r="AM757" s="5"/>
      <c r="AN757" s="5"/>
    </row>
    <row r="758" spans="1:40" ht="18.75" customHeight="1">
      <c r="A758" s="5"/>
      <c r="B758" s="5"/>
      <c r="C758" s="5"/>
      <c r="D758" s="5"/>
      <c r="E758" s="5"/>
      <c r="F758" s="5"/>
      <c r="G758" s="5"/>
      <c r="H758" s="5"/>
      <c r="I758" s="5"/>
      <c r="J758" s="5"/>
      <c r="K758" s="5"/>
      <c r="L758" s="5"/>
      <c r="M758" s="5"/>
      <c r="N758" s="5"/>
      <c r="O758" s="5"/>
      <c r="P758" s="5"/>
      <c r="Q758" s="5"/>
      <c r="R758" s="5"/>
      <c r="S758" s="5"/>
      <c r="T758" s="5"/>
      <c r="U758" s="5"/>
      <c r="V758" s="5"/>
      <c r="Y758" s="5"/>
      <c r="Z758" s="5"/>
      <c r="AA758" s="5"/>
      <c r="AB758" s="5"/>
      <c r="AC758" s="5"/>
      <c r="AD758" s="5"/>
      <c r="AE758" s="5"/>
      <c r="AF758" s="5"/>
      <c r="AG758" s="5"/>
      <c r="AH758" s="5"/>
      <c r="AI758" s="5"/>
      <c r="AJ758" s="5"/>
      <c r="AK758" s="5"/>
      <c r="AL758" s="5"/>
      <c r="AM758" s="5"/>
      <c r="AN758" s="5"/>
    </row>
    <row r="759" spans="1:40" ht="18.75" customHeight="1">
      <c r="A759" s="5"/>
      <c r="B759" s="5"/>
      <c r="C759" s="5"/>
      <c r="D759" s="5"/>
      <c r="E759" s="5"/>
      <c r="F759" s="5"/>
      <c r="G759" s="5"/>
      <c r="H759" s="5"/>
      <c r="I759" s="5"/>
      <c r="J759" s="5"/>
      <c r="K759" s="5"/>
      <c r="L759" s="5"/>
      <c r="M759" s="5"/>
      <c r="N759" s="5"/>
      <c r="O759" s="5"/>
      <c r="P759" s="5"/>
      <c r="Q759" s="5"/>
      <c r="R759" s="5"/>
      <c r="S759" s="5"/>
      <c r="T759" s="5"/>
      <c r="U759" s="5"/>
      <c r="V759" s="5"/>
      <c r="Y759" s="5"/>
      <c r="Z759" s="5"/>
      <c r="AA759" s="5"/>
      <c r="AB759" s="5"/>
      <c r="AC759" s="5"/>
      <c r="AD759" s="5"/>
      <c r="AE759" s="5"/>
      <c r="AF759" s="5"/>
      <c r="AG759" s="5"/>
      <c r="AH759" s="5"/>
      <c r="AI759" s="5"/>
      <c r="AJ759" s="5"/>
      <c r="AK759" s="5"/>
      <c r="AL759" s="5"/>
      <c r="AM759" s="5"/>
      <c r="AN759" s="5"/>
    </row>
    <row r="760" spans="1:40" ht="18.75" customHeight="1">
      <c r="A760" s="5"/>
      <c r="B760" s="5"/>
      <c r="C760" s="5"/>
      <c r="D760" s="5"/>
      <c r="E760" s="5"/>
      <c r="F760" s="5"/>
      <c r="G760" s="5"/>
      <c r="H760" s="5"/>
      <c r="I760" s="5"/>
      <c r="J760" s="5"/>
      <c r="K760" s="5"/>
      <c r="L760" s="5"/>
      <c r="M760" s="5"/>
      <c r="N760" s="5"/>
      <c r="O760" s="5"/>
      <c r="P760" s="5"/>
      <c r="Q760" s="5"/>
      <c r="R760" s="5"/>
      <c r="S760" s="5"/>
      <c r="T760" s="5"/>
      <c r="U760" s="5"/>
      <c r="V760" s="5"/>
      <c r="Y760" s="5"/>
      <c r="Z760" s="5"/>
      <c r="AA760" s="5"/>
      <c r="AB760" s="5"/>
      <c r="AC760" s="5"/>
      <c r="AD760" s="5"/>
      <c r="AE760" s="5"/>
      <c r="AF760" s="5"/>
      <c r="AG760" s="5"/>
      <c r="AH760" s="5"/>
      <c r="AI760" s="5"/>
      <c r="AJ760" s="5"/>
      <c r="AK760" s="5"/>
      <c r="AL760" s="5"/>
      <c r="AM760" s="5"/>
      <c r="AN760" s="5"/>
    </row>
    <row r="761" spans="1:40" ht="18.75" customHeight="1">
      <c r="A761" s="5"/>
      <c r="B761" s="5"/>
      <c r="C761" s="5"/>
      <c r="D761" s="5"/>
      <c r="E761" s="5"/>
      <c r="F761" s="5"/>
      <c r="G761" s="5"/>
      <c r="H761" s="5"/>
      <c r="I761" s="5"/>
      <c r="J761" s="5"/>
      <c r="K761" s="5"/>
      <c r="L761" s="5"/>
      <c r="M761" s="5"/>
      <c r="N761" s="5"/>
      <c r="O761" s="5"/>
      <c r="P761" s="5"/>
      <c r="Q761" s="5"/>
      <c r="R761" s="5"/>
      <c r="S761" s="5"/>
      <c r="T761" s="5"/>
      <c r="U761" s="5"/>
      <c r="V761" s="5"/>
      <c r="Y761" s="5"/>
      <c r="Z761" s="5"/>
      <c r="AA761" s="5"/>
      <c r="AB761" s="5"/>
      <c r="AC761" s="5"/>
      <c r="AD761" s="5"/>
      <c r="AE761" s="5"/>
      <c r="AF761" s="5"/>
      <c r="AG761" s="5"/>
      <c r="AH761" s="5"/>
      <c r="AI761" s="5"/>
      <c r="AJ761" s="5"/>
      <c r="AK761" s="5"/>
      <c r="AL761" s="5"/>
      <c r="AM761" s="5"/>
      <c r="AN761" s="5"/>
    </row>
    <row r="762" spans="1:40" ht="18.75" customHeight="1">
      <c r="A762" s="5"/>
      <c r="B762" s="5"/>
      <c r="C762" s="5"/>
      <c r="D762" s="5"/>
      <c r="E762" s="5"/>
      <c r="F762" s="5"/>
      <c r="G762" s="5"/>
      <c r="H762" s="5"/>
      <c r="I762" s="5"/>
      <c r="J762" s="5"/>
      <c r="K762" s="5"/>
      <c r="L762" s="5"/>
      <c r="M762" s="5"/>
      <c r="N762" s="5"/>
      <c r="O762" s="5"/>
      <c r="P762" s="5"/>
      <c r="Q762" s="5"/>
      <c r="R762" s="5"/>
      <c r="S762" s="5"/>
      <c r="T762" s="5"/>
      <c r="U762" s="5"/>
      <c r="V762" s="5"/>
      <c r="Y762" s="5"/>
      <c r="Z762" s="5"/>
      <c r="AA762" s="5"/>
      <c r="AB762" s="5"/>
      <c r="AC762" s="5"/>
      <c r="AD762" s="5"/>
      <c r="AE762" s="5"/>
      <c r="AF762" s="5"/>
      <c r="AG762" s="5"/>
      <c r="AH762" s="5"/>
      <c r="AI762" s="5"/>
      <c r="AJ762" s="5"/>
      <c r="AK762" s="5"/>
      <c r="AL762" s="5"/>
      <c r="AM762" s="5"/>
      <c r="AN762" s="5"/>
    </row>
    <row r="763" spans="1:40" ht="18.75" customHeight="1">
      <c r="A763" s="5"/>
      <c r="B763" s="5"/>
      <c r="C763" s="5"/>
      <c r="D763" s="5"/>
      <c r="E763" s="5"/>
      <c r="F763" s="5"/>
      <c r="G763" s="5"/>
      <c r="H763" s="5"/>
      <c r="I763" s="5"/>
      <c r="J763" s="5"/>
      <c r="K763" s="5"/>
      <c r="L763" s="5"/>
      <c r="M763" s="5"/>
      <c r="N763" s="5"/>
      <c r="O763" s="5"/>
      <c r="P763" s="5"/>
      <c r="Q763" s="5"/>
      <c r="R763" s="5"/>
      <c r="S763" s="5"/>
      <c r="T763" s="5"/>
      <c r="U763" s="5"/>
      <c r="V763" s="5"/>
      <c r="Y763" s="5"/>
      <c r="Z763" s="5"/>
      <c r="AA763" s="5"/>
      <c r="AB763" s="5"/>
      <c r="AC763" s="5"/>
      <c r="AD763" s="5"/>
      <c r="AE763" s="5"/>
      <c r="AF763" s="5"/>
      <c r="AG763" s="5"/>
      <c r="AH763" s="5"/>
      <c r="AI763" s="5"/>
      <c r="AJ763" s="5"/>
      <c r="AK763" s="5"/>
      <c r="AL763" s="5"/>
      <c r="AM763" s="5"/>
      <c r="AN763" s="5"/>
    </row>
    <row r="764" spans="1:40" ht="18.75" customHeight="1">
      <c r="A764" s="5"/>
      <c r="B764" s="5"/>
      <c r="C764" s="5"/>
      <c r="D764" s="5"/>
      <c r="E764" s="5"/>
      <c r="F764" s="5"/>
      <c r="G764" s="5"/>
      <c r="H764" s="5"/>
      <c r="I764" s="5"/>
      <c r="J764" s="5"/>
      <c r="K764" s="5"/>
      <c r="L764" s="5"/>
      <c r="M764" s="5"/>
      <c r="N764" s="5"/>
      <c r="O764" s="5"/>
      <c r="P764" s="5"/>
      <c r="Q764" s="5"/>
      <c r="R764" s="5"/>
      <c r="S764" s="5"/>
      <c r="T764" s="5"/>
      <c r="U764" s="5"/>
      <c r="V764" s="5"/>
      <c r="Y764" s="5"/>
      <c r="Z764" s="5"/>
      <c r="AA764" s="5"/>
      <c r="AB764" s="5"/>
      <c r="AC764" s="5"/>
      <c r="AD764" s="5"/>
      <c r="AE764" s="5"/>
      <c r="AF764" s="5"/>
      <c r="AG764" s="5"/>
      <c r="AH764" s="5"/>
      <c r="AI764" s="5"/>
      <c r="AJ764" s="5"/>
      <c r="AK764" s="5"/>
      <c r="AL764" s="5"/>
      <c r="AM764" s="5"/>
      <c r="AN764" s="5"/>
    </row>
    <row r="765" spans="1:40" ht="18.75" customHeight="1">
      <c r="A765" s="5"/>
      <c r="B765" s="5"/>
      <c r="C765" s="5"/>
      <c r="D765" s="5"/>
      <c r="E765" s="5"/>
      <c r="F765" s="5"/>
      <c r="G765" s="5"/>
      <c r="H765" s="5"/>
      <c r="I765" s="5"/>
      <c r="J765" s="5"/>
      <c r="K765" s="5"/>
      <c r="L765" s="5"/>
      <c r="M765" s="5"/>
      <c r="N765" s="5"/>
      <c r="O765" s="5"/>
      <c r="P765" s="5"/>
      <c r="Q765" s="5"/>
      <c r="R765" s="5"/>
      <c r="S765" s="5"/>
      <c r="T765" s="5"/>
      <c r="U765" s="5"/>
      <c r="V765" s="5"/>
      <c r="Y765" s="5"/>
      <c r="Z765" s="5"/>
      <c r="AA765" s="5"/>
      <c r="AB765" s="5"/>
      <c r="AC765" s="5"/>
      <c r="AD765" s="5"/>
      <c r="AE765" s="5"/>
      <c r="AF765" s="5"/>
      <c r="AG765" s="5"/>
      <c r="AH765" s="5"/>
      <c r="AI765" s="5"/>
      <c r="AJ765" s="5"/>
      <c r="AK765" s="5"/>
      <c r="AL765" s="5"/>
      <c r="AM765" s="5"/>
      <c r="AN765" s="5"/>
    </row>
    <row r="766" spans="1:40" ht="18.75" customHeight="1">
      <c r="A766" s="5"/>
      <c r="B766" s="5"/>
      <c r="C766" s="5"/>
      <c r="D766" s="5"/>
      <c r="E766" s="5"/>
      <c r="F766" s="5"/>
      <c r="G766" s="5"/>
      <c r="H766" s="5"/>
      <c r="I766" s="5"/>
      <c r="J766" s="5"/>
      <c r="K766" s="5"/>
      <c r="L766" s="5"/>
      <c r="M766" s="5"/>
      <c r="N766" s="5"/>
      <c r="O766" s="5"/>
      <c r="P766" s="5"/>
      <c r="Q766" s="5"/>
      <c r="R766" s="5"/>
      <c r="S766" s="5"/>
      <c r="T766" s="5"/>
      <c r="U766" s="5"/>
      <c r="V766" s="5"/>
      <c r="Y766" s="5"/>
      <c r="Z766" s="5"/>
      <c r="AA766" s="5"/>
      <c r="AB766" s="5"/>
      <c r="AC766" s="5"/>
      <c r="AD766" s="5"/>
      <c r="AE766" s="5"/>
      <c r="AF766" s="5"/>
      <c r="AG766" s="5"/>
      <c r="AH766" s="5"/>
      <c r="AI766" s="5"/>
      <c r="AJ766" s="5"/>
      <c r="AK766" s="5"/>
      <c r="AL766" s="5"/>
      <c r="AM766" s="5"/>
      <c r="AN766" s="5"/>
    </row>
    <row r="767" spans="1:40" ht="18.75" customHeight="1">
      <c r="A767" s="5"/>
      <c r="B767" s="5"/>
      <c r="C767" s="5"/>
      <c r="D767" s="5"/>
      <c r="E767" s="5"/>
      <c r="F767" s="5"/>
      <c r="G767" s="5"/>
      <c r="H767" s="5"/>
      <c r="I767" s="5"/>
      <c r="J767" s="5"/>
      <c r="K767" s="5"/>
      <c r="L767" s="5"/>
      <c r="M767" s="5"/>
      <c r="N767" s="5"/>
      <c r="O767" s="5"/>
      <c r="P767" s="5"/>
      <c r="Q767" s="5"/>
      <c r="R767" s="5"/>
      <c r="S767" s="5"/>
      <c r="T767" s="5"/>
      <c r="U767" s="5"/>
      <c r="V767" s="5"/>
      <c r="Y767" s="5"/>
      <c r="Z767" s="5"/>
      <c r="AA767" s="5"/>
      <c r="AB767" s="5"/>
      <c r="AC767" s="5"/>
      <c r="AD767" s="5"/>
      <c r="AE767" s="5"/>
      <c r="AF767" s="5"/>
      <c r="AG767" s="5"/>
      <c r="AH767" s="5"/>
      <c r="AI767" s="5"/>
      <c r="AJ767" s="5"/>
      <c r="AK767" s="5"/>
      <c r="AL767" s="5"/>
      <c r="AM767" s="5"/>
      <c r="AN767" s="5"/>
    </row>
    <row r="768" spans="1:40" ht="18.75" customHeight="1">
      <c r="A768" s="5"/>
      <c r="B768" s="5"/>
      <c r="C768" s="5"/>
      <c r="D768" s="5"/>
      <c r="E768" s="5"/>
      <c r="F768" s="5"/>
      <c r="G768" s="5"/>
      <c r="H768" s="5"/>
      <c r="I768" s="5"/>
      <c r="J768" s="5"/>
      <c r="K768" s="5"/>
      <c r="L768" s="5"/>
      <c r="M768" s="5"/>
      <c r="N768" s="5"/>
      <c r="O768" s="5"/>
      <c r="P768" s="5"/>
      <c r="Q768" s="5"/>
      <c r="R768" s="5"/>
      <c r="S768" s="5"/>
      <c r="T768" s="5"/>
      <c r="U768" s="5"/>
      <c r="V768" s="5"/>
      <c r="Y768" s="5"/>
      <c r="Z768" s="5"/>
      <c r="AA768" s="5"/>
      <c r="AB768" s="5"/>
      <c r="AC768" s="5"/>
      <c r="AD768" s="5"/>
      <c r="AE768" s="5"/>
      <c r="AF768" s="5"/>
      <c r="AG768" s="5"/>
      <c r="AH768" s="5"/>
      <c r="AI768" s="5"/>
      <c r="AJ768" s="5"/>
      <c r="AK768" s="5"/>
      <c r="AL768" s="5"/>
      <c r="AM768" s="5"/>
      <c r="AN768" s="5"/>
    </row>
    <row r="769" spans="1:40" ht="18.75" customHeight="1">
      <c r="A769" s="5"/>
      <c r="B769" s="5"/>
      <c r="C769" s="5"/>
      <c r="D769" s="5"/>
      <c r="E769" s="5"/>
      <c r="F769" s="5"/>
      <c r="G769" s="5"/>
      <c r="H769" s="5"/>
      <c r="I769" s="5"/>
      <c r="J769" s="5"/>
      <c r="K769" s="5"/>
      <c r="L769" s="5"/>
      <c r="M769" s="5"/>
      <c r="N769" s="5"/>
      <c r="O769" s="5"/>
      <c r="P769" s="5"/>
      <c r="Q769" s="5"/>
      <c r="R769" s="5"/>
      <c r="S769" s="5"/>
      <c r="T769" s="5"/>
      <c r="U769" s="5"/>
      <c r="V769" s="5"/>
      <c r="Y769" s="5"/>
      <c r="Z769" s="5"/>
      <c r="AA769" s="5"/>
      <c r="AB769" s="5"/>
      <c r="AC769" s="5"/>
      <c r="AD769" s="5"/>
      <c r="AE769" s="5"/>
      <c r="AF769" s="5"/>
      <c r="AG769" s="5"/>
      <c r="AH769" s="5"/>
      <c r="AI769" s="5"/>
      <c r="AJ769" s="5"/>
      <c r="AK769" s="5"/>
      <c r="AL769" s="5"/>
      <c r="AM769" s="5"/>
      <c r="AN769" s="5"/>
    </row>
    <row r="770" spans="1:40" ht="18.75" customHeight="1">
      <c r="A770" s="5"/>
      <c r="B770" s="5"/>
      <c r="C770" s="5"/>
      <c r="D770" s="5"/>
      <c r="E770" s="5"/>
      <c r="F770" s="5"/>
      <c r="G770" s="5"/>
      <c r="H770" s="5"/>
      <c r="I770" s="5"/>
      <c r="J770" s="5"/>
      <c r="K770" s="5"/>
      <c r="L770" s="5"/>
      <c r="M770" s="5"/>
      <c r="N770" s="5"/>
      <c r="O770" s="5"/>
      <c r="P770" s="5"/>
      <c r="Q770" s="5"/>
      <c r="R770" s="5"/>
      <c r="S770" s="5"/>
      <c r="T770" s="5"/>
      <c r="U770" s="5"/>
      <c r="V770" s="5"/>
      <c r="Y770" s="5"/>
      <c r="Z770" s="5"/>
      <c r="AA770" s="5"/>
      <c r="AB770" s="5"/>
      <c r="AC770" s="5"/>
      <c r="AD770" s="5"/>
      <c r="AE770" s="5"/>
      <c r="AF770" s="5"/>
      <c r="AG770" s="5"/>
      <c r="AH770" s="5"/>
      <c r="AI770" s="5"/>
      <c r="AJ770" s="5"/>
      <c r="AK770" s="5"/>
      <c r="AL770" s="5"/>
      <c r="AM770" s="5"/>
      <c r="AN770" s="5"/>
    </row>
    <row r="771" spans="1:40" ht="18.75" customHeight="1">
      <c r="A771" s="5"/>
      <c r="B771" s="5"/>
      <c r="C771" s="5"/>
      <c r="D771" s="5"/>
      <c r="E771" s="5"/>
      <c r="F771" s="5"/>
      <c r="G771" s="5"/>
      <c r="H771" s="5"/>
      <c r="I771" s="5"/>
      <c r="J771" s="5"/>
      <c r="K771" s="5"/>
      <c r="L771" s="5"/>
      <c r="M771" s="5"/>
      <c r="N771" s="5"/>
      <c r="O771" s="5"/>
      <c r="P771" s="5"/>
      <c r="Q771" s="5"/>
      <c r="R771" s="5"/>
      <c r="S771" s="5"/>
      <c r="T771" s="5"/>
      <c r="U771" s="5"/>
      <c r="V771" s="5"/>
      <c r="Y771" s="5"/>
      <c r="Z771" s="5"/>
      <c r="AA771" s="5"/>
      <c r="AB771" s="5"/>
      <c r="AC771" s="5"/>
      <c r="AD771" s="5"/>
      <c r="AE771" s="5"/>
      <c r="AF771" s="5"/>
      <c r="AG771" s="5"/>
      <c r="AH771" s="5"/>
      <c r="AI771" s="5"/>
      <c r="AJ771" s="5"/>
      <c r="AK771" s="5"/>
      <c r="AL771" s="5"/>
      <c r="AM771" s="5"/>
      <c r="AN771" s="5"/>
    </row>
    <row r="772" spans="1:40" ht="18.75" customHeight="1">
      <c r="A772" s="5"/>
      <c r="B772" s="5"/>
      <c r="C772" s="5"/>
      <c r="D772" s="5"/>
      <c r="E772" s="5"/>
      <c r="F772" s="5"/>
      <c r="G772" s="5"/>
      <c r="H772" s="5"/>
      <c r="I772" s="5"/>
      <c r="J772" s="5"/>
      <c r="K772" s="5"/>
      <c r="L772" s="5"/>
      <c r="M772" s="5"/>
      <c r="N772" s="5"/>
      <c r="O772" s="5"/>
      <c r="P772" s="5"/>
      <c r="Q772" s="5"/>
      <c r="R772" s="5"/>
      <c r="S772" s="5"/>
      <c r="T772" s="5"/>
      <c r="U772" s="5"/>
      <c r="V772" s="5"/>
      <c r="Y772" s="5"/>
      <c r="Z772" s="5"/>
      <c r="AA772" s="5"/>
      <c r="AB772" s="5"/>
      <c r="AC772" s="5"/>
      <c r="AD772" s="5"/>
      <c r="AE772" s="5"/>
      <c r="AF772" s="5"/>
      <c r="AG772" s="5"/>
      <c r="AH772" s="5"/>
      <c r="AI772" s="5"/>
      <c r="AJ772" s="5"/>
      <c r="AK772" s="5"/>
      <c r="AL772" s="5"/>
      <c r="AM772" s="5"/>
      <c r="AN772" s="5"/>
    </row>
    <row r="773" spans="1:40" ht="18.75" customHeight="1">
      <c r="A773" s="5"/>
      <c r="B773" s="5"/>
      <c r="C773" s="5"/>
      <c r="D773" s="5"/>
      <c r="E773" s="5"/>
      <c r="F773" s="5"/>
      <c r="G773" s="5"/>
      <c r="H773" s="5"/>
      <c r="I773" s="5"/>
      <c r="J773" s="5"/>
      <c r="K773" s="5"/>
      <c r="L773" s="5"/>
      <c r="M773" s="5"/>
      <c r="N773" s="5"/>
      <c r="O773" s="5"/>
      <c r="P773" s="5"/>
      <c r="Q773" s="5"/>
      <c r="R773" s="5"/>
      <c r="S773" s="5"/>
      <c r="T773" s="5"/>
      <c r="U773" s="5"/>
      <c r="V773" s="5"/>
      <c r="Y773" s="5"/>
      <c r="Z773" s="5"/>
      <c r="AA773" s="5"/>
      <c r="AB773" s="5"/>
      <c r="AC773" s="5"/>
      <c r="AD773" s="5"/>
      <c r="AE773" s="5"/>
      <c r="AF773" s="5"/>
      <c r="AG773" s="5"/>
      <c r="AH773" s="5"/>
      <c r="AI773" s="5"/>
      <c r="AJ773" s="5"/>
      <c r="AK773" s="5"/>
      <c r="AL773" s="5"/>
      <c r="AM773" s="5"/>
      <c r="AN773" s="5"/>
    </row>
    <row r="774" spans="1:40" ht="18.75" customHeight="1">
      <c r="A774" s="5"/>
      <c r="B774" s="5"/>
      <c r="C774" s="5"/>
      <c r="D774" s="5"/>
      <c r="E774" s="5"/>
      <c r="F774" s="5"/>
      <c r="G774" s="5"/>
      <c r="H774" s="5"/>
      <c r="I774" s="5"/>
      <c r="J774" s="5"/>
      <c r="K774" s="5"/>
      <c r="L774" s="5"/>
      <c r="M774" s="5"/>
      <c r="N774" s="5"/>
      <c r="O774" s="5"/>
      <c r="P774" s="5"/>
      <c r="Q774" s="5"/>
      <c r="R774" s="5"/>
      <c r="S774" s="5"/>
      <c r="T774" s="5"/>
      <c r="U774" s="5"/>
      <c r="V774" s="5"/>
      <c r="Y774" s="5"/>
      <c r="Z774" s="5"/>
      <c r="AA774" s="5"/>
      <c r="AB774" s="5"/>
      <c r="AC774" s="5"/>
      <c r="AD774" s="5"/>
      <c r="AE774" s="5"/>
      <c r="AF774" s="5"/>
      <c r="AG774" s="5"/>
      <c r="AH774" s="5"/>
      <c r="AI774" s="5"/>
      <c r="AJ774" s="5"/>
      <c r="AK774" s="5"/>
      <c r="AL774" s="5"/>
      <c r="AM774" s="5"/>
      <c r="AN774" s="5"/>
    </row>
    <row r="775" spans="1:40" ht="18.75" customHeight="1">
      <c r="A775" s="5"/>
      <c r="B775" s="5"/>
      <c r="C775" s="5"/>
      <c r="D775" s="5"/>
      <c r="E775" s="5"/>
      <c r="F775" s="5"/>
      <c r="G775" s="5"/>
      <c r="H775" s="5"/>
      <c r="I775" s="5"/>
      <c r="J775" s="5"/>
      <c r="K775" s="5"/>
      <c r="L775" s="5"/>
      <c r="M775" s="5"/>
      <c r="N775" s="5"/>
      <c r="O775" s="5"/>
      <c r="P775" s="5"/>
      <c r="Q775" s="5"/>
      <c r="R775" s="5"/>
      <c r="S775" s="5"/>
      <c r="T775" s="5"/>
      <c r="U775" s="5"/>
      <c r="V775" s="5"/>
      <c r="Y775" s="5"/>
      <c r="Z775" s="5"/>
      <c r="AA775" s="5"/>
      <c r="AB775" s="5"/>
      <c r="AC775" s="5"/>
      <c r="AD775" s="5"/>
      <c r="AE775" s="5"/>
      <c r="AF775" s="5"/>
      <c r="AG775" s="5"/>
      <c r="AH775" s="5"/>
      <c r="AI775" s="5"/>
      <c r="AJ775" s="5"/>
      <c r="AK775" s="5"/>
      <c r="AL775" s="5"/>
      <c r="AM775" s="5"/>
      <c r="AN775" s="5"/>
    </row>
    <row r="776" spans="1:40" ht="18.75" customHeight="1">
      <c r="A776" s="5"/>
      <c r="B776" s="5"/>
      <c r="C776" s="5"/>
      <c r="D776" s="5"/>
      <c r="E776" s="5"/>
      <c r="F776" s="5"/>
      <c r="G776" s="5"/>
      <c r="H776" s="5"/>
      <c r="I776" s="5"/>
      <c r="J776" s="5"/>
      <c r="K776" s="5"/>
      <c r="L776" s="5"/>
      <c r="M776" s="5"/>
      <c r="N776" s="5"/>
      <c r="O776" s="5"/>
      <c r="P776" s="5"/>
      <c r="Q776" s="5"/>
      <c r="R776" s="5"/>
      <c r="S776" s="5"/>
      <c r="T776" s="5"/>
      <c r="U776" s="5"/>
      <c r="V776" s="5"/>
      <c r="Y776" s="5"/>
      <c r="Z776" s="5"/>
      <c r="AA776" s="5"/>
      <c r="AB776" s="5"/>
      <c r="AC776" s="5"/>
      <c r="AD776" s="5"/>
      <c r="AE776" s="5"/>
      <c r="AF776" s="5"/>
      <c r="AG776" s="5"/>
      <c r="AH776" s="5"/>
      <c r="AI776" s="5"/>
      <c r="AJ776" s="5"/>
      <c r="AK776" s="5"/>
      <c r="AL776" s="5"/>
      <c r="AM776" s="5"/>
      <c r="AN776" s="5"/>
    </row>
    <row r="777" spans="1:40" ht="18.75" customHeight="1">
      <c r="A777" s="5"/>
      <c r="B777" s="5"/>
      <c r="C777" s="5"/>
      <c r="D777" s="5"/>
      <c r="E777" s="5"/>
      <c r="F777" s="5"/>
      <c r="G777" s="5"/>
      <c r="H777" s="5"/>
      <c r="I777" s="5"/>
      <c r="J777" s="5"/>
      <c r="K777" s="5"/>
      <c r="L777" s="5"/>
      <c r="M777" s="5"/>
      <c r="N777" s="5"/>
      <c r="O777" s="5"/>
      <c r="P777" s="5"/>
      <c r="Q777" s="5"/>
      <c r="R777" s="5"/>
      <c r="S777" s="5"/>
      <c r="T777" s="5"/>
      <c r="U777" s="5"/>
      <c r="V777" s="5"/>
      <c r="Y777" s="5"/>
      <c r="Z777" s="5"/>
      <c r="AA777" s="5"/>
      <c r="AB777" s="5"/>
      <c r="AC777" s="5"/>
      <c r="AD777" s="5"/>
      <c r="AE777" s="5"/>
      <c r="AF777" s="5"/>
      <c r="AG777" s="5"/>
      <c r="AH777" s="5"/>
      <c r="AI777" s="5"/>
      <c r="AJ777" s="5"/>
      <c r="AK777" s="5"/>
      <c r="AL777" s="5"/>
      <c r="AM777" s="5"/>
      <c r="AN777" s="5"/>
    </row>
    <row r="778" spans="1:40" ht="18.75" customHeight="1">
      <c r="A778" s="5"/>
      <c r="B778" s="5"/>
      <c r="C778" s="5"/>
      <c r="D778" s="5"/>
      <c r="E778" s="5"/>
      <c r="F778" s="5"/>
      <c r="G778" s="5"/>
      <c r="H778" s="5"/>
      <c r="I778" s="5"/>
      <c r="J778" s="5"/>
      <c r="K778" s="5"/>
      <c r="L778" s="5"/>
      <c r="M778" s="5"/>
      <c r="N778" s="5"/>
      <c r="O778" s="5"/>
      <c r="P778" s="5"/>
      <c r="Q778" s="5"/>
      <c r="R778" s="5"/>
      <c r="S778" s="5"/>
      <c r="T778" s="5"/>
      <c r="U778" s="5"/>
      <c r="V778" s="5"/>
      <c r="Y778" s="5"/>
      <c r="Z778" s="5"/>
      <c r="AA778" s="5"/>
      <c r="AB778" s="5"/>
      <c r="AC778" s="5"/>
      <c r="AD778" s="5"/>
      <c r="AE778" s="5"/>
      <c r="AF778" s="5"/>
      <c r="AG778" s="5"/>
      <c r="AH778" s="5"/>
      <c r="AI778" s="5"/>
      <c r="AJ778" s="5"/>
      <c r="AK778" s="5"/>
      <c r="AL778" s="5"/>
      <c r="AM778" s="5"/>
      <c r="AN778" s="5"/>
    </row>
    <row r="779" spans="1:40" ht="18.75" customHeight="1">
      <c r="A779" s="5"/>
      <c r="B779" s="5"/>
      <c r="C779" s="5"/>
      <c r="D779" s="5"/>
      <c r="E779" s="5"/>
      <c r="F779" s="5"/>
      <c r="G779" s="5"/>
      <c r="H779" s="5"/>
      <c r="I779" s="5"/>
      <c r="J779" s="5"/>
      <c r="K779" s="5"/>
      <c r="L779" s="5"/>
      <c r="M779" s="5"/>
      <c r="N779" s="5"/>
      <c r="O779" s="5"/>
      <c r="P779" s="5"/>
      <c r="Q779" s="5"/>
      <c r="R779" s="5"/>
      <c r="S779" s="5"/>
      <c r="T779" s="5"/>
      <c r="U779" s="5"/>
      <c r="V779" s="5"/>
      <c r="Y779" s="5"/>
      <c r="Z779" s="5"/>
      <c r="AA779" s="5"/>
      <c r="AB779" s="5"/>
      <c r="AC779" s="5"/>
      <c r="AD779" s="5"/>
      <c r="AE779" s="5"/>
      <c r="AF779" s="5"/>
      <c r="AG779" s="5"/>
      <c r="AH779" s="5"/>
      <c r="AI779" s="5"/>
      <c r="AJ779" s="5"/>
      <c r="AK779" s="5"/>
      <c r="AL779" s="5"/>
      <c r="AM779" s="5"/>
      <c r="AN779" s="5"/>
    </row>
    <row r="780" spans="1:40" ht="18.75" customHeight="1">
      <c r="A780" s="5"/>
      <c r="B780" s="5"/>
      <c r="C780" s="5"/>
      <c r="D780" s="5"/>
      <c r="E780" s="5"/>
      <c r="F780" s="5"/>
      <c r="G780" s="5"/>
      <c r="H780" s="5"/>
      <c r="I780" s="5"/>
      <c r="J780" s="5"/>
      <c r="K780" s="5"/>
      <c r="L780" s="5"/>
      <c r="M780" s="5"/>
      <c r="N780" s="5"/>
      <c r="O780" s="5"/>
      <c r="P780" s="5"/>
      <c r="Q780" s="5"/>
      <c r="R780" s="5"/>
      <c r="S780" s="5"/>
      <c r="T780" s="5"/>
      <c r="U780" s="5"/>
      <c r="V780" s="5"/>
      <c r="Y780" s="5"/>
      <c r="Z780" s="5"/>
      <c r="AA780" s="5"/>
      <c r="AB780" s="5"/>
      <c r="AC780" s="5"/>
      <c r="AD780" s="5"/>
      <c r="AE780" s="5"/>
      <c r="AF780" s="5"/>
      <c r="AG780" s="5"/>
      <c r="AH780" s="5"/>
      <c r="AI780" s="5"/>
      <c r="AJ780" s="5"/>
      <c r="AK780" s="5"/>
      <c r="AL780" s="5"/>
      <c r="AM780" s="5"/>
      <c r="AN780" s="5"/>
    </row>
    <row r="781" spans="1:40" ht="18.75" customHeight="1">
      <c r="A781" s="5"/>
      <c r="B781" s="5"/>
      <c r="C781" s="5"/>
      <c r="D781" s="5"/>
      <c r="E781" s="5"/>
      <c r="F781" s="5"/>
      <c r="G781" s="5"/>
      <c r="H781" s="5"/>
      <c r="I781" s="5"/>
      <c r="J781" s="5"/>
      <c r="K781" s="5"/>
      <c r="L781" s="5"/>
      <c r="M781" s="5"/>
      <c r="N781" s="5"/>
      <c r="O781" s="5"/>
      <c r="P781" s="5"/>
      <c r="Q781" s="5"/>
      <c r="R781" s="5"/>
      <c r="S781" s="5"/>
      <c r="T781" s="5"/>
      <c r="U781" s="5"/>
      <c r="V781" s="5"/>
      <c r="Y781" s="5"/>
      <c r="Z781" s="5"/>
      <c r="AA781" s="5"/>
      <c r="AB781" s="5"/>
      <c r="AC781" s="5"/>
      <c r="AD781" s="5"/>
      <c r="AE781" s="5"/>
      <c r="AF781" s="5"/>
      <c r="AG781" s="5"/>
      <c r="AH781" s="5"/>
      <c r="AI781" s="5"/>
      <c r="AJ781" s="5"/>
      <c r="AK781" s="5"/>
      <c r="AL781" s="5"/>
      <c r="AM781" s="5"/>
      <c r="AN781" s="5"/>
    </row>
    <row r="782" spans="1:40" ht="18.75" customHeight="1">
      <c r="A782" s="5"/>
      <c r="B782" s="5"/>
      <c r="C782" s="5"/>
      <c r="D782" s="5"/>
      <c r="E782" s="5"/>
      <c r="F782" s="5"/>
      <c r="G782" s="5"/>
      <c r="H782" s="5"/>
      <c r="I782" s="5"/>
      <c r="J782" s="5"/>
      <c r="K782" s="5"/>
      <c r="L782" s="5"/>
      <c r="M782" s="5"/>
      <c r="N782" s="5"/>
      <c r="O782" s="5"/>
      <c r="P782" s="5"/>
      <c r="Q782" s="5"/>
      <c r="R782" s="5"/>
      <c r="S782" s="5"/>
      <c r="T782" s="5"/>
      <c r="U782" s="5"/>
      <c r="V782" s="5"/>
      <c r="Y782" s="5"/>
      <c r="Z782" s="5"/>
      <c r="AA782" s="5"/>
      <c r="AB782" s="5"/>
      <c r="AC782" s="5"/>
      <c r="AD782" s="5"/>
      <c r="AE782" s="5"/>
      <c r="AF782" s="5"/>
      <c r="AG782" s="5"/>
      <c r="AH782" s="5"/>
      <c r="AI782" s="5"/>
      <c r="AJ782" s="5"/>
      <c r="AK782" s="5"/>
      <c r="AL782" s="5"/>
      <c r="AM782" s="5"/>
      <c r="AN782" s="5"/>
    </row>
    <row r="783" spans="1:40" ht="18.75" customHeight="1">
      <c r="A783" s="5"/>
      <c r="B783" s="5"/>
      <c r="C783" s="5"/>
      <c r="D783" s="5"/>
      <c r="E783" s="5"/>
      <c r="F783" s="5"/>
      <c r="G783" s="5"/>
      <c r="H783" s="5"/>
      <c r="I783" s="5"/>
      <c r="J783" s="5"/>
      <c r="K783" s="5"/>
      <c r="L783" s="5"/>
      <c r="M783" s="5"/>
      <c r="N783" s="5"/>
      <c r="O783" s="5"/>
      <c r="P783" s="5"/>
      <c r="Q783" s="5"/>
      <c r="R783" s="5"/>
      <c r="S783" s="5"/>
      <c r="T783" s="5"/>
      <c r="U783" s="5"/>
      <c r="V783" s="5"/>
      <c r="Y783" s="5"/>
      <c r="Z783" s="5"/>
      <c r="AA783" s="5"/>
      <c r="AB783" s="5"/>
      <c r="AC783" s="5"/>
      <c r="AD783" s="5"/>
      <c r="AE783" s="5"/>
      <c r="AF783" s="5"/>
      <c r="AG783" s="5"/>
      <c r="AH783" s="5"/>
      <c r="AI783" s="5"/>
      <c r="AJ783" s="5"/>
      <c r="AK783" s="5"/>
      <c r="AL783" s="5"/>
      <c r="AM783" s="5"/>
      <c r="AN783" s="5"/>
    </row>
    <row r="784" spans="1:40" ht="18.75" customHeight="1">
      <c r="A784" s="5"/>
      <c r="B784" s="5"/>
      <c r="C784" s="5"/>
      <c r="D784" s="5"/>
      <c r="E784" s="5"/>
      <c r="F784" s="5"/>
      <c r="G784" s="5"/>
      <c r="H784" s="5"/>
      <c r="I784" s="5"/>
      <c r="J784" s="5"/>
      <c r="K784" s="5"/>
      <c r="L784" s="5"/>
      <c r="M784" s="5"/>
      <c r="N784" s="5"/>
      <c r="O784" s="5"/>
      <c r="P784" s="5"/>
      <c r="Q784" s="5"/>
      <c r="R784" s="5"/>
      <c r="S784" s="5"/>
      <c r="T784" s="5"/>
      <c r="U784" s="5"/>
      <c r="V784" s="5"/>
      <c r="Y784" s="5"/>
      <c r="Z784" s="5"/>
      <c r="AA784" s="5"/>
      <c r="AB784" s="5"/>
      <c r="AC784" s="5"/>
      <c r="AD784" s="5"/>
      <c r="AE784" s="5"/>
      <c r="AF784" s="5"/>
      <c r="AG784" s="5"/>
      <c r="AH784" s="5"/>
      <c r="AI784" s="5"/>
      <c r="AJ784" s="5"/>
      <c r="AK784" s="5"/>
      <c r="AL784" s="5"/>
      <c r="AM784" s="5"/>
      <c r="AN784" s="5"/>
    </row>
    <row r="785" spans="1:40" ht="18.75" customHeight="1">
      <c r="A785" s="5"/>
      <c r="B785" s="5"/>
      <c r="C785" s="5"/>
      <c r="D785" s="5"/>
      <c r="E785" s="5"/>
      <c r="F785" s="5"/>
      <c r="G785" s="5"/>
      <c r="H785" s="5"/>
      <c r="I785" s="5"/>
      <c r="J785" s="5"/>
      <c r="K785" s="5"/>
      <c r="L785" s="5"/>
      <c r="M785" s="5"/>
      <c r="N785" s="5"/>
      <c r="O785" s="5"/>
      <c r="P785" s="5"/>
      <c r="Q785" s="5"/>
      <c r="R785" s="5"/>
      <c r="S785" s="5"/>
      <c r="T785" s="5"/>
      <c r="U785" s="5"/>
      <c r="V785" s="5"/>
      <c r="Y785" s="5"/>
      <c r="Z785" s="5"/>
      <c r="AA785" s="5"/>
      <c r="AB785" s="5"/>
      <c r="AC785" s="5"/>
      <c r="AD785" s="5"/>
      <c r="AE785" s="5"/>
      <c r="AF785" s="5"/>
      <c r="AG785" s="5"/>
      <c r="AH785" s="5"/>
      <c r="AI785" s="5"/>
      <c r="AJ785" s="5"/>
      <c r="AK785" s="5"/>
      <c r="AL785" s="5"/>
      <c r="AM785" s="5"/>
      <c r="AN785" s="5"/>
    </row>
    <row r="786" spans="1:40" ht="18.75" customHeight="1">
      <c r="A786" s="5"/>
      <c r="B786" s="5"/>
      <c r="C786" s="5"/>
      <c r="D786" s="5"/>
      <c r="E786" s="5"/>
      <c r="F786" s="5"/>
      <c r="G786" s="5"/>
      <c r="H786" s="5"/>
      <c r="I786" s="5"/>
      <c r="J786" s="5"/>
      <c r="K786" s="5"/>
      <c r="L786" s="5"/>
      <c r="M786" s="5"/>
      <c r="N786" s="5"/>
      <c r="O786" s="5"/>
      <c r="P786" s="5"/>
      <c r="Q786" s="5"/>
      <c r="R786" s="5"/>
      <c r="S786" s="5"/>
      <c r="T786" s="5"/>
      <c r="U786" s="5"/>
      <c r="V786" s="5"/>
      <c r="Y786" s="5"/>
      <c r="Z786" s="5"/>
      <c r="AA786" s="5"/>
      <c r="AB786" s="5"/>
      <c r="AC786" s="5"/>
      <c r="AD786" s="5"/>
      <c r="AE786" s="5"/>
      <c r="AF786" s="5"/>
      <c r="AG786" s="5"/>
      <c r="AH786" s="5"/>
      <c r="AI786" s="5"/>
      <c r="AJ786" s="5"/>
      <c r="AK786" s="5"/>
      <c r="AL786" s="5"/>
      <c r="AM786" s="5"/>
      <c r="AN786" s="5"/>
    </row>
    <row r="787" spans="1:40" ht="18.75" customHeight="1">
      <c r="A787" s="5"/>
      <c r="B787" s="5"/>
      <c r="C787" s="5"/>
      <c r="D787" s="5"/>
      <c r="E787" s="5"/>
      <c r="F787" s="5"/>
      <c r="G787" s="5"/>
      <c r="H787" s="5"/>
      <c r="I787" s="5"/>
      <c r="J787" s="5"/>
      <c r="K787" s="5"/>
      <c r="L787" s="5"/>
      <c r="M787" s="5"/>
      <c r="N787" s="5"/>
      <c r="O787" s="5"/>
      <c r="P787" s="5"/>
      <c r="Q787" s="5"/>
      <c r="R787" s="5"/>
      <c r="S787" s="5"/>
      <c r="T787" s="5"/>
      <c r="U787" s="5"/>
      <c r="V787" s="5"/>
      <c r="Y787" s="5"/>
      <c r="Z787" s="5"/>
      <c r="AA787" s="5"/>
      <c r="AB787" s="5"/>
      <c r="AC787" s="5"/>
      <c r="AD787" s="5"/>
      <c r="AE787" s="5"/>
      <c r="AF787" s="5"/>
      <c r="AG787" s="5"/>
      <c r="AH787" s="5"/>
      <c r="AI787" s="5"/>
      <c r="AJ787" s="5"/>
      <c r="AK787" s="5"/>
      <c r="AL787" s="5"/>
      <c r="AM787" s="5"/>
      <c r="AN787" s="5"/>
    </row>
    <row r="788" spans="1:40" ht="18.75" customHeight="1">
      <c r="A788" s="5"/>
      <c r="B788" s="5"/>
      <c r="C788" s="5"/>
      <c r="D788" s="5"/>
      <c r="E788" s="5"/>
      <c r="F788" s="5"/>
      <c r="G788" s="5"/>
      <c r="H788" s="5"/>
      <c r="I788" s="5"/>
      <c r="J788" s="5"/>
      <c r="K788" s="5"/>
      <c r="L788" s="5"/>
      <c r="M788" s="5"/>
      <c r="N788" s="5"/>
      <c r="O788" s="5"/>
      <c r="P788" s="5"/>
      <c r="Q788" s="5"/>
      <c r="R788" s="5"/>
      <c r="S788" s="5"/>
      <c r="T788" s="5"/>
      <c r="U788" s="5"/>
      <c r="V788" s="5"/>
      <c r="Y788" s="5"/>
      <c r="Z788" s="5"/>
      <c r="AA788" s="5"/>
      <c r="AB788" s="5"/>
      <c r="AC788" s="5"/>
      <c r="AD788" s="5"/>
      <c r="AE788" s="5"/>
      <c r="AF788" s="5"/>
      <c r="AG788" s="5"/>
      <c r="AH788" s="5"/>
      <c r="AI788" s="5"/>
      <c r="AJ788" s="5"/>
      <c r="AK788" s="5"/>
      <c r="AL788" s="5"/>
      <c r="AM788" s="5"/>
      <c r="AN788" s="5"/>
    </row>
    <row r="789" spans="1:40" ht="18.75" customHeight="1">
      <c r="A789" s="5"/>
      <c r="B789" s="5"/>
      <c r="C789" s="5"/>
      <c r="D789" s="5"/>
      <c r="E789" s="5"/>
      <c r="F789" s="5"/>
      <c r="G789" s="5"/>
      <c r="H789" s="5"/>
      <c r="I789" s="5"/>
      <c r="J789" s="5"/>
      <c r="K789" s="5"/>
      <c r="L789" s="5"/>
      <c r="M789" s="5"/>
      <c r="N789" s="5"/>
      <c r="O789" s="5"/>
      <c r="P789" s="5"/>
      <c r="Q789" s="5"/>
      <c r="R789" s="5"/>
      <c r="S789" s="5"/>
      <c r="T789" s="5"/>
      <c r="U789" s="5"/>
      <c r="V789" s="5"/>
      <c r="Y789" s="5"/>
      <c r="Z789" s="5"/>
      <c r="AA789" s="5"/>
      <c r="AB789" s="5"/>
      <c r="AC789" s="5"/>
      <c r="AD789" s="5"/>
      <c r="AE789" s="5"/>
      <c r="AF789" s="5"/>
      <c r="AG789" s="5"/>
      <c r="AH789" s="5"/>
      <c r="AI789" s="5"/>
      <c r="AJ789" s="5"/>
      <c r="AK789" s="5"/>
      <c r="AL789" s="5"/>
      <c r="AM789" s="5"/>
      <c r="AN789" s="5"/>
    </row>
    <row r="790" spans="1:40" ht="18.75" customHeight="1">
      <c r="A790" s="5"/>
      <c r="B790" s="5"/>
      <c r="C790" s="5"/>
      <c r="D790" s="5"/>
      <c r="E790" s="5"/>
      <c r="F790" s="5"/>
      <c r="G790" s="5"/>
      <c r="H790" s="5"/>
      <c r="I790" s="5"/>
      <c r="J790" s="5"/>
      <c r="K790" s="5"/>
      <c r="L790" s="5"/>
      <c r="M790" s="5"/>
      <c r="N790" s="5"/>
      <c r="O790" s="5"/>
      <c r="P790" s="5"/>
      <c r="Q790" s="5"/>
      <c r="R790" s="5"/>
      <c r="S790" s="5"/>
      <c r="T790" s="5"/>
      <c r="U790" s="5"/>
      <c r="V790" s="5"/>
      <c r="Y790" s="5"/>
      <c r="Z790" s="5"/>
      <c r="AA790" s="5"/>
      <c r="AB790" s="5"/>
      <c r="AC790" s="5"/>
      <c r="AD790" s="5"/>
      <c r="AE790" s="5"/>
      <c r="AF790" s="5"/>
      <c r="AG790" s="5"/>
      <c r="AH790" s="5"/>
      <c r="AI790" s="5"/>
      <c r="AJ790" s="5"/>
      <c r="AK790" s="5"/>
      <c r="AL790" s="5"/>
      <c r="AM790" s="5"/>
      <c r="AN790" s="5"/>
    </row>
    <row r="791" spans="1:40" ht="18.75" customHeight="1">
      <c r="A791" s="5"/>
      <c r="B791" s="5"/>
      <c r="C791" s="5"/>
      <c r="D791" s="5"/>
      <c r="E791" s="5"/>
      <c r="F791" s="5"/>
      <c r="G791" s="5"/>
      <c r="H791" s="5"/>
      <c r="I791" s="5"/>
      <c r="J791" s="5"/>
      <c r="K791" s="5"/>
      <c r="L791" s="5"/>
      <c r="M791" s="5"/>
      <c r="N791" s="5"/>
      <c r="O791" s="5"/>
      <c r="P791" s="5"/>
      <c r="Q791" s="5"/>
      <c r="R791" s="5"/>
      <c r="S791" s="5"/>
      <c r="T791" s="5"/>
      <c r="U791" s="5"/>
      <c r="V791" s="5"/>
      <c r="Y791" s="5"/>
      <c r="Z791" s="5"/>
      <c r="AA791" s="5"/>
      <c r="AB791" s="5"/>
      <c r="AC791" s="5"/>
      <c r="AD791" s="5"/>
      <c r="AE791" s="5"/>
      <c r="AF791" s="5"/>
      <c r="AG791" s="5"/>
      <c r="AH791" s="5"/>
      <c r="AI791" s="5"/>
      <c r="AJ791" s="5"/>
      <c r="AK791" s="5"/>
      <c r="AL791" s="5"/>
      <c r="AM791" s="5"/>
      <c r="AN791" s="5"/>
    </row>
    <row r="792" spans="1:40" ht="18.75" customHeight="1">
      <c r="A792" s="5"/>
      <c r="B792" s="5"/>
      <c r="C792" s="5"/>
      <c r="D792" s="5"/>
      <c r="E792" s="5"/>
      <c r="F792" s="5"/>
      <c r="G792" s="5"/>
      <c r="H792" s="5"/>
      <c r="I792" s="5"/>
      <c r="J792" s="5"/>
      <c r="K792" s="5"/>
      <c r="L792" s="5"/>
      <c r="M792" s="5"/>
      <c r="N792" s="5"/>
      <c r="O792" s="5"/>
      <c r="P792" s="5"/>
      <c r="Q792" s="5"/>
      <c r="R792" s="5"/>
      <c r="S792" s="5"/>
      <c r="T792" s="5"/>
      <c r="U792" s="5"/>
      <c r="V792" s="5"/>
      <c r="Y792" s="5"/>
      <c r="Z792" s="5"/>
      <c r="AA792" s="5"/>
      <c r="AB792" s="5"/>
      <c r="AC792" s="5"/>
      <c r="AD792" s="5"/>
      <c r="AE792" s="5"/>
      <c r="AF792" s="5"/>
      <c r="AG792" s="5"/>
      <c r="AH792" s="5"/>
      <c r="AI792" s="5"/>
      <c r="AJ792" s="5"/>
      <c r="AK792" s="5"/>
      <c r="AL792" s="5"/>
      <c r="AM792" s="5"/>
      <c r="AN792" s="5"/>
    </row>
    <row r="793" spans="1:40" ht="18.75" customHeight="1">
      <c r="A793" s="5"/>
      <c r="B793" s="5"/>
      <c r="C793" s="5"/>
      <c r="D793" s="5"/>
      <c r="E793" s="5"/>
      <c r="F793" s="5"/>
      <c r="G793" s="5"/>
      <c r="H793" s="5"/>
      <c r="I793" s="5"/>
      <c r="J793" s="5"/>
      <c r="K793" s="5"/>
      <c r="L793" s="5"/>
      <c r="M793" s="5"/>
      <c r="N793" s="5"/>
      <c r="O793" s="5"/>
      <c r="P793" s="5"/>
      <c r="Q793" s="5"/>
      <c r="R793" s="5"/>
      <c r="S793" s="5"/>
      <c r="T793" s="5"/>
      <c r="U793" s="5"/>
      <c r="V793" s="5"/>
      <c r="Y793" s="5"/>
      <c r="Z793" s="5"/>
      <c r="AA793" s="5"/>
      <c r="AB793" s="5"/>
      <c r="AC793" s="5"/>
      <c r="AD793" s="5"/>
      <c r="AE793" s="5"/>
      <c r="AF793" s="5"/>
      <c r="AG793" s="5"/>
      <c r="AH793" s="5"/>
      <c r="AI793" s="5"/>
      <c r="AJ793" s="5"/>
      <c r="AK793" s="5"/>
      <c r="AL793" s="5"/>
      <c r="AM793" s="5"/>
      <c r="AN793" s="5"/>
    </row>
    <row r="794" spans="1:40" ht="18.75" customHeight="1">
      <c r="A794" s="5"/>
      <c r="B794" s="5"/>
      <c r="C794" s="5"/>
      <c r="D794" s="5"/>
      <c r="E794" s="5"/>
      <c r="F794" s="5"/>
      <c r="G794" s="5"/>
      <c r="H794" s="5"/>
      <c r="I794" s="5"/>
      <c r="J794" s="5"/>
      <c r="K794" s="5"/>
      <c r="L794" s="5"/>
      <c r="M794" s="5"/>
      <c r="N794" s="5"/>
      <c r="O794" s="5"/>
      <c r="P794" s="5"/>
      <c r="Q794" s="5"/>
      <c r="R794" s="5"/>
      <c r="S794" s="5"/>
      <c r="T794" s="5"/>
      <c r="U794" s="5"/>
      <c r="V794" s="5"/>
      <c r="Y794" s="5"/>
      <c r="Z794" s="5"/>
      <c r="AA794" s="5"/>
      <c r="AB794" s="5"/>
      <c r="AC794" s="5"/>
      <c r="AD794" s="5"/>
      <c r="AE794" s="5"/>
      <c r="AF794" s="5"/>
      <c r="AG794" s="5"/>
      <c r="AH794" s="5"/>
      <c r="AI794" s="5"/>
      <c r="AJ794" s="5"/>
      <c r="AK794" s="5"/>
      <c r="AL794" s="5"/>
      <c r="AM794" s="5"/>
      <c r="AN794" s="5"/>
    </row>
    <row r="795" spans="1:40" ht="18.75" customHeight="1">
      <c r="A795" s="5"/>
      <c r="B795" s="5"/>
      <c r="C795" s="5"/>
      <c r="D795" s="5"/>
      <c r="E795" s="5"/>
      <c r="F795" s="5"/>
      <c r="G795" s="5"/>
      <c r="H795" s="5"/>
      <c r="I795" s="5"/>
      <c r="J795" s="5"/>
      <c r="K795" s="5"/>
      <c r="L795" s="5"/>
      <c r="M795" s="5"/>
      <c r="N795" s="5"/>
      <c r="O795" s="5"/>
      <c r="P795" s="5"/>
      <c r="Q795" s="5"/>
      <c r="R795" s="5"/>
      <c r="S795" s="5"/>
      <c r="T795" s="5"/>
      <c r="U795" s="5"/>
      <c r="V795" s="5"/>
      <c r="Y795" s="5"/>
      <c r="Z795" s="5"/>
      <c r="AA795" s="5"/>
      <c r="AB795" s="5"/>
      <c r="AC795" s="5"/>
      <c r="AD795" s="5"/>
      <c r="AE795" s="5"/>
      <c r="AF795" s="5"/>
      <c r="AG795" s="5"/>
      <c r="AH795" s="5"/>
      <c r="AI795" s="5"/>
      <c r="AJ795" s="5"/>
      <c r="AK795" s="5"/>
      <c r="AL795" s="5"/>
      <c r="AM795" s="5"/>
      <c r="AN795" s="5"/>
    </row>
    <row r="796" spans="1:40" ht="18.75" customHeight="1">
      <c r="A796" s="5"/>
      <c r="B796" s="5"/>
      <c r="C796" s="5"/>
      <c r="D796" s="5"/>
      <c r="E796" s="5"/>
      <c r="F796" s="5"/>
      <c r="G796" s="5"/>
      <c r="H796" s="5"/>
      <c r="I796" s="5"/>
      <c r="J796" s="5"/>
      <c r="K796" s="5"/>
      <c r="L796" s="5"/>
      <c r="M796" s="5"/>
      <c r="N796" s="5"/>
      <c r="O796" s="5"/>
      <c r="P796" s="5"/>
      <c r="Q796" s="5"/>
      <c r="R796" s="5"/>
      <c r="S796" s="5"/>
      <c r="T796" s="5"/>
      <c r="U796" s="5"/>
      <c r="V796" s="5"/>
      <c r="Y796" s="5"/>
      <c r="Z796" s="5"/>
      <c r="AA796" s="5"/>
      <c r="AB796" s="5"/>
      <c r="AC796" s="5"/>
      <c r="AD796" s="5"/>
      <c r="AE796" s="5"/>
      <c r="AF796" s="5"/>
      <c r="AG796" s="5"/>
      <c r="AH796" s="5"/>
      <c r="AI796" s="5"/>
      <c r="AJ796" s="5"/>
      <c r="AK796" s="5"/>
      <c r="AL796" s="5"/>
      <c r="AM796" s="5"/>
      <c r="AN796" s="5"/>
    </row>
    <row r="797" spans="1:40" ht="18.75" customHeight="1">
      <c r="A797" s="5"/>
      <c r="B797" s="5"/>
      <c r="C797" s="5"/>
      <c r="D797" s="5"/>
      <c r="E797" s="5"/>
      <c r="F797" s="5"/>
      <c r="G797" s="5"/>
      <c r="H797" s="5"/>
      <c r="I797" s="5"/>
      <c r="J797" s="5"/>
      <c r="K797" s="5"/>
      <c r="L797" s="5"/>
      <c r="M797" s="5"/>
      <c r="N797" s="5"/>
      <c r="O797" s="5"/>
      <c r="P797" s="5"/>
      <c r="Q797" s="5"/>
      <c r="R797" s="5"/>
      <c r="S797" s="5"/>
      <c r="T797" s="5"/>
      <c r="U797" s="5"/>
      <c r="V797" s="5"/>
      <c r="Y797" s="5"/>
      <c r="Z797" s="5"/>
      <c r="AA797" s="5"/>
      <c r="AB797" s="5"/>
      <c r="AC797" s="5"/>
      <c r="AD797" s="5"/>
      <c r="AE797" s="5"/>
      <c r="AF797" s="5"/>
      <c r="AG797" s="5"/>
      <c r="AH797" s="5"/>
      <c r="AI797" s="5"/>
      <c r="AJ797" s="5"/>
      <c r="AK797" s="5"/>
      <c r="AL797" s="5"/>
      <c r="AM797" s="5"/>
      <c r="AN797" s="5"/>
    </row>
    <row r="798" spans="1:40" ht="18.75" customHeight="1">
      <c r="A798" s="5"/>
      <c r="B798" s="5"/>
      <c r="C798" s="5"/>
      <c r="D798" s="5"/>
      <c r="E798" s="5"/>
      <c r="F798" s="5"/>
      <c r="G798" s="5"/>
      <c r="H798" s="5"/>
      <c r="I798" s="5"/>
      <c r="J798" s="5"/>
      <c r="K798" s="5"/>
      <c r="L798" s="5"/>
      <c r="M798" s="5"/>
      <c r="N798" s="5"/>
      <c r="O798" s="5"/>
      <c r="P798" s="5"/>
      <c r="Q798" s="5"/>
      <c r="R798" s="5"/>
      <c r="S798" s="5"/>
      <c r="T798" s="5"/>
      <c r="U798" s="5"/>
      <c r="V798" s="5"/>
      <c r="Y798" s="5"/>
      <c r="Z798" s="5"/>
      <c r="AA798" s="5"/>
      <c r="AB798" s="5"/>
      <c r="AC798" s="5"/>
      <c r="AD798" s="5"/>
      <c r="AE798" s="5"/>
      <c r="AF798" s="5"/>
      <c r="AG798" s="5"/>
      <c r="AH798" s="5"/>
      <c r="AI798" s="5"/>
      <c r="AJ798" s="5"/>
      <c r="AK798" s="5"/>
      <c r="AL798" s="5"/>
      <c r="AM798" s="5"/>
      <c r="AN798" s="5"/>
    </row>
    <row r="799" spans="1:40" ht="18.75" customHeight="1">
      <c r="A799" s="5"/>
      <c r="B799" s="5"/>
      <c r="C799" s="5"/>
      <c r="D799" s="5"/>
      <c r="E799" s="5"/>
      <c r="F799" s="5"/>
      <c r="G799" s="5"/>
      <c r="H799" s="5"/>
      <c r="I799" s="5"/>
      <c r="J799" s="5"/>
      <c r="K799" s="5"/>
      <c r="L799" s="5"/>
      <c r="M799" s="5"/>
      <c r="N799" s="5"/>
      <c r="O799" s="5"/>
      <c r="P799" s="5"/>
      <c r="Q799" s="5"/>
      <c r="R799" s="5"/>
      <c r="S799" s="5"/>
      <c r="T799" s="5"/>
      <c r="U799" s="5"/>
      <c r="V799" s="5"/>
      <c r="Y799" s="5"/>
      <c r="Z799" s="5"/>
      <c r="AA799" s="5"/>
      <c r="AB799" s="5"/>
      <c r="AC799" s="5"/>
      <c r="AD799" s="5"/>
      <c r="AE799" s="5"/>
      <c r="AF799" s="5"/>
      <c r="AG799" s="5"/>
      <c r="AH799" s="5"/>
      <c r="AI799" s="5"/>
      <c r="AJ799" s="5"/>
      <c r="AK799" s="5"/>
      <c r="AL799" s="5"/>
      <c r="AM799" s="5"/>
      <c r="AN799" s="5"/>
    </row>
    <row r="800" spans="1:40" ht="18.75" customHeight="1">
      <c r="A800" s="5"/>
      <c r="B800" s="5"/>
      <c r="C800" s="5"/>
      <c r="D800" s="5"/>
      <c r="E800" s="5"/>
      <c r="F800" s="5"/>
      <c r="G800" s="5"/>
      <c r="H800" s="5"/>
      <c r="I800" s="5"/>
      <c r="J800" s="5"/>
      <c r="K800" s="5"/>
      <c r="L800" s="5"/>
      <c r="M800" s="5"/>
      <c r="N800" s="5"/>
      <c r="O800" s="5"/>
      <c r="P800" s="5"/>
      <c r="Q800" s="5"/>
      <c r="R800" s="5"/>
      <c r="S800" s="5"/>
      <c r="T800" s="5"/>
      <c r="U800" s="5"/>
      <c r="V800" s="5"/>
      <c r="Y800" s="5"/>
      <c r="Z800" s="5"/>
      <c r="AA800" s="5"/>
      <c r="AB800" s="5"/>
      <c r="AC800" s="5"/>
      <c r="AD800" s="5"/>
      <c r="AE800" s="5"/>
      <c r="AF800" s="5"/>
      <c r="AG800" s="5"/>
      <c r="AH800" s="5"/>
      <c r="AI800" s="5"/>
      <c r="AJ800" s="5"/>
      <c r="AK800" s="5"/>
      <c r="AL800" s="5"/>
      <c r="AM800" s="5"/>
      <c r="AN800" s="5"/>
    </row>
    <row r="801" spans="1:40" ht="18.75" customHeight="1">
      <c r="A801" s="5"/>
      <c r="B801" s="5"/>
      <c r="C801" s="5"/>
      <c r="D801" s="5"/>
      <c r="E801" s="5"/>
      <c r="F801" s="5"/>
      <c r="G801" s="5"/>
      <c r="H801" s="5"/>
      <c r="I801" s="5"/>
      <c r="J801" s="5"/>
      <c r="K801" s="5"/>
      <c r="L801" s="5"/>
      <c r="M801" s="5"/>
      <c r="N801" s="5"/>
      <c r="O801" s="5"/>
      <c r="P801" s="5"/>
      <c r="Q801" s="5"/>
      <c r="R801" s="5"/>
      <c r="S801" s="5"/>
      <c r="T801" s="5"/>
      <c r="U801" s="5"/>
      <c r="V801" s="5"/>
      <c r="Y801" s="5"/>
      <c r="Z801" s="5"/>
      <c r="AA801" s="5"/>
      <c r="AB801" s="5"/>
      <c r="AC801" s="5"/>
      <c r="AD801" s="5"/>
      <c r="AE801" s="5"/>
      <c r="AF801" s="5"/>
      <c r="AG801" s="5"/>
      <c r="AH801" s="5"/>
      <c r="AI801" s="5"/>
      <c r="AJ801" s="5"/>
      <c r="AK801" s="5"/>
      <c r="AL801" s="5"/>
      <c r="AM801" s="5"/>
      <c r="AN801" s="5"/>
    </row>
    <row r="802" spans="1:40" ht="18.75" customHeight="1">
      <c r="A802" s="5"/>
      <c r="B802" s="5"/>
      <c r="C802" s="5"/>
      <c r="D802" s="5"/>
      <c r="E802" s="5"/>
      <c r="F802" s="5"/>
      <c r="G802" s="5"/>
      <c r="H802" s="5"/>
      <c r="I802" s="5"/>
      <c r="J802" s="5"/>
      <c r="K802" s="5"/>
      <c r="L802" s="5"/>
      <c r="M802" s="5"/>
      <c r="N802" s="5"/>
      <c r="O802" s="5"/>
      <c r="P802" s="5"/>
      <c r="Q802" s="5"/>
      <c r="R802" s="5"/>
      <c r="S802" s="5"/>
      <c r="T802" s="5"/>
      <c r="U802" s="5"/>
      <c r="V802" s="5"/>
      <c r="Y802" s="5"/>
      <c r="Z802" s="5"/>
      <c r="AA802" s="5"/>
      <c r="AB802" s="5"/>
      <c r="AC802" s="5"/>
      <c r="AD802" s="5"/>
      <c r="AE802" s="5"/>
      <c r="AF802" s="5"/>
      <c r="AG802" s="5"/>
      <c r="AH802" s="5"/>
      <c r="AI802" s="5"/>
      <c r="AJ802" s="5"/>
      <c r="AK802" s="5"/>
      <c r="AL802" s="5"/>
      <c r="AM802" s="5"/>
      <c r="AN802" s="5"/>
    </row>
    <row r="803" spans="1:40" ht="18.75" customHeight="1">
      <c r="A803" s="5"/>
      <c r="B803" s="5"/>
      <c r="C803" s="5"/>
      <c r="D803" s="5"/>
      <c r="E803" s="5"/>
      <c r="F803" s="5"/>
      <c r="G803" s="5"/>
      <c r="H803" s="5"/>
      <c r="I803" s="5"/>
      <c r="J803" s="5"/>
      <c r="K803" s="5"/>
      <c r="L803" s="5"/>
      <c r="M803" s="5"/>
      <c r="N803" s="5"/>
      <c r="O803" s="5"/>
      <c r="P803" s="5"/>
      <c r="Q803" s="5"/>
      <c r="R803" s="5"/>
      <c r="S803" s="5"/>
      <c r="T803" s="5"/>
      <c r="U803" s="5"/>
      <c r="V803" s="5"/>
      <c r="Y803" s="5"/>
      <c r="Z803" s="5"/>
      <c r="AA803" s="5"/>
      <c r="AB803" s="5"/>
      <c r="AC803" s="5"/>
      <c r="AD803" s="5"/>
      <c r="AE803" s="5"/>
      <c r="AF803" s="5"/>
      <c r="AG803" s="5"/>
      <c r="AH803" s="5"/>
      <c r="AI803" s="5"/>
      <c r="AJ803" s="5"/>
      <c r="AK803" s="5"/>
      <c r="AL803" s="5"/>
      <c r="AM803" s="5"/>
      <c r="AN803" s="5"/>
    </row>
    <row r="804" spans="1:40" ht="18.75" customHeight="1">
      <c r="A804" s="5"/>
      <c r="B804" s="5"/>
      <c r="C804" s="5"/>
      <c r="D804" s="5"/>
      <c r="E804" s="5"/>
      <c r="F804" s="5"/>
      <c r="G804" s="5"/>
      <c r="H804" s="5"/>
      <c r="I804" s="5"/>
      <c r="J804" s="5"/>
      <c r="K804" s="5"/>
      <c r="L804" s="5"/>
      <c r="M804" s="5"/>
      <c r="N804" s="5"/>
      <c r="O804" s="5"/>
      <c r="P804" s="5"/>
      <c r="Q804" s="5"/>
      <c r="R804" s="5"/>
      <c r="S804" s="5"/>
      <c r="T804" s="5"/>
      <c r="U804" s="5"/>
      <c r="V804" s="5"/>
      <c r="Y804" s="5"/>
      <c r="Z804" s="5"/>
      <c r="AA804" s="5"/>
      <c r="AB804" s="5"/>
      <c r="AC804" s="5"/>
      <c r="AD804" s="5"/>
      <c r="AE804" s="5"/>
      <c r="AF804" s="5"/>
      <c r="AG804" s="5"/>
      <c r="AH804" s="5"/>
      <c r="AI804" s="5"/>
      <c r="AJ804" s="5"/>
      <c r="AK804" s="5"/>
      <c r="AL804" s="5"/>
      <c r="AM804" s="5"/>
      <c r="AN804" s="5"/>
    </row>
    <row r="805" spans="1:40" ht="18.75" customHeight="1">
      <c r="A805" s="5"/>
      <c r="B805" s="5"/>
      <c r="C805" s="5"/>
      <c r="D805" s="5"/>
      <c r="E805" s="5"/>
      <c r="F805" s="5"/>
      <c r="G805" s="5"/>
      <c r="H805" s="5"/>
      <c r="I805" s="5"/>
      <c r="J805" s="5"/>
      <c r="K805" s="5"/>
      <c r="L805" s="5"/>
      <c r="M805" s="5"/>
      <c r="N805" s="5"/>
      <c r="O805" s="5"/>
      <c r="P805" s="5"/>
      <c r="Q805" s="5"/>
      <c r="R805" s="5"/>
      <c r="S805" s="5"/>
      <c r="T805" s="5"/>
      <c r="U805" s="5"/>
      <c r="V805" s="5"/>
      <c r="Y805" s="5"/>
      <c r="Z805" s="5"/>
      <c r="AA805" s="5"/>
      <c r="AB805" s="5"/>
      <c r="AC805" s="5"/>
      <c r="AD805" s="5"/>
      <c r="AE805" s="5"/>
      <c r="AF805" s="5"/>
      <c r="AG805" s="5"/>
      <c r="AH805" s="5"/>
      <c r="AI805" s="5"/>
      <c r="AJ805" s="5"/>
      <c r="AK805" s="5"/>
      <c r="AL805" s="5"/>
      <c r="AM805" s="5"/>
      <c r="AN805" s="5"/>
    </row>
    <row r="806" spans="1:40" ht="18.75" customHeight="1">
      <c r="A806" s="5"/>
      <c r="B806" s="5"/>
      <c r="C806" s="5"/>
      <c r="D806" s="5"/>
      <c r="E806" s="5"/>
      <c r="F806" s="5"/>
      <c r="G806" s="5"/>
      <c r="H806" s="5"/>
      <c r="I806" s="5"/>
      <c r="J806" s="5"/>
      <c r="K806" s="5"/>
      <c r="L806" s="5"/>
      <c r="M806" s="5"/>
      <c r="N806" s="5"/>
      <c r="O806" s="5"/>
      <c r="P806" s="5"/>
      <c r="Q806" s="5"/>
      <c r="R806" s="5"/>
      <c r="S806" s="5"/>
      <c r="T806" s="5"/>
      <c r="U806" s="5"/>
      <c r="V806" s="5"/>
      <c r="Y806" s="5"/>
      <c r="Z806" s="5"/>
      <c r="AA806" s="5"/>
      <c r="AB806" s="5"/>
      <c r="AC806" s="5"/>
      <c r="AD806" s="5"/>
      <c r="AE806" s="5"/>
      <c r="AF806" s="5"/>
      <c r="AG806" s="5"/>
      <c r="AH806" s="5"/>
      <c r="AI806" s="5"/>
      <c r="AJ806" s="5"/>
      <c r="AK806" s="5"/>
      <c r="AL806" s="5"/>
      <c r="AM806" s="5"/>
      <c r="AN806" s="5"/>
    </row>
    <row r="807" spans="1:40" ht="18.75" customHeight="1">
      <c r="A807" s="5"/>
      <c r="B807" s="5"/>
      <c r="C807" s="5"/>
      <c r="D807" s="5"/>
      <c r="E807" s="5"/>
      <c r="F807" s="5"/>
      <c r="G807" s="5"/>
      <c r="H807" s="5"/>
      <c r="I807" s="5"/>
      <c r="J807" s="5"/>
      <c r="K807" s="5"/>
      <c r="L807" s="5"/>
      <c r="M807" s="5"/>
      <c r="N807" s="5"/>
      <c r="O807" s="5"/>
      <c r="P807" s="5"/>
      <c r="Q807" s="5"/>
      <c r="R807" s="5"/>
      <c r="S807" s="5"/>
      <c r="T807" s="5"/>
      <c r="U807" s="5"/>
      <c r="V807" s="5"/>
      <c r="Y807" s="5"/>
      <c r="Z807" s="5"/>
      <c r="AA807" s="5"/>
      <c r="AB807" s="5"/>
      <c r="AC807" s="5"/>
      <c r="AD807" s="5"/>
      <c r="AE807" s="5"/>
      <c r="AF807" s="5"/>
      <c r="AG807" s="5"/>
      <c r="AH807" s="5"/>
      <c r="AI807" s="5"/>
      <c r="AJ807" s="5"/>
      <c r="AK807" s="5"/>
      <c r="AL807" s="5"/>
      <c r="AM807" s="5"/>
      <c r="AN807" s="5"/>
    </row>
    <row r="808" spans="1:40" ht="18.75" customHeight="1">
      <c r="A808" s="5"/>
      <c r="B808" s="5"/>
      <c r="C808" s="5"/>
      <c r="D808" s="5"/>
      <c r="E808" s="5"/>
      <c r="F808" s="5"/>
      <c r="G808" s="5"/>
      <c r="H808" s="5"/>
      <c r="I808" s="5"/>
      <c r="J808" s="5"/>
      <c r="K808" s="5"/>
      <c r="L808" s="5"/>
      <c r="M808" s="5"/>
      <c r="N808" s="5"/>
      <c r="O808" s="5"/>
      <c r="P808" s="5"/>
      <c r="Q808" s="5"/>
      <c r="R808" s="5"/>
      <c r="S808" s="5"/>
      <c r="T808" s="5"/>
      <c r="U808" s="5"/>
      <c r="V808" s="5"/>
      <c r="Y808" s="5"/>
      <c r="Z808" s="5"/>
      <c r="AA808" s="5"/>
      <c r="AB808" s="5"/>
      <c r="AC808" s="5"/>
      <c r="AD808" s="5"/>
      <c r="AE808" s="5"/>
      <c r="AF808" s="5"/>
      <c r="AG808" s="5"/>
      <c r="AH808" s="5"/>
      <c r="AI808" s="5"/>
      <c r="AJ808" s="5"/>
      <c r="AK808" s="5"/>
      <c r="AL808" s="5"/>
      <c r="AM808" s="5"/>
      <c r="AN808" s="5"/>
    </row>
    <row r="809" spans="1:40" ht="18.75" customHeight="1">
      <c r="A809" s="5"/>
      <c r="B809" s="5"/>
      <c r="C809" s="5"/>
      <c r="D809" s="5"/>
      <c r="E809" s="5"/>
      <c r="F809" s="5"/>
      <c r="G809" s="5"/>
      <c r="H809" s="5"/>
      <c r="I809" s="5"/>
      <c r="J809" s="5"/>
      <c r="K809" s="5"/>
      <c r="L809" s="5"/>
      <c r="M809" s="5"/>
      <c r="N809" s="5"/>
      <c r="O809" s="5"/>
      <c r="P809" s="5"/>
      <c r="Q809" s="5"/>
      <c r="R809" s="5"/>
      <c r="S809" s="5"/>
      <c r="T809" s="5"/>
      <c r="U809" s="5"/>
      <c r="V809" s="5"/>
      <c r="Y809" s="5"/>
      <c r="Z809" s="5"/>
      <c r="AA809" s="5"/>
      <c r="AB809" s="5"/>
      <c r="AC809" s="5"/>
      <c r="AD809" s="5"/>
      <c r="AE809" s="5"/>
      <c r="AF809" s="5"/>
      <c r="AG809" s="5"/>
      <c r="AH809" s="5"/>
      <c r="AI809" s="5"/>
      <c r="AJ809" s="5"/>
      <c r="AK809" s="5"/>
      <c r="AL809" s="5"/>
      <c r="AM809" s="5"/>
      <c r="AN809" s="5"/>
    </row>
    <row r="810" spans="1:40" ht="18.75" customHeight="1">
      <c r="A810" s="5"/>
      <c r="B810" s="5"/>
      <c r="C810" s="5"/>
      <c r="D810" s="5"/>
      <c r="E810" s="5"/>
      <c r="F810" s="5"/>
      <c r="G810" s="5"/>
      <c r="H810" s="5"/>
      <c r="I810" s="5"/>
      <c r="J810" s="5"/>
      <c r="K810" s="5"/>
      <c r="L810" s="5"/>
      <c r="M810" s="5"/>
      <c r="N810" s="5"/>
      <c r="O810" s="5"/>
      <c r="P810" s="5"/>
      <c r="Q810" s="5"/>
      <c r="R810" s="5"/>
      <c r="S810" s="5"/>
      <c r="T810" s="5"/>
      <c r="U810" s="5"/>
      <c r="V810" s="5"/>
      <c r="Y810" s="5"/>
      <c r="Z810" s="5"/>
      <c r="AA810" s="5"/>
      <c r="AB810" s="5"/>
      <c r="AC810" s="5"/>
      <c r="AD810" s="5"/>
      <c r="AE810" s="5"/>
      <c r="AF810" s="5"/>
      <c r="AG810" s="5"/>
      <c r="AH810" s="5"/>
      <c r="AI810" s="5"/>
      <c r="AJ810" s="5"/>
      <c r="AK810" s="5"/>
      <c r="AL810" s="5"/>
      <c r="AM810" s="5"/>
      <c r="AN810" s="5"/>
    </row>
    <row r="811" spans="1:40" ht="18.75" customHeight="1">
      <c r="A811" s="5"/>
      <c r="B811" s="5"/>
      <c r="C811" s="5"/>
      <c r="D811" s="5"/>
      <c r="E811" s="5"/>
      <c r="F811" s="5"/>
      <c r="G811" s="5"/>
      <c r="H811" s="5"/>
      <c r="I811" s="5"/>
      <c r="J811" s="5"/>
      <c r="K811" s="5"/>
      <c r="L811" s="5"/>
      <c r="M811" s="5"/>
      <c r="N811" s="5"/>
      <c r="O811" s="5"/>
      <c r="P811" s="5"/>
      <c r="Q811" s="5"/>
      <c r="R811" s="5"/>
      <c r="S811" s="5"/>
      <c r="T811" s="5"/>
      <c r="U811" s="5"/>
      <c r="V811" s="5"/>
      <c r="Y811" s="5"/>
      <c r="Z811" s="5"/>
      <c r="AA811" s="5"/>
      <c r="AB811" s="5"/>
      <c r="AC811" s="5"/>
      <c r="AD811" s="5"/>
      <c r="AE811" s="5"/>
      <c r="AF811" s="5"/>
      <c r="AG811" s="5"/>
      <c r="AH811" s="5"/>
      <c r="AI811" s="5"/>
      <c r="AJ811" s="5"/>
      <c r="AK811" s="5"/>
      <c r="AL811" s="5"/>
      <c r="AM811" s="5"/>
      <c r="AN811" s="5"/>
    </row>
    <row r="812" spans="1:40" ht="18.75" customHeight="1">
      <c r="A812" s="5"/>
      <c r="B812" s="5"/>
      <c r="C812" s="5"/>
      <c r="D812" s="5"/>
      <c r="E812" s="5"/>
      <c r="F812" s="5"/>
      <c r="G812" s="5"/>
      <c r="H812" s="5"/>
      <c r="I812" s="5"/>
      <c r="J812" s="5"/>
      <c r="K812" s="5"/>
      <c r="L812" s="5"/>
      <c r="M812" s="5"/>
      <c r="N812" s="5"/>
      <c r="O812" s="5"/>
      <c r="P812" s="5"/>
      <c r="Q812" s="5"/>
      <c r="R812" s="5"/>
      <c r="S812" s="5"/>
      <c r="T812" s="5"/>
      <c r="U812" s="5"/>
      <c r="V812" s="5"/>
      <c r="Y812" s="5"/>
      <c r="Z812" s="5"/>
      <c r="AA812" s="5"/>
      <c r="AB812" s="5"/>
      <c r="AC812" s="5"/>
      <c r="AD812" s="5"/>
      <c r="AE812" s="5"/>
      <c r="AF812" s="5"/>
      <c r="AG812" s="5"/>
      <c r="AH812" s="5"/>
      <c r="AI812" s="5"/>
      <c r="AJ812" s="5"/>
      <c r="AK812" s="5"/>
      <c r="AL812" s="5"/>
      <c r="AM812" s="5"/>
      <c r="AN812" s="5"/>
    </row>
    <row r="813" spans="1:40" ht="18.75" customHeight="1">
      <c r="A813" s="5"/>
      <c r="B813" s="5"/>
      <c r="C813" s="5"/>
      <c r="D813" s="5"/>
      <c r="E813" s="5"/>
      <c r="F813" s="5"/>
      <c r="G813" s="5"/>
      <c r="H813" s="5"/>
      <c r="I813" s="5"/>
      <c r="J813" s="5"/>
      <c r="K813" s="5"/>
      <c r="L813" s="5"/>
      <c r="M813" s="5"/>
      <c r="N813" s="5"/>
      <c r="O813" s="5"/>
      <c r="P813" s="5"/>
      <c r="Q813" s="5"/>
      <c r="R813" s="5"/>
      <c r="S813" s="5"/>
      <c r="T813" s="5"/>
      <c r="U813" s="5"/>
      <c r="V813" s="5"/>
      <c r="Y813" s="5"/>
      <c r="Z813" s="5"/>
      <c r="AA813" s="5"/>
      <c r="AB813" s="5"/>
      <c r="AC813" s="5"/>
      <c r="AD813" s="5"/>
      <c r="AE813" s="5"/>
      <c r="AF813" s="5"/>
      <c r="AG813" s="5"/>
      <c r="AH813" s="5"/>
      <c r="AI813" s="5"/>
      <c r="AJ813" s="5"/>
      <c r="AK813" s="5"/>
      <c r="AL813" s="5"/>
      <c r="AM813" s="5"/>
      <c r="AN813" s="5"/>
    </row>
    <row r="814" spans="1:40" ht="18.75" customHeight="1">
      <c r="A814" s="5"/>
      <c r="B814" s="5"/>
      <c r="C814" s="5"/>
      <c r="D814" s="5"/>
      <c r="E814" s="5"/>
      <c r="F814" s="5"/>
      <c r="G814" s="5"/>
      <c r="H814" s="5"/>
      <c r="I814" s="5"/>
      <c r="J814" s="5"/>
      <c r="K814" s="5"/>
      <c r="L814" s="5"/>
      <c r="M814" s="5"/>
      <c r="N814" s="5"/>
      <c r="O814" s="5"/>
      <c r="P814" s="5"/>
      <c r="Q814" s="5"/>
      <c r="R814" s="5"/>
      <c r="S814" s="5"/>
      <c r="T814" s="5"/>
      <c r="U814" s="5"/>
      <c r="V814" s="5"/>
      <c r="Y814" s="5"/>
      <c r="Z814" s="5"/>
      <c r="AA814" s="5"/>
      <c r="AB814" s="5"/>
      <c r="AC814" s="5"/>
      <c r="AD814" s="5"/>
      <c r="AE814" s="5"/>
      <c r="AF814" s="5"/>
      <c r="AG814" s="5"/>
      <c r="AH814" s="5"/>
      <c r="AI814" s="5"/>
      <c r="AJ814" s="5"/>
      <c r="AK814" s="5"/>
      <c r="AL814" s="5"/>
      <c r="AM814" s="5"/>
      <c r="AN814" s="5"/>
    </row>
    <row r="815" spans="1:40" ht="18.75" customHeight="1">
      <c r="A815" s="5"/>
      <c r="B815" s="5"/>
      <c r="C815" s="5"/>
      <c r="D815" s="5"/>
      <c r="E815" s="5"/>
      <c r="F815" s="5"/>
      <c r="G815" s="5"/>
      <c r="H815" s="5"/>
      <c r="I815" s="5"/>
      <c r="J815" s="5"/>
      <c r="K815" s="5"/>
      <c r="L815" s="5"/>
      <c r="M815" s="5"/>
      <c r="N815" s="5"/>
      <c r="O815" s="5"/>
      <c r="P815" s="5"/>
      <c r="Q815" s="5"/>
      <c r="R815" s="5"/>
      <c r="S815" s="5"/>
      <c r="T815" s="5"/>
      <c r="U815" s="5"/>
      <c r="V815" s="5"/>
      <c r="Y815" s="5"/>
      <c r="Z815" s="5"/>
      <c r="AA815" s="5"/>
      <c r="AB815" s="5"/>
      <c r="AC815" s="5"/>
      <c r="AD815" s="5"/>
      <c r="AE815" s="5"/>
      <c r="AF815" s="5"/>
      <c r="AG815" s="5"/>
      <c r="AH815" s="5"/>
      <c r="AI815" s="5"/>
      <c r="AJ815" s="5"/>
      <c r="AK815" s="5"/>
      <c r="AL815" s="5"/>
      <c r="AM815" s="5"/>
      <c r="AN815" s="5"/>
    </row>
    <row r="816" spans="1:40" ht="18.75" customHeight="1">
      <c r="A816" s="5"/>
      <c r="B816" s="5"/>
      <c r="C816" s="5"/>
      <c r="D816" s="5"/>
      <c r="E816" s="5"/>
      <c r="F816" s="5"/>
      <c r="G816" s="5"/>
      <c r="H816" s="5"/>
      <c r="I816" s="5"/>
      <c r="J816" s="5"/>
      <c r="K816" s="5"/>
      <c r="L816" s="5"/>
      <c r="M816" s="5"/>
      <c r="N816" s="5"/>
      <c r="O816" s="5"/>
      <c r="P816" s="5"/>
      <c r="Q816" s="5"/>
      <c r="R816" s="5"/>
      <c r="S816" s="5"/>
      <c r="T816" s="5"/>
      <c r="U816" s="5"/>
      <c r="V816" s="5"/>
      <c r="Y816" s="5"/>
      <c r="Z816" s="5"/>
      <c r="AA816" s="5"/>
      <c r="AB816" s="5"/>
      <c r="AC816" s="5"/>
      <c r="AD816" s="5"/>
      <c r="AE816" s="5"/>
      <c r="AF816" s="5"/>
      <c r="AG816" s="5"/>
      <c r="AH816" s="5"/>
      <c r="AI816" s="5"/>
      <c r="AJ816" s="5"/>
      <c r="AK816" s="5"/>
      <c r="AL816" s="5"/>
      <c r="AM816" s="5"/>
      <c r="AN816" s="5"/>
    </row>
    <row r="817" spans="1:40" ht="18.75" customHeight="1">
      <c r="A817" s="5"/>
      <c r="B817" s="5"/>
      <c r="C817" s="5"/>
      <c r="D817" s="5"/>
      <c r="E817" s="5"/>
      <c r="F817" s="5"/>
      <c r="G817" s="5"/>
      <c r="H817" s="5"/>
      <c r="I817" s="5"/>
      <c r="J817" s="5"/>
      <c r="K817" s="5"/>
      <c r="L817" s="5"/>
      <c r="M817" s="5"/>
      <c r="N817" s="5"/>
      <c r="O817" s="5"/>
      <c r="P817" s="5"/>
      <c r="Q817" s="5"/>
      <c r="R817" s="5"/>
      <c r="S817" s="5"/>
      <c r="T817" s="5"/>
      <c r="U817" s="5"/>
      <c r="V817" s="5"/>
      <c r="Y817" s="5"/>
      <c r="Z817" s="5"/>
      <c r="AA817" s="5"/>
      <c r="AB817" s="5"/>
      <c r="AC817" s="5"/>
      <c r="AD817" s="5"/>
      <c r="AE817" s="5"/>
      <c r="AF817" s="5"/>
      <c r="AG817" s="5"/>
      <c r="AH817" s="5"/>
      <c r="AI817" s="5"/>
      <c r="AJ817" s="5"/>
      <c r="AK817" s="5"/>
      <c r="AL817" s="5"/>
      <c r="AM817" s="5"/>
      <c r="AN817" s="5"/>
    </row>
    <row r="818" spans="1:40" ht="18.75" customHeight="1">
      <c r="A818" s="5"/>
      <c r="B818" s="5"/>
      <c r="C818" s="5"/>
      <c r="D818" s="5"/>
      <c r="E818" s="5"/>
      <c r="F818" s="5"/>
      <c r="G818" s="5"/>
      <c r="H818" s="5"/>
      <c r="I818" s="5"/>
      <c r="J818" s="5"/>
      <c r="K818" s="5"/>
      <c r="L818" s="5"/>
      <c r="M818" s="5"/>
      <c r="N818" s="5"/>
      <c r="O818" s="5"/>
      <c r="P818" s="5"/>
      <c r="Q818" s="5"/>
      <c r="R818" s="5"/>
      <c r="S818" s="5"/>
      <c r="T818" s="5"/>
      <c r="U818" s="5"/>
      <c r="V818" s="5"/>
      <c r="Y818" s="5"/>
      <c r="Z818" s="5"/>
      <c r="AA818" s="5"/>
      <c r="AB818" s="5"/>
      <c r="AC818" s="5"/>
      <c r="AD818" s="5"/>
      <c r="AE818" s="5"/>
      <c r="AF818" s="5"/>
      <c r="AG818" s="5"/>
      <c r="AH818" s="5"/>
      <c r="AI818" s="5"/>
      <c r="AJ818" s="5"/>
      <c r="AK818" s="5"/>
      <c r="AL818" s="5"/>
      <c r="AM818" s="5"/>
      <c r="AN818" s="5"/>
    </row>
    <row r="819" spans="1:40" ht="18.75" customHeight="1">
      <c r="A819" s="5"/>
      <c r="B819" s="5"/>
      <c r="C819" s="5"/>
      <c r="D819" s="5"/>
      <c r="E819" s="5"/>
      <c r="F819" s="5"/>
      <c r="G819" s="5"/>
      <c r="H819" s="5"/>
      <c r="I819" s="5"/>
      <c r="J819" s="5"/>
      <c r="K819" s="5"/>
      <c r="L819" s="5"/>
      <c r="M819" s="5"/>
      <c r="N819" s="5"/>
      <c r="O819" s="5"/>
      <c r="P819" s="5"/>
      <c r="Q819" s="5"/>
      <c r="R819" s="5"/>
      <c r="S819" s="5"/>
      <c r="T819" s="5"/>
      <c r="U819" s="5"/>
      <c r="V819" s="5"/>
      <c r="Y819" s="5"/>
      <c r="Z819" s="5"/>
      <c r="AA819" s="5"/>
      <c r="AB819" s="5"/>
      <c r="AC819" s="5"/>
      <c r="AD819" s="5"/>
      <c r="AE819" s="5"/>
      <c r="AF819" s="5"/>
      <c r="AG819" s="5"/>
      <c r="AH819" s="5"/>
      <c r="AI819" s="5"/>
      <c r="AJ819" s="5"/>
      <c r="AK819" s="5"/>
      <c r="AL819" s="5"/>
      <c r="AM819" s="5"/>
      <c r="AN819" s="5"/>
    </row>
    <row r="820" spans="1:40" ht="18.75" customHeight="1">
      <c r="A820" s="5"/>
      <c r="B820" s="5"/>
      <c r="C820" s="5"/>
      <c r="D820" s="5"/>
      <c r="E820" s="5"/>
      <c r="F820" s="5"/>
      <c r="G820" s="5"/>
      <c r="H820" s="5"/>
      <c r="I820" s="5"/>
      <c r="J820" s="5"/>
      <c r="K820" s="5"/>
      <c r="L820" s="5"/>
      <c r="M820" s="5"/>
      <c r="N820" s="5"/>
      <c r="O820" s="5"/>
      <c r="P820" s="5"/>
      <c r="Q820" s="5"/>
      <c r="R820" s="5"/>
      <c r="S820" s="5"/>
      <c r="T820" s="5"/>
      <c r="U820" s="5"/>
      <c r="V820" s="5"/>
      <c r="Y820" s="5"/>
      <c r="Z820" s="5"/>
      <c r="AA820" s="5"/>
      <c r="AB820" s="5"/>
      <c r="AC820" s="5"/>
      <c r="AD820" s="5"/>
      <c r="AE820" s="5"/>
      <c r="AF820" s="5"/>
      <c r="AG820" s="5"/>
      <c r="AH820" s="5"/>
      <c r="AI820" s="5"/>
      <c r="AJ820" s="5"/>
      <c r="AK820" s="5"/>
      <c r="AL820" s="5"/>
      <c r="AM820" s="5"/>
      <c r="AN820" s="5"/>
    </row>
    <row r="821" spans="1:40" ht="18.75" customHeight="1">
      <c r="A821" s="5"/>
      <c r="B821" s="5"/>
      <c r="C821" s="5"/>
      <c r="D821" s="5"/>
      <c r="E821" s="5"/>
      <c r="F821" s="5"/>
      <c r="G821" s="5"/>
      <c r="H821" s="5"/>
      <c r="I821" s="5"/>
      <c r="J821" s="5"/>
      <c r="K821" s="5"/>
      <c r="L821" s="5"/>
      <c r="M821" s="5"/>
      <c r="N821" s="5"/>
      <c r="O821" s="5"/>
      <c r="P821" s="5"/>
      <c r="Q821" s="5"/>
      <c r="R821" s="5"/>
      <c r="S821" s="5"/>
      <c r="T821" s="5"/>
      <c r="U821" s="5"/>
      <c r="V821" s="5"/>
      <c r="Y821" s="5"/>
      <c r="Z821" s="5"/>
      <c r="AA821" s="5"/>
      <c r="AB821" s="5"/>
      <c r="AC821" s="5"/>
      <c r="AD821" s="5"/>
      <c r="AE821" s="5"/>
      <c r="AF821" s="5"/>
      <c r="AG821" s="5"/>
      <c r="AH821" s="5"/>
      <c r="AI821" s="5"/>
      <c r="AJ821" s="5"/>
      <c r="AK821" s="5"/>
      <c r="AL821" s="5"/>
      <c r="AM821" s="5"/>
      <c r="AN821" s="5"/>
    </row>
    <row r="822" spans="1:40" ht="18.75" customHeight="1">
      <c r="A822" s="5"/>
      <c r="B822" s="5"/>
      <c r="C822" s="5"/>
      <c r="D822" s="5"/>
      <c r="E822" s="5"/>
      <c r="F822" s="5"/>
      <c r="G822" s="5"/>
      <c r="H822" s="5"/>
      <c r="I822" s="5"/>
      <c r="J822" s="5"/>
      <c r="K822" s="5"/>
      <c r="L822" s="5"/>
      <c r="M822" s="5"/>
      <c r="N822" s="5"/>
      <c r="O822" s="5"/>
      <c r="P822" s="5"/>
      <c r="Q822" s="5"/>
      <c r="R822" s="5"/>
      <c r="S822" s="5"/>
      <c r="T822" s="5"/>
      <c r="U822" s="5"/>
      <c r="V822" s="5"/>
      <c r="Y822" s="5"/>
      <c r="Z822" s="5"/>
      <c r="AA822" s="5"/>
      <c r="AB822" s="5"/>
      <c r="AC822" s="5"/>
      <c r="AD822" s="5"/>
      <c r="AE822" s="5"/>
      <c r="AF822" s="5"/>
      <c r="AG822" s="5"/>
      <c r="AH822" s="5"/>
      <c r="AI822" s="5"/>
      <c r="AJ822" s="5"/>
      <c r="AK822" s="5"/>
      <c r="AL822" s="5"/>
      <c r="AM822" s="5"/>
      <c r="AN822" s="5"/>
    </row>
    <row r="823" spans="1:40" ht="18.75" customHeight="1">
      <c r="A823" s="5"/>
      <c r="B823" s="5"/>
      <c r="C823" s="5"/>
      <c r="D823" s="5"/>
      <c r="E823" s="5"/>
      <c r="F823" s="5"/>
      <c r="G823" s="5"/>
      <c r="H823" s="5"/>
      <c r="I823" s="5"/>
      <c r="J823" s="5"/>
      <c r="K823" s="5"/>
      <c r="L823" s="5"/>
      <c r="M823" s="5"/>
      <c r="N823" s="5"/>
      <c r="O823" s="5"/>
      <c r="P823" s="5"/>
      <c r="Q823" s="5"/>
      <c r="R823" s="5"/>
      <c r="S823" s="5"/>
      <c r="T823" s="5"/>
      <c r="U823" s="5"/>
      <c r="V823" s="5"/>
      <c r="Y823" s="5"/>
      <c r="Z823" s="5"/>
      <c r="AA823" s="5"/>
      <c r="AB823" s="5"/>
      <c r="AC823" s="5"/>
      <c r="AD823" s="5"/>
      <c r="AE823" s="5"/>
      <c r="AF823" s="5"/>
      <c r="AG823" s="5"/>
      <c r="AH823" s="5"/>
      <c r="AI823" s="5"/>
      <c r="AJ823" s="5"/>
      <c r="AK823" s="5"/>
      <c r="AL823" s="5"/>
      <c r="AM823" s="5"/>
      <c r="AN823" s="5"/>
    </row>
    <row r="824" spans="1:40" ht="18.75" customHeight="1">
      <c r="A824" s="5"/>
      <c r="B824" s="5"/>
      <c r="C824" s="5"/>
      <c r="D824" s="5"/>
      <c r="E824" s="5"/>
      <c r="F824" s="5"/>
      <c r="G824" s="5"/>
      <c r="H824" s="5"/>
      <c r="I824" s="5"/>
      <c r="J824" s="5"/>
      <c r="K824" s="5"/>
      <c r="L824" s="5"/>
      <c r="M824" s="5"/>
      <c r="N824" s="5"/>
      <c r="O824" s="5"/>
      <c r="P824" s="5"/>
      <c r="Q824" s="5"/>
      <c r="R824" s="5"/>
      <c r="S824" s="5"/>
      <c r="T824" s="5"/>
      <c r="U824" s="5"/>
      <c r="V824" s="5"/>
      <c r="Y824" s="5"/>
      <c r="Z824" s="5"/>
      <c r="AA824" s="5"/>
      <c r="AB824" s="5"/>
      <c r="AC824" s="5"/>
      <c r="AD824" s="5"/>
      <c r="AE824" s="5"/>
      <c r="AF824" s="5"/>
      <c r="AG824" s="5"/>
      <c r="AH824" s="5"/>
      <c r="AI824" s="5"/>
      <c r="AJ824" s="5"/>
      <c r="AK824" s="5"/>
      <c r="AL824" s="5"/>
      <c r="AM824" s="5"/>
      <c r="AN824" s="5"/>
    </row>
    <row r="825" spans="1:40" ht="18.75" customHeight="1">
      <c r="A825" s="5"/>
      <c r="B825" s="5"/>
      <c r="C825" s="5"/>
      <c r="D825" s="5"/>
      <c r="E825" s="5"/>
      <c r="F825" s="5"/>
      <c r="G825" s="5"/>
      <c r="H825" s="5"/>
      <c r="I825" s="5"/>
      <c r="J825" s="5"/>
      <c r="K825" s="5"/>
      <c r="L825" s="5"/>
      <c r="M825" s="5"/>
      <c r="N825" s="5"/>
      <c r="O825" s="5"/>
      <c r="P825" s="5"/>
      <c r="Q825" s="5"/>
      <c r="R825" s="5"/>
      <c r="S825" s="5"/>
      <c r="T825" s="5"/>
      <c r="U825" s="5"/>
      <c r="V825" s="5"/>
      <c r="Y825" s="5"/>
      <c r="Z825" s="5"/>
      <c r="AA825" s="5"/>
      <c r="AB825" s="5"/>
      <c r="AC825" s="5"/>
      <c r="AD825" s="5"/>
      <c r="AE825" s="5"/>
      <c r="AF825" s="5"/>
      <c r="AG825" s="5"/>
      <c r="AH825" s="5"/>
      <c r="AI825" s="5"/>
      <c r="AJ825" s="5"/>
      <c r="AK825" s="5"/>
      <c r="AL825" s="5"/>
      <c r="AM825" s="5"/>
      <c r="AN825" s="5"/>
    </row>
    <row r="826" spans="1:40" ht="18.75" customHeight="1">
      <c r="A826" s="5"/>
      <c r="B826" s="5"/>
      <c r="C826" s="5"/>
      <c r="D826" s="5"/>
      <c r="E826" s="5"/>
      <c r="F826" s="5"/>
      <c r="G826" s="5"/>
      <c r="H826" s="5"/>
      <c r="I826" s="5"/>
      <c r="J826" s="5"/>
      <c r="K826" s="5"/>
      <c r="L826" s="5"/>
      <c r="M826" s="5"/>
      <c r="N826" s="5"/>
      <c r="O826" s="5"/>
      <c r="P826" s="5"/>
      <c r="Q826" s="5"/>
      <c r="R826" s="5"/>
      <c r="S826" s="5"/>
      <c r="T826" s="5"/>
      <c r="U826" s="5"/>
      <c r="V826" s="5"/>
      <c r="Y826" s="5"/>
      <c r="Z826" s="5"/>
      <c r="AA826" s="5"/>
      <c r="AB826" s="5"/>
      <c r="AC826" s="5"/>
      <c r="AD826" s="5"/>
      <c r="AE826" s="5"/>
      <c r="AF826" s="5"/>
      <c r="AG826" s="5"/>
      <c r="AH826" s="5"/>
      <c r="AI826" s="5"/>
      <c r="AJ826" s="5"/>
      <c r="AK826" s="5"/>
      <c r="AL826" s="5"/>
      <c r="AM826" s="5"/>
      <c r="AN826" s="5"/>
    </row>
    <row r="827" spans="1:40" ht="18.75" customHeight="1">
      <c r="A827" s="5"/>
      <c r="B827" s="5"/>
      <c r="C827" s="5"/>
      <c r="D827" s="5"/>
      <c r="E827" s="5"/>
      <c r="F827" s="5"/>
      <c r="G827" s="5"/>
      <c r="H827" s="5"/>
      <c r="I827" s="5"/>
      <c r="J827" s="5"/>
      <c r="K827" s="5"/>
      <c r="L827" s="5"/>
      <c r="M827" s="5"/>
      <c r="N827" s="5"/>
      <c r="O827" s="5"/>
      <c r="P827" s="5"/>
      <c r="Q827" s="5"/>
      <c r="R827" s="5"/>
      <c r="S827" s="5"/>
      <c r="T827" s="5"/>
      <c r="U827" s="5"/>
      <c r="V827" s="5"/>
      <c r="Y827" s="5"/>
      <c r="Z827" s="5"/>
      <c r="AA827" s="5"/>
      <c r="AB827" s="5"/>
      <c r="AC827" s="5"/>
      <c r="AD827" s="5"/>
      <c r="AE827" s="5"/>
      <c r="AF827" s="5"/>
      <c r="AG827" s="5"/>
      <c r="AH827" s="5"/>
      <c r="AI827" s="5"/>
      <c r="AJ827" s="5"/>
      <c r="AK827" s="5"/>
      <c r="AL827" s="5"/>
      <c r="AM827" s="5"/>
      <c r="AN827" s="5"/>
    </row>
    <row r="828" spans="1:40" ht="18.75" customHeight="1">
      <c r="A828" s="5"/>
      <c r="B828" s="5"/>
      <c r="C828" s="5"/>
      <c r="D828" s="5"/>
      <c r="E828" s="5"/>
      <c r="F828" s="5"/>
      <c r="G828" s="5"/>
      <c r="H828" s="5"/>
      <c r="I828" s="5"/>
      <c r="J828" s="5"/>
      <c r="K828" s="5"/>
      <c r="L828" s="5"/>
      <c r="M828" s="5"/>
      <c r="N828" s="5"/>
      <c r="O828" s="5"/>
      <c r="P828" s="5"/>
      <c r="Q828" s="5"/>
      <c r="R828" s="5"/>
      <c r="S828" s="5"/>
      <c r="T828" s="5"/>
      <c r="U828" s="5"/>
      <c r="V828" s="5"/>
      <c r="Y828" s="5"/>
      <c r="Z828" s="5"/>
      <c r="AA828" s="5"/>
      <c r="AB828" s="5"/>
      <c r="AC828" s="5"/>
      <c r="AD828" s="5"/>
      <c r="AE828" s="5"/>
      <c r="AF828" s="5"/>
      <c r="AG828" s="5"/>
      <c r="AH828" s="5"/>
      <c r="AI828" s="5"/>
      <c r="AJ828" s="5"/>
      <c r="AK828" s="5"/>
      <c r="AL828" s="5"/>
      <c r="AM828" s="5"/>
      <c r="AN828" s="5"/>
    </row>
    <row r="829" spans="1:40" ht="18.75" customHeight="1">
      <c r="A829" s="5"/>
      <c r="B829" s="5"/>
      <c r="C829" s="5"/>
      <c r="D829" s="5"/>
      <c r="E829" s="5"/>
      <c r="F829" s="5"/>
      <c r="G829" s="5"/>
      <c r="H829" s="5"/>
      <c r="I829" s="5"/>
      <c r="J829" s="5"/>
      <c r="K829" s="5"/>
      <c r="L829" s="5"/>
      <c r="M829" s="5"/>
      <c r="N829" s="5"/>
      <c r="O829" s="5"/>
      <c r="P829" s="5"/>
      <c r="Q829" s="5"/>
      <c r="R829" s="5"/>
      <c r="S829" s="5"/>
      <c r="T829" s="5"/>
      <c r="U829" s="5"/>
      <c r="V829" s="5"/>
      <c r="Y829" s="5"/>
      <c r="Z829" s="5"/>
      <c r="AA829" s="5"/>
      <c r="AB829" s="5"/>
      <c r="AC829" s="5"/>
      <c r="AD829" s="5"/>
      <c r="AE829" s="5"/>
      <c r="AF829" s="5"/>
      <c r="AG829" s="5"/>
      <c r="AH829" s="5"/>
      <c r="AI829" s="5"/>
      <c r="AJ829" s="5"/>
      <c r="AK829" s="5"/>
      <c r="AL829" s="5"/>
      <c r="AM829" s="5"/>
      <c r="AN829" s="5"/>
    </row>
    <row r="830" spans="1:40" ht="18.75" customHeight="1">
      <c r="A830" s="5"/>
      <c r="B830" s="5"/>
      <c r="C830" s="5"/>
      <c r="D830" s="5"/>
      <c r="E830" s="5"/>
      <c r="F830" s="5"/>
      <c r="G830" s="5"/>
      <c r="H830" s="5"/>
      <c r="I830" s="5"/>
      <c r="J830" s="5"/>
      <c r="K830" s="5"/>
      <c r="L830" s="5"/>
      <c r="M830" s="5"/>
      <c r="N830" s="5"/>
      <c r="O830" s="5"/>
      <c r="P830" s="5"/>
      <c r="Q830" s="5"/>
      <c r="R830" s="5"/>
      <c r="S830" s="5"/>
      <c r="T830" s="5"/>
      <c r="U830" s="5"/>
      <c r="V830" s="5"/>
      <c r="Y830" s="5"/>
      <c r="Z830" s="5"/>
      <c r="AA830" s="5"/>
      <c r="AB830" s="5"/>
      <c r="AC830" s="5"/>
      <c r="AD830" s="5"/>
      <c r="AE830" s="5"/>
      <c r="AF830" s="5"/>
      <c r="AG830" s="5"/>
      <c r="AH830" s="5"/>
      <c r="AI830" s="5"/>
      <c r="AJ830" s="5"/>
      <c r="AK830" s="5"/>
      <c r="AL830" s="5"/>
      <c r="AM830" s="5"/>
      <c r="AN830" s="5"/>
    </row>
    <row r="831" spans="1:40" ht="18.75" customHeight="1">
      <c r="A831" s="5"/>
      <c r="B831" s="5"/>
      <c r="C831" s="5"/>
      <c r="D831" s="5"/>
      <c r="E831" s="5"/>
      <c r="F831" s="5"/>
      <c r="G831" s="5"/>
      <c r="H831" s="5"/>
      <c r="I831" s="5"/>
      <c r="J831" s="5"/>
      <c r="K831" s="5"/>
      <c r="L831" s="5"/>
      <c r="M831" s="5"/>
      <c r="N831" s="5"/>
      <c r="O831" s="5"/>
      <c r="P831" s="5"/>
      <c r="Q831" s="5"/>
      <c r="R831" s="5"/>
      <c r="S831" s="5"/>
      <c r="T831" s="5"/>
      <c r="U831" s="5"/>
      <c r="V831" s="5"/>
      <c r="Y831" s="5"/>
      <c r="Z831" s="5"/>
      <c r="AA831" s="5"/>
      <c r="AB831" s="5"/>
      <c r="AC831" s="5"/>
      <c r="AD831" s="5"/>
      <c r="AE831" s="5"/>
      <c r="AF831" s="5"/>
      <c r="AG831" s="5"/>
      <c r="AH831" s="5"/>
      <c r="AI831" s="5"/>
      <c r="AJ831" s="5"/>
      <c r="AK831" s="5"/>
      <c r="AL831" s="5"/>
      <c r="AM831" s="5"/>
      <c r="AN831" s="5"/>
    </row>
    <row r="832" spans="1:40" ht="18.75" customHeight="1">
      <c r="A832" s="5"/>
      <c r="B832" s="5"/>
      <c r="C832" s="5"/>
      <c r="D832" s="5"/>
      <c r="E832" s="5"/>
      <c r="F832" s="5"/>
      <c r="G832" s="5"/>
      <c r="H832" s="5"/>
      <c r="I832" s="5"/>
      <c r="J832" s="5"/>
      <c r="K832" s="5"/>
      <c r="L832" s="5"/>
      <c r="M832" s="5"/>
      <c r="N832" s="5"/>
      <c r="O832" s="5"/>
      <c r="P832" s="5"/>
      <c r="Q832" s="5"/>
      <c r="R832" s="5"/>
      <c r="S832" s="5"/>
      <c r="T832" s="5"/>
      <c r="U832" s="5"/>
      <c r="V832" s="5"/>
      <c r="Y832" s="5"/>
      <c r="Z832" s="5"/>
      <c r="AA832" s="5"/>
      <c r="AB832" s="5"/>
      <c r="AC832" s="5"/>
      <c r="AD832" s="5"/>
      <c r="AE832" s="5"/>
      <c r="AF832" s="5"/>
      <c r="AG832" s="5"/>
      <c r="AH832" s="5"/>
      <c r="AI832" s="5"/>
      <c r="AJ832" s="5"/>
      <c r="AK832" s="5"/>
      <c r="AL832" s="5"/>
      <c r="AM832" s="5"/>
      <c r="AN832" s="5"/>
    </row>
    <row r="833" spans="1:40" ht="18.75" customHeight="1">
      <c r="A833" s="5"/>
      <c r="B833" s="5"/>
      <c r="C833" s="5"/>
      <c r="D833" s="5"/>
      <c r="E833" s="5"/>
      <c r="F833" s="5"/>
      <c r="G833" s="5"/>
      <c r="H833" s="5"/>
      <c r="I833" s="5"/>
      <c r="J833" s="5"/>
      <c r="K833" s="5"/>
      <c r="L833" s="5"/>
      <c r="M833" s="5"/>
      <c r="N833" s="5"/>
      <c r="O833" s="5"/>
      <c r="P833" s="5"/>
      <c r="Q833" s="5"/>
      <c r="R833" s="5"/>
      <c r="S833" s="5"/>
      <c r="T833" s="5"/>
      <c r="U833" s="5"/>
      <c r="V833" s="5"/>
      <c r="Y833" s="5"/>
      <c r="Z833" s="5"/>
      <c r="AA833" s="5"/>
      <c r="AB833" s="5"/>
      <c r="AC833" s="5"/>
      <c r="AD833" s="5"/>
      <c r="AE833" s="5"/>
      <c r="AF833" s="5"/>
      <c r="AG833" s="5"/>
      <c r="AH833" s="5"/>
      <c r="AI833" s="5"/>
      <c r="AJ833" s="5"/>
      <c r="AK833" s="5"/>
      <c r="AL833" s="5"/>
      <c r="AM833" s="5"/>
      <c r="AN833" s="5"/>
    </row>
    <row r="834" spans="1:40" ht="18.75" customHeight="1">
      <c r="A834" s="5"/>
      <c r="B834" s="5"/>
      <c r="C834" s="5"/>
      <c r="D834" s="5"/>
      <c r="E834" s="5"/>
      <c r="F834" s="5"/>
      <c r="G834" s="5"/>
      <c r="H834" s="5"/>
      <c r="I834" s="5"/>
      <c r="J834" s="5"/>
      <c r="K834" s="5"/>
      <c r="L834" s="5"/>
      <c r="M834" s="5"/>
      <c r="N834" s="5"/>
      <c r="O834" s="5"/>
      <c r="P834" s="5"/>
      <c r="Q834" s="5"/>
      <c r="R834" s="5"/>
      <c r="S834" s="5"/>
      <c r="T834" s="5"/>
      <c r="U834" s="5"/>
      <c r="V834" s="5"/>
      <c r="Y834" s="5"/>
      <c r="Z834" s="5"/>
      <c r="AA834" s="5"/>
      <c r="AB834" s="5"/>
      <c r="AC834" s="5"/>
      <c r="AD834" s="5"/>
      <c r="AE834" s="5"/>
      <c r="AF834" s="5"/>
      <c r="AG834" s="5"/>
      <c r="AH834" s="5"/>
      <c r="AI834" s="5"/>
      <c r="AJ834" s="5"/>
      <c r="AK834" s="5"/>
      <c r="AL834" s="5"/>
      <c r="AM834" s="5"/>
      <c r="AN834" s="5"/>
    </row>
    <row r="835" spans="1:40" ht="18.75" customHeight="1">
      <c r="A835" s="5"/>
      <c r="B835" s="5"/>
      <c r="C835" s="5"/>
      <c r="D835" s="5"/>
      <c r="E835" s="5"/>
      <c r="F835" s="5"/>
      <c r="G835" s="5"/>
      <c r="H835" s="5"/>
      <c r="I835" s="5"/>
      <c r="J835" s="5"/>
      <c r="K835" s="5"/>
      <c r="L835" s="5"/>
      <c r="M835" s="5"/>
      <c r="N835" s="5"/>
      <c r="O835" s="5"/>
      <c r="P835" s="5"/>
      <c r="Q835" s="5"/>
      <c r="R835" s="5"/>
      <c r="S835" s="5"/>
      <c r="T835" s="5"/>
      <c r="U835" s="5"/>
      <c r="V835" s="5"/>
      <c r="Y835" s="5"/>
      <c r="Z835" s="5"/>
      <c r="AA835" s="5"/>
      <c r="AB835" s="5"/>
      <c r="AC835" s="5"/>
      <c r="AD835" s="5"/>
      <c r="AE835" s="5"/>
      <c r="AF835" s="5"/>
      <c r="AG835" s="5"/>
      <c r="AH835" s="5"/>
      <c r="AI835" s="5"/>
      <c r="AJ835" s="5"/>
      <c r="AK835" s="5"/>
      <c r="AL835" s="5"/>
      <c r="AM835" s="5"/>
      <c r="AN835" s="5"/>
    </row>
    <row r="836" spans="1:40" ht="18.75" customHeight="1">
      <c r="A836" s="5"/>
      <c r="B836" s="5"/>
      <c r="C836" s="5"/>
      <c r="D836" s="5"/>
      <c r="E836" s="5"/>
      <c r="F836" s="5"/>
      <c r="G836" s="5"/>
      <c r="H836" s="5"/>
      <c r="I836" s="5"/>
      <c r="J836" s="5"/>
      <c r="K836" s="5"/>
      <c r="L836" s="5"/>
      <c r="M836" s="5"/>
      <c r="N836" s="5"/>
      <c r="O836" s="5"/>
      <c r="P836" s="5"/>
      <c r="Q836" s="5"/>
      <c r="R836" s="5"/>
      <c r="S836" s="5"/>
      <c r="T836" s="5"/>
      <c r="U836" s="5"/>
      <c r="V836" s="5"/>
      <c r="Y836" s="5"/>
      <c r="Z836" s="5"/>
      <c r="AA836" s="5"/>
      <c r="AB836" s="5"/>
      <c r="AC836" s="5"/>
      <c r="AD836" s="5"/>
      <c r="AE836" s="5"/>
      <c r="AF836" s="5"/>
      <c r="AG836" s="5"/>
      <c r="AH836" s="5"/>
      <c r="AI836" s="5"/>
      <c r="AJ836" s="5"/>
      <c r="AK836" s="5"/>
      <c r="AL836" s="5"/>
      <c r="AM836" s="5"/>
      <c r="AN836" s="5"/>
    </row>
    <row r="837" spans="1:40" ht="18.75" customHeight="1">
      <c r="A837" s="5"/>
      <c r="B837" s="5"/>
      <c r="C837" s="5"/>
      <c r="D837" s="5"/>
      <c r="E837" s="5"/>
      <c r="F837" s="5"/>
      <c r="G837" s="5"/>
      <c r="H837" s="5"/>
      <c r="I837" s="5"/>
      <c r="J837" s="5"/>
      <c r="K837" s="5"/>
      <c r="L837" s="5"/>
      <c r="M837" s="5"/>
      <c r="N837" s="5"/>
      <c r="O837" s="5"/>
      <c r="P837" s="5"/>
      <c r="Q837" s="5"/>
      <c r="R837" s="5"/>
      <c r="S837" s="5"/>
      <c r="T837" s="5"/>
      <c r="U837" s="5"/>
      <c r="V837" s="5"/>
      <c r="Y837" s="5"/>
      <c r="Z837" s="5"/>
      <c r="AA837" s="5"/>
      <c r="AB837" s="5"/>
      <c r="AC837" s="5"/>
      <c r="AD837" s="5"/>
      <c r="AE837" s="5"/>
      <c r="AF837" s="5"/>
      <c r="AG837" s="5"/>
      <c r="AH837" s="5"/>
      <c r="AI837" s="5"/>
      <c r="AJ837" s="5"/>
      <c r="AK837" s="5"/>
      <c r="AL837" s="5"/>
      <c r="AM837" s="5"/>
      <c r="AN837" s="5"/>
    </row>
    <row r="838" spans="1:40" ht="18.75" customHeight="1">
      <c r="A838" s="5"/>
      <c r="B838" s="5"/>
      <c r="C838" s="5"/>
      <c r="D838" s="5"/>
      <c r="E838" s="5"/>
      <c r="F838" s="5"/>
      <c r="G838" s="5"/>
      <c r="H838" s="5"/>
      <c r="I838" s="5"/>
      <c r="J838" s="5"/>
      <c r="K838" s="5"/>
      <c r="L838" s="5"/>
      <c r="M838" s="5"/>
      <c r="N838" s="5"/>
      <c r="O838" s="5"/>
      <c r="P838" s="5"/>
      <c r="Q838" s="5"/>
      <c r="R838" s="5"/>
      <c r="S838" s="5"/>
      <c r="T838" s="5"/>
      <c r="U838" s="5"/>
      <c r="V838" s="5"/>
      <c r="Y838" s="5"/>
      <c r="Z838" s="5"/>
      <c r="AA838" s="5"/>
      <c r="AB838" s="5"/>
      <c r="AC838" s="5"/>
      <c r="AD838" s="5"/>
      <c r="AE838" s="5"/>
      <c r="AF838" s="5"/>
      <c r="AG838" s="5"/>
      <c r="AH838" s="5"/>
      <c r="AI838" s="5"/>
      <c r="AJ838" s="5"/>
      <c r="AK838" s="5"/>
      <c r="AL838" s="5"/>
      <c r="AM838" s="5"/>
      <c r="AN838" s="5"/>
    </row>
    <row r="839" spans="1:40" ht="18.75" customHeight="1">
      <c r="A839" s="5"/>
      <c r="B839" s="5"/>
      <c r="C839" s="5"/>
      <c r="D839" s="5"/>
      <c r="E839" s="5"/>
      <c r="F839" s="5"/>
      <c r="G839" s="5"/>
      <c r="H839" s="5"/>
      <c r="I839" s="5"/>
      <c r="J839" s="5"/>
      <c r="K839" s="5"/>
      <c r="L839" s="5"/>
      <c r="M839" s="5"/>
      <c r="N839" s="5"/>
      <c r="O839" s="5"/>
      <c r="P839" s="5"/>
      <c r="Q839" s="5"/>
      <c r="R839" s="5"/>
      <c r="S839" s="5"/>
      <c r="T839" s="5"/>
      <c r="U839" s="5"/>
      <c r="V839" s="5"/>
      <c r="Y839" s="5"/>
      <c r="Z839" s="5"/>
      <c r="AA839" s="5"/>
      <c r="AB839" s="5"/>
      <c r="AC839" s="5"/>
      <c r="AD839" s="5"/>
      <c r="AE839" s="5"/>
      <c r="AF839" s="5"/>
      <c r="AG839" s="5"/>
      <c r="AH839" s="5"/>
      <c r="AI839" s="5"/>
      <c r="AJ839" s="5"/>
      <c r="AK839" s="5"/>
      <c r="AL839" s="5"/>
      <c r="AM839" s="5"/>
      <c r="AN839" s="5"/>
    </row>
    <row r="840" spans="1:40" ht="18.75" customHeight="1">
      <c r="A840" s="5"/>
      <c r="B840" s="5"/>
      <c r="C840" s="5"/>
      <c r="D840" s="5"/>
      <c r="E840" s="5"/>
      <c r="F840" s="5"/>
      <c r="G840" s="5"/>
      <c r="H840" s="5"/>
      <c r="I840" s="5"/>
      <c r="J840" s="5"/>
      <c r="K840" s="5"/>
      <c r="L840" s="5"/>
      <c r="M840" s="5"/>
      <c r="N840" s="5"/>
      <c r="O840" s="5"/>
      <c r="P840" s="5"/>
      <c r="Q840" s="5"/>
      <c r="R840" s="5"/>
      <c r="S840" s="5"/>
      <c r="T840" s="5"/>
      <c r="U840" s="5"/>
      <c r="V840" s="5"/>
      <c r="Y840" s="5"/>
      <c r="Z840" s="5"/>
      <c r="AA840" s="5"/>
      <c r="AB840" s="5"/>
      <c r="AC840" s="5"/>
      <c r="AD840" s="5"/>
      <c r="AE840" s="5"/>
      <c r="AF840" s="5"/>
      <c r="AG840" s="5"/>
      <c r="AH840" s="5"/>
      <c r="AI840" s="5"/>
      <c r="AJ840" s="5"/>
      <c r="AK840" s="5"/>
      <c r="AL840" s="5"/>
      <c r="AM840" s="5"/>
      <c r="AN840" s="5"/>
    </row>
    <row r="841" spans="1:40" ht="18.75" customHeight="1">
      <c r="A841" s="5"/>
      <c r="B841" s="5"/>
      <c r="C841" s="5"/>
      <c r="D841" s="5"/>
      <c r="E841" s="5"/>
      <c r="F841" s="5"/>
      <c r="G841" s="5"/>
      <c r="H841" s="5"/>
      <c r="I841" s="5"/>
      <c r="J841" s="5"/>
      <c r="K841" s="5"/>
      <c r="L841" s="5"/>
      <c r="M841" s="5"/>
      <c r="N841" s="5"/>
      <c r="O841" s="5"/>
      <c r="P841" s="5"/>
      <c r="Q841" s="5"/>
      <c r="R841" s="5"/>
      <c r="S841" s="5"/>
      <c r="T841" s="5"/>
      <c r="U841" s="5"/>
      <c r="V841" s="5"/>
      <c r="Y841" s="5"/>
      <c r="Z841" s="5"/>
      <c r="AA841" s="5"/>
      <c r="AB841" s="5"/>
      <c r="AC841" s="5"/>
      <c r="AD841" s="5"/>
      <c r="AE841" s="5"/>
      <c r="AF841" s="5"/>
      <c r="AG841" s="5"/>
      <c r="AH841" s="5"/>
      <c r="AI841" s="5"/>
      <c r="AJ841" s="5"/>
      <c r="AK841" s="5"/>
      <c r="AL841" s="5"/>
      <c r="AM841" s="5"/>
      <c r="AN841" s="5"/>
    </row>
    <row r="842" spans="1:40" ht="18.75" customHeight="1">
      <c r="A842" s="5"/>
      <c r="B842" s="5"/>
      <c r="C842" s="5"/>
      <c r="D842" s="5"/>
      <c r="E842" s="5"/>
      <c r="F842" s="5"/>
      <c r="G842" s="5"/>
      <c r="H842" s="5"/>
      <c r="I842" s="5"/>
      <c r="J842" s="5"/>
      <c r="K842" s="5"/>
      <c r="L842" s="5"/>
      <c r="M842" s="5"/>
      <c r="N842" s="5"/>
      <c r="O842" s="5"/>
      <c r="P842" s="5"/>
      <c r="Q842" s="5"/>
      <c r="R842" s="5"/>
      <c r="S842" s="5"/>
      <c r="T842" s="5"/>
      <c r="U842" s="5"/>
      <c r="V842" s="5"/>
      <c r="Y842" s="5"/>
      <c r="Z842" s="5"/>
      <c r="AA842" s="5"/>
      <c r="AB842" s="5"/>
      <c r="AC842" s="5"/>
      <c r="AD842" s="5"/>
      <c r="AE842" s="5"/>
      <c r="AF842" s="5"/>
      <c r="AG842" s="5"/>
      <c r="AH842" s="5"/>
      <c r="AI842" s="5"/>
      <c r="AJ842" s="5"/>
      <c r="AK842" s="5"/>
      <c r="AL842" s="5"/>
      <c r="AM842" s="5"/>
      <c r="AN842" s="5"/>
    </row>
    <row r="843" spans="1:40" ht="18.75" customHeight="1">
      <c r="A843" s="5"/>
      <c r="B843" s="5"/>
      <c r="C843" s="5"/>
      <c r="D843" s="5"/>
      <c r="E843" s="5"/>
      <c r="F843" s="5"/>
      <c r="G843" s="5"/>
      <c r="H843" s="5"/>
      <c r="I843" s="5"/>
      <c r="J843" s="5"/>
      <c r="K843" s="5"/>
      <c r="L843" s="5"/>
      <c r="M843" s="5"/>
      <c r="N843" s="5"/>
      <c r="O843" s="5"/>
      <c r="P843" s="5"/>
      <c r="Q843" s="5"/>
      <c r="R843" s="5"/>
      <c r="S843" s="5"/>
      <c r="T843" s="5"/>
      <c r="U843" s="5"/>
      <c r="V843" s="5"/>
      <c r="Y843" s="5"/>
      <c r="Z843" s="5"/>
      <c r="AA843" s="5"/>
      <c r="AB843" s="5"/>
      <c r="AC843" s="5"/>
      <c r="AD843" s="5"/>
      <c r="AE843" s="5"/>
      <c r="AF843" s="5"/>
      <c r="AG843" s="5"/>
      <c r="AH843" s="5"/>
      <c r="AI843" s="5"/>
      <c r="AJ843" s="5"/>
      <c r="AK843" s="5"/>
      <c r="AL843" s="5"/>
      <c r="AM843" s="5"/>
      <c r="AN843" s="5"/>
    </row>
    <row r="844" spans="1:40" ht="18.75" customHeight="1">
      <c r="A844" s="5"/>
      <c r="B844" s="5"/>
      <c r="C844" s="5"/>
      <c r="D844" s="5"/>
      <c r="E844" s="5"/>
      <c r="F844" s="5"/>
      <c r="G844" s="5"/>
      <c r="H844" s="5"/>
      <c r="I844" s="5"/>
      <c r="J844" s="5"/>
      <c r="K844" s="5"/>
      <c r="L844" s="5"/>
      <c r="M844" s="5"/>
      <c r="N844" s="5"/>
      <c r="O844" s="5"/>
      <c r="P844" s="5"/>
      <c r="Q844" s="5"/>
      <c r="R844" s="5"/>
      <c r="S844" s="5"/>
      <c r="T844" s="5"/>
      <c r="U844" s="5"/>
      <c r="V844" s="5"/>
      <c r="Y844" s="5"/>
      <c r="Z844" s="5"/>
      <c r="AA844" s="5"/>
      <c r="AB844" s="5"/>
      <c r="AC844" s="5"/>
      <c r="AD844" s="5"/>
      <c r="AE844" s="5"/>
      <c r="AF844" s="5"/>
      <c r="AG844" s="5"/>
      <c r="AH844" s="5"/>
      <c r="AI844" s="5"/>
      <c r="AJ844" s="5"/>
      <c r="AK844" s="5"/>
      <c r="AL844" s="5"/>
      <c r="AM844" s="5"/>
      <c r="AN844" s="5"/>
    </row>
    <row r="845" spans="1:40" ht="18.75" customHeight="1">
      <c r="A845" s="5"/>
      <c r="B845" s="5"/>
      <c r="C845" s="5"/>
      <c r="D845" s="5"/>
      <c r="E845" s="5"/>
      <c r="F845" s="5"/>
      <c r="G845" s="5"/>
      <c r="H845" s="5"/>
      <c r="I845" s="5"/>
      <c r="J845" s="5"/>
      <c r="K845" s="5"/>
      <c r="L845" s="5"/>
      <c r="M845" s="5"/>
      <c r="N845" s="5"/>
      <c r="O845" s="5"/>
      <c r="P845" s="5"/>
      <c r="Q845" s="5"/>
      <c r="R845" s="5"/>
      <c r="S845" s="5"/>
      <c r="T845" s="5"/>
      <c r="U845" s="5"/>
      <c r="V845" s="5"/>
      <c r="Y845" s="5"/>
      <c r="Z845" s="5"/>
      <c r="AA845" s="5"/>
      <c r="AB845" s="5"/>
      <c r="AC845" s="5"/>
      <c r="AD845" s="5"/>
      <c r="AE845" s="5"/>
      <c r="AF845" s="5"/>
      <c r="AG845" s="5"/>
      <c r="AH845" s="5"/>
      <c r="AI845" s="5"/>
      <c r="AJ845" s="5"/>
      <c r="AK845" s="5"/>
      <c r="AL845" s="5"/>
      <c r="AM845" s="5"/>
      <c r="AN845" s="5"/>
    </row>
    <row r="846" spans="1:40" ht="18.75" customHeight="1">
      <c r="A846" s="5"/>
      <c r="B846" s="5"/>
      <c r="C846" s="5"/>
      <c r="D846" s="5"/>
      <c r="E846" s="5"/>
      <c r="F846" s="5"/>
      <c r="G846" s="5"/>
      <c r="H846" s="5"/>
      <c r="I846" s="5"/>
      <c r="J846" s="5"/>
      <c r="K846" s="5"/>
      <c r="L846" s="5"/>
      <c r="M846" s="5"/>
      <c r="N846" s="5"/>
      <c r="O846" s="5"/>
      <c r="P846" s="5"/>
      <c r="Q846" s="5"/>
      <c r="R846" s="5"/>
      <c r="S846" s="5"/>
      <c r="T846" s="5"/>
      <c r="U846" s="5"/>
      <c r="V846" s="5"/>
      <c r="Y846" s="5"/>
      <c r="Z846" s="5"/>
      <c r="AA846" s="5"/>
      <c r="AB846" s="5"/>
      <c r="AC846" s="5"/>
      <c r="AD846" s="5"/>
      <c r="AE846" s="5"/>
      <c r="AF846" s="5"/>
      <c r="AG846" s="5"/>
      <c r="AH846" s="5"/>
      <c r="AI846" s="5"/>
      <c r="AJ846" s="5"/>
      <c r="AK846" s="5"/>
      <c r="AL846" s="5"/>
      <c r="AM846" s="5"/>
      <c r="AN846" s="5"/>
    </row>
    <row r="847" spans="1:40" ht="18.75" customHeight="1">
      <c r="A847" s="5"/>
      <c r="B847" s="5"/>
      <c r="C847" s="5"/>
      <c r="D847" s="5"/>
      <c r="E847" s="5"/>
      <c r="F847" s="5"/>
      <c r="G847" s="5"/>
      <c r="H847" s="5"/>
      <c r="I847" s="5"/>
      <c r="J847" s="5"/>
      <c r="K847" s="5"/>
      <c r="L847" s="5"/>
      <c r="M847" s="5"/>
      <c r="N847" s="5"/>
      <c r="O847" s="5"/>
      <c r="P847" s="5"/>
      <c r="Q847" s="5"/>
      <c r="R847" s="5"/>
      <c r="S847" s="5"/>
      <c r="T847" s="5"/>
      <c r="U847" s="5"/>
      <c r="V847" s="5"/>
      <c r="Y847" s="5"/>
      <c r="Z847" s="5"/>
      <c r="AA847" s="5"/>
      <c r="AB847" s="5"/>
      <c r="AC847" s="5"/>
      <c r="AD847" s="5"/>
      <c r="AE847" s="5"/>
      <c r="AF847" s="5"/>
      <c r="AG847" s="5"/>
      <c r="AH847" s="5"/>
      <c r="AI847" s="5"/>
      <c r="AJ847" s="5"/>
      <c r="AK847" s="5"/>
      <c r="AL847" s="5"/>
      <c r="AM847" s="5"/>
      <c r="AN847" s="5"/>
    </row>
    <row r="848" spans="1:40" ht="18.75" customHeight="1">
      <c r="A848" s="5"/>
      <c r="B848" s="5"/>
      <c r="C848" s="5"/>
      <c r="D848" s="5"/>
      <c r="E848" s="5"/>
      <c r="F848" s="5"/>
      <c r="G848" s="5"/>
      <c r="H848" s="5"/>
      <c r="I848" s="5"/>
      <c r="J848" s="5"/>
      <c r="K848" s="5"/>
      <c r="L848" s="5"/>
      <c r="M848" s="5"/>
      <c r="N848" s="5"/>
      <c r="O848" s="5"/>
      <c r="P848" s="5"/>
      <c r="Q848" s="5"/>
      <c r="R848" s="5"/>
      <c r="S848" s="5"/>
      <c r="T848" s="5"/>
      <c r="U848" s="5"/>
      <c r="V848" s="5"/>
      <c r="Y848" s="5"/>
      <c r="Z848" s="5"/>
      <c r="AA848" s="5"/>
      <c r="AB848" s="5"/>
      <c r="AC848" s="5"/>
      <c r="AD848" s="5"/>
      <c r="AE848" s="5"/>
      <c r="AF848" s="5"/>
      <c r="AG848" s="5"/>
      <c r="AH848" s="5"/>
      <c r="AI848" s="5"/>
      <c r="AJ848" s="5"/>
      <c r="AK848" s="5"/>
      <c r="AL848" s="5"/>
      <c r="AM848" s="5"/>
      <c r="AN848" s="5"/>
    </row>
    <row r="849" spans="1:40" ht="18.75" customHeight="1">
      <c r="A849" s="5"/>
      <c r="B849" s="5"/>
      <c r="C849" s="5"/>
      <c r="D849" s="5"/>
      <c r="E849" s="5"/>
      <c r="F849" s="5"/>
      <c r="G849" s="5"/>
      <c r="H849" s="5"/>
      <c r="I849" s="5"/>
      <c r="J849" s="5"/>
      <c r="K849" s="5"/>
      <c r="L849" s="5"/>
      <c r="M849" s="5"/>
      <c r="N849" s="5"/>
      <c r="O849" s="5"/>
      <c r="P849" s="5"/>
      <c r="Q849" s="5"/>
      <c r="R849" s="5"/>
      <c r="S849" s="5"/>
      <c r="T849" s="5"/>
      <c r="U849" s="5"/>
      <c r="V849" s="5"/>
      <c r="Y849" s="5"/>
      <c r="Z849" s="5"/>
      <c r="AA849" s="5"/>
      <c r="AB849" s="5"/>
      <c r="AC849" s="5"/>
      <c r="AD849" s="5"/>
      <c r="AE849" s="5"/>
      <c r="AF849" s="5"/>
      <c r="AG849" s="5"/>
      <c r="AH849" s="5"/>
      <c r="AI849" s="5"/>
      <c r="AJ849" s="5"/>
      <c r="AK849" s="5"/>
      <c r="AL849" s="5"/>
      <c r="AM849" s="5"/>
      <c r="AN849" s="5"/>
    </row>
    <row r="850" spans="1:40" ht="18.75" customHeight="1">
      <c r="A850" s="5"/>
      <c r="B850" s="5"/>
      <c r="C850" s="5"/>
      <c r="D850" s="5"/>
      <c r="E850" s="5"/>
      <c r="F850" s="5"/>
      <c r="G850" s="5"/>
      <c r="H850" s="5"/>
      <c r="I850" s="5"/>
      <c r="J850" s="5"/>
      <c r="K850" s="5"/>
      <c r="L850" s="5"/>
      <c r="M850" s="5"/>
      <c r="N850" s="5"/>
      <c r="O850" s="5"/>
      <c r="P850" s="5"/>
      <c r="Q850" s="5"/>
      <c r="R850" s="5"/>
      <c r="S850" s="5"/>
      <c r="T850" s="5"/>
      <c r="U850" s="5"/>
      <c r="V850" s="5"/>
      <c r="Y850" s="5"/>
      <c r="Z850" s="5"/>
      <c r="AA850" s="5"/>
      <c r="AB850" s="5"/>
      <c r="AC850" s="5"/>
      <c r="AD850" s="5"/>
      <c r="AE850" s="5"/>
      <c r="AF850" s="5"/>
      <c r="AG850" s="5"/>
      <c r="AH850" s="5"/>
      <c r="AI850" s="5"/>
      <c r="AJ850" s="5"/>
      <c r="AK850" s="5"/>
      <c r="AL850" s="5"/>
      <c r="AM850" s="5"/>
      <c r="AN850" s="5"/>
    </row>
    <row r="851" spans="1:40" ht="18.75" customHeight="1">
      <c r="A851" s="5"/>
      <c r="B851" s="5"/>
      <c r="C851" s="5"/>
      <c r="D851" s="5"/>
      <c r="E851" s="5"/>
      <c r="F851" s="5"/>
      <c r="G851" s="5"/>
      <c r="H851" s="5"/>
      <c r="I851" s="5"/>
      <c r="J851" s="5"/>
      <c r="K851" s="5"/>
      <c r="L851" s="5"/>
      <c r="M851" s="5"/>
      <c r="N851" s="5"/>
      <c r="O851" s="5"/>
      <c r="P851" s="5"/>
      <c r="Q851" s="5"/>
      <c r="R851" s="5"/>
      <c r="S851" s="5"/>
      <c r="T851" s="5"/>
      <c r="U851" s="5"/>
      <c r="V851" s="5"/>
      <c r="Y851" s="5"/>
      <c r="Z851" s="5"/>
      <c r="AA851" s="5"/>
      <c r="AB851" s="5"/>
      <c r="AC851" s="5"/>
      <c r="AD851" s="5"/>
      <c r="AE851" s="5"/>
      <c r="AF851" s="5"/>
      <c r="AG851" s="5"/>
      <c r="AH851" s="5"/>
      <c r="AI851" s="5"/>
      <c r="AJ851" s="5"/>
      <c r="AK851" s="5"/>
      <c r="AL851" s="5"/>
      <c r="AM851" s="5"/>
      <c r="AN851" s="5"/>
    </row>
    <row r="852" spans="1:40" ht="18.75" customHeight="1">
      <c r="A852" s="5"/>
      <c r="B852" s="5"/>
      <c r="C852" s="5"/>
      <c r="D852" s="5"/>
      <c r="E852" s="5"/>
      <c r="F852" s="5"/>
      <c r="G852" s="5"/>
      <c r="H852" s="5"/>
      <c r="I852" s="5"/>
      <c r="J852" s="5"/>
      <c r="K852" s="5"/>
      <c r="L852" s="5"/>
      <c r="M852" s="5"/>
      <c r="N852" s="5"/>
      <c r="O852" s="5"/>
      <c r="P852" s="5"/>
      <c r="Q852" s="5"/>
      <c r="R852" s="5"/>
      <c r="S852" s="5"/>
      <c r="T852" s="5"/>
      <c r="U852" s="5"/>
      <c r="V852" s="5"/>
      <c r="Y852" s="5"/>
      <c r="Z852" s="5"/>
      <c r="AA852" s="5"/>
      <c r="AB852" s="5"/>
      <c r="AC852" s="5"/>
      <c r="AD852" s="5"/>
      <c r="AE852" s="5"/>
      <c r="AF852" s="5"/>
      <c r="AG852" s="5"/>
      <c r="AH852" s="5"/>
      <c r="AI852" s="5"/>
      <c r="AJ852" s="5"/>
      <c r="AK852" s="5"/>
      <c r="AL852" s="5"/>
      <c r="AM852" s="5"/>
      <c r="AN852" s="5"/>
    </row>
    <row r="853" spans="1:40" ht="18.75" customHeight="1">
      <c r="A853" s="5"/>
      <c r="B853" s="5"/>
      <c r="C853" s="5"/>
      <c r="D853" s="5"/>
      <c r="E853" s="5"/>
      <c r="F853" s="5"/>
      <c r="G853" s="5"/>
      <c r="H853" s="5"/>
      <c r="I853" s="5"/>
      <c r="J853" s="5"/>
      <c r="K853" s="5"/>
      <c r="L853" s="5"/>
      <c r="M853" s="5"/>
      <c r="N853" s="5"/>
      <c r="O853" s="5"/>
      <c r="P853" s="5"/>
      <c r="Q853" s="5"/>
      <c r="R853" s="5"/>
      <c r="S853" s="5"/>
      <c r="T853" s="5"/>
      <c r="U853" s="5"/>
      <c r="V853" s="5"/>
      <c r="Y853" s="5"/>
      <c r="Z853" s="5"/>
      <c r="AA853" s="5"/>
      <c r="AB853" s="5"/>
      <c r="AC853" s="5"/>
      <c r="AD853" s="5"/>
      <c r="AE853" s="5"/>
      <c r="AF853" s="5"/>
      <c r="AG853" s="5"/>
      <c r="AH853" s="5"/>
      <c r="AI853" s="5"/>
      <c r="AJ853" s="5"/>
      <c r="AK853" s="5"/>
      <c r="AL853" s="5"/>
      <c r="AM853" s="5"/>
      <c r="AN853" s="5"/>
    </row>
    <row r="854" spans="1:40" ht="18.75" customHeight="1">
      <c r="A854" s="5"/>
      <c r="B854" s="5"/>
      <c r="C854" s="5"/>
      <c r="D854" s="5"/>
      <c r="E854" s="5"/>
      <c r="F854" s="5"/>
      <c r="G854" s="5"/>
      <c r="H854" s="5"/>
      <c r="I854" s="5"/>
      <c r="J854" s="5"/>
      <c r="K854" s="5"/>
      <c r="L854" s="5"/>
      <c r="M854" s="5"/>
      <c r="N854" s="5"/>
      <c r="O854" s="5"/>
      <c r="P854" s="5"/>
      <c r="Q854" s="5"/>
      <c r="R854" s="5"/>
      <c r="S854" s="5"/>
      <c r="T854" s="5"/>
      <c r="U854" s="5"/>
      <c r="V854" s="5"/>
      <c r="Y854" s="5"/>
      <c r="Z854" s="5"/>
      <c r="AA854" s="5"/>
      <c r="AB854" s="5"/>
      <c r="AC854" s="5"/>
      <c r="AD854" s="5"/>
      <c r="AE854" s="5"/>
      <c r="AF854" s="5"/>
      <c r="AG854" s="5"/>
      <c r="AH854" s="5"/>
      <c r="AI854" s="5"/>
      <c r="AJ854" s="5"/>
      <c r="AK854" s="5"/>
      <c r="AL854" s="5"/>
      <c r="AM854" s="5"/>
      <c r="AN854" s="5"/>
    </row>
    <row r="855" spans="1:40" ht="18.75" customHeight="1">
      <c r="A855" s="5"/>
      <c r="B855" s="5"/>
      <c r="C855" s="5"/>
      <c r="D855" s="5"/>
      <c r="E855" s="5"/>
      <c r="F855" s="5"/>
      <c r="G855" s="5"/>
      <c r="H855" s="5"/>
      <c r="I855" s="5"/>
      <c r="J855" s="5"/>
      <c r="K855" s="5"/>
      <c r="L855" s="5"/>
      <c r="M855" s="5"/>
      <c r="N855" s="5"/>
      <c r="O855" s="5"/>
      <c r="P855" s="5"/>
      <c r="Q855" s="5"/>
      <c r="R855" s="5"/>
      <c r="S855" s="5"/>
      <c r="T855" s="5"/>
      <c r="U855" s="5"/>
      <c r="V855" s="5"/>
      <c r="Y855" s="5"/>
      <c r="Z855" s="5"/>
      <c r="AA855" s="5"/>
      <c r="AB855" s="5"/>
      <c r="AC855" s="5"/>
      <c r="AD855" s="5"/>
      <c r="AE855" s="5"/>
      <c r="AF855" s="5"/>
      <c r="AG855" s="5"/>
      <c r="AH855" s="5"/>
      <c r="AI855" s="5"/>
      <c r="AJ855" s="5"/>
      <c r="AK855" s="5"/>
      <c r="AL855" s="5"/>
      <c r="AM855" s="5"/>
      <c r="AN855" s="5"/>
    </row>
    <row r="856" spans="1:40" ht="18.75" customHeight="1">
      <c r="A856" s="5"/>
      <c r="B856" s="5"/>
      <c r="C856" s="5"/>
      <c r="D856" s="5"/>
      <c r="E856" s="5"/>
      <c r="F856" s="5"/>
      <c r="G856" s="5"/>
      <c r="H856" s="5"/>
      <c r="I856" s="5"/>
      <c r="J856" s="5"/>
      <c r="K856" s="5"/>
      <c r="L856" s="5"/>
      <c r="M856" s="5"/>
      <c r="N856" s="5"/>
      <c r="O856" s="5"/>
      <c r="P856" s="5"/>
      <c r="Q856" s="5"/>
      <c r="R856" s="5"/>
      <c r="S856" s="5"/>
      <c r="T856" s="5"/>
      <c r="U856" s="5"/>
      <c r="V856" s="5"/>
      <c r="Y856" s="5"/>
      <c r="Z856" s="5"/>
      <c r="AA856" s="5"/>
      <c r="AB856" s="5"/>
      <c r="AC856" s="5"/>
      <c r="AD856" s="5"/>
      <c r="AE856" s="5"/>
      <c r="AF856" s="5"/>
      <c r="AG856" s="5"/>
      <c r="AH856" s="5"/>
      <c r="AI856" s="5"/>
      <c r="AJ856" s="5"/>
      <c r="AK856" s="5"/>
      <c r="AL856" s="5"/>
      <c r="AM856" s="5"/>
      <c r="AN856" s="5"/>
    </row>
    <row r="857" spans="1:40" ht="18.75" customHeight="1">
      <c r="A857" s="5"/>
      <c r="B857" s="5"/>
      <c r="C857" s="5"/>
      <c r="D857" s="5"/>
      <c r="E857" s="5"/>
      <c r="F857" s="5"/>
      <c r="G857" s="5"/>
      <c r="H857" s="5"/>
      <c r="I857" s="5"/>
      <c r="J857" s="5"/>
      <c r="K857" s="5"/>
      <c r="L857" s="5"/>
      <c r="M857" s="5"/>
      <c r="N857" s="5"/>
      <c r="O857" s="5"/>
      <c r="P857" s="5"/>
      <c r="Q857" s="5"/>
      <c r="R857" s="5"/>
      <c r="S857" s="5"/>
      <c r="T857" s="5"/>
      <c r="U857" s="5"/>
      <c r="V857" s="5"/>
      <c r="Y857" s="5"/>
      <c r="Z857" s="5"/>
      <c r="AA857" s="5"/>
      <c r="AB857" s="5"/>
      <c r="AC857" s="5"/>
      <c r="AD857" s="5"/>
      <c r="AE857" s="5"/>
      <c r="AF857" s="5"/>
      <c r="AG857" s="5"/>
      <c r="AH857" s="5"/>
      <c r="AI857" s="5"/>
      <c r="AJ857" s="5"/>
      <c r="AK857" s="5"/>
      <c r="AL857" s="5"/>
      <c r="AM857" s="5"/>
      <c r="AN857" s="5"/>
    </row>
    <row r="858" spans="1:40" ht="18.75" customHeight="1">
      <c r="A858" s="5"/>
      <c r="B858" s="5"/>
      <c r="C858" s="5"/>
      <c r="D858" s="5"/>
      <c r="E858" s="5"/>
      <c r="F858" s="5"/>
      <c r="G858" s="5"/>
      <c r="H858" s="5"/>
      <c r="I858" s="5"/>
      <c r="J858" s="5"/>
      <c r="K858" s="5"/>
      <c r="L858" s="5"/>
      <c r="M858" s="5"/>
      <c r="N858" s="5"/>
      <c r="O858" s="5"/>
      <c r="P858" s="5"/>
      <c r="Q858" s="5"/>
      <c r="R858" s="5"/>
      <c r="S858" s="5"/>
      <c r="T858" s="5"/>
      <c r="U858" s="5"/>
      <c r="V858" s="5"/>
      <c r="Y858" s="5"/>
      <c r="Z858" s="5"/>
      <c r="AA858" s="5"/>
      <c r="AB858" s="5"/>
      <c r="AC858" s="5"/>
      <c r="AD858" s="5"/>
      <c r="AE858" s="5"/>
      <c r="AF858" s="5"/>
      <c r="AG858" s="5"/>
      <c r="AH858" s="5"/>
      <c r="AI858" s="5"/>
      <c r="AJ858" s="5"/>
      <c r="AK858" s="5"/>
      <c r="AL858" s="5"/>
      <c r="AM858" s="5"/>
      <c r="AN858" s="5"/>
    </row>
    <row r="859" spans="1:40" ht="18.75" customHeight="1">
      <c r="A859" s="5"/>
      <c r="B859" s="5"/>
      <c r="C859" s="5"/>
      <c r="D859" s="5"/>
      <c r="E859" s="5"/>
      <c r="F859" s="5"/>
      <c r="G859" s="5"/>
      <c r="H859" s="5"/>
      <c r="I859" s="5"/>
      <c r="J859" s="5"/>
      <c r="K859" s="5"/>
      <c r="L859" s="5"/>
      <c r="M859" s="5"/>
      <c r="N859" s="5"/>
      <c r="O859" s="5"/>
      <c r="P859" s="5"/>
      <c r="Q859" s="5"/>
      <c r="R859" s="5"/>
      <c r="S859" s="5"/>
      <c r="T859" s="5"/>
      <c r="U859" s="5"/>
      <c r="V859" s="5"/>
      <c r="Y859" s="5"/>
      <c r="Z859" s="5"/>
      <c r="AA859" s="5"/>
      <c r="AB859" s="5"/>
      <c r="AC859" s="5"/>
      <c r="AD859" s="5"/>
      <c r="AE859" s="5"/>
      <c r="AF859" s="5"/>
      <c r="AG859" s="5"/>
      <c r="AH859" s="5"/>
      <c r="AI859" s="5"/>
      <c r="AJ859" s="5"/>
      <c r="AK859" s="5"/>
      <c r="AL859" s="5"/>
      <c r="AM859" s="5"/>
      <c r="AN859" s="5"/>
    </row>
    <row r="860" spans="1:40" ht="18.75" customHeight="1">
      <c r="A860" s="5"/>
      <c r="B860" s="5"/>
      <c r="C860" s="5"/>
      <c r="D860" s="5"/>
      <c r="E860" s="5"/>
      <c r="F860" s="5"/>
      <c r="G860" s="5"/>
      <c r="H860" s="5"/>
      <c r="I860" s="5"/>
      <c r="J860" s="5"/>
      <c r="K860" s="5"/>
      <c r="L860" s="5"/>
      <c r="M860" s="5"/>
      <c r="N860" s="5"/>
      <c r="O860" s="5"/>
      <c r="P860" s="5"/>
      <c r="Q860" s="5"/>
      <c r="R860" s="5"/>
      <c r="S860" s="5"/>
      <c r="T860" s="5"/>
      <c r="U860" s="5"/>
      <c r="V860" s="5"/>
      <c r="Y860" s="5"/>
      <c r="Z860" s="5"/>
      <c r="AA860" s="5"/>
      <c r="AB860" s="5"/>
      <c r="AC860" s="5"/>
      <c r="AD860" s="5"/>
      <c r="AE860" s="5"/>
      <c r="AF860" s="5"/>
      <c r="AG860" s="5"/>
      <c r="AH860" s="5"/>
      <c r="AI860" s="5"/>
      <c r="AJ860" s="5"/>
      <c r="AK860" s="5"/>
      <c r="AL860" s="5"/>
      <c r="AM860" s="5"/>
      <c r="AN860" s="5"/>
    </row>
    <row r="861" spans="1:40" ht="18.75" customHeight="1">
      <c r="A861" s="5"/>
      <c r="B861" s="5"/>
      <c r="C861" s="5"/>
      <c r="D861" s="5"/>
      <c r="E861" s="5"/>
      <c r="F861" s="5"/>
      <c r="G861" s="5"/>
      <c r="H861" s="5"/>
      <c r="I861" s="5"/>
      <c r="J861" s="5"/>
      <c r="K861" s="5"/>
      <c r="L861" s="5"/>
      <c r="M861" s="5"/>
      <c r="N861" s="5"/>
      <c r="O861" s="5"/>
      <c r="P861" s="5"/>
      <c r="Q861" s="5"/>
      <c r="R861" s="5"/>
      <c r="S861" s="5"/>
      <c r="T861" s="5"/>
      <c r="U861" s="5"/>
      <c r="V861" s="5"/>
      <c r="Y861" s="5"/>
      <c r="Z861" s="5"/>
      <c r="AA861" s="5"/>
      <c r="AB861" s="5"/>
      <c r="AC861" s="5"/>
      <c r="AD861" s="5"/>
      <c r="AE861" s="5"/>
      <c r="AF861" s="5"/>
      <c r="AG861" s="5"/>
      <c r="AH861" s="5"/>
      <c r="AI861" s="5"/>
      <c r="AJ861" s="5"/>
      <c r="AK861" s="5"/>
      <c r="AL861" s="5"/>
      <c r="AM861" s="5"/>
      <c r="AN861" s="5"/>
    </row>
    <row r="862" spans="1:40" ht="18.75" customHeight="1">
      <c r="A862" s="5"/>
      <c r="B862" s="5"/>
      <c r="C862" s="5"/>
      <c r="D862" s="5"/>
      <c r="E862" s="5"/>
      <c r="F862" s="5"/>
      <c r="G862" s="5"/>
      <c r="H862" s="5"/>
      <c r="I862" s="5"/>
      <c r="J862" s="5"/>
      <c r="K862" s="5"/>
      <c r="L862" s="5"/>
      <c r="M862" s="5"/>
      <c r="N862" s="5"/>
      <c r="O862" s="5"/>
      <c r="P862" s="5"/>
      <c r="Q862" s="5"/>
      <c r="R862" s="5"/>
      <c r="S862" s="5"/>
      <c r="T862" s="5"/>
      <c r="U862" s="5"/>
      <c r="V862" s="5"/>
      <c r="Y862" s="5"/>
      <c r="Z862" s="5"/>
      <c r="AA862" s="5"/>
      <c r="AB862" s="5"/>
      <c r="AC862" s="5"/>
      <c r="AD862" s="5"/>
      <c r="AE862" s="5"/>
      <c r="AF862" s="5"/>
      <c r="AG862" s="5"/>
      <c r="AH862" s="5"/>
      <c r="AI862" s="5"/>
      <c r="AJ862" s="5"/>
      <c r="AK862" s="5"/>
      <c r="AL862" s="5"/>
      <c r="AM862" s="5"/>
      <c r="AN862" s="5"/>
    </row>
    <row r="863" spans="1:40" ht="18.75" customHeight="1">
      <c r="A863" s="5"/>
      <c r="B863" s="5"/>
      <c r="C863" s="5"/>
      <c r="D863" s="5"/>
      <c r="E863" s="5"/>
      <c r="F863" s="5"/>
      <c r="G863" s="5"/>
      <c r="H863" s="5"/>
      <c r="I863" s="5"/>
      <c r="J863" s="5"/>
      <c r="K863" s="5"/>
      <c r="L863" s="5"/>
      <c r="M863" s="5"/>
      <c r="N863" s="5"/>
      <c r="O863" s="5"/>
      <c r="P863" s="5"/>
      <c r="Q863" s="5"/>
      <c r="R863" s="5"/>
      <c r="S863" s="5"/>
      <c r="T863" s="5"/>
      <c r="U863" s="5"/>
      <c r="V863" s="5"/>
      <c r="Y863" s="5"/>
      <c r="Z863" s="5"/>
      <c r="AA863" s="5"/>
      <c r="AB863" s="5"/>
      <c r="AC863" s="5"/>
      <c r="AD863" s="5"/>
      <c r="AE863" s="5"/>
      <c r="AF863" s="5"/>
      <c r="AG863" s="5"/>
      <c r="AH863" s="5"/>
      <c r="AI863" s="5"/>
      <c r="AJ863" s="5"/>
      <c r="AK863" s="5"/>
      <c r="AL863" s="5"/>
      <c r="AM863" s="5"/>
      <c r="AN863" s="5"/>
    </row>
    <row r="864" spans="1:40" ht="18.75" customHeight="1">
      <c r="A864" s="5"/>
      <c r="B864" s="5"/>
      <c r="C864" s="5"/>
      <c r="D864" s="5"/>
      <c r="E864" s="5"/>
      <c r="F864" s="5"/>
      <c r="G864" s="5"/>
      <c r="H864" s="5"/>
      <c r="I864" s="5"/>
      <c r="J864" s="5"/>
      <c r="K864" s="5"/>
      <c r="L864" s="5"/>
      <c r="M864" s="5"/>
      <c r="N864" s="5"/>
      <c r="O864" s="5"/>
      <c r="P864" s="5"/>
      <c r="Q864" s="5"/>
      <c r="R864" s="5"/>
      <c r="S864" s="5"/>
      <c r="T864" s="5"/>
      <c r="U864" s="5"/>
      <c r="V864" s="5"/>
      <c r="Y864" s="5"/>
      <c r="Z864" s="5"/>
      <c r="AA864" s="5"/>
      <c r="AB864" s="5"/>
      <c r="AC864" s="5"/>
      <c r="AD864" s="5"/>
      <c r="AE864" s="5"/>
      <c r="AF864" s="5"/>
      <c r="AG864" s="5"/>
      <c r="AH864" s="5"/>
      <c r="AI864" s="5"/>
      <c r="AJ864" s="5"/>
      <c r="AK864" s="5"/>
      <c r="AL864" s="5"/>
      <c r="AM864" s="5"/>
      <c r="AN864" s="5"/>
    </row>
    <row r="865" spans="1:40" ht="18.75" customHeight="1">
      <c r="A865" s="5"/>
      <c r="B865" s="5"/>
      <c r="C865" s="5"/>
      <c r="D865" s="5"/>
      <c r="E865" s="5"/>
      <c r="F865" s="5"/>
      <c r="G865" s="5"/>
      <c r="H865" s="5"/>
      <c r="I865" s="5"/>
      <c r="J865" s="5"/>
      <c r="K865" s="5"/>
      <c r="L865" s="5"/>
      <c r="M865" s="5"/>
      <c r="N865" s="5"/>
      <c r="O865" s="5"/>
      <c r="P865" s="5"/>
      <c r="Q865" s="5"/>
      <c r="R865" s="5"/>
      <c r="S865" s="5"/>
      <c r="T865" s="5"/>
      <c r="U865" s="5"/>
      <c r="V865" s="5"/>
      <c r="Y865" s="5"/>
      <c r="Z865" s="5"/>
      <c r="AA865" s="5"/>
      <c r="AB865" s="5"/>
      <c r="AC865" s="5"/>
      <c r="AD865" s="5"/>
      <c r="AE865" s="5"/>
      <c r="AF865" s="5"/>
      <c r="AG865" s="5"/>
      <c r="AH865" s="5"/>
      <c r="AI865" s="5"/>
      <c r="AJ865" s="5"/>
      <c r="AK865" s="5"/>
      <c r="AL865" s="5"/>
      <c r="AM865" s="5"/>
      <c r="AN865" s="5"/>
    </row>
    <row r="866" spans="1:40" ht="18.75" customHeight="1">
      <c r="A866" s="5"/>
      <c r="B866" s="5"/>
      <c r="C866" s="5"/>
      <c r="D866" s="5"/>
      <c r="E866" s="5"/>
      <c r="F866" s="5"/>
      <c r="G866" s="5"/>
      <c r="H866" s="5"/>
      <c r="I866" s="5"/>
      <c r="J866" s="5"/>
      <c r="K866" s="5"/>
      <c r="L866" s="5"/>
      <c r="M866" s="5"/>
      <c r="N866" s="5"/>
      <c r="O866" s="5"/>
      <c r="P866" s="5"/>
      <c r="Q866" s="5"/>
      <c r="R866" s="5"/>
      <c r="S866" s="5"/>
      <c r="T866" s="5"/>
      <c r="U866" s="5"/>
      <c r="V866" s="5"/>
      <c r="Y866" s="5"/>
      <c r="Z866" s="5"/>
      <c r="AA866" s="5"/>
      <c r="AB866" s="5"/>
      <c r="AC866" s="5"/>
      <c r="AD866" s="5"/>
      <c r="AE866" s="5"/>
      <c r="AF866" s="5"/>
      <c r="AG866" s="5"/>
      <c r="AH866" s="5"/>
      <c r="AI866" s="5"/>
      <c r="AJ866" s="5"/>
      <c r="AK866" s="5"/>
      <c r="AL866" s="5"/>
      <c r="AM866" s="5"/>
      <c r="AN866" s="5"/>
    </row>
    <row r="867" spans="1:40" ht="18.75" customHeight="1">
      <c r="A867" s="5"/>
      <c r="B867" s="5"/>
      <c r="C867" s="5"/>
      <c r="D867" s="5"/>
      <c r="E867" s="5"/>
      <c r="F867" s="5"/>
      <c r="G867" s="5"/>
      <c r="H867" s="5"/>
      <c r="I867" s="5"/>
      <c r="J867" s="5"/>
      <c r="K867" s="5"/>
      <c r="L867" s="5"/>
      <c r="M867" s="5"/>
      <c r="N867" s="5"/>
      <c r="O867" s="5"/>
      <c r="P867" s="5"/>
      <c r="Q867" s="5"/>
      <c r="R867" s="5"/>
      <c r="S867" s="5"/>
      <c r="T867" s="5"/>
      <c r="U867" s="5"/>
      <c r="V867" s="5"/>
      <c r="Y867" s="5"/>
      <c r="Z867" s="5"/>
      <c r="AA867" s="5"/>
      <c r="AB867" s="5"/>
      <c r="AC867" s="5"/>
      <c r="AD867" s="5"/>
      <c r="AE867" s="5"/>
      <c r="AF867" s="5"/>
      <c r="AG867" s="5"/>
      <c r="AH867" s="5"/>
      <c r="AI867" s="5"/>
      <c r="AJ867" s="5"/>
      <c r="AK867" s="5"/>
      <c r="AL867" s="5"/>
      <c r="AM867" s="5"/>
      <c r="AN867" s="5"/>
    </row>
    <row r="868" spans="1:40" ht="18.75" customHeight="1">
      <c r="A868" s="5"/>
      <c r="B868" s="5"/>
      <c r="C868" s="5"/>
      <c r="D868" s="5"/>
      <c r="E868" s="5"/>
      <c r="F868" s="5"/>
      <c r="G868" s="5"/>
      <c r="H868" s="5"/>
      <c r="I868" s="5"/>
      <c r="J868" s="5"/>
      <c r="K868" s="5"/>
      <c r="L868" s="5"/>
      <c r="M868" s="5"/>
      <c r="N868" s="5"/>
      <c r="O868" s="5"/>
      <c r="P868" s="5"/>
      <c r="Q868" s="5"/>
      <c r="R868" s="5"/>
      <c r="S868" s="5"/>
      <c r="T868" s="5"/>
      <c r="U868" s="5"/>
      <c r="V868" s="5"/>
      <c r="Y868" s="5"/>
      <c r="Z868" s="5"/>
      <c r="AA868" s="5"/>
      <c r="AB868" s="5"/>
      <c r="AC868" s="5"/>
      <c r="AD868" s="5"/>
      <c r="AE868" s="5"/>
      <c r="AF868" s="5"/>
      <c r="AG868" s="5"/>
      <c r="AH868" s="5"/>
      <c r="AI868" s="5"/>
      <c r="AJ868" s="5"/>
      <c r="AK868" s="5"/>
      <c r="AL868" s="5"/>
      <c r="AM868" s="5"/>
      <c r="AN868" s="5"/>
    </row>
    <row r="869" spans="1:40" ht="18.75" customHeight="1">
      <c r="A869" s="5"/>
      <c r="B869" s="5"/>
      <c r="C869" s="5"/>
      <c r="D869" s="5"/>
      <c r="E869" s="5"/>
      <c r="F869" s="5"/>
      <c r="G869" s="5"/>
      <c r="H869" s="5"/>
      <c r="I869" s="5"/>
      <c r="J869" s="5"/>
      <c r="K869" s="5"/>
      <c r="L869" s="5"/>
      <c r="M869" s="5"/>
      <c r="N869" s="5"/>
      <c r="O869" s="5"/>
      <c r="P869" s="5"/>
      <c r="Q869" s="5"/>
      <c r="R869" s="5"/>
      <c r="S869" s="5"/>
      <c r="T869" s="5"/>
      <c r="U869" s="5"/>
      <c r="V869" s="5"/>
      <c r="Y869" s="5"/>
      <c r="Z869" s="5"/>
      <c r="AA869" s="5"/>
      <c r="AB869" s="5"/>
      <c r="AC869" s="5"/>
      <c r="AD869" s="5"/>
      <c r="AE869" s="5"/>
      <c r="AF869" s="5"/>
      <c r="AG869" s="5"/>
      <c r="AH869" s="5"/>
      <c r="AI869" s="5"/>
      <c r="AJ869" s="5"/>
      <c r="AK869" s="5"/>
      <c r="AL869" s="5"/>
      <c r="AM869" s="5"/>
      <c r="AN869" s="5"/>
    </row>
    <row r="870" spans="1:40" ht="18.75" customHeight="1">
      <c r="A870" s="5"/>
      <c r="B870" s="5"/>
      <c r="C870" s="5"/>
      <c r="D870" s="5"/>
      <c r="E870" s="5"/>
      <c r="F870" s="5"/>
      <c r="G870" s="5"/>
      <c r="H870" s="5"/>
      <c r="I870" s="5"/>
      <c r="J870" s="5"/>
      <c r="K870" s="5"/>
      <c r="L870" s="5"/>
      <c r="M870" s="5"/>
      <c r="N870" s="5"/>
      <c r="O870" s="5"/>
      <c r="P870" s="5"/>
      <c r="Q870" s="5"/>
      <c r="R870" s="5"/>
      <c r="S870" s="5"/>
      <c r="T870" s="5"/>
      <c r="U870" s="5"/>
      <c r="V870" s="5"/>
      <c r="Y870" s="5"/>
      <c r="Z870" s="5"/>
      <c r="AA870" s="5"/>
      <c r="AB870" s="5"/>
      <c r="AC870" s="5"/>
      <c r="AD870" s="5"/>
      <c r="AE870" s="5"/>
      <c r="AF870" s="5"/>
      <c r="AG870" s="5"/>
      <c r="AH870" s="5"/>
      <c r="AI870" s="5"/>
      <c r="AJ870" s="5"/>
      <c r="AK870" s="5"/>
      <c r="AL870" s="5"/>
      <c r="AM870" s="5"/>
      <c r="AN870" s="5"/>
    </row>
    <row r="871" spans="1:40" ht="18.75" customHeight="1">
      <c r="A871" s="5"/>
      <c r="B871" s="5"/>
      <c r="C871" s="5"/>
      <c r="D871" s="5"/>
      <c r="E871" s="5"/>
      <c r="F871" s="5"/>
      <c r="G871" s="5"/>
      <c r="H871" s="5"/>
      <c r="I871" s="5"/>
      <c r="J871" s="5"/>
      <c r="K871" s="5"/>
      <c r="L871" s="5"/>
      <c r="M871" s="5"/>
      <c r="N871" s="5"/>
      <c r="O871" s="5"/>
      <c r="P871" s="5"/>
      <c r="Q871" s="5"/>
      <c r="R871" s="5"/>
      <c r="S871" s="5"/>
      <c r="T871" s="5"/>
      <c r="U871" s="5"/>
      <c r="V871" s="5"/>
      <c r="Y871" s="5"/>
      <c r="Z871" s="5"/>
      <c r="AA871" s="5"/>
      <c r="AB871" s="5"/>
      <c r="AC871" s="5"/>
      <c r="AD871" s="5"/>
      <c r="AE871" s="5"/>
      <c r="AF871" s="5"/>
      <c r="AG871" s="5"/>
      <c r="AH871" s="5"/>
      <c r="AI871" s="5"/>
      <c r="AJ871" s="5"/>
      <c r="AK871" s="5"/>
      <c r="AL871" s="5"/>
      <c r="AM871" s="5"/>
      <c r="AN871" s="5"/>
    </row>
    <row r="872" spans="1:40" ht="18.75" customHeight="1">
      <c r="A872" s="5"/>
      <c r="B872" s="5"/>
      <c r="C872" s="5"/>
      <c r="D872" s="5"/>
      <c r="E872" s="5"/>
      <c r="F872" s="5"/>
      <c r="G872" s="5"/>
      <c r="H872" s="5"/>
      <c r="I872" s="5"/>
      <c r="J872" s="5"/>
      <c r="K872" s="5"/>
      <c r="L872" s="5"/>
      <c r="M872" s="5"/>
      <c r="N872" s="5"/>
      <c r="O872" s="5"/>
      <c r="P872" s="5"/>
      <c r="Q872" s="5"/>
      <c r="R872" s="5"/>
      <c r="S872" s="5"/>
      <c r="T872" s="5"/>
      <c r="U872" s="5"/>
      <c r="V872" s="5"/>
      <c r="Y872" s="5"/>
      <c r="Z872" s="5"/>
      <c r="AA872" s="5"/>
      <c r="AB872" s="5"/>
      <c r="AC872" s="5"/>
      <c r="AD872" s="5"/>
      <c r="AE872" s="5"/>
      <c r="AF872" s="5"/>
      <c r="AG872" s="5"/>
      <c r="AH872" s="5"/>
      <c r="AI872" s="5"/>
      <c r="AJ872" s="5"/>
      <c r="AK872" s="5"/>
      <c r="AL872" s="5"/>
      <c r="AM872" s="5"/>
      <c r="AN872" s="5"/>
    </row>
    <row r="873" spans="1:40" ht="18.75" customHeight="1">
      <c r="A873" s="5"/>
      <c r="B873" s="5"/>
      <c r="C873" s="5"/>
      <c r="D873" s="5"/>
      <c r="E873" s="5"/>
      <c r="F873" s="5"/>
      <c r="G873" s="5"/>
      <c r="H873" s="5"/>
      <c r="I873" s="5"/>
      <c r="J873" s="5"/>
      <c r="K873" s="5"/>
      <c r="L873" s="5"/>
      <c r="M873" s="5"/>
      <c r="N873" s="5"/>
      <c r="O873" s="5"/>
      <c r="P873" s="5"/>
      <c r="Q873" s="5"/>
      <c r="R873" s="5"/>
      <c r="S873" s="5"/>
      <c r="T873" s="5"/>
      <c r="U873" s="5"/>
      <c r="V873" s="5"/>
      <c r="Y873" s="5"/>
      <c r="Z873" s="5"/>
      <c r="AA873" s="5"/>
      <c r="AB873" s="5"/>
      <c r="AC873" s="5"/>
      <c r="AD873" s="5"/>
      <c r="AE873" s="5"/>
      <c r="AF873" s="5"/>
      <c r="AG873" s="5"/>
      <c r="AH873" s="5"/>
      <c r="AI873" s="5"/>
      <c r="AJ873" s="5"/>
      <c r="AK873" s="5"/>
      <c r="AL873" s="5"/>
      <c r="AM873" s="5"/>
      <c r="AN873" s="5"/>
    </row>
    <row r="874" spans="1:40" ht="18.75" customHeight="1">
      <c r="A874" s="5"/>
      <c r="B874" s="5"/>
      <c r="C874" s="5"/>
      <c r="D874" s="5"/>
      <c r="E874" s="5"/>
      <c r="F874" s="5"/>
      <c r="G874" s="5"/>
      <c r="H874" s="5"/>
      <c r="I874" s="5"/>
      <c r="J874" s="5"/>
      <c r="K874" s="5"/>
      <c r="L874" s="5"/>
      <c r="M874" s="5"/>
      <c r="N874" s="5"/>
      <c r="O874" s="5"/>
      <c r="P874" s="5"/>
      <c r="Q874" s="5"/>
      <c r="R874" s="5"/>
      <c r="S874" s="5"/>
      <c r="T874" s="5"/>
      <c r="U874" s="5"/>
      <c r="V874" s="5"/>
      <c r="Y874" s="5"/>
      <c r="Z874" s="5"/>
      <c r="AA874" s="5"/>
      <c r="AB874" s="5"/>
      <c r="AC874" s="5"/>
      <c r="AD874" s="5"/>
      <c r="AE874" s="5"/>
      <c r="AF874" s="5"/>
      <c r="AG874" s="5"/>
      <c r="AH874" s="5"/>
      <c r="AI874" s="5"/>
      <c r="AJ874" s="5"/>
      <c r="AK874" s="5"/>
      <c r="AL874" s="5"/>
      <c r="AM874" s="5"/>
      <c r="AN874" s="5"/>
    </row>
    <row r="875" spans="1:40" ht="18.75" customHeight="1">
      <c r="A875" s="5"/>
      <c r="B875" s="5"/>
      <c r="C875" s="5"/>
      <c r="D875" s="5"/>
      <c r="E875" s="5"/>
      <c r="F875" s="5"/>
      <c r="G875" s="5"/>
      <c r="H875" s="5"/>
      <c r="I875" s="5"/>
      <c r="J875" s="5"/>
      <c r="K875" s="5"/>
      <c r="L875" s="5"/>
      <c r="M875" s="5"/>
      <c r="N875" s="5"/>
      <c r="O875" s="5"/>
      <c r="P875" s="5"/>
      <c r="Q875" s="5"/>
      <c r="R875" s="5"/>
      <c r="S875" s="5"/>
      <c r="T875" s="5"/>
      <c r="U875" s="5"/>
      <c r="V875" s="5"/>
      <c r="Y875" s="5"/>
      <c r="Z875" s="5"/>
      <c r="AA875" s="5"/>
      <c r="AB875" s="5"/>
      <c r="AC875" s="5"/>
      <c r="AD875" s="5"/>
      <c r="AE875" s="5"/>
      <c r="AF875" s="5"/>
      <c r="AG875" s="5"/>
      <c r="AH875" s="5"/>
      <c r="AI875" s="5"/>
      <c r="AJ875" s="5"/>
      <c r="AK875" s="5"/>
      <c r="AL875" s="5"/>
      <c r="AM875" s="5"/>
      <c r="AN875" s="5"/>
    </row>
    <row r="876" spans="1:40" ht="18.75" customHeight="1">
      <c r="A876" s="5"/>
      <c r="B876" s="5"/>
      <c r="C876" s="5"/>
      <c r="D876" s="5"/>
      <c r="E876" s="5"/>
      <c r="F876" s="5"/>
      <c r="G876" s="5"/>
      <c r="H876" s="5"/>
      <c r="I876" s="5"/>
      <c r="J876" s="5"/>
      <c r="K876" s="5"/>
      <c r="L876" s="5"/>
      <c r="M876" s="5"/>
      <c r="N876" s="5"/>
      <c r="O876" s="5"/>
      <c r="P876" s="5"/>
      <c r="Q876" s="5"/>
      <c r="R876" s="5"/>
      <c r="S876" s="5"/>
      <c r="T876" s="5"/>
      <c r="U876" s="5"/>
      <c r="V876" s="5"/>
      <c r="Y876" s="5"/>
      <c r="Z876" s="5"/>
      <c r="AA876" s="5"/>
      <c r="AB876" s="5"/>
      <c r="AC876" s="5"/>
      <c r="AD876" s="5"/>
      <c r="AE876" s="5"/>
      <c r="AF876" s="5"/>
      <c r="AG876" s="5"/>
      <c r="AH876" s="5"/>
      <c r="AI876" s="5"/>
      <c r="AJ876" s="5"/>
      <c r="AK876" s="5"/>
      <c r="AL876" s="5"/>
      <c r="AM876" s="5"/>
      <c r="AN876" s="5"/>
    </row>
    <row r="877" spans="1:40" ht="18.75" customHeight="1">
      <c r="A877" s="5"/>
      <c r="B877" s="5"/>
      <c r="C877" s="5"/>
      <c r="D877" s="5"/>
      <c r="E877" s="5"/>
      <c r="F877" s="5"/>
      <c r="G877" s="5"/>
      <c r="H877" s="5"/>
      <c r="I877" s="5"/>
      <c r="J877" s="5"/>
      <c r="K877" s="5"/>
      <c r="L877" s="5"/>
      <c r="M877" s="5"/>
      <c r="N877" s="5"/>
      <c r="O877" s="5"/>
      <c r="P877" s="5"/>
      <c r="Q877" s="5"/>
      <c r="R877" s="5"/>
      <c r="S877" s="5"/>
      <c r="T877" s="5"/>
      <c r="U877" s="5"/>
      <c r="V877" s="5"/>
      <c r="Y877" s="5"/>
      <c r="Z877" s="5"/>
      <c r="AA877" s="5"/>
      <c r="AB877" s="5"/>
      <c r="AC877" s="5"/>
      <c r="AD877" s="5"/>
      <c r="AE877" s="5"/>
      <c r="AF877" s="5"/>
      <c r="AG877" s="5"/>
      <c r="AH877" s="5"/>
      <c r="AI877" s="5"/>
      <c r="AJ877" s="5"/>
      <c r="AK877" s="5"/>
      <c r="AL877" s="5"/>
      <c r="AM877" s="5"/>
      <c r="AN877" s="5"/>
    </row>
    <row r="878" spans="1:40" ht="18.75" customHeight="1">
      <c r="A878" s="5"/>
      <c r="B878" s="5"/>
      <c r="C878" s="5"/>
      <c r="D878" s="5"/>
      <c r="E878" s="5"/>
      <c r="F878" s="5"/>
      <c r="G878" s="5"/>
      <c r="H878" s="5"/>
      <c r="I878" s="5"/>
      <c r="J878" s="5"/>
      <c r="K878" s="5"/>
      <c r="L878" s="5"/>
      <c r="M878" s="5"/>
      <c r="N878" s="5"/>
      <c r="O878" s="5"/>
      <c r="P878" s="5"/>
      <c r="Q878" s="5"/>
      <c r="R878" s="5"/>
      <c r="S878" s="5"/>
      <c r="T878" s="5"/>
      <c r="U878" s="5"/>
      <c r="V878" s="5"/>
      <c r="Y878" s="5"/>
      <c r="Z878" s="5"/>
      <c r="AA878" s="5"/>
      <c r="AB878" s="5"/>
      <c r="AC878" s="5"/>
      <c r="AD878" s="5"/>
      <c r="AE878" s="5"/>
      <c r="AF878" s="5"/>
      <c r="AG878" s="5"/>
      <c r="AH878" s="5"/>
      <c r="AI878" s="5"/>
      <c r="AJ878" s="5"/>
      <c r="AK878" s="5"/>
      <c r="AL878" s="5"/>
      <c r="AM878" s="5"/>
      <c r="AN878" s="5"/>
    </row>
    <row r="879" spans="1:40" ht="18.75" customHeight="1">
      <c r="A879" s="5"/>
      <c r="B879" s="5"/>
      <c r="C879" s="5"/>
      <c r="D879" s="5"/>
      <c r="E879" s="5"/>
      <c r="F879" s="5"/>
      <c r="G879" s="5"/>
      <c r="H879" s="5"/>
      <c r="I879" s="5"/>
      <c r="J879" s="5"/>
      <c r="K879" s="5"/>
      <c r="L879" s="5"/>
      <c r="M879" s="5"/>
      <c r="N879" s="5"/>
      <c r="O879" s="5"/>
      <c r="P879" s="5"/>
      <c r="Q879" s="5"/>
      <c r="R879" s="5"/>
      <c r="S879" s="5"/>
      <c r="T879" s="5"/>
      <c r="U879" s="5"/>
      <c r="V879" s="5"/>
      <c r="Y879" s="5"/>
      <c r="Z879" s="5"/>
      <c r="AA879" s="5"/>
      <c r="AB879" s="5"/>
      <c r="AC879" s="5"/>
      <c r="AD879" s="5"/>
      <c r="AE879" s="5"/>
      <c r="AF879" s="5"/>
      <c r="AG879" s="5"/>
      <c r="AH879" s="5"/>
      <c r="AI879" s="5"/>
      <c r="AJ879" s="5"/>
      <c r="AK879" s="5"/>
      <c r="AL879" s="5"/>
      <c r="AM879" s="5"/>
      <c r="AN879" s="5"/>
    </row>
    <row r="880" spans="1:40" ht="18.75" customHeight="1">
      <c r="A880" s="5"/>
      <c r="B880" s="5"/>
      <c r="C880" s="5"/>
      <c r="D880" s="5"/>
      <c r="E880" s="5"/>
      <c r="F880" s="5"/>
      <c r="G880" s="5"/>
      <c r="H880" s="5"/>
      <c r="I880" s="5"/>
      <c r="J880" s="5"/>
      <c r="K880" s="5"/>
      <c r="L880" s="5"/>
      <c r="M880" s="5"/>
      <c r="N880" s="5"/>
      <c r="O880" s="5"/>
      <c r="P880" s="5"/>
      <c r="Q880" s="5"/>
      <c r="R880" s="5"/>
      <c r="S880" s="5"/>
      <c r="T880" s="5"/>
      <c r="U880" s="5"/>
      <c r="V880" s="5"/>
      <c r="Y880" s="5"/>
      <c r="Z880" s="5"/>
      <c r="AA880" s="5"/>
      <c r="AB880" s="5"/>
      <c r="AC880" s="5"/>
      <c r="AD880" s="5"/>
      <c r="AE880" s="5"/>
      <c r="AF880" s="5"/>
      <c r="AG880" s="5"/>
      <c r="AH880" s="5"/>
      <c r="AI880" s="5"/>
      <c r="AJ880" s="5"/>
      <c r="AK880" s="5"/>
      <c r="AL880" s="5"/>
      <c r="AM880" s="5"/>
      <c r="AN880" s="5"/>
    </row>
    <row r="881" spans="1:40" ht="18.75" customHeight="1">
      <c r="A881" s="5"/>
      <c r="B881" s="5"/>
      <c r="C881" s="5"/>
      <c r="D881" s="5"/>
      <c r="E881" s="5"/>
      <c r="F881" s="5"/>
      <c r="G881" s="5"/>
      <c r="H881" s="5"/>
      <c r="I881" s="5"/>
      <c r="J881" s="5"/>
      <c r="K881" s="5"/>
      <c r="L881" s="5"/>
      <c r="M881" s="5"/>
      <c r="N881" s="5"/>
      <c r="O881" s="5"/>
      <c r="P881" s="5"/>
      <c r="Q881" s="5"/>
      <c r="R881" s="5"/>
      <c r="S881" s="5"/>
      <c r="T881" s="5"/>
      <c r="U881" s="5"/>
      <c r="V881" s="5"/>
      <c r="Y881" s="5"/>
      <c r="Z881" s="5"/>
      <c r="AA881" s="5"/>
      <c r="AB881" s="5"/>
      <c r="AC881" s="5"/>
      <c r="AD881" s="5"/>
      <c r="AE881" s="5"/>
      <c r="AF881" s="5"/>
      <c r="AG881" s="5"/>
      <c r="AH881" s="5"/>
      <c r="AI881" s="5"/>
      <c r="AJ881" s="5"/>
      <c r="AK881" s="5"/>
      <c r="AL881" s="5"/>
      <c r="AM881" s="5"/>
      <c r="AN881" s="5"/>
    </row>
    <row r="882" spans="1:40" ht="18.75" customHeight="1">
      <c r="A882" s="5"/>
      <c r="B882" s="5"/>
      <c r="C882" s="5"/>
      <c r="D882" s="5"/>
      <c r="E882" s="5"/>
      <c r="F882" s="5"/>
      <c r="G882" s="5"/>
      <c r="H882" s="5"/>
      <c r="I882" s="5"/>
      <c r="J882" s="5"/>
      <c r="K882" s="5"/>
      <c r="L882" s="5"/>
      <c r="M882" s="5"/>
      <c r="N882" s="5"/>
      <c r="O882" s="5"/>
      <c r="P882" s="5"/>
      <c r="Q882" s="5"/>
      <c r="R882" s="5"/>
      <c r="S882" s="5"/>
      <c r="T882" s="5"/>
      <c r="U882" s="5"/>
      <c r="V882" s="5"/>
      <c r="Y882" s="5"/>
      <c r="Z882" s="5"/>
      <c r="AA882" s="5"/>
      <c r="AB882" s="5"/>
      <c r="AC882" s="5"/>
      <c r="AD882" s="5"/>
      <c r="AE882" s="5"/>
      <c r="AF882" s="5"/>
      <c r="AG882" s="5"/>
      <c r="AH882" s="5"/>
      <c r="AI882" s="5"/>
      <c r="AJ882" s="5"/>
      <c r="AK882" s="5"/>
      <c r="AL882" s="5"/>
      <c r="AM882" s="5"/>
      <c r="AN882" s="5"/>
    </row>
    <row r="883" spans="1:40" ht="18.75" customHeight="1">
      <c r="A883" s="5"/>
      <c r="B883" s="5"/>
      <c r="C883" s="5"/>
      <c r="D883" s="5"/>
      <c r="E883" s="5"/>
      <c r="F883" s="5"/>
      <c r="G883" s="5"/>
      <c r="H883" s="5"/>
      <c r="I883" s="5"/>
      <c r="J883" s="5"/>
      <c r="K883" s="5"/>
      <c r="L883" s="5"/>
      <c r="M883" s="5"/>
      <c r="N883" s="5"/>
      <c r="O883" s="5"/>
      <c r="P883" s="5"/>
      <c r="Q883" s="5"/>
      <c r="R883" s="5"/>
      <c r="S883" s="5"/>
      <c r="T883" s="5"/>
      <c r="U883" s="5"/>
      <c r="V883" s="5"/>
      <c r="Y883" s="5"/>
      <c r="Z883" s="5"/>
      <c r="AA883" s="5"/>
      <c r="AB883" s="5"/>
      <c r="AC883" s="5"/>
      <c r="AD883" s="5"/>
      <c r="AE883" s="5"/>
      <c r="AF883" s="5"/>
      <c r="AG883" s="5"/>
      <c r="AH883" s="5"/>
      <c r="AI883" s="5"/>
      <c r="AJ883" s="5"/>
      <c r="AK883" s="5"/>
      <c r="AL883" s="5"/>
      <c r="AM883" s="5"/>
      <c r="AN883" s="5"/>
    </row>
    <row r="884" spans="1:40" ht="18.75" customHeight="1">
      <c r="A884" s="5"/>
      <c r="B884" s="5"/>
      <c r="C884" s="5"/>
      <c r="D884" s="5"/>
      <c r="E884" s="5"/>
      <c r="F884" s="5"/>
      <c r="G884" s="5"/>
      <c r="H884" s="5"/>
      <c r="I884" s="5"/>
      <c r="J884" s="5"/>
      <c r="K884" s="5"/>
      <c r="L884" s="5"/>
      <c r="M884" s="5"/>
      <c r="N884" s="5"/>
      <c r="O884" s="5"/>
      <c r="P884" s="5"/>
      <c r="Q884" s="5"/>
      <c r="R884" s="5"/>
      <c r="S884" s="5"/>
      <c r="T884" s="5"/>
      <c r="U884" s="5"/>
      <c r="V884" s="5"/>
      <c r="Y884" s="5"/>
      <c r="Z884" s="5"/>
      <c r="AA884" s="5"/>
      <c r="AB884" s="5"/>
      <c r="AC884" s="5"/>
      <c r="AD884" s="5"/>
      <c r="AE884" s="5"/>
      <c r="AF884" s="5"/>
      <c r="AG884" s="5"/>
      <c r="AH884" s="5"/>
      <c r="AI884" s="5"/>
      <c r="AJ884" s="5"/>
      <c r="AK884" s="5"/>
      <c r="AL884" s="5"/>
      <c r="AM884" s="5"/>
      <c r="AN884" s="5"/>
    </row>
    <row r="885" spans="1:40" ht="18.75" customHeight="1">
      <c r="A885" s="5"/>
      <c r="B885" s="5"/>
      <c r="C885" s="5"/>
      <c r="D885" s="5"/>
      <c r="E885" s="5"/>
      <c r="F885" s="5"/>
      <c r="G885" s="5"/>
      <c r="H885" s="5"/>
      <c r="I885" s="5"/>
      <c r="J885" s="5"/>
      <c r="K885" s="5"/>
      <c r="L885" s="5"/>
      <c r="M885" s="5"/>
      <c r="N885" s="5"/>
      <c r="O885" s="5"/>
      <c r="P885" s="5"/>
      <c r="Q885" s="5"/>
      <c r="R885" s="5"/>
      <c r="S885" s="5"/>
      <c r="T885" s="5"/>
      <c r="U885" s="5"/>
      <c r="V885" s="5"/>
      <c r="Y885" s="5"/>
      <c r="Z885" s="5"/>
      <c r="AA885" s="5"/>
      <c r="AB885" s="5"/>
      <c r="AC885" s="5"/>
      <c r="AD885" s="5"/>
      <c r="AE885" s="5"/>
      <c r="AF885" s="5"/>
      <c r="AG885" s="5"/>
      <c r="AH885" s="5"/>
      <c r="AI885" s="5"/>
      <c r="AJ885" s="5"/>
      <c r="AK885" s="5"/>
      <c r="AL885" s="5"/>
      <c r="AM885" s="5"/>
      <c r="AN885" s="5"/>
    </row>
    <row r="886" spans="1:40" ht="18.75" customHeight="1">
      <c r="A886" s="5"/>
      <c r="B886" s="5"/>
      <c r="C886" s="5"/>
      <c r="D886" s="5"/>
      <c r="E886" s="5"/>
      <c r="F886" s="5"/>
      <c r="G886" s="5"/>
      <c r="H886" s="5"/>
      <c r="I886" s="5"/>
      <c r="J886" s="5"/>
      <c r="K886" s="5"/>
      <c r="L886" s="5"/>
      <c r="M886" s="5"/>
      <c r="N886" s="5"/>
      <c r="O886" s="5"/>
      <c r="P886" s="5"/>
      <c r="Q886" s="5"/>
      <c r="R886" s="5"/>
      <c r="S886" s="5"/>
      <c r="T886" s="5"/>
      <c r="U886" s="5"/>
      <c r="V886" s="5"/>
      <c r="Y886" s="5"/>
      <c r="Z886" s="5"/>
      <c r="AA886" s="5"/>
      <c r="AB886" s="5"/>
      <c r="AC886" s="5"/>
      <c r="AD886" s="5"/>
      <c r="AE886" s="5"/>
      <c r="AF886" s="5"/>
      <c r="AG886" s="5"/>
      <c r="AH886" s="5"/>
      <c r="AI886" s="5"/>
      <c r="AJ886" s="5"/>
      <c r="AK886" s="5"/>
      <c r="AL886" s="5"/>
      <c r="AM886" s="5"/>
      <c r="AN886" s="5"/>
    </row>
    <row r="887" spans="1:40" ht="18.75" customHeight="1">
      <c r="A887" s="5"/>
      <c r="B887" s="5"/>
      <c r="C887" s="5"/>
      <c r="D887" s="5"/>
      <c r="E887" s="5"/>
      <c r="F887" s="5"/>
      <c r="G887" s="5"/>
      <c r="H887" s="5"/>
      <c r="I887" s="5"/>
      <c r="J887" s="5"/>
      <c r="K887" s="5"/>
      <c r="L887" s="5"/>
      <c r="M887" s="5"/>
      <c r="N887" s="5"/>
      <c r="O887" s="5"/>
      <c r="P887" s="5"/>
      <c r="Q887" s="5"/>
      <c r="R887" s="5"/>
      <c r="S887" s="5"/>
      <c r="T887" s="5"/>
      <c r="U887" s="5"/>
      <c r="V887" s="5"/>
      <c r="Y887" s="5"/>
      <c r="Z887" s="5"/>
      <c r="AA887" s="5"/>
      <c r="AB887" s="5"/>
      <c r="AC887" s="5"/>
      <c r="AD887" s="5"/>
      <c r="AE887" s="5"/>
      <c r="AF887" s="5"/>
      <c r="AG887" s="5"/>
      <c r="AH887" s="5"/>
      <c r="AI887" s="5"/>
      <c r="AJ887" s="5"/>
      <c r="AK887" s="5"/>
      <c r="AL887" s="5"/>
      <c r="AM887" s="5"/>
      <c r="AN887" s="5"/>
    </row>
    <row r="888" spans="1:40" ht="18.75" customHeight="1">
      <c r="A888" s="5"/>
      <c r="B888" s="5"/>
      <c r="C888" s="5"/>
      <c r="D888" s="5"/>
      <c r="E888" s="5"/>
      <c r="F888" s="5"/>
      <c r="G888" s="5"/>
      <c r="H888" s="5"/>
      <c r="I888" s="5"/>
      <c r="J888" s="5"/>
      <c r="K888" s="5"/>
      <c r="L888" s="5"/>
      <c r="M888" s="5"/>
      <c r="N888" s="5"/>
      <c r="O888" s="5"/>
      <c r="P888" s="5"/>
      <c r="Q888" s="5"/>
      <c r="R888" s="5"/>
      <c r="S888" s="5"/>
      <c r="T888" s="5"/>
      <c r="U888" s="5"/>
      <c r="V888" s="5"/>
      <c r="Y888" s="5"/>
      <c r="Z888" s="5"/>
      <c r="AA888" s="5"/>
      <c r="AB888" s="5"/>
      <c r="AC888" s="5"/>
      <c r="AD888" s="5"/>
      <c r="AE888" s="5"/>
      <c r="AF888" s="5"/>
      <c r="AG888" s="5"/>
      <c r="AH888" s="5"/>
      <c r="AI888" s="5"/>
      <c r="AJ888" s="5"/>
      <c r="AK888" s="5"/>
      <c r="AL888" s="5"/>
      <c r="AM888" s="5"/>
      <c r="AN888" s="5"/>
    </row>
    <row r="889" spans="1:40" ht="18.75" customHeight="1">
      <c r="A889" s="5"/>
      <c r="B889" s="5"/>
      <c r="C889" s="5"/>
      <c r="D889" s="5"/>
      <c r="E889" s="5"/>
      <c r="F889" s="5"/>
      <c r="G889" s="5"/>
      <c r="H889" s="5"/>
      <c r="I889" s="5"/>
      <c r="J889" s="5"/>
      <c r="K889" s="5"/>
      <c r="L889" s="5"/>
      <c r="M889" s="5"/>
      <c r="N889" s="5"/>
      <c r="O889" s="5"/>
      <c r="P889" s="5"/>
      <c r="Q889" s="5"/>
      <c r="R889" s="5"/>
      <c r="S889" s="5"/>
      <c r="T889" s="5"/>
      <c r="U889" s="5"/>
      <c r="V889" s="5"/>
      <c r="Y889" s="5"/>
      <c r="Z889" s="5"/>
      <c r="AA889" s="5"/>
      <c r="AB889" s="5"/>
      <c r="AC889" s="5"/>
      <c r="AD889" s="5"/>
      <c r="AE889" s="5"/>
      <c r="AF889" s="5"/>
      <c r="AG889" s="5"/>
      <c r="AH889" s="5"/>
      <c r="AI889" s="5"/>
      <c r="AJ889" s="5"/>
      <c r="AK889" s="5"/>
      <c r="AL889" s="5"/>
      <c r="AM889" s="5"/>
      <c r="AN889" s="5"/>
    </row>
    <row r="890" spans="1:40" ht="18.75" customHeight="1">
      <c r="A890" s="5"/>
      <c r="B890" s="5"/>
      <c r="C890" s="5"/>
      <c r="D890" s="5"/>
      <c r="E890" s="5"/>
      <c r="F890" s="5"/>
      <c r="G890" s="5"/>
      <c r="H890" s="5"/>
      <c r="I890" s="5"/>
      <c r="J890" s="5"/>
      <c r="K890" s="5"/>
      <c r="L890" s="5"/>
      <c r="M890" s="5"/>
      <c r="N890" s="5"/>
      <c r="O890" s="5"/>
      <c r="P890" s="5"/>
      <c r="Q890" s="5"/>
      <c r="R890" s="5"/>
      <c r="S890" s="5"/>
      <c r="T890" s="5"/>
      <c r="U890" s="5"/>
      <c r="V890" s="5"/>
      <c r="Y890" s="5"/>
      <c r="Z890" s="5"/>
      <c r="AA890" s="5"/>
      <c r="AB890" s="5"/>
      <c r="AC890" s="5"/>
      <c r="AD890" s="5"/>
      <c r="AE890" s="5"/>
      <c r="AF890" s="5"/>
      <c r="AG890" s="5"/>
      <c r="AH890" s="5"/>
      <c r="AI890" s="5"/>
      <c r="AJ890" s="5"/>
      <c r="AK890" s="5"/>
      <c r="AL890" s="5"/>
      <c r="AM890" s="5"/>
      <c r="AN890" s="5"/>
    </row>
    <row r="891" spans="1:40" ht="18.75" customHeight="1">
      <c r="A891" s="5"/>
      <c r="B891" s="5"/>
      <c r="C891" s="5"/>
      <c r="D891" s="5"/>
      <c r="E891" s="5"/>
      <c r="F891" s="5"/>
      <c r="G891" s="5"/>
      <c r="H891" s="5"/>
      <c r="I891" s="5"/>
      <c r="J891" s="5"/>
      <c r="K891" s="5"/>
      <c r="L891" s="5"/>
      <c r="M891" s="5"/>
      <c r="N891" s="5"/>
      <c r="O891" s="5"/>
      <c r="P891" s="5"/>
      <c r="Q891" s="5"/>
      <c r="R891" s="5"/>
      <c r="S891" s="5"/>
      <c r="T891" s="5"/>
      <c r="U891" s="5"/>
      <c r="V891" s="5"/>
      <c r="Y891" s="5"/>
      <c r="Z891" s="5"/>
      <c r="AA891" s="5"/>
      <c r="AB891" s="5"/>
      <c r="AC891" s="5"/>
      <c r="AD891" s="5"/>
      <c r="AE891" s="5"/>
      <c r="AF891" s="5"/>
      <c r="AG891" s="5"/>
      <c r="AH891" s="5"/>
      <c r="AI891" s="5"/>
      <c r="AJ891" s="5"/>
      <c r="AK891" s="5"/>
      <c r="AL891" s="5"/>
      <c r="AM891" s="5"/>
      <c r="AN891" s="5"/>
    </row>
    <row r="892" spans="1:40" ht="18.75" customHeight="1">
      <c r="A892" s="5"/>
      <c r="B892" s="5"/>
      <c r="C892" s="5"/>
      <c r="D892" s="5"/>
      <c r="E892" s="5"/>
      <c r="F892" s="5"/>
      <c r="G892" s="5"/>
      <c r="H892" s="5"/>
      <c r="I892" s="5"/>
      <c r="J892" s="5"/>
      <c r="K892" s="5"/>
      <c r="L892" s="5"/>
      <c r="M892" s="5"/>
      <c r="N892" s="5"/>
      <c r="O892" s="5"/>
      <c r="P892" s="5"/>
      <c r="Q892" s="5"/>
      <c r="R892" s="5"/>
      <c r="S892" s="5"/>
      <c r="T892" s="5"/>
      <c r="U892" s="5"/>
      <c r="V892" s="5"/>
      <c r="Y892" s="5"/>
      <c r="Z892" s="5"/>
      <c r="AA892" s="5"/>
      <c r="AB892" s="5"/>
      <c r="AC892" s="5"/>
      <c r="AD892" s="5"/>
      <c r="AE892" s="5"/>
      <c r="AF892" s="5"/>
      <c r="AG892" s="5"/>
      <c r="AH892" s="5"/>
      <c r="AI892" s="5"/>
      <c r="AJ892" s="5"/>
      <c r="AK892" s="5"/>
      <c r="AL892" s="5"/>
      <c r="AM892" s="5"/>
      <c r="AN892" s="5"/>
    </row>
    <row r="893" spans="1:40" ht="18.75" customHeight="1">
      <c r="A893" s="5"/>
      <c r="B893" s="5"/>
      <c r="C893" s="5"/>
      <c r="D893" s="5"/>
      <c r="E893" s="5"/>
      <c r="F893" s="5"/>
      <c r="G893" s="5"/>
      <c r="H893" s="5"/>
      <c r="I893" s="5"/>
      <c r="J893" s="5"/>
      <c r="K893" s="5"/>
      <c r="L893" s="5"/>
      <c r="M893" s="5"/>
      <c r="N893" s="5"/>
      <c r="O893" s="5"/>
      <c r="P893" s="5"/>
      <c r="Q893" s="5"/>
      <c r="R893" s="5"/>
      <c r="S893" s="5"/>
      <c r="T893" s="5"/>
      <c r="U893" s="5"/>
      <c r="V893" s="5"/>
      <c r="Y893" s="5"/>
      <c r="Z893" s="5"/>
      <c r="AA893" s="5"/>
      <c r="AB893" s="5"/>
      <c r="AC893" s="5"/>
      <c r="AD893" s="5"/>
      <c r="AE893" s="5"/>
      <c r="AF893" s="5"/>
      <c r="AG893" s="5"/>
      <c r="AH893" s="5"/>
      <c r="AI893" s="5"/>
      <c r="AJ893" s="5"/>
      <c r="AK893" s="5"/>
      <c r="AL893" s="5"/>
      <c r="AM893" s="5"/>
      <c r="AN893" s="5"/>
    </row>
    <row r="894" spans="1:40" ht="18.75" customHeight="1">
      <c r="A894" s="5"/>
      <c r="B894" s="5"/>
      <c r="C894" s="5"/>
      <c r="D894" s="5"/>
      <c r="E894" s="5"/>
      <c r="F894" s="5"/>
      <c r="G894" s="5"/>
      <c r="H894" s="5"/>
      <c r="I894" s="5"/>
      <c r="J894" s="5"/>
      <c r="K894" s="5"/>
      <c r="L894" s="5"/>
      <c r="M894" s="5"/>
      <c r="N894" s="5"/>
      <c r="O894" s="5"/>
      <c r="P894" s="5"/>
      <c r="Q894" s="5"/>
      <c r="R894" s="5"/>
      <c r="S894" s="5"/>
      <c r="T894" s="5"/>
      <c r="U894" s="5"/>
      <c r="V894" s="5"/>
      <c r="Y894" s="5"/>
      <c r="Z894" s="5"/>
      <c r="AA894" s="5"/>
      <c r="AB894" s="5"/>
      <c r="AC894" s="5"/>
      <c r="AD894" s="5"/>
      <c r="AE894" s="5"/>
      <c r="AF894" s="5"/>
      <c r="AG894" s="5"/>
      <c r="AH894" s="5"/>
      <c r="AI894" s="5"/>
      <c r="AJ894" s="5"/>
      <c r="AK894" s="5"/>
      <c r="AL894" s="5"/>
      <c r="AM894" s="5"/>
      <c r="AN894" s="5"/>
    </row>
    <row r="895" spans="1:40" ht="18.75" customHeight="1">
      <c r="A895" s="5"/>
      <c r="B895" s="5"/>
      <c r="C895" s="5"/>
      <c r="D895" s="5"/>
      <c r="E895" s="5"/>
      <c r="F895" s="5"/>
      <c r="G895" s="5"/>
      <c r="H895" s="5"/>
      <c r="I895" s="5"/>
      <c r="J895" s="5"/>
      <c r="K895" s="5"/>
      <c r="L895" s="5"/>
      <c r="M895" s="5"/>
      <c r="N895" s="5"/>
      <c r="O895" s="5"/>
      <c r="P895" s="5"/>
      <c r="Q895" s="5"/>
      <c r="R895" s="5"/>
      <c r="S895" s="5"/>
      <c r="T895" s="5"/>
      <c r="U895" s="5"/>
      <c r="V895" s="5"/>
      <c r="Y895" s="5"/>
      <c r="Z895" s="5"/>
      <c r="AA895" s="5"/>
      <c r="AB895" s="5"/>
      <c r="AC895" s="5"/>
      <c r="AD895" s="5"/>
      <c r="AE895" s="5"/>
      <c r="AF895" s="5"/>
      <c r="AG895" s="5"/>
      <c r="AH895" s="5"/>
      <c r="AI895" s="5"/>
      <c r="AJ895" s="5"/>
      <c r="AK895" s="5"/>
      <c r="AL895" s="5"/>
      <c r="AM895" s="5"/>
      <c r="AN895" s="5"/>
    </row>
    <row r="896" spans="1:40" ht="18.75" customHeight="1">
      <c r="A896" s="5"/>
      <c r="B896" s="5"/>
      <c r="C896" s="5"/>
      <c r="D896" s="5"/>
      <c r="E896" s="5"/>
      <c r="F896" s="5"/>
      <c r="G896" s="5"/>
      <c r="H896" s="5"/>
      <c r="I896" s="5"/>
      <c r="J896" s="5"/>
      <c r="K896" s="5"/>
      <c r="L896" s="5"/>
      <c r="M896" s="5"/>
      <c r="N896" s="5"/>
      <c r="O896" s="5"/>
      <c r="P896" s="5"/>
      <c r="Q896" s="5"/>
      <c r="R896" s="5"/>
      <c r="S896" s="5"/>
      <c r="T896" s="5"/>
      <c r="U896" s="5"/>
      <c r="V896" s="5"/>
      <c r="Y896" s="5"/>
      <c r="Z896" s="5"/>
      <c r="AA896" s="5"/>
      <c r="AB896" s="5"/>
      <c r="AC896" s="5"/>
      <c r="AD896" s="5"/>
      <c r="AE896" s="5"/>
      <c r="AF896" s="5"/>
      <c r="AG896" s="5"/>
      <c r="AH896" s="5"/>
      <c r="AI896" s="5"/>
      <c r="AJ896" s="5"/>
      <c r="AK896" s="5"/>
      <c r="AL896" s="5"/>
      <c r="AM896" s="5"/>
      <c r="AN896" s="5"/>
    </row>
    <row r="897" spans="1:40" ht="18.75" customHeight="1">
      <c r="A897" s="5"/>
      <c r="B897" s="5"/>
      <c r="C897" s="5"/>
      <c r="D897" s="5"/>
      <c r="E897" s="5"/>
      <c r="F897" s="5"/>
      <c r="G897" s="5"/>
      <c r="H897" s="5"/>
      <c r="I897" s="5"/>
      <c r="J897" s="5"/>
      <c r="K897" s="5"/>
      <c r="L897" s="5"/>
      <c r="M897" s="5"/>
      <c r="N897" s="5"/>
      <c r="O897" s="5"/>
      <c r="P897" s="5"/>
      <c r="Q897" s="5"/>
      <c r="R897" s="5"/>
      <c r="S897" s="5"/>
      <c r="T897" s="5"/>
      <c r="U897" s="5"/>
      <c r="V897" s="5"/>
      <c r="Y897" s="5"/>
      <c r="Z897" s="5"/>
      <c r="AA897" s="5"/>
      <c r="AB897" s="5"/>
      <c r="AC897" s="5"/>
      <c r="AD897" s="5"/>
      <c r="AE897" s="5"/>
      <c r="AF897" s="5"/>
      <c r="AG897" s="5"/>
      <c r="AH897" s="5"/>
      <c r="AI897" s="5"/>
      <c r="AJ897" s="5"/>
      <c r="AK897" s="5"/>
      <c r="AL897" s="5"/>
      <c r="AM897" s="5"/>
      <c r="AN897" s="5"/>
    </row>
    <row r="898" spans="1:40" ht="18.75" customHeight="1">
      <c r="A898" s="5"/>
      <c r="B898" s="5"/>
      <c r="C898" s="5"/>
      <c r="D898" s="5"/>
      <c r="E898" s="5"/>
      <c r="F898" s="5"/>
      <c r="G898" s="5"/>
      <c r="H898" s="5"/>
      <c r="I898" s="5"/>
      <c r="J898" s="5"/>
      <c r="K898" s="5"/>
      <c r="L898" s="5"/>
      <c r="M898" s="5"/>
      <c r="N898" s="5"/>
      <c r="O898" s="5"/>
      <c r="P898" s="5"/>
      <c r="Q898" s="5"/>
      <c r="R898" s="5"/>
      <c r="S898" s="5"/>
      <c r="T898" s="5"/>
      <c r="U898" s="5"/>
      <c r="V898" s="5"/>
      <c r="Y898" s="5"/>
      <c r="Z898" s="5"/>
      <c r="AA898" s="5"/>
      <c r="AB898" s="5"/>
      <c r="AC898" s="5"/>
      <c r="AD898" s="5"/>
      <c r="AE898" s="5"/>
      <c r="AF898" s="5"/>
      <c r="AG898" s="5"/>
      <c r="AH898" s="5"/>
      <c r="AI898" s="5"/>
      <c r="AJ898" s="5"/>
      <c r="AK898" s="5"/>
      <c r="AL898" s="5"/>
      <c r="AM898" s="5"/>
      <c r="AN898" s="5"/>
    </row>
    <row r="899" spans="1:40" ht="18.75" customHeight="1">
      <c r="A899" s="5"/>
      <c r="B899" s="5"/>
      <c r="C899" s="5"/>
      <c r="D899" s="5"/>
      <c r="E899" s="5"/>
      <c r="F899" s="5"/>
      <c r="G899" s="5"/>
      <c r="H899" s="5"/>
      <c r="I899" s="5"/>
      <c r="J899" s="5"/>
      <c r="K899" s="5"/>
      <c r="L899" s="5"/>
      <c r="M899" s="5"/>
      <c r="N899" s="5"/>
      <c r="O899" s="5"/>
      <c r="P899" s="5"/>
      <c r="Q899" s="5"/>
      <c r="R899" s="5"/>
      <c r="S899" s="5"/>
      <c r="T899" s="5"/>
      <c r="U899" s="5"/>
      <c r="V899" s="5"/>
      <c r="Y899" s="5"/>
      <c r="Z899" s="5"/>
      <c r="AA899" s="5"/>
      <c r="AB899" s="5"/>
      <c r="AC899" s="5"/>
      <c r="AD899" s="5"/>
      <c r="AE899" s="5"/>
      <c r="AF899" s="5"/>
      <c r="AG899" s="5"/>
      <c r="AH899" s="5"/>
      <c r="AI899" s="5"/>
      <c r="AJ899" s="5"/>
      <c r="AK899" s="5"/>
      <c r="AL899" s="5"/>
      <c r="AM899" s="5"/>
      <c r="AN899" s="5"/>
    </row>
    <row r="900" spans="1:40" ht="18.75" customHeight="1">
      <c r="A900" s="5"/>
      <c r="B900" s="5"/>
      <c r="C900" s="5"/>
      <c r="D900" s="5"/>
      <c r="E900" s="5"/>
      <c r="F900" s="5"/>
      <c r="G900" s="5"/>
      <c r="H900" s="5"/>
      <c r="I900" s="5"/>
      <c r="J900" s="5"/>
      <c r="K900" s="5"/>
      <c r="L900" s="5"/>
      <c r="M900" s="5"/>
      <c r="N900" s="5"/>
      <c r="O900" s="5"/>
      <c r="P900" s="5"/>
      <c r="Q900" s="5"/>
      <c r="R900" s="5"/>
      <c r="S900" s="5"/>
      <c r="T900" s="5"/>
      <c r="U900" s="5"/>
      <c r="V900" s="5"/>
      <c r="Y900" s="5"/>
      <c r="Z900" s="5"/>
      <c r="AA900" s="5"/>
      <c r="AB900" s="5"/>
      <c r="AC900" s="5"/>
      <c r="AD900" s="5"/>
      <c r="AE900" s="5"/>
      <c r="AF900" s="5"/>
      <c r="AG900" s="5"/>
      <c r="AH900" s="5"/>
      <c r="AI900" s="5"/>
      <c r="AJ900" s="5"/>
      <c r="AK900" s="5"/>
      <c r="AL900" s="5"/>
      <c r="AM900" s="5"/>
      <c r="AN900" s="5"/>
    </row>
    <row r="901" spans="1:40" ht="18.75" customHeight="1">
      <c r="A901" s="5"/>
      <c r="B901" s="5"/>
      <c r="C901" s="5"/>
      <c r="D901" s="5"/>
      <c r="E901" s="5"/>
      <c r="F901" s="5"/>
      <c r="G901" s="5"/>
      <c r="H901" s="5"/>
      <c r="I901" s="5"/>
      <c r="J901" s="5"/>
      <c r="K901" s="5"/>
      <c r="L901" s="5"/>
      <c r="M901" s="5"/>
      <c r="N901" s="5"/>
      <c r="O901" s="5"/>
      <c r="P901" s="5"/>
      <c r="Q901" s="5"/>
      <c r="R901" s="5"/>
      <c r="S901" s="5"/>
      <c r="T901" s="5"/>
      <c r="U901" s="5"/>
      <c r="V901" s="5"/>
      <c r="Y901" s="5"/>
      <c r="Z901" s="5"/>
      <c r="AA901" s="5"/>
      <c r="AB901" s="5"/>
      <c r="AC901" s="5"/>
      <c r="AD901" s="5"/>
      <c r="AE901" s="5"/>
      <c r="AF901" s="5"/>
      <c r="AG901" s="5"/>
      <c r="AH901" s="5"/>
      <c r="AI901" s="5"/>
      <c r="AJ901" s="5"/>
      <c r="AK901" s="5"/>
      <c r="AL901" s="5"/>
      <c r="AM901" s="5"/>
      <c r="AN901" s="5"/>
    </row>
    <row r="902" spans="1:40" ht="18.75" customHeight="1">
      <c r="A902" s="5"/>
      <c r="B902" s="5"/>
      <c r="C902" s="5"/>
      <c r="D902" s="5"/>
      <c r="E902" s="5"/>
      <c r="F902" s="5"/>
      <c r="G902" s="5"/>
      <c r="H902" s="5"/>
      <c r="I902" s="5"/>
      <c r="J902" s="5"/>
      <c r="K902" s="5"/>
      <c r="L902" s="5"/>
      <c r="M902" s="5"/>
      <c r="N902" s="5"/>
      <c r="O902" s="5"/>
      <c r="P902" s="5"/>
      <c r="Q902" s="5"/>
      <c r="R902" s="5"/>
      <c r="S902" s="5"/>
      <c r="T902" s="5"/>
      <c r="U902" s="5"/>
      <c r="V902" s="5"/>
      <c r="Y902" s="5"/>
      <c r="Z902" s="5"/>
      <c r="AA902" s="5"/>
      <c r="AB902" s="5"/>
      <c r="AC902" s="5"/>
      <c r="AD902" s="5"/>
      <c r="AE902" s="5"/>
      <c r="AF902" s="5"/>
      <c r="AG902" s="5"/>
      <c r="AH902" s="5"/>
      <c r="AI902" s="5"/>
      <c r="AJ902" s="5"/>
      <c r="AK902" s="5"/>
      <c r="AL902" s="5"/>
      <c r="AM902" s="5"/>
      <c r="AN902" s="5"/>
    </row>
    <row r="903" spans="1:40" ht="18.75" customHeight="1">
      <c r="A903" s="5"/>
      <c r="B903" s="5"/>
      <c r="C903" s="5"/>
      <c r="D903" s="5"/>
      <c r="E903" s="5"/>
      <c r="F903" s="5"/>
      <c r="G903" s="5"/>
      <c r="H903" s="5"/>
      <c r="I903" s="5"/>
      <c r="J903" s="5"/>
      <c r="K903" s="5"/>
      <c r="L903" s="5"/>
      <c r="M903" s="5"/>
      <c r="N903" s="5"/>
      <c r="O903" s="5"/>
      <c r="P903" s="5"/>
      <c r="Q903" s="5"/>
      <c r="R903" s="5"/>
      <c r="S903" s="5"/>
      <c r="T903" s="5"/>
      <c r="U903" s="5"/>
      <c r="V903" s="5"/>
      <c r="Y903" s="5"/>
      <c r="Z903" s="5"/>
      <c r="AA903" s="5"/>
      <c r="AB903" s="5"/>
      <c r="AC903" s="5"/>
      <c r="AD903" s="5"/>
      <c r="AE903" s="5"/>
      <c r="AF903" s="5"/>
      <c r="AG903" s="5"/>
      <c r="AH903" s="5"/>
      <c r="AI903" s="5"/>
      <c r="AJ903" s="5"/>
      <c r="AK903" s="5"/>
      <c r="AL903" s="5"/>
      <c r="AM903" s="5"/>
      <c r="AN903" s="5"/>
    </row>
    <row r="904" spans="1:40" ht="18.75" customHeight="1">
      <c r="A904" s="5"/>
      <c r="B904" s="5"/>
      <c r="C904" s="5"/>
      <c r="D904" s="5"/>
      <c r="E904" s="5"/>
      <c r="F904" s="5"/>
      <c r="G904" s="5"/>
      <c r="H904" s="5"/>
      <c r="I904" s="5"/>
      <c r="J904" s="5"/>
      <c r="K904" s="5"/>
      <c r="L904" s="5"/>
      <c r="M904" s="5"/>
      <c r="N904" s="5"/>
      <c r="O904" s="5"/>
      <c r="P904" s="5"/>
      <c r="Q904" s="5"/>
      <c r="R904" s="5"/>
      <c r="S904" s="5"/>
      <c r="T904" s="5"/>
      <c r="U904" s="5"/>
      <c r="V904" s="5"/>
      <c r="Y904" s="5"/>
      <c r="Z904" s="5"/>
      <c r="AA904" s="5"/>
      <c r="AB904" s="5"/>
      <c r="AC904" s="5"/>
      <c r="AD904" s="5"/>
      <c r="AE904" s="5"/>
      <c r="AF904" s="5"/>
      <c r="AG904" s="5"/>
      <c r="AH904" s="5"/>
      <c r="AI904" s="5"/>
      <c r="AJ904" s="5"/>
      <c r="AK904" s="5"/>
      <c r="AL904" s="5"/>
      <c r="AM904" s="5"/>
      <c r="AN904" s="5"/>
    </row>
    <row r="905" spans="1:40" ht="18.75" customHeight="1">
      <c r="A905" s="5"/>
      <c r="B905" s="5"/>
      <c r="C905" s="5"/>
      <c r="D905" s="5"/>
      <c r="E905" s="5"/>
      <c r="F905" s="5"/>
      <c r="G905" s="5"/>
      <c r="H905" s="5"/>
      <c r="I905" s="5"/>
      <c r="J905" s="5"/>
      <c r="K905" s="5"/>
      <c r="L905" s="5"/>
      <c r="M905" s="5"/>
      <c r="N905" s="5"/>
      <c r="O905" s="5"/>
      <c r="P905" s="5"/>
      <c r="Q905" s="5"/>
      <c r="R905" s="5"/>
      <c r="S905" s="5"/>
      <c r="T905" s="5"/>
      <c r="U905" s="5"/>
      <c r="V905" s="5"/>
      <c r="Y905" s="5"/>
      <c r="Z905" s="5"/>
      <c r="AA905" s="5"/>
      <c r="AB905" s="5"/>
      <c r="AC905" s="5"/>
      <c r="AD905" s="5"/>
      <c r="AE905" s="5"/>
      <c r="AF905" s="5"/>
      <c r="AG905" s="5"/>
      <c r="AH905" s="5"/>
      <c r="AI905" s="5"/>
      <c r="AJ905" s="5"/>
      <c r="AK905" s="5"/>
      <c r="AL905" s="5"/>
      <c r="AM905" s="5"/>
      <c r="AN905" s="5"/>
    </row>
    <row r="906" spans="1:40" ht="18.75" customHeight="1">
      <c r="A906" s="5"/>
      <c r="B906" s="5"/>
      <c r="C906" s="5"/>
      <c r="D906" s="5"/>
      <c r="E906" s="5"/>
      <c r="F906" s="5"/>
      <c r="G906" s="5"/>
      <c r="H906" s="5"/>
      <c r="I906" s="5"/>
      <c r="J906" s="5"/>
      <c r="K906" s="5"/>
      <c r="L906" s="5"/>
      <c r="M906" s="5"/>
      <c r="N906" s="5"/>
      <c r="O906" s="5"/>
      <c r="P906" s="5"/>
      <c r="Q906" s="5"/>
      <c r="R906" s="5"/>
      <c r="S906" s="5"/>
      <c r="T906" s="5"/>
      <c r="U906" s="5"/>
      <c r="V906" s="5"/>
      <c r="Y906" s="5"/>
      <c r="Z906" s="5"/>
      <c r="AA906" s="5"/>
      <c r="AB906" s="5"/>
      <c r="AC906" s="5"/>
      <c r="AD906" s="5"/>
      <c r="AE906" s="5"/>
      <c r="AF906" s="5"/>
      <c r="AG906" s="5"/>
      <c r="AH906" s="5"/>
      <c r="AI906" s="5"/>
      <c r="AJ906" s="5"/>
      <c r="AK906" s="5"/>
      <c r="AL906" s="5"/>
      <c r="AM906" s="5"/>
      <c r="AN906" s="5"/>
    </row>
    <row r="907" spans="1:40" ht="18.75" customHeight="1">
      <c r="A907" s="5"/>
      <c r="B907" s="5"/>
      <c r="C907" s="5"/>
      <c r="D907" s="5"/>
      <c r="E907" s="5"/>
      <c r="F907" s="5"/>
      <c r="G907" s="5"/>
      <c r="H907" s="5"/>
      <c r="I907" s="5"/>
      <c r="J907" s="5"/>
      <c r="K907" s="5"/>
      <c r="L907" s="5"/>
      <c r="M907" s="5"/>
      <c r="N907" s="5"/>
      <c r="O907" s="5"/>
      <c r="P907" s="5"/>
      <c r="Q907" s="5"/>
      <c r="R907" s="5"/>
      <c r="S907" s="5"/>
      <c r="T907" s="5"/>
      <c r="U907" s="5"/>
      <c r="V907" s="5"/>
      <c r="Y907" s="5"/>
      <c r="Z907" s="5"/>
      <c r="AA907" s="5"/>
      <c r="AB907" s="5"/>
      <c r="AC907" s="5"/>
      <c r="AD907" s="5"/>
      <c r="AE907" s="5"/>
      <c r="AF907" s="5"/>
      <c r="AG907" s="5"/>
      <c r="AH907" s="5"/>
      <c r="AI907" s="5"/>
      <c r="AJ907" s="5"/>
      <c r="AK907" s="5"/>
      <c r="AL907" s="5"/>
      <c r="AM907" s="5"/>
      <c r="AN907" s="5"/>
    </row>
    <row r="908" spans="1:40" ht="18.75" customHeight="1">
      <c r="A908" s="5"/>
      <c r="B908" s="5"/>
      <c r="C908" s="5"/>
      <c r="D908" s="5"/>
      <c r="E908" s="5"/>
      <c r="F908" s="5"/>
      <c r="G908" s="5"/>
      <c r="H908" s="5"/>
      <c r="I908" s="5"/>
      <c r="J908" s="5"/>
      <c r="K908" s="5"/>
      <c r="L908" s="5"/>
      <c r="M908" s="5"/>
      <c r="N908" s="5"/>
      <c r="O908" s="5"/>
      <c r="P908" s="5"/>
      <c r="Q908" s="5"/>
      <c r="R908" s="5"/>
      <c r="S908" s="5"/>
      <c r="T908" s="5"/>
      <c r="U908" s="5"/>
      <c r="V908" s="5"/>
      <c r="Y908" s="5"/>
      <c r="Z908" s="5"/>
      <c r="AA908" s="5"/>
      <c r="AB908" s="5"/>
      <c r="AC908" s="5"/>
      <c r="AD908" s="5"/>
      <c r="AE908" s="5"/>
      <c r="AF908" s="5"/>
      <c r="AG908" s="5"/>
      <c r="AH908" s="5"/>
      <c r="AI908" s="5"/>
      <c r="AJ908" s="5"/>
      <c r="AK908" s="5"/>
      <c r="AL908" s="5"/>
      <c r="AM908" s="5"/>
      <c r="AN908" s="5"/>
    </row>
    <row r="909" spans="1:40" ht="18.75" customHeight="1">
      <c r="A909" s="5"/>
      <c r="B909" s="5"/>
      <c r="C909" s="5"/>
      <c r="D909" s="5"/>
      <c r="E909" s="5"/>
      <c r="F909" s="5"/>
      <c r="G909" s="5"/>
      <c r="H909" s="5"/>
      <c r="I909" s="5"/>
      <c r="J909" s="5"/>
      <c r="K909" s="5"/>
      <c r="L909" s="5"/>
      <c r="M909" s="5"/>
      <c r="N909" s="5"/>
      <c r="O909" s="5"/>
      <c r="P909" s="5"/>
      <c r="Q909" s="5"/>
      <c r="R909" s="5"/>
      <c r="S909" s="5"/>
      <c r="T909" s="5"/>
      <c r="U909" s="5"/>
      <c r="V909" s="5"/>
      <c r="Y909" s="5"/>
      <c r="Z909" s="5"/>
      <c r="AA909" s="5"/>
      <c r="AB909" s="5"/>
      <c r="AC909" s="5"/>
      <c r="AD909" s="5"/>
      <c r="AE909" s="5"/>
      <c r="AF909" s="5"/>
      <c r="AG909" s="5"/>
      <c r="AH909" s="5"/>
      <c r="AI909" s="5"/>
      <c r="AJ909" s="5"/>
      <c r="AK909" s="5"/>
      <c r="AL909" s="5"/>
      <c r="AM909" s="5"/>
      <c r="AN909" s="5"/>
    </row>
    <row r="910" spans="1:40" ht="18.75" customHeight="1">
      <c r="A910" s="5"/>
      <c r="B910" s="5"/>
      <c r="C910" s="5"/>
      <c r="D910" s="5"/>
      <c r="E910" s="5"/>
      <c r="F910" s="5"/>
      <c r="G910" s="5"/>
      <c r="H910" s="5"/>
      <c r="I910" s="5"/>
      <c r="J910" s="5"/>
      <c r="K910" s="5"/>
      <c r="L910" s="5"/>
      <c r="M910" s="5"/>
      <c r="N910" s="5"/>
      <c r="O910" s="5"/>
      <c r="P910" s="5"/>
      <c r="Q910" s="5"/>
      <c r="R910" s="5"/>
      <c r="S910" s="5"/>
      <c r="T910" s="5"/>
      <c r="U910" s="5"/>
      <c r="V910" s="5"/>
      <c r="Y910" s="5"/>
      <c r="Z910" s="5"/>
      <c r="AA910" s="5"/>
      <c r="AB910" s="5"/>
      <c r="AC910" s="5"/>
      <c r="AD910" s="5"/>
      <c r="AE910" s="5"/>
      <c r="AF910" s="5"/>
      <c r="AG910" s="5"/>
      <c r="AH910" s="5"/>
      <c r="AI910" s="5"/>
      <c r="AJ910" s="5"/>
      <c r="AK910" s="5"/>
      <c r="AL910" s="5"/>
      <c r="AM910" s="5"/>
      <c r="AN910" s="5"/>
    </row>
    <row r="911" spans="1:40" ht="18.75" customHeight="1">
      <c r="A911" s="5"/>
      <c r="B911" s="5"/>
      <c r="C911" s="5"/>
      <c r="D911" s="5"/>
      <c r="E911" s="5"/>
      <c r="F911" s="5"/>
      <c r="G911" s="5"/>
      <c r="H911" s="5"/>
      <c r="I911" s="5"/>
      <c r="J911" s="5"/>
      <c r="K911" s="5"/>
      <c r="L911" s="5"/>
      <c r="M911" s="5"/>
      <c r="N911" s="5"/>
      <c r="O911" s="5"/>
      <c r="P911" s="5"/>
      <c r="Q911" s="5"/>
      <c r="R911" s="5"/>
      <c r="S911" s="5"/>
      <c r="T911" s="5"/>
      <c r="U911" s="5"/>
      <c r="V911" s="5"/>
      <c r="Y911" s="5"/>
      <c r="Z911" s="5"/>
      <c r="AA911" s="5"/>
      <c r="AB911" s="5"/>
      <c r="AC911" s="5"/>
      <c r="AD911" s="5"/>
      <c r="AE911" s="5"/>
      <c r="AF911" s="5"/>
      <c r="AG911" s="5"/>
      <c r="AH911" s="5"/>
      <c r="AI911" s="5"/>
      <c r="AJ911" s="5"/>
      <c r="AK911" s="5"/>
      <c r="AL911" s="5"/>
      <c r="AM911" s="5"/>
      <c r="AN911" s="5"/>
    </row>
    <row r="912" spans="1:40" ht="18.75" customHeight="1">
      <c r="A912" s="5"/>
      <c r="B912" s="5"/>
      <c r="C912" s="5"/>
      <c r="D912" s="5"/>
      <c r="E912" s="5"/>
      <c r="F912" s="5"/>
      <c r="G912" s="5"/>
      <c r="H912" s="5"/>
      <c r="I912" s="5"/>
      <c r="J912" s="5"/>
      <c r="K912" s="5"/>
      <c r="L912" s="5"/>
      <c r="M912" s="5"/>
      <c r="N912" s="5"/>
      <c r="O912" s="5"/>
      <c r="P912" s="5"/>
      <c r="Q912" s="5"/>
      <c r="R912" s="5"/>
      <c r="S912" s="5"/>
      <c r="T912" s="5"/>
      <c r="U912" s="5"/>
      <c r="V912" s="5"/>
      <c r="Y912" s="5"/>
      <c r="Z912" s="5"/>
      <c r="AA912" s="5"/>
      <c r="AB912" s="5"/>
      <c r="AC912" s="5"/>
      <c r="AD912" s="5"/>
      <c r="AE912" s="5"/>
      <c r="AF912" s="5"/>
      <c r="AG912" s="5"/>
      <c r="AH912" s="5"/>
      <c r="AI912" s="5"/>
      <c r="AJ912" s="5"/>
      <c r="AK912" s="5"/>
      <c r="AL912" s="5"/>
      <c r="AM912" s="5"/>
      <c r="AN912" s="5"/>
    </row>
    <row r="913" spans="1:40" ht="18.75" customHeight="1">
      <c r="A913" s="5"/>
      <c r="B913" s="5"/>
      <c r="C913" s="5"/>
      <c r="D913" s="5"/>
      <c r="E913" s="5"/>
      <c r="F913" s="5"/>
      <c r="G913" s="5"/>
      <c r="H913" s="5"/>
      <c r="I913" s="5"/>
      <c r="J913" s="5"/>
      <c r="K913" s="5"/>
      <c r="L913" s="5"/>
      <c r="M913" s="5"/>
      <c r="N913" s="5"/>
      <c r="O913" s="5"/>
      <c r="P913" s="5"/>
      <c r="Q913" s="5"/>
      <c r="R913" s="5"/>
      <c r="S913" s="5"/>
      <c r="T913" s="5"/>
      <c r="U913" s="5"/>
      <c r="V913" s="5"/>
      <c r="Y913" s="5"/>
      <c r="Z913" s="5"/>
      <c r="AA913" s="5"/>
      <c r="AB913" s="5"/>
      <c r="AC913" s="5"/>
      <c r="AD913" s="5"/>
      <c r="AE913" s="5"/>
      <c r="AF913" s="5"/>
      <c r="AG913" s="5"/>
      <c r="AH913" s="5"/>
      <c r="AI913" s="5"/>
      <c r="AJ913" s="5"/>
      <c r="AK913" s="5"/>
      <c r="AL913" s="5"/>
      <c r="AM913" s="5"/>
      <c r="AN913" s="5"/>
    </row>
    <row r="914" spans="1:40" ht="18.75" customHeight="1">
      <c r="A914" s="5"/>
      <c r="B914" s="5"/>
      <c r="C914" s="5"/>
      <c r="D914" s="5"/>
      <c r="E914" s="5"/>
      <c r="F914" s="5"/>
      <c r="G914" s="5"/>
      <c r="H914" s="5"/>
      <c r="I914" s="5"/>
      <c r="J914" s="5"/>
      <c r="K914" s="5"/>
      <c r="L914" s="5"/>
      <c r="M914" s="5"/>
      <c r="N914" s="5"/>
      <c r="O914" s="5"/>
      <c r="P914" s="5"/>
      <c r="Q914" s="5"/>
      <c r="R914" s="5"/>
      <c r="S914" s="5"/>
      <c r="T914" s="5"/>
      <c r="U914" s="5"/>
      <c r="V914" s="5"/>
      <c r="Y914" s="5"/>
      <c r="Z914" s="5"/>
      <c r="AA914" s="5"/>
      <c r="AB914" s="5"/>
      <c r="AC914" s="5"/>
      <c r="AD914" s="5"/>
      <c r="AE914" s="5"/>
      <c r="AF914" s="5"/>
      <c r="AG914" s="5"/>
      <c r="AH914" s="5"/>
      <c r="AI914" s="5"/>
      <c r="AJ914" s="5"/>
      <c r="AK914" s="5"/>
      <c r="AL914" s="5"/>
      <c r="AM914" s="5"/>
      <c r="AN914" s="5"/>
    </row>
    <row r="915" spans="1:40" ht="18.75" customHeight="1">
      <c r="A915" s="5"/>
      <c r="B915" s="5"/>
      <c r="C915" s="5"/>
      <c r="D915" s="5"/>
      <c r="E915" s="5"/>
      <c r="F915" s="5"/>
      <c r="G915" s="5"/>
      <c r="H915" s="5"/>
      <c r="I915" s="5"/>
      <c r="J915" s="5"/>
      <c r="K915" s="5"/>
      <c r="L915" s="5"/>
      <c r="M915" s="5"/>
      <c r="N915" s="5"/>
      <c r="O915" s="5"/>
      <c r="P915" s="5"/>
      <c r="Q915" s="5"/>
      <c r="R915" s="5"/>
      <c r="S915" s="5"/>
      <c r="T915" s="5"/>
      <c r="U915" s="5"/>
      <c r="V915" s="5"/>
      <c r="Y915" s="5"/>
      <c r="Z915" s="5"/>
      <c r="AA915" s="5"/>
      <c r="AB915" s="5"/>
      <c r="AC915" s="5"/>
      <c r="AD915" s="5"/>
      <c r="AE915" s="5"/>
      <c r="AF915" s="5"/>
      <c r="AG915" s="5"/>
      <c r="AH915" s="5"/>
      <c r="AI915" s="5"/>
      <c r="AJ915" s="5"/>
      <c r="AK915" s="5"/>
      <c r="AL915" s="5"/>
      <c r="AM915" s="5"/>
      <c r="AN915" s="5"/>
    </row>
    <row r="916" spans="1:40" ht="18.75" customHeight="1">
      <c r="A916" s="5"/>
      <c r="B916" s="5"/>
      <c r="C916" s="5"/>
      <c r="D916" s="5"/>
      <c r="E916" s="5"/>
      <c r="F916" s="5"/>
      <c r="G916" s="5"/>
      <c r="H916" s="5"/>
      <c r="I916" s="5"/>
      <c r="J916" s="5"/>
      <c r="K916" s="5"/>
      <c r="L916" s="5"/>
      <c r="M916" s="5"/>
      <c r="N916" s="5"/>
      <c r="O916" s="5"/>
      <c r="P916" s="5"/>
      <c r="Q916" s="5"/>
      <c r="R916" s="5"/>
      <c r="S916" s="5"/>
      <c r="T916" s="5"/>
      <c r="U916" s="5"/>
      <c r="V916" s="5"/>
      <c r="Y916" s="5"/>
      <c r="Z916" s="5"/>
      <c r="AA916" s="5"/>
      <c r="AB916" s="5"/>
      <c r="AC916" s="5"/>
      <c r="AD916" s="5"/>
      <c r="AE916" s="5"/>
      <c r="AF916" s="5"/>
      <c r="AG916" s="5"/>
      <c r="AH916" s="5"/>
      <c r="AI916" s="5"/>
      <c r="AJ916" s="5"/>
      <c r="AK916" s="5"/>
      <c r="AL916" s="5"/>
      <c r="AM916" s="5"/>
      <c r="AN916" s="5"/>
    </row>
    <row r="917" spans="1:40" ht="18.75" customHeight="1">
      <c r="A917" s="5"/>
      <c r="B917" s="5"/>
      <c r="C917" s="5"/>
      <c r="D917" s="5"/>
      <c r="E917" s="5"/>
      <c r="F917" s="5"/>
      <c r="G917" s="5"/>
      <c r="H917" s="5"/>
      <c r="I917" s="5"/>
      <c r="J917" s="5"/>
      <c r="K917" s="5"/>
      <c r="L917" s="5"/>
      <c r="M917" s="5"/>
      <c r="N917" s="5"/>
      <c r="O917" s="5"/>
      <c r="P917" s="5"/>
      <c r="Q917" s="5"/>
      <c r="R917" s="5"/>
      <c r="S917" s="5"/>
      <c r="T917" s="5"/>
      <c r="U917" s="5"/>
      <c r="V917" s="5"/>
      <c r="Y917" s="5"/>
      <c r="Z917" s="5"/>
      <c r="AA917" s="5"/>
      <c r="AB917" s="5"/>
      <c r="AC917" s="5"/>
      <c r="AD917" s="5"/>
      <c r="AE917" s="5"/>
      <c r="AF917" s="5"/>
      <c r="AG917" s="5"/>
      <c r="AH917" s="5"/>
      <c r="AI917" s="5"/>
      <c r="AJ917" s="5"/>
      <c r="AK917" s="5"/>
      <c r="AL917" s="5"/>
      <c r="AM917" s="5"/>
      <c r="AN917" s="5"/>
    </row>
    <row r="918" spans="1:40" ht="18.75" customHeight="1">
      <c r="A918" s="5"/>
      <c r="B918" s="5"/>
      <c r="C918" s="5"/>
      <c r="D918" s="5"/>
      <c r="E918" s="5"/>
      <c r="F918" s="5"/>
      <c r="G918" s="5"/>
      <c r="H918" s="5"/>
      <c r="I918" s="5"/>
      <c r="J918" s="5"/>
      <c r="K918" s="5"/>
      <c r="L918" s="5"/>
      <c r="M918" s="5"/>
      <c r="N918" s="5"/>
      <c r="O918" s="5"/>
      <c r="P918" s="5"/>
      <c r="Q918" s="5"/>
      <c r="R918" s="5"/>
      <c r="S918" s="5"/>
      <c r="T918" s="5"/>
      <c r="U918" s="5"/>
      <c r="V918" s="5"/>
      <c r="Y918" s="5"/>
      <c r="Z918" s="5"/>
      <c r="AA918" s="5"/>
      <c r="AB918" s="5"/>
      <c r="AC918" s="5"/>
      <c r="AD918" s="5"/>
      <c r="AE918" s="5"/>
      <c r="AF918" s="5"/>
      <c r="AG918" s="5"/>
      <c r="AH918" s="5"/>
      <c r="AI918" s="5"/>
      <c r="AJ918" s="5"/>
      <c r="AK918" s="5"/>
      <c r="AL918" s="5"/>
      <c r="AM918" s="5"/>
      <c r="AN918" s="5"/>
    </row>
    <row r="919" spans="1:40" ht="18.75" customHeight="1">
      <c r="A919" s="5"/>
      <c r="B919" s="5"/>
      <c r="C919" s="5"/>
      <c r="D919" s="5"/>
      <c r="E919" s="5"/>
      <c r="F919" s="5"/>
      <c r="G919" s="5"/>
      <c r="H919" s="5"/>
      <c r="I919" s="5"/>
      <c r="J919" s="5"/>
      <c r="K919" s="5"/>
      <c r="L919" s="5"/>
      <c r="M919" s="5"/>
      <c r="N919" s="5"/>
      <c r="O919" s="5"/>
      <c r="P919" s="5"/>
      <c r="Q919" s="5"/>
      <c r="R919" s="5"/>
      <c r="S919" s="5"/>
      <c r="T919" s="5"/>
      <c r="U919" s="5"/>
      <c r="V919" s="5"/>
      <c r="Y919" s="5"/>
      <c r="Z919" s="5"/>
      <c r="AA919" s="5"/>
      <c r="AB919" s="5"/>
      <c r="AC919" s="5"/>
      <c r="AD919" s="5"/>
      <c r="AE919" s="5"/>
      <c r="AF919" s="5"/>
      <c r="AG919" s="5"/>
      <c r="AH919" s="5"/>
      <c r="AI919" s="5"/>
      <c r="AJ919" s="5"/>
      <c r="AK919" s="5"/>
      <c r="AL919" s="5"/>
      <c r="AM919" s="5"/>
      <c r="AN919" s="5"/>
    </row>
    <row r="920" spans="1:40" ht="18.75" customHeight="1">
      <c r="A920" s="5"/>
      <c r="B920" s="5"/>
      <c r="C920" s="5"/>
      <c r="D920" s="5"/>
      <c r="E920" s="5"/>
      <c r="F920" s="5"/>
      <c r="G920" s="5"/>
      <c r="H920" s="5"/>
      <c r="I920" s="5"/>
      <c r="J920" s="5"/>
      <c r="K920" s="5"/>
      <c r="L920" s="5"/>
      <c r="M920" s="5"/>
      <c r="N920" s="5"/>
      <c r="O920" s="5"/>
      <c r="P920" s="5"/>
      <c r="Q920" s="5"/>
      <c r="R920" s="5"/>
      <c r="S920" s="5"/>
      <c r="T920" s="5"/>
      <c r="U920" s="5"/>
      <c r="V920" s="5"/>
      <c r="Y920" s="5"/>
      <c r="Z920" s="5"/>
      <c r="AA920" s="5"/>
      <c r="AB920" s="5"/>
      <c r="AC920" s="5"/>
      <c r="AD920" s="5"/>
      <c r="AE920" s="5"/>
      <c r="AF920" s="5"/>
      <c r="AG920" s="5"/>
      <c r="AH920" s="5"/>
      <c r="AI920" s="5"/>
      <c r="AJ920" s="5"/>
      <c r="AK920" s="5"/>
      <c r="AL920" s="5"/>
      <c r="AM920" s="5"/>
      <c r="AN920" s="5"/>
    </row>
    <row r="921" spans="1:40" ht="18.75" customHeight="1">
      <c r="A921" s="5"/>
      <c r="B921" s="5"/>
      <c r="C921" s="5"/>
      <c r="D921" s="5"/>
      <c r="E921" s="5"/>
      <c r="F921" s="5"/>
      <c r="G921" s="5"/>
      <c r="H921" s="5"/>
      <c r="I921" s="5"/>
      <c r="J921" s="5"/>
      <c r="K921" s="5"/>
      <c r="L921" s="5"/>
      <c r="M921" s="5"/>
      <c r="N921" s="5"/>
      <c r="O921" s="5"/>
      <c r="P921" s="5"/>
      <c r="Q921" s="5"/>
      <c r="R921" s="5"/>
      <c r="S921" s="5"/>
      <c r="T921" s="5"/>
      <c r="U921" s="5"/>
      <c r="V921" s="5"/>
      <c r="Y921" s="5"/>
      <c r="Z921" s="5"/>
      <c r="AA921" s="5"/>
      <c r="AB921" s="5"/>
      <c r="AC921" s="5"/>
      <c r="AD921" s="5"/>
      <c r="AE921" s="5"/>
      <c r="AF921" s="5"/>
      <c r="AG921" s="5"/>
      <c r="AH921" s="5"/>
      <c r="AI921" s="5"/>
      <c r="AJ921" s="5"/>
      <c r="AK921" s="5"/>
      <c r="AL921" s="5"/>
      <c r="AM921" s="5"/>
      <c r="AN921" s="5"/>
    </row>
    <row r="922" spans="1:40" ht="18.75" customHeight="1">
      <c r="A922" s="5"/>
      <c r="B922" s="5"/>
      <c r="C922" s="5"/>
      <c r="D922" s="5"/>
      <c r="E922" s="5"/>
      <c r="F922" s="5"/>
      <c r="G922" s="5"/>
      <c r="H922" s="5"/>
      <c r="I922" s="5"/>
      <c r="J922" s="5"/>
      <c r="K922" s="5"/>
      <c r="L922" s="5"/>
      <c r="M922" s="5"/>
      <c r="N922" s="5"/>
      <c r="O922" s="5"/>
      <c r="P922" s="5"/>
      <c r="Q922" s="5"/>
      <c r="R922" s="5"/>
      <c r="S922" s="5"/>
      <c r="T922" s="5"/>
      <c r="U922" s="5"/>
      <c r="V922" s="5"/>
      <c r="Y922" s="5"/>
      <c r="Z922" s="5"/>
      <c r="AA922" s="5"/>
      <c r="AB922" s="5"/>
      <c r="AC922" s="5"/>
      <c r="AD922" s="5"/>
      <c r="AE922" s="5"/>
      <c r="AF922" s="5"/>
      <c r="AG922" s="5"/>
      <c r="AH922" s="5"/>
      <c r="AI922" s="5"/>
      <c r="AJ922" s="5"/>
      <c r="AK922" s="5"/>
      <c r="AL922" s="5"/>
      <c r="AM922" s="5"/>
      <c r="AN922" s="5"/>
    </row>
    <row r="923" spans="1:40" ht="18.75" customHeight="1">
      <c r="A923" s="5"/>
      <c r="B923" s="5"/>
      <c r="C923" s="5"/>
      <c r="D923" s="5"/>
      <c r="E923" s="5"/>
      <c r="F923" s="5"/>
      <c r="G923" s="5"/>
      <c r="H923" s="5"/>
      <c r="I923" s="5"/>
      <c r="J923" s="5"/>
      <c r="K923" s="5"/>
      <c r="L923" s="5"/>
      <c r="M923" s="5"/>
      <c r="N923" s="5"/>
      <c r="O923" s="5"/>
      <c r="P923" s="5"/>
      <c r="Q923" s="5"/>
      <c r="R923" s="5"/>
      <c r="S923" s="5"/>
      <c r="T923" s="5"/>
      <c r="U923" s="5"/>
      <c r="V923" s="5"/>
      <c r="Y923" s="5"/>
      <c r="Z923" s="5"/>
      <c r="AA923" s="5"/>
      <c r="AB923" s="5"/>
      <c r="AC923" s="5"/>
      <c r="AD923" s="5"/>
      <c r="AE923" s="5"/>
      <c r="AF923" s="5"/>
      <c r="AG923" s="5"/>
      <c r="AH923" s="5"/>
      <c r="AI923" s="5"/>
      <c r="AJ923" s="5"/>
      <c r="AK923" s="5"/>
      <c r="AL923" s="5"/>
      <c r="AM923" s="5"/>
      <c r="AN923" s="5"/>
    </row>
    <row r="924" spans="1:40" ht="18.75" customHeight="1">
      <c r="A924" s="5"/>
      <c r="B924" s="5"/>
      <c r="C924" s="5"/>
      <c r="D924" s="5"/>
      <c r="E924" s="5"/>
      <c r="F924" s="5"/>
      <c r="G924" s="5"/>
      <c r="H924" s="5"/>
      <c r="I924" s="5"/>
      <c r="J924" s="5"/>
      <c r="K924" s="5"/>
      <c r="L924" s="5"/>
      <c r="M924" s="5"/>
      <c r="N924" s="5"/>
      <c r="O924" s="5"/>
      <c r="P924" s="5"/>
      <c r="Q924" s="5"/>
      <c r="R924" s="5"/>
      <c r="S924" s="5"/>
      <c r="T924" s="5"/>
      <c r="U924" s="5"/>
      <c r="V924" s="5"/>
      <c r="Y924" s="5"/>
      <c r="Z924" s="5"/>
      <c r="AA924" s="5"/>
      <c r="AB924" s="5"/>
      <c r="AC924" s="5"/>
      <c r="AD924" s="5"/>
      <c r="AE924" s="5"/>
      <c r="AF924" s="5"/>
      <c r="AG924" s="5"/>
      <c r="AH924" s="5"/>
      <c r="AI924" s="5"/>
      <c r="AJ924" s="5"/>
      <c r="AK924" s="5"/>
      <c r="AL924" s="5"/>
      <c r="AM924" s="5"/>
      <c r="AN924" s="5"/>
    </row>
    <row r="925" spans="1:40" ht="18.75" customHeight="1">
      <c r="A925" s="5"/>
      <c r="B925" s="5"/>
      <c r="C925" s="5"/>
      <c r="D925" s="5"/>
      <c r="E925" s="5"/>
      <c r="F925" s="5"/>
      <c r="G925" s="5"/>
      <c r="H925" s="5"/>
      <c r="I925" s="5"/>
      <c r="J925" s="5"/>
      <c r="K925" s="5"/>
      <c r="L925" s="5"/>
      <c r="M925" s="5"/>
      <c r="N925" s="5"/>
      <c r="O925" s="5"/>
      <c r="P925" s="5"/>
      <c r="Q925" s="5"/>
      <c r="R925" s="5"/>
      <c r="S925" s="5"/>
      <c r="T925" s="5"/>
      <c r="U925" s="5"/>
      <c r="V925" s="5"/>
      <c r="Y925" s="5"/>
      <c r="Z925" s="5"/>
      <c r="AA925" s="5"/>
      <c r="AB925" s="5"/>
      <c r="AC925" s="5"/>
      <c r="AD925" s="5"/>
      <c r="AE925" s="5"/>
      <c r="AF925" s="5"/>
      <c r="AG925" s="5"/>
      <c r="AH925" s="5"/>
      <c r="AI925" s="5"/>
      <c r="AJ925" s="5"/>
      <c r="AK925" s="5"/>
      <c r="AL925" s="5"/>
      <c r="AM925" s="5"/>
      <c r="AN925" s="5"/>
    </row>
    <row r="926" spans="1:40" ht="18.75" customHeight="1">
      <c r="A926" s="5"/>
      <c r="B926" s="5"/>
      <c r="C926" s="5"/>
      <c r="D926" s="5"/>
      <c r="E926" s="5"/>
      <c r="F926" s="5"/>
      <c r="G926" s="5"/>
      <c r="H926" s="5"/>
      <c r="I926" s="5"/>
      <c r="J926" s="5"/>
      <c r="K926" s="5"/>
      <c r="L926" s="5"/>
      <c r="M926" s="5"/>
      <c r="N926" s="5"/>
      <c r="O926" s="5"/>
      <c r="P926" s="5"/>
      <c r="Q926" s="5"/>
      <c r="R926" s="5"/>
      <c r="S926" s="5"/>
      <c r="T926" s="5"/>
      <c r="U926" s="5"/>
      <c r="V926" s="5"/>
      <c r="Y926" s="5"/>
      <c r="Z926" s="5"/>
      <c r="AA926" s="5"/>
      <c r="AB926" s="5"/>
      <c r="AC926" s="5"/>
      <c r="AD926" s="5"/>
      <c r="AE926" s="5"/>
      <c r="AF926" s="5"/>
      <c r="AG926" s="5"/>
      <c r="AH926" s="5"/>
      <c r="AI926" s="5"/>
      <c r="AJ926" s="5"/>
      <c r="AK926" s="5"/>
      <c r="AL926" s="5"/>
      <c r="AM926" s="5"/>
      <c r="AN926" s="5"/>
    </row>
    <row r="927" spans="1:40" ht="18.75" customHeight="1">
      <c r="A927" s="5"/>
      <c r="B927" s="5"/>
      <c r="C927" s="5"/>
      <c r="D927" s="5"/>
      <c r="E927" s="5"/>
      <c r="F927" s="5"/>
      <c r="G927" s="5"/>
      <c r="H927" s="5"/>
      <c r="I927" s="5"/>
      <c r="J927" s="5"/>
      <c r="K927" s="5"/>
      <c r="L927" s="5"/>
      <c r="M927" s="5"/>
      <c r="N927" s="5"/>
      <c r="O927" s="5"/>
      <c r="P927" s="5"/>
      <c r="Q927" s="5"/>
      <c r="R927" s="5"/>
      <c r="S927" s="5"/>
      <c r="T927" s="5"/>
      <c r="U927" s="5"/>
      <c r="V927" s="5"/>
      <c r="Y927" s="5"/>
      <c r="Z927" s="5"/>
      <c r="AA927" s="5"/>
      <c r="AB927" s="5"/>
      <c r="AC927" s="5"/>
      <c r="AD927" s="5"/>
      <c r="AE927" s="5"/>
      <c r="AF927" s="5"/>
      <c r="AG927" s="5"/>
      <c r="AH927" s="5"/>
      <c r="AI927" s="5"/>
      <c r="AJ927" s="5"/>
      <c r="AK927" s="5"/>
      <c r="AL927" s="5"/>
      <c r="AM927" s="5"/>
      <c r="AN927" s="5"/>
    </row>
    <row r="928" spans="1:40" ht="18.75" customHeight="1">
      <c r="A928" s="5"/>
      <c r="B928" s="5"/>
      <c r="C928" s="5"/>
      <c r="D928" s="5"/>
      <c r="E928" s="5"/>
      <c r="F928" s="5"/>
      <c r="G928" s="5"/>
      <c r="H928" s="5"/>
      <c r="I928" s="5"/>
      <c r="J928" s="5"/>
      <c r="K928" s="5"/>
      <c r="L928" s="5"/>
      <c r="M928" s="5"/>
      <c r="N928" s="5"/>
      <c r="O928" s="5"/>
      <c r="P928" s="5"/>
      <c r="Q928" s="5"/>
      <c r="R928" s="5"/>
      <c r="S928" s="5"/>
      <c r="T928" s="5"/>
      <c r="U928" s="5"/>
      <c r="V928" s="5"/>
      <c r="Y928" s="5"/>
      <c r="Z928" s="5"/>
      <c r="AA928" s="5"/>
      <c r="AB928" s="5"/>
      <c r="AC928" s="5"/>
      <c r="AD928" s="5"/>
      <c r="AE928" s="5"/>
      <c r="AF928" s="5"/>
      <c r="AG928" s="5"/>
      <c r="AH928" s="5"/>
      <c r="AI928" s="5"/>
      <c r="AJ928" s="5"/>
      <c r="AK928" s="5"/>
      <c r="AL928" s="5"/>
      <c r="AM928" s="5"/>
      <c r="AN928" s="5"/>
    </row>
    <row r="929" spans="1:40" ht="18.75" customHeight="1">
      <c r="A929" s="5"/>
      <c r="B929" s="5"/>
      <c r="C929" s="5"/>
      <c r="D929" s="5"/>
      <c r="E929" s="5"/>
      <c r="F929" s="5"/>
      <c r="G929" s="5"/>
      <c r="H929" s="5"/>
      <c r="I929" s="5"/>
      <c r="J929" s="5"/>
      <c r="K929" s="5"/>
      <c r="L929" s="5"/>
      <c r="M929" s="5"/>
      <c r="N929" s="5"/>
      <c r="O929" s="5"/>
      <c r="P929" s="5"/>
      <c r="Q929" s="5"/>
      <c r="R929" s="5"/>
      <c r="S929" s="5"/>
      <c r="T929" s="5"/>
      <c r="U929" s="5"/>
      <c r="V929" s="5"/>
      <c r="Y929" s="5"/>
      <c r="Z929" s="5"/>
      <c r="AA929" s="5"/>
      <c r="AB929" s="5"/>
      <c r="AC929" s="5"/>
      <c r="AD929" s="5"/>
      <c r="AE929" s="5"/>
      <c r="AF929" s="5"/>
      <c r="AG929" s="5"/>
      <c r="AH929" s="5"/>
      <c r="AI929" s="5"/>
      <c r="AJ929" s="5"/>
      <c r="AK929" s="5"/>
      <c r="AL929" s="5"/>
      <c r="AM929" s="5"/>
      <c r="AN929" s="5"/>
    </row>
    <row r="930" spans="1:40" ht="18.75" customHeight="1">
      <c r="A930" s="5"/>
      <c r="B930" s="5"/>
      <c r="C930" s="5"/>
      <c r="D930" s="5"/>
      <c r="E930" s="5"/>
      <c r="F930" s="5"/>
      <c r="G930" s="5"/>
      <c r="H930" s="5"/>
      <c r="I930" s="5"/>
      <c r="J930" s="5"/>
      <c r="K930" s="5"/>
      <c r="L930" s="5"/>
      <c r="M930" s="5"/>
      <c r="N930" s="5"/>
      <c r="O930" s="5"/>
      <c r="P930" s="5"/>
      <c r="Q930" s="5"/>
      <c r="R930" s="5"/>
      <c r="S930" s="5"/>
      <c r="T930" s="5"/>
      <c r="U930" s="5"/>
      <c r="V930" s="5"/>
      <c r="Y930" s="5"/>
      <c r="Z930" s="5"/>
      <c r="AA930" s="5"/>
      <c r="AB930" s="5"/>
      <c r="AC930" s="5"/>
      <c r="AD930" s="5"/>
      <c r="AE930" s="5"/>
      <c r="AF930" s="5"/>
      <c r="AG930" s="5"/>
      <c r="AH930" s="5"/>
      <c r="AI930" s="5"/>
      <c r="AJ930" s="5"/>
      <c r="AK930" s="5"/>
      <c r="AL930" s="5"/>
      <c r="AM930" s="5"/>
      <c r="AN930" s="5"/>
    </row>
    <row r="931" spans="1:40" ht="18.75" customHeight="1">
      <c r="A931" s="5"/>
      <c r="B931" s="5"/>
      <c r="C931" s="5"/>
      <c r="D931" s="5"/>
      <c r="E931" s="5"/>
      <c r="F931" s="5"/>
      <c r="G931" s="5"/>
      <c r="H931" s="5"/>
      <c r="I931" s="5"/>
      <c r="J931" s="5"/>
      <c r="K931" s="5"/>
      <c r="L931" s="5"/>
      <c r="M931" s="5"/>
      <c r="N931" s="5"/>
      <c r="O931" s="5"/>
      <c r="P931" s="5"/>
      <c r="Q931" s="5"/>
      <c r="R931" s="5"/>
      <c r="S931" s="5"/>
      <c r="T931" s="5"/>
      <c r="U931" s="5"/>
      <c r="V931" s="5"/>
      <c r="Y931" s="5"/>
      <c r="Z931" s="5"/>
      <c r="AA931" s="5"/>
      <c r="AB931" s="5"/>
      <c r="AC931" s="5"/>
      <c r="AD931" s="5"/>
      <c r="AE931" s="5"/>
      <c r="AF931" s="5"/>
      <c r="AG931" s="5"/>
      <c r="AH931" s="5"/>
      <c r="AI931" s="5"/>
      <c r="AJ931" s="5"/>
      <c r="AK931" s="5"/>
      <c r="AL931" s="5"/>
      <c r="AM931" s="5"/>
      <c r="AN931" s="5"/>
    </row>
    <row r="932" spans="1:40" ht="18.75" customHeight="1">
      <c r="A932" s="5"/>
      <c r="B932" s="5"/>
      <c r="C932" s="5"/>
      <c r="D932" s="5"/>
      <c r="E932" s="5"/>
      <c r="F932" s="5"/>
      <c r="G932" s="5"/>
      <c r="H932" s="5"/>
      <c r="I932" s="5"/>
      <c r="J932" s="5"/>
      <c r="K932" s="5"/>
      <c r="L932" s="5"/>
      <c r="M932" s="5"/>
      <c r="N932" s="5"/>
      <c r="O932" s="5"/>
      <c r="P932" s="5"/>
      <c r="Q932" s="5"/>
      <c r="R932" s="5"/>
      <c r="S932" s="5"/>
      <c r="T932" s="5"/>
      <c r="U932" s="5"/>
      <c r="V932" s="5"/>
      <c r="Y932" s="5"/>
      <c r="Z932" s="5"/>
      <c r="AA932" s="5"/>
      <c r="AB932" s="5"/>
      <c r="AC932" s="5"/>
      <c r="AD932" s="5"/>
      <c r="AE932" s="5"/>
      <c r="AF932" s="5"/>
      <c r="AG932" s="5"/>
      <c r="AH932" s="5"/>
      <c r="AI932" s="5"/>
      <c r="AJ932" s="5"/>
      <c r="AK932" s="5"/>
      <c r="AL932" s="5"/>
      <c r="AM932" s="5"/>
      <c r="AN932" s="5"/>
    </row>
    <row r="933" spans="1:40" ht="18.75" customHeight="1">
      <c r="A933" s="5"/>
      <c r="B933" s="5"/>
      <c r="C933" s="5"/>
      <c r="D933" s="5"/>
      <c r="E933" s="5"/>
      <c r="F933" s="5"/>
      <c r="G933" s="5"/>
      <c r="H933" s="5"/>
      <c r="I933" s="5"/>
      <c r="J933" s="5"/>
      <c r="K933" s="5"/>
      <c r="L933" s="5"/>
      <c r="M933" s="5"/>
      <c r="N933" s="5"/>
      <c r="O933" s="5"/>
      <c r="P933" s="5"/>
      <c r="Q933" s="5"/>
      <c r="R933" s="5"/>
      <c r="S933" s="5"/>
      <c r="T933" s="5"/>
      <c r="U933" s="5"/>
      <c r="V933" s="5"/>
      <c r="Y933" s="5"/>
      <c r="Z933" s="5"/>
      <c r="AA933" s="5"/>
      <c r="AB933" s="5"/>
      <c r="AC933" s="5"/>
      <c r="AD933" s="5"/>
      <c r="AE933" s="5"/>
      <c r="AF933" s="5"/>
      <c r="AG933" s="5"/>
      <c r="AH933" s="5"/>
      <c r="AI933" s="5"/>
      <c r="AJ933" s="5"/>
      <c r="AK933" s="5"/>
      <c r="AL933" s="5"/>
      <c r="AM933" s="5"/>
      <c r="AN933" s="5"/>
    </row>
    <row r="934" spans="1:40" ht="18.75" customHeight="1">
      <c r="A934" s="5"/>
      <c r="B934" s="5"/>
      <c r="C934" s="5"/>
      <c r="D934" s="5"/>
      <c r="E934" s="5"/>
      <c r="F934" s="5"/>
      <c r="G934" s="5"/>
      <c r="H934" s="5"/>
      <c r="I934" s="5"/>
      <c r="J934" s="5"/>
      <c r="K934" s="5"/>
      <c r="L934" s="5"/>
      <c r="M934" s="5"/>
      <c r="N934" s="5"/>
      <c r="O934" s="5"/>
      <c r="P934" s="5"/>
      <c r="Q934" s="5"/>
      <c r="R934" s="5"/>
      <c r="S934" s="5"/>
      <c r="T934" s="5"/>
      <c r="U934" s="5"/>
      <c r="V934" s="5"/>
      <c r="Y934" s="5"/>
      <c r="Z934" s="5"/>
      <c r="AA934" s="5"/>
      <c r="AB934" s="5"/>
      <c r="AC934" s="5"/>
      <c r="AD934" s="5"/>
      <c r="AE934" s="5"/>
      <c r="AF934" s="5"/>
      <c r="AG934" s="5"/>
      <c r="AH934" s="5"/>
      <c r="AI934" s="5"/>
      <c r="AJ934" s="5"/>
      <c r="AK934" s="5"/>
      <c r="AL934" s="5"/>
      <c r="AM934" s="5"/>
      <c r="AN934" s="5"/>
    </row>
    <row r="935" spans="1:40" ht="18.75" customHeight="1">
      <c r="A935" s="5"/>
      <c r="B935" s="5"/>
      <c r="C935" s="5"/>
      <c r="D935" s="5"/>
      <c r="E935" s="5"/>
      <c r="F935" s="5"/>
      <c r="G935" s="5"/>
      <c r="H935" s="5"/>
      <c r="I935" s="5"/>
      <c r="J935" s="5"/>
      <c r="K935" s="5"/>
      <c r="L935" s="5"/>
      <c r="M935" s="5"/>
      <c r="N935" s="5"/>
      <c r="O935" s="5"/>
      <c r="P935" s="5"/>
      <c r="Q935" s="5"/>
      <c r="R935" s="5"/>
      <c r="S935" s="5"/>
      <c r="T935" s="5"/>
      <c r="U935" s="5"/>
      <c r="V935" s="5"/>
      <c r="Y935" s="5"/>
      <c r="Z935" s="5"/>
      <c r="AA935" s="5"/>
      <c r="AB935" s="5"/>
      <c r="AC935" s="5"/>
      <c r="AD935" s="5"/>
      <c r="AE935" s="5"/>
      <c r="AF935" s="5"/>
      <c r="AG935" s="5"/>
      <c r="AH935" s="5"/>
      <c r="AI935" s="5"/>
      <c r="AJ935" s="5"/>
      <c r="AK935" s="5"/>
      <c r="AL935" s="5"/>
      <c r="AM935" s="5"/>
      <c r="AN935" s="5"/>
    </row>
    <row r="936" spans="1:40" ht="18.75" customHeight="1">
      <c r="A936" s="5"/>
      <c r="B936" s="5"/>
      <c r="C936" s="5"/>
      <c r="D936" s="5"/>
      <c r="E936" s="5"/>
      <c r="F936" s="5"/>
      <c r="G936" s="5"/>
      <c r="H936" s="5"/>
      <c r="I936" s="5"/>
      <c r="J936" s="5"/>
      <c r="K936" s="5"/>
      <c r="L936" s="5"/>
      <c r="M936" s="5"/>
      <c r="N936" s="5"/>
      <c r="O936" s="5"/>
      <c r="P936" s="5"/>
      <c r="Q936" s="5"/>
      <c r="R936" s="5"/>
      <c r="S936" s="5"/>
      <c r="T936" s="5"/>
      <c r="U936" s="5"/>
      <c r="V936" s="5"/>
      <c r="Y936" s="5"/>
      <c r="Z936" s="5"/>
      <c r="AA936" s="5"/>
      <c r="AB936" s="5"/>
      <c r="AC936" s="5"/>
      <c r="AD936" s="5"/>
      <c r="AE936" s="5"/>
      <c r="AF936" s="5"/>
      <c r="AG936" s="5"/>
      <c r="AH936" s="5"/>
      <c r="AI936" s="5"/>
      <c r="AJ936" s="5"/>
      <c r="AK936" s="5"/>
      <c r="AL936" s="5"/>
      <c r="AM936" s="5"/>
      <c r="AN936" s="5"/>
    </row>
    <row r="937" spans="1:40" ht="18.75" customHeight="1">
      <c r="A937" s="5"/>
      <c r="B937" s="5"/>
      <c r="C937" s="5"/>
      <c r="D937" s="5"/>
      <c r="E937" s="5"/>
      <c r="F937" s="5"/>
      <c r="G937" s="5"/>
      <c r="H937" s="5"/>
      <c r="I937" s="5"/>
      <c r="J937" s="5"/>
      <c r="K937" s="5"/>
      <c r="L937" s="5"/>
      <c r="M937" s="5"/>
      <c r="N937" s="5"/>
      <c r="O937" s="5"/>
      <c r="P937" s="5"/>
      <c r="Q937" s="5"/>
      <c r="R937" s="5"/>
      <c r="S937" s="5"/>
      <c r="T937" s="5"/>
      <c r="U937" s="5"/>
      <c r="V937" s="5"/>
      <c r="Y937" s="5"/>
      <c r="Z937" s="5"/>
      <c r="AA937" s="5"/>
      <c r="AB937" s="5"/>
      <c r="AC937" s="5"/>
      <c r="AD937" s="5"/>
      <c r="AE937" s="5"/>
      <c r="AF937" s="5"/>
      <c r="AG937" s="5"/>
      <c r="AH937" s="5"/>
      <c r="AI937" s="5"/>
      <c r="AJ937" s="5"/>
      <c r="AK937" s="5"/>
      <c r="AL937" s="5"/>
      <c r="AM937" s="5"/>
      <c r="AN937" s="5"/>
    </row>
    <row r="938" spans="1:40" ht="18.75" customHeight="1">
      <c r="A938" s="5"/>
      <c r="B938" s="5"/>
      <c r="C938" s="5"/>
      <c r="D938" s="5"/>
      <c r="E938" s="5"/>
      <c r="F938" s="5"/>
      <c r="G938" s="5"/>
      <c r="H938" s="5"/>
      <c r="I938" s="5"/>
      <c r="J938" s="5"/>
      <c r="K938" s="5"/>
      <c r="L938" s="5"/>
      <c r="M938" s="5"/>
      <c r="N938" s="5"/>
      <c r="O938" s="5"/>
      <c r="P938" s="5"/>
      <c r="Q938" s="5"/>
      <c r="R938" s="5"/>
      <c r="S938" s="5"/>
      <c r="T938" s="5"/>
      <c r="U938" s="5"/>
      <c r="V938" s="5"/>
      <c r="Y938" s="5"/>
      <c r="Z938" s="5"/>
      <c r="AA938" s="5"/>
      <c r="AB938" s="5"/>
      <c r="AC938" s="5"/>
      <c r="AD938" s="5"/>
      <c r="AE938" s="5"/>
      <c r="AF938" s="5"/>
      <c r="AG938" s="5"/>
      <c r="AH938" s="5"/>
      <c r="AI938" s="5"/>
      <c r="AJ938" s="5"/>
      <c r="AK938" s="5"/>
      <c r="AL938" s="5"/>
      <c r="AM938" s="5"/>
      <c r="AN938" s="5"/>
    </row>
    <row r="939" spans="1:40" ht="18.75" customHeight="1">
      <c r="A939" s="5"/>
      <c r="B939" s="5"/>
      <c r="C939" s="5"/>
      <c r="D939" s="5"/>
      <c r="E939" s="5"/>
      <c r="F939" s="5"/>
      <c r="G939" s="5"/>
      <c r="H939" s="5"/>
      <c r="I939" s="5"/>
      <c r="J939" s="5"/>
      <c r="K939" s="5"/>
      <c r="L939" s="5"/>
      <c r="M939" s="5"/>
      <c r="N939" s="5"/>
      <c r="O939" s="5"/>
      <c r="P939" s="5"/>
      <c r="Q939" s="5"/>
      <c r="R939" s="5"/>
      <c r="S939" s="5"/>
      <c r="T939" s="5"/>
      <c r="U939" s="5"/>
      <c r="V939" s="5"/>
      <c r="Y939" s="5"/>
      <c r="Z939" s="5"/>
      <c r="AA939" s="5"/>
      <c r="AB939" s="5"/>
      <c r="AC939" s="5"/>
      <c r="AD939" s="5"/>
      <c r="AE939" s="5"/>
      <c r="AF939" s="5"/>
      <c r="AG939" s="5"/>
      <c r="AH939" s="5"/>
      <c r="AI939" s="5"/>
      <c r="AJ939" s="5"/>
      <c r="AK939" s="5"/>
      <c r="AL939" s="5"/>
      <c r="AM939" s="5"/>
      <c r="AN939" s="5"/>
    </row>
    <row r="940" spans="1:40" ht="18.75" customHeight="1">
      <c r="A940" s="5"/>
      <c r="B940" s="5"/>
      <c r="C940" s="5"/>
      <c r="D940" s="5"/>
      <c r="E940" s="5"/>
      <c r="F940" s="5"/>
      <c r="G940" s="5"/>
      <c r="H940" s="5"/>
      <c r="I940" s="5"/>
      <c r="J940" s="5"/>
      <c r="K940" s="5"/>
      <c r="L940" s="5"/>
      <c r="M940" s="5"/>
      <c r="N940" s="5"/>
      <c r="O940" s="5"/>
      <c r="P940" s="5"/>
      <c r="Q940" s="5"/>
      <c r="R940" s="5"/>
      <c r="S940" s="5"/>
      <c r="T940" s="5"/>
      <c r="U940" s="5"/>
      <c r="V940" s="5"/>
      <c r="Y940" s="5"/>
      <c r="Z940" s="5"/>
      <c r="AA940" s="5"/>
      <c r="AB940" s="5"/>
      <c r="AC940" s="5"/>
      <c r="AD940" s="5"/>
      <c r="AE940" s="5"/>
      <c r="AF940" s="5"/>
      <c r="AG940" s="5"/>
      <c r="AH940" s="5"/>
      <c r="AI940" s="5"/>
      <c r="AJ940" s="5"/>
      <c r="AK940" s="5"/>
      <c r="AL940" s="5"/>
      <c r="AM940" s="5"/>
      <c r="AN940" s="5"/>
    </row>
    <row r="941" spans="1:40" ht="18.75" customHeight="1">
      <c r="A941" s="5"/>
      <c r="B941" s="5"/>
      <c r="C941" s="5"/>
      <c r="D941" s="5"/>
      <c r="E941" s="5"/>
      <c r="F941" s="5"/>
      <c r="G941" s="5"/>
      <c r="H941" s="5"/>
      <c r="I941" s="5"/>
      <c r="J941" s="5"/>
      <c r="K941" s="5"/>
      <c r="L941" s="5"/>
      <c r="M941" s="5"/>
      <c r="N941" s="5"/>
      <c r="O941" s="5"/>
      <c r="P941" s="5"/>
      <c r="Q941" s="5"/>
      <c r="R941" s="5"/>
      <c r="S941" s="5"/>
      <c r="T941" s="5"/>
      <c r="U941" s="5"/>
      <c r="V941" s="5"/>
      <c r="Y941" s="5"/>
      <c r="Z941" s="5"/>
      <c r="AA941" s="5"/>
      <c r="AB941" s="5"/>
      <c r="AC941" s="5"/>
      <c r="AD941" s="5"/>
      <c r="AE941" s="5"/>
      <c r="AF941" s="5"/>
      <c r="AG941" s="5"/>
      <c r="AH941" s="5"/>
      <c r="AI941" s="5"/>
      <c r="AJ941" s="5"/>
      <c r="AK941" s="5"/>
      <c r="AL941" s="5"/>
      <c r="AM941" s="5"/>
      <c r="AN941" s="5"/>
    </row>
    <row r="942" spans="1:40" ht="18.75" customHeight="1">
      <c r="A942" s="5"/>
      <c r="B942" s="5"/>
      <c r="C942" s="5"/>
      <c r="D942" s="5"/>
      <c r="E942" s="5"/>
      <c r="F942" s="5"/>
      <c r="G942" s="5"/>
      <c r="H942" s="5"/>
      <c r="I942" s="5"/>
      <c r="J942" s="5"/>
      <c r="K942" s="5"/>
      <c r="L942" s="5"/>
      <c r="M942" s="5"/>
      <c r="N942" s="5"/>
      <c r="O942" s="5"/>
      <c r="P942" s="5"/>
      <c r="Q942" s="5"/>
      <c r="R942" s="5"/>
      <c r="S942" s="5"/>
      <c r="T942" s="5"/>
      <c r="U942" s="5"/>
      <c r="V942" s="5"/>
      <c r="Y942" s="5"/>
      <c r="Z942" s="5"/>
      <c r="AA942" s="5"/>
      <c r="AB942" s="5"/>
      <c r="AC942" s="5"/>
      <c r="AD942" s="5"/>
      <c r="AE942" s="5"/>
      <c r="AF942" s="5"/>
      <c r="AG942" s="5"/>
      <c r="AH942" s="5"/>
      <c r="AI942" s="5"/>
      <c r="AJ942" s="5"/>
      <c r="AK942" s="5"/>
      <c r="AL942" s="5"/>
      <c r="AM942" s="5"/>
      <c r="AN942" s="5"/>
    </row>
    <row r="943" spans="1:40" ht="18.75" customHeight="1">
      <c r="A943" s="5"/>
      <c r="B943" s="5"/>
      <c r="C943" s="5"/>
      <c r="D943" s="5"/>
      <c r="E943" s="5"/>
      <c r="F943" s="5"/>
      <c r="G943" s="5"/>
      <c r="H943" s="5"/>
      <c r="I943" s="5"/>
      <c r="J943" s="5"/>
      <c r="K943" s="5"/>
      <c r="L943" s="5"/>
      <c r="M943" s="5"/>
      <c r="N943" s="5"/>
      <c r="O943" s="5"/>
      <c r="P943" s="5"/>
      <c r="Q943" s="5"/>
      <c r="R943" s="5"/>
      <c r="S943" s="5"/>
      <c r="T943" s="5"/>
      <c r="U943" s="5"/>
      <c r="V943" s="5"/>
      <c r="Y943" s="5"/>
      <c r="Z943" s="5"/>
      <c r="AA943" s="5"/>
      <c r="AB943" s="5"/>
      <c r="AC943" s="5"/>
      <c r="AD943" s="5"/>
      <c r="AE943" s="5"/>
      <c r="AF943" s="5"/>
      <c r="AG943" s="5"/>
      <c r="AH943" s="5"/>
      <c r="AI943" s="5"/>
      <c r="AJ943" s="5"/>
      <c r="AK943" s="5"/>
      <c r="AL943" s="5"/>
      <c r="AM943" s="5"/>
      <c r="AN943" s="5"/>
    </row>
    <row r="944" spans="1:40" ht="18.75" customHeight="1">
      <c r="A944" s="5"/>
      <c r="B944" s="5"/>
      <c r="C944" s="5"/>
      <c r="D944" s="5"/>
      <c r="E944" s="5"/>
      <c r="F944" s="5"/>
      <c r="G944" s="5"/>
      <c r="H944" s="5"/>
      <c r="I944" s="5"/>
      <c r="J944" s="5"/>
      <c r="K944" s="5"/>
      <c r="L944" s="5"/>
      <c r="M944" s="5"/>
      <c r="N944" s="5"/>
      <c r="O944" s="5"/>
      <c r="P944" s="5"/>
      <c r="Q944" s="5"/>
      <c r="R944" s="5"/>
      <c r="S944" s="5"/>
      <c r="T944" s="5"/>
      <c r="U944" s="5"/>
      <c r="V944" s="5"/>
      <c r="Y944" s="5"/>
      <c r="Z944" s="5"/>
      <c r="AA944" s="5"/>
      <c r="AB944" s="5"/>
      <c r="AC944" s="5"/>
      <c r="AD944" s="5"/>
      <c r="AE944" s="5"/>
      <c r="AF944" s="5"/>
      <c r="AG944" s="5"/>
      <c r="AH944" s="5"/>
      <c r="AI944" s="5"/>
      <c r="AJ944" s="5"/>
      <c r="AK944" s="5"/>
      <c r="AL944" s="5"/>
      <c r="AM944" s="5"/>
      <c r="AN944" s="5"/>
    </row>
    <row r="945" spans="1:40" ht="18.75" customHeight="1">
      <c r="A945" s="5"/>
      <c r="B945" s="5"/>
      <c r="C945" s="5"/>
      <c r="D945" s="5"/>
      <c r="E945" s="5"/>
      <c r="F945" s="5"/>
      <c r="G945" s="5"/>
      <c r="H945" s="5"/>
      <c r="I945" s="5"/>
      <c r="J945" s="5"/>
      <c r="K945" s="5"/>
      <c r="L945" s="5"/>
      <c r="M945" s="5"/>
      <c r="N945" s="5"/>
      <c r="O945" s="5"/>
      <c r="P945" s="5"/>
      <c r="Q945" s="5"/>
      <c r="R945" s="5"/>
      <c r="S945" s="5"/>
      <c r="T945" s="5"/>
      <c r="U945" s="5"/>
      <c r="V945" s="5"/>
      <c r="Y945" s="5"/>
      <c r="Z945" s="5"/>
      <c r="AA945" s="5"/>
      <c r="AB945" s="5"/>
      <c r="AC945" s="5"/>
      <c r="AD945" s="5"/>
      <c r="AE945" s="5"/>
      <c r="AF945" s="5"/>
      <c r="AG945" s="5"/>
      <c r="AH945" s="5"/>
      <c r="AI945" s="5"/>
      <c r="AJ945" s="5"/>
      <c r="AK945" s="5"/>
      <c r="AL945" s="5"/>
      <c r="AM945" s="5"/>
      <c r="AN945" s="5"/>
    </row>
    <row r="946" spans="1:40" ht="18.75" customHeight="1">
      <c r="A946" s="5"/>
      <c r="B946" s="5"/>
      <c r="C946" s="5"/>
      <c r="D946" s="5"/>
      <c r="E946" s="5"/>
      <c r="F946" s="5"/>
      <c r="G946" s="5"/>
      <c r="H946" s="5"/>
      <c r="I946" s="5"/>
      <c r="J946" s="5"/>
      <c r="K946" s="5"/>
      <c r="L946" s="5"/>
      <c r="M946" s="5"/>
      <c r="N946" s="5"/>
      <c r="O946" s="5"/>
      <c r="P946" s="5"/>
      <c r="Q946" s="5"/>
      <c r="R946" s="5"/>
      <c r="S946" s="5"/>
      <c r="T946" s="5"/>
      <c r="U946" s="5"/>
      <c r="V946" s="5"/>
      <c r="Y946" s="5"/>
      <c r="Z946" s="5"/>
      <c r="AA946" s="5"/>
      <c r="AB946" s="5"/>
      <c r="AC946" s="5"/>
      <c r="AD946" s="5"/>
      <c r="AE946" s="5"/>
      <c r="AF946" s="5"/>
      <c r="AG946" s="5"/>
      <c r="AH946" s="5"/>
      <c r="AI946" s="5"/>
      <c r="AJ946" s="5"/>
      <c r="AK946" s="5"/>
      <c r="AL946" s="5"/>
      <c r="AM946" s="5"/>
      <c r="AN946" s="5"/>
    </row>
    <row r="947" spans="1:40" ht="18.75" customHeight="1">
      <c r="A947" s="5"/>
      <c r="B947" s="5"/>
      <c r="C947" s="5"/>
      <c r="D947" s="5"/>
      <c r="E947" s="5"/>
      <c r="F947" s="5"/>
      <c r="G947" s="5"/>
      <c r="H947" s="5"/>
      <c r="I947" s="5"/>
      <c r="J947" s="5"/>
      <c r="K947" s="5"/>
      <c r="L947" s="5"/>
      <c r="M947" s="5"/>
      <c r="N947" s="5"/>
      <c r="O947" s="5"/>
      <c r="P947" s="5"/>
      <c r="Q947" s="5"/>
      <c r="R947" s="5"/>
      <c r="S947" s="5"/>
      <c r="T947" s="5"/>
      <c r="U947" s="5"/>
      <c r="V947" s="5"/>
      <c r="Y947" s="5"/>
      <c r="Z947" s="5"/>
      <c r="AA947" s="5"/>
      <c r="AB947" s="5"/>
      <c r="AC947" s="5"/>
      <c r="AD947" s="5"/>
      <c r="AE947" s="5"/>
      <c r="AF947" s="5"/>
      <c r="AG947" s="5"/>
      <c r="AH947" s="5"/>
      <c r="AI947" s="5"/>
      <c r="AJ947" s="5"/>
      <c r="AK947" s="5"/>
      <c r="AL947" s="5"/>
      <c r="AM947" s="5"/>
      <c r="AN947" s="5"/>
    </row>
    <row r="948" spans="1:40" ht="18.75" customHeight="1">
      <c r="A948" s="5"/>
      <c r="B948" s="5"/>
      <c r="C948" s="5"/>
      <c r="D948" s="5"/>
      <c r="E948" s="5"/>
      <c r="F948" s="5"/>
      <c r="G948" s="5"/>
      <c r="H948" s="5"/>
      <c r="I948" s="5"/>
      <c r="J948" s="5"/>
      <c r="K948" s="5"/>
      <c r="L948" s="5"/>
      <c r="M948" s="5"/>
      <c r="N948" s="5"/>
      <c r="O948" s="5"/>
      <c r="P948" s="5"/>
      <c r="Q948" s="5"/>
      <c r="R948" s="5"/>
      <c r="S948" s="5"/>
      <c r="T948" s="5"/>
      <c r="U948" s="5"/>
      <c r="V948" s="5"/>
      <c r="Y948" s="5"/>
      <c r="Z948" s="5"/>
      <c r="AA948" s="5"/>
      <c r="AB948" s="5"/>
      <c r="AC948" s="5"/>
      <c r="AD948" s="5"/>
      <c r="AE948" s="5"/>
      <c r="AF948" s="5"/>
      <c r="AG948" s="5"/>
      <c r="AH948" s="5"/>
      <c r="AI948" s="5"/>
      <c r="AJ948" s="5"/>
      <c r="AK948" s="5"/>
      <c r="AL948" s="5"/>
      <c r="AM948" s="5"/>
      <c r="AN948" s="5"/>
    </row>
    <row r="949" spans="1:40" ht="18.75" customHeight="1">
      <c r="A949" s="5"/>
      <c r="B949" s="5"/>
      <c r="C949" s="5"/>
      <c r="D949" s="5"/>
      <c r="E949" s="5"/>
      <c r="F949" s="5"/>
      <c r="G949" s="5"/>
      <c r="H949" s="5"/>
      <c r="I949" s="5"/>
      <c r="J949" s="5"/>
      <c r="K949" s="5"/>
      <c r="L949" s="5"/>
      <c r="M949" s="5"/>
      <c r="N949" s="5"/>
      <c r="O949" s="5"/>
      <c r="P949" s="5"/>
      <c r="Q949" s="5"/>
      <c r="R949" s="5"/>
      <c r="S949" s="5"/>
      <c r="T949" s="5"/>
      <c r="U949" s="5"/>
      <c r="V949" s="5"/>
      <c r="Y949" s="5"/>
      <c r="Z949" s="5"/>
      <c r="AA949" s="5"/>
      <c r="AB949" s="5"/>
      <c r="AC949" s="5"/>
      <c r="AD949" s="5"/>
      <c r="AE949" s="5"/>
      <c r="AF949" s="5"/>
      <c r="AG949" s="5"/>
      <c r="AH949" s="5"/>
      <c r="AI949" s="5"/>
      <c r="AJ949" s="5"/>
      <c r="AK949" s="5"/>
      <c r="AL949" s="5"/>
      <c r="AM949" s="5"/>
      <c r="AN949" s="5"/>
    </row>
    <row r="950" spans="1:40" ht="18.75" customHeight="1">
      <c r="A950" s="5"/>
      <c r="B950" s="5"/>
      <c r="C950" s="5"/>
      <c r="D950" s="5"/>
      <c r="E950" s="5"/>
      <c r="F950" s="5"/>
      <c r="G950" s="5"/>
      <c r="H950" s="5"/>
      <c r="I950" s="5"/>
      <c r="J950" s="5"/>
      <c r="K950" s="5"/>
      <c r="L950" s="5"/>
      <c r="M950" s="5"/>
      <c r="N950" s="5"/>
      <c r="O950" s="5"/>
      <c r="P950" s="5"/>
      <c r="Q950" s="5"/>
      <c r="R950" s="5"/>
      <c r="S950" s="5"/>
      <c r="T950" s="5"/>
      <c r="U950" s="5"/>
      <c r="V950" s="5"/>
      <c r="Y950" s="5"/>
      <c r="Z950" s="5"/>
      <c r="AA950" s="5"/>
      <c r="AB950" s="5"/>
      <c r="AC950" s="5"/>
      <c r="AD950" s="5"/>
      <c r="AE950" s="5"/>
      <c r="AF950" s="5"/>
      <c r="AG950" s="5"/>
      <c r="AH950" s="5"/>
      <c r="AI950" s="5"/>
      <c r="AJ950" s="5"/>
      <c r="AK950" s="5"/>
      <c r="AL950" s="5"/>
      <c r="AM950" s="5"/>
      <c r="AN950" s="5"/>
    </row>
    <row r="951" spans="1:40" ht="18.75" customHeight="1">
      <c r="A951" s="5"/>
      <c r="B951" s="5"/>
      <c r="C951" s="5"/>
      <c r="D951" s="5"/>
      <c r="E951" s="5"/>
      <c r="F951" s="5"/>
      <c r="G951" s="5"/>
      <c r="H951" s="5"/>
      <c r="I951" s="5"/>
      <c r="J951" s="5"/>
      <c r="K951" s="5"/>
      <c r="L951" s="5"/>
      <c r="M951" s="5"/>
      <c r="N951" s="5"/>
      <c r="O951" s="5"/>
      <c r="P951" s="5"/>
      <c r="Q951" s="5"/>
      <c r="R951" s="5"/>
      <c r="S951" s="5"/>
      <c r="T951" s="5"/>
      <c r="U951" s="5"/>
      <c r="V951" s="5"/>
      <c r="Y951" s="5"/>
      <c r="Z951" s="5"/>
      <c r="AA951" s="5"/>
      <c r="AB951" s="5"/>
      <c r="AC951" s="5"/>
      <c r="AD951" s="5"/>
      <c r="AE951" s="5"/>
      <c r="AF951" s="5"/>
      <c r="AG951" s="5"/>
      <c r="AH951" s="5"/>
      <c r="AI951" s="5"/>
      <c r="AJ951" s="5"/>
      <c r="AK951" s="5"/>
      <c r="AL951" s="5"/>
      <c r="AM951" s="5"/>
      <c r="AN951" s="5"/>
    </row>
    <row r="952" spans="1:40" ht="18.75" customHeight="1">
      <c r="A952" s="5"/>
      <c r="B952" s="5"/>
      <c r="C952" s="5"/>
      <c r="D952" s="5"/>
      <c r="E952" s="5"/>
      <c r="F952" s="5"/>
      <c r="G952" s="5"/>
      <c r="H952" s="5"/>
      <c r="I952" s="5"/>
      <c r="J952" s="5"/>
      <c r="K952" s="5"/>
      <c r="L952" s="5"/>
      <c r="M952" s="5"/>
      <c r="N952" s="5"/>
      <c r="O952" s="5"/>
      <c r="P952" s="5"/>
      <c r="Q952" s="5"/>
      <c r="R952" s="5"/>
      <c r="S952" s="5"/>
      <c r="T952" s="5"/>
      <c r="U952" s="5"/>
      <c r="V952" s="5"/>
      <c r="Y952" s="5"/>
      <c r="Z952" s="5"/>
      <c r="AA952" s="5"/>
      <c r="AB952" s="5"/>
      <c r="AC952" s="5"/>
      <c r="AD952" s="5"/>
      <c r="AE952" s="5"/>
      <c r="AF952" s="5"/>
      <c r="AG952" s="5"/>
      <c r="AH952" s="5"/>
      <c r="AI952" s="5"/>
      <c r="AJ952" s="5"/>
      <c r="AK952" s="5"/>
      <c r="AL952" s="5"/>
      <c r="AM952" s="5"/>
      <c r="AN952" s="5"/>
    </row>
    <row r="953" spans="1:40" ht="18.75" customHeight="1">
      <c r="A953" s="5"/>
      <c r="B953" s="5"/>
      <c r="C953" s="5"/>
      <c r="D953" s="5"/>
      <c r="E953" s="5"/>
      <c r="F953" s="5"/>
      <c r="G953" s="5"/>
      <c r="H953" s="5"/>
      <c r="I953" s="5"/>
      <c r="J953" s="5"/>
      <c r="K953" s="5"/>
      <c r="L953" s="5"/>
      <c r="M953" s="5"/>
      <c r="N953" s="5"/>
      <c r="O953" s="5"/>
      <c r="P953" s="5"/>
      <c r="Q953" s="5"/>
      <c r="R953" s="5"/>
      <c r="S953" s="5"/>
      <c r="T953" s="5"/>
      <c r="U953" s="5"/>
      <c r="V953" s="5"/>
      <c r="Y953" s="5"/>
      <c r="Z953" s="5"/>
      <c r="AA953" s="5"/>
      <c r="AB953" s="5"/>
      <c r="AC953" s="5"/>
      <c r="AD953" s="5"/>
      <c r="AE953" s="5"/>
      <c r="AF953" s="5"/>
      <c r="AG953" s="5"/>
      <c r="AH953" s="5"/>
      <c r="AI953" s="5"/>
      <c r="AJ953" s="5"/>
      <c r="AK953" s="5"/>
      <c r="AL953" s="5"/>
      <c r="AM953" s="5"/>
      <c r="AN953" s="5"/>
    </row>
    <row r="954" spans="1:40" ht="18.75" customHeight="1">
      <c r="A954" s="5"/>
      <c r="B954" s="5"/>
      <c r="C954" s="5"/>
      <c r="D954" s="5"/>
      <c r="E954" s="5"/>
      <c r="F954" s="5"/>
      <c r="G954" s="5"/>
      <c r="H954" s="5"/>
      <c r="I954" s="5"/>
      <c r="J954" s="5"/>
      <c r="K954" s="5"/>
      <c r="L954" s="5"/>
      <c r="M954" s="5"/>
      <c r="N954" s="5"/>
      <c r="O954" s="5"/>
      <c r="P954" s="5"/>
      <c r="Q954" s="5"/>
      <c r="R954" s="5"/>
      <c r="S954" s="5"/>
      <c r="T954" s="5"/>
      <c r="U954" s="5"/>
      <c r="V954" s="5"/>
      <c r="Y954" s="5"/>
      <c r="Z954" s="5"/>
      <c r="AA954" s="5"/>
      <c r="AB954" s="5"/>
      <c r="AC954" s="5"/>
      <c r="AD954" s="5"/>
      <c r="AE954" s="5"/>
      <c r="AF954" s="5"/>
      <c r="AG954" s="5"/>
      <c r="AH954" s="5"/>
      <c r="AI954" s="5"/>
      <c r="AJ954" s="5"/>
      <c r="AK954" s="5"/>
      <c r="AL954" s="5"/>
      <c r="AM954" s="5"/>
      <c r="AN954" s="5"/>
    </row>
    <row r="955" spans="1:40" ht="18.75" customHeight="1">
      <c r="A955" s="5"/>
      <c r="B955" s="5"/>
      <c r="C955" s="5"/>
      <c r="D955" s="5"/>
      <c r="E955" s="5"/>
      <c r="F955" s="5"/>
      <c r="G955" s="5"/>
      <c r="H955" s="5"/>
      <c r="I955" s="5"/>
      <c r="J955" s="5"/>
      <c r="K955" s="5"/>
      <c r="L955" s="5"/>
      <c r="M955" s="5"/>
      <c r="N955" s="5"/>
      <c r="O955" s="5"/>
      <c r="P955" s="5"/>
      <c r="Q955" s="5"/>
      <c r="R955" s="5"/>
      <c r="S955" s="5"/>
      <c r="T955" s="5"/>
      <c r="U955" s="5"/>
      <c r="V955" s="5"/>
      <c r="Y955" s="5"/>
      <c r="Z955" s="5"/>
      <c r="AA955" s="5"/>
      <c r="AB955" s="5"/>
      <c r="AC955" s="5"/>
      <c r="AD955" s="5"/>
      <c r="AE955" s="5"/>
      <c r="AF955" s="5"/>
      <c r="AG955" s="5"/>
      <c r="AH955" s="5"/>
      <c r="AI955" s="5"/>
      <c r="AJ955" s="5"/>
      <c r="AK955" s="5"/>
      <c r="AL955" s="5"/>
      <c r="AM955" s="5"/>
      <c r="AN955" s="5"/>
    </row>
    <row r="956" spans="1:40" ht="18.75" customHeight="1">
      <c r="A956" s="5"/>
      <c r="B956" s="5"/>
      <c r="C956" s="5"/>
      <c r="D956" s="5"/>
      <c r="E956" s="5"/>
      <c r="F956" s="5"/>
      <c r="G956" s="5"/>
      <c r="H956" s="5"/>
      <c r="I956" s="5"/>
      <c r="J956" s="5"/>
      <c r="K956" s="5"/>
      <c r="L956" s="5"/>
      <c r="M956" s="5"/>
      <c r="N956" s="5"/>
      <c r="O956" s="5"/>
      <c r="P956" s="5"/>
      <c r="Q956" s="5"/>
      <c r="R956" s="5"/>
      <c r="S956" s="5"/>
      <c r="T956" s="5"/>
      <c r="U956" s="5"/>
      <c r="V956" s="5"/>
      <c r="Y956" s="5"/>
      <c r="Z956" s="5"/>
      <c r="AA956" s="5"/>
      <c r="AB956" s="5"/>
      <c r="AC956" s="5"/>
      <c r="AD956" s="5"/>
      <c r="AE956" s="5"/>
      <c r="AF956" s="5"/>
      <c r="AG956" s="5"/>
      <c r="AH956" s="5"/>
      <c r="AI956" s="5"/>
      <c r="AJ956" s="5"/>
      <c r="AK956" s="5"/>
      <c r="AL956" s="5"/>
      <c r="AM956" s="5"/>
      <c r="AN956" s="5"/>
    </row>
    <row r="957" spans="1:40" ht="18.75" customHeight="1">
      <c r="A957" s="5"/>
      <c r="B957" s="5"/>
      <c r="C957" s="5"/>
      <c r="D957" s="5"/>
      <c r="E957" s="5"/>
      <c r="F957" s="5"/>
      <c r="G957" s="5"/>
      <c r="H957" s="5"/>
      <c r="I957" s="5"/>
      <c r="J957" s="5"/>
      <c r="K957" s="5"/>
      <c r="L957" s="5"/>
      <c r="M957" s="5"/>
      <c r="N957" s="5"/>
      <c r="O957" s="5"/>
      <c r="P957" s="5"/>
      <c r="Q957" s="5"/>
      <c r="R957" s="5"/>
      <c r="S957" s="5"/>
      <c r="T957" s="5"/>
      <c r="U957" s="5"/>
      <c r="V957" s="5"/>
      <c r="Y957" s="5"/>
      <c r="Z957" s="5"/>
      <c r="AA957" s="5"/>
      <c r="AB957" s="5"/>
      <c r="AC957" s="5"/>
      <c r="AD957" s="5"/>
      <c r="AE957" s="5"/>
      <c r="AF957" s="5"/>
      <c r="AG957" s="5"/>
      <c r="AH957" s="5"/>
      <c r="AI957" s="5"/>
      <c r="AJ957" s="5"/>
      <c r="AK957" s="5"/>
      <c r="AL957" s="5"/>
      <c r="AM957" s="5"/>
      <c r="AN957" s="5"/>
    </row>
    <row r="958" spans="1:40" ht="18.75" customHeight="1">
      <c r="A958" s="5"/>
      <c r="B958" s="5"/>
      <c r="C958" s="5"/>
      <c r="D958" s="5"/>
      <c r="E958" s="5"/>
      <c r="F958" s="5"/>
      <c r="G958" s="5"/>
      <c r="H958" s="5"/>
      <c r="I958" s="5"/>
      <c r="J958" s="5"/>
      <c r="K958" s="5"/>
      <c r="L958" s="5"/>
      <c r="M958" s="5"/>
      <c r="N958" s="5"/>
      <c r="O958" s="5"/>
      <c r="P958" s="5"/>
      <c r="Q958" s="5"/>
      <c r="R958" s="5"/>
      <c r="S958" s="5"/>
      <c r="T958" s="5"/>
      <c r="U958" s="5"/>
      <c r="V958" s="5"/>
      <c r="Y958" s="5"/>
      <c r="Z958" s="5"/>
      <c r="AA958" s="5"/>
      <c r="AB958" s="5"/>
      <c r="AC958" s="5"/>
      <c r="AD958" s="5"/>
      <c r="AE958" s="5"/>
      <c r="AF958" s="5"/>
      <c r="AG958" s="5"/>
      <c r="AH958" s="5"/>
      <c r="AI958" s="5"/>
      <c r="AJ958" s="5"/>
      <c r="AK958" s="5"/>
      <c r="AL958" s="5"/>
      <c r="AM958" s="5"/>
      <c r="AN958" s="5"/>
    </row>
    <row r="959" spans="1:40" ht="18.75" customHeight="1">
      <c r="A959" s="5"/>
      <c r="B959" s="5"/>
      <c r="C959" s="5"/>
      <c r="D959" s="5"/>
      <c r="E959" s="5"/>
      <c r="F959" s="5"/>
      <c r="G959" s="5"/>
      <c r="H959" s="5"/>
      <c r="I959" s="5"/>
      <c r="J959" s="5"/>
      <c r="K959" s="5"/>
      <c r="L959" s="5"/>
      <c r="M959" s="5"/>
      <c r="N959" s="5"/>
      <c r="O959" s="5"/>
      <c r="P959" s="5"/>
      <c r="Q959" s="5"/>
      <c r="R959" s="5"/>
      <c r="S959" s="5"/>
      <c r="T959" s="5"/>
      <c r="U959" s="5"/>
      <c r="V959" s="5"/>
      <c r="Y959" s="5"/>
      <c r="Z959" s="5"/>
      <c r="AA959" s="5"/>
      <c r="AB959" s="5"/>
      <c r="AC959" s="5"/>
      <c r="AD959" s="5"/>
      <c r="AE959" s="5"/>
      <c r="AF959" s="5"/>
      <c r="AG959" s="5"/>
      <c r="AH959" s="5"/>
      <c r="AI959" s="5"/>
      <c r="AJ959" s="5"/>
      <c r="AK959" s="5"/>
      <c r="AL959" s="5"/>
      <c r="AM959" s="5"/>
      <c r="AN959" s="5"/>
    </row>
    <row r="960" spans="1:40" ht="18.75" customHeight="1">
      <c r="A960" s="5"/>
      <c r="B960" s="5"/>
      <c r="C960" s="5"/>
      <c r="D960" s="5"/>
      <c r="E960" s="5"/>
      <c r="F960" s="5"/>
      <c r="G960" s="5"/>
      <c r="H960" s="5"/>
      <c r="I960" s="5"/>
      <c r="J960" s="5"/>
      <c r="K960" s="5"/>
      <c r="L960" s="5"/>
      <c r="M960" s="5"/>
      <c r="N960" s="5"/>
      <c r="O960" s="5"/>
      <c r="P960" s="5"/>
      <c r="Q960" s="5"/>
      <c r="R960" s="5"/>
      <c r="S960" s="5"/>
      <c r="T960" s="5"/>
      <c r="U960" s="5"/>
      <c r="V960" s="5"/>
      <c r="Y960" s="5"/>
      <c r="Z960" s="5"/>
      <c r="AA960" s="5"/>
      <c r="AB960" s="5"/>
      <c r="AC960" s="5"/>
      <c r="AD960" s="5"/>
      <c r="AE960" s="5"/>
      <c r="AF960" s="5"/>
      <c r="AG960" s="5"/>
      <c r="AH960" s="5"/>
      <c r="AI960" s="5"/>
      <c r="AJ960" s="5"/>
      <c r="AK960" s="5"/>
      <c r="AL960" s="5"/>
      <c r="AM960" s="5"/>
      <c r="AN960" s="5"/>
    </row>
    <row r="961" spans="1:40" ht="18.75" customHeight="1">
      <c r="A961" s="5"/>
      <c r="B961" s="5"/>
      <c r="C961" s="5"/>
      <c r="D961" s="5"/>
      <c r="E961" s="5"/>
      <c r="F961" s="5"/>
      <c r="G961" s="5"/>
      <c r="H961" s="5"/>
      <c r="I961" s="5"/>
      <c r="J961" s="5"/>
      <c r="K961" s="5"/>
      <c r="L961" s="5"/>
      <c r="M961" s="5"/>
      <c r="N961" s="5"/>
      <c r="O961" s="5"/>
      <c r="P961" s="5"/>
      <c r="Q961" s="5"/>
      <c r="R961" s="5"/>
      <c r="S961" s="5"/>
      <c r="T961" s="5"/>
      <c r="U961" s="5"/>
      <c r="V961" s="5"/>
      <c r="Y961" s="5"/>
      <c r="Z961" s="5"/>
      <c r="AA961" s="5"/>
      <c r="AB961" s="5"/>
      <c r="AC961" s="5"/>
      <c r="AD961" s="5"/>
      <c r="AE961" s="5"/>
      <c r="AF961" s="5"/>
      <c r="AG961" s="5"/>
      <c r="AH961" s="5"/>
      <c r="AI961" s="5"/>
      <c r="AJ961" s="5"/>
      <c r="AK961" s="5"/>
      <c r="AL961" s="5"/>
      <c r="AM961" s="5"/>
      <c r="AN961" s="5"/>
    </row>
    <row r="962" spans="1:40" ht="18.75" customHeight="1">
      <c r="A962" s="5"/>
      <c r="B962" s="5"/>
      <c r="C962" s="5"/>
      <c r="D962" s="5"/>
      <c r="E962" s="5"/>
      <c r="F962" s="5"/>
      <c r="G962" s="5"/>
      <c r="H962" s="5"/>
      <c r="I962" s="5"/>
      <c r="J962" s="5"/>
      <c r="K962" s="5"/>
      <c r="L962" s="5"/>
      <c r="M962" s="5"/>
      <c r="N962" s="5"/>
      <c r="O962" s="5"/>
      <c r="P962" s="5"/>
      <c r="Q962" s="5"/>
      <c r="R962" s="5"/>
      <c r="S962" s="5"/>
      <c r="T962" s="5"/>
      <c r="U962" s="5"/>
      <c r="V962" s="5"/>
      <c r="Y962" s="5"/>
      <c r="Z962" s="5"/>
      <c r="AA962" s="5"/>
      <c r="AB962" s="5"/>
      <c r="AC962" s="5"/>
      <c r="AD962" s="5"/>
      <c r="AE962" s="5"/>
      <c r="AF962" s="5"/>
      <c r="AG962" s="5"/>
      <c r="AH962" s="5"/>
      <c r="AI962" s="5"/>
      <c r="AJ962" s="5"/>
      <c r="AK962" s="5"/>
      <c r="AL962" s="5"/>
      <c r="AM962" s="5"/>
      <c r="AN962" s="5"/>
    </row>
    <row r="963" spans="1:40" ht="18.75" customHeight="1">
      <c r="A963" s="5"/>
      <c r="B963" s="5"/>
      <c r="C963" s="5"/>
      <c r="D963" s="5"/>
      <c r="E963" s="5"/>
      <c r="F963" s="5"/>
      <c r="G963" s="5"/>
      <c r="H963" s="5"/>
      <c r="I963" s="5"/>
      <c r="J963" s="5"/>
      <c r="K963" s="5"/>
      <c r="L963" s="5"/>
      <c r="M963" s="5"/>
      <c r="N963" s="5"/>
      <c r="O963" s="5"/>
      <c r="P963" s="5"/>
      <c r="Q963" s="5"/>
      <c r="R963" s="5"/>
      <c r="S963" s="5"/>
      <c r="T963" s="5"/>
      <c r="U963" s="5"/>
      <c r="V963" s="5"/>
      <c r="Y963" s="5"/>
      <c r="Z963" s="5"/>
      <c r="AA963" s="5"/>
      <c r="AB963" s="5"/>
      <c r="AC963" s="5"/>
      <c r="AD963" s="5"/>
      <c r="AE963" s="5"/>
      <c r="AF963" s="5"/>
      <c r="AG963" s="5"/>
      <c r="AH963" s="5"/>
      <c r="AI963" s="5"/>
      <c r="AJ963" s="5"/>
      <c r="AK963" s="5"/>
      <c r="AL963" s="5"/>
      <c r="AM963" s="5"/>
      <c r="AN963" s="5"/>
    </row>
    <row r="964" spans="1:40" ht="18.75" customHeight="1">
      <c r="A964" s="5"/>
      <c r="B964" s="5"/>
      <c r="C964" s="5"/>
      <c r="D964" s="5"/>
      <c r="E964" s="5"/>
      <c r="F964" s="5"/>
      <c r="G964" s="5"/>
      <c r="H964" s="5"/>
      <c r="I964" s="5"/>
      <c r="J964" s="5"/>
      <c r="K964" s="5"/>
      <c r="L964" s="5"/>
      <c r="M964" s="5"/>
      <c r="N964" s="5"/>
      <c r="O964" s="5"/>
      <c r="P964" s="5"/>
      <c r="Q964" s="5"/>
      <c r="R964" s="5"/>
      <c r="S964" s="5"/>
      <c r="T964" s="5"/>
      <c r="U964" s="5"/>
      <c r="V964" s="5"/>
      <c r="Y964" s="5"/>
      <c r="Z964" s="5"/>
      <c r="AA964" s="5"/>
      <c r="AB964" s="5"/>
      <c r="AC964" s="5"/>
      <c r="AD964" s="5"/>
      <c r="AE964" s="5"/>
      <c r="AF964" s="5"/>
      <c r="AG964" s="5"/>
      <c r="AH964" s="5"/>
      <c r="AI964" s="5"/>
      <c r="AJ964" s="5"/>
      <c r="AK964" s="5"/>
      <c r="AL964" s="5"/>
      <c r="AM964" s="5"/>
      <c r="AN964" s="5"/>
    </row>
    <row r="965" spans="1:40" ht="18.75" customHeight="1">
      <c r="A965" s="5"/>
      <c r="B965" s="5"/>
      <c r="C965" s="5"/>
      <c r="D965" s="5"/>
      <c r="E965" s="5"/>
      <c r="F965" s="5"/>
      <c r="G965" s="5"/>
      <c r="H965" s="5"/>
      <c r="I965" s="5"/>
      <c r="J965" s="5"/>
      <c r="K965" s="5"/>
      <c r="L965" s="5"/>
      <c r="M965" s="5"/>
      <c r="N965" s="5"/>
      <c r="O965" s="5"/>
      <c r="P965" s="5"/>
      <c r="Q965" s="5"/>
      <c r="R965" s="5"/>
      <c r="S965" s="5"/>
      <c r="T965" s="5"/>
      <c r="U965" s="5"/>
      <c r="V965" s="5"/>
      <c r="Y965" s="5"/>
      <c r="Z965" s="5"/>
      <c r="AA965" s="5"/>
      <c r="AB965" s="5"/>
      <c r="AC965" s="5"/>
      <c r="AD965" s="5"/>
      <c r="AE965" s="5"/>
      <c r="AF965" s="5"/>
      <c r="AG965" s="5"/>
      <c r="AH965" s="5"/>
      <c r="AI965" s="5"/>
      <c r="AJ965" s="5"/>
      <c r="AK965" s="5"/>
      <c r="AL965" s="5"/>
      <c r="AM965" s="5"/>
      <c r="AN965" s="5"/>
    </row>
    <row r="966" spans="1:40" ht="18.75" customHeight="1">
      <c r="A966" s="5"/>
      <c r="B966" s="5"/>
      <c r="C966" s="5"/>
      <c r="D966" s="5"/>
      <c r="E966" s="5"/>
      <c r="F966" s="5"/>
      <c r="G966" s="5"/>
      <c r="H966" s="5"/>
      <c r="I966" s="5"/>
      <c r="J966" s="5"/>
      <c r="K966" s="5"/>
      <c r="L966" s="5"/>
      <c r="M966" s="5"/>
      <c r="N966" s="5"/>
      <c r="O966" s="5"/>
      <c r="P966" s="5"/>
      <c r="Q966" s="5"/>
      <c r="R966" s="5"/>
      <c r="S966" s="5"/>
      <c r="T966" s="5"/>
      <c r="U966" s="5"/>
      <c r="V966" s="5"/>
      <c r="Y966" s="5"/>
      <c r="Z966" s="5"/>
      <c r="AA966" s="5"/>
      <c r="AB966" s="5"/>
      <c r="AC966" s="5"/>
      <c r="AD966" s="5"/>
      <c r="AE966" s="5"/>
      <c r="AF966" s="5"/>
      <c r="AG966" s="5"/>
      <c r="AH966" s="5"/>
      <c r="AI966" s="5"/>
      <c r="AJ966" s="5"/>
      <c r="AK966" s="5"/>
      <c r="AL966" s="5"/>
      <c r="AM966" s="5"/>
      <c r="AN966" s="5"/>
    </row>
    <row r="967" spans="1:40" ht="18.75" customHeight="1">
      <c r="A967" s="5"/>
      <c r="B967" s="5"/>
      <c r="C967" s="5"/>
      <c r="D967" s="5"/>
      <c r="E967" s="5"/>
      <c r="F967" s="5"/>
      <c r="G967" s="5"/>
      <c r="H967" s="5"/>
      <c r="I967" s="5"/>
      <c r="J967" s="5"/>
      <c r="K967" s="5"/>
      <c r="L967" s="5"/>
      <c r="M967" s="5"/>
      <c r="N967" s="5"/>
      <c r="O967" s="5"/>
      <c r="P967" s="5"/>
      <c r="Q967" s="5"/>
      <c r="R967" s="5"/>
      <c r="S967" s="5"/>
      <c r="T967" s="5"/>
      <c r="U967" s="5"/>
      <c r="V967" s="5"/>
      <c r="Y967" s="5"/>
      <c r="Z967" s="5"/>
      <c r="AA967" s="5"/>
      <c r="AB967" s="5"/>
      <c r="AC967" s="5"/>
      <c r="AD967" s="5"/>
      <c r="AE967" s="5"/>
      <c r="AF967" s="5"/>
      <c r="AG967" s="5"/>
      <c r="AH967" s="5"/>
      <c r="AI967" s="5"/>
      <c r="AJ967" s="5"/>
      <c r="AK967" s="5"/>
      <c r="AL967" s="5"/>
      <c r="AM967" s="5"/>
      <c r="AN967" s="5"/>
    </row>
    <row r="968" spans="1:40" ht="18.75" customHeight="1">
      <c r="A968" s="5"/>
      <c r="B968" s="5"/>
      <c r="C968" s="5"/>
      <c r="D968" s="5"/>
      <c r="E968" s="5"/>
      <c r="F968" s="5"/>
      <c r="G968" s="5"/>
      <c r="H968" s="5"/>
      <c r="I968" s="5"/>
      <c r="J968" s="5"/>
      <c r="K968" s="5"/>
      <c r="L968" s="5"/>
      <c r="M968" s="5"/>
      <c r="N968" s="5"/>
      <c r="O968" s="5"/>
      <c r="P968" s="5"/>
      <c r="Q968" s="5"/>
      <c r="R968" s="5"/>
      <c r="S968" s="5"/>
      <c r="T968" s="5"/>
      <c r="U968" s="5"/>
      <c r="V968" s="5"/>
      <c r="Y968" s="5"/>
      <c r="Z968" s="5"/>
      <c r="AA968" s="5"/>
      <c r="AB968" s="5"/>
      <c r="AC968" s="5"/>
      <c r="AD968" s="5"/>
      <c r="AE968" s="5"/>
      <c r="AF968" s="5"/>
      <c r="AG968" s="5"/>
      <c r="AH968" s="5"/>
      <c r="AI968" s="5"/>
      <c r="AJ968" s="5"/>
      <c r="AK968" s="5"/>
      <c r="AL968" s="5"/>
      <c r="AM968" s="5"/>
      <c r="AN968" s="5"/>
    </row>
    <row r="969" spans="1:40" ht="18.75" customHeight="1">
      <c r="A969" s="5"/>
      <c r="B969" s="5"/>
      <c r="C969" s="5"/>
      <c r="D969" s="5"/>
      <c r="E969" s="5"/>
      <c r="F969" s="5"/>
      <c r="G969" s="5"/>
      <c r="H969" s="5"/>
      <c r="I969" s="5"/>
      <c r="J969" s="5"/>
      <c r="K969" s="5"/>
      <c r="L969" s="5"/>
      <c r="M969" s="5"/>
      <c r="N969" s="5"/>
      <c r="O969" s="5"/>
      <c r="P969" s="5"/>
      <c r="Q969" s="5"/>
      <c r="R969" s="5"/>
      <c r="S969" s="5"/>
      <c r="T969" s="5"/>
      <c r="U969" s="5"/>
      <c r="V969" s="5"/>
      <c r="Y969" s="5"/>
      <c r="Z969" s="5"/>
      <c r="AA969" s="5"/>
      <c r="AB969" s="5"/>
      <c r="AC969" s="5"/>
      <c r="AD969" s="5"/>
      <c r="AE969" s="5"/>
      <c r="AF969" s="5"/>
      <c r="AG969" s="5"/>
      <c r="AH969" s="5"/>
      <c r="AI969" s="5"/>
      <c r="AJ969" s="5"/>
      <c r="AK969" s="5"/>
      <c r="AL969" s="5"/>
      <c r="AM969" s="5"/>
      <c r="AN969" s="5"/>
    </row>
    <row r="970" spans="1:40" ht="18.75" customHeight="1">
      <c r="A970" s="5"/>
      <c r="B970" s="5"/>
      <c r="C970" s="5"/>
      <c r="D970" s="5"/>
      <c r="E970" s="5"/>
      <c r="F970" s="5"/>
      <c r="G970" s="5"/>
      <c r="H970" s="5"/>
      <c r="I970" s="5"/>
      <c r="J970" s="5"/>
      <c r="K970" s="5"/>
      <c r="L970" s="5"/>
      <c r="M970" s="5"/>
      <c r="N970" s="5"/>
      <c r="O970" s="5"/>
      <c r="P970" s="5"/>
      <c r="Q970" s="5"/>
      <c r="R970" s="5"/>
      <c r="S970" s="5"/>
      <c r="T970" s="5"/>
      <c r="U970" s="5"/>
      <c r="V970" s="5"/>
      <c r="Y970" s="5"/>
      <c r="Z970" s="5"/>
      <c r="AA970" s="5"/>
      <c r="AB970" s="5"/>
      <c r="AC970" s="5"/>
      <c r="AD970" s="5"/>
      <c r="AE970" s="5"/>
      <c r="AF970" s="5"/>
      <c r="AG970" s="5"/>
      <c r="AH970" s="5"/>
      <c r="AI970" s="5"/>
      <c r="AJ970" s="5"/>
      <c r="AK970" s="5"/>
      <c r="AL970" s="5"/>
      <c r="AM970" s="5"/>
      <c r="AN970" s="5"/>
    </row>
    <row r="971" spans="1:40" ht="18.75" customHeight="1">
      <c r="A971" s="5"/>
      <c r="B971" s="5"/>
      <c r="C971" s="5"/>
      <c r="D971" s="5"/>
      <c r="E971" s="5"/>
      <c r="F971" s="5"/>
      <c r="G971" s="5"/>
      <c r="H971" s="5"/>
      <c r="I971" s="5"/>
      <c r="J971" s="5"/>
      <c r="K971" s="5"/>
      <c r="L971" s="5"/>
      <c r="M971" s="5"/>
      <c r="N971" s="5"/>
      <c r="O971" s="5"/>
      <c r="P971" s="5"/>
      <c r="Q971" s="5"/>
      <c r="R971" s="5"/>
      <c r="S971" s="5"/>
      <c r="T971" s="5"/>
      <c r="U971" s="5"/>
      <c r="V971" s="5"/>
      <c r="Y971" s="5"/>
      <c r="Z971" s="5"/>
      <c r="AA971" s="5"/>
      <c r="AB971" s="5"/>
      <c r="AC971" s="5"/>
      <c r="AD971" s="5"/>
      <c r="AE971" s="5"/>
      <c r="AF971" s="5"/>
      <c r="AG971" s="5"/>
      <c r="AH971" s="5"/>
      <c r="AI971" s="5"/>
      <c r="AJ971" s="5"/>
      <c r="AK971" s="5"/>
      <c r="AL971" s="5"/>
      <c r="AM971" s="5"/>
      <c r="AN971" s="5"/>
    </row>
    <row r="972" spans="1:40" ht="18.75" customHeight="1">
      <c r="A972" s="5"/>
      <c r="B972" s="5"/>
      <c r="C972" s="5"/>
      <c r="D972" s="5"/>
      <c r="E972" s="5"/>
      <c r="F972" s="5"/>
      <c r="G972" s="5"/>
      <c r="H972" s="5"/>
      <c r="I972" s="5"/>
      <c r="J972" s="5"/>
      <c r="K972" s="5"/>
      <c r="L972" s="5"/>
      <c r="M972" s="5"/>
      <c r="N972" s="5"/>
      <c r="O972" s="5"/>
      <c r="P972" s="5"/>
      <c r="Q972" s="5"/>
      <c r="R972" s="5"/>
      <c r="S972" s="5"/>
      <c r="T972" s="5"/>
      <c r="U972" s="5"/>
      <c r="V972" s="5"/>
      <c r="Y972" s="5"/>
      <c r="Z972" s="5"/>
      <c r="AA972" s="5"/>
      <c r="AB972" s="5"/>
      <c r="AC972" s="5"/>
      <c r="AD972" s="5"/>
      <c r="AE972" s="5"/>
      <c r="AF972" s="5"/>
      <c r="AG972" s="5"/>
      <c r="AH972" s="5"/>
      <c r="AI972" s="5"/>
      <c r="AJ972" s="5"/>
      <c r="AK972" s="5"/>
      <c r="AL972" s="5"/>
      <c r="AM972" s="5"/>
      <c r="AN972" s="5"/>
    </row>
    <row r="973" spans="1:40" ht="18.75" customHeight="1">
      <c r="A973" s="5"/>
      <c r="B973" s="5"/>
      <c r="C973" s="5"/>
      <c r="D973" s="5"/>
      <c r="E973" s="5"/>
      <c r="F973" s="5"/>
      <c r="G973" s="5"/>
      <c r="H973" s="5"/>
      <c r="I973" s="5"/>
      <c r="J973" s="5"/>
      <c r="K973" s="5"/>
      <c r="L973" s="5"/>
      <c r="M973" s="5"/>
      <c r="N973" s="5"/>
      <c r="O973" s="5"/>
      <c r="P973" s="5"/>
      <c r="Q973" s="5"/>
      <c r="R973" s="5"/>
      <c r="S973" s="5"/>
      <c r="T973" s="5"/>
      <c r="U973" s="5"/>
      <c r="V973" s="5"/>
      <c r="Y973" s="5"/>
      <c r="Z973" s="5"/>
      <c r="AA973" s="5"/>
      <c r="AB973" s="5"/>
      <c r="AC973" s="5"/>
      <c r="AD973" s="5"/>
      <c r="AE973" s="5"/>
      <c r="AF973" s="5"/>
      <c r="AG973" s="5"/>
      <c r="AH973" s="5"/>
      <c r="AI973" s="5"/>
      <c r="AJ973" s="5"/>
      <c r="AK973" s="5"/>
      <c r="AL973" s="5"/>
      <c r="AM973" s="5"/>
      <c r="AN973" s="5"/>
    </row>
    <row r="974" spans="1:40" ht="18.75" customHeight="1">
      <c r="A974" s="5"/>
      <c r="B974" s="5"/>
      <c r="C974" s="5"/>
      <c r="D974" s="5"/>
      <c r="E974" s="5"/>
      <c r="F974" s="5"/>
      <c r="G974" s="5"/>
      <c r="H974" s="5"/>
      <c r="I974" s="5"/>
      <c r="J974" s="5"/>
      <c r="K974" s="5"/>
      <c r="L974" s="5"/>
      <c r="M974" s="5"/>
      <c r="N974" s="5"/>
      <c r="O974" s="5"/>
      <c r="P974" s="5"/>
      <c r="Q974" s="5"/>
      <c r="R974" s="5"/>
      <c r="S974" s="5"/>
      <c r="T974" s="5"/>
      <c r="U974" s="5"/>
      <c r="V974" s="5"/>
      <c r="Y974" s="5"/>
      <c r="Z974" s="5"/>
      <c r="AA974" s="5"/>
      <c r="AB974" s="5"/>
      <c r="AC974" s="5"/>
      <c r="AD974" s="5"/>
      <c r="AE974" s="5"/>
      <c r="AF974" s="5"/>
      <c r="AG974" s="5"/>
      <c r="AH974" s="5"/>
      <c r="AI974" s="5"/>
      <c r="AJ974" s="5"/>
      <c r="AK974" s="5"/>
      <c r="AL974" s="5"/>
      <c r="AM974" s="5"/>
      <c r="AN974" s="5"/>
    </row>
    <row r="975" spans="1:40" ht="18.75" customHeight="1">
      <c r="A975" s="5"/>
      <c r="B975" s="5"/>
      <c r="C975" s="5"/>
      <c r="D975" s="5"/>
      <c r="E975" s="5"/>
      <c r="F975" s="5"/>
      <c r="G975" s="5"/>
      <c r="H975" s="5"/>
      <c r="I975" s="5"/>
      <c r="J975" s="5"/>
      <c r="K975" s="5"/>
      <c r="L975" s="5"/>
      <c r="M975" s="5"/>
      <c r="N975" s="5"/>
      <c r="O975" s="5"/>
      <c r="P975" s="5"/>
      <c r="Q975" s="5"/>
      <c r="R975" s="5"/>
      <c r="S975" s="5"/>
      <c r="T975" s="5"/>
      <c r="U975" s="5"/>
      <c r="V975" s="5"/>
      <c r="Y975" s="5"/>
      <c r="Z975" s="5"/>
      <c r="AA975" s="5"/>
      <c r="AB975" s="5"/>
      <c r="AC975" s="5"/>
      <c r="AD975" s="5"/>
      <c r="AE975" s="5"/>
      <c r="AF975" s="5"/>
      <c r="AG975" s="5"/>
      <c r="AH975" s="5"/>
      <c r="AI975" s="5"/>
      <c r="AJ975" s="5"/>
      <c r="AK975" s="5"/>
      <c r="AL975" s="5"/>
      <c r="AM975" s="5"/>
      <c r="AN975" s="5"/>
    </row>
    <row r="976" spans="1:40" ht="18.75" customHeight="1">
      <c r="A976" s="5"/>
      <c r="B976" s="5"/>
      <c r="C976" s="5"/>
      <c r="D976" s="5"/>
      <c r="E976" s="5"/>
      <c r="F976" s="5"/>
      <c r="G976" s="5"/>
      <c r="H976" s="5"/>
      <c r="I976" s="5"/>
      <c r="J976" s="5"/>
      <c r="K976" s="5"/>
      <c r="L976" s="5"/>
      <c r="M976" s="5"/>
      <c r="N976" s="5"/>
      <c r="O976" s="5"/>
      <c r="P976" s="5"/>
      <c r="Q976" s="5"/>
      <c r="R976" s="5"/>
      <c r="S976" s="5"/>
      <c r="T976" s="5"/>
      <c r="U976" s="5"/>
      <c r="V976" s="5"/>
      <c r="Y976" s="5"/>
      <c r="Z976" s="5"/>
      <c r="AA976" s="5"/>
      <c r="AB976" s="5"/>
      <c r="AC976" s="5"/>
      <c r="AD976" s="5"/>
      <c r="AE976" s="5"/>
      <c r="AF976" s="5"/>
      <c r="AG976" s="5"/>
      <c r="AH976" s="5"/>
      <c r="AI976" s="5"/>
      <c r="AJ976" s="5"/>
      <c r="AK976" s="5"/>
      <c r="AL976" s="5"/>
      <c r="AM976" s="5"/>
      <c r="AN976" s="5"/>
    </row>
    <row r="977" spans="1:40" ht="18.75" customHeight="1">
      <c r="A977" s="5"/>
      <c r="B977" s="5"/>
      <c r="C977" s="5"/>
      <c r="D977" s="5"/>
      <c r="E977" s="5"/>
      <c r="F977" s="5"/>
      <c r="G977" s="5"/>
      <c r="H977" s="5"/>
      <c r="I977" s="5"/>
      <c r="J977" s="5"/>
      <c r="K977" s="5"/>
      <c r="L977" s="5"/>
      <c r="M977" s="5"/>
      <c r="N977" s="5"/>
      <c r="O977" s="5"/>
      <c r="P977" s="5"/>
      <c r="Q977" s="5"/>
      <c r="R977" s="5"/>
      <c r="S977" s="5"/>
      <c r="T977" s="5"/>
      <c r="U977" s="5"/>
      <c r="V977" s="5"/>
      <c r="Y977" s="5"/>
      <c r="Z977" s="5"/>
      <c r="AA977" s="5"/>
      <c r="AB977" s="5"/>
      <c r="AC977" s="5"/>
      <c r="AD977" s="5"/>
      <c r="AE977" s="5"/>
      <c r="AF977" s="5"/>
      <c r="AG977" s="5"/>
      <c r="AH977" s="5"/>
      <c r="AI977" s="5"/>
      <c r="AJ977" s="5"/>
      <c r="AK977" s="5"/>
      <c r="AL977" s="5"/>
      <c r="AM977" s="5"/>
      <c r="AN977" s="5"/>
    </row>
    <row r="978" spans="1:40" ht="18.75" customHeight="1">
      <c r="A978" s="5"/>
      <c r="B978" s="5"/>
      <c r="C978" s="5"/>
      <c r="D978" s="5"/>
      <c r="E978" s="5"/>
      <c r="F978" s="5"/>
      <c r="G978" s="5"/>
      <c r="H978" s="5"/>
      <c r="I978" s="5"/>
      <c r="J978" s="5"/>
      <c r="K978" s="5"/>
      <c r="L978" s="5"/>
      <c r="M978" s="5"/>
      <c r="N978" s="5"/>
      <c r="O978" s="5"/>
      <c r="P978" s="5"/>
      <c r="Q978" s="5"/>
      <c r="R978" s="5"/>
      <c r="S978" s="5"/>
      <c r="T978" s="5"/>
      <c r="U978" s="5"/>
      <c r="V978" s="5"/>
      <c r="Y978" s="5"/>
      <c r="Z978" s="5"/>
      <c r="AA978" s="5"/>
      <c r="AB978" s="5"/>
      <c r="AC978" s="5"/>
      <c r="AD978" s="5"/>
      <c r="AE978" s="5"/>
      <c r="AF978" s="5"/>
      <c r="AG978" s="5"/>
      <c r="AH978" s="5"/>
      <c r="AI978" s="5"/>
      <c r="AJ978" s="5"/>
      <c r="AK978" s="5"/>
      <c r="AL978" s="5"/>
      <c r="AM978" s="5"/>
      <c r="AN978" s="5"/>
    </row>
    <row r="979" spans="1:40" ht="18.75" customHeight="1">
      <c r="A979" s="5"/>
      <c r="B979" s="5"/>
      <c r="C979" s="5"/>
      <c r="D979" s="5"/>
      <c r="E979" s="5"/>
      <c r="F979" s="5"/>
      <c r="G979" s="5"/>
      <c r="H979" s="5"/>
      <c r="I979" s="5"/>
      <c r="J979" s="5"/>
      <c r="K979" s="5"/>
      <c r="L979" s="5"/>
      <c r="M979" s="5"/>
      <c r="N979" s="5"/>
      <c r="O979" s="5"/>
      <c r="P979" s="5"/>
      <c r="Q979" s="5"/>
      <c r="R979" s="5"/>
      <c r="S979" s="5"/>
      <c r="T979" s="5"/>
      <c r="U979" s="5"/>
      <c r="V979" s="5"/>
      <c r="Y979" s="5"/>
      <c r="Z979" s="5"/>
      <c r="AA979" s="5"/>
      <c r="AB979" s="5"/>
      <c r="AC979" s="5"/>
      <c r="AD979" s="5"/>
      <c r="AE979" s="5"/>
      <c r="AF979" s="5"/>
      <c r="AG979" s="5"/>
      <c r="AH979" s="5"/>
      <c r="AI979" s="5"/>
      <c r="AJ979" s="5"/>
      <c r="AK979" s="5"/>
      <c r="AL979" s="5"/>
      <c r="AM979" s="5"/>
      <c r="AN979" s="5"/>
    </row>
    <row r="980" spans="1:40" ht="18.75" customHeight="1">
      <c r="A980" s="5"/>
      <c r="B980" s="5"/>
      <c r="C980" s="5"/>
      <c r="D980" s="5"/>
      <c r="E980" s="5"/>
      <c r="F980" s="5"/>
      <c r="G980" s="5"/>
      <c r="H980" s="5"/>
      <c r="I980" s="5"/>
      <c r="J980" s="5"/>
      <c r="K980" s="5"/>
      <c r="L980" s="5"/>
      <c r="M980" s="5"/>
      <c r="N980" s="5"/>
      <c r="O980" s="5"/>
      <c r="P980" s="5"/>
      <c r="Q980" s="5"/>
      <c r="R980" s="5"/>
      <c r="S980" s="5"/>
      <c r="T980" s="5"/>
      <c r="U980" s="5"/>
      <c r="V980" s="5"/>
      <c r="Y980" s="5"/>
      <c r="Z980" s="5"/>
      <c r="AA980" s="5"/>
      <c r="AB980" s="5"/>
      <c r="AC980" s="5"/>
      <c r="AD980" s="5"/>
      <c r="AE980" s="5"/>
      <c r="AF980" s="5"/>
      <c r="AG980" s="5"/>
      <c r="AH980" s="5"/>
      <c r="AI980" s="5"/>
      <c r="AJ980" s="5"/>
      <c r="AK980" s="5"/>
      <c r="AL980" s="5"/>
      <c r="AM980" s="5"/>
      <c r="AN980" s="5"/>
    </row>
    <row r="981" spans="1:40" ht="18.75" customHeight="1">
      <c r="A981" s="5"/>
      <c r="B981" s="5"/>
      <c r="C981" s="5"/>
      <c r="D981" s="5"/>
      <c r="E981" s="5"/>
      <c r="F981" s="5"/>
      <c r="G981" s="5"/>
      <c r="H981" s="5"/>
      <c r="I981" s="5"/>
      <c r="J981" s="5"/>
      <c r="K981" s="5"/>
      <c r="L981" s="5"/>
      <c r="M981" s="5"/>
      <c r="N981" s="5"/>
      <c r="O981" s="5"/>
      <c r="P981" s="5"/>
      <c r="Q981" s="5"/>
      <c r="R981" s="5"/>
      <c r="S981" s="5"/>
      <c r="T981" s="5"/>
      <c r="U981" s="5"/>
      <c r="V981" s="5"/>
      <c r="Y981" s="5"/>
      <c r="Z981" s="5"/>
      <c r="AA981" s="5"/>
      <c r="AB981" s="5"/>
      <c r="AC981" s="5"/>
      <c r="AD981" s="5"/>
      <c r="AE981" s="5"/>
      <c r="AF981" s="5"/>
      <c r="AG981" s="5"/>
      <c r="AH981" s="5"/>
      <c r="AI981" s="5"/>
      <c r="AJ981" s="5"/>
      <c r="AK981" s="5"/>
      <c r="AL981" s="5"/>
      <c r="AM981" s="5"/>
      <c r="AN981" s="5"/>
    </row>
    <row r="982" spans="1:40" ht="18.75" customHeight="1">
      <c r="A982" s="5"/>
      <c r="B982" s="5"/>
      <c r="C982" s="5"/>
      <c r="D982" s="5"/>
      <c r="E982" s="5"/>
      <c r="F982" s="5"/>
      <c r="G982" s="5"/>
      <c r="H982" s="5"/>
      <c r="I982" s="5"/>
      <c r="J982" s="5"/>
      <c r="K982" s="5"/>
      <c r="L982" s="5"/>
      <c r="M982" s="5"/>
      <c r="N982" s="5"/>
      <c r="O982" s="5"/>
      <c r="P982" s="5"/>
      <c r="Q982" s="5"/>
      <c r="R982" s="5"/>
      <c r="S982" s="5"/>
      <c r="T982" s="5"/>
      <c r="U982" s="5"/>
      <c r="V982" s="5"/>
      <c r="Y982" s="5"/>
      <c r="Z982" s="5"/>
      <c r="AA982" s="5"/>
      <c r="AB982" s="5"/>
      <c r="AC982" s="5"/>
      <c r="AD982" s="5"/>
      <c r="AE982" s="5"/>
      <c r="AF982" s="5"/>
      <c r="AG982" s="5"/>
      <c r="AH982" s="5"/>
      <c r="AI982" s="5"/>
      <c r="AJ982" s="5"/>
      <c r="AK982" s="5"/>
      <c r="AL982" s="5"/>
      <c r="AM982" s="5"/>
      <c r="AN982" s="5"/>
    </row>
    <row r="983" spans="1:40" ht="18.75" customHeight="1">
      <c r="A983" s="5"/>
      <c r="B983" s="5"/>
      <c r="C983" s="5"/>
      <c r="D983" s="5"/>
      <c r="E983" s="5"/>
      <c r="F983" s="5"/>
      <c r="G983" s="5"/>
      <c r="H983" s="5"/>
      <c r="I983" s="5"/>
      <c r="J983" s="5"/>
      <c r="K983" s="5"/>
      <c r="L983" s="5"/>
      <c r="M983" s="5"/>
      <c r="N983" s="5"/>
      <c r="O983" s="5"/>
      <c r="P983" s="5"/>
      <c r="Q983" s="5"/>
      <c r="R983" s="5"/>
      <c r="S983" s="5"/>
      <c r="T983" s="5"/>
      <c r="U983" s="5"/>
      <c r="V983" s="5"/>
      <c r="Y983" s="5"/>
      <c r="Z983" s="5"/>
      <c r="AA983" s="5"/>
      <c r="AB983" s="5"/>
      <c r="AC983" s="5"/>
      <c r="AD983" s="5"/>
      <c r="AE983" s="5"/>
      <c r="AF983" s="5"/>
      <c r="AG983" s="5"/>
      <c r="AH983" s="5"/>
      <c r="AI983" s="5"/>
      <c r="AJ983" s="5"/>
      <c r="AK983" s="5"/>
      <c r="AL983" s="5"/>
      <c r="AM983" s="5"/>
      <c r="AN983" s="5"/>
    </row>
    <row r="984" spans="1:40" ht="18.75" customHeight="1">
      <c r="A984" s="5"/>
      <c r="B984" s="5"/>
      <c r="C984" s="5"/>
      <c r="D984" s="5"/>
      <c r="E984" s="5"/>
      <c r="F984" s="5"/>
      <c r="G984" s="5"/>
      <c r="H984" s="5"/>
      <c r="I984" s="5"/>
      <c r="J984" s="5"/>
      <c r="K984" s="5"/>
      <c r="L984" s="5"/>
      <c r="M984" s="5"/>
      <c r="N984" s="5"/>
      <c r="O984" s="5"/>
      <c r="P984" s="5"/>
      <c r="Q984" s="5"/>
      <c r="R984" s="5"/>
      <c r="S984" s="5"/>
      <c r="T984" s="5"/>
      <c r="U984" s="5"/>
      <c r="V984" s="5"/>
      <c r="Y984" s="5"/>
      <c r="Z984" s="5"/>
      <c r="AA984" s="5"/>
      <c r="AB984" s="5"/>
      <c r="AC984" s="5"/>
      <c r="AD984" s="5"/>
      <c r="AE984" s="5"/>
      <c r="AF984" s="5"/>
      <c r="AG984" s="5"/>
      <c r="AH984" s="5"/>
      <c r="AI984" s="5"/>
      <c r="AJ984" s="5"/>
      <c r="AK984" s="5"/>
      <c r="AL984" s="5"/>
      <c r="AM984" s="5"/>
      <c r="AN984" s="5"/>
    </row>
    <row r="985" spans="1:40" ht="18.75" customHeight="1">
      <c r="A985" s="5"/>
      <c r="B985" s="5"/>
      <c r="C985" s="5"/>
      <c r="D985" s="5"/>
      <c r="E985" s="5"/>
      <c r="F985" s="5"/>
      <c r="G985" s="5"/>
      <c r="H985" s="5"/>
      <c r="I985" s="5"/>
      <c r="J985" s="5"/>
      <c r="K985" s="5"/>
      <c r="L985" s="5"/>
      <c r="M985" s="5"/>
      <c r="N985" s="5"/>
      <c r="O985" s="5"/>
      <c r="P985" s="5"/>
      <c r="Q985" s="5"/>
      <c r="R985" s="5"/>
      <c r="S985" s="5"/>
      <c r="T985" s="5"/>
      <c r="U985" s="5"/>
      <c r="V985" s="5"/>
      <c r="Y985" s="5"/>
      <c r="Z985" s="5"/>
      <c r="AA985" s="5"/>
      <c r="AB985" s="5"/>
      <c r="AC985" s="5"/>
      <c r="AD985" s="5"/>
      <c r="AE985" s="5"/>
      <c r="AF985" s="5"/>
      <c r="AG985" s="5"/>
      <c r="AH985" s="5"/>
      <c r="AI985" s="5"/>
      <c r="AJ985" s="5"/>
      <c r="AK985" s="5"/>
      <c r="AL985" s="5"/>
      <c r="AM985" s="5"/>
      <c r="AN985" s="5"/>
    </row>
    <row r="986" spans="1:40" ht="18.75" customHeight="1">
      <c r="A986" s="5"/>
      <c r="B986" s="5"/>
      <c r="C986" s="5"/>
      <c r="D986" s="5"/>
      <c r="E986" s="5"/>
      <c r="F986" s="5"/>
      <c r="G986" s="5"/>
      <c r="H986" s="5"/>
      <c r="I986" s="5"/>
      <c r="J986" s="5"/>
      <c r="K986" s="5"/>
      <c r="L986" s="5"/>
      <c r="M986" s="5"/>
      <c r="N986" s="5"/>
      <c r="O986" s="5"/>
      <c r="P986" s="5"/>
      <c r="Q986" s="5"/>
      <c r="R986" s="5"/>
      <c r="S986" s="5"/>
      <c r="T986" s="5"/>
      <c r="U986" s="5"/>
      <c r="V986" s="5"/>
      <c r="Y986" s="5"/>
      <c r="Z986" s="5"/>
      <c r="AA986" s="5"/>
      <c r="AB986" s="5"/>
      <c r="AC986" s="5"/>
      <c r="AD986" s="5"/>
      <c r="AE986" s="5"/>
      <c r="AF986" s="5"/>
      <c r="AG986" s="5"/>
      <c r="AH986" s="5"/>
      <c r="AI986" s="5"/>
      <c r="AJ986" s="5"/>
      <c r="AK986" s="5"/>
      <c r="AL986" s="5"/>
      <c r="AM986" s="5"/>
      <c r="AN986" s="5"/>
    </row>
    <row r="987" spans="1:40" ht="18.75" customHeight="1">
      <c r="A987" s="5"/>
      <c r="B987" s="5"/>
      <c r="C987" s="5"/>
      <c r="D987" s="5"/>
      <c r="E987" s="5"/>
      <c r="F987" s="5"/>
      <c r="G987" s="5"/>
      <c r="H987" s="5"/>
      <c r="I987" s="5"/>
      <c r="J987" s="5"/>
      <c r="K987" s="5"/>
      <c r="L987" s="5"/>
      <c r="M987" s="5"/>
      <c r="N987" s="5"/>
      <c r="O987" s="5"/>
      <c r="P987" s="5"/>
      <c r="Q987" s="5"/>
      <c r="R987" s="5"/>
      <c r="S987" s="5"/>
      <c r="T987" s="5"/>
      <c r="U987" s="5"/>
      <c r="V987" s="5"/>
      <c r="Y987" s="5"/>
      <c r="Z987" s="5"/>
      <c r="AA987" s="5"/>
      <c r="AB987" s="5"/>
      <c r="AC987" s="5"/>
      <c r="AD987" s="5"/>
      <c r="AE987" s="5"/>
      <c r="AF987" s="5"/>
      <c r="AG987" s="5"/>
      <c r="AH987" s="5"/>
      <c r="AI987" s="5"/>
      <c r="AJ987" s="5"/>
      <c r="AK987" s="5"/>
      <c r="AL987" s="5"/>
      <c r="AM987" s="5"/>
      <c r="AN987" s="5"/>
    </row>
    <row r="988" spans="1:40" ht="18.75" customHeight="1">
      <c r="A988" s="5"/>
      <c r="B988" s="5"/>
      <c r="C988" s="5"/>
      <c r="D988" s="5"/>
      <c r="E988" s="5"/>
      <c r="F988" s="5"/>
      <c r="G988" s="5"/>
      <c r="H988" s="5"/>
      <c r="I988" s="5"/>
      <c r="J988" s="5"/>
      <c r="K988" s="5"/>
      <c r="L988" s="5"/>
      <c r="M988" s="5"/>
      <c r="N988" s="5"/>
      <c r="O988" s="5"/>
      <c r="P988" s="5"/>
      <c r="Q988" s="5"/>
      <c r="R988" s="5"/>
      <c r="S988" s="5"/>
      <c r="T988" s="5"/>
      <c r="U988" s="5"/>
      <c r="V988" s="5"/>
      <c r="Y988" s="5"/>
      <c r="Z988" s="5"/>
      <c r="AA988" s="5"/>
      <c r="AB988" s="5"/>
      <c r="AC988" s="5"/>
      <c r="AD988" s="5"/>
      <c r="AE988" s="5"/>
      <c r="AF988" s="5"/>
      <c r="AG988" s="5"/>
      <c r="AH988" s="5"/>
      <c r="AI988" s="5"/>
      <c r="AJ988" s="5"/>
      <c r="AK988" s="5"/>
      <c r="AL988" s="5"/>
      <c r="AM988" s="5"/>
      <c r="AN988" s="5"/>
    </row>
    <row r="989" spans="1:40" ht="18.75" customHeight="1">
      <c r="A989" s="5"/>
      <c r="B989" s="5"/>
      <c r="C989" s="5"/>
      <c r="D989" s="5"/>
      <c r="E989" s="5"/>
      <c r="F989" s="5"/>
      <c r="G989" s="5"/>
      <c r="H989" s="5"/>
      <c r="I989" s="5"/>
      <c r="J989" s="5"/>
      <c r="K989" s="5"/>
      <c r="L989" s="5"/>
      <c r="M989" s="5"/>
      <c r="N989" s="5"/>
      <c r="O989" s="5"/>
      <c r="P989" s="5"/>
      <c r="Q989" s="5"/>
      <c r="R989" s="5"/>
      <c r="S989" s="5"/>
      <c r="T989" s="5"/>
      <c r="U989" s="5"/>
      <c r="V989" s="5"/>
      <c r="Y989" s="5"/>
      <c r="Z989" s="5"/>
      <c r="AA989" s="5"/>
      <c r="AB989" s="5"/>
      <c r="AC989" s="5"/>
      <c r="AD989" s="5"/>
      <c r="AE989" s="5"/>
      <c r="AF989" s="5"/>
      <c r="AG989" s="5"/>
      <c r="AH989" s="5"/>
      <c r="AI989" s="5"/>
      <c r="AJ989" s="5"/>
      <c r="AK989" s="5"/>
      <c r="AL989" s="5"/>
      <c r="AM989" s="5"/>
      <c r="AN989" s="5"/>
    </row>
    <row r="990" spans="1:40" ht="18.75" customHeight="1">
      <c r="A990" s="5"/>
      <c r="B990" s="5"/>
      <c r="C990" s="5"/>
      <c r="D990" s="5"/>
      <c r="E990" s="5"/>
      <c r="F990" s="5"/>
      <c r="G990" s="5"/>
      <c r="H990" s="5"/>
      <c r="I990" s="5"/>
      <c r="J990" s="5"/>
      <c r="K990" s="5"/>
      <c r="L990" s="5"/>
      <c r="M990" s="5"/>
      <c r="N990" s="5"/>
      <c r="O990" s="5"/>
      <c r="P990" s="5"/>
      <c r="Q990" s="5"/>
      <c r="R990" s="5"/>
      <c r="S990" s="5"/>
      <c r="T990" s="5"/>
      <c r="U990" s="5"/>
      <c r="V990" s="5"/>
      <c r="Y990" s="5"/>
      <c r="Z990" s="5"/>
      <c r="AA990" s="5"/>
      <c r="AB990" s="5"/>
      <c r="AC990" s="5"/>
      <c r="AD990" s="5"/>
      <c r="AE990" s="5"/>
      <c r="AF990" s="5"/>
      <c r="AG990" s="5"/>
      <c r="AH990" s="5"/>
      <c r="AI990" s="5"/>
      <c r="AJ990" s="5"/>
      <c r="AK990" s="5"/>
      <c r="AL990" s="5"/>
      <c r="AM990" s="5"/>
      <c r="AN990" s="5"/>
    </row>
    <row r="991" spans="1:40" ht="18.75" customHeight="1">
      <c r="A991" s="5"/>
      <c r="B991" s="5"/>
      <c r="C991" s="5"/>
      <c r="D991" s="5"/>
      <c r="E991" s="5"/>
      <c r="F991" s="5"/>
      <c r="G991" s="5"/>
      <c r="H991" s="5"/>
      <c r="I991" s="5"/>
      <c r="J991" s="5"/>
      <c r="K991" s="5"/>
      <c r="L991" s="5"/>
      <c r="M991" s="5"/>
      <c r="N991" s="5"/>
      <c r="O991" s="5"/>
      <c r="P991" s="5"/>
      <c r="Q991" s="5"/>
      <c r="R991" s="5"/>
      <c r="S991" s="5"/>
      <c r="T991" s="5"/>
      <c r="U991" s="5"/>
      <c r="V991" s="5"/>
      <c r="Y991" s="5"/>
      <c r="Z991" s="5"/>
      <c r="AA991" s="5"/>
      <c r="AB991" s="5"/>
      <c r="AC991" s="5"/>
      <c r="AD991" s="5"/>
      <c r="AE991" s="5"/>
      <c r="AF991" s="5"/>
      <c r="AG991" s="5"/>
      <c r="AH991" s="5"/>
      <c r="AI991" s="5"/>
      <c r="AJ991" s="5"/>
      <c r="AK991" s="5"/>
      <c r="AL991" s="5"/>
      <c r="AM991" s="5"/>
      <c r="AN991" s="5"/>
    </row>
    <row r="992" spans="1:40" ht="18.75" customHeight="1">
      <c r="A992" s="5"/>
      <c r="B992" s="5"/>
      <c r="C992" s="5"/>
      <c r="D992" s="5"/>
      <c r="E992" s="5"/>
      <c r="F992" s="5"/>
      <c r="G992" s="5"/>
      <c r="H992" s="5"/>
      <c r="I992" s="5"/>
      <c r="J992" s="5"/>
      <c r="K992" s="5"/>
      <c r="L992" s="5"/>
      <c r="M992" s="5"/>
      <c r="N992" s="5"/>
      <c r="O992" s="5"/>
      <c r="P992" s="5"/>
      <c r="Q992" s="5"/>
      <c r="R992" s="5"/>
      <c r="S992" s="5"/>
      <c r="T992" s="5"/>
      <c r="U992" s="5"/>
      <c r="V992" s="5"/>
      <c r="Y992" s="5"/>
      <c r="Z992" s="5"/>
      <c r="AA992" s="5"/>
      <c r="AB992" s="5"/>
      <c r="AC992" s="5"/>
      <c r="AD992" s="5"/>
      <c r="AE992" s="5"/>
      <c r="AF992" s="5"/>
      <c r="AG992" s="5"/>
      <c r="AH992" s="5"/>
      <c r="AI992" s="5"/>
      <c r="AJ992" s="5"/>
      <c r="AK992" s="5"/>
      <c r="AL992" s="5"/>
      <c r="AM992" s="5"/>
      <c r="AN992" s="5"/>
    </row>
    <row r="993" spans="1:40" ht="18.75" customHeight="1">
      <c r="A993" s="5"/>
      <c r="B993" s="5"/>
      <c r="C993" s="5"/>
      <c r="D993" s="5"/>
      <c r="E993" s="5"/>
      <c r="F993" s="5"/>
      <c r="G993" s="5"/>
      <c r="H993" s="5"/>
      <c r="I993" s="5"/>
      <c r="J993" s="5"/>
      <c r="K993" s="5"/>
      <c r="L993" s="5"/>
      <c r="M993" s="5"/>
      <c r="N993" s="5"/>
      <c r="O993" s="5"/>
      <c r="P993" s="5"/>
      <c r="Q993" s="5"/>
      <c r="R993" s="5"/>
      <c r="S993" s="5"/>
      <c r="T993" s="5"/>
      <c r="U993" s="5"/>
      <c r="V993" s="5"/>
      <c r="Y993" s="5"/>
      <c r="Z993" s="5"/>
      <c r="AA993" s="5"/>
      <c r="AB993" s="5"/>
      <c r="AC993" s="5"/>
      <c r="AD993" s="5"/>
      <c r="AE993" s="5"/>
      <c r="AF993" s="5"/>
      <c r="AG993" s="5"/>
      <c r="AH993" s="5"/>
      <c r="AI993" s="5"/>
      <c r="AJ993" s="5"/>
      <c r="AK993" s="5"/>
      <c r="AL993" s="5"/>
      <c r="AM993" s="5"/>
      <c r="AN993" s="5"/>
    </row>
    <row r="994" spans="1:40" ht="18.75" customHeight="1">
      <c r="A994" s="5"/>
      <c r="B994" s="5"/>
      <c r="C994" s="5"/>
      <c r="D994" s="5"/>
      <c r="E994" s="5"/>
      <c r="F994" s="5"/>
      <c r="G994" s="5"/>
      <c r="H994" s="5"/>
      <c r="I994" s="5"/>
      <c r="J994" s="5"/>
      <c r="K994" s="5"/>
      <c r="L994" s="5"/>
      <c r="M994" s="5"/>
      <c r="N994" s="5"/>
      <c r="O994" s="5"/>
      <c r="P994" s="5"/>
      <c r="Q994" s="5"/>
      <c r="R994" s="5"/>
      <c r="S994" s="5"/>
      <c r="T994" s="5"/>
      <c r="U994" s="5"/>
      <c r="V994" s="5"/>
      <c r="Y994" s="5"/>
      <c r="Z994" s="5"/>
      <c r="AA994" s="5"/>
      <c r="AB994" s="5"/>
      <c r="AC994" s="5"/>
      <c r="AD994" s="5"/>
      <c r="AE994" s="5"/>
      <c r="AF994" s="5"/>
      <c r="AG994" s="5"/>
      <c r="AH994" s="5"/>
      <c r="AI994" s="5"/>
      <c r="AJ994" s="5"/>
      <c r="AK994" s="5"/>
      <c r="AL994" s="5"/>
      <c r="AM994" s="5"/>
      <c r="AN994" s="5"/>
    </row>
    <row r="995" spans="1:40" ht="18.75" customHeight="1">
      <c r="A995" s="5"/>
      <c r="B995" s="5"/>
      <c r="C995" s="5"/>
      <c r="D995" s="5"/>
      <c r="E995" s="5"/>
      <c r="F995" s="5"/>
      <c r="G995" s="5"/>
      <c r="H995" s="5"/>
      <c r="I995" s="5"/>
      <c r="J995" s="5"/>
      <c r="K995" s="5"/>
      <c r="L995" s="5"/>
      <c r="M995" s="5"/>
      <c r="N995" s="5"/>
      <c r="O995" s="5"/>
      <c r="P995" s="5"/>
      <c r="Q995" s="5"/>
      <c r="R995" s="5"/>
      <c r="S995" s="5"/>
      <c r="T995" s="5"/>
      <c r="U995" s="5"/>
      <c r="V995" s="5"/>
      <c r="Y995" s="5"/>
      <c r="Z995" s="5"/>
      <c r="AA995" s="5"/>
      <c r="AB995" s="5"/>
      <c r="AC995" s="5"/>
      <c r="AD995" s="5"/>
      <c r="AE995" s="5"/>
      <c r="AF995" s="5"/>
      <c r="AG995" s="5"/>
      <c r="AH995" s="5"/>
      <c r="AI995" s="5"/>
      <c r="AJ995" s="5"/>
      <c r="AK995" s="5"/>
      <c r="AL995" s="5"/>
      <c r="AM995" s="5"/>
      <c r="AN995" s="5"/>
    </row>
    <row r="996" spans="1:40" ht="18.75" customHeight="1">
      <c r="A996" s="5"/>
      <c r="B996" s="5"/>
      <c r="C996" s="5"/>
      <c r="D996" s="5"/>
      <c r="E996" s="5"/>
      <c r="F996" s="5"/>
      <c r="G996" s="5"/>
      <c r="H996" s="5"/>
      <c r="I996" s="5"/>
      <c r="J996" s="5"/>
      <c r="K996" s="5"/>
      <c r="L996" s="5"/>
      <c r="M996" s="5"/>
      <c r="N996" s="5"/>
      <c r="O996" s="5"/>
      <c r="P996" s="5"/>
      <c r="Q996" s="5"/>
      <c r="R996" s="5"/>
      <c r="S996" s="5"/>
      <c r="T996" s="5"/>
      <c r="U996" s="5"/>
      <c r="V996" s="5"/>
      <c r="Y996" s="5"/>
      <c r="Z996" s="5"/>
      <c r="AA996" s="5"/>
      <c r="AB996" s="5"/>
      <c r="AC996" s="5"/>
      <c r="AD996" s="5"/>
      <c r="AE996" s="5"/>
      <c r="AF996" s="5"/>
      <c r="AG996" s="5"/>
      <c r="AH996" s="5"/>
      <c r="AI996" s="5"/>
      <c r="AJ996" s="5"/>
      <c r="AK996" s="5"/>
      <c r="AL996" s="5"/>
      <c r="AM996" s="5"/>
      <c r="AN996" s="5"/>
    </row>
    <row r="997" spans="1:40" ht="18.75" customHeight="1">
      <c r="A997" s="5"/>
      <c r="B997" s="5"/>
      <c r="C997" s="5"/>
      <c r="D997" s="5"/>
      <c r="E997" s="5"/>
      <c r="F997" s="5"/>
      <c r="G997" s="5"/>
      <c r="H997" s="5"/>
      <c r="I997" s="5"/>
      <c r="J997" s="5"/>
      <c r="K997" s="5"/>
      <c r="L997" s="5"/>
      <c r="M997" s="5"/>
      <c r="N997" s="5"/>
      <c r="O997" s="5"/>
      <c r="P997" s="5"/>
      <c r="Q997" s="5"/>
      <c r="R997" s="5"/>
      <c r="S997" s="5"/>
      <c r="T997" s="5"/>
      <c r="U997" s="5"/>
      <c r="V997" s="5"/>
      <c r="Y997" s="5"/>
      <c r="Z997" s="5"/>
      <c r="AA997" s="5"/>
      <c r="AB997" s="5"/>
      <c r="AC997" s="5"/>
      <c r="AD997" s="5"/>
      <c r="AE997" s="5"/>
      <c r="AF997" s="5"/>
      <c r="AG997" s="5"/>
      <c r="AH997" s="5"/>
      <c r="AI997" s="5"/>
      <c r="AJ997" s="5"/>
      <c r="AK997" s="5"/>
      <c r="AL997" s="5"/>
      <c r="AM997" s="5"/>
      <c r="AN997" s="5"/>
    </row>
    <row r="998" spans="1:40" ht="18.75" customHeight="1">
      <c r="A998" s="5"/>
      <c r="B998" s="5"/>
      <c r="C998" s="5"/>
      <c r="D998" s="5"/>
      <c r="E998" s="5"/>
      <c r="F998" s="5"/>
      <c r="G998" s="5"/>
      <c r="H998" s="5"/>
      <c r="I998" s="5"/>
      <c r="J998" s="5"/>
      <c r="K998" s="5"/>
      <c r="L998" s="5"/>
      <c r="M998" s="5"/>
      <c r="N998" s="5"/>
      <c r="O998" s="5"/>
      <c r="P998" s="5"/>
      <c r="Q998" s="5"/>
      <c r="R998" s="5"/>
      <c r="S998" s="5"/>
      <c r="T998" s="5"/>
      <c r="U998" s="5"/>
      <c r="V998" s="5"/>
      <c r="Y998" s="5"/>
      <c r="Z998" s="5"/>
      <c r="AA998" s="5"/>
      <c r="AB998" s="5"/>
      <c r="AC998" s="5"/>
      <c r="AD998" s="5"/>
      <c r="AE998" s="5"/>
      <c r="AF998" s="5"/>
      <c r="AG998" s="5"/>
      <c r="AH998" s="5"/>
      <c r="AI998" s="5"/>
      <c r="AJ998" s="5"/>
      <c r="AK998" s="5"/>
      <c r="AL998" s="5"/>
      <c r="AM998" s="5"/>
      <c r="AN998" s="5"/>
    </row>
    <row r="999" spans="1:40" ht="18.75" customHeight="1">
      <c r="A999" s="5"/>
      <c r="B999" s="5"/>
      <c r="C999" s="5"/>
      <c r="D999" s="5"/>
      <c r="E999" s="5"/>
      <c r="F999" s="5"/>
      <c r="G999" s="5"/>
      <c r="H999" s="5"/>
      <c r="I999" s="5"/>
      <c r="J999" s="5"/>
      <c r="K999" s="5"/>
      <c r="L999" s="5"/>
      <c r="M999" s="5"/>
      <c r="N999" s="5"/>
      <c r="O999" s="5"/>
      <c r="P999" s="5"/>
      <c r="Q999" s="5"/>
      <c r="R999" s="5"/>
      <c r="S999" s="5"/>
      <c r="T999" s="5"/>
      <c r="U999" s="5"/>
      <c r="V999" s="5"/>
      <c r="Y999" s="5"/>
      <c r="Z999" s="5"/>
      <c r="AA999" s="5"/>
      <c r="AB999" s="5"/>
      <c r="AC999" s="5"/>
      <c r="AD999" s="5"/>
      <c r="AE999" s="5"/>
      <c r="AF999" s="5"/>
      <c r="AG999" s="5"/>
      <c r="AH999" s="5"/>
      <c r="AI999" s="5"/>
      <c r="AJ999" s="5"/>
      <c r="AK999" s="5"/>
      <c r="AL999" s="5"/>
      <c r="AM999" s="5"/>
      <c r="AN999" s="5"/>
    </row>
    <row r="1000" spans="1:40" ht="18.75" customHeight="1">
      <c r="A1000" s="5"/>
      <c r="B1000" s="5"/>
      <c r="C1000" s="5"/>
      <c r="D1000" s="5"/>
      <c r="E1000" s="5"/>
      <c r="F1000" s="5"/>
      <c r="G1000" s="5"/>
      <c r="H1000" s="5"/>
      <c r="I1000" s="5"/>
      <c r="J1000" s="5"/>
      <c r="K1000" s="5"/>
      <c r="L1000" s="5"/>
      <c r="M1000" s="5"/>
      <c r="N1000" s="5"/>
      <c r="O1000" s="5"/>
      <c r="P1000" s="5"/>
      <c r="Q1000" s="5"/>
      <c r="R1000" s="5"/>
      <c r="S1000" s="5"/>
      <c r="T1000" s="5"/>
      <c r="U1000" s="5"/>
      <c r="V1000" s="5"/>
      <c r="Y1000" s="5"/>
      <c r="Z1000" s="5"/>
      <c r="AA1000" s="5"/>
      <c r="AB1000" s="5"/>
      <c r="AC1000" s="5"/>
      <c r="AD1000" s="5"/>
      <c r="AE1000" s="5"/>
      <c r="AF1000" s="5"/>
      <c r="AG1000" s="5"/>
      <c r="AH1000" s="5"/>
      <c r="AI1000" s="5"/>
      <c r="AJ1000" s="5"/>
      <c r="AK1000" s="5"/>
      <c r="AL1000" s="5"/>
      <c r="AM1000" s="5"/>
      <c r="AN1000" s="5"/>
    </row>
    <row r="1001" spans="1:40" ht="18.75" customHeight="1">
      <c r="A1001" s="5"/>
      <c r="B1001" s="5"/>
      <c r="C1001" s="5"/>
      <c r="D1001" s="5"/>
      <c r="E1001" s="5"/>
      <c r="F1001" s="5"/>
      <c r="G1001" s="5"/>
      <c r="H1001" s="5"/>
      <c r="I1001" s="5"/>
      <c r="J1001" s="5"/>
      <c r="K1001" s="5"/>
      <c r="L1001" s="5"/>
      <c r="M1001" s="5"/>
      <c r="N1001" s="5"/>
      <c r="O1001" s="5"/>
      <c r="P1001" s="5"/>
      <c r="Q1001" s="5"/>
      <c r="R1001" s="5"/>
      <c r="S1001" s="5"/>
      <c r="T1001" s="5"/>
      <c r="U1001" s="5"/>
      <c r="V1001" s="5"/>
      <c r="Y1001" s="5"/>
      <c r="Z1001" s="5"/>
      <c r="AA1001" s="5"/>
      <c r="AB1001" s="5"/>
      <c r="AC1001" s="5"/>
      <c r="AD1001" s="5"/>
      <c r="AE1001" s="5"/>
      <c r="AF1001" s="5"/>
      <c r="AG1001" s="5"/>
      <c r="AH1001" s="5"/>
      <c r="AI1001" s="5"/>
      <c r="AJ1001" s="5"/>
      <c r="AK1001" s="5"/>
      <c r="AL1001" s="5"/>
      <c r="AM1001" s="5"/>
      <c r="AN1001" s="5"/>
    </row>
    <row r="1002" spans="1:40" ht="18.75" customHeight="1">
      <c r="A1002" s="5"/>
      <c r="B1002" s="5"/>
      <c r="C1002" s="5"/>
      <c r="D1002" s="5"/>
      <c r="E1002" s="5"/>
      <c r="F1002" s="5"/>
      <c r="G1002" s="5"/>
      <c r="H1002" s="5"/>
      <c r="I1002" s="5"/>
      <c r="J1002" s="5"/>
      <c r="K1002" s="5"/>
      <c r="L1002" s="5"/>
      <c r="M1002" s="5"/>
      <c r="N1002" s="5"/>
      <c r="O1002" s="5"/>
      <c r="P1002" s="5"/>
      <c r="Q1002" s="5"/>
      <c r="R1002" s="5"/>
      <c r="S1002" s="5"/>
      <c r="T1002" s="5"/>
      <c r="U1002" s="5"/>
      <c r="V1002" s="5"/>
      <c r="Y1002" s="5"/>
      <c r="Z1002" s="5"/>
      <c r="AA1002" s="5"/>
      <c r="AB1002" s="5"/>
      <c r="AC1002" s="5"/>
      <c r="AD1002" s="5"/>
      <c r="AE1002" s="5"/>
      <c r="AF1002" s="5"/>
      <c r="AG1002" s="5"/>
      <c r="AH1002" s="5"/>
      <c r="AI1002" s="5"/>
      <c r="AJ1002" s="5"/>
      <c r="AK1002" s="5"/>
      <c r="AL1002" s="5"/>
      <c r="AM1002" s="5"/>
      <c r="AN1002" s="5"/>
    </row>
    <row r="1003" spans="1:40" ht="18.75" customHeight="1">
      <c r="A1003" s="5"/>
      <c r="B1003" s="5"/>
      <c r="C1003" s="5"/>
      <c r="D1003" s="5"/>
      <c r="E1003" s="5"/>
      <c r="F1003" s="5"/>
      <c r="G1003" s="5"/>
      <c r="H1003" s="5"/>
      <c r="I1003" s="5"/>
      <c r="J1003" s="5"/>
      <c r="K1003" s="5"/>
      <c r="L1003" s="5"/>
      <c r="M1003" s="5"/>
      <c r="N1003" s="5"/>
      <c r="O1003" s="5"/>
      <c r="P1003" s="5"/>
      <c r="Q1003" s="5"/>
      <c r="R1003" s="5"/>
      <c r="S1003" s="5"/>
      <c r="T1003" s="5"/>
      <c r="U1003" s="5"/>
      <c r="V1003" s="5"/>
      <c r="Y1003" s="5"/>
      <c r="Z1003" s="5"/>
      <c r="AA1003" s="5"/>
      <c r="AB1003" s="5"/>
      <c r="AC1003" s="5"/>
      <c r="AD1003" s="5"/>
      <c r="AE1003" s="5"/>
      <c r="AF1003" s="5"/>
      <c r="AG1003" s="5"/>
      <c r="AH1003" s="5"/>
      <c r="AI1003" s="5"/>
      <c r="AJ1003" s="5"/>
      <c r="AK1003" s="5"/>
      <c r="AL1003" s="5"/>
      <c r="AM1003" s="5"/>
      <c r="AN1003" s="5"/>
    </row>
    <row r="1004" spans="1:40" ht="18.75" customHeight="1">
      <c r="A1004" s="5"/>
      <c r="B1004" s="5"/>
      <c r="C1004" s="5"/>
      <c r="D1004" s="5"/>
      <c r="E1004" s="5"/>
      <c r="F1004" s="5"/>
      <c r="G1004" s="5"/>
      <c r="H1004" s="5"/>
      <c r="I1004" s="5"/>
      <c r="J1004" s="5"/>
      <c r="K1004" s="5"/>
      <c r="L1004" s="5"/>
      <c r="M1004" s="5"/>
      <c r="N1004" s="5"/>
      <c r="O1004" s="5"/>
      <c r="P1004" s="5"/>
      <c r="Q1004" s="5"/>
      <c r="R1004" s="5"/>
      <c r="S1004" s="5"/>
      <c r="T1004" s="5"/>
      <c r="U1004" s="5"/>
      <c r="V1004" s="5"/>
      <c r="Y1004" s="5"/>
      <c r="Z1004" s="5"/>
      <c r="AA1004" s="5"/>
      <c r="AB1004" s="5"/>
      <c r="AC1004" s="5"/>
      <c r="AD1004" s="5"/>
      <c r="AE1004" s="5"/>
      <c r="AF1004" s="5"/>
      <c r="AG1004" s="5"/>
      <c r="AH1004" s="5"/>
      <c r="AI1004" s="5"/>
      <c r="AJ1004" s="5"/>
      <c r="AK1004" s="5"/>
      <c r="AL1004" s="5"/>
      <c r="AM1004" s="5"/>
      <c r="AN1004" s="5"/>
    </row>
    <row r="1005" spans="1:40" ht="18.75" customHeight="1">
      <c r="A1005" s="5"/>
      <c r="B1005" s="5"/>
      <c r="C1005" s="5"/>
      <c r="D1005" s="5"/>
      <c r="E1005" s="5"/>
      <c r="F1005" s="5"/>
      <c r="G1005" s="5"/>
      <c r="H1005" s="5"/>
      <c r="I1005" s="5"/>
      <c r="J1005" s="5"/>
      <c r="K1005" s="5"/>
      <c r="L1005" s="5"/>
      <c r="M1005" s="5"/>
      <c r="N1005" s="5"/>
      <c r="O1005" s="5"/>
      <c r="P1005" s="5"/>
      <c r="Q1005" s="5"/>
      <c r="R1005" s="5"/>
      <c r="S1005" s="5"/>
      <c r="T1005" s="5"/>
      <c r="U1005" s="5"/>
      <c r="V1005" s="5"/>
      <c r="Y1005" s="5"/>
      <c r="Z1005" s="5"/>
      <c r="AA1005" s="5"/>
      <c r="AB1005" s="5"/>
      <c r="AC1005" s="5"/>
      <c r="AD1005" s="5"/>
      <c r="AE1005" s="5"/>
      <c r="AF1005" s="5"/>
      <c r="AG1005" s="5"/>
      <c r="AH1005" s="5"/>
      <c r="AI1005" s="5"/>
      <c r="AJ1005" s="5"/>
      <c r="AK1005" s="5"/>
      <c r="AL1005" s="5"/>
      <c r="AM1005" s="5"/>
      <c r="AN1005" s="5"/>
    </row>
    <row r="1006" spans="1:40" ht="18.75" customHeight="1">
      <c r="A1006" s="5"/>
      <c r="B1006" s="5"/>
      <c r="C1006" s="5"/>
      <c r="D1006" s="5"/>
      <c r="E1006" s="5"/>
      <c r="F1006" s="5"/>
      <c r="G1006" s="5"/>
      <c r="H1006" s="5"/>
      <c r="I1006" s="5"/>
      <c r="J1006" s="5"/>
      <c r="K1006" s="5"/>
      <c r="L1006" s="5"/>
      <c r="M1006" s="5"/>
      <c r="N1006" s="5"/>
      <c r="O1006" s="5"/>
      <c r="P1006" s="5"/>
      <c r="Q1006" s="5"/>
      <c r="R1006" s="5"/>
      <c r="S1006" s="5"/>
      <c r="T1006" s="5"/>
      <c r="U1006" s="5"/>
      <c r="V1006" s="5"/>
      <c r="Y1006" s="5"/>
      <c r="Z1006" s="5"/>
      <c r="AA1006" s="5"/>
      <c r="AB1006" s="5"/>
      <c r="AC1006" s="5"/>
      <c r="AD1006" s="5"/>
      <c r="AE1006" s="5"/>
      <c r="AF1006" s="5"/>
      <c r="AG1006" s="5"/>
      <c r="AH1006" s="5"/>
      <c r="AI1006" s="5"/>
      <c r="AJ1006" s="5"/>
      <c r="AK1006" s="5"/>
      <c r="AL1006" s="5"/>
      <c r="AM1006" s="5"/>
      <c r="AN1006" s="5"/>
    </row>
    <row r="1007" spans="1:40" ht="18.75" customHeight="1">
      <c r="A1007" s="5"/>
      <c r="B1007" s="5"/>
      <c r="C1007" s="5"/>
      <c r="D1007" s="5"/>
      <c r="E1007" s="5"/>
      <c r="F1007" s="5"/>
      <c r="G1007" s="5"/>
      <c r="H1007" s="5"/>
      <c r="I1007" s="5"/>
      <c r="J1007" s="5"/>
      <c r="K1007" s="5"/>
      <c r="L1007" s="5"/>
      <c r="M1007" s="5"/>
      <c r="N1007" s="5"/>
      <c r="O1007" s="5"/>
      <c r="P1007" s="5"/>
      <c r="Q1007" s="5"/>
      <c r="R1007" s="5"/>
      <c r="S1007" s="5"/>
      <c r="T1007" s="5"/>
      <c r="U1007" s="5"/>
      <c r="V1007" s="5"/>
      <c r="Y1007" s="5"/>
      <c r="Z1007" s="5"/>
      <c r="AA1007" s="5"/>
      <c r="AB1007" s="5"/>
      <c r="AC1007" s="5"/>
      <c r="AD1007" s="5"/>
      <c r="AE1007" s="5"/>
      <c r="AF1007" s="5"/>
      <c r="AG1007" s="5"/>
      <c r="AH1007" s="5"/>
      <c r="AI1007" s="5"/>
      <c r="AJ1007" s="5"/>
      <c r="AK1007" s="5"/>
      <c r="AL1007" s="5"/>
      <c r="AM1007" s="5"/>
      <c r="AN1007" s="5"/>
    </row>
    <row r="1008" spans="1:40" ht="18.75" customHeight="1">
      <c r="A1008" s="5"/>
      <c r="B1008" s="5"/>
      <c r="C1008" s="5"/>
      <c r="D1008" s="5"/>
      <c r="E1008" s="5"/>
      <c r="F1008" s="5"/>
      <c r="G1008" s="5"/>
      <c r="H1008" s="5"/>
      <c r="I1008" s="5"/>
      <c r="J1008" s="5"/>
      <c r="K1008" s="5"/>
      <c r="L1008" s="5"/>
      <c r="M1008" s="5"/>
      <c r="N1008" s="5"/>
      <c r="O1008" s="5"/>
      <c r="P1008" s="5"/>
      <c r="Q1008" s="5"/>
      <c r="R1008" s="5"/>
      <c r="S1008" s="5"/>
      <c r="T1008" s="5"/>
      <c r="U1008" s="5"/>
      <c r="V1008" s="5"/>
      <c r="Y1008" s="5"/>
      <c r="Z1008" s="5"/>
      <c r="AA1008" s="5"/>
      <c r="AB1008" s="5"/>
      <c r="AC1008" s="5"/>
      <c r="AD1008" s="5"/>
      <c r="AE1008" s="5"/>
      <c r="AF1008" s="5"/>
      <c r="AG1008" s="5"/>
      <c r="AH1008" s="5"/>
      <c r="AI1008" s="5"/>
      <c r="AJ1008" s="5"/>
      <c r="AK1008" s="5"/>
      <c r="AL1008" s="5"/>
      <c r="AM1008" s="5"/>
      <c r="AN1008" s="5"/>
    </row>
    <row r="1009" spans="1:40" ht="18.75" customHeight="1">
      <c r="A1009" s="5"/>
      <c r="B1009" s="5"/>
      <c r="C1009" s="5"/>
      <c r="D1009" s="5"/>
      <c r="E1009" s="5"/>
      <c r="F1009" s="5"/>
      <c r="G1009" s="5"/>
      <c r="H1009" s="5"/>
      <c r="I1009" s="5"/>
      <c r="J1009" s="5"/>
      <c r="K1009" s="5"/>
      <c r="L1009" s="5"/>
      <c r="M1009" s="5"/>
      <c r="N1009" s="5"/>
      <c r="O1009" s="5"/>
      <c r="P1009" s="5"/>
      <c r="Q1009" s="5"/>
      <c r="R1009" s="5"/>
      <c r="S1009" s="5"/>
      <c r="T1009" s="5"/>
      <c r="U1009" s="5"/>
      <c r="V1009" s="5"/>
      <c r="Y1009" s="5"/>
      <c r="Z1009" s="5"/>
      <c r="AA1009" s="5"/>
      <c r="AB1009" s="5"/>
      <c r="AC1009" s="5"/>
      <c r="AD1009" s="5"/>
      <c r="AE1009" s="5"/>
      <c r="AF1009" s="5"/>
      <c r="AG1009" s="5"/>
      <c r="AH1009" s="5"/>
      <c r="AI1009" s="5"/>
      <c r="AJ1009" s="5"/>
      <c r="AK1009" s="5"/>
      <c r="AL1009" s="5"/>
      <c r="AM1009" s="5"/>
      <c r="AN1009" s="5"/>
    </row>
    <row r="1010" spans="1:40" ht="18.75" customHeight="1">
      <c r="A1010" s="5"/>
      <c r="B1010" s="5"/>
      <c r="C1010" s="5"/>
      <c r="D1010" s="5"/>
      <c r="E1010" s="5"/>
      <c r="F1010" s="5"/>
      <c r="G1010" s="5"/>
      <c r="H1010" s="5"/>
      <c r="I1010" s="5"/>
      <c r="J1010" s="5"/>
      <c r="K1010" s="5"/>
      <c r="L1010" s="5"/>
      <c r="M1010" s="5"/>
      <c r="N1010" s="5"/>
      <c r="O1010" s="5"/>
      <c r="P1010" s="5"/>
      <c r="Q1010" s="5"/>
      <c r="R1010" s="5"/>
      <c r="S1010" s="5"/>
      <c r="T1010" s="5"/>
      <c r="U1010" s="5"/>
      <c r="V1010" s="5"/>
      <c r="Y1010" s="5"/>
      <c r="Z1010" s="5"/>
      <c r="AA1010" s="5"/>
      <c r="AB1010" s="5"/>
      <c r="AC1010" s="5"/>
      <c r="AD1010" s="5"/>
      <c r="AE1010" s="5"/>
      <c r="AF1010" s="5"/>
      <c r="AG1010" s="5"/>
      <c r="AH1010" s="5"/>
      <c r="AI1010" s="5"/>
      <c r="AJ1010" s="5"/>
      <c r="AK1010" s="5"/>
      <c r="AL1010" s="5"/>
      <c r="AM1010" s="5"/>
      <c r="AN1010" s="5"/>
    </row>
    <row r="1011" spans="1:40" ht="18.75" customHeight="1">
      <c r="A1011" s="5"/>
      <c r="B1011" s="5"/>
      <c r="C1011" s="5"/>
      <c r="D1011" s="5"/>
      <c r="E1011" s="5"/>
      <c r="F1011" s="5"/>
      <c r="G1011" s="5"/>
      <c r="H1011" s="5"/>
      <c r="I1011" s="5"/>
      <c r="J1011" s="5"/>
      <c r="K1011" s="5"/>
      <c r="L1011" s="5"/>
      <c r="M1011" s="5"/>
      <c r="N1011" s="5"/>
      <c r="O1011" s="5"/>
      <c r="P1011" s="5"/>
      <c r="Q1011" s="5"/>
      <c r="R1011" s="5"/>
      <c r="S1011" s="5"/>
      <c r="T1011" s="5"/>
      <c r="U1011" s="5"/>
      <c r="V1011" s="5"/>
      <c r="Y1011" s="5"/>
      <c r="Z1011" s="5"/>
      <c r="AA1011" s="5"/>
      <c r="AB1011" s="5"/>
      <c r="AC1011" s="5"/>
      <c r="AD1011" s="5"/>
      <c r="AE1011" s="5"/>
      <c r="AF1011" s="5"/>
      <c r="AG1011" s="5"/>
      <c r="AH1011" s="5"/>
      <c r="AI1011" s="5"/>
      <c r="AJ1011" s="5"/>
      <c r="AK1011" s="5"/>
      <c r="AL1011" s="5"/>
      <c r="AM1011" s="5"/>
      <c r="AN1011" s="5"/>
    </row>
    <row r="1012" spans="1:40" ht="18.75" customHeight="1">
      <c r="A1012" s="5"/>
      <c r="B1012" s="5"/>
      <c r="C1012" s="5"/>
      <c r="D1012" s="5"/>
      <c r="E1012" s="5"/>
      <c r="F1012" s="5"/>
      <c r="G1012" s="5"/>
      <c r="H1012" s="5"/>
      <c r="I1012" s="5"/>
      <c r="J1012" s="5"/>
      <c r="K1012" s="5"/>
      <c r="L1012" s="5"/>
      <c r="M1012" s="5"/>
      <c r="N1012" s="5"/>
      <c r="O1012" s="5"/>
      <c r="P1012" s="5"/>
      <c r="Q1012" s="5"/>
      <c r="R1012" s="5"/>
      <c r="S1012" s="5"/>
      <c r="T1012" s="5"/>
      <c r="U1012" s="5"/>
      <c r="V1012" s="5"/>
      <c r="Y1012" s="5"/>
      <c r="Z1012" s="5"/>
      <c r="AA1012" s="5"/>
      <c r="AB1012" s="5"/>
      <c r="AC1012" s="5"/>
      <c r="AD1012" s="5"/>
      <c r="AE1012" s="5"/>
      <c r="AF1012" s="5"/>
      <c r="AG1012" s="5"/>
      <c r="AH1012" s="5"/>
      <c r="AI1012" s="5"/>
      <c r="AJ1012" s="5"/>
      <c r="AK1012" s="5"/>
      <c r="AL1012" s="5"/>
      <c r="AM1012" s="5"/>
      <c r="AN1012" s="5"/>
    </row>
    <row r="1013" spans="1:40" ht="18.75" customHeight="1">
      <c r="A1013" s="5"/>
      <c r="B1013" s="5"/>
      <c r="C1013" s="5"/>
      <c r="D1013" s="5"/>
      <c r="E1013" s="5"/>
      <c r="F1013" s="5"/>
      <c r="G1013" s="5"/>
      <c r="H1013" s="5"/>
      <c r="I1013" s="5"/>
      <c r="J1013" s="5"/>
      <c r="K1013" s="5"/>
      <c r="L1013" s="5"/>
      <c r="M1013" s="5"/>
      <c r="N1013" s="5"/>
      <c r="O1013" s="5"/>
      <c r="P1013" s="5"/>
      <c r="Q1013" s="5"/>
      <c r="R1013" s="5"/>
      <c r="S1013" s="5"/>
      <c r="T1013" s="5"/>
      <c r="U1013" s="5"/>
      <c r="V1013" s="5"/>
      <c r="Y1013" s="5"/>
      <c r="Z1013" s="5"/>
      <c r="AA1013" s="5"/>
      <c r="AB1013" s="5"/>
      <c r="AC1013" s="5"/>
      <c r="AD1013" s="5"/>
      <c r="AE1013" s="5"/>
      <c r="AF1013" s="5"/>
      <c r="AG1013" s="5"/>
      <c r="AH1013" s="5"/>
      <c r="AI1013" s="5"/>
      <c r="AJ1013" s="5"/>
      <c r="AK1013" s="5"/>
      <c r="AL1013" s="5"/>
      <c r="AM1013" s="5"/>
      <c r="AN1013" s="5"/>
    </row>
    <row r="1014" spans="1:40" ht="18.75" customHeight="1">
      <c r="A1014" s="5"/>
      <c r="B1014" s="5"/>
      <c r="C1014" s="5"/>
      <c r="D1014" s="5"/>
      <c r="E1014" s="5"/>
      <c r="F1014" s="5"/>
      <c r="G1014" s="5"/>
      <c r="H1014" s="5"/>
      <c r="I1014" s="5"/>
      <c r="J1014" s="5"/>
      <c r="K1014" s="5"/>
      <c r="L1014" s="5"/>
      <c r="M1014" s="5"/>
      <c r="N1014" s="5"/>
      <c r="O1014" s="5"/>
      <c r="P1014" s="5"/>
      <c r="Q1014" s="5"/>
      <c r="R1014" s="5"/>
      <c r="S1014" s="5"/>
      <c r="T1014" s="5"/>
      <c r="U1014" s="5"/>
      <c r="V1014" s="5"/>
      <c r="Y1014" s="5"/>
      <c r="Z1014" s="5"/>
      <c r="AA1014" s="5"/>
      <c r="AB1014" s="5"/>
      <c r="AC1014" s="5"/>
      <c r="AD1014" s="5"/>
      <c r="AE1014" s="5"/>
      <c r="AF1014" s="5"/>
      <c r="AG1014" s="5"/>
      <c r="AH1014" s="5"/>
      <c r="AI1014" s="5"/>
      <c r="AJ1014" s="5"/>
      <c r="AK1014" s="5"/>
      <c r="AL1014" s="5"/>
      <c r="AM1014" s="5"/>
      <c r="AN1014" s="5"/>
    </row>
    <row r="1015" spans="1:40" ht="18.75" customHeight="1">
      <c r="A1015" s="5"/>
      <c r="B1015" s="5"/>
      <c r="C1015" s="5"/>
      <c r="D1015" s="5"/>
      <c r="E1015" s="5"/>
      <c r="F1015" s="5"/>
      <c r="G1015" s="5"/>
      <c r="H1015" s="5"/>
      <c r="I1015" s="5"/>
      <c r="J1015" s="5"/>
      <c r="K1015" s="5"/>
      <c r="L1015" s="5"/>
      <c r="M1015" s="5"/>
      <c r="N1015" s="5"/>
      <c r="O1015" s="5"/>
      <c r="P1015" s="5"/>
      <c r="Q1015" s="5"/>
      <c r="R1015" s="5"/>
      <c r="S1015" s="5"/>
      <c r="T1015" s="5"/>
      <c r="U1015" s="5"/>
      <c r="V1015" s="5"/>
      <c r="Y1015" s="5"/>
      <c r="Z1015" s="5"/>
      <c r="AA1015" s="5"/>
      <c r="AB1015" s="5"/>
      <c r="AC1015" s="5"/>
      <c r="AD1015" s="5"/>
      <c r="AE1015" s="5"/>
      <c r="AF1015" s="5"/>
      <c r="AG1015" s="5"/>
      <c r="AH1015" s="5"/>
      <c r="AI1015" s="5"/>
      <c r="AJ1015" s="5"/>
      <c r="AK1015" s="5"/>
      <c r="AL1015" s="5"/>
      <c r="AM1015" s="5"/>
      <c r="AN1015" s="5"/>
    </row>
    <row r="1016" spans="1:40" ht="18.75" customHeight="1">
      <c r="A1016" s="5"/>
      <c r="B1016" s="5"/>
      <c r="C1016" s="5"/>
      <c r="D1016" s="5"/>
      <c r="E1016" s="5"/>
      <c r="F1016" s="5"/>
      <c r="G1016" s="5"/>
      <c r="H1016" s="5"/>
      <c r="I1016" s="5"/>
      <c r="J1016" s="5"/>
      <c r="K1016" s="5"/>
      <c r="L1016" s="5"/>
      <c r="M1016" s="5"/>
      <c r="N1016" s="5"/>
      <c r="O1016" s="5"/>
      <c r="P1016" s="5"/>
      <c r="Q1016" s="5"/>
      <c r="R1016" s="5"/>
      <c r="S1016" s="5"/>
      <c r="T1016" s="5"/>
      <c r="U1016" s="5"/>
      <c r="V1016" s="5"/>
      <c r="Y1016" s="5"/>
      <c r="Z1016" s="5"/>
      <c r="AA1016" s="5"/>
      <c r="AB1016" s="5"/>
      <c r="AC1016" s="5"/>
      <c r="AD1016" s="5"/>
      <c r="AE1016" s="5"/>
      <c r="AF1016" s="5"/>
      <c r="AG1016" s="5"/>
      <c r="AH1016" s="5"/>
      <c r="AI1016" s="5"/>
      <c r="AJ1016" s="5"/>
      <c r="AK1016" s="5"/>
      <c r="AL1016" s="5"/>
      <c r="AM1016" s="5"/>
      <c r="AN1016" s="5"/>
    </row>
    <row r="1017" spans="1:40" ht="18.75" customHeight="1">
      <c r="A1017" s="5"/>
      <c r="B1017" s="5"/>
      <c r="C1017" s="5"/>
      <c r="D1017" s="5"/>
      <c r="E1017" s="5"/>
      <c r="F1017" s="5"/>
      <c r="G1017" s="5"/>
      <c r="H1017" s="5"/>
      <c r="I1017" s="5"/>
      <c r="J1017" s="5"/>
      <c r="K1017" s="5"/>
      <c r="L1017" s="5"/>
      <c r="M1017" s="5"/>
      <c r="N1017" s="5"/>
      <c r="O1017" s="5"/>
      <c r="P1017" s="5"/>
      <c r="Q1017" s="5"/>
      <c r="R1017" s="5"/>
      <c r="S1017" s="5"/>
      <c r="T1017" s="5"/>
      <c r="U1017" s="5"/>
      <c r="V1017" s="5"/>
      <c r="Y1017" s="5"/>
      <c r="Z1017" s="5"/>
      <c r="AA1017" s="5"/>
      <c r="AB1017" s="5"/>
      <c r="AC1017" s="5"/>
      <c r="AD1017" s="5"/>
      <c r="AE1017" s="5"/>
      <c r="AF1017" s="5"/>
      <c r="AG1017" s="5"/>
      <c r="AH1017" s="5"/>
      <c r="AI1017" s="5"/>
      <c r="AJ1017" s="5"/>
      <c r="AK1017" s="5"/>
      <c r="AL1017" s="5"/>
      <c r="AM1017" s="5"/>
      <c r="AN1017" s="5"/>
    </row>
    <row r="1018" spans="1:40" ht="18.75" customHeight="1">
      <c r="A1018" s="5"/>
      <c r="B1018" s="5"/>
      <c r="C1018" s="5"/>
      <c r="D1018" s="5"/>
      <c r="E1018" s="5"/>
      <c r="F1018" s="5"/>
      <c r="G1018" s="5"/>
      <c r="H1018" s="5"/>
      <c r="I1018" s="5"/>
      <c r="J1018" s="5"/>
      <c r="K1018" s="5"/>
      <c r="L1018" s="5"/>
      <c r="M1018" s="5"/>
      <c r="N1018" s="5"/>
      <c r="O1018" s="5"/>
      <c r="P1018" s="5"/>
      <c r="Q1018" s="5"/>
      <c r="R1018" s="5"/>
      <c r="S1018" s="5"/>
      <c r="T1018" s="5"/>
      <c r="U1018" s="5"/>
      <c r="V1018" s="5"/>
      <c r="Y1018" s="5"/>
      <c r="Z1018" s="5"/>
      <c r="AA1018" s="5"/>
      <c r="AB1018" s="5"/>
      <c r="AC1018" s="5"/>
      <c r="AD1018" s="5"/>
      <c r="AE1018" s="5"/>
      <c r="AF1018" s="5"/>
      <c r="AG1018" s="5"/>
      <c r="AH1018" s="5"/>
      <c r="AI1018" s="5"/>
      <c r="AJ1018" s="5"/>
      <c r="AK1018" s="5"/>
      <c r="AL1018" s="5"/>
      <c r="AM1018" s="5"/>
      <c r="AN1018" s="5"/>
    </row>
    <row r="1019" spans="1:40" ht="18.75" customHeight="1">
      <c r="A1019" s="5"/>
      <c r="B1019" s="5"/>
      <c r="C1019" s="5"/>
      <c r="D1019" s="5"/>
      <c r="E1019" s="5"/>
      <c r="F1019" s="5"/>
      <c r="G1019" s="5"/>
      <c r="H1019" s="5"/>
      <c r="I1019" s="5"/>
      <c r="J1019" s="5"/>
      <c r="K1019" s="5"/>
      <c r="L1019" s="5"/>
      <c r="M1019" s="5"/>
      <c r="N1019" s="5"/>
      <c r="O1019" s="5"/>
      <c r="P1019" s="5"/>
      <c r="Q1019" s="5"/>
      <c r="R1019" s="5"/>
      <c r="S1019" s="5"/>
      <c r="T1019" s="5"/>
      <c r="U1019" s="5"/>
      <c r="V1019" s="5"/>
      <c r="Y1019" s="5"/>
      <c r="Z1019" s="5"/>
      <c r="AA1019" s="5"/>
      <c r="AB1019" s="5"/>
      <c r="AC1019" s="5"/>
      <c r="AD1019" s="5"/>
      <c r="AE1019" s="5"/>
      <c r="AF1019" s="5"/>
      <c r="AG1019" s="5"/>
      <c r="AH1019" s="5"/>
      <c r="AI1019" s="5"/>
      <c r="AJ1019" s="5"/>
      <c r="AK1019" s="5"/>
      <c r="AL1019" s="5"/>
      <c r="AM1019" s="5"/>
      <c r="AN1019" s="5"/>
    </row>
    <row r="1020" spans="1:40" ht="18.75" customHeight="1">
      <c r="A1020" s="5"/>
      <c r="B1020" s="5"/>
      <c r="C1020" s="5"/>
      <c r="D1020" s="5"/>
      <c r="E1020" s="5"/>
      <c r="F1020" s="5"/>
      <c r="G1020" s="5"/>
      <c r="H1020" s="5"/>
      <c r="I1020" s="5"/>
      <c r="J1020" s="5"/>
      <c r="K1020" s="5"/>
      <c r="L1020" s="5"/>
      <c r="M1020" s="5"/>
      <c r="N1020" s="5"/>
      <c r="O1020" s="5"/>
      <c r="P1020" s="5"/>
      <c r="Q1020" s="5"/>
      <c r="R1020" s="5"/>
      <c r="S1020" s="5"/>
      <c r="T1020" s="5"/>
      <c r="U1020" s="5"/>
      <c r="V1020" s="5"/>
      <c r="Y1020" s="5"/>
      <c r="Z1020" s="5"/>
      <c r="AA1020" s="5"/>
      <c r="AB1020" s="5"/>
      <c r="AC1020" s="5"/>
      <c r="AD1020" s="5"/>
      <c r="AE1020" s="5"/>
      <c r="AF1020" s="5"/>
      <c r="AG1020" s="5"/>
      <c r="AH1020" s="5"/>
      <c r="AI1020" s="5"/>
      <c r="AJ1020" s="5"/>
      <c r="AK1020" s="5"/>
      <c r="AL1020" s="5"/>
      <c r="AM1020" s="5"/>
      <c r="AN1020" s="5"/>
    </row>
    <row r="1021" spans="1:40" ht="18.75" customHeight="1">
      <c r="A1021" s="5"/>
      <c r="B1021" s="5"/>
      <c r="C1021" s="5"/>
      <c r="D1021" s="5"/>
      <c r="E1021" s="5"/>
      <c r="F1021" s="5"/>
      <c r="G1021" s="5"/>
      <c r="H1021" s="5"/>
      <c r="I1021" s="5"/>
      <c r="J1021" s="5"/>
      <c r="K1021" s="5"/>
      <c r="L1021" s="5"/>
      <c r="M1021" s="5"/>
      <c r="N1021" s="5"/>
      <c r="O1021" s="5"/>
      <c r="P1021" s="5"/>
      <c r="Q1021" s="5"/>
      <c r="R1021" s="5"/>
      <c r="S1021" s="5"/>
      <c r="T1021" s="5"/>
      <c r="U1021" s="5"/>
      <c r="V1021" s="5"/>
      <c r="Y1021" s="5"/>
      <c r="Z1021" s="5"/>
      <c r="AA1021" s="5"/>
      <c r="AB1021" s="5"/>
      <c r="AC1021" s="5"/>
      <c r="AD1021" s="5"/>
      <c r="AE1021" s="5"/>
      <c r="AF1021" s="5"/>
      <c r="AG1021" s="5"/>
      <c r="AH1021" s="5"/>
      <c r="AI1021" s="5"/>
      <c r="AJ1021" s="5"/>
      <c r="AK1021" s="5"/>
      <c r="AL1021" s="5"/>
      <c r="AM1021" s="5"/>
      <c r="AN1021" s="5"/>
    </row>
    <row r="1022" spans="1:40" ht="18.75" customHeight="1">
      <c r="A1022" s="5"/>
      <c r="B1022" s="5"/>
      <c r="C1022" s="5"/>
      <c r="D1022" s="5"/>
      <c r="E1022" s="5"/>
      <c r="F1022" s="5"/>
      <c r="G1022" s="5"/>
      <c r="H1022" s="5"/>
      <c r="I1022" s="5"/>
      <c r="J1022" s="5"/>
      <c r="K1022" s="5"/>
      <c r="L1022" s="5"/>
      <c r="M1022" s="5"/>
      <c r="N1022" s="5"/>
      <c r="O1022" s="5"/>
      <c r="P1022" s="5"/>
      <c r="Q1022" s="5"/>
      <c r="R1022" s="5"/>
      <c r="S1022" s="5"/>
      <c r="T1022" s="5"/>
      <c r="U1022" s="5"/>
      <c r="V1022" s="5"/>
      <c r="Y1022" s="5"/>
      <c r="Z1022" s="5"/>
      <c r="AA1022" s="5"/>
      <c r="AB1022" s="5"/>
      <c r="AC1022" s="5"/>
      <c r="AD1022" s="5"/>
      <c r="AE1022" s="5"/>
      <c r="AF1022" s="5"/>
      <c r="AG1022" s="5"/>
      <c r="AH1022" s="5"/>
      <c r="AI1022" s="5"/>
      <c r="AJ1022" s="5"/>
      <c r="AK1022" s="5"/>
      <c r="AL1022" s="5"/>
      <c r="AM1022" s="5"/>
      <c r="AN1022" s="5"/>
    </row>
    <row r="1023" spans="1:40" ht="18.75" customHeight="1">
      <c r="A1023" s="5"/>
      <c r="B1023" s="5"/>
      <c r="C1023" s="5"/>
      <c r="D1023" s="5"/>
      <c r="E1023" s="5"/>
      <c r="F1023" s="5"/>
      <c r="G1023" s="5"/>
      <c r="H1023" s="5"/>
      <c r="I1023" s="5"/>
      <c r="J1023" s="5"/>
      <c r="K1023" s="5"/>
      <c r="L1023" s="5"/>
      <c r="M1023" s="5"/>
      <c r="N1023" s="5"/>
      <c r="O1023" s="5"/>
      <c r="P1023" s="5"/>
      <c r="Q1023" s="5"/>
      <c r="R1023" s="5"/>
      <c r="S1023" s="5"/>
      <c r="T1023" s="5"/>
      <c r="U1023" s="5"/>
      <c r="V1023" s="5"/>
      <c r="Y1023" s="5"/>
      <c r="Z1023" s="5"/>
      <c r="AA1023" s="5"/>
      <c r="AB1023" s="5"/>
      <c r="AC1023" s="5"/>
      <c r="AD1023" s="5"/>
      <c r="AE1023" s="5"/>
      <c r="AF1023" s="5"/>
      <c r="AG1023" s="5"/>
      <c r="AH1023" s="5"/>
      <c r="AI1023" s="5"/>
      <c r="AJ1023" s="5"/>
      <c r="AK1023" s="5"/>
      <c r="AL1023" s="5"/>
      <c r="AM1023" s="5"/>
      <c r="AN1023" s="5"/>
    </row>
    <row r="1024" spans="1:40" ht="18.75" customHeight="1">
      <c r="A1024" s="5"/>
      <c r="B1024" s="5"/>
      <c r="C1024" s="5"/>
      <c r="D1024" s="5"/>
      <c r="E1024" s="5"/>
      <c r="F1024" s="5"/>
      <c r="G1024" s="5"/>
      <c r="H1024" s="5"/>
      <c r="I1024" s="5"/>
      <c r="J1024" s="5"/>
      <c r="K1024" s="5"/>
      <c r="L1024" s="5"/>
      <c r="M1024" s="5"/>
      <c r="N1024" s="5"/>
      <c r="O1024" s="5"/>
      <c r="P1024" s="5"/>
      <c r="Q1024" s="5"/>
      <c r="R1024" s="5"/>
      <c r="S1024" s="5"/>
      <c r="T1024" s="5"/>
      <c r="U1024" s="5"/>
      <c r="V1024" s="5"/>
      <c r="Y1024" s="5"/>
      <c r="Z1024" s="5"/>
      <c r="AA1024" s="5"/>
      <c r="AB1024" s="5"/>
      <c r="AC1024" s="5"/>
      <c r="AD1024" s="5"/>
      <c r="AE1024" s="5"/>
      <c r="AF1024" s="5"/>
      <c r="AG1024" s="5"/>
      <c r="AH1024" s="5"/>
      <c r="AI1024" s="5"/>
      <c r="AJ1024" s="5"/>
      <c r="AK1024" s="5"/>
      <c r="AL1024" s="5"/>
      <c r="AM1024" s="5"/>
      <c r="AN1024" s="5"/>
    </row>
    <row r="1025" spans="1:40" ht="18.75" customHeight="1">
      <c r="A1025" s="5"/>
      <c r="B1025" s="5"/>
      <c r="C1025" s="5"/>
      <c r="D1025" s="5"/>
      <c r="E1025" s="5"/>
      <c r="F1025" s="5"/>
      <c r="G1025" s="5"/>
      <c r="H1025" s="5"/>
      <c r="I1025" s="5"/>
      <c r="J1025" s="5"/>
      <c r="K1025" s="5"/>
      <c r="L1025" s="5"/>
      <c r="M1025" s="5"/>
      <c r="N1025" s="5"/>
      <c r="O1025" s="5"/>
      <c r="P1025" s="5"/>
      <c r="Q1025" s="5"/>
      <c r="R1025" s="5"/>
      <c r="S1025" s="5"/>
      <c r="T1025" s="5"/>
      <c r="U1025" s="5"/>
      <c r="V1025" s="5"/>
      <c r="Y1025" s="5"/>
      <c r="Z1025" s="5"/>
      <c r="AA1025" s="5"/>
      <c r="AB1025" s="5"/>
      <c r="AC1025" s="5"/>
      <c r="AD1025" s="5"/>
      <c r="AE1025" s="5"/>
      <c r="AF1025" s="5"/>
      <c r="AG1025" s="5"/>
      <c r="AH1025" s="5"/>
      <c r="AI1025" s="5"/>
      <c r="AJ1025" s="5"/>
      <c r="AK1025" s="5"/>
      <c r="AL1025" s="5"/>
      <c r="AM1025" s="5"/>
      <c r="AN1025" s="5"/>
    </row>
    <row r="1026" spans="1:40" ht="18.75" customHeight="1">
      <c r="A1026" s="5"/>
      <c r="B1026" s="5"/>
      <c r="C1026" s="5"/>
      <c r="D1026" s="5"/>
      <c r="E1026" s="5"/>
      <c r="F1026" s="5"/>
      <c r="G1026" s="5"/>
      <c r="H1026" s="5"/>
      <c r="I1026" s="5"/>
      <c r="J1026" s="5"/>
      <c r="K1026" s="5"/>
      <c r="L1026" s="5"/>
      <c r="M1026" s="5"/>
      <c r="N1026" s="5"/>
      <c r="O1026" s="5"/>
      <c r="P1026" s="5"/>
      <c r="Q1026" s="5"/>
      <c r="R1026" s="5"/>
      <c r="S1026" s="5"/>
      <c r="T1026" s="5"/>
      <c r="U1026" s="5"/>
      <c r="V1026" s="5"/>
      <c r="Y1026" s="5"/>
      <c r="Z1026" s="5"/>
      <c r="AA1026" s="5"/>
      <c r="AB1026" s="5"/>
      <c r="AC1026" s="5"/>
      <c r="AD1026" s="5"/>
      <c r="AE1026" s="5"/>
      <c r="AF1026" s="5"/>
      <c r="AG1026" s="5"/>
      <c r="AH1026" s="5"/>
      <c r="AI1026" s="5"/>
      <c r="AJ1026" s="5"/>
      <c r="AK1026" s="5"/>
      <c r="AL1026" s="5"/>
      <c r="AM1026" s="5"/>
      <c r="AN1026" s="5"/>
    </row>
    <row r="1027" spans="1:40" ht="18.75" customHeight="1">
      <c r="A1027" s="5"/>
      <c r="B1027" s="5"/>
      <c r="C1027" s="5"/>
      <c r="D1027" s="5"/>
      <c r="E1027" s="5"/>
      <c r="F1027" s="5"/>
      <c r="G1027" s="5"/>
      <c r="H1027" s="5"/>
      <c r="I1027" s="5"/>
      <c r="J1027" s="5"/>
      <c r="K1027" s="5"/>
      <c r="L1027" s="5"/>
      <c r="M1027" s="5"/>
      <c r="N1027" s="5"/>
      <c r="O1027" s="5"/>
      <c r="P1027" s="5"/>
      <c r="Q1027" s="5"/>
      <c r="R1027" s="5"/>
      <c r="S1027" s="5"/>
      <c r="T1027" s="5"/>
      <c r="U1027" s="5"/>
      <c r="V1027" s="5"/>
      <c r="Y1027" s="5"/>
      <c r="Z1027" s="5"/>
      <c r="AA1027" s="5"/>
      <c r="AB1027" s="5"/>
      <c r="AC1027" s="5"/>
      <c r="AD1027" s="5"/>
      <c r="AE1027" s="5"/>
      <c r="AF1027" s="5"/>
      <c r="AG1027" s="5"/>
      <c r="AH1027" s="5"/>
      <c r="AI1027" s="5"/>
      <c r="AJ1027" s="5"/>
      <c r="AK1027" s="5"/>
      <c r="AL1027" s="5"/>
      <c r="AM1027" s="5"/>
      <c r="AN1027" s="5"/>
    </row>
    <row r="1028" spans="1:40" ht="18.75" customHeight="1">
      <c r="A1028" s="5"/>
      <c r="B1028" s="5"/>
      <c r="C1028" s="5"/>
      <c r="D1028" s="5"/>
      <c r="E1028" s="5"/>
      <c r="F1028" s="5"/>
      <c r="G1028" s="5"/>
      <c r="H1028" s="5"/>
      <c r="I1028" s="5"/>
      <c r="J1028" s="5"/>
      <c r="K1028" s="5"/>
      <c r="L1028" s="5"/>
      <c r="M1028" s="5"/>
      <c r="N1028" s="5"/>
      <c r="O1028" s="5"/>
      <c r="P1028" s="5"/>
      <c r="Q1028" s="5"/>
      <c r="R1028" s="5"/>
      <c r="S1028" s="5"/>
      <c r="T1028" s="5"/>
      <c r="U1028" s="5"/>
      <c r="V1028" s="5"/>
      <c r="Y1028" s="5"/>
      <c r="Z1028" s="5"/>
      <c r="AA1028" s="5"/>
      <c r="AB1028" s="5"/>
      <c r="AC1028" s="5"/>
      <c r="AD1028" s="5"/>
      <c r="AE1028" s="5"/>
      <c r="AF1028" s="5"/>
      <c r="AG1028" s="5"/>
      <c r="AH1028" s="5"/>
      <c r="AI1028" s="5"/>
      <c r="AJ1028" s="5"/>
      <c r="AK1028" s="5"/>
      <c r="AL1028" s="5"/>
      <c r="AM1028" s="5"/>
      <c r="AN1028" s="5"/>
    </row>
    <row r="1029" spans="1:40" ht="18.75" customHeight="1">
      <c r="A1029" s="5"/>
      <c r="B1029" s="5"/>
      <c r="C1029" s="5"/>
      <c r="D1029" s="5"/>
      <c r="E1029" s="5"/>
      <c r="F1029" s="5"/>
      <c r="G1029" s="5"/>
      <c r="H1029" s="5"/>
      <c r="I1029" s="5"/>
      <c r="J1029" s="5"/>
      <c r="K1029" s="5"/>
      <c r="L1029" s="5"/>
      <c r="M1029" s="5"/>
      <c r="N1029" s="5"/>
      <c r="O1029" s="5"/>
      <c r="P1029" s="5"/>
      <c r="Q1029" s="5"/>
      <c r="R1029" s="5"/>
      <c r="S1029" s="5"/>
      <c r="T1029" s="5"/>
      <c r="U1029" s="5"/>
      <c r="V1029" s="5"/>
      <c r="Y1029" s="5"/>
      <c r="Z1029" s="5"/>
      <c r="AA1029" s="5"/>
      <c r="AB1029" s="5"/>
      <c r="AC1029" s="5"/>
      <c r="AD1029" s="5"/>
      <c r="AE1029" s="5"/>
      <c r="AF1029" s="5"/>
      <c r="AG1029" s="5"/>
      <c r="AH1029" s="5"/>
      <c r="AI1029" s="5"/>
      <c r="AJ1029" s="5"/>
      <c r="AK1029" s="5"/>
      <c r="AL1029" s="5"/>
      <c r="AM1029" s="5"/>
      <c r="AN1029" s="5"/>
    </row>
    <row r="1030" spans="1:40" ht="18.75" customHeight="1">
      <c r="A1030" s="5"/>
      <c r="B1030" s="5"/>
      <c r="C1030" s="5"/>
      <c r="D1030" s="5"/>
      <c r="E1030" s="5"/>
      <c r="F1030" s="5"/>
      <c r="G1030" s="5"/>
      <c r="H1030" s="5"/>
      <c r="I1030" s="5"/>
      <c r="J1030" s="5"/>
      <c r="K1030" s="5"/>
      <c r="L1030" s="5"/>
      <c r="M1030" s="5"/>
      <c r="N1030" s="5"/>
      <c r="O1030" s="5"/>
      <c r="P1030" s="5"/>
      <c r="Q1030" s="5"/>
      <c r="R1030" s="5"/>
      <c r="S1030" s="5"/>
      <c r="T1030" s="5"/>
      <c r="U1030" s="5"/>
      <c r="V1030" s="5"/>
      <c r="Y1030" s="5"/>
      <c r="Z1030" s="5"/>
      <c r="AA1030" s="5"/>
      <c r="AB1030" s="5"/>
      <c r="AC1030" s="5"/>
      <c r="AD1030" s="5"/>
      <c r="AE1030" s="5"/>
      <c r="AF1030" s="5"/>
      <c r="AG1030" s="5"/>
      <c r="AH1030" s="5"/>
      <c r="AI1030" s="5"/>
      <c r="AJ1030" s="5"/>
      <c r="AK1030" s="5"/>
      <c r="AL1030" s="5"/>
      <c r="AM1030" s="5"/>
      <c r="AN1030" s="5"/>
    </row>
    <row r="1031" spans="1:40" ht="18.75" customHeight="1">
      <c r="A1031" s="5"/>
      <c r="B1031" s="5"/>
      <c r="C1031" s="5"/>
      <c r="D1031" s="5"/>
      <c r="E1031" s="5"/>
      <c r="F1031" s="5"/>
      <c r="G1031" s="5"/>
      <c r="H1031" s="5"/>
      <c r="I1031" s="5"/>
      <c r="J1031" s="5"/>
      <c r="K1031" s="5"/>
      <c r="L1031" s="5"/>
      <c r="M1031" s="5"/>
      <c r="N1031" s="5"/>
      <c r="O1031" s="5"/>
      <c r="P1031" s="5"/>
      <c r="Q1031" s="5"/>
      <c r="R1031" s="5"/>
      <c r="S1031" s="5"/>
      <c r="T1031" s="5"/>
      <c r="U1031" s="5"/>
      <c r="V1031" s="5"/>
      <c r="Y1031" s="5"/>
      <c r="Z1031" s="5"/>
      <c r="AA1031" s="5"/>
      <c r="AB1031" s="5"/>
      <c r="AC1031" s="5"/>
      <c r="AD1031" s="5"/>
      <c r="AE1031" s="5"/>
      <c r="AF1031" s="5"/>
      <c r="AG1031" s="5"/>
      <c r="AH1031" s="5"/>
      <c r="AI1031" s="5"/>
      <c r="AJ1031" s="5"/>
      <c r="AK1031" s="5"/>
      <c r="AL1031" s="5"/>
      <c r="AM1031" s="5"/>
      <c r="AN1031" s="5"/>
    </row>
    <row r="1032" spans="1:40" ht="18.75" customHeight="1">
      <c r="A1032" s="5"/>
      <c r="B1032" s="5"/>
      <c r="C1032" s="5"/>
      <c r="D1032" s="5"/>
      <c r="E1032" s="5"/>
      <c r="F1032" s="5"/>
      <c r="G1032" s="5"/>
      <c r="H1032" s="5"/>
      <c r="I1032" s="5"/>
      <c r="J1032" s="5"/>
      <c r="K1032" s="5"/>
      <c r="L1032" s="5"/>
      <c r="M1032" s="5"/>
      <c r="N1032" s="5"/>
      <c r="O1032" s="5"/>
      <c r="P1032" s="5"/>
      <c r="Q1032" s="5"/>
      <c r="R1032" s="5"/>
      <c r="S1032" s="5"/>
      <c r="T1032" s="5"/>
      <c r="U1032" s="5"/>
      <c r="V1032" s="5"/>
      <c r="Y1032" s="5"/>
      <c r="Z1032" s="5"/>
      <c r="AA1032" s="5"/>
      <c r="AB1032" s="5"/>
      <c r="AC1032" s="5"/>
      <c r="AD1032" s="5"/>
      <c r="AE1032" s="5"/>
      <c r="AF1032" s="5"/>
      <c r="AG1032" s="5"/>
      <c r="AH1032" s="5"/>
      <c r="AI1032" s="5"/>
      <c r="AJ1032" s="5"/>
      <c r="AK1032" s="5"/>
      <c r="AL1032" s="5"/>
      <c r="AM1032" s="5"/>
      <c r="AN1032" s="5"/>
    </row>
    <row r="1033" spans="1:40" ht="18.75" customHeight="1">
      <c r="A1033" s="5"/>
      <c r="B1033" s="5"/>
      <c r="C1033" s="5"/>
      <c r="D1033" s="5"/>
      <c r="E1033" s="5"/>
      <c r="F1033" s="5"/>
      <c r="G1033" s="5"/>
      <c r="H1033" s="5"/>
      <c r="I1033" s="5"/>
      <c r="J1033" s="5"/>
      <c r="K1033" s="5"/>
      <c r="L1033" s="5"/>
      <c r="M1033" s="5"/>
      <c r="N1033" s="5"/>
      <c r="O1033" s="5"/>
      <c r="P1033" s="5"/>
      <c r="Q1033" s="5"/>
      <c r="R1033" s="5"/>
      <c r="S1033" s="5"/>
      <c r="T1033" s="5"/>
      <c r="U1033" s="5"/>
      <c r="V1033" s="5"/>
      <c r="Y1033" s="5"/>
      <c r="Z1033" s="5"/>
      <c r="AA1033" s="5"/>
      <c r="AB1033" s="5"/>
      <c r="AC1033" s="5"/>
      <c r="AD1033" s="5"/>
      <c r="AE1033" s="5"/>
      <c r="AF1033" s="5"/>
      <c r="AG1033" s="5"/>
      <c r="AH1033" s="5"/>
      <c r="AI1033" s="5"/>
      <c r="AJ1033" s="5"/>
      <c r="AK1033" s="5"/>
      <c r="AL1033" s="5"/>
      <c r="AM1033" s="5"/>
      <c r="AN1033" s="5"/>
    </row>
    <row r="1034" spans="1:40" ht="18.75" customHeight="1">
      <c r="A1034" s="5"/>
      <c r="B1034" s="5"/>
      <c r="C1034" s="5"/>
      <c r="D1034" s="5"/>
      <c r="E1034" s="5"/>
      <c r="F1034" s="5"/>
      <c r="G1034" s="5"/>
      <c r="H1034" s="5"/>
      <c r="I1034" s="5"/>
      <c r="J1034" s="5"/>
      <c r="K1034" s="5"/>
      <c r="L1034" s="5"/>
      <c r="M1034" s="5"/>
      <c r="N1034" s="5"/>
      <c r="O1034" s="5"/>
      <c r="P1034" s="5"/>
      <c r="Q1034" s="5"/>
      <c r="R1034" s="5"/>
      <c r="S1034" s="5"/>
      <c r="T1034" s="5"/>
      <c r="U1034" s="5"/>
      <c r="V1034" s="5"/>
      <c r="Y1034" s="5"/>
      <c r="Z1034" s="5"/>
      <c r="AA1034" s="5"/>
      <c r="AB1034" s="5"/>
      <c r="AC1034" s="5"/>
      <c r="AD1034" s="5"/>
      <c r="AE1034" s="5"/>
      <c r="AF1034" s="5"/>
      <c r="AG1034" s="5"/>
      <c r="AH1034" s="5"/>
      <c r="AI1034" s="5"/>
      <c r="AJ1034" s="5"/>
      <c r="AK1034" s="5"/>
      <c r="AL1034" s="5"/>
      <c r="AM1034" s="5"/>
      <c r="AN1034" s="5"/>
    </row>
    <row r="1035" spans="1:40" ht="18.75" customHeight="1">
      <c r="A1035" s="5"/>
      <c r="B1035" s="5"/>
      <c r="C1035" s="5"/>
      <c r="D1035" s="5"/>
      <c r="E1035" s="5"/>
      <c r="F1035" s="5"/>
      <c r="G1035" s="5"/>
      <c r="H1035" s="5"/>
      <c r="I1035" s="5"/>
      <c r="J1035" s="5"/>
      <c r="K1035" s="5"/>
      <c r="L1035" s="5"/>
      <c r="M1035" s="5"/>
      <c r="N1035" s="5"/>
      <c r="O1035" s="5"/>
      <c r="P1035" s="5"/>
      <c r="Q1035" s="5"/>
      <c r="R1035" s="5"/>
      <c r="S1035" s="5"/>
      <c r="T1035" s="5"/>
      <c r="U1035" s="5"/>
      <c r="V1035" s="5"/>
      <c r="Y1035" s="5"/>
      <c r="Z1035" s="5"/>
      <c r="AA1035" s="5"/>
      <c r="AB1035" s="5"/>
      <c r="AC1035" s="5"/>
      <c r="AD1035" s="5"/>
      <c r="AE1035" s="5"/>
      <c r="AF1035" s="5"/>
      <c r="AG1035" s="5"/>
      <c r="AH1035" s="5"/>
      <c r="AI1035" s="5"/>
      <c r="AJ1035" s="5"/>
      <c r="AK1035" s="5"/>
      <c r="AL1035" s="5"/>
      <c r="AM1035" s="5"/>
      <c r="AN1035" s="5"/>
    </row>
    <row r="1036" spans="1:40" ht="18.75" customHeight="1">
      <c r="A1036" s="5"/>
      <c r="B1036" s="5"/>
      <c r="C1036" s="5"/>
      <c r="D1036" s="5"/>
      <c r="E1036" s="5"/>
      <c r="F1036" s="5"/>
      <c r="G1036" s="5"/>
      <c r="H1036" s="5"/>
      <c r="I1036" s="5"/>
      <c r="J1036" s="5"/>
      <c r="K1036" s="5"/>
      <c r="L1036" s="5"/>
      <c r="M1036" s="5"/>
      <c r="N1036" s="5"/>
      <c r="O1036" s="5"/>
      <c r="P1036" s="5"/>
      <c r="Q1036" s="5"/>
      <c r="R1036" s="5"/>
      <c r="S1036" s="5"/>
      <c r="T1036" s="5"/>
      <c r="U1036" s="5"/>
      <c r="V1036" s="5"/>
      <c r="Y1036" s="5"/>
      <c r="Z1036" s="5"/>
      <c r="AA1036" s="5"/>
      <c r="AB1036" s="5"/>
      <c r="AC1036" s="5"/>
      <c r="AD1036" s="5"/>
      <c r="AE1036" s="5"/>
      <c r="AF1036" s="5"/>
      <c r="AG1036" s="5"/>
      <c r="AH1036" s="5"/>
      <c r="AI1036" s="5"/>
      <c r="AJ1036" s="5"/>
      <c r="AK1036" s="5"/>
      <c r="AL1036" s="5"/>
      <c r="AM1036" s="5"/>
      <c r="AN1036" s="5"/>
    </row>
    <row r="1037" spans="1:40" ht="18.75" customHeight="1">
      <c r="A1037" s="5"/>
      <c r="B1037" s="5"/>
      <c r="C1037" s="5"/>
      <c r="D1037" s="5"/>
      <c r="E1037" s="5"/>
      <c r="F1037" s="5"/>
      <c r="G1037" s="5"/>
      <c r="H1037" s="5"/>
      <c r="I1037" s="5"/>
      <c r="J1037" s="5"/>
      <c r="K1037" s="5"/>
      <c r="L1037" s="5"/>
      <c r="M1037" s="5"/>
      <c r="N1037" s="5"/>
      <c r="O1037" s="5"/>
      <c r="P1037" s="5"/>
      <c r="Q1037" s="5"/>
      <c r="R1037" s="5"/>
      <c r="S1037" s="5"/>
      <c r="T1037" s="5"/>
      <c r="U1037" s="5"/>
      <c r="V1037" s="5"/>
      <c r="Y1037" s="5"/>
      <c r="Z1037" s="5"/>
      <c r="AA1037" s="5"/>
      <c r="AB1037" s="5"/>
      <c r="AC1037" s="5"/>
      <c r="AD1037" s="5"/>
      <c r="AE1037" s="5"/>
      <c r="AF1037" s="5"/>
      <c r="AG1037" s="5"/>
      <c r="AH1037" s="5"/>
      <c r="AI1037" s="5"/>
      <c r="AJ1037" s="5"/>
      <c r="AK1037" s="5"/>
      <c r="AL1037" s="5"/>
      <c r="AM1037" s="5"/>
      <c r="AN1037" s="5"/>
    </row>
    <row r="1038" spans="1:40" ht="18.75" customHeight="1">
      <c r="A1038" s="5"/>
      <c r="B1038" s="5"/>
      <c r="C1038" s="5"/>
      <c r="D1038" s="5"/>
      <c r="E1038" s="5"/>
      <c r="F1038" s="5"/>
      <c r="G1038" s="5"/>
      <c r="H1038" s="5"/>
      <c r="I1038" s="5"/>
      <c r="J1038" s="5"/>
      <c r="K1038" s="5"/>
      <c r="L1038" s="5"/>
      <c r="M1038" s="5"/>
      <c r="N1038" s="5"/>
      <c r="O1038" s="5"/>
      <c r="P1038" s="5"/>
      <c r="Q1038" s="5"/>
      <c r="R1038" s="5"/>
      <c r="S1038" s="5"/>
      <c r="T1038" s="5"/>
      <c r="U1038" s="5"/>
      <c r="V1038" s="5"/>
      <c r="Y1038" s="5"/>
      <c r="Z1038" s="5"/>
      <c r="AA1038" s="5"/>
      <c r="AB1038" s="5"/>
      <c r="AC1038" s="5"/>
      <c r="AD1038" s="5"/>
      <c r="AE1038" s="5"/>
      <c r="AF1038" s="5"/>
      <c r="AG1038" s="5"/>
      <c r="AH1038" s="5"/>
      <c r="AI1038" s="5"/>
      <c r="AJ1038" s="5"/>
      <c r="AK1038" s="5"/>
      <c r="AL1038" s="5"/>
      <c r="AM1038" s="5"/>
      <c r="AN1038" s="5"/>
    </row>
    <row r="1039" spans="1:40" ht="18.75" customHeight="1">
      <c r="A1039" s="5"/>
      <c r="B1039" s="5"/>
      <c r="C1039" s="5"/>
      <c r="D1039" s="5"/>
      <c r="E1039" s="5"/>
      <c r="F1039" s="5"/>
      <c r="G1039" s="5"/>
      <c r="H1039" s="5"/>
      <c r="I1039" s="5"/>
      <c r="J1039" s="5"/>
      <c r="K1039" s="5"/>
      <c r="L1039" s="5"/>
      <c r="M1039" s="5"/>
      <c r="N1039" s="5"/>
      <c r="O1039" s="5"/>
      <c r="P1039" s="5"/>
      <c r="Q1039" s="5"/>
      <c r="R1039" s="5"/>
      <c r="S1039" s="5"/>
      <c r="T1039" s="5"/>
      <c r="U1039" s="5"/>
      <c r="V1039" s="5"/>
      <c r="Y1039" s="5"/>
      <c r="Z1039" s="5"/>
      <c r="AA1039" s="5"/>
      <c r="AB1039" s="5"/>
      <c r="AC1039" s="5"/>
      <c r="AD1039" s="5"/>
      <c r="AE1039" s="5"/>
      <c r="AF1039" s="5"/>
      <c r="AG1039" s="5"/>
      <c r="AH1039" s="5"/>
      <c r="AI1039" s="5"/>
      <c r="AJ1039" s="5"/>
      <c r="AK1039" s="5"/>
      <c r="AL1039" s="5"/>
      <c r="AM1039" s="5"/>
      <c r="AN1039" s="5"/>
    </row>
    <row r="1040" spans="1:40" ht="18.75" customHeight="1">
      <c r="A1040" s="5"/>
      <c r="B1040" s="5"/>
      <c r="C1040" s="5"/>
      <c r="D1040" s="5"/>
      <c r="E1040" s="5"/>
      <c r="F1040" s="5"/>
      <c r="G1040" s="5"/>
      <c r="H1040" s="5"/>
      <c r="I1040" s="5"/>
      <c r="J1040" s="5"/>
      <c r="K1040" s="5"/>
      <c r="L1040" s="5"/>
      <c r="M1040" s="5"/>
      <c r="N1040" s="5"/>
      <c r="O1040" s="5"/>
      <c r="P1040" s="5"/>
      <c r="Q1040" s="5"/>
      <c r="R1040" s="5"/>
      <c r="S1040" s="5"/>
      <c r="T1040" s="5"/>
      <c r="U1040" s="5"/>
      <c r="V1040" s="5"/>
      <c r="Y1040" s="5"/>
      <c r="Z1040" s="5"/>
      <c r="AA1040" s="5"/>
      <c r="AB1040" s="5"/>
      <c r="AC1040" s="5"/>
      <c r="AD1040" s="5"/>
      <c r="AE1040" s="5"/>
      <c r="AF1040" s="5"/>
      <c r="AG1040" s="5"/>
      <c r="AH1040" s="5"/>
      <c r="AI1040" s="5"/>
      <c r="AJ1040" s="5"/>
      <c r="AK1040" s="5"/>
      <c r="AL1040" s="5"/>
      <c r="AM1040" s="5"/>
      <c r="AN1040" s="5"/>
    </row>
    <row r="1041" spans="1:40" ht="18.75" customHeight="1">
      <c r="A1041" s="5"/>
      <c r="B1041" s="5"/>
      <c r="C1041" s="5"/>
      <c r="D1041" s="5"/>
      <c r="E1041" s="5"/>
      <c r="F1041" s="5"/>
      <c r="G1041" s="5"/>
      <c r="H1041" s="5"/>
      <c r="I1041" s="5"/>
      <c r="J1041" s="5"/>
      <c r="K1041" s="5"/>
      <c r="L1041" s="5"/>
      <c r="M1041" s="5"/>
      <c r="N1041" s="5"/>
      <c r="O1041" s="5"/>
      <c r="P1041" s="5"/>
      <c r="Q1041" s="5"/>
      <c r="R1041" s="5"/>
      <c r="S1041" s="5"/>
      <c r="T1041" s="5"/>
      <c r="U1041" s="5"/>
      <c r="V1041" s="5"/>
      <c r="Y1041" s="5"/>
      <c r="Z1041" s="5"/>
      <c r="AA1041" s="5"/>
      <c r="AB1041" s="5"/>
      <c r="AC1041" s="5"/>
      <c r="AD1041" s="5"/>
      <c r="AE1041" s="5"/>
      <c r="AF1041" s="5"/>
      <c r="AG1041" s="5"/>
      <c r="AH1041" s="5"/>
      <c r="AI1041" s="5"/>
      <c r="AJ1041" s="5"/>
      <c r="AK1041" s="5"/>
      <c r="AL1041" s="5"/>
      <c r="AM1041" s="5"/>
      <c r="AN1041" s="5"/>
    </row>
    <row r="1042" spans="1:40" ht="18.75" customHeight="1">
      <c r="A1042" s="5"/>
      <c r="B1042" s="5"/>
      <c r="C1042" s="5"/>
      <c r="D1042" s="5"/>
      <c r="E1042" s="5"/>
      <c r="F1042" s="5"/>
      <c r="G1042" s="5"/>
      <c r="H1042" s="5"/>
      <c r="I1042" s="5"/>
      <c r="J1042" s="5"/>
      <c r="K1042" s="5"/>
      <c r="L1042" s="5"/>
      <c r="M1042" s="5"/>
      <c r="N1042" s="5"/>
      <c r="O1042" s="5"/>
      <c r="P1042" s="5"/>
      <c r="Q1042" s="5"/>
      <c r="R1042" s="5"/>
      <c r="S1042" s="5"/>
      <c r="T1042" s="5"/>
      <c r="U1042" s="5"/>
      <c r="V1042" s="5"/>
      <c r="Y1042" s="5"/>
      <c r="Z1042" s="5"/>
      <c r="AA1042" s="5"/>
      <c r="AB1042" s="5"/>
      <c r="AC1042" s="5"/>
      <c r="AD1042" s="5"/>
      <c r="AE1042" s="5"/>
      <c r="AF1042" s="5"/>
      <c r="AG1042" s="5"/>
      <c r="AH1042" s="5"/>
      <c r="AI1042" s="5"/>
      <c r="AJ1042" s="5"/>
      <c r="AK1042" s="5"/>
      <c r="AL1042" s="5"/>
      <c r="AM1042" s="5"/>
      <c r="AN1042" s="5"/>
    </row>
    <row r="1043" spans="1:40" ht="18.75" customHeight="1">
      <c r="A1043" s="5"/>
      <c r="B1043" s="5"/>
      <c r="C1043" s="5"/>
      <c r="D1043" s="5"/>
      <c r="E1043" s="5"/>
      <c r="F1043" s="5"/>
      <c r="G1043" s="5"/>
      <c r="H1043" s="5"/>
      <c r="I1043" s="5"/>
      <c r="J1043" s="5"/>
      <c r="K1043" s="5"/>
      <c r="L1043" s="5"/>
      <c r="M1043" s="5"/>
      <c r="N1043" s="5"/>
      <c r="O1043" s="5"/>
      <c r="P1043" s="5"/>
      <c r="Q1043" s="5"/>
      <c r="R1043" s="5"/>
      <c r="S1043" s="5"/>
      <c r="T1043" s="5"/>
      <c r="U1043" s="5"/>
      <c r="V1043" s="5"/>
      <c r="Y1043" s="5"/>
      <c r="Z1043" s="5"/>
      <c r="AA1043" s="5"/>
      <c r="AB1043" s="5"/>
      <c r="AC1043" s="5"/>
      <c r="AD1043" s="5"/>
      <c r="AE1043" s="5"/>
      <c r="AF1043" s="5"/>
      <c r="AG1043" s="5"/>
      <c r="AH1043" s="5"/>
      <c r="AI1043" s="5"/>
      <c r="AJ1043" s="5"/>
      <c r="AK1043" s="5"/>
      <c r="AL1043" s="5"/>
      <c r="AM1043" s="5"/>
      <c r="AN1043" s="5"/>
    </row>
    <row r="1044" spans="1:40" ht="18.75" customHeight="1">
      <c r="A1044" s="5"/>
      <c r="B1044" s="5"/>
      <c r="C1044" s="5"/>
      <c r="D1044" s="5"/>
      <c r="E1044" s="5"/>
      <c r="F1044" s="5"/>
      <c r="G1044" s="5"/>
      <c r="H1044" s="5"/>
      <c r="I1044" s="5"/>
      <c r="J1044" s="5"/>
      <c r="K1044" s="5"/>
      <c r="L1044" s="5"/>
      <c r="M1044" s="5"/>
      <c r="N1044" s="5"/>
      <c r="O1044" s="5"/>
      <c r="P1044" s="5"/>
      <c r="Q1044" s="5"/>
      <c r="R1044" s="5"/>
      <c r="S1044" s="5"/>
      <c r="T1044" s="5"/>
      <c r="U1044" s="5"/>
      <c r="V1044" s="5"/>
      <c r="Y1044" s="5"/>
      <c r="Z1044" s="5"/>
      <c r="AA1044" s="5"/>
      <c r="AB1044" s="5"/>
      <c r="AC1044" s="5"/>
      <c r="AD1044" s="5"/>
      <c r="AE1044" s="5"/>
      <c r="AF1044" s="5"/>
      <c r="AG1044" s="5"/>
      <c r="AH1044" s="5"/>
      <c r="AI1044" s="5"/>
      <c r="AJ1044" s="5"/>
      <c r="AK1044" s="5"/>
      <c r="AL1044" s="5"/>
      <c r="AM1044" s="5"/>
      <c r="AN1044" s="5"/>
    </row>
    <row r="1045" spans="1:40" ht="18.75" customHeight="1">
      <c r="A1045" s="5"/>
      <c r="B1045" s="5"/>
      <c r="C1045" s="5"/>
      <c r="D1045" s="5"/>
      <c r="E1045" s="5"/>
      <c r="F1045" s="5"/>
      <c r="G1045" s="5"/>
      <c r="H1045" s="5"/>
      <c r="I1045" s="5"/>
      <c r="J1045" s="5"/>
      <c r="K1045" s="5"/>
      <c r="L1045" s="5"/>
      <c r="M1045" s="5"/>
      <c r="N1045" s="5"/>
      <c r="O1045" s="5"/>
      <c r="P1045" s="5"/>
      <c r="Q1045" s="5"/>
      <c r="R1045" s="5"/>
      <c r="S1045" s="5"/>
      <c r="T1045" s="5"/>
      <c r="U1045" s="5"/>
      <c r="V1045" s="5"/>
      <c r="Y1045" s="5"/>
      <c r="Z1045" s="5"/>
      <c r="AA1045" s="5"/>
      <c r="AB1045" s="5"/>
      <c r="AC1045" s="5"/>
      <c r="AD1045" s="5"/>
      <c r="AE1045" s="5"/>
      <c r="AF1045" s="5"/>
      <c r="AG1045" s="5"/>
      <c r="AH1045" s="5"/>
      <c r="AI1045" s="5"/>
      <c r="AJ1045" s="5"/>
      <c r="AK1045" s="5"/>
      <c r="AL1045" s="5"/>
      <c r="AM1045" s="5"/>
      <c r="AN1045" s="5"/>
    </row>
    <row r="1046" spans="1:40" ht="18.75" customHeight="1">
      <c r="A1046" s="5"/>
      <c r="B1046" s="5"/>
      <c r="C1046" s="5"/>
      <c r="D1046" s="5"/>
      <c r="E1046" s="5"/>
      <c r="F1046" s="5"/>
      <c r="G1046" s="5"/>
      <c r="H1046" s="5"/>
      <c r="I1046" s="5"/>
      <c r="J1046" s="5"/>
      <c r="K1046" s="5"/>
      <c r="L1046" s="5"/>
      <c r="M1046" s="5"/>
      <c r="N1046" s="5"/>
      <c r="O1046" s="5"/>
      <c r="P1046" s="5"/>
      <c r="Q1046" s="5"/>
      <c r="R1046" s="5"/>
      <c r="S1046" s="5"/>
      <c r="T1046" s="5"/>
      <c r="U1046" s="5"/>
      <c r="V1046" s="5"/>
      <c r="Y1046" s="5"/>
      <c r="Z1046" s="5"/>
      <c r="AA1046" s="5"/>
      <c r="AB1046" s="5"/>
      <c r="AC1046" s="5"/>
      <c r="AD1046" s="5"/>
      <c r="AE1046" s="5"/>
      <c r="AF1046" s="5"/>
      <c r="AG1046" s="5"/>
      <c r="AH1046" s="5"/>
      <c r="AI1046" s="5"/>
      <c r="AJ1046" s="5"/>
      <c r="AK1046" s="5"/>
      <c r="AL1046" s="5"/>
      <c r="AM1046" s="5"/>
      <c r="AN1046" s="5"/>
    </row>
    <row r="1047" spans="1:40" ht="18.75" customHeight="1">
      <c r="A1047" s="5"/>
      <c r="B1047" s="5"/>
      <c r="C1047" s="5"/>
      <c r="D1047" s="5"/>
      <c r="E1047" s="5"/>
      <c r="F1047" s="5"/>
      <c r="G1047" s="5"/>
      <c r="H1047" s="5"/>
      <c r="I1047" s="5"/>
      <c r="J1047" s="5"/>
      <c r="K1047" s="5"/>
      <c r="L1047" s="5"/>
      <c r="M1047" s="5"/>
      <c r="N1047" s="5"/>
      <c r="O1047" s="5"/>
      <c r="P1047" s="5"/>
      <c r="Q1047" s="5"/>
      <c r="R1047" s="5"/>
      <c r="S1047" s="5"/>
      <c r="T1047" s="5"/>
      <c r="U1047" s="5"/>
      <c r="V1047" s="5"/>
      <c r="Y1047" s="5"/>
      <c r="Z1047" s="5"/>
      <c r="AA1047" s="5"/>
      <c r="AB1047" s="5"/>
      <c r="AC1047" s="5"/>
      <c r="AD1047" s="5"/>
      <c r="AE1047" s="5"/>
      <c r="AF1047" s="5"/>
      <c r="AG1047" s="5"/>
      <c r="AH1047" s="5"/>
      <c r="AI1047" s="5"/>
      <c r="AJ1047" s="5"/>
      <c r="AK1047" s="5"/>
      <c r="AL1047" s="5"/>
      <c r="AM1047" s="5"/>
      <c r="AN1047" s="5"/>
    </row>
    <row r="1048" spans="1:40" ht="18.75" customHeight="1">
      <c r="A1048" s="5"/>
      <c r="B1048" s="5"/>
      <c r="C1048" s="5"/>
      <c r="D1048" s="5"/>
      <c r="E1048" s="5"/>
      <c r="F1048" s="5"/>
      <c r="G1048" s="5"/>
      <c r="H1048" s="5"/>
      <c r="I1048" s="5"/>
      <c r="J1048" s="5"/>
      <c r="K1048" s="5"/>
      <c r="L1048" s="5"/>
      <c r="M1048" s="5"/>
      <c r="N1048" s="5"/>
      <c r="O1048" s="5"/>
      <c r="P1048" s="5"/>
      <c r="Q1048" s="5"/>
      <c r="R1048" s="5"/>
      <c r="S1048" s="5"/>
      <c r="T1048" s="5"/>
      <c r="U1048" s="5"/>
      <c r="V1048" s="5"/>
      <c r="Y1048" s="5"/>
      <c r="Z1048" s="5"/>
      <c r="AA1048" s="5"/>
      <c r="AB1048" s="5"/>
      <c r="AC1048" s="5"/>
      <c r="AD1048" s="5"/>
      <c r="AE1048" s="5"/>
      <c r="AF1048" s="5"/>
      <c r="AG1048" s="5"/>
      <c r="AH1048" s="5"/>
      <c r="AI1048" s="5"/>
      <c r="AJ1048" s="5"/>
      <c r="AK1048" s="5"/>
      <c r="AL1048" s="5"/>
      <c r="AM1048" s="5"/>
      <c r="AN1048" s="5"/>
    </row>
    <row r="1049" spans="1:40" ht="18.75" customHeight="1">
      <c r="A1049" s="5"/>
      <c r="B1049" s="5"/>
      <c r="C1049" s="5"/>
      <c r="D1049" s="5"/>
      <c r="E1049" s="5"/>
      <c r="F1049" s="5"/>
      <c r="G1049" s="5"/>
      <c r="H1049" s="5"/>
      <c r="I1049" s="5"/>
      <c r="J1049" s="5"/>
      <c r="K1049" s="5"/>
      <c r="L1049" s="5"/>
      <c r="M1049" s="5"/>
      <c r="N1049" s="5"/>
      <c r="O1049" s="5"/>
      <c r="P1049" s="5"/>
      <c r="Q1049" s="5"/>
      <c r="R1049" s="5"/>
      <c r="S1049" s="5"/>
      <c r="T1049" s="5"/>
      <c r="U1049" s="5"/>
      <c r="V1049" s="5"/>
      <c r="Y1049" s="5"/>
      <c r="Z1049" s="5"/>
      <c r="AA1049" s="5"/>
      <c r="AB1049" s="5"/>
      <c r="AC1049" s="5"/>
      <c r="AD1049" s="5"/>
      <c r="AE1049" s="5"/>
      <c r="AF1049" s="5"/>
      <c r="AG1049" s="5"/>
      <c r="AH1049" s="5"/>
      <c r="AI1049" s="5"/>
      <c r="AJ1049" s="5"/>
      <c r="AK1049" s="5"/>
      <c r="AL1049" s="5"/>
      <c r="AM1049" s="5"/>
      <c r="AN1049" s="5"/>
    </row>
    <row r="1050" spans="1:40" ht="18.75" customHeight="1">
      <c r="A1050" s="5"/>
      <c r="B1050" s="5"/>
      <c r="C1050" s="5"/>
      <c r="D1050" s="5"/>
      <c r="E1050" s="5"/>
      <c r="F1050" s="5"/>
      <c r="G1050" s="5"/>
      <c r="H1050" s="5"/>
      <c r="I1050" s="5"/>
      <c r="J1050" s="5"/>
      <c r="K1050" s="5"/>
      <c r="L1050" s="5"/>
      <c r="M1050" s="5"/>
      <c r="N1050" s="5"/>
      <c r="O1050" s="5"/>
      <c r="P1050" s="5"/>
      <c r="Q1050" s="5"/>
      <c r="R1050" s="5"/>
      <c r="S1050" s="5"/>
      <c r="T1050" s="5"/>
      <c r="U1050" s="5"/>
      <c r="V1050" s="5"/>
      <c r="Y1050" s="5"/>
      <c r="Z1050" s="5"/>
      <c r="AA1050" s="5"/>
      <c r="AB1050" s="5"/>
      <c r="AC1050" s="5"/>
      <c r="AD1050" s="5"/>
      <c r="AE1050" s="5"/>
      <c r="AF1050" s="5"/>
      <c r="AG1050" s="5"/>
      <c r="AH1050" s="5"/>
      <c r="AI1050" s="5"/>
      <c r="AJ1050" s="5"/>
      <c r="AK1050" s="5"/>
      <c r="AL1050" s="5"/>
      <c r="AM1050" s="5"/>
      <c r="AN1050" s="5"/>
    </row>
    <row r="1051" spans="1:40" ht="18.75" customHeight="1">
      <c r="A1051" s="5"/>
      <c r="B1051" s="5"/>
      <c r="C1051" s="5"/>
      <c r="D1051" s="5"/>
      <c r="E1051" s="5"/>
      <c r="F1051" s="5"/>
      <c r="G1051" s="5"/>
      <c r="H1051" s="5"/>
      <c r="I1051" s="5"/>
      <c r="J1051" s="5"/>
      <c r="K1051" s="5"/>
      <c r="L1051" s="5"/>
      <c r="M1051" s="5"/>
      <c r="N1051" s="5"/>
      <c r="O1051" s="5"/>
      <c r="P1051" s="5"/>
      <c r="Q1051" s="5"/>
      <c r="R1051" s="5"/>
      <c r="S1051" s="5"/>
      <c r="T1051" s="5"/>
      <c r="U1051" s="5"/>
      <c r="V1051" s="5"/>
      <c r="Y1051" s="5"/>
      <c r="Z1051" s="5"/>
      <c r="AA1051" s="5"/>
      <c r="AB1051" s="5"/>
      <c r="AC1051" s="5"/>
      <c r="AD1051" s="5"/>
      <c r="AE1051" s="5"/>
      <c r="AF1051" s="5"/>
      <c r="AG1051" s="5"/>
      <c r="AH1051" s="5"/>
      <c r="AI1051" s="5"/>
      <c r="AJ1051" s="5"/>
      <c r="AK1051" s="5"/>
      <c r="AL1051" s="5"/>
      <c r="AM1051" s="5"/>
      <c r="AN1051" s="5"/>
    </row>
    <row r="1052" spans="1:40" ht="18.75" customHeight="1">
      <c r="A1052" s="5"/>
      <c r="B1052" s="5"/>
      <c r="C1052" s="5"/>
      <c r="D1052" s="5"/>
      <c r="E1052" s="5"/>
      <c r="F1052" s="5"/>
      <c r="G1052" s="5"/>
      <c r="H1052" s="5"/>
      <c r="I1052" s="5"/>
      <c r="J1052" s="5"/>
      <c r="K1052" s="5"/>
      <c r="L1052" s="5"/>
      <c r="M1052" s="5"/>
      <c r="N1052" s="5"/>
      <c r="O1052" s="5"/>
      <c r="P1052" s="5"/>
      <c r="Q1052" s="5"/>
      <c r="R1052" s="5"/>
      <c r="S1052" s="5"/>
      <c r="T1052" s="5"/>
      <c r="U1052" s="5"/>
      <c r="V1052" s="5"/>
      <c r="Y1052" s="5"/>
      <c r="Z1052" s="5"/>
      <c r="AA1052" s="5"/>
      <c r="AB1052" s="5"/>
      <c r="AC1052" s="5"/>
      <c r="AD1052" s="5"/>
      <c r="AE1052" s="5"/>
      <c r="AF1052" s="5"/>
      <c r="AG1052" s="5"/>
      <c r="AH1052" s="5"/>
      <c r="AI1052" s="5"/>
      <c r="AJ1052" s="5"/>
      <c r="AK1052" s="5"/>
      <c r="AL1052" s="5"/>
      <c r="AM1052" s="5"/>
      <c r="AN1052" s="5"/>
    </row>
    <row r="1053" spans="1:40" ht="18.75" customHeight="1">
      <c r="A1053" s="5"/>
      <c r="B1053" s="5"/>
      <c r="C1053" s="5"/>
      <c r="D1053" s="5"/>
      <c r="E1053" s="5"/>
      <c r="F1053" s="5"/>
      <c r="G1053" s="5"/>
      <c r="H1053" s="5"/>
      <c r="I1053" s="5"/>
      <c r="J1053" s="5"/>
      <c r="K1053" s="5"/>
      <c r="L1053" s="5"/>
      <c r="M1053" s="5"/>
      <c r="N1053" s="5"/>
      <c r="O1053" s="5"/>
      <c r="P1053" s="5"/>
      <c r="Q1053" s="5"/>
      <c r="R1053" s="5"/>
      <c r="S1053" s="5"/>
      <c r="T1053" s="5"/>
      <c r="U1053" s="5"/>
      <c r="V1053" s="5"/>
      <c r="Y1053" s="5"/>
      <c r="Z1053" s="5"/>
      <c r="AA1053" s="5"/>
      <c r="AB1053" s="5"/>
      <c r="AC1053" s="5"/>
      <c r="AD1053" s="5"/>
      <c r="AE1053" s="5"/>
      <c r="AF1053" s="5"/>
      <c r="AG1053" s="5"/>
      <c r="AH1053" s="5"/>
      <c r="AI1053" s="5"/>
      <c r="AJ1053" s="5"/>
      <c r="AK1053" s="5"/>
      <c r="AL1053" s="5"/>
      <c r="AM1053" s="5"/>
      <c r="AN1053" s="5"/>
    </row>
    <row r="1054" spans="1:40" ht="18.75" customHeight="1">
      <c r="A1054" s="5"/>
      <c r="B1054" s="5"/>
      <c r="C1054" s="5"/>
      <c r="D1054" s="5"/>
      <c r="E1054" s="5"/>
      <c r="F1054" s="5"/>
      <c r="G1054" s="5"/>
      <c r="H1054" s="5"/>
      <c r="I1054" s="5"/>
      <c r="J1054" s="5"/>
      <c r="K1054" s="5"/>
      <c r="L1054" s="5"/>
      <c r="M1054" s="5"/>
      <c r="N1054" s="5"/>
      <c r="O1054" s="5"/>
      <c r="P1054" s="5"/>
      <c r="Q1054" s="5"/>
      <c r="R1054" s="5"/>
      <c r="S1054" s="5"/>
      <c r="T1054" s="5"/>
      <c r="U1054" s="5"/>
      <c r="V1054" s="5"/>
      <c r="Y1054" s="5"/>
      <c r="Z1054" s="5"/>
      <c r="AA1054" s="5"/>
      <c r="AB1054" s="5"/>
      <c r="AC1054" s="5"/>
      <c r="AD1054" s="5"/>
      <c r="AE1054" s="5"/>
      <c r="AF1054" s="5"/>
      <c r="AG1054" s="5"/>
      <c r="AH1054" s="5"/>
      <c r="AI1054" s="5"/>
      <c r="AJ1054" s="5"/>
      <c r="AK1054" s="5"/>
      <c r="AL1054" s="5"/>
      <c r="AM1054" s="5"/>
      <c r="AN1054" s="5"/>
    </row>
    <row r="1055" spans="1:40" ht="18.75" customHeight="1">
      <c r="A1055" s="5"/>
      <c r="B1055" s="5"/>
      <c r="C1055" s="5"/>
      <c r="D1055" s="5"/>
      <c r="E1055" s="5"/>
      <c r="F1055" s="5"/>
      <c r="G1055" s="5"/>
      <c r="H1055" s="5"/>
      <c r="I1055" s="5"/>
      <c r="J1055" s="5"/>
      <c r="K1055" s="5"/>
      <c r="L1055" s="5"/>
      <c r="M1055" s="5"/>
      <c r="N1055" s="5"/>
      <c r="O1055" s="5"/>
      <c r="P1055" s="5"/>
      <c r="Q1055" s="5"/>
      <c r="R1055" s="5"/>
      <c r="S1055" s="5"/>
      <c r="T1055" s="5"/>
      <c r="U1055" s="5"/>
      <c r="V1055" s="5"/>
      <c r="Y1055" s="5"/>
      <c r="Z1055" s="5"/>
      <c r="AA1055" s="5"/>
      <c r="AB1055" s="5"/>
      <c r="AC1055" s="5"/>
      <c r="AD1055" s="5"/>
      <c r="AE1055" s="5"/>
      <c r="AF1055" s="5"/>
      <c r="AG1055" s="5"/>
      <c r="AH1055" s="5"/>
      <c r="AI1055" s="5"/>
      <c r="AJ1055" s="5"/>
      <c r="AK1055" s="5"/>
      <c r="AL1055" s="5"/>
      <c r="AM1055" s="5"/>
      <c r="AN1055" s="5"/>
    </row>
    <row r="1056" spans="1:40" ht="18.75" customHeight="1">
      <c r="A1056" s="5"/>
      <c r="B1056" s="5"/>
      <c r="C1056" s="5"/>
      <c r="D1056" s="5"/>
      <c r="E1056" s="5"/>
      <c r="F1056" s="5"/>
      <c r="G1056" s="5"/>
      <c r="H1056" s="5"/>
      <c r="I1056" s="5"/>
      <c r="J1056" s="5"/>
      <c r="K1056" s="5"/>
      <c r="L1056" s="5"/>
      <c r="M1056" s="5"/>
      <c r="N1056" s="5"/>
      <c r="O1056" s="5"/>
      <c r="P1056" s="5"/>
      <c r="Q1056" s="5"/>
      <c r="R1056" s="5"/>
      <c r="S1056" s="5"/>
      <c r="T1056" s="5"/>
      <c r="U1056" s="5"/>
      <c r="V1056" s="5"/>
      <c r="Y1056" s="5"/>
      <c r="Z1056" s="5"/>
      <c r="AA1056" s="5"/>
      <c r="AB1056" s="5"/>
      <c r="AC1056" s="5"/>
      <c r="AD1056" s="5"/>
      <c r="AE1056" s="5"/>
      <c r="AF1056" s="5"/>
      <c r="AG1056" s="5"/>
      <c r="AH1056" s="5"/>
      <c r="AI1056" s="5"/>
      <c r="AJ1056" s="5"/>
      <c r="AK1056" s="5"/>
      <c r="AL1056" s="5"/>
      <c r="AM1056" s="5"/>
      <c r="AN1056" s="5"/>
    </row>
    <row r="1057" spans="1:40" ht="18.75" customHeight="1">
      <c r="A1057" s="5"/>
      <c r="B1057" s="5"/>
      <c r="C1057" s="5"/>
      <c r="D1057" s="5"/>
      <c r="E1057" s="5"/>
      <c r="F1057" s="5"/>
      <c r="G1057" s="5"/>
      <c r="H1057" s="5"/>
      <c r="I1057" s="5"/>
      <c r="J1057" s="5"/>
      <c r="K1057" s="5"/>
      <c r="L1057" s="5"/>
      <c r="M1057" s="5"/>
      <c r="N1057" s="5"/>
      <c r="O1057" s="5"/>
      <c r="P1057" s="5"/>
      <c r="Q1057" s="5"/>
      <c r="R1057" s="5"/>
      <c r="S1057" s="5"/>
      <c r="T1057" s="5"/>
      <c r="U1057" s="5"/>
      <c r="V1057" s="5"/>
      <c r="Y1057" s="5"/>
      <c r="Z1057" s="5"/>
      <c r="AA1057" s="5"/>
      <c r="AB1057" s="5"/>
      <c r="AC1057" s="5"/>
      <c r="AD1057" s="5"/>
      <c r="AE1057" s="5"/>
      <c r="AF1057" s="5"/>
      <c r="AG1057" s="5"/>
      <c r="AH1057" s="5"/>
      <c r="AI1057" s="5"/>
      <c r="AJ1057" s="5"/>
      <c r="AK1057" s="5"/>
      <c r="AL1057" s="5"/>
      <c r="AM1057" s="5"/>
      <c r="AN1057" s="5"/>
    </row>
    <row r="1058" spans="1:40" ht="18.75" customHeight="1">
      <c r="A1058" s="5"/>
      <c r="B1058" s="5"/>
      <c r="C1058" s="5"/>
      <c r="D1058" s="5"/>
      <c r="E1058" s="5"/>
      <c r="F1058" s="5"/>
      <c r="G1058" s="5"/>
      <c r="H1058" s="5"/>
      <c r="I1058" s="5"/>
      <c r="J1058" s="5"/>
      <c r="K1058" s="5"/>
      <c r="L1058" s="5"/>
      <c r="M1058" s="5"/>
      <c r="N1058" s="5"/>
      <c r="O1058" s="5"/>
      <c r="P1058" s="5"/>
      <c r="Q1058" s="5"/>
      <c r="R1058" s="5"/>
      <c r="S1058" s="5"/>
      <c r="T1058" s="5"/>
      <c r="U1058" s="5"/>
      <c r="V1058" s="5"/>
      <c r="Y1058" s="5"/>
      <c r="Z1058" s="5"/>
      <c r="AA1058" s="5"/>
      <c r="AB1058" s="5"/>
      <c r="AC1058" s="5"/>
      <c r="AD1058" s="5"/>
      <c r="AE1058" s="5"/>
      <c r="AF1058" s="5"/>
      <c r="AG1058" s="5"/>
      <c r="AH1058" s="5"/>
      <c r="AI1058" s="5"/>
      <c r="AJ1058" s="5"/>
      <c r="AK1058" s="5"/>
      <c r="AL1058" s="5"/>
      <c r="AM1058" s="5"/>
      <c r="AN1058" s="5"/>
    </row>
    <row r="1059" spans="1:40" ht="18.75" customHeight="1">
      <c r="A1059" s="5"/>
      <c r="B1059" s="5"/>
      <c r="C1059" s="5"/>
      <c r="D1059" s="5"/>
      <c r="E1059" s="5"/>
      <c r="F1059" s="5"/>
      <c r="G1059" s="5"/>
      <c r="H1059" s="5"/>
      <c r="I1059" s="5"/>
      <c r="J1059" s="5"/>
      <c r="K1059" s="5"/>
      <c r="L1059" s="5"/>
      <c r="M1059" s="5"/>
      <c r="N1059" s="5"/>
      <c r="O1059" s="5"/>
      <c r="P1059" s="5"/>
      <c r="Q1059" s="5"/>
      <c r="R1059" s="5"/>
      <c r="S1059" s="5"/>
      <c r="T1059" s="5"/>
      <c r="U1059" s="5"/>
      <c r="V1059" s="5"/>
      <c r="Y1059" s="5"/>
      <c r="Z1059" s="5"/>
      <c r="AA1059" s="5"/>
      <c r="AB1059" s="5"/>
      <c r="AC1059" s="5"/>
      <c r="AD1059" s="5"/>
      <c r="AE1059" s="5"/>
      <c r="AF1059" s="5"/>
      <c r="AG1059" s="5"/>
      <c r="AH1059" s="5"/>
      <c r="AI1059" s="5"/>
      <c r="AJ1059" s="5"/>
      <c r="AK1059" s="5"/>
      <c r="AL1059" s="5"/>
      <c r="AM1059" s="5"/>
      <c r="AN1059" s="5"/>
    </row>
    <row r="1060" spans="1:40" ht="18.75" customHeight="1">
      <c r="A1060" s="5"/>
      <c r="B1060" s="5"/>
      <c r="C1060" s="5"/>
      <c r="D1060" s="5"/>
      <c r="E1060" s="5"/>
      <c r="F1060" s="5"/>
      <c r="G1060" s="5"/>
      <c r="H1060" s="5"/>
      <c r="I1060" s="5"/>
      <c r="J1060" s="5"/>
      <c r="K1060" s="5"/>
      <c r="L1060" s="5"/>
      <c r="M1060" s="5"/>
      <c r="N1060" s="5"/>
      <c r="O1060" s="5"/>
      <c r="P1060" s="5"/>
      <c r="Q1060" s="5"/>
      <c r="R1060" s="5"/>
      <c r="S1060" s="5"/>
      <c r="T1060" s="5"/>
      <c r="U1060" s="5"/>
      <c r="V1060" s="5"/>
      <c r="Y1060" s="5"/>
      <c r="Z1060" s="5"/>
      <c r="AA1060" s="5"/>
      <c r="AB1060" s="5"/>
      <c r="AC1060" s="5"/>
      <c r="AD1060" s="5"/>
      <c r="AE1060" s="5"/>
      <c r="AF1060" s="5"/>
      <c r="AG1060" s="5"/>
      <c r="AH1060" s="5"/>
      <c r="AI1060" s="5"/>
      <c r="AJ1060" s="5"/>
      <c r="AK1060" s="5"/>
      <c r="AL1060" s="5"/>
      <c r="AM1060" s="5"/>
      <c r="AN1060" s="5"/>
    </row>
    <row r="1061" spans="1:40" ht="18.75" customHeight="1">
      <c r="A1061" s="5"/>
      <c r="B1061" s="5"/>
      <c r="C1061" s="5"/>
      <c r="D1061" s="5"/>
      <c r="E1061" s="5"/>
      <c r="F1061" s="5"/>
      <c r="G1061" s="5"/>
      <c r="H1061" s="5"/>
      <c r="I1061" s="5"/>
      <c r="J1061" s="5"/>
      <c r="K1061" s="5"/>
      <c r="L1061" s="5"/>
      <c r="M1061" s="5"/>
      <c r="N1061" s="5"/>
      <c r="O1061" s="5"/>
      <c r="P1061" s="5"/>
      <c r="Q1061" s="5"/>
      <c r="R1061" s="5"/>
      <c r="S1061" s="5"/>
      <c r="T1061" s="5"/>
      <c r="U1061" s="5"/>
      <c r="V1061" s="5"/>
      <c r="Y1061" s="5"/>
      <c r="Z1061" s="5"/>
      <c r="AA1061" s="5"/>
      <c r="AB1061" s="5"/>
      <c r="AC1061" s="5"/>
      <c r="AD1061" s="5"/>
      <c r="AE1061" s="5"/>
      <c r="AF1061" s="5"/>
      <c r="AG1061" s="5"/>
      <c r="AH1061" s="5"/>
      <c r="AI1061" s="5"/>
      <c r="AJ1061" s="5"/>
      <c r="AK1061" s="5"/>
      <c r="AL1061" s="5"/>
      <c r="AM1061" s="5"/>
      <c r="AN1061" s="5"/>
    </row>
    <row r="1062" spans="1:40" ht="18.75" customHeight="1">
      <c r="A1062" s="5"/>
      <c r="B1062" s="5"/>
      <c r="C1062" s="5"/>
      <c r="D1062" s="5"/>
      <c r="E1062" s="5"/>
      <c r="F1062" s="5"/>
      <c r="G1062" s="5"/>
      <c r="H1062" s="5"/>
      <c r="I1062" s="5"/>
      <c r="J1062" s="5"/>
      <c r="K1062" s="5"/>
      <c r="L1062" s="5"/>
      <c r="M1062" s="5"/>
      <c r="N1062" s="5"/>
      <c r="O1062" s="5"/>
      <c r="P1062" s="5"/>
      <c r="Q1062" s="5"/>
      <c r="R1062" s="5"/>
      <c r="S1062" s="5"/>
      <c r="T1062" s="5"/>
      <c r="U1062" s="5"/>
      <c r="V1062" s="5"/>
      <c r="Y1062" s="5"/>
      <c r="Z1062" s="5"/>
      <c r="AA1062" s="5"/>
      <c r="AB1062" s="5"/>
      <c r="AC1062" s="5"/>
      <c r="AD1062" s="5"/>
      <c r="AE1062" s="5"/>
      <c r="AF1062" s="5"/>
      <c r="AG1062" s="5"/>
      <c r="AH1062" s="5"/>
      <c r="AI1062" s="5"/>
      <c r="AJ1062" s="5"/>
      <c r="AK1062" s="5"/>
      <c r="AL1062" s="5"/>
      <c r="AM1062" s="5"/>
      <c r="AN1062" s="5"/>
    </row>
    <row r="1063" spans="1:40" ht="18.75" customHeight="1">
      <c r="A1063" s="5"/>
      <c r="B1063" s="5"/>
      <c r="C1063" s="5"/>
      <c r="D1063" s="5"/>
      <c r="E1063" s="5"/>
      <c r="F1063" s="5"/>
      <c r="G1063" s="5"/>
      <c r="H1063" s="5"/>
      <c r="I1063" s="5"/>
      <c r="J1063" s="5"/>
      <c r="K1063" s="5"/>
      <c r="L1063" s="5"/>
      <c r="M1063" s="5"/>
      <c r="N1063" s="5"/>
      <c r="O1063" s="5"/>
      <c r="P1063" s="5"/>
      <c r="Q1063" s="5"/>
      <c r="R1063" s="5"/>
      <c r="S1063" s="5"/>
      <c r="T1063" s="5"/>
      <c r="U1063" s="5"/>
      <c r="V1063" s="5"/>
      <c r="Y1063" s="5"/>
      <c r="Z1063" s="5"/>
      <c r="AA1063" s="5"/>
      <c r="AB1063" s="5"/>
      <c r="AC1063" s="5"/>
      <c r="AD1063" s="5"/>
      <c r="AE1063" s="5"/>
      <c r="AF1063" s="5"/>
      <c r="AG1063" s="5"/>
      <c r="AH1063" s="5"/>
      <c r="AI1063" s="5"/>
      <c r="AJ1063" s="5"/>
      <c r="AK1063" s="5"/>
      <c r="AL1063" s="5"/>
      <c r="AM1063" s="5"/>
      <c r="AN1063" s="5"/>
    </row>
    <row r="1064" spans="1:40" ht="18.75" customHeight="1">
      <c r="A1064" s="5"/>
      <c r="B1064" s="5"/>
      <c r="C1064" s="5"/>
      <c r="D1064" s="5"/>
      <c r="E1064" s="5"/>
      <c r="F1064" s="5"/>
      <c r="G1064" s="5"/>
      <c r="H1064" s="5"/>
      <c r="I1064" s="5"/>
      <c r="J1064" s="5"/>
      <c r="K1064" s="5"/>
      <c r="L1064" s="5"/>
      <c r="M1064" s="5"/>
      <c r="N1064" s="5"/>
      <c r="O1064" s="5"/>
      <c r="P1064" s="5"/>
      <c r="Q1064" s="5"/>
      <c r="R1064" s="5"/>
      <c r="S1064" s="5"/>
      <c r="T1064" s="5"/>
      <c r="U1064" s="5"/>
      <c r="V1064" s="5"/>
      <c r="Y1064" s="5"/>
      <c r="Z1064" s="5"/>
      <c r="AA1064" s="5"/>
      <c r="AB1064" s="5"/>
      <c r="AC1064" s="5"/>
      <c r="AD1064" s="5"/>
      <c r="AE1064" s="5"/>
      <c r="AF1064" s="5"/>
      <c r="AG1064" s="5"/>
      <c r="AH1064" s="5"/>
      <c r="AI1064" s="5"/>
      <c r="AJ1064" s="5"/>
      <c r="AK1064" s="5"/>
      <c r="AL1064" s="5"/>
      <c r="AM1064" s="5"/>
      <c r="AN1064" s="5"/>
    </row>
    <row r="1065" spans="1:40" ht="18.75" customHeight="1">
      <c r="A1065" s="5"/>
      <c r="B1065" s="5"/>
      <c r="C1065" s="5"/>
      <c r="D1065" s="5"/>
      <c r="E1065" s="5"/>
      <c r="F1065" s="5"/>
      <c r="G1065" s="5"/>
      <c r="H1065" s="5"/>
      <c r="I1065" s="5"/>
      <c r="J1065" s="5"/>
      <c r="K1065" s="5"/>
      <c r="L1065" s="5"/>
      <c r="M1065" s="5"/>
      <c r="N1065" s="5"/>
      <c r="O1065" s="5"/>
      <c r="P1065" s="5"/>
      <c r="Q1065" s="5"/>
      <c r="R1065" s="5"/>
      <c r="S1065" s="5"/>
      <c r="T1065" s="5"/>
      <c r="U1065" s="5"/>
      <c r="V1065" s="5"/>
      <c r="Y1065" s="5"/>
      <c r="Z1065" s="5"/>
      <c r="AA1065" s="5"/>
      <c r="AB1065" s="5"/>
      <c r="AC1065" s="5"/>
      <c r="AD1065" s="5"/>
      <c r="AE1065" s="5"/>
      <c r="AF1065" s="5"/>
      <c r="AG1065" s="5"/>
      <c r="AH1065" s="5"/>
      <c r="AI1065" s="5"/>
      <c r="AJ1065" s="5"/>
      <c r="AK1065" s="5"/>
      <c r="AL1065" s="5"/>
      <c r="AM1065" s="5"/>
      <c r="AN1065" s="5"/>
    </row>
    <row r="1066" spans="1:40" ht="18.75" customHeight="1">
      <c r="A1066" s="5"/>
      <c r="B1066" s="5"/>
      <c r="C1066" s="5"/>
      <c r="D1066" s="5"/>
      <c r="E1066" s="5"/>
      <c r="F1066" s="5"/>
      <c r="G1066" s="5"/>
      <c r="H1066" s="5"/>
      <c r="I1066" s="5"/>
      <c r="J1066" s="5"/>
      <c r="K1066" s="5"/>
      <c r="L1066" s="5"/>
      <c r="M1066" s="5"/>
      <c r="N1066" s="5"/>
      <c r="O1066" s="5"/>
      <c r="P1066" s="5"/>
      <c r="Q1066" s="5"/>
      <c r="R1066" s="5"/>
      <c r="S1066" s="5"/>
      <c r="T1066" s="5"/>
      <c r="U1066" s="5"/>
      <c r="V1066" s="5"/>
      <c r="Y1066" s="5"/>
      <c r="Z1066" s="5"/>
      <c r="AA1066" s="5"/>
      <c r="AB1066" s="5"/>
      <c r="AC1066" s="5"/>
      <c r="AD1066" s="5"/>
      <c r="AE1066" s="5"/>
      <c r="AF1066" s="5"/>
      <c r="AG1066" s="5"/>
      <c r="AH1066" s="5"/>
      <c r="AI1066" s="5"/>
      <c r="AJ1066" s="5"/>
      <c r="AK1066" s="5"/>
      <c r="AL1066" s="5"/>
      <c r="AM1066" s="5"/>
      <c r="AN1066" s="5"/>
    </row>
    <row r="1067" spans="1:40" ht="18.75" customHeight="1">
      <c r="A1067" s="5"/>
      <c r="B1067" s="5"/>
      <c r="C1067" s="5"/>
      <c r="D1067" s="5"/>
      <c r="E1067" s="5"/>
      <c r="F1067" s="5"/>
      <c r="G1067" s="5"/>
      <c r="H1067" s="5"/>
      <c r="I1067" s="5"/>
      <c r="J1067" s="5"/>
      <c r="K1067" s="5"/>
      <c r="L1067" s="5"/>
      <c r="M1067" s="5"/>
      <c r="N1067" s="5"/>
      <c r="O1067" s="5"/>
      <c r="P1067" s="5"/>
      <c r="Q1067" s="5"/>
      <c r="R1067" s="5"/>
      <c r="S1067" s="5"/>
      <c r="T1067" s="5"/>
      <c r="U1067" s="5"/>
      <c r="V1067" s="5"/>
      <c r="Y1067" s="5"/>
      <c r="Z1067" s="5"/>
      <c r="AA1067" s="5"/>
      <c r="AB1067" s="5"/>
      <c r="AC1067" s="5"/>
      <c r="AD1067" s="5"/>
      <c r="AE1067" s="5"/>
      <c r="AF1067" s="5"/>
      <c r="AG1067" s="5"/>
      <c r="AH1067" s="5"/>
      <c r="AI1067" s="5"/>
      <c r="AJ1067" s="5"/>
      <c r="AK1067" s="5"/>
      <c r="AL1067" s="5"/>
      <c r="AM1067" s="5"/>
      <c r="AN1067" s="5"/>
    </row>
    <row r="1068" spans="1:40" ht="18.75" customHeight="1">
      <c r="A1068" s="5"/>
      <c r="B1068" s="5"/>
      <c r="C1068" s="5"/>
      <c r="D1068" s="5"/>
      <c r="E1068" s="5"/>
      <c r="F1068" s="5"/>
      <c r="G1068" s="5"/>
      <c r="H1068" s="5"/>
      <c r="I1068" s="5"/>
      <c r="J1068" s="5"/>
      <c r="K1068" s="5"/>
      <c r="L1068" s="5"/>
      <c r="M1068" s="5"/>
      <c r="N1068" s="5"/>
      <c r="O1068" s="5"/>
      <c r="P1068" s="5"/>
      <c r="Q1068" s="5"/>
      <c r="R1068" s="5"/>
      <c r="S1068" s="5"/>
      <c r="T1068" s="5"/>
      <c r="U1068" s="5"/>
      <c r="V1068" s="5"/>
      <c r="Y1068" s="5"/>
      <c r="Z1068" s="5"/>
      <c r="AA1068" s="5"/>
      <c r="AB1068" s="5"/>
      <c r="AC1068" s="5"/>
      <c r="AD1068" s="5"/>
      <c r="AE1068" s="5"/>
      <c r="AF1068" s="5"/>
      <c r="AG1068" s="5"/>
      <c r="AH1068" s="5"/>
      <c r="AI1068" s="5"/>
      <c r="AJ1068" s="5"/>
      <c r="AK1068" s="5"/>
      <c r="AL1068" s="5"/>
      <c r="AM1068" s="5"/>
      <c r="AN1068" s="5"/>
    </row>
    <row r="1069" spans="1:40" ht="18.75" customHeight="1">
      <c r="A1069" s="5"/>
      <c r="B1069" s="5"/>
      <c r="C1069" s="5"/>
      <c r="D1069" s="5"/>
      <c r="E1069" s="5"/>
      <c r="F1069" s="5"/>
      <c r="G1069" s="5"/>
      <c r="H1069" s="5"/>
      <c r="I1069" s="5"/>
      <c r="J1069" s="5"/>
      <c r="K1069" s="5"/>
      <c r="L1069" s="5"/>
      <c r="M1069" s="5"/>
      <c r="N1069" s="5"/>
      <c r="O1069" s="5"/>
      <c r="P1069" s="5"/>
      <c r="Q1069" s="5"/>
      <c r="R1069" s="5"/>
      <c r="S1069" s="5"/>
      <c r="T1069" s="5"/>
      <c r="U1069" s="5"/>
      <c r="V1069" s="5"/>
      <c r="Y1069" s="5"/>
      <c r="Z1069" s="5"/>
      <c r="AA1069" s="5"/>
      <c r="AB1069" s="5"/>
      <c r="AC1069" s="5"/>
      <c r="AD1069" s="5"/>
      <c r="AE1069" s="5"/>
      <c r="AF1069" s="5"/>
      <c r="AG1069" s="5"/>
      <c r="AH1069" s="5"/>
      <c r="AI1069" s="5"/>
      <c r="AJ1069" s="5"/>
      <c r="AK1069" s="5"/>
      <c r="AL1069" s="5"/>
      <c r="AM1069" s="5"/>
      <c r="AN1069" s="5"/>
    </row>
    <row r="1070" spans="1:40" ht="18.75" customHeight="1">
      <c r="A1070" s="5"/>
      <c r="B1070" s="5"/>
      <c r="C1070" s="5"/>
      <c r="D1070" s="5"/>
      <c r="E1070" s="5"/>
      <c r="F1070" s="5"/>
      <c r="G1070" s="5"/>
      <c r="H1070" s="5"/>
      <c r="I1070" s="5"/>
      <c r="J1070" s="5"/>
      <c r="K1070" s="5"/>
      <c r="L1070" s="5"/>
      <c r="M1070" s="5"/>
      <c r="N1070" s="5"/>
      <c r="O1070" s="5"/>
      <c r="P1070" s="5"/>
      <c r="Q1070" s="5"/>
      <c r="R1070" s="5"/>
      <c r="S1070" s="5"/>
      <c r="T1070" s="5"/>
      <c r="U1070" s="5"/>
      <c r="V1070" s="5"/>
      <c r="Y1070" s="5"/>
      <c r="Z1070" s="5"/>
      <c r="AA1070" s="5"/>
      <c r="AB1070" s="5"/>
      <c r="AC1070" s="5"/>
      <c r="AD1070" s="5"/>
      <c r="AE1070" s="5"/>
      <c r="AF1070" s="5"/>
      <c r="AG1070" s="5"/>
      <c r="AH1070" s="5"/>
      <c r="AI1070" s="5"/>
      <c r="AJ1070" s="5"/>
      <c r="AK1070" s="5"/>
      <c r="AL1070" s="5"/>
      <c r="AM1070" s="5"/>
      <c r="AN1070" s="5"/>
    </row>
    <row r="1071" spans="1:40" ht="18.75" customHeight="1">
      <c r="A1071" s="5"/>
      <c r="B1071" s="5"/>
      <c r="C1071" s="5"/>
      <c r="D1071" s="5"/>
      <c r="E1071" s="5"/>
      <c r="F1071" s="5"/>
      <c r="G1071" s="5"/>
      <c r="H1071" s="5"/>
      <c r="I1071" s="5"/>
      <c r="J1071" s="5"/>
      <c r="K1071" s="5"/>
      <c r="L1071" s="5"/>
      <c r="M1071" s="5"/>
      <c r="N1071" s="5"/>
      <c r="O1071" s="5"/>
      <c r="P1071" s="5"/>
      <c r="Q1071" s="5"/>
      <c r="R1071" s="5"/>
      <c r="S1071" s="5"/>
      <c r="T1071" s="5"/>
      <c r="U1071" s="5"/>
      <c r="V1071" s="5"/>
      <c r="Y1071" s="5"/>
      <c r="Z1071" s="5"/>
      <c r="AA1071" s="5"/>
      <c r="AB1071" s="5"/>
      <c r="AC1071" s="5"/>
      <c r="AD1071" s="5"/>
      <c r="AE1071" s="5"/>
      <c r="AF1071" s="5"/>
      <c r="AG1071" s="5"/>
      <c r="AH1071" s="5"/>
      <c r="AI1071" s="5"/>
      <c r="AJ1071" s="5"/>
      <c r="AK1071" s="5"/>
      <c r="AL1071" s="5"/>
      <c r="AM1071" s="5"/>
      <c r="AN1071" s="5"/>
    </row>
    <row r="1072" spans="1:40" ht="18.75" customHeight="1">
      <c r="A1072" s="5"/>
      <c r="B1072" s="5"/>
      <c r="C1072" s="5"/>
      <c r="D1072" s="5"/>
      <c r="E1072" s="5"/>
      <c r="F1072" s="5"/>
      <c r="G1072" s="5"/>
      <c r="H1072" s="5"/>
      <c r="I1072" s="5"/>
      <c r="J1072" s="5"/>
      <c r="K1072" s="5"/>
      <c r="L1072" s="5"/>
      <c r="M1072" s="5"/>
      <c r="N1072" s="5"/>
      <c r="O1072" s="5"/>
      <c r="P1072" s="5"/>
      <c r="Q1072" s="5"/>
      <c r="R1072" s="5"/>
      <c r="S1072" s="5"/>
      <c r="T1072" s="5"/>
      <c r="U1072" s="5"/>
      <c r="V1072" s="5"/>
      <c r="Y1072" s="5"/>
      <c r="Z1072" s="5"/>
      <c r="AA1072" s="5"/>
      <c r="AB1072" s="5"/>
      <c r="AC1072" s="5"/>
      <c r="AD1072" s="5"/>
      <c r="AE1072" s="5"/>
      <c r="AF1072" s="5"/>
      <c r="AG1072" s="5"/>
      <c r="AH1072" s="5"/>
      <c r="AI1072" s="5"/>
      <c r="AJ1072" s="5"/>
      <c r="AK1072" s="5"/>
      <c r="AL1072" s="5"/>
      <c r="AM1072" s="5"/>
      <c r="AN1072" s="5"/>
    </row>
    <row r="1073" spans="1:40" ht="18.75" customHeight="1">
      <c r="A1073" s="5"/>
      <c r="B1073" s="5"/>
      <c r="C1073" s="5"/>
      <c r="D1073" s="5"/>
      <c r="E1073" s="5"/>
      <c r="F1073" s="5"/>
      <c r="G1073" s="5"/>
      <c r="H1073" s="5"/>
      <c r="I1073" s="5"/>
      <c r="J1073" s="5"/>
      <c r="K1073" s="5"/>
      <c r="L1073" s="5"/>
      <c r="M1073" s="5"/>
      <c r="N1073" s="5"/>
      <c r="O1073" s="5"/>
      <c r="P1073" s="5"/>
      <c r="Q1073" s="5"/>
      <c r="R1073" s="5"/>
      <c r="S1073" s="5"/>
      <c r="T1073" s="5"/>
      <c r="U1073" s="5"/>
      <c r="V1073" s="5"/>
      <c r="Y1073" s="5"/>
      <c r="Z1073" s="5"/>
      <c r="AA1073" s="5"/>
      <c r="AB1073" s="5"/>
      <c r="AC1073" s="5"/>
      <c r="AD1073" s="5"/>
      <c r="AE1073" s="5"/>
      <c r="AF1073" s="5"/>
      <c r="AG1073" s="5"/>
      <c r="AH1073" s="5"/>
      <c r="AI1073" s="5"/>
      <c r="AJ1073" s="5"/>
      <c r="AK1073" s="5"/>
      <c r="AL1073" s="5"/>
      <c r="AM1073" s="5"/>
      <c r="AN1073" s="5"/>
    </row>
    <row r="1074" spans="1:40" ht="18.75" customHeight="1">
      <c r="A1074" s="5"/>
      <c r="B1074" s="5"/>
      <c r="C1074" s="5"/>
      <c r="D1074" s="5"/>
      <c r="E1074" s="5"/>
      <c r="F1074" s="5"/>
      <c r="G1074" s="5"/>
      <c r="H1074" s="5"/>
      <c r="I1074" s="5"/>
      <c r="J1074" s="5"/>
      <c r="K1074" s="5"/>
      <c r="L1074" s="5"/>
      <c r="M1074" s="5"/>
      <c r="N1074" s="5"/>
      <c r="O1074" s="5"/>
      <c r="P1074" s="5"/>
      <c r="Q1074" s="5"/>
      <c r="R1074" s="5"/>
      <c r="S1074" s="5"/>
      <c r="T1074" s="5"/>
      <c r="U1074" s="5"/>
      <c r="V1074" s="5"/>
      <c r="Y1074" s="5"/>
      <c r="Z1074" s="5"/>
      <c r="AA1074" s="5"/>
      <c r="AB1074" s="5"/>
      <c r="AC1074" s="5"/>
      <c r="AD1074" s="5"/>
      <c r="AE1074" s="5"/>
      <c r="AF1074" s="5"/>
      <c r="AG1074" s="5"/>
      <c r="AH1074" s="5"/>
      <c r="AI1074" s="5"/>
      <c r="AJ1074" s="5"/>
      <c r="AK1074" s="5"/>
      <c r="AL1074" s="5"/>
      <c r="AM1074" s="5"/>
      <c r="AN1074" s="5"/>
    </row>
    <row r="1075" spans="1:40" ht="18.75" customHeight="1">
      <c r="A1075" s="5"/>
      <c r="B1075" s="5"/>
      <c r="C1075" s="5"/>
      <c r="D1075" s="5"/>
      <c r="E1075" s="5"/>
      <c r="F1075" s="5"/>
      <c r="G1075" s="5"/>
      <c r="H1075" s="5"/>
      <c r="I1075" s="5"/>
      <c r="J1075" s="5"/>
      <c r="K1075" s="5"/>
      <c r="L1075" s="5"/>
      <c r="M1075" s="5"/>
      <c r="N1075" s="5"/>
      <c r="O1075" s="5"/>
      <c r="P1075" s="5"/>
      <c r="Q1075" s="5"/>
      <c r="R1075" s="5"/>
      <c r="S1075" s="5"/>
      <c r="T1075" s="5"/>
      <c r="U1075" s="5"/>
      <c r="V1075" s="5"/>
      <c r="Y1075" s="5"/>
      <c r="Z1075" s="5"/>
      <c r="AA1075" s="5"/>
      <c r="AB1075" s="5"/>
      <c r="AC1075" s="5"/>
      <c r="AD1075" s="5"/>
      <c r="AE1075" s="5"/>
      <c r="AF1075" s="5"/>
      <c r="AG1075" s="5"/>
      <c r="AH1075" s="5"/>
      <c r="AI1075" s="5"/>
      <c r="AJ1075" s="5"/>
      <c r="AK1075" s="5"/>
      <c r="AL1075" s="5"/>
      <c r="AM1075" s="5"/>
      <c r="AN1075" s="5"/>
    </row>
    <row r="1076" spans="1:40" ht="18.75" customHeight="1">
      <c r="A1076" s="5"/>
      <c r="B1076" s="5"/>
      <c r="C1076" s="5"/>
      <c r="D1076" s="5"/>
      <c r="E1076" s="5"/>
      <c r="F1076" s="5"/>
      <c r="G1076" s="5"/>
      <c r="H1076" s="5"/>
      <c r="I1076" s="5"/>
      <c r="J1076" s="5"/>
      <c r="K1076" s="5"/>
      <c r="L1076" s="5"/>
      <c r="M1076" s="5"/>
      <c r="N1076" s="5"/>
      <c r="O1076" s="5"/>
      <c r="P1076" s="5"/>
      <c r="Q1076" s="5"/>
      <c r="R1076" s="5"/>
      <c r="S1076" s="5"/>
      <c r="T1076" s="5"/>
      <c r="U1076" s="5"/>
      <c r="V1076" s="5"/>
      <c r="Y1076" s="5"/>
      <c r="Z1076" s="5"/>
      <c r="AA1076" s="5"/>
      <c r="AB1076" s="5"/>
      <c r="AC1076" s="5"/>
      <c r="AD1076" s="5"/>
      <c r="AE1076" s="5"/>
      <c r="AF1076" s="5"/>
      <c r="AG1076" s="5"/>
      <c r="AH1076" s="5"/>
      <c r="AI1076" s="5"/>
      <c r="AJ1076" s="5"/>
      <c r="AK1076" s="5"/>
      <c r="AL1076" s="5"/>
      <c r="AM1076" s="5"/>
      <c r="AN1076" s="5"/>
    </row>
    <row r="1077" spans="1:40" ht="18.75" customHeight="1">
      <c r="A1077" s="5"/>
      <c r="B1077" s="5"/>
      <c r="C1077" s="5"/>
      <c r="D1077" s="5"/>
      <c r="E1077" s="5"/>
      <c r="F1077" s="5"/>
      <c r="G1077" s="5"/>
      <c r="H1077" s="5"/>
      <c r="I1077" s="5"/>
      <c r="J1077" s="5"/>
      <c r="K1077" s="5"/>
      <c r="L1077" s="5"/>
      <c r="M1077" s="5"/>
      <c r="N1077" s="5"/>
      <c r="O1077" s="5"/>
      <c r="P1077" s="5"/>
      <c r="Q1077" s="5"/>
      <c r="R1077" s="5"/>
      <c r="S1077" s="5"/>
      <c r="T1077" s="5"/>
      <c r="U1077" s="5"/>
      <c r="V1077" s="5"/>
      <c r="Y1077" s="5"/>
      <c r="Z1077" s="5"/>
      <c r="AA1077" s="5"/>
      <c r="AB1077" s="5"/>
      <c r="AC1077" s="5"/>
      <c r="AD1077" s="5"/>
      <c r="AE1077" s="5"/>
      <c r="AF1077" s="5"/>
      <c r="AG1077" s="5"/>
      <c r="AH1077" s="5"/>
      <c r="AI1077" s="5"/>
      <c r="AJ1077" s="5"/>
      <c r="AK1077" s="5"/>
      <c r="AL1077" s="5"/>
      <c r="AM1077" s="5"/>
      <c r="AN1077" s="5"/>
    </row>
    <row r="1078" spans="1:40" ht="18.75" customHeight="1">
      <c r="A1078" s="5"/>
      <c r="B1078" s="5"/>
      <c r="C1078" s="5"/>
      <c r="D1078" s="5"/>
      <c r="E1078" s="5"/>
      <c r="F1078" s="5"/>
      <c r="G1078" s="5"/>
      <c r="H1078" s="5"/>
      <c r="I1078" s="5"/>
      <c r="J1078" s="5"/>
      <c r="K1078" s="5"/>
      <c r="L1078" s="5"/>
      <c r="M1078" s="5"/>
      <c r="N1078" s="5"/>
      <c r="O1078" s="5"/>
      <c r="P1078" s="5"/>
      <c r="Q1078" s="5"/>
      <c r="R1078" s="5"/>
      <c r="S1078" s="5"/>
      <c r="T1078" s="5"/>
      <c r="U1078" s="5"/>
      <c r="V1078" s="5"/>
      <c r="Y1078" s="5"/>
      <c r="Z1078" s="5"/>
      <c r="AA1078" s="5"/>
      <c r="AB1078" s="5"/>
      <c r="AC1078" s="5"/>
      <c r="AD1078" s="5"/>
      <c r="AE1078" s="5"/>
      <c r="AF1078" s="5"/>
      <c r="AG1078" s="5"/>
      <c r="AH1078" s="5"/>
      <c r="AI1078" s="5"/>
      <c r="AJ1078" s="5"/>
      <c r="AK1078" s="5"/>
      <c r="AL1078" s="5"/>
      <c r="AM1078" s="5"/>
      <c r="AN1078" s="5"/>
    </row>
    <row r="1079" spans="1:40" ht="18.75" customHeight="1">
      <c r="A1079" s="5"/>
      <c r="B1079" s="5"/>
      <c r="C1079" s="5"/>
      <c r="D1079" s="5"/>
      <c r="E1079" s="5"/>
      <c r="F1079" s="5"/>
      <c r="G1079" s="5"/>
      <c r="H1079" s="5"/>
      <c r="I1079" s="5"/>
      <c r="J1079" s="5"/>
      <c r="K1079" s="5"/>
      <c r="L1079" s="5"/>
      <c r="M1079" s="5"/>
      <c r="N1079" s="5"/>
      <c r="O1079" s="5"/>
      <c r="P1079" s="5"/>
      <c r="Q1079" s="5"/>
      <c r="R1079" s="5"/>
      <c r="S1079" s="5"/>
      <c r="T1079" s="5"/>
      <c r="U1079" s="5"/>
      <c r="V1079" s="5"/>
      <c r="Y1079" s="5"/>
      <c r="Z1079" s="5"/>
      <c r="AA1079" s="5"/>
      <c r="AB1079" s="5"/>
      <c r="AC1079" s="5"/>
      <c r="AD1079" s="5"/>
      <c r="AE1079" s="5"/>
      <c r="AF1079" s="5"/>
      <c r="AG1079" s="5"/>
      <c r="AH1079" s="5"/>
      <c r="AI1079" s="5"/>
      <c r="AJ1079" s="5"/>
      <c r="AK1079" s="5"/>
      <c r="AL1079" s="5"/>
      <c r="AM1079" s="5"/>
      <c r="AN1079" s="5"/>
    </row>
    <row r="1080" spans="1:40" ht="18.75" customHeight="1">
      <c r="A1080" s="5"/>
      <c r="B1080" s="5"/>
      <c r="C1080" s="5"/>
      <c r="D1080" s="5"/>
      <c r="E1080" s="5"/>
      <c r="F1080" s="5"/>
      <c r="G1080" s="5"/>
      <c r="H1080" s="5"/>
      <c r="I1080" s="5"/>
      <c r="J1080" s="5"/>
      <c r="K1080" s="5"/>
      <c r="L1080" s="5"/>
      <c r="M1080" s="5"/>
      <c r="N1080" s="5"/>
      <c r="O1080" s="5"/>
      <c r="P1080" s="5"/>
      <c r="Q1080" s="5"/>
      <c r="R1080" s="5"/>
      <c r="S1080" s="5"/>
      <c r="T1080" s="5"/>
      <c r="U1080" s="5"/>
      <c r="V1080" s="5"/>
      <c r="Y1080" s="5"/>
      <c r="Z1080" s="5"/>
      <c r="AA1080" s="5"/>
      <c r="AB1080" s="5"/>
      <c r="AC1080" s="5"/>
      <c r="AD1080" s="5"/>
      <c r="AE1080" s="5"/>
      <c r="AF1080" s="5"/>
      <c r="AG1080" s="5"/>
      <c r="AH1080" s="5"/>
      <c r="AI1080" s="5"/>
      <c r="AJ1080" s="5"/>
      <c r="AK1080" s="5"/>
      <c r="AL1080" s="5"/>
      <c r="AM1080" s="5"/>
      <c r="AN1080" s="5"/>
    </row>
    <row r="1081" spans="1:40" ht="18.75" customHeight="1">
      <c r="A1081" s="5"/>
      <c r="B1081" s="5"/>
      <c r="C1081" s="5"/>
      <c r="D1081" s="5"/>
      <c r="E1081" s="5"/>
      <c r="F1081" s="5"/>
      <c r="G1081" s="5"/>
      <c r="H1081" s="5"/>
      <c r="I1081" s="5"/>
      <c r="J1081" s="5"/>
      <c r="K1081" s="5"/>
      <c r="L1081" s="5"/>
      <c r="M1081" s="5"/>
      <c r="N1081" s="5"/>
      <c r="O1081" s="5"/>
      <c r="P1081" s="5"/>
      <c r="Q1081" s="5"/>
      <c r="R1081" s="5"/>
      <c r="S1081" s="5"/>
      <c r="T1081" s="5"/>
      <c r="U1081" s="5"/>
      <c r="V1081" s="5"/>
      <c r="Y1081" s="5"/>
      <c r="Z1081" s="5"/>
      <c r="AA1081" s="5"/>
      <c r="AB1081" s="5"/>
      <c r="AC1081" s="5"/>
      <c r="AD1081" s="5"/>
      <c r="AE1081" s="5"/>
      <c r="AF1081" s="5"/>
      <c r="AG1081" s="5"/>
      <c r="AH1081" s="5"/>
      <c r="AI1081" s="5"/>
      <c r="AJ1081" s="5"/>
      <c r="AK1081" s="5"/>
      <c r="AL1081" s="5"/>
      <c r="AM1081" s="5"/>
      <c r="AN1081" s="5"/>
    </row>
    <row r="1082" spans="1:40" ht="18.75" customHeight="1">
      <c r="A1082" s="5"/>
      <c r="B1082" s="5"/>
      <c r="C1082" s="5"/>
      <c r="D1082" s="5"/>
      <c r="E1082" s="5"/>
      <c r="F1082" s="5"/>
      <c r="G1082" s="5"/>
      <c r="H1082" s="5"/>
      <c r="I1082" s="5"/>
      <c r="J1082" s="5"/>
      <c r="K1082" s="5"/>
      <c r="L1082" s="5"/>
      <c r="M1082" s="5"/>
      <c r="N1082" s="5"/>
      <c r="O1082" s="5"/>
      <c r="P1082" s="5"/>
      <c r="Q1082" s="5"/>
      <c r="R1082" s="5"/>
      <c r="S1082" s="5"/>
      <c r="T1082" s="5"/>
      <c r="U1082" s="5"/>
      <c r="V1082" s="5"/>
      <c r="Y1082" s="5"/>
      <c r="Z1082" s="5"/>
      <c r="AA1082" s="5"/>
      <c r="AB1082" s="5"/>
      <c r="AC1082" s="5"/>
      <c r="AD1082" s="5"/>
      <c r="AE1082" s="5"/>
      <c r="AF1082" s="5"/>
      <c r="AG1082" s="5"/>
      <c r="AH1082" s="5"/>
      <c r="AI1082" s="5"/>
      <c r="AJ1082" s="5"/>
      <c r="AK1082" s="5"/>
      <c r="AL1082" s="5"/>
      <c r="AM1082" s="5"/>
      <c r="AN1082" s="5"/>
    </row>
    <row r="1083" spans="1:40" ht="18.75" customHeight="1">
      <c r="A1083" s="5"/>
      <c r="B1083" s="5"/>
      <c r="C1083" s="5"/>
      <c r="D1083" s="5"/>
      <c r="E1083" s="5"/>
      <c r="F1083" s="5"/>
      <c r="G1083" s="5"/>
      <c r="H1083" s="5"/>
      <c r="I1083" s="5"/>
      <c r="J1083" s="5"/>
      <c r="K1083" s="5"/>
      <c r="L1083" s="5"/>
      <c r="M1083" s="5"/>
      <c r="N1083" s="5"/>
      <c r="O1083" s="5"/>
      <c r="P1083" s="5"/>
      <c r="Q1083" s="5"/>
      <c r="R1083" s="5"/>
      <c r="S1083" s="5"/>
      <c r="T1083" s="5"/>
      <c r="U1083" s="5"/>
      <c r="V1083" s="5"/>
      <c r="Y1083" s="5"/>
      <c r="Z1083" s="5"/>
      <c r="AA1083" s="5"/>
      <c r="AB1083" s="5"/>
      <c r="AC1083" s="5"/>
      <c r="AD1083" s="5"/>
      <c r="AE1083" s="5"/>
      <c r="AF1083" s="5"/>
      <c r="AG1083" s="5"/>
      <c r="AH1083" s="5"/>
      <c r="AI1083" s="5"/>
      <c r="AJ1083" s="5"/>
      <c r="AK1083" s="5"/>
      <c r="AL1083" s="5"/>
      <c r="AM1083" s="5"/>
      <c r="AN1083" s="5"/>
    </row>
    <row r="1084" spans="1:40" ht="18.75" customHeight="1">
      <c r="A1084" s="5"/>
      <c r="B1084" s="5"/>
      <c r="C1084" s="5"/>
      <c r="D1084" s="5"/>
      <c r="E1084" s="5"/>
      <c r="F1084" s="5"/>
      <c r="G1084" s="5"/>
      <c r="H1084" s="5"/>
      <c r="I1084" s="5"/>
      <c r="J1084" s="5"/>
      <c r="K1084" s="5"/>
      <c r="L1084" s="5"/>
      <c r="M1084" s="5"/>
      <c r="N1084" s="5"/>
      <c r="O1084" s="5"/>
      <c r="P1084" s="5"/>
      <c r="Q1084" s="5"/>
      <c r="R1084" s="5"/>
      <c r="S1084" s="5"/>
      <c r="T1084" s="5"/>
      <c r="U1084" s="5"/>
      <c r="V1084" s="5"/>
      <c r="Y1084" s="5"/>
      <c r="Z1084" s="5"/>
      <c r="AA1084" s="5"/>
      <c r="AB1084" s="5"/>
      <c r="AC1084" s="5"/>
      <c r="AD1084" s="5"/>
      <c r="AE1084" s="5"/>
      <c r="AF1084" s="5"/>
      <c r="AG1084" s="5"/>
      <c r="AH1084" s="5"/>
      <c r="AI1084" s="5"/>
      <c r="AJ1084" s="5"/>
      <c r="AK1084" s="5"/>
      <c r="AL1084" s="5"/>
      <c r="AM1084" s="5"/>
      <c r="AN1084" s="5"/>
    </row>
    <row r="1085" spans="1:40" ht="18.75" customHeight="1">
      <c r="A1085" s="5"/>
      <c r="B1085" s="5"/>
      <c r="C1085" s="5"/>
      <c r="D1085" s="5"/>
      <c r="E1085" s="5"/>
      <c r="F1085" s="5"/>
      <c r="G1085" s="5"/>
      <c r="H1085" s="5"/>
      <c r="I1085" s="5"/>
      <c r="J1085" s="5"/>
      <c r="K1085" s="5"/>
      <c r="L1085" s="5"/>
      <c r="M1085" s="5"/>
      <c r="N1085" s="5"/>
      <c r="O1085" s="5"/>
      <c r="P1085" s="5"/>
      <c r="Q1085" s="5"/>
      <c r="R1085" s="5"/>
      <c r="S1085" s="5"/>
      <c r="T1085" s="5"/>
      <c r="U1085" s="5"/>
      <c r="V1085" s="5"/>
      <c r="Y1085" s="5"/>
      <c r="Z1085" s="5"/>
      <c r="AA1085" s="5"/>
      <c r="AB1085" s="5"/>
      <c r="AC1085" s="5"/>
      <c r="AD1085" s="5"/>
      <c r="AE1085" s="5"/>
      <c r="AF1085" s="5"/>
      <c r="AG1085" s="5"/>
      <c r="AH1085" s="5"/>
      <c r="AI1085" s="5"/>
      <c r="AJ1085" s="5"/>
      <c r="AK1085" s="5"/>
      <c r="AL1085" s="5"/>
      <c r="AM1085" s="5"/>
      <c r="AN1085" s="5"/>
    </row>
    <row r="1086" spans="1:40" ht="18.75" customHeight="1">
      <c r="A1086" s="5"/>
      <c r="B1086" s="5"/>
      <c r="C1086" s="5"/>
      <c r="D1086" s="5"/>
      <c r="E1086" s="5"/>
      <c r="F1086" s="5"/>
      <c r="G1086" s="5"/>
      <c r="H1086" s="5"/>
      <c r="I1086" s="5"/>
      <c r="J1086" s="5"/>
      <c r="K1086" s="5"/>
      <c r="L1086" s="5"/>
      <c r="M1086" s="5"/>
      <c r="N1086" s="5"/>
      <c r="O1086" s="5"/>
      <c r="P1086" s="5"/>
      <c r="Q1086" s="5"/>
      <c r="R1086" s="5"/>
      <c r="S1086" s="5"/>
      <c r="T1086" s="5"/>
      <c r="U1086" s="5"/>
      <c r="V1086" s="5"/>
      <c r="Y1086" s="5"/>
      <c r="Z1086" s="5"/>
      <c r="AA1086" s="5"/>
      <c r="AB1086" s="5"/>
      <c r="AC1086" s="5"/>
      <c r="AD1086" s="5"/>
      <c r="AE1086" s="5"/>
      <c r="AF1086" s="5"/>
      <c r="AG1086" s="5"/>
      <c r="AH1086" s="5"/>
      <c r="AI1086" s="5"/>
      <c r="AJ1086" s="5"/>
      <c r="AK1086" s="5"/>
      <c r="AL1086" s="5"/>
      <c r="AM1086" s="5"/>
      <c r="AN1086" s="5"/>
    </row>
    <row r="1087" spans="1:40" ht="18.75" customHeight="1">
      <c r="A1087" s="5"/>
      <c r="B1087" s="5"/>
      <c r="C1087" s="5"/>
      <c r="D1087" s="5"/>
      <c r="E1087" s="5"/>
      <c r="F1087" s="5"/>
      <c r="G1087" s="5"/>
      <c r="H1087" s="5"/>
      <c r="I1087" s="5"/>
      <c r="J1087" s="5"/>
      <c r="K1087" s="5"/>
      <c r="L1087" s="5"/>
      <c r="M1087" s="5"/>
      <c r="N1087" s="5"/>
      <c r="O1087" s="5"/>
      <c r="P1087" s="5"/>
      <c r="Q1087" s="5"/>
      <c r="R1087" s="5"/>
      <c r="S1087" s="5"/>
      <c r="T1087" s="5"/>
      <c r="U1087" s="5"/>
      <c r="V1087" s="5"/>
      <c r="Y1087" s="5"/>
      <c r="Z1087" s="5"/>
      <c r="AA1087" s="5"/>
      <c r="AB1087" s="5"/>
      <c r="AC1087" s="5"/>
      <c r="AD1087" s="5"/>
      <c r="AE1087" s="5"/>
      <c r="AF1087" s="5"/>
      <c r="AG1087" s="5"/>
      <c r="AH1087" s="5"/>
      <c r="AI1087" s="5"/>
      <c r="AJ1087" s="5"/>
      <c r="AK1087" s="5"/>
      <c r="AL1087" s="5"/>
      <c r="AM1087" s="5"/>
      <c r="AN1087" s="5"/>
    </row>
    <row r="1088" spans="1:40" ht="18.75" customHeight="1">
      <c r="A1088" s="5"/>
      <c r="B1088" s="5"/>
      <c r="C1088" s="5"/>
      <c r="D1088" s="5"/>
      <c r="E1088" s="5"/>
      <c r="F1088" s="5"/>
      <c r="G1088" s="5"/>
      <c r="H1088" s="5"/>
      <c r="I1088" s="5"/>
      <c r="J1088" s="5"/>
      <c r="K1088" s="5"/>
      <c r="L1088" s="5"/>
      <c r="M1088" s="5"/>
      <c r="N1088" s="5"/>
      <c r="O1088" s="5"/>
      <c r="P1088" s="5"/>
      <c r="Q1088" s="5"/>
      <c r="R1088" s="5"/>
      <c r="S1088" s="5"/>
      <c r="T1088" s="5"/>
      <c r="U1088" s="5"/>
      <c r="V1088" s="5"/>
      <c r="Y1088" s="5"/>
      <c r="Z1088" s="5"/>
      <c r="AA1088" s="5"/>
      <c r="AB1088" s="5"/>
      <c r="AC1088" s="5"/>
      <c r="AD1088" s="5"/>
      <c r="AE1088" s="5"/>
      <c r="AF1088" s="5"/>
      <c r="AG1088" s="5"/>
      <c r="AH1088" s="5"/>
      <c r="AI1088" s="5"/>
      <c r="AJ1088" s="5"/>
      <c r="AK1088" s="5"/>
      <c r="AL1088" s="5"/>
      <c r="AM1088" s="5"/>
      <c r="AN1088" s="5"/>
    </row>
    <row r="1089" spans="1:40" ht="18.75" customHeight="1">
      <c r="A1089" s="5"/>
      <c r="B1089" s="5"/>
      <c r="C1089" s="5"/>
      <c r="D1089" s="5"/>
      <c r="E1089" s="5"/>
      <c r="F1089" s="5"/>
      <c r="G1089" s="5"/>
      <c r="H1089" s="5"/>
      <c r="I1089" s="5"/>
      <c r="J1089" s="5"/>
      <c r="K1089" s="5"/>
      <c r="L1089" s="5"/>
      <c r="M1089" s="5"/>
      <c r="N1089" s="5"/>
      <c r="O1089" s="5"/>
      <c r="P1089" s="5"/>
      <c r="Q1089" s="5"/>
      <c r="R1089" s="5"/>
      <c r="S1089" s="5"/>
      <c r="T1089" s="5"/>
      <c r="U1089" s="5"/>
      <c r="V1089" s="5"/>
      <c r="Y1089" s="5"/>
      <c r="Z1089" s="5"/>
      <c r="AA1089" s="5"/>
      <c r="AB1089" s="5"/>
      <c r="AC1089" s="5"/>
      <c r="AD1089" s="5"/>
      <c r="AE1089" s="5"/>
      <c r="AF1089" s="5"/>
      <c r="AG1089" s="5"/>
      <c r="AH1089" s="5"/>
      <c r="AI1089" s="5"/>
      <c r="AJ1089" s="5"/>
      <c r="AK1089" s="5"/>
      <c r="AL1089" s="5"/>
      <c r="AM1089" s="5"/>
      <c r="AN1089" s="5"/>
    </row>
    <row r="1090" spans="1:40" ht="18.75" customHeight="1">
      <c r="A1090" s="5"/>
      <c r="B1090" s="5"/>
      <c r="C1090" s="5"/>
      <c r="D1090" s="5"/>
      <c r="E1090" s="5"/>
      <c r="F1090" s="5"/>
      <c r="G1090" s="5"/>
      <c r="H1090" s="5"/>
      <c r="I1090" s="5"/>
      <c r="J1090" s="5"/>
      <c r="K1090" s="5"/>
      <c r="L1090" s="5"/>
      <c r="M1090" s="5"/>
      <c r="N1090" s="5"/>
      <c r="O1090" s="5"/>
      <c r="P1090" s="5"/>
      <c r="Q1090" s="5"/>
      <c r="R1090" s="5"/>
      <c r="S1090" s="5"/>
      <c r="T1090" s="5"/>
      <c r="U1090" s="5"/>
      <c r="V1090" s="5"/>
      <c r="Y1090" s="5"/>
      <c r="Z1090" s="5"/>
      <c r="AA1090" s="5"/>
      <c r="AB1090" s="5"/>
      <c r="AC1090" s="5"/>
      <c r="AD1090" s="5"/>
      <c r="AE1090" s="5"/>
      <c r="AF1090" s="5"/>
      <c r="AG1090" s="5"/>
      <c r="AH1090" s="5"/>
      <c r="AI1090" s="5"/>
      <c r="AJ1090" s="5"/>
      <c r="AK1090" s="5"/>
      <c r="AL1090" s="5"/>
      <c r="AM1090" s="5"/>
      <c r="AN1090" s="5"/>
    </row>
    <row r="1091" spans="1:40" ht="18.75" customHeight="1">
      <c r="A1091" s="5"/>
      <c r="B1091" s="5"/>
      <c r="C1091" s="5"/>
      <c r="D1091" s="5"/>
      <c r="E1091" s="5"/>
      <c r="F1091" s="5"/>
      <c r="G1091" s="5"/>
      <c r="H1091" s="5"/>
      <c r="I1091" s="5"/>
      <c r="J1091" s="5"/>
      <c r="K1091" s="5"/>
      <c r="L1091" s="5"/>
      <c r="M1091" s="5"/>
      <c r="N1091" s="5"/>
      <c r="O1091" s="5"/>
      <c r="P1091" s="5"/>
      <c r="Q1091" s="5"/>
      <c r="R1091" s="5"/>
      <c r="S1091" s="5"/>
      <c r="T1091" s="5"/>
      <c r="U1091" s="5"/>
      <c r="V1091" s="5"/>
      <c r="Y1091" s="5"/>
      <c r="Z1091" s="5"/>
      <c r="AA1091" s="5"/>
      <c r="AB1091" s="5"/>
      <c r="AC1091" s="5"/>
      <c r="AD1091" s="5"/>
      <c r="AE1091" s="5"/>
      <c r="AF1091" s="5"/>
      <c r="AG1091" s="5"/>
      <c r="AH1091" s="5"/>
      <c r="AI1091" s="5"/>
      <c r="AJ1091" s="5"/>
      <c r="AK1091" s="5"/>
      <c r="AL1091" s="5"/>
      <c r="AM1091" s="5"/>
      <c r="AN1091" s="5"/>
    </row>
    <row r="1092" spans="1:40" ht="18.75" customHeight="1">
      <c r="A1092" s="5"/>
      <c r="B1092" s="5"/>
      <c r="C1092" s="5"/>
      <c r="D1092" s="5"/>
      <c r="E1092" s="5"/>
      <c r="F1092" s="5"/>
      <c r="G1092" s="5"/>
      <c r="H1092" s="5"/>
      <c r="I1092" s="5"/>
      <c r="J1092" s="5"/>
      <c r="K1092" s="5"/>
      <c r="L1092" s="5"/>
      <c r="M1092" s="5"/>
      <c r="N1092" s="5"/>
      <c r="O1092" s="5"/>
      <c r="P1092" s="5"/>
      <c r="Q1092" s="5"/>
      <c r="R1092" s="5"/>
      <c r="S1092" s="5"/>
      <c r="T1092" s="5"/>
      <c r="U1092" s="5"/>
      <c r="V1092" s="5"/>
      <c r="Y1092" s="5"/>
      <c r="Z1092" s="5"/>
      <c r="AA1092" s="5"/>
      <c r="AB1092" s="5"/>
      <c r="AC1092" s="5"/>
      <c r="AD1092" s="5"/>
      <c r="AE1092" s="5"/>
      <c r="AF1092" s="5"/>
      <c r="AG1092" s="5"/>
      <c r="AH1092" s="5"/>
      <c r="AI1092" s="5"/>
      <c r="AJ1092" s="5"/>
      <c r="AK1092" s="5"/>
      <c r="AL1092" s="5"/>
      <c r="AM1092" s="5"/>
      <c r="AN1092" s="5"/>
    </row>
    <row r="1093" spans="1:40" ht="18.75" customHeight="1">
      <c r="A1093" s="5"/>
      <c r="B1093" s="5"/>
      <c r="C1093" s="5"/>
      <c r="D1093" s="5"/>
      <c r="E1093" s="5"/>
      <c r="F1093" s="5"/>
      <c r="G1093" s="5"/>
      <c r="H1093" s="5"/>
      <c r="I1093" s="5"/>
      <c r="J1093" s="5"/>
      <c r="K1093" s="5"/>
      <c r="L1093" s="5"/>
      <c r="M1093" s="5"/>
      <c r="N1093" s="5"/>
      <c r="O1093" s="5"/>
      <c r="P1093" s="5"/>
      <c r="Q1093" s="5"/>
      <c r="R1093" s="5"/>
      <c r="S1093" s="5"/>
      <c r="T1093" s="5"/>
      <c r="U1093" s="5"/>
      <c r="V1093" s="5"/>
      <c r="Y1093" s="5"/>
      <c r="Z1093" s="5"/>
      <c r="AA1093" s="5"/>
      <c r="AB1093" s="5"/>
      <c r="AC1093" s="5"/>
      <c r="AD1093" s="5"/>
      <c r="AE1093" s="5"/>
      <c r="AF1093" s="5"/>
      <c r="AG1093" s="5"/>
      <c r="AH1093" s="5"/>
      <c r="AI1093" s="5"/>
      <c r="AJ1093" s="5"/>
      <c r="AK1093" s="5"/>
      <c r="AL1093" s="5"/>
      <c r="AM1093" s="5"/>
      <c r="AN1093" s="5"/>
    </row>
    <row r="1094" spans="1:40" ht="18.75" customHeight="1">
      <c r="A1094" s="5"/>
      <c r="B1094" s="5"/>
      <c r="C1094" s="5"/>
      <c r="D1094" s="5"/>
      <c r="E1094" s="5"/>
      <c r="F1094" s="5"/>
      <c r="G1094" s="5"/>
      <c r="H1094" s="5"/>
      <c r="I1094" s="5"/>
      <c r="J1094" s="5"/>
      <c r="K1094" s="5"/>
      <c r="L1094" s="5"/>
      <c r="M1094" s="5"/>
      <c r="N1094" s="5"/>
      <c r="O1094" s="5"/>
      <c r="P1094" s="5"/>
      <c r="Q1094" s="5"/>
      <c r="R1094" s="5"/>
      <c r="S1094" s="5"/>
      <c r="T1094" s="5"/>
      <c r="U1094" s="5"/>
      <c r="V1094" s="5"/>
      <c r="Y1094" s="5"/>
      <c r="Z1094" s="5"/>
      <c r="AA1094" s="5"/>
      <c r="AB1094" s="5"/>
      <c r="AC1094" s="5"/>
      <c r="AD1094" s="5"/>
      <c r="AE1094" s="5"/>
      <c r="AF1094" s="5"/>
      <c r="AG1094" s="5"/>
      <c r="AH1094" s="5"/>
      <c r="AI1094" s="5"/>
      <c r="AJ1094" s="5"/>
      <c r="AK1094" s="5"/>
      <c r="AL1094" s="5"/>
      <c r="AM1094" s="5"/>
      <c r="AN1094" s="5"/>
    </row>
    <row r="1095" spans="1:40" ht="18.75" customHeight="1">
      <c r="A1095" s="5"/>
      <c r="B1095" s="5"/>
      <c r="C1095" s="5"/>
      <c r="D1095" s="5"/>
      <c r="E1095" s="5"/>
      <c r="F1095" s="5"/>
      <c r="G1095" s="5"/>
      <c r="H1095" s="5"/>
      <c r="I1095" s="5"/>
      <c r="J1095" s="5"/>
      <c r="K1095" s="5"/>
      <c r="L1095" s="5"/>
      <c r="M1095" s="5"/>
      <c r="N1095" s="5"/>
      <c r="O1095" s="5"/>
      <c r="P1095" s="5"/>
      <c r="Q1095" s="5"/>
      <c r="R1095" s="5"/>
      <c r="S1095" s="5"/>
      <c r="T1095" s="5"/>
      <c r="U1095" s="5"/>
      <c r="V1095" s="5"/>
      <c r="Y1095" s="5"/>
      <c r="Z1095" s="5"/>
      <c r="AA1095" s="5"/>
      <c r="AB1095" s="5"/>
      <c r="AC1095" s="5"/>
      <c r="AD1095" s="5"/>
      <c r="AE1095" s="5"/>
      <c r="AF1095" s="5"/>
      <c r="AG1095" s="5"/>
      <c r="AH1095" s="5"/>
      <c r="AI1095" s="5"/>
      <c r="AJ1095" s="5"/>
      <c r="AK1095" s="5"/>
      <c r="AL1095" s="5"/>
      <c r="AM1095" s="5"/>
      <c r="AN1095" s="5"/>
    </row>
    <row r="1096" spans="1:40" ht="18.75" customHeight="1">
      <c r="A1096" s="5"/>
      <c r="B1096" s="5"/>
      <c r="C1096" s="5"/>
      <c r="D1096" s="5"/>
      <c r="E1096" s="5"/>
      <c r="F1096" s="5"/>
      <c r="G1096" s="5"/>
      <c r="H1096" s="5"/>
      <c r="I1096" s="5"/>
      <c r="J1096" s="5"/>
      <c r="K1096" s="5"/>
      <c r="L1096" s="5"/>
      <c r="M1096" s="5"/>
      <c r="N1096" s="5"/>
      <c r="O1096" s="5"/>
      <c r="P1096" s="5"/>
      <c r="Q1096" s="5"/>
      <c r="R1096" s="5"/>
      <c r="S1096" s="5"/>
      <c r="T1096" s="5"/>
      <c r="U1096" s="5"/>
      <c r="V1096" s="5"/>
      <c r="Y1096" s="5"/>
      <c r="Z1096" s="5"/>
      <c r="AA1096" s="5"/>
      <c r="AB1096" s="5"/>
      <c r="AC1096" s="5"/>
      <c r="AD1096" s="5"/>
      <c r="AE1096" s="5"/>
      <c r="AF1096" s="5"/>
      <c r="AG1096" s="5"/>
      <c r="AH1096" s="5"/>
      <c r="AI1096" s="5"/>
      <c r="AJ1096" s="5"/>
      <c r="AK1096" s="5"/>
      <c r="AL1096" s="5"/>
      <c r="AM1096" s="5"/>
      <c r="AN1096" s="5"/>
    </row>
    <row r="1097" spans="1:40" ht="18.75" customHeight="1">
      <c r="A1097" s="5"/>
      <c r="B1097" s="5"/>
      <c r="C1097" s="5"/>
      <c r="D1097" s="5"/>
      <c r="E1097" s="5"/>
      <c r="F1097" s="5"/>
      <c r="G1097" s="5"/>
      <c r="H1097" s="5"/>
      <c r="I1097" s="5"/>
      <c r="J1097" s="5"/>
      <c r="K1097" s="5"/>
      <c r="L1097" s="5"/>
      <c r="M1097" s="5"/>
      <c r="N1097" s="5"/>
      <c r="O1097" s="5"/>
      <c r="P1097" s="5"/>
      <c r="Q1097" s="5"/>
      <c r="R1097" s="5"/>
      <c r="S1097" s="5"/>
      <c r="T1097" s="5"/>
      <c r="U1097" s="5"/>
      <c r="V1097" s="5"/>
      <c r="Y1097" s="5"/>
      <c r="Z1097" s="5"/>
      <c r="AA1097" s="5"/>
      <c r="AB1097" s="5"/>
      <c r="AC1097" s="5"/>
      <c r="AD1097" s="5"/>
      <c r="AE1097" s="5"/>
      <c r="AF1097" s="5"/>
      <c r="AG1097" s="5"/>
      <c r="AH1097" s="5"/>
      <c r="AI1097" s="5"/>
      <c r="AJ1097" s="5"/>
      <c r="AK1097" s="5"/>
      <c r="AL1097" s="5"/>
      <c r="AM1097" s="5"/>
      <c r="AN1097" s="5"/>
    </row>
    <row r="1098" spans="1:40" ht="18.75" customHeight="1">
      <c r="A1098" s="5"/>
      <c r="B1098" s="5"/>
      <c r="C1098" s="5"/>
      <c r="D1098" s="5"/>
      <c r="E1098" s="5"/>
      <c r="F1098" s="5"/>
      <c r="G1098" s="5"/>
      <c r="H1098" s="5"/>
      <c r="I1098" s="5"/>
      <c r="J1098" s="5"/>
      <c r="K1098" s="5"/>
      <c r="L1098" s="5"/>
      <c r="M1098" s="5"/>
      <c r="N1098" s="5"/>
      <c r="O1098" s="5"/>
      <c r="P1098" s="5"/>
      <c r="Q1098" s="5"/>
      <c r="R1098" s="5"/>
      <c r="S1098" s="5"/>
      <c r="T1098" s="5"/>
      <c r="U1098" s="5"/>
      <c r="V1098" s="5"/>
      <c r="Y1098" s="5"/>
      <c r="Z1098" s="5"/>
      <c r="AA1098" s="5"/>
      <c r="AB1098" s="5"/>
      <c r="AC1098" s="5"/>
      <c r="AD1098" s="5"/>
      <c r="AE1098" s="5"/>
      <c r="AF1098" s="5"/>
      <c r="AG1098" s="5"/>
      <c r="AH1098" s="5"/>
      <c r="AI1098" s="5"/>
      <c r="AJ1098" s="5"/>
      <c r="AK1098" s="5"/>
      <c r="AL1098" s="5"/>
      <c r="AM1098" s="5"/>
      <c r="AN1098" s="5"/>
    </row>
    <row r="1099" spans="1:40" ht="18.75" customHeight="1">
      <c r="A1099" s="5"/>
      <c r="B1099" s="5"/>
      <c r="C1099" s="5"/>
      <c r="D1099" s="5"/>
      <c r="E1099" s="5"/>
      <c r="F1099" s="5"/>
      <c r="G1099" s="5"/>
      <c r="H1099" s="5"/>
      <c r="I1099" s="5"/>
      <c r="J1099" s="5"/>
      <c r="K1099" s="5"/>
      <c r="L1099" s="5"/>
      <c r="M1099" s="5"/>
      <c r="N1099" s="5"/>
      <c r="O1099" s="5"/>
      <c r="P1099" s="5"/>
      <c r="Q1099" s="5"/>
      <c r="R1099" s="5"/>
      <c r="S1099" s="5"/>
      <c r="T1099" s="5"/>
      <c r="U1099" s="5"/>
      <c r="V1099" s="5"/>
      <c r="Y1099" s="5"/>
      <c r="Z1099" s="5"/>
      <c r="AA1099" s="5"/>
      <c r="AB1099" s="5"/>
      <c r="AC1099" s="5"/>
      <c r="AD1099" s="5"/>
      <c r="AE1099" s="5"/>
      <c r="AF1099" s="5"/>
      <c r="AG1099" s="5"/>
      <c r="AH1099" s="5"/>
      <c r="AI1099" s="5"/>
      <c r="AJ1099" s="5"/>
      <c r="AK1099" s="5"/>
      <c r="AL1099" s="5"/>
      <c r="AM1099" s="5"/>
      <c r="AN1099" s="5"/>
    </row>
    <row r="1100" spans="1:40" ht="18.75" customHeight="1">
      <c r="A1100" s="5"/>
      <c r="B1100" s="5"/>
      <c r="C1100" s="5"/>
      <c r="D1100" s="5"/>
      <c r="E1100" s="5"/>
      <c r="F1100" s="5"/>
      <c r="G1100" s="5"/>
      <c r="H1100" s="5"/>
      <c r="I1100" s="5"/>
      <c r="J1100" s="5"/>
      <c r="K1100" s="5"/>
      <c r="L1100" s="5"/>
      <c r="M1100" s="5"/>
      <c r="N1100" s="5"/>
      <c r="O1100" s="5"/>
      <c r="P1100" s="5"/>
      <c r="Q1100" s="5"/>
      <c r="R1100" s="5"/>
      <c r="S1100" s="5"/>
      <c r="T1100" s="5"/>
      <c r="U1100" s="5"/>
      <c r="V1100" s="5"/>
      <c r="Y1100" s="5"/>
      <c r="Z1100" s="5"/>
      <c r="AA1100" s="5"/>
      <c r="AB1100" s="5"/>
      <c r="AC1100" s="5"/>
      <c r="AD1100" s="5"/>
      <c r="AE1100" s="5"/>
      <c r="AF1100" s="5"/>
      <c r="AG1100" s="5"/>
      <c r="AH1100" s="5"/>
      <c r="AI1100" s="5"/>
      <c r="AJ1100" s="5"/>
      <c r="AK1100" s="5"/>
      <c r="AL1100" s="5"/>
      <c r="AM1100" s="5"/>
      <c r="AN1100" s="5"/>
    </row>
    <row r="1101" spans="1:40" ht="18.75" customHeight="1">
      <c r="A1101" s="5"/>
      <c r="B1101" s="5"/>
      <c r="C1101" s="5"/>
      <c r="D1101" s="5"/>
      <c r="E1101" s="5"/>
      <c r="F1101" s="5"/>
      <c r="G1101" s="5"/>
      <c r="H1101" s="5"/>
      <c r="I1101" s="5"/>
      <c r="J1101" s="5"/>
      <c r="K1101" s="5"/>
      <c r="L1101" s="5"/>
      <c r="M1101" s="5"/>
      <c r="N1101" s="5"/>
      <c r="O1101" s="5"/>
      <c r="P1101" s="5"/>
      <c r="Q1101" s="5"/>
      <c r="R1101" s="5"/>
      <c r="S1101" s="5"/>
      <c r="T1101" s="5"/>
      <c r="U1101" s="5"/>
      <c r="V1101" s="5"/>
      <c r="Y1101" s="5"/>
      <c r="Z1101" s="5"/>
      <c r="AA1101" s="5"/>
      <c r="AB1101" s="5"/>
      <c r="AC1101" s="5"/>
      <c r="AD1101" s="5"/>
      <c r="AE1101" s="5"/>
      <c r="AF1101" s="5"/>
      <c r="AG1101" s="5"/>
      <c r="AH1101" s="5"/>
      <c r="AI1101" s="5"/>
      <c r="AJ1101" s="5"/>
      <c r="AK1101" s="5"/>
      <c r="AL1101" s="5"/>
      <c r="AM1101" s="5"/>
      <c r="AN1101" s="5"/>
    </row>
    <row r="1102" spans="1:40" ht="18.75" customHeight="1">
      <c r="A1102" s="5"/>
      <c r="B1102" s="5"/>
      <c r="C1102" s="5"/>
      <c r="D1102" s="5"/>
      <c r="E1102" s="5"/>
      <c r="F1102" s="5"/>
      <c r="G1102" s="5"/>
      <c r="H1102" s="5"/>
      <c r="I1102" s="5"/>
      <c r="J1102" s="5"/>
      <c r="K1102" s="5"/>
      <c r="L1102" s="5"/>
      <c r="M1102" s="5"/>
      <c r="N1102" s="5"/>
      <c r="O1102" s="5"/>
      <c r="P1102" s="5"/>
      <c r="Q1102" s="5"/>
      <c r="R1102" s="5"/>
      <c r="S1102" s="5"/>
      <c r="T1102" s="5"/>
      <c r="U1102" s="5"/>
      <c r="V1102" s="5"/>
      <c r="Y1102" s="5"/>
      <c r="Z1102" s="5"/>
      <c r="AA1102" s="5"/>
      <c r="AB1102" s="5"/>
      <c r="AC1102" s="5"/>
      <c r="AD1102" s="5"/>
      <c r="AE1102" s="5"/>
      <c r="AF1102" s="5"/>
      <c r="AG1102" s="5"/>
      <c r="AH1102" s="5"/>
      <c r="AI1102" s="5"/>
      <c r="AJ1102" s="5"/>
      <c r="AK1102" s="5"/>
      <c r="AL1102" s="5"/>
      <c r="AM1102" s="5"/>
      <c r="AN1102" s="5"/>
    </row>
    <row r="1103" spans="1:40" ht="18.75" customHeight="1">
      <c r="A1103" s="5"/>
      <c r="B1103" s="5"/>
      <c r="C1103" s="5"/>
      <c r="D1103" s="5"/>
      <c r="E1103" s="5"/>
      <c r="F1103" s="5"/>
      <c r="G1103" s="5"/>
      <c r="H1103" s="5"/>
      <c r="I1103" s="5"/>
      <c r="J1103" s="5"/>
      <c r="K1103" s="5"/>
      <c r="L1103" s="5"/>
      <c r="M1103" s="5"/>
      <c r="N1103" s="5"/>
      <c r="O1103" s="5"/>
      <c r="P1103" s="5"/>
      <c r="Q1103" s="5"/>
      <c r="R1103" s="5"/>
      <c r="S1103" s="5"/>
      <c r="T1103" s="5"/>
      <c r="U1103" s="5"/>
      <c r="V1103" s="5"/>
      <c r="Y1103" s="5"/>
      <c r="Z1103" s="5"/>
      <c r="AA1103" s="5"/>
      <c r="AB1103" s="5"/>
      <c r="AC1103" s="5"/>
      <c r="AD1103" s="5"/>
      <c r="AE1103" s="5"/>
      <c r="AF1103" s="5"/>
      <c r="AG1103" s="5"/>
      <c r="AH1103" s="5"/>
      <c r="AI1103" s="5"/>
      <c r="AJ1103" s="5"/>
      <c r="AK1103" s="5"/>
      <c r="AL1103" s="5"/>
      <c r="AM1103" s="5"/>
      <c r="AN1103" s="5"/>
    </row>
    <row r="1104" spans="1:40" ht="18.75" customHeight="1">
      <c r="A1104" s="5"/>
      <c r="B1104" s="5"/>
      <c r="C1104" s="5"/>
      <c r="D1104" s="5"/>
      <c r="E1104" s="5"/>
      <c r="F1104" s="5"/>
      <c r="G1104" s="5"/>
      <c r="H1104" s="5"/>
      <c r="I1104" s="5"/>
      <c r="J1104" s="5"/>
      <c r="K1104" s="5"/>
      <c r="L1104" s="5"/>
      <c r="M1104" s="5"/>
      <c r="N1104" s="5"/>
      <c r="O1104" s="5"/>
      <c r="P1104" s="5"/>
      <c r="Q1104" s="5"/>
      <c r="R1104" s="5"/>
      <c r="S1104" s="5"/>
      <c r="T1104" s="5"/>
      <c r="U1104" s="5"/>
      <c r="V1104" s="5"/>
      <c r="Y1104" s="5"/>
      <c r="Z1104" s="5"/>
      <c r="AA1104" s="5"/>
      <c r="AB1104" s="5"/>
      <c r="AC1104" s="5"/>
      <c r="AD1104" s="5"/>
      <c r="AE1104" s="5"/>
      <c r="AF1104" s="5"/>
      <c r="AG1104" s="5"/>
      <c r="AH1104" s="5"/>
      <c r="AI1104" s="5"/>
      <c r="AJ1104" s="5"/>
      <c r="AK1104" s="5"/>
      <c r="AL1104" s="5"/>
      <c r="AM1104" s="5"/>
      <c r="AN1104" s="5"/>
    </row>
    <row r="1105" spans="1:40" ht="18.75" customHeight="1">
      <c r="A1105" s="5"/>
      <c r="B1105" s="5"/>
      <c r="C1105" s="5"/>
      <c r="D1105" s="5"/>
      <c r="E1105" s="5"/>
      <c r="F1105" s="5"/>
      <c r="G1105" s="5"/>
      <c r="H1105" s="5"/>
      <c r="I1105" s="5"/>
      <c r="J1105" s="5"/>
      <c r="K1105" s="5"/>
      <c r="L1105" s="5"/>
      <c r="M1105" s="5"/>
      <c r="N1105" s="5"/>
      <c r="O1105" s="5"/>
      <c r="P1105" s="5"/>
      <c r="Q1105" s="5"/>
      <c r="R1105" s="5"/>
      <c r="S1105" s="5"/>
      <c r="T1105" s="5"/>
      <c r="U1105" s="5"/>
      <c r="V1105" s="5"/>
      <c r="Y1105" s="5"/>
      <c r="Z1105" s="5"/>
      <c r="AA1105" s="5"/>
      <c r="AB1105" s="5"/>
      <c r="AC1105" s="5"/>
      <c r="AD1105" s="5"/>
      <c r="AE1105" s="5"/>
      <c r="AF1105" s="5"/>
      <c r="AG1105" s="5"/>
      <c r="AH1105" s="5"/>
      <c r="AI1105" s="5"/>
      <c r="AJ1105" s="5"/>
      <c r="AK1105" s="5"/>
      <c r="AL1105" s="5"/>
      <c r="AM1105" s="5"/>
      <c r="AN1105" s="5"/>
    </row>
    <row r="1106" spans="1:40" ht="18.75" customHeight="1">
      <c r="A1106" s="5"/>
      <c r="B1106" s="5"/>
      <c r="C1106" s="5"/>
      <c r="D1106" s="5"/>
      <c r="E1106" s="5"/>
      <c r="F1106" s="5"/>
      <c r="G1106" s="5"/>
      <c r="H1106" s="5"/>
      <c r="I1106" s="5"/>
      <c r="J1106" s="5"/>
      <c r="K1106" s="5"/>
      <c r="L1106" s="5"/>
      <c r="M1106" s="5"/>
      <c r="N1106" s="5"/>
      <c r="O1106" s="5"/>
      <c r="P1106" s="5"/>
      <c r="Q1106" s="5"/>
      <c r="R1106" s="5"/>
      <c r="S1106" s="5"/>
      <c r="T1106" s="5"/>
      <c r="U1106" s="5"/>
      <c r="V1106" s="5"/>
      <c r="Y1106" s="5"/>
      <c r="Z1106" s="5"/>
      <c r="AA1106" s="5"/>
      <c r="AB1106" s="5"/>
      <c r="AC1106" s="5"/>
      <c r="AD1106" s="5"/>
      <c r="AE1106" s="5"/>
      <c r="AF1106" s="5"/>
      <c r="AG1106" s="5"/>
      <c r="AH1106" s="5"/>
      <c r="AI1106" s="5"/>
      <c r="AJ1106" s="5"/>
      <c r="AK1106" s="5"/>
      <c r="AL1106" s="5"/>
      <c r="AM1106" s="5"/>
      <c r="AN1106" s="5"/>
    </row>
    <row r="1107" spans="1:40" ht="18.75" customHeight="1">
      <c r="A1107" s="5"/>
      <c r="B1107" s="5"/>
      <c r="C1107" s="5"/>
      <c r="D1107" s="5"/>
      <c r="E1107" s="5"/>
      <c r="F1107" s="5"/>
      <c r="G1107" s="5"/>
      <c r="H1107" s="5"/>
      <c r="I1107" s="5"/>
      <c r="J1107" s="5"/>
      <c r="K1107" s="5"/>
      <c r="L1107" s="5"/>
      <c r="M1107" s="5"/>
      <c r="N1107" s="5"/>
      <c r="O1107" s="5"/>
      <c r="P1107" s="5"/>
      <c r="Q1107" s="5"/>
      <c r="R1107" s="5"/>
      <c r="S1107" s="5"/>
      <c r="T1107" s="5"/>
      <c r="U1107" s="5"/>
      <c r="V1107" s="5"/>
      <c r="Y1107" s="5"/>
      <c r="Z1107" s="5"/>
      <c r="AA1107" s="5"/>
      <c r="AB1107" s="5"/>
      <c r="AC1107" s="5"/>
      <c r="AD1107" s="5"/>
      <c r="AE1107" s="5"/>
      <c r="AF1107" s="5"/>
      <c r="AG1107" s="5"/>
      <c r="AH1107" s="5"/>
      <c r="AI1107" s="5"/>
      <c r="AJ1107" s="5"/>
      <c r="AK1107" s="5"/>
      <c r="AL1107" s="5"/>
      <c r="AM1107" s="5"/>
      <c r="AN1107" s="5"/>
    </row>
    <row r="1108" spans="1:40" ht="15" customHeight="1">
      <c r="A1108" s="5"/>
      <c r="B1108" s="5"/>
      <c r="C1108" s="5"/>
      <c r="D1108" s="5"/>
      <c r="E1108" s="5"/>
      <c r="F1108" s="5"/>
      <c r="G1108" s="5"/>
      <c r="H1108" s="5"/>
      <c r="I1108" s="5"/>
      <c r="J1108" s="5"/>
      <c r="K1108" s="5"/>
      <c r="L1108" s="5"/>
      <c r="M1108" s="5"/>
    </row>
    <row r="1109" spans="1:40" ht="15" customHeight="1">
      <c r="A1109" s="5"/>
      <c r="B1109" s="5"/>
      <c r="C1109" s="5"/>
      <c r="D1109" s="5"/>
      <c r="E1109" s="5"/>
      <c r="F1109" s="5"/>
      <c r="G1109" s="5"/>
      <c r="H1109" s="5"/>
      <c r="I1109" s="5"/>
      <c r="J1109" s="5"/>
      <c r="K1109" s="5"/>
      <c r="L1109" s="5"/>
      <c r="M1109" s="5"/>
    </row>
    <row r="1110" spans="1:40" ht="15" customHeight="1">
      <c r="A1110" s="5"/>
      <c r="B1110" s="5"/>
      <c r="C1110" s="5"/>
      <c r="D1110" s="5"/>
      <c r="E1110" s="5"/>
      <c r="F1110" s="5"/>
      <c r="G1110" s="5"/>
      <c r="H1110" s="5"/>
      <c r="I1110" s="5"/>
      <c r="J1110" s="5"/>
      <c r="K1110" s="5"/>
      <c r="L1110" s="5"/>
      <c r="M1110" s="5"/>
    </row>
    <row r="1111" spans="1:40" ht="15" customHeight="1">
      <c r="A1111" s="5"/>
      <c r="B1111" s="5"/>
      <c r="C1111" s="5"/>
      <c r="D1111" s="5"/>
      <c r="E1111" s="5"/>
      <c r="F1111" s="5"/>
      <c r="G1111" s="5"/>
      <c r="H1111" s="5"/>
      <c r="I1111" s="5"/>
      <c r="J1111" s="5"/>
      <c r="K1111" s="5"/>
      <c r="L1111" s="5"/>
      <c r="M1111" s="5"/>
    </row>
    <row r="1112" spans="1:40" ht="15" customHeight="1">
      <c r="A1112" s="5"/>
      <c r="B1112" s="5"/>
      <c r="C1112" s="5"/>
      <c r="D1112" s="5"/>
      <c r="E1112" s="5"/>
      <c r="F1112" s="5"/>
      <c r="G1112" s="5"/>
      <c r="H1112" s="5"/>
      <c r="I1112" s="5"/>
      <c r="J1112" s="5"/>
      <c r="K1112" s="5"/>
      <c r="L1112" s="5"/>
      <c r="M1112" s="5"/>
    </row>
    <row r="1113" spans="1:40" ht="15" customHeight="1">
      <c r="A1113" s="5"/>
      <c r="B1113" s="5"/>
      <c r="C1113" s="5"/>
      <c r="D1113" s="5"/>
      <c r="E1113" s="5"/>
      <c r="F1113" s="5"/>
      <c r="G1113" s="5"/>
      <c r="H1113" s="5"/>
      <c r="I1113" s="5"/>
      <c r="J1113" s="5"/>
      <c r="K1113" s="5"/>
      <c r="L1113" s="5"/>
      <c r="M1113" s="5"/>
    </row>
    <row r="1114" spans="1:40" ht="15" customHeight="1">
      <c r="A1114" s="5"/>
      <c r="B1114" s="5"/>
      <c r="C1114" s="5"/>
      <c r="D1114" s="5"/>
      <c r="E1114" s="5"/>
      <c r="F1114" s="5"/>
      <c r="G1114" s="5"/>
      <c r="H1114" s="5"/>
      <c r="I1114" s="5"/>
      <c r="J1114" s="5"/>
      <c r="K1114" s="5"/>
      <c r="L1114" s="5"/>
      <c r="M1114" s="5"/>
    </row>
    <row r="1115" spans="1:40" ht="15" customHeight="1">
      <c r="A1115" s="5"/>
      <c r="B1115" s="5"/>
      <c r="C1115" s="5"/>
      <c r="D1115" s="5"/>
      <c r="E1115" s="5"/>
      <c r="F1115" s="5"/>
      <c r="G1115" s="5"/>
      <c r="H1115" s="5"/>
      <c r="I1115" s="5"/>
      <c r="J1115" s="5"/>
      <c r="K1115" s="5"/>
      <c r="L1115" s="5"/>
      <c r="M1115" s="5"/>
    </row>
    <row r="1116" spans="1:40" ht="15" customHeight="1">
      <c r="A1116" s="5"/>
      <c r="B1116" s="5"/>
      <c r="C1116" s="5"/>
      <c r="D1116" s="5"/>
      <c r="E1116" s="5"/>
      <c r="F1116" s="5"/>
      <c r="G1116" s="5"/>
      <c r="H1116" s="5"/>
      <c r="I1116" s="5"/>
      <c r="J1116" s="5"/>
      <c r="K1116" s="5"/>
      <c r="L1116" s="5"/>
      <c r="M1116" s="5"/>
    </row>
    <row r="1117" spans="1:40" ht="15" customHeight="1">
      <c r="A1117" s="5"/>
      <c r="B1117" s="5"/>
      <c r="C1117" s="5"/>
      <c r="D1117" s="5"/>
      <c r="E1117" s="5"/>
      <c r="F1117" s="5"/>
      <c r="G1117" s="5"/>
      <c r="H1117" s="5"/>
      <c r="I1117" s="5"/>
      <c r="J1117" s="5"/>
      <c r="K1117" s="5"/>
      <c r="L1117" s="5"/>
      <c r="M1117" s="5"/>
    </row>
  </sheetData>
  <mergeCells count="3">
    <mergeCell ref="A12:AE12"/>
    <mergeCell ref="A91:AE91"/>
    <mergeCell ref="A159:AE159"/>
  </mergeCells>
  <conditionalFormatting sqref="B8">
    <cfRule type="cellIs" dxfId="3" priority="416" operator="equal">
      <formula>TRUE</formula>
    </cfRule>
  </conditionalFormatting>
  <conditionalFormatting sqref="A39:D39 F39:M39 B43:M43 A32:M38 A40:M42 A44:M73">
    <cfRule type="colorScale" priority="417">
      <colorScale>
        <cfvo type="min"/>
        <cfvo type="percentile" val="50"/>
        <cfvo type="max"/>
        <color rgb="FF63BE7B"/>
        <color rgb="FFFFEB84"/>
        <color rgb="FFF8696B"/>
      </colorScale>
    </cfRule>
  </conditionalFormatting>
  <conditionalFormatting sqref="A185:L209">
    <cfRule type="colorScale" priority="418">
      <colorScale>
        <cfvo type="min"/>
        <cfvo type="percentile" val="50"/>
        <cfvo type="max"/>
        <color rgb="FF63BE7B"/>
        <color rgb="FFFFEB84"/>
        <color rgb="FFF8696B"/>
      </colorScale>
    </cfRule>
  </conditionalFormatting>
  <conditionalFormatting sqref="A12">
    <cfRule type="colorScale" priority="415">
      <colorScale>
        <cfvo type="min"/>
        <cfvo type="percentile" val="50"/>
        <cfvo type="max"/>
        <color rgb="FF63BE7B"/>
        <color rgb="FFFFEB84"/>
        <color rgb="FFF8696B"/>
      </colorScale>
    </cfRule>
  </conditionalFormatting>
  <conditionalFormatting sqref="A43">
    <cfRule type="dataBar" priority="413">
      <dataBar>
        <cfvo type="min"/>
        <cfvo type="max"/>
        <color rgb="FF638EC6"/>
      </dataBar>
      <extLst>
        <ext xmlns:x14="http://schemas.microsoft.com/office/spreadsheetml/2009/9/main" uri="{B025F937-C7B1-47D3-B67F-A62EFF666E3E}">
          <x14:id>{9EF00274-7A87-A644-900D-7370D4EFA34C}</x14:id>
        </ext>
      </extLst>
    </cfRule>
    <cfRule type="colorScale" priority="414">
      <colorScale>
        <cfvo type="min"/>
        <cfvo type="percentile" val="50"/>
        <cfvo type="max"/>
        <color rgb="FF63BE7B"/>
        <color rgb="FFFFEB84"/>
        <color rgb="FFF8696B"/>
      </colorScale>
    </cfRule>
  </conditionalFormatting>
  <conditionalFormatting sqref="E39">
    <cfRule type="colorScale" priority="412">
      <colorScale>
        <cfvo type="min"/>
        <cfvo type="percentile" val="50"/>
        <cfvo type="max"/>
        <color rgb="FF63BE7B"/>
        <color rgb="FFFFEB84"/>
        <color rgb="FFF8696B"/>
      </colorScale>
    </cfRule>
  </conditionalFormatting>
  <conditionalFormatting sqref="B44 B42 C41 C43 C45 D40 E39 D42 E41 D44 E43 D46 E45 E47">
    <cfRule type="dataBar" priority="411">
      <dataBar>
        <cfvo type="min"/>
        <cfvo type="max"/>
        <color rgb="FF638EC6"/>
      </dataBar>
      <extLst>
        <ext xmlns:x14="http://schemas.microsoft.com/office/spreadsheetml/2009/9/main" uri="{B025F937-C7B1-47D3-B67F-A62EFF666E3E}">
          <x14:id>{202481E1-6CC3-9948-8D22-7189B1C8E1FD}</x14:id>
        </ext>
      </extLst>
    </cfRule>
  </conditionalFormatting>
  <conditionalFormatting sqref="F38 I33 G37 H36 I35 J34 K33 L32">
    <cfRule type="dataBar" priority="410">
      <dataBar>
        <cfvo type="min"/>
        <cfvo type="max"/>
        <color rgb="FF638EC6"/>
      </dataBar>
      <extLst>
        <ext xmlns:x14="http://schemas.microsoft.com/office/spreadsheetml/2009/9/main" uri="{B025F937-C7B1-47D3-B67F-A62EFF666E3E}">
          <x14:id>{6395C98C-71BA-844F-82D4-367448F76FED}</x14:id>
        </ext>
      </extLst>
    </cfRule>
  </conditionalFormatting>
  <conditionalFormatting sqref="F35 F40 F42 F44 F46 F48 G49 G45 G47 G43 G41 G39 H38 I37 J36 K35 L34 L36 K37 J38 I39 H40 H42 I41 J40 K39 L38 L40 K41 J42 I43 H44 H46 J44 K43 L42 L44 K45 J46 I45 I47 H48 I49 H50 I51 J52 K53 L54 L52 K51 J50 K49 J48 K47 L46 L48 L50">
    <cfRule type="dataBar" priority="409">
      <dataBar>
        <cfvo type="min"/>
        <cfvo type="max"/>
        <color rgb="FF638EC6"/>
      </dataBar>
      <extLst>
        <ext xmlns:x14="http://schemas.microsoft.com/office/spreadsheetml/2009/9/main" uri="{B025F937-C7B1-47D3-B67F-A62EFF666E3E}">
          <x14:id>{79D41099-5905-6749-90BB-47F71F9F7505}</x14:id>
        </ext>
      </extLst>
    </cfRule>
  </conditionalFormatting>
  <conditionalFormatting sqref="Z73:AE90 T68:Y68 T64 R63:S63 P61:Q61 O28 Y20 Z19 AA18 AB17 AC16 AD15:AE15 AE14 Y22 Z21 AA20 AB19 AC18 AD17:AE17 AE16 Y24 Z23 AA22 AB21 AC20 AD19:AE19 AE18 Y26 Z25 AA24 AB23 AC22 AD21:AE21 AE20 Y28 Z27 AA26 AB25 AC24 AD23:AE23 AE22 Y30 Z29 AA28 AB27 AC26 AD25:AE25 AE24 Y32 Z31 AA30 AB29 AC28 AD27:AE27 AE26 Y34 Z33 AA32 AB31 AC30 AD29:AE29 AE28 Y36 Z35 AA34 AB33 AC32 AD31:AE31 AE30 Y38 Z37 AA36 AB35 AC34 AD33:AE33 AE32 Y40 Z39 AA38 AB37 AC36 AD35:AE35 AE34 Y42 Z41 AA40 AB39 AC38 AD37:AE37 AE36 N58 Y44 Z43 AA42 AB41 AC40 AD39:AE39 AE38 R62 Y66 T67:W67 Z67 AA68 Z69 AB69 Z70:AA70 AC70 Z71:AB71 AD71:AE71 Z72:AC72 AE72 Y64 Z65 AA66 AB67 AC68 AD69:AE69 AE70 Y62 Z63 AA64 AB65 AC66 AD67:AE67 AE68 Y60 Z61 AA62 AB63 AC64 AD65:AE65 AE66 Y58 Z59 AA60 AB61 AC62 AD63:AE63 AE64 Y56 Z57 AA58 AB59 AC60 AD61:AE61 AE62 Y54 Z55 AA56 AB57 AC58 AD59:AE59 AE60 Y52 Z53 AA54 AB55 AC56 AD57:AE57 AE58 Y50 Z51 AA52 AB53 AC54 AD55:AE55 AE56 Y48 Z49 AA50 AB51 AC52 AD53:AE53 AE54 Y46 Z47 AA48 AB49 AC50 AD51:AE51 AE52 Z45 AA46 AB47 AC48 AD49:AE49 AE50 AA44 AB45 AC46 AD47:AE47 AE48 AB43 AC44 AD45:AE45 AE46 AC42 AD43:AE43 AE44 AD41:AE41 AE42 AE40 Z93:AE95 T66:V66">
    <cfRule type="colorScale" priority="408">
      <colorScale>
        <cfvo type="min"/>
        <cfvo type="percentile" val="50"/>
        <cfvo type="max"/>
        <color rgb="FF63BE7B"/>
        <color rgb="FFFFEB84"/>
        <color rgb="FFF8696B"/>
      </colorScale>
    </cfRule>
  </conditionalFormatting>
  <conditionalFormatting sqref="N93:O94 N59:O90">
    <cfRule type="colorScale" priority="407">
      <colorScale>
        <cfvo type="min"/>
        <cfvo type="percentile" val="50"/>
        <cfvo type="max"/>
        <color rgb="FF63BE7B"/>
        <color rgb="FFFFEB84"/>
        <color rgb="FFF8696B"/>
      </colorScale>
    </cfRule>
  </conditionalFormatting>
  <conditionalFormatting sqref="A109:M110">
    <cfRule type="colorScale" priority="406">
      <colorScale>
        <cfvo type="min"/>
        <cfvo type="percentile" val="50"/>
        <cfvo type="max"/>
        <color rgb="FF63BE7B"/>
        <color rgb="FFFFEB84"/>
        <color rgb="FFF8696B"/>
      </colorScale>
    </cfRule>
  </conditionalFormatting>
  <conditionalFormatting sqref="S65:U65">
    <cfRule type="colorScale" priority="405">
      <colorScale>
        <cfvo type="min"/>
        <cfvo type="percentile" val="50"/>
        <cfvo type="max"/>
        <color rgb="FF63BE7B"/>
        <color rgb="FFFFEB84"/>
        <color rgb="FFF8696B"/>
      </colorScale>
    </cfRule>
  </conditionalFormatting>
  <conditionalFormatting sqref="M31">
    <cfRule type="colorScale" priority="404">
      <colorScale>
        <cfvo type="min"/>
        <cfvo type="percentile" val="50"/>
        <cfvo type="max"/>
        <color rgb="FF63BE7B"/>
        <color rgb="FFFFEB84"/>
        <color rgb="FFF8696B"/>
      </colorScale>
    </cfRule>
  </conditionalFormatting>
  <conditionalFormatting sqref="M31">
    <cfRule type="dataBar" priority="403">
      <dataBar>
        <cfvo type="min"/>
        <cfvo type="max"/>
        <color rgb="FF638EC6"/>
      </dataBar>
      <extLst>
        <ext xmlns:x14="http://schemas.microsoft.com/office/spreadsheetml/2009/9/main" uri="{B025F937-C7B1-47D3-B67F-A62EFF666E3E}">
          <x14:id>{47F85C00-12EF-0D43-90EE-2A15573B7E38}</x14:id>
        </ext>
      </extLst>
    </cfRule>
  </conditionalFormatting>
  <conditionalFormatting sqref="N30">
    <cfRule type="colorScale" priority="402">
      <colorScale>
        <cfvo type="min"/>
        <cfvo type="percentile" val="50"/>
        <cfvo type="max"/>
        <color rgb="FF63BE7B"/>
        <color rgb="FFFFEB84"/>
        <color rgb="FFF8696B"/>
      </colorScale>
    </cfRule>
  </conditionalFormatting>
  <conditionalFormatting sqref="N30">
    <cfRule type="dataBar" priority="401">
      <dataBar>
        <cfvo type="min"/>
        <cfvo type="max"/>
        <color rgb="FF638EC6"/>
      </dataBar>
      <extLst>
        <ext xmlns:x14="http://schemas.microsoft.com/office/spreadsheetml/2009/9/main" uri="{B025F937-C7B1-47D3-B67F-A62EFF666E3E}">
          <x14:id>{57CEB635-A41A-884A-97A6-34E1DAAAC6C9}</x14:id>
        </ext>
      </extLst>
    </cfRule>
  </conditionalFormatting>
  <conditionalFormatting sqref="O29">
    <cfRule type="colorScale" priority="400">
      <colorScale>
        <cfvo type="min"/>
        <cfvo type="percentile" val="50"/>
        <cfvo type="max"/>
        <color rgb="FF63BE7B"/>
        <color rgb="FFFFEB84"/>
        <color rgb="FFF8696B"/>
      </colorScale>
    </cfRule>
  </conditionalFormatting>
  <conditionalFormatting sqref="O29">
    <cfRule type="dataBar" priority="399">
      <dataBar>
        <cfvo type="min"/>
        <cfvo type="max"/>
        <color rgb="FF638EC6"/>
      </dataBar>
      <extLst>
        <ext xmlns:x14="http://schemas.microsoft.com/office/spreadsheetml/2009/9/main" uri="{B025F937-C7B1-47D3-B67F-A62EFF666E3E}">
          <x14:id>{20BF6F95-0EBA-EF4C-8309-E5D03A201A5B}</x14:id>
        </ext>
      </extLst>
    </cfRule>
  </conditionalFormatting>
  <conditionalFormatting sqref="L32">
    <cfRule type="dataBar" priority="398">
      <dataBar>
        <cfvo type="min"/>
        <cfvo type="max"/>
        <color rgb="FF638EC6"/>
      </dataBar>
      <extLst>
        <ext xmlns:x14="http://schemas.microsoft.com/office/spreadsheetml/2009/9/main" uri="{B025F937-C7B1-47D3-B67F-A62EFF666E3E}">
          <x14:id>{D0F5841A-C1C8-1F44-9166-B0915CDF5B5F}</x14:id>
        </ext>
      </extLst>
    </cfRule>
  </conditionalFormatting>
  <conditionalFormatting sqref="P28">
    <cfRule type="colorScale" priority="397">
      <colorScale>
        <cfvo type="min"/>
        <cfvo type="percentile" val="50"/>
        <cfvo type="max"/>
        <color rgb="FF63BE7B"/>
        <color rgb="FFFFEB84"/>
        <color rgb="FFF8696B"/>
      </colorScale>
    </cfRule>
  </conditionalFormatting>
  <conditionalFormatting sqref="P28">
    <cfRule type="dataBar" priority="396">
      <dataBar>
        <cfvo type="min"/>
        <cfvo type="max"/>
        <color rgb="FF638EC6"/>
      </dataBar>
      <extLst>
        <ext xmlns:x14="http://schemas.microsoft.com/office/spreadsheetml/2009/9/main" uri="{B025F937-C7B1-47D3-B67F-A62EFF666E3E}">
          <x14:id>{5FF08124-9A53-E045-BB37-30C3A06F9B6F}</x14:id>
        </ext>
      </extLst>
    </cfRule>
  </conditionalFormatting>
  <conditionalFormatting sqref="Q27">
    <cfRule type="colorScale" priority="395">
      <colorScale>
        <cfvo type="min"/>
        <cfvo type="percentile" val="50"/>
        <cfvo type="max"/>
        <color rgb="FF63BE7B"/>
        <color rgb="FFFFEB84"/>
        <color rgb="FFF8696B"/>
      </colorScale>
    </cfRule>
  </conditionalFormatting>
  <conditionalFormatting sqref="Q27">
    <cfRule type="dataBar" priority="394">
      <dataBar>
        <cfvo type="min"/>
        <cfvo type="max"/>
        <color rgb="FF638EC6"/>
      </dataBar>
      <extLst>
        <ext xmlns:x14="http://schemas.microsoft.com/office/spreadsheetml/2009/9/main" uri="{B025F937-C7B1-47D3-B67F-A62EFF666E3E}">
          <x14:id>{FF1DD4C0-0727-FE4E-9CC1-DDE0396EF913}</x14:id>
        </ext>
      </extLst>
    </cfRule>
  </conditionalFormatting>
  <conditionalFormatting sqref="R26">
    <cfRule type="colorScale" priority="393">
      <colorScale>
        <cfvo type="min"/>
        <cfvo type="percentile" val="50"/>
        <cfvo type="max"/>
        <color rgb="FF63BE7B"/>
        <color rgb="FFFFEB84"/>
        <color rgb="FFF8696B"/>
      </colorScale>
    </cfRule>
  </conditionalFormatting>
  <conditionalFormatting sqref="R26">
    <cfRule type="dataBar" priority="392">
      <dataBar>
        <cfvo type="min"/>
        <cfvo type="max"/>
        <color rgb="FF638EC6"/>
      </dataBar>
      <extLst>
        <ext xmlns:x14="http://schemas.microsoft.com/office/spreadsheetml/2009/9/main" uri="{B025F937-C7B1-47D3-B67F-A62EFF666E3E}">
          <x14:id>{4D99B35A-54C0-5C4E-80AE-B1C8F9B55F51}</x14:id>
        </ext>
      </extLst>
    </cfRule>
  </conditionalFormatting>
  <conditionalFormatting sqref="S25">
    <cfRule type="colorScale" priority="391">
      <colorScale>
        <cfvo type="min"/>
        <cfvo type="percentile" val="50"/>
        <cfvo type="max"/>
        <color rgb="FF63BE7B"/>
        <color rgb="FFFFEB84"/>
        <color rgb="FFF8696B"/>
      </colorScale>
    </cfRule>
  </conditionalFormatting>
  <conditionalFormatting sqref="S25">
    <cfRule type="dataBar" priority="390">
      <dataBar>
        <cfvo type="min"/>
        <cfvo type="max"/>
        <color rgb="FF638EC6"/>
      </dataBar>
      <extLst>
        <ext xmlns:x14="http://schemas.microsoft.com/office/spreadsheetml/2009/9/main" uri="{B025F937-C7B1-47D3-B67F-A62EFF666E3E}">
          <x14:id>{011F507D-E41D-8645-BB4A-FEAF2D391253}</x14:id>
        </ext>
      </extLst>
    </cfRule>
  </conditionalFormatting>
  <conditionalFormatting sqref="T24">
    <cfRule type="colorScale" priority="389">
      <colorScale>
        <cfvo type="min"/>
        <cfvo type="percentile" val="50"/>
        <cfvo type="max"/>
        <color rgb="FF63BE7B"/>
        <color rgb="FFFFEB84"/>
        <color rgb="FFF8696B"/>
      </colorScale>
    </cfRule>
  </conditionalFormatting>
  <conditionalFormatting sqref="T24">
    <cfRule type="dataBar" priority="388">
      <dataBar>
        <cfvo type="min"/>
        <cfvo type="max"/>
        <color rgb="FF638EC6"/>
      </dataBar>
      <extLst>
        <ext xmlns:x14="http://schemas.microsoft.com/office/spreadsheetml/2009/9/main" uri="{B025F937-C7B1-47D3-B67F-A62EFF666E3E}">
          <x14:id>{1B39DB63-0E68-FB48-B502-E65B68B08501}</x14:id>
        </ext>
      </extLst>
    </cfRule>
  </conditionalFormatting>
  <conditionalFormatting sqref="U23">
    <cfRule type="colorScale" priority="387">
      <colorScale>
        <cfvo type="min"/>
        <cfvo type="percentile" val="50"/>
        <cfvo type="max"/>
        <color rgb="FF63BE7B"/>
        <color rgb="FFFFEB84"/>
        <color rgb="FFF8696B"/>
      </colorScale>
    </cfRule>
  </conditionalFormatting>
  <conditionalFormatting sqref="U23">
    <cfRule type="dataBar" priority="386">
      <dataBar>
        <cfvo type="min"/>
        <cfvo type="max"/>
        <color rgb="FF638EC6"/>
      </dataBar>
      <extLst>
        <ext xmlns:x14="http://schemas.microsoft.com/office/spreadsheetml/2009/9/main" uri="{B025F937-C7B1-47D3-B67F-A62EFF666E3E}">
          <x14:id>{74D2BA54-9BC8-664B-859A-B2E49F2F25B9}</x14:id>
        </ext>
      </extLst>
    </cfRule>
  </conditionalFormatting>
  <conditionalFormatting sqref="V22">
    <cfRule type="colorScale" priority="385">
      <colorScale>
        <cfvo type="min"/>
        <cfvo type="percentile" val="50"/>
        <cfvo type="max"/>
        <color rgb="FF63BE7B"/>
        <color rgb="FFFFEB84"/>
        <color rgb="FFF8696B"/>
      </colorScale>
    </cfRule>
  </conditionalFormatting>
  <conditionalFormatting sqref="V22">
    <cfRule type="dataBar" priority="384">
      <dataBar>
        <cfvo type="min"/>
        <cfvo type="max"/>
        <color rgb="FF638EC6"/>
      </dataBar>
      <extLst>
        <ext xmlns:x14="http://schemas.microsoft.com/office/spreadsheetml/2009/9/main" uri="{B025F937-C7B1-47D3-B67F-A62EFF666E3E}">
          <x14:id>{97F127BF-36AD-FE47-9EF5-8387DFD33EF6}</x14:id>
        </ext>
      </extLst>
    </cfRule>
  </conditionalFormatting>
  <conditionalFormatting sqref="W21">
    <cfRule type="colorScale" priority="383">
      <colorScale>
        <cfvo type="min"/>
        <cfvo type="percentile" val="50"/>
        <cfvo type="max"/>
        <color rgb="FF63BE7B"/>
        <color rgb="FFFFEB84"/>
        <color rgb="FFF8696B"/>
      </colorScale>
    </cfRule>
  </conditionalFormatting>
  <conditionalFormatting sqref="W21">
    <cfRule type="dataBar" priority="382">
      <dataBar>
        <cfvo type="min"/>
        <cfvo type="max"/>
        <color rgb="FF638EC6"/>
      </dataBar>
      <extLst>
        <ext xmlns:x14="http://schemas.microsoft.com/office/spreadsheetml/2009/9/main" uri="{B025F937-C7B1-47D3-B67F-A62EFF666E3E}">
          <x14:id>{BD5E5FCA-C2DB-CF42-8198-055BA11F3AC6}</x14:id>
        </ext>
      </extLst>
    </cfRule>
  </conditionalFormatting>
  <conditionalFormatting sqref="X20">
    <cfRule type="colorScale" priority="381">
      <colorScale>
        <cfvo type="min"/>
        <cfvo type="percentile" val="50"/>
        <cfvo type="max"/>
        <color rgb="FF63BE7B"/>
        <color rgb="FFFFEB84"/>
        <color rgb="FFF8696B"/>
      </colorScale>
    </cfRule>
  </conditionalFormatting>
  <conditionalFormatting sqref="X20">
    <cfRule type="dataBar" priority="380">
      <dataBar>
        <cfvo type="min"/>
        <cfvo type="max"/>
        <color rgb="FF638EC6"/>
      </dataBar>
      <extLst>
        <ext xmlns:x14="http://schemas.microsoft.com/office/spreadsheetml/2009/9/main" uri="{B025F937-C7B1-47D3-B67F-A62EFF666E3E}">
          <x14:id>{331E9F97-A149-8A4D-9AC5-8A114445C48F}</x14:id>
        </ext>
      </extLst>
    </cfRule>
  </conditionalFormatting>
  <conditionalFormatting sqref="Y19">
    <cfRule type="colorScale" priority="379">
      <colorScale>
        <cfvo type="min"/>
        <cfvo type="percentile" val="50"/>
        <cfvo type="max"/>
        <color rgb="FF63BE7B"/>
        <color rgb="FFFFEB84"/>
        <color rgb="FFF8696B"/>
      </colorScale>
    </cfRule>
  </conditionalFormatting>
  <conditionalFormatting sqref="Y19">
    <cfRule type="dataBar" priority="378">
      <dataBar>
        <cfvo type="min"/>
        <cfvo type="max"/>
        <color rgb="FF638EC6"/>
      </dataBar>
      <extLst>
        <ext xmlns:x14="http://schemas.microsoft.com/office/spreadsheetml/2009/9/main" uri="{B025F937-C7B1-47D3-B67F-A62EFF666E3E}">
          <x14:id>{B66FA16F-53DA-9847-B143-79C6A375432B}</x14:id>
        </ext>
      </extLst>
    </cfRule>
  </conditionalFormatting>
  <conditionalFormatting sqref="Z18">
    <cfRule type="colorScale" priority="377">
      <colorScale>
        <cfvo type="min"/>
        <cfvo type="percentile" val="50"/>
        <cfvo type="max"/>
        <color rgb="FF63BE7B"/>
        <color rgb="FFFFEB84"/>
        <color rgb="FFF8696B"/>
      </colorScale>
    </cfRule>
  </conditionalFormatting>
  <conditionalFormatting sqref="Z18">
    <cfRule type="dataBar" priority="376">
      <dataBar>
        <cfvo type="min"/>
        <cfvo type="max"/>
        <color rgb="FF638EC6"/>
      </dataBar>
      <extLst>
        <ext xmlns:x14="http://schemas.microsoft.com/office/spreadsheetml/2009/9/main" uri="{B025F937-C7B1-47D3-B67F-A62EFF666E3E}">
          <x14:id>{31AB2694-DA0F-CC43-BE3B-CDBE6BA60A4B}</x14:id>
        </ext>
      </extLst>
    </cfRule>
  </conditionalFormatting>
  <conditionalFormatting sqref="AA17">
    <cfRule type="colorScale" priority="375">
      <colorScale>
        <cfvo type="min"/>
        <cfvo type="percentile" val="50"/>
        <cfvo type="max"/>
        <color rgb="FF63BE7B"/>
        <color rgb="FFFFEB84"/>
        <color rgb="FFF8696B"/>
      </colorScale>
    </cfRule>
  </conditionalFormatting>
  <conditionalFormatting sqref="AA17">
    <cfRule type="dataBar" priority="374">
      <dataBar>
        <cfvo type="min"/>
        <cfvo type="max"/>
        <color rgb="FF638EC6"/>
      </dataBar>
      <extLst>
        <ext xmlns:x14="http://schemas.microsoft.com/office/spreadsheetml/2009/9/main" uri="{B025F937-C7B1-47D3-B67F-A62EFF666E3E}">
          <x14:id>{1A4679CE-ED89-094F-9672-AAF863226D5E}</x14:id>
        </ext>
      </extLst>
    </cfRule>
  </conditionalFormatting>
  <conditionalFormatting sqref="AB16">
    <cfRule type="colorScale" priority="373">
      <colorScale>
        <cfvo type="min"/>
        <cfvo type="percentile" val="50"/>
        <cfvo type="max"/>
        <color rgb="FF63BE7B"/>
        <color rgb="FFFFEB84"/>
        <color rgb="FFF8696B"/>
      </colorScale>
    </cfRule>
  </conditionalFormatting>
  <conditionalFormatting sqref="AB16">
    <cfRule type="dataBar" priority="372">
      <dataBar>
        <cfvo type="min"/>
        <cfvo type="max"/>
        <color rgb="FF638EC6"/>
      </dataBar>
      <extLst>
        <ext xmlns:x14="http://schemas.microsoft.com/office/spreadsheetml/2009/9/main" uri="{B025F937-C7B1-47D3-B67F-A62EFF666E3E}">
          <x14:id>{5D3286FE-1E78-8241-88CC-7D9B5E2E30D3}</x14:id>
        </ext>
      </extLst>
    </cfRule>
  </conditionalFormatting>
  <conditionalFormatting sqref="AC15">
    <cfRule type="colorScale" priority="371">
      <colorScale>
        <cfvo type="min"/>
        <cfvo type="percentile" val="50"/>
        <cfvo type="max"/>
        <color rgb="FF63BE7B"/>
        <color rgb="FFFFEB84"/>
        <color rgb="FFF8696B"/>
      </colorScale>
    </cfRule>
  </conditionalFormatting>
  <conditionalFormatting sqref="AC15">
    <cfRule type="dataBar" priority="370">
      <dataBar>
        <cfvo type="min"/>
        <cfvo type="max"/>
        <color rgb="FF638EC6"/>
      </dataBar>
      <extLst>
        <ext xmlns:x14="http://schemas.microsoft.com/office/spreadsheetml/2009/9/main" uri="{B025F937-C7B1-47D3-B67F-A62EFF666E3E}">
          <x14:id>{FB4D6EB1-AB0F-3F4B-B32F-8519EF66670A}</x14:id>
        </ext>
      </extLst>
    </cfRule>
  </conditionalFormatting>
  <conditionalFormatting sqref="AD14">
    <cfRule type="colorScale" priority="369">
      <colorScale>
        <cfvo type="min"/>
        <cfvo type="percentile" val="50"/>
        <cfvo type="max"/>
        <color rgb="FF63BE7B"/>
        <color rgb="FFFFEB84"/>
        <color rgb="FFF8696B"/>
      </colorScale>
    </cfRule>
  </conditionalFormatting>
  <conditionalFormatting sqref="AD14">
    <cfRule type="dataBar" priority="368">
      <dataBar>
        <cfvo type="min"/>
        <cfvo type="max"/>
        <color rgb="FF638EC6"/>
      </dataBar>
      <extLst>
        <ext xmlns:x14="http://schemas.microsoft.com/office/spreadsheetml/2009/9/main" uri="{B025F937-C7B1-47D3-B67F-A62EFF666E3E}">
          <x14:id>{339A9AAA-763A-5844-85CC-12DDA3BC62B2}</x14:id>
        </ext>
      </extLst>
    </cfRule>
  </conditionalFormatting>
  <conditionalFormatting sqref="AE13">
    <cfRule type="colorScale" priority="367">
      <colorScale>
        <cfvo type="min"/>
        <cfvo type="percentile" val="50"/>
        <cfvo type="max"/>
        <color rgb="FF63BE7B"/>
        <color rgb="FFFFEB84"/>
        <color rgb="FFF8696B"/>
      </colorScale>
    </cfRule>
  </conditionalFormatting>
  <conditionalFormatting sqref="AE13">
    <cfRule type="dataBar" priority="366">
      <dataBar>
        <cfvo type="min"/>
        <cfvo type="max"/>
        <color rgb="FF638EC6"/>
      </dataBar>
      <extLst>
        <ext xmlns:x14="http://schemas.microsoft.com/office/spreadsheetml/2009/9/main" uri="{B025F937-C7B1-47D3-B67F-A62EFF666E3E}">
          <x14:id>{2F8716B6-2395-2545-8715-EC68E709685A}</x14:id>
        </ext>
      </extLst>
    </cfRule>
  </conditionalFormatting>
  <conditionalFormatting sqref="M33">
    <cfRule type="dataBar" priority="365">
      <dataBar>
        <cfvo type="min"/>
        <cfvo type="max"/>
        <color rgb="FF638EC6"/>
      </dataBar>
      <extLst>
        <ext xmlns:x14="http://schemas.microsoft.com/office/spreadsheetml/2009/9/main" uri="{B025F937-C7B1-47D3-B67F-A62EFF666E3E}">
          <x14:id>{F8A54645-269E-FE43-B86C-B007E9C92042}</x14:id>
        </ext>
      </extLst>
    </cfRule>
  </conditionalFormatting>
  <conditionalFormatting sqref="O31">
    <cfRule type="colorScale" priority="364">
      <colorScale>
        <cfvo type="min"/>
        <cfvo type="percentile" val="50"/>
        <cfvo type="max"/>
        <color rgb="FF63BE7B"/>
        <color rgb="FFFFEB84"/>
        <color rgb="FFF8696B"/>
      </colorScale>
    </cfRule>
  </conditionalFormatting>
  <conditionalFormatting sqref="O31">
    <cfRule type="dataBar" priority="363">
      <dataBar>
        <cfvo type="min"/>
        <cfvo type="max"/>
        <color rgb="FF638EC6"/>
      </dataBar>
      <extLst>
        <ext xmlns:x14="http://schemas.microsoft.com/office/spreadsheetml/2009/9/main" uri="{B025F937-C7B1-47D3-B67F-A62EFF666E3E}">
          <x14:id>{C9B0D0F4-DD83-8C47-8FD1-69309CC204A0}</x14:id>
        </ext>
      </extLst>
    </cfRule>
  </conditionalFormatting>
  <conditionalFormatting sqref="P30">
    <cfRule type="colorScale" priority="362">
      <colorScale>
        <cfvo type="min"/>
        <cfvo type="percentile" val="50"/>
        <cfvo type="max"/>
        <color rgb="FF63BE7B"/>
        <color rgb="FFFFEB84"/>
        <color rgb="FFF8696B"/>
      </colorScale>
    </cfRule>
  </conditionalFormatting>
  <conditionalFormatting sqref="P30">
    <cfRule type="dataBar" priority="361">
      <dataBar>
        <cfvo type="min"/>
        <cfvo type="max"/>
        <color rgb="FF638EC6"/>
      </dataBar>
      <extLst>
        <ext xmlns:x14="http://schemas.microsoft.com/office/spreadsheetml/2009/9/main" uri="{B025F937-C7B1-47D3-B67F-A62EFF666E3E}">
          <x14:id>{BA8FCD5B-3FB2-8C42-BC78-9D9806FF218A}</x14:id>
        </ext>
      </extLst>
    </cfRule>
  </conditionalFormatting>
  <conditionalFormatting sqref="Q29">
    <cfRule type="colorScale" priority="360">
      <colorScale>
        <cfvo type="min"/>
        <cfvo type="percentile" val="50"/>
        <cfvo type="max"/>
        <color rgb="FF63BE7B"/>
        <color rgb="FFFFEB84"/>
        <color rgb="FFF8696B"/>
      </colorScale>
    </cfRule>
  </conditionalFormatting>
  <conditionalFormatting sqref="Q29">
    <cfRule type="dataBar" priority="359">
      <dataBar>
        <cfvo type="min"/>
        <cfvo type="max"/>
        <color rgb="FF638EC6"/>
      </dataBar>
      <extLst>
        <ext xmlns:x14="http://schemas.microsoft.com/office/spreadsheetml/2009/9/main" uri="{B025F937-C7B1-47D3-B67F-A62EFF666E3E}">
          <x14:id>{2366DA55-5FE2-9649-8E25-11769C7B99F9}</x14:id>
        </ext>
      </extLst>
    </cfRule>
  </conditionalFormatting>
  <conditionalFormatting sqref="R28">
    <cfRule type="colorScale" priority="358">
      <colorScale>
        <cfvo type="min"/>
        <cfvo type="percentile" val="50"/>
        <cfvo type="max"/>
        <color rgb="FF63BE7B"/>
        <color rgb="FFFFEB84"/>
        <color rgb="FFF8696B"/>
      </colorScale>
    </cfRule>
  </conditionalFormatting>
  <conditionalFormatting sqref="R28">
    <cfRule type="dataBar" priority="357">
      <dataBar>
        <cfvo type="min"/>
        <cfvo type="max"/>
        <color rgb="FF638EC6"/>
      </dataBar>
      <extLst>
        <ext xmlns:x14="http://schemas.microsoft.com/office/spreadsheetml/2009/9/main" uri="{B025F937-C7B1-47D3-B67F-A62EFF666E3E}">
          <x14:id>{74D31A1B-0CF3-7443-9F0A-98B02837BDFB}</x14:id>
        </ext>
      </extLst>
    </cfRule>
  </conditionalFormatting>
  <conditionalFormatting sqref="S27">
    <cfRule type="colorScale" priority="356">
      <colorScale>
        <cfvo type="min"/>
        <cfvo type="percentile" val="50"/>
        <cfvo type="max"/>
        <color rgb="FF63BE7B"/>
        <color rgb="FFFFEB84"/>
        <color rgb="FFF8696B"/>
      </colorScale>
    </cfRule>
  </conditionalFormatting>
  <conditionalFormatting sqref="S27">
    <cfRule type="dataBar" priority="355">
      <dataBar>
        <cfvo type="min"/>
        <cfvo type="max"/>
        <color rgb="FF638EC6"/>
      </dataBar>
      <extLst>
        <ext xmlns:x14="http://schemas.microsoft.com/office/spreadsheetml/2009/9/main" uri="{B025F937-C7B1-47D3-B67F-A62EFF666E3E}">
          <x14:id>{B5BABD4F-8746-2F4C-88B7-321F1A36D172}</x14:id>
        </ext>
      </extLst>
    </cfRule>
  </conditionalFormatting>
  <conditionalFormatting sqref="T26">
    <cfRule type="colorScale" priority="354">
      <colorScale>
        <cfvo type="min"/>
        <cfvo type="percentile" val="50"/>
        <cfvo type="max"/>
        <color rgb="FF63BE7B"/>
        <color rgb="FFFFEB84"/>
        <color rgb="FFF8696B"/>
      </colorScale>
    </cfRule>
  </conditionalFormatting>
  <conditionalFormatting sqref="T26">
    <cfRule type="dataBar" priority="353">
      <dataBar>
        <cfvo type="min"/>
        <cfvo type="max"/>
        <color rgb="FF638EC6"/>
      </dataBar>
      <extLst>
        <ext xmlns:x14="http://schemas.microsoft.com/office/spreadsheetml/2009/9/main" uri="{B025F937-C7B1-47D3-B67F-A62EFF666E3E}">
          <x14:id>{76D58D34-4817-4649-93C1-935C5E06F6CA}</x14:id>
        </ext>
      </extLst>
    </cfRule>
  </conditionalFormatting>
  <conditionalFormatting sqref="U25">
    <cfRule type="colorScale" priority="352">
      <colorScale>
        <cfvo type="min"/>
        <cfvo type="percentile" val="50"/>
        <cfvo type="max"/>
        <color rgb="FF63BE7B"/>
        <color rgb="FFFFEB84"/>
        <color rgb="FFF8696B"/>
      </colorScale>
    </cfRule>
  </conditionalFormatting>
  <conditionalFormatting sqref="U25">
    <cfRule type="dataBar" priority="351">
      <dataBar>
        <cfvo type="min"/>
        <cfvo type="max"/>
        <color rgb="FF638EC6"/>
      </dataBar>
      <extLst>
        <ext xmlns:x14="http://schemas.microsoft.com/office/spreadsheetml/2009/9/main" uri="{B025F937-C7B1-47D3-B67F-A62EFF666E3E}">
          <x14:id>{0D728C35-730E-9348-BFE1-B18AD0025992}</x14:id>
        </ext>
      </extLst>
    </cfRule>
  </conditionalFormatting>
  <conditionalFormatting sqref="V24">
    <cfRule type="colorScale" priority="350">
      <colorScale>
        <cfvo type="min"/>
        <cfvo type="percentile" val="50"/>
        <cfvo type="max"/>
        <color rgb="FF63BE7B"/>
        <color rgb="FFFFEB84"/>
        <color rgb="FFF8696B"/>
      </colorScale>
    </cfRule>
  </conditionalFormatting>
  <conditionalFormatting sqref="V24">
    <cfRule type="dataBar" priority="349">
      <dataBar>
        <cfvo type="min"/>
        <cfvo type="max"/>
        <color rgb="FF638EC6"/>
      </dataBar>
      <extLst>
        <ext xmlns:x14="http://schemas.microsoft.com/office/spreadsheetml/2009/9/main" uri="{B025F937-C7B1-47D3-B67F-A62EFF666E3E}">
          <x14:id>{1D4776AD-259E-CB4C-A0F9-A7DC04C79F15}</x14:id>
        </ext>
      </extLst>
    </cfRule>
  </conditionalFormatting>
  <conditionalFormatting sqref="W23">
    <cfRule type="colorScale" priority="348">
      <colorScale>
        <cfvo type="min"/>
        <cfvo type="percentile" val="50"/>
        <cfvo type="max"/>
        <color rgb="FF63BE7B"/>
        <color rgb="FFFFEB84"/>
        <color rgb="FFF8696B"/>
      </colorScale>
    </cfRule>
  </conditionalFormatting>
  <conditionalFormatting sqref="W23">
    <cfRule type="dataBar" priority="347">
      <dataBar>
        <cfvo type="min"/>
        <cfvo type="max"/>
        <color rgb="FF638EC6"/>
      </dataBar>
      <extLst>
        <ext xmlns:x14="http://schemas.microsoft.com/office/spreadsheetml/2009/9/main" uri="{B025F937-C7B1-47D3-B67F-A62EFF666E3E}">
          <x14:id>{0FA6FFFF-FD95-6F47-9A5D-A1FC81C02767}</x14:id>
        </ext>
      </extLst>
    </cfRule>
  </conditionalFormatting>
  <conditionalFormatting sqref="X22">
    <cfRule type="colorScale" priority="346">
      <colorScale>
        <cfvo type="min"/>
        <cfvo type="percentile" val="50"/>
        <cfvo type="max"/>
        <color rgb="FF63BE7B"/>
        <color rgb="FFFFEB84"/>
        <color rgb="FFF8696B"/>
      </colorScale>
    </cfRule>
  </conditionalFormatting>
  <conditionalFormatting sqref="X22">
    <cfRule type="dataBar" priority="345">
      <dataBar>
        <cfvo type="min"/>
        <cfvo type="max"/>
        <color rgb="FF638EC6"/>
      </dataBar>
      <extLst>
        <ext xmlns:x14="http://schemas.microsoft.com/office/spreadsheetml/2009/9/main" uri="{B025F937-C7B1-47D3-B67F-A62EFF666E3E}">
          <x14:id>{F0D83AAA-B02C-2A4D-A19C-F2195B986024}</x14:id>
        </ext>
      </extLst>
    </cfRule>
  </conditionalFormatting>
  <conditionalFormatting sqref="Y21">
    <cfRule type="colorScale" priority="344">
      <colorScale>
        <cfvo type="min"/>
        <cfvo type="percentile" val="50"/>
        <cfvo type="max"/>
        <color rgb="FF63BE7B"/>
        <color rgb="FFFFEB84"/>
        <color rgb="FFF8696B"/>
      </colorScale>
    </cfRule>
  </conditionalFormatting>
  <conditionalFormatting sqref="Y21">
    <cfRule type="dataBar" priority="343">
      <dataBar>
        <cfvo type="min"/>
        <cfvo type="max"/>
        <color rgb="FF638EC6"/>
      </dataBar>
      <extLst>
        <ext xmlns:x14="http://schemas.microsoft.com/office/spreadsheetml/2009/9/main" uri="{B025F937-C7B1-47D3-B67F-A62EFF666E3E}">
          <x14:id>{35E135DD-A1FB-914B-93E4-A69E366A2A06}</x14:id>
        </ext>
      </extLst>
    </cfRule>
  </conditionalFormatting>
  <conditionalFormatting sqref="Z20">
    <cfRule type="colorScale" priority="342">
      <colorScale>
        <cfvo type="min"/>
        <cfvo type="percentile" val="50"/>
        <cfvo type="max"/>
        <color rgb="FF63BE7B"/>
        <color rgb="FFFFEB84"/>
        <color rgb="FFF8696B"/>
      </colorScale>
    </cfRule>
  </conditionalFormatting>
  <conditionalFormatting sqref="Z20">
    <cfRule type="dataBar" priority="341">
      <dataBar>
        <cfvo type="min"/>
        <cfvo type="max"/>
        <color rgb="FF638EC6"/>
      </dataBar>
      <extLst>
        <ext xmlns:x14="http://schemas.microsoft.com/office/spreadsheetml/2009/9/main" uri="{B025F937-C7B1-47D3-B67F-A62EFF666E3E}">
          <x14:id>{E709E43C-6027-944E-8691-AE16CFE12DB3}</x14:id>
        </ext>
      </extLst>
    </cfRule>
  </conditionalFormatting>
  <conditionalFormatting sqref="AA19">
    <cfRule type="colorScale" priority="340">
      <colorScale>
        <cfvo type="min"/>
        <cfvo type="percentile" val="50"/>
        <cfvo type="max"/>
        <color rgb="FF63BE7B"/>
        <color rgb="FFFFEB84"/>
        <color rgb="FFF8696B"/>
      </colorScale>
    </cfRule>
  </conditionalFormatting>
  <conditionalFormatting sqref="AA19">
    <cfRule type="dataBar" priority="339">
      <dataBar>
        <cfvo type="min"/>
        <cfvo type="max"/>
        <color rgb="FF638EC6"/>
      </dataBar>
      <extLst>
        <ext xmlns:x14="http://schemas.microsoft.com/office/spreadsheetml/2009/9/main" uri="{B025F937-C7B1-47D3-B67F-A62EFF666E3E}">
          <x14:id>{63C3C45F-9E59-5346-9F62-E9ECD0AAB44C}</x14:id>
        </ext>
      </extLst>
    </cfRule>
  </conditionalFormatting>
  <conditionalFormatting sqref="AB18">
    <cfRule type="colorScale" priority="338">
      <colorScale>
        <cfvo type="min"/>
        <cfvo type="percentile" val="50"/>
        <cfvo type="max"/>
        <color rgb="FF63BE7B"/>
        <color rgb="FFFFEB84"/>
        <color rgb="FFF8696B"/>
      </colorScale>
    </cfRule>
  </conditionalFormatting>
  <conditionalFormatting sqref="AB18">
    <cfRule type="dataBar" priority="337">
      <dataBar>
        <cfvo type="min"/>
        <cfvo type="max"/>
        <color rgb="FF638EC6"/>
      </dataBar>
      <extLst>
        <ext xmlns:x14="http://schemas.microsoft.com/office/spreadsheetml/2009/9/main" uri="{B025F937-C7B1-47D3-B67F-A62EFF666E3E}">
          <x14:id>{0B992300-46A0-7F4F-AAAF-DB7B696E490D}</x14:id>
        </ext>
      </extLst>
    </cfRule>
  </conditionalFormatting>
  <conditionalFormatting sqref="AC17">
    <cfRule type="colorScale" priority="336">
      <colorScale>
        <cfvo type="min"/>
        <cfvo type="percentile" val="50"/>
        <cfvo type="max"/>
        <color rgb="FF63BE7B"/>
        <color rgb="FFFFEB84"/>
        <color rgb="FFF8696B"/>
      </colorScale>
    </cfRule>
  </conditionalFormatting>
  <conditionalFormatting sqref="AC17">
    <cfRule type="dataBar" priority="335">
      <dataBar>
        <cfvo type="min"/>
        <cfvo type="max"/>
        <color rgb="FF638EC6"/>
      </dataBar>
      <extLst>
        <ext xmlns:x14="http://schemas.microsoft.com/office/spreadsheetml/2009/9/main" uri="{B025F937-C7B1-47D3-B67F-A62EFF666E3E}">
          <x14:id>{DEE8F77F-CC78-C14B-A52B-E169C572A399}</x14:id>
        </ext>
      </extLst>
    </cfRule>
  </conditionalFormatting>
  <conditionalFormatting sqref="AD16">
    <cfRule type="colorScale" priority="334">
      <colorScale>
        <cfvo type="min"/>
        <cfvo type="percentile" val="50"/>
        <cfvo type="max"/>
        <color rgb="FF63BE7B"/>
        <color rgb="FFFFEB84"/>
        <color rgb="FFF8696B"/>
      </colorScale>
    </cfRule>
  </conditionalFormatting>
  <conditionalFormatting sqref="AD16">
    <cfRule type="dataBar" priority="333">
      <dataBar>
        <cfvo type="min"/>
        <cfvo type="max"/>
        <color rgb="FF638EC6"/>
      </dataBar>
      <extLst>
        <ext xmlns:x14="http://schemas.microsoft.com/office/spreadsheetml/2009/9/main" uri="{B025F937-C7B1-47D3-B67F-A62EFF666E3E}">
          <x14:id>{96377C5C-6A0A-1A4D-BF86-57E2EE668D4D}</x14:id>
        </ext>
      </extLst>
    </cfRule>
  </conditionalFormatting>
  <conditionalFormatting sqref="M35">
    <cfRule type="dataBar" priority="332">
      <dataBar>
        <cfvo type="min"/>
        <cfvo type="max"/>
        <color rgb="FF638EC6"/>
      </dataBar>
      <extLst>
        <ext xmlns:x14="http://schemas.microsoft.com/office/spreadsheetml/2009/9/main" uri="{B025F937-C7B1-47D3-B67F-A62EFF666E3E}">
          <x14:id>{4A65A67F-78D0-634A-A60C-BD89A42490DD}</x14:id>
        </ext>
      </extLst>
    </cfRule>
  </conditionalFormatting>
  <conditionalFormatting sqref="N34">
    <cfRule type="colorScale" priority="331">
      <colorScale>
        <cfvo type="min"/>
        <cfvo type="percentile" val="50"/>
        <cfvo type="max"/>
        <color rgb="FF63BE7B"/>
        <color rgb="FFFFEB84"/>
        <color rgb="FFF8696B"/>
      </colorScale>
    </cfRule>
  </conditionalFormatting>
  <conditionalFormatting sqref="N34">
    <cfRule type="dataBar" priority="330">
      <dataBar>
        <cfvo type="min"/>
        <cfvo type="max"/>
        <color rgb="FF638EC6"/>
      </dataBar>
      <extLst>
        <ext xmlns:x14="http://schemas.microsoft.com/office/spreadsheetml/2009/9/main" uri="{B025F937-C7B1-47D3-B67F-A62EFF666E3E}">
          <x14:id>{837E126E-ADC8-7742-BE1D-A7AECA2B5F10}</x14:id>
        </ext>
      </extLst>
    </cfRule>
  </conditionalFormatting>
  <conditionalFormatting sqref="O33">
    <cfRule type="colorScale" priority="329">
      <colorScale>
        <cfvo type="min"/>
        <cfvo type="percentile" val="50"/>
        <cfvo type="max"/>
        <color rgb="FF63BE7B"/>
        <color rgb="FFFFEB84"/>
        <color rgb="FFF8696B"/>
      </colorScale>
    </cfRule>
  </conditionalFormatting>
  <conditionalFormatting sqref="O33">
    <cfRule type="dataBar" priority="328">
      <dataBar>
        <cfvo type="min"/>
        <cfvo type="max"/>
        <color rgb="FF638EC6"/>
      </dataBar>
      <extLst>
        <ext xmlns:x14="http://schemas.microsoft.com/office/spreadsheetml/2009/9/main" uri="{B025F937-C7B1-47D3-B67F-A62EFF666E3E}">
          <x14:id>{BF6D8729-CAFB-D446-85EA-EC605C79BAF5}</x14:id>
        </ext>
      </extLst>
    </cfRule>
  </conditionalFormatting>
  <conditionalFormatting sqref="P32">
    <cfRule type="colorScale" priority="327">
      <colorScale>
        <cfvo type="min"/>
        <cfvo type="percentile" val="50"/>
        <cfvo type="max"/>
        <color rgb="FF63BE7B"/>
        <color rgb="FFFFEB84"/>
        <color rgb="FFF8696B"/>
      </colorScale>
    </cfRule>
  </conditionalFormatting>
  <conditionalFormatting sqref="P32">
    <cfRule type="dataBar" priority="326">
      <dataBar>
        <cfvo type="min"/>
        <cfvo type="max"/>
        <color rgb="FF638EC6"/>
      </dataBar>
      <extLst>
        <ext xmlns:x14="http://schemas.microsoft.com/office/spreadsheetml/2009/9/main" uri="{B025F937-C7B1-47D3-B67F-A62EFF666E3E}">
          <x14:id>{83666D4C-6ADB-8946-B1DB-F129FF325906}</x14:id>
        </ext>
      </extLst>
    </cfRule>
  </conditionalFormatting>
  <conditionalFormatting sqref="Q31">
    <cfRule type="colorScale" priority="325">
      <colorScale>
        <cfvo type="min"/>
        <cfvo type="percentile" val="50"/>
        <cfvo type="max"/>
        <color rgb="FF63BE7B"/>
        <color rgb="FFFFEB84"/>
        <color rgb="FFF8696B"/>
      </colorScale>
    </cfRule>
  </conditionalFormatting>
  <conditionalFormatting sqref="Q31">
    <cfRule type="dataBar" priority="324">
      <dataBar>
        <cfvo type="min"/>
        <cfvo type="max"/>
        <color rgb="FF638EC6"/>
      </dataBar>
      <extLst>
        <ext xmlns:x14="http://schemas.microsoft.com/office/spreadsheetml/2009/9/main" uri="{B025F937-C7B1-47D3-B67F-A62EFF666E3E}">
          <x14:id>{A21166E1-3206-894F-8B6B-A37D9F1B507D}</x14:id>
        </ext>
      </extLst>
    </cfRule>
  </conditionalFormatting>
  <conditionalFormatting sqref="R30">
    <cfRule type="colorScale" priority="323">
      <colorScale>
        <cfvo type="min"/>
        <cfvo type="percentile" val="50"/>
        <cfvo type="max"/>
        <color rgb="FF63BE7B"/>
        <color rgb="FFFFEB84"/>
        <color rgb="FFF8696B"/>
      </colorScale>
    </cfRule>
  </conditionalFormatting>
  <conditionalFormatting sqref="R30">
    <cfRule type="dataBar" priority="322">
      <dataBar>
        <cfvo type="min"/>
        <cfvo type="max"/>
        <color rgb="FF638EC6"/>
      </dataBar>
      <extLst>
        <ext xmlns:x14="http://schemas.microsoft.com/office/spreadsheetml/2009/9/main" uri="{B025F937-C7B1-47D3-B67F-A62EFF666E3E}">
          <x14:id>{B3E1EDB3-35C1-B347-A393-6A01302410E7}</x14:id>
        </ext>
      </extLst>
    </cfRule>
  </conditionalFormatting>
  <conditionalFormatting sqref="S29">
    <cfRule type="colorScale" priority="321">
      <colorScale>
        <cfvo type="min"/>
        <cfvo type="percentile" val="50"/>
        <cfvo type="max"/>
        <color rgb="FF63BE7B"/>
        <color rgb="FFFFEB84"/>
        <color rgb="FFF8696B"/>
      </colorScale>
    </cfRule>
  </conditionalFormatting>
  <conditionalFormatting sqref="S29">
    <cfRule type="dataBar" priority="320">
      <dataBar>
        <cfvo type="min"/>
        <cfvo type="max"/>
        <color rgb="FF638EC6"/>
      </dataBar>
      <extLst>
        <ext xmlns:x14="http://schemas.microsoft.com/office/spreadsheetml/2009/9/main" uri="{B025F937-C7B1-47D3-B67F-A62EFF666E3E}">
          <x14:id>{F7C0F0F9-B605-D24D-810E-76943058C861}</x14:id>
        </ext>
      </extLst>
    </cfRule>
  </conditionalFormatting>
  <conditionalFormatting sqref="T28">
    <cfRule type="colorScale" priority="319">
      <colorScale>
        <cfvo type="min"/>
        <cfvo type="percentile" val="50"/>
        <cfvo type="max"/>
        <color rgb="FF63BE7B"/>
        <color rgb="FFFFEB84"/>
        <color rgb="FFF8696B"/>
      </colorScale>
    </cfRule>
  </conditionalFormatting>
  <conditionalFormatting sqref="T28">
    <cfRule type="dataBar" priority="318">
      <dataBar>
        <cfvo type="min"/>
        <cfvo type="max"/>
        <color rgb="FF638EC6"/>
      </dataBar>
      <extLst>
        <ext xmlns:x14="http://schemas.microsoft.com/office/spreadsheetml/2009/9/main" uri="{B025F937-C7B1-47D3-B67F-A62EFF666E3E}">
          <x14:id>{E426C7BD-361C-384B-8045-B01445071325}</x14:id>
        </ext>
      </extLst>
    </cfRule>
  </conditionalFormatting>
  <conditionalFormatting sqref="U27">
    <cfRule type="colorScale" priority="317">
      <colorScale>
        <cfvo type="min"/>
        <cfvo type="percentile" val="50"/>
        <cfvo type="max"/>
        <color rgb="FF63BE7B"/>
        <color rgb="FFFFEB84"/>
        <color rgb="FFF8696B"/>
      </colorScale>
    </cfRule>
  </conditionalFormatting>
  <conditionalFormatting sqref="U27">
    <cfRule type="dataBar" priority="316">
      <dataBar>
        <cfvo type="min"/>
        <cfvo type="max"/>
        <color rgb="FF638EC6"/>
      </dataBar>
      <extLst>
        <ext xmlns:x14="http://schemas.microsoft.com/office/spreadsheetml/2009/9/main" uri="{B025F937-C7B1-47D3-B67F-A62EFF666E3E}">
          <x14:id>{2609C047-CC42-4049-95CD-B9D58E8C28EF}</x14:id>
        </ext>
      </extLst>
    </cfRule>
  </conditionalFormatting>
  <conditionalFormatting sqref="V26">
    <cfRule type="colorScale" priority="315">
      <colorScale>
        <cfvo type="min"/>
        <cfvo type="percentile" val="50"/>
        <cfvo type="max"/>
        <color rgb="FF63BE7B"/>
        <color rgb="FFFFEB84"/>
        <color rgb="FFF8696B"/>
      </colorScale>
    </cfRule>
  </conditionalFormatting>
  <conditionalFormatting sqref="V26">
    <cfRule type="dataBar" priority="314">
      <dataBar>
        <cfvo type="min"/>
        <cfvo type="max"/>
        <color rgb="FF638EC6"/>
      </dataBar>
      <extLst>
        <ext xmlns:x14="http://schemas.microsoft.com/office/spreadsheetml/2009/9/main" uri="{B025F937-C7B1-47D3-B67F-A62EFF666E3E}">
          <x14:id>{FDDBB807-15AE-C94D-B2D2-4F0C69663470}</x14:id>
        </ext>
      </extLst>
    </cfRule>
  </conditionalFormatting>
  <conditionalFormatting sqref="W25">
    <cfRule type="colorScale" priority="313">
      <colorScale>
        <cfvo type="min"/>
        <cfvo type="percentile" val="50"/>
        <cfvo type="max"/>
        <color rgb="FF63BE7B"/>
        <color rgb="FFFFEB84"/>
        <color rgb="FFF8696B"/>
      </colorScale>
    </cfRule>
  </conditionalFormatting>
  <conditionalFormatting sqref="W25">
    <cfRule type="dataBar" priority="312">
      <dataBar>
        <cfvo type="min"/>
        <cfvo type="max"/>
        <color rgb="FF638EC6"/>
      </dataBar>
      <extLst>
        <ext xmlns:x14="http://schemas.microsoft.com/office/spreadsheetml/2009/9/main" uri="{B025F937-C7B1-47D3-B67F-A62EFF666E3E}">
          <x14:id>{51F14C4C-83B9-2F4B-838B-3CC4CB3EC046}</x14:id>
        </ext>
      </extLst>
    </cfRule>
  </conditionalFormatting>
  <conditionalFormatting sqref="X24">
    <cfRule type="colorScale" priority="311">
      <colorScale>
        <cfvo type="min"/>
        <cfvo type="percentile" val="50"/>
        <cfvo type="max"/>
        <color rgb="FF63BE7B"/>
        <color rgb="FFFFEB84"/>
        <color rgb="FFF8696B"/>
      </colorScale>
    </cfRule>
  </conditionalFormatting>
  <conditionalFormatting sqref="X24">
    <cfRule type="dataBar" priority="310">
      <dataBar>
        <cfvo type="min"/>
        <cfvo type="max"/>
        <color rgb="FF638EC6"/>
      </dataBar>
      <extLst>
        <ext xmlns:x14="http://schemas.microsoft.com/office/spreadsheetml/2009/9/main" uri="{B025F937-C7B1-47D3-B67F-A62EFF666E3E}">
          <x14:id>{2662A248-574C-6849-A599-7D4A3A17DBE2}</x14:id>
        </ext>
      </extLst>
    </cfRule>
  </conditionalFormatting>
  <conditionalFormatting sqref="Y23">
    <cfRule type="colorScale" priority="309">
      <colorScale>
        <cfvo type="min"/>
        <cfvo type="percentile" val="50"/>
        <cfvo type="max"/>
        <color rgb="FF63BE7B"/>
        <color rgb="FFFFEB84"/>
        <color rgb="FFF8696B"/>
      </colorScale>
    </cfRule>
  </conditionalFormatting>
  <conditionalFormatting sqref="Y23">
    <cfRule type="dataBar" priority="308">
      <dataBar>
        <cfvo type="min"/>
        <cfvo type="max"/>
        <color rgb="FF638EC6"/>
      </dataBar>
      <extLst>
        <ext xmlns:x14="http://schemas.microsoft.com/office/spreadsheetml/2009/9/main" uri="{B025F937-C7B1-47D3-B67F-A62EFF666E3E}">
          <x14:id>{DA0909F8-853A-3E45-91F0-D3589FA5CC27}</x14:id>
        </ext>
      </extLst>
    </cfRule>
  </conditionalFormatting>
  <conditionalFormatting sqref="Z22">
    <cfRule type="colorScale" priority="307">
      <colorScale>
        <cfvo type="min"/>
        <cfvo type="percentile" val="50"/>
        <cfvo type="max"/>
        <color rgb="FF63BE7B"/>
        <color rgb="FFFFEB84"/>
        <color rgb="FFF8696B"/>
      </colorScale>
    </cfRule>
  </conditionalFormatting>
  <conditionalFormatting sqref="Z22">
    <cfRule type="dataBar" priority="306">
      <dataBar>
        <cfvo type="min"/>
        <cfvo type="max"/>
        <color rgb="FF638EC6"/>
      </dataBar>
      <extLst>
        <ext xmlns:x14="http://schemas.microsoft.com/office/spreadsheetml/2009/9/main" uri="{B025F937-C7B1-47D3-B67F-A62EFF666E3E}">
          <x14:id>{D65B5DFE-2A69-3748-BD4A-0D6C5E76C1EA}</x14:id>
        </ext>
      </extLst>
    </cfRule>
  </conditionalFormatting>
  <conditionalFormatting sqref="AA21">
    <cfRule type="colorScale" priority="305">
      <colorScale>
        <cfvo type="min"/>
        <cfvo type="percentile" val="50"/>
        <cfvo type="max"/>
        <color rgb="FF63BE7B"/>
        <color rgb="FFFFEB84"/>
        <color rgb="FFF8696B"/>
      </colorScale>
    </cfRule>
  </conditionalFormatting>
  <conditionalFormatting sqref="AA21">
    <cfRule type="dataBar" priority="304">
      <dataBar>
        <cfvo type="min"/>
        <cfvo type="max"/>
        <color rgb="FF638EC6"/>
      </dataBar>
      <extLst>
        <ext xmlns:x14="http://schemas.microsoft.com/office/spreadsheetml/2009/9/main" uri="{B025F937-C7B1-47D3-B67F-A62EFF666E3E}">
          <x14:id>{F5FA7D32-F1DB-E745-A3CD-B10D93A9479A}</x14:id>
        </ext>
      </extLst>
    </cfRule>
  </conditionalFormatting>
  <conditionalFormatting sqref="AB20">
    <cfRule type="colorScale" priority="303">
      <colorScale>
        <cfvo type="min"/>
        <cfvo type="percentile" val="50"/>
        <cfvo type="max"/>
        <color rgb="FF63BE7B"/>
        <color rgb="FFFFEB84"/>
        <color rgb="FFF8696B"/>
      </colorScale>
    </cfRule>
  </conditionalFormatting>
  <conditionalFormatting sqref="AB20">
    <cfRule type="dataBar" priority="302">
      <dataBar>
        <cfvo type="min"/>
        <cfvo type="max"/>
        <color rgb="FF638EC6"/>
      </dataBar>
      <extLst>
        <ext xmlns:x14="http://schemas.microsoft.com/office/spreadsheetml/2009/9/main" uri="{B025F937-C7B1-47D3-B67F-A62EFF666E3E}">
          <x14:id>{C13CD265-7D6D-9248-9909-601ADE06D761}</x14:id>
        </ext>
      </extLst>
    </cfRule>
  </conditionalFormatting>
  <conditionalFormatting sqref="AC19">
    <cfRule type="colorScale" priority="301">
      <colorScale>
        <cfvo type="min"/>
        <cfvo type="percentile" val="50"/>
        <cfvo type="max"/>
        <color rgb="FF63BE7B"/>
        <color rgb="FFFFEB84"/>
        <color rgb="FFF8696B"/>
      </colorScale>
    </cfRule>
  </conditionalFormatting>
  <conditionalFormatting sqref="AC19">
    <cfRule type="dataBar" priority="300">
      <dataBar>
        <cfvo type="min"/>
        <cfvo type="max"/>
        <color rgb="FF638EC6"/>
      </dataBar>
      <extLst>
        <ext xmlns:x14="http://schemas.microsoft.com/office/spreadsheetml/2009/9/main" uri="{B025F937-C7B1-47D3-B67F-A62EFF666E3E}">
          <x14:id>{79CA571E-D4C2-9B4E-A786-E1987D6251D1}</x14:id>
        </ext>
      </extLst>
    </cfRule>
  </conditionalFormatting>
  <conditionalFormatting sqref="AD18">
    <cfRule type="colorScale" priority="299">
      <colorScale>
        <cfvo type="min"/>
        <cfvo type="percentile" val="50"/>
        <cfvo type="max"/>
        <color rgb="FF63BE7B"/>
        <color rgb="FFFFEB84"/>
        <color rgb="FFF8696B"/>
      </colorScale>
    </cfRule>
  </conditionalFormatting>
  <conditionalFormatting sqref="AD18">
    <cfRule type="dataBar" priority="298">
      <dataBar>
        <cfvo type="min"/>
        <cfvo type="max"/>
        <color rgb="FF638EC6"/>
      </dataBar>
      <extLst>
        <ext xmlns:x14="http://schemas.microsoft.com/office/spreadsheetml/2009/9/main" uri="{B025F937-C7B1-47D3-B67F-A62EFF666E3E}">
          <x14:id>{49C26205-4695-F642-BAFD-15B95F4A7CD5}</x14:id>
        </ext>
      </extLst>
    </cfRule>
  </conditionalFormatting>
  <conditionalFormatting sqref="M37">
    <cfRule type="dataBar" priority="297">
      <dataBar>
        <cfvo type="min"/>
        <cfvo type="max"/>
        <color rgb="FF638EC6"/>
      </dataBar>
      <extLst>
        <ext xmlns:x14="http://schemas.microsoft.com/office/spreadsheetml/2009/9/main" uri="{B025F937-C7B1-47D3-B67F-A62EFF666E3E}">
          <x14:id>{51CE1B7B-46F0-E34F-A3B1-5AAEB79B19B2}</x14:id>
        </ext>
      </extLst>
    </cfRule>
  </conditionalFormatting>
  <conditionalFormatting sqref="N36">
    <cfRule type="colorScale" priority="296">
      <colorScale>
        <cfvo type="min"/>
        <cfvo type="percentile" val="50"/>
        <cfvo type="max"/>
        <color rgb="FF63BE7B"/>
        <color rgb="FFFFEB84"/>
        <color rgb="FFF8696B"/>
      </colorScale>
    </cfRule>
  </conditionalFormatting>
  <conditionalFormatting sqref="N36">
    <cfRule type="dataBar" priority="295">
      <dataBar>
        <cfvo type="min"/>
        <cfvo type="max"/>
        <color rgb="FF638EC6"/>
      </dataBar>
      <extLst>
        <ext xmlns:x14="http://schemas.microsoft.com/office/spreadsheetml/2009/9/main" uri="{B025F937-C7B1-47D3-B67F-A62EFF666E3E}">
          <x14:id>{41A663B2-F2AC-CD47-947A-EFF304556765}</x14:id>
        </ext>
      </extLst>
    </cfRule>
  </conditionalFormatting>
  <conditionalFormatting sqref="O35">
    <cfRule type="colorScale" priority="294">
      <colorScale>
        <cfvo type="min"/>
        <cfvo type="percentile" val="50"/>
        <cfvo type="max"/>
        <color rgb="FF63BE7B"/>
        <color rgb="FFFFEB84"/>
        <color rgb="FFF8696B"/>
      </colorScale>
    </cfRule>
  </conditionalFormatting>
  <conditionalFormatting sqref="O35">
    <cfRule type="dataBar" priority="293">
      <dataBar>
        <cfvo type="min"/>
        <cfvo type="max"/>
        <color rgb="FF638EC6"/>
      </dataBar>
      <extLst>
        <ext xmlns:x14="http://schemas.microsoft.com/office/spreadsheetml/2009/9/main" uri="{B025F937-C7B1-47D3-B67F-A62EFF666E3E}">
          <x14:id>{35BC2F66-8FEB-9948-AF9F-3D5BC2DDE0B5}</x14:id>
        </ext>
      </extLst>
    </cfRule>
  </conditionalFormatting>
  <conditionalFormatting sqref="P34">
    <cfRule type="colorScale" priority="292">
      <colorScale>
        <cfvo type="min"/>
        <cfvo type="percentile" val="50"/>
        <cfvo type="max"/>
        <color rgb="FF63BE7B"/>
        <color rgb="FFFFEB84"/>
        <color rgb="FFF8696B"/>
      </colorScale>
    </cfRule>
  </conditionalFormatting>
  <conditionalFormatting sqref="P34">
    <cfRule type="dataBar" priority="291">
      <dataBar>
        <cfvo type="min"/>
        <cfvo type="max"/>
        <color rgb="FF638EC6"/>
      </dataBar>
      <extLst>
        <ext xmlns:x14="http://schemas.microsoft.com/office/spreadsheetml/2009/9/main" uri="{B025F937-C7B1-47D3-B67F-A62EFF666E3E}">
          <x14:id>{9D1B2A68-DC80-2448-810F-715002C8D4F9}</x14:id>
        </ext>
      </extLst>
    </cfRule>
  </conditionalFormatting>
  <conditionalFormatting sqref="Q33">
    <cfRule type="colorScale" priority="290">
      <colorScale>
        <cfvo type="min"/>
        <cfvo type="percentile" val="50"/>
        <cfvo type="max"/>
        <color rgb="FF63BE7B"/>
        <color rgb="FFFFEB84"/>
        <color rgb="FFF8696B"/>
      </colorScale>
    </cfRule>
  </conditionalFormatting>
  <conditionalFormatting sqref="Q33">
    <cfRule type="dataBar" priority="289">
      <dataBar>
        <cfvo type="min"/>
        <cfvo type="max"/>
        <color rgb="FF638EC6"/>
      </dataBar>
      <extLst>
        <ext xmlns:x14="http://schemas.microsoft.com/office/spreadsheetml/2009/9/main" uri="{B025F937-C7B1-47D3-B67F-A62EFF666E3E}">
          <x14:id>{36F832E0-2FE2-824D-81BA-E8E31EF4C59C}</x14:id>
        </ext>
      </extLst>
    </cfRule>
  </conditionalFormatting>
  <conditionalFormatting sqref="R32">
    <cfRule type="colorScale" priority="288">
      <colorScale>
        <cfvo type="min"/>
        <cfvo type="percentile" val="50"/>
        <cfvo type="max"/>
        <color rgb="FF63BE7B"/>
        <color rgb="FFFFEB84"/>
        <color rgb="FFF8696B"/>
      </colorScale>
    </cfRule>
  </conditionalFormatting>
  <conditionalFormatting sqref="R32">
    <cfRule type="dataBar" priority="287">
      <dataBar>
        <cfvo type="min"/>
        <cfvo type="max"/>
        <color rgb="FF638EC6"/>
      </dataBar>
      <extLst>
        <ext xmlns:x14="http://schemas.microsoft.com/office/spreadsheetml/2009/9/main" uri="{B025F937-C7B1-47D3-B67F-A62EFF666E3E}">
          <x14:id>{ECB4339A-6279-8B4E-85CE-C27871669283}</x14:id>
        </ext>
      </extLst>
    </cfRule>
  </conditionalFormatting>
  <conditionalFormatting sqref="S31">
    <cfRule type="colorScale" priority="286">
      <colorScale>
        <cfvo type="min"/>
        <cfvo type="percentile" val="50"/>
        <cfvo type="max"/>
        <color rgb="FF63BE7B"/>
        <color rgb="FFFFEB84"/>
        <color rgb="FFF8696B"/>
      </colorScale>
    </cfRule>
  </conditionalFormatting>
  <conditionalFormatting sqref="S31">
    <cfRule type="dataBar" priority="285">
      <dataBar>
        <cfvo type="min"/>
        <cfvo type="max"/>
        <color rgb="FF638EC6"/>
      </dataBar>
      <extLst>
        <ext xmlns:x14="http://schemas.microsoft.com/office/spreadsheetml/2009/9/main" uri="{B025F937-C7B1-47D3-B67F-A62EFF666E3E}">
          <x14:id>{C058FE9B-C553-D54C-98D8-7CB723FD6AC1}</x14:id>
        </ext>
      </extLst>
    </cfRule>
  </conditionalFormatting>
  <conditionalFormatting sqref="T30">
    <cfRule type="colorScale" priority="284">
      <colorScale>
        <cfvo type="min"/>
        <cfvo type="percentile" val="50"/>
        <cfvo type="max"/>
        <color rgb="FF63BE7B"/>
        <color rgb="FFFFEB84"/>
        <color rgb="FFF8696B"/>
      </colorScale>
    </cfRule>
  </conditionalFormatting>
  <conditionalFormatting sqref="T30">
    <cfRule type="dataBar" priority="283">
      <dataBar>
        <cfvo type="min"/>
        <cfvo type="max"/>
        <color rgb="FF638EC6"/>
      </dataBar>
      <extLst>
        <ext xmlns:x14="http://schemas.microsoft.com/office/spreadsheetml/2009/9/main" uri="{B025F937-C7B1-47D3-B67F-A62EFF666E3E}">
          <x14:id>{1BEF6CEE-4FC0-2847-BCB4-84353DB9BEB2}</x14:id>
        </ext>
      </extLst>
    </cfRule>
  </conditionalFormatting>
  <conditionalFormatting sqref="U29">
    <cfRule type="colorScale" priority="282">
      <colorScale>
        <cfvo type="min"/>
        <cfvo type="percentile" val="50"/>
        <cfvo type="max"/>
        <color rgb="FF63BE7B"/>
        <color rgb="FFFFEB84"/>
        <color rgb="FFF8696B"/>
      </colorScale>
    </cfRule>
  </conditionalFormatting>
  <conditionalFormatting sqref="U29">
    <cfRule type="dataBar" priority="281">
      <dataBar>
        <cfvo type="min"/>
        <cfvo type="max"/>
        <color rgb="FF638EC6"/>
      </dataBar>
      <extLst>
        <ext xmlns:x14="http://schemas.microsoft.com/office/spreadsheetml/2009/9/main" uri="{B025F937-C7B1-47D3-B67F-A62EFF666E3E}">
          <x14:id>{20C1A10C-7B93-9F47-A45D-2735813556CD}</x14:id>
        </ext>
      </extLst>
    </cfRule>
  </conditionalFormatting>
  <conditionalFormatting sqref="V28">
    <cfRule type="colorScale" priority="280">
      <colorScale>
        <cfvo type="min"/>
        <cfvo type="percentile" val="50"/>
        <cfvo type="max"/>
        <color rgb="FF63BE7B"/>
        <color rgb="FFFFEB84"/>
        <color rgb="FFF8696B"/>
      </colorScale>
    </cfRule>
  </conditionalFormatting>
  <conditionalFormatting sqref="V28">
    <cfRule type="dataBar" priority="279">
      <dataBar>
        <cfvo type="min"/>
        <cfvo type="max"/>
        <color rgb="FF638EC6"/>
      </dataBar>
      <extLst>
        <ext xmlns:x14="http://schemas.microsoft.com/office/spreadsheetml/2009/9/main" uri="{B025F937-C7B1-47D3-B67F-A62EFF666E3E}">
          <x14:id>{0BE4BC25-B8CB-ED41-AC12-2B1C477BF64D}</x14:id>
        </ext>
      </extLst>
    </cfRule>
  </conditionalFormatting>
  <conditionalFormatting sqref="W27">
    <cfRule type="colorScale" priority="278">
      <colorScale>
        <cfvo type="min"/>
        <cfvo type="percentile" val="50"/>
        <cfvo type="max"/>
        <color rgb="FF63BE7B"/>
        <color rgb="FFFFEB84"/>
        <color rgb="FFF8696B"/>
      </colorScale>
    </cfRule>
  </conditionalFormatting>
  <conditionalFormatting sqref="W27">
    <cfRule type="dataBar" priority="277">
      <dataBar>
        <cfvo type="min"/>
        <cfvo type="max"/>
        <color rgb="FF638EC6"/>
      </dataBar>
      <extLst>
        <ext xmlns:x14="http://schemas.microsoft.com/office/spreadsheetml/2009/9/main" uri="{B025F937-C7B1-47D3-B67F-A62EFF666E3E}">
          <x14:id>{D5125902-C445-FB4A-845F-75CAEB3A5685}</x14:id>
        </ext>
      </extLst>
    </cfRule>
  </conditionalFormatting>
  <conditionalFormatting sqref="X26">
    <cfRule type="colorScale" priority="276">
      <colorScale>
        <cfvo type="min"/>
        <cfvo type="percentile" val="50"/>
        <cfvo type="max"/>
        <color rgb="FF63BE7B"/>
        <color rgb="FFFFEB84"/>
        <color rgb="FFF8696B"/>
      </colorScale>
    </cfRule>
  </conditionalFormatting>
  <conditionalFormatting sqref="X26">
    <cfRule type="dataBar" priority="275">
      <dataBar>
        <cfvo type="min"/>
        <cfvo type="max"/>
        <color rgb="FF638EC6"/>
      </dataBar>
      <extLst>
        <ext xmlns:x14="http://schemas.microsoft.com/office/spreadsheetml/2009/9/main" uri="{B025F937-C7B1-47D3-B67F-A62EFF666E3E}">
          <x14:id>{858719AC-E5D0-A84B-8066-919B3EF21040}</x14:id>
        </ext>
      </extLst>
    </cfRule>
  </conditionalFormatting>
  <conditionalFormatting sqref="Y25">
    <cfRule type="colorScale" priority="274">
      <colorScale>
        <cfvo type="min"/>
        <cfvo type="percentile" val="50"/>
        <cfvo type="max"/>
        <color rgb="FF63BE7B"/>
        <color rgb="FFFFEB84"/>
        <color rgb="FFF8696B"/>
      </colorScale>
    </cfRule>
  </conditionalFormatting>
  <conditionalFormatting sqref="Y25">
    <cfRule type="dataBar" priority="273">
      <dataBar>
        <cfvo type="min"/>
        <cfvo type="max"/>
        <color rgb="FF638EC6"/>
      </dataBar>
      <extLst>
        <ext xmlns:x14="http://schemas.microsoft.com/office/spreadsheetml/2009/9/main" uri="{B025F937-C7B1-47D3-B67F-A62EFF666E3E}">
          <x14:id>{D8ECD353-9EB2-424F-AEDF-E32CE729E5F1}</x14:id>
        </ext>
      </extLst>
    </cfRule>
  </conditionalFormatting>
  <conditionalFormatting sqref="Z24">
    <cfRule type="colorScale" priority="272">
      <colorScale>
        <cfvo type="min"/>
        <cfvo type="percentile" val="50"/>
        <cfvo type="max"/>
        <color rgb="FF63BE7B"/>
        <color rgb="FFFFEB84"/>
        <color rgb="FFF8696B"/>
      </colorScale>
    </cfRule>
  </conditionalFormatting>
  <conditionalFormatting sqref="Z24">
    <cfRule type="dataBar" priority="271">
      <dataBar>
        <cfvo type="min"/>
        <cfvo type="max"/>
        <color rgb="FF638EC6"/>
      </dataBar>
      <extLst>
        <ext xmlns:x14="http://schemas.microsoft.com/office/spreadsheetml/2009/9/main" uri="{B025F937-C7B1-47D3-B67F-A62EFF666E3E}">
          <x14:id>{4A8E40BD-04BF-C844-A452-0C3819C8E8AA}</x14:id>
        </ext>
      </extLst>
    </cfRule>
  </conditionalFormatting>
  <conditionalFormatting sqref="AA23">
    <cfRule type="colorScale" priority="270">
      <colorScale>
        <cfvo type="min"/>
        <cfvo type="percentile" val="50"/>
        <cfvo type="max"/>
        <color rgb="FF63BE7B"/>
        <color rgb="FFFFEB84"/>
        <color rgb="FFF8696B"/>
      </colorScale>
    </cfRule>
  </conditionalFormatting>
  <conditionalFormatting sqref="AA23">
    <cfRule type="dataBar" priority="269">
      <dataBar>
        <cfvo type="min"/>
        <cfvo type="max"/>
        <color rgb="FF638EC6"/>
      </dataBar>
      <extLst>
        <ext xmlns:x14="http://schemas.microsoft.com/office/spreadsheetml/2009/9/main" uri="{B025F937-C7B1-47D3-B67F-A62EFF666E3E}">
          <x14:id>{31CDF2AA-2B75-9747-A3A0-B1B799F7E824}</x14:id>
        </ext>
      </extLst>
    </cfRule>
  </conditionalFormatting>
  <conditionalFormatting sqref="AB22">
    <cfRule type="colorScale" priority="268">
      <colorScale>
        <cfvo type="min"/>
        <cfvo type="percentile" val="50"/>
        <cfvo type="max"/>
        <color rgb="FF63BE7B"/>
        <color rgb="FFFFEB84"/>
        <color rgb="FFF8696B"/>
      </colorScale>
    </cfRule>
  </conditionalFormatting>
  <conditionalFormatting sqref="AB22">
    <cfRule type="dataBar" priority="267">
      <dataBar>
        <cfvo type="min"/>
        <cfvo type="max"/>
        <color rgb="FF638EC6"/>
      </dataBar>
      <extLst>
        <ext xmlns:x14="http://schemas.microsoft.com/office/spreadsheetml/2009/9/main" uri="{B025F937-C7B1-47D3-B67F-A62EFF666E3E}">
          <x14:id>{97E88649-140E-5748-AF13-48D8A84F8351}</x14:id>
        </ext>
      </extLst>
    </cfRule>
  </conditionalFormatting>
  <conditionalFormatting sqref="AC21">
    <cfRule type="colorScale" priority="266">
      <colorScale>
        <cfvo type="min"/>
        <cfvo type="percentile" val="50"/>
        <cfvo type="max"/>
        <color rgb="FF63BE7B"/>
        <color rgb="FFFFEB84"/>
        <color rgb="FFF8696B"/>
      </colorScale>
    </cfRule>
  </conditionalFormatting>
  <conditionalFormatting sqref="AC21">
    <cfRule type="dataBar" priority="265">
      <dataBar>
        <cfvo type="min"/>
        <cfvo type="max"/>
        <color rgb="FF638EC6"/>
      </dataBar>
      <extLst>
        <ext xmlns:x14="http://schemas.microsoft.com/office/spreadsheetml/2009/9/main" uri="{B025F937-C7B1-47D3-B67F-A62EFF666E3E}">
          <x14:id>{16360739-42BA-374C-9968-82C87B605D80}</x14:id>
        </ext>
      </extLst>
    </cfRule>
  </conditionalFormatting>
  <conditionalFormatting sqref="AD20">
    <cfRule type="colorScale" priority="264">
      <colorScale>
        <cfvo type="min"/>
        <cfvo type="percentile" val="50"/>
        <cfvo type="max"/>
        <color rgb="FF63BE7B"/>
        <color rgb="FFFFEB84"/>
        <color rgb="FFF8696B"/>
      </colorScale>
    </cfRule>
  </conditionalFormatting>
  <conditionalFormatting sqref="AD20">
    <cfRule type="dataBar" priority="263">
      <dataBar>
        <cfvo type="min"/>
        <cfvo type="max"/>
        <color rgb="FF638EC6"/>
      </dataBar>
      <extLst>
        <ext xmlns:x14="http://schemas.microsoft.com/office/spreadsheetml/2009/9/main" uri="{B025F937-C7B1-47D3-B67F-A62EFF666E3E}">
          <x14:id>{376AFCA2-0043-2F4C-8F60-18DEA0B92013}</x14:id>
        </ext>
      </extLst>
    </cfRule>
  </conditionalFormatting>
  <conditionalFormatting sqref="M39">
    <cfRule type="dataBar" priority="262">
      <dataBar>
        <cfvo type="min"/>
        <cfvo type="max"/>
        <color rgb="FF638EC6"/>
      </dataBar>
      <extLst>
        <ext xmlns:x14="http://schemas.microsoft.com/office/spreadsheetml/2009/9/main" uri="{B025F937-C7B1-47D3-B67F-A62EFF666E3E}">
          <x14:id>{50F51449-3703-7C4F-A8F4-06D140E5B568}</x14:id>
        </ext>
      </extLst>
    </cfRule>
  </conditionalFormatting>
  <conditionalFormatting sqref="N38">
    <cfRule type="colorScale" priority="261">
      <colorScale>
        <cfvo type="min"/>
        <cfvo type="percentile" val="50"/>
        <cfvo type="max"/>
        <color rgb="FF63BE7B"/>
        <color rgb="FFFFEB84"/>
        <color rgb="FFF8696B"/>
      </colorScale>
    </cfRule>
  </conditionalFormatting>
  <conditionalFormatting sqref="N38">
    <cfRule type="dataBar" priority="260">
      <dataBar>
        <cfvo type="min"/>
        <cfvo type="max"/>
        <color rgb="FF638EC6"/>
      </dataBar>
      <extLst>
        <ext xmlns:x14="http://schemas.microsoft.com/office/spreadsheetml/2009/9/main" uri="{B025F937-C7B1-47D3-B67F-A62EFF666E3E}">
          <x14:id>{F0CE1218-D6E4-BE48-ABF4-0E3355CC252A}</x14:id>
        </ext>
      </extLst>
    </cfRule>
  </conditionalFormatting>
  <conditionalFormatting sqref="O37">
    <cfRule type="colorScale" priority="259">
      <colorScale>
        <cfvo type="min"/>
        <cfvo type="percentile" val="50"/>
        <cfvo type="max"/>
        <color rgb="FF63BE7B"/>
        <color rgb="FFFFEB84"/>
        <color rgb="FFF8696B"/>
      </colorScale>
    </cfRule>
  </conditionalFormatting>
  <conditionalFormatting sqref="O37">
    <cfRule type="dataBar" priority="258">
      <dataBar>
        <cfvo type="min"/>
        <cfvo type="max"/>
        <color rgb="FF638EC6"/>
      </dataBar>
      <extLst>
        <ext xmlns:x14="http://schemas.microsoft.com/office/spreadsheetml/2009/9/main" uri="{B025F937-C7B1-47D3-B67F-A62EFF666E3E}">
          <x14:id>{D18B9C05-D603-564C-9708-C1ABCCE032B4}</x14:id>
        </ext>
      </extLst>
    </cfRule>
  </conditionalFormatting>
  <conditionalFormatting sqref="P36">
    <cfRule type="colorScale" priority="257">
      <colorScale>
        <cfvo type="min"/>
        <cfvo type="percentile" val="50"/>
        <cfvo type="max"/>
        <color rgb="FF63BE7B"/>
        <color rgb="FFFFEB84"/>
        <color rgb="FFF8696B"/>
      </colorScale>
    </cfRule>
  </conditionalFormatting>
  <conditionalFormatting sqref="P36">
    <cfRule type="dataBar" priority="256">
      <dataBar>
        <cfvo type="min"/>
        <cfvo type="max"/>
        <color rgb="FF638EC6"/>
      </dataBar>
      <extLst>
        <ext xmlns:x14="http://schemas.microsoft.com/office/spreadsheetml/2009/9/main" uri="{B025F937-C7B1-47D3-B67F-A62EFF666E3E}">
          <x14:id>{91C79930-9AA5-D943-B016-9D6C10971A8A}</x14:id>
        </ext>
      </extLst>
    </cfRule>
  </conditionalFormatting>
  <conditionalFormatting sqref="Q35">
    <cfRule type="colorScale" priority="255">
      <colorScale>
        <cfvo type="min"/>
        <cfvo type="percentile" val="50"/>
        <cfvo type="max"/>
        <color rgb="FF63BE7B"/>
        <color rgb="FFFFEB84"/>
        <color rgb="FFF8696B"/>
      </colorScale>
    </cfRule>
  </conditionalFormatting>
  <conditionalFormatting sqref="Q35">
    <cfRule type="dataBar" priority="254">
      <dataBar>
        <cfvo type="min"/>
        <cfvo type="max"/>
        <color rgb="FF638EC6"/>
      </dataBar>
      <extLst>
        <ext xmlns:x14="http://schemas.microsoft.com/office/spreadsheetml/2009/9/main" uri="{B025F937-C7B1-47D3-B67F-A62EFF666E3E}">
          <x14:id>{DC53095B-2CB5-F647-8F62-DB177FC3A2A7}</x14:id>
        </ext>
      </extLst>
    </cfRule>
  </conditionalFormatting>
  <conditionalFormatting sqref="R34">
    <cfRule type="colorScale" priority="253">
      <colorScale>
        <cfvo type="min"/>
        <cfvo type="percentile" val="50"/>
        <cfvo type="max"/>
        <color rgb="FF63BE7B"/>
        <color rgb="FFFFEB84"/>
        <color rgb="FFF8696B"/>
      </colorScale>
    </cfRule>
  </conditionalFormatting>
  <conditionalFormatting sqref="R34">
    <cfRule type="dataBar" priority="252">
      <dataBar>
        <cfvo type="min"/>
        <cfvo type="max"/>
        <color rgb="FF638EC6"/>
      </dataBar>
      <extLst>
        <ext xmlns:x14="http://schemas.microsoft.com/office/spreadsheetml/2009/9/main" uri="{B025F937-C7B1-47D3-B67F-A62EFF666E3E}">
          <x14:id>{44989216-400B-494F-9A54-22BDDE279A39}</x14:id>
        </ext>
      </extLst>
    </cfRule>
  </conditionalFormatting>
  <conditionalFormatting sqref="S33">
    <cfRule type="colorScale" priority="251">
      <colorScale>
        <cfvo type="min"/>
        <cfvo type="percentile" val="50"/>
        <cfvo type="max"/>
        <color rgb="FF63BE7B"/>
        <color rgb="FFFFEB84"/>
        <color rgb="FFF8696B"/>
      </colorScale>
    </cfRule>
  </conditionalFormatting>
  <conditionalFormatting sqref="S33">
    <cfRule type="dataBar" priority="250">
      <dataBar>
        <cfvo type="min"/>
        <cfvo type="max"/>
        <color rgb="FF638EC6"/>
      </dataBar>
      <extLst>
        <ext xmlns:x14="http://schemas.microsoft.com/office/spreadsheetml/2009/9/main" uri="{B025F937-C7B1-47D3-B67F-A62EFF666E3E}">
          <x14:id>{379DA9D9-5A7C-8947-9925-B0443DCD4926}</x14:id>
        </ext>
      </extLst>
    </cfRule>
  </conditionalFormatting>
  <conditionalFormatting sqref="T32">
    <cfRule type="colorScale" priority="249">
      <colorScale>
        <cfvo type="min"/>
        <cfvo type="percentile" val="50"/>
        <cfvo type="max"/>
        <color rgb="FF63BE7B"/>
        <color rgb="FFFFEB84"/>
        <color rgb="FFF8696B"/>
      </colorScale>
    </cfRule>
  </conditionalFormatting>
  <conditionalFormatting sqref="T32">
    <cfRule type="dataBar" priority="248">
      <dataBar>
        <cfvo type="min"/>
        <cfvo type="max"/>
        <color rgb="FF638EC6"/>
      </dataBar>
      <extLst>
        <ext xmlns:x14="http://schemas.microsoft.com/office/spreadsheetml/2009/9/main" uri="{B025F937-C7B1-47D3-B67F-A62EFF666E3E}">
          <x14:id>{DCCCF88B-A09A-C04A-9648-7075F2E4E47A}</x14:id>
        </ext>
      </extLst>
    </cfRule>
  </conditionalFormatting>
  <conditionalFormatting sqref="U31">
    <cfRule type="colorScale" priority="247">
      <colorScale>
        <cfvo type="min"/>
        <cfvo type="percentile" val="50"/>
        <cfvo type="max"/>
        <color rgb="FF63BE7B"/>
        <color rgb="FFFFEB84"/>
        <color rgb="FFF8696B"/>
      </colorScale>
    </cfRule>
  </conditionalFormatting>
  <conditionalFormatting sqref="U31">
    <cfRule type="dataBar" priority="246">
      <dataBar>
        <cfvo type="min"/>
        <cfvo type="max"/>
        <color rgb="FF638EC6"/>
      </dataBar>
      <extLst>
        <ext xmlns:x14="http://schemas.microsoft.com/office/spreadsheetml/2009/9/main" uri="{B025F937-C7B1-47D3-B67F-A62EFF666E3E}">
          <x14:id>{3D432FB5-2118-614F-9AF2-6B26F43190B3}</x14:id>
        </ext>
      </extLst>
    </cfRule>
  </conditionalFormatting>
  <conditionalFormatting sqref="V30">
    <cfRule type="colorScale" priority="245">
      <colorScale>
        <cfvo type="min"/>
        <cfvo type="percentile" val="50"/>
        <cfvo type="max"/>
        <color rgb="FF63BE7B"/>
        <color rgb="FFFFEB84"/>
        <color rgb="FFF8696B"/>
      </colorScale>
    </cfRule>
  </conditionalFormatting>
  <conditionalFormatting sqref="V30">
    <cfRule type="dataBar" priority="244">
      <dataBar>
        <cfvo type="min"/>
        <cfvo type="max"/>
        <color rgb="FF638EC6"/>
      </dataBar>
      <extLst>
        <ext xmlns:x14="http://schemas.microsoft.com/office/spreadsheetml/2009/9/main" uri="{B025F937-C7B1-47D3-B67F-A62EFF666E3E}">
          <x14:id>{CAC2A249-D884-124F-93ED-D896F1E2B88B}</x14:id>
        </ext>
      </extLst>
    </cfRule>
  </conditionalFormatting>
  <conditionalFormatting sqref="W29">
    <cfRule type="colorScale" priority="243">
      <colorScale>
        <cfvo type="min"/>
        <cfvo type="percentile" val="50"/>
        <cfvo type="max"/>
        <color rgb="FF63BE7B"/>
        <color rgb="FFFFEB84"/>
        <color rgb="FFF8696B"/>
      </colorScale>
    </cfRule>
  </conditionalFormatting>
  <conditionalFormatting sqref="W29">
    <cfRule type="dataBar" priority="242">
      <dataBar>
        <cfvo type="min"/>
        <cfvo type="max"/>
        <color rgb="FF638EC6"/>
      </dataBar>
      <extLst>
        <ext xmlns:x14="http://schemas.microsoft.com/office/spreadsheetml/2009/9/main" uri="{B025F937-C7B1-47D3-B67F-A62EFF666E3E}">
          <x14:id>{CF4E03F3-0166-7B4B-A5BE-226A7D4DB4FD}</x14:id>
        </ext>
      </extLst>
    </cfRule>
  </conditionalFormatting>
  <conditionalFormatting sqref="X28">
    <cfRule type="colorScale" priority="241">
      <colorScale>
        <cfvo type="min"/>
        <cfvo type="percentile" val="50"/>
        <cfvo type="max"/>
        <color rgb="FF63BE7B"/>
        <color rgb="FFFFEB84"/>
        <color rgb="FFF8696B"/>
      </colorScale>
    </cfRule>
  </conditionalFormatting>
  <conditionalFormatting sqref="X28">
    <cfRule type="dataBar" priority="240">
      <dataBar>
        <cfvo type="min"/>
        <cfvo type="max"/>
        <color rgb="FF638EC6"/>
      </dataBar>
      <extLst>
        <ext xmlns:x14="http://schemas.microsoft.com/office/spreadsheetml/2009/9/main" uri="{B025F937-C7B1-47D3-B67F-A62EFF666E3E}">
          <x14:id>{92458EDB-A209-3245-823F-D886D16DFAF3}</x14:id>
        </ext>
      </extLst>
    </cfRule>
  </conditionalFormatting>
  <conditionalFormatting sqref="Y27">
    <cfRule type="colorScale" priority="239">
      <colorScale>
        <cfvo type="min"/>
        <cfvo type="percentile" val="50"/>
        <cfvo type="max"/>
        <color rgb="FF63BE7B"/>
        <color rgb="FFFFEB84"/>
        <color rgb="FFF8696B"/>
      </colorScale>
    </cfRule>
  </conditionalFormatting>
  <conditionalFormatting sqref="Y27">
    <cfRule type="dataBar" priority="238">
      <dataBar>
        <cfvo type="min"/>
        <cfvo type="max"/>
        <color rgb="FF638EC6"/>
      </dataBar>
      <extLst>
        <ext xmlns:x14="http://schemas.microsoft.com/office/spreadsheetml/2009/9/main" uri="{B025F937-C7B1-47D3-B67F-A62EFF666E3E}">
          <x14:id>{F8605BFB-F344-484A-A8F4-8FF16DFE6144}</x14:id>
        </ext>
      </extLst>
    </cfRule>
  </conditionalFormatting>
  <conditionalFormatting sqref="Z26">
    <cfRule type="colorScale" priority="237">
      <colorScale>
        <cfvo type="min"/>
        <cfvo type="percentile" val="50"/>
        <cfvo type="max"/>
        <color rgb="FF63BE7B"/>
        <color rgb="FFFFEB84"/>
        <color rgb="FFF8696B"/>
      </colorScale>
    </cfRule>
  </conditionalFormatting>
  <conditionalFormatting sqref="Z26">
    <cfRule type="dataBar" priority="236">
      <dataBar>
        <cfvo type="min"/>
        <cfvo type="max"/>
        <color rgb="FF638EC6"/>
      </dataBar>
      <extLst>
        <ext xmlns:x14="http://schemas.microsoft.com/office/spreadsheetml/2009/9/main" uri="{B025F937-C7B1-47D3-B67F-A62EFF666E3E}">
          <x14:id>{6E43F119-7DF3-D942-A557-9FEF79F3873B}</x14:id>
        </ext>
      </extLst>
    </cfRule>
  </conditionalFormatting>
  <conditionalFormatting sqref="AA25">
    <cfRule type="colorScale" priority="235">
      <colorScale>
        <cfvo type="min"/>
        <cfvo type="percentile" val="50"/>
        <cfvo type="max"/>
        <color rgb="FF63BE7B"/>
        <color rgb="FFFFEB84"/>
        <color rgb="FFF8696B"/>
      </colorScale>
    </cfRule>
  </conditionalFormatting>
  <conditionalFormatting sqref="AA25">
    <cfRule type="dataBar" priority="234">
      <dataBar>
        <cfvo type="min"/>
        <cfvo type="max"/>
        <color rgb="FF638EC6"/>
      </dataBar>
      <extLst>
        <ext xmlns:x14="http://schemas.microsoft.com/office/spreadsheetml/2009/9/main" uri="{B025F937-C7B1-47D3-B67F-A62EFF666E3E}">
          <x14:id>{27566499-C919-0849-B037-48B3C5A74C24}</x14:id>
        </ext>
      </extLst>
    </cfRule>
  </conditionalFormatting>
  <conditionalFormatting sqref="AB24">
    <cfRule type="colorScale" priority="233">
      <colorScale>
        <cfvo type="min"/>
        <cfvo type="percentile" val="50"/>
        <cfvo type="max"/>
        <color rgb="FF63BE7B"/>
        <color rgb="FFFFEB84"/>
        <color rgb="FFF8696B"/>
      </colorScale>
    </cfRule>
  </conditionalFormatting>
  <conditionalFormatting sqref="AB24">
    <cfRule type="dataBar" priority="232">
      <dataBar>
        <cfvo type="min"/>
        <cfvo type="max"/>
        <color rgb="FF638EC6"/>
      </dataBar>
      <extLst>
        <ext xmlns:x14="http://schemas.microsoft.com/office/spreadsheetml/2009/9/main" uri="{B025F937-C7B1-47D3-B67F-A62EFF666E3E}">
          <x14:id>{4C040802-5307-9346-9E0E-394E671F6CA0}</x14:id>
        </ext>
      </extLst>
    </cfRule>
  </conditionalFormatting>
  <conditionalFormatting sqref="AC23">
    <cfRule type="colorScale" priority="231">
      <colorScale>
        <cfvo type="min"/>
        <cfvo type="percentile" val="50"/>
        <cfvo type="max"/>
        <color rgb="FF63BE7B"/>
        <color rgb="FFFFEB84"/>
        <color rgb="FFF8696B"/>
      </colorScale>
    </cfRule>
  </conditionalFormatting>
  <conditionalFormatting sqref="AC23">
    <cfRule type="dataBar" priority="230">
      <dataBar>
        <cfvo type="min"/>
        <cfvo type="max"/>
        <color rgb="FF638EC6"/>
      </dataBar>
      <extLst>
        <ext xmlns:x14="http://schemas.microsoft.com/office/spreadsheetml/2009/9/main" uri="{B025F937-C7B1-47D3-B67F-A62EFF666E3E}">
          <x14:id>{D0D66458-3EB4-1946-A3C2-AB72E1A71000}</x14:id>
        </ext>
      </extLst>
    </cfRule>
  </conditionalFormatting>
  <conditionalFormatting sqref="AD22">
    <cfRule type="colorScale" priority="229">
      <colorScale>
        <cfvo type="min"/>
        <cfvo type="percentile" val="50"/>
        <cfvo type="max"/>
        <color rgb="FF63BE7B"/>
        <color rgb="FFFFEB84"/>
        <color rgb="FFF8696B"/>
      </colorScale>
    </cfRule>
  </conditionalFormatting>
  <conditionalFormatting sqref="AD22">
    <cfRule type="dataBar" priority="228">
      <dataBar>
        <cfvo type="min"/>
        <cfvo type="max"/>
        <color rgb="FF638EC6"/>
      </dataBar>
      <extLst>
        <ext xmlns:x14="http://schemas.microsoft.com/office/spreadsheetml/2009/9/main" uri="{B025F937-C7B1-47D3-B67F-A62EFF666E3E}">
          <x14:id>{6531F1EB-899E-314A-9006-8FA54F65E526}</x14:id>
        </ext>
      </extLst>
    </cfRule>
  </conditionalFormatting>
  <conditionalFormatting sqref="M41">
    <cfRule type="dataBar" priority="227">
      <dataBar>
        <cfvo type="min"/>
        <cfvo type="max"/>
        <color rgb="FF638EC6"/>
      </dataBar>
      <extLst>
        <ext xmlns:x14="http://schemas.microsoft.com/office/spreadsheetml/2009/9/main" uri="{B025F937-C7B1-47D3-B67F-A62EFF666E3E}">
          <x14:id>{D983C490-8C90-8B44-8BAE-25E397B60EF8}</x14:id>
        </ext>
      </extLst>
    </cfRule>
  </conditionalFormatting>
  <conditionalFormatting sqref="N40">
    <cfRule type="colorScale" priority="226">
      <colorScale>
        <cfvo type="min"/>
        <cfvo type="percentile" val="50"/>
        <cfvo type="max"/>
        <color rgb="FF63BE7B"/>
        <color rgb="FFFFEB84"/>
        <color rgb="FFF8696B"/>
      </colorScale>
    </cfRule>
  </conditionalFormatting>
  <conditionalFormatting sqref="N40">
    <cfRule type="dataBar" priority="225">
      <dataBar>
        <cfvo type="min"/>
        <cfvo type="max"/>
        <color rgb="FF638EC6"/>
      </dataBar>
      <extLst>
        <ext xmlns:x14="http://schemas.microsoft.com/office/spreadsheetml/2009/9/main" uri="{B025F937-C7B1-47D3-B67F-A62EFF666E3E}">
          <x14:id>{4F6B4ECB-8978-8C4A-BEB3-039CD3DA4165}</x14:id>
        </ext>
      </extLst>
    </cfRule>
  </conditionalFormatting>
  <conditionalFormatting sqref="O39">
    <cfRule type="colorScale" priority="224">
      <colorScale>
        <cfvo type="min"/>
        <cfvo type="percentile" val="50"/>
        <cfvo type="max"/>
        <color rgb="FF63BE7B"/>
        <color rgb="FFFFEB84"/>
        <color rgb="FFF8696B"/>
      </colorScale>
    </cfRule>
  </conditionalFormatting>
  <conditionalFormatting sqref="O39">
    <cfRule type="dataBar" priority="223">
      <dataBar>
        <cfvo type="min"/>
        <cfvo type="max"/>
        <color rgb="FF638EC6"/>
      </dataBar>
      <extLst>
        <ext xmlns:x14="http://schemas.microsoft.com/office/spreadsheetml/2009/9/main" uri="{B025F937-C7B1-47D3-B67F-A62EFF666E3E}">
          <x14:id>{884A39DF-D3D5-444D-94DC-6C390A00FA37}</x14:id>
        </ext>
      </extLst>
    </cfRule>
  </conditionalFormatting>
  <conditionalFormatting sqref="P38">
    <cfRule type="colorScale" priority="222">
      <colorScale>
        <cfvo type="min"/>
        <cfvo type="percentile" val="50"/>
        <cfvo type="max"/>
        <color rgb="FF63BE7B"/>
        <color rgb="FFFFEB84"/>
        <color rgb="FFF8696B"/>
      </colorScale>
    </cfRule>
  </conditionalFormatting>
  <conditionalFormatting sqref="P38">
    <cfRule type="dataBar" priority="221">
      <dataBar>
        <cfvo type="min"/>
        <cfvo type="max"/>
        <color rgb="FF638EC6"/>
      </dataBar>
      <extLst>
        <ext xmlns:x14="http://schemas.microsoft.com/office/spreadsheetml/2009/9/main" uri="{B025F937-C7B1-47D3-B67F-A62EFF666E3E}">
          <x14:id>{5E7DEC5D-FDD8-804A-9581-3A28264B562B}</x14:id>
        </ext>
      </extLst>
    </cfRule>
  </conditionalFormatting>
  <conditionalFormatting sqref="Q37">
    <cfRule type="colorScale" priority="220">
      <colorScale>
        <cfvo type="min"/>
        <cfvo type="percentile" val="50"/>
        <cfvo type="max"/>
        <color rgb="FF63BE7B"/>
        <color rgb="FFFFEB84"/>
        <color rgb="FFF8696B"/>
      </colorScale>
    </cfRule>
  </conditionalFormatting>
  <conditionalFormatting sqref="Q37">
    <cfRule type="dataBar" priority="219">
      <dataBar>
        <cfvo type="min"/>
        <cfvo type="max"/>
        <color rgb="FF638EC6"/>
      </dataBar>
      <extLst>
        <ext xmlns:x14="http://schemas.microsoft.com/office/spreadsheetml/2009/9/main" uri="{B025F937-C7B1-47D3-B67F-A62EFF666E3E}">
          <x14:id>{AFB21F75-AA01-9F46-940C-11EDC1242D7C}</x14:id>
        </ext>
      </extLst>
    </cfRule>
  </conditionalFormatting>
  <conditionalFormatting sqref="R36">
    <cfRule type="colorScale" priority="218">
      <colorScale>
        <cfvo type="min"/>
        <cfvo type="percentile" val="50"/>
        <cfvo type="max"/>
        <color rgb="FF63BE7B"/>
        <color rgb="FFFFEB84"/>
        <color rgb="FFF8696B"/>
      </colorScale>
    </cfRule>
  </conditionalFormatting>
  <conditionalFormatting sqref="R36">
    <cfRule type="dataBar" priority="217">
      <dataBar>
        <cfvo type="min"/>
        <cfvo type="max"/>
        <color rgb="FF638EC6"/>
      </dataBar>
      <extLst>
        <ext xmlns:x14="http://schemas.microsoft.com/office/spreadsheetml/2009/9/main" uri="{B025F937-C7B1-47D3-B67F-A62EFF666E3E}">
          <x14:id>{C8A3872B-9E92-6140-8E3B-68F05D8114B9}</x14:id>
        </ext>
      </extLst>
    </cfRule>
  </conditionalFormatting>
  <conditionalFormatting sqref="S35">
    <cfRule type="colorScale" priority="216">
      <colorScale>
        <cfvo type="min"/>
        <cfvo type="percentile" val="50"/>
        <cfvo type="max"/>
        <color rgb="FF63BE7B"/>
        <color rgb="FFFFEB84"/>
        <color rgb="FFF8696B"/>
      </colorScale>
    </cfRule>
  </conditionalFormatting>
  <conditionalFormatting sqref="S35">
    <cfRule type="dataBar" priority="215">
      <dataBar>
        <cfvo type="min"/>
        <cfvo type="max"/>
        <color rgb="FF638EC6"/>
      </dataBar>
      <extLst>
        <ext xmlns:x14="http://schemas.microsoft.com/office/spreadsheetml/2009/9/main" uri="{B025F937-C7B1-47D3-B67F-A62EFF666E3E}">
          <x14:id>{D4781FFD-1E12-8347-90EA-0D070FAB5379}</x14:id>
        </ext>
      </extLst>
    </cfRule>
  </conditionalFormatting>
  <conditionalFormatting sqref="T34">
    <cfRule type="colorScale" priority="214">
      <colorScale>
        <cfvo type="min"/>
        <cfvo type="percentile" val="50"/>
        <cfvo type="max"/>
        <color rgb="FF63BE7B"/>
        <color rgb="FFFFEB84"/>
        <color rgb="FFF8696B"/>
      </colorScale>
    </cfRule>
  </conditionalFormatting>
  <conditionalFormatting sqref="T34">
    <cfRule type="dataBar" priority="213">
      <dataBar>
        <cfvo type="min"/>
        <cfvo type="max"/>
        <color rgb="FF638EC6"/>
      </dataBar>
      <extLst>
        <ext xmlns:x14="http://schemas.microsoft.com/office/spreadsheetml/2009/9/main" uri="{B025F937-C7B1-47D3-B67F-A62EFF666E3E}">
          <x14:id>{E057CB15-D726-D14C-B5A4-8F52446068C6}</x14:id>
        </ext>
      </extLst>
    </cfRule>
  </conditionalFormatting>
  <conditionalFormatting sqref="U33">
    <cfRule type="colorScale" priority="212">
      <colorScale>
        <cfvo type="min"/>
        <cfvo type="percentile" val="50"/>
        <cfvo type="max"/>
        <color rgb="FF63BE7B"/>
        <color rgb="FFFFEB84"/>
        <color rgb="FFF8696B"/>
      </colorScale>
    </cfRule>
  </conditionalFormatting>
  <conditionalFormatting sqref="U33">
    <cfRule type="dataBar" priority="211">
      <dataBar>
        <cfvo type="min"/>
        <cfvo type="max"/>
        <color rgb="FF638EC6"/>
      </dataBar>
      <extLst>
        <ext xmlns:x14="http://schemas.microsoft.com/office/spreadsheetml/2009/9/main" uri="{B025F937-C7B1-47D3-B67F-A62EFF666E3E}">
          <x14:id>{3A48C4FC-3E6D-F047-878C-D750C06837B1}</x14:id>
        </ext>
      </extLst>
    </cfRule>
  </conditionalFormatting>
  <conditionalFormatting sqref="V32">
    <cfRule type="colorScale" priority="210">
      <colorScale>
        <cfvo type="min"/>
        <cfvo type="percentile" val="50"/>
        <cfvo type="max"/>
        <color rgb="FF63BE7B"/>
        <color rgb="FFFFEB84"/>
        <color rgb="FFF8696B"/>
      </colorScale>
    </cfRule>
  </conditionalFormatting>
  <conditionalFormatting sqref="V32">
    <cfRule type="dataBar" priority="209">
      <dataBar>
        <cfvo type="min"/>
        <cfvo type="max"/>
        <color rgb="FF638EC6"/>
      </dataBar>
      <extLst>
        <ext xmlns:x14="http://schemas.microsoft.com/office/spreadsheetml/2009/9/main" uri="{B025F937-C7B1-47D3-B67F-A62EFF666E3E}">
          <x14:id>{1615D88B-87B4-D24F-A74A-01B084ACA947}</x14:id>
        </ext>
      </extLst>
    </cfRule>
  </conditionalFormatting>
  <conditionalFormatting sqref="W31">
    <cfRule type="colorScale" priority="208">
      <colorScale>
        <cfvo type="min"/>
        <cfvo type="percentile" val="50"/>
        <cfvo type="max"/>
        <color rgb="FF63BE7B"/>
        <color rgb="FFFFEB84"/>
        <color rgb="FFF8696B"/>
      </colorScale>
    </cfRule>
  </conditionalFormatting>
  <conditionalFormatting sqref="W31">
    <cfRule type="dataBar" priority="207">
      <dataBar>
        <cfvo type="min"/>
        <cfvo type="max"/>
        <color rgb="FF638EC6"/>
      </dataBar>
      <extLst>
        <ext xmlns:x14="http://schemas.microsoft.com/office/spreadsheetml/2009/9/main" uri="{B025F937-C7B1-47D3-B67F-A62EFF666E3E}">
          <x14:id>{2A0A0DC1-1F5C-9F4A-AC65-ECA3739749CF}</x14:id>
        </ext>
      </extLst>
    </cfRule>
  </conditionalFormatting>
  <conditionalFormatting sqref="X30">
    <cfRule type="colorScale" priority="206">
      <colorScale>
        <cfvo type="min"/>
        <cfvo type="percentile" val="50"/>
        <cfvo type="max"/>
        <color rgb="FF63BE7B"/>
        <color rgb="FFFFEB84"/>
        <color rgb="FFF8696B"/>
      </colorScale>
    </cfRule>
  </conditionalFormatting>
  <conditionalFormatting sqref="X30">
    <cfRule type="dataBar" priority="205">
      <dataBar>
        <cfvo type="min"/>
        <cfvo type="max"/>
        <color rgb="FF638EC6"/>
      </dataBar>
      <extLst>
        <ext xmlns:x14="http://schemas.microsoft.com/office/spreadsheetml/2009/9/main" uri="{B025F937-C7B1-47D3-B67F-A62EFF666E3E}">
          <x14:id>{45429715-522B-C746-81EA-9B8700C3680C}</x14:id>
        </ext>
      </extLst>
    </cfRule>
  </conditionalFormatting>
  <conditionalFormatting sqref="Y29">
    <cfRule type="colorScale" priority="204">
      <colorScale>
        <cfvo type="min"/>
        <cfvo type="percentile" val="50"/>
        <cfvo type="max"/>
        <color rgb="FF63BE7B"/>
        <color rgb="FFFFEB84"/>
        <color rgb="FFF8696B"/>
      </colorScale>
    </cfRule>
  </conditionalFormatting>
  <conditionalFormatting sqref="Y29">
    <cfRule type="dataBar" priority="203">
      <dataBar>
        <cfvo type="min"/>
        <cfvo type="max"/>
        <color rgb="FF638EC6"/>
      </dataBar>
      <extLst>
        <ext xmlns:x14="http://schemas.microsoft.com/office/spreadsheetml/2009/9/main" uri="{B025F937-C7B1-47D3-B67F-A62EFF666E3E}">
          <x14:id>{721BA349-054D-9347-BFC0-8C969B5E38B4}</x14:id>
        </ext>
      </extLst>
    </cfRule>
  </conditionalFormatting>
  <conditionalFormatting sqref="Z28">
    <cfRule type="colorScale" priority="202">
      <colorScale>
        <cfvo type="min"/>
        <cfvo type="percentile" val="50"/>
        <cfvo type="max"/>
        <color rgb="FF63BE7B"/>
        <color rgb="FFFFEB84"/>
        <color rgb="FFF8696B"/>
      </colorScale>
    </cfRule>
  </conditionalFormatting>
  <conditionalFormatting sqref="Z28">
    <cfRule type="dataBar" priority="201">
      <dataBar>
        <cfvo type="min"/>
        <cfvo type="max"/>
        <color rgb="FF638EC6"/>
      </dataBar>
      <extLst>
        <ext xmlns:x14="http://schemas.microsoft.com/office/spreadsheetml/2009/9/main" uri="{B025F937-C7B1-47D3-B67F-A62EFF666E3E}">
          <x14:id>{62D2E613-5E43-3D41-9C2C-E7C4BF158205}</x14:id>
        </ext>
      </extLst>
    </cfRule>
  </conditionalFormatting>
  <conditionalFormatting sqref="AA27">
    <cfRule type="colorScale" priority="200">
      <colorScale>
        <cfvo type="min"/>
        <cfvo type="percentile" val="50"/>
        <cfvo type="max"/>
        <color rgb="FF63BE7B"/>
        <color rgb="FFFFEB84"/>
        <color rgb="FFF8696B"/>
      </colorScale>
    </cfRule>
  </conditionalFormatting>
  <conditionalFormatting sqref="AA27">
    <cfRule type="dataBar" priority="199">
      <dataBar>
        <cfvo type="min"/>
        <cfvo type="max"/>
        <color rgb="FF638EC6"/>
      </dataBar>
      <extLst>
        <ext xmlns:x14="http://schemas.microsoft.com/office/spreadsheetml/2009/9/main" uri="{B025F937-C7B1-47D3-B67F-A62EFF666E3E}">
          <x14:id>{B1EC6C8F-D652-A146-A192-B385F6A5FDFB}</x14:id>
        </ext>
      </extLst>
    </cfRule>
  </conditionalFormatting>
  <conditionalFormatting sqref="AB26">
    <cfRule type="colorScale" priority="198">
      <colorScale>
        <cfvo type="min"/>
        <cfvo type="percentile" val="50"/>
        <cfvo type="max"/>
        <color rgb="FF63BE7B"/>
        <color rgb="FFFFEB84"/>
        <color rgb="FFF8696B"/>
      </colorScale>
    </cfRule>
  </conditionalFormatting>
  <conditionalFormatting sqref="AB26">
    <cfRule type="dataBar" priority="197">
      <dataBar>
        <cfvo type="min"/>
        <cfvo type="max"/>
        <color rgb="FF638EC6"/>
      </dataBar>
      <extLst>
        <ext xmlns:x14="http://schemas.microsoft.com/office/spreadsheetml/2009/9/main" uri="{B025F937-C7B1-47D3-B67F-A62EFF666E3E}">
          <x14:id>{D1BE7DB8-BFF2-2E4B-9D10-F56F750AE7E1}</x14:id>
        </ext>
      </extLst>
    </cfRule>
  </conditionalFormatting>
  <conditionalFormatting sqref="AC25">
    <cfRule type="colorScale" priority="196">
      <colorScale>
        <cfvo type="min"/>
        <cfvo type="percentile" val="50"/>
        <cfvo type="max"/>
        <color rgb="FF63BE7B"/>
        <color rgb="FFFFEB84"/>
        <color rgb="FFF8696B"/>
      </colorScale>
    </cfRule>
  </conditionalFormatting>
  <conditionalFormatting sqref="AC25">
    <cfRule type="dataBar" priority="195">
      <dataBar>
        <cfvo type="min"/>
        <cfvo type="max"/>
        <color rgb="FF638EC6"/>
      </dataBar>
      <extLst>
        <ext xmlns:x14="http://schemas.microsoft.com/office/spreadsheetml/2009/9/main" uri="{B025F937-C7B1-47D3-B67F-A62EFF666E3E}">
          <x14:id>{0C72ACC0-617C-7442-9F0D-61D4E1343BDA}</x14:id>
        </ext>
      </extLst>
    </cfRule>
  </conditionalFormatting>
  <conditionalFormatting sqref="AD24">
    <cfRule type="colorScale" priority="194">
      <colorScale>
        <cfvo type="min"/>
        <cfvo type="percentile" val="50"/>
        <cfvo type="max"/>
        <color rgb="FF63BE7B"/>
        <color rgb="FFFFEB84"/>
        <color rgb="FFF8696B"/>
      </colorScale>
    </cfRule>
  </conditionalFormatting>
  <conditionalFormatting sqref="AD24">
    <cfRule type="dataBar" priority="193">
      <dataBar>
        <cfvo type="min"/>
        <cfvo type="max"/>
        <color rgb="FF638EC6"/>
      </dataBar>
      <extLst>
        <ext xmlns:x14="http://schemas.microsoft.com/office/spreadsheetml/2009/9/main" uri="{B025F937-C7B1-47D3-B67F-A62EFF666E3E}">
          <x14:id>{0E7D5374-FBF4-EC4C-A8FC-142E2B79D231}</x14:id>
        </ext>
      </extLst>
    </cfRule>
  </conditionalFormatting>
  <conditionalFormatting sqref="M43">
    <cfRule type="dataBar" priority="192">
      <dataBar>
        <cfvo type="min"/>
        <cfvo type="max"/>
        <color rgb="FF638EC6"/>
      </dataBar>
      <extLst>
        <ext xmlns:x14="http://schemas.microsoft.com/office/spreadsheetml/2009/9/main" uri="{B025F937-C7B1-47D3-B67F-A62EFF666E3E}">
          <x14:id>{B35005FC-F948-CF46-B868-ADC9C02244FE}</x14:id>
        </ext>
      </extLst>
    </cfRule>
  </conditionalFormatting>
  <conditionalFormatting sqref="N42">
    <cfRule type="colorScale" priority="191">
      <colorScale>
        <cfvo type="min"/>
        <cfvo type="percentile" val="50"/>
        <cfvo type="max"/>
        <color rgb="FF63BE7B"/>
        <color rgb="FFFFEB84"/>
        <color rgb="FFF8696B"/>
      </colorScale>
    </cfRule>
  </conditionalFormatting>
  <conditionalFormatting sqref="N42">
    <cfRule type="dataBar" priority="190">
      <dataBar>
        <cfvo type="min"/>
        <cfvo type="max"/>
        <color rgb="FF638EC6"/>
      </dataBar>
      <extLst>
        <ext xmlns:x14="http://schemas.microsoft.com/office/spreadsheetml/2009/9/main" uri="{B025F937-C7B1-47D3-B67F-A62EFF666E3E}">
          <x14:id>{33B458C5-E62F-C74C-A983-B507B161AE02}</x14:id>
        </ext>
      </extLst>
    </cfRule>
  </conditionalFormatting>
  <conditionalFormatting sqref="O41">
    <cfRule type="colorScale" priority="189">
      <colorScale>
        <cfvo type="min"/>
        <cfvo type="percentile" val="50"/>
        <cfvo type="max"/>
        <color rgb="FF63BE7B"/>
        <color rgb="FFFFEB84"/>
        <color rgb="FFF8696B"/>
      </colorScale>
    </cfRule>
  </conditionalFormatting>
  <conditionalFormatting sqref="O41">
    <cfRule type="dataBar" priority="188">
      <dataBar>
        <cfvo type="min"/>
        <cfvo type="max"/>
        <color rgb="FF638EC6"/>
      </dataBar>
      <extLst>
        <ext xmlns:x14="http://schemas.microsoft.com/office/spreadsheetml/2009/9/main" uri="{B025F937-C7B1-47D3-B67F-A62EFF666E3E}">
          <x14:id>{2702752C-A42B-FB49-AA81-09435590CB87}</x14:id>
        </ext>
      </extLst>
    </cfRule>
  </conditionalFormatting>
  <conditionalFormatting sqref="P40">
    <cfRule type="colorScale" priority="187">
      <colorScale>
        <cfvo type="min"/>
        <cfvo type="percentile" val="50"/>
        <cfvo type="max"/>
        <color rgb="FF63BE7B"/>
        <color rgb="FFFFEB84"/>
        <color rgb="FFF8696B"/>
      </colorScale>
    </cfRule>
  </conditionalFormatting>
  <conditionalFormatting sqref="P40">
    <cfRule type="dataBar" priority="186">
      <dataBar>
        <cfvo type="min"/>
        <cfvo type="max"/>
        <color rgb="FF638EC6"/>
      </dataBar>
      <extLst>
        <ext xmlns:x14="http://schemas.microsoft.com/office/spreadsheetml/2009/9/main" uri="{B025F937-C7B1-47D3-B67F-A62EFF666E3E}">
          <x14:id>{D3DA943C-6AC7-0B40-AA22-9D9206A42620}</x14:id>
        </ext>
      </extLst>
    </cfRule>
  </conditionalFormatting>
  <conditionalFormatting sqref="Q39">
    <cfRule type="colorScale" priority="185">
      <colorScale>
        <cfvo type="min"/>
        <cfvo type="percentile" val="50"/>
        <cfvo type="max"/>
        <color rgb="FF63BE7B"/>
        <color rgb="FFFFEB84"/>
        <color rgb="FFF8696B"/>
      </colorScale>
    </cfRule>
  </conditionalFormatting>
  <conditionalFormatting sqref="Q39">
    <cfRule type="dataBar" priority="184">
      <dataBar>
        <cfvo type="min"/>
        <cfvo type="max"/>
        <color rgb="FF638EC6"/>
      </dataBar>
      <extLst>
        <ext xmlns:x14="http://schemas.microsoft.com/office/spreadsheetml/2009/9/main" uri="{B025F937-C7B1-47D3-B67F-A62EFF666E3E}">
          <x14:id>{8DFD253C-2E80-D54D-948C-B7F7E464FF0D}</x14:id>
        </ext>
      </extLst>
    </cfRule>
  </conditionalFormatting>
  <conditionalFormatting sqref="R38">
    <cfRule type="colorScale" priority="183">
      <colorScale>
        <cfvo type="min"/>
        <cfvo type="percentile" val="50"/>
        <cfvo type="max"/>
        <color rgb="FF63BE7B"/>
        <color rgb="FFFFEB84"/>
        <color rgb="FFF8696B"/>
      </colorScale>
    </cfRule>
  </conditionalFormatting>
  <conditionalFormatting sqref="R38">
    <cfRule type="dataBar" priority="182">
      <dataBar>
        <cfvo type="min"/>
        <cfvo type="max"/>
        <color rgb="FF638EC6"/>
      </dataBar>
      <extLst>
        <ext xmlns:x14="http://schemas.microsoft.com/office/spreadsheetml/2009/9/main" uri="{B025F937-C7B1-47D3-B67F-A62EFF666E3E}">
          <x14:id>{99691FE0-408C-5743-8586-091D0FF2ACBC}</x14:id>
        </ext>
      </extLst>
    </cfRule>
  </conditionalFormatting>
  <conditionalFormatting sqref="S37">
    <cfRule type="colorScale" priority="181">
      <colorScale>
        <cfvo type="min"/>
        <cfvo type="percentile" val="50"/>
        <cfvo type="max"/>
        <color rgb="FF63BE7B"/>
        <color rgb="FFFFEB84"/>
        <color rgb="FFF8696B"/>
      </colorScale>
    </cfRule>
  </conditionalFormatting>
  <conditionalFormatting sqref="S37">
    <cfRule type="dataBar" priority="180">
      <dataBar>
        <cfvo type="min"/>
        <cfvo type="max"/>
        <color rgb="FF638EC6"/>
      </dataBar>
      <extLst>
        <ext xmlns:x14="http://schemas.microsoft.com/office/spreadsheetml/2009/9/main" uri="{B025F937-C7B1-47D3-B67F-A62EFF666E3E}">
          <x14:id>{837E7AF0-AC21-664B-ACB8-2D533295B908}</x14:id>
        </ext>
      </extLst>
    </cfRule>
  </conditionalFormatting>
  <conditionalFormatting sqref="T36">
    <cfRule type="colorScale" priority="179">
      <colorScale>
        <cfvo type="min"/>
        <cfvo type="percentile" val="50"/>
        <cfvo type="max"/>
        <color rgb="FF63BE7B"/>
        <color rgb="FFFFEB84"/>
        <color rgb="FFF8696B"/>
      </colorScale>
    </cfRule>
  </conditionalFormatting>
  <conditionalFormatting sqref="T36">
    <cfRule type="dataBar" priority="178">
      <dataBar>
        <cfvo type="min"/>
        <cfvo type="max"/>
        <color rgb="FF638EC6"/>
      </dataBar>
      <extLst>
        <ext xmlns:x14="http://schemas.microsoft.com/office/spreadsheetml/2009/9/main" uri="{B025F937-C7B1-47D3-B67F-A62EFF666E3E}">
          <x14:id>{CE1CA848-71F2-C44E-9A10-10B27E21A2AE}</x14:id>
        </ext>
      </extLst>
    </cfRule>
  </conditionalFormatting>
  <conditionalFormatting sqref="U35">
    <cfRule type="colorScale" priority="177">
      <colorScale>
        <cfvo type="min"/>
        <cfvo type="percentile" val="50"/>
        <cfvo type="max"/>
        <color rgb="FF63BE7B"/>
        <color rgb="FFFFEB84"/>
        <color rgb="FFF8696B"/>
      </colorScale>
    </cfRule>
  </conditionalFormatting>
  <conditionalFormatting sqref="U35">
    <cfRule type="dataBar" priority="176">
      <dataBar>
        <cfvo type="min"/>
        <cfvo type="max"/>
        <color rgb="FF638EC6"/>
      </dataBar>
      <extLst>
        <ext xmlns:x14="http://schemas.microsoft.com/office/spreadsheetml/2009/9/main" uri="{B025F937-C7B1-47D3-B67F-A62EFF666E3E}">
          <x14:id>{5831D2A7-F77C-FC4A-9407-1AB85E7706D1}</x14:id>
        </ext>
      </extLst>
    </cfRule>
  </conditionalFormatting>
  <conditionalFormatting sqref="V34">
    <cfRule type="colorScale" priority="175">
      <colorScale>
        <cfvo type="min"/>
        <cfvo type="percentile" val="50"/>
        <cfvo type="max"/>
        <color rgb="FF63BE7B"/>
        <color rgb="FFFFEB84"/>
        <color rgb="FFF8696B"/>
      </colorScale>
    </cfRule>
  </conditionalFormatting>
  <conditionalFormatting sqref="V34">
    <cfRule type="dataBar" priority="174">
      <dataBar>
        <cfvo type="min"/>
        <cfvo type="max"/>
        <color rgb="FF638EC6"/>
      </dataBar>
      <extLst>
        <ext xmlns:x14="http://schemas.microsoft.com/office/spreadsheetml/2009/9/main" uri="{B025F937-C7B1-47D3-B67F-A62EFF666E3E}">
          <x14:id>{A8A55B86-8400-8043-877C-8B7059971893}</x14:id>
        </ext>
      </extLst>
    </cfRule>
  </conditionalFormatting>
  <conditionalFormatting sqref="W33">
    <cfRule type="colorScale" priority="173">
      <colorScale>
        <cfvo type="min"/>
        <cfvo type="percentile" val="50"/>
        <cfvo type="max"/>
        <color rgb="FF63BE7B"/>
        <color rgb="FFFFEB84"/>
        <color rgb="FFF8696B"/>
      </colorScale>
    </cfRule>
  </conditionalFormatting>
  <conditionalFormatting sqref="W33">
    <cfRule type="dataBar" priority="172">
      <dataBar>
        <cfvo type="min"/>
        <cfvo type="max"/>
        <color rgb="FF638EC6"/>
      </dataBar>
      <extLst>
        <ext xmlns:x14="http://schemas.microsoft.com/office/spreadsheetml/2009/9/main" uri="{B025F937-C7B1-47D3-B67F-A62EFF666E3E}">
          <x14:id>{BBFC7D79-7A9A-7C48-B21B-2C71D05EAEB6}</x14:id>
        </ext>
      </extLst>
    </cfRule>
  </conditionalFormatting>
  <conditionalFormatting sqref="X32">
    <cfRule type="colorScale" priority="171">
      <colorScale>
        <cfvo type="min"/>
        <cfvo type="percentile" val="50"/>
        <cfvo type="max"/>
        <color rgb="FF63BE7B"/>
        <color rgb="FFFFEB84"/>
        <color rgb="FFF8696B"/>
      </colorScale>
    </cfRule>
  </conditionalFormatting>
  <conditionalFormatting sqref="X32">
    <cfRule type="dataBar" priority="170">
      <dataBar>
        <cfvo type="min"/>
        <cfvo type="max"/>
        <color rgb="FF638EC6"/>
      </dataBar>
      <extLst>
        <ext xmlns:x14="http://schemas.microsoft.com/office/spreadsheetml/2009/9/main" uri="{B025F937-C7B1-47D3-B67F-A62EFF666E3E}">
          <x14:id>{4473206E-1F7B-5D46-A90C-C5F2BAED13E6}</x14:id>
        </ext>
      </extLst>
    </cfRule>
  </conditionalFormatting>
  <conditionalFormatting sqref="Y31">
    <cfRule type="colorScale" priority="169">
      <colorScale>
        <cfvo type="min"/>
        <cfvo type="percentile" val="50"/>
        <cfvo type="max"/>
        <color rgb="FF63BE7B"/>
        <color rgb="FFFFEB84"/>
        <color rgb="FFF8696B"/>
      </colorScale>
    </cfRule>
  </conditionalFormatting>
  <conditionalFormatting sqref="Y31">
    <cfRule type="dataBar" priority="168">
      <dataBar>
        <cfvo type="min"/>
        <cfvo type="max"/>
        <color rgb="FF638EC6"/>
      </dataBar>
      <extLst>
        <ext xmlns:x14="http://schemas.microsoft.com/office/spreadsheetml/2009/9/main" uri="{B025F937-C7B1-47D3-B67F-A62EFF666E3E}">
          <x14:id>{EF27B7D3-8541-8240-9730-99322D99F31A}</x14:id>
        </ext>
      </extLst>
    </cfRule>
  </conditionalFormatting>
  <conditionalFormatting sqref="Z30">
    <cfRule type="colorScale" priority="167">
      <colorScale>
        <cfvo type="min"/>
        <cfvo type="percentile" val="50"/>
        <cfvo type="max"/>
        <color rgb="FF63BE7B"/>
        <color rgb="FFFFEB84"/>
        <color rgb="FFF8696B"/>
      </colorScale>
    </cfRule>
  </conditionalFormatting>
  <conditionalFormatting sqref="Z30">
    <cfRule type="dataBar" priority="166">
      <dataBar>
        <cfvo type="min"/>
        <cfvo type="max"/>
        <color rgb="FF638EC6"/>
      </dataBar>
      <extLst>
        <ext xmlns:x14="http://schemas.microsoft.com/office/spreadsheetml/2009/9/main" uri="{B025F937-C7B1-47D3-B67F-A62EFF666E3E}">
          <x14:id>{18048970-CBD8-1344-9883-7B954ADA2784}</x14:id>
        </ext>
      </extLst>
    </cfRule>
  </conditionalFormatting>
  <conditionalFormatting sqref="AA29">
    <cfRule type="colorScale" priority="165">
      <colorScale>
        <cfvo type="min"/>
        <cfvo type="percentile" val="50"/>
        <cfvo type="max"/>
        <color rgb="FF63BE7B"/>
        <color rgb="FFFFEB84"/>
        <color rgb="FFF8696B"/>
      </colorScale>
    </cfRule>
  </conditionalFormatting>
  <conditionalFormatting sqref="AA29">
    <cfRule type="dataBar" priority="164">
      <dataBar>
        <cfvo type="min"/>
        <cfvo type="max"/>
        <color rgb="FF638EC6"/>
      </dataBar>
      <extLst>
        <ext xmlns:x14="http://schemas.microsoft.com/office/spreadsheetml/2009/9/main" uri="{B025F937-C7B1-47D3-B67F-A62EFF666E3E}">
          <x14:id>{DD2E86F2-4339-0142-8764-A65AED959BAA}</x14:id>
        </ext>
      </extLst>
    </cfRule>
  </conditionalFormatting>
  <conditionalFormatting sqref="AB28">
    <cfRule type="colorScale" priority="163">
      <colorScale>
        <cfvo type="min"/>
        <cfvo type="percentile" val="50"/>
        <cfvo type="max"/>
        <color rgb="FF63BE7B"/>
        <color rgb="FFFFEB84"/>
        <color rgb="FFF8696B"/>
      </colorScale>
    </cfRule>
  </conditionalFormatting>
  <conditionalFormatting sqref="AB28">
    <cfRule type="dataBar" priority="162">
      <dataBar>
        <cfvo type="min"/>
        <cfvo type="max"/>
        <color rgb="FF638EC6"/>
      </dataBar>
      <extLst>
        <ext xmlns:x14="http://schemas.microsoft.com/office/spreadsheetml/2009/9/main" uri="{B025F937-C7B1-47D3-B67F-A62EFF666E3E}">
          <x14:id>{E2FAAF90-F8E6-834B-971D-28A366C06433}</x14:id>
        </ext>
      </extLst>
    </cfRule>
  </conditionalFormatting>
  <conditionalFormatting sqref="AC27">
    <cfRule type="colorScale" priority="161">
      <colorScale>
        <cfvo type="min"/>
        <cfvo type="percentile" val="50"/>
        <cfvo type="max"/>
        <color rgb="FF63BE7B"/>
        <color rgb="FFFFEB84"/>
        <color rgb="FFF8696B"/>
      </colorScale>
    </cfRule>
  </conditionalFormatting>
  <conditionalFormatting sqref="AC27">
    <cfRule type="dataBar" priority="160">
      <dataBar>
        <cfvo type="min"/>
        <cfvo type="max"/>
        <color rgb="FF638EC6"/>
      </dataBar>
      <extLst>
        <ext xmlns:x14="http://schemas.microsoft.com/office/spreadsheetml/2009/9/main" uri="{B025F937-C7B1-47D3-B67F-A62EFF666E3E}">
          <x14:id>{60A4D8F7-7E5E-9948-8A77-9AC26CC48094}</x14:id>
        </ext>
      </extLst>
    </cfRule>
  </conditionalFormatting>
  <conditionalFormatting sqref="AD26">
    <cfRule type="colorScale" priority="159">
      <colorScale>
        <cfvo type="min"/>
        <cfvo type="percentile" val="50"/>
        <cfvo type="max"/>
        <color rgb="FF63BE7B"/>
        <color rgb="FFFFEB84"/>
        <color rgb="FFF8696B"/>
      </colorScale>
    </cfRule>
  </conditionalFormatting>
  <conditionalFormatting sqref="AD26">
    <cfRule type="dataBar" priority="158">
      <dataBar>
        <cfvo type="min"/>
        <cfvo type="max"/>
        <color rgb="FF638EC6"/>
      </dataBar>
      <extLst>
        <ext xmlns:x14="http://schemas.microsoft.com/office/spreadsheetml/2009/9/main" uri="{B025F937-C7B1-47D3-B67F-A62EFF666E3E}">
          <x14:id>{3ACDDE8D-6416-8644-BEF4-70A57F4AFB3F}</x14:id>
        </ext>
      </extLst>
    </cfRule>
  </conditionalFormatting>
  <conditionalFormatting sqref="M45">
    <cfRule type="dataBar" priority="157">
      <dataBar>
        <cfvo type="min"/>
        <cfvo type="max"/>
        <color rgb="FF638EC6"/>
      </dataBar>
      <extLst>
        <ext xmlns:x14="http://schemas.microsoft.com/office/spreadsheetml/2009/9/main" uri="{B025F937-C7B1-47D3-B67F-A62EFF666E3E}">
          <x14:id>{8B7B5D8D-D69D-4A4A-B37A-1305D7B62E9D}</x14:id>
        </ext>
      </extLst>
    </cfRule>
  </conditionalFormatting>
  <conditionalFormatting sqref="N44">
    <cfRule type="colorScale" priority="156">
      <colorScale>
        <cfvo type="min"/>
        <cfvo type="percentile" val="50"/>
        <cfvo type="max"/>
        <color rgb="FF63BE7B"/>
        <color rgb="FFFFEB84"/>
        <color rgb="FFF8696B"/>
      </colorScale>
    </cfRule>
  </conditionalFormatting>
  <conditionalFormatting sqref="N44">
    <cfRule type="dataBar" priority="155">
      <dataBar>
        <cfvo type="min"/>
        <cfvo type="max"/>
        <color rgb="FF638EC6"/>
      </dataBar>
      <extLst>
        <ext xmlns:x14="http://schemas.microsoft.com/office/spreadsheetml/2009/9/main" uri="{B025F937-C7B1-47D3-B67F-A62EFF666E3E}">
          <x14:id>{A9AE4586-04D9-BA4A-9995-EF26A9826A0C}</x14:id>
        </ext>
      </extLst>
    </cfRule>
  </conditionalFormatting>
  <conditionalFormatting sqref="O43">
    <cfRule type="colorScale" priority="154">
      <colorScale>
        <cfvo type="min"/>
        <cfvo type="percentile" val="50"/>
        <cfvo type="max"/>
        <color rgb="FF63BE7B"/>
        <color rgb="FFFFEB84"/>
        <color rgb="FFF8696B"/>
      </colorScale>
    </cfRule>
  </conditionalFormatting>
  <conditionalFormatting sqref="O43">
    <cfRule type="dataBar" priority="153">
      <dataBar>
        <cfvo type="min"/>
        <cfvo type="max"/>
        <color rgb="FF638EC6"/>
      </dataBar>
      <extLst>
        <ext xmlns:x14="http://schemas.microsoft.com/office/spreadsheetml/2009/9/main" uri="{B025F937-C7B1-47D3-B67F-A62EFF666E3E}">
          <x14:id>{B513B2D4-24BF-E344-A10C-C3512ED42301}</x14:id>
        </ext>
      </extLst>
    </cfRule>
  </conditionalFormatting>
  <conditionalFormatting sqref="P42">
    <cfRule type="colorScale" priority="152">
      <colorScale>
        <cfvo type="min"/>
        <cfvo type="percentile" val="50"/>
        <cfvo type="max"/>
        <color rgb="FF63BE7B"/>
        <color rgb="FFFFEB84"/>
        <color rgb="FFF8696B"/>
      </colorScale>
    </cfRule>
  </conditionalFormatting>
  <conditionalFormatting sqref="P42">
    <cfRule type="dataBar" priority="151">
      <dataBar>
        <cfvo type="min"/>
        <cfvo type="max"/>
        <color rgb="FF638EC6"/>
      </dataBar>
      <extLst>
        <ext xmlns:x14="http://schemas.microsoft.com/office/spreadsheetml/2009/9/main" uri="{B025F937-C7B1-47D3-B67F-A62EFF666E3E}">
          <x14:id>{579F3673-8FC9-9D49-BC82-3F3A2091747E}</x14:id>
        </ext>
      </extLst>
    </cfRule>
  </conditionalFormatting>
  <conditionalFormatting sqref="Q41">
    <cfRule type="colorScale" priority="150">
      <colorScale>
        <cfvo type="min"/>
        <cfvo type="percentile" val="50"/>
        <cfvo type="max"/>
        <color rgb="FF63BE7B"/>
        <color rgb="FFFFEB84"/>
        <color rgb="FFF8696B"/>
      </colorScale>
    </cfRule>
  </conditionalFormatting>
  <conditionalFormatting sqref="Q41">
    <cfRule type="dataBar" priority="149">
      <dataBar>
        <cfvo type="min"/>
        <cfvo type="max"/>
        <color rgb="FF638EC6"/>
      </dataBar>
      <extLst>
        <ext xmlns:x14="http://schemas.microsoft.com/office/spreadsheetml/2009/9/main" uri="{B025F937-C7B1-47D3-B67F-A62EFF666E3E}">
          <x14:id>{0F036074-03B0-5D4A-AC2E-E7980286AB20}</x14:id>
        </ext>
      </extLst>
    </cfRule>
  </conditionalFormatting>
  <conditionalFormatting sqref="R40">
    <cfRule type="colorScale" priority="148">
      <colorScale>
        <cfvo type="min"/>
        <cfvo type="percentile" val="50"/>
        <cfvo type="max"/>
        <color rgb="FF63BE7B"/>
        <color rgb="FFFFEB84"/>
        <color rgb="FFF8696B"/>
      </colorScale>
    </cfRule>
  </conditionalFormatting>
  <conditionalFormatting sqref="R40">
    <cfRule type="dataBar" priority="147">
      <dataBar>
        <cfvo type="min"/>
        <cfvo type="max"/>
        <color rgb="FF638EC6"/>
      </dataBar>
      <extLst>
        <ext xmlns:x14="http://schemas.microsoft.com/office/spreadsheetml/2009/9/main" uri="{B025F937-C7B1-47D3-B67F-A62EFF666E3E}">
          <x14:id>{A3474AC0-A2A7-6A4C-8168-D0702DFC2FC5}</x14:id>
        </ext>
      </extLst>
    </cfRule>
  </conditionalFormatting>
  <conditionalFormatting sqref="S39">
    <cfRule type="colorScale" priority="146">
      <colorScale>
        <cfvo type="min"/>
        <cfvo type="percentile" val="50"/>
        <cfvo type="max"/>
        <color rgb="FF63BE7B"/>
        <color rgb="FFFFEB84"/>
        <color rgb="FFF8696B"/>
      </colorScale>
    </cfRule>
  </conditionalFormatting>
  <conditionalFormatting sqref="S39">
    <cfRule type="dataBar" priority="145">
      <dataBar>
        <cfvo type="min"/>
        <cfvo type="max"/>
        <color rgb="FF638EC6"/>
      </dataBar>
      <extLst>
        <ext xmlns:x14="http://schemas.microsoft.com/office/spreadsheetml/2009/9/main" uri="{B025F937-C7B1-47D3-B67F-A62EFF666E3E}">
          <x14:id>{9DD85D83-1593-154A-B136-2C4148968E97}</x14:id>
        </ext>
      </extLst>
    </cfRule>
  </conditionalFormatting>
  <conditionalFormatting sqref="T38">
    <cfRule type="colorScale" priority="144">
      <colorScale>
        <cfvo type="min"/>
        <cfvo type="percentile" val="50"/>
        <cfvo type="max"/>
        <color rgb="FF63BE7B"/>
        <color rgb="FFFFEB84"/>
        <color rgb="FFF8696B"/>
      </colorScale>
    </cfRule>
  </conditionalFormatting>
  <conditionalFormatting sqref="T38">
    <cfRule type="dataBar" priority="143">
      <dataBar>
        <cfvo type="min"/>
        <cfvo type="max"/>
        <color rgb="FF638EC6"/>
      </dataBar>
      <extLst>
        <ext xmlns:x14="http://schemas.microsoft.com/office/spreadsheetml/2009/9/main" uri="{B025F937-C7B1-47D3-B67F-A62EFF666E3E}">
          <x14:id>{00D551F4-8634-E14E-9AAC-DDE0819583C8}</x14:id>
        </ext>
      </extLst>
    </cfRule>
  </conditionalFormatting>
  <conditionalFormatting sqref="U37">
    <cfRule type="colorScale" priority="142">
      <colorScale>
        <cfvo type="min"/>
        <cfvo type="percentile" val="50"/>
        <cfvo type="max"/>
        <color rgb="FF63BE7B"/>
        <color rgb="FFFFEB84"/>
        <color rgb="FFF8696B"/>
      </colorScale>
    </cfRule>
  </conditionalFormatting>
  <conditionalFormatting sqref="U37">
    <cfRule type="dataBar" priority="141">
      <dataBar>
        <cfvo type="min"/>
        <cfvo type="max"/>
        <color rgb="FF638EC6"/>
      </dataBar>
      <extLst>
        <ext xmlns:x14="http://schemas.microsoft.com/office/spreadsheetml/2009/9/main" uri="{B025F937-C7B1-47D3-B67F-A62EFF666E3E}">
          <x14:id>{17652146-7328-A645-9CDA-882D22811810}</x14:id>
        </ext>
      </extLst>
    </cfRule>
  </conditionalFormatting>
  <conditionalFormatting sqref="V36">
    <cfRule type="colorScale" priority="140">
      <colorScale>
        <cfvo type="min"/>
        <cfvo type="percentile" val="50"/>
        <cfvo type="max"/>
        <color rgb="FF63BE7B"/>
        <color rgb="FFFFEB84"/>
        <color rgb="FFF8696B"/>
      </colorScale>
    </cfRule>
  </conditionalFormatting>
  <conditionalFormatting sqref="V36">
    <cfRule type="dataBar" priority="139">
      <dataBar>
        <cfvo type="min"/>
        <cfvo type="max"/>
        <color rgb="FF638EC6"/>
      </dataBar>
      <extLst>
        <ext xmlns:x14="http://schemas.microsoft.com/office/spreadsheetml/2009/9/main" uri="{B025F937-C7B1-47D3-B67F-A62EFF666E3E}">
          <x14:id>{BA0577AA-F37B-AA48-AF20-D974523B82DD}</x14:id>
        </ext>
      </extLst>
    </cfRule>
  </conditionalFormatting>
  <conditionalFormatting sqref="W35">
    <cfRule type="colorScale" priority="138">
      <colorScale>
        <cfvo type="min"/>
        <cfvo type="percentile" val="50"/>
        <cfvo type="max"/>
        <color rgb="FF63BE7B"/>
        <color rgb="FFFFEB84"/>
        <color rgb="FFF8696B"/>
      </colorScale>
    </cfRule>
  </conditionalFormatting>
  <conditionalFormatting sqref="W35">
    <cfRule type="dataBar" priority="137">
      <dataBar>
        <cfvo type="min"/>
        <cfvo type="max"/>
        <color rgb="FF638EC6"/>
      </dataBar>
      <extLst>
        <ext xmlns:x14="http://schemas.microsoft.com/office/spreadsheetml/2009/9/main" uri="{B025F937-C7B1-47D3-B67F-A62EFF666E3E}">
          <x14:id>{35D3DA6A-BF35-664C-A2A0-33E538938C16}</x14:id>
        </ext>
      </extLst>
    </cfRule>
  </conditionalFormatting>
  <conditionalFormatting sqref="X34">
    <cfRule type="colorScale" priority="136">
      <colorScale>
        <cfvo type="min"/>
        <cfvo type="percentile" val="50"/>
        <cfvo type="max"/>
        <color rgb="FF63BE7B"/>
        <color rgb="FFFFEB84"/>
        <color rgb="FFF8696B"/>
      </colorScale>
    </cfRule>
  </conditionalFormatting>
  <conditionalFormatting sqref="X34">
    <cfRule type="dataBar" priority="135">
      <dataBar>
        <cfvo type="min"/>
        <cfvo type="max"/>
        <color rgb="FF638EC6"/>
      </dataBar>
      <extLst>
        <ext xmlns:x14="http://schemas.microsoft.com/office/spreadsheetml/2009/9/main" uri="{B025F937-C7B1-47D3-B67F-A62EFF666E3E}">
          <x14:id>{D15576C1-CB82-404D-916A-BEF48D886969}</x14:id>
        </ext>
      </extLst>
    </cfRule>
  </conditionalFormatting>
  <conditionalFormatting sqref="Y33">
    <cfRule type="colorScale" priority="134">
      <colorScale>
        <cfvo type="min"/>
        <cfvo type="percentile" val="50"/>
        <cfvo type="max"/>
        <color rgb="FF63BE7B"/>
        <color rgb="FFFFEB84"/>
        <color rgb="FFF8696B"/>
      </colorScale>
    </cfRule>
  </conditionalFormatting>
  <conditionalFormatting sqref="Y33">
    <cfRule type="dataBar" priority="133">
      <dataBar>
        <cfvo type="min"/>
        <cfvo type="max"/>
        <color rgb="FF638EC6"/>
      </dataBar>
      <extLst>
        <ext xmlns:x14="http://schemas.microsoft.com/office/spreadsheetml/2009/9/main" uri="{B025F937-C7B1-47D3-B67F-A62EFF666E3E}">
          <x14:id>{AF67A3A0-09BF-4A45-B786-22FB7EAAEDB5}</x14:id>
        </ext>
      </extLst>
    </cfRule>
  </conditionalFormatting>
  <conditionalFormatting sqref="Z32">
    <cfRule type="colorScale" priority="132">
      <colorScale>
        <cfvo type="min"/>
        <cfvo type="percentile" val="50"/>
        <cfvo type="max"/>
        <color rgb="FF63BE7B"/>
        <color rgb="FFFFEB84"/>
        <color rgb="FFF8696B"/>
      </colorScale>
    </cfRule>
  </conditionalFormatting>
  <conditionalFormatting sqref="Z32">
    <cfRule type="dataBar" priority="131">
      <dataBar>
        <cfvo type="min"/>
        <cfvo type="max"/>
        <color rgb="FF638EC6"/>
      </dataBar>
      <extLst>
        <ext xmlns:x14="http://schemas.microsoft.com/office/spreadsheetml/2009/9/main" uri="{B025F937-C7B1-47D3-B67F-A62EFF666E3E}">
          <x14:id>{A0C5DA46-BB82-4149-924B-4A91E2B1B8F6}</x14:id>
        </ext>
      </extLst>
    </cfRule>
  </conditionalFormatting>
  <conditionalFormatting sqref="AA31">
    <cfRule type="colorScale" priority="130">
      <colorScale>
        <cfvo type="min"/>
        <cfvo type="percentile" val="50"/>
        <cfvo type="max"/>
        <color rgb="FF63BE7B"/>
        <color rgb="FFFFEB84"/>
        <color rgb="FFF8696B"/>
      </colorScale>
    </cfRule>
  </conditionalFormatting>
  <conditionalFormatting sqref="AA31">
    <cfRule type="dataBar" priority="129">
      <dataBar>
        <cfvo type="min"/>
        <cfvo type="max"/>
        <color rgb="FF638EC6"/>
      </dataBar>
      <extLst>
        <ext xmlns:x14="http://schemas.microsoft.com/office/spreadsheetml/2009/9/main" uri="{B025F937-C7B1-47D3-B67F-A62EFF666E3E}">
          <x14:id>{ED62880B-94FB-464A-A7F6-62F175C5D6EF}</x14:id>
        </ext>
      </extLst>
    </cfRule>
  </conditionalFormatting>
  <conditionalFormatting sqref="AB30">
    <cfRule type="colorScale" priority="128">
      <colorScale>
        <cfvo type="min"/>
        <cfvo type="percentile" val="50"/>
        <cfvo type="max"/>
        <color rgb="FF63BE7B"/>
        <color rgb="FFFFEB84"/>
        <color rgb="FFF8696B"/>
      </colorScale>
    </cfRule>
  </conditionalFormatting>
  <conditionalFormatting sqref="AB30">
    <cfRule type="dataBar" priority="127">
      <dataBar>
        <cfvo type="min"/>
        <cfvo type="max"/>
        <color rgb="FF638EC6"/>
      </dataBar>
      <extLst>
        <ext xmlns:x14="http://schemas.microsoft.com/office/spreadsheetml/2009/9/main" uri="{B025F937-C7B1-47D3-B67F-A62EFF666E3E}">
          <x14:id>{70521578-B214-EF4C-BA9C-02D253CFB6E0}</x14:id>
        </ext>
      </extLst>
    </cfRule>
  </conditionalFormatting>
  <conditionalFormatting sqref="AC29">
    <cfRule type="colorScale" priority="126">
      <colorScale>
        <cfvo type="min"/>
        <cfvo type="percentile" val="50"/>
        <cfvo type="max"/>
        <color rgb="FF63BE7B"/>
        <color rgb="FFFFEB84"/>
        <color rgb="FFF8696B"/>
      </colorScale>
    </cfRule>
  </conditionalFormatting>
  <conditionalFormatting sqref="AC29">
    <cfRule type="dataBar" priority="125">
      <dataBar>
        <cfvo type="min"/>
        <cfvo type="max"/>
        <color rgb="FF638EC6"/>
      </dataBar>
      <extLst>
        <ext xmlns:x14="http://schemas.microsoft.com/office/spreadsheetml/2009/9/main" uri="{B025F937-C7B1-47D3-B67F-A62EFF666E3E}">
          <x14:id>{10E133A1-360C-1D45-9C10-6B2AD206D133}</x14:id>
        </ext>
      </extLst>
    </cfRule>
  </conditionalFormatting>
  <conditionalFormatting sqref="AD28">
    <cfRule type="colorScale" priority="124">
      <colorScale>
        <cfvo type="min"/>
        <cfvo type="percentile" val="50"/>
        <cfvo type="max"/>
        <color rgb="FF63BE7B"/>
        <color rgb="FFFFEB84"/>
        <color rgb="FFF8696B"/>
      </colorScale>
    </cfRule>
  </conditionalFormatting>
  <conditionalFormatting sqref="AD28">
    <cfRule type="dataBar" priority="123">
      <dataBar>
        <cfvo type="min"/>
        <cfvo type="max"/>
        <color rgb="FF638EC6"/>
      </dataBar>
      <extLst>
        <ext xmlns:x14="http://schemas.microsoft.com/office/spreadsheetml/2009/9/main" uri="{B025F937-C7B1-47D3-B67F-A62EFF666E3E}">
          <x14:id>{B6759024-6FD2-3242-9792-FD53497D062E}</x14:id>
        </ext>
      </extLst>
    </cfRule>
  </conditionalFormatting>
  <conditionalFormatting sqref="M47">
    <cfRule type="dataBar" priority="122">
      <dataBar>
        <cfvo type="min"/>
        <cfvo type="max"/>
        <color rgb="FF638EC6"/>
      </dataBar>
      <extLst>
        <ext xmlns:x14="http://schemas.microsoft.com/office/spreadsheetml/2009/9/main" uri="{B025F937-C7B1-47D3-B67F-A62EFF666E3E}">
          <x14:id>{CC5C7AAE-3A6F-A74D-B707-634DE8D3B75D}</x14:id>
        </ext>
      </extLst>
    </cfRule>
  </conditionalFormatting>
  <conditionalFormatting sqref="N46">
    <cfRule type="colorScale" priority="121">
      <colorScale>
        <cfvo type="min"/>
        <cfvo type="percentile" val="50"/>
        <cfvo type="max"/>
        <color rgb="FF63BE7B"/>
        <color rgb="FFFFEB84"/>
        <color rgb="FFF8696B"/>
      </colorScale>
    </cfRule>
  </conditionalFormatting>
  <conditionalFormatting sqref="N46">
    <cfRule type="dataBar" priority="120">
      <dataBar>
        <cfvo type="min"/>
        <cfvo type="max"/>
        <color rgb="FF638EC6"/>
      </dataBar>
      <extLst>
        <ext xmlns:x14="http://schemas.microsoft.com/office/spreadsheetml/2009/9/main" uri="{B025F937-C7B1-47D3-B67F-A62EFF666E3E}">
          <x14:id>{AEA64263-F9EC-764C-B7F4-E395EF2AD4C3}</x14:id>
        </ext>
      </extLst>
    </cfRule>
  </conditionalFormatting>
  <conditionalFormatting sqref="O45">
    <cfRule type="colorScale" priority="119">
      <colorScale>
        <cfvo type="min"/>
        <cfvo type="percentile" val="50"/>
        <cfvo type="max"/>
        <color rgb="FF63BE7B"/>
        <color rgb="FFFFEB84"/>
        <color rgb="FFF8696B"/>
      </colorScale>
    </cfRule>
  </conditionalFormatting>
  <conditionalFormatting sqref="O45">
    <cfRule type="dataBar" priority="118">
      <dataBar>
        <cfvo type="min"/>
        <cfvo type="max"/>
        <color rgb="FF638EC6"/>
      </dataBar>
      <extLst>
        <ext xmlns:x14="http://schemas.microsoft.com/office/spreadsheetml/2009/9/main" uri="{B025F937-C7B1-47D3-B67F-A62EFF666E3E}">
          <x14:id>{A722288E-7CF5-F440-A38F-B4EFBE792084}</x14:id>
        </ext>
      </extLst>
    </cfRule>
  </conditionalFormatting>
  <conditionalFormatting sqref="P44">
    <cfRule type="colorScale" priority="117">
      <colorScale>
        <cfvo type="min"/>
        <cfvo type="percentile" val="50"/>
        <cfvo type="max"/>
        <color rgb="FF63BE7B"/>
        <color rgb="FFFFEB84"/>
        <color rgb="FFF8696B"/>
      </colorScale>
    </cfRule>
  </conditionalFormatting>
  <conditionalFormatting sqref="P44">
    <cfRule type="dataBar" priority="116">
      <dataBar>
        <cfvo type="min"/>
        <cfvo type="max"/>
        <color rgb="FF638EC6"/>
      </dataBar>
      <extLst>
        <ext xmlns:x14="http://schemas.microsoft.com/office/spreadsheetml/2009/9/main" uri="{B025F937-C7B1-47D3-B67F-A62EFF666E3E}">
          <x14:id>{1257A73C-84B9-204C-ABA7-C5E280DA6B3F}</x14:id>
        </ext>
      </extLst>
    </cfRule>
  </conditionalFormatting>
  <conditionalFormatting sqref="Q43">
    <cfRule type="colorScale" priority="115">
      <colorScale>
        <cfvo type="min"/>
        <cfvo type="percentile" val="50"/>
        <cfvo type="max"/>
        <color rgb="FF63BE7B"/>
        <color rgb="FFFFEB84"/>
        <color rgb="FFF8696B"/>
      </colorScale>
    </cfRule>
  </conditionalFormatting>
  <conditionalFormatting sqref="Q43">
    <cfRule type="dataBar" priority="114">
      <dataBar>
        <cfvo type="min"/>
        <cfvo type="max"/>
        <color rgb="FF638EC6"/>
      </dataBar>
      <extLst>
        <ext xmlns:x14="http://schemas.microsoft.com/office/spreadsheetml/2009/9/main" uri="{B025F937-C7B1-47D3-B67F-A62EFF666E3E}">
          <x14:id>{CB82AABA-F82F-614D-ABA9-85F53D8818CC}</x14:id>
        </ext>
      </extLst>
    </cfRule>
  </conditionalFormatting>
  <conditionalFormatting sqref="AD30 R42 AC31 AB32 AA33 Z34 Y35 X36 W37 V38 U39 T40 S41">
    <cfRule type="colorScale" priority="113">
      <colorScale>
        <cfvo type="min"/>
        <cfvo type="percentile" val="50"/>
        <cfvo type="max"/>
        <color rgb="FF63BE7B"/>
        <color rgb="FFFFEB84"/>
        <color rgb="FFF8696B"/>
      </colorScale>
    </cfRule>
  </conditionalFormatting>
  <conditionalFormatting sqref="R42 AD30 AC31 AB32 AA33 Z34 Y35 X36 W37 V38 U39 T40 S41">
    <cfRule type="dataBar" priority="112">
      <dataBar>
        <cfvo type="min"/>
        <cfvo type="max"/>
        <color rgb="FF638EC6"/>
      </dataBar>
      <extLst>
        <ext xmlns:x14="http://schemas.microsoft.com/office/spreadsheetml/2009/9/main" uri="{B025F937-C7B1-47D3-B67F-A62EFF666E3E}">
          <x14:id>{AA141E1A-F050-C142-B9C7-0A1B2C877E5C}</x14:id>
        </ext>
      </extLst>
    </cfRule>
  </conditionalFormatting>
  <conditionalFormatting sqref="M49 AD32 AC33 AB34 AA35 Z36 Y37 X38 W39 V40 U41 T42 S43 R44 Q45 P46 O47 N48">
    <cfRule type="dataBar" priority="111">
      <dataBar>
        <cfvo type="min"/>
        <cfvo type="max"/>
        <color rgb="FF638EC6"/>
      </dataBar>
      <extLst>
        <ext xmlns:x14="http://schemas.microsoft.com/office/spreadsheetml/2009/9/main" uri="{B025F937-C7B1-47D3-B67F-A62EFF666E3E}">
          <x14:id>{60193710-9E57-BE4E-9909-DDAB19E9D64B}</x14:id>
        </ext>
      </extLst>
    </cfRule>
  </conditionalFormatting>
  <conditionalFormatting sqref="AD32 N48 AC33 AB34 AA35 Z36 Y37 X38 W39 V40 U41 T42 S43 R44 Q45 P46 O47">
    <cfRule type="colorScale" priority="110">
      <colorScale>
        <cfvo type="min"/>
        <cfvo type="percentile" val="50"/>
        <cfvo type="max"/>
        <color rgb="FF63BE7B"/>
        <color rgb="FFFFEB84"/>
        <color rgb="FFF8696B"/>
      </colorScale>
    </cfRule>
  </conditionalFormatting>
  <conditionalFormatting sqref="AD34 M51 AC35 AB36 AA37 Z38 Y39 X40 W41 V42 U43 T44 S45 R46 Q47 P48 O49 N50">
    <cfRule type="dataBar" priority="109">
      <dataBar>
        <cfvo type="min"/>
        <cfvo type="max"/>
        <color rgb="FF638EC6"/>
      </dataBar>
      <extLst>
        <ext xmlns:x14="http://schemas.microsoft.com/office/spreadsheetml/2009/9/main" uri="{B025F937-C7B1-47D3-B67F-A62EFF666E3E}">
          <x14:id>{6D7054F0-0558-474F-B441-60DD5612A712}</x14:id>
        </ext>
      </extLst>
    </cfRule>
  </conditionalFormatting>
  <conditionalFormatting sqref="N50 AD34 AC35 AB36 AA37 Z38 Y39 X40 W41 V42 U43 T44 S45 R46 Q47 P48 O49">
    <cfRule type="colorScale" priority="108">
      <colorScale>
        <cfvo type="min"/>
        <cfvo type="percentile" val="50"/>
        <cfvo type="max"/>
        <color rgb="FF63BE7B"/>
        <color rgb="FFFFEB84"/>
        <color rgb="FFF8696B"/>
      </colorScale>
    </cfRule>
  </conditionalFormatting>
  <conditionalFormatting sqref="AD36 M53 AC37 AB38 AA39 Z40 Y41 X42 W43 V44 U45 T46 S47 R48 Q49 P50 O51 N52">
    <cfRule type="dataBar" priority="107">
      <dataBar>
        <cfvo type="min"/>
        <cfvo type="max"/>
        <color rgb="FF638EC6"/>
      </dataBar>
      <extLst>
        <ext xmlns:x14="http://schemas.microsoft.com/office/spreadsheetml/2009/9/main" uri="{B025F937-C7B1-47D3-B67F-A62EFF666E3E}">
          <x14:id>{B4467538-0FAF-C74E-BF3D-EA2ED2389070}</x14:id>
        </ext>
      </extLst>
    </cfRule>
  </conditionalFormatting>
  <conditionalFormatting sqref="N52 AD36 AC37 AB38 AA39 Z40 Y41 X42 W43 V44 U45 T46 S47 R48 Q49 P50 O51">
    <cfRule type="colorScale" priority="106">
      <colorScale>
        <cfvo type="min"/>
        <cfvo type="percentile" val="50"/>
        <cfvo type="max"/>
        <color rgb="FF63BE7B"/>
        <color rgb="FFFFEB84"/>
        <color rgb="FFF8696B"/>
      </colorScale>
    </cfRule>
  </conditionalFormatting>
  <conditionalFormatting sqref="O53 AD38 AC39 AB40 AA41 Z42 Y43 X44 W45 V46 U47 T48 S49 R50 Q51 P52">
    <cfRule type="dataBar" priority="105">
      <dataBar>
        <cfvo type="min"/>
        <cfvo type="max"/>
        <color rgb="FF638EC6"/>
      </dataBar>
      <extLst>
        <ext xmlns:x14="http://schemas.microsoft.com/office/spreadsheetml/2009/9/main" uri="{B025F937-C7B1-47D3-B67F-A62EFF666E3E}">
          <x14:id>{AF3E3B23-0BC3-3248-9C47-72795B2AF193}</x14:id>
        </ext>
      </extLst>
    </cfRule>
  </conditionalFormatting>
  <conditionalFormatting sqref="AD38 O53 AC39 AB40 AA41 Z42 Y43 X44 W45 V46 U47 T48 S49 R50 Q51 P52">
    <cfRule type="colorScale" priority="104">
      <colorScale>
        <cfvo type="min"/>
        <cfvo type="percentile" val="50"/>
        <cfvo type="max"/>
        <color rgb="FF63BE7B"/>
        <color rgb="FFFFEB84"/>
        <color rgb="FFF8696B"/>
      </colorScale>
    </cfRule>
  </conditionalFormatting>
  <conditionalFormatting sqref="O55">
    <cfRule type="dataBar" priority="103">
      <dataBar>
        <cfvo type="min"/>
        <cfvo type="max"/>
        <color rgb="FF638EC6"/>
      </dataBar>
      <extLst>
        <ext xmlns:x14="http://schemas.microsoft.com/office/spreadsheetml/2009/9/main" uri="{B025F937-C7B1-47D3-B67F-A62EFF666E3E}">
          <x14:id>{1EE86270-EDAB-6140-A1EF-0A24D64AC3C2}</x14:id>
        </ext>
      </extLst>
    </cfRule>
  </conditionalFormatting>
  <conditionalFormatting sqref="O55">
    <cfRule type="colorScale" priority="102">
      <colorScale>
        <cfvo type="min"/>
        <cfvo type="percentile" val="50"/>
        <cfvo type="max"/>
        <color rgb="FF63BE7B"/>
        <color rgb="FFFFEB84"/>
        <color rgb="FFF8696B"/>
      </colorScale>
    </cfRule>
  </conditionalFormatting>
  <conditionalFormatting sqref="P54">
    <cfRule type="dataBar" priority="101">
      <dataBar>
        <cfvo type="min"/>
        <cfvo type="max"/>
        <color rgb="FF638EC6"/>
      </dataBar>
      <extLst>
        <ext xmlns:x14="http://schemas.microsoft.com/office/spreadsheetml/2009/9/main" uri="{B025F937-C7B1-47D3-B67F-A62EFF666E3E}">
          <x14:id>{255278AD-FDFB-314D-8689-9202EC591C03}</x14:id>
        </ext>
      </extLst>
    </cfRule>
  </conditionalFormatting>
  <conditionalFormatting sqref="P54">
    <cfRule type="colorScale" priority="100">
      <colorScale>
        <cfvo type="min"/>
        <cfvo type="percentile" val="50"/>
        <cfvo type="max"/>
        <color rgb="FF63BE7B"/>
        <color rgb="FFFFEB84"/>
        <color rgb="FFF8696B"/>
      </colorScale>
    </cfRule>
  </conditionalFormatting>
  <conditionalFormatting sqref="Q53">
    <cfRule type="dataBar" priority="99">
      <dataBar>
        <cfvo type="min"/>
        <cfvo type="max"/>
        <color rgb="FF638EC6"/>
      </dataBar>
      <extLst>
        <ext xmlns:x14="http://schemas.microsoft.com/office/spreadsheetml/2009/9/main" uri="{B025F937-C7B1-47D3-B67F-A62EFF666E3E}">
          <x14:id>{4FF95922-A1AF-634C-A29E-073010C0DD35}</x14:id>
        </ext>
      </extLst>
    </cfRule>
  </conditionalFormatting>
  <conditionalFormatting sqref="Q53">
    <cfRule type="colorScale" priority="98">
      <colorScale>
        <cfvo type="min"/>
        <cfvo type="percentile" val="50"/>
        <cfvo type="max"/>
        <color rgb="FF63BE7B"/>
        <color rgb="FFFFEB84"/>
        <color rgb="FFF8696B"/>
      </colorScale>
    </cfRule>
  </conditionalFormatting>
  <conditionalFormatting sqref="R52">
    <cfRule type="dataBar" priority="97">
      <dataBar>
        <cfvo type="min"/>
        <cfvo type="max"/>
        <color rgb="FF638EC6"/>
      </dataBar>
      <extLst>
        <ext xmlns:x14="http://schemas.microsoft.com/office/spreadsheetml/2009/9/main" uri="{B025F937-C7B1-47D3-B67F-A62EFF666E3E}">
          <x14:id>{C58BBD6B-9050-4D4E-BE84-547233953DB3}</x14:id>
        </ext>
      </extLst>
    </cfRule>
  </conditionalFormatting>
  <conditionalFormatting sqref="R52">
    <cfRule type="colorScale" priority="96">
      <colorScale>
        <cfvo type="min"/>
        <cfvo type="percentile" val="50"/>
        <cfvo type="max"/>
        <color rgb="FF63BE7B"/>
        <color rgb="FFFFEB84"/>
        <color rgb="FFF8696B"/>
      </colorScale>
    </cfRule>
  </conditionalFormatting>
  <conditionalFormatting sqref="S51">
    <cfRule type="dataBar" priority="95">
      <dataBar>
        <cfvo type="min"/>
        <cfvo type="max"/>
        <color rgb="FF638EC6"/>
      </dataBar>
      <extLst>
        <ext xmlns:x14="http://schemas.microsoft.com/office/spreadsheetml/2009/9/main" uri="{B025F937-C7B1-47D3-B67F-A62EFF666E3E}">
          <x14:id>{85DD0F3E-AD69-7648-89CD-153D9872037B}</x14:id>
        </ext>
      </extLst>
    </cfRule>
  </conditionalFormatting>
  <conditionalFormatting sqref="S51">
    <cfRule type="colorScale" priority="94">
      <colorScale>
        <cfvo type="min"/>
        <cfvo type="percentile" val="50"/>
        <cfvo type="max"/>
        <color rgb="FF63BE7B"/>
        <color rgb="FFFFEB84"/>
        <color rgb="FFF8696B"/>
      </colorScale>
    </cfRule>
  </conditionalFormatting>
  <conditionalFormatting sqref="T50">
    <cfRule type="dataBar" priority="93">
      <dataBar>
        <cfvo type="min"/>
        <cfvo type="max"/>
        <color rgb="FF638EC6"/>
      </dataBar>
      <extLst>
        <ext xmlns:x14="http://schemas.microsoft.com/office/spreadsheetml/2009/9/main" uri="{B025F937-C7B1-47D3-B67F-A62EFF666E3E}">
          <x14:id>{72AC0901-26A9-9E4F-B2E3-5A4338E74729}</x14:id>
        </ext>
      </extLst>
    </cfRule>
  </conditionalFormatting>
  <conditionalFormatting sqref="T50">
    <cfRule type="colorScale" priority="92">
      <colorScale>
        <cfvo type="min"/>
        <cfvo type="percentile" val="50"/>
        <cfvo type="max"/>
        <color rgb="FF63BE7B"/>
        <color rgb="FFFFEB84"/>
        <color rgb="FFF8696B"/>
      </colorScale>
    </cfRule>
  </conditionalFormatting>
  <conditionalFormatting sqref="U49">
    <cfRule type="dataBar" priority="91">
      <dataBar>
        <cfvo type="min"/>
        <cfvo type="max"/>
        <color rgb="FF638EC6"/>
      </dataBar>
      <extLst>
        <ext xmlns:x14="http://schemas.microsoft.com/office/spreadsheetml/2009/9/main" uri="{B025F937-C7B1-47D3-B67F-A62EFF666E3E}">
          <x14:id>{A022EA1A-8EC5-C44E-B9BD-B30CB6E65B55}</x14:id>
        </ext>
      </extLst>
    </cfRule>
  </conditionalFormatting>
  <conditionalFormatting sqref="U49">
    <cfRule type="colorScale" priority="90">
      <colorScale>
        <cfvo type="min"/>
        <cfvo type="percentile" val="50"/>
        <cfvo type="max"/>
        <color rgb="FF63BE7B"/>
        <color rgb="FFFFEB84"/>
        <color rgb="FFF8696B"/>
      </colorScale>
    </cfRule>
  </conditionalFormatting>
  <conditionalFormatting sqref="V48">
    <cfRule type="dataBar" priority="89">
      <dataBar>
        <cfvo type="min"/>
        <cfvo type="max"/>
        <color rgb="FF638EC6"/>
      </dataBar>
      <extLst>
        <ext xmlns:x14="http://schemas.microsoft.com/office/spreadsheetml/2009/9/main" uri="{B025F937-C7B1-47D3-B67F-A62EFF666E3E}">
          <x14:id>{A3E23EEA-7098-6849-8E75-95994EEE775F}</x14:id>
        </ext>
      </extLst>
    </cfRule>
  </conditionalFormatting>
  <conditionalFormatting sqref="V48">
    <cfRule type="colorScale" priority="88">
      <colorScale>
        <cfvo type="min"/>
        <cfvo type="percentile" val="50"/>
        <cfvo type="max"/>
        <color rgb="FF63BE7B"/>
        <color rgb="FFFFEB84"/>
        <color rgb="FFF8696B"/>
      </colorScale>
    </cfRule>
  </conditionalFormatting>
  <conditionalFormatting sqref="W47">
    <cfRule type="dataBar" priority="87">
      <dataBar>
        <cfvo type="min"/>
        <cfvo type="max"/>
        <color rgb="FF638EC6"/>
      </dataBar>
      <extLst>
        <ext xmlns:x14="http://schemas.microsoft.com/office/spreadsheetml/2009/9/main" uri="{B025F937-C7B1-47D3-B67F-A62EFF666E3E}">
          <x14:id>{3593FFBC-A432-6E45-BE95-4C07ABF2B8CA}</x14:id>
        </ext>
      </extLst>
    </cfRule>
  </conditionalFormatting>
  <conditionalFormatting sqref="W47">
    <cfRule type="colorScale" priority="86">
      <colorScale>
        <cfvo type="min"/>
        <cfvo type="percentile" val="50"/>
        <cfvo type="max"/>
        <color rgb="FF63BE7B"/>
        <color rgb="FFFFEB84"/>
        <color rgb="FFF8696B"/>
      </colorScale>
    </cfRule>
  </conditionalFormatting>
  <conditionalFormatting sqref="O57">
    <cfRule type="dataBar" priority="85">
      <dataBar>
        <cfvo type="min"/>
        <cfvo type="max"/>
        <color rgb="FF638EC6"/>
      </dataBar>
      <extLst>
        <ext xmlns:x14="http://schemas.microsoft.com/office/spreadsheetml/2009/9/main" uri="{B025F937-C7B1-47D3-B67F-A62EFF666E3E}">
          <x14:id>{20BAFF9E-0546-4B4D-A6CB-103138B1D02F}</x14:id>
        </ext>
      </extLst>
    </cfRule>
  </conditionalFormatting>
  <conditionalFormatting sqref="O57">
    <cfRule type="colorScale" priority="84">
      <colorScale>
        <cfvo type="min"/>
        <cfvo type="percentile" val="50"/>
        <cfvo type="max"/>
        <color rgb="FF63BE7B"/>
        <color rgb="FFFFEB84"/>
        <color rgb="FFF8696B"/>
      </colorScale>
    </cfRule>
  </conditionalFormatting>
  <conditionalFormatting sqref="P58">
    <cfRule type="dataBar" priority="83">
      <dataBar>
        <cfvo type="min"/>
        <cfvo type="max"/>
        <color rgb="FF638EC6"/>
      </dataBar>
      <extLst>
        <ext xmlns:x14="http://schemas.microsoft.com/office/spreadsheetml/2009/9/main" uri="{B025F937-C7B1-47D3-B67F-A62EFF666E3E}">
          <x14:id>{1E1DA3D8-89E2-D44A-8A8C-EA441395F024}</x14:id>
        </ext>
      </extLst>
    </cfRule>
  </conditionalFormatting>
  <conditionalFormatting sqref="P58">
    <cfRule type="colorScale" priority="82">
      <colorScale>
        <cfvo type="min"/>
        <cfvo type="percentile" val="50"/>
        <cfvo type="max"/>
        <color rgb="FF63BE7B"/>
        <color rgb="FFFFEB84"/>
        <color rgb="FFF8696B"/>
      </colorScale>
    </cfRule>
  </conditionalFormatting>
  <conditionalFormatting sqref="Q59">
    <cfRule type="dataBar" priority="81">
      <dataBar>
        <cfvo type="min"/>
        <cfvo type="max"/>
        <color rgb="FF638EC6"/>
      </dataBar>
      <extLst>
        <ext xmlns:x14="http://schemas.microsoft.com/office/spreadsheetml/2009/9/main" uri="{B025F937-C7B1-47D3-B67F-A62EFF666E3E}">
          <x14:id>{AACF7E03-89A1-2746-915E-ABF46E33F706}</x14:id>
        </ext>
      </extLst>
    </cfRule>
  </conditionalFormatting>
  <conditionalFormatting sqref="Q59">
    <cfRule type="colorScale" priority="80">
      <colorScale>
        <cfvo type="min"/>
        <cfvo type="percentile" val="50"/>
        <cfvo type="max"/>
        <color rgb="FF63BE7B"/>
        <color rgb="FFFFEB84"/>
        <color rgb="FFF8696B"/>
      </colorScale>
    </cfRule>
  </conditionalFormatting>
  <conditionalFormatting sqref="R60">
    <cfRule type="dataBar" priority="79">
      <dataBar>
        <cfvo type="min"/>
        <cfvo type="max"/>
        <color rgb="FF638EC6"/>
      </dataBar>
      <extLst>
        <ext xmlns:x14="http://schemas.microsoft.com/office/spreadsheetml/2009/9/main" uri="{B025F937-C7B1-47D3-B67F-A62EFF666E3E}">
          <x14:id>{0358AD69-CE3E-6A40-9DB5-D02C956739DE}</x14:id>
        </ext>
      </extLst>
    </cfRule>
  </conditionalFormatting>
  <conditionalFormatting sqref="R60">
    <cfRule type="colorScale" priority="78">
      <colorScale>
        <cfvo type="min"/>
        <cfvo type="percentile" val="50"/>
        <cfvo type="max"/>
        <color rgb="FF63BE7B"/>
        <color rgb="FFFFEB84"/>
        <color rgb="FFF8696B"/>
      </colorScale>
    </cfRule>
  </conditionalFormatting>
  <conditionalFormatting sqref="S61">
    <cfRule type="dataBar" priority="77">
      <dataBar>
        <cfvo type="min"/>
        <cfvo type="max"/>
        <color rgb="FF638EC6"/>
      </dataBar>
      <extLst>
        <ext xmlns:x14="http://schemas.microsoft.com/office/spreadsheetml/2009/9/main" uri="{B025F937-C7B1-47D3-B67F-A62EFF666E3E}">
          <x14:id>{09151061-4216-784F-A8B6-D0083D3C8974}</x14:id>
        </ext>
      </extLst>
    </cfRule>
  </conditionalFormatting>
  <conditionalFormatting sqref="S61">
    <cfRule type="colorScale" priority="76">
      <colorScale>
        <cfvo type="min"/>
        <cfvo type="percentile" val="50"/>
        <cfvo type="max"/>
        <color rgb="FF63BE7B"/>
        <color rgb="FFFFEB84"/>
        <color rgb="FFF8696B"/>
      </colorScale>
    </cfRule>
  </conditionalFormatting>
  <conditionalFormatting sqref="T62">
    <cfRule type="dataBar" priority="75">
      <dataBar>
        <cfvo type="min"/>
        <cfvo type="max"/>
        <color rgb="FF638EC6"/>
      </dataBar>
      <extLst>
        <ext xmlns:x14="http://schemas.microsoft.com/office/spreadsheetml/2009/9/main" uri="{B025F937-C7B1-47D3-B67F-A62EFF666E3E}">
          <x14:id>{8B096B89-1098-7946-A2EB-EEE43A6D53C9}</x14:id>
        </ext>
      </extLst>
    </cfRule>
  </conditionalFormatting>
  <conditionalFormatting sqref="T62">
    <cfRule type="colorScale" priority="74">
      <colorScale>
        <cfvo type="min"/>
        <cfvo type="percentile" val="50"/>
        <cfvo type="max"/>
        <color rgb="FF63BE7B"/>
        <color rgb="FFFFEB84"/>
        <color rgb="FFF8696B"/>
      </colorScale>
    </cfRule>
  </conditionalFormatting>
  <conditionalFormatting sqref="U63">
    <cfRule type="dataBar" priority="73">
      <dataBar>
        <cfvo type="min"/>
        <cfvo type="max"/>
        <color rgb="FF638EC6"/>
      </dataBar>
      <extLst>
        <ext xmlns:x14="http://schemas.microsoft.com/office/spreadsheetml/2009/9/main" uri="{B025F937-C7B1-47D3-B67F-A62EFF666E3E}">
          <x14:id>{CD9D1C7E-05A3-D341-9474-3905111879F1}</x14:id>
        </ext>
      </extLst>
    </cfRule>
  </conditionalFormatting>
  <conditionalFormatting sqref="U63">
    <cfRule type="colorScale" priority="72">
      <colorScale>
        <cfvo type="min"/>
        <cfvo type="percentile" val="50"/>
        <cfvo type="max"/>
        <color rgb="FF63BE7B"/>
        <color rgb="FFFFEB84"/>
        <color rgb="FFF8696B"/>
      </colorScale>
    </cfRule>
  </conditionalFormatting>
  <conditionalFormatting sqref="V64">
    <cfRule type="dataBar" priority="71">
      <dataBar>
        <cfvo type="min"/>
        <cfvo type="max"/>
        <color rgb="FF638EC6"/>
      </dataBar>
      <extLst>
        <ext xmlns:x14="http://schemas.microsoft.com/office/spreadsheetml/2009/9/main" uri="{B025F937-C7B1-47D3-B67F-A62EFF666E3E}">
          <x14:id>{0510B7C4-5692-0C47-9831-D1F175CB4BB7}</x14:id>
        </ext>
      </extLst>
    </cfRule>
  </conditionalFormatting>
  <conditionalFormatting sqref="V64">
    <cfRule type="colorScale" priority="70">
      <colorScale>
        <cfvo type="min"/>
        <cfvo type="percentile" val="50"/>
        <cfvo type="max"/>
        <color rgb="FF63BE7B"/>
        <color rgb="FFFFEB84"/>
        <color rgb="FFF8696B"/>
      </colorScale>
    </cfRule>
  </conditionalFormatting>
  <conditionalFormatting sqref="W65">
    <cfRule type="dataBar" priority="69">
      <dataBar>
        <cfvo type="min"/>
        <cfvo type="max"/>
        <color rgb="FF638EC6"/>
      </dataBar>
      <extLst>
        <ext xmlns:x14="http://schemas.microsoft.com/office/spreadsheetml/2009/9/main" uri="{B025F937-C7B1-47D3-B67F-A62EFF666E3E}">
          <x14:id>{3ED4535C-9582-424C-88F4-0F5F86C03FF5}</x14:id>
        </ext>
      </extLst>
    </cfRule>
  </conditionalFormatting>
  <conditionalFormatting sqref="W65">
    <cfRule type="colorScale" priority="68">
      <colorScale>
        <cfvo type="min"/>
        <cfvo type="percentile" val="50"/>
        <cfvo type="max"/>
        <color rgb="FF63BE7B"/>
        <color rgb="FFFFEB84"/>
        <color rgb="FFF8696B"/>
      </colorScale>
    </cfRule>
  </conditionalFormatting>
  <conditionalFormatting sqref="X66">
    <cfRule type="dataBar" priority="67">
      <dataBar>
        <cfvo type="min"/>
        <cfvo type="max"/>
        <color rgb="FF638EC6"/>
      </dataBar>
      <extLst>
        <ext xmlns:x14="http://schemas.microsoft.com/office/spreadsheetml/2009/9/main" uri="{B025F937-C7B1-47D3-B67F-A62EFF666E3E}">
          <x14:id>{EE91615B-AC24-7D4C-A7C4-6ECF0C0BBCEF}</x14:id>
        </ext>
      </extLst>
    </cfRule>
  </conditionalFormatting>
  <conditionalFormatting sqref="X66">
    <cfRule type="colorScale" priority="66">
      <colorScale>
        <cfvo type="min"/>
        <cfvo type="percentile" val="50"/>
        <cfvo type="max"/>
        <color rgb="FF63BE7B"/>
        <color rgb="FFFFEB84"/>
        <color rgb="FFF8696B"/>
      </colorScale>
    </cfRule>
  </conditionalFormatting>
  <conditionalFormatting sqref="Y67">
    <cfRule type="dataBar" priority="65">
      <dataBar>
        <cfvo type="min"/>
        <cfvo type="max"/>
        <color rgb="FF638EC6"/>
      </dataBar>
      <extLst>
        <ext xmlns:x14="http://schemas.microsoft.com/office/spreadsheetml/2009/9/main" uri="{B025F937-C7B1-47D3-B67F-A62EFF666E3E}">
          <x14:id>{D9AB9D2F-81BC-C745-B252-CE9E2009466C}</x14:id>
        </ext>
      </extLst>
    </cfRule>
  </conditionalFormatting>
  <conditionalFormatting sqref="Y67">
    <cfRule type="colorScale" priority="64">
      <colorScale>
        <cfvo type="min"/>
        <cfvo type="percentile" val="50"/>
        <cfvo type="max"/>
        <color rgb="FF63BE7B"/>
        <color rgb="FFFFEB84"/>
        <color rgb="FFF8696B"/>
      </colorScale>
    </cfRule>
  </conditionalFormatting>
  <conditionalFormatting sqref="Z68">
    <cfRule type="dataBar" priority="63">
      <dataBar>
        <cfvo type="min"/>
        <cfvo type="max"/>
        <color rgb="FF638EC6"/>
      </dataBar>
      <extLst>
        <ext xmlns:x14="http://schemas.microsoft.com/office/spreadsheetml/2009/9/main" uri="{B025F937-C7B1-47D3-B67F-A62EFF666E3E}">
          <x14:id>{F5C9B17A-0B34-624E-8157-4EBBAE43B180}</x14:id>
        </ext>
      </extLst>
    </cfRule>
  </conditionalFormatting>
  <conditionalFormatting sqref="Z68">
    <cfRule type="colorScale" priority="62">
      <colorScale>
        <cfvo type="min"/>
        <cfvo type="percentile" val="50"/>
        <cfvo type="max"/>
        <color rgb="FF63BE7B"/>
        <color rgb="FFFFEB84"/>
        <color rgb="FFF8696B"/>
      </colorScale>
    </cfRule>
  </conditionalFormatting>
  <conditionalFormatting sqref="AA69">
    <cfRule type="dataBar" priority="61">
      <dataBar>
        <cfvo type="min"/>
        <cfvo type="max"/>
        <color rgb="FF638EC6"/>
      </dataBar>
      <extLst>
        <ext xmlns:x14="http://schemas.microsoft.com/office/spreadsheetml/2009/9/main" uri="{B025F937-C7B1-47D3-B67F-A62EFF666E3E}">
          <x14:id>{7D35210E-9420-2F47-9963-78FD73D9D958}</x14:id>
        </ext>
      </extLst>
    </cfRule>
  </conditionalFormatting>
  <conditionalFormatting sqref="AA69">
    <cfRule type="colorScale" priority="60">
      <colorScale>
        <cfvo type="min"/>
        <cfvo type="percentile" val="50"/>
        <cfvo type="max"/>
        <color rgb="FF63BE7B"/>
        <color rgb="FFFFEB84"/>
        <color rgb="FFF8696B"/>
      </colorScale>
    </cfRule>
  </conditionalFormatting>
  <conditionalFormatting sqref="AB70">
    <cfRule type="dataBar" priority="59">
      <dataBar>
        <cfvo type="min"/>
        <cfvo type="max"/>
        <color rgb="FF638EC6"/>
      </dataBar>
      <extLst>
        <ext xmlns:x14="http://schemas.microsoft.com/office/spreadsheetml/2009/9/main" uri="{B025F937-C7B1-47D3-B67F-A62EFF666E3E}">
          <x14:id>{E2FF2EE1-F68D-234E-9540-E9848226F5EA}</x14:id>
        </ext>
      </extLst>
    </cfRule>
  </conditionalFormatting>
  <conditionalFormatting sqref="AB70">
    <cfRule type="colorScale" priority="58">
      <colorScale>
        <cfvo type="min"/>
        <cfvo type="percentile" val="50"/>
        <cfvo type="max"/>
        <color rgb="FF63BE7B"/>
        <color rgb="FFFFEB84"/>
        <color rgb="FFF8696B"/>
      </colorScale>
    </cfRule>
  </conditionalFormatting>
  <conditionalFormatting sqref="AC71">
    <cfRule type="dataBar" priority="57">
      <dataBar>
        <cfvo type="min"/>
        <cfvo type="max"/>
        <color rgb="FF638EC6"/>
      </dataBar>
      <extLst>
        <ext xmlns:x14="http://schemas.microsoft.com/office/spreadsheetml/2009/9/main" uri="{B025F937-C7B1-47D3-B67F-A62EFF666E3E}">
          <x14:id>{C265675C-F3C5-E441-8086-7FCA0CF34252}</x14:id>
        </ext>
      </extLst>
    </cfRule>
  </conditionalFormatting>
  <conditionalFormatting sqref="AC71">
    <cfRule type="colorScale" priority="56">
      <colorScale>
        <cfvo type="min"/>
        <cfvo type="percentile" val="50"/>
        <cfvo type="max"/>
        <color rgb="FF63BE7B"/>
        <color rgb="FFFFEB84"/>
        <color rgb="FFF8696B"/>
      </colorScale>
    </cfRule>
  </conditionalFormatting>
  <conditionalFormatting sqref="AD72">
    <cfRule type="dataBar" priority="55">
      <dataBar>
        <cfvo type="min"/>
        <cfvo type="max"/>
        <color rgb="FF638EC6"/>
      </dataBar>
      <extLst>
        <ext xmlns:x14="http://schemas.microsoft.com/office/spreadsheetml/2009/9/main" uri="{B025F937-C7B1-47D3-B67F-A62EFF666E3E}">
          <x14:id>{8CF1931E-9B51-6F44-B1AE-26C5F01CD800}</x14:id>
        </ext>
      </extLst>
    </cfRule>
  </conditionalFormatting>
  <conditionalFormatting sqref="AD72">
    <cfRule type="colorScale" priority="54">
      <colorScale>
        <cfvo type="min"/>
        <cfvo type="percentile" val="50"/>
        <cfvo type="max"/>
        <color rgb="FF63BE7B"/>
        <color rgb="FFFFEB84"/>
        <color rgb="FFF8696B"/>
      </colorScale>
    </cfRule>
  </conditionalFormatting>
  <conditionalFormatting sqref="P56 AD70 AC69 AB68 AA67 Z66 Y65 X64 W63 V62 U61 T60 S59 R58 Q57">
    <cfRule type="dataBar" priority="53">
      <dataBar>
        <cfvo type="min"/>
        <cfvo type="max"/>
        <color rgb="FF638EC6"/>
      </dataBar>
      <extLst>
        <ext xmlns:x14="http://schemas.microsoft.com/office/spreadsheetml/2009/9/main" uri="{B025F937-C7B1-47D3-B67F-A62EFF666E3E}">
          <x14:id>{5324BB1B-D21F-8A42-97BB-72E401934D88}</x14:id>
        </ext>
      </extLst>
    </cfRule>
  </conditionalFormatting>
  <conditionalFormatting sqref="AD70 P56 AC69 AB68 AA67 Z66 Y65 X64 W63 V62 U61 T60 S59 R58 Q57">
    <cfRule type="colorScale" priority="52">
      <colorScale>
        <cfvo type="min"/>
        <cfvo type="percentile" val="50"/>
        <cfvo type="max"/>
        <color rgb="FF63BE7B"/>
        <color rgb="FFFFEB84"/>
        <color rgb="FFF8696B"/>
      </colorScale>
    </cfRule>
  </conditionalFormatting>
  <conditionalFormatting sqref="Q55 AD68 AC67 AB66 AA65 Z64 Y63 X62 W61 V60 U59 T58 S57 R56">
    <cfRule type="dataBar" priority="51">
      <dataBar>
        <cfvo type="min"/>
        <cfvo type="max"/>
        <color rgb="FF638EC6"/>
      </dataBar>
      <extLst>
        <ext xmlns:x14="http://schemas.microsoft.com/office/spreadsheetml/2009/9/main" uri="{B025F937-C7B1-47D3-B67F-A62EFF666E3E}">
          <x14:id>{356C7C53-3117-6F49-A47D-57B9E7107436}</x14:id>
        </ext>
      </extLst>
    </cfRule>
  </conditionalFormatting>
  <conditionalFormatting sqref="AD68 Q55 AC67 AB66 AA65 Z64 Y63 X62 W61 V60 U59 T58 S57 R56">
    <cfRule type="colorScale" priority="50">
      <colorScale>
        <cfvo type="min"/>
        <cfvo type="percentile" val="50"/>
        <cfvo type="max"/>
        <color rgb="FF63BE7B"/>
        <color rgb="FFFFEB84"/>
        <color rgb="FFF8696B"/>
      </colorScale>
    </cfRule>
  </conditionalFormatting>
  <conditionalFormatting sqref="R54 AD66 AC65 AB64 AA63 Z62 Y61 X60 W59 V58 U57 T56 S55">
    <cfRule type="dataBar" priority="49">
      <dataBar>
        <cfvo type="min"/>
        <cfvo type="max"/>
        <color rgb="FF638EC6"/>
      </dataBar>
      <extLst>
        <ext xmlns:x14="http://schemas.microsoft.com/office/spreadsheetml/2009/9/main" uri="{B025F937-C7B1-47D3-B67F-A62EFF666E3E}">
          <x14:id>{6069572E-96A2-DE4A-A03F-A8A207C3CB05}</x14:id>
        </ext>
      </extLst>
    </cfRule>
  </conditionalFormatting>
  <conditionalFormatting sqref="AD66 R54 AC65 AB64 AA63 Z62 Y61 X60 W59 V58 U57 T56 S55">
    <cfRule type="colorScale" priority="48">
      <colorScale>
        <cfvo type="min"/>
        <cfvo type="percentile" val="50"/>
        <cfvo type="max"/>
        <color rgb="FF63BE7B"/>
        <color rgb="FFFFEB84"/>
        <color rgb="FFF8696B"/>
      </colorScale>
    </cfRule>
  </conditionalFormatting>
  <conditionalFormatting sqref="S53 AD64 AC63 AB62 AA61 Z60 Y59 X58 W57 V56 U55 T54">
    <cfRule type="dataBar" priority="47">
      <dataBar>
        <cfvo type="min"/>
        <cfvo type="max"/>
        <color rgb="FF638EC6"/>
      </dataBar>
      <extLst>
        <ext xmlns:x14="http://schemas.microsoft.com/office/spreadsheetml/2009/9/main" uri="{B025F937-C7B1-47D3-B67F-A62EFF666E3E}">
          <x14:id>{A596D376-E1E5-4149-BCE8-DDF6CF1DEA4B}</x14:id>
        </ext>
      </extLst>
    </cfRule>
  </conditionalFormatting>
  <conditionalFormatting sqref="AD64 S53 AC63 AB62 AA61 Z60 Y59 X58 W57 V56 U55 T54">
    <cfRule type="colorScale" priority="46">
      <colorScale>
        <cfvo type="min"/>
        <cfvo type="percentile" val="50"/>
        <cfvo type="max"/>
        <color rgb="FF63BE7B"/>
        <color rgb="FFFFEB84"/>
        <color rgb="FFF8696B"/>
      </colorScale>
    </cfRule>
  </conditionalFormatting>
  <conditionalFormatting sqref="AD62 T52 AC61 AB60 AA59 Z58 Y57 X56 W55 V54 U53">
    <cfRule type="dataBar" priority="45">
      <dataBar>
        <cfvo type="min"/>
        <cfvo type="max"/>
        <color rgb="FF638EC6"/>
      </dataBar>
      <extLst>
        <ext xmlns:x14="http://schemas.microsoft.com/office/spreadsheetml/2009/9/main" uri="{B025F937-C7B1-47D3-B67F-A62EFF666E3E}">
          <x14:id>{2D72FDB2-829C-1E4C-9645-6456CEC653F0}</x14:id>
        </ext>
      </extLst>
    </cfRule>
  </conditionalFormatting>
  <conditionalFormatting sqref="T52 AD62 AC61 AB60 AA59 Z58 Y57 X56 W55 V54 U53">
    <cfRule type="colorScale" priority="44">
      <colorScale>
        <cfvo type="min"/>
        <cfvo type="percentile" val="50"/>
        <cfvo type="max"/>
        <color rgb="FF63BE7B"/>
        <color rgb="FFFFEB84"/>
        <color rgb="FFF8696B"/>
      </colorScale>
    </cfRule>
  </conditionalFormatting>
  <conditionalFormatting sqref="AD60 U51 AC59 AB58 AA57 Z56 Y55 X54 W53 V52">
    <cfRule type="dataBar" priority="43">
      <dataBar>
        <cfvo type="min"/>
        <cfvo type="max"/>
        <color rgb="FF638EC6"/>
      </dataBar>
      <extLst>
        <ext xmlns:x14="http://schemas.microsoft.com/office/spreadsheetml/2009/9/main" uri="{B025F937-C7B1-47D3-B67F-A62EFF666E3E}">
          <x14:id>{A79F530D-2B00-7D4B-9F80-386406D3F001}</x14:id>
        </ext>
      </extLst>
    </cfRule>
  </conditionalFormatting>
  <conditionalFormatting sqref="U51 AD60 AC59 AB58 AA57 Z56 Y55 X54 W53 V52">
    <cfRule type="colorScale" priority="42">
      <colorScale>
        <cfvo type="min"/>
        <cfvo type="percentile" val="50"/>
        <cfvo type="max"/>
        <color rgb="FF63BE7B"/>
        <color rgb="FFFFEB84"/>
        <color rgb="FFF8696B"/>
      </colorScale>
    </cfRule>
  </conditionalFormatting>
  <conditionalFormatting sqref="AD58 V50 AC57 AB56 AA55 Z54 Y53 X52 W51">
    <cfRule type="dataBar" priority="41">
      <dataBar>
        <cfvo type="min"/>
        <cfvo type="max"/>
        <color rgb="FF638EC6"/>
      </dataBar>
      <extLst>
        <ext xmlns:x14="http://schemas.microsoft.com/office/spreadsheetml/2009/9/main" uri="{B025F937-C7B1-47D3-B67F-A62EFF666E3E}">
          <x14:id>{B89E3FA6-09B9-FA40-95CF-95324D72B047}</x14:id>
        </ext>
      </extLst>
    </cfRule>
  </conditionalFormatting>
  <conditionalFormatting sqref="V50 AD58 AC57 AB56 AA55 Z54 Y53 X52 W51">
    <cfRule type="colorScale" priority="40">
      <colorScale>
        <cfvo type="min"/>
        <cfvo type="percentile" val="50"/>
        <cfvo type="max"/>
        <color rgb="FF63BE7B"/>
        <color rgb="FFFFEB84"/>
        <color rgb="FFF8696B"/>
      </colorScale>
    </cfRule>
  </conditionalFormatting>
  <conditionalFormatting sqref="AD56 W49 AC55 AB54 AA53 Z52 Y51 X50">
    <cfRule type="dataBar" priority="39">
      <dataBar>
        <cfvo type="min"/>
        <cfvo type="max"/>
        <color rgb="FF638EC6"/>
      </dataBar>
      <extLst>
        <ext xmlns:x14="http://schemas.microsoft.com/office/spreadsheetml/2009/9/main" uri="{B025F937-C7B1-47D3-B67F-A62EFF666E3E}">
          <x14:id>{A71F6976-1EBF-E344-86BA-1B4668E6EFB6}</x14:id>
        </ext>
      </extLst>
    </cfRule>
  </conditionalFormatting>
  <conditionalFormatting sqref="W49 AD56 AC55 AB54 AA53 Z52 Y51 X50">
    <cfRule type="colorScale" priority="38">
      <colorScale>
        <cfvo type="min"/>
        <cfvo type="percentile" val="50"/>
        <cfvo type="max"/>
        <color rgb="FF63BE7B"/>
        <color rgb="FFFFEB84"/>
        <color rgb="FFF8696B"/>
      </colorScale>
    </cfRule>
  </conditionalFormatting>
  <conditionalFormatting sqref="X48 AD54 AC53 AB52 AA51 Z50 Y49">
    <cfRule type="dataBar" priority="37">
      <dataBar>
        <cfvo type="min"/>
        <cfvo type="max"/>
        <color rgb="FF638EC6"/>
      </dataBar>
      <extLst>
        <ext xmlns:x14="http://schemas.microsoft.com/office/spreadsheetml/2009/9/main" uri="{B025F937-C7B1-47D3-B67F-A62EFF666E3E}">
          <x14:id>{CC606597-B849-F94A-B4B1-8DE4AA1C6201}</x14:id>
        </ext>
      </extLst>
    </cfRule>
  </conditionalFormatting>
  <conditionalFormatting sqref="AD54 X48 AC53 AB52 AA51 Z50 Y49">
    <cfRule type="colorScale" priority="36">
      <colorScale>
        <cfvo type="min"/>
        <cfvo type="percentile" val="50"/>
        <cfvo type="max"/>
        <color rgb="FF63BE7B"/>
        <color rgb="FFFFEB84"/>
        <color rgb="FFF8696B"/>
      </colorScale>
    </cfRule>
  </conditionalFormatting>
  <conditionalFormatting sqref="AD52 X46 AC51 AB50 AA49 Z48 Y47">
    <cfRule type="dataBar" priority="35">
      <dataBar>
        <cfvo type="min"/>
        <cfvo type="max"/>
        <color rgb="FF638EC6"/>
      </dataBar>
      <extLst>
        <ext xmlns:x14="http://schemas.microsoft.com/office/spreadsheetml/2009/9/main" uri="{B025F937-C7B1-47D3-B67F-A62EFF666E3E}">
          <x14:id>{E3FA9681-0DD6-1944-932D-5B48D98280ED}</x14:id>
        </ext>
      </extLst>
    </cfRule>
  </conditionalFormatting>
  <conditionalFormatting sqref="X46 AD52 AC51 AB50 AA49 Z48 Y47">
    <cfRule type="colorScale" priority="34">
      <colorScale>
        <cfvo type="min"/>
        <cfvo type="percentile" val="50"/>
        <cfvo type="max"/>
        <color rgb="FF63BE7B"/>
        <color rgb="FFFFEB84"/>
        <color rgb="FFF8696B"/>
      </colorScale>
    </cfRule>
  </conditionalFormatting>
  <conditionalFormatting sqref="AD50 Y45 AC49 AB48 AA47 Z46">
    <cfRule type="dataBar" priority="33">
      <dataBar>
        <cfvo type="min"/>
        <cfvo type="max"/>
        <color rgb="FF638EC6"/>
      </dataBar>
      <extLst>
        <ext xmlns:x14="http://schemas.microsoft.com/office/spreadsheetml/2009/9/main" uri="{B025F937-C7B1-47D3-B67F-A62EFF666E3E}">
          <x14:id>{8A772EAC-27F0-254C-ACA9-31D9083DF6E6}</x14:id>
        </ext>
      </extLst>
    </cfRule>
  </conditionalFormatting>
  <conditionalFormatting sqref="Y45 AD50 AC49 AB48 AA47 Z46">
    <cfRule type="colorScale" priority="32">
      <colorScale>
        <cfvo type="min"/>
        <cfvo type="percentile" val="50"/>
        <cfvo type="max"/>
        <color rgb="FF63BE7B"/>
        <color rgb="FFFFEB84"/>
        <color rgb="FFF8696B"/>
      </colorScale>
    </cfRule>
  </conditionalFormatting>
  <conditionalFormatting sqref="AD48 Z44 AC47 AB46 AA45">
    <cfRule type="dataBar" priority="31">
      <dataBar>
        <cfvo type="min"/>
        <cfvo type="max"/>
        <color rgb="FF638EC6"/>
      </dataBar>
      <extLst>
        <ext xmlns:x14="http://schemas.microsoft.com/office/spreadsheetml/2009/9/main" uri="{B025F937-C7B1-47D3-B67F-A62EFF666E3E}">
          <x14:id>{5BA63DE2-2F8C-F147-8AEA-CF7F7FEEBC20}</x14:id>
        </ext>
      </extLst>
    </cfRule>
  </conditionalFormatting>
  <conditionalFormatting sqref="Z44 AD48 AC47 AB46 AA45">
    <cfRule type="colorScale" priority="30">
      <colorScale>
        <cfvo type="min"/>
        <cfvo type="percentile" val="50"/>
        <cfvo type="max"/>
        <color rgb="FF63BE7B"/>
        <color rgb="FFFFEB84"/>
        <color rgb="FFF8696B"/>
      </colorScale>
    </cfRule>
  </conditionalFormatting>
  <conditionalFormatting sqref="AA43 AD46 AC45 AB44">
    <cfRule type="dataBar" priority="29">
      <dataBar>
        <cfvo type="min"/>
        <cfvo type="max"/>
        <color rgb="FF638EC6"/>
      </dataBar>
      <extLst>
        <ext xmlns:x14="http://schemas.microsoft.com/office/spreadsheetml/2009/9/main" uri="{B025F937-C7B1-47D3-B67F-A62EFF666E3E}">
          <x14:id>{306DC913-1C31-C346-8407-E94E77D50C20}</x14:id>
        </ext>
      </extLst>
    </cfRule>
  </conditionalFormatting>
  <conditionalFormatting sqref="AD46 AA43 AC45 AB44">
    <cfRule type="colorScale" priority="28">
      <colorScale>
        <cfvo type="min"/>
        <cfvo type="percentile" val="50"/>
        <cfvo type="max"/>
        <color rgb="FF63BE7B"/>
        <color rgb="FFFFEB84"/>
        <color rgb="FFF8696B"/>
      </colorScale>
    </cfRule>
  </conditionalFormatting>
  <conditionalFormatting sqref="AB42 AD44 AC43">
    <cfRule type="dataBar" priority="27">
      <dataBar>
        <cfvo type="min"/>
        <cfvo type="max"/>
        <color rgb="FF638EC6"/>
      </dataBar>
      <extLst>
        <ext xmlns:x14="http://schemas.microsoft.com/office/spreadsheetml/2009/9/main" uri="{B025F937-C7B1-47D3-B67F-A62EFF666E3E}">
          <x14:id>{9BD1315C-A80A-D344-8BDD-C1AB0A5574AF}</x14:id>
        </ext>
      </extLst>
    </cfRule>
  </conditionalFormatting>
  <conditionalFormatting sqref="AD44 AB42 AC43">
    <cfRule type="colorScale" priority="26">
      <colorScale>
        <cfvo type="min"/>
        <cfvo type="percentile" val="50"/>
        <cfvo type="max"/>
        <color rgb="FF63BE7B"/>
        <color rgb="FFFFEB84"/>
        <color rgb="FFF8696B"/>
      </colorScale>
    </cfRule>
  </conditionalFormatting>
  <conditionalFormatting sqref="AC41 AD42">
    <cfRule type="dataBar" priority="25">
      <dataBar>
        <cfvo type="min"/>
        <cfvo type="max"/>
        <color rgb="FF638EC6"/>
      </dataBar>
      <extLst>
        <ext xmlns:x14="http://schemas.microsoft.com/office/spreadsheetml/2009/9/main" uri="{B025F937-C7B1-47D3-B67F-A62EFF666E3E}">
          <x14:id>{379DD1CD-82CA-2E4E-845D-04F935848D9D}</x14:id>
        </ext>
      </extLst>
    </cfRule>
  </conditionalFormatting>
  <conditionalFormatting sqref="AD42 AC41">
    <cfRule type="colorScale" priority="24">
      <colorScale>
        <cfvo type="min"/>
        <cfvo type="percentile" val="50"/>
        <cfvo type="max"/>
        <color rgb="FF63BE7B"/>
        <color rgb="FFFFEB84"/>
        <color rgb="FFF8696B"/>
      </colorScale>
    </cfRule>
  </conditionalFormatting>
  <conditionalFormatting sqref="AD40">
    <cfRule type="dataBar" priority="23">
      <dataBar>
        <cfvo type="min"/>
        <cfvo type="max"/>
        <color rgb="FF638EC6"/>
      </dataBar>
      <extLst>
        <ext xmlns:x14="http://schemas.microsoft.com/office/spreadsheetml/2009/9/main" uri="{B025F937-C7B1-47D3-B67F-A62EFF666E3E}">
          <x14:id>{90437802-A54E-A64E-8A9A-EE7CFAC6833D}</x14:id>
        </ext>
      </extLst>
    </cfRule>
  </conditionalFormatting>
  <conditionalFormatting sqref="AD40">
    <cfRule type="colorScale" priority="22">
      <colorScale>
        <cfvo type="min"/>
        <cfvo type="percentile" val="50"/>
        <cfvo type="max"/>
        <color rgb="FF63BE7B"/>
        <color rgb="FFFFEB84"/>
        <color rgb="FFF8696B"/>
      </colorScale>
    </cfRule>
  </conditionalFormatting>
  <conditionalFormatting sqref="S62 N31 S60 S58 S56 S54 S52 S50 S48 S46 S44 S42 S40 S38 S36 S34 S32 S30 S28 S26 R61 R59 R57 R55 R53 R51 R49 R47 R45 R43 R41 R39 R37 R35 R33 R31 R29 R27 Q60 Q58 Q56 Q54 Q52 Q50 Q48 Q46 Q44 Q42 Q40 Q38 Q36 Q34 Q32 Q30 Q28 P59 P57 P55 P53 P51 P49 P47 P45 P43 P41 P39 P37 P35 P33 P31 P29 O58 O56 O54 O52 O50 O48 O46 O44 O42 O40 O38 O36 O34 O32 O30 N57 N55 N53 N51 N49 N47 N45 N43 N41 N39 N37 N35 N33">
    <cfRule type="colorScale" priority="21">
      <colorScale>
        <cfvo type="min"/>
        <cfvo type="percentile" val="50"/>
        <cfvo type="max"/>
        <color rgb="FF63BE7B"/>
        <color rgb="FFFFEB84"/>
        <color rgb="FFF8696B"/>
      </colorScale>
    </cfRule>
  </conditionalFormatting>
  <conditionalFormatting sqref="T63 T25 T61 T59 T57 T55 T53 T51 T49 T47 T45 T43 T41 T39 T37 T35 T33 T31 T29 T27">
    <cfRule type="colorScale" priority="20">
      <colorScale>
        <cfvo type="min"/>
        <cfvo type="percentile" val="50"/>
        <cfvo type="max"/>
        <color rgb="FF63BE7B"/>
        <color rgb="FFFFEB84"/>
        <color rgb="FFF8696B"/>
      </colorScale>
    </cfRule>
  </conditionalFormatting>
  <conditionalFormatting sqref="A91">
    <cfRule type="colorScale" priority="19">
      <colorScale>
        <cfvo type="min"/>
        <cfvo type="percentile" val="50"/>
        <cfvo type="max"/>
        <color rgb="FF63BE7B"/>
        <color rgb="FFFFEB84"/>
        <color rgb="FFF8696B"/>
      </colorScale>
    </cfRule>
  </conditionalFormatting>
  <conditionalFormatting sqref="A111:M112">
    <cfRule type="colorScale" priority="18">
      <colorScale>
        <cfvo type="min"/>
        <cfvo type="percentile" val="50"/>
        <cfvo type="max"/>
        <color rgb="FF63BE7B"/>
        <color rgb="FFFFEB84"/>
        <color rgb="FFF8696B"/>
      </colorScale>
    </cfRule>
  </conditionalFormatting>
  <conditionalFormatting sqref="U64 U24 U62 U60 U58 U56 U54 U52 U50 U48 U46 U44 U42 U40 U38 U36 U34 U32 U30 U28 U26">
    <cfRule type="colorScale" priority="17">
      <colorScale>
        <cfvo type="min"/>
        <cfvo type="percentile" val="50"/>
        <cfvo type="max"/>
        <color rgb="FF63BE7B"/>
        <color rgb="FFFFEB84"/>
        <color rgb="FFF8696B"/>
      </colorScale>
    </cfRule>
  </conditionalFormatting>
  <conditionalFormatting sqref="V65 V23 V63 V61 V59 V57 V55 V53 V51 V49 V47 V45 V43 V41 V39 V37 V35 V33 V31 V29 V27 V25">
    <cfRule type="colorScale" priority="16">
      <colorScale>
        <cfvo type="min"/>
        <cfvo type="percentile" val="50"/>
        <cfvo type="max"/>
        <color rgb="FF63BE7B"/>
        <color rgb="FFFFEB84"/>
        <color rgb="FFF8696B"/>
      </colorScale>
    </cfRule>
  </conditionalFormatting>
  <conditionalFormatting sqref="W66 W22 W64 W62 W60 W58 W56 W54 W52 W50 W48 W46 W44 W42 W40 W38 W36 W34 W32 W30 W28 W26 W24 X67">
    <cfRule type="colorScale" priority="15">
      <colorScale>
        <cfvo type="min"/>
        <cfvo type="percentile" val="50"/>
        <cfvo type="max"/>
        <color rgb="FF63BE7B"/>
        <color rgb="FFFFEB84"/>
        <color rgb="FFF8696B"/>
      </colorScale>
    </cfRule>
  </conditionalFormatting>
  <conditionalFormatting sqref="X65 X21 X63 X61 X59 X57 X55 X53 X51 X49 X47 X45 X43 X41 X39 X37 X35 X33 X31 X29 X27 X25 X23">
    <cfRule type="colorScale" priority="14">
      <colorScale>
        <cfvo type="min"/>
        <cfvo type="percentile" val="50"/>
        <cfvo type="max"/>
        <color rgb="FF63BE7B"/>
        <color rgb="FFFFEB84"/>
        <color rgb="FFF8696B"/>
      </colorScale>
    </cfRule>
  </conditionalFormatting>
  <conditionalFormatting sqref="M55">
    <cfRule type="dataBar" priority="13">
      <dataBar>
        <cfvo type="min"/>
        <cfvo type="max"/>
        <color rgb="FF638EC6"/>
      </dataBar>
      <extLst>
        <ext xmlns:x14="http://schemas.microsoft.com/office/spreadsheetml/2009/9/main" uri="{B025F937-C7B1-47D3-B67F-A62EFF666E3E}">
          <x14:id>{AB29EAAE-3B46-0C47-B39E-9A0648280B5A}</x14:id>
        </ext>
      </extLst>
    </cfRule>
  </conditionalFormatting>
  <conditionalFormatting sqref="N113:AE139 O140:AE140 P141:AE141 Q142:AE142 R143:AE143 S144:AE144 T145:AE145 U146:AE146 V147:AE147 W104:AE104 U106:AE106 Q110:AE110 P111:AE111 O112:AE112 R109:AE109 S108:AE108 T107:AE107 AB99:AE99 Z101:AE101 X103:AE103 Y102:AE102 V105:AE105 AC98:AE98 AD97:AE97 AE96 AA100:AE100">
    <cfRule type="colorScale" priority="12">
      <colorScale>
        <cfvo type="min"/>
        <cfvo type="percentile" val="50"/>
        <cfvo type="max"/>
        <color rgb="FF63BE7B"/>
        <color rgb="FFFFEB84"/>
        <color rgb="FFF8696B"/>
      </colorScale>
    </cfRule>
  </conditionalFormatting>
  <conditionalFormatting sqref="Y149 X148 Z148 AB148 AD148 Z150 AA149:AC149 AA151 AB150 AB152 AC151 AC153 AD154 AD152 AD150">
    <cfRule type="colorScale" priority="11">
      <colorScale>
        <cfvo type="min"/>
        <cfvo type="percentile" val="50"/>
        <cfvo type="max"/>
        <color rgb="FF63BE7B"/>
        <color rgb="FFFFEB84"/>
        <color rgb="FFF8696B"/>
      </colorScale>
    </cfRule>
  </conditionalFormatting>
  <conditionalFormatting sqref="AE150:AE156 AD153 AD155 AD151 AD149:AE149 AC150 AC152 AC154 AB153 AB151 AA152 AA150 Z151 Z149 Y150 X149 AE148 AC148 AA148 Y148">
    <cfRule type="colorScale" priority="10">
      <colorScale>
        <cfvo type="min"/>
        <cfvo type="percentile" val="50"/>
        <cfvo type="max"/>
        <color rgb="FF63BE7B"/>
        <color rgb="FFFFEB84"/>
        <color rgb="FFF8696B"/>
      </colorScale>
    </cfRule>
  </conditionalFormatting>
  <conditionalFormatting sqref="W148">
    <cfRule type="colorScale" priority="9">
      <colorScale>
        <cfvo type="min"/>
        <cfvo type="percentile" val="50"/>
        <cfvo type="max"/>
        <color rgb="FF63BE7B"/>
        <color rgb="FFFFEB84"/>
        <color rgb="FFF8696B"/>
      </colorScale>
    </cfRule>
  </conditionalFormatting>
  <conditionalFormatting sqref="A114:M158">
    <cfRule type="colorScale" priority="419">
      <colorScale>
        <cfvo type="min"/>
        <cfvo type="percentile" val="50"/>
        <cfvo type="max"/>
        <color rgb="FF63BE7B"/>
        <color rgb="FFFFEB84"/>
        <color rgb="FFF8696B"/>
      </colorScale>
    </cfRule>
  </conditionalFormatting>
  <conditionalFormatting sqref="A159">
    <cfRule type="colorScale" priority="8">
      <colorScale>
        <cfvo type="min"/>
        <cfvo type="percentile" val="50"/>
        <cfvo type="max"/>
        <color rgb="FF63BE7B"/>
        <color rgb="FFFFEB84"/>
        <color rgb="FFF8696B"/>
      </colorScale>
    </cfRule>
  </conditionalFormatting>
  <conditionalFormatting sqref="U177:AE177 R180:AE180 O183:AE183 P182:AE182 Q181:AE181 N184:AE184 T178:AE178 S179:AE179 AB170:AE170 AA171:AE171 W175:AE175 X174:AE174 Y173:AE173 V176:AE176 Z172:AE172 AC169:AE169 AD168:AE168 AE167 W219:AE219 X220:AE220 Y221:AE221 Z222:AE222 AA223:AE223 AB224:AE224 AC225:AE225 AD226:AE226 AE227 M185:AE209 N210:AE210 O211:AE211 P212:AE212 Q213:AE213 R214:AE214 S215:AE215 T216:AE216 U217:AE218">
    <cfRule type="colorScale" priority="7">
      <colorScale>
        <cfvo type="min"/>
        <cfvo type="percentile" val="50"/>
        <cfvo type="max"/>
        <color rgb="FF63BE7B"/>
        <color rgb="FFFFEB84"/>
        <color rgb="FFF8696B"/>
      </colorScale>
    </cfRule>
  </conditionalFormatting>
  <conditionalFormatting sqref="N32">
    <cfRule type="colorScale" priority="6">
      <colorScale>
        <cfvo type="min"/>
        <cfvo type="percentile" val="50"/>
        <cfvo type="max"/>
        <color rgb="FF63BE7B"/>
        <color rgb="FFFFEB84"/>
        <color rgb="FFF8696B"/>
      </colorScale>
    </cfRule>
  </conditionalFormatting>
  <conditionalFormatting sqref="N32">
    <cfRule type="dataBar" priority="5">
      <dataBar>
        <cfvo type="min"/>
        <cfvo type="max"/>
        <color rgb="FF638EC6"/>
      </dataBar>
      <extLst>
        <ext xmlns:x14="http://schemas.microsoft.com/office/spreadsheetml/2009/9/main" uri="{B025F937-C7B1-47D3-B67F-A62EFF666E3E}">
          <x14:id>{C7C4F61A-6883-6440-B984-B628F911D850}</x14:id>
        </ext>
      </extLst>
    </cfRule>
  </conditionalFormatting>
  <conditionalFormatting sqref="N54">
    <cfRule type="colorScale" priority="4">
      <colorScale>
        <cfvo type="min"/>
        <cfvo type="percentile" val="50"/>
        <cfvo type="max"/>
        <color rgb="FF63BE7B"/>
        <color rgb="FFFFEB84"/>
        <color rgb="FFF8696B"/>
      </colorScale>
    </cfRule>
  </conditionalFormatting>
  <conditionalFormatting sqref="N54">
    <cfRule type="dataBar" priority="3">
      <dataBar>
        <cfvo type="min"/>
        <cfvo type="max"/>
        <color rgb="FF638EC6"/>
      </dataBar>
      <extLst>
        <ext xmlns:x14="http://schemas.microsoft.com/office/spreadsheetml/2009/9/main" uri="{B025F937-C7B1-47D3-B67F-A62EFF666E3E}">
          <x14:id>{4A6D0EC7-8FE0-8340-B7BD-7676A49266E3}</x14:id>
        </ext>
      </extLst>
    </cfRule>
  </conditionalFormatting>
  <conditionalFormatting sqref="N56">
    <cfRule type="colorScale" priority="2">
      <colorScale>
        <cfvo type="min"/>
        <cfvo type="percentile" val="50"/>
        <cfvo type="max"/>
        <color rgb="FF63BE7B"/>
        <color rgb="FFFFEB84"/>
        <color rgb="FFF8696B"/>
      </colorScale>
    </cfRule>
  </conditionalFormatting>
  <conditionalFormatting sqref="N56">
    <cfRule type="dataBar" priority="1">
      <dataBar>
        <cfvo type="min"/>
        <cfvo type="max"/>
        <color rgb="FF638EC6"/>
      </dataBar>
      <extLst>
        <ext xmlns:x14="http://schemas.microsoft.com/office/spreadsheetml/2009/9/main" uri="{B025F937-C7B1-47D3-B67F-A62EFF666E3E}">
          <x14:id>{EDB16391-632B-7540-BD9A-E965E6FA6FC1}</x14:id>
        </ext>
      </extLst>
    </cfRule>
  </conditionalFormatting>
  <pageMargins left="0.7" right="0.7" top="0.75" bottom="0.75" header="0"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ReadMeSheet">
                <anchor moveWithCells="1" sizeWithCells="1">
                  <from>
                    <xdr:col>6</xdr:col>
                    <xdr:colOff>861060</xdr:colOff>
                    <xdr:row>6</xdr:row>
                    <xdr:rowOff>175260</xdr:rowOff>
                  </from>
                  <to>
                    <xdr:col>8</xdr:col>
                    <xdr:colOff>441960</xdr:colOff>
                    <xdr:row>8</xdr:row>
                    <xdr:rowOff>175260</xdr:rowOff>
                  </to>
                </anchor>
              </controlPr>
            </control>
          </mc:Choice>
        </mc:AlternateContent>
        <mc:AlternateContent xmlns:mc="http://schemas.openxmlformats.org/markup-compatibility/2006">
          <mc:Choice Requires="x14">
            <control shapeId="14338" r:id="rId5" name="Button 2">
              <controlPr defaultSize="0" print="0" autoFill="0" autoPict="0" macro="[0]!InputsSheet">
                <anchor moveWithCells="1" sizeWithCells="1">
                  <from>
                    <xdr:col>9</xdr:col>
                    <xdr:colOff>289560</xdr:colOff>
                    <xdr:row>6</xdr:row>
                    <xdr:rowOff>152400</xdr:rowOff>
                  </from>
                  <to>
                    <xdr:col>11</xdr:col>
                    <xdr:colOff>60960</xdr:colOff>
                    <xdr:row>8</xdr:row>
                    <xdr:rowOff>175260</xdr:rowOff>
                  </to>
                </anchor>
              </controlPr>
            </control>
          </mc:Choice>
        </mc:AlternateContent>
        <mc:AlternateContent xmlns:mc="http://schemas.openxmlformats.org/markup-compatibility/2006">
          <mc:Choice Requires="x14">
            <control shapeId="14339" r:id="rId6" name="Button 3">
              <controlPr defaultSize="0" print="0" autoFill="0" autoPict="0" macro="[0]!HedgeRatio">
                <anchor moveWithCells="1" sizeWithCells="1">
                  <from>
                    <xdr:col>8</xdr:col>
                    <xdr:colOff>822960</xdr:colOff>
                    <xdr:row>1</xdr:row>
                    <xdr:rowOff>457200</xdr:rowOff>
                  </from>
                  <to>
                    <xdr:col>11</xdr:col>
                    <xdr:colOff>0</xdr:colOff>
                    <xdr:row>3</xdr:row>
                    <xdr:rowOff>137160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9EF00274-7A87-A644-900D-7370D4EFA34C}">
            <x14:dataBar minLength="0" maxLength="100" border="1" negativeBarBorderColorSameAsPositive="0">
              <x14:cfvo type="autoMin"/>
              <x14:cfvo type="autoMax"/>
              <x14:borderColor rgb="FF638EC6"/>
              <x14:negativeFillColor rgb="FFFF0000"/>
              <x14:negativeBorderColor rgb="FFFF0000"/>
              <x14:axisColor rgb="FF000000"/>
            </x14:dataBar>
          </x14:cfRule>
          <xm:sqref>A43</xm:sqref>
        </x14:conditionalFormatting>
        <x14:conditionalFormatting xmlns:xm="http://schemas.microsoft.com/office/excel/2006/main">
          <x14:cfRule type="dataBar" id="{202481E1-6CC3-9948-8D22-7189B1C8E1FD}">
            <x14:dataBar minLength="0" maxLength="100" border="1" negativeBarBorderColorSameAsPositive="0">
              <x14:cfvo type="autoMin"/>
              <x14:cfvo type="autoMax"/>
              <x14:borderColor rgb="FF638EC6"/>
              <x14:negativeFillColor rgb="FFFF0000"/>
              <x14:negativeBorderColor rgb="FFFF0000"/>
              <x14:axisColor rgb="FF000000"/>
            </x14:dataBar>
          </x14:cfRule>
          <xm:sqref>B44 B42 C41 C43 C45 D40 E39 D42 E41 D44 E43 D46 E45 E47</xm:sqref>
        </x14:conditionalFormatting>
        <x14:conditionalFormatting xmlns:xm="http://schemas.microsoft.com/office/excel/2006/main">
          <x14:cfRule type="dataBar" id="{6395C98C-71BA-844F-82D4-367448F76FED}">
            <x14:dataBar minLength="0" maxLength="100" border="1" negativeBarBorderColorSameAsPositive="0">
              <x14:cfvo type="autoMin"/>
              <x14:cfvo type="autoMax"/>
              <x14:borderColor rgb="FF638EC6"/>
              <x14:negativeFillColor rgb="FFFF0000"/>
              <x14:negativeBorderColor rgb="FFFF0000"/>
              <x14:axisColor rgb="FF000000"/>
            </x14:dataBar>
          </x14:cfRule>
          <xm:sqref>F38 I33 G37 H36 I35 J34 K33 L32</xm:sqref>
        </x14:conditionalFormatting>
        <x14:conditionalFormatting xmlns:xm="http://schemas.microsoft.com/office/excel/2006/main">
          <x14:cfRule type="dataBar" id="{79D41099-5905-6749-90BB-47F71F9F7505}">
            <x14:dataBar minLength="0" maxLength="100" border="1" negativeBarBorderColorSameAsPositive="0">
              <x14:cfvo type="autoMin"/>
              <x14:cfvo type="autoMax"/>
              <x14:borderColor rgb="FF638EC6"/>
              <x14:negativeFillColor rgb="FFFF0000"/>
              <x14:negativeBorderColor rgb="FFFF0000"/>
              <x14:axisColor rgb="FF000000"/>
            </x14:dataBar>
          </x14:cfRule>
          <xm:sqref>F35 F40 F42 F44 F46 F48 G49 G45 G47 G43 G41 G39 H38 I37 J36 K35 L34 L36 K37 J38 I39 H40 H42 I41 J40 K39 L38 L40 K41 J42 I43 H44 H46 J44 K43 L42 L44 K45 J46 I45 I47 H48 I49 H50 I51 J52 K53 L54 L52 K51 J50 K49 J48 K47 L46 L48 L50</xm:sqref>
        </x14:conditionalFormatting>
        <x14:conditionalFormatting xmlns:xm="http://schemas.microsoft.com/office/excel/2006/main">
          <x14:cfRule type="dataBar" id="{47F85C00-12EF-0D43-90EE-2A15573B7E38}">
            <x14:dataBar minLength="0" maxLength="100" border="1" negativeBarBorderColorSameAsPositive="0">
              <x14:cfvo type="autoMin"/>
              <x14:cfvo type="autoMax"/>
              <x14:borderColor rgb="FF638EC6"/>
              <x14:negativeFillColor rgb="FFFF0000"/>
              <x14:negativeBorderColor rgb="FFFF0000"/>
              <x14:axisColor rgb="FF000000"/>
            </x14:dataBar>
          </x14:cfRule>
          <xm:sqref>M31</xm:sqref>
        </x14:conditionalFormatting>
        <x14:conditionalFormatting xmlns:xm="http://schemas.microsoft.com/office/excel/2006/main">
          <x14:cfRule type="dataBar" id="{57CEB635-A41A-884A-97A6-34E1DAAAC6C9}">
            <x14:dataBar minLength="0" maxLength="100" border="1" negativeBarBorderColorSameAsPositive="0">
              <x14:cfvo type="autoMin"/>
              <x14:cfvo type="autoMax"/>
              <x14:borderColor rgb="FF638EC6"/>
              <x14:negativeFillColor rgb="FFFF0000"/>
              <x14:negativeBorderColor rgb="FFFF0000"/>
              <x14:axisColor rgb="FF000000"/>
            </x14:dataBar>
          </x14:cfRule>
          <xm:sqref>N30</xm:sqref>
        </x14:conditionalFormatting>
        <x14:conditionalFormatting xmlns:xm="http://schemas.microsoft.com/office/excel/2006/main">
          <x14:cfRule type="dataBar" id="{20BF6F95-0EBA-EF4C-8309-E5D03A201A5B}">
            <x14:dataBar minLength="0" maxLength="100" border="1" negativeBarBorderColorSameAsPositive="0">
              <x14:cfvo type="autoMin"/>
              <x14:cfvo type="autoMax"/>
              <x14:borderColor rgb="FF638EC6"/>
              <x14:negativeFillColor rgb="FFFF0000"/>
              <x14:negativeBorderColor rgb="FFFF0000"/>
              <x14:axisColor rgb="FF000000"/>
            </x14:dataBar>
          </x14:cfRule>
          <xm:sqref>O29</xm:sqref>
        </x14:conditionalFormatting>
        <x14:conditionalFormatting xmlns:xm="http://schemas.microsoft.com/office/excel/2006/main">
          <x14:cfRule type="dataBar" id="{D0F5841A-C1C8-1F44-9166-B0915CDF5B5F}">
            <x14:dataBar minLength="0" maxLength="100" border="1" negativeBarBorderColorSameAsPositive="0">
              <x14:cfvo type="autoMin"/>
              <x14:cfvo type="autoMax"/>
              <x14:borderColor rgb="FF638EC6"/>
              <x14:negativeFillColor rgb="FFFF0000"/>
              <x14:negativeBorderColor rgb="FFFF0000"/>
              <x14:axisColor rgb="FF000000"/>
            </x14:dataBar>
          </x14:cfRule>
          <xm:sqref>L32</xm:sqref>
        </x14:conditionalFormatting>
        <x14:conditionalFormatting xmlns:xm="http://schemas.microsoft.com/office/excel/2006/main">
          <x14:cfRule type="dataBar" id="{5FF08124-9A53-E045-BB37-30C3A06F9B6F}">
            <x14:dataBar minLength="0" maxLength="100" border="1" negativeBarBorderColorSameAsPositive="0">
              <x14:cfvo type="autoMin"/>
              <x14:cfvo type="autoMax"/>
              <x14:borderColor rgb="FF638EC6"/>
              <x14:negativeFillColor rgb="FFFF0000"/>
              <x14:negativeBorderColor rgb="FFFF0000"/>
              <x14:axisColor rgb="FF000000"/>
            </x14:dataBar>
          </x14:cfRule>
          <xm:sqref>P28</xm:sqref>
        </x14:conditionalFormatting>
        <x14:conditionalFormatting xmlns:xm="http://schemas.microsoft.com/office/excel/2006/main">
          <x14:cfRule type="dataBar" id="{FF1DD4C0-0727-FE4E-9CC1-DDE0396EF913}">
            <x14:dataBar minLength="0" maxLength="100" border="1" negativeBarBorderColorSameAsPositive="0">
              <x14:cfvo type="autoMin"/>
              <x14:cfvo type="autoMax"/>
              <x14:borderColor rgb="FF638EC6"/>
              <x14:negativeFillColor rgb="FFFF0000"/>
              <x14:negativeBorderColor rgb="FFFF0000"/>
              <x14:axisColor rgb="FF000000"/>
            </x14:dataBar>
          </x14:cfRule>
          <xm:sqref>Q27</xm:sqref>
        </x14:conditionalFormatting>
        <x14:conditionalFormatting xmlns:xm="http://schemas.microsoft.com/office/excel/2006/main">
          <x14:cfRule type="dataBar" id="{4D99B35A-54C0-5C4E-80AE-B1C8F9B55F51}">
            <x14:dataBar minLength="0" maxLength="100" border="1" negativeBarBorderColorSameAsPositive="0">
              <x14:cfvo type="autoMin"/>
              <x14:cfvo type="autoMax"/>
              <x14:borderColor rgb="FF638EC6"/>
              <x14:negativeFillColor rgb="FFFF0000"/>
              <x14:negativeBorderColor rgb="FFFF0000"/>
              <x14:axisColor rgb="FF000000"/>
            </x14:dataBar>
          </x14:cfRule>
          <xm:sqref>R26</xm:sqref>
        </x14:conditionalFormatting>
        <x14:conditionalFormatting xmlns:xm="http://schemas.microsoft.com/office/excel/2006/main">
          <x14:cfRule type="dataBar" id="{011F507D-E41D-8645-BB4A-FEAF2D391253}">
            <x14:dataBar minLength="0" maxLength="100" border="1" negativeBarBorderColorSameAsPositive="0">
              <x14:cfvo type="autoMin"/>
              <x14:cfvo type="autoMax"/>
              <x14:borderColor rgb="FF638EC6"/>
              <x14:negativeFillColor rgb="FFFF0000"/>
              <x14:negativeBorderColor rgb="FFFF0000"/>
              <x14:axisColor rgb="FF000000"/>
            </x14:dataBar>
          </x14:cfRule>
          <xm:sqref>S25</xm:sqref>
        </x14:conditionalFormatting>
        <x14:conditionalFormatting xmlns:xm="http://schemas.microsoft.com/office/excel/2006/main">
          <x14:cfRule type="dataBar" id="{1B39DB63-0E68-FB48-B502-E65B68B08501}">
            <x14:dataBar minLength="0" maxLength="100" border="1" negativeBarBorderColorSameAsPositive="0">
              <x14:cfvo type="autoMin"/>
              <x14:cfvo type="autoMax"/>
              <x14:borderColor rgb="FF638EC6"/>
              <x14:negativeFillColor rgb="FFFF0000"/>
              <x14:negativeBorderColor rgb="FFFF0000"/>
              <x14:axisColor rgb="FF000000"/>
            </x14:dataBar>
          </x14:cfRule>
          <xm:sqref>T24</xm:sqref>
        </x14:conditionalFormatting>
        <x14:conditionalFormatting xmlns:xm="http://schemas.microsoft.com/office/excel/2006/main">
          <x14:cfRule type="dataBar" id="{74D2BA54-9BC8-664B-859A-B2E49F2F25B9}">
            <x14:dataBar minLength="0" maxLength="100" border="1" negativeBarBorderColorSameAsPositive="0">
              <x14:cfvo type="autoMin"/>
              <x14:cfvo type="autoMax"/>
              <x14:borderColor rgb="FF638EC6"/>
              <x14:negativeFillColor rgb="FFFF0000"/>
              <x14:negativeBorderColor rgb="FFFF0000"/>
              <x14:axisColor rgb="FF000000"/>
            </x14:dataBar>
          </x14:cfRule>
          <xm:sqref>U23</xm:sqref>
        </x14:conditionalFormatting>
        <x14:conditionalFormatting xmlns:xm="http://schemas.microsoft.com/office/excel/2006/main">
          <x14:cfRule type="dataBar" id="{97F127BF-36AD-FE47-9EF5-8387DFD33EF6}">
            <x14:dataBar minLength="0" maxLength="100" border="1" negativeBarBorderColorSameAsPositive="0">
              <x14:cfvo type="autoMin"/>
              <x14:cfvo type="autoMax"/>
              <x14:borderColor rgb="FF638EC6"/>
              <x14:negativeFillColor rgb="FFFF0000"/>
              <x14:negativeBorderColor rgb="FFFF0000"/>
              <x14:axisColor rgb="FF000000"/>
            </x14:dataBar>
          </x14:cfRule>
          <xm:sqref>V22</xm:sqref>
        </x14:conditionalFormatting>
        <x14:conditionalFormatting xmlns:xm="http://schemas.microsoft.com/office/excel/2006/main">
          <x14:cfRule type="dataBar" id="{BD5E5FCA-C2DB-CF42-8198-055BA11F3AC6}">
            <x14:dataBar minLength="0" maxLength="100" border="1" negativeBarBorderColorSameAsPositive="0">
              <x14:cfvo type="autoMin"/>
              <x14:cfvo type="autoMax"/>
              <x14:borderColor rgb="FF638EC6"/>
              <x14:negativeFillColor rgb="FFFF0000"/>
              <x14:negativeBorderColor rgb="FFFF0000"/>
              <x14:axisColor rgb="FF000000"/>
            </x14:dataBar>
          </x14:cfRule>
          <xm:sqref>W21</xm:sqref>
        </x14:conditionalFormatting>
        <x14:conditionalFormatting xmlns:xm="http://schemas.microsoft.com/office/excel/2006/main">
          <x14:cfRule type="dataBar" id="{331E9F97-A149-8A4D-9AC5-8A114445C48F}">
            <x14:dataBar minLength="0" maxLength="100" border="1" negativeBarBorderColorSameAsPositive="0">
              <x14:cfvo type="autoMin"/>
              <x14:cfvo type="autoMax"/>
              <x14:borderColor rgb="FF638EC6"/>
              <x14:negativeFillColor rgb="FFFF0000"/>
              <x14:negativeBorderColor rgb="FFFF0000"/>
              <x14:axisColor rgb="FF000000"/>
            </x14:dataBar>
          </x14:cfRule>
          <xm:sqref>X20</xm:sqref>
        </x14:conditionalFormatting>
        <x14:conditionalFormatting xmlns:xm="http://schemas.microsoft.com/office/excel/2006/main">
          <x14:cfRule type="dataBar" id="{B66FA16F-53DA-9847-B143-79C6A375432B}">
            <x14:dataBar minLength="0" maxLength="100" border="1" negativeBarBorderColorSameAsPositive="0">
              <x14:cfvo type="autoMin"/>
              <x14:cfvo type="autoMax"/>
              <x14:borderColor rgb="FF638EC6"/>
              <x14:negativeFillColor rgb="FFFF0000"/>
              <x14:negativeBorderColor rgb="FFFF0000"/>
              <x14:axisColor rgb="FF000000"/>
            </x14:dataBar>
          </x14:cfRule>
          <xm:sqref>Y19</xm:sqref>
        </x14:conditionalFormatting>
        <x14:conditionalFormatting xmlns:xm="http://schemas.microsoft.com/office/excel/2006/main">
          <x14:cfRule type="dataBar" id="{31AB2694-DA0F-CC43-BE3B-CDBE6BA60A4B}">
            <x14:dataBar minLength="0" maxLength="100" border="1" negativeBarBorderColorSameAsPositive="0">
              <x14:cfvo type="autoMin"/>
              <x14:cfvo type="autoMax"/>
              <x14:borderColor rgb="FF638EC6"/>
              <x14:negativeFillColor rgb="FFFF0000"/>
              <x14:negativeBorderColor rgb="FFFF0000"/>
              <x14:axisColor rgb="FF000000"/>
            </x14:dataBar>
          </x14:cfRule>
          <xm:sqref>Z18</xm:sqref>
        </x14:conditionalFormatting>
        <x14:conditionalFormatting xmlns:xm="http://schemas.microsoft.com/office/excel/2006/main">
          <x14:cfRule type="dataBar" id="{1A4679CE-ED89-094F-9672-AAF863226D5E}">
            <x14:dataBar minLength="0" maxLength="100" border="1" negativeBarBorderColorSameAsPositive="0">
              <x14:cfvo type="autoMin"/>
              <x14:cfvo type="autoMax"/>
              <x14:borderColor rgb="FF638EC6"/>
              <x14:negativeFillColor rgb="FFFF0000"/>
              <x14:negativeBorderColor rgb="FFFF0000"/>
              <x14:axisColor rgb="FF000000"/>
            </x14:dataBar>
          </x14:cfRule>
          <xm:sqref>AA17</xm:sqref>
        </x14:conditionalFormatting>
        <x14:conditionalFormatting xmlns:xm="http://schemas.microsoft.com/office/excel/2006/main">
          <x14:cfRule type="dataBar" id="{5D3286FE-1E78-8241-88CC-7D9B5E2E30D3}">
            <x14:dataBar minLength="0" maxLength="100" border="1" negativeBarBorderColorSameAsPositive="0">
              <x14:cfvo type="autoMin"/>
              <x14:cfvo type="autoMax"/>
              <x14:borderColor rgb="FF638EC6"/>
              <x14:negativeFillColor rgb="FFFF0000"/>
              <x14:negativeBorderColor rgb="FFFF0000"/>
              <x14:axisColor rgb="FF000000"/>
            </x14:dataBar>
          </x14:cfRule>
          <xm:sqref>AB16</xm:sqref>
        </x14:conditionalFormatting>
        <x14:conditionalFormatting xmlns:xm="http://schemas.microsoft.com/office/excel/2006/main">
          <x14:cfRule type="dataBar" id="{FB4D6EB1-AB0F-3F4B-B32F-8519EF66670A}">
            <x14:dataBar minLength="0" maxLength="100" border="1" negativeBarBorderColorSameAsPositive="0">
              <x14:cfvo type="autoMin"/>
              <x14:cfvo type="autoMax"/>
              <x14:borderColor rgb="FF638EC6"/>
              <x14:negativeFillColor rgb="FFFF0000"/>
              <x14:negativeBorderColor rgb="FFFF0000"/>
              <x14:axisColor rgb="FF000000"/>
            </x14:dataBar>
          </x14:cfRule>
          <xm:sqref>AC15</xm:sqref>
        </x14:conditionalFormatting>
        <x14:conditionalFormatting xmlns:xm="http://schemas.microsoft.com/office/excel/2006/main">
          <x14:cfRule type="dataBar" id="{339A9AAA-763A-5844-85CC-12DDA3BC62B2}">
            <x14:dataBar minLength="0" maxLength="100" border="1" negativeBarBorderColorSameAsPositive="0">
              <x14:cfvo type="autoMin"/>
              <x14:cfvo type="autoMax"/>
              <x14:borderColor rgb="FF638EC6"/>
              <x14:negativeFillColor rgb="FFFF0000"/>
              <x14:negativeBorderColor rgb="FFFF0000"/>
              <x14:axisColor rgb="FF000000"/>
            </x14:dataBar>
          </x14:cfRule>
          <xm:sqref>AD14</xm:sqref>
        </x14:conditionalFormatting>
        <x14:conditionalFormatting xmlns:xm="http://schemas.microsoft.com/office/excel/2006/main">
          <x14:cfRule type="dataBar" id="{2F8716B6-2395-2545-8715-EC68E709685A}">
            <x14:dataBar minLength="0" maxLength="100" border="1" negativeBarBorderColorSameAsPositive="0">
              <x14:cfvo type="autoMin"/>
              <x14:cfvo type="autoMax"/>
              <x14:borderColor rgb="FF638EC6"/>
              <x14:negativeFillColor rgb="FFFF0000"/>
              <x14:negativeBorderColor rgb="FFFF0000"/>
              <x14:axisColor rgb="FF000000"/>
            </x14:dataBar>
          </x14:cfRule>
          <xm:sqref>AE13</xm:sqref>
        </x14:conditionalFormatting>
        <x14:conditionalFormatting xmlns:xm="http://schemas.microsoft.com/office/excel/2006/main">
          <x14:cfRule type="dataBar" id="{F8A54645-269E-FE43-B86C-B007E9C92042}">
            <x14:dataBar minLength="0" maxLength="100" border="1" negativeBarBorderColorSameAsPositive="0">
              <x14:cfvo type="autoMin"/>
              <x14:cfvo type="autoMax"/>
              <x14:borderColor rgb="FF638EC6"/>
              <x14:negativeFillColor rgb="FFFF0000"/>
              <x14:negativeBorderColor rgb="FFFF0000"/>
              <x14:axisColor rgb="FF000000"/>
            </x14:dataBar>
          </x14:cfRule>
          <xm:sqref>M33</xm:sqref>
        </x14:conditionalFormatting>
        <x14:conditionalFormatting xmlns:xm="http://schemas.microsoft.com/office/excel/2006/main">
          <x14:cfRule type="dataBar" id="{C9B0D0F4-DD83-8C47-8FD1-69309CC204A0}">
            <x14:dataBar minLength="0" maxLength="100" border="1" negativeBarBorderColorSameAsPositive="0">
              <x14:cfvo type="autoMin"/>
              <x14:cfvo type="autoMax"/>
              <x14:borderColor rgb="FF638EC6"/>
              <x14:negativeFillColor rgb="FFFF0000"/>
              <x14:negativeBorderColor rgb="FFFF0000"/>
              <x14:axisColor rgb="FF000000"/>
            </x14:dataBar>
          </x14:cfRule>
          <xm:sqref>O31</xm:sqref>
        </x14:conditionalFormatting>
        <x14:conditionalFormatting xmlns:xm="http://schemas.microsoft.com/office/excel/2006/main">
          <x14:cfRule type="dataBar" id="{BA8FCD5B-3FB2-8C42-BC78-9D9806FF218A}">
            <x14:dataBar minLength="0" maxLength="100" border="1" negativeBarBorderColorSameAsPositive="0">
              <x14:cfvo type="autoMin"/>
              <x14:cfvo type="autoMax"/>
              <x14:borderColor rgb="FF638EC6"/>
              <x14:negativeFillColor rgb="FFFF0000"/>
              <x14:negativeBorderColor rgb="FFFF0000"/>
              <x14:axisColor rgb="FF000000"/>
            </x14:dataBar>
          </x14:cfRule>
          <xm:sqref>P30</xm:sqref>
        </x14:conditionalFormatting>
        <x14:conditionalFormatting xmlns:xm="http://schemas.microsoft.com/office/excel/2006/main">
          <x14:cfRule type="dataBar" id="{2366DA55-5FE2-9649-8E25-11769C7B99F9}">
            <x14:dataBar minLength="0" maxLength="100" border="1" negativeBarBorderColorSameAsPositive="0">
              <x14:cfvo type="autoMin"/>
              <x14:cfvo type="autoMax"/>
              <x14:borderColor rgb="FF638EC6"/>
              <x14:negativeFillColor rgb="FFFF0000"/>
              <x14:negativeBorderColor rgb="FFFF0000"/>
              <x14:axisColor rgb="FF000000"/>
            </x14:dataBar>
          </x14:cfRule>
          <xm:sqref>Q29</xm:sqref>
        </x14:conditionalFormatting>
        <x14:conditionalFormatting xmlns:xm="http://schemas.microsoft.com/office/excel/2006/main">
          <x14:cfRule type="dataBar" id="{74D31A1B-0CF3-7443-9F0A-98B02837BDFB}">
            <x14:dataBar minLength="0" maxLength="100" border="1" negativeBarBorderColorSameAsPositive="0">
              <x14:cfvo type="autoMin"/>
              <x14:cfvo type="autoMax"/>
              <x14:borderColor rgb="FF638EC6"/>
              <x14:negativeFillColor rgb="FFFF0000"/>
              <x14:negativeBorderColor rgb="FFFF0000"/>
              <x14:axisColor rgb="FF000000"/>
            </x14:dataBar>
          </x14:cfRule>
          <xm:sqref>R28</xm:sqref>
        </x14:conditionalFormatting>
        <x14:conditionalFormatting xmlns:xm="http://schemas.microsoft.com/office/excel/2006/main">
          <x14:cfRule type="dataBar" id="{B5BABD4F-8746-2F4C-88B7-321F1A36D172}">
            <x14:dataBar minLength="0" maxLength="100" border="1" negativeBarBorderColorSameAsPositive="0">
              <x14:cfvo type="autoMin"/>
              <x14:cfvo type="autoMax"/>
              <x14:borderColor rgb="FF638EC6"/>
              <x14:negativeFillColor rgb="FFFF0000"/>
              <x14:negativeBorderColor rgb="FFFF0000"/>
              <x14:axisColor rgb="FF000000"/>
            </x14:dataBar>
          </x14:cfRule>
          <xm:sqref>S27</xm:sqref>
        </x14:conditionalFormatting>
        <x14:conditionalFormatting xmlns:xm="http://schemas.microsoft.com/office/excel/2006/main">
          <x14:cfRule type="dataBar" id="{76D58D34-4817-4649-93C1-935C5E06F6CA}">
            <x14:dataBar minLength="0" maxLength="100" border="1" negativeBarBorderColorSameAsPositive="0">
              <x14:cfvo type="autoMin"/>
              <x14:cfvo type="autoMax"/>
              <x14:borderColor rgb="FF638EC6"/>
              <x14:negativeFillColor rgb="FFFF0000"/>
              <x14:negativeBorderColor rgb="FFFF0000"/>
              <x14:axisColor rgb="FF000000"/>
            </x14:dataBar>
          </x14:cfRule>
          <xm:sqref>T26</xm:sqref>
        </x14:conditionalFormatting>
        <x14:conditionalFormatting xmlns:xm="http://schemas.microsoft.com/office/excel/2006/main">
          <x14:cfRule type="dataBar" id="{0D728C35-730E-9348-BFE1-B18AD0025992}">
            <x14:dataBar minLength="0" maxLength="100" border="1" negativeBarBorderColorSameAsPositive="0">
              <x14:cfvo type="autoMin"/>
              <x14:cfvo type="autoMax"/>
              <x14:borderColor rgb="FF638EC6"/>
              <x14:negativeFillColor rgb="FFFF0000"/>
              <x14:negativeBorderColor rgb="FFFF0000"/>
              <x14:axisColor rgb="FF000000"/>
            </x14:dataBar>
          </x14:cfRule>
          <xm:sqref>U25</xm:sqref>
        </x14:conditionalFormatting>
        <x14:conditionalFormatting xmlns:xm="http://schemas.microsoft.com/office/excel/2006/main">
          <x14:cfRule type="dataBar" id="{1D4776AD-259E-CB4C-A0F9-A7DC04C79F15}">
            <x14:dataBar minLength="0" maxLength="100" border="1" negativeBarBorderColorSameAsPositive="0">
              <x14:cfvo type="autoMin"/>
              <x14:cfvo type="autoMax"/>
              <x14:borderColor rgb="FF638EC6"/>
              <x14:negativeFillColor rgb="FFFF0000"/>
              <x14:negativeBorderColor rgb="FFFF0000"/>
              <x14:axisColor rgb="FF000000"/>
            </x14:dataBar>
          </x14:cfRule>
          <xm:sqref>V24</xm:sqref>
        </x14:conditionalFormatting>
        <x14:conditionalFormatting xmlns:xm="http://schemas.microsoft.com/office/excel/2006/main">
          <x14:cfRule type="dataBar" id="{0FA6FFFF-FD95-6F47-9A5D-A1FC81C02767}">
            <x14:dataBar minLength="0" maxLength="100" border="1" negativeBarBorderColorSameAsPositive="0">
              <x14:cfvo type="autoMin"/>
              <x14:cfvo type="autoMax"/>
              <x14:borderColor rgb="FF638EC6"/>
              <x14:negativeFillColor rgb="FFFF0000"/>
              <x14:negativeBorderColor rgb="FFFF0000"/>
              <x14:axisColor rgb="FF000000"/>
            </x14:dataBar>
          </x14:cfRule>
          <xm:sqref>W23</xm:sqref>
        </x14:conditionalFormatting>
        <x14:conditionalFormatting xmlns:xm="http://schemas.microsoft.com/office/excel/2006/main">
          <x14:cfRule type="dataBar" id="{F0D83AAA-B02C-2A4D-A19C-F2195B986024}">
            <x14:dataBar minLength="0" maxLength="100" border="1" negativeBarBorderColorSameAsPositive="0">
              <x14:cfvo type="autoMin"/>
              <x14:cfvo type="autoMax"/>
              <x14:borderColor rgb="FF638EC6"/>
              <x14:negativeFillColor rgb="FFFF0000"/>
              <x14:negativeBorderColor rgb="FFFF0000"/>
              <x14:axisColor rgb="FF000000"/>
            </x14:dataBar>
          </x14:cfRule>
          <xm:sqref>X22</xm:sqref>
        </x14:conditionalFormatting>
        <x14:conditionalFormatting xmlns:xm="http://schemas.microsoft.com/office/excel/2006/main">
          <x14:cfRule type="dataBar" id="{35E135DD-A1FB-914B-93E4-A69E366A2A06}">
            <x14:dataBar minLength="0" maxLength="100" border="1" negativeBarBorderColorSameAsPositive="0">
              <x14:cfvo type="autoMin"/>
              <x14:cfvo type="autoMax"/>
              <x14:borderColor rgb="FF638EC6"/>
              <x14:negativeFillColor rgb="FFFF0000"/>
              <x14:negativeBorderColor rgb="FFFF0000"/>
              <x14:axisColor rgb="FF000000"/>
            </x14:dataBar>
          </x14:cfRule>
          <xm:sqref>Y21</xm:sqref>
        </x14:conditionalFormatting>
        <x14:conditionalFormatting xmlns:xm="http://schemas.microsoft.com/office/excel/2006/main">
          <x14:cfRule type="dataBar" id="{E709E43C-6027-944E-8691-AE16CFE12DB3}">
            <x14:dataBar minLength="0" maxLength="100" border="1" negativeBarBorderColorSameAsPositive="0">
              <x14:cfvo type="autoMin"/>
              <x14:cfvo type="autoMax"/>
              <x14:borderColor rgb="FF638EC6"/>
              <x14:negativeFillColor rgb="FFFF0000"/>
              <x14:negativeBorderColor rgb="FFFF0000"/>
              <x14:axisColor rgb="FF000000"/>
            </x14:dataBar>
          </x14:cfRule>
          <xm:sqref>Z20</xm:sqref>
        </x14:conditionalFormatting>
        <x14:conditionalFormatting xmlns:xm="http://schemas.microsoft.com/office/excel/2006/main">
          <x14:cfRule type="dataBar" id="{63C3C45F-9E59-5346-9F62-E9ECD0AAB44C}">
            <x14:dataBar minLength="0" maxLength="100" border="1" negativeBarBorderColorSameAsPositive="0">
              <x14:cfvo type="autoMin"/>
              <x14:cfvo type="autoMax"/>
              <x14:borderColor rgb="FF638EC6"/>
              <x14:negativeFillColor rgb="FFFF0000"/>
              <x14:negativeBorderColor rgb="FFFF0000"/>
              <x14:axisColor rgb="FF000000"/>
            </x14:dataBar>
          </x14:cfRule>
          <xm:sqref>AA19</xm:sqref>
        </x14:conditionalFormatting>
        <x14:conditionalFormatting xmlns:xm="http://schemas.microsoft.com/office/excel/2006/main">
          <x14:cfRule type="dataBar" id="{0B992300-46A0-7F4F-AAAF-DB7B696E490D}">
            <x14:dataBar minLength="0" maxLength="100" border="1" negativeBarBorderColorSameAsPositive="0">
              <x14:cfvo type="autoMin"/>
              <x14:cfvo type="autoMax"/>
              <x14:borderColor rgb="FF638EC6"/>
              <x14:negativeFillColor rgb="FFFF0000"/>
              <x14:negativeBorderColor rgb="FFFF0000"/>
              <x14:axisColor rgb="FF000000"/>
            </x14:dataBar>
          </x14:cfRule>
          <xm:sqref>AB18</xm:sqref>
        </x14:conditionalFormatting>
        <x14:conditionalFormatting xmlns:xm="http://schemas.microsoft.com/office/excel/2006/main">
          <x14:cfRule type="dataBar" id="{DEE8F77F-CC78-C14B-A52B-E169C572A399}">
            <x14:dataBar minLength="0" maxLength="100" border="1" negativeBarBorderColorSameAsPositive="0">
              <x14:cfvo type="autoMin"/>
              <x14:cfvo type="autoMax"/>
              <x14:borderColor rgb="FF638EC6"/>
              <x14:negativeFillColor rgb="FFFF0000"/>
              <x14:negativeBorderColor rgb="FFFF0000"/>
              <x14:axisColor rgb="FF000000"/>
            </x14:dataBar>
          </x14:cfRule>
          <xm:sqref>AC17</xm:sqref>
        </x14:conditionalFormatting>
        <x14:conditionalFormatting xmlns:xm="http://schemas.microsoft.com/office/excel/2006/main">
          <x14:cfRule type="dataBar" id="{96377C5C-6A0A-1A4D-BF86-57E2EE668D4D}">
            <x14:dataBar minLength="0" maxLength="100" border="1" negativeBarBorderColorSameAsPositive="0">
              <x14:cfvo type="autoMin"/>
              <x14:cfvo type="autoMax"/>
              <x14:borderColor rgb="FF638EC6"/>
              <x14:negativeFillColor rgb="FFFF0000"/>
              <x14:negativeBorderColor rgb="FFFF0000"/>
              <x14:axisColor rgb="FF000000"/>
            </x14:dataBar>
          </x14:cfRule>
          <xm:sqref>AD16</xm:sqref>
        </x14:conditionalFormatting>
        <x14:conditionalFormatting xmlns:xm="http://schemas.microsoft.com/office/excel/2006/main">
          <x14:cfRule type="dataBar" id="{4A65A67F-78D0-634A-A60C-BD89A42490DD}">
            <x14:dataBar minLength="0" maxLength="100" border="1" negativeBarBorderColorSameAsPositive="0">
              <x14:cfvo type="autoMin"/>
              <x14:cfvo type="autoMax"/>
              <x14:borderColor rgb="FF638EC6"/>
              <x14:negativeFillColor rgb="FFFF0000"/>
              <x14:negativeBorderColor rgb="FFFF0000"/>
              <x14:axisColor rgb="FF000000"/>
            </x14:dataBar>
          </x14:cfRule>
          <xm:sqref>M35</xm:sqref>
        </x14:conditionalFormatting>
        <x14:conditionalFormatting xmlns:xm="http://schemas.microsoft.com/office/excel/2006/main">
          <x14:cfRule type="dataBar" id="{837E126E-ADC8-7742-BE1D-A7AECA2B5F10}">
            <x14:dataBar minLength="0" maxLength="100" border="1" negativeBarBorderColorSameAsPositive="0">
              <x14:cfvo type="autoMin"/>
              <x14:cfvo type="autoMax"/>
              <x14:borderColor rgb="FF638EC6"/>
              <x14:negativeFillColor rgb="FFFF0000"/>
              <x14:negativeBorderColor rgb="FFFF0000"/>
              <x14:axisColor rgb="FF000000"/>
            </x14:dataBar>
          </x14:cfRule>
          <xm:sqref>N34</xm:sqref>
        </x14:conditionalFormatting>
        <x14:conditionalFormatting xmlns:xm="http://schemas.microsoft.com/office/excel/2006/main">
          <x14:cfRule type="dataBar" id="{BF6D8729-CAFB-D446-85EA-EC605C79BAF5}">
            <x14:dataBar minLength="0" maxLength="100" border="1" negativeBarBorderColorSameAsPositive="0">
              <x14:cfvo type="autoMin"/>
              <x14:cfvo type="autoMax"/>
              <x14:borderColor rgb="FF638EC6"/>
              <x14:negativeFillColor rgb="FFFF0000"/>
              <x14:negativeBorderColor rgb="FFFF0000"/>
              <x14:axisColor rgb="FF000000"/>
            </x14:dataBar>
          </x14:cfRule>
          <xm:sqref>O33</xm:sqref>
        </x14:conditionalFormatting>
        <x14:conditionalFormatting xmlns:xm="http://schemas.microsoft.com/office/excel/2006/main">
          <x14:cfRule type="dataBar" id="{83666D4C-6ADB-8946-B1DB-F129FF325906}">
            <x14:dataBar minLength="0" maxLength="100" border="1" negativeBarBorderColorSameAsPositive="0">
              <x14:cfvo type="autoMin"/>
              <x14:cfvo type="autoMax"/>
              <x14:borderColor rgb="FF638EC6"/>
              <x14:negativeFillColor rgb="FFFF0000"/>
              <x14:negativeBorderColor rgb="FFFF0000"/>
              <x14:axisColor rgb="FF000000"/>
            </x14:dataBar>
          </x14:cfRule>
          <xm:sqref>P32</xm:sqref>
        </x14:conditionalFormatting>
        <x14:conditionalFormatting xmlns:xm="http://schemas.microsoft.com/office/excel/2006/main">
          <x14:cfRule type="dataBar" id="{A21166E1-3206-894F-8B6B-A37D9F1B507D}">
            <x14:dataBar minLength="0" maxLength="100" border="1" negativeBarBorderColorSameAsPositive="0">
              <x14:cfvo type="autoMin"/>
              <x14:cfvo type="autoMax"/>
              <x14:borderColor rgb="FF638EC6"/>
              <x14:negativeFillColor rgb="FFFF0000"/>
              <x14:negativeBorderColor rgb="FFFF0000"/>
              <x14:axisColor rgb="FF000000"/>
            </x14:dataBar>
          </x14:cfRule>
          <xm:sqref>Q31</xm:sqref>
        </x14:conditionalFormatting>
        <x14:conditionalFormatting xmlns:xm="http://schemas.microsoft.com/office/excel/2006/main">
          <x14:cfRule type="dataBar" id="{B3E1EDB3-35C1-B347-A393-6A01302410E7}">
            <x14:dataBar minLength="0" maxLength="100" border="1" negativeBarBorderColorSameAsPositive="0">
              <x14:cfvo type="autoMin"/>
              <x14:cfvo type="autoMax"/>
              <x14:borderColor rgb="FF638EC6"/>
              <x14:negativeFillColor rgb="FFFF0000"/>
              <x14:negativeBorderColor rgb="FFFF0000"/>
              <x14:axisColor rgb="FF000000"/>
            </x14:dataBar>
          </x14:cfRule>
          <xm:sqref>R30</xm:sqref>
        </x14:conditionalFormatting>
        <x14:conditionalFormatting xmlns:xm="http://schemas.microsoft.com/office/excel/2006/main">
          <x14:cfRule type="dataBar" id="{F7C0F0F9-B605-D24D-810E-76943058C861}">
            <x14:dataBar minLength="0" maxLength="100" border="1" negativeBarBorderColorSameAsPositive="0">
              <x14:cfvo type="autoMin"/>
              <x14:cfvo type="autoMax"/>
              <x14:borderColor rgb="FF638EC6"/>
              <x14:negativeFillColor rgb="FFFF0000"/>
              <x14:negativeBorderColor rgb="FFFF0000"/>
              <x14:axisColor rgb="FF000000"/>
            </x14:dataBar>
          </x14:cfRule>
          <xm:sqref>S29</xm:sqref>
        </x14:conditionalFormatting>
        <x14:conditionalFormatting xmlns:xm="http://schemas.microsoft.com/office/excel/2006/main">
          <x14:cfRule type="dataBar" id="{E426C7BD-361C-384B-8045-B01445071325}">
            <x14:dataBar minLength="0" maxLength="100" border="1" negativeBarBorderColorSameAsPositive="0">
              <x14:cfvo type="autoMin"/>
              <x14:cfvo type="autoMax"/>
              <x14:borderColor rgb="FF638EC6"/>
              <x14:negativeFillColor rgb="FFFF0000"/>
              <x14:negativeBorderColor rgb="FFFF0000"/>
              <x14:axisColor rgb="FF000000"/>
            </x14:dataBar>
          </x14:cfRule>
          <xm:sqref>T28</xm:sqref>
        </x14:conditionalFormatting>
        <x14:conditionalFormatting xmlns:xm="http://schemas.microsoft.com/office/excel/2006/main">
          <x14:cfRule type="dataBar" id="{2609C047-CC42-4049-95CD-B9D58E8C28EF}">
            <x14:dataBar minLength="0" maxLength="100" border="1" negativeBarBorderColorSameAsPositive="0">
              <x14:cfvo type="autoMin"/>
              <x14:cfvo type="autoMax"/>
              <x14:borderColor rgb="FF638EC6"/>
              <x14:negativeFillColor rgb="FFFF0000"/>
              <x14:negativeBorderColor rgb="FFFF0000"/>
              <x14:axisColor rgb="FF000000"/>
            </x14:dataBar>
          </x14:cfRule>
          <xm:sqref>U27</xm:sqref>
        </x14:conditionalFormatting>
        <x14:conditionalFormatting xmlns:xm="http://schemas.microsoft.com/office/excel/2006/main">
          <x14:cfRule type="dataBar" id="{FDDBB807-15AE-C94D-B2D2-4F0C69663470}">
            <x14:dataBar minLength="0" maxLength="100" border="1" negativeBarBorderColorSameAsPositive="0">
              <x14:cfvo type="autoMin"/>
              <x14:cfvo type="autoMax"/>
              <x14:borderColor rgb="FF638EC6"/>
              <x14:negativeFillColor rgb="FFFF0000"/>
              <x14:negativeBorderColor rgb="FFFF0000"/>
              <x14:axisColor rgb="FF000000"/>
            </x14:dataBar>
          </x14:cfRule>
          <xm:sqref>V26</xm:sqref>
        </x14:conditionalFormatting>
        <x14:conditionalFormatting xmlns:xm="http://schemas.microsoft.com/office/excel/2006/main">
          <x14:cfRule type="dataBar" id="{51F14C4C-83B9-2F4B-838B-3CC4CB3EC046}">
            <x14:dataBar minLength="0" maxLength="100" border="1" negativeBarBorderColorSameAsPositive="0">
              <x14:cfvo type="autoMin"/>
              <x14:cfvo type="autoMax"/>
              <x14:borderColor rgb="FF638EC6"/>
              <x14:negativeFillColor rgb="FFFF0000"/>
              <x14:negativeBorderColor rgb="FFFF0000"/>
              <x14:axisColor rgb="FF000000"/>
            </x14:dataBar>
          </x14:cfRule>
          <xm:sqref>W25</xm:sqref>
        </x14:conditionalFormatting>
        <x14:conditionalFormatting xmlns:xm="http://schemas.microsoft.com/office/excel/2006/main">
          <x14:cfRule type="dataBar" id="{2662A248-574C-6849-A599-7D4A3A17DBE2}">
            <x14:dataBar minLength="0" maxLength="100" border="1" negativeBarBorderColorSameAsPositive="0">
              <x14:cfvo type="autoMin"/>
              <x14:cfvo type="autoMax"/>
              <x14:borderColor rgb="FF638EC6"/>
              <x14:negativeFillColor rgb="FFFF0000"/>
              <x14:negativeBorderColor rgb="FFFF0000"/>
              <x14:axisColor rgb="FF000000"/>
            </x14:dataBar>
          </x14:cfRule>
          <xm:sqref>X24</xm:sqref>
        </x14:conditionalFormatting>
        <x14:conditionalFormatting xmlns:xm="http://schemas.microsoft.com/office/excel/2006/main">
          <x14:cfRule type="dataBar" id="{DA0909F8-853A-3E45-91F0-D3589FA5CC27}">
            <x14:dataBar minLength="0" maxLength="100" border="1" negativeBarBorderColorSameAsPositive="0">
              <x14:cfvo type="autoMin"/>
              <x14:cfvo type="autoMax"/>
              <x14:borderColor rgb="FF638EC6"/>
              <x14:negativeFillColor rgb="FFFF0000"/>
              <x14:negativeBorderColor rgb="FFFF0000"/>
              <x14:axisColor rgb="FF000000"/>
            </x14:dataBar>
          </x14:cfRule>
          <xm:sqref>Y23</xm:sqref>
        </x14:conditionalFormatting>
        <x14:conditionalFormatting xmlns:xm="http://schemas.microsoft.com/office/excel/2006/main">
          <x14:cfRule type="dataBar" id="{D65B5DFE-2A69-3748-BD4A-0D6C5E76C1EA}">
            <x14:dataBar minLength="0" maxLength="100" border="1" negativeBarBorderColorSameAsPositive="0">
              <x14:cfvo type="autoMin"/>
              <x14:cfvo type="autoMax"/>
              <x14:borderColor rgb="FF638EC6"/>
              <x14:negativeFillColor rgb="FFFF0000"/>
              <x14:negativeBorderColor rgb="FFFF0000"/>
              <x14:axisColor rgb="FF000000"/>
            </x14:dataBar>
          </x14:cfRule>
          <xm:sqref>Z22</xm:sqref>
        </x14:conditionalFormatting>
        <x14:conditionalFormatting xmlns:xm="http://schemas.microsoft.com/office/excel/2006/main">
          <x14:cfRule type="dataBar" id="{F5FA7D32-F1DB-E745-A3CD-B10D93A9479A}">
            <x14:dataBar minLength="0" maxLength="100" border="1" negativeBarBorderColorSameAsPositive="0">
              <x14:cfvo type="autoMin"/>
              <x14:cfvo type="autoMax"/>
              <x14:borderColor rgb="FF638EC6"/>
              <x14:negativeFillColor rgb="FFFF0000"/>
              <x14:negativeBorderColor rgb="FFFF0000"/>
              <x14:axisColor rgb="FF000000"/>
            </x14:dataBar>
          </x14:cfRule>
          <xm:sqref>AA21</xm:sqref>
        </x14:conditionalFormatting>
        <x14:conditionalFormatting xmlns:xm="http://schemas.microsoft.com/office/excel/2006/main">
          <x14:cfRule type="dataBar" id="{C13CD265-7D6D-9248-9909-601ADE06D761}">
            <x14:dataBar minLength="0" maxLength="100" border="1" negativeBarBorderColorSameAsPositive="0">
              <x14:cfvo type="autoMin"/>
              <x14:cfvo type="autoMax"/>
              <x14:borderColor rgb="FF638EC6"/>
              <x14:negativeFillColor rgb="FFFF0000"/>
              <x14:negativeBorderColor rgb="FFFF0000"/>
              <x14:axisColor rgb="FF000000"/>
            </x14:dataBar>
          </x14:cfRule>
          <xm:sqref>AB20</xm:sqref>
        </x14:conditionalFormatting>
        <x14:conditionalFormatting xmlns:xm="http://schemas.microsoft.com/office/excel/2006/main">
          <x14:cfRule type="dataBar" id="{79CA571E-D4C2-9B4E-A786-E1987D6251D1}">
            <x14:dataBar minLength="0" maxLength="100" border="1" negativeBarBorderColorSameAsPositive="0">
              <x14:cfvo type="autoMin"/>
              <x14:cfvo type="autoMax"/>
              <x14:borderColor rgb="FF638EC6"/>
              <x14:negativeFillColor rgb="FFFF0000"/>
              <x14:negativeBorderColor rgb="FFFF0000"/>
              <x14:axisColor rgb="FF000000"/>
            </x14:dataBar>
          </x14:cfRule>
          <xm:sqref>AC19</xm:sqref>
        </x14:conditionalFormatting>
        <x14:conditionalFormatting xmlns:xm="http://schemas.microsoft.com/office/excel/2006/main">
          <x14:cfRule type="dataBar" id="{49C26205-4695-F642-BAFD-15B95F4A7CD5}">
            <x14:dataBar minLength="0" maxLength="100" border="1" negativeBarBorderColorSameAsPositive="0">
              <x14:cfvo type="autoMin"/>
              <x14:cfvo type="autoMax"/>
              <x14:borderColor rgb="FF638EC6"/>
              <x14:negativeFillColor rgb="FFFF0000"/>
              <x14:negativeBorderColor rgb="FFFF0000"/>
              <x14:axisColor rgb="FF000000"/>
            </x14:dataBar>
          </x14:cfRule>
          <xm:sqref>AD18</xm:sqref>
        </x14:conditionalFormatting>
        <x14:conditionalFormatting xmlns:xm="http://schemas.microsoft.com/office/excel/2006/main">
          <x14:cfRule type="dataBar" id="{51CE1B7B-46F0-E34F-A3B1-5AAEB79B19B2}">
            <x14:dataBar minLength="0" maxLength="100" border="1" negativeBarBorderColorSameAsPositive="0">
              <x14:cfvo type="autoMin"/>
              <x14:cfvo type="autoMax"/>
              <x14:borderColor rgb="FF638EC6"/>
              <x14:negativeFillColor rgb="FFFF0000"/>
              <x14:negativeBorderColor rgb="FFFF0000"/>
              <x14:axisColor rgb="FF000000"/>
            </x14:dataBar>
          </x14:cfRule>
          <xm:sqref>M37</xm:sqref>
        </x14:conditionalFormatting>
        <x14:conditionalFormatting xmlns:xm="http://schemas.microsoft.com/office/excel/2006/main">
          <x14:cfRule type="dataBar" id="{41A663B2-F2AC-CD47-947A-EFF304556765}">
            <x14:dataBar minLength="0" maxLength="100" border="1" negativeBarBorderColorSameAsPositive="0">
              <x14:cfvo type="autoMin"/>
              <x14:cfvo type="autoMax"/>
              <x14:borderColor rgb="FF638EC6"/>
              <x14:negativeFillColor rgb="FFFF0000"/>
              <x14:negativeBorderColor rgb="FFFF0000"/>
              <x14:axisColor rgb="FF000000"/>
            </x14:dataBar>
          </x14:cfRule>
          <xm:sqref>N36</xm:sqref>
        </x14:conditionalFormatting>
        <x14:conditionalFormatting xmlns:xm="http://schemas.microsoft.com/office/excel/2006/main">
          <x14:cfRule type="dataBar" id="{35BC2F66-8FEB-9948-AF9F-3D5BC2DDE0B5}">
            <x14:dataBar minLength="0" maxLength="100" border="1" negativeBarBorderColorSameAsPositive="0">
              <x14:cfvo type="autoMin"/>
              <x14:cfvo type="autoMax"/>
              <x14:borderColor rgb="FF638EC6"/>
              <x14:negativeFillColor rgb="FFFF0000"/>
              <x14:negativeBorderColor rgb="FFFF0000"/>
              <x14:axisColor rgb="FF000000"/>
            </x14:dataBar>
          </x14:cfRule>
          <xm:sqref>O35</xm:sqref>
        </x14:conditionalFormatting>
        <x14:conditionalFormatting xmlns:xm="http://schemas.microsoft.com/office/excel/2006/main">
          <x14:cfRule type="dataBar" id="{9D1B2A68-DC80-2448-810F-715002C8D4F9}">
            <x14:dataBar minLength="0" maxLength="100" border="1" negativeBarBorderColorSameAsPositive="0">
              <x14:cfvo type="autoMin"/>
              <x14:cfvo type="autoMax"/>
              <x14:borderColor rgb="FF638EC6"/>
              <x14:negativeFillColor rgb="FFFF0000"/>
              <x14:negativeBorderColor rgb="FFFF0000"/>
              <x14:axisColor rgb="FF000000"/>
            </x14:dataBar>
          </x14:cfRule>
          <xm:sqref>P34</xm:sqref>
        </x14:conditionalFormatting>
        <x14:conditionalFormatting xmlns:xm="http://schemas.microsoft.com/office/excel/2006/main">
          <x14:cfRule type="dataBar" id="{36F832E0-2FE2-824D-81BA-E8E31EF4C59C}">
            <x14:dataBar minLength="0" maxLength="100" border="1" negativeBarBorderColorSameAsPositive="0">
              <x14:cfvo type="autoMin"/>
              <x14:cfvo type="autoMax"/>
              <x14:borderColor rgb="FF638EC6"/>
              <x14:negativeFillColor rgb="FFFF0000"/>
              <x14:negativeBorderColor rgb="FFFF0000"/>
              <x14:axisColor rgb="FF000000"/>
            </x14:dataBar>
          </x14:cfRule>
          <xm:sqref>Q33</xm:sqref>
        </x14:conditionalFormatting>
        <x14:conditionalFormatting xmlns:xm="http://schemas.microsoft.com/office/excel/2006/main">
          <x14:cfRule type="dataBar" id="{ECB4339A-6279-8B4E-85CE-C27871669283}">
            <x14:dataBar minLength="0" maxLength="100" border="1" negativeBarBorderColorSameAsPositive="0">
              <x14:cfvo type="autoMin"/>
              <x14:cfvo type="autoMax"/>
              <x14:borderColor rgb="FF638EC6"/>
              <x14:negativeFillColor rgb="FFFF0000"/>
              <x14:negativeBorderColor rgb="FFFF0000"/>
              <x14:axisColor rgb="FF000000"/>
            </x14:dataBar>
          </x14:cfRule>
          <xm:sqref>R32</xm:sqref>
        </x14:conditionalFormatting>
        <x14:conditionalFormatting xmlns:xm="http://schemas.microsoft.com/office/excel/2006/main">
          <x14:cfRule type="dataBar" id="{C058FE9B-C553-D54C-98D8-7CB723FD6AC1}">
            <x14:dataBar minLength="0" maxLength="100" border="1" negativeBarBorderColorSameAsPositive="0">
              <x14:cfvo type="autoMin"/>
              <x14:cfvo type="autoMax"/>
              <x14:borderColor rgb="FF638EC6"/>
              <x14:negativeFillColor rgb="FFFF0000"/>
              <x14:negativeBorderColor rgb="FFFF0000"/>
              <x14:axisColor rgb="FF000000"/>
            </x14:dataBar>
          </x14:cfRule>
          <xm:sqref>S31</xm:sqref>
        </x14:conditionalFormatting>
        <x14:conditionalFormatting xmlns:xm="http://schemas.microsoft.com/office/excel/2006/main">
          <x14:cfRule type="dataBar" id="{1BEF6CEE-4FC0-2847-BCB4-84353DB9BEB2}">
            <x14:dataBar minLength="0" maxLength="100" border="1" negativeBarBorderColorSameAsPositive="0">
              <x14:cfvo type="autoMin"/>
              <x14:cfvo type="autoMax"/>
              <x14:borderColor rgb="FF638EC6"/>
              <x14:negativeFillColor rgb="FFFF0000"/>
              <x14:negativeBorderColor rgb="FFFF0000"/>
              <x14:axisColor rgb="FF000000"/>
            </x14:dataBar>
          </x14:cfRule>
          <xm:sqref>T30</xm:sqref>
        </x14:conditionalFormatting>
        <x14:conditionalFormatting xmlns:xm="http://schemas.microsoft.com/office/excel/2006/main">
          <x14:cfRule type="dataBar" id="{20C1A10C-7B93-9F47-A45D-2735813556CD}">
            <x14:dataBar minLength="0" maxLength="100" border="1" negativeBarBorderColorSameAsPositive="0">
              <x14:cfvo type="autoMin"/>
              <x14:cfvo type="autoMax"/>
              <x14:borderColor rgb="FF638EC6"/>
              <x14:negativeFillColor rgb="FFFF0000"/>
              <x14:negativeBorderColor rgb="FFFF0000"/>
              <x14:axisColor rgb="FF000000"/>
            </x14:dataBar>
          </x14:cfRule>
          <xm:sqref>U29</xm:sqref>
        </x14:conditionalFormatting>
        <x14:conditionalFormatting xmlns:xm="http://schemas.microsoft.com/office/excel/2006/main">
          <x14:cfRule type="dataBar" id="{0BE4BC25-B8CB-ED41-AC12-2B1C477BF64D}">
            <x14:dataBar minLength="0" maxLength="100" border="1" negativeBarBorderColorSameAsPositive="0">
              <x14:cfvo type="autoMin"/>
              <x14:cfvo type="autoMax"/>
              <x14:borderColor rgb="FF638EC6"/>
              <x14:negativeFillColor rgb="FFFF0000"/>
              <x14:negativeBorderColor rgb="FFFF0000"/>
              <x14:axisColor rgb="FF000000"/>
            </x14:dataBar>
          </x14:cfRule>
          <xm:sqref>V28</xm:sqref>
        </x14:conditionalFormatting>
        <x14:conditionalFormatting xmlns:xm="http://schemas.microsoft.com/office/excel/2006/main">
          <x14:cfRule type="dataBar" id="{D5125902-C445-FB4A-845F-75CAEB3A5685}">
            <x14:dataBar minLength="0" maxLength="100" border="1" negativeBarBorderColorSameAsPositive="0">
              <x14:cfvo type="autoMin"/>
              <x14:cfvo type="autoMax"/>
              <x14:borderColor rgb="FF638EC6"/>
              <x14:negativeFillColor rgb="FFFF0000"/>
              <x14:negativeBorderColor rgb="FFFF0000"/>
              <x14:axisColor rgb="FF000000"/>
            </x14:dataBar>
          </x14:cfRule>
          <xm:sqref>W27</xm:sqref>
        </x14:conditionalFormatting>
        <x14:conditionalFormatting xmlns:xm="http://schemas.microsoft.com/office/excel/2006/main">
          <x14:cfRule type="dataBar" id="{858719AC-E5D0-A84B-8066-919B3EF21040}">
            <x14:dataBar minLength="0" maxLength="100" border="1" negativeBarBorderColorSameAsPositive="0">
              <x14:cfvo type="autoMin"/>
              <x14:cfvo type="autoMax"/>
              <x14:borderColor rgb="FF638EC6"/>
              <x14:negativeFillColor rgb="FFFF0000"/>
              <x14:negativeBorderColor rgb="FFFF0000"/>
              <x14:axisColor rgb="FF000000"/>
            </x14:dataBar>
          </x14:cfRule>
          <xm:sqref>X26</xm:sqref>
        </x14:conditionalFormatting>
        <x14:conditionalFormatting xmlns:xm="http://schemas.microsoft.com/office/excel/2006/main">
          <x14:cfRule type="dataBar" id="{D8ECD353-9EB2-424F-AEDF-E32CE729E5F1}">
            <x14:dataBar minLength="0" maxLength="100" border="1" negativeBarBorderColorSameAsPositive="0">
              <x14:cfvo type="autoMin"/>
              <x14:cfvo type="autoMax"/>
              <x14:borderColor rgb="FF638EC6"/>
              <x14:negativeFillColor rgb="FFFF0000"/>
              <x14:negativeBorderColor rgb="FFFF0000"/>
              <x14:axisColor rgb="FF000000"/>
            </x14:dataBar>
          </x14:cfRule>
          <xm:sqref>Y25</xm:sqref>
        </x14:conditionalFormatting>
        <x14:conditionalFormatting xmlns:xm="http://schemas.microsoft.com/office/excel/2006/main">
          <x14:cfRule type="dataBar" id="{4A8E40BD-04BF-C844-A452-0C3819C8E8AA}">
            <x14:dataBar minLength="0" maxLength="100" border="1" negativeBarBorderColorSameAsPositive="0">
              <x14:cfvo type="autoMin"/>
              <x14:cfvo type="autoMax"/>
              <x14:borderColor rgb="FF638EC6"/>
              <x14:negativeFillColor rgb="FFFF0000"/>
              <x14:negativeBorderColor rgb="FFFF0000"/>
              <x14:axisColor rgb="FF000000"/>
            </x14:dataBar>
          </x14:cfRule>
          <xm:sqref>Z24</xm:sqref>
        </x14:conditionalFormatting>
        <x14:conditionalFormatting xmlns:xm="http://schemas.microsoft.com/office/excel/2006/main">
          <x14:cfRule type="dataBar" id="{31CDF2AA-2B75-9747-A3A0-B1B799F7E824}">
            <x14:dataBar minLength="0" maxLength="100" border="1" negativeBarBorderColorSameAsPositive="0">
              <x14:cfvo type="autoMin"/>
              <x14:cfvo type="autoMax"/>
              <x14:borderColor rgb="FF638EC6"/>
              <x14:negativeFillColor rgb="FFFF0000"/>
              <x14:negativeBorderColor rgb="FFFF0000"/>
              <x14:axisColor rgb="FF000000"/>
            </x14:dataBar>
          </x14:cfRule>
          <xm:sqref>AA23</xm:sqref>
        </x14:conditionalFormatting>
        <x14:conditionalFormatting xmlns:xm="http://schemas.microsoft.com/office/excel/2006/main">
          <x14:cfRule type="dataBar" id="{97E88649-140E-5748-AF13-48D8A84F8351}">
            <x14:dataBar minLength="0" maxLength="100" border="1" negativeBarBorderColorSameAsPositive="0">
              <x14:cfvo type="autoMin"/>
              <x14:cfvo type="autoMax"/>
              <x14:borderColor rgb="FF638EC6"/>
              <x14:negativeFillColor rgb="FFFF0000"/>
              <x14:negativeBorderColor rgb="FFFF0000"/>
              <x14:axisColor rgb="FF000000"/>
            </x14:dataBar>
          </x14:cfRule>
          <xm:sqref>AB22</xm:sqref>
        </x14:conditionalFormatting>
        <x14:conditionalFormatting xmlns:xm="http://schemas.microsoft.com/office/excel/2006/main">
          <x14:cfRule type="dataBar" id="{16360739-42BA-374C-9968-82C87B605D80}">
            <x14:dataBar minLength="0" maxLength="100" border="1" negativeBarBorderColorSameAsPositive="0">
              <x14:cfvo type="autoMin"/>
              <x14:cfvo type="autoMax"/>
              <x14:borderColor rgb="FF638EC6"/>
              <x14:negativeFillColor rgb="FFFF0000"/>
              <x14:negativeBorderColor rgb="FFFF0000"/>
              <x14:axisColor rgb="FF000000"/>
            </x14:dataBar>
          </x14:cfRule>
          <xm:sqref>AC21</xm:sqref>
        </x14:conditionalFormatting>
        <x14:conditionalFormatting xmlns:xm="http://schemas.microsoft.com/office/excel/2006/main">
          <x14:cfRule type="dataBar" id="{376AFCA2-0043-2F4C-8F60-18DEA0B92013}">
            <x14:dataBar minLength="0" maxLength="100" border="1" negativeBarBorderColorSameAsPositive="0">
              <x14:cfvo type="autoMin"/>
              <x14:cfvo type="autoMax"/>
              <x14:borderColor rgb="FF638EC6"/>
              <x14:negativeFillColor rgb="FFFF0000"/>
              <x14:negativeBorderColor rgb="FFFF0000"/>
              <x14:axisColor rgb="FF000000"/>
            </x14:dataBar>
          </x14:cfRule>
          <xm:sqref>AD20</xm:sqref>
        </x14:conditionalFormatting>
        <x14:conditionalFormatting xmlns:xm="http://schemas.microsoft.com/office/excel/2006/main">
          <x14:cfRule type="dataBar" id="{50F51449-3703-7C4F-A8F4-06D140E5B568}">
            <x14:dataBar minLength="0" maxLength="100" border="1" negativeBarBorderColorSameAsPositive="0">
              <x14:cfvo type="autoMin"/>
              <x14:cfvo type="autoMax"/>
              <x14:borderColor rgb="FF638EC6"/>
              <x14:negativeFillColor rgb="FFFF0000"/>
              <x14:negativeBorderColor rgb="FFFF0000"/>
              <x14:axisColor rgb="FF000000"/>
            </x14:dataBar>
          </x14:cfRule>
          <xm:sqref>M39</xm:sqref>
        </x14:conditionalFormatting>
        <x14:conditionalFormatting xmlns:xm="http://schemas.microsoft.com/office/excel/2006/main">
          <x14:cfRule type="dataBar" id="{F0CE1218-D6E4-BE48-ABF4-0E3355CC252A}">
            <x14:dataBar minLength="0" maxLength="100" border="1" negativeBarBorderColorSameAsPositive="0">
              <x14:cfvo type="autoMin"/>
              <x14:cfvo type="autoMax"/>
              <x14:borderColor rgb="FF638EC6"/>
              <x14:negativeFillColor rgb="FFFF0000"/>
              <x14:negativeBorderColor rgb="FFFF0000"/>
              <x14:axisColor rgb="FF000000"/>
            </x14:dataBar>
          </x14:cfRule>
          <xm:sqref>N38</xm:sqref>
        </x14:conditionalFormatting>
        <x14:conditionalFormatting xmlns:xm="http://schemas.microsoft.com/office/excel/2006/main">
          <x14:cfRule type="dataBar" id="{D18B9C05-D603-564C-9708-C1ABCCE032B4}">
            <x14:dataBar minLength="0" maxLength="100" border="1" negativeBarBorderColorSameAsPositive="0">
              <x14:cfvo type="autoMin"/>
              <x14:cfvo type="autoMax"/>
              <x14:borderColor rgb="FF638EC6"/>
              <x14:negativeFillColor rgb="FFFF0000"/>
              <x14:negativeBorderColor rgb="FFFF0000"/>
              <x14:axisColor rgb="FF000000"/>
            </x14:dataBar>
          </x14:cfRule>
          <xm:sqref>O37</xm:sqref>
        </x14:conditionalFormatting>
        <x14:conditionalFormatting xmlns:xm="http://schemas.microsoft.com/office/excel/2006/main">
          <x14:cfRule type="dataBar" id="{91C79930-9AA5-D943-B016-9D6C10971A8A}">
            <x14:dataBar minLength="0" maxLength="100" border="1" negativeBarBorderColorSameAsPositive="0">
              <x14:cfvo type="autoMin"/>
              <x14:cfvo type="autoMax"/>
              <x14:borderColor rgb="FF638EC6"/>
              <x14:negativeFillColor rgb="FFFF0000"/>
              <x14:negativeBorderColor rgb="FFFF0000"/>
              <x14:axisColor rgb="FF000000"/>
            </x14:dataBar>
          </x14:cfRule>
          <xm:sqref>P36</xm:sqref>
        </x14:conditionalFormatting>
        <x14:conditionalFormatting xmlns:xm="http://schemas.microsoft.com/office/excel/2006/main">
          <x14:cfRule type="dataBar" id="{DC53095B-2CB5-F647-8F62-DB177FC3A2A7}">
            <x14:dataBar minLength="0" maxLength="100" border="1" negativeBarBorderColorSameAsPositive="0">
              <x14:cfvo type="autoMin"/>
              <x14:cfvo type="autoMax"/>
              <x14:borderColor rgb="FF638EC6"/>
              <x14:negativeFillColor rgb="FFFF0000"/>
              <x14:negativeBorderColor rgb="FFFF0000"/>
              <x14:axisColor rgb="FF000000"/>
            </x14:dataBar>
          </x14:cfRule>
          <xm:sqref>Q35</xm:sqref>
        </x14:conditionalFormatting>
        <x14:conditionalFormatting xmlns:xm="http://schemas.microsoft.com/office/excel/2006/main">
          <x14:cfRule type="dataBar" id="{44989216-400B-494F-9A54-22BDDE279A39}">
            <x14:dataBar minLength="0" maxLength="100" border="1" negativeBarBorderColorSameAsPositive="0">
              <x14:cfvo type="autoMin"/>
              <x14:cfvo type="autoMax"/>
              <x14:borderColor rgb="FF638EC6"/>
              <x14:negativeFillColor rgb="FFFF0000"/>
              <x14:negativeBorderColor rgb="FFFF0000"/>
              <x14:axisColor rgb="FF000000"/>
            </x14:dataBar>
          </x14:cfRule>
          <xm:sqref>R34</xm:sqref>
        </x14:conditionalFormatting>
        <x14:conditionalFormatting xmlns:xm="http://schemas.microsoft.com/office/excel/2006/main">
          <x14:cfRule type="dataBar" id="{379DA9D9-5A7C-8947-9925-B0443DCD4926}">
            <x14:dataBar minLength="0" maxLength="100" border="1" negativeBarBorderColorSameAsPositive="0">
              <x14:cfvo type="autoMin"/>
              <x14:cfvo type="autoMax"/>
              <x14:borderColor rgb="FF638EC6"/>
              <x14:negativeFillColor rgb="FFFF0000"/>
              <x14:negativeBorderColor rgb="FFFF0000"/>
              <x14:axisColor rgb="FF000000"/>
            </x14:dataBar>
          </x14:cfRule>
          <xm:sqref>S33</xm:sqref>
        </x14:conditionalFormatting>
        <x14:conditionalFormatting xmlns:xm="http://schemas.microsoft.com/office/excel/2006/main">
          <x14:cfRule type="dataBar" id="{DCCCF88B-A09A-C04A-9648-7075F2E4E47A}">
            <x14:dataBar minLength="0" maxLength="100" border="1" negativeBarBorderColorSameAsPositive="0">
              <x14:cfvo type="autoMin"/>
              <x14:cfvo type="autoMax"/>
              <x14:borderColor rgb="FF638EC6"/>
              <x14:negativeFillColor rgb="FFFF0000"/>
              <x14:negativeBorderColor rgb="FFFF0000"/>
              <x14:axisColor rgb="FF000000"/>
            </x14:dataBar>
          </x14:cfRule>
          <xm:sqref>T32</xm:sqref>
        </x14:conditionalFormatting>
        <x14:conditionalFormatting xmlns:xm="http://schemas.microsoft.com/office/excel/2006/main">
          <x14:cfRule type="dataBar" id="{3D432FB5-2118-614F-9AF2-6B26F43190B3}">
            <x14:dataBar minLength="0" maxLength="100" border="1" negativeBarBorderColorSameAsPositive="0">
              <x14:cfvo type="autoMin"/>
              <x14:cfvo type="autoMax"/>
              <x14:borderColor rgb="FF638EC6"/>
              <x14:negativeFillColor rgb="FFFF0000"/>
              <x14:negativeBorderColor rgb="FFFF0000"/>
              <x14:axisColor rgb="FF000000"/>
            </x14:dataBar>
          </x14:cfRule>
          <xm:sqref>U31</xm:sqref>
        </x14:conditionalFormatting>
        <x14:conditionalFormatting xmlns:xm="http://schemas.microsoft.com/office/excel/2006/main">
          <x14:cfRule type="dataBar" id="{CAC2A249-D884-124F-93ED-D896F1E2B88B}">
            <x14:dataBar minLength="0" maxLength="100" border="1" negativeBarBorderColorSameAsPositive="0">
              <x14:cfvo type="autoMin"/>
              <x14:cfvo type="autoMax"/>
              <x14:borderColor rgb="FF638EC6"/>
              <x14:negativeFillColor rgb="FFFF0000"/>
              <x14:negativeBorderColor rgb="FFFF0000"/>
              <x14:axisColor rgb="FF000000"/>
            </x14:dataBar>
          </x14:cfRule>
          <xm:sqref>V30</xm:sqref>
        </x14:conditionalFormatting>
        <x14:conditionalFormatting xmlns:xm="http://schemas.microsoft.com/office/excel/2006/main">
          <x14:cfRule type="dataBar" id="{CF4E03F3-0166-7B4B-A5BE-226A7D4DB4FD}">
            <x14:dataBar minLength="0" maxLength="100" border="1" negativeBarBorderColorSameAsPositive="0">
              <x14:cfvo type="autoMin"/>
              <x14:cfvo type="autoMax"/>
              <x14:borderColor rgb="FF638EC6"/>
              <x14:negativeFillColor rgb="FFFF0000"/>
              <x14:negativeBorderColor rgb="FFFF0000"/>
              <x14:axisColor rgb="FF000000"/>
            </x14:dataBar>
          </x14:cfRule>
          <xm:sqref>W29</xm:sqref>
        </x14:conditionalFormatting>
        <x14:conditionalFormatting xmlns:xm="http://schemas.microsoft.com/office/excel/2006/main">
          <x14:cfRule type="dataBar" id="{92458EDB-A209-3245-823F-D886D16DFAF3}">
            <x14:dataBar minLength="0" maxLength="100" border="1" negativeBarBorderColorSameAsPositive="0">
              <x14:cfvo type="autoMin"/>
              <x14:cfvo type="autoMax"/>
              <x14:borderColor rgb="FF638EC6"/>
              <x14:negativeFillColor rgb="FFFF0000"/>
              <x14:negativeBorderColor rgb="FFFF0000"/>
              <x14:axisColor rgb="FF000000"/>
            </x14:dataBar>
          </x14:cfRule>
          <xm:sqref>X28</xm:sqref>
        </x14:conditionalFormatting>
        <x14:conditionalFormatting xmlns:xm="http://schemas.microsoft.com/office/excel/2006/main">
          <x14:cfRule type="dataBar" id="{F8605BFB-F344-484A-A8F4-8FF16DFE6144}">
            <x14:dataBar minLength="0" maxLength="100" border="1" negativeBarBorderColorSameAsPositive="0">
              <x14:cfvo type="autoMin"/>
              <x14:cfvo type="autoMax"/>
              <x14:borderColor rgb="FF638EC6"/>
              <x14:negativeFillColor rgb="FFFF0000"/>
              <x14:negativeBorderColor rgb="FFFF0000"/>
              <x14:axisColor rgb="FF000000"/>
            </x14:dataBar>
          </x14:cfRule>
          <xm:sqref>Y27</xm:sqref>
        </x14:conditionalFormatting>
        <x14:conditionalFormatting xmlns:xm="http://schemas.microsoft.com/office/excel/2006/main">
          <x14:cfRule type="dataBar" id="{6E43F119-7DF3-D942-A557-9FEF79F3873B}">
            <x14:dataBar minLength="0" maxLength="100" border="1" negativeBarBorderColorSameAsPositive="0">
              <x14:cfvo type="autoMin"/>
              <x14:cfvo type="autoMax"/>
              <x14:borderColor rgb="FF638EC6"/>
              <x14:negativeFillColor rgb="FFFF0000"/>
              <x14:negativeBorderColor rgb="FFFF0000"/>
              <x14:axisColor rgb="FF000000"/>
            </x14:dataBar>
          </x14:cfRule>
          <xm:sqref>Z26</xm:sqref>
        </x14:conditionalFormatting>
        <x14:conditionalFormatting xmlns:xm="http://schemas.microsoft.com/office/excel/2006/main">
          <x14:cfRule type="dataBar" id="{27566499-C919-0849-B037-48B3C5A74C24}">
            <x14:dataBar minLength="0" maxLength="100" border="1" negativeBarBorderColorSameAsPositive="0">
              <x14:cfvo type="autoMin"/>
              <x14:cfvo type="autoMax"/>
              <x14:borderColor rgb="FF638EC6"/>
              <x14:negativeFillColor rgb="FFFF0000"/>
              <x14:negativeBorderColor rgb="FFFF0000"/>
              <x14:axisColor rgb="FF000000"/>
            </x14:dataBar>
          </x14:cfRule>
          <xm:sqref>AA25</xm:sqref>
        </x14:conditionalFormatting>
        <x14:conditionalFormatting xmlns:xm="http://schemas.microsoft.com/office/excel/2006/main">
          <x14:cfRule type="dataBar" id="{4C040802-5307-9346-9E0E-394E671F6CA0}">
            <x14:dataBar minLength="0" maxLength="100" border="1" negativeBarBorderColorSameAsPositive="0">
              <x14:cfvo type="autoMin"/>
              <x14:cfvo type="autoMax"/>
              <x14:borderColor rgb="FF638EC6"/>
              <x14:negativeFillColor rgb="FFFF0000"/>
              <x14:negativeBorderColor rgb="FFFF0000"/>
              <x14:axisColor rgb="FF000000"/>
            </x14:dataBar>
          </x14:cfRule>
          <xm:sqref>AB24</xm:sqref>
        </x14:conditionalFormatting>
        <x14:conditionalFormatting xmlns:xm="http://schemas.microsoft.com/office/excel/2006/main">
          <x14:cfRule type="dataBar" id="{D0D66458-3EB4-1946-A3C2-AB72E1A71000}">
            <x14:dataBar minLength="0" maxLength="100" border="1" negativeBarBorderColorSameAsPositive="0">
              <x14:cfvo type="autoMin"/>
              <x14:cfvo type="autoMax"/>
              <x14:borderColor rgb="FF638EC6"/>
              <x14:negativeFillColor rgb="FFFF0000"/>
              <x14:negativeBorderColor rgb="FFFF0000"/>
              <x14:axisColor rgb="FF000000"/>
            </x14:dataBar>
          </x14:cfRule>
          <xm:sqref>AC23</xm:sqref>
        </x14:conditionalFormatting>
        <x14:conditionalFormatting xmlns:xm="http://schemas.microsoft.com/office/excel/2006/main">
          <x14:cfRule type="dataBar" id="{6531F1EB-899E-314A-9006-8FA54F65E526}">
            <x14:dataBar minLength="0" maxLength="100" border="1" negativeBarBorderColorSameAsPositive="0">
              <x14:cfvo type="autoMin"/>
              <x14:cfvo type="autoMax"/>
              <x14:borderColor rgb="FF638EC6"/>
              <x14:negativeFillColor rgb="FFFF0000"/>
              <x14:negativeBorderColor rgb="FFFF0000"/>
              <x14:axisColor rgb="FF000000"/>
            </x14:dataBar>
          </x14:cfRule>
          <xm:sqref>AD22</xm:sqref>
        </x14:conditionalFormatting>
        <x14:conditionalFormatting xmlns:xm="http://schemas.microsoft.com/office/excel/2006/main">
          <x14:cfRule type="dataBar" id="{D983C490-8C90-8B44-8BAE-25E397B60EF8}">
            <x14:dataBar minLength="0" maxLength="100" border="1" negativeBarBorderColorSameAsPositive="0">
              <x14:cfvo type="autoMin"/>
              <x14:cfvo type="autoMax"/>
              <x14:borderColor rgb="FF638EC6"/>
              <x14:negativeFillColor rgb="FFFF0000"/>
              <x14:negativeBorderColor rgb="FFFF0000"/>
              <x14:axisColor rgb="FF000000"/>
            </x14:dataBar>
          </x14:cfRule>
          <xm:sqref>M41</xm:sqref>
        </x14:conditionalFormatting>
        <x14:conditionalFormatting xmlns:xm="http://schemas.microsoft.com/office/excel/2006/main">
          <x14:cfRule type="dataBar" id="{4F6B4ECB-8978-8C4A-BEB3-039CD3DA4165}">
            <x14:dataBar minLength="0" maxLength="100" border="1" negativeBarBorderColorSameAsPositive="0">
              <x14:cfvo type="autoMin"/>
              <x14:cfvo type="autoMax"/>
              <x14:borderColor rgb="FF638EC6"/>
              <x14:negativeFillColor rgb="FFFF0000"/>
              <x14:negativeBorderColor rgb="FFFF0000"/>
              <x14:axisColor rgb="FF000000"/>
            </x14:dataBar>
          </x14:cfRule>
          <xm:sqref>N40</xm:sqref>
        </x14:conditionalFormatting>
        <x14:conditionalFormatting xmlns:xm="http://schemas.microsoft.com/office/excel/2006/main">
          <x14:cfRule type="dataBar" id="{884A39DF-D3D5-444D-94DC-6C390A00FA37}">
            <x14:dataBar minLength="0" maxLength="100" border="1" negativeBarBorderColorSameAsPositive="0">
              <x14:cfvo type="autoMin"/>
              <x14:cfvo type="autoMax"/>
              <x14:borderColor rgb="FF638EC6"/>
              <x14:negativeFillColor rgb="FFFF0000"/>
              <x14:negativeBorderColor rgb="FFFF0000"/>
              <x14:axisColor rgb="FF000000"/>
            </x14:dataBar>
          </x14:cfRule>
          <xm:sqref>O39</xm:sqref>
        </x14:conditionalFormatting>
        <x14:conditionalFormatting xmlns:xm="http://schemas.microsoft.com/office/excel/2006/main">
          <x14:cfRule type="dataBar" id="{5E7DEC5D-FDD8-804A-9581-3A28264B562B}">
            <x14:dataBar minLength="0" maxLength="100" border="1" negativeBarBorderColorSameAsPositive="0">
              <x14:cfvo type="autoMin"/>
              <x14:cfvo type="autoMax"/>
              <x14:borderColor rgb="FF638EC6"/>
              <x14:negativeFillColor rgb="FFFF0000"/>
              <x14:negativeBorderColor rgb="FFFF0000"/>
              <x14:axisColor rgb="FF000000"/>
            </x14:dataBar>
          </x14:cfRule>
          <xm:sqref>P38</xm:sqref>
        </x14:conditionalFormatting>
        <x14:conditionalFormatting xmlns:xm="http://schemas.microsoft.com/office/excel/2006/main">
          <x14:cfRule type="dataBar" id="{AFB21F75-AA01-9F46-940C-11EDC1242D7C}">
            <x14:dataBar minLength="0" maxLength="100" border="1" negativeBarBorderColorSameAsPositive="0">
              <x14:cfvo type="autoMin"/>
              <x14:cfvo type="autoMax"/>
              <x14:borderColor rgb="FF638EC6"/>
              <x14:negativeFillColor rgb="FFFF0000"/>
              <x14:negativeBorderColor rgb="FFFF0000"/>
              <x14:axisColor rgb="FF000000"/>
            </x14:dataBar>
          </x14:cfRule>
          <xm:sqref>Q37</xm:sqref>
        </x14:conditionalFormatting>
        <x14:conditionalFormatting xmlns:xm="http://schemas.microsoft.com/office/excel/2006/main">
          <x14:cfRule type="dataBar" id="{C8A3872B-9E92-6140-8E3B-68F05D8114B9}">
            <x14:dataBar minLength="0" maxLength="100" border="1" negativeBarBorderColorSameAsPositive="0">
              <x14:cfvo type="autoMin"/>
              <x14:cfvo type="autoMax"/>
              <x14:borderColor rgb="FF638EC6"/>
              <x14:negativeFillColor rgb="FFFF0000"/>
              <x14:negativeBorderColor rgb="FFFF0000"/>
              <x14:axisColor rgb="FF000000"/>
            </x14:dataBar>
          </x14:cfRule>
          <xm:sqref>R36</xm:sqref>
        </x14:conditionalFormatting>
        <x14:conditionalFormatting xmlns:xm="http://schemas.microsoft.com/office/excel/2006/main">
          <x14:cfRule type="dataBar" id="{D4781FFD-1E12-8347-90EA-0D070FAB5379}">
            <x14:dataBar minLength="0" maxLength="100" border="1" negativeBarBorderColorSameAsPositive="0">
              <x14:cfvo type="autoMin"/>
              <x14:cfvo type="autoMax"/>
              <x14:borderColor rgb="FF638EC6"/>
              <x14:negativeFillColor rgb="FFFF0000"/>
              <x14:negativeBorderColor rgb="FFFF0000"/>
              <x14:axisColor rgb="FF000000"/>
            </x14:dataBar>
          </x14:cfRule>
          <xm:sqref>S35</xm:sqref>
        </x14:conditionalFormatting>
        <x14:conditionalFormatting xmlns:xm="http://schemas.microsoft.com/office/excel/2006/main">
          <x14:cfRule type="dataBar" id="{E057CB15-D726-D14C-B5A4-8F52446068C6}">
            <x14:dataBar minLength="0" maxLength="100" border="1" negativeBarBorderColorSameAsPositive="0">
              <x14:cfvo type="autoMin"/>
              <x14:cfvo type="autoMax"/>
              <x14:borderColor rgb="FF638EC6"/>
              <x14:negativeFillColor rgb="FFFF0000"/>
              <x14:negativeBorderColor rgb="FFFF0000"/>
              <x14:axisColor rgb="FF000000"/>
            </x14:dataBar>
          </x14:cfRule>
          <xm:sqref>T34</xm:sqref>
        </x14:conditionalFormatting>
        <x14:conditionalFormatting xmlns:xm="http://schemas.microsoft.com/office/excel/2006/main">
          <x14:cfRule type="dataBar" id="{3A48C4FC-3E6D-F047-878C-D750C06837B1}">
            <x14:dataBar minLength="0" maxLength="100" border="1" negativeBarBorderColorSameAsPositive="0">
              <x14:cfvo type="autoMin"/>
              <x14:cfvo type="autoMax"/>
              <x14:borderColor rgb="FF638EC6"/>
              <x14:negativeFillColor rgb="FFFF0000"/>
              <x14:negativeBorderColor rgb="FFFF0000"/>
              <x14:axisColor rgb="FF000000"/>
            </x14:dataBar>
          </x14:cfRule>
          <xm:sqref>U33</xm:sqref>
        </x14:conditionalFormatting>
        <x14:conditionalFormatting xmlns:xm="http://schemas.microsoft.com/office/excel/2006/main">
          <x14:cfRule type="dataBar" id="{1615D88B-87B4-D24F-A74A-01B084ACA947}">
            <x14:dataBar minLength="0" maxLength="100" border="1" negativeBarBorderColorSameAsPositive="0">
              <x14:cfvo type="autoMin"/>
              <x14:cfvo type="autoMax"/>
              <x14:borderColor rgb="FF638EC6"/>
              <x14:negativeFillColor rgb="FFFF0000"/>
              <x14:negativeBorderColor rgb="FFFF0000"/>
              <x14:axisColor rgb="FF000000"/>
            </x14:dataBar>
          </x14:cfRule>
          <xm:sqref>V32</xm:sqref>
        </x14:conditionalFormatting>
        <x14:conditionalFormatting xmlns:xm="http://schemas.microsoft.com/office/excel/2006/main">
          <x14:cfRule type="dataBar" id="{2A0A0DC1-1F5C-9F4A-AC65-ECA3739749CF}">
            <x14:dataBar minLength="0" maxLength="100" border="1" negativeBarBorderColorSameAsPositive="0">
              <x14:cfvo type="autoMin"/>
              <x14:cfvo type="autoMax"/>
              <x14:borderColor rgb="FF638EC6"/>
              <x14:negativeFillColor rgb="FFFF0000"/>
              <x14:negativeBorderColor rgb="FFFF0000"/>
              <x14:axisColor rgb="FF000000"/>
            </x14:dataBar>
          </x14:cfRule>
          <xm:sqref>W31</xm:sqref>
        </x14:conditionalFormatting>
        <x14:conditionalFormatting xmlns:xm="http://schemas.microsoft.com/office/excel/2006/main">
          <x14:cfRule type="dataBar" id="{45429715-522B-C746-81EA-9B8700C3680C}">
            <x14:dataBar minLength="0" maxLength="100" border="1" negativeBarBorderColorSameAsPositive="0">
              <x14:cfvo type="autoMin"/>
              <x14:cfvo type="autoMax"/>
              <x14:borderColor rgb="FF638EC6"/>
              <x14:negativeFillColor rgb="FFFF0000"/>
              <x14:negativeBorderColor rgb="FFFF0000"/>
              <x14:axisColor rgb="FF000000"/>
            </x14:dataBar>
          </x14:cfRule>
          <xm:sqref>X30</xm:sqref>
        </x14:conditionalFormatting>
        <x14:conditionalFormatting xmlns:xm="http://schemas.microsoft.com/office/excel/2006/main">
          <x14:cfRule type="dataBar" id="{721BA349-054D-9347-BFC0-8C969B5E38B4}">
            <x14:dataBar minLength="0" maxLength="100" border="1" negativeBarBorderColorSameAsPositive="0">
              <x14:cfvo type="autoMin"/>
              <x14:cfvo type="autoMax"/>
              <x14:borderColor rgb="FF638EC6"/>
              <x14:negativeFillColor rgb="FFFF0000"/>
              <x14:negativeBorderColor rgb="FFFF0000"/>
              <x14:axisColor rgb="FF000000"/>
            </x14:dataBar>
          </x14:cfRule>
          <xm:sqref>Y29</xm:sqref>
        </x14:conditionalFormatting>
        <x14:conditionalFormatting xmlns:xm="http://schemas.microsoft.com/office/excel/2006/main">
          <x14:cfRule type="dataBar" id="{62D2E613-5E43-3D41-9C2C-E7C4BF158205}">
            <x14:dataBar minLength="0" maxLength="100" border="1" negativeBarBorderColorSameAsPositive="0">
              <x14:cfvo type="autoMin"/>
              <x14:cfvo type="autoMax"/>
              <x14:borderColor rgb="FF638EC6"/>
              <x14:negativeFillColor rgb="FFFF0000"/>
              <x14:negativeBorderColor rgb="FFFF0000"/>
              <x14:axisColor rgb="FF000000"/>
            </x14:dataBar>
          </x14:cfRule>
          <xm:sqref>Z28</xm:sqref>
        </x14:conditionalFormatting>
        <x14:conditionalFormatting xmlns:xm="http://schemas.microsoft.com/office/excel/2006/main">
          <x14:cfRule type="dataBar" id="{B1EC6C8F-D652-A146-A192-B385F6A5FDFB}">
            <x14:dataBar minLength="0" maxLength="100" border="1" negativeBarBorderColorSameAsPositive="0">
              <x14:cfvo type="autoMin"/>
              <x14:cfvo type="autoMax"/>
              <x14:borderColor rgb="FF638EC6"/>
              <x14:negativeFillColor rgb="FFFF0000"/>
              <x14:negativeBorderColor rgb="FFFF0000"/>
              <x14:axisColor rgb="FF000000"/>
            </x14:dataBar>
          </x14:cfRule>
          <xm:sqref>AA27</xm:sqref>
        </x14:conditionalFormatting>
        <x14:conditionalFormatting xmlns:xm="http://schemas.microsoft.com/office/excel/2006/main">
          <x14:cfRule type="dataBar" id="{D1BE7DB8-BFF2-2E4B-9D10-F56F750AE7E1}">
            <x14:dataBar minLength="0" maxLength="100" border="1" negativeBarBorderColorSameAsPositive="0">
              <x14:cfvo type="autoMin"/>
              <x14:cfvo type="autoMax"/>
              <x14:borderColor rgb="FF638EC6"/>
              <x14:negativeFillColor rgb="FFFF0000"/>
              <x14:negativeBorderColor rgb="FFFF0000"/>
              <x14:axisColor rgb="FF000000"/>
            </x14:dataBar>
          </x14:cfRule>
          <xm:sqref>AB26</xm:sqref>
        </x14:conditionalFormatting>
        <x14:conditionalFormatting xmlns:xm="http://schemas.microsoft.com/office/excel/2006/main">
          <x14:cfRule type="dataBar" id="{0C72ACC0-617C-7442-9F0D-61D4E1343BDA}">
            <x14:dataBar minLength="0" maxLength="100" border="1" negativeBarBorderColorSameAsPositive="0">
              <x14:cfvo type="autoMin"/>
              <x14:cfvo type="autoMax"/>
              <x14:borderColor rgb="FF638EC6"/>
              <x14:negativeFillColor rgb="FFFF0000"/>
              <x14:negativeBorderColor rgb="FFFF0000"/>
              <x14:axisColor rgb="FF000000"/>
            </x14:dataBar>
          </x14:cfRule>
          <xm:sqref>AC25</xm:sqref>
        </x14:conditionalFormatting>
        <x14:conditionalFormatting xmlns:xm="http://schemas.microsoft.com/office/excel/2006/main">
          <x14:cfRule type="dataBar" id="{0E7D5374-FBF4-EC4C-A8FC-142E2B79D231}">
            <x14:dataBar minLength="0" maxLength="100" border="1" negativeBarBorderColorSameAsPositive="0">
              <x14:cfvo type="autoMin"/>
              <x14:cfvo type="autoMax"/>
              <x14:borderColor rgb="FF638EC6"/>
              <x14:negativeFillColor rgb="FFFF0000"/>
              <x14:negativeBorderColor rgb="FFFF0000"/>
              <x14:axisColor rgb="FF000000"/>
            </x14:dataBar>
          </x14:cfRule>
          <xm:sqref>AD24</xm:sqref>
        </x14:conditionalFormatting>
        <x14:conditionalFormatting xmlns:xm="http://schemas.microsoft.com/office/excel/2006/main">
          <x14:cfRule type="dataBar" id="{B35005FC-F948-CF46-B868-ADC9C02244FE}">
            <x14:dataBar minLength="0" maxLength="100" border="1" negativeBarBorderColorSameAsPositive="0">
              <x14:cfvo type="autoMin"/>
              <x14:cfvo type="autoMax"/>
              <x14:borderColor rgb="FF638EC6"/>
              <x14:negativeFillColor rgb="FFFF0000"/>
              <x14:negativeBorderColor rgb="FFFF0000"/>
              <x14:axisColor rgb="FF000000"/>
            </x14:dataBar>
          </x14:cfRule>
          <xm:sqref>M43</xm:sqref>
        </x14:conditionalFormatting>
        <x14:conditionalFormatting xmlns:xm="http://schemas.microsoft.com/office/excel/2006/main">
          <x14:cfRule type="dataBar" id="{33B458C5-E62F-C74C-A983-B507B161AE02}">
            <x14:dataBar minLength="0" maxLength="100" border="1" negativeBarBorderColorSameAsPositive="0">
              <x14:cfvo type="autoMin"/>
              <x14:cfvo type="autoMax"/>
              <x14:borderColor rgb="FF638EC6"/>
              <x14:negativeFillColor rgb="FFFF0000"/>
              <x14:negativeBorderColor rgb="FFFF0000"/>
              <x14:axisColor rgb="FF000000"/>
            </x14:dataBar>
          </x14:cfRule>
          <xm:sqref>N42</xm:sqref>
        </x14:conditionalFormatting>
        <x14:conditionalFormatting xmlns:xm="http://schemas.microsoft.com/office/excel/2006/main">
          <x14:cfRule type="dataBar" id="{2702752C-A42B-FB49-AA81-09435590CB87}">
            <x14:dataBar minLength="0" maxLength="100" border="1" negativeBarBorderColorSameAsPositive="0">
              <x14:cfvo type="autoMin"/>
              <x14:cfvo type="autoMax"/>
              <x14:borderColor rgb="FF638EC6"/>
              <x14:negativeFillColor rgb="FFFF0000"/>
              <x14:negativeBorderColor rgb="FFFF0000"/>
              <x14:axisColor rgb="FF000000"/>
            </x14:dataBar>
          </x14:cfRule>
          <xm:sqref>O41</xm:sqref>
        </x14:conditionalFormatting>
        <x14:conditionalFormatting xmlns:xm="http://schemas.microsoft.com/office/excel/2006/main">
          <x14:cfRule type="dataBar" id="{D3DA943C-6AC7-0B40-AA22-9D9206A42620}">
            <x14:dataBar minLength="0" maxLength="100" border="1" negativeBarBorderColorSameAsPositive="0">
              <x14:cfvo type="autoMin"/>
              <x14:cfvo type="autoMax"/>
              <x14:borderColor rgb="FF638EC6"/>
              <x14:negativeFillColor rgb="FFFF0000"/>
              <x14:negativeBorderColor rgb="FFFF0000"/>
              <x14:axisColor rgb="FF000000"/>
            </x14:dataBar>
          </x14:cfRule>
          <xm:sqref>P40</xm:sqref>
        </x14:conditionalFormatting>
        <x14:conditionalFormatting xmlns:xm="http://schemas.microsoft.com/office/excel/2006/main">
          <x14:cfRule type="dataBar" id="{8DFD253C-2E80-D54D-948C-B7F7E464FF0D}">
            <x14:dataBar minLength="0" maxLength="100" border="1" negativeBarBorderColorSameAsPositive="0">
              <x14:cfvo type="autoMin"/>
              <x14:cfvo type="autoMax"/>
              <x14:borderColor rgb="FF638EC6"/>
              <x14:negativeFillColor rgb="FFFF0000"/>
              <x14:negativeBorderColor rgb="FFFF0000"/>
              <x14:axisColor rgb="FF000000"/>
            </x14:dataBar>
          </x14:cfRule>
          <xm:sqref>Q39</xm:sqref>
        </x14:conditionalFormatting>
        <x14:conditionalFormatting xmlns:xm="http://schemas.microsoft.com/office/excel/2006/main">
          <x14:cfRule type="dataBar" id="{99691FE0-408C-5743-8586-091D0FF2ACBC}">
            <x14:dataBar minLength="0" maxLength="100" border="1" negativeBarBorderColorSameAsPositive="0">
              <x14:cfvo type="autoMin"/>
              <x14:cfvo type="autoMax"/>
              <x14:borderColor rgb="FF638EC6"/>
              <x14:negativeFillColor rgb="FFFF0000"/>
              <x14:negativeBorderColor rgb="FFFF0000"/>
              <x14:axisColor rgb="FF000000"/>
            </x14:dataBar>
          </x14:cfRule>
          <xm:sqref>R38</xm:sqref>
        </x14:conditionalFormatting>
        <x14:conditionalFormatting xmlns:xm="http://schemas.microsoft.com/office/excel/2006/main">
          <x14:cfRule type="dataBar" id="{837E7AF0-AC21-664B-ACB8-2D533295B908}">
            <x14:dataBar minLength="0" maxLength="100" border="1" negativeBarBorderColorSameAsPositive="0">
              <x14:cfvo type="autoMin"/>
              <x14:cfvo type="autoMax"/>
              <x14:borderColor rgb="FF638EC6"/>
              <x14:negativeFillColor rgb="FFFF0000"/>
              <x14:negativeBorderColor rgb="FFFF0000"/>
              <x14:axisColor rgb="FF000000"/>
            </x14:dataBar>
          </x14:cfRule>
          <xm:sqref>S37</xm:sqref>
        </x14:conditionalFormatting>
        <x14:conditionalFormatting xmlns:xm="http://schemas.microsoft.com/office/excel/2006/main">
          <x14:cfRule type="dataBar" id="{CE1CA848-71F2-C44E-9A10-10B27E21A2AE}">
            <x14:dataBar minLength="0" maxLength="100" border="1" negativeBarBorderColorSameAsPositive="0">
              <x14:cfvo type="autoMin"/>
              <x14:cfvo type="autoMax"/>
              <x14:borderColor rgb="FF638EC6"/>
              <x14:negativeFillColor rgb="FFFF0000"/>
              <x14:negativeBorderColor rgb="FFFF0000"/>
              <x14:axisColor rgb="FF000000"/>
            </x14:dataBar>
          </x14:cfRule>
          <xm:sqref>T36</xm:sqref>
        </x14:conditionalFormatting>
        <x14:conditionalFormatting xmlns:xm="http://schemas.microsoft.com/office/excel/2006/main">
          <x14:cfRule type="dataBar" id="{5831D2A7-F77C-FC4A-9407-1AB85E7706D1}">
            <x14:dataBar minLength="0" maxLength="100" border="1" negativeBarBorderColorSameAsPositive="0">
              <x14:cfvo type="autoMin"/>
              <x14:cfvo type="autoMax"/>
              <x14:borderColor rgb="FF638EC6"/>
              <x14:negativeFillColor rgb="FFFF0000"/>
              <x14:negativeBorderColor rgb="FFFF0000"/>
              <x14:axisColor rgb="FF000000"/>
            </x14:dataBar>
          </x14:cfRule>
          <xm:sqref>U35</xm:sqref>
        </x14:conditionalFormatting>
        <x14:conditionalFormatting xmlns:xm="http://schemas.microsoft.com/office/excel/2006/main">
          <x14:cfRule type="dataBar" id="{A8A55B86-8400-8043-877C-8B7059971893}">
            <x14:dataBar minLength="0" maxLength="100" border="1" negativeBarBorderColorSameAsPositive="0">
              <x14:cfvo type="autoMin"/>
              <x14:cfvo type="autoMax"/>
              <x14:borderColor rgb="FF638EC6"/>
              <x14:negativeFillColor rgb="FFFF0000"/>
              <x14:negativeBorderColor rgb="FFFF0000"/>
              <x14:axisColor rgb="FF000000"/>
            </x14:dataBar>
          </x14:cfRule>
          <xm:sqref>V34</xm:sqref>
        </x14:conditionalFormatting>
        <x14:conditionalFormatting xmlns:xm="http://schemas.microsoft.com/office/excel/2006/main">
          <x14:cfRule type="dataBar" id="{BBFC7D79-7A9A-7C48-B21B-2C71D05EAEB6}">
            <x14:dataBar minLength="0" maxLength="100" border="1" negativeBarBorderColorSameAsPositive="0">
              <x14:cfvo type="autoMin"/>
              <x14:cfvo type="autoMax"/>
              <x14:borderColor rgb="FF638EC6"/>
              <x14:negativeFillColor rgb="FFFF0000"/>
              <x14:negativeBorderColor rgb="FFFF0000"/>
              <x14:axisColor rgb="FF000000"/>
            </x14:dataBar>
          </x14:cfRule>
          <xm:sqref>W33</xm:sqref>
        </x14:conditionalFormatting>
        <x14:conditionalFormatting xmlns:xm="http://schemas.microsoft.com/office/excel/2006/main">
          <x14:cfRule type="dataBar" id="{4473206E-1F7B-5D46-A90C-C5F2BAED13E6}">
            <x14:dataBar minLength="0" maxLength="100" border="1" negativeBarBorderColorSameAsPositive="0">
              <x14:cfvo type="autoMin"/>
              <x14:cfvo type="autoMax"/>
              <x14:borderColor rgb="FF638EC6"/>
              <x14:negativeFillColor rgb="FFFF0000"/>
              <x14:negativeBorderColor rgb="FFFF0000"/>
              <x14:axisColor rgb="FF000000"/>
            </x14:dataBar>
          </x14:cfRule>
          <xm:sqref>X32</xm:sqref>
        </x14:conditionalFormatting>
        <x14:conditionalFormatting xmlns:xm="http://schemas.microsoft.com/office/excel/2006/main">
          <x14:cfRule type="dataBar" id="{EF27B7D3-8541-8240-9730-99322D99F31A}">
            <x14:dataBar minLength="0" maxLength="100" border="1" negativeBarBorderColorSameAsPositive="0">
              <x14:cfvo type="autoMin"/>
              <x14:cfvo type="autoMax"/>
              <x14:borderColor rgb="FF638EC6"/>
              <x14:negativeFillColor rgb="FFFF0000"/>
              <x14:negativeBorderColor rgb="FFFF0000"/>
              <x14:axisColor rgb="FF000000"/>
            </x14:dataBar>
          </x14:cfRule>
          <xm:sqref>Y31</xm:sqref>
        </x14:conditionalFormatting>
        <x14:conditionalFormatting xmlns:xm="http://schemas.microsoft.com/office/excel/2006/main">
          <x14:cfRule type="dataBar" id="{18048970-CBD8-1344-9883-7B954ADA2784}">
            <x14:dataBar minLength="0" maxLength="100" border="1" negativeBarBorderColorSameAsPositive="0">
              <x14:cfvo type="autoMin"/>
              <x14:cfvo type="autoMax"/>
              <x14:borderColor rgb="FF638EC6"/>
              <x14:negativeFillColor rgb="FFFF0000"/>
              <x14:negativeBorderColor rgb="FFFF0000"/>
              <x14:axisColor rgb="FF000000"/>
            </x14:dataBar>
          </x14:cfRule>
          <xm:sqref>Z30</xm:sqref>
        </x14:conditionalFormatting>
        <x14:conditionalFormatting xmlns:xm="http://schemas.microsoft.com/office/excel/2006/main">
          <x14:cfRule type="dataBar" id="{DD2E86F2-4339-0142-8764-A65AED959BAA}">
            <x14:dataBar minLength="0" maxLength="100" border="1" negativeBarBorderColorSameAsPositive="0">
              <x14:cfvo type="autoMin"/>
              <x14:cfvo type="autoMax"/>
              <x14:borderColor rgb="FF638EC6"/>
              <x14:negativeFillColor rgb="FFFF0000"/>
              <x14:negativeBorderColor rgb="FFFF0000"/>
              <x14:axisColor rgb="FF000000"/>
            </x14:dataBar>
          </x14:cfRule>
          <xm:sqref>AA29</xm:sqref>
        </x14:conditionalFormatting>
        <x14:conditionalFormatting xmlns:xm="http://schemas.microsoft.com/office/excel/2006/main">
          <x14:cfRule type="dataBar" id="{E2FAAF90-F8E6-834B-971D-28A366C06433}">
            <x14:dataBar minLength="0" maxLength="100" border="1" negativeBarBorderColorSameAsPositive="0">
              <x14:cfvo type="autoMin"/>
              <x14:cfvo type="autoMax"/>
              <x14:borderColor rgb="FF638EC6"/>
              <x14:negativeFillColor rgb="FFFF0000"/>
              <x14:negativeBorderColor rgb="FFFF0000"/>
              <x14:axisColor rgb="FF000000"/>
            </x14:dataBar>
          </x14:cfRule>
          <xm:sqref>AB28</xm:sqref>
        </x14:conditionalFormatting>
        <x14:conditionalFormatting xmlns:xm="http://schemas.microsoft.com/office/excel/2006/main">
          <x14:cfRule type="dataBar" id="{60A4D8F7-7E5E-9948-8A77-9AC26CC48094}">
            <x14:dataBar minLength="0" maxLength="100" border="1" negativeBarBorderColorSameAsPositive="0">
              <x14:cfvo type="autoMin"/>
              <x14:cfvo type="autoMax"/>
              <x14:borderColor rgb="FF638EC6"/>
              <x14:negativeFillColor rgb="FFFF0000"/>
              <x14:negativeBorderColor rgb="FFFF0000"/>
              <x14:axisColor rgb="FF000000"/>
            </x14:dataBar>
          </x14:cfRule>
          <xm:sqref>AC27</xm:sqref>
        </x14:conditionalFormatting>
        <x14:conditionalFormatting xmlns:xm="http://schemas.microsoft.com/office/excel/2006/main">
          <x14:cfRule type="dataBar" id="{3ACDDE8D-6416-8644-BEF4-70A57F4AFB3F}">
            <x14:dataBar minLength="0" maxLength="100" border="1" negativeBarBorderColorSameAsPositive="0">
              <x14:cfvo type="autoMin"/>
              <x14:cfvo type="autoMax"/>
              <x14:borderColor rgb="FF638EC6"/>
              <x14:negativeFillColor rgb="FFFF0000"/>
              <x14:negativeBorderColor rgb="FFFF0000"/>
              <x14:axisColor rgb="FF000000"/>
            </x14:dataBar>
          </x14:cfRule>
          <xm:sqref>AD26</xm:sqref>
        </x14:conditionalFormatting>
        <x14:conditionalFormatting xmlns:xm="http://schemas.microsoft.com/office/excel/2006/main">
          <x14:cfRule type="dataBar" id="{8B7B5D8D-D69D-4A4A-B37A-1305D7B62E9D}">
            <x14:dataBar minLength="0" maxLength="100" border="1" negativeBarBorderColorSameAsPositive="0">
              <x14:cfvo type="autoMin"/>
              <x14:cfvo type="autoMax"/>
              <x14:borderColor rgb="FF638EC6"/>
              <x14:negativeFillColor rgb="FFFF0000"/>
              <x14:negativeBorderColor rgb="FFFF0000"/>
              <x14:axisColor rgb="FF000000"/>
            </x14:dataBar>
          </x14:cfRule>
          <xm:sqref>M45</xm:sqref>
        </x14:conditionalFormatting>
        <x14:conditionalFormatting xmlns:xm="http://schemas.microsoft.com/office/excel/2006/main">
          <x14:cfRule type="dataBar" id="{A9AE4586-04D9-BA4A-9995-EF26A9826A0C}">
            <x14:dataBar minLength="0" maxLength="100" border="1" negativeBarBorderColorSameAsPositive="0">
              <x14:cfvo type="autoMin"/>
              <x14:cfvo type="autoMax"/>
              <x14:borderColor rgb="FF638EC6"/>
              <x14:negativeFillColor rgb="FFFF0000"/>
              <x14:negativeBorderColor rgb="FFFF0000"/>
              <x14:axisColor rgb="FF000000"/>
            </x14:dataBar>
          </x14:cfRule>
          <xm:sqref>N44</xm:sqref>
        </x14:conditionalFormatting>
        <x14:conditionalFormatting xmlns:xm="http://schemas.microsoft.com/office/excel/2006/main">
          <x14:cfRule type="dataBar" id="{B513B2D4-24BF-E344-A10C-C3512ED42301}">
            <x14:dataBar minLength="0" maxLength="100" border="1" negativeBarBorderColorSameAsPositive="0">
              <x14:cfvo type="autoMin"/>
              <x14:cfvo type="autoMax"/>
              <x14:borderColor rgb="FF638EC6"/>
              <x14:negativeFillColor rgb="FFFF0000"/>
              <x14:negativeBorderColor rgb="FFFF0000"/>
              <x14:axisColor rgb="FF000000"/>
            </x14:dataBar>
          </x14:cfRule>
          <xm:sqref>O43</xm:sqref>
        </x14:conditionalFormatting>
        <x14:conditionalFormatting xmlns:xm="http://schemas.microsoft.com/office/excel/2006/main">
          <x14:cfRule type="dataBar" id="{579F3673-8FC9-9D49-BC82-3F3A2091747E}">
            <x14:dataBar minLength="0" maxLength="100" border="1" negativeBarBorderColorSameAsPositive="0">
              <x14:cfvo type="autoMin"/>
              <x14:cfvo type="autoMax"/>
              <x14:borderColor rgb="FF638EC6"/>
              <x14:negativeFillColor rgb="FFFF0000"/>
              <x14:negativeBorderColor rgb="FFFF0000"/>
              <x14:axisColor rgb="FF000000"/>
            </x14:dataBar>
          </x14:cfRule>
          <xm:sqref>P42</xm:sqref>
        </x14:conditionalFormatting>
        <x14:conditionalFormatting xmlns:xm="http://schemas.microsoft.com/office/excel/2006/main">
          <x14:cfRule type="dataBar" id="{0F036074-03B0-5D4A-AC2E-E7980286AB20}">
            <x14:dataBar minLength="0" maxLength="100" border="1" negativeBarBorderColorSameAsPositive="0">
              <x14:cfvo type="autoMin"/>
              <x14:cfvo type="autoMax"/>
              <x14:borderColor rgb="FF638EC6"/>
              <x14:negativeFillColor rgb="FFFF0000"/>
              <x14:negativeBorderColor rgb="FFFF0000"/>
              <x14:axisColor rgb="FF000000"/>
            </x14:dataBar>
          </x14:cfRule>
          <xm:sqref>Q41</xm:sqref>
        </x14:conditionalFormatting>
        <x14:conditionalFormatting xmlns:xm="http://schemas.microsoft.com/office/excel/2006/main">
          <x14:cfRule type="dataBar" id="{A3474AC0-A2A7-6A4C-8168-D0702DFC2FC5}">
            <x14:dataBar minLength="0" maxLength="100" border="1" negativeBarBorderColorSameAsPositive="0">
              <x14:cfvo type="autoMin"/>
              <x14:cfvo type="autoMax"/>
              <x14:borderColor rgb="FF638EC6"/>
              <x14:negativeFillColor rgb="FFFF0000"/>
              <x14:negativeBorderColor rgb="FFFF0000"/>
              <x14:axisColor rgb="FF000000"/>
            </x14:dataBar>
          </x14:cfRule>
          <xm:sqref>R40</xm:sqref>
        </x14:conditionalFormatting>
        <x14:conditionalFormatting xmlns:xm="http://schemas.microsoft.com/office/excel/2006/main">
          <x14:cfRule type="dataBar" id="{9DD85D83-1593-154A-B136-2C4148968E97}">
            <x14:dataBar minLength="0" maxLength="100" border="1" negativeBarBorderColorSameAsPositive="0">
              <x14:cfvo type="autoMin"/>
              <x14:cfvo type="autoMax"/>
              <x14:borderColor rgb="FF638EC6"/>
              <x14:negativeFillColor rgb="FFFF0000"/>
              <x14:negativeBorderColor rgb="FFFF0000"/>
              <x14:axisColor rgb="FF000000"/>
            </x14:dataBar>
          </x14:cfRule>
          <xm:sqref>S39</xm:sqref>
        </x14:conditionalFormatting>
        <x14:conditionalFormatting xmlns:xm="http://schemas.microsoft.com/office/excel/2006/main">
          <x14:cfRule type="dataBar" id="{00D551F4-8634-E14E-9AAC-DDE0819583C8}">
            <x14:dataBar minLength="0" maxLength="100" border="1" negativeBarBorderColorSameAsPositive="0">
              <x14:cfvo type="autoMin"/>
              <x14:cfvo type="autoMax"/>
              <x14:borderColor rgb="FF638EC6"/>
              <x14:negativeFillColor rgb="FFFF0000"/>
              <x14:negativeBorderColor rgb="FFFF0000"/>
              <x14:axisColor rgb="FF000000"/>
            </x14:dataBar>
          </x14:cfRule>
          <xm:sqref>T38</xm:sqref>
        </x14:conditionalFormatting>
        <x14:conditionalFormatting xmlns:xm="http://schemas.microsoft.com/office/excel/2006/main">
          <x14:cfRule type="dataBar" id="{17652146-7328-A645-9CDA-882D22811810}">
            <x14:dataBar minLength="0" maxLength="100" border="1" negativeBarBorderColorSameAsPositive="0">
              <x14:cfvo type="autoMin"/>
              <x14:cfvo type="autoMax"/>
              <x14:borderColor rgb="FF638EC6"/>
              <x14:negativeFillColor rgb="FFFF0000"/>
              <x14:negativeBorderColor rgb="FFFF0000"/>
              <x14:axisColor rgb="FF000000"/>
            </x14:dataBar>
          </x14:cfRule>
          <xm:sqref>U37</xm:sqref>
        </x14:conditionalFormatting>
        <x14:conditionalFormatting xmlns:xm="http://schemas.microsoft.com/office/excel/2006/main">
          <x14:cfRule type="dataBar" id="{BA0577AA-F37B-AA48-AF20-D974523B82DD}">
            <x14:dataBar minLength="0" maxLength="100" border="1" negativeBarBorderColorSameAsPositive="0">
              <x14:cfvo type="autoMin"/>
              <x14:cfvo type="autoMax"/>
              <x14:borderColor rgb="FF638EC6"/>
              <x14:negativeFillColor rgb="FFFF0000"/>
              <x14:negativeBorderColor rgb="FFFF0000"/>
              <x14:axisColor rgb="FF000000"/>
            </x14:dataBar>
          </x14:cfRule>
          <xm:sqref>V36</xm:sqref>
        </x14:conditionalFormatting>
        <x14:conditionalFormatting xmlns:xm="http://schemas.microsoft.com/office/excel/2006/main">
          <x14:cfRule type="dataBar" id="{35D3DA6A-BF35-664C-A2A0-33E538938C16}">
            <x14:dataBar minLength="0" maxLength="100" border="1" negativeBarBorderColorSameAsPositive="0">
              <x14:cfvo type="autoMin"/>
              <x14:cfvo type="autoMax"/>
              <x14:borderColor rgb="FF638EC6"/>
              <x14:negativeFillColor rgb="FFFF0000"/>
              <x14:negativeBorderColor rgb="FFFF0000"/>
              <x14:axisColor rgb="FF000000"/>
            </x14:dataBar>
          </x14:cfRule>
          <xm:sqref>W35</xm:sqref>
        </x14:conditionalFormatting>
        <x14:conditionalFormatting xmlns:xm="http://schemas.microsoft.com/office/excel/2006/main">
          <x14:cfRule type="dataBar" id="{D15576C1-CB82-404D-916A-BEF48D886969}">
            <x14:dataBar minLength="0" maxLength="100" border="1" negativeBarBorderColorSameAsPositive="0">
              <x14:cfvo type="autoMin"/>
              <x14:cfvo type="autoMax"/>
              <x14:borderColor rgb="FF638EC6"/>
              <x14:negativeFillColor rgb="FFFF0000"/>
              <x14:negativeBorderColor rgb="FFFF0000"/>
              <x14:axisColor rgb="FF000000"/>
            </x14:dataBar>
          </x14:cfRule>
          <xm:sqref>X34</xm:sqref>
        </x14:conditionalFormatting>
        <x14:conditionalFormatting xmlns:xm="http://schemas.microsoft.com/office/excel/2006/main">
          <x14:cfRule type="dataBar" id="{AF67A3A0-09BF-4A45-B786-22FB7EAAEDB5}">
            <x14:dataBar minLength="0" maxLength="100" border="1" negativeBarBorderColorSameAsPositive="0">
              <x14:cfvo type="autoMin"/>
              <x14:cfvo type="autoMax"/>
              <x14:borderColor rgb="FF638EC6"/>
              <x14:negativeFillColor rgb="FFFF0000"/>
              <x14:negativeBorderColor rgb="FFFF0000"/>
              <x14:axisColor rgb="FF000000"/>
            </x14:dataBar>
          </x14:cfRule>
          <xm:sqref>Y33</xm:sqref>
        </x14:conditionalFormatting>
        <x14:conditionalFormatting xmlns:xm="http://schemas.microsoft.com/office/excel/2006/main">
          <x14:cfRule type="dataBar" id="{A0C5DA46-BB82-4149-924B-4A91E2B1B8F6}">
            <x14:dataBar minLength="0" maxLength="100" border="1" negativeBarBorderColorSameAsPositive="0">
              <x14:cfvo type="autoMin"/>
              <x14:cfvo type="autoMax"/>
              <x14:borderColor rgb="FF638EC6"/>
              <x14:negativeFillColor rgb="FFFF0000"/>
              <x14:negativeBorderColor rgb="FFFF0000"/>
              <x14:axisColor rgb="FF000000"/>
            </x14:dataBar>
          </x14:cfRule>
          <xm:sqref>Z32</xm:sqref>
        </x14:conditionalFormatting>
        <x14:conditionalFormatting xmlns:xm="http://schemas.microsoft.com/office/excel/2006/main">
          <x14:cfRule type="dataBar" id="{ED62880B-94FB-464A-A7F6-62F175C5D6EF}">
            <x14:dataBar minLength="0" maxLength="100" border="1" negativeBarBorderColorSameAsPositive="0">
              <x14:cfvo type="autoMin"/>
              <x14:cfvo type="autoMax"/>
              <x14:borderColor rgb="FF638EC6"/>
              <x14:negativeFillColor rgb="FFFF0000"/>
              <x14:negativeBorderColor rgb="FFFF0000"/>
              <x14:axisColor rgb="FF000000"/>
            </x14:dataBar>
          </x14:cfRule>
          <xm:sqref>AA31</xm:sqref>
        </x14:conditionalFormatting>
        <x14:conditionalFormatting xmlns:xm="http://schemas.microsoft.com/office/excel/2006/main">
          <x14:cfRule type="dataBar" id="{70521578-B214-EF4C-BA9C-02D253CFB6E0}">
            <x14:dataBar minLength="0" maxLength="100" border="1" negativeBarBorderColorSameAsPositive="0">
              <x14:cfvo type="autoMin"/>
              <x14:cfvo type="autoMax"/>
              <x14:borderColor rgb="FF638EC6"/>
              <x14:negativeFillColor rgb="FFFF0000"/>
              <x14:negativeBorderColor rgb="FFFF0000"/>
              <x14:axisColor rgb="FF000000"/>
            </x14:dataBar>
          </x14:cfRule>
          <xm:sqref>AB30</xm:sqref>
        </x14:conditionalFormatting>
        <x14:conditionalFormatting xmlns:xm="http://schemas.microsoft.com/office/excel/2006/main">
          <x14:cfRule type="dataBar" id="{10E133A1-360C-1D45-9C10-6B2AD206D133}">
            <x14:dataBar minLength="0" maxLength="100" border="1" negativeBarBorderColorSameAsPositive="0">
              <x14:cfvo type="autoMin"/>
              <x14:cfvo type="autoMax"/>
              <x14:borderColor rgb="FF638EC6"/>
              <x14:negativeFillColor rgb="FFFF0000"/>
              <x14:negativeBorderColor rgb="FFFF0000"/>
              <x14:axisColor rgb="FF000000"/>
            </x14:dataBar>
          </x14:cfRule>
          <xm:sqref>AC29</xm:sqref>
        </x14:conditionalFormatting>
        <x14:conditionalFormatting xmlns:xm="http://schemas.microsoft.com/office/excel/2006/main">
          <x14:cfRule type="dataBar" id="{B6759024-6FD2-3242-9792-FD53497D062E}">
            <x14:dataBar minLength="0" maxLength="100" border="1" negativeBarBorderColorSameAsPositive="0">
              <x14:cfvo type="autoMin"/>
              <x14:cfvo type="autoMax"/>
              <x14:borderColor rgb="FF638EC6"/>
              <x14:negativeFillColor rgb="FFFF0000"/>
              <x14:negativeBorderColor rgb="FFFF0000"/>
              <x14:axisColor rgb="FF000000"/>
            </x14:dataBar>
          </x14:cfRule>
          <xm:sqref>AD28</xm:sqref>
        </x14:conditionalFormatting>
        <x14:conditionalFormatting xmlns:xm="http://schemas.microsoft.com/office/excel/2006/main">
          <x14:cfRule type="dataBar" id="{CC5C7AAE-3A6F-A74D-B707-634DE8D3B75D}">
            <x14:dataBar minLength="0" maxLength="100" border="1" negativeBarBorderColorSameAsPositive="0">
              <x14:cfvo type="autoMin"/>
              <x14:cfvo type="autoMax"/>
              <x14:borderColor rgb="FF638EC6"/>
              <x14:negativeFillColor rgb="FFFF0000"/>
              <x14:negativeBorderColor rgb="FFFF0000"/>
              <x14:axisColor rgb="FF000000"/>
            </x14:dataBar>
          </x14:cfRule>
          <xm:sqref>M47</xm:sqref>
        </x14:conditionalFormatting>
        <x14:conditionalFormatting xmlns:xm="http://schemas.microsoft.com/office/excel/2006/main">
          <x14:cfRule type="dataBar" id="{AEA64263-F9EC-764C-B7F4-E395EF2AD4C3}">
            <x14:dataBar minLength="0" maxLength="100" border="1" negativeBarBorderColorSameAsPositive="0">
              <x14:cfvo type="autoMin"/>
              <x14:cfvo type="autoMax"/>
              <x14:borderColor rgb="FF638EC6"/>
              <x14:negativeFillColor rgb="FFFF0000"/>
              <x14:negativeBorderColor rgb="FFFF0000"/>
              <x14:axisColor rgb="FF000000"/>
            </x14:dataBar>
          </x14:cfRule>
          <xm:sqref>N46</xm:sqref>
        </x14:conditionalFormatting>
        <x14:conditionalFormatting xmlns:xm="http://schemas.microsoft.com/office/excel/2006/main">
          <x14:cfRule type="dataBar" id="{A722288E-7CF5-F440-A38F-B4EFBE792084}">
            <x14:dataBar minLength="0" maxLength="100" border="1" negativeBarBorderColorSameAsPositive="0">
              <x14:cfvo type="autoMin"/>
              <x14:cfvo type="autoMax"/>
              <x14:borderColor rgb="FF638EC6"/>
              <x14:negativeFillColor rgb="FFFF0000"/>
              <x14:negativeBorderColor rgb="FFFF0000"/>
              <x14:axisColor rgb="FF000000"/>
            </x14:dataBar>
          </x14:cfRule>
          <xm:sqref>O45</xm:sqref>
        </x14:conditionalFormatting>
        <x14:conditionalFormatting xmlns:xm="http://schemas.microsoft.com/office/excel/2006/main">
          <x14:cfRule type="dataBar" id="{1257A73C-84B9-204C-ABA7-C5E280DA6B3F}">
            <x14:dataBar minLength="0" maxLength="100" border="1" negativeBarBorderColorSameAsPositive="0">
              <x14:cfvo type="autoMin"/>
              <x14:cfvo type="autoMax"/>
              <x14:borderColor rgb="FF638EC6"/>
              <x14:negativeFillColor rgb="FFFF0000"/>
              <x14:negativeBorderColor rgb="FFFF0000"/>
              <x14:axisColor rgb="FF000000"/>
            </x14:dataBar>
          </x14:cfRule>
          <xm:sqref>P44</xm:sqref>
        </x14:conditionalFormatting>
        <x14:conditionalFormatting xmlns:xm="http://schemas.microsoft.com/office/excel/2006/main">
          <x14:cfRule type="dataBar" id="{CB82AABA-F82F-614D-ABA9-85F53D8818CC}">
            <x14:dataBar minLength="0" maxLength="100" border="1" negativeBarBorderColorSameAsPositive="0">
              <x14:cfvo type="autoMin"/>
              <x14:cfvo type="autoMax"/>
              <x14:borderColor rgb="FF638EC6"/>
              <x14:negativeFillColor rgb="FFFF0000"/>
              <x14:negativeBorderColor rgb="FFFF0000"/>
              <x14:axisColor rgb="FF000000"/>
            </x14:dataBar>
          </x14:cfRule>
          <xm:sqref>Q43</xm:sqref>
        </x14:conditionalFormatting>
        <x14:conditionalFormatting xmlns:xm="http://schemas.microsoft.com/office/excel/2006/main">
          <x14:cfRule type="dataBar" id="{AA141E1A-F050-C142-B9C7-0A1B2C877E5C}">
            <x14:dataBar minLength="0" maxLength="100" border="1" negativeBarBorderColorSameAsPositive="0">
              <x14:cfvo type="autoMin"/>
              <x14:cfvo type="autoMax"/>
              <x14:borderColor rgb="FF638EC6"/>
              <x14:negativeFillColor rgb="FFFF0000"/>
              <x14:negativeBorderColor rgb="FFFF0000"/>
              <x14:axisColor rgb="FF000000"/>
            </x14:dataBar>
          </x14:cfRule>
          <xm:sqref>R42 AD30 AC31 AB32 AA33 Z34 Y35 X36 W37 V38 U39 T40 S41</xm:sqref>
        </x14:conditionalFormatting>
        <x14:conditionalFormatting xmlns:xm="http://schemas.microsoft.com/office/excel/2006/main">
          <x14:cfRule type="dataBar" id="{60193710-9E57-BE4E-9909-DDAB19E9D64B}">
            <x14:dataBar minLength="0" maxLength="100" border="1" negativeBarBorderColorSameAsPositive="0">
              <x14:cfvo type="autoMin"/>
              <x14:cfvo type="autoMax"/>
              <x14:borderColor rgb="FF638EC6"/>
              <x14:negativeFillColor rgb="FFFF0000"/>
              <x14:negativeBorderColor rgb="FFFF0000"/>
              <x14:axisColor rgb="FF000000"/>
            </x14:dataBar>
          </x14:cfRule>
          <xm:sqref>M49 AD32 AC33 AB34 AA35 Z36 Y37 X38 W39 V40 U41 T42 S43 R44 Q45 P46 O47 N48</xm:sqref>
        </x14:conditionalFormatting>
        <x14:conditionalFormatting xmlns:xm="http://schemas.microsoft.com/office/excel/2006/main">
          <x14:cfRule type="dataBar" id="{6D7054F0-0558-474F-B441-60DD5612A712}">
            <x14:dataBar minLength="0" maxLength="100" border="1" negativeBarBorderColorSameAsPositive="0">
              <x14:cfvo type="autoMin"/>
              <x14:cfvo type="autoMax"/>
              <x14:borderColor rgb="FF638EC6"/>
              <x14:negativeFillColor rgb="FFFF0000"/>
              <x14:negativeBorderColor rgb="FFFF0000"/>
              <x14:axisColor rgb="FF000000"/>
            </x14:dataBar>
          </x14:cfRule>
          <xm:sqref>AD34 M51 AC35 AB36 AA37 Z38 Y39 X40 W41 V42 U43 T44 S45 R46 Q47 P48 O49 N50</xm:sqref>
        </x14:conditionalFormatting>
        <x14:conditionalFormatting xmlns:xm="http://schemas.microsoft.com/office/excel/2006/main">
          <x14:cfRule type="dataBar" id="{B4467538-0FAF-C74E-BF3D-EA2ED2389070}">
            <x14:dataBar minLength="0" maxLength="100" border="1" negativeBarBorderColorSameAsPositive="0">
              <x14:cfvo type="autoMin"/>
              <x14:cfvo type="autoMax"/>
              <x14:borderColor rgb="FF638EC6"/>
              <x14:negativeFillColor rgb="FFFF0000"/>
              <x14:negativeBorderColor rgb="FFFF0000"/>
              <x14:axisColor rgb="FF000000"/>
            </x14:dataBar>
          </x14:cfRule>
          <xm:sqref>AD36 M53 AC37 AB38 AA39 Z40 Y41 X42 W43 V44 U45 T46 S47 R48 Q49 P50 O51 N52</xm:sqref>
        </x14:conditionalFormatting>
        <x14:conditionalFormatting xmlns:xm="http://schemas.microsoft.com/office/excel/2006/main">
          <x14:cfRule type="dataBar" id="{AF3E3B23-0BC3-3248-9C47-72795B2AF193}">
            <x14:dataBar minLength="0" maxLength="100" border="1" negativeBarBorderColorSameAsPositive="0">
              <x14:cfvo type="autoMin"/>
              <x14:cfvo type="autoMax"/>
              <x14:borderColor rgb="FF638EC6"/>
              <x14:negativeFillColor rgb="FFFF0000"/>
              <x14:negativeBorderColor rgb="FFFF0000"/>
              <x14:axisColor rgb="FF000000"/>
            </x14:dataBar>
          </x14:cfRule>
          <xm:sqref>O53 AD38 AC39 AB40 AA41 Z42 Y43 X44 W45 V46 U47 T48 S49 R50 Q51 P52</xm:sqref>
        </x14:conditionalFormatting>
        <x14:conditionalFormatting xmlns:xm="http://schemas.microsoft.com/office/excel/2006/main">
          <x14:cfRule type="dataBar" id="{1EE86270-EDAB-6140-A1EF-0A24D64AC3C2}">
            <x14:dataBar minLength="0" maxLength="100" border="1" negativeBarBorderColorSameAsPositive="0">
              <x14:cfvo type="autoMin"/>
              <x14:cfvo type="autoMax"/>
              <x14:borderColor rgb="FF638EC6"/>
              <x14:negativeFillColor rgb="FFFF0000"/>
              <x14:negativeBorderColor rgb="FFFF0000"/>
              <x14:axisColor rgb="FF000000"/>
            </x14:dataBar>
          </x14:cfRule>
          <xm:sqref>O55</xm:sqref>
        </x14:conditionalFormatting>
        <x14:conditionalFormatting xmlns:xm="http://schemas.microsoft.com/office/excel/2006/main">
          <x14:cfRule type="dataBar" id="{255278AD-FDFB-314D-8689-9202EC591C03}">
            <x14:dataBar minLength="0" maxLength="100" border="1" negativeBarBorderColorSameAsPositive="0">
              <x14:cfvo type="autoMin"/>
              <x14:cfvo type="autoMax"/>
              <x14:borderColor rgb="FF638EC6"/>
              <x14:negativeFillColor rgb="FFFF0000"/>
              <x14:negativeBorderColor rgb="FFFF0000"/>
              <x14:axisColor rgb="FF000000"/>
            </x14:dataBar>
          </x14:cfRule>
          <xm:sqref>P54</xm:sqref>
        </x14:conditionalFormatting>
        <x14:conditionalFormatting xmlns:xm="http://schemas.microsoft.com/office/excel/2006/main">
          <x14:cfRule type="dataBar" id="{4FF95922-A1AF-634C-A29E-073010C0DD35}">
            <x14:dataBar minLength="0" maxLength="100" border="1" negativeBarBorderColorSameAsPositive="0">
              <x14:cfvo type="autoMin"/>
              <x14:cfvo type="autoMax"/>
              <x14:borderColor rgb="FF638EC6"/>
              <x14:negativeFillColor rgb="FFFF0000"/>
              <x14:negativeBorderColor rgb="FFFF0000"/>
              <x14:axisColor rgb="FF000000"/>
            </x14:dataBar>
          </x14:cfRule>
          <xm:sqref>Q53</xm:sqref>
        </x14:conditionalFormatting>
        <x14:conditionalFormatting xmlns:xm="http://schemas.microsoft.com/office/excel/2006/main">
          <x14:cfRule type="dataBar" id="{C58BBD6B-9050-4D4E-BE84-547233953DB3}">
            <x14:dataBar minLength="0" maxLength="100" border="1" negativeBarBorderColorSameAsPositive="0">
              <x14:cfvo type="autoMin"/>
              <x14:cfvo type="autoMax"/>
              <x14:borderColor rgb="FF638EC6"/>
              <x14:negativeFillColor rgb="FFFF0000"/>
              <x14:negativeBorderColor rgb="FFFF0000"/>
              <x14:axisColor rgb="FF000000"/>
            </x14:dataBar>
          </x14:cfRule>
          <xm:sqref>R52</xm:sqref>
        </x14:conditionalFormatting>
        <x14:conditionalFormatting xmlns:xm="http://schemas.microsoft.com/office/excel/2006/main">
          <x14:cfRule type="dataBar" id="{85DD0F3E-AD69-7648-89CD-153D9872037B}">
            <x14:dataBar minLength="0" maxLength="100" border="1" negativeBarBorderColorSameAsPositive="0">
              <x14:cfvo type="autoMin"/>
              <x14:cfvo type="autoMax"/>
              <x14:borderColor rgb="FF638EC6"/>
              <x14:negativeFillColor rgb="FFFF0000"/>
              <x14:negativeBorderColor rgb="FFFF0000"/>
              <x14:axisColor rgb="FF000000"/>
            </x14:dataBar>
          </x14:cfRule>
          <xm:sqref>S51</xm:sqref>
        </x14:conditionalFormatting>
        <x14:conditionalFormatting xmlns:xm="http://schemas.microsoft.com/office/excel/2006/main">
          <x14:cfRule type="dataBar" id="{72AC0901-26A9-9E4F-B2E3-5A4338E74729}">
            <x14:dataBar minLength="0" maxLength="100" border="1" negativeBarBorderColorSameAsPositive="0">
              <x14:cfvo type="autoMin"/>
              <x14:cfvo type="autoMax"/>
              <x14:borderColor rgb="FF638EC6"/>
              <x14:negativeFillColor rgb="FFFF0000"/>
              <x14:negativeBorderColor rgb="FFFF0000"/>
              <x14:axisColor rgb="FF000000"/>
            </x14:dataBar>
          </x14:cfRule>
          <xm:sqref>T50</xm:sqref>
        </x14:conditionalFormatting>
        <x14:conditionalFormatting xmlns:xm="http://schemas.microsoft.com/office/excel/2006/main">
          <x14:cfRule type="dataBar" id="{A022EA1A-8EC5-C44E-B9BD-B30CB6E65B55}">
            <x14:dataBar minLength="0" maxLength="100" border="1" negativeBarBorderColorSameAsPositive="0">
              <x14:cfvo type="autoMin"/>
              <x14:cfvo type="autoMax"/>
              <x14:borderColor rgb="FF638EC6"/>
              <x14:negativeFillColor rgb="FFFF0000"/>
              <x14:negativeBorderColor rgb="FFFF0000"/>
              <x14:axisColor rgb="FF000000"/>
            </x14:dataBar>
          </x14:cfRule>
          <xm:sqref>U49</xm:sqref>
        </x14:conditionalFormatting>
        <x14:conditionalFormatting xmlns:xm="http://schemas.microsoft.com/office/excel/2006/main">
          <x14:cfRule type="dataBar" id="{A3E23EEA-7098-6849-8E75-95994EEE775F}">
            <x14:dataBar minLength="0" maxLength="100" border="1" negativeBarBorderColorSameAsPositive="0">
              <x14:cfvo type="autoMin"/>
              <x14:cfvo type="autoMax"/>
              <x14:borderColor rgb="FF638EC6"/>
              <x14:negativeFillColor rgb="FFFF0000"/>
              <x14:negativeBorderColor rgb="FFFF0000"/>
              <x14:axisColor rgb="FF000000"/>
            </x14:dataBar>
          </x14:cfRule>
          <xm:sqref>V48</xm:sqref>
        </x14:conditionalFormatting>
        <x14:conditionalFormatting xmlns:xm="http://schemas.microsoft.com/office/excel/2006/main">
          <x14:cfRule type="dataBar" id="{3593FFBC-A432-6E45-BE95-4C07ABF2B8CA}">
            <x14:dataBar minLength="0" maxLength="100" border="1" negativeBarBorderColorSameAsPositive="0">
              <x14:cfvo type="autoMin"/>
              <x14:cfvo type="autoMax"/>
              <x14:borderColor rgb="FF638EC6"/>
              <x14:negativeFillColor rgb="FFFF0000"/>
              <x14:negativeBorderColor rgb="FFFF0000"/>
              <x14:axisColor rgb="FF000000"/>
            </x14:dataBar>
          </x14:cfRule>
          <xm:sqref>W47</xm:sqref>
        </x14:conditionalFormatting>
        <x14:conditionalFormatting xmlns:xm="http://schemas.microsoft.com/office/excel/2006/main">
          <x14:cfRule type="dataBar" id="{20BAFF9E-0546-4B4D-A6CB-103138B1D02F}">
            <x14:dataBar minLength="0" maxLength="100" border="1" negativeBarBorderColorSameAsPositive="0">
              <x14:cfvo type="autoMin"/>
              <x14:cfvo type="autoMax"/>
              <x14:borderColor rgb="FF638EC6"/>
              <x14:negativeFillColor rgb="FFFF0000"/>
              <x14:negativeBorderColor rgb="FFFF0000"/>
              <x14:axisColor rgb="FF000000"/>
            </x14:dataBar>
          </x14:cfRule>
          <xm:sqref>O57</xm:sqref>
        </x14:conditionalFormatting>
        <x14:conditionalFormatting xmlns:xm="http://schemas.microsoft.com/office/excel/2006/main">
          <x14:cfRule type="dataBar" id="{1E1DA3D8-89E2-D44A-8A8C-EA441395F024}">
            <x14:dataBar minLength="0" maxLength="100" border="1" negativeBarBorderColorSameAsPositive="0">
              <x14:cfvo type="autoMin"/>
              <x14:cfvo type="autoMax"/>
              <x14:borderColor rgb="FF638EC6"/>
              <x14:negativeFillColor rgb="FFFF0000"/>
              <x14:negativeBorderColor rgb="FFFF0000"/>
              <x14:axisColor rgb="FF000000"/>
            </x14:dataBar>
          </x14:cfRule>
          <xm:sqref>P58</xm:sqref>
        </x14:conditionalFormatting>
        <x14:conditionalFormatting xmlns:xm="http://schemas.microsoft.com/office/excel/2006/main">
          <x14:cfRule type="dataBar" id="{AACF7E03-89A1-2746-915E-ABF46E33F706}">
            <x14:dataBar minLength="0" maxLength="100" border="1" negativeBarBorderColorSameAsPositive="0">
              <x14:cfvo type="autoMin"/>
              <x14:cfvo type="autoMax"/>
              <x14:borderColor rgb="FF638EC6"/>
              <x14:negativeFillColor rgb="FFFF0000"/>
              <x14:negativeBorderColor rgb="FFFF0000"/>
              <x14:axisColor rgb="FF000000"/>
            </x14:dataBar>
          </x14:cfRule>
          <xm:sqref>Q59</xm:sqref>
        </x14:conditionalFormatting>
        <x14:conditionalFormatting xmlns:xm="http://schemas.microsoft.com/office/excel/2006/main">
          <x14:cfRule type="dataBar" id="{0358AD69-CE3E-6A40-9DB5-D02C956739DE}">
            <x14:dataBar minLength="0" maxLength="100" border="1" negativeBarBorderColorSameAsPositive="0">
              <x14:cfvo type="autoMin"/>
              <x14:cfvo type="autoMax"/>
              <x14:borderColor rgb="FF638EC6"/>
              <x14:negativeFillColor rgb="FFFF0000"/>
              <x14:negativeBorderColor rgb="FFFF0000"/>
              <x14:axisColor rgb="FF000000"/>
            </x14:dataBar>
          </x14:cfRule>
          <xm:sqref>R60</xm:sqref>
        </x14:conditionalFormatting>
        <x14:conditionalFormatting xmlns:xm="http://schemas.microsoft.com/office/excel/2006/main">
          <x14:cfRule type="dataBar" id="{09151061-4216-784F-A8B6-D0083D3C8974}">
            <x14:dataBar minLength="0" maxLength="100" border="1" negativeBarBorderColorSameAsPositive="0">
              <x14:cfvo type="autoMin"/>
              <x14:cfvo type="autoMax"/>
              <x14:borderColor rgb="FF638EC6"/>
              <x14:negativeFillColor rgb="FFFF0000"/>
              <x14:negativeBorderColor rgb="FFFF0000"/>
              <x14:axisColor rgb="FF000000"/>
            </x14:dataBar>
          </x14:cfRule>
          <xm:sqref>S61</xm:sqref>
        </x14:conditionalFormatting>
        <x14:conditionalFormatting xmlns:xm="http://schemas.microsoft.com/office/excel/2006/main">
          <x14:cfRule type="dataBar" id="{8B096B89-1098-7946-A2EB-EEE43A6D53C9}">
            <x14:dataBar minLength="0" maxLength="100" border="1" negativeBarBorderColorSameAsPositive="0">
              <x14:cfvo type="autoMin"/>
              <x14:cfvo type="autoMax"/>
              <x14:borderColor rgb="FF638EC6"/>
              <x14:negativeFillColor rgb="FFFF0000"/>
              <x14:negativeBorderColor rgb="FFFF0000"/>
              <x14:axisColor rgb="FF000000"/>
            </x14:dataBar>
          </x14:cfRule>
          <xm:sqref>T62</xm:sqref>
        </x14:conditionalFormatting>
        <x14:conditionalFormatting xmlns:xm="http://schemas.microsoft.com/office/excel/2006/main">
          <x14:cfRule type="dataBar" id="{CD9D1C7E-05A3-D341-9474-3905111879F1}">
            <x14:dataBar minLength="0" maxLength="100" border="1" negativeBarBorderColorSameAsPositive="0">
              <x14:cfvo type="autoMin"/>
              <x14:cfvo type="autoMax"/>
              <x14:borderColor rgb="FF638EC6"/>
              <x14:negativeFillColor rgb="FFFF0000"/>
              <x14:negativeBorderColor rgb="FFFF0000"/>
              <x14:axisColor rgb="FF000000"/>
            </x14:dataBar>
          </x14:cfRule>
          <xm:sqref>U63</xm:sqref>
        </x14:conditionalFormatting>
        <x14:conditionalFormatting xmlns:xm="http://schemas.microsoft.com/office/excel/2006/main">
          <x14:cfRule type="dataBar" id="{0510B7C4-5692-0C47-9831-D1F175CB4BB7}">
            <x14:dataBar minLength="0" maxLength="100" border="1" negativeBarBorderColorSameAsPositive="0">
              <x14:cfvo type="autoMin"/>
              <x14:cfvo type="autoMax"/>
              <x14:borderColor rgb="FF638EC6"/>
              <x14:negativeFillColor rgb="FFFF0000"/>
              <x14:negativeBorderColor rgb="FFFF0000"/>
              <x14:axisColor rgb="FF000000"/>
            </x14:dataBar>
          </x14:cfRule>
          <xm:sqref>V64</xm:sqref>
        </x14:conditionalFormatting>
        <x14:conditionalFormatting xmlns:xm="http://schemas.microsoft.com/office/excel/2006/main">
          <x14:cfRule type="dataBar" id="{3ED4535C-9582-424C-88F4-0F5F86C03FF5}">
            <x14:dataBar minLength="0" maxLength="100" border="1" negativeBarBorderColorSameAsPositive="0">
              <x14:cfvo type="autoMin"/>
              <x14:cfvo type="autoMax"/>
              <x14:borderColor rgb="FF638EC6"/>
              <x14:negativeFillColor rgb="FFFF0000"/>
              <x14:negativeBorderColor rgb="FFFF0000"/>
              <x14:axisColor rgb="FF000000"/>
            </x14:dataBar>
          </x14:cfRule>
          <xm:sqref>W65</xm:sqref>
        </x14:conditionalFormatting>
        <x14:conditionalFormatting xmlns:xm="http://schemas.microsoft.com/office/excel/2006/main">
          <x14:cfRule type="dataBar" id="{EE91615B-AC24-7D4C-A7C4-6ECF0C0BBCEF}">
            <x14:dataBar minLength="0" maxLength="100" border="1" negativeBarBorderColorSameAsPositive="0">
              <x14:cfvo type="autoMin"/>
              <x14:cfvo type="autoMax"/>
              <x14:borderColor rgb="FF638EC6"/>
              <x14:negativeFillColor rgb="FFFF0000"/>
              <x14:negativeBorderColor rgb="FFFF0000"/>
              <x14:axisColor rgb="FF000000"/>
            </x14:dataBar>
          </x14:cfRule>
          <xm:sqref>X66</xm:sqref>
        </x14:conditionalFormatting>
        <x14:conditionalFormatting xmlns:xm="http://schemas.microsoft.com/office/excel/2006/main">
          <x14:cfRule type="dataBar" id="{D9AB9D2F-81BC-C745-B252-CE9E2009466C}">
            <x14:dataBar minLength="0" maxLength="100" border="1" negativeBarBorderColorSameAsPositive="0">
              <x14:cfvo type="autoMin"/>
              <x14:cfvo type="autoMax"/>
              <x14:borderColor rgb="FF638EC6"/>
              <x14:negativeFillColor rgb="FFFF0000"/>
              <x14:negativeBorderColor rgb="FFFF0000"/>
              <x14:axisColor rgb="FF000000"/>
            </x14:dataBar>
          </x14:cfRule>
          <xm:sqref>Y67</xm:sqref>
        </x14:conditionalFormatting>
        <x14:conditionalFormatting xmlns:xm="http://schemas.microsoft.com/office/excel/2006/main">
          <x14:cfRule type="dataBar" id="{F5C9B17A-0B34-624E-8157-4EBBAE43B180}">
            <x14:dataBar minLength="0" maxLength="100" border="1" negativeBarBorderColorSameAsPositive="0">
              <x14:cfvo type="autoMin"/>
              <x14:cfvo type="autoMax"/>
              <x14:borderColor rgb="FF638EC6"/>
              <x14:negativeFillColor rgb="FFFF0000"/>
              <x14:negativeBorderColor rgb="FFFF0000"/>
              <x14:axisColor rgb="FF000000"/>
            </x14:dataBar>
          </x14:cfRule>
          <xm:sqref>Z68</xm:sqref>
        </x14:conditionalFormatting>
        <x14:conditionalFormatting xmlns:xm="http://schemas.microsoft.com/office/excel/2006/main">
          <x14:cfRule type="dataBar" id="{7D35210E-9420-2F47-9963-78FD73D9D958}">
            <x14:dataBar minLength="0" maxLength="100" border="1" negativeBarBorderColorSameAsPositive="0">
              <x14:cfvo type="autoMin"/>
              <x14:cfvo type="autoMax"/>
              <x14:borderColor rgb="FF638EC6"/>
              <x14:negativeFillColor rgb="FFFF0000"/>
              <x14:negativeBorderColor rgb="FFFF0000"/>
              <x14:axisColor rgb="FF000000"/>
            </x14:dataBar>
          </x14:cfRule>
          <xm:sqref>AA69</xm:sqref>
        </x14:conditionalFormatting>
        <x14:conditionalFormatting xmlns:xm="http://schemas.microsoft.com/office/excel/2006/main">
          <x14:cfRule type="dataBar" id="{E2FF2EE1-F68D-234E-9540-E9848226F5EA}">
            <x14:dataBar minLength="0" maxLength="100" border="1" negativeBarBorderColorSameAsPositive="0">
              <x14:cfvo type="autoMin"/>
              <x14:cfvo type="autoMax"/>
              <x14:borderColor rgb="FF638EC6"/>
              <x14:negativeFillColor rgb="FFFF0000"/>
              <x14:negativeBorderColor rgb="FFFF0000"/>
              <x14:axisColor rgb="FF000000"/>
            </x14:dataBar>
          </x14:cfRule>
          <xm:sqref>AB70</xm:sqref>
        </x14:conditionalFormatting>
        <x14:conditionalFormatting xmlns:xm="http://schemas.microsoft.com/office/excel/2006/main">
          <x14:cfRule type="dataBar" id="{C265675C-F3C5-E441-8086-7FCA0CF34252}">
            <x14:dataBar minLength="0" maxLength="100" border="1" negativeBarBorderColorSameAsPositive="0">
              <x14:cfvo type="autoMin"/>
              <x14:cfvo type="autoMax"/>
              <x14:borderColor rgb="FF638EC6"/>
              <x14:negativeFillColor rgb="FFFF0000"/>
              <x14:negativeBorderColor rgb="FFFF0000"/>
              <x14:axisColor rgb="FF000000"/>
            </x14:dataBar>
          </x14:cfRule>
          <xm:sqref>AC71</xm:sqref>
        </x14:conditionalFormatting>
        <x14:conditionalFormatting xmlns:xm="http://schemas.microsoft.com/office/excel/2006/main">
          <x14:cfRule type="dataBar" id="{8CF1931E-9B51-6F44-B1AE-26C5F01CD800}">
            <x14:dataBar minLength="0" maxLength="100" border="1" negativeBarBorderColorSameAsPositive="0">
              <x14:cfvo type="autoMin"/>
              <x14:cfvo type="autoMax"/>
              <x14:borderColor rgb="FF638EC6"/>
              <x14:negativeFillColor rgb="FFFF0000"/>
              <x14:negativeBorderColor rgb="FFFF0000"/>
              <x14:axisColor rgb="FF000000"/>
            </x14:dataBar>
          </x14:cfRule>
          <xm:sqref>AD72</xm:sqref>
        </x14:conditionalFormatting>
        <x14:conditionalFormatting xmlns:xm="http://schemas.microsoft.com/office/excel/2006/main">
          <x14:cfRule type="dataBar" id="{5324BB1B-D21F-8A42-97BB-72E401934D88}">
            <x14:dataBar minLength="0" maxLength="100" border="1" negativeBarBorderColorSameAsPositive="0">
              <x14:cfvo type="autoMin"/>
              <x14:cfvo type="autoMax"/>
              <x14:borderColor rgb="FF638EC6"/>
              <x14:negativeFillColor rgb="FFFF0000"/>
              <x14:negativeBorderColor rgb="FFFF0000"/>
              <x14:axisColor rgb="FF000000"/>
            </x14:dataBar>
          </x14:cfRule>
          <xm:sqref>P56 AD70 AC69 AB68 AA67 Z66 Y65 X64 W63 V62 U61 T60 S59 R58 Q57</xm:sqref>
        </x14:conditionalFormatting>
        <x14:conditionalFormatting xmlns:xm="http://schemas.microsoft.com/office/excel/2006/main">
          <x14:cfRule type="dataBar" id="{356C7C53-3117-6F49-A47D-57B9E7107436}">
            <x14:dataBar minLength="0" maxLength="100" border="1" negativeBarBorderColorSameAsPositive="0">
              <x14:cfvo type="autoMin"/>
              <x14:cfvo type="autoMax"/>
              <x14:borderColor rgb="FF638EC6"/>
              <x14:negativeFillColor rgb="FFFF0000"/>
              <x14:negativeBorderColor rgb="FFFF0000"/>
              <x14:axisColor rgb="FF000000"/>
            </x14:dataBar>
          </x14:cfRule>
          <xm:sqref>Q55 AD68 AC67 AB66 AA65 Z64 Y63 X62 W61 V60 U59 T58 S57 R56</xm:sqref>
        </x14:conditionalFormatting>
        <x14:conditionalFormatting xmlns:xm="http://schemas.microsoft.com/office/excel/2006/main">
          <x14:cfRule type="dataBar" id="{6069572E-96A2-DE4A-A03F-A8A207C3CB05}">
            <x14:dataBar minLength="0" maxLength="100" border="1" negativeBarBorderColorSameAsPositive="0">
              <x14:cfvo type="autoMin"/>
              <x14:cfvo type="autoMax"/>
              <x14:borderColor rgb="FF638EC6"/>
              <x14:negativeFillColor rgb="FFFF0000"/>
              <x14:negativeBorderColor rgb="FFFF0000"/>
              <x14:axisColor rgb="FF000000"/>
            </x14:dataBar>
          </x14:cfRule>
          <xm:sqref>R54 AD66 AC65 AB64 AA63 Z62 Y61 X60 W59 V58 U57 T56 S55</xm:sqref>
        </x14:conditionalFormatting>
        <x14:conditionalFormatting xmlns:xm="http://schemas.microsoft.com/office/excel/2006/main">
          <x14:cfRule type="dataBar" id="{A596D376-E1E5-4149-BCE8-DDF6CF1DEA4B}">
            <x14:dataBar minLength="0" maxLength="100" border="1" negativeBarBorderColorSameAsPositive="0">
              <x14:cfvo type="autoMin"/>
              <x14:cfvo type="autoMax"/>
              <x14:borderColor rgb="FF638EC6"/>
              <x14:negativeFillColor rgb="FFFF0000"/>
              <x14:negativeBorderColor rgb="FFFF0000"/>
              <x14:axisColor rgb="FF000000"/>
            </x14:dataBar>
          </x14:cfRule>
          <xm:sqref>S53 AD64 AC63 AB62 AA61 Z60 Y59 X58 W57 V56 U55 T54</xm:sqref>
        </x14:conditionalFormatting>
        <x14:conditionalFormatting xmlns:xm="http://schemas.microsoft.com/office/excel/2006/main">
          <x14:cfRule type="dataBar" id="{2D72FDB2-829C-1E4C-9645-6456CEC653F0}">
            <x14:dataBar minLength="0" maxLength="100" border="1" negativeBarBorderColorSameAsPositive="0">
              <x14:cfvo type="autoMin"/>
              <x14:cfvo type="autoMax"/>
              <x14:borderColor rgb="FF638EC6"/>
              <x14:negativeFillColor rgb="FFFF0000"/>
              <x14:negativeBorderColor rgb="FFFF0000"/>
              <x14:axisColor rgb="FF000000"/>
            </x14:dataBar>
          </x14:cfRule>
          <xm:sqref>AD62 T52 AC61 AB60 AA59 Z58 Y57 X56 W55 V54 U53</xm:sqref>
        </x14:conditionalFormatting>
        <x14:conditionalFormatting xmlns:xm="http://schemas.microsoft.com/office/excel/2006/main">
          <x14:cfRule type="dataBar" id="{A79F530D-2B00-7D4B-9F80-386406D3F001}">
            <x14:dataBar minLength="0" maxLength="100" border="1" negativeBarBorderColorSameAsPositive="0">
              <x14:cfvo type="autoMin"/>
              <x14:cfvo type="autoMax"/>
              <x14:borderColor rgb="FF638EC6"/>
              <x14:negativeFillColor rgb="FFFF0000"/>
              <x14:negativeBorderColor rgb="FFFF0000"/>
              <x14:axisColor rgb="FF000000"/>
            </x14:dataBar>
          </x14:cfRule>
          <xm:sqref>AD60 U51 AC59 AB58 AA57 Z56 Y55 X54 W53 V52</xm:sqref>
        </x14:conditionalFormatting>
        <x14:conditionalFormatting xmlns:xm="http://schemas.microsoft.com/office/excel/2006/main">
          <x14:cfRule type="dataBar" id="{B89E3FA6-09B9-FA40-95CF-95324D72B047}">
            <x14:dataBar minLength="0" maxLength="100" border="1" negativeBarBorderColorSameAsPositive="0">
              <x14:cfvo type="autoMin"/>
              <x14:cfvo type="autoMax"/>
              <x14:borderColor rgb="FF638EC6"/>
              <x14:negativeFillColor rgb="FFFF0000"/>
              <x14:negativeBorderColor rgb="FFFF0000"/>
              <x14:axisColor rgb="FF000000"/>
            </x14:dataBar>
          </x14:cfRule>
          <xm:sqref>AD58 V50 AC57 AB56 AA55 Z54 Y53 X52 W51</xm:sqref>
        </x14:conditionalFormatting>
        <x14:conditionalFormatting xmlns:xm="http://schemas.microsoft.com/office/excel/2006/main">
          <x14:cfRule type="dataBar" id="{A71F6976-1EBF-E344-86BA-1B4668E6EFB6}">
            <x14:dataBar minLength="0" maxLength="100" border="1" negativeBarBorderColorSameAsPositive="0">
              <x14:cfvo type="autoMin"/>
              <x14:cfvo type="autoMax"/>
              <x14:borderColor rgb="FF638EC6"/>
              <x14:negativeFillColor rgb="FFFF0000"/>
              <x14:negativeBorderColor rgb="FFFF0000"/>
              <x14:axisColor rgb="FF000000"/>
            </x14:dataBar>
          </x14:cfRule>
          <xm:sqref>AD56 W49 AC55 AB54 AA53 Z52 Y51 X50</xm:sqref>
        </x14:conditionalFormatting>
        <x14:conditionalFormatting xmlns:xm="http://schemas.microsoft.com/office/excel/2006/main">
          <x14:cfRule type="dataBar" id="{CC606597-B849-F94A-B4B1-8DE4AA1C6201}">
            <x14:dataBar minLength="0" maxLength="100" border="1" negativeBarBorderColorSameAsPositive="0">
              <x14:cfvo type="autoMin"/>
              <x14:cfvo type="autoMax"/>
              <x14:borderColor rgb="FF638EC6"/>
              <x14:negativeFillColor rgb="FFFF0000"/>
              <x14:negativeBorderColor rgb="FFFF0000"/>
              <x14:axisColor rgb="FF000000"/>
            </x14:dataBar>
          </x14:cfRule>
          <xm:sqref>X48 AD54 AC53 AB52 AA51 Z50 Y49</xm:sqref>
        </x14:conditionalFormatting>
        <x14:conditionalFormatting xmlns:xm="http://schemas.microsoft.com/office/excel/2006/main">
          <x14:cfRule type="dataBar" id="{E3FA9681-0DD6-1944-932D-5B48D98280ED}">
            <x14:dataBar minLength="0" maxLength="100" border="1" negativeBarBorderColorSameAsPositive="0">
              <x14:cfvo type="autoMin"/>
              <x14:cfvo type="autoMax"/>
              <x14:borderColor rgb="FF638EC6"/>
              <x14:negativeFillColor rgb="FFFF0000"/>
              <x14:negativeBorderColor rgb="FFFF0000"/>
              <x14:axisColor rgb="FF000000"/>
            </x14:dataBar>
          </x14:cfRule>
          <xm:sqref>AD52 X46 AC51 AB50 AA49 Z48 Y47</xm:sqref>
        </x14:conditionalFormatting>
        <x14:conditionalFormatting xmlns:xm="http://schemas.microsoft.com/office/excel/2006/main">
          <x14:cfRule type="dataBar" id="{8A772EAC-27F0-254C-ACA9-31D9083DF6E6}">
            <x14:dataBar minLength="0" maxLength="100" border="1" negativeBarBorderColorSameAsPositive="0">
              <x14:cfvo type="autoMin"/>
              <x14:cfvo type="autoMax"/>
              <x14:borderColor rgb="FF638EC6"/>
              <x14:negativeFillColor rgb="FFFF0000"/>
              <x14:negativeBorderColor rgb="FFFF0000"/>
              <x14:axisColor rgb="FF000000"/>
            </x14:dataBar>
          </x14:cfRule>
          <xm:sqref>AD50 Y45 AC49 AB48 AA47 Z46</xm:sqref>
        </x14:conditionalFormatting>
        <x14:conditionalFormatting xmlns:xm="http://schemas.microsoft.com/office/excel/2006/main">
          <x14:cfRule type="dataBar" id="{5BA63DE2-2F8C-F147-8AEA-CF7F7FEEBC20}">
            <x14:dataBar minLength="0" maxLength="100" border="1" negativeBarBorderColorSameAsPositive="0">
              <x14:cfvo type="autoMin"/>
              <x14:cfvo type="autoMax"/>
              <x14:borderColor rgb="FF638EC6"/>
              <x14:negativeFillColor rgb="FFFF0000"/>
              <x14:negativeBorderColor rgb="FFFF0000"/>
              <x14:axisColor rgb="FF000000"/>
            </x14:dataBar>
          </x14:cfRule>
          <xm:sqref>AD48 Z44 AC47 AB46 AA45</xm:sqref>
        </x14:conditionalFormatting>
        <x14:conditionalFormatting xmlns:xm="http://schemas.microsoft.com/office/excel/2006/main">
          <x14:cfRule type="dataBar" id="{306DC913-1C31-C346-8407-E94E77D50C20}">
            <x14:dataBar minLength="0" maxLength="100" border="1" negativeBarBorderColorSameAsPositive="0">
              <x14:cfvo type="autoMin"/>
              <x14:cfvo type="autoMax"/>
              <x14:borderColor rgb="FF638EC6"/>
              <x14:negativeFillColor rgb="FFFF0000"/>
              <x14:negativeBorderColor rgb="FFFF0000"/>
              <x14:axisColor rgb="FF000000"/>
            </x14:dataBar>
          </x14:cfRule>
          <xm:sqref>AA43 AD46 AC45 AB44</xm:sqref>
        </x14:conditionalFormatting>
        <x14:conditionalFormatting xmlns:xm="http://schemas.microsoft.com/office/excel/2006/main">
          <x14:cfRule type="dataBar" id="{9BD1315C-A80A-D344-8BDD-C1AB0A5574AF}">
            <x14:dataBar minLength="0" maxLength="100" border="1" negativeBarBorderColorSameAsPositive="0">
              <x14:cfvo type="autoMin"/>
              <x14:cfvo type="autoMax"/>
              <x14:borderColor rgb="FF638EC6"/>
              <x14:negativeFillColor rgb="FFFF0000"/>
              <x14:negativeBorderColor rgb="FFFF0000"/>
              <x14:axisColor rgb="FF000000"/>
            </x14:dataBar>
          </x14:cfRule>
          <xm:sqref>AB42 AD44 AC43</xm:sqref>
        </x14:conditionalFormatting>
        <x14:conditionalFormatting xmlns:xm="http://schemas.microsoft.com/office/excel/2006/main">
          <x14:cfRule type="dataBar" id="{379DD1CD-82CA-2E4E-845D-04F935848D9D}">
            <x14:dataBar minLength="0" maxLength="100" border="1" negativeBarBorderColorSameAsPositive="0">
              <x14:cfvo type="autoMin"/>
              <x14:cfvo type="autoMax"/>
              <x14:borderColor rgb="FF638EC6"/>
              <x14:negativeFillColor rgb="FFFF0000"/>
              <x14:negativeBorderColor rgb="FFFF0000"/>
              <x14:axisColor rgb="FF000000"/>
            </x14:dataBar>
          </x14:cfRule>
          <xm:sqref>AC41 AD42</xm:sqref>
        </x14:conditionalFormatting>
        <x14:conditionalFormatting xmlns:xm="http://schemas.microsoft.com/office/excel/2006/main">
          <x14:cfRule type="dataBar" id="{90437802-A54E-A64E-8A9A-EE7CFAC6833D}">
            <x14:dataBar minLength="0" maxLength="100" border="1" negativeBarBorderColorSameAsPositive="0">
              <x14:cfvo type="autoMin"/>
              <x14:cfvo type="autoMax"/>
              <x14:borderColor rgb="FF638EC6"/>
              <x14:negativeFillColor rgb="FFFF0000"/>
              <x14:negativeBorderColor rgb="FFFF0000"/>
              <x14:axisColor rgb="FF000000"/>
            </x14:dataBar>
          </x14:cfRule>
          <xm:sqref>AD40</xm:sqref>
        </x14:conditionalFormatting>
        <x14:conditionalFormatting xmlns:xm="http://schemas.microsoft.com/office/excel/2006/main">
          <x14:cfRule type="dataBar" id="{AB29EAAE-3B46-0C47-B39E-9A0648280B5A}">
            <x14:dataBar minLength="0" maxLength="100" border="1" negativeBarBorderColorSameAsPositive="0">
              <x14:cfvo type="autoMin"/>
              <x14:cfvo type="autoMax"/>
              <x14:borderColor rgb="FF638EC6"/>
              <x14:negativeFillColor rgb="FFFF0000"/>
              <x14:negativeBorderColor rgb="FFFF0000"/>
              <x14:axisColor rgb="FF000000"/>
            </x14:dataBar>
          </x14:cfRule>
          <xm:sqref>M55</xm:sqref>
        </x14:conditionalFormatting>
        <x14:conditionalFormatting xmlns:xm="http://schemas.microsoft.com/office/excel/2006/main">
          <x14:cfRule type="dataBar" id="{C7C4F61A-6883-6440-B984-B628F911D850}">
            <x14:dataBar minLength="0" maxLength="100" border="1" negativeBarBorderColorSameAsPositive="0">
              <x14:cfvo type="autoMin"/>
              <x14:cfvo type="autoMax"/>
              <x14:borderColor rgb="FF638EC6"/>
              <x14:negativeFillColor rgb="FFFF0000"/>
              <x14:negativeBorderColor rgb="FFFF0000"/>
              <x14:axisColor rgb="FF000000"/>
            </x14:dataBar>
          </x14:cfRule>
          <xm:sqref>N32</xm:sqref>
        </x14:conditionalFormatting>
        <x14:conditionalFormatting xmlns:xm="http://schemas.microsoft.com/office/excel/2006/main">
          <x14:cfRule type="dataBar" id="{4A6D0EC7-8FE0-8340-B7BD-7676A49266E3}">
            <x14:dataBar minLength="0" maxLength="100" border="1" negativeBarBorderColorSameAsPositive="0">
              <x14:cfvo type="autoMin"/>
              <x14:cfvo type="autoMax"/>
              <x14:borderColor rgb="FF638EC6"/>
              <x14:negativeFillColor rgb="FFFF0000"/>
              <x14:negativeBorderColor rgb="FFFF0000"/>
              <x14:axisColor rgb="FF000000"/>
            </x14:dataBar>
          </x14:cfRule>
          <xm:sqref>N54</xm:sqref>
        </x14:conditionalFormatting>
        <x14:conditionalFormatting xmlns:xm="http://schemas.microsoft.com/office/excel/2006/main">
          <x14:cfRule type="dataBar" id="{EDB16391-632B-7540-BD9A-E965E6FA6FC1}">
            <x14:dataBar minLength="0" maxLength="100" border="1" negativeBarBorderColorSameAsPositive="0">
              <x14:cfvo type="autoMin"/>
              <x14:cfvo type="autoMax"/>
              <x14:borderColor rgb="FF638EC6"/>
              <x14:negativeFillColor rgb="FFFF0000"/>
              <x14:negativeBorderColor rgb="FFFF0000"/>
              <x14:axisColor rgb="FF000000"/>
            </x14:dataBar>
          </x14:cfRule>
          <xm:sqref>N56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2:J1000"/>
  <sheetViews>
    <sheetView workbookViewId="0">
      <selection activeCell="C8" sqref="C8"/>
    </sheetView>
  </sheetViews>
  <sheetFormatPr baseColWidth="10" defaultColWidth="12.69921875" defaultRowHeight="15" customHeight="1"/>
  <cols>
    <col min="1" max="1" width="9.69921875" customWidth="1"/>
    <col min="2" max="2" width="7.69921875" customWidth="1"/>
    <col min="3" max="3" width="10.296875" customWidth="1"/>
    <col min="4" max="6" width="7.69921875" customWidth="1"/>
    <col min="7" max="7" width="8.5" bestFit="1" customWidth="1"/>
    <col min="8" max="26" width="7.69921875" customWidth="1"/>
  </cols>
  <sheetData>
    <row r="2" spans="1:10" ht="14.4">
      <c r="A2" s="50" t="s">
        <v>45</v>
      </c>
      <c r="C2" s="50" t="s">
        <v>88</v>
      </c>
      <c r="F2" s="12" t="s">
        <v>46</v>
      </c>
      <c r="G2" s="12" t="s">
        <v>47</v>
      </c>
    </row>
    <row r="3" spans="1:10" ht="14.4">
      <c r="A3" s="50" t="s">
        <v>40</v>
      </c>
      <c r="C3" s="50" t="s">
        <v>89</v>
      </c>
      <c r="E3" s="12">
        <v>-100</v>
      </c>
      <c r="F3" s="51">
        <f t="shared" ref="F3:F66" si="0">Stock+(E3/100)*Stock</f>
        <v>0</v>
      </c>
      <c r="G3" s="52">
        <f t="shared" ref="G3:G66" si="1">IF(bs_option_type="Call",IF(((F3-Stock-(vba_bs_result/Stock)*Stock))&lt;-(vba_bs_result/Stock)*Stock,-(vba_bs_result/Stock)*Stock,(F3-Stock-(vba_bs_result/Stock)*Stock)*1),IF((Exercise-(vba_bs_result/Stock)*Stock)-F3&lt;-(vba_bs_result/Stock)*Stock,-(vba_bs_result/Stock)*Stock,(Exercise-(vba_bs_result/Stock)*Stock)-F3))</f>
        <v>99.98283010511409</v>
      </c>
      <c r="J3" s="54"/>
    </row>
    <row r="4" spans="1:10" ht="14.4">
      <c r="A4" s="50" t="s">
        <v>12</v>
      </c>
      <c r="C4" s="50" t="s">
        <v>87</v>
      </c>
      <c r="E4" s="12">
        <f t="shared" ref="E4:E203" si="2">E3+1</f>
        <v>-99</v>
      </c>
      <c r="F4" s="51">
        <f t="shared" si="0"/>
        <v>1</v>
      </c>
      <c r="G4" s="52">
        <f t="shared" si="1"/>
        <v>98.98283010511409</v>
      </c>
    </row>
    <row r="5" spans="1:10" ht="14.4">
      <c r="E5" s="12">
        <f t="shared" si="2"/>
        <v>-98</v>
      </c>
      <c r="F5" s="51">
        <f t="shared" si="0"/>
        <v>2</v>
      </c>
      <c r="G5" s="52">
        <f t="shared" si="1"/>
        <v>97.98283010511409</v>
      </c>
    </row>
    <row r="6" spans="1:10" ht="14.4">
      <c r="E6" s="12">
        <f t="shared" si="2"/>
        <v>-97</v>
      </c>
      <c r="F6" s="51">
        <f t="shared" si="0"/>
        <v>3</v>
      </c>
      <c r="G6" s="52">
        <f t="shared" si="1"/>
        <v>96.98283010511409</v>
      </c>
    </row>
    <row r="7" spans="1:10" ht="14.4">
      <c r="E7" s="12">
        <f t="shared" si="2"/>
        <v>-96</v>
      </c>
      <c r="F7" s="51">
        <f t="shared" si="0"/>
        <v>4</v>
      </c>
      <c r="G7" s="52">
        <f t="shared" si="1"/>
        <v>95.98283010511409</v>
      </c>
    </row>
    <row r="8" spans="1:10" ht="14.4">
      <c r="E8" s="12">
        <f t="shared" si="2"/>
        <v>-95</v>
      </c>
      <c r="F8" s="51">
        <f t="shared" si="0"/>
        <v>5</v>
      </c>
      <c r="G8" s="52">
        <f t="shared" si="1"/>
        <v>94.98283010511409</v>
      </c>
    </row>
    <row r="9" spans="1:10" ht="14.4">
      <c r="E9" s="12">
        <f t="shared" si="2"/>
        <v>-94</v>
      </c>
      <c r="F9" s="51">
        <f t="shared" si="0"/>
        <v>6</v>
      </c>
      <c r="G9" s="52">
        <f t="shared" si="1"/>
        <v>93.98283010511409</v>
      </c>
    </row>
    <row r="10" spans="1:10" ht="14.4">
      <c r="E10" s="12">
        <f t="shared" si="2"/>
        <v>-93</v>
      </c>
      <c r="F10" s="51">
        <f t="shared" si="0"/>
        <v>7</v>
      </c>
      <c r="G10" s="52">
        <f t="shared" si="1"/>
        <v>92.98283010511409</v>
      </c>
    </row>
    <row r="11" spans="1:10" ht="14.4">
      <c r="E11" s="12">
        <f t="shared" si="2"/>
        <v>-92</v>
      </c>
      <c r="F11" s="51">
        <f t="shared" si="0"/>
        <v>8</v>
      </c>
      <c r="G11" s="52">
        <f t="shared" si="1"/>
        <v>91.98283010511409</v>
      </c>
    </row>
    <row r="12" spans="1:10" ht="14.4">
      <c r="E12" s="12">
        <f t="shared" si="2"/>
        <v>-91</v>
      </c>
      <c r="F12" s="51">
        <f t="shared" si="0"/>
        <v>9</v>
      </c>
      <c r="G12" s="52">
        <f t="shared" si="1"/>
        <v>90.98283010511409</v>
      </c>
    </row>
    <row r="13" spans="1:10" ht="14.4">
      <c r="E13" s="12">
        <f t="shared" si="2"/>
        <v>-90</v>
      </c>
      <c r="F13" s="51">
        <f t="shared" si="0"/>
        <v>10</v>
      </c>
      <c r="G13" s="52">
        <f t="shared" si="1"/>
        <v>89.98283010511409</v>
      </c>
    </row>
    <row r="14" spans="1:10" ht="14.4">
      <c r="E14" s="12">
        <f t="shared" si="2"/>
        <v>-89</v>
      </c>
      <c r="F14" s="51">
        <f t="shared" si="0"/>
        <v>11</v>
      </c>
      <c r="G14" s="52">
        <f t="shared" si="1"/>
        <v>88.98283010511409</v>
      </c>
    </row>
    <row r="15" spans="1:10" ht="14.4">
      <c r="E15" s="12">
        <f t="shared" si="2"/>
        <v>-88</v>
      </c>
      <c r="F15" s="51">
        <f t="shared" si="0"/>
        <v>12</v>
      </c>
      <c r="G15" s="52">
        <f t="shared" si="1"/>
        <v>87.98283010511409</v>
      </c>
    </row>
    <row r="16" spans="1:10" ht="14.4">
      <c r="E16" s="12">
        <f t="shared" si="2"/>
        <v>-87</v>
      </c>
      <c r="F16" s="51">
        <f t="shared" si="0"/>
        <v>13</v>
      </c>
      <c r="G16" s="52">
        <f t="shared" si="1"/>
        <v>86.98283010511409</v>
      </c>
    </row>
    <row r="17" spans="5:7" ht="14.4">
      <c r="E17" s="12">
        <f t="shared" si="2"/>
        <v>-86</v>
      </c>
      <c r="F17" s="51">
        <f t="shared" si="0"/>
        <v>14</v>
      </c>
      <c r="G17" s="52">
        <f t="shared" si="1"/>
        <v>85.98283010511409</v>
      </c>
    </row>
    <row r="18" spans="5:7" ht="14.4">
      <c r="E18" s="12">
        <f t="shared" si="2"/>
        <v>-85</v>
      </c>
      <c r="F18" s="51">
        <f t="shared" si="0"/>
        <v>15</v>
      </c>
      <c r="G18" s="52">
        <f t="shared" si="1"/>
        <v>84.98283010511409</v>
      </c>
    </row>
    <row r="19" spans="5:7" ht="14.4">
      <c r="E19" s="12">
        <f t="shared" si="2"/>
        <v>-84</v>
      </c>
      <c r="F19" s="51">
        <f t="shared" si="0"/>
        <v>16</v>
      </c>
      <c r="G19" s="52">
        <f t="shared" si="1"/>
        <v>83.98283010511409</v>
      </c>
    </row>
    <row r="20" spans="5:7" ht="14.4">
      <c r="E20" s="12">
        <f t="shared" si="2"/>
        <v>-83</v>
      </c>
      <c r="F20" s="51">
        <f t="shared" si="0"/>
        <v>17</v>
      </c>
      <c r="G20" s="52">
        <f t="shared" si="1"/>
        <v>82.98283010511409</v>
      </c>
    </row>
    <row r="21" spans="5:7" ht="15.75" customHeight="1">
      <c r="E21" s="12">
        <f t="shared" si="2"/>
        <v>-82</v>
      </c>
      <c r="F21" s="51">
        <f t="shared" si="0"/>
        <v>18</v>
      </c>
      <c r="G21" s="52">
        <f t="shared" si="1"/>
        <v>81.98283010511409</v>
      </c>
    </row>
    <row r="22" spans="5:7" ht="15.75" customHeight="1">
      <c r="E22" s="12">
        <f t="shared" si="2"/>
        <v>-81</v>
      </c>
      <c r="F22" s="51">
        <f t="shared" si="0"/>
        <v>19</v>
      </c>
      <c r="G22" s="52">
        <f t="shared" si="1"/>
        <v>80.98283010511409</v>
      </c>
    </row>
    <row r="23" spans="5:7" ht="15.75" customHeight="1">
      <c r="E23" s="12">
        <f t="shared" si="2"/>
        <v>-80</v>
      </c>
      <c r="F23" s="51">
        <f t="shared" si="0"/>
        <v>20</v>
      </c>
      <c r="G23" s="52">
        <f t="shared" si="1"/>
        <v>79.98283010511409</v>
      </c>
    </row>
    <row r="24" spans="5:7" ht="15.75" customHeight="1">
      <c r="E24" s="12">
        <f t="shared" si="2"/>
        <v>-79</v>
      </c>
      <c r="F24" s="51">
        <f t="shared" si="0"/>
        <v>21</v>
      </c>
      <c r="G24" s="52">
        <f t="shared" si="1"/>
        <v>78.98283010511409</v>
      </c>
    </row>
    <row r="25" spans="5:7" ht="15.75" customHeight="1">
      <c r="E25" s="12">
        <f t="shared" si="2"/>
        <v>-78</v>
      </c>
      <c r="F25" s="51">
        <f t="shared" si="0"/>
        <v>22</v>
      </c>
      <c r="G25" s="52">
        <f t="shared" si="1"/>
        <v>77.98283010511409</v>
      </c>
    </row>
    <row r="26" spans="5:7" ht="15.75" customHeight="1">
      <c r="E26" s="12">
        <f t="shared" si="2"/>
        <v>-77</v>
      </c>
      <c r="F26" s="51">
        <f t="shared" si="0"/>
        <v>23</v>
      </c>
      <c r="G26" s="52">
        <f t="shared" si="1"/>
        <v>76.98283010511409</v>
      </c>
    </row>
    <row r="27" spans="5:7" ht="15.75" customHeight="1">
      <c r="E27" s="12">
        <f t="shared" si="2"/>
        <v>-76</v>
      </c>
      <c r="F27" s="51">
        <f t="shared" si="0"/>
        <v>24</v>
      </c>
      <c r="G27" s="52">
        <f t="shared" si="1"/>
        <v>75.98283010511409</v>
      </c>
    </row>
    <row r="28" spans="5:7" ht="15.75" customHeight="1">
      <c r="E28" s="12">
        <f t="shared" si="2"/>
        <v>-75</v>
      </c>
      <c r="F28" s="51">
        <f t="shared" si="0"/>
        <v>25</v>
      </c>
      <c r="G28" s="52">
        <f t="shared" si="1"/>
        <v>74.98283010511409</v>
      </c>
    </row>
    <row r="29" spans="5:7" ht="15.75" customHeight="1">
      <c r="E29" s="12">
        <f t="shared" si="2"/>
        <v>-74</v>
      </c>
      <c r="F29" s="51">
        <f t="shared" si="0"/>
        <v>26</v>
      </c>
      <c r="G29" s="52">
        <f t="shared" si="1"/>
        <v>73.98283010511409</v>
      </c>
    </row>
    <row r="30" spans="5:7" ht="15.75" customHeight="1">
      <c r="E30" s="12">
        <f t="shared" si="2"/>
        <v>-73</v>
      </c>
      <c r="F30" s="51">
        <f t="shared" si="0"/>
        <v>27</v>
      </c>
      <c r="G30" s="52">
        <f t="shared" si="1"/>
        <v>72.98283010511409</v>
      </c>
    </row>
    <row r="31" spans="5:7" ht="15.75" customHeight="1">
      <c r="E31" s="12">
        <f t="shared" si="2"/>
        <v>-72</v>
      </c>
      <c r="F31" s="51">
        <f t="shared" si="0"/>
        <v>28</v>
      </c>
      <c r="G31" s="52">
        <f t="shared" si="1"/>
        <v>71.98283010511409</v>
      </c>
    </row>
    <row r="32" spans="5:7" ht="15.75" customHeight="1">
      <c r="E32" s="12">
        <f t="shared" si="2"/>
        <v>-71</v>
      </c>
      <c r="F32" s="51">
        <f t="shared" si="0"/>
        <v>29</v>
      </c>
      <c r="G32" s="52">
        <f t="shared" si="1"/>
        <v>70.98283010511409</v>
      </c>
    </row>
    <row r="33" spans="5:7" ht="15.75" customHeight="1">
      <c r="E33" s="12">
        <f t="shared" si="2"/>
        <v>-70</v>
      </c>
      <c r="F33" s="51">
        <f t="shared" si="0"/>
        <v>30</v>
      </c>
      <c r="G33" s="52">
        <f t="shared" si="1"/>
        <v>69.98283010511409</v>
      </c>
    </row>
    <row r="34" spans="5:7" ht="15.75" customHeight="1">
      <c r="E34" s="12">
        <f t="shared" si="2"/>
        <v>-69</v>
      </c>
      <c r="F34" s="51">
        <f t="shared" si="0"/>
        <v>31</v>
      </c>
      <c r="G34" s="52">
        <f t="shared" si="1"/>
        <v>68.98283010511409</v>
      </c>
    </row>
    <row r="35" spans="5:7" ht="15.75" customHeight="1">
      <c r="E35" s="12">
        <f t="shared" si="2"/>
        <v>-68</v>
      </c>
      <c r="F35" s="51">
        <f t="shared" si="0"/>
        <v>32</v>
      </c>
      <c r="G35" s="52">
        <f t="shared" si="1"/>
        <v>67.98283010511409</v>
      </c>
    </row>
    <row r="36" spans="5:7" ht="15.75" customHeight="1">
      <c r="E36" s="12">
        <f t="shared" si="2"/>
        <v>-67</v>
      </c>
      <c r="F36" s="51">
        <f t="shared" si="0"/>
        <v>33</v>
      </c>
      <c r="G36" s="52">
        <f t="shared" si="1"/>
        <v>66.98283010511409</v>
      </c>
    </row>
    <row r="37" spans="5:7" ht="15.75" customHeight="1">
      <c r="E37" s="12">
        <f t="shared" si="2"/>
        <v>-66</v>
      </c>
      <c r="F37" s="51">
        <f t="shared" si="0"/>
        <v>34</v>
      </c>
      <c r="G37" s="52">
        <f t="shared" si="1"/>
        <v>65.98283010511409</v>
      </c>
    </row>
    <row r="38" spans="5:7" ht="15.75" customHeight="1">
      <c r="E38" s="12">
        <f t="shared" si="2"/>
        <v>-65</v>
      </c>
      <c r="F38" s="51">
        <f t="shared" si="0"/>
        <v>35</v>
      </c>
      <c r="G38" s="52">
        <f t="shared" si="1"/>
        <v>64.98283010511409</v>
      </c>
    </row>
    <row r="39" spans="5:7" ht="15.75" customHeight="1">
      <c r="E39" s="12">
        <f t="shared" si="2"/>
        <v>-64</v>
      </c>
      <c r="F39" s="51">
        <f t="shared" si="0"/>
        <v>36</v>
      </c>
      <c r="G39" s="52">
        <f t="shared" si="1"/>
        <v>63.98283010511409</v>
      </c>
    </row>
    <row r="40" spans="5:7" ht="15.75" customHeight="1">
      <c r="E40" s="12">
        <f t="shared" si="2"/>
        <v>-63</v>
      </c>
      <c r="F40" s="51">
        <f t="shared" si="0"/>
        <v>37</v>
      </c>
      <c r="G40" s="52">
        <f t="shared" si="1"/>
        <v>62.98283010511409</v>
      </c>
    </row>
    <row r="41" spans="5:7" ht="15.75" customHeight="1">
      <c r="E41" s="12">
        <f t="shared" si="2"/>
        <v>-62</v>
      </c>
      <c r="F41" s="51">
        <f t="shared" si="0"/>
        <v>38</v>
      </c>
      <c r="G41" s="52">
        <f t="shared" si="1"/>
        <v>61.98283010511409</v>
      </c>
    </row>
    <row r="42" spans="5:7" ht="15.75" customHeight="1">
      <c r="E42" s="12">
        <f t="shared" si="2"/>
        <v>-61</v>
      </c>
      <c r="F42" s="51">
        <f t="shared" si="0"/>
        <v>39</v>
      </c>
      <c r="G42" s="52">
        <f t="shared" si="1"/>
        <v>60.98283010511409</v>
      </c>
    </row>
    <row r="43" spans="5:7" ht="15.75" customHeight="1">
      <c r="E43" s="12">
        <f t="shared" si="2"/>
        <v>-60</v>
      </c>
      <c r="F43" s="51">
        <f t="shared" si="0"/>
        <v>40</v>
      </c>
      <c r="G43" s="52">
        <f t="shared" si="1"/>
        <v>59.98283010511409</v>
      </c>
    </row>
    <row r="44" spans="5:7" ht="15.75" customHeight="1">
      <c r="E44" s="12">
        <f t="shared" si="2"/>
        <v>-59</v>
      </c>
      <c r="F44" s="51">
        <f t="shared" si="0"/>
        <v>41</v>
      </c>
      <c r="G44" s="52">
        <f t="shared" si="1"/>
        <v>58.98283010511409</v>
      </c>
    </row>
    <row r="45" spans="5:7" ht="15.75" customHeight="1">
      <c r="E45" s="12">
        <f t="shared" si="2"/>
        <v>-58</v>
      </c>
      <c r="F45" s="51">
        <f t="shared" si="0"/>
        <v>42.000000000000007</v>
      </c>
      <c r="G45" s="52">
        <f t="shared" si="1"/>
        <v>57.982830105114083</v>
      </c>
    </row>
    <row r="46" spans="5:7" ht="15.75" customHeight="1">
      <c r="E46" s="12">
        <f t="shared" si="2"/>
        <v>-57</v>
      </c>
      <c r="F46" s="51">
        <f t="shared" si="0"/>
        <v>43.000000000000007</v>
      </c>
      <c r="G46" s="52">
        <f t="shared" si="1"/>
        <v>56.982830105114083</v>
      </c>
    </row>
    <row r="47" spans="5:7" ht="15.75" customHeight="1">
      <c r="E47" s="12">
        <f t="shared" si="2"/>
        <v>-56</v>
      </c>
      <c r="F47" s="51">
        <f t="shared" si="0"/>
        <v>43.999999999999993</v>
      </c>
      <c r="G47" s="52">
        <f t="shared" si="1"/>
        <v>55.982830105114097</v>
      </c>
    </row>
    <row r="48" spans="5:7" ht="15.75" customHeight="1">
      <c r="E48" s="12">
        <f t="shared" si="2"/>
        <v>-55</v>
      </c>
      <c r="F48" s="51">
        <f t="shared" si="0"/>
        <v>44.999999999999993</v>
      </c>
      <c r="G48" s="52">
        <f t="shared" si="1"/>
        <v>54.982830105114097</v>
      </c>
    </row>
    <row r="49" spans="5:7" ht="15.75" customHeight="1">
      <c r="E49" s="12">
        <f t="shared" si="2"/>
        <v>-54</v>
      </c>
      <c r="F49" s="51">
        <f t="shared" si="0"/>
        <v>46</v>
      </c>
      <c r="G49" s="52">
        <f t="shared" si="1"/>
        <v>53.98283010511409</v>
      </c>
    </row>
    <row r="50" spans="5:7" ht="15.75" customHeight="1">
      <c r="E50" s="12">
        <f t="shared" si="2"/>
        <v>-53</v>
      </c>
      <c r="F50" s="51">
        <f t="shared" si="0"/>
        <v>47</v>
      </c>
      <c r="G50" s="52">
        <f t="shared" si="1"/>
        <v>52.98283010511409</v>
      </c>
    </row>
    <row r="51" spans="5:7" ht="15.75" customHeight="1">
      <c r="E51" s="12">
        <f t="shared" si="2"/>
        <v>-52</v>
      </c>
      <c r="F51" s="51">
        <f t="shared" si="0"/>
        <v>48</v>
      </c>
      <c r="G51" s="52">
        <f t="shared" si="1"/>
        <v>51.98283010511409</v>
      </c>
    </row>
    <row r="52" spans="5:7" ht="15.75" customHeight="1">
      <c r="E52" s="12">
        <f t="shared" si="2"/>
        <v>-51</v>
      </c>
      <c r="F52" s="51">
        <f t="shared" si="0"/>
        <v>49</v>
      </c>
      <c r="G52" s="52">
        <f t="shared" si="1"/>
        <v>50.98283010511409</v>
      </c>
    </row>
    <row r="53" spans="5:7" ht="15.75" customHeight="1">
      <c r="E53" s="12">
        <f t="shared" si="2"/>
        <v>-50</v>
      </c>
      <c r="F53" s="51">
        <f t="shared" si="0"/>
        <v>50</v>
      </c>
      <c r="G53" s="52">
        <f t="shared" si="1"/>
        <v>49.98283010511409</v>
      </c>
    </row>
    <row r="54" spans="5:7" ht="15.75" customHeight="1">
      <c r="E54" s="12">
        <f t="shared" si="2"/>
        <v>-49</v>
      </c>
      <c r="F54" s="51">
        <f t="shared" si="0"/>
        <v>51</v>
      </c>
      <c r="G54" s="52">
        <f t="shared" si="1"/>
        <v>48.98283010511409</v>
      </c>
    </row>
    <row r="55" spans="5:7" ht="15.75" customHeight="1">
      <c r="E55" s="12">
        <f t="shared" si="2"/>
        <v>-48</v>
      </c>
      <c r="F55" s="51">
        <f t="shared" si="0"/>
        <v>52</v>
      </c>
      <c r="G55" s="52">
        <f t="shared" si="1"/>
        <v>47.98283010511409</v>
      </c>
    </row>
    <row r="56" spans="5:7" ht="15.75" customHeight="1">
      <c r="E56" s="12">
        <f t="shared" si="2"/>
        <v>-47</v>
      </c>
      <c r="F56" s="51">
        <f t="shared" si="0"/>
        <v>53</v>
      </c>
      <c r="G56" s="52">
        <f t="shared" si="1"/>
        <v>46.98283010511409</v>
      </c>
    </row>
    <row r="57" spans="5:7" ht="15.75" customHeight="1">
      <c r="E57" s="12">
        <f t="shared" si="2"/>
        <v>-46</v>
      </c>
      <c r="F57" s="51">
        <f t="shared" si="0"/>
        <v>54</v>
      </c>
      <c r="G57" s="52">
        <f t="shared" si="1"/>
        <v>45.98283010511409</v>
      </c>
    </row>
    <row r="58" spans="5:7" ht="15.75" customHeight="1">
      <c r="E58" s="12">
        <f t="shared" si="2"/>
        <v>-45</v>
      </c>
      <c r="F58" s="51">
        <f t="shared" si="0"/>
        <v>55</v>
      </c>
      <c r="G58" s="52">
        <f t="shared" si="1"/>
        <v>44.98283010511409</v>
      </c>
    </row>
    <row r="59" spans="5:7" ht="15.75" customHeight="1">
      <c r="E59" s="12">
        <f t="shared" si="2"/>
        <v>-44</v>
      </c>
      <c r="F59" s="51">
        <f t="shared" si="0"/>
        <v>56</v>
      </c>
      <c r="G59" s="52">
        <f t="shared" si="1"/>
        <v>43.98283010511409</v>
      </c>
    </row>
    <row r="60" spans="5:7" ht="15.75" customHeight="1">
      <c r="E60" s="12">
        <f t="shared" si="2"/>
        <v>-43</v>
      </c>
      <c r="F60" s="51">
        <f t="shared" si="0"/>
        <v>57</v>
      </c>
      <c r="G60" s="52">
        <f t="shared" si="1"/>
        <v>42.98283010511409</v>
      </c>
    </row>
    <row r="61" spans="5:7" ht="15.75" customHeight="1">
      <c r="E61" s="12">
        <f t="shared" si="2"/>
        <v>-42</v>
      </c>
      <c r="F61" s="51">
        <f t="shared" si="0"/>
        <v>58</v>
      </c>
      <c r="G61" s="52">
        <f t="shared" si="1"/>
        <v>41.98283010511409</v>
      </c>
    </row>
    <row r="62" spans="5:7" ht="15.75" customHeight="1">
      <c r="E62" s="12">
        <f t="shared" si="2"/>
        <v>-41</v>
      </c>
      <c r="F62" s="51">
        <f t="shared" si="0"/>
        <v>59</v>
      </c>
      <c r="G62" s="52">
        <f t="shared" si="1"/>
        <v>40.98283010511409</v>
      </c>
    </row>
    <row r="63" spans="5:7" ht="15.75" customHeight="1">
      <c r="E63" s="12">
        <f t="shared" si="2"/>
        <v>-40</v>
      </c>
      <c r="F63" s="51">
        <f t="shared" si="0"/>
        <v>60</v>
      </c>
      <c r="G63" s="52">
        <f t="shared" si="1"/>
        <v>39.98283010511409</v>
      </c>
    </row>
    <row r="64" spans="5:7" ht="15.75" customHeight="1">
      <c r="E64" s="12">
        <f t="shared" si="2"/>
        <v>-39</v>
      </c>
      <c r="F64" s="51">
        <f t="shared" si="0"/>
        <v>61</v>
      </c>
      <c r="G64" s="52">
        <f t="shared" si="1"/>
        <v>38.98283010511409</v>
      </c>
    </row>
    <row r="65" spans="5:7" ht="15.75" customHeight="1">
      <c r="E65" s="12">
        <f t="shared" si="2"/>
        <v>-38</v>
      </c>
      <c r="F65" s="51">
        <f t="shared" si="0"/>
        <v>62</v>
      </c>
      <c r="G65" s="52">
        <f t="shared" si="1"/>
        <v>37.98283010511409</v>
      </c>
    </row>
    <row r="66" spans="5:7" ht="15.75" customHeight="1">
      <c r="E66" s="12">
        <f t="shared" si="2"/>
        <v>-37</v>
      </c>
      <c r="F66" s="51">
        <f t="shared" si="0"/>
        <v>63</v>
      </c>
      <c r="G66" s="52">
        <f t="shared" si="1"/>
        <v>36.98283010511409</v>
      </c>
    </row>
    <row r="67" spans="5:7" ht="15.75" customHeight="1">
      <c r="E67" s="12">
        <f t="shared" si="2"/>
        <v>-36</v>
      </c>
      <c r="F67" s="51">
        <f t="shared" ref="F67:F130" si="3">Stock+(E67/100)*Stock</f>
        <v>64</v>
      </c>
      <c r="G67" s="52">
        <f t="shared" ref="G67:G130" si="4">IF(bs_option_type="Call",IF(((F67-Stock-(vba_bs_result/Stock)*Stock))&lt;-(vba_bs_result/Stock)*Stock,-(vba_bs_result/Stock)*Stock,(F67-Stock-(vba_bs_result/Stock)*Stock)*1),IF((Exercise-(vba_bs_result/Stock)*Stock)-F67&lt;-(vba_bs_result/Stock)*Stock,-(vba_bs_result/Stock)*Stock,(Exercise-(vba_bs_result/Stock)*Stock)-F67))</f>
        <v>35.98283010511409</v>
      </c>
    </row>
    <row r="68" spans="5:7" ht="15.75" customHeight="1">
      <c r="E68" s="12">
        <f t="shared" si="2"/>
        <v>-35</v>
      </c>
      <c r="F68" s="51">
        <f t="shared" si="3"/>
        <v>65</v>
      </c>
      <c r="G68" s="52">
        <f t="shared" si="4"/>
        <v>34.98283010511409</v>
      </c>
    </row>
    <row r="69" spans="5:7" ht="15.75" customHeight="1">
      <c r="E69" s="12">
        <f t="shared" si="2"/>
        <v>-34</v>
      </c>
      <c r="F69" s="51">
        <f t="shared" si="3"/>
        <v>66</v>
      </c>
      <c r="G69" s="52">
        <f t="shared" si="4"/>
        <v>33.98283010511409</v>
      </c>
    </row>
    <row r="70" spans="5:7" ht="15.75" customHeight="1">
      <c r="E70" s="12">
        <f t="shared" si="2"/>
        <v>-33</v>
      </c>
      <c r="F70" s="51">
        <f t="shared" si="3"/>
        <v>67</v>
      </c>
      <c r="G70" s="52">
        <f t="shared" si="4"/>
        <v>32.98283010511409</v>
      </c>
    </row>
    <row r="71" spans="5:7" ht="15.75" customHeight="1">
      <c r="E71" s="12">
        <f t="shared" si="2"/>
        <v>-32</v>
      </c>
      <c r="F71" s="51">
        <f t="shared" si="3"/>
        <v>68</v>
      </c>
      <c r="G71" s="52">
        <f t="shared" si="4"/>
        <v>31.98283010511409</v>
      </c>
    </row>
    <row r="72" spans="5:7" ht="15.75" customHeight="1">
      <c r="E72" s="12">
        <f t="shared" si="2"/>
        <v>-31</v>
      </c>
      <c r="F72" s="51">
        <f t="shared" si="3"/>
        <v>69</v>
      </c>
      <c r="G72" s="52">
        <f t="shared" si="4"/>
        <v>30.98283010511409</v>
      </c>
    </row>
    <row r="73" spans="5:7" ht="15.75" customHeight="1">
      <c r="E73" s="12">
        <f t="shared" si="2"/>
        <v>-30</v>
      </c>
      <c r="F73" s="51">
        <f t="shared" si="3"/>
        <v>70</v>
      </c>
      <c r="G73" s="52">
        <f t="shared" si="4"/>
        <v>29.98283010511409</v>
      </c>
    </row>
    <row r="74" spans="5:7" ht="15.75" customHeight="1">
      <c r="E74" s="12">
        <f t="shared" si="2"/>
        <v>-29</v>
      </c>
      <c r="F74" s="51">
        <f t="shared" si="3"/>
        <v>71</v>
      </c>
      <c r="G74" s="52">
        <f t="shared" si="4"/>
        <v>28.98283010511409</v>
      </c>
    </row>
    <row r="75" spans="5:7" ht="15.75" customHeight="1">
      <c r="E75" s="12">
        <f t="shared" si="2"/>
        <v>-28</v>
      </c>
      <c r="F75" s="51">
        <f t="shared" si="3"/>
        <v>72</v>
      </c>
      <c r="G75" s="52">
        <f t="shared" si="4"/>
        <v>27.98283010511409</v>
      </c>
    </row>
    <row r="76" spans="5:7" ht="15.75" customHeight="1">
      <c r="E76" s="12">
        <f t="shared" si="2"/>
        <v>-27</v>
      </c>
      <c r="F76" s="51">
        <f t="shared" si="3"/>
        <v>73</v>
      </c>
      <c r="G76" s="52">
        <f t="shared" si="4"/>
        <v>26.98283010511409</v>
      </c>
    </row>
    <row r="77" spans="5:7" ht="15.75" customHeight="1">
      <c r="E77" s="12">
        <f t="shared" si="2"/>
        <v>-26</v>
      </c>
      <c r="F77" s="51">
        <f t="shared" si="3"/>
        <v>74</v>
      </c>
      <c r="G77" s="52">
        <f t="shared" si="4"/>
        <v>25.98283010511409</v>
      </c>
    </row>
    <row r="78" spans="5:7" ht="15.75" customHeight="1">
      <c r="E78" s="12">
        <f t="shared" si="2"/>
        <v>-25</v>
      </c>
      <c r="F78" s="51">
        <f t="shared" si="3"/>
        <v>75</v>
      </c>
      <c r="G78" s="52">
        <f t="shared" si="4"/>
        <v>24.98283010511409</v>
      </c>
    </row>
    <row r="79" spans="5:7" ht="15.75" customHeight="1">
      <c r="E79" s="12">
        <f t="shared" si="2"/>
        <v>-24</v>
      </c>
      <c r="F79" s="51">
        <f t="shared" si="3"/>
        <v>76</v>
      </c>
      <c r="G79" s="52">
        <f t="shared" si="4"/>
        <v>23.98283010511409</v>
      </c>
    </row>
    <row r="80" spans="5:7" ht="15.75" customHeight="1">
      <c r="E80" s="12">
        <f t="shared" si="2"/>
        <v>-23</v>
      </c>
      <c r="F80" s="51">
        <f t="shared" si="3"/>
        <v>77</v>
      </c>
      <c r="G80" s="52">
        <f t="shared" si="4"/>
        <v>22.98283010511409</v>
      </c>
    </row>
    <row r="81" spans="5:7" ht="15.75" customHeight="1">
      <c r="E81" s="12">
        <f t="shared" si="2"/>
        <v>-22</v>
      </c>
      <c r="F81" s="51">
        <f t="shared" si="3"/>
        <v>78</v>
      </c>
      <c r="G81" s="52">
        <f t="shared" si="4"/>
        <v>21.98283010511409</v>
      </c>
    </row>
    <row r="82" spans="5:7" ht="15.75" customHeight="1">
      <c r="E82" s="12">
        <f t="shared" si="2"/>
        <v>-21</v>
      </c>
      <c r="F82" s="51">
        <f t="shared" si="3"/>
        <v>79</v>
      </c>
      <c r="G82" s="52">
        <f t="shared" si="4"/>
        <v>20.98283010511409</v>
      </c>
    </row>
    <row r="83" spans="5:7" ht="15.75" customHeight="1">
      <c r="E83" s="12">
        <f t="shared" si="2"/>
        <v>-20</v>
      </c>
      <c r="F83" s="51">
        <f t="shared" si="3"/>
        <v>80</v>
      </c>
      <c r="G83" s="52">
        <f t="shared" si="4"/>
        <v>19.98283010511409</v>
      </c>
    </row>
    <row r="84" spans="5:7" ht="15.75" customHeight="1">
      <c r="E84" s="12">
        <f t="shared" si="2"/>
        <v>-19</v>
      </c>
      <c r="F84" s="51">
        <f t="shared" si="3"/>
        <v>81</v>
      </c>
      <c r="G84" s="52">
        <f t="shared" si="4"/>
        <v>18.98283010511409</v>
      </c>
    </row>
    <row r="85" spans="5:7" ht="15.75" customHeight="1">
      <c r="E85" s="12">
        <f t="shared" si="2"/>
        <v>-18</v>
      </c>
      <c r="F85" s="51">
        <f t="shared" si="3"/>
        <v>82</v>
      </c>
      <c r="G85" s="52">
        <f t="shared" si="4"/>
        <v>17.98283010511409</v>
      </c>
    </row>
    <row r="86" spans="5:7" ht="15.75" customHeight="1">
      <c r="E86" s="12">
        <f t="shared" si="2"/>
        <v>-17</v>
      </c>
      <c r="F86" s="51">
        <f t="shared" si="3"/>
        <v>83</v>
      </c>
      <c r="G86" s="52">
        <f t="shared" si="4"/>
        <v>16.98283010511409</v>
      </c>
    </row>
    <row r="87" spans="5:7" ht="15.75" customHeight="1">
      <c r="E87" s="12">
        <f t="shared" si="2"/>
        <v>-16</v>
      </c>
      <c r="F87" s="51">
        <f t="shared" si="3"/>
        <v>84</v>
      </c>
      <c r="G87" s="52">
        <f t="shared" si="4"/>
        <v>15.98283010511409</v>
      </c>
    </row>
    <row r="88" spans="5:7" ht="15.75" customHeight="1">
      <c r="E88" s="12">
        <f t="shared" si="2"/>
        <v>-15</v>
      </c>
      <c r="F88" s="51">
        <f t="shared" si="3"/>
        <v>85</v>
      </c>
      <c r="G88" s="52">
        <f t="shared" si="4"/>
        <v>14.98283010511409</v>
      </c>
    </row>
    <row r="89" spans="5:7" ht="15.75" customHeight="1">
      <c r="E89" s="12">
        <f t="shared" si="2"/>
        <v>-14</v>
      </c>
      <c r="F89" s="51">
        <f t="shared" si="3"/>
        <v>86</v>
      </c>
      <c r="G89" s="52">
        <f t="shared" si="4"/>
        <v>13.98283010511409</v>
      </c>
    </row>
    <row r="90" spans="5:7" ht="15.75" customHeight="1">
      <c r="E90" s="12">
        <f t="shared" si="2"/>
        <v>-13</v>
      </c>
      <c r="F90" s="51">
        <f t="shared" si="3"/>
        <v>87</v>
      </c>
      <c r="G90" s="52">
        <f t="shared" si="4"/>
        <v>12.98283010511409</v>
      </c>
    </row>
    <row r="91" spans="5:7" ht="15.75" customHeight="1">
      <c r="E91" s="12">
        <f t="shared" si="2"/>
        <v>-12</v>
      </c>
      <c r="F91" s="51">
        <f t="shared" si="3"/>
        <v>88</v>
      </c>
      <c r="G91" s="52">
        <f t="shared" si="4"/>
        <v>11.98283010511409</v>
      </c>
    </row>
    <row r="92" spans="5:7" ht="15.75" customHeight="1">
      <c r="E92" s="12">
        <f t="shared" si="2"/>
        <v>-11</v>
      </c>
      <c r="F92" s="51">
        <f t="shared" si="3"/>
        <v>89</v>
      </c>
      <c r="G92" s="52">
        <f t="shared" si="4"/>
        <v>10.98283010511409</v>
      </c>
    </row>
    <row r="93" spans="5:7" ht="15.75" customHeight="1">
      <c r="E93" s="12">
        <f t="shared" si="2"/>
        <v>-10</v>
      </c>
      <c r="F93" s="51">
        <f t="shared" si="3"/>
        <v>90</v>
      </c>
      <c r="G93" s="52">
        <f t="shared" si="4"/>
        <v>9.9828301051140897</v>
      </c>
    </row>
    <row r="94" spans="5:7" ht="15.75" customHeight="1">
      <c r="E94" s="12">
        <f t="shared" si="2"/>
        <v>-9</v>
      </c>
      <c r="F94" s="51">
        <f t="shared" si="3"/>
        <v>91</v>
      </c>
      <c r="G94" s="52">
        <f t="shared" si="4"/>
        <v>8.9828301051140897</v>
      </c>
    </row>
    <row r="95" spans="5:7" ht="15.75" customHeight="1">
      <c r="E95" s="12">
        <f t="shared" si="2"/>
        <v>-8</v>
      </c>
      <c r="F95" s="51">
        <f t="shared" si="3"/>
        <v>92</v>
      </c>
      <c r="G95" s="52">
        <f t="shared" si="4"/>
        <v>7.9828301051140897</v>
      </c>
    </row>
    <row r="96" spans="5:7" ht="15.75" customHeight="1">
      <c r="E96" s="12">
        <f t="shared" si="2"/>
        <v>-7</v>
      </c>
      <c r="F96" s="51">
        <f t="shared" si="3"/>
        <v>93</v>
      </c>
      <c r="G96" s="52">
        <f t="shared" si="4"/>
        <v>6.9828301051140897</v>
      </c>
    </row>
    <row r="97" spans="5:7" ht="15.75" customHeight="1">
      <c r="E97" s="12">
        <f t="shared" si="2"/>
        <v>-6</v>
      </c>
      <c r="F97" s="51">
        <f t="shared" si="3"/>
        <v>94</v>
      </c>
      <c r="G97" s="52">
        <f t="shared" si="4"/>
        <v>5.9828301051140897</v>
      </c>
    </row>
    <row r="98" spans="5:7" ht="15.75" customHeight="1">
      <c r="E98" s="12">
        <f t="shared" si="2"/>
        <v>-5</v>
      </c>
      <c r="F98" s="51">
        <f t="shared" si="3"/>
        <v>95</v>
      </c>
      <c r="G98" s="52">
        <f t="shared" si="4"/>
        <v>4.9828301051140897</v>
      </c>
    </row>
    <row r="99" spans="5:7" ht="15.75" customHeight="1">
      <c r="E99" s="12">
        <f t="shared" si="2"/>
        <v>-4</v>
      </c>
      <c r="F99" s="51">
        <f t="shared" si="3"/>
        <v>96</v>
      </c>
      <c r="G99" s="52">
        <f t="shared" si="4"/>
        <v>3.9828301051140897</v>
      </c>
    </row>
    <row r="100" spans="5:7" ht="15.75" customHeight="1">
      <c r="E100" s="12">
        <f t="shared" si="2"/>
        <v>-3</v>
      </c>
      <c r="F100" s="51">
        <f t="shared" si="3"/>
        <v>97</v>
      </c>
      <c r="G100" s="52">
        <f t="shared" si="4"/>
        <v>2.9828301051140897</v>
      </c>
    </row>
    <row r="101" spans="5:7" ht="15.75" customHeight="1">
      <c r="E101" s="12">
        <f t="shared" si="2"/>
        <v>-2</v>
      </c>
      <c r="F101" s="51">
        <f t="shared" si="3"/>
        <v>98</v>
      </c>
      <c r="G101" s="52">
        <f t="shared" si="4"/>
        <v>1.9828301051140897</v>
      </c>
    </row>
    <row r="102" spans="5:7" ht="15.75" customHeight="1">
      <c r="E102" s="12">
        <f t="shared" si="2"/>
        <v>-1</v>
      </c>
      <c r="F102" s="51">
        <f t="shared" si="3"/>
        <v>99</v>
      </c>
      <c r="G102" s="52">
        <f t="shared" si="4"/>
        <v>0.98283010511408975</v>
      </c>
    </row>
    <row r="103" spans="5:7" ht="15.75" customHeight="1">
      <c r="E103" s="12">
        <f t="shared" si="2"/>
        <v>0</v>
      </c>
      <c r="F103" s="51">
        <f t="shared" si="3"/>
        <v>100</v>
      </c>
      <c r="G103" s="52">
        <f t="shared" si="4"/>
        <v>-1.7169894885910253E-2</v>
      </c>
    </row>
    <row r="104" spans="5:7" ht="15.75" customHeight="1">
      <c r="E104" s="12">
        <f t="shared" si="2"/>
        <v>1</v>
      </c>
      <c r="F104" s="51">
        <f t="shared" si="3"/>
        <v>101</v>
      </c>
      <c r="G104" s="52">
        <f t="shared" si="4"/>
        <v>-1.0171698948859103</v>
      </c>
    </row>
    <row r="105" spans="5:7" ht="15.75" customHeight="1">
      <c r="E105" s="12">
        <f t="shared" si="2"/>
        <v>2</v>
      </c>
      <c r="F105" s="51">
        <f t="shared" si="3"/>
        <v>102</v>
      </c>
      <c r="G105" s="52">
        <f t="shared" si="4"/>
        <v>-2.0171698948859103</v>
      </c>
    </row>
    <row r="106" spans="5:7" ht="15.75" customHeight="1">
      <c r="E106" s="12">
        <f t="shared" si="2"/>
        <v>3</v>
      </c>
      <c r="F106" s="51">
        <f t="shared" si="3"/>
        <v>103</v>
      </c>
      <c r="G106" s="52">
        <f t="shared" si="4"/>
        <v>-3.0171698948859103</v>
      </c>
    </row>
    <row r="107" spans="5:7" ht="15.75" customHeight="1">
      <c r="E107" s="12">
        <f t="shared" si="2"/>
        <v>4</v>
      </c>
      <c r="F107" s="51">
        <f t="shared" si="3"/>
        <v>104</v>
      </c>
      <c r="G107" s="52">
        <f t="shared" si="4"/>
        <v>-4.0171698948859103</v>
      </c>
    </row>
    <row r="108" spans="5:7" ht="15.75" customHeight="1">
      <c r="E108" s="12">
        <f t="shared" si="2"/>
        <v>5</v>
      </c>
      <c r="F108" s="51">
        <f t="shared" si="3"/>
        <v>105</v>
      </c>
      <c r="G108" s="52">
        <f t="shared" si="4"/>
        <v>-5.0171698948859103</v>
      </c>
    </row>
    <row r="109" spans="5:7" ht="15.75" customHeight="1">
      <c r="E109" s="12">
        <f t="shared" si="2"/>
        <v>6</v>
      </c>
      <c r="F109" s="51">
        <f t="shared" si="3"/>
        <v>106</v>
      </c>
      <c r="G109" s="52">
        <f t="shared" si="4"/>
        <v>-5.0171698948859103</v>
      </c>
    </row>
    <row r="110" spans="5:7" ht="15.75" customHeight="1">
      <c r="E110" s="12">
        <f t="shared" si="2"/>
        <v>7</v>
      </c>
      <c r="F110" s="51">
        <f t="shared" si="3"/>
        <v>107</v>
      </c>
      <c r="G110" s="52">
        <f t="shared" si="4"/>
        <v>-5.0171698948859103</v>
      </c>
    </row>
    <row r="111" spans="5:7" ht="15.75" customHeight="1">
      <c r="E111" s="12">
        <f t="shared" si="2"/>
        <v>8</v>
      </c>
      <c r="F111" s="51">
        <f t="shared" si="3"/>
        <v>108</v>
      </c>
      <c r="G111" s="52">
        <f t="shared" si="4"/>
        <v>-5.0171698948859103</v>
      </c>
    </row>
    <row r="112" spans="5:7" ht="15.75" customHeight="1">
      <c r="E112" s="12">
        <f t="shared" si="2"/>
        <v>9</v>
      </c>
      <c r="F112" s="51">
        <f t="shared" si="3"/>
        <v>109</v>
      </c>
      <c r="G112" s="52">
        <f t="shared" si="4"/>
        <v>-5.0171698948859103</v>
      </c>
    </row>
    <row r="113" spans="5:7" ht="15.75" customHeight="1">
      <c r="E113" s="12">
        <f t="shared" si="2"/>
        <v>10</v>
      </c>
      <c r="F113" s="51">
        <f t="shared" si="3"/>
        <v>110</v>
      </c>
      <c r="G113" s="52">
        <f t="shared" si="4"/>
        <v>-5.0171698948859103</v>
      </c>
    </row>
    <row r="114" spans="5:7" ht="15.75" customHeight="1">
      <c r="E114" s="12">
        <f t="shared" si="2"/>
        <v>11</v>
      </c>
      <c r="F114" s="51">
        <f t="shared" si="3"/>
        <v>111</v>
      </c>
      <c r="G114" s="52">
        <f t="shared" si="4"/>
        <v>-5.0171698948859103</v>
      </c>
    </row>
    <row r="115" spans="5:7" ht="15.75" customHeight="1">
      <c r="E115" s="12">
        <f t="shared" si="2"/>
        <v>12</v>
      </c>
      <c r="F115" s="51">
        <f t="shared" si="3"/>
        <v>112</v>
      </c>
      <c r="G115" s="52">
        <f t="shared" si="4"/>
        <v>-5.0171698948859103</v>
      </c>
    </row>
    <row r="116" spans="5:7" ht="15.75" customHeight="1">
      <c r="E116" s="12">
        <f t="shared" si="2"/>
        <v>13</v>
      </c>
      <c r="F116" s="51">
        <f t="shared" si="3"/>
        <v>113</v>
      </c>
      <c r="G116" s="52">
        <f t="shared" si="4"/>
        <v>-5.0171698948859103</v>
      </c>
    </row>
    <row r="117" spans="5:7" ht="15.75" customHeight="1">
      <c r="E117" s="12">
        <f t="shared" si="2"/>
        <v>14</v>
      </c>
      <c r="F117" s="51">
        <f t="shared" si="3"/>
        <v>114</v>
      </c>
      <c r="G117" s="52">
        <f t="shared" si="4"/>
        <v>-5.0171698948859103</v>
      </c>
    </row>
    <row r="118" spans="5:7" ht="15.75" customHeight="1">
      <c r="E118" s="12">
        <f t="shared" si="2"/>
        <v>15</v>
      </c>
      <c r="F118" s="51">
        <f t="shared" si="3"/>
        <v>115</v>
      </c>
      <c r="G118" s="52">
        <f t="shared" si="4"/>
        <v>-5.0171698948859103</v>
      </c>
    </row>
    <row r="119" spans="5:7" ht="15.75" customHeight="1">
      <c r="E119" s="12">
        <f t="shared" si="2"/>
        <v>16</v>
      </c>
      <c r="F119" s="51">
        <f t="shared" si="3"/>
        <v>116</v>
      </c>
      <c r="G119" s="52">
        <f t="shared" si="4"/>
        <v>-5.0171698948859103</v>
      </c>
    </row>
    <row r="120" spans="5:7" ht="15.75" customHeight="1">
      <c r="E120" s="12">
        <f t="shared" si="2"/>
        <v>17</v>
      </c>
      <c r="F120" s="51">
        <f t="shared" si="3"/>
        <v>117</v>
      </c>
      <c r="G120" s="52">
        <f t="shared" si="4"/>
        <v>-5.0171698948859103</v>
      </c>
    </row>
    <row r="121" spans="5:7" ht="15.75" customHeight="1">
      <c r="E121" s="12">
        <f t="shared" si="2"/>
        <v>18</v>
      </c>
      <c r="F121" s="51">
        <f t="shared" si="3"/>
        <v>118</v>
      </c>
      <c r="G121" s="52">
        <f t="shared" si="4"/>
        <v>-5.0171698948859103</v>
      </c>
    </row>
    <row r="122" spans="5:7" ht="15.75" customHeight="1">
      <c r="E122" s="12">
        <f t="shared" si="2"/>
        <v>19</v>
      </c>
      <c r="F122" s="51">
        <f t="shared" si="3"/>
        <v>119</v>
      </c>
      <c r="G122" s="52">
        <f t="shared" si="4"/>
        <v>-5.0171698948859103</v>
      </c>
    </row>
    <row r="123" spans="5:7" ht="15.75" customHeight="1">
      <c r="E123" s="12">
        <f t="shared" si="2"/>
        <v>20</v>
      </c>
      <c r="F123" s="51">
        <f t="shared" si="3"/>
        <v>120</v>
      </c>
      <c r="G123" s="52">
        <f t="shared" si="4"/>
        <v>-5.0171698948859103</v>
      </c>
    </row>
    <row r="124" spans="5:7" ht="15.75" customHeight="1">
      <c r="E124" s="12">
        <f t="shared" si="2"/>
        <v>21</v>
      </c>
      <c r="F124" s="51">
        <f t="shared" si="3"/>
        <v>121</v>
      </c>
      <c r="G124" s="52">
        <f t="shared" si="4"/>
        <v>-5.0171698948859103</v>
      </c>
    </row>
    <row r="125" spans="5:7" ht="15.75" customHeight="1">
      <c r="E125" s="12">
        <f t="shared" si="2"/>
        <v>22</v>
      </c>
      <c r="F125" s="51">
        <f t="shared" si="3"/>
        <v>122</v>
      </c>
      <c r="G125" s="52">
        <f t="shared" si="4"/>
        <v>-5.0171698948859103</v>
      </c>
    </row>
    <row r="126" spans="5:7" ht="15.75" customHeight="1">
      <c r="E126" s="12">
        <f t="shared" si="2"/>
        <v>23</v>
      </c>
      <c r="F126" s="51">
        <f t="shared" si="3"/>
        <v>123</v>
      </c>
      <c r="G126" s="52">
        <f t="shared" si="4"/>
        <v>-5.0171698948859103</v>
      </c>
    </row>
    <row r="127" spans="5:7" ht="15.75" customHeight="1">
      <c r="E127" s="12">
        <f t="shared" si="2"/>
        <v>24</v>
      </c>
      <c r="F127" s="51">
        <f t="shared" si="3"/>
        <v>124</v>
      </c>
      <c r="G127" s="52">
        <f t="shared" si="4"/>
        <v>-5.0171698948859103</v>
      </c>
    </row>
    <row r="128" spans="5:7" ht="15.75" customHeight="1">
      <c r="E128" s="12">
        <f t="shared" si="2"/>
        <v>25</v>
      </c>
      <c r="F128" s="51">
        <f t="shared" si="3"/>
        <v>125</v>
      </c>
      <c r="G128" s="52">
        <f t="shared" si="4"/>
        <v>-5.0171698948859103</v>
      </c>
    </row>
    <row r="129" spans="5:7" ht="15.75" customHeight="1">
      <c r="E129" s="12">
        <f t="shared" si="2"/>
        <v>26</v>
      </c>
      <c r="F129" s="51">
        <f t="shared" si="3"/>
        <v>126</v>
      </c>
      <c r="G129" s="52">
        <f t="shared" si="4"/>
        <v>-5.0171698948859103</v>
      </c>
    </row>
    <row r="130" spans="5:7" ht="15.75" customHeight="1">
      <c r="E130" s="12">
        <f t="shared" si="2"/>
        <v>27</v>
      </c>
      <c r="F130" s="51">
        <f t="shared" si="3"/>
        <v>127</v>
      </c>
      <c r="G130" s="52">
        <f t="shared" si="4"/>
        <v>-5.0171698948859103</v>
      </c>
    </row>
    <row r="131" spans="5:7" ht="15.75" customHeight="1">
      <c r="E131" s="12">
        <f t="shared" si="2"/>
        <v>28</v>
      </c>
      <c r="F131" s="51">
        <f t="shared" ref="F131:F194" si="5">Stock+(E131/100)*Stock</f>
        <v>128</v>
      </c>
      <c r="G131" s="52">
        <f t="shared" ref="G131:G194" si="6">IF(bs_option_type="Call",IF(((F131-Stock-(vba_bs_result/Stock)*Stock))&lt;-(vba_bs_result/Stock)*Stock,-(vba_bs_result/Stock)*Stock,(F131-Stock-(vba_bs_result/Stock)*Stock)*1),IF((Exercise-(vba_bs_result/Stock)*Stock)-F131&lt;-(vba_bs_result/Stock)*Stock,-(vba_bs_result/Stock)*Stock,(Exercise-(vba_bs_result/Stock)*Stock)-F131))</f>
        <v>-5.0171698948859103</v>
      </c>
    </row>
    <row r="132" spans="5:7" ht="15.75" customHeight="1">
      <c r="E132" s="12">
        <f t="shared" si="2"/>
        <v>29</v>
      </c>
      <c r="F132" s="51">
        <f t="shared" si="5"/>
        <v>129</v>
      </c>
      <c r="G132" s="52">
        <f t="shared" si="6"/>
        <v>-5.0171698948859103</v>
      </c>
    </row>
    <row r="133" spans="5:7" ht="15.75" customHeight="1">
      <c r="E133" s="12">
        <f t="shared" si="2"/>
        <v>30</v>
      </c>
      <c r="F133" s="51">
        <f t="shared" si="5"/>
        <v>130</v>
      </c>
      <c r="G133" s="52">
        <f t="shared" si="6"/>
        <v>-5.0171698948859103</v>
      </c>
    </row>
    <row r="134" spans="5:7" ht="15.75" customHeight="1">
      <c r="E134" s="12">
        <f t="shared" si="2"/>
        <v>31</v>
      </c>
      <c r="F134" s="51">
        <f t="shared" si="5"/>
        <v>131</v>
      </c>
      <c r="G134" s="52">
        <f t="shared" si="6"/>
        <v>-5.0171698948859103</v>
      </c>
    </row>
    <row r="135" spans="5:7" ht="15.75" customHeight="1">
      <c r="E135" s="12">
        <f t="shared" si="2"/>
        <v>32</v>
      </c>
      <c r="F135" s="51">
        <f t="shared" si="5"/>
        <v>132</v>
      </c>
      <c r="G135" s="52">
        <f t="shared" si="6"/>
        <v>-5.0171698948859103</v>
      </c>
    </row>
    <row r="136" spans="5:7" ht="15.75" customHeight="1">
      <c r="E136" s="12">
        <f t="shared" si="2"/>
        <v>33</v>
      </c>
      <c r="F136" s="51">
        <f t="shared" si="5"/>
        <v>133</v>
      </c>
      <c r="G136" s="52">
        <f t="shared" si="6"/>
        <v>-5.0171698948859103</v>
      </c>
    </row>
    <row r="137" spans="5:7" ht="15.75" customHeight="1">
      <c r="E137" s="12">
        <f t="shared" si="2"/>
        <v>34</v>
      </c>
      <c r="F137" s="51">
        <f t="shared" si="5"/>
        <v>134</v>
      </c>
      <c r="G137" s="52">
        <f t="shared" si="6"/>
        <v>-5.0171698948859103</v>
      </c>
    </row>
    <row r="138" spans="5:7" ht="15.75" customHeight="1">
      <c r="E138" s="12">
        <f t="shared" si="2"/>
        <v>35</v>
      </c>
      <c r="F138" s="51">
        <f t="shared" si="5"/>
        <v>135</v>
      </c>
      <c r="G138" s="52">
        <f t="shared" si="6"/>
        <v>-5.0171698948859103</v>
      </c>
    </row>
    <row r="139" spans="5:7" ht="15.75" customHeight="1">
      <c r="E139" s="12">
        <f t="shared" si="2"/>
        <v>36</v>
      </c>
      <c r="F139" s="51">
        <f t="shared" si="5"/>
        <v>136</v>
      </c>
      <c r="G139" s="52">
        <f t="shared" si="6"/>
        <v>-5.0171698948859103</v>
      </c>
    </row>
    <row r="140" spans="5:7" ht="15.75" customHeight="1">
      <c r="E140" s="12">
        <f t="shared" si="2"/>
        <v>37</v>
      </c>
      <c r="F140" s="51">
        <f t="shared" si="5"/>
        <v>137</v>
      </c>
      <c r="G140" s="52">
        <f t="shared" si="6"/>
        <v>-5.0171698948859103</v>
      </c>
    </row>
    <row r="141" spans="5:7" ht="15.75" customHeight="1">
      <c r="E141" s="12">
        <f t="shared" si="2"/>
        <v>38</v>
      </c>
      <c r="F141" s="51">
        <f t="shared" si="5"/>
        <v>138</v>
      </c>
      <c r="G141" s="52">
        <f t="shared" si="6"/>
        <v>-5.0171698948859103</v>
      </c>
    </row>
    <row r="142" spans="5:7" ht="15.75" customHeight="1">
      <c r="E142" s="12">
        <f t="shared" si="2"/>
        <v>39</v>
      </c>
      <c r="F142" s="51">
        <f t="shared" si="5"/>
        <v>139</v>
      </c>
      <c r="G142" s="52">
        <f t="shared" si="6"/>
        <v>-5.0171698948859103</v>
      </c>
    </row>
    <row r="143" spans="5:7" ht="15.75" customHeight="1">
      <c r="E143" s="12">
        <f t="shared" si="2"/>
        <v>40</v>
      </c>
      <c r="F143" s="51">
        <f t="shared" si="5"/>
        <v>140</v>
      </c>
      <c r="G143" s="52">
        <f t="shared" si="6"/>
        <v>-5.0171698948859103</v>
      </c>
    </row>
    <row r="144" spans="5:7" ht="15.75" customHeight="1">
      <c r="E144" s="12">
        <f t="shared" si="2"/>
        <v>41</v>
      </c>
      <c r="F144" s="51">
        <f t="shared" si="5"/>
        <v>141</v>
      </c>
      <c r="G144" s="52">
        <f t="shared" si="6"/>
        <v>-5.0171698948859103</v>
      </c>
    </row>
    <row r="145" spans="5:7" ht="15.75" customHeight="1">
      <c r="E145" s="12">
        <f t="shared" si="2"/>
        <v>42</v>
      </c>
      <c r="F145" s="51">
        <f t="shared" si="5"/>
        <v>142</v>
      </c>
      <c r="G145" s="52">
        <f t="shared" si="6"/>
        <v>-5.0171698948859103</v>
      </c>
    </row>
    <row r="146" spans="5:7" ht="15.75" customHeight="1">
      <c r="E146" s="12">
        <f t="shared" si="2"/>
        <v>43</v>
      </c>
      <c r="F146" s="51">
        <f t="shared" si="5"/>
        <v>143</v>
      </c>
      <c r="G146" s="52">
        <f t="shared" si="6"/>
        <v>-5.0171698948859103</v>
      </c>
    </row>
    <row r="147" spans="5:7" ht="15.75" customHeight="1">
      <c r="E147" s="12">
        <f t="shared" si="2"/>
        <v>44</v>
      </c>
      <c r="F147" s="51">
        <f t="shared" si="5"/>
        <v>144</v>
      </c>
      <c r="G147" s="52">
        <f t="shared" si="6"/>
        <v>-5.0171698948859103</v>
      </c>
    </row>
    <row r="148" spans="5:7" ht="15.75" customHeight="1">
      <c r="E148" s="12">
        <f t="shared" si="2"/>
        <v>45</v>
      </c>
      <c r="F148" s="51">
        <f t="shared" si="5"/>
        <v>145</v>
      </c>
      <c r="G148" s="52">
        <f t="shared" si="6"/>
        <v>-5.0171698948859103</v>
      </c>
    </row>
    <row r="149" spans="5:7" ht="15.75" customHeight="1">
      <c r="E149" s="12">
        <f t="shared" si="2"/>
        <v>46</v>
      </c>
      <c r="F149" s="51">
        <f t="shared" si="5"/>
        <v>146</v>
      </c>
      <c r="G149" s="52">
        <f t="shared" si="6"/>
        <v>-5.0171698948859103</v>
      </c>
    </row>
    <row r="150" spans="5:7" ht="15.75" customHeight="1">
      <c r="E150" s="12">
        <f t="shared" si="2"/>
        <v>47</v>
      </c>
      <c r="F150" s="51">
        <f t="shared" si="5"/>
        <v>147</v>
      </c>
      <c r="G150" s="52">
        <f t="shared" si="6"/>
        <v>-5.0171698948859103</v>
      </c>
    </row>
    <row r="151" spans="5:7" ht="15.75" customHeight="1">
      <c r="E151" s="12">
        <f t="shared" si="2"/>
        <v>48</v>
      </c>
      <c r="F151" s="51">
        <f t="shared" si="5"/>
        <v>148</v>
      </c>
      <c r="G151" s="52">
        <f t="shared" si="6"/>
        <v>-5.0171698948859103</v>
      </c>
    </row>
    <row r="152" spans="5:7" ht="15.75" customHeight="1">
      <c r="E152" s="12">
        <f t="shared" si="2"/>
        <v>49</v>
      </c>
      <c r="F152" s="51">
        <f t="shared" si="5"/>
        <v>149</v>
      </c>
      <c r="G152" s="52">
        <f t="shared" si="6"/>
        <v>-5.0171698948859103</v>
      </c>
    </row>
    <row r="153" spans="5:7" ht="15.75" customHeight="1">
      <c r="E153" s="12">
        <f t="shared" si="2"/>
        <v>50</v>
      </c>
      <c r="F153" s="51">
        <f t="shared" si="5"/>
        <v>150</v>
      </c>
      <c r="G153" s="52">
        <f t="shared" si="6"/>
        <v>-5.0171698948859103</v>
      </c>
    </row>
    <row r="154" spans="5:7" ht="15.75" customHeight="1">
      <c r="E154" s="12">
        <f t="shared" si="2"/>
        <v>51</v>
      </c>
      <c r="F154" s="51">
        <f t="shared" si="5"/>
        <v>151</v>
      </c>
      <c r="G154" s="52">
        <f t="shared" si="6"/>
        <v>-5.0171698948859103</v>
      </c>
    </row>
    <row r="155" spans="5:7" ht="15.75" customHeight="1">
      <c r="E155" s="12">
        <f t="shared" si="2"/>
        <v>52</v>
      </c>
      <c r="F155" s="51">
        <f t="shared" si="5"/>
        <v>152</v>
      </c>
      <c r="G155" s="52">
        <f t="shared" si="6"/>
        <v>-5.0171698948859103</v>
      </c>
    </row>
    <row r="156" spans="5:7" ht="15.75" customHeight="1">
      <c r="E156" s="12">
        <f t="shared" si="2"/>
        <v>53</v>
      </c>
      <c r="F156" s="51">
        <f t="shared" si="5"/>
        <v>153</v>
      </c>
      <c r="G156" s="52">
        <f t="shared" si="6"/>
        <v>-5.0171698948859103</v>
      </c>
    </row>
    <row r="157" spans="5:7" ht="15.75" customHeight="1">
      <c r="E157" s="12">
        <f t="shared" si="2"/>
        <v>54</v>
      </c>
      <c r="F157" s="51">
        <f t="shared" si="5"/>
        <v>154</v>
      </c>
      <c r="G157" s="52">
        <f t="shared" si="6"/>
        <v>-5.0171698948859103</v>
      </c>
    </row>
    <row r="158" spans="5:7" ht="15.75" customHeight="1">
      <c r="E158" s="12">
        <f t="shared" si="2"/>
        <v>55</v>
      </c>
      <c r="F158" s="51">
        <f t="shared" si="5"/>
        <v>155</v>
      </c>
      <c r="G158" s="52">
        <f t="shared" si="6"/>
        <v>-5.0171698948859103</v>
      </c>
    </row>
    <row r="159" spans="5:7" ht="15.75" customHeight="1">
      <c r="E159" s="12">
        <f t="shared" si="2"/>
        <v>56</v>
      </c>
      <c r="F159" s="51">
        <f t="shared" si="5"/>
        <v>156</v>
      </c>
      <c r="G159" s="52">
        <f t="shared" si="6"/>
        <v>-5.0171698948859103</v>
      </c>
    </row>
    <row r="160" spans="5:7" ht="15.75" customHeight="1">
      <c r="E160" s="12">
        <f t="shared" si="2"/>
        <v>57</v>
      </c>
      <c r="F160" s="51">
        <f t="shared" si="5"/>
        <v>157</v>
      </c>
      <c r="G160" s="52">
        <f t="shared" si="6"/>
        <v>-5.0171698948859103</v>
      </c>
    </row>
    <row r="161" spans="5:7" ht="15.75" customHeight="1">
      <c r="E161" s="12">
        <f t="shared" si="2"/>
        <v>58</v>
      </c>
      <c r="F161" s="51">
        <f t="shared" si="5"/>
        <v>158</v>
      </c>
      <c r="G161" s="52">
        <f t="shared" si="6"/>
        <v>-5.0171698948859103</v>
      </c>
    </row>
    <row r="162" spans="5:7" ht="15.75" customHeight="1">
      <c r="E162" s="12">
        <f t="shared" si="2"/>
        <v>59</v>
      </c>
      <c r="F162" s="51">
        <f t="shared" si="5"/>
        <v>159</v>
      </c>
      <c r="G162" s="52">
        <f t="shared" si="6"/>
        <v>-5.0171698948859103</v>
      </c>
    </row>
    <row r="163" spans="5:7" ht="15.75" customHeight="1">
      <c r="E163" s="12">
        <f t="shared" si="2"/>
        <v>60</v>
      </c>
      <c r="F163" s="51">
        <f t="shared" si="5"/>
        <v>160</v>
      </c>
      <c r="G163" s="52">
        <f t="shared" si="6"/>
        <v>-5.0171698948859103</v>
      </c>
    </row>
    <row r="164" spans="5:7" ht="15.75" customHeight="1">
      <c r="E164" s="12">
        <f t="shared" si="2"/>
        <v>61</v>
      </c>
      <c r="F164" s="51">
        <f t="shared" si="5"/>
        <v>161</v>
      </c>
      <c r="G164" s="52">
        <f t="shared" si="6"/>
        <v>-5.0171698948859103</v>
      </c>
    </row>
    <row r="165" spans="5:7" ht="15.75" customHeight="1">
      <c r="E165" s="12">
        <f t="shared" si="2"/>
        <v>62</v>
      </c>
      <c r="F165" s="51">
        <f t="shared" si="5"/>
        <v>162</v>
      </c>
      <c r="G165" s="52">
        <f t="shared" si="6"/>
        <v>-5.0171698948859103</v>
      </c>
    </row>
    <row r="166" spans="5:7" ht="15.75" customHeight="1">
      <c r="E166" s="12">
        <f t="shared" si="2"/>
        <v>63</v>
      </c>
      <c r="F166" s="51">
        <f t="shared" si="5"/>
        <v>163</v>
      </c>
      <c r="G166" s="52">
        <f t="shared" si="6"/>
        <v>-5.0171698948859103</v>
      </c>
    </row>
    <row r="167" spans="5:7" ht="15.75" customHeight="1">
      <c r="E167" s="12">
        <f t="shared" si="2"/>
        <v>64</v>
      </c>
      <c r="F167" s="51">
        <f t="shared" si="5"/>
        <v>164</v>
      </c>
      <c r="G167" s="52">
        <f t="shared" si="6"/>
        <v>-5.0171698948859103</v>
      </c>
    </row>
    <row r="168" spans="5:7" ht="15.75" customHeight="1">
      <c r="E168" s="12">
        <f t="shared" si="2"/>
        <v>65</v>
      </c>
      <c r="F168" s="51">
        <f t="shared" si="5"/>
        <v>165</v>
      </c>
      <c r="G168" s="52">
        <f t="shared" si="6"/>
        <v>-5.0171698948859103</v>
      </c>
    </row>
    <row r="169" spans="5:7" ht="15.75" customHeight="1">
      <c r="E169" s="12">
        <f t="shared" si="2"/>
        <v>66</v>
      </c>
      <c r="F169" s="51">
        <f t="shared" si="5"/>
        <v>166</v>
      </c>
      <c r="G169" s="52">
        <f t="shared" si="6"/>
        <v>-5.0171698948859103</v>
      </c>
    </row>
    <row r="170" spans="5:7" ht="15.75" customHeight="1">
      <c r="E170" s="12">
        <f t="shared" si="2"/>
        <v>67</v>
      </c>
      <c r="F170" s="51">
        <f t="shared" si="5"/>
        <v>167</v>
      </c>
      <c r="G170" s="52">
        <f t="shared" si="6"/>
        <v>-5.0171698948859103</v>
      </c>
    </row>
    <row r="171" spans="5:7" ht="15.75" customHeight="1">
      <c r="E171" s="12">
        <f t="shared" si="2"/>
        <v>68</v>
      </c>
      <c r="F171" s="51">
        <f t="shared" si="5"/>
        <v>168</v>
      </c>
      <c r="G171" s="52">
        <f t="shared" si="6"/>
        <v>-5.0171698948859103</v>
      </c>
    </row>
    <row r="172" spans="5:7" ht="15.75" customHeight="1">
      <c r="E172" s="12">
        <f t="shared" si="2"/>
        <v>69</v>
      </c>
      <c r="F172" s="51">
        <f t="shared" si="5"/>
        <v>169</v>
      </c>
      <c r="G172" s="52">
        <f t="shared" si="6"/>
        <v>-5.0171698948859103</v>
      </c>
    </row>
    <row r="173" spans="5:7" ht="15.75" customHeight="1">
      <c r="E173" s="12">
        <f t="shared" si="2"/>
        <v>70</v>
      </c>
      <c r="F173" s="51">
        <f t="shared" si="5"/>
        <v>170</v>
      </c>
      <c r="G173" s="52">
        <f t="shared" si="6"/>
        <v>-5.0171698948859103</v>
      </c>
    </row>
    <row r="174" spans="5:7" ht="15.75" customHeight="1">
      <c r="E174" s="12">
        <f t="shared" si="2"/>
        <v>71</v>
      </c>
      <c r="F174" s="51">
        <f t="shared" si="5"/>
        <v>171</v>
      </c>
      <c r="G174" s="52">
        <f t="shared" si="6"/>
        <v>-5.0171698948859103</v>
      </c>
    </row>
    <row r="175" spans="5:7" ht="15.75" customHeight="1">
      <c r="E175" s="12">
        <f t="shared" si="2"/>
        <v>72</v>
      </c>
      <c r="F175" s="51">
        <f t="shared" si="5"/>
        <v>172</v>
      </c>
      <c r="G175" s="52">
        <f t="shared" si="6"/>
        <v>-5.0171698948859103</v>
      </c>
    </row>
    <row r="176" spans="5:7" ht="15.75" customHeight="1">
      <c r="E176" s="12">
        <f t="shared" si="2"/>
        <v>73</v>
      </c>
      <c r="F176" s="51">
        <f t="shared" si="5"/>
        <v>173</v>
      </c>
      <c r="G176" s="52">
        <f t="shared" si="6"/>
        <v>-5.0171698948859103</v>
      </c>
    </row>
    <row r="177" spans="5:7" ht="15.75" customHeight="1">
      <c r="E177" s="12">
        <f t="shared" si="2"/>
        <v>74</v>
      </c>
      <c r="F177" s="51">
        <f t="shared" si="5"/>
        <v>174</v>
      </c>
      <c r="G177" s="52">
        <f t="shared" si="6"/>
        <v>-5.0171698948859103</v>
      </c>
    </row>
    <row r="178" spans="5:7" ht="15.75" customHeight="1">
      <c r="E178" s="12">
        <f t="shared" si="2"/>
        <v>75</v>
      </c>
      <c r="F178" s="51">
        <f t="shared" si="5"/>
        <v>175</v>
      </c>
      <c r="G178" s="52">
        <f t="shared" si="6"/>
        <v>-5.0171698948859103</v>
      </c>
    </row>
    <row r="179" spans="5:7" ht="15.75" customHeight="1">
      <c r="E179" s="12">
        <f t="shared" si="2"/>
        <v>76</v>
      </c>
      <c r="F179" s="51">
        <f t="shared" si="5"/>
        <v>176</v>
      </c>
      <c r="G179" s="52">
        <f t="shared" si="6"/>
        <v>-5.0171698948859103</v>
      </c>
    </row>
    <row r="180" spans="5:7" ht="15.75" customHeight="1">
      <c r="E180" s="12">
        <f t="shared" si="2"/>
        <v>77</v>
      </c>
      <c r="F180" s="51">
        <f t="shared" si="5"/>
        <v>177</v>
      </c>
      <c r="G180" s="52">
        <f t="shared" si="6"/>
        <v>-5.0171698948859103</v>
      </c>
    </row>
    <row r="181" spans="5:7" ht="15.75" customHeight="1">
      <c r="E181" s="12">
        <f t="shared" si="2"/>
        <v>78</v>
      </c>
      <c r="F181" s="51">
        <f t="shared" si="5"/>
        <v>178</v>
      </c>
      <c r="G181" s="52">
        <f t="shared" si="6"/>
        <v>-5.0171698948859103</v>
      </c>
    </row>
    <row r="182" spans="5:7" ht="15.75" customHeight="1">
      <c r="E182" s="12">
        <f t="shared" si="2"/>
        <v>79</v>
      </c>
      <c r="F182" s="51">
        <f t="shared" si="5"/>
        <v>179</v>
      </c>
      <c r="G182" s="52">
        <f t="shared" si="6"/>
        <v>-5.0171698948859103</v>
      </c>
    </row>
    <row r="183" spans="5:7" ht="15.75" customHeight="1">
      <c r="E183" s="12">
        <f t="shared" si="2"/>
        <v>80</v>
      </c>
      <c r="F183" s="51">
        <f t="shared" si="5"/>
        <v>180</v>
      </c>
      <c r="G183" s="52">
        <f t="shared" si="6"/>
        <v>-5.0171698948859103</v>
      </c>
    </row>
    <row r="184" spans="5:7" ht="15.75" customHeight="1">
      <c r="E184" s="12">
        <f t="shared" si="2"/>
        <v>81</v>
      </c>
      <c r="F184" s="51">
        <f t="shared" si="5"/>
        <v>181</v>
      </c>
      <c r="G184" s="52">
        <f t="shared" si="6"/>
        <v>-5.0171698948859103</v>
      </c>
    </row>
    <row r="185" spans="5:7" ht="15.75" customHeight="1">
      <c r="E185" s="12">
        <f t="shared" si="2"/>
        <v>82</v>
      </c>
      <c r="F185" s="51">
        <f t="shared" si="5"/>
        <v>182</v>
      </c>
      <c r="G185" s="52">
        <f t="shared" si="6"/>
        <v>-5.0171698948859103</v>
      </c>
    </row>
    <row r="186" spans="5:7" ht="15.75" customHeight="1">
      <c r="E186" s="12">
        <f t="shared" si="2"/>
        <v>83</v>
      </c>
      <c r="F186" s="51">
        <f t="shared" si="5"/>
        <v>183</v>
      </c>
      <c r="G186" s="52">
        <f t="shared" si="6"/>
        <v>-5.0171698948859103</v>
      </c>
    </row>
    <row r="187" spans="5:7" ht="15.75" customHeight="1">
      <c r="E187" s="12">
        <f t="shared" si="2"/>
        <v>84</v>
      </c>
      <c r="F187" s="51">
        <f t="shared" si="5"/>
        <v>184</v>
      </c>
      <c r="G187" s="52">
        <f t="shared" si="6"/>
        <v>-5.0171698948859103</v>
      </c>
    </row>
    <row r="188" spans="5:7" ht="15.75" customHeight="1">
      <c r="E188" s="12">
        <f t="shared" si="2"/>
        <v>85</v>
      </c>
      <c r="F188" s="51">
        <f t="shared" si="5"/>
        <v>185</v>
      </c>
      <c r="G188" s="52">
        <f t="shared" si="6"/>
        <v>-5.0171698948859103</v>
      </c>
    </row>
    <row r="189" spans="5:7" ht="15.75" customHeight="1">
      <c r="E189" s="12">
        <f t="shared" si="2"/>
        <v>86</v>
      </c>
      <c r="F189" s="51">
        <f t="shared" si="5"/>
        <v>186</v>
      </c>
      <c r="G189" s="52">
        <f t="shared" si="6"/>
        <v>-5.0171698948859103</v>
      </c>
    </row>
    <row r="190" spans="5:7" ht="15.75" customHeight="1">
      <c r="E190" s="12">
        <f t="shared" si="2"/>
        <v>87</v>
      </c>
      <c r="F190" s="51">
        <f t="shared" si="5"/>
        <v>187</v>
      </c>
      <c r="G190" s="52">
        <f t="shared" si="6"/>
        <v>-5.0171698948859103</v>
      </c>
    </row>
    <row r="191" spans="5:7" ht="15.75" customHeight="1">
      <c r="E191" s="12">
        <f t="shared" si="2"/>
        <v>88</v>
      </c>
      <c r="F191" s="51">
        <f t="shared" si="5"/>
        <v>188</v>
      </c>
      <c r="G191" s="52">
        <f t="shared" si="6"/>
        <v>-5.0171698948859103</v>
      </c>
    </row>
    <row r="192" spans="5:7" ht="15.75" customHeight="1">
      <c r="E192" s="12">
        <f t="shared" si="2"/>
        <v>89</v>
      </c>
      <c r="F192" s="51">
        <f t="shared" si="5"/>
        <v>189</v>
      </c>
      <c r="G192" s="52">
        <f t="shared" si="6"/>
        <v>-5.0171698948859103</v>
      </c>
    </row>
    <row r="193" spans="5:7" ht="15.75" customHeight="1">
      <c r="E193" s="12">
        <f t="shared" si="2"/>
        <v>90</v>
      </c>
      <c r="F193" s="51">
        <f t="shared" si="5"/>
        <v>190</v>
      </c>
      <c r="G193" s="52">
        <f t="shared" si="6"/>
        <v>-5.0171698948859103</v>
      </c>
    </row>
    <row r="194" spans="5:7" ht="15.75" customHeight="1">
      <c r="E194" s="12">
        <f t="shared" si="2"/>
        <v>91</v>
      </c>
      <c r="F194" s="51">
        <f t="shared" si="5"/>
        <v>191</v>
      </c>
      <c r="G194" s="52">
        <f t="shared" si="6"/>
        <v>-5.0171698948859103</v>
      </c>
    </row>
    <row r="195" spans="5:7" ht="15.75" customHeight="1">
      <c r="E195" s="12">
        <f t="shared" si="2"/>
        <v>92</v>
      </c>
      <c r="F195" s="51">
        <f t="shared" ref="F195:F203" si="7">Stock+(E195/100)*Stock</f>
        <v>192</v>
      </c>
      <c r="G195" s="52">
        <f t="shared" ref="G195:G203" si="8">IF(bs_option_type="Call",IF(((F195-Stock-(vba_bs_result/Stock)*Stock))&lt;-(vba_bs_result/Stock)*Stock,-(vba_bs_result/Stock)*Stock,(F195-Stock-(vba_bs_result/Stock)*Stock)*1),IF((Exercise-(vba_bs_result/Stock)*Stock)-F195&lt;-(vba_bs_result/Stock)*Stock,-(vba_bs_result/Stock)*Stock,(Exercise-(vba_bs_result/Stock)*Stock)-F195))</f>
        <v>-5.0171698948859103</v>
      </c>
    </row>
    <row r="196" spans="5:7" ht="15.75" customHeight="1">
      <c r="E196" s="12">
        <f t="shared" si="2"/>
        <v>93</v>
      </c>
      <c r="F196" s="51">
        <f t="shared" si="7"/>
        <v>193</v>
      </c>
      <c r="G196" s="52">
        <f t="shared" si="8"/>
        <v>-5.0171698948859103</v>
      </c>
    </row>
    <row r="197" spans="5:7" ht="15.75" customHeight="1">
      <c r="E197" s="12">
        <f t="shared" si="2"/>
        <v>94</v>
      </c>
      <c r="F197" s="51">
        <f t="shared" si="7"/>
        <v>194</v>
      </c>
      <c r="G197" s="52">
        <f t="shared" si="8"/>
        <v>-5.0171698948859103</v>
      </c>
    </row>
    <row r="198" spans="5:7" ht="15.75" customHeight="1">
      <c r="E198" s="12">
        <f t="shared" si="2"/>
        <v>95</v>
      </c>
      <c r="F198" s="51">
        <f t="shared" si="7"/>
        <v>195</v>
      </c>
      <c r="G198" s="52">
        <f t="shared" si="8"/>
        <v>-5.0171698948859103</v>
      </c>
    </row>
    <row r="199" spans="5:7" ht="15.75" customHeight="1">
      <c r="E199" s="12">
        <f t="shared" si="2"/>
        <v>96</v>
      </c>
      <c r="F199" s="51">
        <f t="shared" si="7"/>
        <v>196</v>
      </c>
      <c r="G199" s="52">
        <f t="shared" si="8"/>
        <v>-5.0171698948859103</v>
      </c>
    </row>
    <row r="200" spans="5:7" ht="15.75" customHeight="1">
      <c r="E200" s="12">
        <f t="shared" si="2"/>
        <v>97</v>
      </c>
      <c r="F200" s="51">
        <f t="shared" si="7"/>
        <v>197</v>
      </c>
      <c r="G200" s="52">
        <f t="shared" si="8"/>
        <v>-5.0171698948859103</v>
      </c>
    </row>
    <row r="201" spans="5:7" ht="15.75" customHeight="1">
      <c r="E201" s="12">
        <f t="shared" si="2"/>
        <v>98</v>
      </c>
      <c r="F201" s="51">
        <f t="shared" si="7"/>
        <v>198</v>
      </c>
      <c r="G201" s="52">
        <f t="shared" si="8"/>
        <v>-5.0171698948859103</v>
      </c>
    </row>
    <row r="202" spans="5:7" ht="15.75" customHeight="1">
      <c r="E202" s="12">
        <f t="shared" si="2"/>
        <v>99</v>
      </c>
      <c r="F202" s="51">
        <f t="shared" si="7"/>
        <v>199</v>
      </c>
      <c r="G202" s="52">
        <f t="shared" si="8"/>
        <v>-5.0171698948859103</v>
      </c>
    </row>
    <row r="203" spans="5:7" ht="15.75" customHeight="1">
      <c r="E203" s="12">
        <f t="shared" si="2"/>
        <v>100</v>
      </c>
      <c r="F203" s="51">
        <f t="shared" si="7"/>
        <v>200</v>
      </c>
      <c r="G203" s="52">
        <f t="shared" si="8"/>
        <v>-5.0171698948859103</v>
      </c>
    </row>
    <row r="204" spans="5:7" ht="15.75" customHeight="1"/>
    <row r="205" spans="5:7" ht="15.75" customHeight="1"/>
    <row r="206" spans="5:7" ht="15.75" customHeight="1"/>
    <row r="207" spans="5:7" ht="15.75" customHeight="1"/>
    <row r="208" spans="5:7"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4B6B3E-D901-448B-9E47-1EBBF1AE357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10</vt:i4>
      </vt:variant>
      <vt:variant>
        <vt:lpstr>Plages nommées</vt:lpstr>
      </vt:variant>
      <vt:variant>
        <vt:i4>35</vt:i4>
      </vt:variant>
    </vt:vector>
  </HeadingPairs>
  <TitlesOfParts>
    <vt:vector size="45" baseType="lpstr">
      <vt:lpstr>ReadMe</vt:lpstr>
      <vt:lpstr>Inputs</vt:lpstr>
      <vt:lpstr>BinomialModel</vt:lpstr>
      <vt:lpstr>MC</vt:lpstr>
      <vt:lpstr>BinomialModel_VBA</vt:lpstr>
      <vt:lpstr>Black&amp;Scholes</vt:lpstr>
      <vt:lpstr>Airbus - Market Data</vt:lpstr>
      <vt:lpstr>Current Market Data</vt:lpstr>
      <vt:lpstr>BinomialModel (2)</vt:lpstr>
      <vt:lpstr>Aux</vt:lpstr>
      <vt:lpstr>average_price</vt:lpstr>
      <vt:lpstr>Inputs!bs_option_type</vt:lpstr>
      <vt:lpstr>bs_option_type</vt:lpstr>
      <vt:lpstr>d_1</vt:lpstr>
      <vt:lpstr>d_2</vt:lpstr>
      <vt:lpstr>dividend_rate</vt:lpstr>
      <vt:lpstr>'BinomialModel (2)'!down_factor</vt:lpstr>
      <vt:lpstr>down_factor</vt:lpstr>
      <vt:lpstr>Inputs!Exercise</vt:lpstr>
      <vt:lpstr>Exercise</vt:lpstr>
      <vt:lpstr>Inputs!expected_return</vt:lpstr>
      <vt:lpstr>expected_return</vt:lpstr>
      <vt:lpstr>'BinomialModel (2)'!hedge_ratio</vt:lpstr>
      <vt:lpstr>hedge_ratio</vt:lpstr>
      <vt:lpstr>n_periods</vt:lpstr>
      <vt:lpstr>Nd_1</vt:lpstr>
      <vt:lpstr>Nd_2</vt:lpstr>
      <vt:lpstr>Nminusd_1</vt:lpstr>
      <vt:lpstr>Nminusd_2</vt:lpstr>
      <vt:lpstr>option_cat</vt:lpstr>
      <vt:lpstr>Inputs!Rate</vt:lpstr>
      <vt:lpstr>Rate</vt:lpstr>
      <vt:lpstr>RefSymbol</vt:lpstr>
      <vt:lpstr>'BinomialModel (2)'!Risk_Neutral_Pb</vt:lpstr>
      <vt:lpstr>Risk_Neutral_Pb</vt:lpstr>
      <vt:lpstr>Inputs!Sigma</vt:lpstr>
      <vt:lpstr>Sigma</vt:lpstr>
      <vt:lpstr>Inputs!Stock</vt:lpstr>
      <vt:lpstr>Stock</vt:lpstr>
      <vt:lpstr>Inputs!Time</vt:lpstr>
      <vt:lpstr>Time</vt:lpstr>
      <vt:lpstr>trading_date</vt:lpstr>
      <vt:lpstr>'BinomialModel (2)'!up_factor</vt:lpstr>
      <vt:lpstr>up_factor</vt:lpstr>
      <vt:lpstr>vba_bs_result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ILYAS MASMOUDI</dc:creator>
  <cp:lastModifiedBy>Ilyès</cp:lastModifiedBy>
  <dcterms:created xsi:type="dcterms:W3CDTF">2021-10-14T12:19:46Z</dcterms:created>
  <dcterms:modified xsi:type="dcterms:W3CDTF">2021-11-14T18:21:07Z</dcterms:modified>
</cp:coreProperties>
</file>