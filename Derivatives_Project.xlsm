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jardieljunior/Desktop/projects/derivatives/"/>
    </mc:Choice>
  </mc:AlternateContent>
  <xr:revisionPtr revIDLastSave="0" documentId="13_ncr:1_{6B2C94BC-3CD0-0D42-9645-47DF23A0F319}" xr6:coauthVersionLast="47" xr6:coauthVersionMax="47" xr10:uidLastSave="{00000000-0000-0000-0000-000000000000}"/>
  <bookViews>
    <workbookView xWindow="-20" yWindow="480" windowWidth="28800" windowHeight="16560" xr2:uid="{00000000-000D-0000-FFFF-FFFF00000000}"/>
  </bookViews>
  <sheets>
    <sheet name="ReadMe" sheetId="1" r:id="rId1"/>
    <sheet name="Inputs" sheetId="2" r:id="rId2"/>
    <sheet name="BinomialModel" sheetId="3" r:id="rId3"/>
    <sheet name="Black&amp;Scholes" sheetId="5" r:id="rId4"/>
    <sheet name="Airbus - Market Data" sheetId="8" r:id="rId5"/>
    <sheet name="Current Market Data" sheetId="10" r:id="rId6"/>
    <sheet name="Aux" sheetId="7" state="hidden" r:id="rId7"/>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nnéesExternes_1" localSheetId="5" hidden="1">'Current Market Data'!$A$4:$B$2561</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BinomialModel!$K$5</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RefSymbol">'Current Market Data'!$B$1</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B7" i="3"/>
  <c r="B6" i="3"/>
  <c r="B8" i="3" s="1"/>
  <c r="F1" i="10" l="1"/>
  <c r="E6" i="3"/>
  <c r="E4" i="7"/>
  <c r="E5" i="7" s="1"/>
  <c r="F3" i="7"/>
  <c r="G3" i="7" s="1"/>
  <c r="A25" i="3"/>
  <c r="I13" i="5"/>
  <c r="I10" i="5"/>
  <c r="I5" i="5"/>
  <c r="I7" i="5"/>
  <c r="I11" i="5"/>
  <c r="I4" i="5"/>
  <c r="I8" i="5"/>
  <c r="I6" i="5"/>
  <c r="I12" i="5"/>
  <c r="I9" i="5"/>
  <c r="D5" i="5" l="1"/>
  <c r="D9" i="5" s="1"/>
  <c r="D4" i="5"/>
  <c r="D8" i="5" s="1"/>
  <c r="B24" i="3"/>
  <c r="B26" i="3"/>
  <c r="C27" i="3" s="1"/>
  <c r="D28" i="3" s="1"/>
  <c r="E29" i="3" s="1"/>
  <c r="F30" i="3" s="1"/>
  <c r="E6" i="7"/>
  <c r="F5" i="7"/>
  <c r="G5" i="7" s="1"/>
  <c r="F4" i="7"/>
  <c r="G4" i="7" s="1"/>
  <c r="A24" i="3" l="1"/>
  <c r="G31" i="3"/>
  <c r="H32" i="3" s="1"/>
  <c r="I33" i="3" s="1"/>
  <c r="J34" i="3" s="1"/>
  <c r="K35" i="3" s="1"/>
  <c r="L36" i="3" s="1"/>
  <c r="M37" i="3" s="1"/>
  <c r="E7" i="3"/>
  <c r="D6" i="5"/>
  <c r="D7" i="5"/>
  <c r="C23" i="3"/>
  <c r="C25" i="3"/>
  <c r="E7" i="7"/>
  <c r="F6" i="7"/>
  <c r="G6" i="7" s="1"/>
  <c r="D11" i="5"/>
  <c r="B23" i="3" l="1"/>
  <c r="D26" i="3"/>
  <c r="B25" i="3"/>
  <c r="M92" i="3"/>
  <c r="M65" i="3"/>
  <c r="D12" i="5"/>
  <c r="D16" i="5" s="1"/>
  <c r="D10" i="5"/>
  <c r="F7" i="7"/>
  <c r="G7" i="7" s="1"/>
  <c r="E8" i="7"/>
  <c r="D22" i="3"/>
  <c r="D24" i="3"/>
  <c r="E25" i="3" l="1"/>
  <c r="C24" i="3"/>
  <c r="C22" i="3"/>
  <c r="E27" i="3"/>
  <c r="C26" i="3"/>
  <c r="E23" i="3"/>
  <c r="E21" i="3"/>
  <c r="D21" i="3" s="1"/>
  <c r="E9" i="7"/>
  <c r="F8" i="7"/>
  <c r="G8" i="7" s="1"/>
  <c r="F28" i="3" l="1"/>
  <c r="D27" i="3"/>
  <c r="F24" i="3"/>
  <c r="D23" i="3"/>
  <c r="F26" i="3"/>
  <c r="D25" i="3"/>
  <c r="E10" i="7"/>
  <c r="F9" i="7"/>
  <c r="G9" i="7" s="1"/>
  <c r="F20" i="3"/>
  <c r="F22" i="3"/>
  <c r="E22" i="3" l="1"/>
  <c r="E24" i="3"/>
  <c r="G25" i="3"/>
  <c r="E20" i="3"/>
  <c r="E26" i="3"/>
  <c r="G27" i="3"/>
  <c r="E28" i="3"/>
  <c r="G29" i="3"/>
  <c r="G23" i="3"/>
  <c r="G21" i="3"/>
  <c r="G19" i="3"/>
  <c r="E11" i="7"/>
  <c r="F10" i="7"/>
  <c r="G10" i="7" s="1"/>
  <c r="F25" i="3" l="1"/>
  <c r="H26" i="3"/>
  <c r="F27" i="3"/>
  <c r="H28" i="3"/>
  <c r="H30" i="3"/>
  <c r="F29" i="3"/>
  <c r="F19" i="3"/>
  <c r="H22" i="3"/>
  <c r="F21" i="3"/>
  <c r="H24" i="3"/>
  <c r="F23" i="3"/>
  <c r="I27" i="3"/>
  <c r="G26" i="3"/>
  <c r="F11" i="7"/>
  <c r="G11" i="7" s="1"/>
  <c r="E12" i="7"/>
  <c r="H18" i="3"/>
  <c r="H20" i="3"/>
  <c r="I31" i="3" l="1"/>
  <c r="G30" i="3"/>
  <c r="I29" i="3"/>
  <c r="H27" i="3" s="1"/>
  <c r="G28" i="3"/>
  <c r="I23" i="3"/>
  <c r="G22" i="3"/>
  <c r="G18" i="3"/>
  <c r="J28" i="3"/>
  <c r="I25" i="3"/>
  <c r="J26" i="3" s="1"/>
  <c r="G24" i="3"/>
  <c r="I21" i="3"/>
  <c r="G20" i="3"/>
  <c r="I17" i="3"/>
  <c r="I19" i="3"/>
  <c r="E13" i="7"/>
  <c r="F12" i="7"/>
  <c r="G12" i="7" s="1"/>
  <c r="H29" i="3" l="1"/>
  <c r="J30" i="3"/>
  <c r="H31" i="3"/>
  <c r="J32" i="3"/>
  <c r="H17" i="3"/>
  <c r="J22" i="3"/>
  <c r="H21" i="3"/>
  <c r="K27" i="3"/>
  <c r="I26" i="3"/>
  <c r="J24" i="3"/>
  <c r="H23" i="3"/>
  <c r="H25" i="3"/>
  <c r="K29" i="3"/>
  <c r="I28" i="3"/>
  <c r="J20" i="3"/>
  <c r="H19" i="3"/>
  <c r="E14" i="7"/>
  <c r="F13" i="7"/>
  <c r="G13" i="7" s="1"/>
  <c r="J16" i="3"/>
  <c r="J18" i="3"/>
  <c r="K31" i="3" l="1"/>
  <c r="I30" i="3"/>
  <c r="K33" i="3"/>
  <c r="I32" i="3"/>
  <c r="I16" i="3"/>
  <c r="K21" i="3"/>
  <c r="I20" i="3"/>
  <c r="L28" i="3"/>
  <c r="J27" i="3"/>
  <c r="L30" i="3"/>
  <c r="J29" i="3"/>
  <c r="K19" i="3"/>
  <c r="I18" i="3"/>
  <c r="K25" i="3"/>
  <c r="I24" i="3"/>
  <c r="K23" i="3"/>
  <c r="I22" i="3"/>
  <c r="K17" i="3"/>
  <c r="K15" i="3"/>
  <c r="J15" i="3" s="1"/>
  <c r="E15" i="7"/>
  <c r="F14" i="7"/>
  <c r="G14" i="7" s="1"/>
  <c r="L34" i="3" l="1"/>
  <c r="J33" i="3"/>
  <c r="L32" i="3"/>
  <c r="J31" i="3"/>
  <c r="L22" i="3"/>
  <c r="J21" i="3"/>
  <c r="L18" i="3"/>
  <c r="J17" i="3"/>
  <c r="L24" i="3"/>
  <c r="J23" i="3"/>
  <c r="L20" i="3"/>
  <c r="J19" i="3"/>
  <c r="M31" i="3"/>
  <c r="L26" i="3"/>
  <c r="M27" i="3" s="1"/>
  <c r="J25" i="3"/>
  <c r="F15" i="7"/>
  <c r="G15" i="7" s="1"/>
  <c r="E16" i="7"/>
  <c r="L14" i="3"/>
  <c r="L16" i="3"/>
  <c r="M33" i="3" l="1"/>
  <c r="L31" i="3" s="1"/>
  <c r="K32" i="3"/>
  <c r="K30" i="3"/>
  <c r="M35" i="3"/>
  <c r="K34" i="3"/>
  <c r="M55" i="3"/>
  <c r="M82" i="3"/>
  <c r="M21" i="3"/>
  <c r="K20" i="3"/>
  <c r="M19" i="3"/>
  <c r="K18" i="3"/>
  <c r="K14" i="3"/>
  <c r="M86" i="3"/>
  <c r="M59" i="3"/>
  <c r="M25" i="3"/>
  <c r="K24" i="3"/>
  <c r="M23" i="3"/>
  <c r="K22" i="3"/>
  <c r="M17" i="3"/>
  <c r="M72" i="3" s="1"/>
  <c r="K16" i="3"/>
  <c r="E17" i="7"/>
  <c r="F16" i="7"/>
  <c r="G16" i="7" s="1"/>
  <c r="M13" i="3"/>
  <c r="M15" i="3"/>
  <c r="M90" i="3" l="1"/>
  <c r="L91" i="3" s="1"/>
  <c r="M63" i="3"/>
  <c r="L64" i="3" s="1"/>
  <c r="L35" i="3"/>
  <c r="L33" i="3"/>
  <c r="M61" i="3"/>
  <c r="M88" i="3"/>
  <c r="L89" i="3" s="1"/>
  <c r="K90" i="3" s="1"/>
  <c r="L15" i="3"/>
  <c r="M45" i="3"/>
  <c r="L13" i="3"/>
  <c r="L23" i="3"/>
  <c r="M51" i="3"/>
  <c r="M78" i="3"/>
  <c r="L19" i="3"/>
  <c r="M47" i="3"/>
  <c r="M74" i="3"/>
  <c r="L17" i="3"/>
  <c r="L25" i="3"/>
  <c r="M80" i="3"/>
  <c r="L81" i="3" s="1"/>
  <c r="M53" i="3"/>
  <c r="L54" i="3" s="1"/>
  <c r="L21" i="3"/>
  <c r="M49" i="3"/>
  <c r="M76" i="3"/>
  <c r="M70" i="3"/>
  <c r="L71" i="3" s="1"/>
  <c r="M43" i="3"/>
  <c r="M68" i="3"/>
  <c r="M41" i="3"/>
  <c r="E18" i="7"/>
  <c r="F17" i="7"/>
  <c r="G17" i="7" s="1"/>
  <c r="L62" i="3" l="1"/>
  <c r="K63" i="3" s="1"/>
  <c r="L46" i="3"/>
  <c r="L60" i="3"/>
  <c r="L44" i="3"/>
  <c r="K45" i="3" s="1"/>
  <c r="L79" i="3"/>
  <c r="K80" i="3" s="1"/>
  <c r="L87" i="3"/>
  <c r="K88" i="3" s="1"/>
  <c r="J89" i="3" s="1"/>
  <c r="L75" i="3"/>
  <c r="L52" i="3"/>
  <c r="K53" i="3" s="1"/>
  <c r="L48" i="3"/>
  <c r="L77" i="3"/>
  <c r="L50" i="3"/>
  <c r="L73" i="3"/>
  <c r="L42" i="3"/>
  <c r="K43" i="3" s="1"/>
  <c r="J44" i="3" s="1"/>
  <c r="E19" i="7"/>
  <c r="F18" i="7"/>
  <c r="G18" i="7" s="1"/>
  <c r="L69" i="3"/>
  <c r="K70" i="3" s="1"/>
  <c r="K61" i="3" l="1"/>
  <c r="J62" i="3" s="1"/>
  <c r="K47" i="3"/>
  <c r="K78" i="3"/>
  <c r="J79" i="3" s="1"/>
  <c r="K74" i="3"/>
  <c r="K51" i="3"/>
  <c r="J52" i="3" s="1"/>
  <c r="K72" i="3"/>
  <c r="K76" i="3"/>
  <c r="J77" i="3" s="1"/>
  <c r="I78" i="3" s="1"/>
  <c r="J46" i="3"/>
  <c r="I45" i="3" s="1"/>
  <c r="K49" i="3"/>
  <c r="F19" i="7"/>
  <c r="G19" i="7" s="1"/>
  <c r="E20" i="7"/>
  <c r="J50" i="3" l="1"/>
  <c r="I51" i="3" s="1"/>
  <c r="J73" i="3"/>
  <c r="J71" i="3"/>
  <c r="J75" i="3"/>
  <c r="I76" i="3" s="1"/>
  <c r="H77" i="3" s="1"/>
  <c r="J48" i="3"/>
  <c r="I49" i="3" s="1"/>
  <c r="H50" i="3" s="1"/>
  <c r="E21" i="7"/>
  <c r="F20" i="7"/>
  <c r="G20" i="7" s="1"/>
  <c r="I72" i="3" l="1"/>
  <c r="I47" i="3"/>
  <c r="H48" i="3" s="1"/>
  <c r="G49" i="3" s="1"/>
  <c r="I74" i="3"/>
  <c r="E22" i="7"/>
  <c r="F21" i="7"/>
  <c r="G21" i="7" s="1"/>
  <c r="H46" i="3" l="1"/>
  <c r="G47" i="3" s="1"/>
  <c r="F48" i="3" s="1"/>
  <c r="H75" i="3"/>
  <c r="G76" i="3" s="1"/>
  <c r="H73" i="3"/>
  <c r="E23" i="7"/>
  <c r="F22" i="7"/>
  <c r="G22" i="7" s="1"/>
  <c r="G74" i="3" l="1"/>
  <c r="F75" i="3" s="1"/>
  <c r="F23" i="7"/>
  <c r="G23" i="7" s="1"/>
  <c r="E24" i="7"/>
  <c r="E25" i="7" l="1"/>
  <c r="F24" i="7"/>
  <c r="G24" i="7" s="1"/>
  <c r="E26" i="7" l="1"/>
  <c r="F25" i="7"/>
  <c r="G25" i="7" s="1"/>
  <c r="E27" i="7" l="1"/>
  <c r="F26" i="7"/>
  <c r="G26" i="7" s="1"/>
  <c r="F27" i="7" l="1"/>
  <c r="G27" i="7" s="1"/>
  <c r="E28" i="7"/>
  <c r="E29" i="7" l="1"/>
  <c r="F28" i="7"/>
  <c r="G28" i="7" s="1"/>
  <c r="E30" i="7" l="1"/>
  <c r="F29" i="7"/>
  <c r="G29" i="7" s="1"/>
  <c r="E31" i="7" l="1"/>
  <c r="F30" i="7"/>
  <c r="G30" i="7" s="1"/>
  <c r="F31" i="7" l="1"/>
  <c r="G31" i="7" s="1"/>
  <c r="E32" i="7"/>
  <c r="E33" i="7" l="1"/>
  <c r="F32" i="7"/>
  <c r="G32" i="7" s="1"/>
  <c r="E34" i="7" l="1"/>
  <c r="F33" i="7"/>
  <c r="G33" i="7" s="1"/>
  <c r="E35" i="7" l="1"/>
  <c r="F34" i="7"/>
  <c r="G34" i="7" s="1"/>
  <c r="F35" i="7" l="1"/>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 r="K28" i="3" l="1"/>
  <c r="K26" i="3"/>
  <c r="M29" i="3"/>
  <c r="L29" i="3" s="1"/>
  <c r="L27" i="3" l="1"/>
  <c r="M57" i="3"/>
  <c r="L56" i="3" s="1"/>
  <c r="K55" i="3" s="1"/>
  <c r="M84" i="3"/>
  <c r="L85" i="3" s="1"/>
  <c r="K86" i="3" s="1"/>
  <c r="J87" i="3" s="1"/>
  <c r="I88" i="3" s="1"/>
  <c r="L58" i="3" l="1"/>
  <c r="K59" i="3" s="1"/>
  <c r="J60" i="3" s="1"/>
  <c r="I61" i="3" s="1"/>
  <c r="L83" i="3"/>
  <c r="K84" i="3" s="1"/>
  <c r="J85" i="3" s="1"/>
  <c r="I86" i="3" s="1"/>
  <c r="H87" i="3" s="1"/>
  <c r="J54" i="3"/>
  <c r="K82" i="3" l="1"/>
  <c r="J83" i="3" s="1"/>
  <c r="I84" i="3" s="1"/>
  <c r="H85" i="3" s="1"/>
  <c r="G86" i="3" s="1"/>
  <c r="K57" i="3"/>
  <c r="J58" i="3" s="1"/>
  <c r="I59" i="3" s="1"/>
  <c r="H60" i="3" s="1"/>
  <c r="I53" i="3"/>
  <c r="J81" i="3"/>
  <c r="J56" i="3" l="1"/>
  <c r="I57" i="3" s="1"/>
  <c r="H58" i="3" s="1"/>
  <c r="G59" i="3" s="1"/>
  <c r="I80" i="3"/>
  <c r="I82" i="3"/>
  <c r="H83" i="3" s="1"/>
  <c r="G84" i="3" s="1"/>
  <c r="F85" i="3" s="1"/>
  <c r="H52" i="3"/>
  <c r="I55" i="3" l="1"/>
  <c r="H56" i="3" s="1"/>
  <c r="G57" i="3" s="1"/>
  <c r="F58" i="3" s="1"/>
  <c r="G51" i="3"/>
  <c r="H79" i="3"/>
  <c r="H81" i="3"/>
  <c r="G82" i="3" s="1"/>
  <c r="F83" i="3" s="1"/>
  <c r="E84" i="3" s="1"/>
  <c r="H54" i="3" l="1"/>
  <c r="G55" i="3" s="1"/>
  <c r="F56" i="3" s="1"/>
  <c r="E57" i="3" s="1"/>
  <c r="G78" i="3"/>
  <c r="G80" i="3"/>
  <c r="F81" i="3" s="1"/>
  <c r="E82" i="3" s="1"/>
  <c r="D83" i="3" s="1"/>
  <c r="F50" i="3"/>
  <c r="G53" i="3" l="1"/>
  <c r="F54" i="3" s="1"/>
  <c r="E55" i="3" s="1"/>
  <c r="D56" i="3" s="1"/>
  <c r="E49" i="3"/>
  <c r="F52" i="3"/>
  <c r="E53" i="3" s="1"/>
  <c r="D54" i="3" s="1"/>
  <c r="F77" i="3"/>
  <c r="F79" i="3"/>
  <c r="E80" i="3" s="1"/>
  <c r="D81" i="3" s="1"/>
  <c r="C82" i="3" s="1"/>
  <c r="C55" i="3" l="1"/>
  <c r="E76" i="3"/>
  <c r="E78" i="3"/>
  <c r="D79" i="3" s="1"/>
  <c r="C80" i="3" s="1"/>
  <c r="B81" i="3" s="1"/>
  <c r="E51" i="3"/>
  <c r="D52" i="3" s="1"/>
  <c r="C53" i="3" s="1"/>
  <c r="B54" i="3" s="1"/>
  <c r="D50" i="3" l="1"/>
  <c r="C51" i="3" s="1"/>
  <c r="B52" i="3" s="1"/>
  <c r="A53" i="3" s="1"/>
  <c r="D77" i="3"/>
  <c r="C78" i="3" s="1"/>
  <c r="B79" i="3" s="1"/>
  <c r="A80" i="3" s="1"/>
  <c r="H5"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<sst xmlns="http://schemas.openxmlformats.org/spreadsheetml/2006/main" count="82" uniqueCount="73">
  <si>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</si>
  <si>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</si>
  <si>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</si>
  <si>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</si>
  <si>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</si>
  <si>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</si>
  <si>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</si>
  <si>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</si>
  <si>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</si>
  <si>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</si>
  <si>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</si>
  <si>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</si>
  <si>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</si>
  <si>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</si>
  <si>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</si>
  <si>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</si>
  <si>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</si>
  <si>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</si>
  <si>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</si>
  <si>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</si>
  <si>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</si>
  <si>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EUROPEAN OPTION -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</si>
  <si>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</si>
  <si>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</si>
  <si>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</si>
  <si>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</si>
  <si>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</si>
  <si>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</si>
  <si>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</si>
  <si>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</si>
  <si>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</si>
  <si>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</si>
  <si>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</si>
  <si>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</si>
  <si>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</si>
  <si>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</si>
  <si>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</si>
  <si>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</si>
  <si>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</si>
  <si>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</si>
  <si>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</si>
  <si>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</si>
  <si>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</si>
  <si>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</si>
  <si>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</si>
  <si>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</si>
  <si>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</si>
  <si>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</si>
  <si>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</si>
  <si>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</si>
  <si>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Check</t>
  </si>
  <si>
    <t>Hedge Ratio</t>
  </si>
  <si>
    <t>PRICES</t>
  </si>
  <si>
    <t>Volume</t>
  </si>
  <si>
    <t>dividend payment</t>
  </si>
  <si>
    <t>annual dividend yield</t>
  </si>
  <si>
    <t>average dividend yield</t>
  </si>
  <si>
    <t>annual volitality of 10 years</t>
  </si>
  <si>
    <t>annual volitality of past 10 years</t>
  </si>
  <si>
    <t>AIR.PA History     Daily     16-Sep-2009 - 18-Oct-2021</t>
  </si>
  <si>
    <t>Exchange Date</t>
  </si>
  <si>
    <t>AIRBUS - Market Data</t>
  </si>
  <si>
    <t>DIVIDEND</t>
  </si>
  <si>
    <t>continous dividend yield</t>
  </si>
  <si>
    <t>Daily return</t>
  </si>
  <si>
    <t>annual return of 10 years</t>
  </si>
  <si>
    <t>For detailed explanations and analysis of both our models, please access the following Github link created by our team :</t>
  </si>
  <si>
    <t>Ticker</t>
  </si>
  <si>
    <t>Date</t>
  </si>
  <si>
    <t>AIR.PA</t>
  </si>
  <si>
    <t>Close Price</t>
  </si>
  <si>
    <t>Pct Change</t>
  </si>
  <si>
    <t>Current Volatility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</si>
</sst>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409]* #,##0.00_ ;_-[$$-409]* \-#,##0.00\ ;_-[$$-409]* &quot;-&quot;??_ ;_-@_ "/>
    <numFmt numFmtId="165" formatCode="0.000%"/>
    <numFmt numFmtId="166" formatCode="_-[$$-409]* #,##0.0000_ ;_-[$$-409]* \-#,##0.0000\ ;_-[$$-409]* &quot;-&quot;????_ ;_-@_ "/>
    <numFmt numFmtId="167" formatCode="0.0000"/>
    <numFmt numFmtId="168" formatCode="0.000"/>
    <numFmt numFmtId="169" formatCode="_([$$-409]* #,##0.00_);_([$$-409]* \(#,##0.00\);_([$$-409]* &quot;-&quot;??_);_(@_)"/>
    <numFmt numFmtId="170" formatCode="#,##0.0000;\-#,##0.0000;#,##0.0000;&quot;--&quot;"/>
    <numFmt numFmtId="171" formatCode="#,##0;\-#,##0;#,##0;&quot;--&quot;"/>
    <numFmt numFmtId="172" formatCode="_ [$€-2]\ * #,##0.00_ ;_ [$€-2]\ * \-#,##0.00_ ;_ [$€-2]\ * &quot;-&quot;??_ ;_ @_ "/>
  </numFmts>
  <fonts count="38"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1"/>
      <color theme="1"/>
      <name val="Calibri"/>
      <family val="2"/>
      <scheme val="minor"/>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s>
  <fills count="16">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A6A6A6"/>
        <bgColor rgb="FFA6A6A6"/>
      </patternFill>
    </fill>
    <fill>
      <patternFill patternType="solid">
        <fgColor rgb="FFFFFF00"/>
        <bgColor indexed="64"/>
      </patternFill>
    </fill>
    <fill>
      <patternFill patternType="solid">
        <fgColor theme="0" tint="-0.34998626667073579"/>
        <bgColor indexed="64"/>
      </patternFill>
    </fill>
  </fills>
  <borders count="51">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0" fontId="28" fillId="0" borderId="20">
      <alignment vertical="center"/>
    </xf>
    <xf numFmtId="9" fontId="28" fillId="0" borderId="20" applyFont="0" applyFill="0" applyBorder="0" applyAlignment="0" applyProtection="0"/>
    <xf numFmtId="9" fontId="31" fillId="0" borderId="0" applyFont="0" applyFill="0" applyBorder="0" applyAlignment="0" applyProtection="0"/>
    <xf numFmtId="0" fontId="4" fillId="0" borderId="0" applyNumberFormat="0" applyFill="0" applyBorder="0" applyAlignment="0" applyProtection="0"/>
  </cellStyleXfs>
  <cellXfs count="161">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9" fillId="0" borderId="12" xfId="0" applyNumberFormat="1" applyFont="1" applyBorder="1"/>
    <xf numFmtId="164" fontId="0" fillId="0" borderId="12" xfId="0" applyNumberFormat="1" applyFont="1" applyBorder="1"/>
    <xf numFmtId="164" fontId="9" fillId="0" borderId="0" xfId="0" applyNumberFormat="1" applyFont="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21" fillId="0" borderId="0" xfId="0" applyFont="1"/>
    <xf numFmtId="0" fontId="0" fillId="0" borderId="0" xfId="0" applyFont="1" applyAlignment="1"/>
    <xf numFmtId="0" fontId="0" fillId="0" borderId="0" xfId="0" applyFont="1" applyAlignment="1"/>
    <xf numFmtId="164" fontId="0" fillId="0" borderId="20" xfId="0" applyNumberFormat="1" applyFont="1" applyBorder="1"/>
    <xf numFmtId="164" fontId="0" fillId="0" borderId="29" xfId="0" applyNumberFormat="1" applyFont="1" applyBorder="1"/>
    <xf numFmtId="0" fontId="9" fillId="6" borderId="26" xfId="0" applyFont="1" applyFill="1" applyBorder="1"/>
    <xf numFmtId="0" fontId="0" fillId="0" borderId="29" xfId="0" applyFont="1" applyBorder="1"/>
    <xf numFmtId="0" fontId="0" fillId="0" borderId="33" xfId="0" applyFont="1" applyBorder="1"/>
    <xf numFmtId="0" fontId="23" fillId="0" borderId="0" xfId="0" applyFont="1"/>
    <xf numFmtId="169" fontId="0" fillId="0" borderId="0" xfId="0" applyNumberFormat="1" applyFont="1"/>
    <xf numFmtId="4" fontId="15" fillId="6" borderId="15" xfId="0" applyNumberFormat="1" applyFont="1" applyFill="1" applyBorder="1"/>
    <xf numFmtId="0" fontId="28" fillId="0" borderId="20" xfId="1">
      <alignment vertical="center"/>
    </xf>
    <xf numFmtId="0" fontId="27" fillId="0" borderId="20" xfId="1" applyFont="1" applyAlignment="1"/>
    <xf numFmtId="0" fontId="26" fillId="13" borderId="26" xfId="1" applyFont="1" applyFill="1" applyBorder="1" applyAlignment="1">
      <alignment horizontal="right"/>
    </xf>
    <xf numFmtId="170" fontId="27" fillId="0" borderId="12" xfId="1" applyNumberFormat="1" applyFont="1" applyBorder="1" applyAlignment="1"/>
    <xf numFmtId="14" fontId="26" fillId="0" borderId="20" xfId="1" applyNumberFormat="1" applyFont="1" applyAlignment="1"/>
    <xf numFmtId="14" fontId="26" fillId="13" borderId="26" xfId="1" applyNumberFormat="1" applyFont="1" applyFill="1" applyBorder="1" applyAlignment="1">
      <alignment horizontal="right"/>
    </xf>
    <xf numFmtId="14" fontId="27" fillId="0" borderId="12" xfId="1" applyNumberFormat="1" applyFont="1" applyBorder="1" applyAlignment="1"/>
    <xf numFmtId="10" fontId="28" fillId="0" borderId="20" xfId="2" applyNumberFormat="1" applyFont="1" applyAlignment="1">
      <alignment vertical="center"/>
    </xf>
    <xf numFmtId="10" fontId="28" fillId="0" borderId="20" xfId="1" applyNumberFormat="1">
      <alignment vertical="center"/>
    </xf>
    <xf numFmtId="14" fontId="27" fillId="14" borderId="12" xfId="1" applyNumberFormat="1" applyFont="1" applyFill="1" applyBorder="1" applyAlignment="1"/>
    <xf numFmtId="170" fontId="27" fillId="14" borderId="12" xfId="1" applyNumberFormat="1" applyFont="1" applyFill="1" applyBorder="1" applyAlignment="1"/>
    <xf numFmtId="10" fontId="28" fillId="14" borderId="20" xfId="2" applyNumberFormat="1" applyFont="1" applyFill="1" applyAlignment="1">
      <alignment vertical="center"/>
    </xf>
    <xf numFmtId="0" fontId="28" fillId="14" borderId="20" xfId="1" applyFill="1">
      <alignment vertical="center"/>
    </xf>
    <xf numFmtId="0" fontId="29" fillId="0" borderId="0" xfId="0" applyFont="1" applyAlignment="1"/>
    <xf numFmtId="10" fontId="28" fillId="0" borderId="36" xfId="2" applyNumberFormat="1" applyFont="1" applyBorder="1" applyAlignment="1">
      <alignment vertical="center"/>
    </xf>
    <xf numFmtId="0" fontId="26" fillId="13" borderId="26" xfId="1" applyFont="1" applyFill="1" applyBorder="1" applyAlignment="1">
      <alignment horizontal="right"/>
    </xf>
    <xf numFmtId="170" fontId="27" fillId="14" borderId="12" xfId="1" applyNumberFormat="1" applyFont="1" applyFill="1" applyBorder="1" applyAlignment="1"/>
    <xf numFmtId="0" fontId="25" fillId="15" borderId="33" xfId="1" applyFont="1" applyFill="1" applyBorder="1" applyAlignment="1">
      <alignment horizontal="right" vertical="center"/>
    </xf>
    <xf numFmtId="171" fontId="27" fillId="0" borderId="26" xfId="1" applyNumberFormat="1" applyFont="1" applyBorder="1" applyAlignment="1"/>
    <xf numFmtId="171" fontId="27" fillId="14" borderId="26" xfId="1" applyNumberFormat="1" applyFont="1" applyFill="1" applyBorder="1" applyAlignment="1"/>
    <xf numFmtId="0" fontId="0" fillId="0" borderId="20" xfId="0" applyFont="1" applyBorder="1" applyAlignment="1"/>
    <xf numFmtId="10" fontId="28" fillId="0" borderId="33" xfId="2" applyNumberFormat="1" applyFont="1" applyBorder="1" applyAlignment="1">
      <alignment vertical="center"/>
    </xf>
    <xf numFmtId="10" fontId="28" fillId="14" borderId="33" xfId="2" applyNumberFormat="1" applyFont="1" applyFill="1" applyBorder="1" applyAlignment="1">
      <alignment vertical="center"/>
    </xf>
    <xf numFmtId="172" fontId="27" fillId="14" borderId="33" xfId="1" applyNumberFormat="1" applyFont="1" applyFill="1" applyBorder="1" applyAlignment="1">
      <alignment horizontal="center"/>
    </xf>
    <xf numFmtId="0" fontId="28" fillId="14" borderId="33" xfId="1" applyFill="1" applyBorder="1">
      <alignment vertical="center"/>
    </xf>
    <xf numFmtId="10" fontId="28" fillId="14" borderId="33" xfId="2" applyNumberFormat="1" applyFont="1" applyFill="1" applyBorder="1" applyAlignment="1">
      <alignment horizontal="center" vertical="center"/>
    </xf>
    <xf numFmtId="10" fontId="28" fillId="14" borderId="33" xfId="1" applyNumberFormat="1" applyFill="1" applyBorder="1">
      <alignment vertical="center"/>
    </xf>
    <xf numFmtId="14" fontId="26" fillId="0" borderId="40" xfId="1" applyNumberFormat="1" applyFont="1" applyFill="1" applyBorder="1" applyAlignment="1">
      <alignment horizontal="right"/>
    </xf>
    <xf numFmtId="0" fontId="26" fillId="0" borderId="41" xfId="1" applyFont="1" applyFill="1" applyBorder="1" applyAlignment="1">
      <alignment horizontal="right"/>
    </xf>
    <xf numFmtId="0" fontId="26" fillId="0" borderId="42" xfId="1" applyFont="1" applyFill="1" applyBorder="1" applyAlignment="1">
      <alignment horizontal="center"/>
    </xf>
    <xf numFmtId="0" fontId="25" fillId="0" borderId="42" xfId="1" applyFont="1" applyFill="1" applyBorder="1" applyAlignment="1">
      <alignment horizontal="center" vertical="center"/>
    </xf>
    <xf numFmtId="0" fontId="25" fillId="0" borderId="42" xfId="1" applyFont="1" applyFill="1" applyBorder="1">
      <alignment vertical="center"/>
    </xf>
    <xf numFmtId="0" fontId="25" fillId="0" borderId="43" xfId="1" applyFont="1" applyFill="1" applyBorder="1" applyAlignment="1">
      <alignment horizontal="center" vertical="center"/>
    </xf>
    <xf numFmtId="14" fontId="27" fillId="14" borderId="44" xfId="1" applyNumberFormat="1" applyFont="1" applyFill="1" applyBorder="1" applyAlignment="1"/>
    <xf numFmtId="10" fontId="28" fillId="14" borderId="45" xfId="2" applyNumberFormat="1" applyFont="1" applyFill="1" applyBorder="1" applyAlignment="1">
      <alignment horizontal="center" vertical="center"/>
    </xf>
    <xf numFmtId="0" fontId="28" fillId="14" borderId="45" xfId="1" applyFill="1" applyBorder="1" applyAlignment="1">
      <alignment horizontal="center" vertical="center"/>
    </xf>
    <xf numFmtId="14" fontId="27" fillId="14" borderId="46" xfId="1" applyNumberFormat="1" applyFont="1" applyFill="1" applyBorder="1" applyAlignment="1"/>
    <xf numFmtId="170" fontId="27" fillId="14" borderId="47" xfId="1" applyNumberFormat="1" applyFont="1" applyFill="1" applyBorder="1" applyAlignment="1"/>
    <xf numFmtId="171" fontId="27" fillId="14" borderId="48" xfId="1" applyNumberFormat="1" applyFont="1" applyFill="1" applyBorder="1" applyAlignment="1"/>
    <xf numFmtId="172" fontId="27" fillId="14" borderId="49" xfId="1" applyNumberFormat="1" applyFont="1" applyFill="1" applyBorder="1" applyAlignment="1">
      <alignment horizontal="center"/>
    </xf>
    <xf numFmtId="10" fontId="28" fillId="14" borderId="49" xfId="2" applyNumberFormat="1" applyFont="1" applyFill="1" applyBorder="1" applyAlignment="1">
      <alignment horizontal="center" vertical="center"/>
    </xf>
    <xf numFmtId="0" fontId="28" fillId="14" borderId="49" xfId="1" applyFill="1" applyBorder="1">
      <alignment vertical="center"/>
    </xf>
    <xf numFmtId="0" fontId="28" fillId="14" borderId="50" xfId="1" applyFill="1" applyBorder="1" applyAlignment="1">
      <alignment horizontal="center" vertical="center"/>
    </xf>
    <xf numFmtId="0" fontId="25" fillId="0" borderId="34" xfId="1" applyFont="1" applyBorder="1">
      <alignment vertical="center"/>
    </xf>
    <xf numFmtId="0" fontId="25" fillId="0" borderId="35" xfId="1" applyFont="1" applyBorder="1">
      <alignment vertical="center"/>
    </xf>
    <xf numFmtId="0" fontId="30" fillId="0" borderId="0" xfId="0" applyFont="1" applyAlignment="1">
      <alignment horizontal="justify" vertical="center"/>
    </xf>
    <xf numFmtId="9" fontId="17" fillId="0" borderId="0" xfId="3" applyFont="1"/>
    <xf numFmtId="9" fontId="0" fillId="0" borderId="0" xfId="3" applyFont="1"/>
    <xf numFmtId="9" fontId="0" fillId="0" borderId="0" xfId="3" applyFont="1" applyFill="1"/>
    <xf numFmtId="9" fontId="0" fillId="0" borderId="12" xfId="3" applyFont="1" applyBorder="1"/>
    <xf numFmtId="164" fontId="32" fillId="0" borderId="0" xfId="0" applyNumberFormat="1" applyFont="1"/>
    <xf numFmtId="0" fontId="0" fillId="0" borderId="0" xfId="0" applyFont="1" applyAlignment="1"/>
    <xf numFmtId="10" fontId="28" fillId="0" borderId="35" xfId="2" applyNumberFormat="1" applyFont="1" applyBorder="1" applyAlignment="1">
      <alignment horizontal="center" vertical="center"/>
    </xf>
    <xf numFmtId="0" fontId="25" fillId="0" borderId="35" xfId="1" applyFont="1" applyBorder="1" applyAlignment="1">
      <alignment horizontal="center" vertical="center"/>
    </xf>
    <xf numFmtId="10" fontId="28" fillId="0" borderId="36" xfId="2" applyNumberFormat="1" applyFont="1" applyBorder="1" applyAlignment="1">
      <alignment horizontal="center" vertical="center"/>
    </xf>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33" xfId="0"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4" fillId="0" borderId="0" xfId="0" applyFont="1" applyAlignment="1">
      <alignment horizontal="left" vertical="center"/>
    </xf>
    <xf numFmtId="0" fontId="35" fillId="0" borderId="0" xfId="0" applyFont="1" applyAlignment="1">
      <alignment horizontal="left" vertical="center"/>
    </xf>
    <xf numFmtId="0" fontId="0" fillId="0" borderId="0" xfId="0" applyFont="1" applyAlignment="1"/>
    <xf numFmtId="0" fontId="36" fillId="0" borderId="0" xfId="0" applyFont="1" applyAlignment="1">
      <alignment horizontal="center" vertical="center" wrapText="1"/>
    </xf>
    <xf numFmtId="0" fontId="37" fillId="0" borderId="0" xfId="4" applyFont="1" applyAlignment="1">
      <alignment horizontal="left" vertical="center"/>
    </xf>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6"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0" applyNumberFormat="1" applyFont="1" applyFill="1" applyBorder="1" applyAlignment="1">
      <alignment horizontal="center"/>
    </xf>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9" fillId="0" borderId="30" xfId="0" applyFont="1" applyBorder="1" applyAlignment="1">
      <alignment horizontal="center"/>
    </xf>
    <xf numFmtId="0" fontId="29" fillId="0" borderId="31" xfId="0" applyFont="1" applyBorder="1" applyAlignment="1">
      <alignment horizontal="center"/>
    </xf>
    <xf numFmtId="0" fontId="29" fillId="0" borderId="32" xfId="0" applyFont="1" applyBorder="1" applyAlignment="1">
      <alignment horizontal="center"/>
    </xf>
    <xf numFmtId="0" fontId="29" fillId="0" borderId="37" xfId="0" applyFont="1" applyBorder="1" applyAlignment="1">
      <alignment horizontal="center"/>
    </xf>
    <xf numFmtId="0" fontId="29" fillId="0" borderId="38" xfId="0" applyFont="1" applyBorder="1" applyAlignment="1">
      <alignment horizontal="center"/>
    </xf>
    <xf numFmtId="0" fontId="29" fillId="0" borderId="39" xfId="0" applyFont="1" applyBorder="1" applyAlignment="1">
      <alignment horizontal="center"/>
    </xf>
  </cellXfs>
  <cellStyles count="5">
    <cellStyle name="Hyperlink" xfId="4" builtinId="8"/>
    <cellStyle name="Normal" xfId="0" builtinId="0"/>
    <cellStyle name="Normal 2" xfId="1" xr:uid="{6FB657D7-018A-432D-876D-4DCF1F7C5884}"/>
    <cellStyle name="Percent" xfId="3" builtinId="5"/>
    <cellStyle name="Pourcentage 2" xfId="2" xr:uid="{8A7A2D44-5211-420E-9F53-8B7F41CEFEA9}"/>
  </cellStyles>
  <dxfs count="12">
    <dxf>
      <fill>
        <patternFill patternType="solid">
          <fgColor theme="9"/>
          <bgColor theme="9"/>
        </patternFill>
      </fill>
    </dxf>
    <dxf>
      <fill>
        <patternFill patternType="solid">
          <fgColor rgb="FFFF0000"/>
          <bgColor rgb="FFFF0000"/>
        </patternFill>
      </fill>
    </dxf>
    <dxf>
      <fill>
        <patternFill>
          <bgColor theme="9"/>
        </patternFill>
      </fill>
    </dxf>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73" formatCode="dd/mm/yyyy"/>
      <alignment horizontal="general" vertical="bottom" textRotation="0" wrapText="0" indent="0" justifyLastLine="0" shrinkToFit="0" readingOrder="0"/>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1"/>
      <tableStyleElement type="firstRowStripe" dxfId="10"/>
      <tableStyleElement type="secondRowStripe" dxfId="9"/>
    </tableStyle>
    <tableStyle name="Aux-style" pivot="0" count="3" xr9:uid="{00000000-0011-0000-FFFF-FFFF01000000}">
      <tableStyleElement type="headerRow" dxfId="8"/>
      <tableStyleElement type="firstRowStripe"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42.000000000000007</c:v>
                </c:pt>
                <c:pt idx="43">
                  <c:v>43.000000000000007</c:v>
                </c:pt>
                <c:pt idx="44">
                  <c:v>43.999999999999993</c:v>
                </c:pt>
                <c:pt idx="45">
                  <c:v>44.999999999999993</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cat>
          <c:val>
            <c:numRef>
              <c:f>Aux!$G$3:$G$203</c:f>
              <c:numCache>
                <c:formatCode>_-[$$-409]* #,##0.00_ ;_-[$$-409]* \-#,##0.00\ ;_-[$$-409]* "-"??_ ;_-@_ </c:formatCode>
                <c:ptCount val="201"/>
                <c:pt idx="0">
                  <c:v>-5.0171698948859103</c:v>
                </c:pt>
                <c:pt idx="1">
                  <c:v>-5.0171698948859103</c:v>
                </c:pt>
                <c:pt idx="2">
                  <c:v>-5.0171698948859103</c:v>
                </c:pt>
                <c:pt idx="3">
                  <c:v>-5.0171698948859103</c:v>
                </c:pt>
                <c:pt idx="4">
                  <c:v>-5.0171698948859103</c:v>
                </c:pt>
                <c:pt idx="5">
                  <c:v>-5.0171698948859103</c:v>
                </c:pt>
                <c:pt idx="6">
                  <c:v>-5.0171698948859103</c:v>
                </c:pt>
                <c:pt idx="7">
                  <c:v>-5.0171698948859103</c:v>
                </c:pt>
                <c:pt idx="8">
                  <c:v>-5.0171698948859103</c:v>
                </c:pt>
                <c:pt idx="9">
                  <c:v>-5.0171698948859103</c:v>
                </c:pt>
                <c:pt idx="10">
                  <c:v>-5.0171698948859103</c:v>
                </c:pt>
                <c:pt idx="11">
                  <c:v>-5.0171698948859103</c:v>
                </c:pt>
                <c:pt idx="12">
                  <c:v>-5.0171698948859103</c:v>
                </c:pt>
                <c:pt idx="13">
                  <c:v>-5.0171698948859103</c:v>
                </c:pt>
                <c:pt idx="14">
                  <c:v>-5.0171698948859103</c:v>
                </c:pt>
                <c:pt idx="15">
                  <c:v>-5.0171698948859103</c:v>
                </c:pt>
                <c:pt idx="16">
                  <c:v>-5.0171698948859103</c:v>
                </c:pt>
                <c:pt idx="17">
                  <c:v>-5.0171698948859103</c:v>
                </c:pt>
                <c:pt idx="18">
                  <c:v>-5.0171698948859103</c:v>
                </c:pt>
                <c:pt idx="19">
                  <c:v>-5.0171698948859103</c:v>
                </c:pt>
                <c:pt idx="20">
                  <c:v>-5.0171698948859103</c:v>
                </c:pt>
                <c:pt idx="21">
                  <c:v>-5.0171698948859103</c:v>
                </c:pt>
                <c:pt idx="22">
                  <c:v>-5.0171698948859103</c:v>
                </c:pt>
                <c:pt idx="23">
                  <c:v>-5.0171698948859103</c:v>
                </c:pt>
                <c:pt idx="24">
                  <c:v>-5.0171698948859103</c:v>
                </c:pt>
                <c:pt idx="25">
                  <c:v>-5.0171698948859103</c:v>
                </c:pt>
                <c:pt idx="26">
                  <c:v>-5.0171698948859103</c:v>
                </c:pt>
                <c:pt idx="27">
                  <c:v>-5.0171698948859103</c:v>
                </c:pt>
                <c:pt idx="28">
                  <c:v>-5.0171698948859103</c:v>
                </c:pt>
                <c:pt idx="29">
                  <c:v>-5.0171698948859103</c:v>
                </c:pt>
                <c:pt idx="30">
                  <c:v>-5.0171698948859103</c:v>
                </c:pt>
                <c:pt idx="31">
                  <c:v>-5.0171698948859103</c:v>
                </c:pt>
                <c:pt idx="32">
                  <c:v>-5.0171698948859103</c:v>
                </c:pt>
                <c:pt idx="33">
                  <c:v>-5.0171698948859103</c:v>
                </c:pt>
                <c:pt idx="34">
                  <c:v>-5.0171698948859103</c:v>
                </c:pt>
                <c:pt idx="35">
                  <c:v>-5.0171698948859103</c:v>
                </c:pt>
                <c:pt idx="36">
                  <c:v>-5.0171698948859103</c:v>
                </c:pt>
                <c:pt idx="37">
                  <c:v>-5.0171698948859103</c:v>
                </c:pt>
                <c:pt idx="38">
                  <c:v>-5.0171698948859103</c:v>
                </c:pt>
                <c:pt idx="39">
                  <c:v>-5.0171698948859103</c:v>
                </c:pt>
                <c:pt idx="40">
                  <c:v>-5.0171698948859103</c:v>
                </c:pt>
                <c:pt idx="41">
                  <c:v>-5.0171698948859103</c:v>
                </c:pt>
                <c:pt idx="42">
                  <c:v>-5.0171698948859103</c:v>
                </c:pt>
                <c:pt idx="43">
                  <c:v>-5.0171698948859103</c:v>
                </c:pt>
                <c:pt idx="44">
                  <c:v>-5.0171698948859103</c:v>
                </c:pt>
                <c:pt idx="45">
                  <c:v>-5.0171698948859103</c:v>
                </c:pt>
                <c:pt idx="46">
                  <c:v>-5.0171698948859103</c:v>
                </c:pt>
                <c:pt idx="47">
                  <c:v>-5.0171698948859103</c:v>
                </c:pt>
                <c:pt idx="48">
                  <c:v>-5.0171698948859103</c:v>
                </c:pt>
                <c:pt idx="49">
                  <c:v>-5.0171698948859103</c:v>
                </c:pt>
                <c:pt idx="50">
                  <c:v>-5.0171698948859103</c:v>
                </c:pt>
                <c:pt idx="51">
                  <c:v>-5.0171698948859103</c:v>
                </c:pt>
                <c:pt idx="52">
                  <c:v>-5.0171698948859103</c:v>
                </c:pt>
                <c:pt idx="53">
                  <c:v>-5.0171698948859103</c:v>
                </c:pt>
                <c:pt idx="54">
                  <c:v>-5.0171698948859103</c:v>
                </c:pt>
                <c:pt idx="55">
                  <c:v>-5.0171698948859103</c:v>
                </c:pt>
                <c:pt idx="56">
                  <c:v>-5.0171698948859103</c:v>
                </c:pt>
                <c:pt idx="57">
                  <c:v>-5.0171698948859103</c:v>
                </c:pt>
                <c:pt idx="58">
                  <c:v>-5.0171698948859103</c:v>
                </c:pt>
                <c:pt idx="59">
                  <c:v>-5.0171698948859103</c:v>
                </c:pt>
                <c:pt idx="60">
                  <c:v>-5.0171698948859103</c:v>
                </c:pt>
                <c:pt idx="61">
                  <c:v>-5.0171698948859103</c:v>
                </c:pt>
                <c:pt idx="62">
                  <c:v>-5.0171698948859103</c:v>
                </c:pt>
                <c:pt idx="63">
                  <c:v>-5.0171698948859103</c:v>
                </c:pt>
                <c:pt idx="64">
                  <c:v>-5.0171698948859103</c:v>
                </c:pt>
                <c:pt idx="65">
                  <c:v>-5.0171698948859103</c:v>
                </c:pt>
                <c:pt idx="66">
                  <c:v>-5.0171698948859103</c:v>
                </c:pt>
                <c:pt idx="67">
                  <c:v>-5.0171698948859103</c:v>
                </c:pt>
                <c:pt idx="68">
                  <c:v>-5.0171698948859103</c:v>
                </c:pt>
                <c:pt idx="69">
                  <c:v>-5.0171698948859103</c:v>
                </c:pt>
                <c:pt idx="70">
                  <c:v>-5.0171698948859103</c:v>
                </c:pt>
                <c:pt idx="71">
                  <c:v>-5.0171698948859103</c:v>
                </c:pt>
                <c:pt idx="72">
                  <c:v>-5.0171698948859103</c:v>
                </c:pt>
                <c:pt idx="73">
                  <c:v>-5.0171698948859103</c:v>
                </c:pt>
                <c:pt idx="74">
                  <c:v>-5.0171698948859103</c:v>
                </c:pt>
                <c:pt idx="75">
                  <c:v>-5.0171698948859103</c:v>
                </c:pt>
                <c:pt idx="76">
                  <c:v>-5.0171698948859103</c:v>
                </c:pt>
                <c:pt idx="77">
                  <c:v>-5.0171698948859103</c:v>
                </c:pt>
                <c:pt idx="78">
                  <c:v>-5.0171698948859103</c:v>
                </c:pt>
                <c:pt idx="79">
                  <c:v>-5.0171698948859103</c:v>
                </c:pt>
                <c:pt idx="80">
                  <c:v>-5.0171698948859103</c:v>
                </c:pt>
                <c:pt idx="81">
                  <c:v>-5.0171698948859103</c:v>
                </c:pt>
                <c:pt idx="82">
                  <c:v>-5.0171698948859103</c:v>
                </c:pt>
                <c:pt idx="83">
                  <c:v>-5.0171698948859103</c:v>
                </c:pt>
                <c:pt idx="84">
                  <c:v>-5.0171698948859103</c:v>
                </c:pt>
                <c:pt idx="85">
                  <c:v>-5.0171698948859103</c:v>
                </c:pt>
                <c:pt idx="86">
                  <c:v>-5.0171698948859103</c:v>
                </c:pt>
                <c:pt idx="87">
                  <c:v>-5.0171698948859103</c:v>
                </c:pt>
                <c:pt idx="88">
                  <c:v>-5.0171698948859103</c:v>
                </c:pt>
                <c:pt idx="89">
                  <c:v>-5.0171698948859103</c:v>
                </c:pt>
                <c:pt idx="90">
                  <c:v>-5.0171698948859103</c:v>
                </c:pt>
                <c:pt idx="91">
                  <c:v>-5.0171698948859103</c:v>
                </c:pt>
                <c:pt idx="92">
                  <c:v>-5.0171698948859103</c:v>
                </c:pt>
                <c:pt idx="93">
                  <c:v>-5.0171698948859103</c:v>
                </c:pt>
                <c:pt idx="94">
                  <c:v>-5.0171698948859103</c:v>
                </c:pt>
                <c:pt idx="95">
                  <c:v>-5.0171698948859103</c:v>
                </c:pt>
                <c:pt idx="96">
                  <c:v>-5.0171698948859103</c:v>
                </c:pt>
                <c:pt idx="97">
                  <c:v>-5.0171698948859103</c:v>
                </c:pt>
                <c:pt idx="98">
                  <c:v>-5.0171698948859103</c:v>
                </c:pt>
                <c:pt idx="99">
                  <c:v>-5.0171698948859103</c:v>
                </c:pt>
                <c:pt idx="100">
                  <c:v>-5.0171698948859103</c:v>
                </c:pt>
                <c:pt idx="101">
                  <c:v>-4.0171698948859103</c:v>
                </c:pt>
                <c:pt idx="102">
                  <c:v>-3.0171698948859103</c:v>
                </c:pt>
                <c:pt idx="103">
                  <c:v>-2.0171698948859103</c:v>
                </c:pt>
                <c:pt idx="104">
                  <c:v>-1.0171698948859103</c:v>
                </c:pt>
                <c:pt idx="105">
                  <c:v>-1.7169894885910253E-2</c:v>
                </c:pt>
                <c:pt idx="106">
                  <c:v>0.98283010511408975</c:v>
                </c:pt>
                <c:pt idx="107">
                  <c:v>1.9828301051140897</c:v>
                </c:pt>
                <c:pt idx="108">
                  <c:v>2.9828301051140897</c:v>
                </c:pt>
                <c:pt idx="109">
                  <c:v>3.9828301051140897</c:v>
                </c:pt>
                <c:pt idx="110">
                  <c:v>4.9828301051140897</c:v>
                </c:pt>
                <c:pt idx="111">
                  <c:v>5.9828301051140897</c:v>
                </c:pt>
                <c:pt idx="112">
                  <c:v>6.9828301051140897</c:v>
                </c:pt>
                <c:pt idx="113">
                  <c:v>7.9828301051140897</c:v>
                </c:pt>
                <c:pt idx="114">
                  <c:v>8.9828301051140897</c:v>
                </c:pt>
                <c:pt idx="115">
                  <c:v>9.9828301051140897</c:v>
                </c:pt>
                <c:pt idx="116">
                  <c:v>10.98283010511409</c:v>
                </c:pt>
                <c:pt idx="117">
                  <c:v>11.98283010511409</c:v>
                </c:pt>
                <c:pt idx="118">
                  <c:v>12.98283010511409</c:v>
                </c:pt>
                <c:pt idx="119">
                  <c:v>13.98283010511409</c:v>
                </c:pt>
                <c:pt idx="120">
                  <c:v>14.98283010511409</c:v>
                </c:pt>
                <c:pt idx="121">
                  <c:v>15.98283010511409</c:v>
                </c:pt>
                <c:pt idx="122">
                  <c:v>16.98283010511409</c:v>
                </c:pt>
                <c:pt idx="123">
                  <c:v>17.98283010511409</c:v>
                </c:pt>
                <c:pt idx="124">
                  <c:v>18.98283010511409</c:v>
                </c:pt>
                <c:pt idx="125">
                  <c:v>19.98283010511409</c:v>
                </c:pt>
                <c:pt idx="126">
                  <c:v>20.98283010511409</c:v>
                </c:pt>
                <c:pt idx="127">
                  <c:v>21.98283010511409</c:v>
                </c:pt>
                <c:pt idx="128">
                  <c:v>22.98283010511409</c:v>
                </c:pt>
                <c:pt idx="129">
                  <c:v>23.98283010511409</c:v>
                </c:pt>
                <c:pt idx="130">
                  <c:v>24.98283010511409</c:v>
                </c:pt>
                <c:pt idx="131">
                  <c:v>25.98283010511409</c:v>
                </c:pt>
                <c:pt idx="132">
                  <c:v>26.98283010511409</c:v>
                </c:pt>
                <c:pt idx="133">
                  <c:v>27.98283010511409</c:v>
                </c:pt>
                <c:pt idx="134">
                  <c:v>28.98283010511409</c:v>
                </c:pt>
                <c:pt idx="135">
                  <c:v>29.98283010511409</c:v>
                </c:pt>
                <c:pt idx="136">
                  <c:v>30.98283010511409</c:v>
                </c:pt>
                <c:pt idx="137">
                  <c:v>31.98283010511409</c:v>
                </c:pt>
                <c:pt idx="138">
                  <c:v>32.98283010511409</c:v>
                </c:pt>
                <c:pt idx="139">
                  <c:v>33.98283010511409</c:v>
                </c:pt>
                <c:pt idx="140">
                  <c:v>34.98283010511409</c:v>
                </c:pt>
                <c:pt idx="141">
                  <c:v>35.98283010511409</c:v>
                </c:pt>
                <c:pt idx="142">
                  <c:v>36.98283010511409</c:v>
                </c:pt>
                <c:pt idx="143">
                  <c:v>37.98283010511409</c:v>
                </c:pt>
                <c:pt idx="144">
                  <c:v>38.98283010511409</c:v>
                </c:pt>
                <c:pt idx="145">
                  <c:v>39.98283010511409</c:v>
                </c:pt>
                <c:pt idx="146">
                  <c:v>40.98283010511409</c:v>
                </c:pt>
                <c:pt idx="147">
                  <c:v>41.98283010511409</c:v>
                </c:pt>
                <c:pt idx="148">
                  <c:v>42.98283010511409</c:v>
                </c:pt>
                <c:pt idx="149">
                  <c:v>43.98283010511409</c:v>
                </c:pt>
                <c:pt idx="150">
                  <c:v>44.98283010511409</c:v>
                </c:pt>
                <c:pt idx="151">
                  <c:v>45.98283010511409</c:v>
                </c:pt>
                <c:pt idx="152">
                  <c:v>46.98283010511409</c:v>
                </c:pt>
                <c:pt idx="153">
                  <c:v>47.98283010511409</c:v>
                </c:pt>
                <c:pt idx="154">
                  <c:v>48.98283010511409</c:v>
                </c:pt>
                <c:pt idx="155">
                  <c:v>49.98283010511409</c:v>
                </c:pt>
                <c:pt idx="156">
                  <c:v>50.98283010511409</c:v>
                </c:pt>
                <c:pt idx="157">
                  <c:v>51.98283010511409</c:v>
                </c:pt>
                <c:pt idx="158">
                  <c:v>52.98283010511409</c:v>
                </c:pt>
                <c:pt idx="159">
                  <c:v>53.98283010511409</c:v>
                </c:pt>
                <c:pt idx="160">
                  <c:v>54.98283010511409</c:v>
                </c:pt>
                <c:pt idx="161">
                  <c:v>55.98283010511409</c:v>
                </c:pt>
                <c:pt idx="162">
                  <c:v>56.98283010511409</c:v>
                </c:pt>
                <c:pt idx="163">
                  <c:v>57.98283010511409</c:v>
                </c:pt>
                <c:pt idx="164">
                  <c:v>58.98283010511409</c:v>
                </c:pt>
                <c:pt idx="165">
                  <c:v>59.98283010511409</c:v>
                </c:pt>
                <c:pt idx="166">
                  <c:v>60.98283010511409</c:v>
                </c:pt>
                <c:pt idx="167">
                  <c:v>61.98283010511409</c:v>
                </c:pt>
                <c:pt idx="168">
                  <c:v>62.98283010511409</c:v>
                </c:pt>
                <c:pt idx="169">
                  <c:v>63.98283010511409</c:v>
                </c:pt>
                <c:pt idx="170">
                  <c:v>64.98283010511409</c:v>
                </c:pt>
                <c:pt idx="171">
                  <c:v>65.98283010511409</c:v>
                </c:pt>
                <c:pt idx="172">
                  <c:v>66.98283010511409</c:v>
                </c:pt>
                <c:pt idx="173">
                  <c:v>67.98283010511409</c:v>
                </c:pt>
                <c:pt idx="174">
                  <c:v>68.98283010511409</c:v>
                </c:pt>
                <c:pt idx="175">
                  <c:v>69.98283010511409</c:v>
                </c:pt>
                <c:pt idx="176">
                  <c:v>70.98283010511409</c:v>
                </c:pt>
                <c:pt idx="177">
                  <c:v>71.98283010511409</c:v>
                </c:pt>
                <c:pt idx="178">
                  <c:v>72.98283010511409</c:v>
                </c:pt>
                <c:pt idx="179">
                  <c:v>73.98283010511409</c:v>
                </c:pt>
                <c:pt idx="180">
                  <c:v>74.98283010511409</c:v>
                </c:pt>
                <c:pt idx="181">
                  <c:v>75.98283010511409</c:v>
                </c:pt>
                <c:pt idx="182">
                  <c:v>76.98283010511409</c:v>
                </c:pt>
                <c:pt idx="183">
                  <c:v>77.98283010511409</c:v>
                </c:pt>
                <c:pt idx="184">
                  <c:v>78.98283010511409</c:v>
                </c:pt>
                <c:pt idx="185">
                  <c:v>79.98283010511409</c:v>
                </c:pt>
                <c:pt idx="186">
                  <c:v>80.98283010511409</c:v>
                </c:pt>
                <c:pt idx="187">
                  <c:v>81.98283010511409</c:v>
                </c:pt>
                <c:pt idx="188">
                  <c:v>82.98283010511409</c:v>
                </c:pt>
                <c:pt idx="189">
                  <c:v>83.98283010511409</c:v>
                </c:pt>
                <c:pt idx="190">
                  <c:v>84.98283010511409</c:v>
                </c:pt>
                <c:pt idx="191">
                  <c:v>85.98283010511409</c:v>
                </c:pt>
                <c:pt idx="192">
                  <c:v>86.98283010511409</c:v>
                </c:pt>
                <c:pt idx="193">
                  <c:v>87.98283010511409</c:v>
                </c:pt>
                <c:pt idx="194">
                  <c:v>88.98283010511409</c:v>
                </c:pt>
                <c:pt idx="195">
                  <c:v>89.98283010511409</c:v>
                </c:pt>
                <c:pt idx="196">
                  <c:v>90.98283010511409</c:v>
                </c:pt>
                <c:pt idx="197">
                  <c:v>91.98283010511409</c:v>
                </c:pt>
                <c:pt idx="198">
                  <c:v>92.98283010511409</c:v>
                </c:pt>
                <c:pt idx="199">
                  <c:v>93.98283010511409</c:v>
                </c:pt>
                <c:pt idx="200">
                  <c:v>94.98283010511409</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n-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BR"/>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Data'!$A$5:$A$2561</c:f>
              <c:numCache>
                <c:formatCode>m/d/yy</c:formatCode>
                <c:ptCount val="2557"/>
                <c:pt idx="0">
                  <c:v>40840</c:v>
                </c:pt>
                <c:pt idx="1">
                  <c:v>40841</c:v>
                </c:pt>
                <c:pt idx="2">
                  <c:v>40842</c:v>
                </c:pt>
                <c:pt idx="3">
                  <c:v>40843</c:v>
                </c:pt>
                <c:pt idx="4">
                  <c:v>40844</c:v>
                </c:pt>
                <c:pt idx="5">
                  <c:v>40847</c:v>
                </c:pt>
                <c:pt idx="6">
                  <c:v>40848</c:v>
                </c:pt>
                <c:pt idx="7">
                  <c:v>40849</c:v>
                </c:pt>
                <c:pt idx="8">
                  <c:v>40850</c:v>
                </c:pt>
                <c:pt idx="9">
                  <c:v>40851</c:v>
                </c:pt>
                <c:pt idx="10">
                  <c:v>40854</c:v>
                </c:pt>
                <c:pt idx="11">
                  <c:v>40855</c:v>
                </c:pt>
                <c:pt idx="12">
                  <c:v>40856</c:v>
                </c:pt>
                <c:pt idx="13">
                  <c:v>40857</c:v>
                </c:pt>
                <c:pt idx="14">
                  <c:v>40858</c:v>
                </c:pt>
                <c:pt idx="15">
                  <c:v>40861</c:v>
                </c:pt>
                <c:pt idx="16">
                  <c:v>40862</c:v>
                </c:pt>
                <c:pt idx="17">
                  <c:v>40863</c:v>
                </c:pt>
                <c:pt idx="18">
                  <c:v>40864</c:v>
                </c:pt>
                <c:pt idx="19">
                  <c:v>40865</c:v>
                </c:pt>
                <c:pt idx="20">
                  <c:v>40868</c:v>
                </c:pt>
                <c:pt idx="21">
                  <c:v>40869</c:v>
                </c:pt>
                <c:pt idx="22">
                  <c:v>40870</c:v>
                </c:pt>
                <c:pt idx="23">
                  <c:v>40871</c:v>
                </c:pt>
                <c:pt idx="24">
                  <c:v>40872</c:v>
                </c:pt>
                <c:pt idx="25">
                  <c:v>40875</c:v>
                </c:pt>
                <c:pt idx="26">
                  <c:v>40876</c:v>
                </c:pt>
                <c:pt idx="27">
                  <c:v>40877</c:v>
                </c:pt>
                <c:pt idx="28">
                  <c:v>40878</c:v>
                </c:pt>
                <c:pt idx="29">
                  <c:v>40879</c:v>
                </c:pt>
                <c:pt idx="30">
                  <c:v>40882</c:v>
                </c:pt>
                <c:pt idx="31">
                  <c:v>40883</c:v>
                </c:pt>
                <c:pt idx="32">
                  <c:v>40884</c:v>
                </c:pt>
                <c:pt idx="33">
                  <c:v>40885</c:v>
                </c:pt>
                <c:pt idx="34">
                  <c:v>40886</c:v>
                </c:pt>
                <c:pt idx="35">
                  <c:v>40889</c:v>
                </c:pt>
                <c:pt idx="36">
                  <c:v>40890</c:v>
                </c:pt>
                <c:pt idx="37">
                  <c:v>40891</c:v>
                </c:pt>
                <c:pt idx="38">
                  <c:v>40892</c:v>
                </c:pt>
                <c:pt idx="39">
                  <c:v>40893</c:v>
                </c:pt>
                <c:pt idx="40">
                  <c:v>40896</c:v>
                </c:pt>
                <c:pt idx="41">
                  <c:v>40897</c:v>
                </c:pt>
                <c:pt idx="42">
                  <c:v>40898</c:v>
                </c:pt>
                <c:pt idx="43">
                  <c:v>40899</c:v>
                </c:pt>
                <c:pt idx="44">
                  <c:v>40900</c:v>
                </c:pt>
                <c:pt idx="45">
                  <c:v>40904</c:v>
                </c:pt>
                <c:pt idx="46">
                  <c:v>40905</c:v>
                </c:pt>
                <c:pt idx="47">
                  <c:v>40906</c:v>
                </c:pt>
                <c:pt idx="48">
                  <c:v>40907</c:v>
                </c:pt>
                <c:pt idx="49">
                  <c:v>40910</c:v>
                </c:pt>
                <c:pt idx="50">
                  <c:v>40911</c:v>
                </c:pt>
                <c:pt idx="51">
                  <c:v>40912</c:v>
                </c:pt>
                <c:pt idx="52">
                  <c:v>40913</c:v>
                </c:pt>
                <c:pt idx="53">
                  <c:v>40914</c:v>
                </c:pt>
                <c:pt idx="54">
                  <c:v>40917</c:v>
                </c:pt>
                <c:pt idx="55">
                  <c:v>40918</c:v>
                </c:pt>
                <c:pt idx="56">
                  <c:v>40919</c:v>
                </c:pt>
                <c:pt idx="57">
                  <c:v>40920</c:v>
                </c:pt>
                <c:pt idx="58">
                  <c:v>40921</c:v>
                </c:pt>
                <c:pt idx="59">
                  <c:v>40924</c:v>
                </c:pt>
                <c:pt idx="60">
                  <c:v>40925</c:v>
                </c:pt>
                <c:pt idx="61">
                  <c:v>40926</c:v>
                </c:pt>
                <c:pt idx="62">
                  <c:v>40927</c:v>
                </c:pt>
                <c:pt idx="63">
                  <c:v>40928</c:v>
                </c:pt>
                <c:pt idx="64">
                  <c:v>40931</c:v>
                </c:pt>
                <c:pt idx="65">
                  <c:v>40932</c:v>
                </c:pt>
                <c:pt idx="66">
                  <c:v>40933</c:v>
                </c:pt>
                <c:pt idx="67">
                  <c:v>40934</c:v>
                </c:pt>
                <c:pt idx="68">
                  <c:v>40935</c:v>
                </c:pt>
                <c:pt idx="69">
                  <c:v>40938</c:v>
                </c:pt>
                <c:pt idx="70">
                  <c:v>40939</c:v>
                </c:pt>
                <c:pt idx="71">
                  <c:v>40940</c:v>
                </c:pt>
                <c:pt idx="72">
                  <c:v>40941</c:v>
                </c:pt>
                <c:pt idx="73">
                  <c:v>40942</c:v>
                </c:pt>
                <c:pt idx="74">
                  <c:v>40945</c:v>
                </c:pt>
                <c:pt idx="75">
                  <c:v>40946</c:v>
                </c:pt>
                <c:pt idx="76">
                  <c:v>40947</c:v>
                </c:pt>
                <c:pt idx="77">
                  <c:v>40948</c:v>
                </c:pt>
                <c:pt idx="78">
                  <c:v>40949</c:v>
                </c:pt>
                <c:pt idx="79">
                  <c:v>40952</c:v>
                </c:pt>
                <c:pt idx="80">
                  <c:v>40953</c:v>
                </c:pt>
                <c:pt idx="81">
                  <c:v>40954</c:v>
                </c:pt>
                <c:pt idx="82">
                  <c:v>40955</c:v>
                </c:pt>
                <c:pt idx="83">
                  <c:v>40956</c:v>
                </c:pt>
                <c:pt idx="84">
                  <c:v>40959</c:v>
                </c:pt>
                <c:pt idx="85">
                  <c:v>40960</c:v>
                </c:pt>
                <c:pt idx="86">
                  <c:v>40961</c:v>
                </c:pt>
                <c:pt idx="87">
                  <c:v>40962</c:v>
                </c:pt>
                <c:pt idx="88">
                  <c:v>40963</c:v>
                </c:pt>
                <c:pt idx="89">
                  <c:v>40966</c:v>
                </c:pt>
                <c:pt idx="90">
                  <c:v>40967</c:v>
                </c:pt>
                <c:pt idx="91">
                  <c:v>40968</c:v>
                </c:pt>
                <c:pt idx="92">
                  <c:v>40969</c:v>
                </c:pt>
                <c:pt idx="93">
                  <c:v>40970</c:v>
                </c:pt>
                <c:pt idx="94">
                  <c:v>40973</c:v>
                </c:pt>
                <c:pt idx="95">
                  <c:v>40974</c:v>
                </c:pt>
                <c:pt idx="96">
                  <c:v>40975</c:v>
                </c:pt>
                <c:pt idx="97">
                  <c:v>40976</c:v>
                </c:pt>
                <c:pt idx="98">
                  <c:v>40977</c:v>
                </c:pt>
                <c:pt idx="99">
                  <c:v>40980</c:v>
                </c:pt>
                <c:pt idx="100">
                  <c:v>40981</c:v>
                </c:pt>
                <c:pt idx="101">
                  <c:v>40982</c:v>
                </c:pt>
                <c:pt idx="102">
                  <c:v>40983</c:v>
                </c:pt>
                <c:pt idx="103">
                  <c:v>40984</c:v>
                </c:pt>
                <c:pt idx="104">
                  <c:v>40987</c:v>
                </c:pt>
                <c:pt idx="105">
                  <c:v>40988</c:v>
                </c:pt>
                <c:pt idx="106">
                  <c:v>40989</c:v>
                </c:pt>
                <c:pt idx="107">
                  <c:v>40990</c:v>
                </c:pt>
                <c:pt idx="108">
                  <c:v>40991</c:v>
                </c:pt>
                <c:pt idx="109">
                  <c:v>40994</c:v>
                </c:pt>
                <c:pt idx="110">
                  <c:v>40995</c:v>
                </c:pt>
                <c:pt idx="111">
                  <c:v>40996</c:v>
                </c:pt>
                <c:pt idx="112">
                  <c:v>40997</c:v>
                </c:pt>
                <c:pt idx="113">
                  <c:v>40998</c:v>
                </c:pt>
                <c:pt idx="114">
                  <c:v>41001</c:v>
                </c:pt>
                <c:pt idx="115">
                  <c:v>41002</c:v>
                </c:pt>
                <c:pt idx="116">
                  <c:v>41003</c:v>
                </c:pt>
                <c:pt idx="117">
                  <c:v>41004</c:v>
                </c:pt>
                <c:pt idx="118">
                  <c:v>41009</c:v>
                </c:pt>
                <c:pt idx="119">
                  <c:v>41010</c:v>
                </c:pt>
                <c:pt idx="120">
                  <c:v>41011</c:v>
                </c:pt>
                <c:pt idx="121">
                  <c:v>41012</c:v>
                </c:pt>
                <c:pt idx="122">
                  <c:v>41015</c:v>
                </c:pt>
                <c:pt idx="123">
                  <c:v>41016</c:v>
                </c:pt>
                <c:pt idx="124">
                  <c:v>41017</c:v>
                </c:pt>
                <c:pt idx="125">
                  <c:v>41018</c:v>
                </c:pt>
                <c:pt idx="126">
                  <c:v>41019</c:v>
                </c:pt>
                <c:pt idx="127">
                  <c:v>41022</c:v>
                </c:pt>
                <c:pt idx="128">
                  <c:v>41023</c:v>
                </c:pt>
                <c:pt idx="129">
                  <c:v>41024</c:v>
                </c:pt>
                <c:pt idx="130">
                  <c:v>41025</c:v>
                </c:pt>
                <c:pt idx="131">
                  <c:v>41026</c:v>
                </c:pt>
                <c:pt idx="132">
                  <c:v>41029</c:v>
                </c:pt>
                <c:pt idx="133">
                  <c:v>41031</c:v>
                </c:pt>
                <c:pt idx="134">
                  <c:v>41032</c:v>
                </c:pt>
                <c:pt idx="135">
                  <c:v>41033</c:v>
                </c:pt>
                <c:pt idx="136">
                  <c:v>41036</c:v>
                </c:pt>
                <c:pt idx="137">
                  <c:v>41037</c:v>
                </c:pt>
                <c:pt idx="138">
                  <c:v>41038</c:v>
                </c:pt>
                <c:pt idx="139">
                  <c:v>41039</c:v>
                </c:pt>
                <c:pt idx="140">
                  <c:v>41040</c:v>
                </c:pt>
                <c:pt idx="141">
                  <c:v>41043</c:v>
                </c:pt>
                <c:pt idx="142">
                  <c:v>41044</c:v>
                </c:pt>
                <c:pt idx="143">
                  <c:v>41045</c:v>
                </c:pt>
                <c:pt idx="144">
                  <c:v>41046</c:v>
                </c:pt>
                <c:pt idx="145">
                  <c:v>41047</c:v>
                </c:pt>
                <c:pt idx="146">
                  <c:v>41050</c:v>
                </c:pt>
                <c:pt idx="147">
                  <c:v>41051</c:v>
                </c:pt>
                <c:pt idx="148">
                  <c:v>41052</c:v>
                </c:pt>
                <c:pt idx="149">
                  <c:v>41053</c:v>
                </c:pt>
                <c:pt idx="150">
                  <c:v>41054</c:v>
                </c:pt>
                <c:pt idx="151">
                  <c:v>41057</c:v>
                </c:pt>
                <c:pt idx="152">
                  <c:v>41058</c:v>
                </c:pt>
                <c:pt idx="153">
                  <c:v>41059</c:v>
                </c:pt>
                <c:pt idx="154">
                  <c:v>41060</c:v>
                </c:pt>
                <c:pt idx="155">
                  <c:v>41061</c:v>
                </c:pt>
                <c:pt idx="156">
                  <c:v>41064</c:v>
                </c:pt>
                <c:pt idx="157">
                  <c:v>41065</c:v>
                </c:pt>
                <c:pt idx="158">
                  <c:v>41066</c:v>
                </c:pt>
                <c:pt idx="159">
                  <c:v>41067</c:v>
                </c:pt>
                <c:pt idx="160">
                  <c:v>41068</c:v>
                </c:pt>
                <c:pt idx="161">
                  <c:v>41071</c:v>
                </c:pt>
                <c:pt idx="162">
                  <c:v>41072</c:v>
                </c:pt>
                <c:pt idx="163">
                  <c:v>41073</c:v>
                </c:pt>
                <c:pt idx="164">
                  <c:v>41074</c:v>
                </c:pt>
                <c:pt idx="165">
                  <c:v>41075</c:v>
                </c:pt>
                <c:pt idx="166">
                  <c:v>41078</c:v>
                </c:pt>
                <c:pt idx="167">
                  <c:v>41079</c:v>
                </c:pt>
                <c:pt idx="168">
                  <c:v>41080</c:v>
                </c:pt>
                <c:pt idx="169">
                  <c:v>41081</c:v>
                </c:pt>
                <c:pt idx="170">
                  <c:v>41082</c:v>
                </c:pt>
                <c:pt idx="171">
                  <c:v>41085</c:v>
                </c:pt>
                <c:pt idx="172">
                  <c:v>41086</c:v>
                </c:pt>
                <c:pt idx="173">
                  <c:v>41087</c:v>
                </c:pt>
                <c:pt idx="174">
                  <c:v>41088</c:v>
                </c:pt>
                <c:pt idx="175">
                  <c:v>41089</c:v>
                </c:pt>
                <c:pt idx="176">
                  <c:v>41092</c:v>
                </c:pt>
                <c:pt idx="177">
                  <c:v>41093</c:v>
                </c:pt>
                <c:pt idx="178">
                  <c:v>41094</c:v>
                </c:pt>
                <c:pt idx="179">
                  <c:v>41095</c:v>
                </c:pt>
                <c:pt idx="180">
                  <c:v>41096</c:v>
                </c:pt>
                <c:pt idx="181">
                  <c:v>41099</c:v>
                </c:pt>
                <c:pt idx="182">
                  <c:v>41100</c:v>
                </c:pt>
                <c:pt idx="183">
                  <c:v>41101</c:v>
                </c:pt>
                <c:pt idx="184">
                  <c:v>41102</c:v>
                </c:pt>
                <c:pt idx="185">
                  <c:v>41103</c:v>
                </c:pt>
                <c:pt idx="186">
                  <c:v>41106</c:v>
                </c:pt>
                <c:pt idx="187">
                  <c:v>41107</c:v>
                </c:pt>
                <c:pt idx="188">
                  <c:v>41108</c:v>
                </c:pt>
                <c:pt idx="189">
                  <c:v>41109</c:v>
                </c:pt>
                <c:pt idx="190">
                  <c:v>41110</c:v>
                </c:pt>
                <c:pt idx="191">
                  <c:v>41113</c:v>
                </c:pt>
                <c:pt idx="192">
                  <c:v>41114</c:v>
                </c:pt>
                <c:pt idx="193">
                  <c:v>41115</c:v>
                </c:pt>
                <c:pt idx="194">
                  <c:v>41116</c:v>
                </c:pt>
                <c:pt idx="195">
                  <c:v>41117</c:v>
                </c:pt>
                <c:pt idx="196">
                  <c:v>41120</c:v>
                </c:pt>
                <c:pt idx="197">
                  <c:v>41121</c:v>
                </c:pt>
                <c:pt idx="198">
                  <c:v>41122</c:v>
                </c:pt>
                <c:pt idx="199">
                  <c:v>41123</c:v>
                </c:pt>
                <c:pt idx="200">
                  <c:v>41124</c:v>
                </c:pt>
                <c:pt idx="201">
                  <c:v>41127</c:v>
                </c:pt>
                <c:pt idx="202">
                  <c:v>41128</c:v>
                </c:pt>
                <c:pt idx="203">
                  <c:v>41129</c:v>
                </c:pt>
                <c:pt idx="204">
                  <c:v>41130</c:v>
                </c:pt>
                <c:pt idx="205">
                  <c:v>41131</c:v>
                </c:pt>
                <c:pt idx="206">
                  <c:v>41134</c:v>
                </c:pt>
                <c:pt idx="207">
                  <c:v>41135</c:v>
                </c:pt>
                <c:pt idx="208">
                  <c:v>41136</c:v>
                </c:pt>
                <c:pt idx="209">
                  <c:v>41137</c:v>
                </c:pt>
                <c:pt idx="210">
                  <c:v>41138</c:v>
                </c:pt>
                <c:pt idx="211">
                  <c:v>41141</c:v>
                </c:pt>
                <c:pt idx="212">
                  <c:v>41142</c:v>
                </c:pt>
                <c:pt idx="213">
                  <c:v>41143</c:v>
                </c:pt>
                <c:pt idx="214">
                  <c:v>41144</c:v>
                </c:pt>
                <c:pt idx="215">
                  <c:v>41145</c:v>
                </c:pt>
                <c:pt idx="216">
                  <c:v>41148</c:v>
                </c:pt>
                <c:pt idx="217">
                  <c:v>41149</c:v>
                </c:pt>
                <c:pt idx="218">
                  <c:v>41150</c:v>
                </c:pt>
                <c:pt idx="219">
                  <c:v>41151</c:v>
                </c:pt>
                <c:pt idx="220">
                  <c:v>41152</c:v>
                </c:pt>
                <c:pt idx="221">
                  <c:v>41155</c:v>
                </c:pt>
                <c:pt idx="222">
                  <c:v>41156</c:v>
                </c:pt>
                <c:pt idx="223">
                  <c:v>41157</c:v>
                </c:pt>
                <c:pt idx="224">
                  <c:v>41158</c:v>
                </c:pt>
                <c:pt idx="225">
                  <c:v>41159</c:v>
                </c:pt>
                <c:pt idx="226">
                  <c:v>41162</c:v>
                </c:pt>
                <c:pt idx="227">
                  <c:v>41163</c:v>
                </c:pt>
                <c:pt idx="228">
                  <c:v>41164</c:v>
                </c:pt>
                <c:pt idx="229">
                  <c:v>41165</c:v>
                </c:pt>
                <c:pt idx="230">
                  <c:v>41166</c:v>
                </c:pt>
                <c:pt idx="231">
                  <c:v>41169</c:v>
                </c:pt>
                <c:pt idx="232">
                  <c:v>41170</c:v>
                </c:pt>
                <c:pt idx="233">
                  <c:v>41171</c:v>
                </c:pt>
                <c:pt idx="234">
                  <c:v>41172</c:v>
                </c:pt>
                <c:pt idx="235">
                  <c:v>41173</c:v>
                </c:pt>
                <c:pt idx="236">
                  <c:v>41176</c:v>
                </c:pt>
                <c:pt idx="237">
                  <c:v>41177</c:v>
                </c:pt>
                <c:pt idx="238">
                  <c:v>41178</c:v>
                </c:pt>
                <c:pt idx="239">
                  <c:v>41179</c:v>
                </c:pt>
                <c:pt idx="240">
                  <c:v>41180</c:v>
                </c:pt>
                <c:pt idx="241">
                  <c:v>41183</c:v>
                </c:pt>
                <c:pt idx="242">
                  <c:v>41184</c:v>
                </c:pt>
                <c:pt idx="243">
                  <c:v>41185</c:v>
                </c:pt>
                <c:pt idx="244">
                  <c:v>41186</c:v>
                </c:pt>
                <c:pt idx="245">
                  <c:v>41187</c:v>
                </c:pt>
                <c:pt idx="246">
                  <c:v>41190</c:v>
                </c:pt>
                <c:pt idx="247">
                  <c:v>41191</c:v>
                </c:pt>
                <c:pt idx="248">
                  <c:v>41192</c:v>
                </c:pt>
                <c:pt idx="249">
                  <c:v>41193</c:v>
                </c:pt>
                <c:pt idx="250">
                  <c:v>41194</c:v>
                </c:pt>
                <c:pt idx="251">
                  <c:v>41197</c:v>
                </c:pt>
                <c:pt idx="252">
                  <c:v>41198</c:v>
                </c:pt>
                <c:pt idx="253">
                  <c:v>41199</c:v>
                </c:pt>
                <c:pt idx="254">
                  <c:v>41200</c:v>
                </c:pt>
                <c:pt idx="255">
                  <c:v>41201</c:v>
                </c:pt>
                <c:pt idx="256">
                  <c:v>41204</c:v>
                </c:pt>
                <c:pt idx="257">
                  <c:v>41205</c:v>
                </c:pt>
                <c:pt idx="258">
                  <c:v>41206</c:v>
                </c:pt>
                <c:pt idx="259">
                  <c:v>41207</c:v>
                </c:pt>
                <c:pt idx="260">
                  <c:v>41208</c:v>
                </c:pt>
                <c:pt idx="261">
                  <c:v>41211</c:v>
                </c:pt>
                <c:pt idx="262">
                  <c:v>41212</c:v>
                </c:pt>
                <c:pt idx="263">
                  <c:v>41213</c:v>
                </c:pt>
                <c:pt idx="264">
                  <c:v>41214</c:v>
                </c:pt>
                <c:pt idx="265">
                  <c:v>41215</c:v>
                </c:pt>
                <c:pt idx="266">
                  <c:v>41218</c:v>
                </c:pt>
                <c:pt idx="267">
                  <c:v>41219</c:v>
                </c:pt>
                <c:pt idx="268">
                  <c:v>41220</c:v>
                </c:pt>
                <c:pt idx="269">
                  <c:v>41221</c:v>
                </c:pt>
                <c:pt idx="270">
                  <c:v>41222</c:v>
                </c:pt>
                <c:pt idx="271">
                  <c:v>41225</c:v>
                </c:pt>
                <c:pt idx="272">
                  <c:v>41226</c:v>
                </c:pt>
                <c:pt idx="273">
                  <c:v>41227</c:v>
                </c:pt>
                <c:pt idx="274">
                  <c:v>41228</c:v>
                </c:pt>
                <c:pt idx="275">
                  <c:v>41229</c:v>
                </c:pt>
                <c:pt idx="276">
                  <c:v>41232</c:v>
                </c:pt>
                <c:pt idx="277">
                  <c:v>41233</c:v>
                </c:pt>
                <c:pt idx="278">
                  <c:v>41234</c:v>
                </c:pt>
                <c:pt idx="279">
                  <c:v>41235</c:v>
                </c:pt>
                <c:pt idx="280">
                  <c:v>41236</c:v>
                </c:pt>
                <c:pt idx="281">
                  <c:v>41239</c:v>
                </c:pt>
                <c:pt idx="282">
                  <c:v>41240</c:v>
                </c:pt>
                <c:pt idx="283">
                  <c:v>41241</c:v>
                </c:pt>
                <c:pt idx="284">
                  <c:v>41242</c:v>
                </c:pt>
                <c:pt idx="285">
                  <c:v>41243</c:v>
                </c:pt>
                <c:pt idx="286">
                  <c:v>41246</c:v>
                </c:pt>
                <c:pt idx="287">
                  <c:v>41247</c:v>
                </c:pt>
                <c:pt idx="288">
                  <c:v>41248</c:v>
                </c:pt>
                <c:pt idx="289">
                  <c:v>41249</c:v>
                </c:pt>
                <c:pt idx="290">
                  <c:v>41250</c:v>
                </c:pt>
                <c:pt idx="291">
                  <c:v>41253</c:v>
                </c:pt>
                <c:pt idx="292">
                  <c:v>41254</c:v>
                </c:pt>
                <c:pt idx="293">
                  <c:v>41255</c:v>
                </c:pt>
                <c:pt idx="294">
                  <c:v>41256</c:v>
                </c:pt>
                <c:pt idx="295">
                  <c:v>41257</c:v>
                </c:pt>
                <c:pt idx="296">
                  <c:v>41260</c:v>
                </c:pt>
                <c:pt idx="297">
                  <c:v>41261</c:v>
                </c:pt>
                <c:pt idx="298">
                  <c:v>41262</c:v>
                </c:pt>
                <c:pt idx="299">
                  <c:v>41263</c:v>
                </c:pt>
                <c:pt idx="300">
                  <c:v>41264</c:v>
                </c:pt>
                <c:pt idx="301">
                  <c:v>41270</c:v>
                </c:pt>
                <c:pt idx="302">
                  <c:v>41271</c:v>
                </c:pt>
                <c:pt idx="303">
                  <c:v>41276</c:v>
                </c:pt>
                <c:pt idx="304">
                  <c:v>41277</c:v>
                </c:pt>
                <c:pt idx="305">
                  <c:v>41278</c:v>
                </c:pt>
                <c:pt idx="306">
                  <c:v>41281</c:v>
                </c:pt>
                <c:pt idx="307">
                  <c:v>41282</c:v>
                </c:pt>
                <c:pt idx="308">
                  <c:v>41283</c:v>
                </c:pt>
                <c:pt idx="309">
                  <c:v>41284</c:v>
                </c:pt>
                <c:pt idx="310">
                  <c:v>41285</c:v>
                </c:pt>
                <c:pt idx="311">
                  <c:v>41288</c:v>
                </c:pt>
                <c:pt idx="312">
                  <c:v>41289</c:v>
                </c:pt>
                <c:pt idx="313">
                  <c:v>41290</c:v>
                </c:pt>
                <c:pt idx="314">
                  <c:v>41291</c:v>
                </c:pt>
                <c:pt idx="315">
                  <c:v>41292</c:v>
                </c:pt>
                <c:pt idx="316">
                  <c:v>41295</c:v>
                </c:pt>
                <c:pt idx="317">
                  <c:v>41296</c:v>
                </c:pt>
                <c:pt idx="318">
                  <c:v>41297</c:v>
                </c:pt>
                <c:pt idx="319">
                  <c:v>41298</c:v>
                </c:pt>
                <c:pt idx="320">
                  <c:v>41299</c:v>
                </c:pt>
                <c:pt idx="321">
                  <c:v>41302</c:v>
                </c:pt>
                <c:pt idx="322">
                  <c:v>41303</c:v>
                </c:pt>
                <c:pt idx="323">
                  <c:v>41304</c:v>
                </c:pt>
                <c:pt idx="324">
                  <c:v>41305</c:v>
                </c:pt>
                <c:pt idx="325">
                  <c:v>41306</c:v>
                </c:pt>
                <c:pt idx="326">
                  <c:v>41309</c:v>
                </c:pt>
                <c:pt idx="327">
                  <c:v>41310</c:v>
                </c:pt>
                <c:pt idx="328">
                  <c:v>41311</c:v>
                </c:pt>
                <c:pt idx="329">
                  <c:v>41312</c:v>
                </c:pt>
                <c:pt idx="330">
                  <c:v>41313</c:v>
                </c:pt>
                <c:pt idx="331">
                  <c:v>41316</c:v>
                </c:pt>
                <c:pt idx="332">
                  <c:v>41317</c:v>
                </c:pt>
                <c:pt idx="333">
                  <c:v>41318</c:v>
                </c:pt>
                <c:pt idx="334">
                  <c:v>41319</c:v>
                </c:pt>
                <c:pt idx="335">
                  <c:v>41320</c:v>
                </c:pt>
                <c:pt idx="336">
                  <c:v>41323</c:v>
                </c:pt>
                <c:pt idx="337">
                  <c:v>41324</c:v>
                </c:pt>
                <c:pt idx="338">
                  <c:v>41325</c:v>
                </c:pt>
                <c:pt idx="339">
                  <c:v>41326</c:v>
                </c:pt>
                <c:pt idx="340">
                  <c:v>41327</c:v>
                </c:pt>
                <c:pt idx="341">
                  <c:v>41330</c:v>
                </c:pt>
                <c:pt idx="342">
                  <c:v>41331</c:v>
                </c:pt>
                <c:pt idx="343">
                  <c:v>41332</c:v>
                </c:pt>
                <c:pt idx="344">
                  <c:v>41333</c:v>
                </c:pt>
                <c:pt idx="345">
                  <c:v>41334</c:v>
                </c:pt>
                <c:pt idx="346">
                  <c:v>41337</c:v>
                </c:pt>
                <c:pt idx="347">
                  <c:v>41338</c:v>
                </c:pt>
                <c:pt idx="348">
                  <c:v>41339</c:v>
                </c:pt>
                <c:pt idx="349">
                  <c:v>41340</c:v>
                </c:pt>
                <c:pt idx="350">
                  <c:v>41341</c:v>
                </c:pt>
                <c:pt idx="351">
                  <c:v>41344</c:v>
                </c:pt>
                <c:pt idx="352">
                  <c:v>41345</c:v>
                </c:pt>
                <c:pt idx="353">
                  <c:v>41346</c:v>
                </c:pt>
                <c:pt idx="354">
                  <c:v>41347</c:v>
                </c:pt>
                <c:pt idx="355">
                  <c:v>41348</c:v>
                </c:pt>
                <c:pt idx="356">
                  <c:v>41351</c:v>
                </c:pt>
                <c:pt idx="357">
                  <c:v>41352</c:v>
                </c:pt>
                <c:pt idx="358">
                  <c:v>41353</c:v>
                </c:pt>
                <c:pt idx="359">
                  <c:v>41354</c:v>
                </c:pt>
                <c:pt idx="360">
                  <c:v>41355</c:v>
                </c:pt>
                <c:pt idx="361">
                  <c:v>41358</c:v>
                </c:pt>
                <c:pt idx="362">
                  <c:v>41359</c:v>
                </c:pt>
                <c:pt idx="363">
                  <c:v>41360</c:v>
                </c:pt>
                <c:pt idx="364">
                  <c:v>41361</c:v>
                </c:pt>
                <c:pt idx="365">
                  <c:v>41366</c:v>
                </c:pt>
                <c:pt idx="366">
                  <c:v>41367</c:v>
                </c:pt>
                <c:pt idx="367">
                  <c:v>41368</c:v>
                </c:pt>
                <c:pt idx="368">
                  <c:v>41369</c:v>
                </c:pt>
                <c:pt idx="369">
                  <c:v>41372</c:v>
                </c:pt>
                <c:pt idx="370">
                  <c:v>41373</c:v>
                </c:pt>
                <c:pt idx="371">
                  <c:v>41374</c:v>
                </c:pt>
                <c:pt idx="372">
                  <c:v>41375</c:v>
                </c:pt>
                <c:pt idx="373">
                  <c:v>41376</c:v>
                </c:pt>
                <c:pt idx="374">
                  <c:v>41379</c:v>
                </c:pt>
                <c:pt idx="375">
                  <c:v>41380</c:v>
                </c:pt>
                <c:pt idx="376">
                  <c:v>41381</c:v>
                </c:pt>
                <c:pt idx="377">
                  <c:v>41382</c:v>
                </c:pt>
                <c:pt idx="378">
                  <c:v>41383</c:v>
                </c:pt>
                <c:pt idx="379">
                  <c:v>41386</c:v>
                </c:pt>
                <c:pt idx="380">
                  <c:v>41387</c:v>
                </c:pt>
                <c:pt idx="381">
                  <c:v>41388</c:v>
                </c:pt>
                <c:pt idx="382">
                  <c:v>41389</c:v>
                </c:pt>
                <c:pt idx="383">
                  <c:v>41390</c:v>
                </c:pt>
                <c:pt idx="384">
                  <c:v>41393</c:v>
                </c:pt>
                <c:pt idx="385">
                  <c:v>41394</c:v>
                </c:pt>
                <c:pt idx="386">
                  <c:v>41396</c:v>
                </c:pt>
                <c:pt idx="387">
                  <c:v>41397</c:v>
                </c:pt>
                <c:pt idx="388">
                  <c:v>41400</c:v>
                </c:pt>
                <c:pt idx="389">
                  <c:v>41401</c:v>
                </c:pt>
                <c:pt idx="390">
                  <c:v>41402</c:v>
                </c:pt>
                <c:pt idx="391">
                  <c:v>41403</c:v>
                </c:pt>
                <c:pt idx="392">
                  <c:v>41404</c:v>
                </c:pt>
                <c:pt idx="393">
                  <c:v>41407</c:v>
                </c:pt>
                <c:pt idx="394">
                  <c:v>41408</c:v>
                </c:pt>
                <c:pt idx="395">
                  <c:v>41409</c:v>
                </c:pt>
                <c:pt idx="396">
                  <c:v>41410</c:v>
                </c:pt>
                <c:pt idx="397">
                  <c:v>41411</c:v>
                </c:pt>
                <c:pt idx="398">
                  <c:v>41414</c:v>
                </c:pt>
                <c:pt idx="399">
                  <c:v>41415</c:v>
                </c:pt>
                <c:pt idx="400">
                  <c:v>41416</c:v>
                </c:pt>
                <c:pt idx="401">
                  <c:v>41417</c:v>
                </c:pt>
                <c:pt idx="402">
                  <c:v>41418</c:v>
                </c:pt>
                <c:pt idx="403">
                  <c:v>41421</c:v>
                </c:pt>
                <c:pt idx="404">
                  <c:v>41422</c:v>
                </c:pt>
                <c:pt idx="405">
                  <c:v>41423</c:v>
                </c:pt>
                <c:pt idx="406">
                  <c:v>41424</c:v>
                </c:pt>
                <c:pt idx="407">
                  <c:v>41425</c:v>
                </c:pt>
                <c:pt idx="408">
                  <c:v>41428</c:v>
                </c:pt>
                <c:pt idx="409">
                  <c:v>41429</c:v>
                </c:pt>
                <c:pt idx="410">
                  <c:v>41430</c:v>
                </c:pt>
                <c:pt idx="411">
                  <c:v>41431</c:v>
                </c:pt>
                <c:pt idx="412">
                  <c:v>41432</c:v>
                </c:pt>
                <c:pt idx="413">
                  <c:v>41435</c:v>
                </c:pt>
                <c:pt idx="414">
                  <c:v>41436</c:v>
                </c:pt>
                <c:pt idx="415">
                  <c:v>41437</c:v>
                </c:pt>
                <c:pt idx="416">
                  <c:v>41438</c:v>
                </c:pt>
                <c:pt idx="417">
                  <c:v>41439</c:v>
                </c:pt>
                <c:pt idx="418">
                  <c:v>41442</c:v>
                </c:pt>
                <c:pt idx="419">
                  <c:v>41443</c:v>
                </c:pt>
                <c:pt idx="420">
                  <c:v>41444</c:v>
                </c:pt>
                <c:pt idx="421">
                  <c:v>41445</c:v>
                </c:pt>
                <c:pt idx="422">
                  <c:v>41446</c:v>
                </c:pt>
                <c:pt idx="423">
                  <c:v>41449</c:v>
                </c:pt>
                <c:pt idx="424">
                  <c:v>41450</c:v>
                </c:pt>
                <c:pt idx="425">
                  <c:v>41451</c:v>
                </c:pt>
                <c:pt idx="426">
                  <c:v>41452</c:v>
                </c:pt>
                <c:pt idx="427">
                  <c:v>41453</c:v>
                </c:pt>
                <c:pt idx="428">
                  <c:v>41456</c:v>
                </c:pt>
                <c:pt idx="429">
                  <c:v>41457</c:v>
                </c:pt>
                <c:pt idx="430">
                  <c:v>41458</c:v>
                </c:pt>
                <c:pt idx="431">
                  <c:v>41459</c:v>
                </c:pt>
                <c:pt idx="432">
                  <c:v>41460</c:v>
                </c:pt>
                <c:pt idx="433">
                  <c:v>41463</c:v>
                </c:pt>
                <c:pt idx="434">
                  <c:v>41464</c:v>
                </c:pt>
                <c:pt idx="435">
                  <c:v>41465</c:v>
                </c:pt>
                <c:pt idx="436">
                  <c:v>41466</c:v>
                </c:pt>
                <c:pt idx="437">
                  <c:v>41467</c:v>
                </c:pt>
                <c:pt idx="438">
                  <c:v>41470</c:v>
                </c:pt>
                <c:pt idx="439">
                  <c:v>41471</c:v>
                </c:pt>
                <c:pt idx="440">
                  <c:v>41472</c:v>
                </c:pt>
                <c:pt idx="441">
                  <c:v>41473</c:v>
                </c:pt>
                <c:pt idx="442">
                  <c:v>41474</c:v>
                </c:pt>
                <c:pt idx="443">
                  <c:v>41477</c:v>
                </c:pt>
                <c:pt idx="444">
                  <c:v>41478</c:v>
                </c:pt>
                <c:pt idx="445">
                  <c:v>41479</c:v>
                </c:pt>
                <c:pt idx="446">
                  <c:v>41480</c:v>
                </c:pt>
                <c:pt idx="447">
                  <c:v>41481</c:v>
                </c:pt>
                <c:pt idx="448">
                  <c:v>41484</c:v>
                </c:pt>
                <c:pt idx="449">
                  <c:v>41485</c:v>
                </c:pt>
                <c:pt idx="450">
                  <c:v>41486</c:v>
                </c:pt>
                <c:pt idx="451">
                  <c:v>41487</c:v>
                </c:pt>
                <c:pt idx="452">
                  <c:v>41488</c:v>
                </c:pt>
                <c:pt idx="453">
                  <c:v>41491</c:v>
                </c:pt>
                <c:pt idx="454">
                  <c:v>41492</c:v>
                </c:pt>
                <c:pt idx="455">
                  <c:v>41493</c:v>
                </c:pt>
                <c:pt idx="456">
                  <c:v>41494</c:v>
                </c:pt>
                <c:pt idx="457">
                  <c:v>41495</c:v>
                </c:pt>
                <c:pt idx="458">
                  <c:v>41498</c:v>
                </c:pt>
                <c:pt idx="459">
                  <c:v>41499</c:v>
                </c:pt>
                <c:pt idx="460">
                  <c:v>41500</c:v>
                </c:pt>
                <c:pt idx="461">
                  <c:v>41501</c:v>
                </c:pt>
                <c:pt idx="462">
                  <c:v>41502</c:v>
                </c:pt>
                <c:pt idx="463">
                  <c:v>41505</c:v>
                </c:pt>
                <c:pt idx="464">
                  <c:v>41506</c:v>
                </c:pt>
                <c:pt idx="465">
                  <c:v>41507</c:v>
                </c:pt>
                <c:pt idx="466">
                  <c:v>41508</c:v>
                </c:pt>
                <c:pt idx="467">
                  <c:v>41509</c:v>
                </c:pt>
                <c:pt idx="468">
                  <c:v>41512</c:v>
                </c:pt>
                <c:pt idx="469">
                  <c:v>41513</c:v>
                </c:pt>
                <c:pt idx="470">
                  <c:v>41514</c:v>
                </c:pt>
                <c:pt idx="471">
                  <c:v>41515</c:v>
                </c:pt>
                <c:pt idx="472">
                  <c:v>41516</c:v>
                </c:pt>
                <c:pt idx="473">
                  <c:v>41519</c:v>
                </c:pt>
                <c:pt idx="474">
                  <c:v>41520</c:v>
                </c:pt>
                <c:pt idx="475">
                  <c:v>41521</c:v>
                </c:pt>
                <c:pt idx="476">
                  <c:v>41522</c:v>
                </c:pt>
                <c:pt idx="477">
                  <c:v>41523</c:v>
                </c:pt>
                <c:pt idx="478">
                  <c:v>41526</c:v>
                </c:pt>
                <c:pt idx="479">
                  <c:v>41527</c:v>
                </c:pt>
                <c:pt idx="480">
                  <c:v>41528</c:v>
                </c:pt>
                <c:pt idx="481">
                  <c:v>41529</c:v>
                </c:pt>
                <c:pt idx="482">
                  <c:v>41530</c:v>
                </c:pt>
                <c:pt idx="483">
                  <c:v>41533</c:v>
                </c:pt>
                <c:pt idx="484">
                  <c:v>41534</c:v>
                </c:pt>
                <c:pt idx="485">
                  <c:v>41535</c:v>
                </c:pt>
                <c:pt idx="486">
                  <c:v>41536</c:v>
                </c:pt>
                <c:pt idx="487">
                  <c:v>41537</c:v>
                </c:pt>
                <c:pt idx="488">
                  <c:v>41540</c:v>
                </c:pt>
                <c:pt idx="489">
                  <c:v>41541</c:v>
                </c:pt>
                <c:pt idx="490">
                  <c:v>41542</c:v>
                </c:pt>
                <c:pt idx="491">
                  <c:v>41543</c:v>
                </c:pt>
                <c:pt idx="492">
                  <c:v>41544</c:v>
                </c:pt>
                <c:pt idx="493">
                  <c:v>41547</c:v>
                </c:pt>
                <c:pt idx="494">
                  <c:v>41548</c:v>
                </c:pt>
                <c:pt idx="495">
                  <c:v>41549</c:v>
                </c:pt>
                <c:pt idx="496">
                  <c:v>41550</c:v>
                </c:pt>
                <c:pt idx="497">
                  <c:v>41551</c:v>
                </c:pt>
                <c:pt idx="498">
                  <c:v>41554</c:v>
                </c:pt>
                <c:pt idx="499">
                  <c:v>41555</c:v>
                </c:pt>
                <c:pt idx="500">
                  <c:v>41556</c:v>
                </c:pt>
                <c:pt idx="501">
                  <c:v>41557</c:v>
                </c:pt>
                <c:pt idx="502">
                  <c:v>41558</c:v>
                </c:pt>
                <c:pt idx="503">
                  <c:v>41561</c:v>
                </c:pt>
                <c:pt idx="504">
                  <c:v>41562</c:v>
                </c:pt>
                <c:pt idx="505">
                  <c:v>41563</c:v>
                </c:pt>
                <c:pt idx="506">
                  <c:v>41564</c:v>
                </c:pt>
                <c:pt idx="507">
                  <c:v>41565</c:v>
                </c:pt>
                <c:pt idx="508">
                  <c:v>41568</c:v>
                </c:pt>
                <c:pt idx="509">
                  <c:v>41569</c:v>
                </c:pt>
                <c:pt idx="510">
                  <c:v>41570</c:v>
                </c:pt>
                <c:pt idx="511">
                  <c:v>41571</c:v>
                </c:pt>
                <c:pt idx="512">
                  <c:v>41572</c:v>
                </c:pt>
                <c:pt idx="513">
                  <c:v>41575</c:v>
                </c:pt>
                <c:pt idx="514">
                  <c:v>41576</c:v>
                </c:pt>
                <c:pt idx="515">
                  <c:v>41577</c:v>
                </c:pt>
                <c:pt idx="516">
                  <c:v>41578</c:v>
                </c:pt>
                <c:pt idx="517">
                  <c:v>41579</c:v>
                </c:pt>
                <c:pt idx="518">
                  <c:v>41582</c:v>
                </c:pt>
                <c:pt idx="519">
                  <c:v>41583</c:v>
                </c:pt>
                <c:pt idx="520">
                  <c:v>41584</c:v>
                </c:pt>
                <c:pt idx="521">
                  <c:v>41585</c:v>
                </c:pt>
                <c:pt idx="522">
                  <c:v>41586</c:v>
                </c:pt>
                <c:pt idx="523">
                  <c:v>41589</c:v>
                </c:pt>
                <c:pt idx="524">
                  <c:v>41590</c:v>
                </c:pt>
                <c:pt idx="525">
                  <c:v>41591</c:v>
                </c:pt>
                <c:pt idx="526">
                  <c:v>41592</c:v>
                </c:pt>
                <c:pt idx="527">
                  <c:v>41593</c:v>
                </c:pt>
                <c:pt idx="528">
                  <c:v>41596</c:v>
                </c:pt>
                <c:pt idx="529">
                  <c:v>41597</c:v>
                </c:pt>
                <c:pt idx="530">
                  <c:v>41598</c:v>
                </c:pt>
                <c:pt idx="531">
                  <c:v>41599</c:v>
                </c:pt>
                <c:pt idx="532">
                  <c:v>41600</c:v>
                </c:pt>
                <c:pt idx="533">
                  <c:v>41603</c:v>
                </c:pt>
                <c:pt idx="534">
                  <c:v>41604</c:v>
                </c:pt>
                <c:pt idx="535">
                  <c:v>41605</c:v>
                </c:pt>
                <c:pt idx="536">
                  <c:v>41606</c:v>
                </c:pt>
                <c:pt idx="537">
                  <c:v>41607</c:v>
                </c:pt>
                <c:pt idx="538">
                  <c:v>41610</c:v>
                </c:pt>
                <c:pt idx="539">
                  <c:v>41611</c:v>
                </c:pt>
                <c:pt idx="540">
                  <c:v>41612</c:v>
                </c:pt>
                <c:pt idx="541">
                  <c:v>41613</c:v>
                </c:pt>
                <c:pt idx="542">
                  <c:v>41614</c:v>
                </c:pt>
                <c:pt idx="543">
                  <c:v>41617</c:v>
                </c:pt>
                <c:pt idx="544">
                  <c:v>41618</c:v>
                </c:pt>
                <c:pt idx="545">
                  <c:v>41619</c:v>
                </c:pt>
                <c:pt idx="546">
                  <c:v>41620</c:v>
                </c:pt>
                <c:pt idx="547">
                  <c:v>41621</c:v>
                </c:pt>
                <c:pt idx="548">
                  <c:v>41624</c:v>
                </c:pt>
                <c:pt idx="549">
                  <c:v>41625</c:v>
                </c:pt>
                <c:pt idx="550">
                  <c:v>41626</c:v>
                </c:pt>
                <c:pt idx="551">
                  <c:v>41627</c:v>
                </c:pt>
                <c:pt idx="552">
                  <c:v>41628</c:v>
                </c:pt>
                <c:pt idx="553">
                  <c:v>41631</c:v>
                </c:pt>
                <c:pt idx="554">
                  <c:v>41632</c:v>
                </c:pt>
                <c:pt idx="555">
                  <c:v>41635</c:v>
                </c:pt>
                <c:pt idx="556">
                  <c:v>41638</c:v>
                </c:pt>
                <c:pt idx="557">
                  <c:v>41639</c:v>
                </c:pt>
                <c:pt idx="558">
                  <c:v>41641</c:v>
                </c:pt>
                <c:pt idx="559">
                  <c:v>41642</c:v>
                </c:pt>
                <c:pt idx="560">
                  <c:v>41645</c:v>
                </c:pt>
                <c:pt idx="561">
                  <c:v>41646</c:v>
                </c:pt>
                <c:pt idx="562">
                  <c:v>41647</c:v>
                </c:pt>
                <c:pt idx="563">
                  <c:v>41648</c:v>
                </c:pt>
                <c:pt idx="564">
                  <c:v>41649</c:v>
                </c:pt>
                <c:pt idx="565">
                  <c:v>41652</c:v>
                </c:pt>
                <c:pt idx="566">
                  <c:v>41653</c:v>
                </c:pt>
                <c:pt idx="567">
                  <c:v>41654</c:v>
                </c:pt>
                <c:pt idx="568">
                  <c:v>41655</c:v>
                </c:pt>
                <c:pt idx="569">
                  <c:v>41656</c:v>
                </c:pt>
                <c:pt idx="570">
                  <c:v>41659</c:v>
                </c:pt>
                <c:pt idx="571">
                  <c:v>41660</c:v>
                </c:pt>
                <c:pt idx="572">
                  <c:v>41661</c:v>
                </c:pt>
                <c:pt idx="573">
                  <c:v>41662</c:v>
                </c:pt>
                <c:pt idx="574">
                  <c:v>41663</c:v>
                </c:pt>
                <c:pt idx="575">
                  <c:v>41666</c:v>
                </c:pt>
                <c:pt idx="576">
                  <c:v>41667</c:v>
                </c:pt>
                <c:pt idx="577">
                  <c:v>41668</c:v>
                </c:pt>
                <c:pt idx="578">
                  <c:v>41669</c:v>
                </c:pt>
                <c:pt idx="579">
                  <c:v>41670</c:v>
                </c:pt>
                <c:pt idx="580">
                  <c:v>41673</c:v>
                </c:pt>
                <c:pt idx="581">
                  <c:v>41674</c:v>
                </c:pt>
                <c:pt idx="582">
                  <c:v>41675</c:v>
                </c:pt>
                <c:pt idx="583">
                  <c:v>41676</c:v>
                </c:pt>
                <c:pt idx="584">
                  <c:v>41677</c:v>
                </c:pt>
                <c:pt idx="585">
                  <c:v>41680</c:v>
                </c:pt>
                <c:pt idx="586">
                  <c:v>41681</c:v>
                </c:pt>
                <c:pt idx="587">
                  <c:v>41682</c:v>
                </c:pt>
                <c:pt idx="588">
                  <c:v>41683</c:v>
                </c:pt>
                <c:pt idx="589">
                  <c:v>41684</c:v>
                </c:pt>
                <c:pt idx="590">
                  <c:v>41687</c:v>
                </c:pt>
                <c:pt idx="591">
                  <c:v>41688</c:v>
                </c:pt>
                <c:pt idx="592">
                  <c:v>41689</c:v>
                </c:pt>
                <c:pt idx="593">
                  <c:v>41690</c:v>
                </c:pt>
                <c:pt idx="594">
                  <c:v>41691</c:v>
                </c:pt>
                <c:pt idx="595">
                  <c:v>41694</c:v>
                </c:pt>
                <c:pt idx="596">
                  <c:v>41695</c:v>
                </c:pt>
                <c:pt idx="597">
                  <c:v>41696</c:v>
                </c:pt>
                <c:pt idx="598">
                  <c:v>41697</c:v>
                </c:pt>
                <c:pt idx="599">
                  <c:v>41698</c:v>
                </c:pt>
                <c:pt idx="600">
                  <c:v>41701</c:v>
                </c:pt>
                <c:pt idx="601">
                  <c:v>41702</c:v>
                </c:pt>
                <c:pt idx="602">
                  <c:v>41703</c:v>
                </c:pt>
                <c:pt idx="603">
                  <c:v>41704</c:v>
                </c:pt>
                <c:pt idx="604">
                  <c:v>41705</c:v>
                </c:pt>
                <c:pt idx="605">
                  <c:v>41708</c:v>
                </c:pt>
                <c:pt idx="606">
                  <c:v>41709</c:v>
                </c:pt>
                <c:pt idx="607">
                  <c:v>41710</c:v>
                </c:pt>
                <c:pt idx="608">
                  <c:v>41711</c:v>
                </c:pt>
                <c:pt idx="609">
                  <c:v>41712</c:v>
                </c:pt>
                <c:pt idx="610">
                  <c:v>41715</c:v>
                </c:pt>
                <c:pt idx="611">
                  <c:v>41716</c:v>
                </c:pt>
                <c:pt idx="612">
                  <c:v>41717</c:v>
                </c:pt>
                <c:pt idx="613">
                  <c:v>41718</c:v>
                </c:pt>
                <c:pt idx="614">
                  <c:v>41719</c:v>
                </c:pt>
                <c:pt idx="615">
                  <c:v>41722</c:v>
                </c:pt>
                <c:pt idx="616">
                  <c:v>41723</c:v>
                </c:pt>
                <c:pt idx="617">
                  <c:v>41724</c:v>
                </c:pt>
                <c:pt idx="618">
                  <c:v>41725</c:v>
                </c:pt>
                <c:pt idx="619">
                  <c:v>41726</c:v>
                </c:pt>
                <c:pt idx="620">
                  <c:v>41729</c:v>
                </c:pt>
                <c:pt idx="621">
                  <c:v>41730</c:v>
                </c:pt>
                <c:pt idx="622">
                  <c:v>41731</c:v>
                </c:pt>
                <c:pt idx="623">
                  <c:v>41732</c:v>
                </c:pt>
                <c:pt idx="624">
                  <c:v>41733</c:v>
                </c:pt>
                <c:pt idx="625">
                  <c:v>41736</c:v>
                </c:pt>
                <c:pt idx="626">
                  <c:v>41737</c:v>
                </c:pt>
                <c:pt idx="627">
                  <c:v>41738</c:v>
                </c:pt>
                <c:pt idx="628">
                  <c:v>41739</c:v>
                </c:pt>
                <c:pt idx="629">
                  <c:v>41740</c:v>
                </c:pt>
                <c:pt idx="630">
                  <c:v>41743</c:v>
                </c:pt>
                <c:pt idx="631">
                  <c:v>41744</c:v>
                </c:pt>
                <c:pt idx="632">
                  <c:v>41745</c:v>
                </c:pt>
                <c:pt idx="633">
                  <c:v>41746</c:v>
                </c:pt>
                <c:pt idx="634">
                  <c:v>41751</c:v>
                </c:pt>
                <c:pt idx="635">
                  <c:v>41752</c:v>
                </c:pt>
                <c:pt idx="636">
                  <c:v>41753</c:v>
                </c:pt>
                <c:pt idx="637">
                  <c:v>41754</c:v>
                </c:pt>
                <c:pt idx="638">
                  <c:v>41757</c:v>
                </c:pt>
                <c:pt idx="639">
                  <c:v>41758</c:v>
                </c:pt>
                <c:pt idx="640">
                  <c:v>41759</c:v>
                </c:pt>
                <c:pt idx="641">
                  <c:v>41760</c:v>
                </c:pt>
                <c:pt idx="642">
                  <c:v>41761</c:v>
                </c:pt>
                <c:pt idx="643">
                  <c:v>41764</c:v>
                </c:pt>
                <c:pt idx="644">
                  <c:v>41765</c:v>
                </c:pt>
                <c:pt idx="645">
                  <c:v>41766</c:v>
                </c:pt>
                <c:pt idx="646">
                  <c:v>41767</c:v>
                </c:pt>
                <c:pt idx="647">
                  <c:v>41768</c:v>
                </c:pt>
                <c:pt idx="648">
                  <c:v>41771</c:v>
                </c:pt>
                <c:pt idx="649">
                  <c:v>41772</c:v>
                </c:pt>
                <c:pt idx="650">
                  <c:v>41773</c:v>
                </c:pt>
                <c:pt idx="651">
                  <c:v>41774</c:v>
                </c:pt>
                <c:pt idx="652">
                  <c:v>41775</c:v>
                </c:pt>
                <c:pt idx="653">
                  <c:v>41778</c:v>
                </c:pt>
                <c:pt idx="654">
                  <c:v>41779</c:v>
                </c:pt>
                <c:pt idx="655">
                  <c:v>41780</c:v>
                </c:pt>
                <c:pt idx="656">
                  <c:v>41781</c:v>
                </c:pt>
                <c:pt idx="657">
                  <c:v>41782</c:v>
                </c:pt>
                <c:pt idx="658">
                  <c:v>41785</c:v>
                </c:pt>
                <c:pt idx="659">
                  <c:v>41786</c:v>
                </c:pt>
                <c:pt idx="660">
                  <c:v>41787</c:v>
                </c:pt>
                <c:pt idx="661">
                  <c:v>41788</c:v>
                </c:pt>
                <c:pt idx="662">
                  <c:v>41789</c:v>
                </c:pt>
                <c:pt idx="663">
                  <c:v>41792</c:v>
                </c:pt>
                <c:pt idx="664">
                  <c:v>41793</c:v>
                </c:pt>
                <c:pt idx="665">
                  <c:v>41794</c:v>
                </c:pt>
                <c:pt idx="666">
                  <c:v>41795</c:v>
                </c:pt>
                <c:pt idx="667">
                  <c:v>41796</c:v>
                </c:pt>
                <c:pt idx="668">
                  <c:v>41799</c:v>
                </c:pt>
                <c:pt idx="669">
                  <c:v>41800</c:v>
                </c:pt>
                <c:pt idx="670">
                  <c:v>41801</c:v>
                </c:pt>
                <c:pt idx="671">
                  <c:v>41802</c:v>
                </c:pt>
                <c:pt idx="672">
                  <c:v>41803</c:v>
                </c:pt>
                <c:pt idx="673">
                  <c:v>41806</c:v>
                </c:pt>
                <c:pt idx="674">
                  <c:v>41807</c:v>
                </c:pt>
                <c:pt idx="675">
                  <c:v>41808</c:v>
                </c:pt>
                <c:pt idx="676">
                  <c:v>41809</c:v>
                </c:pt>
                <c:pt idx="677">
                  <c:v>41810</c:v>
                </c:pt>
                <c:pt idx="678">
                  <c:v>41813</c:v>
                </c:pt>
                <c:pt idx="679">
                  <c:v>41814</c:v>
                </c:pt>
                <c:pt idx="680">
                  <c:v>41815</c:v>
                </c:pt>
                <c:pt idx="681">
                  <c:v>41816</c:v>
                </c:pt>
                <c:pt idx="682">
                  <c:v>41817</c:v>
                </c:pt>
                <c:pt idx="683">
                  <c:v>41820</c:v>
                </c:pt>
                <c:pt idx="684">
                  <c:v>41821</c:v>
                </c:pt>
                <c:pt idx="685">
                  <c:v>41822</c:v>
                </c:pt>
                <c:pt idx="686">
                  <c:v>41823</c:v>
                </c:pt>
                <c:pt idx="687">
                  <c:v>41824</c:v>
                </c:pt>
                <c:pt idx="688">
                  <c:v>41827</c:v>
                </c:pt>
                <c:pt idx="689">
                  <c:v>41828</c:v>
                </c:pt>
                <c:pt idx="690">
                  <c:v>41829</c:v>
                </c:pt>
                <c:pt idx="691">
                  <c:v>41830</c:v>
                </c:pt>
                <c:pt idx="692">
                  <c:v>41831</c:v>
                </c:pt>
                <c:pt idx="693">
                  <c:v>41834</c:v>
                </c:pt>
                <c:pt idx="694">
                  <c:v>41835</c:v>
                </c:pt>
                <c:pt idx="695">
                  <c:v>41836</c:v>
                </c:pt>
                <c:pt idx="696">
                  <c:v>41837</c:v>
                </c:pt>
                <c:pt idx="697">
                  <c:v>41838</c:v>
                </c:pt>
                <c:pt idx="698">
                  <c:v>41841</c:v>
                </c:pt>
                <c:pt idx="699">
                  <c:v>41842</c:v>
                </c:pt>
                <c:pt idx="700">
                  <c:v>41843</c:v>
                </c:pt>
                <c:pt idx="701">
                  <c:v>41844</c:v>
                </c:pt>
                <c:pt idx="702">
                  <c:v>41845</c:v>
                </c:pt>
                <c:pt idx="703">
                  <c:v>41848</c:v>
                </c:pt>
                <c:pt idx="704">
                  <c:v>41849</c:v>
                </c:pt>
                <c:pt idx="705">
                  <c:v>41850</c:v>
                </c:pt>
                <c:pt idx="706">
                  <c:v>41851</c:v>
                </c:pt>
                <c:pt idx="707">
                  <c:v>41852</c:v>
                </c:pt>
                <c:pt idx="708">
                  <c:v>41855</c:v>
                </c:pt>
                <c:pt idx="709">
                  <c:v>41856</c:v>
                </c:pt>
                <c:pt idx="710">
                  <c:v>41857</c:v>
                </c:pt>
                <c:pt idx="711">
                  <c:v>41858</c:v>
                </c:pt>
                <c:pt idx="712">
                  <c:v>41859</c:v>
                </c:pt>
                <c:pt idx="713">
                  <c:v>41862</c:v>
                </c:pt>
                <c:pt idx="714">
                  <c:v>41863</c:v>
                </c:pt>
                <c:pt idx="715">
                  <c:v>41864</c:v>
                </c:pt>
                <c:pt idx="716">
                  <c:v>41865</c:v>
                </c:pt>
                <c:pt idx="717">
                  <c:v>41866</c:v>
                </c:pt>
                <c:pt idx="718">
                  <c:v>41869</c:v>
                </c:pt>
                <c:pt idx="719">
                  <c:v>41870</c:v>
                </c:pt>
                <c:pt idx="720">
                  <c:v>41871</c:v>
                </c:pt>
                <c:pt idx="721">
                  <c:v>41872</c:v>
                </c:pt>
                <c:pt idx="722">
                  <c:v>41873</c:v>
                </c:pt>
                <c:pt idx="723">
                  <c:v>41876</c:v>
                </c:pt>
                <c:pt idx="724">
                  <c:v>41877</c:v>
                </c:pt>
                <c:pt idx="725">
                  <c:v>41878</c:v>
                </c:pt>
                <c:pt idx="726">
                  <c:v>41879</c:v>
                </c:pt>
                <c:pt idx="727">
                  <c:v>41880</c:v>
                </c:pt>
                <c:pt idx="728">
                  <c:v>41883</c:v>
                </c:pt>
                <c:pt idx="729">
                  <c:v>41884</c:v>
                </c:pt>
                <c:pt idx="730">
                  <c:v>41885</c:v>
                </c:pt>
                <c:pt idx="731">
                  <c:v>41886</c:v>
                </c:pt>
                <c:pt idx="732">
                  <c:v>41887</c:v>
                </c:pt>
                <c:pt idx="733">
                  <c:v>41890</c:v>
                </c:pt>
                <c:pt idx="734">
                  <c:v>41891</c:v>
                </c:pt>
                <c:pt idx="735">
                  <c:v>41892</c:v>
                </c:pt>
                <c:pt idx="736">
                  <c:v>41893</c:v>
                </c:pt>
                <c:pt idx="737">
                  <c:v>41894</c:v>
                </c:pt>
                <c:pt idx="738">
                  <c:v>41897</c:v>
                </c:pt>
                <c:pt idx="739">
                  <c:v>41898</c:v>
                </c:pt>
                <c:pt idx="740">
                  <c:v>41899</c:v>
                </c:pt>
                <c:pt idx="741">
                  <c:v>41900</c:v>
                </c:pt>
                <c:pt idx="742">
                  <c:v>41901</c:v>
                </c:pt>
                <c:pt idx="743">
                  <c:v>41904</c:v>
                </c:pt>
                <c:pt idx="744">
                  <c:v>41905</c:v>
                </c:pt>
                <c:pt idx="745">
                  <c:v>41906</c:v>
                </c:pt>
                <c:pt idx="746">
                  <c:v>41907</c:v>
                </c:pt>
                <c:pt idx="747">
                  <c:v>41908</c:v>
                </c:pt>
                <c:pt idx="748">
                  <c:v>41911</c:v>
                </c:pt>
                <c:pt idx="749">
                  <c:v>41912</c:v>
                </c:pt>
                <c:pt idx="750">
                  <c:v>41913</c:v>
                </c:pt>
                <c:pt idx="751">
                  <c:v>41914</c:v>
                </c:pt>
                <c:pt idx="752">
                  <c:v>41915</c:v>
                </c:pt>
                <c:pt idx="753">
                  <c:v>41918</c:v>
                </c:pt>
                <c:pt idx="754">
                  <c:v>41919</c:v>
                </c:pt>
                <c:pt idx="755">
                  <c:v>41920</c:v>
                </c:pt>
                <c:pt idx="756">
                  <c:v>41921</c:v>
                </c:pt>
                <c:pt idx="757">
                  <c:v>41922</c:v>
                </c:pt>
                <c:pt idx="758">
                  <c:v>41925</c:v>
                </c:pt>
                <c:pt idx="759">
                  <c:v>41926</c:v>
                </c:pt>
                <c:pt idx="760">
                  <c:v>41927</c:v>
                </c:pt>
                <c:pt idx="761">
                  <c:v>41928</c:v>
                </c:pt>
                <c:pt idx="762">
                  <c:v>41929</c:v>
                </c:pt>
                <c:pt idx="763">
                  <c:v>41932</c:v>
                </c:pt>
                <c:pt idx="764">
                  <c:v>41933</c:v>
                </c:pt>
                <c:pt idx="765">
                  <c:v>41934</c:v>
                </c:pt>
                <c:pt idx="766">
                  <c:v>41935</c:v>
                </c:pt>
                <c:pt idx="767">
                  <c:v>41936</c:v>
                </c:pt>
                <c:pt idx="768">
                  <c:v>41939</c:v>
                </c:pt>
                <c:pt idx="769">
                  <c:v>41940</c:v>
                </c:pt>
                <c:pt idx="770">
                  <c:v>41941</c:v>
                </c:pt>
                <c:pt idx="771">
                  <c:v>41942</c:v>
                </c:pt>
                <c:pt idx="772">
                  <c:v>41943</c:v>
                </c:pt>
                <c:pt idx="773">
                  <c:v>41946</c:v>
                </c:pt>
                <c:pt idx="774">
                  <c:v>41947</c:v>
                </c:pt>
                <c:pt idx="775">
                  <c:v>41948</c:v>
                </c:pt>
                <c:pt idx="776">
                  <c:v>41949</c:v>
                </c:pt>
                <c:pt idx="777">
                  <c:v>41950</c:v>
                </c:pt>
                <c:pt idx="778">
                  <c:v>41953</c:v>
                </c:pt>
                <c:pt idx="779">
                  <c:v>41954</c:v>
                </c:pt>
                <c:pt idx="780">
                  <c:v>41955</c:v>
                </c:pt>
                <c:pt idx="781">
                  <c:v>41956</c:v>
                </c:pt>
                <c:pt idx="782">
                  <c:v>41957</c:v>
                </c:pt>
                <c:pt idx="783">
                  <c:v>41960</c:v>
                </c:pt>
                <c:pt idx="784">
                  <c:v>41961</c:v>
                </c:pt>
                <c:pt idx="785">
                  <c:v>41962</c:v>
                </c:pt>
                <c:pt idx="786">
                  <c:v>41963</c:v>
                </c:pt>
                <c:pt idx="787">
                  <c:v>41964</c:v>
                </c:pt>
                <c:pt idx="788">
                  <c:v>41967</c:v>
                </c:pt>
                <c:pt idx="789">
                  <c:v>41968</c:v>
                </c:pt>
                <c:pt idx="790">
                  <c:v>41969</c:v>
                </c:pt>
                <c:pt idx="791">
                  <c:v>41970</c:v>
                </c:pt>
                <c:pt idx="792">
                  <c:v>41971</c:v>
                </c:pt>
                <c:pt idx="793">
                  <c:v>41974</c:v>
                </c:pt>
                <c:pt idx="794">
                  <c:v>41975</c:v>
                </c:pt>
                <c:pt idx="795">
                  <c:v>41976</c:v>
                </c:pt>
                <c:pt idx="796">
                  <c:v>41977</c:v>
                </c:pt>
                <c:pt idx="797">
                  <c:v>41978</c:v>
                </c:pt>
                <c:pt idx="798">
                  <c:v>41981</c:v>
                </c:pt>
                <c:pt idx="799">
                  <c:v>41982</c:v>
                </c:pt>
                <c:pt idx="800">
                  <c:v>41983</c:v>
                </c:pt>
                <c:pt idx="801">
                  <c:v>41984</c:v>
                </c:pt>
                <c:pt idx="802">
                  <c:v>41985</c:v>
                </c:pt>
                <c:pt idx="803">
                  <c:v>41988</c:v>
                </c:pt>
                <c:pt idx="804">
                  <c:v>41989</c:v>
                </c:pt>
                <c:pt idx="805">
                  <c:v>41990</c:v>
                </c:pt>
                <c:pt idx="806">
                  <c:v>41991</c:v>
                </c:pt>
                <c:pt idx="807">
                  <c:v>41992</c:v>
                </c:pt>
                <c:pt idx="808">
                  <c:v>41995</c:v>
                </c:pt>
                <c:pt idx="809">
                  <c:v>41996</c:v>
                </c:pt>
                <c:pt idx="810">
                  <c:v>41997</c:v>
                </c:pt>
                <c:pt idx="811">
                  <c:v>42002</c:v>
                </c:pt>
                <c:pt idx="812">
                  <c:v>42003</c:v>
                </c:pt>
                <c:pt idx="813">
                  <c:v>42004</c:v>
                </c:pt>
                <c:pt idx="814">
                  <c:v>42006</c:v>
                </c:pt>
                <c:pt idx="815">
                  <c:v>42009</c:v>
                </c:pt>
                <c:pt idx="816">
                  <c:v>42010</c:v>
                </c:pt>
                <c:pt idx="817">
                  <c:v>42011</c:v>
                </c:pt>
                <c:pt idx="818">
                  <c:v>42012</c:v>
                </c:pt>
                <c:pt idx="819">
                  <c:v>42013</c:v>
                </c:pt>
                <c:pt idx="820">
                  <c:v>42016</c:v>
                </c:pt>
                <c:pt idx="821">
                  <c:v>42017</c:v>
                </c:pt>
                <c:pt idx="822">
                  <c:v>42018</c:v>
                </c:pt>
                <c:pt idx="823">
                  <c:v>42019</c:v>
                </c:pt>
                <c:pt idx="824">
                  <c:v>42020</c:v>
                </c:pt>
                <c:pt idx="825">
                  <c:v>42023</c:v>
                </c:pt>
                <c:pt idx="826">
                  <c:v>42024</c:v>
                </c:pt>
                <c:pt idx="827">
                  <c:v>42025</c:v>
                </c:pt>
                <c:pt idx="828">
                  <c:v>42026</c:v>
                </c:pt>
                <c:pt idx="829">
                  <c:v>42027</c:v>
                </c:pt>
                <c:pt idx="830">
                  <c:v>42030</c:v>
                </c:pt>
                <c:pt idx="831">
                  <c:v>42031</c:v>
                </c:pt>
                <c:pt idx="832">
                  <c:v>42032</c:v>
                </c:pt>
                <c:pt idx="833">
                  <c:v>42033</c:v>
                </c:pt>
                <c:pt idx="834">
                  <c:v>42034</c:v>
                </c:pt>
                <c:pt idx="835">
                  <c:v>42037</c:v>
                </c:pt>
                <c:pt idx="836">
                  <c:v>42038</c:v>
                </c:pt>
                <c:pt idx="837">
                  <c:v>42039</c:v>
                </c:pt>
                <c:pt idx="838">
                  <c:v>42040</c:v>
                </c:pt>
                <c:pt idx="839">
                  <c:v>42041</c:v>
                </c:pt>
                <c:pt idx="840">
                  <c:v>42044</c:v>
                </c:pt>
                <c:pt idx="841">
                  <c:v>42045</c:v>
                </c:pt>
                <c:pt idx="842">
                  <c:v>42046</c:v>
                </c:pt>
                <c:pt idx="843">
                  <c:v>42047</c:v>
                </c:pt>
                <c:pt idx="844">
                  <c:v>42048</c:v>
                </c:pt>
                <c:pt idx="845">
                  <c:v>42051</c:v>
                </c:pt>
                <c:pt idx="846">
                  <c:v>42052</c:v>
                </c:pt>
                <c:pt idx="847">
                  <c:v>42053</c:v>
                </c:pt>
                <c:pt idx="848">
                  <c:v>42054</c:v>
                </c:pt>
                <c:pt idx="849">
                  <c:v>42055</c:v>
                </c:pt>
                <c:pt idx="850">
                  <c:v>42058</c:v>
                </c:pt>
                <c:pt idx="851">
                  <c:v>42059</c:v>
                </c:pt>
                <c:pt idx="852">
                  <c:v>42060</c:v>
                </c:pt>
                <c:pt idx="853">
                  <c:v>42061</c:v>
                </c:pt>
                <c:pt idx="854">
                  <c:v>42062</c:v>
                </c:pt>
                <c:pt idx="855">
                  <c:v>42065</c:v>
                </c:pt>
                <c:pt idx="856">
                  <c:v>42066</c:v>
                </c:pt>
                <c:pt idx="857">
                  <c:v>42067</c:v>
                </c:pt>
                <c:pt idx="858">
                  <c:v>42068</c:v>
                </c:pt>
                <c:pt idx="859">
                  <c:v>42069</c:v>
                </c:pt>
                <c:pt idx="860">
                  <c:v>42072</c:v>
                </c:pt>
                <c:pt idx="861">
                  <c:v>42073</c:v>
                </c:pt>
                <c:pt idx="862">
                  <c:v>42074</c:v>
                </c:pt>
                <c:pt idx="863">
                  <c:v>42075</c:v>
                </c:pt>
                <c:pt idx="864">
                  <c:v>42076</c:v>
                </c:pt>
                <c:pt idx="865">
                  <c:v>42079</c:v>
                </c:pt>
                <c:pt idx="866">
                  <c:v>42080</c:v>
                </c:pt>
                <c:pt idx="867">
                  <c:v>42081</c:v>
                </c:pt>
                <c:pt idx="868">
                  <c:v>42082</c:v>
                </c:pt>
                <c:pt idx="869">
                  <c:v>42083</c:v>
                </c:pt>
                <c:pt idx="870">
                  <c:v>42086</c:v>
                </c:pt>
                <c:pt idx="871">
                  <c:v>42087</c:v>
                </c:pt>
                <c:pt idx="872">
                  <c:v>42088</c:v>
                </c:pt>
                <c:pt idx="873">
                  <c:v>42089</c:v>
                </c:pt>
                <c:pt idx="874">
                  <c:v>42090</c:v>
                </c:pt>
                <c:pt idx="875">
                  <c:v>42093</c:v>
                </c:pt>
                <c:pt idx="876">
                  <c:v>42094</c:v>
                </c:pt>
                <c:pt idx="877">
                  <c:v>42095</c:v>
                </c:pt>
                <c:pt idx="878">
                  <c:v>42096</c:v>
                </c:pt>
                <c:pt idx="879">
                  <c:v>42101</c:v>
                </c:pt>
                <c:pt idx="880">
                  <c:v>42102</c:v>
                </c:pt>
                <c:pt idx="881">
                  <c:v>42103</c:v>
                </c:pt>
                <c:pt idx="882">
                  <c:v>42104</c:v>
                </c:pt>
                <c:pt idx="883">
                  <c:v>42107</c:v>
                </c:pt>
                <c:pt idx="884">
                  <c:v>42108</c:v>
                </c:pt>
                <c:pt idx="885">
                  <c:v>42109</c:v>
                </c:pt>
                <c:pt idx="886">
                  <c:v>42110</c:v>
                </c:pt>
                <c:pt idx="887">
                  <c:v>42111</c:v>
                </c:pt>
                <c:pt idx="888">
                  <c:v>42114</c:v>
                </c:pt>
                <c:pt idx="889">
                  <c:v>42115</c:v>
                </c:pt>
                <c:pt idx="890">
                  <c:v>42116</c:v>
                </c:pt>
                <c:pt idx="891">
                  <c:v>42117</c:v>
                </c:pt>
                <c:pt idx="892">
                  <c:v>42118</c:v>
                </c:pt>
                <c:pt idx="893">
                  <c:v>42121</c:v>
                </c:pt>
                <c:pt idx="894">
                  <c:v>42122</c:v>
                </c:pt>
                <c:pt idx="895">
                  <c:v>42123</c:v>
                </c:pt>
                <c:pt idx="896">
                  <c:v>42124</c:v>
                </c:pt>
                <c:pt idx="897">
                  <c:v>42128</c:v>
                </c:pt>
                <c:pt idx="898">
                  <c:v>42129</c:v>
                </c:pt>
                <c:pt idx="899">
                  <c:v>42130</c:v>
                </c:pt>
                <c:pt idx="900">
                  <c:v>42131</c:v>
                </c:pt>
                <c:pt idx="901">
                  <c:v>42132</c:v>
                </c:pt>
                <c:pt idx="902">
                  <c:v>42135</c:v>
                </c:pt>
                <c:pt idx="903">
                  <c:v>42136</c:v>
                </c:pt>
                <c:pt idx="904">
                  <c:v>42137</c:v>
                </c:pt>
                <c:pt idx="905">
                  <c:v>42138</c:v>
                </c:pt>
                <c:pt idx="906">
                  <c:v>42139</c:v>
                </c:pt>
                <c:pt idx="907">
                  <c:v>42142</c:v>
                </c:pt>
                <c:pt idx="908">
                  <c:v>42143</c:v>
                </c:pt>
                <c:pt idx="909">
                  <c:v>42144</c:v>
                </c:pt>
                <c:pt idx="910">
                  <c:v>42145</c:v>
                </c:pt>
                <c:pt idx="911">
                  <c:v>42146</c:v>
                </c:pt>
                <c:pt idx="912">
                  <c:v>42149</c:v>
                </c:pt>
                <c:pt idx="913">
                  <c:v>42150</c:v>
                </c:pt>
                <c:pt idx="914">
                  <c:v>42151</c:v>
                </c:pt>
                <c:pt idx="915">
                  <c:v>42152</c:v>
                </c:pt>
                <c:pt idx="916">
                  <c:v>42153</c:v>
                </c:pt>
                <c:pt idx="917">
                  <c:v>42156</c:v>
                </c:pt>
                <c:pt idx="918">
                  <c:v>42157</c:v>
                </c:pt>
                <c:pt idx="919">
                  <c:v>42158</c:v>
                </c:pt>
                <c:pt idx="920">
                  <c:v>42159</c:v>
                </c:pt>
                <c:pt idx="921">
                  <c:v>42160</c:v>
                </c:pt>
                <c:pt idx="922">
                  <c:v>42163</c:v>
                </c:pt>
                <c:pt idx="923">
                  <c:v>42164</c:v>
                </c:pt>
                <c:pt idx="924">
                  <c:v>42165</c:v>
                </c:pt>
                <c:pt idx="925">
                  <c:v>42166</c:v>
                </c:pt>
                <c:pt idx="926">
                  <c:v>42167</c:v>
                </c:pt>
                <c:pt idx="927">
                  <c:v>42170</c:v>
                </c:pt>
                <c:pt idx="928">
                  <c:v>42171</c:v>
                </c:pt>
                <c:pt idx="929">
                  <c:v>42172</c:v>
                </c:pt>
                <c:pt idx="930">
                  <c:v>42173</c:v>
                </c:pt>
                <c:pt idx="931">
                  <c:v>42174</c:v>
                </c:pt>
                <c:pt idx="932">
                  <c:v>42177</c:v>
                </c:pt>
                <c:pt idx="933">
                  <c:v>42178</c:v>
                </c:pt>
                <c:pt idx="934">
                  <c:v>42179</c:v>
                </c:pt>
                <c:pt idx="935">
                  <c:v>42180</c:v>
                </c:pt>
                <c:pt idx="936">
                  <c:v>42181</c:v>
                </c:pt>
                <c:pt idx="937">
                  <c:v>42184</c:v>
                </c:pt>
                <c:pt idx="938">
                  <c:v>42185</c:v>
                </c:pt>
                <c:pt idx="939">
                  <c:v>42186</c:v>
                </c:pt>
                <c:pt idx="940">
                  <c:v>42187</c:v>
                </c:pt>
                <c:pt idx="941">
                  <c:v>42188</c:v>
                </c:pt>
                <c:pt idx="942">
                  <c:v>42191</c:v>
                </c:pt>
                <c:pt idx="943">
                  <c:v>42192</c:v>
                </c:pt>
                <c:pt idx="944">
                  <c:v>42193</c:v>
                </c:pt>
                <c:pt idx="945">
                  <c:v>42194</c:v>
                </c:pt>
                <c:pt idx="946">
                  <c:v>42195</c:v>
                </c:pt>
                <c:pt idx="947">
                  <c:v>42198</c:v>
                </c:pt>
                <c:pt idx="948">
                  <c:v>42199</c:v>
                </c:pt>
                <c:pt idx="949">
                  <c:v>42200</c:v>
                </c:pt>
                <c:pt idx="950">
                  <c:v>42201</c:v>
                </c:pt>
                <c:pt idx="951">
                  <c:v>42202</c:v>
                </c:pt>
                <c:pt idx="952">
                  <c:v>42205</c:v>
                </c:pt>
                <c:pt idx="953">
                  <c:v>42206</c:v>
                </c:pt>
                <c:pt idx="954">
                  <c:v>42207</c:v>
                </c:pt>
                <c:pt idx="955">
                  <c:v>42208</c:v>
                </c:pt>
                <c:pt idx="956">
                  <c:v>42209</c:v>
                </c:pt>
                <c:pt idx="957">
                  <c:v>42212</c:v>
                </c:pt>
                <c:pt idx="958">
                  <c:v>42213</c:v>
                </c:pt>
                <c:pt idx="959">
                  <c:v>42214</c:v>
                </c:pt>
                <c:pt idx="960">
                  <c:v>42215</c:v>
                </c:pt>
                <c:pt idx="961">
                  <c:v>42216</c:v>
                </c:pt>
                <c:pt idx="962">
                  <c:v>42219</c:v>
                </c:pt>
                <c:pt idx="963">
                  <c:v>42220</c:v>
                </c:pt>
                <c:pt idx="964">
                  <c:v>42221</c:v>
                </c:pt>
                <c:pt idx="965">
                  <c:v>42222</c:v>
                </c:pt>
                <c:pt idx="966">
                  <c:v>42223</c:v>
                </c:pt>
                <c:pt idx="967">
                  <c:v>42226</c:v>
                </c:pt>
                <c:pt idx="968">
                  <c:v>42227</c:v>
                </c:pt>
                <c:pt idx="969">
                  <c:v>42228</c:v>
                </c:pt>
                <c:pt idx="970">
                  <c:v>42229</c:v>
                </c:pt>
                <c:pt idx="971">
                  <c:v>42230</c:v>
                </c:pt>
                <c:pt idx="972">
                  <c:v>42233</c:v>
                </c:pt>
                <c:pt idx="973">
                  <c:v>42234</c:v>
                </c:pt>
                <c:pt idx="974">
                  <c:v>42235</c:v>
                </c:pt>
                <c:pt idx="975">
                  <c:v>42236</c:v>
                </c:pt>
                <c:pt idx="976">
                  <c:v>42237</c:v>
                </c:pt>
                <c:pt idx="977">
                  <c:v>42240</c:v>
                </c:pt>
                <c:pt idx="978">
                  <c:v>42241</c:v>
                </c:pt>
                <c:pt idx="979">
                  <c:v>42242</c:v>
                </c:pt>
                <c:pt idx="980">
                  <c:v>42243</c:v>
                </c:pt>
                <c:pt idx="981">
                  <c:v>42244</c:v>
                </c:pt>
                <c:pt idx="982">
                  <c:v>42247</c:v>
                </c:pt>
                <c:pt idx="983">
                  <c:v>42248</c:v>
                </c:pt>
                <c:pt idx="984">
                  <c:v>42249</c:v>
                </c:pt>
                <c:pt idx="985">
                  <c:v>42250</c:v>
                </c:pt>
                <c:pt idx="986">
                  <c:v>42251</c:v>
                </c:pt>
                <c:pt idx="987">
                  <c:v>42254</c:v>
                </c:pt>
                <c:pt idx="988">
                  <c:v>42255</c:v>
                </c:pt>
                <c:pt idx="989">
                  <c:v>42256</c:v>
                </c:pt>
                <c:pt idx="990">
                  <c:v>42257</c:v>
                </c:pt>
                <c:pt idx="991">
                  <c:v>42258</c:v>
                </c:pt>
                <c:pt idx="992">
                  <c:v>42261</c:v>
                </c:pt>
                <c:pt idx="993">
                  <c:v>42262</c:v>
                </c:pt>
                <c:pt idx="994">
                  <c:v>42263</c:v>
                </c:pt>
                <c:pt idx="995">
                  <c:v>42264</c:v>
                </c:pt>
                <c:pt idx="996">
                  <c:v>42265</c:v>
                </c:pt>
                <c:pt idx="997">
                  <c:v>42268</c:v>
                </c:pt>
                <c:pt idx="998">
                  <c:v>42269</c:v>
                </c:pt>
                <c:pt idx="999">
                  <c:v>42270</c:v>
                </c:pt>
                <c:pt idx="1000">
                  <c:v>42271</c:v>
                </c:pt>
                <c:pt idx="1001">
                  <c:v>42272</c:v>
                </c:pt>
                <c:pt idx="1002">
                  <c:v>42275</c:v>
                </c:pt>
                <c:pt idx="1003">
                  <c:v>42276</c:v>
                </c:pt>
                <c:pt idx="1004">
                  <c:v>42277</c:v>
                </c:pt>
                <c:pt idx="1005">
                  <c:v>42278</c:v>
                </c:pt>
                <c:pt idx="1006">
                  <c:v>42279</c:v>
                </c:pt>
                <c:pt idx="1007">
                  <c:v>42282</c:v>
                </c:pt>
                <c:pt idx="1008">
                  <c:v>42283</c:v>
                </c:pt>
                <c:pt idx="1009">
                  <c:v>42284</c:v>
                </c:pt>
                <c:pt idx="1010">
                  <c:v>42285</c:v>
                </c:pt>
                <c:pt idx="1011">
                  <c:v>42286</c:v>
                </c:pt>
                <c:pt idx="1012">
                  <c:v>42289</c:v>
                </c:pt>
                <c:pt idx="1013">
                  <c:v>42290</c:v>
                </c:pt>
                <c:pt idx="1014">
                  <c:v>42291</c:v>
                </c:pt>
                <c:pt idx="1015">
                  <c:v>42292</c:v>
                </c:pt>
                <c:pt idx="1016">
                  <c:v>42293</c:v>
                </c:pt>
                <c:pt idx="1017">
                  <c:v>42296</c:v>
                </c:pt>
                <c:pt idx="1018">
                  <c:v>42297</c:v>
                </c:pt>
                <c:pt idx="1019">
                  <c:v>42298</c:v>
                </c:pt>
                <c:pt idx="1020">
                  <c:v>42299</c:v>
                </c:pt>
                <c:pt idx="1021">
                  <c:v>42300</c:v>
                </c:pt>
                <c:pt idx="1022">
                  <c:v>42303</c:v>
                </c:pt>
                <c:pt idx="1023">
                  <c:v>42304</c:v>
                </c:pt>
                <c:pt idx="1024">
                  <c:v>42305</c:v>
                </c:pt>
                <c:pt idx="1025">
                  <c:v>42306</c:v>
                </c:pt>
                <c:pt idx="1026">
                  <c:v>42307</c:v>
                </c:pt>
                <c:pt idx="1027">
                  <c:v>42310</c:v>
                </c:pt>
                <c:pt idx="1028">
                  <c:v>42311</c:v>
                </c:pt>
                <c:pt idx="1029">
                  <c:v>42312</c:v>
                </c:pt>
                <c:pt idx="1030">
                  <c:v>42313</c:v>
                </c:pt>
                <c:pt idx="1031">
                  <c:v>42314</c:v>
                </c:pt>
                <c:pt idx="1032">
                  <c:v>42317</c:v>
                </c:pt>
                <c:pt idx="1033">
                  <c:v>42318</c:v>
                </c:pt>
                <c:pt idx="1034">
                  <c:v>42319</c:v>
                </c:pt>
                <c:pt idx="1035">
                  <c:v>42320</c:v>
                </c:pt>
                <c:pt idx="1036">
                  <c:v>42321</c:v>
                </c:pt>
                <c:pt idx="1037">
                  <c:v>42324</c:v>
                </c:pt>
                <c:pt idx="1038">
                  <c:v>42325</c:v>
                </c:pt>
                <c:pt idx="1039">
                  <c:v>42326</c:v>
                </c:pt>
                <c:pt idx="1040">
                  <c:v>42327</c:v>
                </c:pt>
                <c:pt idx="1041">
                  <c:v>42328</c:v>
                </c:pt>
                <c:pt idx="1042">
                  <c:v>42331</c:v>
                </c:pt>
                <c:pt idx="1043">
                  <c:v>42332</c:v>
                </c:pt>
                <c:pt idx="1044">
                  <c:v>42333</c:v>
                </c:pt>
                <c:pt idx="1045">
                  <c:v>42334</c:v>
                </c:pt>
                <c:pt idx="1046">
                  <c:v>42335</c:v>
                </c:pt>
                <c:pt idx="1047">
                  <c:v>42338</c:v>
                </c:pt>
                <c:pt idx="1048">
                  <c:v>42339</c:v>
                </c:pt>
                <c:pt idx="1049">
                  <c:v>42340</c:v>
                </c:pt>
                <c:pt idx="1050">
                  <c:v>42341</c:v>
                </c:pt>
                <c:pt idx="1051">
                  <c:v>42342</c:v>
                </c:pt>
                <c:pt idx="1052">
                  <c:v>42345</c:v>
                </c:pt>
                <c:pt idx="1053">
                  <c:v>42346</c:v>
                </c:pt>
                <c:pt idx="1054">
                  <c:v>42347</c:v>
                </c:pt>
                <c:pt idx="1055">
                  <c:v>42348</c:v>
                </c:pt>
                <c:pt idx="1056">
                  <c:v>42349</c:v>
                </c:pt>
                <c:pt idx="1057">
                  <c:v>42352</c:v>
                </c:pt>
                <c:pt idx="1058">
                  <c:v>42353</c:v>
                </c:pt>
                <c:pt idx="1059">
                  <c:v>42354</c:v>
                </c:pt>
                <c:pt idx="1060">
                  <c:v>42355</c:v>
                </c:pt>
                <c:pt idx="1061">
                  <c:v>42356</c:v>
                </c:pt>
                <c:pt idx="1062">
                  <c:v>42359</c:v>
                </c:pt>
                <c:pt idx="1063">
                  <c:v>42360</c:v>
                </c:pt>
                <c:pt idx="1064">
                  <c:v>42361</c:v>
                </c:pt>
                <c:pt idx="1065">
                  <c:v>42362</c:v>
                </c:pt>
                <c:pt idx="1066">
                  <c:v>42366</c:v>
                </c:pt>
                <c:pt idx="1067">
                  <c:v>42367</c:v>
                </c:pt>
                <c:pt idx="1068">
                  <c:v>42368</c:v>
                </c:pt>
                <c:pt idx="1069">
                  <c:v>42373</c:v>
                </c:pt>
                <c:pt idx="1070">
                  <c:v>42374</c:v>
                </c:pt>
                <c:pt idx="1071">
                  <c:v>42375</c:v>
                </c:pt>
                <c:pt idx="1072">
                  <c:v>42376</c:v>
                </c:pt>
                <c:pt idx="1073">
                  <c:v>42377</c:v>
                </c:pt>
                <c:pt idx="1074">
                  <c:v>42380</c:v>
                </c:pt>
                <c:pt idx="1075">
                  <c:v>42381</c:v>
                </c:pt>
                <c:pt idx="1076">
                  <c:v>42382</c:v>
                </c:pt>
                <c:pt idx="1077">
                  <c:v>42383</c:v>
                </c:pt>
                <c:pt idx="1078">
                  <c:v>42384</c:v>
                </c:pt>
                <c:pt idx="1079">
                  <c:v>42387</c:v>
                </c:pt>
                <c:pt idx="1080">
                  <c:v>42388</c:v>
                </c:pt>
                <c:pt idx="1081">
                  <c:v>42389</c:v>
                </c:pt>
                <c:pt idx="1082">
                  <c:v>42390</c:v>
                </c:pt>
                <c:pt idx="1083">
                  <c:v>42391</c:v>
                </c:pt>
                <c:pt idx="1084">
                  <c:v>42394</c:v>
                </c:pt>
                <c:pt idx="1085">
                  <c:v>42395</c:v>
                </c:pt>
                <c:pt idx="1086">
                  <c:v>42396</c:v>
                </c:pt>
                <c:pt idx="1087">
                  <c:v>42397</c:v>
                </c:pt>
                <c:pt idx="1088">
                  <c:v>42398</c:v>
                </c:pt>
                <c:pt idx="1089">
                  <c:v>42401</c:v>
                </c:pt>
                <c:pt idx="1090">
                  <c:v>42402</c:v>
                </c:pt>
                <c:pt idx="1091">
                  <c:v>42403</c:v>
                </c:pt>
                <c:pt idx="1092">
                  <c:v>42404</c:v>
                </c:pt>
                <c:pt idx="1093">
                  <c:v>42405</c:v>
                </c:pt>
                <c:pt idx="1094">
                  <c:v>42408</c:v>
                </c:pt>
                <c:pt idx="1095">
                  <c:v>42409</c:v>
                </c:pt>
                <c:pt idx="1096">
                  <c:v>42410</c:v>
                </c:pt>
                <c:pt idx="1097">
                  <c:v>42411</c:v>
                </c:pt>
                <c:pt idx="1098">
                  <c:v>42412</c:v>
                </c:pt>
                <c:pt idx="1099">
                  <c:v>42415</c:v>
                </c:pt>
                <c:pt idx="1100">
                  <c:v>42416</c:v>
                </c:pt>
                <c:pt idx="1101">
                  <c:v>42417</c:v>
                </c:pt>
                <c:pt idx="1102">
                  <c:v>42418</c:v>
                </c:pt>
                <c:pt idx="1103">
                  <c:v>42419</c:v>
                </c:pt>
                <c:pt idx="1104">
                  <c:v>42422</c:v>
                </c:pt>
                <c:pt idx="1105">
                  <c:v>42423</c:v>
                </c:pt>
                <c:pt idx="1106">
                  <c:v>42424</c:v>
                </c:pt>
                <c:pt idx="1107">
                  <c:v>42425</c:v>
                </c:pt>
                <c:pt idx="1108">
                  <c:v>42426</c:v>
                </c:pt>
                <c:pt idx="1109">
                  <c:v>42429</c:v>
                </c:pt>
                <c:pt idx="1110">
                  <c:v>42430</c:v>
                </c:pt>
                <c:pt idx="1111">
                  <c:v>42431</c:v>
                </c:pt>
                <c:pt idx="1112">
                  <c:v>42432</c:v>
                </c:pt>
                <c:pt idx="1113">
                  <c:v>42433</c:v>
                </c:pt>
                <c:pt idx="1114">
                  <c:v>42436</c:v>
                </c:pt>
                <c:pt idx="1115">
                  <c:v>42437</c:v>
                </c:pt>
                <c:pt idx="1116">
                  <c:v>42438</c:v>
                </c:pt>
                <c:pt idx="1117">
                  <c:v>42439</c:v>
                </c:pt>
                <c:pt idx="1118">
                  <c:v>42440</c:v>
                </c:pt>
                <c:pt idx="1119">
                  <c:v>42443</c:v>
                </c:pt>
                <c:pt idx="1120">
                  <c:v>42444</c:v>
                </c:pt>
                <c:pt idx="1121">
                  <c:v>42445</c:v>
                </c:pt>
                <c:pt idx="1122">
                  <c:v>42446</c:v>
                </c:pt>
                <c:pt idx="1123">
                  <c:v>42447</c:v>
                </c:pt>
                <c:pt idx="1124">
                  <c:v>42450</c:v>
                </c:pt>
                <c:pt idx="1125">
                  <c:v>42451</c:v>
                </c:pt>
                <c:pt idx="1126">
                  <c:v>42452</c:v>
                </c:pt>
                <c:pt idx="1127">
                  <c:v>42453</c:v>
                </c:pt>
                <c:pt idx="1128">
                  <c:v>42458</c:v>
                </c:pt>
                <c:pt idx="1129">
                  <c:v>42459</c:v>
                </c:pt>
                <c:pt idx="1130">
                  <c:v>42460</c:v>
                </c:pt>
                <c:pt idx="1131">
                  <c:v>42461</c:v>
                </c:pt>
                <c:pt idx="1132">
                  <c:v>42464</c:v>
                </c:pt>
                <c:pt idx="1133">
                  <c:v>42465</c:v>
                </c:pt>
                <c:pt idx="1134">
                  <c:v>42466</c:v>
                </c:pt>
                <c:pt idx="1135">
                  <c:v>42467</c:v>
                </c:pt>
                <c:pt idx="1136">
                  <c:v>42468</c:v>
                </c:pt>
                <c:pt idx="1137">
                  <c:v>42471</c:v>
                </c:pt>
                <c:pt idx="1138">
                  <c:v>42472</c:v>
                </c:pt>
                <c:pt idx="1139">
                  <c:v>42473</c:v>
                </c:pt>
                <c:pt idx="1140">
                  <c:v>42474</c:v>
                </c:pt>
                <c:pt idx="1141">
                  <c:v>42475</c:v>
                </c:pt>
                <c:pt idx="1142">
                  <c:v>42478</c:v>
                </c:pt>
                <c:pt idx="1143">
                  <c:v>42479</c:v>
                </c:pt>
                <c:pt idx="1144">
                  <c:v>42480</c:v>
                </c:pt>
                <c:pt idx="1145">
                  <c:v>42481</c:v>
                </c:pt>
                <c:pt idx="1146">
                  <c:v>42482</c:v>
                </c:pt>
                <c:pt idx="1147">
                  <c:v>42485</c:v>
                </c:pt>
                <c:pt idx="1148">
                  <c:v>42486</c:v>
                </c:pt>
                <c:pt idx="1149">
                  <c:v>42487</c:v>
                </c:pt>
                <c:pt idx="1150">
                  <c:v>42488</c:v>
                </c:pt>
                <c:pt idx="1151">
                  <c:v>42489</c:v>
                </c:pt>
                <c:pt idx="1152">
                  <c:v>42492</c:v>
                </c:pt>
                <c:pt idx="1153">
                  <c:v>42493</c:v>
                </c:pt>
                <c:pt idx="1154">
                  <c:v>42494</c:v>
                </c:pt>
                <c:pt idx="1155">
                  <c:v>42495</c:v>
                </c:pt>
                <c:pt idx="1156">
                  <c:v>42496</c:v>
                </c:pt>
                <c:pt idx="1157">
                  <c:v>42499</c:v>
                </c:pt>
                <c:pt idx="1158">
                  <c:v>42500</c:v>
                </c:pt>
                <c:pt idx="1159">
                  <c:v>42501</c:v>
                </c:pt>
                <c:pt idx="1160">
                  <c:v>42502</c:v>
                </c:pt>
                <c:pt idx="1161">
                  <c:v>42503</c:v>
                </c:pt>
                <c:pt idx="1162">
                  <c:v>42506</c:v>
                </c:pt>
                <c:pt idx="1163">
                  <c:v>42507</c:v>
                </c:pt>
                <c:pt idx="1164">
                  <c:v>42508</c:v>
                </c:pt>
                <c:pt idx="1165">
                  <c:v>42509</c:v>
                </c:pt>
                <c:pt idx="1166">
                  <c:v>42510</c:v>
                </c:pt>
                <c:pt idx="1167">
                  <c:v>42513</c:v>
                </c:pt>
                <c:pt idx="1168">
                  <c:v>42514</c:v>
                </c:pt>
                <c:pt idx="1169">
                  <c:v>42515</c:v>
                </c:pt>
                <c:pt idx="1170">
                  <c:v>42516</c:v>
                </c:pt>
                <c:pt idx="1171">
                  <c:v>42517</c:v>
                </c:pt>
                <c:pt idx="1172">
                  <c:v>42520</c:v>
                </c:pt>
                <c:pt idx="1173">
                  <c:v>42521</c:v>
                </c:pt>
                <c:pt idx="1174">
                  <c:v>42522</c:v>
                </c:pt>
                <c:pt idx="1175">
                  <c:v>42523</c:v>
                </c:pt>
                <c:pt idx="1176">
                  <c:v>42524</c:v>
                </c:pt>
                <c:pt idx="1177">
                  <c:v>42527</c:v>
                </c:pt>
                <c:pt idx="1178">
                  <c:v>42528</c:v>
                </c:pt>
                <c:pt idx="1179">
                  <c:v>42529</c:v>
                </c:pt>
                <c:pt idx="1180">
                  <c:v>42530</c:v>
                </c:pt>
                <c:pt idx="1181">
                  <c:v>42531</c:v>
                </c:pt>
                <c:pt idx="1182">
                  <c:v>42534</c:v>
                </c:pt>
                <c:pt idx="1183">
                  <c:v>42535</c:v>
                </c:pt>
                <c:pt idx="1184">
                  <c:v>42536</c:v>
                </c:pt>
                <c:pt idx="1185">
                  <c:v>42537</c:v>
                </c:pt>
                <c:pt idx="1186">
                  <c:v>42538</c:v>
                </c:pt>
                <c:pt idx="1187">
                  <c:v>42541</c:v>
                </c:pt>
                <c:pt idx="1188">
                  <c:v>42542</c:v>
                </c:pt>
                <c:pt idx="1189">
                  <c:v>42543</c:v>
                </c:pt>
                <c:pt idx="1190">
                  <c:v>42544</c:v>
                </c:pt>
                <c:pt idx="1191">
                  <c:v>42545</c:v>
                </c:pt>
                <c:pt idx="1192">
                  <c:v>42548</c:v>
                </c:pt>
                <c:pt idx="1193">
                  <c:v>42549</c:v>
                </c:pt>
                <c:pt idx="1194">
                  <c:v>42550</c:v>
                </c:pt>
                <c:pt idx="1195">
                  <c:v>42551</c:v>
                </c:pt>
                <c:pt idx="1196">
                  <c:v>42552</c:v>
                </c:pt>
                <c:pt idx="1197">
                  <c:v>42555</c:v>
                </c:pt>
                <c:pt idx="1198">
                  <c:v>42556</c:v>
                </c:pt>
                <c:pt idx="1199">
                  <c:v>42557</c:v>
                </c:pt>
                <c:pt idx="1200">
                  <c:v>42558</c:v>
                </c:pt>
                <c:pt idx="1201">
                  <c:v>42559</c:v>
                </c:pt>
                <c:pt idx="1202">
                  <c:v>42562</c:v>
                </c:pt>
                <c:pt idx="1203">
                  <c:v>42563</c:v>
                </c:pt>
                <c:pt idx="1204">
                  <c:v>42564</c:v>
                </c:pt>
                <c:pt idx="1205">
                  <c:v>42565</c:v>
                </c:pt>
                <c:pt idx="1206">
                  <c:v>42566</c:v>
                </c:pt>
                <c:pt idx="1207">
                  <c:v>42569</c:v>
                </c:pt>
                <c:pt idx="1208">
                  <c:v>42570</c:v>
                </c:pt>
                <c:pt idx="1209">
                  <c:v>42571</c:v>
                </c:pt>
                <c:pt idx="1210">
                  <c:v>42572</c:v>
                </c:pt>
                <c:pt idx="1211">
                  <c:v>42573</c:v>
                </c:pt>
                <c:pt idx="1212">
                  <c:v>42576</c:v>
                </c:pt>
                <c:pt idx="1213">
                  <c:v>42577</c:v>
                </c:pt>
                <c:pt idx="1214">
                  <c:v>42578</c:v>
                </c:pt>
                <c:pt idx="1215">
                  <c:v>42579</c:v>
                </c:pt>
                <c:pt idx="1216">
                  <c:v>42580</c:v>
                </c:pt>
                <c:pt idx="1217">
                  <c:v>42583</c:v>
                </c:pt>
                <c:pt idx="1218">
                  <c:v>42584</c:v>
                </c:pt>
                <c:pt idx="1219">
                  <c:v>42585</c:v>
                </c:pt>
                <c:pt idx="1220">
                  <c:v>42586</c:v>
                </c:pt>
                <c:pt idx="1221">
                  <c:v>42587</c:v>
                </c:pt>
                <c:pt idx="1222">
                  <c:v>42590</c:v>
                </c:pt>
                <c:pt idx="1223">
                  <c:v>42591</c:v>
                </c:pt>
                <c:pt idx="1224">
                  <c:v>42592</c:v>
                </c:pt>
                <c:pt idx="1225">
                  <c:v>42593</c:v>
                </c:pt>
                <c:pt idx="1226">
                  <c:v>42594</c:v>
                </c:pt>
                <c:pt idx="1227">
                  <c:v>42597</c:v>
                </c:pt>
                <c:pt idx="1228">
                  <c:v>42598</c:v>
                </c:pt>
                <c:pt idx="1229">
                  <c:v>42599</c:v>
                </c:pt>
                <c:pt idx="1230">
                  <c:v>42600</c:v>
                </c:pt>
                <c:pt idx="1231">
                  <c:v>42601</c:v>
                </c:pt>
                <c:pt idx="1232">
                  <c:v>42604</c:v>
                </c:pt>
                <c:pt idx="1233">
                  <c:v>42605</c:v>
                </c:pt>
                <c:pt idx="1234">
                  <c:v>42606</c:v>
                </c:pt>
                <c:pt idx="1235">
                  <c:v>42607</c:v>
                </c:pt>
                <c:pt idx="1236">
                  <c:v>42608</c:v>
                </c:pt>
                <c:pt idx="1237">
                  <c:v>42611</c:v>
                </c:pt>
                <c:pt idx="1238">
                  <c:v>42612</c:v>
                </c:pt>
                <c:pt idx="1239">
                  <c:v>42613</c:v>
                </c:pt>
                <c:pt idx="1240">
                  <c:v>42614</c:v>
                </c:pt>
                <c:pt idx="1241">
                  <c:v>42615</c:v>
                </c:pt>
                <c:pt idx="1242">
                  <c:v>42618</c:v>
                </c:pt>
                <c:pt idx="1243">
                  <c:v>42619</c:v>
                </c:pt>
                <c:pt idx="1244">
                  <c:v>42620</c:v>
                </c:pt>
                <c:pt idx="1245">
                  <c:v>42621</c:v>
                </c:pt>
                <c:pt idx="1246">
                  <c:v>42622</c:v>
                </c:pt>
                <c:pt idx="1247">
                  <c:v>42625</c:v>
                </c:pt>
                <c:pt idx="1248">
                  <c:v>42626</c:v>
                </c:pt>
                <c:pt idx="1249">
                  <c:v>42627</c:v>
                </c:pt>
                <c:pt idx="1250">
                  <c:v>42628</c:v>
                </c:pt>
                <c:pt idx="1251">
                  <c:v>42629</c:v>
                </c:pt>
                <c:pt idx="1252">
                  <c:v>42632</c:v>
                </c:pt>
                <c:pt idx="1253">
                  <c:v>42633</c:v>
                </c:pt>
                <c:pt idx="1254">
                  <c:v>42634</c:v>
                </c:pt>
                <c:pt idx="1255">
                  <c:v>42635</c:v>
                </c:pt>
                <c:pt idx="1256">
                  <c:v>42636</c:v>
                </c:pt>
                <c:pt idx="1257">
                  <c:v>42639</c:v>
                </c:pt>
                <c:pt idx="1258">
                  <c:v>42640</c:v>
                </c:pt>
                <c:pt idx="1259">
                  <c:v>42641</c:v>
                </c:pt>
                <c:pt idx="1260">
                  <c:v>42642</c:v>
                </c:pt>
                <c:pt idx="1261">
                  <c:v>42643</c:v>
                </c:pt>
                <c:pt idx="1262">
                  <c:v>42646</c:v>
                </c:pt>
                <c:pt idx="1263">
                  <c:v>42647</c:v>
                </c:pt>
                <c:pt idx="1264">
                  <c:v>42648</c:v>
                </c:pt>
                <c:pt idx="1265">
                  <c:v>42649</c:v>
                </c:pt>
                <c:pt idx="1266">
                  <c:v>42650</c:v>
                </c:pt>
                <c:pt idx="1267">
                  <c:v>42653</c:v>
                </c:pt>
                <c:pt idx="1268">
                  <c:v>42654</c:v>
                </c:pt>
                <c:pt idx="1269">
                  <c:v>42655</c:v>
                </c:pt>
                <c:pt idx="1270">
                  <c:v>42656</c:v>
                </c:pt>
                <c:pt idx="1271">
                  <c:v>42657</c:v>
                </c:pt>
                <c:pt idx="1272">
                  <c:v>42660</c:v>
                </c:pt>
                <c:pt idx="1273">
                  <c:v>42661</c:v>
                </c:pt>
                <c:pt idx="1274">
                  <c:v>42662</c:v>
                </c:pt>
                <c:pt idx="1275">
                  <c:v>42663</c:v>
                </c:pt>
                <c:pt idx="1276">
                  <c:v>42664</c:v>
                </c:pt>
                <c:pt idx="1277">
                  <c:v>42667</c:v>
                </c:pt>
                <c:pt idx="1278">
                  <c:v>42668</c:v>
                </c:pt>
                <c:pt idx="1279">
                  <c:v>42669</c:v>
                </c:pt>
                <c:pt idx="1280">
                  <c:v>42670</c:v>
                </c:pt>
                <c:pt idx="1281">
                  <c:v>42671</c:v>
                </c:pt>
                <c:pt idx="1282">
                  <c:v>42674</c:v>
                </c:pt>
                <c:pt idx="1283">
                  <c:v>42675</c:v>
                </c:pt>
                <c:pt idx="1284">
                  <c:v>42676</c:v>
                </c:pt>
                <c:pt idx="1285">
                  <c:v>42677</c:v>
                </c:pt>
                <c:pt idx="1286">
                  <c:v>42678</c:v>
                </c:pt>
                <c:pt idx="1287">
                  <c:v>42681</c:v>
                </c:pt>
                <c:pt idx="1288">
                  <c:v>42682</c:v>
                </c:pt>
                <c:pt idx="1289">
                  <c:v>42683</c:v>
                </c:pt>
                <c:pt idx="1290">
                  <c:v>42684</c:v>
                </c:pt>
                <c:pt idx="1291">
                  <c:v>42685</c:v>
                </c:pt>
                <c:pt idx="1292">
                  <c:v>42688</c:v>
                </c:pt>
                <c:pt idx="1293">
                  <c:v>42689</c:v>
                </c:pt>
                <c:pt idx="1294">
                  <c:v>42690</c:v>
                </c:pt>
                <c:pt idx="1295">
                  <c:v>42691</c:v>
                </c:pt>
                <c:pt idx="1296">
                  <c:v>42692</c:v>
                </c:pt>
                <c:pt idx="1297">
                  <c:v>42695</c:v>
                </c:pt>
                <c:pt idx="1298">
                  <c:v>42696</c:v>
                </c:pt>
                <c:pt idx="1299">
                  <c:v>42697</c:v>
                </c:pt>
                <c:pt idx="1300">
                  <c:v>42698</c:v>
                </c:pt>
                <c:pt idx="1301">
                  <c:v>42699</c:v>
                </c:pt>
                <c:pt idx="1302">
                  <c:v>42702</c:v>
                </c:pt>
                <c:pt idx="1303">
                  <c:v>42703</c:v>
                </c:pt>
                <c:pt idx="1304">
                  <c:v>42704</c:v>
                </c:pt>
                <c:pt idx="1305">
                  <c:v>42705</c:v>
                </c:pt>
                <c:pt idx="1306">
                  <c:v>42706</c:v>
                </c:pt>
                <c:pt idx="1307">
                  <c:v>42709</c:v>
                </c:pt>
                <c:pt idx="1308">
                  <c:v>42710</c:v>
                </c:pt>
                <c:pt idx="1309">
                  <c:v>42711</c:v>
                </c:pt>
                <c:pt idx="1310">
                  <c:v>42712</c:v>
                </c:pt>
                <c:pt idx="1311">
                  <c:v>42713</c:v>
                </c:pt>
                <c:pt idx="1312">
                  <c:v>42716</c:v>
                </c:pt>
                <c:pt idx="1313">
                  <c:v>42717</c:v>
                </c:pt>
                <c:pt idx="1314">
                  <c:v>42718</c:v>
                </c:pt>
                <c:pt idx="1315">
                  <c:v>42719</c:v>
                </c:pt>
                <c:pt idx="1316">
                  <c:v>42720</c:v>
                </c:pt>
                <c:pt idx="1317">
                  <c:v>42723</c:v>
                </c:pt>
                <c:pt idx="1318">
                  <c:v>42724</c:v>
                </c:pt>
                <c:pt idx="1319">
                  <c:v>42725</c:v>
                </c:pt>
                <c:pt idx="1320">
                  <c:v>42726</c:v>
                </c:pt>
                <c:pt idx="1321">
                  <c:v>42727</c:v>
                </c:pt>
                <c:pt idx="1322">
                  <c:v>42731</c:v>
                </c:pt>
                <c:pt idx="1323">
                  <c:v>42732</c:v>
                </c:pt>
                <c:pt idx="1324">
                  <c:v>42733</c:v>
                </c:pt>
                <c:pt idx="1325">
                  <c:v>42734</c:v>
                </c:pt>
                <c:pt idx="1326">
                  <c:v>42737</c:v>
                </c:pt>
                <c:pt idx="1327">
                  <c:v>42738</c:v>
                </c:pt>
                <c:pt idx="1328">
                  <c:v>42739</c:v>
                </c:pt>
                <c:pt idx="1329">
                  <c:v>42740</c:v>
                </c:pt>
                <c:pt idx="1330">
                  <c:v>42741</c:v>
                </c:pt>
                <c:pt idx="1331">
                  <c:v>42744</c:v>
                </c:pt>
                <c:pt idx="1332">
                  <c:v>42745</c:v>
                </c:pt>
                <c:pt idx="1333">
                  <c:v>42746</c:v>
                </c:pt>
                <c:pt idx="1334">
                  <c:v>42747</c:v>
                </c:pt>
                <c:pt idx="1335">
                  <c:v>42748</c:v>
                </c:pt>
                <c:pt idx="1336">
                  <c:v>42751</c:v>
                </c:pt>
                <c:pt idx="1337">
                  <c:v>42752</c:v>
                </c:pt>
                <c:pt idx="1338">
                  <c:v>42753</c:v>
                </c:pt>
                <c:pt idx="1339">
                  <c:v>42754</c:v>
                </c:pt>
                <c:pt idx="1340">
                  <c:v>42755</c:v>
                </c:pt>
                <c:pt idx="1341">
                  <c:v>42758</c:v>
                </c:pt>
                <c:pt idx="1342">
                  <c:v>42759</c:v>
                </c:pt>
                <c:pt idx="1343">
                  <c:v>42760</c:v>
                </c:pt>
                <c:pt idx="1344">
                  <c:v>42761</c:v>
                </c:pt>
                <c:pt idx="1345">
                  <c:v>42762</c:v>
                </c:pt>
                <c:pt idx="1346">
                  <c:v>42765</c:v>
                </c:pt>
                <c:pt idx="1347">
                  <c:v>42766</c:v>
                </c:pt>
                <c:pt idx="1348">
                  <c:v>42767</c:v>
                </c:pt>
                <c:pt idx="1349">
                  <c:v>42768</c:v>
                </c:pt>
                <c:pt idx="1350">
                  <c:v>42769</c:v>
                </c:pt>
                <c:pt idx="1351">
                  <c:v>42772</c:v>
                </c:pt>
                <c:pt idx="1352">
                  <c:v>42773</c:v>
                </c:pt>
                <c:pt idx="1353">
                  <c:v>42774</c:v>
                </c:pt>
                <c:pt idx="1354">
                  <c:v>42775</c:v>
                </c:pt>
                <c:pt idx="1355">
                  <c:v>42776</c:v>
                </c:pt>
                <c:pt idx="1356">
                  <c:v>42779</c:v>
                </c:pt>
                <c:pt idx="1357">
                  <c:v>42780</c:v>
                </c:pt>
                <c:pt idx="1358">
                  <c:v>42781</c:v>
                </c:pt>
                <c:pt idx="1359">
                  <c:v>42782</c:v>
                </c:pt>
                <c:pt idx="1360">
                  <c:v>42783</c:v>
                </c:pt>
                <c:pt idx="1361">
                  <c:v>42786</c:v>
                </c:pt>
                <c:pt idx="1362">
                  <c:v>42787</c:v>
                </c:pt>
                <c:pt idx="1363">
                  <c:v>42788</c:v>
                </c:pt>
                <c:pt idx="1364">
                  <c:v>42789</c:v>
                </c:pt>
                <c:pt idx="1365">
                  <c:v>42790</c:v>
                </c:pt>
                <c:pt idx="1366">
                  <c:v>42793</c:v>
                </c:pt>
                <c:pt idx="1367">
                  <c:v>42794</c:v>
                </c:pt>
                <c:pt idx="1368">
                  <c:v>42795</c:v>
                </c:pt>
                <c:pt idx="1369">
                  <c:v>42796</c:v>
                </c:pt>
                <c:pt idx="1370">
                  <c:v>42797</c:v>
                </c:pt>
                <c:pt idx="1371">
                  <c:v>42800</c:v>
                </c:pt>
                <c:pt idx="1372">
                  <c:v>42801</c:v>
                </c:pt>
                <c:pt idx="1373">
                  <c:v>42802</c:v>
                </c:pt>
                <c:pt idx="1374">
                  <c:v>42803</c:v>
                </c:pt>
                <c:pt idx="1375">
                  <c:v>42804</c:v>
                </c:pt>
                <c:pt idx="1376">
                  <c:v>42807</c:v>
                </c:pt>
                <c:pt idx="1377">
                  <c:v>42808</c:v>
                </c:pt>
                <c:pt idx="1378">
                  <c:v>42809</c:v>
                </c:pt>
                <c:pt idx="1379">
                  <c:v>42810</c:v>
                </c:pt>
                <c:pt idx="1380">
                  <c:v>42811</c:v>
                </c:pt>
                <c:pt idx="1381">
                  <c:v>42814</c:v>
                </c:pt>
                <c:pt idx="1382">
                  <c:v>42815</c:v>
                </c:pt>
                <c:pt idx="1383">
                  <c:v>42816</c:v>
                </c:pt>
                <c:pt idx="1384">
                  <c:v>42817</c:v>
                </c:pt>
                <c:pt idx="1385">
                  <c:v>42818</c:v>
                </c:pt>
                <c:pt idx="1386">
                  <c:v>42821</c:v>
                </c:pt>
                <c:pt idx="1387">
                  <c:v>42822</c:v>
                </c:pt>
                <c:pt idx="1388">
                  <c:v>42823</c:v>
                </c:pt>
                <c:pt idx="1389">
                  <c:v>42824</c:v>
                </c:pt>
                <c:pt idx="1390">
                  <c:v>42825</c:v>
                </c:pt>
                <c:pt idx="1391">
                  <c:v>42828</c:v>
                </c:pt>
                <c:pt idx="1392">
                  <c:v>42829</c:v>
                </c:pt>
                <c:pt idx="1393">
                  <c:v>42830</c:v>
                </c:pt>
                <c:pt idx="1394">
                  <c:v>42831</c:v>
                </c:pt>
                <c:pt idx="1395">
                  <c:v>42832</c:v>
                </c:pt>
                <c:pt idx="1396">
                  <c:v>42835</c:v>
                </c:pt>
                <c:pt idx="1397">
                  <c:v>42836</c:v>
                </c:pt>
                <c:pt idx="1398">
                  <c:v>42837</c:v>
                </c:pt>
                <c:pt idx="1399">
                  <c:v>42838</c:v>
                </c:pt>
                <c:pt idx="1400">
                  <c:v>42843</c:v>
                </c:pt>
                <c:pt idx="1401">
                  <c:v>42844</c:v>
                </c:pt>
                <c:pt idx="1402">
                  <c:v>42845</c:v>
                </c:pt>
                <c:pt idx="1403">
                  <c:v>42846</c:v>
                </c:pt>
                <c:pt idx="1404">
                  <c:v>42849</c:v>
                </c:pt>
                <c:pt idx="1405">
                  <c:v>42850</c:v>
                </c:pt>
                <c:pt idx="1406">
                  <c:v>42851</c:v>
                </c:pt>
                <c:pt idx="1407">
                  <c:v>42852</c:v>
                </c:pt>
                <c:pt idx="1408">
                  <c:v>42853</c:v>
                </c:pt>
                <c:pt idx="1409">
                  <c:v>42857</c:v>
                </c:pt>
                <c:pt idx="1410">
                  <c:v>42858</c:v>
                </c:pt>
                <c:pt idx="1411">
                  <c:v>42859</c:v>
                </c:pt>
                <c:pt idx="1412">
                  <c:v>42860</c:v>
                </c:pt>
                <c:pt idx="1413">
                  <c:v>42863</c:v>
                </c:pt>
                <c:pt idx="1414">
                  <c:v>42864</c:v>
                </c:pt>
                <c:pt idx="1415">
                  <c:v>42865</c:v>
                </c:pt>
                <c:pt idx="1416">
                  <c:v>42866</c:v>
                </c:pt>
                <c:pt idx="1417">
                  <c:v>42867</c:v>
                </c:pt>
                <c:pt idx="1418">
                  <c:v>42870</c:v>
                </c:pt>
                <c:pt idx="1419">
                  <c:v>42871</c:v>
                </c:pt>
                <c:pt idx="1420">
                  <c:v>42872</c:v>
                </c:pt>
                <c:pt idx="1421">
                  <c:v>42873</c:v>
                </c:pt>
                <c:pt idx="1422">
                  <c:v>42874</c:v>
                </c:pt>
                <c:pt idx="1423">
                  <c:v>42877</c:v>
                </c:pt>
                <c:pt idx="1424">
                  <c:v>42878</c:v>
                </c:pt>
                <c:pt idx="1425">
                  <c:v>42879</c:v>
                </c:pt>
                <c:pt idx="1426">
                  <c:v>42880</c:v>
                </c:pt>
                <c:pt idx="1427">
                  <c:v>42881</c:v>
                </c:pt>
                <c:pt idx="1428">
                  <c:v>42884</c:v>
                </c:pt>
                <c:pt idx="1429">
                  <c:v>42885</c:v>
                </c:pt>
                <c:pt idx="1430">
                  <c:v>42886</c:v>
                </c:pt>
                <c:pt idx="1431">
                  <c:v>42887</c:v>
                </c:pt>
                <c:pt idx="1432">
                  <c:v>42888</c:v>
                </c:pt>
                <c:pt idx="1433">
                  <c:v>42891</c:v>
                </c:pt>
                <c:pt idx="1434">
                  <c:v>42892</c:v>
                </c:pt>
                <c:pt idx="1435">
                  <c:v>42893</c:v>
                </c:pt>
                <c:pt idx="1436">
                  <c:v>42894</c:v>
                </c:pt>
                <c:pt idx="1437">
                  <c:v>42895</c:v>
                </c:pt>
                <c:pt idx="1438">
                  <c:v>42898</c:v>
                </c:pt>
                <c:pt idx="1439">
                  <c:v>42899</c:v>
                </c:pt>
                <c:pt idx="1440">
                  <c:v>42900</c:v>
                </c:pt>
                <c:pt idx="1441">
                  <c:v>42901</c:v>
                </c:pt>
                <c:pt idx="1442">
                  <c:v>42902</c:v>
                </c:pt>
                <c:pt idx="1443">
                  <c:v>42905</c:v>
                </c:pt>
                <c:pt idx="1444">
                  <c:v>42906</c:v>
                </c:pt>
                <c:pt idx="1445">
                  <c:v>42907</c:v>
                </c:pt>
                <c:pt idx="1446">
                  <c:v>42908</c:v>
                </c:pt>
                <c:pt idx="1447">
                  <c:v>42909</c:v>
                </c:pt>
                <c:pt idx="1448">
                  <c:v>42912</c:v>
                </c:pt>
                <c:pt idx="1449">
                  <c:v>42913</c:v>
                </c:pt>
                <c:pt idx="1450">
                  <c:v>42914</c:v>
                </c:pt>
                <c:pt idx="1451">
                  <c:v>42915</c:v>
                </c:pt>
                <c:pt idx="1452">
                  <c:v>42916</c:v>
                </c:pt>
                <c:pt idx="1453">
                  <c:v>42919</c:v>
                </c:pt>
                <c:pt idx="1454">
                  <c:v>42920</c:v>
                </c:pt>
                <c:pt idx="1455">
                  <c:v>42921</c:v>
                </c:pt>
                <c:pt idx="1456">
                  <c:v>42922</c:v>
                </c:pt>
                <c:pt idx="1457">
                  <c:v>42923</c:v>
                </c:pt>
                <c:pt idx="1458">
                  <c:v>42926</c:v>
                </c:pt>
                <c:pt idx="1459">
                  <c:v>42927</c:v>
                </c:pt>
                <c:pt idx="1460">
                  <c:v>42928</c:v>
                </c:pt>
                <c:pt idx="1461">
                  <c:v>42929</c:v>
                </c:pt>
                <c:pt idx="1462">
                  <c:v>42930</c:v>
                </c:pt>
                <c:pt idx="1463">
                  <c:v>42933</c:v>
                </c:pt>
                <c:pt idx="1464">
                  <c:v>42934</c:v>
                </c:pt>
                <c:pt idx="1465">
                  <c:v>42935</c:v>
                </c:pt>
                <c:pt idx="1466">
                  <c:v>42936</c:v>
                </c:pt>
                <c:pt idx="1467">
                  <c:v>42937</c:v>
                </c:pt>
                <c:pt idx="1468">
                  <c:v>42940</c:v>
                </c:pt>
                <c:pt idx="1469">
                  <c:v>42941</c:v>
                </c:pt>
                <c:pt idx="1470">
                  <c:v>42942</c:v>
                </c:pt>
                <c:pt idx="1471">
                  <c:v>42943</c:v>
                </c:pt>
                <c:pt idx="1472">
                  <c:v>42944</c:v>
                </c:pt>
                <c:pt idx="1473">
                  <c:v>42947</c:v>
                </c:pt>
                <c:pt idx="1474">
                  <c:v>42948</c:v>
                </c:pt>
                <c:pt idx="1475">
                  <c:v>42949</c:v>
                </c:pt>
                <c:pt idx="1476">
                  <c:v>42950</c:v>
                </c:pt>
                <c:pt idx="1477">
                  <c:v>42951</c:v>
                </c:pt>
                <c:pt idx="1478">
                  <c:v>42954</c:v>
                </c:pt>
                <c:pt idx="1479">
                  <c:v>42955</c:v>
                </c:pt>
                <c:pt idx="1480">
                  <c:v>42956</c:v>
                </c:pt>
                <c:pt idx="1481">
                  <c:v>42957</c:v>
                </c:pt>
                <c:pt idx="1482">
                  <c:v>42958</c:v>
                </c:pt>
                <c:pt idx="1483">
                  <c:v>42961</c:v>
                </c:pt>
                <c:pt idx="1484">
                  <c:v>42962</c:v>
                </c:pt>
                <c:pt idx="1485">
                  <c:v>42963</c:v>
                </c:pt>
                <c:pt idx="1486">
                  <c:v>42964</c:v>
                </c:pt>
                <c:pt idx="1487">
                  <c:v>42965</c:v>
                </c:pt>
                <c:pt idx="1488">
                  <c:v>42968</c:v>
                </c:pt>
                <c:pt idx="1489">
                  <c:v>42969</c:v>
                </c:pt>
                <c:pt idx="1490">
                  <c:v>42970</c:v>
                </c:pt>
                <c:pt idx="1491">
                  <c:v>42971</c:v>
                </c:pt>
                <c:pt idx="1492">
                  <c:v>42972</c:v>
                </c:pt>
                <c:pt idx="1493">
                  <c:v>42975</c:v>
                </c:pt>
                <c:pt idx="1494">
                  <c:v>42976</c:v>
                </c:pt>
                <c:pt idx="1495">
                  <c:v>42977</c:v>
                </c:pt>
                <c:pt idx="1496">
                  <c:v>42978</c:v>
                </c:pt>
                <c:pt idx="1497">
                  <c:v>42979</c:v>
                </c:pt>
                <c:pt idx="1498">
                  <c:v>42982</c:v>
                </c:pt>
                <c:pt idx="1499">
                  <c:v>42983</c:v>
                </c:pt>
                <c:pt idx="1500">
                  <c:v>42984</c:v>
                </c:pt>
                <c:pt idx="1501">
                  <c:v>42985</c:v>
                </c:pt>
                <c:pt idx="1502">
                  <c:v>42986</c:v>
                </c:pt>
                <c:pt idx="1503">
                  <c:v>42989</c:v>
                </c:pt>
                <c:pt idx="1504">
                  <c:v>42990</c:v>
                </c:pt>
                <c:pt idx="1505">
                  <c:v>42991</c:v>
                </c:pt>
                <c:pt idx="1506">
                  <c:v>42992</c:v>
                </c:pt>
                <c:pt idx="1507">
                  <c:v>42993</c:v>
                </c:pt>
                <c:pt idx="1508">
                  <c:v>42996</c:v>
                </c:pt>
                <c:pt idx="1509">
                  <c:v>42997</c:v>
                </c:pt>
                <c:pt idx="1510">
                  <c:v>42998</c:v>
                </c:pt>
                <c:pt idx="1511">
                  <c:v>42999</c:v>
                </c:pt>
                <c:pt idx="1512">
                  <c:v>43000</c:v>
                </c:pt>
                <c:pt idx="1513">
                  <c:v>43003</c:v>
                </c:pt>
                <c:pt idx="1514">
                  <c:v>43004</c:v>
                </c:pt>
                <c:pt idx="1515">
                  <c:v>43005</c:v>
                </c:pt>
                <c:pt idx="1516">
                  <c:v>43006</c:v>
                </c:pt>
                <c:pt idx="1517">
                  <c:v>43007</c:v>
                </c:pt>
                <c:pt idx="1518">
                  <c:v>43010</c:v>
                </c:pt>
                <c:pt idx="1519">
                  <c:v>43011</c:v>
                </c:pt>
                <c:pt idx="1520">
                  <c:v>43012</c:v>
                </c:pt>
                <c:pt idx="1521">
                  <c:v>43013</c:v>
                </c:pt>
                <c:pt idx="1522">
                  <c:v>43014</c:v>
                </c:pt>
                <c:pt idx="1523">
                  <c:v>43017</c:v>
                </c:pt>
                <c:pt idx="1524">
                  <c:v>43018</c:v>
                </c:pt>
                <c:pt idx="1525">
                  <c:v>43019</c:v>
                </c:pt>
                <c:pt idx="1526">
                  <c:v>43020</c:v>
                </c:pt>
                <c:pt idx="1527">
                  <c:v>43021</c:v>
                </c:pt>
                <c:pt idx="1528">
                  <c:v>43024</c:v>
                </c:pt>
                <c:pt idx="1529">
                  <c:v>43025</c:v>
                </c:pt>
                <c:pt idx="1530">
                  <c:v>43026</c:v>
                </c:pt>
                <c:pt idx="1531">
                  <c:v>43027</c:v>
                </c:pt>
                <c:pt idx="1532">
                  <c:v>43028</c:v>
                </c:pt>
                <c:pt idx="1533">
                  <c:v>43031</c:v>
                </c:pt>
                <c:pt idx="1534">
                  <c:v>43032</c:v>
                </c:pt>
                <c:pt idx="1535">
                  <c:v>43033</c:v>
                </c:pt>
                <c:pt idx="1536">
                  <c:v>43034</c:v>
                </c:pt>
                <c:pt idx="1537">
                  <c:v>43035</c:v>
                </c:pt>
                <c:pt idx="1538">
                  <c:v>43038</c:v>
                </c:pt>
                <c:pt idx="1539">
                  <c:v>43039</c:v>
                </c:pt>
                <c:pt idx="1540">
                  <c:v>43040</c:v>
                </c:pt>
                <c:pt idx="1541">
                  <c:v>43041</c:v>
                </c:pt>
                <c:pt idx="1542">
                  <c:v>43042</c:v>
                </c:pt>
                <c:pt idx="1543">
                  <c:v>43045</c:v>
                </c:pt>
                <c:pt idx="1544">
                  <c:v>43046</c:v>
                </c:pt>
                <c:pt idx="1545">
                  <c:v>43047</c:v>
                </c:pt>
                <c:pt idx="1546">
                  <c:v>43048</c:v>
                </c:pt>
                <c:pt idx="1547">
                  <c:v>43049</c:v>
                </c:pt>
                <c:pt idx="1548">
                  <c:v>43052</c:v>
                </c:pt>
                <c:pt idx="1549">
                  <c:v>43053</c:v>
                </c:pt>
                <c:pt idx="1550">
                  <c:v>43054</c:v>
                </c:pt>
                <c:pt idx="1551">
                  <c:v>43055</c:v>
                </c:pt>
                <c:pt idx="1552">
                  <c:v>43056</c:v>
                </c:pt>
                <c:pt idx="1553">
                  <c:v>43059</c:v>
                </c:pt>
                <c:pt idx="1554">
                  <c:v>43060</c:v>
                </c:pt>
                <c:pt idx="1555">
                  <c:v>43061</c:v>
                </c:pt>
                <c:pt idx="1556">
                  <c:v>43062</c:v>
                </c:pt>
                <c:pt idx="1557">
                  <c:v>43063</c:v>
                </c:pt>
                <c:pt idx="1558">
                  <c:v>43066</c:v>
                </c:pt>
                <c:pt idx="1559">
                  <c:v>43067</c:v>
                </c:pt>
                <c:pt idx="1560">
                  <c:v>43068</c:v>
                </c:pt>
                <c:pt idx="1561">
                  <c:v>43069</c:v>
                </c:pt>
                <c:pt idx="1562">
                  <c:v>43070</c:v>
                </c:pt>
                <c:pt idx="1563">
                  <c:v>43073</c:v>
                </c:pt>
                <c:pt idx="1564">
                  <c:v>43074</c:v>
                </c:pt>
                <c:pt idx="1565">
                  <c:v>43075</c:v>
                </c:pt>
                <c:pt idx="1566">
                  <c:v>43076</c:v>
                </c:pt>
                <c:pt idx="1567">
                  <c:v>43077</c:v>
                </c:pt>
                <c:pt idx="1568">
                  <c:v>43080</c:v>
                </c:pt>
                <c:pt idx="1569">
                  <c:v>43081</c:v>
                </c:pt>
                <c:pt idx="1570">
                  <c:v>43082</c:v>
                </c:pt>
                <c:pt idx="1571">
                  <c:v>43083</c:v>
                </c:pt>
                <c:pt idx="1572">
                  <c:v>43084</c:v>
                </c:pt>
                <c:pt idx="1573">
                  <c:v>43087</c:v>
                </c:pt>
                <c:pt idx="1574">
                  <c:v>43088</c:v>
                </c:pt>
                <c:pt idx="1575">
                  <c:v>43089</c:v>
                </c:pt>
                <c:pt idx="1576">
                  <c:v>43090</c:v>
                </c:pt>
                <c:pt idx="1577">
                  <c:v>43091</c:v>
                </c:pt>
                <c:pt idx="1578">
                  <c:v>43096</c:v>
                </c:pt>
                <c:pt idx="1579">
                  <c:v>43097</c:v>
                </c:pt>
                <c:pt idx="1580">
                  <c:v>43098</c:v>
                </c:pt>
                <c:pt idx="1581">
                  <c:v>43102</c:v>
                </c:pt>
                <c:pt idx="1582">
                  <c:v>43103</c:v>
                </c:pt>
                <c:pt idx="1583">
                  <c:v>43104</c:v>
                </c:pt>
                <c:pt idx="1584">
                  <c:v>43105</c:v>
                </c:pt>
                <c:pt idx="1585">
                  <c:v>43108</c:v>
                </c:pt>
                <c:pt idx="1586">
                  <c:v>43109</c:v>
                </c:pt>
                <c:pt idx="1587">
                  <c:v>43110</c:v>
                </c:pt>
                <c:pt idx="1588">
                  <c:v>43111</c:v>
                </c:pt>
                <c:pt idx="1589">
                  <c:v>43112</c:v>
                </c:pt>
                <c:pt idx="1590">
                  <c:v>43115</c:v>
                </c:pt>
                <c:pt idx="1591">
                  <c:v>43116</c:v>
                </c:pt>
                <c:pt idx="1592">
                  <c:v>43117</c:v>
                </c:pt>
                <c:pt idx="1593">
                  <c:v>43118</c:v>
                </c:pt>
                <c:pt idx="1594">
                  <c:v>43119</c:v>
                </c:pt>
                <c:pt idx="1595">
                  <c:v>43122</c:v>
                </c:pt>
                <c:pt idx="1596">
                  <c:v>43123</c:v>
                </c:pt>
                <c:pt idx="1597">
                  <c:v>43124</c:v>
                </c:pt>
                <c:pt idx="1598">
                  <c:v>43125</c:v>
                </c:pt>
                <c:pt idx="1599">
                  <c:v>43126</c:v>
                </c:pt>
                <c:pt idx="1600">
                  <c:v>43129</c:v>
                </c:pt>
                <c:pt idx="1601">
                  <c:v>43130</c:v>
                </c:pt>
                <c:pt idx="1602">
                  <c:v>43131</c:v>
                </c:pt>
                <c:pt idx="1603">
                  <c:v>43132</c:v>
                </c:pt>
                <c:pt idx="1604">
                  <c:v>43133</c:v>
                </c:pt>
                <c:pt idx="1605">
                  <c:v>43136</c:v>
                </c:pt>
                <c:pt idx="1606">
                  <c:v>43137</c:v>
                </c:pt>
                <c:pt idx="1607">
                  <c:v>43138</c:v>
                </c:pt>
                <c:pt idx="1608">
                  <c:v>43139</c:v>
                </c:pt>
                <c:pt idx="1609">
                  <c:v>43140</c:v>
                </c:pt>
                <c:pt idx="1610">
                  <c:v>43143</c:v>
                </c:pt>
                <c:pt idx="1611">
                  <c:v>43144</c:v>
                </c:pt>
                <c:pt idx="1612">
                  <c:v>43145</c:v>
                </c:pt>
                <c:pt idx="1613">
                  <c:v>43146</c:v>
                </c:pt>
                <c:pt idx="1614">
                  <c:v>43147</c:v>
                </c:pt>
                <c:pt idx="1615">
                  <c:v>43150</c:v>
                </c:pt>
                <c:pt idx="1616">
                  <c:v>43151</c:v>
                </c:pt>
                <c:pt idx="1617">
                  <c:v>43152</c:v>
                </c:pt>
                <c:pt idx="1618">
                  <c:v>43153</c:v>
                </c:pt>
                <c:pt idx="1619">
                  <c:v>43154</c:v>
                </c:pt>
                <c:pt idx="1620">
                  <c:v>43157</c:v>
                </c:pt>
                <c:pt idx="1621">
                  <c:v>43158</c:v>
                </c:pt>
                <c:pt idx="1622">
                  <c:v>43159</c:v>
                </c:pt>
                <c:pt idx="1623">
                  <c:v>43160</c:v>
                </c:pt>
                <c:pt idx="1624">
                  <c:v>43161</c:v>
                </c:pt>
                <c:pt idx="1625">
                  <c:v>43164</c:v>
                </c:pt>
                <c:pt idx="1626">
                  <c:v>43165</c:v>
                </c:pt>
                <c:pt idx="1627">
                  <c:v>43166</c:v>
                </c:pt>
                <c:pt idx="1628">
                  <c:v>43167</c:v>
                </c:pt>
                <c:pt idx="1629">
                  <c:v>43168</c:v>
                </c:pt>
                <c:pt idx="1630">
                  <c:v>43171</c:v>
                </c:pt>
                <c:pt idx="1631">
                  <c:v>43172</c:v>
                </c:pt>
                <c:pt idx="1632">
                  <c:v>43173</c:v>
                </c:pt>
                <c:pt idx="1633">
                  <c:v>43174</c:v>
                </c:pt>
                <c:pt idx="1634">
                  <c:v>43175</c:v>
                </c:pt>
                <c:pt idx="1635">
                  <c:v>43178</c:v>
                </c:pt>
                <c:pt idx="1636">
                  <c:v>43179</c:v>
                </c:pt>
                <c:pt idx="1637">
                  <c:v>43180</c:v>
                </c:pt>
                <c:pt idx="1638">
                  <c:v>43181</c:v>
                </c:pt>
                <c:pt idx="1639">
                  <c:v>43182</c:v>
                </c:pt>
                <c:pt idx="1640">
                  <c:v>43185</c:v>
                </c:pt>
                <c:pt idx="1641">
                  <c:v>43186</c:v>
                </c:pt>
                <c:pt idx="1642">
                  <c:v>43187</c:v>
                </c:pt>
                <c:pt idx="1643">
                  <c:v>43188</c:v>
                </c:pt>
                <c:pt idx="1644">
                  <c:v>43193</c:v>
                </c:pt>
                <c:pt idx="1645">
                  <c:v>43194</c:v>
                </c:pt>
                <c:pt idx="1646">
                  <c:v>43195</c:v>
                </c:pt>
                <c:pt idx="1647">
                  <c:v>43196</c:v>
                </c:pt>
                <c:pt idx="1648">
                  <c:v>43199</c:v>
                </c:pt>
                <c:pt idx="1649">
                  <c:v>43200</c:v>
                </c:pt>
                <c:pt idx="1650">
                  <c:v>43201</c:v>
                </c:pt>
                <c:pt idx="1651">
                  <c:v>43202</c:v>
                </c:pt>
                <c:pt idx="1652">
                  <c:v>43203</c:v>
                </c:pt>
                <c:pt idx="1653">
                  <c:v>43206</c:v>
                </c:pt>
                <c:pt idx="1654">
                  <c:v>43207</c:v>
                </c:pt>
                <c:pt idx="1655">
                  <c:v>43208</c:v>
                </c:pt>
                <c:pt idx="1656">
                  <c:v>43209</c:v>
                </c:pt>
                <c:pt idx="1657">
                  <c:v>43210</c:v>
                </c:pt>
                <c:pt idx="1658">
                  <c:v>43213</c:v>
                </c:pt>
                <c:pt idx="1659">
                  <c:v>43214</c:v>
                </c:pt>
                <c:pt idx="1660">
                  <c:v>43215</c:v>
                </c:pt>
                <c:pt idx="1661">
                  <c:v>43216</c:v>
                </c:pt>
                <c:pt idx="1662">
                  <c:v>43217</c:v>
                </c:pt>
                <c:pt idx="1663">
                  <c:v>43220</c:v>
                </c:pt>
                <c:pt idx="1664">
                  <c:v>43222</c:v>
                </c:pt>
                <c:pt idx="1665">
                  <c:v>43223</c:v>
                </c:pt>
                <c:pt idx="1666">
                  <c:v>43224</c:v>
                </c:pt>
                <c:pt idx="1667">
                  <c:v>43227</c:v>
                </c:pt>
                <c:pt idx="1668">
                  <c:v>43228</c:v>
                </c:pt>
                <c:pt idx="1669">
                  <c:v>43229</c:v>
                </c:pt>
                <c:pt idx="1670">
                  <c:v>43230</c:v>
                </c:pt>
                <c:pt idx="1671">
                  <c:v>43231</c:v>
                </c:pt>
                <c:pt idx="1672">
                  <c:v>43234</c:v>
                </c:pt>
                <c:pt idx="1673">
                  <c:v>43235</c:v>
                </c:pt>
                <c:pt idx="1674">
                  <c:v>43236</c:v>
                </c:pt>
                <c:pt idx="1675">
                  <c:v>43237</c:v>
                </c:pt>
                <c:pt idx="1676">
                  <c:v>43238</c:v>
                </c:pt>
                <c:pt idx="1677">
                  <c:v>43241</c:v>
                </c:pt>
                <c:pt idx="1678">
                  <c:v>43242</c:v>
                </c:pt>
                <c:pt idx="1679">
                  <c:v>43243</c:v>
                </c:pt>
                <c:pt idx="1680">
                  <c:v>43244</c:v>
                </c:pt>
                <c:pt idx="1681">
                  <c:v>43245</c:v>
                </c:pt>
                <c:pt idx="1682">
                  <c:v>43248</c:v>
                </c:pt>
                <c:pt idx="1683">
                  <c:v>43249</c:v>
                </c:pt>
                <c:pt idx="1684">
                  <c:v>43250</c:v>
                </c:pt>
                <c:pt idx="1685">
                  <c:v>43251</c:v>
                </c:pt>
                <c:pt idx="1686">
                  <c:v>43252</c:v>
                </c:pt>
                <c:pt idx="1687">
                  <c:v>43255</c:v>
                </c:pt>
                <c:pt idx="1688">
                  <c:v>43256</c:v>
                </c:pt>
                <c:pt idx="1689">
                  <c:v>43257</c:v>
                </c:pt>
                <c:pt idx="1690">
                  <c:v>43258</c:v>
                </c:pt>
                <c:pt idx="1691">
                  <c:v>43259</c:v>
                </c:pt>
                <c:pt idx="1692">
                  <c:v>43262</c:v>
                </c:pt>
                <c:pt idx="1693">
                  <c:v>43263</c:v>
                </c:pt>
                <c:pt idx="1694">
                  <c:v>43264</c:v>
                </c:pt>
                <c:pt idx="1695">
                  <c:v>43265</c:v>
                </c:pt>
                <c:pt idx="1696">
                  <c:v>43266</c:v>
                </c:pt>
                <c:pt idx="1697">
                  <c:v>43269</c:v>
                </c:pt>
                <c:pt idx="1698">
                  <c:v>43270</c:v>
                </c:pt>
                <c:pt idx="1699">
                  <c:v>43271</c:v>
                </c:pt>
                <c:pt idx="1700">
                  <c:v>43272</c:v>
                </c:pt>
                <c:pt idx="1701">
                  <c:v>43273</c:v>
                </c:pt>
                <c:pt idx="1702">
                  <c:v>43276</c:v>
                </c:pt>
                <c:pt idx="1703">
                  <c:v>43277</c:v>
                </c:pt>
                <c:pt idx="1704">
                  <c:v>43278</c:v>
                </c:pt>
                <c:pt idx="1705">
                  <c:v>43279</c:v>
                </c:pt>
                <c:pt idx="1706">
                  <c:v>43280</c:v>
                </c:pt>
                <c:pt idx="1707">
                  <c:v>43283</c:v>
                </c:pt>
                <c:pt idx="1708">
                  <c:v>43284</c:v>
                </c:pt>
                <c:pt idx="1709">
                  <c:v>43285</c:v>
                </c:pt>
                <c:pt idx="1710">
                  <c:v>43286</c:v>
                </c:pt>
                <c:pt idx="1711">
                  <c:v>43287</c:v>
                </c:pt>
                <c:pt idx="1712">
                  <c:v>43290</c:v>
                </c:pt>
                <c:pt idx="1713">
                  <c:v>43291</c:v>
                </c:pt>
                <c:pt idx="1714">
                  <c:v>43292</c:v>
                </c:pt>
                <c:pt idx="1715">
                  <c:v>43293</c:v>
                </c:pt>
                <c:pt idx="1716">
                  <c:v>43294</c:v>
                </c:pt>
                <c:pt idx="1717">
                  <c:v>43297</c:v>
                </c:pt>
                <c:pt idx="1718">
                  <c:v>43298</c:v>
                </c:pt>
                <c:pt idx="1719">
                  <c:v>43299</c:v>
                </c:pt>
                <c:pt idx="1720">
                  <c:v>43300</c:v>
                </c:pt>
                <c:pt idx="1721">
                  <c:v>43301</c:v>
                </c:pt>
                <c:pt idx="1722">
                  <c:v>43304</c:v>
                </c:pt>
                <c:pt idx="1723">
                  <c:v>43305</c:v>
                </c:pt>
                <c:pt idx="1724">
                  <c:v>43306</c:v>
                </c:pt>
                <c:pt idx="1725">
                  <c:v>43307</c:v>
                </c:pt>
                <c:pt idx="1726">
                  <c:v>43308</c:v>
                </c:pt>
                <c:pt idx="1727">
                  <c:v>43311</c:v>
                </c:pt>
                <c:pt idx="1728">
                  <c:v>43312</c:v>
                </c:pt>
                <c:pt idx="1729">
                  <c:v>43313</c:v>
                </c:pt>
                <c:pt idx="1730">
                  <c:v>43314</c:v>
                </c:pt>
                <c:pt idx="1731">
                  <c:v>43315</c:v>
                </c:pt>
                <c:pt idx="1732">
                  <c:v>43318</c:v>
                </c:pt>
                <c:pt idx="1733">
                  <c:v>43319</c:v>
                </c:pt>
                <c:pt idx="1734">
                  <c:v>43320</c:v>
                </c:pt>
                <c:pt idx="1735">
                  <c:v>43321</c:v>
                </c:pt>
                <c:pt idx="1736">
                  <c:v>43322</c:v>
                </c:pt>
                <c:pt idx="1737">
                  <c:v>43325</c:v>
                </c:pt>
                <c:pt idx="1738">
                  <c:v>43326</c:v>
                </c:pt>
                <c:pt idx="1739">
                  <c:v>43327</c:v>
                </c:pt>
                <c:pt idx="1740">
                  <c:v>43328</c:v>
                </c:pt>
                <c:pt idx="1741">
                  <c:v>43329</c:v>
                </c:pt>
                <c:pt idx="1742">
                  <c:v>43332</c:v>
                </c:pt>
                <c:pt idx="1743">
                  <c:v>43333</c:v>
                </c:pt>
                <c:pt idx="1744">
                  <c:v>43334</c:v>
                </c:pt>
                <c:pt idx="1745">
                  <c:v>43335</c:v>
                </c:pt>
                <c:pt idx="1746">
                  <c:v>43336</c:v>
                </c:pt>
                <c:pt idx="1747">
                  <c:v>43339</c:v>
                </c:pt>
                <c:pt idx="1748">
                  <c:v>43340</c:v>
                </c:pt>
                <c:pt idx="1749">
                  <c:v>43341</c:v>
                </c:pt>
                <c:pt idx="1750">
                  <c:v>43342</c:v>
                </c:pt>
                <c:pt idx="1751">
                  <c:v>43343</c:v>
                </c:pt>
                <c:pt idx="1752">
                  <c:v>43346</c:v>
                </c:pt>
                <c:pt idx="1753">
                  <c:v>43347</c:v>
                </c:pt>
                <c:pt idx="1754">
                  <c:v>43348</c:v>
                </c:pt>
                <c:pt idx="1755">
                  <c:v>43349</c:v>
                </c:pt>
                <c:pt idx="1756">
                  <c:v>43350</c:v>
                </c:pt>
                <c:pt idx="1757">
                  <c:v>43353</c:v>
                </c:pt>
                <c:pt idx="1758">
                  <c:v>43354</c:v>
                </c:pt>
                <c:pt idx="1759">
                  <c:v>43355</c:v>
                </c:pt>
                <c:pt idx="1760">
                  <c:v>43356</c:v>
                </c:pt>
                <c:pt idx="1761">
                  <c:v>43357</c:v>
                </c:pt>
                <c:pt idx="1762">
                  <c:v>43360</c:v>
                </c:pt>
                <c:pt idx="1763">
                  <c:v>43361</c:v>
                </c:pt>
                <c:pt idx="1764">
                  <c:v>43362</c:v>
                </c:pt>
                <c:pt idx="1765">
                  <c:v>43363</c:v>
                </c:pt>
                <c:pt idx="1766">
                  <c:v>43364</c:v>
                </c:pt>
                <c:pt idx="1767">
                  <c:v>43367</c:v>
                </c:pt>
                <c:pt idx="1768">
                  <c:v>43368</c:v>
                </c:pt>
                <c:pt idx="1769">
                  <c:v>43369</c:v>
                </c:pt>
                <c:pt idx="1770">
                  <c:v>43370</c:v>
                </c:pt>
                <c:pt idx="1771">
                  <c:v>43371</c:v>
                </c:pt>
                <c:pt idx="1772">
                  <c:v>43374</c:v>
                </c:pt>
                <c:pt idx="1773">
                  <c:v>43375</c:v>
                </c:pt>
                <c:pt idx="1774">
                  <c:v>43376</c:v>
                </c:pt>
                <c:pt idx="1775">
                  <c:v>43377</c:v>
                </c:pt>
                <c:pt idx="1776">
                  <c:v>43378</c:v>
                </c:pt>
                <c:pt idx="1777">
                  <c:v>43381</c:v>
                </c:pt>
                <c:pt idx="1778">
                  <c:v>43382</c:v>
                </c:pt>
                <c:pt idx="1779">
                  <c:v>43383</c:v>
                </c:pt>
                <c:pt idx="1780">
                  <c:v>43384</c:v>
                </c:pt>
                <c:pt idx="1781">
                  <c:v>43385</c:v>
                </c:pt>
                <c:pt idx="1782">
                  <c:v>43388</c:v>
                </c:pt>
                <c:pt idx="1783">
                  <c:v>43389</c:v>
                </c:pt>
                <c:pt idx="1784">
                  <c:v>43390</c:v>
                </c:pt>
                <c:pt idx="1785">
                  <c:v>43391</c:v>
                </c:pt>
                <c:pt idx="1786">
                  <c:v>43392</c:v>
                </c:pt>
                <c:pt idx="1787">
                  <c:v>43395</c:v>
                </c:pt>
                <c:pt idx="1788">
                  <c:v>43396</c:v>
                </c:pt>
                <c:pt idx="1789">
                  <c:v>43397</c:v>
                </c:pt>
                <c:pt idx="1790">
                  <c:v>43398</c:v>
                </c:pt>
                <c:pt idx="1791">
                  <c:v>43399</c:v>
                </c:pt>
                <c:pt idx="1792">
                  <c:v>43402</c:v>
                </c:pt>
                <c:pt idx="1793">
                  <c:v>43403</c:v>
                </c:pt>
                <c:pt idx="1794">
                  <c:v>43404</c:v>
                </c:pt>
                <c:pt idx="1795">
                  <c:v>43405</c:v>
                </c:pt>
                <c:pt idx="1796">
                  <c:v>43406</c:v>
                </c:pt>
                <c:pt idx="1797">
                  <c:v>43409</c:v>
                </c:pt>
                <c:pt idx="1798">
                  <c:v>43410</c:v>
                </c:pt>
                <c:pt idx="1799">
                  <c:v>43411</c:v>
                </c:pt>
                <c:pt idx="1800">
                  <c:v>43412</c:v>
                </c:pt>
                <c:pt idx="1801">
                  <c:v>43413</c:v>
                </c:pt>
                <c:pt idx="1802">
                  <c:v>43416</c:v>
                </c:pt>
                <c:pt idx="1803">
                  <c:v>43417</c:v>
                </c:pt>
                <c:pt idx="1804">
                  <c:v>43418</c:v>
                </c:pt>
                <c:pt idx="1805">
                  <c:v>43419</c:v>
                </c:pt>
                <c:pt idx="1806">
                  <c:v>43420</c:v>
                </c:pt>
                <c:pt idx="1807">
                  <c:v>43423</c:v>
                </c:pt>
                <c:pt idx="1808">
                  <c:v>43424</c:v>
                </c:pt>
                <c:pt idx="1809">
                  <c:v>43425</c:v>
                </c:pt>
                <c:pt idx="1810">
                  <c:v>43426</c:v>
                </c:pt>
                <c:pt idx="1811">
                  <c:v>43427</c:v>
                </c:pt>
                <c:pt idx="1812">
                  <c:v>43430</c:v>
                </c:pt>
                <c:pt idx="1813">
                  <c:v>43431</c:v>
                </c:pt>
                <c:pt idx="1814">
                  <c:v>43432</c:v>
                </c:pt>
                <c:pt idx="1815">
                  <c:v>43433</c:v>
                </c:pt>
                <c:pt idx="1816">
                  <c:v>43434</c:v>
                </c:pt>
                <c:pt idx="1817">
                  <c:v>43437</c:v>
                </c:pt>
                <c:pt idx="1818">
                  <c:v>43438</c:v>
                </c:pt>
                <c:pt idx="1819">
                  <c:v>43439</c:v>
                </c:pt>
                <c:pt idx="1820">
                  <c:v>43440</c:v>
                </c:pt>
                <c:pt idx="1821">
                  <c:v>43441</c:v>
                </c:pt>
                <c:pt idx="1822">
                  <c:v>43444</c:v>
                </c:pt>
                <c:pt idx="1823">
                  <c:v>43445</c:v>
                </c:pt>
                <c:pt idx="1824">
                  <c:v>43446</c:v>
                </c:pt>
                <c:pt idx="1825">
                  <c:v>43447</c:v>
                </c:pt>
                <c:pt idx="1826">
                  <c:v>43448</c:v>
                </c:pt>
                <c:pt idx="1827">
                  <c:v>43451</c:v>
                </c:pt>
                <c:pt idx="1828">
                  <c:v>43452</c:v>
                </c:pt>
                <c:pt idx="1829">
                  <c:v>43453</c:v>
                </c:pt>
                <c:pt idx="1830">
                  <c:v>43454</c:v>
                </c:pt>
                <c:pt idx="1831">
                  <c:v>43455</c:v>
                </c:pt>
                <c:pt idx="1832">
                  <c:v>43458</c:v>
                </c:pt>
                <c:pt idx="1833">
                  <c:v>43461</c:v>
                </c:pt>
                <c:pt idx="1834">
                  <c:v>43462</c:v>
                </c:pt>
                <c:pt idx="1835">
                  <c:v>43465</c:v>
                </c:pt>
                <c:pt idx="1836">
                  <c:v>43467</c:v>
                </c:pt>
                <c:pt idx="1837">
                  <c:v>43468</c:v>
                </c:pt>
                <c:pt idx="1838">
                  <c:v>43469</c:v>
                </c:pt>
                <c:pt idx="1839">
                  <c:v>43472</c:v>
                </c:pt>
                <c:pt idx="1840">
                  <c:v>43473</c:v>
                </c:pt>
                <c:pt idx="1841">
                  <c:v>43474</c:v>
                </c:pt>
                <c:pt idx="1842">
                  <c:v>43475</c:v>
                </c:pt>
                <c:pt idx="1843">
                  <c:v>43476</c:v>
                </c:pt>
                <c:pt idx="1844">
                  <c:v>43479</c:v>
                </c:pt>
                <c:pt idx="1845">
                  <c:v>43480</c:v>
                </c:pt>
                <c:pt idx="1846">
                  <c:v>43481</c:v>
                </c:pt>
                <c:pt idx="1847">
                  <c:v>43482</c:v>
                </c:pt>
                <c:pt idx="1848">
                  <c:v>43483</c:v>
                </c:pt>
                <c:pt idx="1849">
                  <c:v>43486</c:v>
                </c:pt>
                <c:pt idx="1850">
                  <c:v>43487</c:v>
                </c:pt>
                <c:pt idx="1851">
                  <c:v>43488</c:v>
                </c:pt>
                <c:pt idx="1852">
                  <c:v>43489</c:v>
                </c:pt>
                <c:pt idx="1853">
                  <c:v>43490</c:v>
                </c:pt>
                <c:pt idx="1854">
                  <c:v>43493</c:v>
                </c:pt>
                <c:pt idx="1855">
                  <c:v>43494</c:v>
                </c:pt>
                <c:pt idx="1856">
                  <c:v>43495</c:v>
                </c:pt>
                <c:pt idx="1857">
                  <c:v>43496</c:v>
                </c:pt>
                <c:pt idx="1858">
                  <c:v>43497</c:v>
                </c:pt>
                <c:pt idx="1859">
                  <c:v>43500</c:v>
                </c:pt>
                <c:pt idx="1860">
                  <c:v>43501</c:v>
                </c:pt>
                <c:pt idx="1861">
                  <c:v>43502</c:v>
                </c:pt>
                <c:pt idx="1862">
                  <c:v>43503</c:v>
                </c:pt>
                <c:pt idx="1863">
                  <c:v>43504</c:v>
                </c:pt>
                <c:pt idx="1864">
                  <c:v>43507</c:v>
                </c:pt>
                <c:pt idx="1865">
                  <c:v>43508</c:v>
                </c:pt>
                <c:pt idx="1866">
                  <c:v>43509</c:v>
                </c:pt>
                <c:pt idx="1867">
                  <c:v>43510</c:v>
                </c:pt>
                <c:pt idx="1868">
                  <c:v>43511</c:v>
                </c:pt>
                <c:pt idx="1869">
                  <c:v>43514</c:v>
                </c:pt>
                <c:pt idx="1870">
                  <c:v>43515</c:v>
                </c:pt>
                <c:pt idx="1871">
                  <c:v>43516</c:v>
                </c:pt>
                <c:pt idx="1872">
                  <c:v>43517</c:v>
                </c:pt>
                <c:pt idx="1873">
                  <c:v>43518</c:v>
                </c:pt>
                <c:pt idx="1874">
                  <c:v>43521</c:v>
                </c:pt>
                <c:pt idx="1875">
                  <c:v>43522</c:v>
                </c:pt>
                <c:pt idx="1876">
                  <c:v>43523</c:v>
                </c:pt>
                <c:pt idx="1877">
                  <c:v>43524</c:v>
                </c:pt>
                <c:pt idx="1878">
                  <c:v>43525</c:v>
                </c:pt>
                <c:pt idx="1879">
                  <c:v>43528</c:v>
                </c:pt>
                <c:pt idx="1880">
                  <c:v>43529</c:v>
                </c:pt>
                <c:pt idx="1881">
                  <c:v>43530</c:v>
                </c:pt>
                <c:pt idx="1882">
                  <c:v>43531</c:v>
                </c:pt>
                <c:pt idx="1883">
                  <c:v>43532</c:v>
                </c:pt>
                <c:pt idx="1884">
                  <c:v>43535</c:v>
                </c:pt>
                <c:pt idx="1885">
                  <c:v>43536</c:v>
                </c:pt>
                <c:pt idx="1886">
                  <c:v>43537</c:v>
                </c:pt>
                <c:pt idx="1887">
                  <c:v>43538</c:v>
                </c:pt>
                <c:pt idx="1888">
                  <c:v>43539</c:v>
                </c:pt>
                <c:pt idx="1889">
                  <c:v>43542</c:v>
                </c:pt>
                <c:pt idx="1890">
                  <c:v>43543</c:v>
                </c:pt>
                <c:pt idx="1891">
                  <c:v>43544</c:v>
                </c:pt>
                <c:pt idx="1892">
                  <c:v>43545</c:v>
                </c:pt>
                <c:pt idx="1893">
                  <c:v>43546</c:v>
                </c:pt>
                <c:pt idx="1894">
                  <c:v>43549</c:v>
                </c:pt>
                <c:pt idx="1895">
                  <c:v>43550</c:v>
                </c:pt>
                <c:pt idx="1896">
                  <c:v>43551</c:v>
                </c:pt>
                <c:pt idx="1897">
                  <c:v>43552</c:v>
                </c:pt>
                <c:pt idx="1898">
                  <c:v>43553</c:v>
                </c:pt>
                <c:pt idx="1899">
                  <c:v>43556</c:v>
                </c:pt>
                <c:pt idx="1900">
                  <c:v>43557</c:v>
                </c:pt>
                <c:pt idx="1901">
                  <c:v>43558</c:v>
                </c:pt>
                <c:pt idx="1902">
                  <c:v>43559</c:v>
                </c:pt>
                <c:pt idx="1903">
                  <c:v>43560</c:v>
                </c:pt>
                <c:pt idx="1904">
                  <c:v>43563</c:v>
                </c:pt>
                <c:pt idx="1905">
                  <c:v>43564</c:v>
                </c:pt>
                <c:pt idx="1906">
                  <c:v>43565</c:v>
                </c:pt>
                <c:pt idx="1907">
                  <c:v>43566</c:v>
                </c:pt>
                <c:pt idx="1908">
                  <c:v>43567</c:v>
                </c:pt>
                <c:pt idx="1909">
                  <c:v>43570</c:v>
                </c:pt>
                <c:pt idx="1910">
                  <c:v>43571</c:v>
                </c:pt>
                <c:pt idx="1911">
                  <c:v>43572</c:v>
                </c:pt>
                <c:pt idx="1912">
                  <c:v>43573</c:v>
                </c:pt>
                <c:pt idx="1913">
                  <c:v>43578</c:v>
                </c:pt>
                <c:pt idx="1914">
                  <c:v>43579</c:v>
                </c:pt>
                <c:pt idx="1915">
                  <c:v>43580</c:v>
                </c:pt>
                <c:pt idx="1916">
                  <c:v>43581</c:v>
                </c:pt>
                <c:pt idx="1917">
                  <c:v>43584</c:v>
                </c:pt>
                <c:pt idx="1918">
                  <c:v>43585</c:v>
                </c:pt>
                <c:pt idx="1919">
                  <c:v>43587</c:v>
                </c:pt>
                <c:pt idx="1920">
                  <c:v>43588</c:v>
                </c:pt>
                <c:pt idx="1921">
                  <c:v>43591</c:v>
                </c:pt>
                <c:pt idx="1922">
                  <c:v>43592</c:v>
                </c:pt>
                <c:pt idx="1923">
                  <c:v>43593</c:v>
                </c:pt>
                <c:pt idx="1924">
                  <c:v>43594</c:v>
                </c:pt>
                <c:pt idx="1925">
                  <c:v>43595</c:v>
                </c:pt>
                <c:pt idx="1926">
                  <c:v>43598</c:v>
                </c:pt>
                <c:pt idx="1927">
                  <c:v>43599</c:v>
                </c:pt>
                <c:pt idx="1928">
                  <c:v>43600</c:v>
                </c:pt>
                <c:pt idx="1929">
                  <c:v>43601</c:v>
                </c:pt>
                <c:pt idx="1930">
                  <c:v>43602</c:v>
                </c:pt>
                <c:pt idx="1931">
                  <c:v>43605</c:v>
                </c:pt>
                <c:pt idx="1932">
                  <c:v>43606</c:v>
                </c:pt>
                <c:pt idx="1933">
                  <c:v>43607</c:v>
                </c:pt>
                <c:pt idx="1934">
                  <c:v>43608</c:v>
                </c:pt>
                <c:pt idx="1935">
                  <c:v>43609</c:v>
                </c:pt>
                <c:pt idx="1936">
                  <c:v>43612</c:v>
                </c:pt>
                <c:pt idx="1937">
                  <c:v>43613</c:v>
                </c:pt>
                <c:pt idx="1938">
                  <c:v>43614</c:v>
                </c:pt>
                <c:pt idx="1939">
                  <c:v>43615</c:v>
                </c:pt>
                <c:pt idx="1940">
                  <c:v>43616</c:v>
                </c:pt>
                <c:pt idx="1941">
                  <c:v>43619</c:v>
                </c:pt>
                <c:pt idx="1942">
                  <c:v>43620</c:v>
                </c:pt>
                <c:pt idx="1943">
                  <c:v>43621</c:v>
                </c:pt>
                <c:pt idx="1944">
                  <c:v>43622</c:v>
                </c:pt>
                <c:pt idx="1945">
                  <c:v>43623</c:v>
                </c:pt>
                <c:pt idx="1946">
                  <c:v>43626</c:v>
                </c:pt>
                <c:pt idx="1947">
                  <c:v>43627</c:v>
                </c:pt>
                <c:pt idx="1948">
                  <c:v>43628</c:v>
                </c:pt>
                <c:pt idx="1949">
                  <c:v>43629</c:v>
                </c:pt>
                <c:pt idx="1950">
                  <c:v>43630</c:v>
                </c:pt>
                <c:pt idx="1951">
                  <c:v>43633</c:v>
                </c:pt>
                <c:pt idx="1952">
                  <c:v>43634</c:v>
                </c:pt>
                <c:pt idx="1953">
                  <c:v>43635</c:v>
                </c:pt>
                <c:pt idx="1954">
                  <c:v>43636</c:v>
                </c:pt>
                <c:pt idx="1955">
                  <c:v>43637</c:v>
                </c:pt>
                <c:pt idx="1956">
                  <c:v>43640</c:v>
                </c:pt>
                <c:pt idx="1957">
                  <c:v>43641</c:v>
                </c:pt>
                <c:pt idx="1958">
                  <c:v>43642</c:v>
                </c:pt>
                <c:pt idx="1959">
                  <c:v>43643</c:v>
                </c:pt>
                <c:pt idx="1960">
                  <c:v>43644</c:v>
                </c:pt>
                <c:pt idx="1961">
                  <c:v>43647</c:v>
                </c:pt>
                <c:pt idx="1962">
                  <c:v>43648</c:v>
                </c:pt>
                <c:pt idx="1963">
                  <c:v>43649</c:v>
                </c:pt>
                <c:pt idx="1964">
                  <c:v>43650</c:v>
                </c:pt>
                <c:pt idx="1965">
                  <c:v>43651</c:v>
                </c:pt>
                <c:pt idx="1966">
                  <c:v>43654</c:v>
                </c:pt>
                <c:pt idx="1967">
                  <c:v>43655</c:v>
                </c:pt>
                <c:pt idx="1968">
                  <c:v>43656</c:v>
                </c:pt>
                <c:pt idx="1969">
                  <c:v>43657</c:v>
                </c:pt>
                <c:pt idx="1970">
                  <c:v>43658</c:v>
                </c:pt>
                <c:pt idx="1971">
                  <c:v>43661</c:v>
                </c:pt>
                <c:pt idx="1972">
                  <c:v>43662</c:v>
                </c:pt>
                <c:pt idx="1973">
                  <c:v>43663</c:v>
                </c:pt>
                <c:pt idx="1974">
                  <c:v>43664</c:v>
                </c:pt>
                <c:pt idx="1975">
                  <c:v>43665</c:v>
                </c:pt>
                <c:pt idx="1976">
                  <c:v>43668</c:v>
                </c:pt>
                <c:pt idx="1977">
                  <c:v>43669</c:v>
                </c:pt>
                <c:pt idx="1978">
                  <c:v>43670</c:v>
                </c:pt>
                <c:pt idx="1979">
                  <c:v>43671</c:v>
                </c:pt>
                <c:pt idx="1980">
                  <c:v>43672</c:v>
                </c:pt>
                <c:pt idx="1981">
                  <c:v>43675</c:v>
                </c:pt>
                <c:pt idx="1982">
                  <c:v>43676</c:v>
                </c:pt>
                <c:pt idx="1983">
                  <c:v>43677</c:v>
                </c:pt>
                <c:pt idx="1984">
                  <c:v>43678</c:v>
                </c:pt>
                <c:pt idx="1985">
                  <c:v>43679</c:v>
                </c:pt>
                <c:pt idx="1986">
                  <c:v>43682</c:v>
                </c:pt>
                <c:pt idx="1987">
                  <c:v>43683</c:v>
                </c:pt>
                <c:pt idx="1988">
                  <c:v>43684</c:v>
                </c:pt>
                <c:pt idx="1989">
                  <c:v>43685</c:v>
                </c:pt>
                <c:pt idx="1990">
                  <c:v>43686</c:v>
                </c:pt>
                <c:pt idx="1991">
                  <c:v>43689</c:v>
                </c:pt>
                <c:pt idx="1992">
                  <c:v>43690</c:v>
                </c:pt>
                <c:pt idx="1993">
                  <c:v>43691</c:v>
                </c:pt>
                <c:pt idx="1994">
                  <c:v>43692</c:v>
                </c:pt>
                <c:pt idx="1995">
                  <c:v>43693</c:v>
                </c:pt>
                <c:pt idx="1996">
                  <c:v>43696</c:v>
                </c:pt>
                <c:pt idx="1997">
                  <c:v>43697</c:v>
                </c:pt>
                <c:pt idx="1998">
                  <c:v>43698</c:v>
                </c:pt>
                <c:pt idx="1999">
                  <c:v>43699</c:v>
                </c:pt>
                <c:pt idx="2000">
                  <c:v>43700</c:v>
                </c:pt>
                <c:pt idx="2001">
                  <c:v>43703</c:v>
                </c:pt>
                <c:pt idx="2002">
                  <c:v>43704</c:v>
                </c:pt>
                <c:pt idx="2003">
                  <c:v>43705</c:v>
                </c:pt>
                <c:pt idx="2004">
                  <c:v>43706</c:v>
                </c:pt>
                <c:pt idx="2005">
                  <c:v>43707</c:v>
                </c:pt>
                <c:pt idx="2006">
                  <c:v>43710</c:v>
                </c:pt>
                <c:pt idx="2007">
                  <c:v>43711</c:v>
                </c:pt>
                <c:pt idx="2008">
                  <c:v>43712</c:v>
                </c:pt>
                <c:pt idx="2009">
                  <c:v>43713</c:v>
                </c:pt>
                <c:pt idx="2010">
                  <c:v>43714</c:v>
                </c:pt>
                <c:pt idx="2011">
                  <c:v>43717</c:v>
                </c:pt>
                <c:pt idx="2012">
                  <c:v>43718</c:v>
                </c:pt>
                <c:pt idx="2013">
                  <c:v>43719</c:v>
                </c:pt>
                <c:pt idx="2014">
                  <c:v>43720</c:v>
                </c:pt>
                <c:pt idx="2015">
                  <c:v>43721</c:v>
                </c:pt>
                <c:pt idx="2016">
                  <c:v>43724</c:v>
                </c:pt>
                <c:pt idx="2017">
                  <c:v>43725</c:v>
                </c:pt>
                <c:pt idx="2018">
                  <c:v>43726</c:v>
                </c:pt>
                <c:pt idx="2019">
                  <c:v>43727</c:v>
                </c:pt>
                <c:pt idx="2020">
                  <c:v>43728</c:v>
                </c:pt>
                <c:pt idx="2021">
                  <c:v>43731</c:v>
                </c:pt>
                <c:pt idx="2022">
                  <c:v>43732</c:v>
                </c:pt>
                <c:pt idx="2023">
                  <c:v>43733</c:v>
                </c:pt>
                <c:pt idx="2024">
                  <c:v>43734</c:v>
                </c:pt>
                <c:pt idx="2025">
                  <c:v>43735</c:v>
                </c:pt>
                <c:pt idx="2026">
                  <c:v>43738</c:v>
                </c:pt>
                <c:pt idx="2027">
                  <c:v>43739</c:v>
                </c:pt>
                <c:pt idx="2028">
                  <c:v>43740</c:v>
                </c:pt>
                <c:pt idx="2029">
                  <c:v>43741</c:v>
                </c:pt>
                <c:pt idx="2030">
                  <c:v>43742</c:v>
                </c:pt>
                <c:pt idx="2031">
                  <c:v>43745</c:v>
                </c:pt>
                <c:pt idx="2032">
                  <c:v>43746</c:v>
                </c:pt>
                <c:pt idx="2033">
                  <c:v>43747</c:v>
                </c:pt>
                <c:pt idx="2034">
                  <c:v>43748</c:v>
                </c:pt>
                <c:pt idx="2035">
                  <c:v>43749</c:v>
                </c:pt>
                <c:pt idx="2036">
                  <c:v>43752</c:v>
                </c:pt>
                <c:pt idx="2037">
                  <c:v>43753</c:v>
                </c:pt>
                <c:pt idx="2038">
                  <c:v>43754</c:v>
                </c:pt>
                <c:pt idx="2039">
                  <c:v>43755</c:v>
                </c:pt>
                <c:pt idx="2040">
                  <c:v>43756</c:v>
                </c:pt>
                <c:pt idx="2041">
                  <c:v>43759</c:v>
                </c:pt>
                <c:pt idx="2042">
                  <c:v>43760</c:v>
                </c:pt>
                <c:pt idx="2043">
                  <c:v>43761</c:v>
                </c:pt>
                <c:pt idx="2044">
                  <c:v>43762</c:v>
                </c:pt>
                <c:pt idx="2045">
                  <c:v>43763</c:v>
                </c:pt>
                <c:pt idx="2046">
                  <c:v>43766</c:v>
                </c:pt>
                <c:pt idx="2047">
                  <c:v>43767</c:v>
                </c:pt>
                <c:pt idx="2048">
                  <c:v>43768</c:v>
                </c:pt>
                <c:pt idx="2049">
                  <c:v>43769</c:v>
                </c:pt>
                <c:pt idx="2050">
                  <c:v>43770</c:v>
                </c:pt>
                <c:pt idx="2051">
                  <c:v>43773</c:v>
                </c:pt>
                <c:pt idx="2052">
                  <c:v>43774</c:v>
                </c:pt>
                <c:pt idx="2053">
                  <c:v>43775</c:v>
                </c:pt>
                <c:pt idx="2054">
                  <c:v>43776</c:v>
                </c:pt>
                <c:pt idx="2055">
                  <c:v>43777</c:v>
                </c:pt>
                <c:pt idx="2056">
                  <c:v>43780</c:v>
                </c:pt>
                <c:pt idx="2057">
                  <c:v>43781</c:v>
                </c:pt>
                <c:pt idx="2058">
                  <c:v>43782</c:v>
                </c:pt>
                <c:pt idx="2059">
                  <c:v>43783</c:v>
                </c:pt>
                <c:pt idx="2060">
                  <c:v>43784</c:v>
                </c:pt>
                <c:pt idx="2061">
                  <c:v>43787</c:v>
                </c:pt>
                <c:pt idx="2062">
                  <c:v>43788</c:v>
                </c:pt>
                <c:pt idx="2063">
                  <c:v>43789</c:v>
                </c:pt>
                <c:pt idx="2064">
                  <c:v>43790</c:v>
                </c:pt>
                <c:pt idx="2065">
                  <c:v>43791</c:v>
                </c:pt>
                <c:pt idx="2066">
                  <c:v>43794</c:v>
                </c:pt>
                <c:pt idx="2067">
                  <c:v>43795</c:v>
                </c:pt>
                <c:pt idx="2068">
                  <c:v>43796</c:v>
                </c:pt>
                <c:pt idx="2069">
                  <c:v>43797</c:v>
                </c:pt>
                <c:pt idx="2070">
                  <c:v>43798</c:v>
                </c:pt>
                <c:pt idx="2071">
                  <c:v>43801</c:v>
                </c:pt>
                <c:pt idx="2072">
                  <c:v>43802</c:v>
                </c:pt>
                <c:pt idx="2073">
                  <c:v>43803</c:v>
                </c:pt>
                <c:pt idx="2074">
                  <c:v>43804</c:v>
                </c:pt>
                <c:pt idx="2075">
                  <c:v>43805</c:v>
                </c:pt>
                <c:pt idx="2076">
                  <c:v>43808</c:v>
                </c:pt>
                <c:pt idx="2077">
                  <c:v>43809</c:v>
                </c:pt>
                <c:pt idx="2078">
                  <c:v>43810</c:v>
                </c:pt>
                <c:pt idx="2079">
                  <c:v>43811</c:v>
                </c:pt>
                <c:pt idx="2080">
                  <c:v>43812</c:v>
                </c:pt>
                <c:pt idx="2081">
                  <c:v>43815</c:v>
                </c:pt>
                <c:pt idx="2082">
                  <c:v>43816</c:v>
                </c:pt>
                <c:pt idx="2083">
                  <c:v>43817</c:v>
                </c:pt>
                <c:pt idx="2084">
                  <c:v>43818</c:v>
                </c:pt>
                <c:pt idx="2085">
                  <c:v>43819</c:v>
                </c:pt>
                <c:pt idx="2086">
                  <c:v>43822</c:v>
                </c:pt>
                <c:pt idx="2087">
                  <c:v>43823</c:v>
                </c:pt>
                <c:pt idx="2088">
                  <c:v>43824</c:v>
                </c:pt>
                <c:pt idx="2089">
                  <c:v>43826</c:v>
                </c:pt>
                <c:pt idx="2090">
                  <c:v>43829</c:v>
                </c:pt>
                <c:pt idx="2091">
                  <c:v>43830</c:v>
                </c:pt>
                <c:pt idx="2092">
                  <c:v>43832</c:v>
                </c:pt>
                <c:pt idx="2093">
                  <c:v>43833</c:v>
                </c:pt>
                <c:pt idx="2094">
                  <c:v>43836</c:v>
                </c:pt>
                <c:pt idx="2095">
                  <c:v>43837</c:v>
                </c:pt>
                <c:pt idx="2096">
                  <c:v>43838</c:v>
                </c:pt>
                <c:pt idx="2097">
                  <c:v>43839</c:v>
                </c:pt>
                <c:pt idx="2098">
                  <c:v>43840</c:v>
                </c:pt>
                <c:pt idx="2099">
                  <c:v>43843</c:v>
                </c:pt>
                <c:pt idx="2100">
                  <c:v>43844</c:v>
                </c:pt>
                <c:pt idx="2101">
                  <c:v>43845</c:v>
                </c:pt>
                <c:pt idx="2102">
                  <c:v>43846</c:v>
                </c:pt>
                <c:pt idx="2103">
                  <c:v>43847</c:v>
                </c:pt>
                <c:pt idx="2104">
                  <c:v>43850</c:v>
                </c:pt>
                <c:pt idx="2105">
                  <c:v>43851</c:v>
                </c:pt>
                <c:pt idx="2106">
                  <c:v>43852</c:v>
                </c:pt>
                <c:pt idx="2107">
                  <c:v>43853</c:v>
                </c:pt>
                <c:pt idx="2108">
                  <c:v>43854</c:v>
                </c:pt>
                <c:pt idx="2109">
                  <c:v>43857</c:v>
                </c:pt>
                <c:pt idx="2110">
                  <c:v>43858</c:v>
                </c:pt>
                <c:pt idx="2111">
                  <c:v>43859</c:v>
                </c:pt>
                <c:pt idx="2112">
                  <c:v>43860</c:v>
                </c:pt>
                <c:pt idx="2113">
                  <c:v>43861</c:v>
                </c:pt>
                <c:pt idx="2114">
                  <c:v>43864</c:v>
                </c:pt>
                <c:pt idx="2115">
                  <c:v>43865</c:v>
                </c:pt>
                <c:pt idx="2116">
                  <c:v>43866</c:v>
                </c:pt>
                <c:pt idx="2117">
                  <c:v>43867</c:v>
                </c:pt>
                <c:pt idx="2118">
                  <c:v>43868</c:v>
                </c:pt>
                <c:pt idx="2119">
                  <c:v>43871</c:v>
                </c:pt>
                <c:pt idx="2120">
                  <c:v>43872</c:v>
                </c:pt>
                <c:pt idx="2121">
                  <c:v>43873</c:v>
                </c:pt>
                <c:pt idx="2122">
                  <c:v>43874</c:v>
                </c:pt>
                <c:pt idx="2123">
                  <c:v>43875</c:v>
                </c:pt>
                <c:pt idx="2124">
                  <c:v>43878</c:v>
                </c:pt>
                <c:pt idx="2125">
                  <c:v>43879</c:v>
                </c:pt>
                <c:pt idx="2126">
                  <c:v>43880</c:v>
                </c:pt>
                <c:pt idx="2127">
                  <c:v>43881</c:v>
                </c:pt>
                <c:pt idx="2128">
                  <c:v>43882</c:v>
                </c:pt>
                <c:pt idx="2129">
                  <c:v>43885</c:v>
                </c:pt>
                <c:pt idx="2130">
                  <c:v>43886</c:v>
                </c:pt>
                <c:pt idx="2131">
                  <c:v>43887</c:v>
                </c:pt>
                <c:pt idx="2132">
                  <c:v>43888</c:v>
                </c:pt>
                <c:pt idx="2133">
                  <c:v>43889</c:v>
                </c:pt>
                <c:pt idx="2134">
                  <c:v>43892</c:v>
                </c:pt>
                <c:pt idx="2135">
                  <c:v>43893</c:v>
                </c:pt>
                <c:pt idx="2136">
                  <c:v>43894</c:v>
                </c:pt>
                <c:pt idx="2137">
                  <c:v>43895</c:v>
                </c:pt>
                <c:pt idx="2138">
                  <c:v>43896</c:v>
                </c:pt>
                <c:pt idx="2139">
                  <c:v>43899</c:v>
                </c:pt>
                <c:pt idx="2140">
                  <c:v>43900</c:v>
                </c:pt>
                <c:pt idx="2141">
                  <c:v>43901</c:v>
                </c:pt>
                <c:pt idx="2142">
                  <c:v>43902</c:v>
                </c:pt>
                <c:pt idx="2143">
                  <c:v>43903</c:v>
                </c:pt>
                <c:pt idx="2144">
                  <c:v>43906</c:v>
                </c:pt>
                <c:pt idx="2145">
                  <c:v>43907</c:v>
                </c:pt>
                <c:pt idx="2146">
                  <c:v>43908</c:v>
                </c:pt>
                <c:pt idx="2147">
                  <c:v>43909</c:v>
                </c:pt>
                <c:pt idx="2148">
                  <c:v>43910</c:v>
                </c:pt>
                <c:pt idx="2149">
                  <c:v>43913</c:v>
                </c:pt>
                <c:pt idx="2150">
                  <c:v>43914</c:v>
                </c:pt>
                <c:pt idx="2151">
                  <c:v>43915</c:v>
                </c:pt>
                <c:pt idx="2152">
                  <c:v>43916</c:v>
                </c:pt>
                <c:pt idx="2153">
                  <c:v>43917</c:v>
                </c:pt>
                <c:pt idx="2154">
                  <c:v>43920</c:v>
                </c:pt>
                <c:pt idx="2155">
                  <c:v>43921</c:v>
                </c:pt>
                <c:pt idx="2156">
                  <c:v>43922</c:v>
                </c:pt>
                <c:pt idx="2157">
                  <c:v>43923</c:v>
                </c:pt>
                <c:pt idx="2158">
                  <c:v>43924</c:v>
                </c:pt>
                <c:pt idx="2159">
                  <c:v>43927</c:v>
                </c:pt>
                <c:pt idx="2160">
                  <c:v>43928</c:v>
                </c:pt>
                <c:pt idx="2161">
                  <c:v>43929</c:v>
                </c:pt>
                <c:pt idx="2162">
                  <c:v>43930</c:v>
                </c:pt>
                <c:pt idx="2163">
                  <c:v>43935</c:v>
                </c:pt>
                <c:pt idx="2164">
                  <c:v>43936</c:v>
                </c:pt>
                <c:pt idx="2165">
                  <c:v>43937</c:v>
                </c:pt>
                <c:pt idx="2166">
                  <c:v>43938</c:v>
                </c:pt>
                <c:pt idx="2167">
                  <c:v>43941</c:v>
                </c:pt>
                <c:pt idx="2168">
                  <c:v>43942</c:v>
                </c:pt>
                <c:pt idx="2169">
                  <c:v>43943</c:v>
                </c:pt>
                <c:pt idx="2170">
                  <c:v>43944</c:v>
                </c:pt>
                <c:pt idx="2171">
                  <c:v>43945</c:v>
                </c:pt>
                <c:pt idx="2172">
                  <c:v>43948</c:v>
                </c:pt>
                <c:pt idx="2173">
                  <c:v>43949</c:v>
                </c:pt>
                <c:pt idx="2174">
                  <c:v>43950</c:v>
                </c:pt>
                <c:pt idx="2175">
                  <c:v>43951</c:v>
                </c:pt>
                <c:pt idx="2176">
                  <c:v>43955</c:v>
                </c:pt>
                <c:pt idx="2177">
                  <c:v>43956</c:v>
                </c:pt>
                <c:pt idx="2178">
                  <c:v>43957</c:v>
                </c:pt>
                <c:pt idx="2179">
                  <c:v>43958</c:v>
                </c:pt>
                <c:pt idx="2180">
                  <c:v>43959</c:v>
                </c:pt>
                <c:pt idx="2181">
                  <c:v>43962</c:v>
                </c:pt>
                <c:pt idx="2182">
                  <c:v>43963</c:v>
                </c:pt>
                <c:pt idx="2183">
                  <c:v>43964</c:v>
                </c:pt>
                <c:pt idx="2184">
                  <c:v>43965</c:v>
                </c:pt>
                <c:pt idx="2185">
                  <c:v>43966</c:v>
                </c:pt>
                <c:pt idx="2186">
                  <c:v>43969</c:v>
                </c:pt>
                <c:pt idx="2187">
                  <c:v>43970</c:v>
                </c:pt>
                <c:pt idx="2188">
                  <c:v>43971</c:v>
                </c:pt>
                <c:pt idx="2189">
                  <c:v>43972</c:v>
                </c:pt>
                <c:pt idx="2190">
                  <c:v>43973</c:v>
                </c:pt>
                <c:pt idx="2191">
                  <c:v>43976</c:v>
                </c:pt>
                <c:pt idx="2192">
                  <c:v>43977</c:v>
                </c:pt>
                <c:pt idx="2193">
                  <c:v>43978</c:v>
                </c:pt>
                <c:pt idx="2194">
                  <c:v>43979</c:v>
                </c:pt>
                <c:pt idx="2195">
                  <c:v>43980</c:v>
                </c:pt>
                <c:pt idx="2196">
                  <c:v>43983</c:v>
                </c:pt>
                <c:pt idx="2197">
                  <c:v>43984</c:v>
                </c:pt>
                <c:pt idx="2198">
                  <c:v>43985</c:v>
                </c:pt>
                <c:pt idx="2199">
                  <c:v>43986</c:v>
                </c:pt>
                <c:pt idx="2200">
                  <c:v>43987</c:v>
                </c:pt>
                <c:pt idx="2201">
                  <c:v>43990</c:v>
                </c:pt>
                <c:pt idx="2202">
                  <c:v>43991</c:v>
                </c:pt>
                <c:pt idx="2203">
                  <c:v>43992</c:v>
                </c:pt>
                <c:pt idx="2204">
                  <c:v>43993</c:v>
                </c:pt>
                <c:pt idx="2205">
                  <c:v>43994</c:v>
                </c:pt>
                <c:pt idx="2206">
                  <c:v>43997</c:v>
                </c:pt>
                <c:pt idx="2207">
                  <c:v>43998</c:v>
                </c:pt>
                <c:pt idx="2208">
                  <c:v>43999</c:v>
                </c:pt>
                <c:pt idx="2209">
                  <c:v>44000</c:v>
                </c:pt>
                <c:pt idx="2210">
                  <c:v>44001</c:v>
                </c:pt>
                <c:pt idx="2211">
                  <c:v>44004</c:v>
                </c:pt>
                <c:pt idx="2212">
                  <c:v>44005</c:v>
                </c:pt>
                <c:pt idx="2213">
                  <c:v>44006</c:v>
                </c:pt>
                <c:pt idx="2214">
                  <c:v>44007</c:v>
                </c:pt>
                <c:pt idx="2215">
                  <c:v>44008</c:v>
                </c:pt>
                <c:pt idx="2216">
                  <c:v>44011</c:v>
                </c:pt>
                <c:pt idx="2217">
                  <c:v>44012</c:v>
                </c:pt>
                <c:pt idx="2218">
                  <c:v>44013</c:v>
                </c:pt>
                <c:pt idx="2219">
                  <c:v>44014</c:v>
                </c:pt>
                <c:pt idx="2220">
                  <c:v>44015</c:v>
                </c:pt>
                <c:pt idx="2221">
                  <c:v>44018</c:v>
                </c:pt>
                <c:pt idx="2222">
                  <c:v>44019</c:v>
                </c:pt>
                <c:pt idx="2223">
                  <c:v>44020</c:v>
                </c:pt>
                <c:pt idx="2224">
                  <c:v>44021</c:v>
                </c:pt>
                <c:pt idx="2225">
                  <c:v>44022</c:v>
                </c:pt>
                <c:pt idx="2226">
                  <c:v>44025</c:v>
                </c:pt>
                <c:pt idx="2227">
                  <c:v>44026</c:v>
                </c:pt>
                <c:pt idx="2228">
                  <c:v>44027</c:v>
                </c:pt>
                <c:pt idx="2229">
                  <c:v>44028</c:v>
                </c:pt>
                <c:pt idx="2230">
                  <c:v>44029</c:v>
                </c:pt>
                <c:pt idx="2231">
                  <c:v>44032</c:v>
                </c:pt>
                <c:pt idx="2232">
                  <c:v>44033</c:v>
                </c:pt>
                <c:pt idx="2233">
                  <c:v>44034</c:v>
                </c:pt>
                <c:pt idx="2234">
                  <c:v>44035</c:v>
                </c:pt>
                <c:pt idx="2235">
                  <c:v>44036</c:v>
                </c:pt>
                <c:pt idx="2236">
                  <c:v>44039</c:v>
                </c:pt>
                <c:pt idx="2237">
                  <c:v>44040</c:v>
                </c:pt>
                <c:pt idx="2238">
                  <c:v>44041</c:v>
                </c:pt>
                <c:pt idx="2239">
                  <c:v>44042</c:v>
                </c:pt>
                <c:pt idx="2240">
                  <c:v>44043</c:v>
                </c:pt>
                <c:pt idx="2241">
                  <c:v>44046</c:v>
                </c:pt>
                <c:pt idx="2242">
                  <c:v>44047</c:v>
                </c:pt>
                <c:pt idx="2243">
                  <c:v>44048</c:v>
                </c:pt>
                <c:pt idx="2244">
                  <c:v>44049</c:v>
                </c:pt>
                <c:pt idx="2245">
                  <c:v>44050</c:v>
                </c:pt>
                <c:pt idx="2246">
                  <c:v>44053</c:v>
                </c:pt>
                <c:pt idx="2247">
                  <c:v>44054</c:v>
                </c:pt>
                <c:pt idx="2248">
                  <c:v>44055</c:v>
                </c:pt>
                <c:pt idx="2249">
                  <c:v>44056</c:v>
                </c:pt>
                <c:pt idx="2250">
                  <c:v>44057</c:v>
                </c:pt>
                <c:pt idx="2251">
                  <c:v>44060</c:v>
                </c:pt>
                <c:pt idx="2252">
                  <c:v>44061</c:v>
                </c:pt>
                <c:pt idx="2253">
                  <c:v>44062</c:v>
                </c:pt>
                <c:pt idx="2254">
                  <c:v>44063</c:v>
                </c:pt>
                <c:pt idx="2255">
                  <c:v>44064</c:v>
                </c:pt>
                <c:pt idx="2256">
                  <c:v>44067</c:v>
                </c:pt>
                <c:pt idx="2257">
                  <c:v>44068</c:v>
                </c:pt>
                <c:pt idx="2258">
                  <c:v>44069</c:v>
                </c:pt>
                <c:pt idx="2259">
                  <c:v>44070</c:v>
                </c:pt>
                <c:pt idx="2260">
                  <c:v>44071</c:v>
                </c:pt>
                <c:pt idx="2261">
                  <c:v>44074</c:v>
                </c:pt>
                <c:pt idx="2262">
                  <c:v>44075</c:v>
                </c:pt>
                <c:pt idx="2263">
                  <c:v>44076</c:v>
                </c:pt>
                <c:pt idx="2264">
                  <c:v>44077</c:v>
                </c:pt>
                <c:pt idx="2265">
                  <c:v>44078</c:v>
                </c:pt>
                <c:pt idx="2266">
                  <c:v>44081</c:v>
                </c:pt>
                <c:pt idx="2267">
                  <c:v>44082</c:v>
                </c:pt>
                <c:pt idx="2268">
                  <c:v>44083</c:v>
                </c:pt>
                <c:pt idx="2269">
                  <c:v>44084</c:v>
                </c:pt>
                <c:pt idx="2270">
                  <c:v>44085</c:v>
                </c:pt>
                <c:pt idx="2271">
                  <c:v>44088</c:v>
                </c:pt>
                <c:pt idx="2272">
                  <c:v>44089</c:v>
                </c:pt>
                <c:pt idx="2273">
                  <c:v>44090</c:v>
                </c:pt>
                <c:pt idx="2274">
                  <c:v>44091</c:v>
                </c:pt>
                <c:pt idx="2275">
                  <c:v>44092</c:v>
                </c:pt>
                <c:pt idx="2276">
                  <c:v>44095</c:v>
                </c:pt>
                <c:pt idx="2277">
                  <c:v>44096</c:v>
                </c:pt>
                <c:pt idx="2278">
                  <c:v>44097</c:v>
                </c:pt>
                <c:pt idx="2279">
                  <c:v>44098</c:v>
                </c:pt>
                <c:pt idx="2280">
                  <c:v>44099</c:v>
                </c:pt>
                <c:pt idx="2281">
                  <c:v>44102</c:v>
                </c:pt>
                <c:pt idx="2282">
                  <c:v>44103</c:v>
                </c:pt>
                <c:pt idx="2283">
                  <c:v>44104</c:v>
                </c:pt>
                <c:pt idx="2284">
                  <c:v>44105</c:v>
                </c:pt>
                <c:pt idx="2285">
                  <c:v>44106</c:v>
                </c:pt>
                <c:pt idx="2286">
                  <c:v>44109</c:v>
                </c:pt>
                <c:pt idx="2287">
                  <c:v>44110</c:v>
                </c:pt>
                <c:pt idx="2288">
                  <c:v>44111</c:v>
                </c:pt>
                <c:pt idx="2289">
                  <c:v>44112</c:v>
                </c:pt>
                <c:pt idx="2290">
                  <c:v>44113</c:v>
                </c:pt>
                <c:pt idx="2291">
                  <c:v>44116</c:v>
                </c:pt>
                <c:pt idx="2292">
                  <c:v>44117</c:v>
                </c:pt>
                <c:pt idx="2293">
                  <c:v>44118</c:v>
                </c:pt>
                <c:pt idx="2294">
                  <c:v>44119</c:v>
                </c:pt>
                <c:pt idx="2295">
                  <c:v>44120</c:v>
                </c:pt>
                <c:pt idx="2296">
                  <c:v>44123</c:v>
                </c:pt>
                <c:pt idx="2297">
                  <c:v>44124</c:v>
                </c:pt>
                <c:pt idx="2298">
                  <c:v>44125</c:v>
                </c:pt>
                <c:pt idx="2299">
                  <c:v>44126</c:v>
                </c:pt>
                <c:pt idx="2300">
                  <c:v>44127</c:v>
                </c:pt>
                <c:pt idx="2301">
                  <c:v>44130</c:v>
                </c:pt>
                <c:pt idx="2302">
                  <c:v>44131</c:v>
                </c:pt>
                <c:pt idx="2303">
                  <c:v>44132</c:v>
                </c:pt>
                <c:pt idx="2304">
                  <c:v>44133</c:v>
                </c:pt>
                <c:pt idx="2305">
                  <c:v>44134</c:v>
                </c:pt>
                <c:pt idx="2306">
                  <c:v>44137</c:v>
                </c:pt>
                <c:pt idx="2307">
                  <c:v>44138</c:v>
                </c:pt>
                <c:pt idx="2308">
                  <c:v>44139</c:v>
                </c:pt>
                <c:pt idx="2309">
                  <c:v>44140</c:v>
                </c:pt>
                <c:pt idx="2310">
                  <c:v>44141</c:v>
                </c:pt>
                <c:pt idx="2311">
                  <c:v>44144</c:v>
                </c:pt>
                <c:pt idx="2312">
                  <c:v>44145</c:v>
                </c:pt>
                <c:pt idx="2313">
                  <c:v>44146</c:v>
                </c:pt>
                <c:pt idx="2314">
                  <c:v>44147</c:v>
                </c:pt>
                <c:pt idx="2315">
                  <c:v>44148</c:v>
                </c:pt>
                <c:pt idx="2316">
                  <c:v>44151</c:v>
                </c:pt>
                <c:pt idx="2317">
                  <c:v>44152</c:v>
                </c:pt>
                <c:pt idx="2318">
                  <c:v>44153</c:v>
                </c:pt>
                <c:pt idx="2319">
                  <c:v>44154</c:v>
                </c:pt>
                <c:pt idx="2320">
                  <c:v>44155</c:v>
                </c:pt>
                <c:pt idx="2321">
                  <c:v>44158</c:v>
                </c:pt>
                <c:pt idx="2322">
                  <c:v>44159</c:v>
                </c:pt>
                <c:pt idx="2323">
                  <c:v>44160</c:v>
                </c:pt>
                <c:pt idx="2324">
                  <c:v>44161</c:v>
                </c:pt>
                <c:pt idx="2325">
                  <c:v>44162</c:v>
                </c:pt>
                <c:pt idx="2326">
                  <c:v>44165</c:v>
                </c:pt>
                <c:pt idx="2327">
                  <c:v>44166</c:v>
                </c:pt>
                <c:pt idx="2328">
                  <c:v>44167</c:v>
                </c:pt>
                <c:pt idx="2329">
                  <c:v>44168</c:v>
                </c:pt>
                <c:pt idx="2330">
                  <c:v>44169</c:v>
                </c:pt>
                <c:pt idx="2331">
                  <c:v>44172</c:v>
                </c:pt>
                <c:pt idx="2332">
                  <c:v>44173</c:v>
                </c:pt>
                <c:pt idx="2333">
                  <c:v>44174</c:v>
                </c:pt>
                <c:pt idx="2334">
                  <c:v>44175</c:v>
                </c:pt>
                <c:pt idx="2335">
                  <c:v>44176</c:v>
                </c:pt>
                <c:pt idx="2336">
                  <c:v>44179</c:v>
                </c:pt>
                <c:pt idx="2337">
                  <c:v>44180</c:v>
                </c:pt>
                <c:pt idx="2338">
                  <c:v>44181</c:v>
                </c:pt>
                <c:pt idx="2339">
                  <c:v>44182</c:v>
                </c:pt>
                <c:pt idx="2340">
                  <c:v>44183</c:v>
                </c:pt>
                <c:pt idx="2341">
                  <c:v>44186</c:v>
                </c:pt>
                <c:pt idx="2342">
                  <c:v>44187</c:v>
                </c:pt>
                <c:pt idx="2343">
                  <c:v>44188</c:v>
                </c:pt>
                <c:pt idx="2344">
                  <c:v>44189</c:v>
                </c:pt>
                <c:pt idx="2345">
                  <c:v>44193</c:v>
                </c:pt>
                <c:pt idx="2346">
                  <c:v>44194</c:v>
                </c:pt>
                <c:pt idx="2347">
                  <c:v>44195</c:v>
                </c:pt>
                <c:pt idx="2348">
                  <c:v>44196</c:v>
                </c:pt>
                <c:pt idx="2349">
                  <c:v>44200</c:v>
                </c:pt>
                <c:pt idx="2350">
                  <c:v>44201</c:v>
                </c:pt>
                <c:pt idx="2351">
                  <c:v>44202</c:v>
                </c:pt>
                <c:pt idx="2352">
                  <c:v>44203</c:v>
                </c:pt>
                <c:pt idx="2353">
                  <c:v>44204</c:v>
                </c:pt>
                <c:pt idx="2354">
                  <c:v>44207</c:v>
                </c:pt>
                <c:pt idx="2355">
                  <c:v>44208</c:v>
                </c:pt>
                <c:pt idx="2356">
                  <c:v>44209</c:v>
                </c:pt>
                <c:pt idx="2357">
                  <c:v>44210</c:v>
                </c:pt>
                <c:pt idx="2358">
                  <c:v>44211</c:v>
                </c:pt>
                <c:pt idx="2359">
                  <c:v>44214</c:v>
                </c:pt>
                <c:pt idx="2360">
                  <c:v>44215</c:v>
                </c:pt>
                <c:pt idx="2361">
                  <c:v>44216</c:v>
                </c:pt>
                <c:pt idx="2362">
                  <c:v>44217</c:v>
                </c:pt>
                <c:pt idx="2363">
                  <c:v>44218</c:v>
                </c:pt>
                <c:pt idx="2364">
                  <c:v>44221</c:v>
                </c:pt>
                <c:pt idx="2365">
                  <c:v>44222</c:v>
                </c:pt>
                <c:pt idx="2366">
                  <c:v>44223</c:v>
                </c:pt>
                <c:pt idx="2367">
                  <c:v>44224</c:v>
                </c:pt>
                <c:pt idx="2368">
                  <c:v>44225</c:v>
                </c:pt>
                <c:pt idx="2369">
                  <c:v>44228</c:v>
                </c:pt>
                <c:pt idx="2370">
                  <c:v>44229</c:v>
                </c:pt>
                <c:pt idx="2371">
                  <c:v>44230</c:v>
                </c:pt>
                <c:pt idx="2372">
                  <c:v>44231</c:v>
                </c:pt>
                <c:pt idx="2373">
                  <c:v>44232</c:v>
                </c:pt>
                <c:pt idx="2374">
                  <c:v>44235</c:v>
                </c:pt>
                <c:pt idx="2375">
                  <c:v>44236</c:v>
                </c:pt>
                <c:pt idx="2376">
                  <c:v>44237</c:v>
                </c:pt>
                <c:pt idx="2377">
                  <c:v>44238</c:v>
                </c:pt>
                <c:pt idx="2378">
                  <c:v>44239</c:v>
                </c:pt>
                <c:pt idx="2379">
                  <c:v>44242</c:v>
                </c:pt>
                <c:pt idx="2380">
                  <c:v>44243</c:v>
                </c:pt>
                <c:pt idx="2381">
                  <c:v>44244</c:v>
                </c:pt>
                <c:pt idx="2382">
                  <c:v>44245</c:v>
                </c:pt>
                <c:pt idx="2383">
                  <c:v>44246</c:v>
                </c:pt>
                <c:pt idx="2384">
                  <c:v>44249</c:v>
                </c:pt>
                <c:pt idx="2385">
                  <c:v>44250</c:v>
                </c:pt>
                <c:pt idx="2386">
                  <c:v>44251</c:v>
                </c:pt>
                <c:pt idx="2387">
                  <c:v>44252</c:v>
                </c:pt>
                <c:pt idx="2388">
                  <c:v>44253</c:v>
                </c:pt>
                <c:pt idx="2389">
                  <c:v>44256</c:v>
                </c:pt>
                <c:pt idx="2390">
                  <c:v>44257</c:v>
                </c:pt>
                <c:pt idx="2391">
                  <c:v>44258</c:v>
                </c:pt>
                <c:pt idx="2392">
                  <c:v>44259</c:v>
                </c:pt>
                <c:pt idx="2393">
                  <c:v>44260</c:v>
                </c:pt>
                <c:pt idx="2394">
                  <c:v>44263</c:v>
                </c:pt>
                <c:pt idx="2395">
                  <c:v>44264</c:v>
                </c:pt>
                <c:pt idx="2396">
                  <c:v>44265</c:v>
                </c:pt>
                <c:pt idx="2397">
                  <c:v>44266</c:v>
                </c:pt>
                <c:pt idx="2398">
                  <c:v>44267</c:v>
                </c:pt>
                <c:pt idx="2399">
                  <c:v>44270</c:v>
                </c:pt>
                <c:pt idx="2400">
                  <c:v>44271</c:v>
                </c:pt>
                <c:pt idx="2401">
                  <c:v>44272</c:v>
                </c:pt>
                <c:pt idx="2402">
                  <c:v>44273</c:v>
                </c:pt>
                <c:pt idx="2403">
                  <c:v>44274</c:v>
                </c:pt>
                <c:pt idx="2404">
                  <c:v>44277</c:v>
                </c:pt>
                <c:pt idx="2405">
                  <c:v>44278</c:v>
                </c:pt>
                <c:pt idx="2406">
                  <c:v>44279</c:v>
                </c:pt>
                <c:pt idx="2407">
                  <c:v>44280</c:v>
                </c:pt>
                <c:pt idx="2408">
                  <c:v>44281</c:v>
                </c:pt>
                <c:pt idx="2409">
                  <c:v>44284</c:v>
                </c:pt>
                <c:pt idx="2410">
                  <c:v>44285</c:v>
                </c:pt>
                <c:pt idx="2411">
                  <c:v>44286</c:v>
                </c:pt>
                <c:pt idx="2412">
                  <c:v>44287</c:v>
                </c:pt>
                <c:pt idx="2413">
                  <c:v>44292</c:v>
                </c:pt>
                <c:pt idx="2414">
                  <c:v>44293</c:v>
                </c:pt>
                <c:pt idx="2415">
                  <c:v>44294</c:v>
                </c:pt>
                <c:pt idx="2416">
                  <c:v>44295</c:v>
                </c:pt>
                <c:pt idx="2417">
                  <c:v>44298</c:v>
                </c:pt>
                <c:pt idx="2418">
                  <c:v>44299</c:v>
                </c:pt>
                <c:pt idx="2419">
                  <c:v>44300</c:v>
                </c:pt>
                <c:pt idx="2420">
                  <c:v>44301</c:v>
                </c:pt>
                <c:pt idx="2421">
                  <c:v>44302</c:v>
                </c:pt>
                <c:pt idx="2422">
                  <c:v>44305</c:v>
                </c:pt>
                <c:pt idx="2423">
                  <c:v>44306</c:v>
                </c:pt>
                <c:pt idx="2424">
                  <c:v>44307</c:v>
                </c:pt>
                <c:pt idx="2425">
                  <c:v>44308</c:v>
                </c:pt>
                <c:pt idx="2426">
                  <c:v>44309</c:v>
                </c:pt>
                <c:pt idx="2427">
                  <c:v>44312</c:v>
                </c:pt>
                <c:pt idx="2428">
                  <c:v>44313</c:v>
                </c:pt>
                <c:pt idx="2429">
                  <c:v>44314</c:v>
                </c:pt>
                <c:pt idx="2430">
                  <c:v>44315</c:v>
                </c:pt>
                <c:pt idx="2431">
                  <c:v>44316</c:v>
                </c:pt>
                <c:pt idx="2432">
                  <c:v>44319</c:v>
                </c:pt>
                <c:pt idx="2433">
                  <c:v>44320</c:v>
                </c:pt>
                <c:pt idx="2434">
                  <c:v>44321</c:v>
                </c:pt>
                <c:pt idx="2435">
                  <c:v>44322</c:v>
                </c:pt>
                <c:pt idx="2436">
                  <c:v>44323</c:v>
                </c:pt>
                <c:pt idx="2437">
                  <c:v>44326</c:v>
                </c:pt>
                <c:pt idx="2438">
                  <c:v>44327</c:v>
                </c:pt>
                <c:pt idx="2439">
                  <c:v>44328</c:v>
                </c:pt>
                <c:pt idx="2440">
                  <c:v>44329</c:v>
                </c:pt>
                <c:pt idx="2441">
                  <c:v>44330</c:v>
                </c:pt>
                <c:pt idx="2442">
                  <c:v>44333</c:v>
                </c:pt>
                <c:pt idx="2443">
                  <c:v>44334</c:v>
                </c:pt>
                <c:pt idx="2444">
                  <c:v>44335</c:v>
                </c:pt>
                <c:pt idx="2445">
                  <c:v>44336</c:v>
                </c:pt>
                <c:pt idx="2446">
                  <c:v>44337</c:v>
                </c:pt>
                <c:pt idx="2447">
                  <c:v>44340</c:v>
                </c:pt>
                <c:pt idx="2448">
                  <c:v>44341</c:v>
                </c:pt>
                <c:pt idx="2449">
                  <c:v>44342</c:v>
                </c:pt>
                <c:pt idx="2450">
                  <c:v>44343</c:v>
                </c:pt>
                <c:pt idx="2451">
                  <c:v>44344</c:v>
                </c:pt>
                <c:pt idx="2452">
                  <c:v>44347</c:v>
                </c:pt>
                <c:pt idx="2453">
                  <c:v>44348</c:v>
                </c:pt>
                <c:pt idx="2454">
                  <c:v>44349</c:v>
                </c:pt>
                <c:pt idx="2455">
                  <c:v>44350</c:v>
                </c:pt>
                <c:pt idx="2456">
                  <c:v>44351</c:v>
                </c:pt>
                <c:pt idx="2457">
                  <c:v>44354</c:v>
                </c:pt>
                <c:pt idx="2458">
                  <c:v>44355</c:v>
                </c:pt>
                <c:pt idx="2459">
                  <c:v>44356</c:v>
                </c:pt>
                <c:pt idx="2460">
                  <c:v>44357</c:v>
                </c:pt>
                <c:pt idx="2461">
                  <c:v>44358</c:v>
                </c:pt>
                <c:pt idx="2462">
                  <c:v>44361</c:v>
                </c:pt>
                <c:pt idx="2463">
                  <c:v>44362</c:v>
                </c:pt>
                <c:pt idx="2464">
                  <c:v>44363</c:v>
                </c:pt>
                <c:pt idx="2465">
                  <c:v>44364</c:v>
                </c:pt>
                <c:pt idx="2466">
                  <c:v>44365</c:v>
                </c:pt>
                <c:pt idx="2467">
                  <c:v>44368</c:v>
                </c:pt>
                <c:pt idx="2468">
                  <c:v>44369</c:v>
                </c:pt>
                <c:pt idx="2469">
                  <c:v>44370</c:v>
                </c:pt>
                <c:pt idx="2470">
                  <c:v>44371</c:v>
                </c:pt>
                <c:pt idx="2471">
                  <c:v>44372</c:v>
                </c:pt>
                <c:pt idx="2472">
                  <c:v>44375</c:v>
                </c:pt>
                <c:pt idx="2473">
                  <c:v>44376</c:v>
                </c:pt>
                <c:pt idx="2474">
                  <c:v>44377</c:v>
                </c:pt>
                <c:pt idx="2475">
                  <c:v>44378</c:v>
                </c:pt>
                <c:pt idx="2476">
                  <c:v>44379</c:v>
                </c:pt>
                <c:pt idx="2477">
                  <c:v>44382</c:v>
                </c:pt>
                <c:pt idx="2478">
                  <c:v>44383</c:v>
                </c:pt>
                <c:pt idx="2479">
                  <c:v>44384</c:v>
                </c:pt>
                <c:pt idx="2480">
                  <c:v>44385</c:v>
                </c:pt>
                <c:pt idx="2481">
                  <c:v>44386</c:v>
                </c:pt>
                <c:pt idx="2482">
                  <c:v>44389</c:v>
                </c:pt>
                <c:pt idx="2483">
                  <c:v>44390</c:v>
                </c:pt>
                <c:pt idx="2484">
                  <c:v>44391</c:v>
                </c:pt>
                <c:pt idx="2485">
                  <c:v>44392</c:v>
                </c:pt>
                <c:pt idx="2486">
                  <c:v>44393</c:v>
                </c:pt>
                <c:pt idx="2487">
                  <c:v>44396</c:v>
                </c:pt>
                <c:pt idx="2488">
                  <c:v>44397</c:v>
                </c:pt>
                <c:pt idx="2489">
                  <c:v>44398</c:v>
                </c:pt>
                <c:pt idx="2490">
                  <c:v>44399</c:v>
                </c:pt>
                <c:pt idx="2491">
                  <c:v>44400</c:v>
                </c:pt>
                <c:pt idx="2492">
                  <c:v>44403</c:v>
                </c:pt>
                <c:pt idx="2493">
                  <c:v>44404</c:v>
                </c:pt>
                <c:pt idx="2494">
                  <c:v>44405</c:v>
                </c:pt>
                <c:pt idx="2495">
                  <c:v>44406</c:v>
                </c:pt>
                <c:pt idx="2496">
                  <c:v>44407</c:v>
                </c:pt>
                <c:pt idx="2497">
                  <c:v>44410</c:v>
                </c:pt>
                <c:pt idx="2498">
                  <c:v>44411</c:v>
                </c:pt>
                <c:pt idx="2499">
                  <c:v>44412</c:v>
                </c:pt>
                <c:pt idx="2500">
                  <c:v>44413</c:v>
                </c:pt>
                <c:pt idx="2501">
                  <c:v>44414</c:v>
                </c:pt>
                <c:pt idx="2502">
                  <c:v>44417</c:v>
                </c:pt>
                <c:pt idx="2503">
                  <c:v>44418</c:v>
                </c:pt>
                <c:pt idx="2504">
                  <c:v>44419</c:v>
                </c:pt>
                <c:pt idx="2505">
                  <c:v>44420</c:v>
                </c:pt>
                <c:pt idx="2506">
                  <c:v>44421</c:v>
                </c:pt>
                <c:pt idx="2507">
                  <c:v>44424</c:v>
                </c:pt>
                <c:pt idx="2508">
                  <c:v>44425</c:v>
                </c:pt>
                <c:pt idx="2509">
                  <c:v>44426</c:v>
                </c:pt>
                <c:pt idx="2510">
                  <c:v>44427</c:v>
                </c:pt>
                <c:pt idx="2511">
                  <c:v>44428</c:v>
                </c:pt>
                <c:pt idx="2512">
                  <c:v>44431</c:v>
                </c:pt>
                <c:pt idx="2513">
                  <c:v>44432</c:v>
                </c:pt>
                <c:pt idx="2514">
                  <c:v>44433</c:v>
                </c:pt>
                <c:pt idx="2515">
                  <c:v>44434</c:v>
                </c:pt>
                <c:pt idx="2516">
                  <c:v>44435</c:v>
                </c:pt>
                <c:pt idx="2517">
                  <c:v>44438</c:v>
                </c:pt>
                <c:pt idx="2518">
                  <c:v>44439</c:v>
                </c:pt>
                <c:pt idx="2519">
                  <c:v>44440</c:v>
                </c:pt>
                <c:pt idx="2520">
                  <c:v>44441</c:v>
                </c:pt>
                <c:pt idx="2521">
                  <c:v>44442</c:v>
                </c:pt>
                <c:pt idx="2522">
                  <c:v>44445</c:v>
                </c:pt>
                <c:pt idx="2523">
                  <c:v>44446</c:v>
                </c:pt>
                <c:pt idx="2524">
                  <c:v>44447</c:v>
                </c:pt>
                <c:pt idx="2525">
                  <c:v>44448</c:v>
                </c:pt>
                <c:pt idx="2526">
                  <c:v>44449</c:v>
                </c:pt>
                <c:pt idx="2527">
                  <c:v>44452</c:v>
                </c:pt>
                <c:pt idx="2528">
                  <c:v>44453</c:v>
                </c:pt>
                <c:pt idx="2529">
                  <c:v>44454</c:v>
                </c:pt>
                <c:pt idx="2530">
                  <c:v>44455</c:v>
                </c:pt>
                <c:pt idx="2531">
                  <c:v>44456</c:v>
                </c:pt>
                <c:pt idx="2532">
                  <c:v>44459</c:v>
                </c:pt>
                <c:pt idx="2533">
                  <c:v>44460</c:v>
                </c:pt>
                <c:pt idx="2534">
                  <c:v>44461</c:v>
                </c:pt>
                <c:pt idx="2535">
                  <c:v>44462</c:v>
                </c:pt>
                <c:pt idx="2536">
                  <c:v>44463</c:v>
                </c:pt>
                <c:pt idx="2537">
                  <c:v>44466</c:v>
                </c:pt>
                <c:pt idx="2538">
                  <c:v>44467</c:v>
                </c:pt>
                <c:pt idx="2539">
                  <c:v>44468</c:v>
                </c:pt>
                <c:pt idx="2540">
                  <c:v>44469</c:v>
                </c:pt>
                <c:pt idx="2541">
                  <c:v>44470</c:v>
                </c:pt>
                <c:pt idx="2542">
                  <c:v>44473</c:v>
                </c:pt>
                <c:pt idx="2543">
                  <c:v>44474</c:v>
                </c:pt>
                <c:pt idx="2544">
                  <c:v>44475</c:v>
                </c:pt>
                <c:pt idx="2545">
                  <c:v>44476</c:v>
                </c:pt>
                <c:pt idx="2546">
                  <c:v>44477</c:v>
                </c:pt>
                <c:pt idx="2547">
                  <c:v>44480</c:v>
                </c:pt>
                <c:pt idx="2548">
                  <c:v>44481</c:v>
                </c:pt>
                <c:pt idx="2549">
                  <c:v>44482</c:v>
                </c:pt>
                <c:pt idx="2550">
                  <c:v>44483</c:v>
                </c:pt>
                <c:pt idx="2551">
                  <c:v>44484</c:v>
                </c:pt>
                <c:pt idx="2552">
                  <c:v>44487</c:v>
                </c:pt>
                <c:pt idx="2553">
                  <c:v>44488</c:v>
                </c:pt>
                <c:pt idx="2554">
                  <c:v>44489</c:v>
                </c:pt>
                <c:pt idx="2555">
                  <c:v>44490</c:v>
                </c:pt>
                <c:pt idx="2556">
                  <c:v>44491</c:v>
                </c:pt>
              </c:numCache>
            </c:numRef>
          </c:xVal>
          <c:yVal>
            <c:numRef>
              <c:f>'Current Market Data'!$B$5:$B$2561</c:f>
              <c:numCache>
                <c:formatCode>0.00</c:formatCode>
                <c:ptCount val="2557"/>
                <c:pt idx="0">
                  <c:v>17.036848068237305</c:v>
                </c:pt>
                <c:pt idx="1">
                  <c:v>17.409919738769531</c:v>
                </c:pt>
                <c:pt idx="2">
                  <c:v>16.837879180908203</c:v>
                </c:pt>
                <c:pt idx="3">
                  <c:v>17.882472991943359</c:v>
                </c:pt>
                <c:pt idx="4">
                  <c:v>17.700088500976562</c:v>
                </c:pt>
                <c:pt idx="5">
                  <c:v>17.716667175292969</c:v>
                </c:pt>
                <c:pt idx="6">
                  <c:v>17.484533309936523</c:v>
                </c:pt>
                <c:pt idx="7">
                  <c:v>17.646196365356445</c:v>
                </c:pt>
                <c:pt idx="8">
                  <c:v>17.944652557373047</c:v>
                </c:pt>
                <c:pt idx="9">
                  <c:v>17.683507919311523</c:v>
                </c:pt>
                <c:pt idx="10">
                  <c:v>17.588163375854492</c:v>
                </c:pt>
                <c:pt idx="11">
                  <c:v>17.302143096923828</c:v>
                </c:pt>
                <c:pt idx="12">
                  <c:v>16.551860809326172</c:v>
                </c:pt>
                <c:pt idx="13">
                  <c:v>17.385049819946289</c:v>
                </c:pt>
                <c:pt idx="14">
                  <c:v>18.458658218383789</c:v>
                </c:pt>
                <c:pt idx="15">
                  <c:v>18.280416488647461</c:v>
                </c:pt>
                <c:pt idx="16">
                  <c:v>18.230674743652344</c:v>
                </c:pt>
                <c:pt idx="17">
                  <c:v>18.23896598815918</c:v>
                </c:pt>
                <c:pt idx="18">
                  <c:v>17.579872131347656</c:v>
                </c:pt>
                <c:pt idx="19">
                  <c:v>17.66278076171875</c:v>
                </c:pt>
                <c:pt idx="20">
                  <c:v>17.244112014770508</c:v>
                </c:pt>
                <c:pt idx="21">
                  <c:v>17.057575225830078</c:v>
                </c:pt>
                <c:pt idx="22">
                  <c:v>16.738393783569336</c:v>
                </c:pt>
                <c:pt idx="23">
                  <c:v>17.194372177124023</c:v>
                </c:pt>
                <c:pt idx="24">
                  <c:v>17.198513031005859</c:v>
                </c:pt>
                <c:pt idx="25">
                  <c:v>17.7125244140625</c:v>
                </c:pt>
                <c:pt idx="26">
                  <c:v>17.741539001464844</c:v>
                </c:pt>
                <c:pt idx="27">
                  <c:v>18.400627136230469</c:v>
                </c:pt>
                <c:pt idx="28">
                  <c:v>18.048288345336911</c:v>
                </c:pt>
                <c:pt idx="29">
                  <c:v>18.180929183959961</c:v>
                </c:pt>
                <c:pt idx="30">
                  <c:v>18.284563064575195</c:v>
                </c:pt>
                <c:pt idx="31">
                  <c:v>18.176786422729492</c:v>
                </c:pt>
                <c:pt idx="32">
                  <c:v>18.089738845825195</c:v>
                </c:pt>
                <c:pt idx="33">
                  <c:v>18.089738845825195</c:v>
                </c:pt>
                <c:pt idx="34">
                  <c:v>18.574728012084961</c:v>
                </c:pt>
                <c:pt idx="35">
                  <c:v>18.267978668212891</c:v>
                </c:pt>
                <c:pt idx="36">
                  <c:v>18.757116317749023</c:v>
                </c:pt>
                <c:pt idx="37">
                  <c:v>18.363321304321289</c:v>
                </c:pt>
                <c:pt idx="38">
                  <c:v>18.869039535522461</c:v>
                </c:pt>
                <c:pt idx="39">
                  <c:v>18.777843475341797</c:v>
                </c:pt>
                <c:pt idx="40">
                  <c:v>18.902202606201172</c:v>
                </c:pt>
                <c:pt idx="41">
                  <c:v>19.565435409545898</c:v>
                </c:pt>
                <c:pt idx="42">
                  <c:v>19.635900497436523</c:v>
                </c:pt>
                <c:pt idx="43">
                  <c:v>19.602741241455082</c:v>
                </c:pt>
                <c:pt idx="44">
                  <c:v>19.565435409545898</c:v>
                </c:pt>
                <c:pt idx="45">
                  <c:v>19.557144165039062</c:v>
                </c:pt>
                <c:pt idx="46">
                  <c:v>19.565435409545898</c:v>
                </c:pt>
                <c:pt idx="47">
                  <c:v>19.963375091552734</c:v>
                </c:pt>
                <c:pt idx="48">
                  <c:v>20.02140998840332</c:v>
                </c:pt>
                <c:pt idx="49">
                  <c:v>20.311573028564453</c:v>
                </c:pt>
                <c:pt idx="50">
                  <c:v>20.311573028564453</c:v>
                </c:pt>
                <c:pt idx="51">
                  <c:v>20.365461349487305</c:v>
                </c:pt>
                <c:pt idx="52">
                  <c:v>20.634899139404297</c:v>
                </c:pt>
                <c:pt idx="53">
                  <c:v>20.531269073486328</c:v>
                </c:pt>
                <c:pt idx="54">
                  <c:v>20.614171981811523</c:v>
                </c:pt>
                <c:pt idx="55">
                  <c:v>20.750968933105469</c:v>
                </c:pt>
                <c:pt idx="56">
                  <c:v>20.867031097412109</c:v>
                </c:pt>
                <c:pt idx="57">
                  <c:v>20.755109786987305</c:v>
                </c:pt>
                <c:pt idx="58">
                  <c:v>20.85045051574707</c:v>
                </c:pt>
                <c:pt idx="59">
                  <c:v>21.285699844360352</c:v>
                </c:pt>
                <c:pt idx="60">
                  <c:v>21.38104248046875</c:v>
                </c:pt>
                <c:pt idx="61">
                  <c:v>21.443216323852539</c:v>
                </c:pt>
                <c:pt idx="62">
                  <c:v>21.161346435546875</c:v>
                </c:pt>
                <c:pt idx="63">
                  <c:v>21.264974594116211</c:v>
                </c:pt>
                <c:pt idx="64">
                  <c:v>21.260829925537109</c:v>
                </c:pt>
                <c:pt idx="65">
                  <c:v>21.530263900756836</c:v>
                </c:pt>
                <c:pt idx="66">
                  <c:v>21.397623062133789</c:v>
                </c:pt>
                <c:pt idx="67">
                  <c:v>21.095020294189453</c:v>
                </c:pt>
                <c:pt idx="68">
                  <c:v>21.231813430786133</c:v>
                </c:pt>
                <c:pt idx="69">
                  <c:v>21.041130065917969</c:v>
                </c:pt>
                <c:pt idx="70">
                  <c:v>21.289844512939453</c:v>
                </c:pt>
                <c:pt idx="71">
                  <c:v>21.517831802368164</c:v>
                </c:pt>
                <c:pt idx="72">
                  <c:v>21.521980285644531</c:v>
                </c:pt>
                <c:pt idx="73">
                  <c:v>22.831863403320312</c:v>
                </c:pt>
                <c:pt idx="74">
                  <c:v>22.574863433837891</c:v>
                </c:pt>
                <c:pt idx="75">
                  <c:v>22.346878051757812</c:v>
                </c:pt>
                <c:pt idx="76">
                  <c:v>21.932355880737305</c:v>
                </c:pt>
                <c:pt idx="77">
                  <c:v>22.243246078491211</c:v>
                </c:pt>
                <c:pt idx="78">
                  <c:v>22.176919937133789</c:v>
                </c:pt>
                <c:pt idx="79">
                  <c:v>22.425632476806641</c:v>
                </c:pt>
                <c:pt idx="80">
                  <c:v>22.375896453857425</c:v>
                </c:pt>
                <c:pt idx="81">
                  <c:v>22.413198471069336</c:v>
                </c:pt>
                <c:pt idx="82">
                  <c:v>22.292987823486328</c:v>
                </c:pt>
                <c:pt idx="83">
                  <c:v>22.483667373657227</c:v>
                </c:pt>
                <c:pt idx="84">
                  <c:v>22.442214965820312</c:v>
                </c:pt>
                <c:pt idx="85">
                  <c:v>22.384180068969727</c:v>
                </c:pt>
                <c:pt idx="86">
                  <c:v>22.520977020263672</c:v>
                </c:pt>
                <c:pt idx="87">
                  <c:v>22.628751754760746</c:v>
                </c:pt>
                <c:pt idx="88">
                  <c:v>22.433927536010746</c:v>
                </c:pt>
                <c:pt idx="89">
                  <c:v>22.520977020263672</c:v>
                </c:pt>
                <c:pt idx="90">
                  <c:v>22.54170036315918</c:v>
                </c:pt>
                <c:pt idx="91">
                  <c:v>22.603878021240231</c:v>
                </c:pt>
                <c:pt idx="92">
                  <c:v>23.254680633544918</c:v>
                </c:pt>
                <c:pt idx="93">
                  <c:v>22.923061370849609</c:v>
                </c:pt>
                <c:pt idx="94">
                  <c:v>22.773832321166992</c:v>
                </c:pt>
                <c:pt idx="95">
                  <c:v>21.928211212158203</c:v>
                </c:pt>
                <c:pt idx="96">
                  <c:v>22.255681991577148</c:v>
                </c:pt>
                <c:pt idx="97">
                  <c:v>24.65576171875</c:v>
                </c:pt>
                <c:pt idx="98">
                  <c:v>24.921056747436523</c:v>
                </c:pt>
                <c:pt idx="99">
                  <c:v>24.622602462768555</c:v>
                </c:pt>
                <c:pt idx="100">
                  <c:v>25.078573226928711</c:v>
                </c:pt>
                <c:pt idx="101">
                  <c:v>25.33143424987793</c:v>
                </c:pt>
                <c:pt idx="102">
                  <c:v>25.546987533569336</c:v>
                </c:pt>
                <c:pt idx="103">
                  <c:v>25.78326416015625</c:v>
                </c:pt>
                <c:pt idx="104">
                  <c:v>25.140756607055664</c:v>
                </c:pt>
                <c:pt idx="105">
                  <c:v>25.236095428466797</c:v>
                </c:pt>
                <c:pt idx="106">
                  <c:v>25.497243881225582</c:v>
                </c:pt>
                <c:pt idx="107">
                  <c:v>25.070285797119141</c:v>
                </c:pt>
                <c:pt idx="108">
                  <c:v>25.252674102783203</c:v>
                </c:pt>
                <c:pt idx="109">
                  <c:v>25.580146789550781</c:v>
                </c:pt>
                <c:pt idx="110">
                  <c:v>25.534549713134769</c:v>
                </c:pt>
                <c:pt idx="111">
                  <c:v>25.447500228881836</c:v>
                </c:pt>
                <c:pt idx="112">
                  <c:v>25.140756607055664</c:v>
                </c:pt>
                <c:pt idx="113">
                  <c:v>25.455791473388672</c:v>
                </c:pt>
                <c:pt idx="114">
                  <c:v>25.658910751342773</c:v>
                </c:pt>
                <c:pt idx="115">
                  <c:v>25.841297149658203</c:v>
                </c:pt>
                <c:pt idx="116">
                  <c:v>25.178062438964844</c:v>
                </c:pt>
                <c:pt idx="117">
                  <c:v>25.439207077026367</c:v>
                </c:pt>
                <c:pt idx="118">
                  <c:v>24.643329620361328</c:v>
                </c:pt>
                <c:pt idx="119">
                  <c:v>24.900333404541016</c:v>
                </c:pt>
                <c:pt idx="120">
                  <c:v>25.617454528808594</c:v>
                </c:pt>
                <c:pt idx="121">
                  <c:v>25.053703308105469</c:v>
                </c:pt>
                <c:pt idx="122">
                  <c:v>25.426773071289062</c:v>
                </c:pt>
                <c:pt idx="123">
                  <c:v>25.671344757080082</c:v>
                </c:pt>
                <c:pt idx="124">
                  <c:v>25.40190315246582</c:v>
                </c:pt>
                <c:pt idx="125">
                  <c:v>25.57600212097168</c:v>
                </c:pt>
                <c:pt idx="126">
                  <c:v>25.356306076049805</c:v>
                </c:pt>
                <c:pt idx="127">
                  <c:v>24.249532699584961</c:v>
                </c:pt>
                <c:pt idx="128">
                  <c:v>24.659912109375</c:v>
                </c:pt>
                <c:pt idx="129">
                  <c:v>25.236095428466797</c:v>
                </c:pt>
                <c:pt idx="130">
                  <c:v>25.107593536376953</c:v>
                </c:pt>
                <c:pt idx="131">
                  <c:v>25.248529434204102</c:v>
                </c:pt>
                <c:pt idx="132">
                  <c:v>24.726234436035156</c:v>
                </c:pt>
                <c:pt idx="133">
                  <c:v>25.003961563110352</c:v>
                </c:pt>
                <c:pt idx="134">
                  <c:v>25.327285766601559</c:v>
                </c:pt>
                <c:pt idx="135">
                  <c:v>24.481666564941406</c:v>
                </c:pt>
                <c:pt idx="136">
                  <c:v>24.630889892578125</c:v>
                </c:pt>
                <c:pt idx="137">
                  <c:v>23.826717376708984</c:v>
                </c:pt>
                <c:pt idx="138">
                  <c:v>24.116886138916016</c:v>
                </c:pt>
                <c:pt idx="139">
                  <c:v>23.909624099731445</c:v>
                </c:pt>
                <c:pt idx="140">
                  <c:v>23.710651397705082</c:v>
                </c:pt>
                <c:pt idx="141">
                  <c:v>23.81428337097168</c:v>
                </c:pt>
                <c:pt idx="142">
                  <c:v>24.067140579223633</c:v>
                </c:pt>
                <c:pt idx="143">
                  <c:v>24.357309341430664</c:v>
                </c:pt>
                <c:pt idx="144">
                  <c:v>23.839155197143555</c:v>
                </c:pt>
                <c:pt idx="145">
                  <c:v>23.055706024169918</c:v>
                </c:pt>
                <c:pt idx="146">
                  <c:v>23.163488388061523</c:v>
                </c:pt>
                <c:pt idx="147">
                  <c:v>23.631891250610352</c:v>
                </c:pt>
                <c:pt idx="148">
                  <c:v>23.146903991699219</c:v>
                </c:pt>
                <c:pt idx="149">
                  <c:v>23.20079231262207</c:v>
                </c:pt>
                <c:pt idx="150">
                  <c:v>22.616317749023441</c:v>
                </c:pt>
                <c:pt idx="151">
                  <c:v>22.898193359375</c:v>
                </c:pt>
                <c:pt idx="152">
                  <c:v>23.068143844604492</c:v>
                </c:pt>
                <c:pt idx="153">
                  <c:v>22.442214965820312</c:v>
                </c:pt>
                <c:pt idx="154">
                  <c:v>22.442214965820312</c:v>
                </c:pt>
                <c:pt idx="155">
                  <c:v>22.045978546142575</c:v>
                </c:pt>
                <c:pt idx="156">
                  <c:v>21.964485168457031</c:v>
                </c:pt>
                <c:pt idx="157">
                  <c:v>22.097448348999023</c:v>
                </c:pt>
                <c:pt idx="158">
                  <c:v>22.620718002319336</c:v>
                </c:pt>
                <c:pt idx="159">
                  <c:v>23.44422721862793</c:v>
                </c:pt>
                <c:pt idx="160">
                  <c:v>23.058204650878903</c:v>
                </c:pt>
                <c:pt idx="161">
                  <c:v>22.98529052734375</c:v>
                </c:pt>
                <c:pt idx="162">
                  <c:v>22.972423553466797</c:v>
                </c:pt>
                <c:pt idx="163">
                  <c:v>22.809438705444336</c:v>
                </c:pt>
                <c:pt idx="164">
                  <c:v>22.427711486816406</c:v>
                </c:pt>
                <c:pt idx="165">
                  <c:v>22.329061508178711</c:v>
                </c:pt>
                <c:pt idx="166">
                  <c:v>22.972423553466797</c:v>
                </c:pt>
                <c:pt idx="167">
                  <c:v>23.011024475097656</c:v>
                </c:pt>
                <c:pt idx="168">
                  <c:v>22.805152893066406</c:v>
                </c:pt>
                <c:pt idx="169">
                  <c:v>23.075359344482425</c:v>
                </c:pt>
                <c:pt idx="170">
                  <c:v>22.080289840698239</c:v>
                </c:pt>
                <c:pt idx="171">
                  <c:v>22.526357650756836</c:v>
                </c:pt>
                <c:pt idx="172">
                  <c:v>22.269014358520508</c:v>
                </c:pt>
                <c:pt idx="173">
                  <c:v>22.83946418762207</c:v>
                </c:pt>
                <c:pt idx="174">
                  <c:v>22.946687698364254</c:v>
                </c:pt>
                <c:pt idx="175">
                  <c:v>23.967498779296875</c:v>
                </c:pt>
                <c:pt idx="176">
                  <c:v>24.443588256835938</c:v>
                </c:pt>
                <c:pt idx="177">
                  <c:v>24.383537292480469</c:v>
                </c:pt>
                <c:pt idx="178">
                  <c:v>24.876787185668945</c:v>
                </c:pt>
                <c:pt idx="179">
                  <c:v>24.4478759765625</c:v>
                </c:pt>
                <c:pt idx="180">
                  <c:v>24.079013824462891</c:v>
                </c:pt>
                <c:pt idx="181">
                  <c:v>24.460742950439453</c:v>
                </c:pt>
                <c:pt idx="182">
                  <c:v>24.220550537109375</c:v>
                </c:pt>
                <c:pt idx="183">
                  <c:v>23.092517852783203</c:v>
                </c:pt>
                <c:pt idx="184">
                  <c:v>22.981002807617188</c:v>
                </c:pt>
                <c:pt idx="185">
                  <c:v>23.345577239990231</c:v>
                </c:pt>
                <c:pt idx="186">
                  <c:v>23.615789413452148</c:v>
                </c:pt>
                <c:pt idx="187">
                  <c:v>23.212614059448239</c:v>
                </c:pt>
                <c:pt idx="188">
                  <c:v>23.478538513183594</c:v>
                </c:pt>
                <c:pt idx="189">
                  <c:v>23.710149765014648</c:v>
                </c:pt>
                <c:pt idx="190">
                  <c:v>24.628013610839844</c:v>
                </c:pt>
                <c:pt idx="191">
                  <c:v>23.958915710449219</c:v>
                </c:pt>
                <c:pt idx="192">
                  <c:v>24.400693893432617</c:v>
                </c:pt>
                <c:pt idx="193">
                  <c:v>23.928892135620117</c:v>
                </c:pt>
                <c:pt idx="194">
                  <c:v>24.199106216430664</c:v>
                </c:pt>
                <c:pt idx="195">
                  <c:v>25.567329406738281</c:v>
                </c:pt>
                <c:pt idx="196">
                  <c:v>25.490127563476559</c:v>
                </c:pt>
                <c:pt idx="197">
                  <c:v>25.099821090698239</c:v>
                </c:pt>
                <c:pt idx="198">
                  <c:v>26.596714019775391</c:v>
                </c:pt>
                <c:pt idx="199">
                  <c:v>25.974794387817383</c:v>
                </c:pt>
                <c:pt idx="200">
                  <c:v>26.76399040222168</c:v>
                </c:pt>
                <c:pt idx="201">
                  <c:v>26.420862197875977</c:v>
                </c:pt>
                <c:pt idx="202">
                  <c:v>26.335079193115231</c:v>
                </c:pt>
                <c:pt idx="203">
                  <c:v>25.949058532714844</c:v>
                </c:pt>
                <c:pt idx="204">
                  <c:v>26.262165069580082</c:v>
                </c:pt>
                <c:pt idx="205">
                  <c:v>26.330789566040039</c:v>
                </c:pt>
                <c:pt idx="206">
                  <c:v>26.047708511352539</c:v>
                </c:pt>
                <c:pt idx="207">
                  <c:v>25.966217041015625</c:v>
                </c:pt>
                <c:pt idx="208">
                  <c:v>26.082021713256836</c:v>
                </c:pt>
                <c:pt idx="209">
                  <c:v>25.82896614074707</c:v>
                </c:pt>
                <c:pt idx="210">
                  <c:v>25.949058532714844</c:v>
                </c:pt>
                <c:pt idx="211">
                  <c:v>26.00910758972168</c:v>
                </c:pt>
                <c:pt idx="212">
                  <c:v>26.347946166992188</c:v>
                </c:pt>
                <c:pt idx="213">
                  <c:v>26.283611297607425</c:v>
                </c:pt>
                <c:pt idx="214">
                  <c:v>25.665981292724609</c:v>
                </c:pt>
                <c:pt idx="215">
                  <c:v>25.391475677490231</c:v>
                </c:pt>
                <c:pt idx="216">
                  <c:v>25.417211532592773</c:v>
                </c:pt>
                <c:pt idx="217">
                  <c:v>25.541593551635746</c:v>
                </c:pt>
                <c:pt idx="218">
                  <c:v>26.030553817749023</c:v>
                </c:pt>
                <c:pt idx="219">
                  <c:v>25.889011383056641</c:v>
                </c:pt>
                <c:pt idx="220">
                  <c:v>26.00910758972168</c:v>
                </c:pt>
                <c:pt idx="221">
                  <c:v>26.429437637329102</c:v>
                </c:pt>
                <c:pt idx="222">
                  <c:v>25.721736907958984</c:v>
                </c:pt>
                <c:pt idx="223">
                  <c:v>25.67884635925293</c:v>
                </c:pt>
                <c:pt idx="224">
                  <c:v>26.167804718017575</c:v>
                </c:pt>
                <c:pt idx="225">
                  <c:v>25.949058532714844</c:v>
                </c:pt>
                <c:pt idx="226">
                  <c:v>25.35716438293457</c:v>
                </c:pt>
                <c:pt idx="227">
                  <c:v>25.45152473449707</c:v>
                </c:pt>
                <c:pt idx="228">
                  <c:v>24.018962860107425</c:v>
                </c:pt>
                <c:pt idx="229">
                  <c:v>21.569887161254883</c:v>
                </c:pt>
                <c:pt idx="230">
                  <c:v>21.70713996887207</c:v>
                </c:pt>
                <c:pt idx="231">
                  <c:v>22.045976638793945</c:v>
                </c:pt>
                <c:pt idx="232">
                  <c:v>22.080289840698239</c:v>
                </c:pt>
                <c:pt idx="233">
                  <c:v>21.99022102355957</c:v>
                </c:pt>
                <c:pt idx="234">
                  <c:v>22.247566223144531</c:v>
                </c:pt>
                <c:pt idx="235">
                  <c:v>22.045976638793945</c:v>
                </c:pt>
                <c:pt idx="236">
                  <c:v>21.445503234863281</c:v>
                </c:pt>
                <c:pt idx="237">
                  <c:v>21.61277961730957</c:v>
                </c:pt>
                <c:pt idx="238">
                  <c:v>20.973703384399418</c:v>
                </c:pt>
                <c:pt idx="239">
                  <c:v>21.31683349609375</c:v>
                </c:pt>
                <c:pt idx="240">
                  <c:v>21.158134460449219</c:v>
                </c:pt>
                <c:pt idx="241">
                  <c:v>21.372591018676761</c:v>
                </c:pt>
                <c:pt idx="242">
                  <c:v>21.930170059204102</c:v>
                </c:pt>
                <c:pt idx="243">
                  <c:v>21.985929489135746</c:v>
                </c:pt>
                <c:pt idx="244">
                  <c:v>22.217540740966797</c:v>
                </c:pt>
                <c:pt idx="245">
                  <c:v>22.715076446533203</c:v>
                </c:pt>
                <c:pt idx="246">
                  <c:v>22.517782211303711</c:v>
                </c:pt>
                <c:pt idx="247">
                  <c:v>22.389106750488281</c:v>
                </c:pt>
                <c:pt idx="248">
                  <c:v>23.572900772094727</c:v>
                </c:pt>
                <c:pt idx="249">
                  <c:v>23.31126594543457</c:v>
                </c:pt>
                <c:pt idx="250">
                  <c:v>22.59498405456543</c:v>
                </c:pt>
                <c:pt idx="251">
                  <c:v>22.848041534423828</c:v>
                </c:pt>
                <c:pt idx="252">
                  <c:v>22.860906600952148</c:v>
                </c:pt>
                <c:pt idx="253">
                  <c:v>23.161142349243164</c:v>
                </c:pt>
                <c:pt idx="254">
                  <c:v>23.156858444213867</c:v>
                </c:pt>
                <c:pt idx="255">
                  <c:v>22.98529052734375</c:v>
                </c:pt>
                <c:pt idx="256">
                  <c:v>22.779415130615231</c:v>
                </c:pt>
                <c:pt idx="257">
                  <c:v>22.191806793212891</c:v>
                </c:pt>
                <c:pt idx="258">
                  <c:v>22.818017959594727</c:v>
                </c:pt>
                <c:pt idx="259">
                  <c:v>22.942401885986328</c:v>
                </c:pt>
                <c:pt idx="260">
                  <c:v>23.264081954956055</c:v>
                </c:pt>
                <c:pt idx="261">
                  <c:v>23.268373489379883</c:v>
                </c:pt>
                <c:pt idx="262">
                  <c:v>23.508560180664062</c:v>
                </c:pt>
                <c:pt idx="263">
                  <c:v>23.512851715087891</c:v>
                </c:pt>
                <c:pt idx="264">
                  <c:v>23.590055465698239</c:v>
                </c:pt>
                <c:pt idx="265">
                  <c:v>23.547164916992188</c:v>
                </c:pt>
                <c:pt idx="266">
                  <c:v>23.349863052368164</c:v>
                </c:pt>
                <c:pt idx="267">
                  <c:v>23.534297943115231</c:v>
                </c:pt>
                <c:pt idx="268">
                  <c:v>23.358442306518555</c:v>
                </c:pt>
                <c:pt idx="269">
                  <c:v>22.389106750488281</c:v>
                </c:pt>
                <c:pt idx="270">
                  <c:v>22.577827453613281</c:v>
                </c:pt>
                <c:pt idx="271">
                  <c:v>22.401975631713867</c:v>
                </c:pt>
                <c:pt idx="272">
                  <c:v>22.462020874023441</c:v>
                </c:pt>
                <c:pt idx="273">
                  <c:v>22.174650192260746</c:v>
                </c:pt>
                <c:pt idx="274">
                  <c:v>21.522708892822266</c:v>
                </c:pt>
                <c:pt idx="275">
                  <c:v>21.591331481933594</c:v>
                </c:pt>
                <c:pt idx="276">
                  <c:v>21.94304084777832</c:v>
                </c:pt>
                <c:pt idx="277">
                  <c:v>21.861549377441406</c:v>
                </c:pt>
                <c:pt idx="278">
                  <c:v>21.792922973632812</c:v>
                </c:pt>
                <c:pt idx="279">
                  <c:v>21.651382446289062</c:v>
                </c:pt>
                <c:pt idx="280">
                  <c:v>21.355436325073239</c:v>
                </c:pt>
                <c:pt idx="281">
                  <c:v>21.072353363037109</c:v>
                </c:pt>
                <c:pt idx="282">
                  <c:v>20.917942047119141</c:v>
                </c:pt>
                <c:pt idx="283">
                  <c:v>21.278226852416992</c:v>
                </c:pt>
                <c:pt idx="284">
                  <c:v>21.69856071472168</c:v>
                </c:pt>
                <c:pt idx="285">
                  <c:v>22.208963394165039</c:v>
                </c:pt>
                <c:pt idx="286">
                  <c:v>22.685050964355469</c:v>
                </c:pt>
                <c:pt idx="287">
                  <c:v>22.796573638916016</c:v>
                </c:pt>
                <c:pt idx="288">
                  <c:v>23.358442306518555</c:v>
                </c:pt>
                <c:pt idx="289">
                  <c:v>25.219911575317383</c:v>
                </c:pt>
                <c:pt idx="290">
                  <c:v>25.558750152587891</c:v>
                </c:pt>
                <c:pt idx="291">
                  <c:v>25.44294548034668</c:v>
                </c:pt>
                <c:pt idx="292">
                  <c:v>25.189889907836911</c:v>
                </c:pt>
                <c:pt idx="293">
                  <c:v>25.228492736816406</c:v>
                </c:pt>
                <c:pt idx="294">
                  <c:v>25.082662582397461</c:v>
                </c:pt>
                <c:pt idx="295">
                  <c:v>24.808158874511719</c:v>
                </c:pt>
                <c:pt idx="296">
                  <c:v>24.97114372253418</c:v>
                </c:pt>
                <c:pt idx="297">
                  <c:v>25.618801116943359</c:v>
                </c:pt>
                <c:pt idx="298">
                  <c:v>25.734607696533203</c:v>
                </c:pt>
                <c:pt idx="299">
                  <c:v>25.623088836669918</c:v>
                </c:pt>
                <c:pt idx="300">
                  <c:v>25.730316162109375</c:v>
                </c:pt>
                <c:pt idx="301">
                  <c:v>25.421501159667969</c:v>
                </c:pt>
                <c:pt idx="302">
                  <c:v>25.215625762939453</c:v>
                </c:pt>
                <c:pt idx="303">
                  <c:v>25.790361404418945</c:v>
                </c:pt>
                <c:pt idx="304">
                  <c:v>25.906167984008789</c:v>
                </c:pt>
                <c:pt idx="305">
                  <c:v>26.420862197875977</c:v>
                </c:pt>
                <c:pt idx="306">
                  <c:v>26.377969741821289</c:v>
                </c:pt>
                <c:pt idx="307">
                  <c:v>26.528091430664062</c:v>
                </c:pt>
                <c:pt idx="308">
                  <c:v>27.557472229003903</c:v>
                </c:pt>
                <c:pt idx="309">
                  <c:v>27.48455810546875</c:v>
                </c:pt>
                <c:pt idx="310">
                  <c:v>27.703302383422852</c:v>
                </c:pt>
                <c:pt idx="311">
                  <c:v>27.57891845703125</c:v>
                </c:pt>
                <c:pt idx="312">
                  <c:v>27.57463264465332</c:v>
                </c:pt>
                <c:pt idx="313">
                  <c:v>27.823398590087891</c:v>
                </c:pt>
                <c:pt idx="314">
                  <c:v>28.908542633056641</c:v>
                </c:pt>
                <c:pt idx="315">
                  <c:v>29.680576324462891</c:v>
                </c:pt>
                <c:pt idx="316">
                  <c:v>29.431812286376953</c:v>
                </c:pt>
                <c:pt idx="317">
                  <c:v>30.023702621459961</c:v>
                </c:pt>
                <c:pt idx="318">
                  <c:v>29.81353759765625</c:v>
                </c:pt>
                <c:pt idx="319">
                  <c:v>29.75349235534668</c:v>
                </c:pt>
                <c:pt idx="320">
                  <c:v>29.839277267456055</c:v>
                </c:pt>
                <c:pt idx="321">
                  <c:v>30.654207229614254</c:v>
                </c:pt>
                <c:pt idx="322">
                  <c:v>30.28105354309082</c:v>
                </c:pt>
                <c:pt idx="323">
                  <c:v>29.500436782836911</c:v>
                </c:pt>
                <c:pt idx="324">
                  <c:v>29.684867858886719</c:v>
                </c:pt>
                <c:pt idx="325">
                  <c:v>30.18669319152832</c:v>
                </c:pt>
                <c:pt idx="326">
                  <c:v>29.869295120239254</c:v>
                </c:pt>
                <c:pt idx="327">
                  <c:v>29.967950820922852</c:v>
                </c:pt>
                <c:pt idx="328">
                  <c:v>29.873586654663089</c:v>
                </c:pt>
                <c:pt idx="329">
                  <c:v>30.285335540771484</c:v>
                </c:pt>
                <c:pt idx="330">
                  <c:v>30.06230354309082</c:v>
                </c:pt>
                <c:pt idx="331">
                  <c:v>29.822114944458008</c:v>
                </c:pt>
                <c:pt idx="332">
                  <c:v>29.99797248840332</c:v>
                </c:pt>
                <c:pt idx="333">
                  <c:v>30.173824310302734</c:v>
                </c:pt>
                <c:pt idx="334">
                  <c:v>29.925058364868164</c:v>
                </c:pt>
                <c:pt idx="335">
                  <c:v>29.933635711669918</c:v>
                </c:pt>
                <c:pt idx="336">
                  <c:v>30.195270538330082</c:v>
                </c:pt>
                <c:pt idx="337">
                  <c:v>30.675649642944336</c:v>
                </c:pt>
                <c:pt idx="338">
                  <c:v>31.095979690551761</c:v>
                </c:pt>
                <c:pt idx="339">
                  <c:v>30.28105354309082</c:v>
                </c:pt>
                <c:pt idx="340">
                  <c:v>30.787164688110352</c:v>
                </c:pt>
                <c:pt idx="341">
                  <c:v>30.486928939819336</c:v>
                </c:pt>
                <c:pt idx="342">
                  <c:v>29.907901763916016</c:v>
                </c:pt>
                <c:pt idx="343">
                  <c:v>31.859443664550781</c:v>
                </c:pt>
                <c:pt idx="344">
                  <c:v>33.609397888183594</c:v>
                </c:pt>
                <c:pt idx="345">
                  <c:v>33.412094116210938</c:v>
                </c:pt>
                <c:pt idx="346">
                  <c:v>34.227020263671875</c:v>
                </c:pt>
                <c:pt idx="347">
                  <c:v>33.798114776611328</c:v>
                </c:pt>
                <c:pt idx="348">
                  <c:v>33.828144073486328</c:v>
                </c:pt>
                <c:pt idx="349">
                  <c:v>34.304233551025391</c:v>
                </c:pt>
                <c:pt idx="350">
                  <c:v>34.31280517578125</c:v>
                </c:pt>
                <c:pt idx="351">
                  <c:v>34.758876800537109</c:v>
                </c:pt>
                <c:pt idx="352">
                  <c:v>35.269279479980469</c:v>
                </c:pt>
                <c:pt idx="353">
                  <c:v>35.856880187988281</c:v>
                </c:pt>
                <c:pt idx="354">
                  <c:v>35.981266021728516</c:v>
                </c:pt>
                <c:pt idx="355">
                  <c:v>36.530269622802734</c:v>
                </c:pt>
                <c:pt idx="356">
                  <c:v>36.071342468261719</c:v>
                </c:pt>
                <c:pt idx="357">
                  <c:v>35.76251220703125</c:v>
                </c:pt>
                <c:pt idx="358">
                  <c:v>35.475151062011719</c:v>
                </c:pt>
                <c:pt idx="359">
                  <c:v>34.861812591552734</c:v>
                </c:pt>
                <c:pt idx="360">
                  <c:v>35.470859527587891</c:v>
                </c:pt>
                <c:pt idx="361">
                  <c:v>35.560935974121094</c:v>
                </c:pt>
                <c:pt idx="362">
                  <c:v>35.106292724609375</c:v>
                </c:pt>
                <c:pt idx="363">
                  <c:v>34.025436401367188</c:v>
                </c:pt>
                <c:pt idx="364">
                  <c:v>34.055461883544922</c:v>
                </c:pt>
                <c:pt idx="365">
                  <c:v>35.269279479980469</c:v>
                </c:pt>
                <c:pt idx="366">
                  <c:v>34.600173950195312</c:v>
                </c:pt>
                <c:pt idx="367">
                  <c:v>33.669437408447266</c:v>
                </c:pt>
                <c:pt idx="368">
                  <c:v>32.837356567382812</c:v>
                </c:pt>
                <c:pt idx="369">
                  <c:v>33.206214904785156</c:v>
                </c:pt>
                <c:pt idx="370">
                  <c:v>32.254039764404297</c:v>
                </c:pt>
                <c:pt idx="371">
                  <c:v>33.004627227783203</c:v>
                </c:pt>
                <c:pt idx="372">
                  <c:v>32.923133850097656</c:v>
                </c:pt>
                <c:pt idx="373">
                  <c:v>32.301219940185547</c:v>
                </c:pt>
                <c:pt idx="374">
                  <c:v>32.172550201416016</c:v>
                </c:pt>
                <c:pt idx="375">
                  <c:v>31.9066162109375</c:v>
                </c:pt>
                <c:pt idx="376">
                  <c:v>33.454986572265625</c:v>
                </c:pt>
                <c:pt idx="377">
                  <c:v>33.279136657714844</c:v>
                </c:pt>
                <c:pt idx="378">
                  <c:v>34.252761840820312</c:v>
                </c:pt>
                <c:pt idx="379">
                  <c:v>33.7938232421875</c:v>
                </c:pt>
                <c:pt idx="380">
                  <c:v>34.840370178222656</c:v>
                </c:pt>
                <c:pt idx="381">
                  <c:v>35.093429565429688</c:v>
                </c:pt>
                <c:pt idx="382">
                  <c:v>34.870391845703125</c:v>
                </c:pt>
                <c:pt idx="383">
                  <c:v>34.31280517578125</c:v>
                </c:pt>
                <c:pt idx="384">
                  <c:v>34.196998596191406</c:v>
                </c:pt>
                <c:pt idx="385">
                  <c:v>34.402870178222656</c:v>
                </c:pt>
                <c:pt idx="386">
                  <c:v>34.617332458496094</c:v>
                </c:pt>
                <c:pt idx="387">
                  <c:v>35.041950225830078</c:v>
                </c:pt>
                <c:pt idx="388">
                  <c:v>34.934722900390625</c:v>
                </c:pt>
                <c:pt idx="389">
                  <c:v>34.934722900390625</c:v>
                </c:pt>
                <c:pt idx="390">
                  <c:v>35.385078430175781</c:v>
                </c:pt>
                <c:pt idx="391">
                  <c:v>35.457996368408203</c:v>
                </c:pt>
                <c:pt idx="392">
                  <c:v>35.608119964599609</c:v>
                </c:pt>
                <c:pt idx="393">
                  <c:v>35.342185974121094</c:v>
                </c:pt>
                <c:pt idx="394">
                  <c:v>36.405887603759766</c:v>
                </c:pt>
                <c:pt idx="395">
                  <c:v>36.984916687011719</c:v>
                </c:pt>
                <c:pt idx="396">
                  <c:v>37.143619537353523</c:v>
                </c:pt>
                <c:pt idx="397">
                  <c:v>37.143619537353523</c:v>
                </c:pt>
                <c:pt idx="398">
                  <c:v>37.027809143066406</c:v>
                </c:pt>
                <c:pt idx="399">
                  <c:v>36.950599670410163</c:v>
                </c:pt>
                <c:pt idx="400">
                  <c:v>36.9720458984375</c:v>
                </c:pt>
                <c:pt idx="401">
                  <c:v>36.045608520507812</c:v>
                </c:pt>
                <c:pt idx="402">
                  <c:v>36.478805541992188</c:v>
                </c:pt>
                <c:pt idx="403">
                  <c:v>36.538852691650391</c:v>
                </c:pt>
                <c:pt idx="404">
                  <c:v>37.572521209716797</c:v>
                </c:pt>
                <c:pt idx="405">
                  <c:v>37.915653228759766</c:v>
                </c:pt>
                <c:pt idx="406">
                  <c:v>37.954254150390625</c:v>
                </c:pt>
                <c:pt idx="407">
                  <c:v>38.654296875</c:v>
                </c:pt>
                <c:pt idx="408">
                  <c:v>37.728153228759766</c:v>
                </c:pt>
                <c:pt idx="409">
                  <c:v>37.675975799560547</c:v>
                </c:pt>
                <c:pt idx="410">
                  <c:v>36.910720825195312</c:v>
                </c:pt>
                <c:pt idx="411">
                  <c:v>36.454166412353523</c:v>
                </c:pt>
                <c:pt idx="412">
                  <c:v>37.762935638427734</c:v>
                </c:pt>
                <c:pt idx="413">
                  <c:v>37.402046203613281</c:v>
                </c:pt>
                <c:pt idx="414">
                  <c:v>36.815059661865234</c:v>
                </c:pt>
                <c:pt idx="415">
                  <c:v>37.389003753662109</c:v>
                </c:pt>
                <c:pt idx="416">
                  <c:v>37.397697448730469</c:v>
                </c:pt>
                <c:pt idx="417">
                  <c:v>37.254215240478509</c:v>
                </c:pt>
                <c:pt idx="418">
                  <c:v>37.393356323242188</c:v>
                </c:pt>
                <c:pt idx="419">
                  <c:v>37.523796081542969</c:v>
                </c:pt>
                <c:pt idx="420">
                  <c:v>36.788970947265625</c:v>
                </c:pt>
                <c:pt idx="421">
                  <c:v>35.884574890136719</c:v>
                </c:pt>
                <c:pt idx="422">
                  <c:v>35.436721801757812</c:v>
                </c:pt>
                <c:pt idx="423">
                  <c:v>34.445365905761719</c:v>
                </c:pt>
                <c:pt idx="424">
                  <c:v>35.432373046875</c:v>
                </c:pt>
                <c:pt idx="425">
                  <c:v>35.975883483886719</c:v>
                </c:pt>
                <c:pt idx="426">
                  <c:v>36.141109466552734</c:v>
                </c:pt>
                <c:pt idx="427">
                  <c:v>35.710647583007812</c:v>
                </c:pt>
                <c:pt idx="428">
                  <c:v>35.836746215820312</c:v>
                </c:pt>
                <c:pt idx="429">
                  <c:v>35.471511840820312</c:v>
                </c:pt>
                <c:pt idx="430">
                  <c:v>34.988876342773438</c:v>
                </c:pt>
                <c:pt idx="431">
                  <c:v>36.262855529785149</c:v>
                </c:pt>
                <c:pt idx="432">
                  <c:v>35.828048706054688</c:v>
                </c:pt>
                <c:pt idx="433">
                  <c:v>36.228069305419922</c:v>
                </c:pt>
                <c:pt idx="434">
                  <c:v>36.284595489501953</c:v>
                </c:pt>
                <c:pt idx="435">
                  <c:v>36.097629547119141</c:v>
                </c:pt>
                <c:pt idx="436">
                  <c:v>35.967185974121094</c:v>
                </c:pt>
                <c:pt idx="437">
                  <c:v>35.888923645019531</c:v>
                </c:pt>
                <c:pt idx="438">
                  <c:v>36.384601593017578</c:v>
                </c:pt>
                <c:pt idx="439">
                  <c:v>36.1976318359375</c:v>
                </c:pt>
                <c:pt idx="440">
                  <c:v>36.228069305419922</c:v>
                </c:pt>
                <c:pt idx="441">
                  <c:v>36.710708618164062</c:v>
                </c:pt>
                <c:pt idx="442">
                  <c:v>37.080291748046875</c:v>
                </c:pt>
                <c:pt idx="443">
                  <c:v>37.019412994384766</c:v>
                </c:pt>
                <c:pt idx="444">
                  <c:v>36.723751068115234</c:v>
                </c:pt>
                <c:pt idx="445">
                  <c:v>36.802017211914062</c:v>
                </c:pt>
                <c:pt idx="446">
                  <c:v>37.784679412841797</c:v>
                </c:pt>
                <c:pt idx="447">
                  <c:v>38.410793304443359</c:v>
                </c:pt>
                <c:pt idx="448">
                  <c:v>38.562980651855469</c:v>
                </c:pt>
                <c:pt idx="449">
                  <c:v>38.497760772705078</c:v>
                </c:pt>
                <c:pt idx="450">
                  <c:v>39.032569885253906</c:v>
                </c:pt>
                <c:pt idx="451">
                  <c:v>39.371719360351562</c:v>
                </c:pt>
                <c:pt idx="452">
                  <c:v>39.180404663085938</c:v>
                </c:pt>
                <c:pt idx="453">
                  <c:v>38.949962615966797</c:v>
                </c:pt>
                <c:pt idx="454">
                  <c:v>39.484767913818359</c:v>
                </c:pt>
                <c:pt idx="455">
                  <c:v>39.671741485595703</c:v>
                </c:pt>
                <c:pt idx="456">
                  <c:v>39.854354858398438</c:v>
                </c:pt>
                <c:pt idx="457">
                  <c:v>39.963062286376953</c:v>
                </c:pt>
                <c:pt idx="458">
                  <c:v>39.080398559570312</c:v>
                </c:pt>
                <c:pt idx="459">
                  <c:v>38.736900329589837</c:v>
                </c:pt>
                <c:pt idx="460">
                  <c:v>39.176059722900391</c:v>
                </c:pt>
                <c:pt idx="461">
                  <c:v>39.228237152099609</c:v>
                </c:pt>
                <c:pt idx="462">
                  <c:v>39.310844421386719</c:v>
                </c:pt>
                <c:pt idx="463">
                  <c:v>39.028224945068359</c:v>
                </c:pt>
                <c:pt idx="464">
                  <c:v>38.210788726806641</c:v>
                </c:pt>
                <c:pt idx="465">
                  <c:v>37.797718048095703</c:v>
                </c:pt>
                <c:pt idx="466">
                  <c:v>38.258617401123047</c:v>
                </c:pt>
                <c:pt idx="467">
                  <c:v>38.654296875</c:v>
                </c:pt>
                <c:pt idx="468">
                  <c:v>38.702125549316406</c:v>
                </c:pt>
                <c:pt idx="469">
                  <c:v>38.067306518554688</c:v>
                </c:pt>
                <c:pt idx="470">
                  <c:v>37.123775482177734</c:v>
                </c:pt>
                <c:pt idx="471">
                  <c:v>37.74554443359375</c:v>
                </c:pt>
                <c:pt idx="472">
                  <c:v>37.919467926025391</c:v>
                </c:pt>
                <c:pt idx="473">
                  <c:v>38.828212738037109</c:v>
                </c:pt>
                <c:pt idx="474">
                  <c:v>38.532546997070312</c:v>
                </c:pt>
                <c:pt idx="475">
                  <c:v>38.806472778320312</c:v>
                </c:pt>
                <c:pt idx="476">
                  <c:v>39.210842132568359</c:v>
                </c:pt>
                <c:pt idx="477">
                  <c:v>39.471725463867188</c:v>
                </c:pt>
                <c:pt idx="478">
                  <c:v>39.549991607666016</c:v>
                </c:pt>
                <c:pt idx="479">
                  <c:v>40.302207946777344</c:v>
                </c:pt>
                <c:pt idx="480">
                  <c:v>40.006542205810547</c:v>
                </c:pt>
                <c:pt idx="481">
                  <c:v>39.349983215332031</c:v>
                </c:pt>
                <c:pt idx="482">
                  <c:v>38.963008880615234</c:v>
                </c:pt>
                <c:pt idx="483">
                  <c:v>39.202152252197266</c:v>
                </c:pt>
                <c:pt idx="484">
                  <c:v>39.219539642333984</c:v>
                </c:pt>
                <c:pt idx="485">
                  <c:v>40.389167785644531</c:v>
                </c:pt>
                <c:pt idx="486">
                  <c:v>41.089202880859375</c:v>
                </c:pt>
                <c:pt idx="487">
                  <c:v>40.841365814208984</c:v>
                </c:pt>
                <c:pt idx="488">
                  <c:v>40.006542205810547</c:v>
                </c:pt>
                <c:pt idx="489">
                  <c:v>40.089149475097656</c:v>
                </c:pt>
                <c:pt idx="490">
                  <c:v>40.532657623291016</c:v>
                </c:pt>
                <c:pt idx="491">
                  <c:v>40.889194488525391</c:v>
                </c:pt>
                <c:pt idx="492">
                  <c:v>41.263134002685547</c:v>
                </c:pt>
                <c:pt idx="493">
                  <c:v>40.954421997070312</c:v>
                </c:pt>
                <c:pt idx="494">
                  <c:v>42.032737731933594</c:v>
                </c:pt>
                <c:pt idx="495">
                  <c:v>42.241447448730469</c:v>
                </c:pt>
                <c:pt idx="496">
                  <c:v>42.254486083984375</c:v>
                </c:pt>
                <c:pt idx="497">
                  <c:v>42.793647766113281</c:v>
                </c:pt>
                <c:pt idx="498">
                  <c:v>43.741519927978509</c:v>
                </c:pt>
                <c:pt idx="499">
                  <c:v>42.606685638427734</c:v>
                </c:pt>
                <c:pt idx="500">
                  <c:v>41.684894561767578</c:v>
                </c:pt>
                <c:pt idx="501">
                  <c:v>42.002304077148438</c:v>
                </c:pt>
                <c:pt idx="502">
                  <c:v>42.411018371582031</c:v>
                </c:pt>
                <c:pt idx="503">
                  <c:v>42.541458129882812</c:v>
                </c:pt>
                <c:pt idx="504">
                  <c:v>42.211006164550781</c:v>
                </c:pt>
                <c:pt idx="505">
                  <c:v>42.015346527099609</c:v>
                </c:pt>
                <c:pt idx="506">
                  <c:v>42.145790100097656</c:v>
                </c:pt>
                <c:pt idx="507">
                  <c:v>42.576244354248047</c:v>
                </c:pt>
                <c:pt idx="508">
                  <c:v>41.763156890869141</c:v>
                </c:pt>
                <c:pt idx="509">
                  <c:v>41.471839904785149</c:v>
                </c:pt>
                <c:pt idx="510">
                  <c:v>41.132686614990234</c:v>
                </c:pt>
                <c:pt idx="511">
                  <c:v>42.089263916015625</c:v>
                </c:pt>
                <c:pt idx="512">
                  <c:v>42.645816802978509</c:v>
                </c:pt>
                <c:pt idx="513">
                  <c:v>42.297969818115234</c:v>
                </c:pt>
                <c:pt idx="514">
                  <c:v>42.898002624511719</c:v>
                </c:pt>
                <c:pt idx="515">
                  <c:v>43.724136352539062</c:v>
                </c:pt>
                <c:pt idx="516">
                  <c:v>44.0111083984375</c:v>
                </c:pt>
                <c:pt idx="517">
                  <c:v>44.0111083984375</c:v>
                </c:pt>
                <c:pt idx="518">
                  <c:v>45.228561401367188</c:v>
                </c:pt>
                <c:pt idx="519">
                  <c:v>45.793807983398438</c:v>
                </c:pt>
                <c:pt idx="520">
                  <c:v>46.532981872558594</c:v>
                </c:pt>
                <c:pt idx="521">
                  <c:v>46.646030426025391</c:v>
                </c:pt>
                <c:pt idx="522">
                  <c:v>46.472110748291016</c:v>
                </c:pt>
                <c:pt idx="523">
                  <c:v>46.785167694091797</c:v>
                </c:pt>
                <c:pt idx="524">
                  <c:v>45.524227142333984</c:v>
                </c:pt>
                <c:pt idx="525">
                  <c:v>45.011161804199219</c:v>
                </c:pt>
                <c:pt idx="526">
                  <c:v>45.863380432128906</c:v>
                </c:pt>
                <c:pt idx="527">
                  <c:v>45.176387786865234</c:v>
                </c:pt>
                <c:pt idx="528">
                  <c:v>46.272102355957031</c:v>
                </c:pt>
                <c:pt idx="529">
                  <c:v>45.532928466796875</c:v>
                </c:pt>
                <c:pt idx="530">
                  <c:v>45.376399993896477</c:v>
                </c:pt>
                <c:pt idx="531">
                  <c:v>44.706798553466797</c:v>
                </c:pt>
                <c:pt idx="532">
                  <c:v>44.993766784667969</c:v>
                </c:pt>
                <c:pt idx="533">
                  <c:v>45.419879913330078</c:v>
                </c:pt>
                <c:pt idx="534">
                  <c:v>44.811149597167969</c:v>
                </c:pt>
                <c:pt idx="535">
                  <c:v>45.5416259765625</c:v>
                </c:pt>
                <c:pt idx="536">
                  <c:v>45.802509307861328</c:v>
                </c:pt>
                <c:pt idx="537">
                  <c:v>45.445968627929688</c:v>
                </c:pt>
                <c:pt idx="538">
                  <c:v>46.176445007324219</c:v>
                </c:pt>
                <c:pt idx="539">
                  <c:v>44.463302612304688</c:v>
                </c:pt>
                <c:pt idx="540">
                  <c:v>44.037193298339837</c:v>
                </c:pt>
                <c:pt idx="541">
                  <c:v>43.389331817626953</c:v>
                </c:pt>
                <c:pt idx="542">
                  <c:v>43.550216674804688</c:v>
                </c:pt>
                <c:pt idx="543">
                  <c:v>43.906753540039062</c:v>
                </c:pt>
                <c:pt idx="544">
                  <c:v>42.767562866210938</c:v>
                </c:pt>
                <c:pt idx="545">
                  <c:v>45.967739105224609</c:v>
                </c:pt>
                <c:pt idx="546">
                  <c:v>46.541683197021491</c:v>
                </c:pt>
                <c:pt idx="547">
                  <c:v>46.898220062255859</c:v>
                </c:pt>
                <c:pt idx="548">
                  <c:v>48.193939208984375</c:v>
                </c:pt>
                <c:pt idx="549">
                  <c:v>47.341716766357422</c:v>
                </c:pt>
                <c:pt idx="550">
                  <c:v>47.828704833984375</c:v>
                </c:pt>
                <c:pt idx="551">
                  <c:v>48.559185028076172</c:v>
                </c:pt>
                <c:pt idx="552">
                  <c:v>48.611358642578125</c:v>
                </c:pt>
                <c:pt idx="553">
                  <c:v>48.620052337646477</c:v>
                </c:pt>
                <c:pt idx="554">
                  <c:v>48.828765869140625</c:v>
                </c:pt>
                <c:pt idx="555">
                  <c:v>48.907024383544922</c:v>
                </c:pt>
                <c:pt idx="556">
                  <c:v>48.463520050048828</c:v>
                </c:pt>
                <c:pt idx="557">
                  <c:v>48.533092498779297</c:v>
                </c:pt>
                <c:pt idx="558">
                  <c:v>49.176605224609375</c:v>
                </c:pt>
                <c:pt idx="559">
                  <c:v>49.046165466308594</c:v>
                </c:pt>
                <c:pt idx="560">
                  <c:v>48.202640533447266</c:v>
                </c:pt>
                <c:pt idx="561">
                  <c:v>48.620052337646477</c:v>
                </c:pt>
                <c:pt idx="562">
                  <c:v>48.133064270019531</c:v>
                </c:pt>
                <c:pt idx="563">
                  <c:v>47.576515197753906</c:v>
                </c:pt>
                <c:pt idx="564">
                  <c:v>48.072200775146477</c:v>
                </c:pt>
                <c:pt idx="565">
                  <c:v>48.507003784179688</c:v>
                </c:pt>
                <c:pt idx="566">
                  <c:v>48.785282135009766</c:v>
                </c:pt>
                <c:pt idx="567">
                  <c:v>49.254867553710938</c:v>
                </c:pt>
                <c:pt idx="568">
                  <c:v>49.559238433837891</c:v>
                </c:pt>
                <c:pt idx="569">
                  <c:v>49.594020843505859</c:v>
                </c:pt>
                <c:pt idx="570">
                  <c:v>49.576629638671875</c:v>
                </c:pt>
                <c:pt idx="571">
                  <c:v>49.56793212890625</c:v>
                </c:pt>
                <c:pt idx="572">
                  <c:v>49.654891967773438</c:v>
                </c:pt>
                <c:pt idx="573">
                  <c:v>47.741744995117188</c:v>
                </c:pt>
                <c:pt idx="574">
                  <c:v>45.898162841796875</c:v>
                </c:pt>
                <c:pt idx="575">
                  <c:v>45.880771636962891</c:v>
                </c:pt>
                <c:pt idx="576">
                  <c:v>47.680870056152344</c:v>
                </c:pt>
                <c:pt idx="577">
                  <c:v>46.576461791992188</c:v>
                </c:pt>
                <c:pt idx="578">
                  <c:v>46.263404846191406</c:v>
                </c:pt>
                <c:pt idx="579">
                  <c:v>45.750328063964851</c:v>
                </c:pt>
                <c:pt idx="580">
                  <c:v>45.202476501464851</c:v>
                </c:pt>
                <c:pt idx="581">
                  <c:v>45.359004974365234</c:v>
                </c:pt>
                <c:pt idx="582">
                  <c:v>44.454608917236328</c:v>
                </c:pt>
                <c:pt idx="583">
                  <c:v>45.393791198730469</c:v>
                </c:pt>
                <c:pt idx="584">
                  <c:v>45.663364410400391</c:v>
                </c:pt>
                <c:pt idx="585">
                  <c:v>45.611194610595703</c:v>
                </c:pt>
                <c:pt idx="586">
                  <c:v>46.611244201660163</c:v>
                </c:pt>
                <c:pt idx="587">
                  <c:v>46.298187255859375</c:v>
                </c:pt>
                <c:pt idx="588">
                  <c:v>45.332916259765625</c:v>
                </c:pt>
                <c:pt idx="589">
                  <c:v>46.263404846191406</c:v>
                </c:pt>
                <c:pt idx="590">
                  <c:v>45.828598022460938</c:v>
                </c:pt>
                <c:pt idx="591">
                  <c:v>46.072090148925781</c:v>
                </c:pt>
                <c:pt idx="592">
                  <c:v>45.950344085693359</c:v>
                </c:pt>
                <c:pt idx="593">
                  <c:v>45.715549468994141</c:v>
                </c:pt>
                <c:pt idx="594">
                  <c:v>45.550319671630859</c:v>
                </c:pt>
                <c:pt idx="595">
                  <c:v>46.150348663330078</c:v>
                </c:pt>
                <c:pt idx="596">
                  <c:v>46.185142517089837</c:v>
                </c:pt>
                <c:pt idx="597">
                  <c:v>46.933006286621094</c:v>
                </c:pt>
                <c:pt idx="598">
                  <c:v>46.767776489257812</c:v>
                </c:pt>
                <c:pt idx="599">
                  <c:v>46.428627014160163</c:v>
                </c:pt>
                <c:pt idx="600">
                  <c:v>44.958988189697266</c:v>
                </c:pt>
                <c:pt idx="601">
                  <c:v>46.402542114257812</c:v>
                </c:pt>
                <c:pt idx="602">
                  <c:v>45.872077941894531</c:v>
                </c:pt>
                <c:pt idx="603">
                  <c:v>46.054695129394531</c:v>
                </c:pt>
                <c:pt idx="604">
                  <c:v>44.619838714599609</c:v>
                </c:pt>
                <c:pt idx="605">
                  <c:v>43.906753540039062</c:v>
                </c:pt>
                <c:pt idx="606">
                  <c:v>43.793701171875</c:v>
                </c:pt>
                <c:pt idx="607">
                  <c:v>43.567604064941406</c:v>
                </c:pt>
                <c:pt idx="608">
                  <c:v>43.576301574707031</c:v>
                </c:pt>
                <c:pt idx="609">
                  <c:v>43.445858001708984</c:v>
                </c:pt>
                <c:pt idx="610">
                  <c:v>43.793701171875</c:v>
                </c:pt>
                <c:pt idx="611">
                  <c:v>43.958927154541016</c:v>
                </c:pt>
                <c:pt idx="612">
                  <c:v>44.637226104736328</c:v>
                </c:pt>
                <c:pt idx="613">
                  <c:v>45.654678344726562</c:v>
                </c:pt>
                <c:pt idx="614">
                  <c:v>45.132904052734375</c:v>
                </c:pt>
                <c:pt idx="615">
                  <c:v>44.506782531738281</c:v>
                </c:pt>
                <c:pt idx="616">
                  <c:v>45.228561401367188</c:v>
                </c:pt>
                <c:pt idx="617">
                  <c:v>45.967739105224609</c:v>
                </c:pt>
                <c:pt idx="618">
                  <c:v>45.393791198730469</c:v>
                </c:pt>
                <c:pt idx="619">
                  <c:v>45.74163818359375</c:v>
                </c:pt>
                <c:pt idx="620">
                  <c:v>45.211174011230469</c:v>
                </c:pt>
                <c:pt idx="621">
                  <c:v>45.976432800292969</c:v>
                </c:pt>
                <c:pt idx="622">
                  <c:v>45.645984649658203</c:v>
                </c:pt>
                <c:pt idx="623">
                  <c:v>46.193828582763672</c:v>
                </c:pt>
                <c:pt idx="624">
                  <c:v>46.959091186523438</c:v>
                </c:pt>
                <c:pt idx="625">
                  <c:v>46.367755889892578</c:v>
                </c:pt>
                <c:pt idx="626">
                  <c:v>44.654621124267578</c:v>
                </c:pt>
                <c:pt idx="627">
                  <c:v>44.367645263671875</c:v>
                </c:pt>
                <c:pt idx="628">
                  <c:v>43.541511535644531</c:v>
                </c:pt>
                <c:pt idx="629">
                  <c:v>43.31976318359375</c:v>
                </c:pt>
                <c:pt idx="630">
                  <c:v>42.615375518798828</c:v>
                </c:pt>
                <c:pt idx="631">
                  <c:v>42.6632080078125</c:v>
                </c:pt>
                <c:pt idx="632">
                  <c:v>43.99371337890625</c:v>
                </c:pt>
                <c:pt idx="633">
                  <c:v>44.637226104736328</c:v>
                </c:pt>
                <c:pt idx="634">
                  <c:v>44.672008514404297</c:v>
                </c:pt>
                <c:pt idx="635">
                  <c:v>44.298080444335938</c:v>
                </c:pt>
                <c:pt idx="636">
                  <c:v>44.245903015136719</c:v>
                </c:pt>
                <c:pt idx="637">
                  <c:v>43.8284912109375</c:v>
                </c:pt>
                <c:pt idx="638">
                  <c:v>43.8284912109375</c:v>
                </c:pt>
                <c:pt idx="639">
                  <c:v>43.558906555175781</c:v>
                </c:pt>
                <c:pt idx="640">
                  <c:v>43.037139892578125</c:v>
                </c:pt>
                <c:pt idx="641">
                  <c:v>43.037139892578125</c:v>
                </c:pt>
                <c:pt idx="642">
                  <c:v>42.828437805175781</c:v>
                </c:pt>
                <c:pt idx="643">
                  <c:v>42.728420257568359</c:v>
                </c:pt>
                <c:pt idx="644">
                  <c:v>42.476242065429688</c:v>
                </c:pt>
                <c:pt idx="645">
                  <c:v>42.224048614501953</c:v>
                </c:pt>
                <c:pt idx="646">
                  <c:v>42.258834838867188</c:v>
                </c:pt>
                <c:pt idx="647">
                  <c:v>42.315361022949219</c:v>
                </c:pt>
                <c:pt idx="648">
                  <c:v>43.037139892578125</c:v>
                </c:pt>
                <c:pt idx="649">
                  <c:v>45.689464569091797</c:v>
                </c:pt>
                <c:pt idx="650">
                  <c:v>45.193778991699219</c:v>
                </c:pt>
                <c:pt idx="651">
                  <c:v>44.219814300537109</c:v>
                </c:pt>
                <c:pt idx="652">
                  <c:v>43.802398681640625</c:v>
                </c:pt>
                <c:pt idx="653">
                  <c:v>44.628532409667969</c:v>
                </c:pt>
                <c:pt idx="654">
                  <c:v>44.002407073974609</c:v>
                </c:pt>
                <c:pt idx="655">
                  <c:v>43.811100006103523</c:v>
                </c:pt>
                <c:pt idx="656">
                  <c:v>44.39373779296875</c:v>
                </c:pt>
                <c:pt idx="657">
                  <c:v>44.863327026367188</c:v>
                </c:pt>
                <c:pt idx="658">
                  <c:v>45.002464294433594</c:v>
                </c:pt>
                <c:pt idx="659">
                  <c:v>45.863380432128906</c:v>
                </c:pt>
                <c:pt idx="660">
                  <c:v>46.193828582763672</c:v>
                </c:pt>
                <c:pt idx="661">
                  <c:v>46.440814971923828</c:v>
                </c:pt>
                <c:pt idx="662">
                  <c:v>46.405529022216797</c:v>
                </c:pt>
                <c:pt idx="663">
                  <c:v>47.005336761474609</c:v>
                </c:pt>
                <c:pt idx="664">
                  <c:v>46.467277526855469</c:v>
                </c:pt>
                <c:pt idx="665">
                  <c:v>46.352603912353523</c:v>
                </c:pt>
                <c:pt idx="666">
                  <c:v>47.172931671142578</c:v>
                </c:pt>
                <c:pt idx="667">
                  <c:v>47.358158111572266</c:v>
                </c:pt>
                <c:pt idx="668">
                  <c:v>46.943592071533203</c:v>
                </c:pt>
                <c:pt idx="669">
                  <c:v>47.516933441162109</c:v>
                </c:pt>
                <c:pt idx="670">
                  <c:v>46.052703857421875</c:v>
                </c:pt>
                <c:pt idx="671">
                  <c:v>45.726337432861328</c:v>
                </c:pt>
                <c:pt idx="672">
                  <c:v>45.232379913330078</c:v>
                </c:pt>
                <c:pt idx="673">
                  <c:v>44.579654693603523</c:v>
                </c:pt>
                <c:pt idx="674">
                  <c:v>44.756065368652344</c:v>
                </c:pt>
                <c:pt idx="675">
                  <c:v>44.209186553955078</c:v>
                </c:pt>
                <c:pt idx="676">
                  <c:v>44.632572174072266</c:v>
                </c:pt>
                <c:pt idx="677">
                  <c:v>44.270927429199219</c:v>
                </c:pt>
                <c:pt idx="678">
                  <c:v>43.534400939941406</c:v>
                </c:pt>
                <c:pt idx="679">
                  <c:v>43.221271514892578</c:v>
                </c:pt>
                <c:pt idx="680">
                  <c:v>43.265373229980469</c:v>
                </c:pt>
                <c:pt idx="681">
                  <c:v>42.811111450195312</c:v>
                </c:pt>
                <c:pt idx="682">
                  <c:v>43.477069854736328</c:v>
                </c:pt>
                <c:pt idx="683">
                  <c:v>43.168350219726562</c:v>
                </c:pt>
                <c:pt idx="684">
                  <c:v>42.290687561035149</c:v>
                </c:pt>
                <c:pt idx="685">
                  <c:v>41.712936401367188</c:v>
                </c:pt>
                <c:pt idx="686">
                  <c:v>42.131916046142578</c:v>
                </c:pt>
                <c:pt idx="687">
                  <c:v>42.317146301269531</c:v>
                </c:pt>
                <c:pt idx="688">
                  <c:v>41.682064056396477</c:v>
                </c:pt>
                <c:pt idx="689">
                  <c:v>41.329231262207031</c:v>
                </c:pt>
                <c:pt idx="690">
                  <c:v>41.4615478515625</c:v>
                </c:pt>
                <c:pt idx="691">
                  <c:v>41.293952941894531</c:v>
                </c:pt>
                <c:pt idx="692">
                  <c:v>41.554161071777344</c:v>
                </c:pt>
                <c:pt idx="693">
                  <c:v>41.576213836669922</c:v>
                </c:pt>
                <c:pt idx="694">
                  <c:v>41.020511627197266</c:v>
                </c:pt>
                <c:pt idx="695">
                  <c:v>40.010547637939453</c:v>
                </c:pt>
                <c:pt idx="696">
                  <c:v>39.675361633300781</c:v>
                </c:pt>
                <c:pt idx="697">
                  <c:v>39.234329223632812</c:v>
                </c:pt>
                <c:pt idx="698">
                  <c:v>38.184665679931641</c:v>
                </c:pt>
                <c:pt idx="699">
                  <c:v>39.168170928955078</c:v>
                </c:pt>
                <c:pt idx="700">
                  <c:v>39.626846313476562</c:v>
                </c:pt>
                <c:pt idx="701">
                  <c:v>40.010547637939453</c:v>
                </c:pt>
                <c:pt idx="702">
                  <c:v>39.251964569091797</c:v>
                </c:pt>
                <c:pt idx="703">
                  <c:v>38.828578948974609</c:v>
                </c:pt>
                <c:pt idx="704">
                  <c:v>38.533084869384766</c:v>
                </c:pt>
                <c:pt idx="705">
                  <c:v>39.693000793457031</c:v>
                </c:pt>
                <c:pt idx="706">
                  <c:v>38.246406555175781</c:v>
                </c:pt>
                <c:pt idx="707">
                  <c:v>37.642196655273438</c:v>
                </c:pt>
                <c:pt idx="708">
                  <c:v>37.567218780517578</c:v>
                </c:pt>
                <c:pt idx="709">
                  <c:v>37.443729400634766</c:v>
                </c:pt>
                <c:pt idx="710">
                  <c:v>37.915637969970703</c:v>
                </c:pt>
                <c:pt idx="711">
                  <c:v>37.540760040283203</c:v>
                </c:pt>
                <c:pt idx="712">
                  <c:v>37.236446380615234</c:v>
                </c:pt>
                <c:pt idx="713">
                  <c:v>38.233180999755859</c:v>
                </c:pt>
                <c:pt idx="714">
                  <c:v>37.977382659912109</c:v>
                </c:pt>
                <c:pt idx="715">
                  <c:v>38.012664794921875</c:v>
                </c:pt>
                <c:pt idx="716">
                  <c:v>38.462516784667969</c:v>
                </c:pt>
                <c:pt idx="717">
                  <c:v>38.343441009521491</c:v>
                </c:pt>
                <c:pt idx="718">
                  <c:v>38.925601959228509</c:v>
                </c:pt>
                <c:pt idx="719">
                  <c:v>39.388687133789062</c:v>
                </c:pt>
                <c:pt idx="720">
                  <c:v>39.251964569091797</c:v>
                </c:pt>
                <c:pt idx="721">
                  <c:v>39.415149688720703</c:v>
                </c:pt>
                <c:pt idx="722">
                  <c:v>39.454845428466797</c:v>
                </c:pt>
                <c:pt idx="723">
                  <c:v>40.526554107666016</c:v>
                </c:pt>
                <c:pt idx="724">
                  <c:v>41.055789947509766</c:v>
                </c:pt>
                <c:pt idx="725">
                  <c:v>41.249847412109375</c:v>
                </c:pt>
                <c:pt idx="726">
                  <c:v>41.10430908203125</c:v>
                </c:pt>
                <c:pt idx="727">
                  <c:v>41.285129547119141</c:v>
                </c:pt>
                <c:pt idx="728">
                  <c:v>41.280723571777344</c:v>
                </c:pt>
                <c:pt idx="729">
                  <c:v>41.457138061523438</c:v>
                </c:pt>
                <c:pt idx="730">
                  <c:v>41.752628326416016</c:v>
                </c:pt>
                <c:pt idx="731">
                  <c:v>43.111011505126953</c:v>
                </c:pt>
                <c:pt idx="732">
                  <c:v>43.388858795166016</c:v>
                </c:pt>
                <c:pt idx="733">
                  <c:v>43.124237060546875</c:v>
                </c:pt>
                <c:pt idx="734">
                  <c:v>42.859619140625</c:v>
                </c:pt>
                <c:pt idx="735">
                  <c:v>42.692024230957031</c:v>
                </c:pt>
                <c:pt idx="736">
                  <c:v>42.520027160644531</c:v>
                </c:pt>
                <c:pt idx="737">
                  <c:v>42.780235290527344</c:v>
                </c:pt>
                <c:pt idx="738">
                  <c:v>43.150699615478509</c:v>
                </c:pt>
                <c:pt idx="739">
                  <c:v>43.283012390136719</c:v>
                </c:pt>
                <c:pt idx="740">
                  <c:v>43.044853210449219</c:v>
                </c:pt>
                <c:pt idx="741">
                  <c:v>43.706409454345703</c:v>
                </c:pt>
                <c:pt idx="742">
                  <c:v>43.55645751953125</c:v>
                </c:pt>
                <c:pt idx="743">
                  <c:v>43.366809844970703</c:v>
                </c:pt>
                <c:pt idx="744">
                  <c:v>41.898166656494141</c:v>
                </c:pt>
                <c:pt idx="745">
                  <c:v>41.933448791503906</c:v>
                </c:pt>
                <c:pt idx="746">
                  <c:v>42.850799560546875</c:v>
                </c:pt>
                <c:pt idx="747">
                  <c:v>43.521175384521491</c:v>
                </c:pt>
                <c:pt idx="748">
                  <c:v>42.828746795654297</c:v>
                </c:pt>
                <c:pt idx="749">
                  <c:v>43.944561004638672</c:v>
                </c:pt>
                <c:pt idx="750">
                  <c:v>43.300655364990234</c:v>
                </c:pt>
                <c:pt idx="751">
                  <c:v>42.224536895751953</c:v>
                </c:pt>
                <c:pt idx="752">
                  <c:v>43.732868194580078</c:v>
                </c:pt>
                <c:pt idx="753">
                  <c:v>44.037178039550781</c:v>
                </c:pt>
                <c:pt idx="754">
                  <c:v>42.877262115478509</c:v>
                </c:pt>
                <c:pt idx="755">
                  <c:v>41.968734741210938</c:v>
                </c:pt>
                <c:pt idx="756">
                  <c:v>40.266345977783203</c:v>
                </c:pt>
                <c:pt idx="757">
                  <c:v>40.081111907958984</c:v>
                </c:pt>
                <c:pt idx="758">
                  <c:v>40.094348907470703</c:v>
                </c:pt>
                <c:pt idx="759">
                  <c:v>40.49127197265625</c:v>
                </c:pt>
                <c:pt idx="760">
                  <c:v>38.546310424804688</c:v>
                </c:pt>
                <c:pt idx="761">
                  <c:v>37.708351135253906</c:v>
                </c:pt>
                <c:pt idx="762">
                  <c:v>38.775650024414062</c:v>
                </c:pt>
                <c:pt idx="763">
                  <c:v>38.519847869873047</c:v>
                </c:pt>
                <c:pt idx="764">
                  <c:v>39.573921203613281</c:v>
                </c:pt>
                <c:pt idx="765">
                  <c:v>39.878238677978509</c:v>
                </c:pt>
                <c:pt idx="766">
                  <c:v>40.164909362792969</c:v>
                </c:pt>
                <c:pt idx="767">
                  <c:v>39.948802947998047</c:v>
                </c:pt>
                <c:pt idx="768">
                  <c:v>39.481304168701172</c:v>
                </c:pt>
                <c:pt idx="769">
                  <c:v>40.059062957763672</c:v>
                </c:pt>
                <c:pt idx="770">
                  <c:v>40.398654937744141</c:v>
                </c:pt>
                <c:pt idx="771">
                  <c:v>40.49127197265625</c:v>
                </c:pt>
                <c:pt idx="772">
                  <c:v>41.986373901367188</c:v>
                </c:pt>
                <c:pt idx="773">
                  <c:v>41.942276000976562</c:v>
                </c:pt>
                <c:pt idx="774">
                  <c:v>41.351291656494141</c:v>
                </c:pt>
                <c:pt idx="775">
                  <c:v>42.180427551269531</c:v>
                </c:pt>
                <c:pt idx="776">
                  <c:v>42.696437835693359</c:v>
                </c:pt>
                <c:pt idx="777">
                  <c:v>42.550899505615234</c:v>
                </c:pt>
                <c:pt idx="778">
                  <c:v>42.669975280761719</c:v>
                </c:pt>
                <c:pt idx="779">
                  <c:v>42.912548065185547</c:v>
                </c:pt>
                <c:pt idx="780">
                  <c:v>42.383304595947266</c:v>
                </c:pt>
                <c:pt idx="781">
                  <c:v>42.0745849609375</c:v>
                </c:pt>
                <c:pt idx="782">
                  <c:v>42.740543365478509</c:v>
                </c:pt>
                <c:pt idx="783">
                  <c:v>42.290687561035149</c:v>
                </c:pt>
                <c:pt idx="784">
                  <c:v>41.227802276611328</c:v>
                </c:pt>
                <c:pt idx="785">
                  <c:v>41.457138061523438</c:v>
                </c:pt>
                <c:pt idx="786">
                  <c:v>41.333648681640625</c:v>
                </c:pt>
                <c:pt idx="787">
                  <c:v>42.581771850585938</c:v>
                </c:pt>
                <c:pt idx="788">
                  <c:v>43.225681304931641</c:v>
                </c:pt>
                <c:pt idx="789">
                  <c:v>43.728458404541016</c:v>
                </c:pt>
                <c:pt idx="790">
                  <c:v>43.560863494873047</c:v>
                </c:pt>
                <c:pt idx="791">
                  <c:v>43.918102264404297</c:v>
                </c:pt>
                <c:pt idx="792">
                  <c:v>43.216861724853523</c:v>
                </c:pt>
                <c:pt idx="793">
                  <c:v>42.996345520019531</c:v>
                </c:pt>
                <c:pt idx="794">
                  <c:v>42.930183410644531</c:v>
                </c:pt>
                <c:pt idx="795">
                  <c:v>42.714080810546875</c:v>
                </c:pt>
                <c:pt idx="796">
                  <c:v>42.489151000976562</c:v>
                </c:pt>
                <c:pt idx="797">
                  <c:v>43.953388214111328</c:v>
                </c:pt>
                <c:pt idx="798">
                  <c:v>43.384456634521491</c:v>
                </c:pt>
                <c:pt idx="799">
                  <c:v>42.511211395263672</c:v>
                </c:pt>
                <c:pt idx="800">
                  <c:v>38.083229064941406</c:v>
                </c:pt>
                <c:pt idx="801">
                  <c:v>36.446998596191406</c:v>
                </c:pt>
                <c:pt idx="802">
                  <c:v>35.908939361572266</c:v>
                </c:pt>
                <c:pt idx="803">
                  <c:v>35.763397216796875</c:v>
                </c:pt>
                <c:pt idx="804">
                  <c:v>36.133861541748047</c:v>
                </c:pt>
                <c:pt idx="805">
                  <c:v>36.120632171630859</c:v>
                </c:pt>
                <c:pt idx="806">
                  <c:v>36.91448974609375</c:v>
                </c:pt>
                <c:pt idx="807">
                  <c:v>36.773361206054688</c:v>
                </c:pt>
                <c:pt idx="808">
                  <c:v>36.579311370849609</c:v>
                </c:pt>
                <c:pt idx="809">
                  <c:v>36.817470550537109</c:v>
                </c:pt>
                <c:pt idx="810">
                  <c:v>36.632228851318359</c:v>
                </c:pt>
                <c:pt idx="811">
                  <c:v>36.627822875976562</c:v>
                </c:pt>
                <c:pt idx="812">
                  <c:v>36.111812591552734</c:v>
                </c:pt>
                <c:pt idx="813">
                  <c:v>36.473457336425781</c:v>
                </c:pt>
                <c:pt idx="814">
                  <c:v>36.627822875976562</c:v>
                </c:pt>
                <c:pt idx="815">
                  <c:v>36.738079071044922</c:v>
                </c:pt>
                <c:pt idx="816">
                  <c:v>37.589271545410163</c:v>
                </c:pt>
                <c:pt idx="817">
                  <c:v>38.568367004394531</c:v>
                </c:pt>
                <c:pt idx="818">
                  <c:v>39.882644653320312</c:v>
                </c:pt>
                <c:pt idx="819">
                  <c:v>39.296070098876953</c:v>
                </c:pt>
                <c:pt idx="820">
                  <c:v>39.648899078369141</c:v>
                </c:pt>
                <c:pt idx="821">
                  <c:v>40.191368103027344</c:v>
                </c:pt>
                <c:pt idx="822">
                  <c:v>39.816490173339837</c:v>
                </c:pt>
                <c:pt idx="823">
                  <c:v>40.813228607177734</c:v>
                </c:pt>
                <c:pt idx="824">
                  <c:v>40.923480987548828</c:v>
                </c:pt>
                <c:pt idx="825">
                  <c:v>41.148414611816406</c:v>
                </c:pt>
                <c:pt idx="826">
                  <c:v>41.527702331542969</c:v>
                </c:pt>
                <c:pt idx="827">
                  <c:v>41.298362731933594</c:v>
                </c:pt>
                <c:pt idx="828">
                  <c:v>41.748218536376953</c:v>
                </c:pt>
                <c:pt idx="829">
                  <c:v>43.468250274658203</c:v>
                </c:pt>
                <c:pt idx="830">
                  <c:v>44.226821899414062</c:v>
                </c:pt>
                <c:pt idx="831">
                  <c:v>43.283012390136719</c:v>
                </c:pt>
                <c:pt idx="832">
                  <c:v>43.18157958984375</c:v>
                </c:pt>
                <c:pt idx="833">
                  <c:v>42.581771850585938</c:v>
                </c:pt>
                <c:pt idx="834">
                  <c:v>41.633548736572266</c:v>
                </c:pt>
                <c:pt idx="835">
                  <c:v>41.34246826171875</c:v>
                </c:pt>
                <c:pt idx="836">
                  <c:v>41.673244476318359</c:v>
                </c:pt>
                <c:pt idx="837">
                  <c:v>42.017242431640625</c:v>
                </c:pt>
                <c:pt idx="838">
                  <c:v>42.700847625732422</c:v>
                </c:pt>
                <c:pt idx="839">
                  <c:v>42.643516540527344</c:v>
                </c:pt>
                <c:pt idx="840">
                  <c:v>42.546489715576172</c:v>
                </c:pt>
                <c:pt idx="841">
                  <c:v>43.869586944580078</c:v>
                </c:pt>
                <c:pt idx="842">
                  <c:v>43.59173583984375</c:v>
                </c:pt>
                <c:pt idx="843">
                  <c:v>43.904872894287109</c:v>
                </c:pt>
                <c:pt idx="844">
                  <c:v>43.882816314697266</c:v>
                </c:pt>
                <c:pt idx="845">
                  <c:v>44.500263214111328</c:v>
                </c:pt>
                <c:pt idx="846">
                  <c:v>44.694316864013672</c:v>
                </c:pt>
                <c:pt idx="847">
                  <c:v>45.329410552978509</c:v>
                </c:pt>
                <c:pt idx="848">
                  <c:v>45.858654022216797</c:v>
                </c:pt>
                <c:pt idx="849">
                  <c:v>46.273220062255859</c:v>
                </c:pt>
                <c:pt idx="850">
                  <c:v>46.608402252197266</c:v>
                </c:pt>
                <c:pt idx="851">
                  <c:v>45.735160827636719</c:v>
                </c:pt>
                <c:pt idx="852">
                  <c:v>45.338230133056641</c:v>
                </c:pt>
                <c:pt idx="853">
                  <c:v>45.541103363037109</c:v>
                </c:pt>
                <c:pt idx="854">
                  <c:v>48.804756164550781</c:v>
                </c:pt>
                <c:pt idx="855">
                  <c:v>49.475120544433594</c:v>
                </c:pt>
                <c:pt idx="856">
                  <c:v>48.866497039794922</c:v>
                </c:pt>
                <c:pt idx="857">
                  <c:v>49.854408264160163</c:v>
                </c:pt>
                <c:pt idx="858">
                  <c:v>52.2271728515625</c:v>
                </c:pt>
                <c:pt idx="859">
                  <c:v>52.412406921386719</c:v>
                </c:pt>
                <c:pt idx="860">
                  <c:v>51.936084747314453</c:v>
                </c:pt>
                <c:pt idx="861">
                  <c:v>51.936084747314453</c:v>
                </c:pt>
                <c:pt idx="862">
                  <c:v>54.185359954833984</c:v>
                </c:pt>
                <c:pt idx="863">
                  <c:v>54.758701324462891</c:v>
                </c:pt>
                <c:pt idx="864">
                  <c:v>56.064159393310547</c:v>
                </c:pt>
                <c:pt idx="865">
                  <c:v>56.328781127929688</c:v>
                </c:pt>
                <c:pt idx="866">
                  <c:v>53.788429260253906</c:v>
                </c:pt>
                <c:pt idx="867">
                  <c:v>53.973659515380859</c:v>
                </c:pt>
                <c:pt idx="868">
                  <c:v>53.876636505126953</c:v>
                </c:pt>
                <c:pt idx="869">
                  <c:v>54.158897399902344</c:v>
                </c:pt>
                <c:pt idx="870">
                  <c:v>52.924003601074219</c:v>
                </c:pt>
                <c:pt idx="871">
                  <c:v>53.197444915771491</c:v>
                </c:pt>
                <c:pt idx="872">
                  <c:v>51.944908142089837</c:v>
                </c:pt>
                <c:pt idx="873">
                  <c:v>53.047489166259766</c:v>
                </c:pt>
                <c:pt idx="874">
                  <c:v>53.285652160644531</c:v>
                </c:pt>
                <c:pt idx="875">
                  <c:v>53.973659515380859</c:v>
                </c:pt>
                <c:pt idx="876">
                  <c:v>53.312110900878906</c:v>
                </c:pt>
                <c:pt idx="877">
                  <c:v>53.7266845703125</c:v>
                </c:pt>
                <c:pt idx="878">
                  <c:v>53.594371795654297</c:v>
                </c:pt>
                <c:pt idx="879">
                  <c:v>53.276828765869141</c:v>
                </c:pt>
                <c:pt idx="880">
                  <c:v>52.959281921386719</c:v>
                </c:pt>
                <c:pt idx="881">
                  <c:v>54.044227600097656</c:v>
                </c:pt>
                <c:pt idx="882">
                  <c:v>54.608749389648438</c:v>
                </c:pt>
                <c:pt idx="883">
                  <c:v>55.384967803955078</c:v>
                </c:pt>
                <c:pt idx="884">
                  <c:v>53.920738220214851</c:v>
                </c:pt>
                <c:pt idx="885">
                  <c:v>55.332046508789062</c:v>
                </c:pt>
                <c:pt idx="886">
                  <c:v>56.425811767578125</c:v>
                </c:pt>
                <c:pt idx="887">
                  <c:v>54.846912384033203</c:v>
                </c:pt>
                <c:pt idx="888">
                  <c:v>55.667232513427734</c:v>
                </c:pt>
                <c:pt idx="889">
                  <c:v>56.928585052490234</c:v>
                </c:pt>
                <c:pt idx="890">
                  <c:v>58.039997100830078</c:v>
                </c:pt>
                <c:pt idx="891">
                  <c:v>57.89886474609375</c:v>
                </c:pt>
                <c:pt idx="892">
                  <c:v>57.45782470703125</c:v>
                </c:pt>
                <c:pt idx="893">
                  <c:v>57.995883941650391</c:v>
                </c:pt>
                <c:pt idx="894">
                  <c:v>55.481998443603523</c:v>
                </c:pt>
                <c:pt idx="895">
                  <c:v>53.435600280761719</c:v>
                </c:pt>
                <c:pt idx="896">
                  <c:v>54.688137054443359</c:v>
                </c:pt>
                <c:pt idx="897">
                  <c:v>54.335311889648438</c:v>
                </c:pt>
                <c:pt idx="898">
                  <c:v>52.835800170898438</c:v>
                </c:pt>
                <c:pt idx="899">
                  <c:v>53.170982360839837</c:v>
                </c:pt>
                <c:pt idx="900">
                  <c:v>53.241546630859375</c:v>
                </c:pt>
                <c:pt idx="901">
                  <c:v>55.923030853271491</c:v>
                </c:pt>
                <c:pt idx="902">
                  <c:v>54.767524719238281</c:v>
                </c:pt>
                <c:pt idx="903">
                  <c:v>53.550270080566406</c:v>
                </c:pt>
                <c:pt idx="904">
                  <c:v>53.100418090820312</c:v>
                </c:pt>
                <c:pt idx="905">
                  <c:v>53.691398620605469</c:v>
                </c:pt>
                <c:pt idx="906">
                  <c:v>53.682582855224609</c:v>
                </c:pt>
                <c:pt idx="907">
                  <c:v>54.247104644775391</c:v>
                </c:pt>
                <c:pt idx="908">
                  <c:v>55.402610778808594</c:v>
                </c:pt>
                <c:pt idx="909">
                  <c:v>55.870105743408203</c:v>
                </c:pt>
                <c:pt idx="910">
                  <c:v>56.399345397949219</c:v>
                </c:pt>
                <c:pt idx="911">
                  <c:v>56.214111328125</c:v>
                </c:pt>
                <c:pt idx="912">
                  <c:v>55.887744903564453</c:v>
                </c:pt>
                <c:pt idx="913">
                  <c:v>56.002414703369141</c:v>
                </c:pt>
                <c:pt idx="914">
                  <c:v>57.563674926757812</c:v>
                </c:pt>
                <c:pt idx="915">
                  <c:v>57.016796112060547</c:v>
                </c:pt>
                <c:pt idx="916">
                  <c:v>54.688137054443359</c:v>
                </c:pt>
                <c:pt idx="917">
                  <c:v>55.605602264404297</c:v>
                </c:pt>
                <c:pt idx="918">
                  <c:v>55.326763153076172</c:v>
                </c:pt>
                <c:pt idx="919">
                  <c:v>55.254806518554688</c:v>
                </c:pt>
                <c:pt idx="920">
                  <c:v>54.661151885986328</c:v>
                </c:pt>
                <c:pt idx="921">
                  <c:v>53.662731170654297</c:v>
                </c:pt>
                <c:pt idx="922">
                  <c:v>53.204002380371094</c:v>
                </c:pt>
                <c:pt idx="923">
                  <c:v>53.024105072021491</c:v>
                </c:pt>
                <c:pt idx="924">
                  <c:v>54.445274353027344</c:v>
                </c:pt>
                <c:pt idx="925">
                  <c:v>55.272796630859375</c:v>
                </c:pt>
                <c:pt idx="926">
                  <c:v>54.364326477050781</c:v>
                </c:pt>
                <c:pt idx="927">
                  <c:v>53.329929351806641</c:v>
                </c:pt>
                <c:pt idx="928">
                  <c:v>53.401885986328125</c:v>
                </c:pt>
                <c:pt idx="929">
                  <c:v>52.133621215820312</c:v>
                </c:pt>
                <c:pt idx="930">
                  <c:v>51.890766143798828</c:v>
                </c:pt>
                <c:pt idx="931">
                  <c:v>53.015110015869141</c:v>
                </c:pt>
                <c:pt idx="932">
                  <c:v>54.544216156005859</c:v>
                </c:pt>
                <c:pt idx="933">
                  <c:v>55.758514404296875</c:v>
                </c:pt>
                <c:pt idx="934">
                  <c:v>55.488670349121094</c:v>
                </c:pt>
                <c:pt idx="935">
                  <c:v>55.614597320556641</c:v>
                </c:pt>
                <c:pt idx="936">
                  <c:v>55.326763153076172</c:v>
                </c:pt>
                <c:pt idx="937">
                  <c:v>53.338916778564453</c:v>
                </c:pt>
                <c:pt idx="938">
                  <c:v>52.349498748779297</c:v>
                </c:pt>
                <c:pt idx="939">
                  <c:v>54.301361083984375</c:v>
                </c:pt>
                <c:pt idx="940">
                  <c:v>53.536808013916016</c:v>
                </c:pt>
                <c:pt idx="941">
                  <c:v>53.257968902587891</c:v>
                </c:pt>
                <c:pt idx="942">
                  <c:v>52.511402130126953</c:v>
                </c:pt>
                <c:pt idx="943">
                  <c:v>50.928321838378906</c:v>
                </c:pt>
                <c:pt idx="944">
                  <c:v>51.414043426513672</c:v>
                </c:pt>
                <c:pt idx="945">
                  <c:v>52.70928955078125</c:v>
                </c:pt>
                <c:pt idx="946">
                  <c:v>54.328342437744141</c:v>
                </c:pt>
                <c:pt idx="947">
                  <c:v>56.019363403320312</c:v>
                </c:pt>
                <c:pt idx="948">
                  <c:v>56.559051513671875</c:v>
                </c:pt>
                <c:pt idx="949">
                  <c:v>57.287620544433594</c:v>
                </c:pt>
                <c:pt idx="950">
                  <c:v>58.573871612548828</c:v>
                </c:pt>
                <c:pt idx="951">
                  <c:v>58.151119232177734</c:v>
                </c:pt>
                <c:pt idx="952">
                  <c:v>58.232070922851562</c:v>
                </c:pt>
                <c:pt idx="953">
                  <c:v>57.638416290283203</c:v>
                </c:pt>
                <c:pt idx="954">
                  <c:v>56.990791320800781</c:v>
                </c:pt>
                <c:pt idx="955">
                  <c:v>56.702960968017578</c:v>
                </c:pt>
                <c:pt idx="956">
                  <c:v>56.720954895019531</c:v>
                </c:pt>
                <c:pt idx="957">
                  <c:v>54.238395690917969</c:v>
                </c:pt>
                <c:pt idx="958">
                  <c:v>55.074909210205078</c:v>
                </c:pt>
                <c:pt idx="959">
                  <c:v>55.875438690185547</c:v>
                </c:pt>
                <c:pt idx="960">
                  <c:v>56.136299133300781</c:v>
                </c:pt>
                <c:pt idx="961">
                  <c:v>58.106143951416016</c:v>
                </c:pt>
                <c:pt idx="962">
                  <c:v>59.122554779052734</c:v>
                </c:pt>
                <c:pt idx="963">
                  <c:v>58.366989135742188</c:v>
                </c:pt>
                <c:pt idx="964">
                  <c:v>60.02203369140625</c:v>
                </c:pt>
                <c:pt idx="965">
                  <c:v>60.426792144775391</c:v>
                </c:pt>
                <c:pt idx="966">
                  <c:v>59.815147399902344</c:v>
                </c:pt>
                <c:pt idx="967">
                  <c:v>59.482337951660163</c:v>
                </c:pt>
                <c:pt idx="968">
                  <c:v>57.818309783935547</c:v>
                </c:pt>
                <c:pt idx="969">
                  <c:v>54.823055267333984</c:v>
                </c:pt>
                <c:pt idx="970">
                  <c:v>56.172267913818359</c:v>
                </c:pt>
                <c:pt idx="971">
                  <c:v>56.127296447753906</c:v>
                </c:pt>
                <c:pt idx="972">
                  <c:v>56.675975799560547</c:v>
                </c:pt>
                <c:pt idx="973">
                  <c:v>56.631004333496094</c:v>
                </c:pt>
                <c:pt idx="974">
                  <c:v>55.641578674316406</c:v>
                </c:pt>
                <c:pt idx="975">
                  <c:v>54.058498382568359</c:v>
                </c:pt>
                <c:pt idx="976">
                  <c:v>51.620922088623047</c:v>
                </c:pt>
                <c:pt idx="977">
                  <c:v>49.201335906982422</c:v>
                </c:pt>
                <c:pt idx="978">
                  <c:v>50.550544738769531</c:v>
                </c:pt>
                <c:pt idx="979">
                  <c:v>50.298694610595703</c:v>
                </c:pt>
                <c:pt idx="980">
                  <c:v>52.088649749755859</c:v>
                </c:pt>
                <c:pt idx="981">
                  <c:v>52.421455383300781</c:v>
                </c:pt>
                <c:pt idx="982">
                  <c:v>52.250556945800781</c:v>
                </c:pt>
                <c:pt idx="983">
                  <c:v>50.829387664794922</c:v>
                </c:pt>
                <c:pt idx="984">
                  <c:v>50.154777526855469</c:v>
                </c:pt>
                <c:pt idx="985">
                  <c:v>51.6658935546875</c:v>
                </c:pt>
                <c:pt idx="986">
                  <c:v>49.759010314941406</c:v>
                </c:pt>
                <c:pt idx="987">
                  <c:v>49.76800537109375</c:v>
                </c:pt>
                <c:pt idx="988">
                  <c:v>50.271705627441406</c:v>
                </c:pt>
                <c:pt idx="989">
                  <c:v>51.557960510253906</c:v>
                </c:pt>
                <c:pt idx="990">
                  <c:v>50.820388793945312</c:v>
                </c:pt>
                <c:pt idx="991">
                  <c:v>49.983875274658203</c:v>
                </c:pt>
                <c:pt idx="992">
                  <c:v>49.030433654785149</c:v>
                </c:pt>
                <c:pt idx="993">
                  <c:v>49.525146484375</c:v>
                </c:pt>
                <c:pt idx="994">
                  <c:v>50.091815948486328</c:v>
                </c:pt>
                <c:pt idx="995">
                  <c:v>50.658485412597656</c:v>
                </c:pt>
                <c:pt idx="996">
                  <c:v>48.949478149414062</c:v>
                </c:pt>
                <c:pt idx="997">
                  <c:v>49.471172332763672</c:v>
                </c:pt>
                <c:pt idx="998">
                  <c:v>47.762172698974609</c:v>
                </c:pt>
                <c:pt idx="999">
                  <c:v>47.933071136474609</c:v>
                </c:pt>
                <c:pt idx="1000">
                  <c:v>46.655811309814453</c:v>
                </c:pt>
                <c:pt idx="1001">
                  <c:v>48.715614318847656</c:v>
                </c:pt>
                <c:pt idx="1002">
                  <c:v>47.213493347167969</c:v>
                </c:pt>
                <c:pt idx="1003">
                  <c:v>47.006610870361328</c:v>
                </c:pt>
                <c:pt idx="1004">
                  <c:v>47.591270446777344</c:v>
                </c:pt>
                <c:pt idx="1005">
                  <c:v>48.166934967041016</c:v>
                </c:pt>
                <c:pt idx="1006">
                  <c:v>49.183345794677734</c:v>
                </c:pt>
                <c:pt idx="1007">
                  <c:v>50.919334411621094</c:v>
                </c:pt>
                <c:pt idx="1008">
                  <c:v>51.234146118164062</c:v>
                </c:pt>
                <c:pt idx="1009">
                  <c:v>51.180179595947266</c:v>
                </c:pt>
                <c:pt idx="1010">
                  <c:v>51.351078033447266</c:v>
                </c:pt>
                <c:pt idx="1011">
                  <c:v>51.818805694580078</c:v>
                </c:pt>
                <c:pt idx="1012">
                  <c:v>50.550544738769531</c:v>
                </c:pt>
                <c:pt idx="1013">
                  <c:v>50.901344299316406</c:v>
                </c:pt>
                <c:pt idx="1014">
                  <c:v>50.478584289550781</c:v>
                </c:pt>
                <c:pt idx="1015">
                  <c:v>49.048416137695312</c:v>
                </c:pt>
                <c:pt idx="1016">
                  <c:v>49.947895050048828</c:v>
                </c:pt>
                <c:pt idx="1017">
                  <c:v>49.839958190917969</c:v>
                </c:pt>
                <c:pt idx="1018">
                  <c:v>49.498161315917969</c:v>
                </c:pt>
                <c:pt idx="1019">
                  <c:v>50.622505187988281</c:v>
                </c:pt>
                <c:pt idx="1020">
                  <c:v>51.737857818603523</c:v>
                </c:pt>
                <c:pt idx="1021">
                  <c:v>54.1214599609375</c:v>
                </c:pt>
                <c:pt idx="1022">
                  <c:v>53.923580169677734</c:v>
                </c:pt>
                <c:pt idx="1023">
                  <c:v>53.177017211914062</c:v>
                </c:pt>
                <c:pt idx="1024">
                  <c:v>53.626754760742188</c:v>
                </c:pt>
                <c:pt idx="1025">
                  <c:v>54.589191436767578</c:v>
                </c:pt>
                <c:pt idx="1026">
                  <c:v>56.990791320800781</c:v>
                </c:pt>
                <c:pt idx="1027">
                  <c:v>57.197677612304688</c:v>
                </c:pt>
                <c:pt idx="1028">
                  <c:v>56.873863220214851</c:v>
                </c:pt>
                <c:pt idx="1029">
                  <c:v>57.575458526611328</c:v>
                </c:pt>
                <c:pt idx="1030">
                  <c:v>58.106143951416016</c:v>
                </c:pt>
                <c:pt idx="1031">
                  <c:v>59.455360412597656</c:v>
                </c:pt>
                <c:pt idx="1032">
                  <c:v>58.825725555419922</c:v>
                </c:pt>
                <c:pt idx="1033">
                  <c:v>59.383396148681641</c:v>
                </c:pt>
                <c:pt idx="1034">
                  <c:v>59.860126495361328</c:v>
                </c:pt>
                <c:pt idx="1035">
                  <c:v>57.620426177978509</c:v>
                </c:pt>
                <c:pt idx="1036">
                  <c:v>57.143703460693359</c:v>
                </c:pt>
                <c:pt idx="1037">
                  <c:v>57.080741882324219</c:v>
                </c:pt>
                <c:pt idx="1038">
                  <c:v>59.518321990966797</c:v>
                </c:pt>
                <c:pt idx="1039">
                  <c:v>59.167522430419922</c:v>
                </c:pt>
                <c:pt idx="1040">
                  <c:v>59.248481750488281</c:v>
                </c:pt>
                <c:pt idx="1041">
                  <c:v>59.743186950683594</c:v>
                </c:pt>
                <c:pt idx="1042">
                  <c:v>59.842136383056641</c:v>
                </c:pt>
                <c:pt idx="1043">
                  <c:v>58.996623992919922</c:v>
                </c:pt>
                <c:pt idx="1044">
                  <c:v>60.309860229492188</c:v>
                </c:pt>
                <c:pt idx="1045">
                  <c:v>61.299282073974609</c:v>
                </c:pt>
                <c:pt idx="1046">
                  <c:v>61.119380950927734</c:v>
                </c:pt>
                <c:pt idx="1047">
                  <c:v>61.560138702392578</c:v>
                </c:pt>
                <c:pt idx="1048">
                  <c:v>60.489761352539062</c:v>
                </c:pt>
                <c:pt idx="1049">
                  <c:v>60.444782257080078</c:v>
                </c:pt>
                <c:pt idx="1050">
                  <c:v>57.260639190673828</c:v>
                </c:pt>
                <c:pt idx="1051">
                  <c:v>57.575458526611328</c:v>
                </c:pt>
                <c:pt idx="1052">
                  <c:v>59.266471862792969</c:v>
                </c:pt>
                <c:pt idx="1053">
                  <c:v>58.205085754394531</c:v>
                </c:pt>
                <c:pt idx="1054">
                  <c:v>57.107723236083984</c:v>
                </c:pt>
                <c:pt idx="1055">
                  <c:v>57.728366851806641</c:v>
                </c:pt>
                <c:pt idx="1056">
                  <c:v>56.019363403320312</c:v>
                </c:pt>
                <c:pt idx="1057">
                  <c:v>55.137870788574219</c:v>
                </c:pt>
                <c:pt idx="1058">
                  <c:v>56.792911529541016</c:v>
                </c:pt>
                <c:pt idx="1059">
                  <c:v>57.917251586914062</c:v>
                </c:pt>
                <c:pt idx="1060">
                  <c:v>58.582862854003906</c:v>
                </c:pt>
                <c:pt idx="1061">
                  <c:v>56.900840759277344</c:v>
                </c:pt>
                <c:pt idx="1062">
                  <c:v>55.695549011230469</c:v>
                </c:pt>
                <c:pt idx="1063">
                  <c:v>55.677558898925781</c:v>
                </c:pt>
                <c:pt idx="1064">
                  <c:v>56.289203643798828</c:v>
                </c:pt>
                <c:pt idx="1065">
                  <c:v>55.902431488037109</c:v>
                </c:pt>
                <c:pt idx="1066">
                  <c:v>55.506656646728509</c:v>
                </c:pt>
                <c:pt idx="1067">
                  <c:v>56.711956024169922</c:v>
                </c:pt>
                <c:pt idx="1068">
                  <c:v>56.289203643798828</c:v>
                </c:pt>
                <c:pt idx="1069">
                  <c:v>54.742107391357422</c:v>
                </c:pt>
                <c:pt idx="1070">
                  <c:v>55.848461151123047</c:v>
                </c:pt>
                <c:pt idx="1071">
                  <c:v>55.110893249511719</c:v>
                </c:pt>
                <c:pt idx="1072">
                  <c:v>54.004531860351562</c:v>
                </c:pt>
                <c:pt idx="1073">
                  <c:v>52.853202819824219</c:v>
                </c:pt>
                <c:pt idx="1074">
                  <c:v>52.268547058105469</c:v>
                </c:pt>
                <c:pt idx="1075">
                  <c:v>53.069084167480469</c:v>
                </c:pt>
                <c:pt idx="1076">
                  <c:v>53.509822845458984</c:v>
                </c:pt>
                <c:pt idx="1077">
                  <c:v>52.178596496582031</c:v>
                </c:pt>
                <c:pt idx="1078">
                  <c:v>50.505573272705078</c:v>
                </c:pt>
                <c:pt idx="1079">
                  <c:v>50.235729217529297</c:v>
                </c:pt>
                <c:pt idx="1080">
                  <c:v>51.018276214599609</c:v>
                </c:pt>
                <c:pt idx="1081">
                  <c:v>48.895511627197266</c:v>
                </c:pt>
                <c:pt idx="1082">
                  <c:v>49.947895050048828</c:v>
                </c:pt>
                <c:pt idx="1083">
                  <c:v>51.225151062011719</c:v>
                </c:pt>
                <c:pt idx="1084">
                  <c:v>51.557960510253906</c:v>
                </c:pt>
                <c:pt idx="1085">
                  <c:v>51.647907257080078</c:v>
                </c:pt>
                <c:pt idx="1086">
                  <c:v>49.884937286376953</c:v>
                </c:pt>
                <c:pt idx="1087">
                  <c:v>49.489162445068359</c:v>
                </c:pt>
                <c:pt idx="1088">
                  <c:v>52.007698059082031</c:v>
                </c:pt>
                <c:pt idx="1089">
                  <c:v>52.034675598144531</c:v>
                </c:pt>
                <c:pt idx="1090">
                  <c:v>49.785987854003906</c:v>
                </c:pt>
                <c:pt idx="1091">
                  <c:v>48.481754302978509</c:v>
                </c:pt>
                <c:pt idx="1092">
                  <c:v>48.400794982910163</c:v>
                </c:pt>
                <c:pt idx="1093">
                  <c:v>48.625667572021491</c:v>
                </c:pt>
                <c:pt idx="1094">
                  <c:v>45.990203857421875</c:v>
                </c:pt>
                <c:pt idx="1095">
                  <c:v>46.071155548095703</c:v>
                </c:pt>
                <c:pt idx="1096">
                  <c:v>47.105552673339837</c:v>
                </c:pt>
                <c:pt idx="1097">
                  <c:v>44.937816619873047</c:v>
                </c:pt>
                <c:pt idx="1098">
                  <c:v>46.152107238769531</c:v>
                </c:pt>
                <c:pt idx="1099">
                  <c:v>48.014026641845703</c:v>
                </c:pt>
                <c:pt idx="1100">
                  <c:v>48.373813629150391</c:v>
                </c:pt>
                <c:pt idx="1101">
                  <c:v>49.516147613525391</c:v>
                </c:pt>
                <c:pt idx="1102">
                  <c:v>50.235729217529297</c:v>
                </c:pt>
                <c:pt idx="1103">
                  <c:v>49.696044921875</c:v>
                </c:pt>
                <c:pt idx="1104">
                  <c:v>50.505573272705078</c:v>
                </c:pt>
                <c:pt idx="1105">
                  <c:v>49.839958190917969</c:v>
                </c:pt>
                <c:pt idx="1106">
                  <c:v>49.426200866699219</c:v>
                </c:pt>
                <c:pt idx="1107">
                  <c:v>51.602931976318359</c:v>
                </c:pt>
                <c:pt idx="1108">
                  <c:v>51.728855133056641</c:v>
                </c:pt>
                <c:pt idx="1109">
                  <c:v>53.770671844482422</c:v>
                </c:pt>
                <c:pt idx="1110">
                  <c:v>54.688133239746094</c:v>
                </c:pt>
                <c:pt idx="1111">
                  <c:v>54.454269409179688</c:v>
                </c:pt>
                <c:pt idx="1112">
                  <c:v>54.661151885986328</c:v>
                </c:pt>
                <c:pt idx="1113">
                  <c:v>55.857452392578125</c:v>
                </c:pt>
                <c:pt idx="1114">
                  <c:v>55.299777984619141</c:v>
                </c:pt>
                <c:pt idx="1115">
                  <c:v>54.517234802246094</c:v>
                </c:pt>
                <c:pt idx="1116">
                  <c:v>54.544216156005859</c:v>
                </c:pt>
                <c:pt idx="1117">
                  <c:v>52.385482788085938</c:v>
                </c:pt>
                <c:pt idx="1118">
                  <c:v>54.085491180419922</c:v>
                </c:pt>
                <c:pt idx="1119">
                  <c:v>54.33734130859375</c:v>
                </c:pt>
                <c:pt idx="1120">
                  <c:v>54.229400634765625</c:v>
                </c:pt>
                <c:pt idx="1121">
                  <c:v>54.670146942138672</c:v>
                </c:pt>
                <c:pt idx="1122">
                  <c:v>53.545795440673828</c:v>
                </c:pt>
                <c:pt idx="1123">
                  <c:v>54.508243560791016</c:v>
                </c:pt>
                <c:pt idx="1124">
                  <c:v>54.760093688964851</c:v>
                </c:pt>
                <c:pt idx="1125">
                  <c:v>55.092899322509766</c:v>
                </c:pt>
                <c:pt idx="1126">
                  <c:v>55.164863586425781</c:v>
                </c:pt>
                <c:pt idx="1127">
                  <c:v>53.761676788330078</c:v>
                </c:pt>
                <c:pt idx="1128">
                  <c:v>54.013526916503906</c:v>
                </c:pt>
                <c:pt idx="1129">
                  <c:v>53.932575225830078</c:v>
                </c:pt>
                <c:pt idx="1130">
                  <c:v>52.484416961669922</c:v>
                </c:pt>
                <c:pt idx="1131">
                  <c:v>51.252140045166016</c:v>
                </c:pt>
                <c:pt idx="1132">
                  <c:v>51.557960510253906</c:v>
                </c:pt>
                <c:pt idx="1133">
                  <c:v>50.757427215576172</c:v>
                </c:pt>
                <c:pt idx="1134">
                  <c:v>50.784408569335938</c:v>
                </c:pt>
                <c:pt idx="1135">
                  <c:v>51.036266326904297</c:v>
                </c:pt>
                <c:pt idx="1136">
                  <c:v>51.728855133056641</c:v>
                </c:pt>
                <c:pt idx="1137">
                  <c:v>50.685470581054688</c:v>
                </c:pt>
                <c:pt idx="1138">
                  <c:v>50.433612823486328</c:v>
                </c:pt>
                <c:pt idx="1139">
                  <c:v>51.818805694580078</c:v>
                </c:pt>
                <c:pt idx="1140">
                  <c:v>51.1531982421875</c:v>
                </c:pt>
                <c:pt idx="1141">
                  <c:v>50.892349243164062</c:v>
                </c:pt>
                <c:pt idx="1142">
                  <c:v>51.126209259033203</c:v>
                </c:pt>
                <c:pt idx="1143">
                  <c:v>51.611927032470703</c:v>
                </c:pt>
                <c:pt idx="1144">
                  <c:v>51.683883666992188</c:v>
                </c:pt>
                <c:pt idx="1145">
                  <c:v>52.331512451171875</c:v>
                </c:pt>
                <c:pt idx="1146">
                  <c:v>52.322509765625</c:v>
                </c:pt>
                <c:pt idx="1147">
                  <c:v>52.745265960693359</c:v>
                </c:pt>
                <c:pt idx="1148">
                  <c:v>52.376483917236328</c:v>
                </c:pt>
                <c:pt idx="1149">
                  <c:v>52.583362579345703</c:v>
                </c:pt>
                <c:pt idx="1150">
                  <c:v>50.163772583007812</c:v>
                </c:pt>
                <c:pt idx="1151">
                  <c:v>49.120380401611328</c:v>
                </c:pt>
                <c:pt idx="1152">
                  <c:v>49.986499786376953</c:v>
                </c:pt>
                <c:pt idx="1153">
                  <c:v>49.350734710693359</c:v>
                </c:pt>
                <c:pt idx="1154">
                  <c:v>49.065093994140625</c:v>
                </c:pt>
                <c:pt idx="1155">
                  <c:v>49.774581909179688</c:v>
                </c:pt>
                <c:pt idx="1156">
                  <c:v>49.783790588378906</c:v>
                </c:pt>
                <c:pt idx="1157">
                  <c:v>50.106288909912109</c:v>
                </c:pt>
                <c:pt idx="1158">
                  <c:v>51.184341430664062</c:v>
                </c:pt>
                <c:pt idx="1159">
                  <c:v>51.129051208496094</c:v>
                </c:pt>
                <c:pt idx="1160">
                  <c:v>50.889484405517578</c:v>
                </c:pt>
                <c:pt idx="1161">
                  <c:v>50.806560516357422</c:v>
                </c:pt>
                <c:pt idx="1162">
                  <c:v>50.557777404785149</c:v>
                </c:pt>
                <c:pt idx="1163">
                  <c:v>49.922004699707031</c:v>
                </c:pt>
                <c:pt idx="1164">
                  <c:v>49.028232574462891</c:v>
                </c:pt>
                <c:pt idx="1165">
                  <c:v>49.138809204101562</c:v>
                </c:pt>
                <c:pt idx="1166">
                  <c:v>50.133930206298828</c:v>
                </c:pt>
                <c:pt idx="1167">
                  <c:v>50.253715515136719</c:v>
                </c:pt>
                <c:pt idx="1168">
                  <c:v>51.598972320556641</c:v>
                </c:pt>
                <c:pt idx="1169">
                  <c:v>51.663471221923828</c:v>
                </c:pt>
                <c:pt idx="1170">
                  <c:v>51.598972320556641</c:v>
                </c:pt>
                <c:pt idx="1171">
                  <c:v>51.617401123046875</c:v>
                </c:pt>
                <c:pt idx="1172">
                  <c:v>51.875396728515625</c:v>
                </c:pt>
                <c:pt idx="1173">
                  <c:v>51.617401123046875</c:v>
                </c:pt>
                <c:pt idx="1174">
                  <c:v>51.543685913085938</c:v>
                </c:pt>
                <c:pt idx="1175">
                  <c:v>50.953983306884766</c:v>
                </c:pt>
                <c:pt idx="1176">
                  <c:v>49.157234191894531</c:v>
                </c:pt>
                <c:pt idx="1177">
                  <c:v>48.862380981445312</c:v>
                </c:pt>
                <c:pt idx="1178">
                  <c:v>49.304660797119141</c:v>
                </c:pt>
                <c:pt idx="1179">
                  <c:v>49.396800994873047</c:v>
                </c:pt>
                <c:pt idx="1180">
                  <c:v>49.203304290771491</c:v>
                </c:pt>
                <c:pt idx="1181">
                  <c:v>48.521461486816406</c:v>
                </c:pt>
                <c:pt idx="1182">
                  <c:v>47.240703582763672</c:v>
                </c:pt>
                <c:pt idx="1183">
                  <c:v>46.973491668701172</c:v>
                </c:pt>
                <c:pt idx="1184">
                  <c:v>47.609264373779297</c:v>
                </c:pt>
                <c:pt idx="1185">
                  <c:v>46.521999359130859</c:v>
                </c:pt>
                <c:pt idx="1186">
                  <c:v>46.835281372070312</c:v>
                </c:pt>
                <c:pt idx="1187">
                  <c:v>49.120376586914062</c:v>
                </c:pt>
                <c:pt idx="1188">
                  <c:v>50.087863922119141</c:v>
                </c:pt>
                <c:pt idx="1189">
                  <c:v>50.170787811279297</c:v>
                </c:pt>
                <c:pt idx="1190">
                  <c:v>51.165908813476562</c:v>
                </c:pt>
                <c:pt idx="1191">
                  <c:v>48.014686584472656</c:v>
                </c:pt>
                <c:pt idx="1192">
                  <c:v>45.996795654296875</c:v>
                </c:pt>
                <c:pt idx="1193">
                  <c:v>47.093276977539062</c:v>
                </c:pt>
                <c:pt idx="1194">
                  <c:v>47.848834991455078</c:v>
                </c:pt>
                <c:pt idx="1195">
                  <c:v>47.66455078125</c:v>
                </c:pt>
                <c:pt idx="1196">
                  <c:v>47.434196472167969</c:v>
                </c:pt>
                <c:pt idx="1197">
                  <c:v>47.259132385253906</c:v>
                </c:pt>
                <c:pt idx="1198">
                  <c:v>45.858589172363281</c:v>
                </c:pt>
                <c:pt idx="1199">
                  <c:v>44.660755157470703</c:v>
                </c:pt>
                <c:pt idx="1200">
                  <c:v>45.195171356201172</c:v>
                </c:pt>
                <c:pt idx="1201">
                  <c:v>45.176738739013672</c:v>
                </c:pt>
                <c:pt idx="1202">
                  <c:v>46.254791259765625</c:v>
                </c:pt>
                <c:pt idx="1203">
                  <c:v>48.106826782226562</c:v>
                </c:pt>
                <c:pt idx="1204">
                  <c:v>48.945308685302734</c:v>
                </c:pt>
                <c:pt idx="1205">
                  <c:v>49.184879302978509</c:v>
                </c:pt>
                <c:pt idx="1206">
                  <c:v>48.475391387939453</c:v>
                </c:pt>
                <c:pt idx="1207">
                  <c:v>48.097610473632812</c:v>
                </c:pt>
                <c:pt idx="1208">
                  <c:v>48.162113189697266</c:v>
                </c:pt>
                <c:pt idx="1209">
                  <c:v>48.761028289794922</c:v>
                </c:pt>
                <c:pt idx="1210">
                  <c:v>47.922542572021491</c:v>
                </c:pt>
                <c:pt idx="1211">
                  <c:v>47.360481262207031</c:v>
                </c:pt>
                <c:pt idx="1212">
                  <c:v>47.065635681152344</c:v>
                </c:pt>
                <c:pt idx="1213">
                  <c:v>47.636909484863281</c:v>
                </c:pt>
                <c:pt idx="1214">
                  <c:v>49.756153106689453</c:v>
                </c:pt>
                <c:pt idx="1215">
                  <c:v>49.359947204589837</c:v>
                </c:pt>
                <c:pt idx="1216">
                  <c:v>48.493820190429688</c:v>
                </c:pt>
                <c:pt idx="1217">
                  <c:v>48.143680572509766</c:v>
                </c:pt>
                <c:pt idx="1218">
                  <c:v>47.231483459472656</c:v>
                </c:pt>
                <c:pt idx="1219">
                  <c:v>46.494358062744141</c:v>
                </c:pt>
                <c:pt idx="1220">
                  <c:v>46.62335205078125</c:v>
                </c:pt>
                <c:pt idx="1221">
                  <c:v>46.991920471191406</c:v>
                </c:pt>
                <c:pt idx="1222">
                  <c:v>46.3837890625</c:v>
                </c:pt>
                <c:pt idx="1223">
                  <c:v>47.084060668945312</c:v>
                </c:pt>
                <c:pt idx="1224">
                  <c:v>47.176204681396477</c:v>
                </c:pt>
                <c:pt idx="1225">
                  <c:v>47.765903472900391</c:v>
                </c:pt>
                <c:pt idx="1226">
                  <c:v>47.940971374511719</c:v>
                </c:pt>
                <c:pt idx="1227">
                  <c:v>48.17132568359375</c:v>
                </c:pt>
                <c:pt idx="1228">
                  <c:v>47.443412780761719</c:v>
                </c:pt>
                <c:pt idx="1229">
                  <c:v>46.706283569335938</c:v>
                </c:pt>
                <c:pt idx="1230">
                  <c:v>46.070510864257812</c:v>
                </c:pt>
                <c:pt idx="1231">
                  <c:v>45.941516876220703</c:v>
                </c:pt>
                <c:pt idx="1232">
                  <c:v>46.047473907470703</c:v>
                </c:pt>
                <c:pt idx="1233">
                  <c:v>46.62335205078125</c:v>
                </c:pt>
                <c:pt idx="1234">
                  <c:v>47.185413360595703</c:v>
                </c:pt>
                <c:pt idx="1235">
                  <c:v>46.577285766601562</c:v>
                </c:pt>
                <c:pt idx="1236">
                  <c:v>47.028778076171875</c:v>
                </c:pt>
                <c:pt idx="1237">
                  <c:v>47.268341064453125</c:v>
                </c:pt>
                <c:pt idx="1238">
                  <c:v>47.3973388671875</c:v>
                </c:pt>
                <c:pt idx="1239">
                  <c:v>48.1805419921875</c:v>
                </c:pt>
                <c:pt idx="1240">
                  <c:v>47.775115966796875</c:v>
                </c:pt>
                <c:pt idx="1241">
                  <c:v>49.009803771972656</c:v>
                </c:pt>
                <c:pt idx="1242">
                  <c:v>49.627155303955078</c:v>
                </c:pt>
                <c:pt idx="1243">
                  <c:v>50.124713897705078</c:v>
                </c:pt>
                <c:pt idx="1244">
                  <c:v>50.447212219238281</c:v>
                </c:pt>
                <c:pt idx="1245">
                  <c:v>51.138271331787109</c:v>
                </c:pt>
                <c:pt idx="1246">
                  <c:v>51.258049011230469</c:v>
                </c:pt>
                <c:pt idx="1247">
                  <c:v>50.21685791015625</c:v>
                </c:pt>
                <c:pt idx="1248">
                  <c:v>49.590297698974609</c:v>
                </c:pt>
                <c:pt idx="1249">
                  <c:v>48.890026092529297</c:v>
                </c:pt>
                <c:pt idx="1250">
                  <c:v>48.659671783447266</c:v>
                </c:pt>
                <c:pt idx="1251">
                  <c:v>48.447750091552734</c:v>
                </c:pt>
                <c:pt idx="1252">
                  <c:v>48.668888092041016</c:v>
                </c:pt>
                <c:pt idx="1253">
                  <c:v>48.346397399902344</c:v>
                </c:pt>
                <c:pt idx="1254">
                  <c:v>48.512248992919922</c:v>
                </c:pt>
                <c:pt idx="1255">
                  <c:v>49.498157501220703</c:v>
                </c:pt>
                <c:pt idx="1256">
                  <c:v>49.581081390380859</c:v>
                </c:pt>
                <c:pt idx="1257">
                  <c:v>48.364822387695312</c:v>
                </c:pt>
                <c:pt idx="1258">
                  <c:v>48.042331695556641</c:v>
                </c:pt>
                <c:pt idx="1259">
                  <c:v>48.567531585693359</c:v>
                </c:pt>
                <c:pt idx="1260">
                  <c:v>49.111164093017578</c:v>
                </c:pt>
                <c:pt idx="1261">
                  <c:v>49.608726501464851</c:v>
                </c:pt>
                <c:pt idx="1262">
                  <c:v>49.516590118408203</c:v>
                </c:pt>
                <c:pt idx="1263">
                  <c:v>50.539348602294922</c:v>
                </c:pt>
                <c:pt idx="1264">
                  <c:v>50.751274108886719</c:v>
                </c:pt>
                <c:pt idx="1265">
                  <c:v>50.152355194091797</c:v>
                </c:pt>
                <c:pt idx="1266">
                  <c:v>49.599514007568359</c:v>
                </c:pt>
                <c:pt idx="1267">
                  <c:v>50.060218811035149</c:v>
                </c:pt>
                <c:pt idx="1268">
                  <c:v>48.862380981445312</c:v>
                </c:pt>
                <c:pt idx="1269">
                  <c:v>48.355606079101562</c:v>
                </c:pt>
                <c:pt idx="1270">
                  <c:v>48.300323486328125</c:v>
                </c:pt>
                <c:pt idx="1271">
                  <c:v>48.466175079345703</c:v>
                </c:pt>
                <c:pt idx="1272">
                  <c:v>48.567531585693359</c:v>
                </c:pt>
                <c:pt idx="1273">
                  <c:v>49.415225982666016</c:v>
                </c:pt>
                <c:pt idx="1274">
                  <c:v>49.875934600830078</c:v>
                </c:pt>
                <c:pt idx="1275">
                  <c:v>50.004932403564453</c:v>
                </c:pt>
                <c:pt idx="1276">
                  <c:v>49.995716094970703</c:v>
                </c:pt>
                <c:pt idx="1277">
                  <c:v>50.520923614501953</c:v>
                </c:pt>
                <c:pt idx="1278">
                  <c:v>49.194087982177734</c:v>
                </c:pt>
                <c:pt idx="1279">
                  <c:v>51.046123504638672</c:v>
                </c:pt>
                <c:pt idx="1280">
                  <c:v>51.092201232910163</c:v>
                </c:pt>
                <c:pt idx="1281">
                  <c:v>50.677558898925781</c:v>
                </c:pt>
                <c:pt idx="1282">
                  <c:v>49.894367218017578</c:v>
                </c:pt>
                <c:pt idx="1283">
                  <c:v>49.129592895507812</c:v>
                </c:pt>
                <c:pt idx="1284">
                  <c:v>48.456962585449219</c:v>
                </c:pt>
                <c:pt idx="1285">
                  <c:v>47.987045288085938</c:v>
                </c:pt>
                <c:pt idx="1286">
                  <c:v>47.839614868164062</c:v>
                </c:pt>
                <c:pt idx="1287">
                  <c:v>48.972957611083984</c:v>
                </c:pt>
                <c:pt idx="1288">
                  <c:v>48.668888092041016</c:v>
                </c:pt>
                <c:pt idx="1289">
                  <c:v>49.995716094970703</c:v>
                </c:pt>
                <c:pt idx="1290">
                  <c:v>51.000053405761719</c:v>
                </c:pt>
                <c:pt idx="1291">
                  <c:v>50.4564208984375</c:v>
                </c:pt>
                <c:pt idx="1292">
                  <c:v>51.939895629882812</c:v>
                </c:pt>
                <c:pt idx="1293">
                  <c:v>52.032035827636719</c:v>
                </c:pt>
                <c:pt idx="1294">
                  <c:v>50.511707305908203</c:v>
                </c:pt>
                <c:pt idx="1295">
                  <c:v>51.165908813476562</c:v>
                </c:pt>
                <c:pt idx="1296">
                  <c:v>50.898704528808594</c:v>
                </c:pt>
                <c:pt idx="1297">
                  <c:v>53.146942138671875</c:v>
                </c:pt>
                <c:pt idx="1298">
                  <c:v>53.810356140136719</c:v>
                </c:pt>
                <c:pt idx="1299">
                  <c:v>55.081901550292969</c:v>
                </c:pt>
                <c:pt idx="1300">
                  <c:v>55.321468353271491</c:v>
                </c:pt>
                <c:pt idx="1301">
                  <c:v>55.570247650146477</c:v>
                </c:pt>
                <c:pt idx="1302">
                  <c:v>55.330680847167969</c:v>
                </c:pt>
                <c:pt idx="1303">
                  <c:v>55.680816650390625</c:v>
                </c:pt>
                <c:pt idx="1304">
                  <c:v>55.533397674560547</c:v>
                </c:pt>
                <c:pt idx="1305">
                  <c:v>55.330680847167969</c:v>
                </c:pt>
                <c:pt idx="1306">
                  <c:v>54.353984832763672</c:v>
                </c:pt>
                <c:pt idx="1307">
                  <c:v>55.174045562744141</c:v>
                </c:pt>
                <c:pt idx="1308">
                  <c:v>54.731765747070312</c:v>
                </c:pt>
                <c:pt idx="1309">
                  <c:v>53.976211547851562</c:v>
                </c:pt>
                <c:pt idx="1310">
                  <c:v>54.658054351806641</c:v>
                </c:pt>
                <c:pt idx="1311">
                  <c:v>54.897617340087891</c:v>
                </c:pt>
                <c:pt idx="1312">
                  <c:v>55.699245452880859</c:v>
                </c:pt>
                <c:pt idx="1313">
                  <c:v>57.910629272460938</c:v>
                </c:pt>
                <c:pt idx="1314">
                  <c:v>57.495994567871094</c:v>
                </c:pt>
                <c:pt idx="1315">
                  <c:v>59.062397003173828</c:v>
                </c:pt>
                <c:pt idx="1316">
                  <c:v>59.1361083984375</c:v>
                </c:pt>
                <c:pt idx="1317">
                  <c:v>58.279193878173828</c:v>
                </c:pt>
                <c:pt idx="1318">
                  <c:v>58.822830200195312</c:v>
                </c:pt>
                <c:pt idx="1319">
                  <c:v>58.048843383789062</c:v>
                </c:pt>
                <c:pt idx="1320">
                  <c:v>57.790851593017578</c:v>
                </c:pt>
                <c:pt idx="1321">
                  <c:v>57.956707000732422</c:v>
                </c:pt>
                <c:pt idx="1322">
                  <c:v>57.975128173828125</c:v>
                </c:pt>
                <c:pt idx="1323">
                  <c:v>57.790851593017578</c:v>
                </c:pt>
                <c:pt idx="1324">
                  <c:v>57.459144592285149</c:v>
                </c:pt>
                <c:pt idx="1325">
                  <c:v>57.901416778564453</c:v>
                </c:pt>
                <c:pt idx="1326">
                  <c:v>57.882987976074219</c:v>
                </c:pt>
                <c:pt idx="1327">
                  <c:v>58.509552001953125</c:v>
                </c:pt>
                <c:pt idx="1328">
                  <c:v>58.417407989501953</c:v>
                </c:pt>
                <c:pt idx="1329">
                  <c:v>59.523097991943359</c:v>
                </c:pt>
                <c:pt idx="1330">
                  <c:v>60.020664215087891</c:v>
                </c:pt>
                <c:pt idx="1331">
                  <c:v>60.149662017822266</c:v>
                </c:pt>
                <c:pt idx="1332">
                  <c:v>60.075939178466797</c:v>
                </c:pt>
                <c:pt idx="1333">
                  <c:v>60.315509796142578</c:v>
                </c:pt>
                <c:pt idx="1334">
                  <c:v>59.606033325195312</c:v>
                </c:pt>
                <c:pt idx="1335">
                  <c:v>60.481369018554688</c:v>
                </c:pt>
                <c:pt idx="1336">
                  <c:v>60.057518005371094</c:v>
                </c:pt>
                <c:pt idx="1337">
                  <c:v>60.214157104492188</c:v>
                </c:pt>
                <c:pt idx="1338">
                  <c:v>59.744232177734375</c:v>
                </c:pt>
                <c:pt idx="1339">
                  <c:v>60.333946228027344</c:v>
                </c:pt>
                <c:pt idx="1340">
                  <c:v>60.204940795898438</c:v>
                </c:pt>
                <c:pt idx="1341">
                  <c:v>60.306293487548828</c:v>
                </c:pt>
                <c:pt idx="1342">
                  <c:v>60.407649993896477</c:v>
                </c:pt>
                <c:pt idx="1343">
                  <c:v>60.251010894775391</c:v>
                </c:pt>
                <c:pt idx="1344">
                  <c:v>59.808742523193359</c:v>
                </c:pt>
                <c:pt idx="1345">
                  <c:v>59.587596893310547</c:v>
                </c:pt>
                <c:pt idx="1346">
                  <c:v>58.316055297851562</c:v>
                </c:pt>
                <c:pt idx="1347">
                  <c:v>57.827705383300781</c:v>
                </c:pt>
                <c:pt idx="1348">
                  <c:v>58.140983581542969</c:v>
                </c:pt>
                <c:pt idx="1349">
                  <c:v>57.901416778564453</c:v>
                </c:pt>
                <c:pt idx="1350">
                  <c:v>58.104129791259766</c:v>
                </c:pt>
                <c:pt idx="1351">
                  <c:v>58.150199890136719</c:v>
                </c:pt>
                <c:pt idx="1352">
                  <c:v>57.938278198242188</c:v>
                </c:pt>
                <c:pt idx="1353">
                  <c:v>57.836917877197266</c:v>
                </c:pt>
                <c:pt idx="1354">
                  <c:v>58.970252990722656</c:v>
                </c:pt>
                <c:pt idx="1355">
                  <c:v>59.329601287841797</c:v>
                </c:pt>
                <c:pt idx="1356">
                  <c:v>60.674861907958984</c:v>
                </c:pt>
                <c:pt idx="1357">
                  <c:v>61.006568908691406</c:v>
                </c:pt>
                <c:pt idx="1358">
                  <c:v>61.107925415039062</c:v>
                </c:pt>
                <c:pt idx="1359">
                  <c:v>60.601142883300781</c:v>
                </c:pt>
                <c:pt idx="1360">
                  <c:v>60.260227203369141</c:v>
                </c:pt>
                <c:pt idx="1361">
                  <c:v>61.301425933837891</c:v>
                </c:pt>
                <c:pt idx="1362">
                  <c:v>61.955619812011719</c:v>
                </c:pt>
                <c:pt idx="1363">
                  <c:v>61.458053588867188</c:v>
                </c:pt>
                <c:pt idx="1364">
                  <c:v>63.623378753662109</c:v>
                </c:pt>
                <c:pt idx="1365">
                  <c:v>62.978389739990234</c:v>
                </c:pt>
                <c:pt idx="1366">
                  <c:v>62.978389739990234</c:v>
                </c:pt>
                <c:pt idx="1367">
                  <c:v>63.872158050537109</c:v>
                </c:pt>
                <c:pt idx="1368">
                  <c:v>65.530693054199219</c:v>
                </c:pt>
                <c:pt idx="1369">
                  <c:v>66.065109252929688</c:v>
                </c:pt>
                <c:pt idx="1370">
                  <c:v>65.576759338378906</c:v>
                </c:pt>
                <c:pt idx="1371">
                  <c:v>65.466194152832031</c:v>
                </c:pt>
                <c:pt idx="1372">
                  <c:v>64.673789978027344</c:v>
                </c:pt>
                <c:pt idx="1373">
                  <c:v>64.931777954101562</c:v>
                </c:pt>
                <c:pt idx="1374">
                  <c:v>64.553993225097656</c:v>
                </c:pt>
                <c:pt idx="1375">
                  <c:v>64.553993225097656</c:v>
                </c:pt>
                <c:pt idx="1376">
                  <c:v>64.45263671875</c:v>
                </c:pt>
                <c:pt idx="1377">
                  <c:v>64.682998657226562</c:v>
                </c:pt>
                <c:pt idx="1378">
                  <c:v>64.894912719726562</c:v>
                </c:pt>
                <c:pt idx="1379">
                  <c:v>64.830429077148438</c:v>
                </c:pt>
                <c:pt idx="1380">
                  <c:v>64.5079345703125</c:v>
                </c:pt>
                <c:pt idx="1381">
                  <c:v>65.051551818847656</c:v>
                </c:pt>
                <c:pt idx="1382">
                  <c:v>64.139358520507812</c:v>
                </c:pt>
                <c:pt idx="1383">
                  <c:v>63.485172271728509</c:v>
                </c:pt>
                <c:pt idx="1384">
                  <c:v>64.360504150390625</c:v>
                </c:pt>
                <c:pt idx="1385">
                  <c:v>64.517143249511719</c:v>
                </c:pt>
                <c:pt idx="1386">
                  <c:v>63.881370544433594</c:v>
                </c:pt>
                <c:pt idx="1387">
                  <c:v>65.26348876953125</c:v>
                </c:pt>
                <c:pt idx="1388">
                  <c:v>65.991409301757812</c:v>
                </c:pt>
                <c:pt idx="1389">
                  <c:v>66.00982666015625</c:v>
                </c:pt>
                <c:pt idx="1390">
                  <c:v>65.724197387695312</c:v>
                </c:pt>
                <c:pt idx="1391">
                  <c:v>65.7518310546875</c:v>
                </c:pt>
                <c:pt idx="1392">
                  <c:v>66.175682067871094</c:v>
                </c:pt>
                <c:pt idx="1393">
                  <c:v>65.945327758789062</c:v>
                </c:pt>
                <c:pt idx="1394">
                  <c:v>66.820663452148438</c:v>
                </c:pt>
                <c:pt idx="1395">
                  <c:v>66.802238464355469</c:v>
                </c:pt>
                <c:pt idx="1396">
                  <c:v>65.5030517578125</c:v>
                </c:pt>
                <c:pt idx="1397">
                  <c:v>65.696548461914062</c:v>
                </c:pt>
                <c:pt idx="1398">
                  <c:v>66.277030944824219</c:v>
                </c:pt>
                <c:pt idx="1399">
                  <c:v>65.724197387695312</c:v>
                </c:pt>
                <c:pt idx="1400">
                  <c:v>65.301559448242188</c:v>
                </c:pt>
                <c:pt idx="1401">
                  <c:v>65.686622619628906</c:v>
                </c:pt>
                <c:pt idx="1402">
                  <c:v>67.874931335449219</c:v>
                </c:pt>
                <c:pt idx="1403">
                  <c:v>67.217498779296875</c:v>
                </c:pt>
                <c:pt idx="1404">
                  <c:v>69.462150573730469</c:v>
                </c:pt>
                <c:pt idx="1405">
                  <c:v>69.5936279296875</c:v>
                </c:pt>
                <c:pt idx="1406">
                  <c:v>69.584243774414062</c:v>
                </c:pt>
                <c:pt idx="1407">
                  <c:v>70.438896179199219</c:v>
                </c:pt>
                <c:pt idx="1408">
                  <c:v>69.715736389160156</c:v>
                </c:pt>
                <c:pt idx="1409">
                  <c:v>70.110191345214844</c:v>
                </c:pt>
                <c:pt idx="1410">
                  <c:v>69.424575805664062</c:v>
                </c:pt>
                <c:pt idx="1411">
                  <c:v>70.467086791992188</c:v>
                </c:pt>
                <c:pt idx="1412">
                  <c:v>71.265388488769531</c:v>
                </c:pt>
                <c:pt idx="1413">
                  <c:v>70.823974609375</c:v>
                </c:pt>
                <c:pt idx="1414">
                  <c:v>70.908500671386719</c:v>
                </c:pt>
                <c:pt idx="1415">
                  <c:v>70.664314270019531</c:v>
                </c:pt>
                <c:pt idx="1416">
                  <c:v>69.499717712402344</c:v>
                </c:pt>
                <c:pt idx="1417">
                  <c:v>69.931739807128906</c:v>
                </c:pt>
                <c:pt idx="1418">
                  <c:v>69.7532958984375</c:v>
                </c:pt>
                <c:pt idx="1419">
                  <c:v>69.67816162109375</c:v>
                </c:pt>
                <c:pt idx="1420">
                  <c:v>68.306961059570312</c:v>
                </c:pt>
                <c:pt idx="1421">
                  <c:v>68.767158508300781</c:v>
                </c:pt>
                <c:pt idx="1422">
                  <c:v>69.274307250976562</c:v>
                </c:pt>
                <c:pt idx="1423">
                  <c:v>68.213035583496094</c:v>
                </c:pt>
                <c:pt idx="1424">
                  <c:v>68.006416320800781</c:v>
                </c:pt>
                <c:pt idx="1425">
                  <c:v>68.01580810546875</c:v>
                </c:pt>
                <c:pt idx="1426">
                  <c:v>68.654449462890625</c:v>
                </c:pt>
                <c:pt idx="1427">
                  <c:v>69.405799865722656</c:v>
                </c:pt>
                <c:pt idx="1428">
                  <c:v>69.236740112304688</c:v>
                </c:pt>
                <c:pt idx="1429">
                  <c:v>68.814109802246094</c:v>
                </c:pt>
                <c:pt idx="1430">
                  <c:v>68.626274108886719</c:v>
                </c:pt>
                <c:pt idx="1431">
                  <c:v>70.654922485351562</c:v>
                </c:pt>
                <c:pt idx="1432">
                  <c:v>71.002410888671875</c:v>
                </c:pt>
                <c:pt idx="1433">
                  <c:v>70.2135009765625</c:v>
                </c:pt>
                <c:pt idx="1434">
                  <c:v>70.157142639160156</c:v>
                </c:pt>
                <c:pt idx="1435">
                  <c:v>69.001945495605469</c:v>
                </c:pt>
                <c:pt idx="1436">
                  <c:v>69.264923095703125</c:v>
                </c:pt>
                <c:pt idx="1437">
                  <c:v>70.823974609375</c:v>
                </c:pt>
                <c:pt idx="1438">
                  <c:v>69.7532958984375</c:v>
                </c:pt>
                <c:pt idx="1439">
                  <c:v>70.063232421875</c:v>
                </c:pt>
                <c:pt idx="1440">
                  <c:v>70.560997009277344</c:v>
                </c:pt>
                <c:pt idx="1441">
                  <c:v>68.823501586914062</c:v>
                </c:pt>
                <c:pt idx="1442">
                  <c:v>70.373153686523438</c:v>
                </c:pt>
                <c:pt idx="1443">
                  <c:v>71.753761291503906</c:v>
                </c:pt>
                <c:pt idx="1444">
                  <c:v>71.331123352050781</c:v>
                </c:pt>
                <c:pt idx="1445">
                  <c:v>70.673690795898438</c:v>
                </c:pt>
                <c:pt idx="1446">
                  <c:v>70.476463317871094</c:v>
                </c:pt>
                <c:pt idx="1447">
                  <c:v>71.096328735351562</c:v>
                </c:pt>
                <c:pt idx="1448">
                  <c:v>71.331123352050781</c:v>
                </c:pt>
                <c:pt idx="1449">
                  <c:v>69.950531005859375</c:v>
                </c:pt>
                <c:pt idx="1450">
                  <c:v>69.3118896484375</c:v>
                </c:pt>
                <c:pt idx="1451">
                  <c:v>67.827964782714844</c:v>
                </c:pt>
                <c:pt idx="1452">
                  <c:v>67.621353149414062</c:v>
                </c:pt>
                <c:pt idx="1453">
                  <c:v>68.654449462890625</c:v>
                </c:pt>
                <c:pt idx="1454">
                  <c:v>68.654449462890625</c:v>
                </c:pt>
                <c:pt idx="1455">
                  <c:v>69.415199279785156</c:v>
                </c:pt>
                <c:pt idx="1456">
                  <c:v>69.621803283691406</c:v>
                </c:pt>
                <c:pt idx="1457">
                  <c:v>69.5936279296875</c:v>
                </c:pt>
                <c:pt idx="1458">
                  <c:v>69.837821960449219</c:v>
                </c:pt>
                <c:pt idx="1459">
                  <c:v>69.9129638671875</c:v>
                </c:pt>
                <c:pt idx="1460">
                  <c:v>70.100799560546875</c:v>
                </c:pt>
                <c:pt idx="1461">
                  <c:v>70.438896179199219</c:v>
                </c:pt>
                <c:pt idx="1462">
                  <c:v>70.025657653808594</c:v>
                </c:pt>
                <c:pt idx="1463">
                  <c:v>69.161613464355469</c:v>
                </c:pt>
                <c:pt idx="1464">
                  <c:v>68.053367614746094</c:v>
                </c:pt>
                <c:pt idx="1465">
                  <c:v>69.208572387695312</c:v>
                </c:pt>
                <c:pt idx="1466">
                  <c:v>67.959449768066406</c:v>
                </c:pt>
                <c:pt idx="1467">
                  <c:v>67.0296630859375</c:v>
                </c:pt>
                <c:pt idx="1468">
                  <c:v>67.273849487304688</c:v>
                </c:pt>
                <c:pt idx="1469">
                  <c:v>68.213035583496094</c:v>
                </c:pt>
                <c:pt idx="1470">
                  <c:v>70.110191345214844</c:v>
                </c:pt>
                <c:pt idx="1471">
                  <c:v>67.874931335449219</c:v>
                </c:pt>
                <c:pt idx="1472">
                  <c:v>67.978233337402344</c:v>
                </c:pt>
                <c:pt idx="1473">
                  <c:v>66.306488037109375</c:v>
                </c:pt>
                <c:pt idx="1474">
                  <c:v>67.649520874023438</c:v>
                </c:pt>
                <c:pt idx="1475">
                  <c:v>66.691551208496094</c:v>
                </c:pt>
                <c:pt idx="1476">
                  <c:v>66.94512939453125</c:v>
                </c:pt>
                <c:pt idx="1477">
                  <c:v>68.861076354980469</c:v>
                </c:pt>
                <c:pt idx="1478">
                  <c:v>68.025192260742188</c:v>
                </c:pt>
                <c:pt idx="1479">
                  <c:v>67.724662780761719</c:v>
                </c:pt>
                <c:pt idx="1480">
                  <c:v>67.142356872558594</c:v>
                </c:pt>
                <c:pt idx="1481">
                  <c:v>66.682151794433594</c:v>
                </c:pt>
                <c:pt idx="1482">
                  <c:v>66.447364807128906</c:v>
                </c:pt>
                <c:pt idx="1483">
                  <c:v>67.358375549316406</c:v>
                </c:pt>
                <c:pt idx="1484">
                  <c:v>67.940666198730469</c:v>
                </c:pt>
                <c:pt idx="1485">
                  <c:v>68.447822570800781</c:v>
                </c:pt>
                <c:pt idx="1486">
                  <c:v>67.799789428710938</c:v>
                </c:pt>
                <c:pt idx="1487">
                  <c:v>67.151756286621094</c:v>
                </c:pt>
                <c:pt idx="1488">
                  <c:v>66.531883239746094</c:v>
                </c:pt>
                <c:pt idx="1489">
                  <c:v>66.916961669921875</c:v>
                </c:pt>
                <c:pt idx="1490">
                  <c:v>66.503715515136719</c:v>
                </c:pt>
                <c:pt idx="1491">
                  <c:v>66.090476989746094</c:v>
                </c:pt>
                <c:pt idx="1492">
                  <c:v>66.550674438476562</c:v>
                </c:pt>
                <c:pt idx="1493">
                  <c:v>65.902633666992188</c:v>
                </c:pt>
                <c:pt idx="1494">
                  <c:v>64.540817260742188</c:v>
                </c:pt>
                <c:pt idx="1495">
                  <c:v>65.564529418945312</c:v>
                </c:pt>
                <c:pt idx="1496">
                  <c:v>66.315887451171875</c:v>
                </c:pt>
                <c:pt idx="1497">
                  <c:v>66.963920593261719</c:v>
                </c:pt>
                <c:pt idx="1498">
                  <c:v>66.766685485839844</c:v>
                </c:pt>
                <c:pt idx="1499">
                  <c:v>66.907569885253906</c:v>
                </c:pt>
                <c:pt idx="1500">
                  <c:v>67.067237854003906</c:v>
                </c:pt>
                <c:pt idx="1501">
                  <c:v>66.146827697753906</c:v>
                </c:pt>
                <c:pt idx="1502">
                  <c:v>66.212570190429688</c:v>
                </c:pt>
                <c:pt idx="1503">
                  <c:v>66.513114929199219</c:v>
                </c:pt>
                <c:pt idx="1504">
                  <c:v>66.372230529785156</c:v>
                </c:pt>
                <c:pt idx="1505">
                  <c:v>66.635200500488281</c:v>
                </c:pt>
                <c:pt idx="1506">
                  <c:v>66.757301330566406</c:v>
                </c:pt>
                <c:pt idx="1507">
                  <c:v>67.621353149414062</c:v>
                </c:pt>
                <c:pt idx="1508">
                  <c:v>69.124038696289062</c:v>
                </c:pt>
                <c:pt idx="1509">
                  <c:v>69.499717712402344</c:v>
                </c:pt>
                <c:pt idx="1510">
                  <c:v>70.0538330078125</c:v>
                </c:pt>
                <c:pt idx="1511">
                  <c:v>72.843215942382812</c:v>
                </c:pt>
                <c:pt idx="1512">
                  <c:v>72.636589050292969</c:v>
                </c:pt>
                <c:pt idx="1513">
                  <c:v>73.106193542480469</c:v>
                </c:pt>
                <c:pt idx="1514">
                  <c:v>73.989021301269531</c:v>
                </c:pt>
                <c:pt idx="1515">
                  <c:v>75.482330322265625</c:v>
                </c:pt>
                <c:pt idx="1516">
                  <c:v>75.134834289550781</c:v>
                </c:pt>
                <c:pt idx="1517">
                  <c:v>75.5198974609375</c:v>
                </c:pt>
                <c:pt idx="1518">
                  <c:v>75.698341369628906</c:v>
                </c:pt>
                <c:pt idx="1519">
                  <c:v>76.675094604492188</c:v>
                </c:pt>
                <c:pt idx="1520">
                  <c:v>77.144683837890625</c:v>
                </c:pt>
                <c:pt idx="1521">
                  <c:v>76.825363159179688</c:v>
                </c:pt>
                <c:pt idx="1522">
                  <c:v>76.327590942382812</c:v>
                </c:pt>
                <c:pt idx="1523">
                  <c:v>74.608894348144531</c:v>
                </c:pt>
                <c:pt idx="1524">
                  <c:v>74.045372009277344</c:v>
                </c:pt>
                <c:pt idx="1525">
                  <c:v>73.247062683105469</c:v>
                </c:pt>
                <c:pt idx="1526">
                  <c:v>73.40673828125</c:v>
                </c:pt>
                <c:pt idx="1527">
                  <c:v>72.505111694335938</c:v>
                </c:pt>
                <c:pt idx="1528">
                  <c:v>72.383018493652344</c:v>
                </c:pt>
                <c:pt idx="1529">
                  <c:v>75.876785278320312</c:v>
                </c:pt>
                <c:pt idx="1530">
                  <c:v>76.20550537109375</c:v>
                </c:pt>
                <c:pt idx="1531">
                  <c:v>75.811042785644531</c:v>
                </c:pt>
                <c:pt idx="1532">
                  <c:v>75.811042785644531</c:v>
                </c:pt>
                <c:pt idx="1533">
                  <c:v>76.346382141113281</c:v>
                </c:pt>
                <c:pt idx="1534">
                  <c:v>78.187179565429688</c:v>
                </c:pt>
                <c:pt idx="1535">
                  <c:v>78.393806457519531</c:v>
                </c:pt>
                <c:pt idx="1536">
                  <c:v>80.591499328613281</c:v>
                </c:pt>
                <c:pt idx="1537">
                  <c:v>81.295883178710938</c:v>
                </c:pt>
                <c:pt idx="1538">
                  <c:v>79.558387756347656</c:v>
                </c:pt>
                <c:pt idx="1539">
                  <c:v>82.413520812988281</c:v>
                </c:pt>
                <c:pt idx="1540">
                  <c:v>82.066009521484375</c:v>
                </c:pt>
                <c:pt idx="1541">
                  <c:v>81.155006408691406</c:v>
                </c:pt>
                <c:pt idx="1542">
                  <c:v>81.868789672851562</c:v>
                </c:pt>
                <c:pt idx="1543">
                  <c:v>81.35223388671875</c:v>
                </c:pt>
                <c:pt idx="1544">
                  <c:v>81.145622253417969</c:v>
                </c:pt>
                <c:pt idx="1545">
                  <c:v>80.262779235839844</c:v>
                </c:pt>
                <c:pt idx="1546">
                  <c:v>78.957313537597656</c:v>
                </c:pt>
                <c:pt idx="1547">
                  <c:v>78.62860107421875</c:v>
                </c:pt>
                <c:pt idx="1548">
                  <c:v>78.187179565429688</c:v>
                </c:pt>
                <c:pt idx="1549">
                  <c:v>78.459548950195312</c:v>
                </c:pt>
                <c:pt idx="1550">
                  <c:v>80.300346374511719</c:v>
                </c:pt>
                <c:pt idx="1551">
                  <c:v>80.290962219238281</c:v>
                </c:pt>
                <c:pt idx="1552">
                  <c:v>79.718048095703125</c:v>
                </c:pt>
                <c:pt idx="1553">
                  <c:v>80.018585205078125</c:v>
                </c:pt>
                <c:pt idx="1554">
                  <c:v>80.788726806640625</c:v>
                </c:pt>
                <c:pt idx="1555">
                  <c:v>80.14068603515625</c:v>
                </c:pt>
                <c:pt idx="1556">
                  <c:v>80.6666259765625</c:v>
                </c:pt>
                <c:pt idx="1557">
                  <c:v>80.582107543945312</c:v>
                </c:pt>
                <c:pt idx="1558">
                  <c:v>80.478797912597656</c:v>
                </c:pt>
                <c:pt idx="1559">
                  <c:v>81.549461364746094</c:v>
                </c:pt>
                <c:pt idx="1560">
                  <c:v>81.981491088867188</c:v>
                </c:pt>
                <c:pt idx="1561">
                  <c:v>81.981491088867188</c:v>
                </c:pt>
                <c:pt idx="1562">
                  <c:v>80.121902465820312</c:v>
                </c:pt>
                <c:pt idx="1563">
                  <c:v>82.526222229003906</c:v>
                </c:pt>
                <c:pt idx="1564">
                  <c:v>83.183647155761719</c:v>
                </c:pt>
                <c:pt idx="1565">
                  <c:v>83.456008911132812</c:v>
                </c:pt>
                <c:pt idx="1566">
                  <c:v>82.667091369628906</c:v>
                </c:pt>
                <c:pt idx="1567">
                  <c:v>82.432296752929688</c:v>
                </c:pt>
                <c:pt idx="1568">
                  <c:v>80.704193115234375</c:v>
                </c:pt>
                <c:pt idx="1569">
                  <c:v>81.925148010253906</c:v>
                </c:pt>
                <c:pt idx="1570">
                  <c:v>81.004737854003906</c:v>
                </c:pt>
                <c:pt idx="1571">
                  <c:v>80.150070190429688</c:v>
                </c:pt>
                <c:pt idx="1572">
                  <c:v>80.0655517578125</c:v>
                </c:pt>
                <c:pt idx="1573">
                  <c:v>81.267707824707031</c:v>
                </c:pt>
                <c:pt idx="1574">
                  <c:v>80.460006713867188</c:v>
                </c:pt>
                <c:pt idx="1575">
                  <c:v>79.642929077148438</c:v>
                </c:pt>
                <c:pt idx="1576">
                  <c:v>79.755615234375</c:v>
                </c:pt>
                <c:pt idx="1577">
                  <c:v>79.408126831054688</c:v>
                </c:pt>
                <c:pt idx="1578">
                  <c:v>80.056159973144531</c:v>
                </c:pt>
                <c:pt idx="1579">
                  <c:v>78.797660827636719</c:v>
                </c:pt>
                <c:pt idx="1580">
                  <c:v>77.952384948730469</c:v>
                </c:pt>
                <c:pt idx="1581">
                  <c:v>77.71759033203125</c:v>
                </c:pt>
                <c:pt idx="1582">
                  <c:v>79.0042724609375</c:v>
                </c:pt>
                <c:pt idx="1583">
                  <c:v>80.600883483886719</c:v>
                </c:pt>
                <c:pt idx="1584">
                  <c:v>80.394271850585938</c:v>
                </c:pt>
                <c:pt idx="1585">
                  <c:v>81.35223388671875</c:v>
                </c:pt>
                <c:pt idx="1586">
                  <c:v>81.596420288085938</c:v>
                </c:pt>
                <c:pt idx="1587">
                  <c:v>84.780258178710938</c:v>
                </c:pt>
                <c:pt idx="1588">
                  <c:v>84.545463562011719</c:v>
                </c:pt>
                <c:pt idx="1589">
                  <c:v>84.902359008789062</c:v>
                </c:pt>
                <c:pt idx="1590">
                  <c:v>84.526687622070312</c:v>
                </c:pt>
                <c:pt idx="1591">
                  <c:v>84.498504638671875</c:v>
                </c:pt>
                <c:pt idx="1592">
                  <c:v>84.282501220703125</c:v>
                </c:pt>
                <c:pt idx="1593">
                  <c:v>84.902359008789062</c:v>
                </c:pt>
                <c:pt idx="1594">
                  <c:v>87.147010803222656</c:v>
                </c:pt>
                <c:pt idx="1595">
                  <c:v>87.57904052734375</c:v>
                </c:pt>
                <c:pt idx="1596">
                  <c:v>86.498970031738281</c:v>
                </c:pt>
                <c:pt idx="1597">
                  <c:v>84.99627685546875</c:v>
                </c:pt>
                <c:pt idx="1598">
                  <c:v>82.6483154296875</c:v>
                </c:pt>
                <c:pt idx="1599">
                  <c:v>84.113441467285156</c:v>
                </c:pt>
                <c:pt idx="1600">
                  <c:v>84.921142578125</c:v>
                </c:pt>
                <c:pt idx="1601">
                  <c:v>84.338851928710938</c:v>
                </c:pt>
                <c:pt idx="1602">
                  <c:v>86.874649047851562</c:v>
                </c:pt>
                <c:pt idx="1603">
                  <c:v>85.625526428222656</c:v>
                </c:pt>
                <c:pt idx="1604">
                  <c:v>82.620132446289062</c:v>
                </c:pt>
                <c:pt idx="1605">
                  <c:v>81.333457946777344</c:v>
                </c:pt>
                <c:pt idx="1606">
                  <c:v>79.840156555175781</c:v>
                </c:pt>
                <c:pt idx="1607">
                  <c:v>83.02398681640625</c:v>
                </c:pt>
                <c:pt idx="1608">
                  <c:v>80.309738159179688</c:v>
                </c:pt>
                <c:pt idx="1609">
                  <c:v>78.459548950195312</c:v>
                </c:pt>
                <c:pt idx="1610">
                  <c:v>77.501571655273438</c:v>
                </c:pt>
                <c:pt idx="1611">
                  <c:v>78.093269348144531</c:v>
                </c:pt>
                <c:pt idx="1612">
                  <c:v>79.051231384277344</c:v>
                </c:pt>
                <c:pt idx="1613">
                  <c:v>87.175186157226562</c:v>
                </c:pt>
                <c:pt idx="1614">
                  <c:v>89.720382690429688</c:v>
                </c:pt>
                <c:pt idx="1615">
                  <c:v>89.119300842285156</c:v>
                </c:pt>
                <c:pt idx="1616">
                  <c:v>91.091583251953125</c:v>
                </c:pt>
                <c:pt idx="1617">
                  <c:v>91.720848083496094</c:v>
                </c:pt>
                <c:pt idx="1618">
                  <c:v>91.758415222167955</c:v>
                </c:pt>
                <c:pt idx="1619">
                  <c:v>92.321914672851562</c:v>
                </c:pt>
                <c:pt idx="1620">
                  <c:v>92.922996520996094</c:v>
                </c:pt>
                <c:pt idx="1621">
                  <c:v>92.706993103027344</c:v>
                </c:pt>
                <c:pt idx="1622">
                  <c:v>92.359481811523438</c:v>
                </c:pt>
                <c:pt idx="1623">
                  <c:v>91.194900512695327</c:v>
                </c:pt>
                <c:pt idx="1624">
                  <c:v>88.236465454101562</c:v>
                </c:pt>
                <c:pt idx="1625">
                  <c:v>89.927001953125</c:v>
                </c:pt>
                <c:pt idx="1626">
                  <c:v>90.274505615234375</c:v>
                </c:pt>
                <c:pt idx="1627">
                  <c:v>89.898826599121094</c:v>
                </c:pt>
                <c:pt idx="1628">
                  <c:v>91.185501098632798</c:v>
                </c:pt>
                <c:pt idx="1629">
                  <c:v>92.350105285644517</c:v>
                </c:pt>
                <c:pt idx="1630">
                  <c:v>90.039703369140625</c:v>
                </c:pt>
                <c:pt idx="1631">
                  <c:v>89.84246826171875</c:v>
                </c:pt>
                <c:pt idx="1632">
                  <c:v>89.457405090332031</c:v>
                </c:pt>
                <c:pt idx="1633">
                  <c:v>90.950706481933594</c:v>
                </c:pt>
                <c:pt idx="1634">
                  <c:v>90.161796569824219</c:v>
                </c:pt>
                <c:pt idx="1635">
                  <c:v>88.687271118164062</c:v>
                </c:pt>
                <c:pt idx="1636">
                  <c:v>90.565643310546875</c:v>
                </c:pt>
                <c:pt idx="1637">
                  <c:v>89.70159912109375</c:v>
                </c:pt>
                <c:pt idx="1638">
                  <c:v>88.875114440917969</c:v>
                </c:pt>
                <c:pt idx="1639">
                  <c:v>87.26910400390625</c:v>
                </c:pt>
                <c:pt idx="1640">
                  <c:v>87.231536865234375</c:v>
                </c:pt>
                <c:pt idx="1641">
                  <c:v>89.3165283203125</c:v>
                </c:pt>
                <c:pt idx="1642">
                  <c:v>88.2646484375</c:v>
                </c:pt>
                <c:pt idx="1643">
                  <c:v>88.095588684082031</c:v>
                </c:pt>
                <c:pt idx="1644">
                  <c:v>87.907752990722656</c:v>
                </c:pt>
                <c:pt idx="1645">
                  <c:v>87.165794372558594</c:v>
                </c:pt>
                <c:pt idx="1646">
                  <c:v>89.100517272949219</c:v>
                </c:pt>
                <c:pt idx="1647">
                  <c:v>88.659103393554688</c:v>
                </c:pt>
                <c:pt idx="1648">
                  <c:v>88.659103393554688</c:v>
                </c:pt>
                <c:pt idx="1649">
                  <c:v>89.6170654296875</c:v>
                </c:pt>
                <c:pt idx="1650">
                  <c:v>86.80889892578125</c:v>
                </c:pt>
                <c:pt idx="1651">
                  <c:v>87.306671142578125</c:v>
                </c:pt>
                <c:pt idx="1652">
                  <c:v>85.935462951660156</c:v>
                </c:pt>
                <c:pt idx="1653">
                  <c:v>86.298301696777344</c:v>
                </c:pt>
                <c:pt idx="1654">
                  <c:v>88.876365661621094</c:v>
                </c:pt>
                <c:pt idx="1655">
                  <c:v>90.327713012695327</c:v>
                </c:pt>
                <c:pt idx="1656">
                  <c:v>89.983970642089844</c:v>
                </c:pt>
                <c:pt idx="1657">
                  <c:v>89.917137145996094</c:v>
                </c:pt>
                <c:pt idx="1658">
                  <c:v>91.817268371582045</c:v>
                </c:pt>
                <c:pt idx="1659">
                  <c:v>92.342430114746094</c:v>
                </c:pt>
                <c:pt idx="1660">
                  <c:v>90.681007385253906</c:v>
                </c:pt>
                <c:pt idx="1661">
                  <c:v>91.187072753906236</c:v>
                </c:pt>
                <c:pt idx="1662">
                  <c:v>92.552490234375</c:v>
                </c:pt>
                <c:pt idx="1663">
                  <c:v>93.001266479492202</c:v>
                </c:pt>
                <c:pt idx="1664">
                  <c:v>93.641006469726562</c:v>
                </c:pt>
                <c:pt idx="1665">
                  <c:v>93.631454467773438</c:v>
                </c:pt>
                <c:pt idx="1666">
                  <c:v>94.233009338378906</c:v>
                </c:pt>
                <c:pt idx="1667">
                  <c:v>95.884880065917955</c:v>
                </c:pt>
                <c:pt idx="1668">
                  <c:v>95.713005065917955</c:v>
                </c:pt>
                <c:pt idx="1669">
                  <c:v>94.681785583496094</c:v>
                </c:pt>
                <c:pt idx="1670">
                  <c:v>95.130546569824219</c:v>
                </c:pt>
                <c:pt idx="1671">
                  <c:v>94.958679199218764</c:v>
                </c:pt>
                <c:pt idx="1672">
                  <c:v>92.695716857910156</c:v>
                </c:pt>
                <c:pt idx="1673">
                  <c:v>91.903205871582045</c:v>
                </c:pt>
                <c:pt idx="1674">
                  <c:v>92.036872863769517</c:v>
                </c:pt>
                <c:pt idx="1675">
                  <c:v>93.555076599121094</c:v>
                </c:pt>
                <c:pt idx="1676">
                  <c:v>93.42138671875</c:v>
                </c:pt>
                <c:pt idx="1677">
                  <c:v>96.266807556152344</c:v>
                </c:pt>
                <c:pt idx="1678">
                  <c:v>96.114044189453125</c:v>
                </c:pt>
                <c:pt idx="1679">
                  <c:v>94.490814208984375</c:v>
                </c:pt>
                <c:pt idx="1680">
                  <c:v>93.908355712890625</c:v>
                </c:pt>
                <c:pt idx="1681">
                  <c:v>93.774688720703125</c:v>
                </c:pt>
                <c:pt idx="1682">
                  <c:v>92.810295104980483</c:v>
                </c:pt>
                <c:pt idx="1683">
                  <c:v>92.924873352050781</c:v>
                </c:pt>
                <c:pt idx="1684">
                  <c:v>92.361526489257798</c:v>
                </c:pt>
                <c:pt idx="1685">
                  <c:v>92.915328979492202</c:v>
                </c:pt>
                <c:pt idx="1686">
                  <c:v>94.901390075683594</c:v>
                </c:pt>
                <c:pt idx="1687">
                  <c:v>95.063713073730483</c:v>
                </c:pt>
                <c:pt idx="1688">
                  <c:v>94.509910583496094</c:v>
                </c:pt>
                <c:pt idx="1689">
                  <c:v>95.483840942382798</c:v>
                </c:pt>
                <c:pt idx="1690">
                  <c:v>95.149658203125</c:v>
                </c:pt>
                <c:pt idx="1691">
                  <c:v>96.343200683593764</c:v>
                </c:pt>
                <c:pt idx="1692">
                  <c:v>96.343200683593764</c:v>
                </c:pt>
                <c:pt idx="1693">
                  <c:v>95.942169189453125</c:v>
                </c:pt>
                <c:pt idx="1694">
                  <c:v>95.655715942382798</c:v>
                </c:pt>
                <c:pt idx="1695">
                  <c:v>99.837905883789062</c:v>
                </c:pt>
                <c:pt idx="1696">
                  <c:v>98.9212646484375</c:v>
                </c:pt>
                <c:pt idx="1697">
                  <c:v>97.298042297363281</c:v>
                </c:pt>
                <c:pt idx="1698">
                  <c:v>95.808479309082045</c:v>
                </c:pt>
                <c:pt idx="1699">
                  <c:v>95.3692626953125</c:v>
                </c:pt>
                <c:pt idx="1700">
                  <c:v>94.137519836425781</c:v>
                </c:pt>
                <c:pt idx="1701">
                  <c:v>96.094940185546875</c:v>
                </c:pt>
                <c:pt idx="1702">
                  <c:v>92.485649108886719</c:v>
                </c:pt>
                <c:pt idx="1703">
                  <c:v>92.122817993164062</c:v>
                </c:pt>
                <c:pt idx="1704">
                  <c:v>94.624488830566406</c:v>
                </c:pt>
                <c:pt idx="1705">
                  <c:v>93.688751220703125</c:v>
                </c:pt>
                <c:pt idx="1706">
                  <c:v>95.732101440429673</c:v>
                </c:pt>
                <c:pt idx="1707">
                  <c:v>93.297264099121094</c:v>
                </c:pt>
                <c:pt idx="1708">
                  <c:v>93.345008850097656</c:v>
                </c:pt>
                <c:pt idx="1709">
                  <c:v>93.574165344238281</c:v>
                </c:pt>
                <c:pt idx="1710">
                  <c:v>93.325912475585938</c:v>
                </c:pt>
                <c:pt idx="1711">
                  <c:v>94.051589965820327</c:v>
                </c:pt>
                <c:pt idx="1712">
                  <c:v>94.910949707031236</c:v>
                </c:pt>
                <c:pt idx="1713">
                  <c:v>98.673004150390625</c:v>
                </c:pt>
                <c:pt idx="1714">
                  <c:v>98.482040405273438</c:v>
                </c:pt>
                <c:pt idx="1715">
                  <c:v>100.39171600341795</c:v>
                </c:pt>
                <c:pt idx="1716">
                  <c:v>102.54964447021484</c:v>
                </c:pt>
                <c:pt idx="1717">
                  <c:v>102.11042022705078</c:v>
                </c:pt>
                <c:pt idx="1718">
                  <c:v>102.79790496826172</c:v>
                </c:pt>
                <c:pt idx="1719">
                  <c:v>102.35868072509766</c:v>
                </c:pt>
                <c:pt idx="1720">
                  <c:v>102.24410247802734</c:v>
                </c:pt>
                <c:pt idx="1721">
                  <c:v>100.98371887207033</c:v>
                </c:pt>
                <c:pt idx="1722">
                  <c:v>100.65906524658205</c:v>
                </c:pt>
                <c:pt idx="1723">
                  <c:v>101.19377899169922</c:v>
                </c:pt>
                <c:pt idx="1724">
                  <c:v>100.1625518798828</c:v>
                </c:pt>
                <c:pt idx="1725">
                  <c:v>104.6693878173828</c:v>
                </c:pt>
                <c:pt idx="1726">
                  <c:v>104.2683563232422</c:v>
                </c:pt>
                <c:pt idx="1727">
                  <c:v>102.24410247802734</c:v>
                </c:pt>
                <c:pt idx="1728">
                  <c:v>101.21287536621094</c:v>
                </c:pt>
                <c:pt idx="1729">
                  <c:v>101.78577423095705</c:v>
                </c:pt>
                <c:pt idx="1730">
                  <c:v>101.67120361328124</c:v>
                </c:pt>
                <c:pt idx="1731">
                  <c:v>102.89339447021484</c:v>
                </c:pt>
                <c:pt idx="1732">
                  <c:v>102.95068359375</c:v>
                </c:pt>
                <c:pt idx="1733">
                  <c:v>104.077392578125</c:v>
                </c:pt>
                <c:pt idx="1734">
                  <c:v>103.02706909179688</c:v>
                </c:pt>
                <c:pt idx="1735">
                  <c:v>103.75274658203124</c:v>
                </c:pt>
                <c:pt idx="1736">
                  <c:v>102.66423034667967</c:v>
                </c:pt>
                <c:pt idx="1737">
                  <c:v>103.21803283691406</c:v>
                </c:pt>
                <c:pt idx="1738">
                  <c:v>103.12255096435548</c:v>
                </c:pt>
                <c:pt idx="1739">
                  <c:v>100.46810150146484</c:v>
                </c:pt>
                <c:pt idx="1740">
                  <c:v>102.70242309570312</c:v>
                </c:pt>
                <c:pt idx="1741">
                  <c:v>102.85520172119141</c:v>
                </c:pt>
                <c:pt idx="1742">
                  <c:v>103.00796508789062</c:v>
                </c:pt>
                <c:pt idx="1743">
                  <c:v>102.60694122314452</c:v>
                </c:pt>
                <c:pt idx="1744">
                  <c:v>102.47325897216795</c:v>
                </c:pt>
                <c:pt idx="1745">
                  <c:v>102.87429046630859</c:v>
                </c:pt>
                <c:pt idx="1746">
                  <c:v>102.64513397216795</c:v>
                </c:pt>
                <c:pt idx="1747">
                  <c:v>103.12255096435548</c:v>
                </c:pt>
                <c:pt idx="1748">
                  <c:v>104.03919982910156</c:v>
                </c:pt>
                <c:pt idx="1749">
                  <c:v>105.08951568603516</c:v>
                </c:pt>
                <c:pt idx="1750">
                  <c:v>104.05829620361328</c:v>
                </c:pt>
                <c:pt idx="1751">
                  <c:v>101.4611358642578</c:v>
                </c:pt>
                <c:pt idx="1752">
                  <c:v>102.64513397216795</c:v>
                </c:pt>
                <c:pt idx="1753">
                  <c:v>100.41081237792967</c:v>
                </c:pt>
                <c:pt idx="1754">
                  <c:v>98.348358154296875</c:v>
                </c:pt>
                <c:pt idx="1755">
                  <c:v>99.570556640625</c:v>
                </c:pt>
                <c:pt idx="1756">
                  <c:v>100.10526275634766</c:v>
                </c:pt>
                <c:pt idx="1757">
                  <c:v>100.06707763671876</c:v>
                </c:pt>
                <c:pt idx="1758">
                  <c:v>101.93855285644533</c:v>
                </c:pt>
                <c:pt idx="1759">
                  <c:v>101.88125610351562</c:v>
                </c:pt>
                <c:pt idx="1760">
                  <c:v>100.86913299560548</c:v>
                </c:pt>
                <c:pt idx="1761">
                  <c:v>101.40383911132812</c:v>
                </c:pt>
                <c:pt idx="1762">
                  <c:v>101.49932861328124</c:v>
                </c:pt>
                <c:pt idx="1763">
                  <c:v>100.20074462890624</c:v>
                </c:pt>
                <c:pt idx="1764">
                  <c:v>101.55661773681641</c:v>
                </c:pt>
                <c:pt idx="1765">
                  <c:v>101.652099609375</c:v>
                </c:pt>
                <c:pt idx="1766">
                  <c:v>101.97675323486328</c:v>
                </c:pt>
                <c:pt idx="1767">
                  <c:v>101.19377899169922</c:v>
                </c:pt>
                <c:pt idx="1768">
                  <c:v>100.3344268798828</c:v>
                </c:pt>
                <c:pt idx="1769">
                  <c:v>103.58087921142578</c:v>
                </c:pt>
                <c:pt idx="1770">
                  <c:v>103.98190307617188</c:v>
                </c:pt>
                <c:pt idx="1771">
                  <c:v>103.29442596435548</c:v>
                </c:pt>
                <c:pt idx="1772">
                  <c:v>102.54964447021484</c:v>
                </c:pt>
                <c:pt idx="1773">
                  <c:v>100.90732574462891</c:v>
                </c:pt>
                <c:pt idx="1774">
                  <c:v>102.22499847412109</c:v>
                </c:pt>
                <c:pt idx="1775">
                  <c:v>100.5063018798828</c:v>
                </c:pt>
                <c:pt idx="1776">
                  <c:v>99.303192138671875</c:v>
                </c:pt>
                <c:pt idx="1777">
                  <c:v>98.940361022949219</c:v>
                </c:pt>
                <c:pt idx="1778">
                  <c:v>97.870941162109375</c:v>
                </c:pt>
                <c:pt idx="1779">
                  <c:v>94.519454956054673</c:v>
                </c:pt>
                <c:pt idx="1780">
                  <c:v>92.934425354003906</c:v>
                </c:pt>
                <c:pt idx="1781">
                  <c:v>95.732101440429673</c:v>
                </c:pt>
                <c:pt idx="1782">
                  <c:v>93.392745971679673</c:v>
                </c:pt>
                <c:pt idx="1783">
                  <c:v>97.126167297363281</c:v>
                </c:pt>
                <c:pt idx="1784">
                  <c:v>96.305007934570327</c:v>
                </c:pt>
                <c:pt idx="1785">
                  <c:v>94.825004577636719</c:v>
                </c:pt>
                <c:pt idx="1786">
                  <c:v>93.526428222656236</c:v>
                </c:pt>
                <c:pt idx="1787">
                  <c:v>91.960487365722656</c:v>
                </c:pt>
                <c:pt idx="1788">
                  <c:v>89.88848876953125</c:v>
                </c:pt>
                <c:pt idx="1789">
                  <c:v>91.005653381347656</c:v>
                </c:pt>
                <c:pt idx="1790">
                  <c:v>93.516883850097656</c:v>
                </c:pt>
                <c:pt idx="1791">
                  <c:v>91.807716369628906</c:v>
                </c:pt>
                <c:pt idx="1792">
                  <c:v>91.502166748046875</c:v>
                </c:pt>
                <c:pt idx="1793">
                  <c:v>89.659332275390625</c:v>
                </c:pt>
                <c:pt idx="1794">
                  <c:v>93.297264099121094</c:v>
                </c:pt>
                <c:pt idx="1795">
                  <c:v>92.141914367675781</c:v>
                </c:pt>
                <c:pt idx="1796">
                  <c:v>91.292106628417955</c:v>
                </c:pt>
                <c:pt idx="1797">
                  <c:v>91.072486877441406</c:v>
                </c:pt>
                <c:pt idx="1798">
                  <c:v>91.521263122558594</c:v>
                </c:pt>
                <c:pt idx="1799">
                  <c:v>91.750419616699219</c:v>
                </c:pt>
                <c:pt idx="1800">
                  <c:v>91.330299377441406</c:v>
                </c:pt>
                <c:pt idx="1801">
                  <c:v>90.404106140136719</c:v>
                </c:pt>
                <c:pt idx="1802">
                  <c:v>90.127197265625</c:v>
                </c:pt>
                <c:pt idx="1803">
                  <c:v>92.065521240234375</c:v>
                </c:pt>
                <c:pt idx="1804">
                  <c:v>91.215721130371094</c:v>
                </c:pt>
                <c:pt idx="1805">
                  <c:v>89.621139526367188</c:v>
                </c:pt>
                <c:pt idx="1806">
                  <c:v>88.6949462890625</c:v>
                </c:pt>
                <c:pt idx="1807">
                  <c:v>88.389396667480469</c:v>
                </c:pt>
                <c:pt idx="1808">
                  <c:v>86.957130432128906</c:v>
                </c:pt>
                <c:pt idx="1809">
                  <c:v>88.962295532226562</c:v>
                </c:pt>
                <c:pt idx="1810">
                  <c:v>88.160240173339844</c:v>
                </c:pt>
                <c:pt idx="1811">
                  <c:v>89.191459655761719</c:v>
                </c:pt>
                <c:pt idx="1812">
                  <c:v>89.353782653808594</c:v>
                </c:pt>
                <c:pt idx="1813">
                  <c:v>89.468360900878906</c:v>
                </c:pt>
                <c:pt idx="1814">
                  <c:v>89.277389526367188</c:v>
                </c:pt>
                <c:pt idx="1815">
                  <c:v>90.575973510742202</c:v>
                </c:pt>
                <c:pt idx="1816">
                  <c:v>90.346817016601562</c:v>
                </c:pt>
                <c:pt idx="1817">
                  <c:v>91.378036499023438</c:v>
                </c:pt>
                <c:pt idx="1818">
                  <c:v>90.012619018554688</c:v>
                </c:pt>
                <c:pt idx="1819">
                  <c:v>88.141128540039062</c:v>
                </c:pt>
                <c:pt idx="1820">
                  <c:v>84.636878967285156</c:v>
                </c:pt>
                <c:pt idx="1821">
                  <c:v>85.047454833984375</c:v>
                </c:pt>
                <c:pt idx="1822">
                  <c:v>83.538818359375</c:v>
                </c:pt>
                <c:pt idx="1823">
                  <c:v>84.598686218261719</c:v>
                </c:pt>
                <c:pt idx="1824">
                  <c:v>87.348625183105469</c:v>
                </c:pt>
                <c:pt idx="1825">
                  <c:v>85.906814575195312</c:v>
                </c:pt>
                <c:pt idx="1826">
                  <c:v>84.66552734375</c:v>
                </c:pt>
                <c:pt idx="1827">
                  <c:v>83.69158935546875</c:v>
                </c:pt>
                <c:pt idx="1828">
                  <c:v>84.64642333984375</c:v>
                </c:pt>
                <c:pt idx="1829">
                  <c:v>83.261909484863281</c:v>
                </c:pt>
                <c:pt idx="1830">
                  <c:v>79.566688537597656</c:v>
                </c:pt>
                <c:pt idx="1831">
                  <c:v>79.347076416015625</c:v>
                </c:pt>
                <c:pt idx="1832">
                  <c:v>77.943458557128906</c:v>
                </c:pt>
                <c:pt idx="1833">
                  <c:v>78.392234802246094</c:v>
                </c:pt>
                <c:pt idx="1834">
                  <c:v>79.977264404296875</c:v>
                </c:pt>
                <c:pt idx="1835">
                  <c:v>80.168235778808594</c:v>
                </c:pt>
                <c:pt idx="1836">
                  <c:v>80.368751525878906</c:v>
                </c:pt>
                <c:pt idx="1837">
                  <c:v>77.542427062988281</c:v>
                </c:pt>
                <c:pt idx="1838">
                  <c:v>81.275848388671875</c:v>
                </c:pt>
                <c:pt idx="1839">
                  <c:v>79.786300659179688</c:v>
                </c:pt>
                <c:pt idx="1840">
                  <c:v>82.736747741699219</c:v>
                </c:pt>
                <c:pt idx="1841">
                  <c:v>85.629913330078125</c:v>
                </c:pt>
                <c:pt idx="1842">
                  <c:v>85.563072204589844</c:v>
                </c:pt>
                <c:pt idx="1843">
                  <c:v>84.388618469238281</c:v>
                </c:pt>
                <c:pt idx="1844">
                  <c:v>85.849533081054688</c:v>
                </c:pt>
                <c:pt idx="1845">
                  <c:v>88.141128540039062</c:v>
                </c:pt>
                <c:pt idx="1846">
                  <c:v>88.360748291015625</c:v>
                </c:pt>
                <c:pt idx="1847">
                  <c:v>87.615974426269531</c:v>
                </c:pt>
                <c:pt idx="1848">
                  <c:v>89.43017578125</c:v>
                </c:pt>
                <c:pt idx="1849">
                  <c:v>90.232231140136719</c:v>
                </c:pt>
                <c:pt idx="1850">
                  <c:v>90.470939636230483</c:v>
                </c:pt>
                <c:pt idx="1851">
                  <c:v>89.573394775390625</c:v>
                </c:pt>
                <c:pt idx="1852">
                  <c:v>91.588096618652344</c:v>
                </c:pt>
                <c:pt idx="1853">
                  <c:v>92.151466369628906</c:v>
                </c:pt>
                <c:pt idx="1854">
                  <c:v>91.110679626464844</c:v>
                </c:pt>
                <c:pt idx="1855">
                  <c:v>91.712234497070327</c:v>
                </c:pt>
                <c:pt idx="1856">
                  <c:v>94.529006958007798</c:v>
                </c:pt>
                <c:pt idx="1857">
                  <c:v>95.693908691406236</c:v>
                </c:pt>
                <c:pt idx="1858">
                  <c:v>96.553268432617202</c:v>
                </c:pt>
                <c:pt idx="1859">
                  <c:v>96.820625305175781</c:v>
                </c:pt>
                <c:pt idx="1860">
                  <c:v>97.393516540527344</c:v>
                </c:pt>
                <c:pt idx="1861">
                  <c:v>97.469909667968764</c:v>
                </c:pt>
                <c:pt idx="1862">
                  <c:v>95.321517944335938</c:v>
                </c:pt>
                <c:pt idx="1863">
                  <c:v>95.426559448242202</c:v>
                </c:pt>
                <c:pt idx="1864">
                  <c:v>97.393516540527344</c:v>
                </c:pt>
                <c:pt idx="1865">
                  <c:v>98.138290405273438</c:v>
                </c:pt>
                <c:pt idx="1866">
                  <c:v>99.666030883789062</c:v>
                </c:pt>
                <c:pt idx="1867">
                  <c:v>102.33958435058594</c:v>
                </c:pt>
                <c:pt idx="1868">
                  <c:v>105.9679718017578</c:v>
                </c:pt>
                <c:pt idx="1869">
                  <c:v>106.23532867431641</c:v>
                </c:pt>
                <c:pt idx="1870">
                  <c:v>106.12074279785156</c:v>
                </c:pt>
                <c:pt idx="1871">
                  <c:v>106.10165405273438</c:v>
                </c:pt>
                <c:pt idx="1872">
                  <c:v>106.330810546875</c:v>
                </c:pt>
                <c:pt idx="1873">
                  <c:v>108.56512451171876</c:v>
                </c:pt>
                <c:pt idx="1874">
                  <c:v>108.2213897705078</c:v>
                </c:pt>
                <c:pt idx="1875">
                  <c:v>108.01132965087891</c:v>
                </c:pt>
                <c:pt idx="1876">
                  <c:v>108.33596801757812</c:v>
                </c:pt>
                <c:pt idx="1877">
                  <c:v>108.46965026855467</c:v>
                </c:pt>
                <c:pt idx="1878">
                  <c:v>108.756103515625</c:v>
                </c:pt>
                <c:pt idx="1879">
                  <c:v>108.87067413330078</c:v>
                </c:pt>
                <c:pt idx="1880">
                  <c:v>108.12590026855467</c:v>
                </c:pt>
                <c:pt idx="1881">
                  <c:v>108.584228515625</c:v>
                </c:pt>
                <c:pt idx="1882">
                  <c:v>107.6484832763672</c:v>
                </c:pt>
                <c:pt idx="1883">
                  <c:v>106.48358154296876</c:v>
                </c:pt>
                <c:pt idx="1884">
                  <c:v>107.85855102539062</c:v>
                </c:pt>
                <c:pt idx="1885">
                  <c:v>109.4053955078125</c:v>
                </c:pt>
                <c:pt idx="1886">
                  <c:v>111.60150909423828</c:v>
                </c:pt>
                <c:pt idx="1887">
                  <c:v>111.71610260009766</c:v>
                </c:pt>
                <c:pt idx="1888">
                  <c:v>112.36538696289062</c:v>
                </c:pt>
                <c:pt idx="1889">
                  <c:v>112.67093658447266</c:v>
                </c:pt>
                <c:pt idx="1890">
                  <c:v>113.6257781982422</c:v>
                </c:pt>
                <c:pt idx="1891">
                  <c:v>112.53725433349609</c:v>
                </c:pt>
                <c:pt idx="1892">
                  <c:v>113.20564270019533</c:v>
                </c:pt>
                <c:pt idx="1893">
                  <c:v>109.42448425292967</c:v>
                </c:pt>
                <c:pt idx="1894">
                  <c:v>108.88977813720705</c:v>
                </c:pt>
                <c:pt idx="1895">
                  <c:v>111.08589935302734</c:v>
                </c:pt>
                <c:pt idx="1896">
                  <c:v>110.26473999023438</c:v>
                </c:pt>
                <c:pt idx="1897">
                  <c:v>111.009521484375</c:v>
                </c:pt>
                <c:pt idx="1898">
                  <c:v>112.57545471191406</c:v>
                </c:pt>
                <c:pt idx="1899">
                  <c:v>112.44178009033205</c:v>
                </c:pt>
                <c:pt idx="1900">
                  <c:v>111.92616271972656</c:v>
                </c:pt>
                <c:pt idx="1901">
                  <c:v>113.18654632568359</c:v>
                </c:pt>
                <c:pt idx="1902">
                  <c:v>112.49906158447266</c:v>
                </c:pt>
                <c:pt idx="1903">
                  <c:v>113.32022857666016</c:v>
                </c:pt>
                <c:pt idx="1904">
                  <c:v>115.28719329833984</c:v>
                </c:pt>
                <c:pt idx="1905">
                  <c:v>113.14835357666016</c:v>
                </c:pt>
                <c:pt idx="1906">
                  <c:v>111.23867797851562</c:v>
                </c:pt>
                <c:pt idx="1907">
                  <c:v>112.19351959228516</c:v>
                </c:pt>
                <c:pt idx="1908">
                  <c:v>113.24383544921876</c:v>
                </c:pt>
                <c:pt idx="1909">
                  <c:v>113.52465057373048</c:v>
                </c:pt>
                <c:pt idx="1910">
                  <c:v>114.18309783935548</c:v>
                </c:pt>
                <c:pt idx="1911">
                  <c:v>115.26760864257812</c:v>
                </c:pt>
                <c:pt idx="1912">
                  <c:v>116.42958068847656</c:v>
                </c:pt>
                <c:pt idx="1913">
                  <c:v>118.90845489501952</c:v>
                </c:pt>
                <c:pt idx="1914">
                  <c:v>118.32746124267578</c:v>
                </c:pt>
                <c:pt idx="1915">
                  <c:v>118.03697204589844</c:v>
                </c:pt>
                <c:pt idx="1916">
                  <c:v>117.9982452392578</c:v>
                </c:pt>
                <c:pt idx="1917">
                  <c:v>119.12147521972656</c:v>
                </c:pt>
                <c:pt idx="1918">
                  <c:v>118.01760864257812</c:v>
                </c:pt>
                <c:pt idx="1919">
                  <c:v>116.17782592773438</c:v>
                </c:pt>
                <c:pt idx="1920">
                  <c:v>115.77112579345705</c:v>
                </c:pt>
                <c:pt idx="1921">
                  <c:v>115.9066925048828</c:v>
                </c:pt>
                <c:pt idx="1922">
                  <c:v>113.81514739990234</c:v>
                </c:pt>
                <c:pt idx="1923">
                  <c:v>115.03521728515624</c:v>
                </c:pt>
                <c:pt idx="1924">
                  <c:v>113.09859466552734</c:v>
                </c:pt>
                <c:pt idx="1925">
                  <c:v>113.7764129638672</c:v>
                </c:pt>
                <c:pt idx="1926">
                  <c:v>111.85915374755859</c:v>
                </c:pt>
                <c:pt idx="1927">
                  <c:v>115.22887420654295</c:v>
                </c:pt>
                <c:pt idx="1928">
                  <c:v>117.04929351806641</c:v>
                </c:pt>
                <c:pt idx="1929">
                  <c:v>118.61795806884766</c:v>
                </c:pt>
                <c:pt idx="1930">
                  <c:v>117.16549682617188</c:v>
                </c:pt>
                <c:pt idx="1931">
                  <c:v>115.30634307861328</c:v>
                </c:pt>
                <c:pt idx="1932">
                  <c:v>114.5123291015625</c:v>
                </c:pt>
                <c:pt idx="1933">
                  <c:v>114.47359466552734</c:v>
                </c:pt>
                <c:pt idx="1934">
                  <c:v>111.23943328857422</c:v>
                </c:pt>
                <c:pt idx="1935">
                  <c:v>112.84683227539062</c:v>
                </c:pt>
                <c:pt idx="1936">
                  <c:v>113.13732147216795</c:v>
                </c:pt>
                <c:pt idx="1937">
                  <c:v>112.63380432128906</c:v>
                </c:pt>
                <c:pt idx="1938">
                  <c:v>110.75527954101562</c:v>
                </c:pt>
                <c:pt idx="1939">
                  <c:v>111.58802795410156</c:v>
                </c:pt>
                <c:pt idx="1940">
                  <c:v>111.22006988525391</c:v>
                </c:pt>
                <c:pt idx="1941">
                  <c:v>113.44718933105467</c:v>
                </c:pt>
                <c:pt idx="1942">
                  <c:v>114.72535705566406</c:v>
                </c:pt>
                <c:pt idx="1943">
                  <c:v>114.93837738037109</c:v>
                </c:pt>
                <c:pt idx="1944">
                  <c:v>114.22183227539062</c:v>
                </c:pt>
                <c:pt idx="1945">
                  <c:v>117.08802795410156</c:v>
                </c:pt>
                <c:pt idx="1946">
                  <c:v>117.22359466552734</c:v>
                </c:pt>
                <c:pt idx="1947">
                  <c:v>119.48944091796876</c:v>
                </c:pt>
                <c:pt idx="1948">
                  <c:v>118.40493011474609</c:v>
                </c:pt>
                <c:pt idx="1949">
                  <c:v>118.77289581298828</c:v>
                </c:pt>
                <c:pt idx="1950">
                  <c:v>118.54049682617188</c:v>
                </c:pt>
                <c:pt idx="1951">
                  <c:v>121.03873443603516</c:v>
                </c:pt>
                <c:pt idx="1952">
                  <c:v>121.48415374755859</c:v>
                </c:pt>
                <c:pt idx="1953">
                  <c:v>119.10211181640624</c:v>
                </c:pt>
                <c:pt idx="1954">
                  <c:v>119.54753875732422</c:v>
                </c:pt>
                <c:pt idx="1955">
                  <c:v>118.88908386230467</c:v>
                </c:pt>
                <c:pt idx="1956">
                  <c:v>119.35387420654295</c:v>
                </c:pt>
                <c:pt idx="1957">
                  <c:v>121.21302795410156</c:v>
                </c:pt>
                <c:pt idx="1958">
                  <c:v>121.56162261962891</c:v>
                </c:pt>
                <c:pt idx="1959">
                  <c:v>119.9542236328125</c:v>
                </c:pt>
                <c:pt idx="1960">
                  <c:v>120.72887420654295</c:v>
                </c:pt>
                <c:pt idx="1961">
                  <c:v>120.36092376708984</c:v>
                </c:pt>
                <c:pt idx="1962">
                  <c:v>120.0316925048828</c:v>
                </c:pt>
                <c:pt idx="1963">
                  <c:v>121.65845489501952</c:v>
                </c:pt>
                <c:pt idx="1964">
                  <c:v>121.4066925048828</c:v>
                </c:pt>
                <c:pt idx="1965">
                  <c:v>120.63204956054688</c:v>
                </c:pt>
                <c:pt idx="1966">
                  <c:v>119.99295806884766</c:v>
                </c:pt>
                <c:pt idx="1967">
                  <c:v>120.16725158691406</c:v>
                </c:pt>
                <c:pt idx="1968">
                  <c:v>121.85211181640624</c:v>
                </c:pt>
                <c:pt idx="1969">
                  <c:v>121.98767852783205</c:v>
                </c:pt>
                <c:pt idx="1970">
                  <c:v>123.63380432128906</c:v>
                </c:pt>
                <c:pt idx="1971">
                  <c:v>125.10563659667967</c:v>
                </c:pt>
                <c:pt idx="1972">
                  <c:v>126.98415374755859</c:v>
                </c:pt>
                <c:pt idx="1973">
                  <c:v>127.77817535400391</c:v>
                </c:pt>
                <c:pt idx="1974">
                  <c:v>127.91374206542967</c:v>
                </c:pt>
                <c:pt idx="1975">
                  <c:v>127.33274841308594</c:v>
                </c:pt>
                <c:pt idx="1976">
                  <c:v>126.61619567871094</c:v>
                </c:pt>
                <c:pt idx="1977">
                  <c:v>128.41725158691406</c:v>
                </c:pt>
                <c:pt idx="1978">
                  <c:v>127.77817535400391</c:v>
                </c:pt>
                <c:pt idx="1979">
                  <c:v>126.36444091796876</c:v>
                </c:pt>
                <c:pt idx="1980">
                  <c:v>126.84859466552734</c:v>
                </c:pt>
                <c:pt idx="1981">
                  <c:v>125.95774841308594</c:v>
                </c:pt>
                <c:pt idx="1982">
                  <c:v>123.67253875732422</c:v>
                </c:pt>
                <c:pt idx="1983">
                  <c:v>124.00176239013672</c:v>
                </c:pt>
                <c:pt idx="1984">
                  <c:v>125.31866455078124</c:v>
                </c:pt>
                <c:pt idx="1985">
                  <c:v>119.43133544921876</c:v>
                </c:pt>
                <c:pt idx="1986">
                  <c:v>116.875</c:v>
                </c:pt>
                <c:pt idx="1987">
                  <c:v>116.11972045898438</c:v>
                </c:pt>
                <c:pt idx="1988">
                  <c:v>118.13380432128906</c:v>
                </c:pt>
                <c:pt idx="1989">
                  <c:v>123.13028717041016</c:v>
                </c:pt>
                <c:pt idx="1990">
                  <c:v>121.15493774414062</c:v>
                </c:pt>
                <c:pt idx="1991">
                  <c:v>121.23239135742188</c:v>
                </c:pt>
                <c:pt idx="1992">
                  <c:v>122.56866455078124</c:v>
                </c:pt>
                <c:pt idx="1993">
                  <c:v>117.97887420654295</c:v>
                </c:pt>
                <c:pt idx="1994">
                  <c:v>118.52113342285156</c:v>
                </c:pt>
                <c:pt idx="1995">
                  <c:v>119.12147521972656</c:v>
                </c:pt>
                <c:pt idx="1996">
                  <c:v>120.82570648193359</c:v>
                </c:pt>
                <c:pt idx="1997">
                  <c:v>122.20070648193359</c:v>
                </c:pt>
                <c:pt idx="1998">
                  <c:v>123.94366455078124</c:v>
                </c:pt>
                <c:pt idx="1999">
                  <c:v>120.47711181640624</c:v>
                </c:pt>
                <c:pt idx="2000">
                  <c:v>118.73416137695312</c:v>
                </c:pt>
                <c:pt idx="2001">
                  <c:v>118.94718170166016</c:v>
                </c:pt>
                <c:pt idx="2002">
                  <c:v>118.67605590820312</c:v>
                </c:pt>
                <c:pt idx="2003">
                  <c:v>117.74648284912109</c:v>
                </c:pt>
                <c:pt idx="2004">
                  <c:v>121.3098602294922</c:v>
                </c:pt>
                <c:pt idx="2005">
                  <c:v>121.36795806884766</c:v>
                </c:pt>
                <c:pt idx="2006">
                  <c:v>122.00704193115234</c:v>
                </c:pt>
                <c:pt idx="2007">
                  <c:v>120.6707763671875</c:v>
                </c:pt>
                <c:pt idx="2008">
                  <c:v>122.20070648193359</c:v>
                </c:pt>
                <c:pt idx="2009">
                  <c:v>123.28521728515624</c:v>
                </c:pt>
                <c:pt idx="2010">
                  <c:v>122.58802795410156</c:v>
                </c:pt>
                <c:pt idx="2011">
                  <c:v>122.82041931152344</c:v>
                </c:pt>
                <c:pt idx="2012">
                  <c:v>118.42430114746094</c:v>
                </c:pt>
                <c:pt idx="2013">
                  <c:v>119.58627319335938</c:v>
                </c:pt>
                <c:pt idx="2014">
                  <c:v>120.86444091796876</c:v>
                </c:pt>
                <c:pt idx="2015">
                  <c:v>121.52288818359376</c:v>
                </c:pt>
                <c:pt idx="2016">
                  <c:v>117.39788818359376</c:v>
                </c:pt>
                <c:pt idx="2017">
                  <c:v>118.09506988525391</c:v>
                </c:pt>
                <c:pt idx="2018">
                  <c:v>118.92781829833984</c:v>
                </c:pt>
                <c:pt idx="2019">
                  <c:v>120.14788818359376</c:v>
                </c:pt>
                <c:pt idx="2020">
                  <c:v>116.29401397705078</c:v>
                </c:pt>
                <c:pt idx="2021">
                  <c:v>116.00352478027344</c:v>
                </c:pt>
                <c:pt idx="2022">
                  <c:v>115.03521728515624</c:v>
                </c:pt>
                <c:pt idx="2023">
                  <c:v>117.12676239013672</c:v>
                </c:pt>
                <c:pt idx="2024">
                  <c:v>115.75176239013672</c:v>
                </c:pt>
                <c:pt idx="2025">
                  <c:v>115.22887420654295</c:v>
                </c:pt>
                <c:pt idx="2026">
                  <c:v>115.42253112792967</c:v>
                </c:pt>
                <c:pt idx="2027">
                  <c:v>113.04049682617188</c:v>
                </c:pt>
                <c:pt idx="2028">
                  <c:v>110.73591613769533</c:v>
                </c:pt>
                <c:pt idx="2029">
                  <c:v>115.44190216064452</c:v>
                </c:pt>
                <c:pt idx="2030">
                  <c:v>114.04753875732422</c:v>
                </c:pt>
                <c:pt idx="2031">
                  <c:v>113.50528717041016</c:v>
                </c:pt>
                <c:pt idx="2032">
                  <c:v>113.97006988525391</c:v>
                </c:pt>
                <c:pt idx="2033">
                  <c:v>113.66020965576172</c:v>
                </c:pt>
                <c:pt idx="2034">
                  <c:v>114.18309783935548</c:v>
                </c:pt>
                <c:pt idx="2035">
                  <c:v>115.11267852783205</c:v>
                </c:pt>
                <c:pt idx="2036">
                  <c:v>114.55106353759766</c:v>
                </c:pt>
                <c:pt idx="2037">
                  <c:v>115.65493774414062</c:v>
                </c:pt>
                <c:pt idx="2038">
                  <c:v>115.53873443603516</c:v>
                </c:pt>
                <c:pt idx="2039">
                  <c:v>116.04225158691406</c:v>
                </c:pt>
                <c:pt idx="2040">
                  <c:v>116.58451080322266</c:v>
                </c:pt>
                <c:pt idx="2041">
                  <c:v>118.13380432128906</c:v>
                </c:pt>
                <c:pt idx="2042">
                  <c:v>117.9982452392578</c:v>
                </c:pt>
                <c:pt idx="2043">
                  <c:v>116.35211944580078</c:v>
                </c:pt>
                <c:pt idx="2044">
                  <c:v>118.38556671142578</c:v>
                </c:pt>
                <c:pt idx="2045">
                  <c:v>119.60563659667967</c:v>
                </c:pt>
                <c:pt idx="2046">
                  <c:v>120.72887420654295</c:v>
                </c:pt>
                <c:pt idx="2047">
                  <c:v>121.77465057373048</c:v>
                </c:pt>
                <c:pt idx="2048">
                  <c:v>125.86091613769533</c:v>
                </c:pt>
                <c:pt idx="2049">
                  <c:v>124.35034942626952</c:v>
                </c:pt>
                <c:pt idx="2050">
                  <c:v>125.86091613769533</c:v>
                </c:pt>
                <c:pt idx="2051">
                  <c:v>126.69366455078124</c:v>
                </c:pt>
                <c:pt idx="2052">
                  <c:v>125.99647521972656</c:v>
                </c:pt>
                <c:pt idx="2053">
                  <c:v>126.88732147216795</c:v>
                </c:pt>
                <c:pt idx="2054">
                  <c:v>128.08802795410156</c:v>
                </c:pt>
                <c:pt idx="2055">
                  <c:v>128.74649047851562</c:v>
                </c:pt>
                <c:pt idx="2056">
                  <c:v>128.649658203125</c:v>
                </c:pt>
                <c:pt idx="2057">
                  <c:v>130.41197204589844</c:v>
                </c:pt>
                <c:pt idx="2058">
                  <c:v>131.20599365234375</c:v>
                </c:pt>
                <c:pt idx="2059">
                  <c:v>131.55458068847656</c:v>
                </c:pt>
                <c:pt idx="2060">
                  <c:v>132.07746887207031</c:v>
                </c:pt>
                <c:pt idx="2061">
                  <c:v>130.14083862304688</c:v>
                </c:pt>
                <c:pt idx="2062">
                  <c:v>131.0123291015625</c:v>
                </c:pt>
                <c:pt idx="2063">
                  <c:v>130.81866455078125</c:v>
                </c:pt>
                <c:pt idx="2064">
                  <c:v>129.79225158691406</c:v>
                </c:pt>
                <c:pt idx="2065">
                  <c:v>129.46302795410156</c:v>
                </c:pt>
                <c:pt idx="2066">
                  <c:v>130.31513977050781</c:v>
                </c:pt>
                <c:pt idx="2067">
                  <c:v>131.38027954101562</c:v>
                </c:pt>
                <c:pt idx="2068">
                  <c:v>129.6954345703125</c:v>
                </c:pt>
                <c:pt idx="2069">
                  <c:v>129.38555908203125</c:v>
                </c:pt>
                <c:pt idx="2070">
                  <c:v>129.17253112792969</c:v>
                </c:pt>
                <c:pt idx="2071">
                  <c:v>125.66725158691406</c:v>
                </c:pt>
                <c:pt idx="2072">
                  <c:v>120.12852478027344</c:v>
                </c:pt>
                <c:pt idx="2073">
                  <c:v>123.92430114746094</c:v>
                </c:pt>
                <c:pt idx="2074">
                  <c:v>122.97535705566406</c:v>
                </c:pt>
                <c:pt idx="2075">
                  <c:v>123.01409149169922</c:v>
                </c:pt>
                <c:pt idx="2076">
                  <c:v>120.98063659667967</c:v>
                </c:pt>
                <c:pt idx="2077">
                  <c:v>120.28345489501952</c:v>
                </c:pt>
                <c:pt idx="2078">
                  <c:v>120.07042694091795</c:v>
                </c:pt>
                <c:pt idx="2079">
                  <c:v>120.22535705566406</c:v>
                </c:pt>
                <c:pt idx="2080">
                  <c:v>121.91021728515624</c:v>
                </c:pt>
                <c:pt idx="2081">
                  <c:v>125.125</c:v>
                </c:pt>
                <c:pt idx="2082">
                  <c:v>127.33274841308594</c:v>
                </c:pt>
                <c:pt idx="2083">
                  <c:v>126.57746887207033</c:v>
                </c:pt>
                <c:pt idx="2084">
                  <c:v>126.67430877685548</c:v>
                </c:pt>
                <c:pt idx="2085">
                  <c:v>127.70071411132812</c:v>
                </c:pt>
                <c:pt idx="2086">
                  <c:v>128.57218933105469</c:v>
                </c:pt>
                <c:pt idx="2087">
                  <c:v>128.9207763671875</c:v>
                </c:pt>
                <c:pt idx="2088">
                  <c:v>128.9207763671875</c:v>
                </c:pt>
                <c:pt idx="2089">
                  <c:v>129.05633544921875</c:v>
                </c:pt>
                <c:pt idx="2090">
                  <c:v>125.88028717041016</c:v>
                </c:pt>
                <c:pt idx="2091">
                  <c:v>126.34506988525391</c:v>
                </c:pt>
                <c:pt idx="2092">
                  <c:v>129.28874206542969</c:v>
                </c:pt>
                <c:pt idx="2093">
                  <c:v>129.79225158691406</c:v>
                </c:pt>
                <c:pt idx="2094">
                  <c:v>129.23063659667969</c:v>
                </c:pt>
                <c:pt idx="2095">
                  <c:v>127.81690216064452</c:v>
                </c:pt>
                <c:pt idx="2096">
                  <c:v>130.12149047851562</c:v>
                </c:pt>
                <c:pt idx="2097">
                  <c:v>130.64436340332031</c:v>
                </c:pt>
                <c:pt idx="2098">
                  <c:v>130.16021728515625</c:v>
                </c:pt>
                <c:pt idx="2099">
                  <c:v>130.83802795410156</c:v>
                </c:pt>
                <c:pt idx="2100">
                  <c:v>130.81866455078125</c:v>
                </c:pt>
                <c:pt idx="2101">
                  <c:v>130.00527954101562</c:v>
                </c:pt>
                <c:pt idx="2102">
                  <c:v>129.17253112792969</c:v>
                </c:pt>
                <c:pt idx="2103">
                  <c:v>132.44541931152344</c:v>
                </c:pt>
                <c:pt idx="2104">
                  <c:v>133.52992248535156</c:v>
                </c:pt>
                <c:pt idx="2105">
                  <c:v>132.07746887207031</c:v>
                </c:pt>
                <c:pt idx="2106">
                  <c:v>133.60739135742188</c:v>
                </c:pt>
                <c:pt idx="2107">
                  <c:v>131.49649047851562</c:v>
                </c:pt>
                <c:pt idx="2108">
                  <c:v>134.59507751464844</c:v>
                </c:pt>
                <c:pt idx="2109">
                  <c:v>128.68836975097656</c:v>
                </c:pt>
                <c:pt idx="2110">
                  <c:v>129.98591613769531</c:v>
                </c:pt>
                <c:pt idx="2111">
                  <c:v>132.23239135742188</c:v>
                </c:pt>
                <c:pt idx="2112">
                  <c:v>130.23768615722656</c:v>
                </c:pt>
                <c:pt idx="2113">
                  <c:v>129.01760864257812</c:v>
                </c:pt>
                <c:pt idx="2114">
                  <c:v>129.44366455078125</c:v>
                </c:pt>
                <c:pt idx="2115">
                  <c:v>133.62677001953125</c:v>
                </c:pt>
                <c:pt idx="2116">
                  <c:v>132.54226684570312</c:v>
                </c:pt>
                <c:pt idx="2117">
                  <c:v>132.658447265625</c:v>
                </c:pt>
                <c:pt idx="2118">
                  <c:v>132.44541931152344</c:v>
                </c:pt>
                <c:pt idx="2119">
                  <c:v>132.29049682617188</c:v>
                </c:pt>
                <c:pt idx="2120">
                  <c:v>133.62677001953125</c:v>
                </c:pt>
                <c:pt idx="2121">
                  <c:v>132.27113342285156</c:v>
                </c:pt>
                <c:pt idx="2122">
                  <c:v>128.591552734375</c:v>
                </c:pt>
                <c:pt idx="2123">
                  <c:v>125.74472045898438</c:v>
                </c:pt>
                <c:pt idx="2124">
                  <c:v>126.8292236328125</c:v>
                </c:pt>
                <c:pt idx="2125">
                  <c:v>126.13204193115234</c:v>
                </c:pt>
                <c:pt idx="2126">
                  <c:v>127.6232452392578</c:v>
                </c:pt>
                <c:pt idx="2127">
                  <c:v>127.60387420654295</c:v>
                </c:pt>
                <c:pt idx="2128">
                  <c:v>126.69366455078124</c:v>
                </c:pt>
                <c:pt idx="2129">
                  <c:v>120.43837738037109</c:v>
                </c:pt>
                <c:pt idx="2130">
                  <c:v>119.625</c:v>
                </c:pt>
                <c:pt idx="2131">
                  <c:v>116.73943328857422</c:v>
                </c:pt>
                <c:pt idx="2132">
                  <c:v>111.35563659667967</c:v>
                </c:pt>
                <c:pt idx="2133">
                  <c:v>104.67429351806641</c:v>
                </c:pt>
                <c:pt idx="2134">
                  <c:v>104.20951080322266</c:v>
                </c:pt>
                <c:pt idx="2135">
                  <c:v>108.56690979003906</c:v>
                </c:pt>
                <c:pt idx="2136">
                  <c:v>107.44366455078124</c:v>
                </c:pt>
                <c:pt idx="2137">
                  <c:v>104.30634307861328</c:v>
                </c:pt>
                <c:pt idx="2138">
                  <c:v>96.346832275390625</c:v>
                </c:pt>
                <c:pt idx="2139">
                  <c:v>87.138206481933594</c:v>
                </c:pt>
                <c:pt idx="2140">
                  <c:v>86.779937744140625</c:v>
                </c:pt>
                <c:pt idx="2141">
                  <c:v>82.984153747558594</c:v>
                </c:pt>
                <c:pt idx="2142">
                  <c:v>69.098594665527344</c:v>
                </c:pt>
                <c:pt idx="2143">
                  <c:v>71.974472045898438</c:v>
                </c:pt>
                <c:pt idx="2144">
                  <c:v>66.813385009765625</c:v>
                </c:pt>
                <c:pt idx="2145">
                  <c:v>61.042255401611328</c:v>
                </c:pt>
                <c:pt idx="2146">
                  <c:v>47.510124206542969</c:v>
                </c:pt>
                <c:pt idx="2147">
                  <c:v>52.027290344238281</c:v>
                </c:pt>
                <c:pt idx="2148">
                  <c:v>61.758804321289062</c:v>
                </c:pt>
                <c:pt idx="2149">
                  <c:v>53.257041931152344</c:v>
                </c:pt>
                <c:pt idx="2150">
                  <c:v>54.205986022949219</c:v>
                </c:pt>
                <c:pt idx="2151">
                  <c:v>58.108272552490234</c:v>
                </c:pt>
                <c:pt idx="2152">
                  <c:v>69.999122619628906</c:v>
                </c:pt>
                <c:pt idx="2153">
                  <c:v>66.009681701660156</c:v>
                </c:pt>
                <c:pt idx="2154">
                  <c:v>58.999122619628906</c:v>
                </c:pt>
                <c:pt idx="2155">
                  <c:v>57.459506988525391</c:v>
                </c:pt>
                <c:pt idx="2156">
                  <c:v>50.5457763671875</c:v>
                </c:pt>
                <c:pt idx="2157">
                  <c:v>48.676937103271491</c:v>
                </c:pt>
                <c:pt idx="2158">
                  <c:v>47.936180114746094</c:v>
                </c:pt>
                <c:pt idx="2159">
                  <c:v>51.833625793457031</c:v>
                </c:pt>
                <c:pt idx="2160">
                  <c:v>55.232395172119141</c:v>
                </c:pt>
                <c:pt idx="2161">
                  <c:v>57.914615631103523</c:v>
                </c:pt>
                <c:pt idx="2162">
                  <c:v>59.066902160644531</c:v>
                </c:pt>
                <c:pt idx="2163">
                  <c:v>58.098594665527344</c:v>
                </c:pt>
                <c:pt idx="2164">
                  <c:v>53.063381195068359</c:v>
                </c:pt>
                <c:pt idx="2165">
                  <c:v>51.514087677001953</c:v>
                </c:pt>
                <c:pt idx="2166">
                  <c:v>55</c:v>
                </c:pt>
                <c:pt idx="2167">
                  <c:v>55.619998931884766</c:v>
                </c:pt>
                <c:pt idx="2168">
                  <c:v>51.959999084472656</c:v>
                </c:pt>
                <c:pt idx="2169">
                  <c:v>53.529998779296875</c:v>
                </c:pt>
                <c:pt idx="2170">
                  <c:v>54.25</c:v>
                </c:pt>
                <c:pt idx="2171">
                  <c:v>52.340000152587891</c:v>
                </c:pt>
                <c:pt idx="2172">
                  <c:v>51.069999694824219</c:v>
                </c:pt>
                <c:pt idx="2173">
                  <c:v>52.880001068115234</c:v>
                </c:pt>
                <c:pt idx="2174">
                  <c:v>58.389999389648438</c:v>
                </c:pt>
                <c:pt idx="2175">
                  <c:v>57.880001068115234</c:v>
                </c:pt>
                <c:pt idx="2176">
                  <c:v>55</c:v>
                </c:pt>
                <c:pt idx="2177">
                  <c:v>56.439998626708984</c:v>
                </c:pt>
                <c:pt idx="2178">
                  <c:v>53.700000762939453</c:v>
                </c:pt>
                <c:pt idx="2179">
                  <c:v>55.75</c:v>
                </c:pt>
                <c:pt idx="2180">
                  <c:v>56.069999694824219</c:v>
                </c:pt>
                <c:pt idx="2181">
                  <c:v>54.5</c:v>
                </c:pt>
                <c:pt idx="2182">
                  <c:v>51.220001220703125</c:v>
                </c:pt>
                <c:pt idx="2183">
                  <c:v>49.599998474121094</c:v>
                </c:pt>
                <c:pt idx="2184">
                  <c:v>49.880001068115234</c:v>
                </c:pt>
                <c:pt idx="2185">
                  <c:v>49.310001373291016</c:v>
                </c:pt>
                <c:pt idx="2186">
                  <c:v>55.340000152587891</c:v>
                </c:pt>
                <c:pt idx="2187">
                  <c:v>54.229999542236328</c:v>
                </c:pt>
                <c:pt idx="2188">
                  <c:v>55.049999237060547</c:v>
                </c:pt>
                <c:pt idx="2189">
                  <c:v>54.650001525878906</c:v>
                </c:pt>
                <c:pt idx="2190">
                  <c:v>54.040000915527344</c:v>
                </c:pt>
                <c:pt idx="2191">
                  <c:v>58.639999389648438</c:v>
                </c:pt>
                <c:pt idx="2192">
                  <c:v>62.810001373291016</c:v>
                </c:pt>
                <c:pt idx="2193">
                  <c:v>61.130001068115234</c:v>
                </c:pt>
                <c:pt idx="2194">
                  <c:v>60.119998931884766</c:v>
                </c:pt>
                <c:pt idx="2195">
                  <c:v>56.700000762939453</c:v>
                </c:pt>
                <c:pt idx="2196">
                  <c:v>59.439998626708984</c:v>
                </c:pt>
                <c:pt idx="2197">
                  <c:v>63.700000762939453</c:v>
                </c:pt>
                <c:pt idx="2198">
                  <c:v>68.410003662109375</c:v>
                </c:pt>
                <c:pt idx="2199">
                  <c:v>71.980003356933594</c:v>
                </c:pt>
                <c:pt idx="2200">
                  <c:v>80.980003356933594</c:v>
                </c:pt>
                <c:pt idx="2201">
                  <c:v>81.910003662109375</c:v>
                </c:pt>
                <c:pt idx="2202">
                  <c:v>75.669998168945312</c:v>
                </c:pt>
                <c:pt idx="2203">
                  <c:v>74.959999084472656</c:v>
                </c:pt>
                <c:pt idx="2204">
                  <c:v>67.05999755859375</c:v>
                </c:pt>
                <c:pt idx="2205">
                  <c:v>66.949996948242188</c:v>
                </c:pt>
                <c:pt idx="2206">
                  <c:v>68</c:v>
                </c:pt>
                <c:pt idx="2207">
                  <c:v>69.830001831054688</c:v>
                </c:pt>
                <c:pt idx="2208">
                  <c:v>69.75</c:v>
                </c:pt>
                <c:pt idx="2209">
                  <c:v>67.819999694824219</c:v>
                </c:pt>
                <c:pt idx="2210">
                  <c:v>68.860000610351562</c:v>
                </c:pt>
                <c:pt idx="2211">
                  <c:v>67.260002136230469</c:v>
                </c:pt>
                <c:pt idx="2212">
                  <c:v>66.760002136230469</c:v>
                </c:pt>
                <c:pt idx="2213">
                  <c:v>62.970001220703125</c:v>
                </c:pt>
                <c:pt idx="2214">
                  <c:v>63.919998168945312</c:v>
                </c:pt>
                <c:pt idx="2215">
                  <c:v>61.880001068115234</c:v>
                </c:pt>
                <c:pt idx="2216">
                  <c:v>63.349998474121094</c:v>
                </c:pt>
                <c:pt idx="2217">
                  <c:v>63.520000457763672</c:v>
                </c:pt>
                <c:pt idx="2218">
                  <c:v>64.19000244140625</c:v>
                </c:pt>
                <c:pt idx="2219">
                  <c:v>66.410003662109375</c:v>
                </c:pt>
                <c:pt idx="2220">
                  <c:v>65.629997253417969</c:v>
                </c:pt>
                <c:pt idx="2221">
                  <c:v>67.720001220703125</c:v>
                </c:pt>
                <c:pt idx="2222">
                  <c:v>67.300003051757812</c:v>
                </c:pt>
                <c:pt idx="2223">
                  <c:v>65.830001831054688</c:v>
                </c:pt>
                <c:pt idx="2224">
                  <c:v>63.220001220703125</c:v>
                </c:pt>
                <c:pt idx="2225">
                  <c:v>65.449996948242188</c:v>
                </c:pt>
                <c:pt idx="2226">
                  <c:v>67.849998474121094</c:v>
                </c:pt>
                <c:pt idx="2227">
                  <c:v>66.160003662109375</c:v>
                </c:pt>
                <c:pt idx="2228">
                  <c:v>69.220001220703125</c:v>
                </c:pt>
                <c:pt idx="2229">
                  <c:v>67</c:v>
                </c:pt>
                <c:pt idx="2230">
                  <c:v>65.900001525878906</c:v>
                </c:pt>
                <c:pt idx="2231">
                  <c:v>65.709999084472656</c:v>
                </c:pt>
                <c:pt idx="2232">
                  <c:v>68.050003051757812</c:v>
                </c:pt>
                <c:pt idx="2233">
                  <c:v>67.110000610351562</c:v>
                </c:pt>
                <c:pt idx="2234">
                  <c:v>65.279998779296875</c:v>
                </c:pt>
                <c:pt idx="2235">
                  <c:v>63.930000305175781</c:v>
                </c:pt>
                <c:pt idx="2236">
                  <c:v>61.919998168945312</c:v>
                </c:pt>
                <c:pt idx="2237">
                  <c:v>63.849998474121094</c:v>
                </c:pt>
                <c:pt idx="2238">
                  <c:v>62.180000305175781</c:v>
                </c:pt>
                <c:pt idx="2239">
                  <c:v>63.340000152587891</c:v>
                </c:pt>
                <c:pt idx="2240">
                  <c:v>62.009998321533203</c:v>
                </c:pt>
                <c:pt idx="2241">
                  <c:v>63.729999542236328</c:v>
                </c:pt>
                <c:pt idx="2242">
                  <c:v>65.680000305175781</c:v>
                </c:pt>
                <c:pt idx="2243">
                  <c:v>67.970001220703125</c:v>
                </c:pt>
                <c:pt idx="2244">
                  <c:v>68.330001831054688</c:v>
                </c:pt>
                <c:pt idx="2245">
                  <c:v>69.300003051757812</c:v>
                </c:pt>
                <c:pt idx="2246">
                  <c:v>72.05999755859375</c:v>
                </c:pt>
                <c:pt idx="2247">
                  <c:v>76.180000305175781</c:v>
                </c:pt>
                <c:pt idx="2248">
                  <c:v>74.919998168945312</c:v>
                </c:pt>
                <c:pt idx="2249">
                  <c:v>73.300003051757812</c:v>
                </c:pt>
                <c:pt idx="2250">
                  <c:v>72.110000610351562</c:v>
                </c:pt>
                <c:pt idx="2251">
                  <c:v>71.44000244140625</c:v>
                </c:pt>
                <c:pt idx="2252">
                  <c:v>69.230003356933594</c:v>
                </c:pt>
                <c:pt idx="2253">
                  <c:v>70.25</c:v>
                </c:pt>
                <c:pt idx="2254">
                  <c:v>69.169998168945312</c:v>
                </c:pt>
                <c:pt idx="2255">
                  <c:v>69.080001831054688</c:v>
                </c:pt>
                <c:pt idx="2256">
                  <c:v>72.099998474121094</c:v>
                </c:pt>
                <c:pt idx="2257">
                  <c:v>71.55999755859375</c:v>
                </c:pt>
                <c:pt idx="2258">
                  <c:v>70.239997863769531</c:v>
                </c:pt>
                <c:pt idx="2259">
                  <c:v>72.110000610351562</c:v>
                </c:pt>
                <c:pt idx="2260">
                  <c:v>71.44000244140625</c:v>
                </c:pt>
                <c:pt idx="2261">
                  <c:v>68.839996337890625</c:v>
                </c:pt>
                <c:pt idx="2262">
                  <c:v>69.569999694824219</c:v>
                </c:pt>
                <c:pt idx="2263">
                  <c:v>72.080001831054688</c:v>
                </c:pt>
                <c:pt idx="2264">
                  <c:v>71.5</c:v>
                </c:pt>
                <c:pt idx="2265">
                  <c:v>69.779998779296875</c:v>
                </c:pt>
                <c:pt idx="2266">
                  <c:v>73.769996643066406</c:v>
                </c:pt>
                <c:pt idx="2267">
                  <c:v>70.779998779296875</c:v>
                </c:pt>
                <c:pt idx="2268">
                  <c:v>69.389999389648438</c:v>
                </c:pt>
                <c:pt idx="2269">
                  <c:v>69.44000244140625</c:v>
                </c:pt>
                <c:pt idx="2270">
                  <c:v>68.819999694824219</c:v>
                </c:pt>
                <c:pt idx="2271">
                  <c:v>71.319999694824219</c:v>
                </c:pt>
                <c:pt idx="2272">
                  <c:v>69.480003356933594</c:v>
                </c:pt>
                <c:pt idx="2273">
                  <c:v>70.790000915527344</c:v>
                </c:pt>
                <c:pt idx="2274">
                  <c:v>71.120002746582031</c:v>
                </c:pt>
                <c:pt idx="2275">
                  <c:v>68.599998474121094</c:v>
                </c:pt>
                <c:pt idx="2276">
                  <c:v>64.089996337890625</c:v>
                </c:pt>
                <c:pt idx="2277">
                  <c:v>62.369998931884766</c:v>
                </c:pt>
                <c:pt idx="2278">
                  <c:v>61.790000915527344</c:v>
                </c:pt>
                <c:pt idx="2279">
                  <c:v>59.650001525878906</c:v>
                </c:pt>
                <c:pt idx="2280">
                  <c:v>60.020000457763672</c:v>
                </c:pt>
                <c:pt idx="2281">
                  <c:v>62.310001373291016</c:v>
                </c:pt>
                <c:pt idx="2282">
                  <c:v>62.590000152587891</c:v>
                </c:pt>
                <c:pt idx="2283">
                  <c:v>62.069999694824219</c:v>
                </c:pt>
                <c:pt idx="2284">
                  <c:v>64.900001525878906</c:v>
                </c:pt>
                <c:pt idx="2285">
                  <c:v>64.620002746582031</c:v>
                </c:pt>
                <c:pt idx="2286">
                  <c:v>65.800003051757812</c:v>
                </c:pt>
                <c:pt idx="2287">
                  <c:v>67.769996643066406</c:v>
                </c:pt>
                <c:pt idx="2288">
                  <c:v>66.699996948242188</c:v>
                </c:pt>
                <c:pt idx="2289">
                  <c:v>66.919998168945312</c:v>
                </c:pt>
                <c:pt idx="2290">
                  <c:v>66.779998779296875</c:v>
                </c:pt>
                <c:pt idx="2291">
                  <c:v>65.989997863769531</c:v>
                </c:pt>
                <c:pt idx="2292">
                  <c:v>63.680000305175781</c:v>
                </c:pt>
                <c:pt idx="2293">
                  <c:v>62.150001525878906</c:v>
                </c:pt>
                <c:pt idx="2294">
                  <c:v>61.790000915527344</c:v>
                </c:pt>
                <c:pt idx="2295">
                  <c:v>64.339996337890625</c:v>
                </c:pt>
                <c:pt idx="2296">
                  <c:v>65.720001220703125</c:v>
                </c:pt>
                <c:pt idx="2297">
                  <c:v>66.94000244140625</c:v>
                </c:pt>
                <c:pt idx="2298">
                  <c:v>64.05999755859375</c:v>
                </c:pt>
                <c:pt idx="2299">
                  <c:v>64.449996948242188</c:v>
                </c:pt>
                <c:pt idx="2300">
                  <c:v>68.029998779296875</c:v>
                </c:pt>
                <c:pt idx="2301">
                  <c:v>65.849998474121094</c:v>
                </c:pt>
                <c:pt idx="2302">
                  <c:v>64</c:v>
                </c:pt>
                <c:pt idx="2303">
                  <c:v>61.770000457763672</c:v>
                </c:pt>
                <c:pt idx="2304">
                  <c:v>61.5</c:v>
                </c:pt>
                <c:pt idx="2305">
                  <c:v>62.590000152587891</c:v>
                </c:pt>
                <c:pt idx="2306">
                  <c:v>63.090000152587891</c:v>
                </c:pt>
                <c:pt idx="2307">
                  <c:v>66.279998779296875</c:v>
                </c:pt>
                <c:pt idx="2308">
                  <c:v>68.580001831054688</c:v>
                </c:pt>
                <c:pt idx="2309">
                  <c:v>70.379997253417969</c:v>
                </c:pt>
                <c:pt idx="2310">
                  <c:v>70</c:v>
                </c:pt>
                <c:pt idx="2311">
                  <c:v>83</c:v>
                </c:pt>
                <c:pt idx="2312">
                  <c:v>87.919998168945312</c:v>
                </c:pt>
                <c:pt idx="2313">
                  <c:v>87</c:v>
                </c:pt>
                <c:pt idx="2314">
                  <c:v>84.610000610351562</c:v>
                </c:pt>
                <c:pt idx="2315">
                  <c:v>85.55999755859375</c:v>
                </c:pt>
                <c:pt idx="2316">
                  <c:v>90</c:v>
                </c:pt>
                <c:pt idx="2317">
                  <c:v>90.089996337890625</c:v>
                </c:pt>
                <c:pt idx="2318">
                  <c:v>90</c:v>
                </c:pt>
                <c:pt idx="2319">
                  <c:v>89.330001831054688</c:v>
                </c:pt>
                <c:pt idx="2320">
                  <c:v>88.639999389648438</c:v>
                </c:pt>
                <c:pt idx="2321">
                  <c:v>90.139999389648438</c:v>
                </c:pt>
                <c:pt idx="2322">
                  <c:v>93.5</c:v>
                </c:pt>
                <c:pt idx="2323">
                  <c:v>91.5</c:v>
                </c:pt>
                <c:pt idx="2324">
                  <c:v>89.800003051757812</c:v>
                </c:pt>
                <c:pt idx="2325">
                  <c:v>90</c:v>
                </c:pt>
                <c:pt idx="2326">
                  <c:v>87.730003356933594</c:v>
                </c:pt>
                <c:pt idx="2327">
                  <c:v>89.400001525878906</c:v>
                </c:pt>
                <c:pt idx="2328">
                  <c:v>91.319999694824219</c:v>
                </c:pt>
                <c:pt idx="2329">
                  <c:v>95</c:v>
                </c:pt>
                <c:pt idx="2330">
                  <c:v>96.239997863769517</c:v>
                </c:pt>
                <c:pt idx="2331">
                  <c:v>95.209999084472656</c:v>
                </c:pt>
                <c:pt idx="2332">
                  <c:v>94.730003356933594</c:v>
                </c:pt>
                <c:pt idx="2333">
                  <c:v>93.589996337890625</c:v>
                </c:pt>
                <c:pt idx="2334">
                  <c:v>93.720001220703125</c:v>
                </c:pt>
                <c:pt idx="2335">
                  <c:v>92.190002441406236</c:v>
                </c:pt>
                <c:pt idx="2336">
                  <c:v>92.050003051757798</c:v>
                </c:pt>
                <c:pt idx="2337">
                  <c:v>91.370002746582045</c:v>
                </c:pt>
                <c:pt idx="2338">
                  <c:v>90.709999084472656</c:v>
                </c:pt>
                <c:pt idx="2339">
                  <c:v>90.379997253417955</c:v>
                </c:pt>
                <c:pt idx="2340">
                  <c:v>89</c:v>
                </c:pt>
                <c:pt idx="2341">
                  <c:v>86.540000915527344</c:v>
                </c:pt>
                <c:pt idx="2342">
                  <c:v>87.94000244140625</c:v>
                </c:pt>
                <c:pt idx="2343">
                  <c:v>91.949996948242202</c:v>
                </c:pt>
                <c:pt idx="2344">
                  <c:v>92.040000915527344</c:v>
                </c:pt>
                <c:pt idx="2345">
                  <c:v>91.980003356933594</c:v>
                </c:pt>
                <c:pt idx="2346">
                  <c:v>93.069999694824219</c:v>
                </c:pt>
                <c:pt idx="2347">
                  <c:v>91.25</c:v>
                </c:pt>
                <c:pt idx="2348">
                  <c:v>89.779998779296875</c:v>
                </c:pt>
                <c:pt idx="2349">
                  <c:v>89.889999389648438</c:v>
                </c:pt>
                <c:pt idx="2350">
                  <c:v>89.830001831054688</c:v>
                </c:pt>
                <c:pt idx="2351">
                  <c:v>90.169998168945327</c:v>
                </c:pt>
                <c:pt idx="2352">
                  <c:v>89.620002746582031</c:v>
                </c:pt>
                <c:pt idx="2353">
                  <c:v>90.099998474121094</c:v>
                </c:pt>
                <c:pt idx="2354">
                  <c:v>89.779998779296875</c:v>
                </c:pt>
                <c:pt idx="2355">
                  <c:v>89.959999084472656</c:v>
                </c:pt>
                <c:pt idx="2356">
                  <c:v>89.110000610351562</c:v>
                </c:pt>
                <c:pt idx="2357">
                  <c:v>93.25</c:v>
                </c:pt>
                <c:pt idx="2358">
                  <c:v>92.550003051757798</c:v>
                </c:pt>
                <c:pt idx="2359">
                  <c:v>91.190002441406236</c:v>
                </c:pt>
                <c:pt idx="2360">
                  <c:v>91.300003051757798</c:v>
                </c:pt>
                <c:pt idx="2361">
                  <c:v>92.410003662109375</c:v>
                </c:pt>
                <c:pt idx="2362">
                  <c:v>89.360000610351562</c:v>
                </c:pt>
                <c:pt idx="2363">
                  <c:v>88.830001831054688</c:v>
                </c:pt>
                <c:pt idx="2364">
                  <c:v>84.870002746582031</c:v>
                </c:pt>
                <c:pt idx="2365">
                  <c:v>85.290000915527344</c:v>
                </c:pt>
                <c:pt idx="2366">
                  <c:v>84.360000610351562</c:v>
                </c:pt>
                <c:pt idx="2367">
                  <c:v>85.150001525878906</c:v>
                </c:pt>
                <c:pt idx="2368">
                  <c:v>83.199996948242188</c:v>
                </c:pt>
                <c:pt idx="2369">
                  <c:v>83.110000610351562</c:v>
                </c:pt>
                <c:pt idx="2370">
                  <c:v>88.589996337890625</c:v>
                </c:pt>
                <c:pt idx="2371">
                  <c:v>89.80999755859375</c:v>
                </c:pt>
                <c:pt idx="2372">
                  <c:v>93.099998474121094</c:v>
                </c:pt>
                <c:pt idx="2373">
                  <c:v>93.419998168945327</c:v>
                </c:pt>
                <c:pt idx="2374">
                  <c:v>93.870002746582045</c:v>
                </c:pt>
                <c:pt idx="2375">
                  <c:v>92.470001220703125</c:v>
                </c:pt>
                <c:pt idx="2376">
                  <c:v>91.690002441406236</c:v>
                </c:pt>
                <c:pt idx="2377">
                  <c:v>91.220001220703125</c:v>
                </c:pt>
                <c:pt idx="2378">
                  <c:v>92.209999084472656</c:v>
                </c:pt>
                <c:pt idx="2379">
                  <c:v>93.669998168945327</c:v>
                </c:pt>
                <c:pt idx="2380">
                  <c:v>93.800003051757798</c:v>
                </c:pt>
                <c:pt idx="2381">
                  <c:v>93.900001525878906</c:v>
                </c:pt>
                <c:pt idx="2382">
                  <c:v>91.290000915527344</c:v>
                </c:pt>
                <c:pt idx="2383">
                  <c:v>91.769996643066406</c:v>
                </c:pt>
                <c:pt idx="2384">
                  <c:v>95.800003051757798</c:v>
                </c:pt>
                <c:pt idx="2385">
                  <c:v>98.949996948242202</c:v>
                </c:pt>
                <c:pt idx="2386">
                  <c:v>102.72000122070312</c:v>
                </c:pt>
                <c:pt idx="2387">
                  <c:v>98.930000305175781</c:v>
                </c:pt>
                <c:pt idx="2388">
                  <c:v>95.910003662109375</c:v>
                </c:pt>
                <c:pt idx="2389">
                  <c:v>100.68000030517578</c:v>
                </c:pt>
                <c:pt idx="2390">
                  <c:v>99.099998474121094</c:v>
                </c:pt>
                <c:pt idx="2391">
                  <c:v>100.45999908447266</c:v>
                </c:pt>
                <c:pt idx="2392">
                  <c:v>100.3000030517578</c:v>
                </c:pt>
                <c:pt idx="2393">
                  <c:v>95.419998168945327</c:v>
                </c:pt>
                <c:pt idx="2394">
                  <c:v>100.51999664306641</c:v>
                </c:pt>
                <c:pt idx="2395">
                  <c:v>100.26000213623048</c:v>
                </c:pt>
                <c:pt idx="2396">
                  <c:v>98.989997863769517</c:v>
                </c:pt>
                <c:pt idx="2397">
                  <c:v>99.129997253417955</c:v>
                </c:pt>
                <c:pt idx="2398">
                  <c:v>100</c:v>
                </c:pt>
                <c:pt idx="2399">
                  <c:v>100</c:v>
                </c:pt>
                <c:pt idx="2400">
                  <c:v>101.77999877929688</c:v>
                </c:pt>
                <c:pt idx="2401">
                  <c:v>101</c:v>
                </c:pt>
                <c:pt idx="2402">
                  <c:v>101.09999847412109</c:v>
                </c:pt>
                <c:pt idx="2403">
                  <c:v>97.339996337890625</c:v>
                </c:pt>
                <c:pt idx="2404">
                  <c:v>97.069999694824219</c:v>
                </c:pt>
                <c:pt idx="2405">
                  <c:v>95.209999084472656</c:v>
                </c:pt>
                <c:pt idx="2406">
                  <c:v>95.970001220703125</c:v>
                </c:pt>
                <c:pt idx="2407">
                  <c:v>96.489997863769517</c:v>
                </c:pt>
                <c:pt idx="2408">
                  <c:v>97.680000305175781</c:v>
                </c:pt>
                <c:pt idx="2409">
                  <c:v>97.400001525878906</c:v>
                </c:pt>
                <c:pt idx="2410">
                  <c:v>97.699996948242202</c:v>
                </c:pt>
                <c:pt idx="2411">
                  <c:v>96.540000915527344</c:v>
                </c:pt>
                <c:pt idx="2412">
                  <c:v>100.41999816894533</c:v>
                </c:pt>
                <c:pt idx="2413">
                  <c:v>100.6999969482422</c:v>
                </c:pt>
                <c:pt idx="2414">
                  <c:v>100.54000091552734</c:v>
                </c:pt>
                <c:pt idx="2415">
                  <c:v>100.8000030517578</c:v>
                </c:pt>
                <c:pt idx="2416">
                  <c:v>101.09999847412109</c:v>
                </c:pt>
                <c:pt idx="2417">
                  <c:v>99.900001525878906</c:v>
                </c:pt>
                <c:pt idx="2418">
                  <c:v>98.400001525878906</c:v>
                </c:pt>
                <c:pt idx="2419">
                  <c:v>100.22000122070312</c:v>
                </c:pt>
                <c:pt idx="2420">
                  <c:v>102.83999633789062</c:v>
                </c:pt>
                <c:pt idx="2421">
                  <c:v>103.68000030517578</c:v>
                </c:pt>
                <c:pt idx="2422">
                  <c:v>102.6999969482422</c:v>
                </c:pt>
                <c:pt idx="2423">
                  <c:v>97.940002441406236</c:v>
                </c:pt>
                <c:pt idx="2424">
                  <c:v>97.730003356933594</c:v>
                </c:pt>
                <c:pt idx="2425">
                  <c:v>99.709999084472656</c:v>
                </c:pt>
                <c:pt idx="2426">
                  <c:v>98.459999084472656</c:v>
                </c:pt>
                <c:pt idx="2427">
                  <c:v>101.23999786376952</c:v>
                </c:pt>
                <c:pt idx="2428">
                  <c:v>99.790000915527344</c:v>
                </c:pt>
                <c:pt idx="2429">
                  <c:v>99.300003051757798</c:v>
                </c:pt>
                <c:pt idx="2430">
                  <c:v>100</c:v>
                </c:pt>
                <c:pt idx="2431">
                  <c:v>99.940002441406236</c:v>
                </c:pt>
                <c:pt idx="2432">
                  <c:v>99.910003662109375</c:v>
                </c:pt>
                <c:pt idx="2433">
                  <c:v>96.730003356933594</c:v>
                </c:pt>
                <c:pt idx="2434">
                  <c:v>96.569999694824219</c:v>
                </c:pt>
                <c:pt idx="2435">
                  <c:v>96.75</c:v>
                </c:pt>
                <c:pt idx="2436">
                  <c:v>98.370002746582045</c:v>
                </c:pt>
                <c:pt idx="2437">
                  <c:v>98.360000610351562</c:v>
                </c:pt>
                <c:pt idx="2438">
                  <c:v>95.900001525878906</c:v>
                </c:pt>
                <c:pt idx="2439">
                  <c:v>96.559997558593764</c:v>
                </c:pt>
                <c:pt idx="2440">
                  <c:v>96</c:v>
                </c:pt>
                <c:pt idx="2441">
                  <c:v>99.569999694824219</c:v>
                </c:pt>
                <c:pt idx="2442">
                  <c:v>96.900001525878906</c:v>
                </c:pt>
                <c:pt idx="2443">
                  <c:v>97.139999389648438</c:v>
                </c:pt>
                <c:pt idx="2444">
                  <c:v>95.059997558593764</c:v>
                </c:pt>
                <c:pt idx="2445">
                  <c:v>96.510002136230483</c:v>
                </c:pt>
                <c:pt idx="2446">
                  <c:v>97.910003662109375</c:v>
                </c:pt>
                <c:pt idx="2447">
                  <c:v>98.260002136230483</c:v>
                </c:pt>
                <c:pt idx="2448">
                  <c:v>97.139999389648438</c:v>
                </c:pt>
                <c:pt idx="2449">
                  <c:v>97.669998168945327</c:v>
                </c:pt>
                <c:pt idx="2450">
                  <c:v>106.68000030517578</c:v>
                </c:pt>
                <c:pt idx="2451">
                  <c:v>108</c:v>
                </c:pt>
                <c:pt idx="2452">
                  <c:v>106.66000366210938</c:v>
                </c:pt>
                <c:pt idx="2453">
                  <c:v>108.76000213623048</c:v>
                </c:pt>
                <c:pt idx="2454">
                  <c:v>110.6999969482422</c:v>
                </c:pt>
                <c:pt idx="2455">
                  <c:v>109.77999877929688</c:v>
                </c:pt>
                <c:pt idx="2456">
                  <c:v>109.91999816894533</c:v>
                </c:pt>
                <c:pt idx="2457">
                  <c:v>111.31999969482422</c:v>
                </c:pt>
                <c:pt idx="2458">
                  <c:v>110.5</c:v>
                </c:pt>
                <c:pt idx="2459">
                  <c:v>110.59999847412109</c:v>
                </c:pt>
                <c:pt idx="2460">
                  <c:v>110.51999664306641</c:v>
                </c:pt>
                <c:pt idx="2461">
                  <c:v>112.36000061035156</c:v>
                </c:pt>
                <c:pt idx="2462">
                  <c:v>112.40000152587891</c:v>
                </c:pt>
                <c:pt idx="2463">
                  <c:v>113.18000030517578</c:v>
                </c:pt>
                <c:pt idx="2464">
                  <c:v>114.08000183105467</c:v>
                </c:pt>
                <c:pt idx="2465">
                  <c:v>114.59999847412109</c:v>
                </c:pt>
                <c:pt idx="2466">
                  <c:v>112.72000122070312</c:v>
                </c:pt>
                <c:pt idx="2467">
                  <c:v>112.91999816894533</c:v>
                </c:pt>
                <c:pt idx="2468">
                  <c:v>112.63999938964844</c:v>
                </c:pt>
                <c:pt idx="2469">
                  <c:v>111.3000030517578</c:v>
                </c:pt>
                <c:pt idx="2470">
                  <c:v>111.91999816894533</c:v>
                </c:pt>
                <c:pt idx="2471">
                  <c:v>110.31999969482422</c:v>
                </c:pt>
                <c:pt idx="2472">
                  <c:v>107.09999847412109</c:v>
                </c:pt>
                <c:pt idx="2473">
                  <c:v>106.48000335693359</c:v>
                </c:pt>
                <c:pt idx="2474">
                  <c:v>108.44000244140624</c:v>
                </c:pt>
                <c:pt idx="2475">
                  <c:v>109.90000152587891</c:v>
                </c:pt>
                <c:pt idx="2476">
                  <c:v>112.22000122070312</c:v>
                </c:pt>
                <c:pt idx="2477">
                  <c:v>113.08000183105467</c:v>
                </c:pt>
                <c:pt idx="2478">
                  <c:v>110.87999725341795</c:v>
                </c:pt>
                <c:pt idx="2479">
                  <c:v>109.81999969482422</c:v>
                </c:pt>
                <c:pt idx="2480">
                  <c:v>109.01999664306641</c:v>
                </c:pt>
                <c:pt idx="2481">
                  <c:v>112.76000213623048</c:v>
                </c:pt>
                <c:pt idx="2482">
                  <c:v>112.1999969482422</c:v>
                </c:pt>
                <c:pt idx="2483">
                  <c:v>111.23999786376952</c:v>
                </c:pt>
                <c:pt idx="2484">
                  <c:v>110.98000335693359</c:v>
                </c:pt>
                <c:pt idx="2485">
                  <c:v>110.40000152587891</c:v>
                </c:pt>
                <c:pt idx="2486">
                  <c:v>110.63999938964844</c:v>
                </c:pt>
                <c:pt idx="2487">
                  <c:v>103.58000183105467</c:v>
                </c:pt>
                <c:pt idx="2488">
                  <c:v>106</c:v>
                </c:pt>
                <c:pt idx="2489">
                  <c:v>110.63999938964844</c:v>
                </c:pt>
                <c:pt idx="2490">
                  <c:v>109.51999664306641</c:v>
                </c:pt>
                <c:pt idx="2491">
                  <c:v>111.5</c:v>
                </c:pt>
                <c:pt idx="2492">
                  <c:v>112</c:v>
                </c:pt>
                <c:pt idx="2493">
                  <c:v>112.31999969482422</c:v>
                </c:pt>
                <c:pt idx="2494">
                  <c:v>115.3000030517578</c:v>
                </c:pt>
                <c:pt idx="2495">
                  <c:v>116</c:v>
                </c:pt>
                <c:pt idx="2496">
                  <c:v>115.6999969482422</c:v>
                </c:pt>
                <c:pt idx="2497">
                  <c:v>116.77999877929688</c:v>
                </c:pt>
                <c:pt idx="2498">
                  <c:v>114.77999877929688</c:v>
                </c:pt>
                <c:pt idx="2499">
                  <c:v>114.44000244140624</c:v>
                </c:pt>
                <c:pt idx="2500">
                  <c:v>116.63999938964844</c:v>
                </c:pt>
                <c:pt idx="2501">
                  <c:v>116.90000152587891</c:v>
                </c:pt>
                <c:pt idx="2502">
                  <c:v>114.76000213623048</c:v>
                </c:pt>
                <c:pt idx="2503">
                  <c:v>115.16000366210938</c:v>
                </c:pt>
                <c:pt idx="2504">
                  <c:v>115.72000122070312</c:v>
                </c:pt>
                <c:pt idx="2505">
                  <c:v>115.3000030517578</c:v>
                </c:pt>
                <c:pt idx="2506">
                  <c:v>115.44000244140624</c:v>
                </c:pt>
                <c:pt idx="2507">
                  <c:v>114.62000274658205</c:v>
                </c:pt>
                <c:pt idx="2508">
                  <c:v>113.54000091552734</c:v>
                </c:pt>
                <c:pt idx="2509">
                  <c:v>113.62000274658205</c:v>
                </c:pt>
                <c:pt idx="2510">
                  <c:v>110.04000091552734</c:v>
                </c:pt>
                <c:pt idx="2511">
                  <c:v>110.48000335693359</c:v>
                </c:pt>
                <c:pt idx="2512">
                  <c:v>111.72000122070312</c:v>
                </c:pt>
                <c:pt idx="2513">
                  <c:v>113.45999908447266</c:v>
                </c:pt>
                <c:pt idx="2514">
                  <c:v>115.91999816894533</c:v>
                </c:pt>
                <c:pt idx="2515">
                  <c:v>115</c:v>
                </c:pt>
                <c:pt idx="2516">
                  <c:v>115.01999664306641</c:v>
                </c:pt>
                <c:pt idx="2517">
                  <c:v>114.86000061035156</c:v>
                </c:pt>
                <c:pt idx="2518">
                  <c:v>115.6999969482422</c:v>
                </c:pt>
                <c:pt idx="2519">
                  <c:v>118</c:v>
                </c:pt>
                <c:pt idx="2520">
                  <c:v>116.77999877929688</c:v>
                </c:pt>
                <c:pt idx="2521">
                  <c:v>114.48000335693359</c:v>
                </c:pt>
                <c:pt idx="2522">
                  <c:v>115.87999725341795</c:v>
                </c:pt>
                <c:pt idx="2523">
                  <c:v>114.09999847412109</c:v>
                </c:pt>
                <c:pt idx="2524">
                  <c:v>113.72000122070312</c:v>
                </c:pt>
                <c:pt idx="2525">
                  <c:v>115.1999969482422</c:v>
                </c:pt>
                <c:pt idx="2526">
                  <c:v>114.36000061035156</c:v>
                </c:pt>
                <c:pt idx="2527">
                  <c:v>115.08000183105467</c:v>
                </c:pt>
                <c:pt idx="2528">
                  <c:v>112.76000213623048</c:v>
                </c:pt>
                <c:pt idx="2529">
                  <c:v>112.36000061035156</c:v>
                </c:pt>
                <c:pt idx="2530">
                  <c:v>114.87999725341795</c:v>
                </c:pt>
                <c:pt idx="2531">
                  <c:v>113.04000091552734</c:v>
                </c:pt>
                <c:pt idx="2532">
                  <c:v>111.94000244140624</c:v>
                </c:pt>
                <c:pt idx="2533">
                  <c:v>113.27999877929688</c:v>
                </c:pt>
                <c:pt idx="2534">
                  <c:v>115.83999633789062</c:v>
                </c:pt>
                <c:pt idx="2535">
                  <c:v>116.68000030517578</c:v>
                </c:pt>
                <c:pt idx="2536">
                  <c:v>115.40000152587891</c:v>
                </c:pt>
                <c:pt idx="2537">
                  <c:v>117.23999786376952</c:v>
                </c:pt>
                <c:pt idx="2538">
                  <c:v>113.36000061035156</c:v>
                </c:pt>
                <c:pt idx="2539">
                  <c:v>117.3000030517578</c:v>
                </c:pt>
                <c:pt idx="2540">
                  <c:v>115.09999847412109</c:v>
                </c:pt>
                <c:pt idx="2541">
                  <c:v>116.58000183105467</c:v>
                </c:pt>
                <c:pt idx="2542">
                  <c:v>113.66000366210938</c:v>
                </c:pt>
                <c:pt idx="2543">
                  <c:v>115.08000183105467</c:v>
                </c:pt>
                <c:pt idx="2544">
                  <c:v>113.41999816894533</c:v>
                </c:pt>
                <c:pt idx="2545">
                  <c:v>114.1999969482422</c:v>
                </c:pt>
                <c:pt idx="2546">
                  <c:v>113.22000122070312</c:v>
                </c:pt>
                <c:pt idx="2547">
                  <c:v>113.81999969482422</c:v>
                </c:pt>
                <c:pt idx="2548">
                  <c:v>113.23999786376952</c:v>
                </c:pt>
                <c:pt idx="2549">
                  <c:v>112.33999633789062</c:v>
                </c:pt>
                <c:pt idx="2550">
                  <c:v>113.36000061035156</c:v>
                </c:pt>
                <c:pt idx="2551">
                  <c:v>114.90000152587891</c:v>
                </c:pt>
                <c:pt idx="2552">
                  <c:v>113.3000030517578</c:v>
                </c:pt>
                <c:pt idx="2553">
                  <c:v>112.31999969482422</c:v>
                </c:pt>
                <c:pt idx="2554">
                  <c:v>112.16000366210938</c:v>
                </c:pt>
                <c:pt idx="2555">
                  <c:v>111.37999725341795</c:v>
                </c:pt>
                <c:pt idx="2556">
                  <c:v>109.77999877929688</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n-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127000</xdr:colOff>
          <xdr:row>0</xdr:row>
          <xdr:rowOff>114300</xdr:rowOff>
        </xdr:from>
        <xdr:to>
          <xdr:col>21</xdr:col>
          <xdr:colOff>431800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124</xdr:row>
      <xdr:rowOff>7620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7551420"/>
          <a:ext cx="13891260" cy="17076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 year. 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 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 both the Excel and VBA were computed to see if the same result was met. If there is any misunderstanding, stay assured as you can go back to the summarised theories and the formulae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evoluation along the binomial tree. However, we provide to the user the option to calculate manually the hedge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r>
            <a:rPr lang="es-ES" sz="1400" b="1" i="1" u="sng" baseline="0">
              <a:latin typeface="+mj-lt"/>
            </a:rPr>
            <a:t>EXTRA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Yahoo FInance throught a Query request). The user must have access to the internet to have access to such data.</a:t>
          </a:r>
        </a:p>
        <a:p>
          <a:r>
            <a:rPr lang="es-ES" sz="1400" baseline="0"/>
            <a:t>The user can chose whenever stock he wants to price just by entering the underlying stock ticker in the following right cell :</a:t>
          </a:r>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xdr:txBody>
    </xdr:sp>
    <xdr:clientData/>
  </xdr:twoCellAnchor>
  <xdr:twoCellAnchor editAs="oneCell">
    <xdr:from>
      <xdr:col>3</xdr:col>
      <xdr:colOff>152400</xdr:colOff>
      <xdr:row>42</xdr:row>
      <xdr:rowOff>137160</xdr:rowOff>
    </xdr:from>
    <xdr:to>
      <xdr:col>9</xdr:col>
      <xdr:colOff>106680</xdr:colOff>
      <xdr:row>54</xdr:row>
      <xdr:rowOff>167942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1912620" y="7597140"/>
          <a:ext cx="3474720" cy="2408222"/>
        </a:xfrm>
        <a:prstGeom prst="rect">
          <a:avLst/>
        </a:prstGeom>
      </xdr:spPr>
    </xdr:pic>
    <xdr:clientData/>
  </xdr:twoCellAnchor>
  <xdr:twoCellAnchor editAs="oneCell">
    <xdr:from>
      <xdr:col>2</xdr:col>
      <xdr:colOff>556261</xdr:colOff>
      <xdr:row>60</xdr:row>
      <xdr:rowOff>142241</xdr:rowOff>
    </xdr:from>
    <xdr:to>
      <xdr:col>9</xdr:col>
      <xdr:colOff>190501</xdr:colOff>
      <xdr:row>64</xdr:row>
      <xdr:rowOff>177729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724661" y="12867641"/>
          <a:ext cx="3723640" cy="797488"/>
        </a:xfrm>
        <a:prstGeom prst="rect">
          <a:avLst/>
        </a:prstGeom>
      </xdr:spPr>
    </xdr:pic>
    <xdr:clientData/>
  </xdr:twoCellAnchor>
  <xdr:twoCellAnchor editAs="oneCell">
    <xdr:from>
      <xdr:col>3</xdr:col>
      <xdr:colOff>510540</xdr:colOff>
      <xdr:row>85</xdr:row>
      <xdr:rowOff>30480</xdr:rowOff>
    </xdr:from>
    <xdr:to>
      <xdr:col>7</xdr:col>
      <xdr:colOff>259080</xdr:colOff>
      <xdr:row>97</xdr:row>
      <xdr:rowOff>121292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263140" y="17518380"/>
          <a:ext cx="2085340" cy="2376812"/>
        </a:xfrm>
        <a:prstGeom prst="rect">
          <a:avLst/>
        </a:prstGeom>
      </xdr:spPr>
    </xdr:pic>
    <xdr:clientData/>
  </xdr:twoCellAnchor>
  <xdr:twoCellAnchor editAs="oneCell">
    <xdr:from>
      <xdr:col>4</xdr:col>
      <xdr:colOff>53340</xdr:colOff>
      <xdr:row>102</xdr:row>
      <xdr:rowOff>109220</xdr:rowOff>
    </xdr:from>
    <xdr:to>
      <xdr:col>7</xdr:col>
      <xdr:colOff>35977</xdr:colOff>
      <xdr:row>106</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390140" y="20835620"/>
          <a:ext cx="1735237" cy="70285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121920</xdr:colOff>
      <xdr:row>113</xdr:row>
      <xdr:rowOff>180340</xdr:rowOff>
    </xdr:from>
    <xdr:to>
      <xdr:col>7</xdr:col>
      <xdr:colOff>371224</xdr:colOff>
      <xdr:row>115</xdr:row>
      <xdr:rowOff>174576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458720" y="23002240"/>
          <a:ext cx="2001904" cy="375236"/>
        </a:xfrm>
        <a:prstGeom prst="rect">
          <a:avLst/>
        </a:prstGeom>
      </xdr:spPr>
    </xdr:pic>
    <xdr:clientData/>
  </xdr:twoCellAnchor>
  <xdr:twoCellAnchor editAs="oneCell">
    <xdr:from>
      <xdr:col>4</xdr:col>
      <xdr:colOff>73660</xdr:colOff>
      <xdr:row>119</xdr:row>
      <xdr:rowOff>101600</xdr:rowOff>
    </xdr:from>
    <xdr:to>
      <xdr:col>7</xdr:col>
      <xdr:colOff>227726</xdr:colOff>
      <xdr:row>122</xdr:row>
      <xdr:rowOff>156763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410460" y="24066500"/>
          <a:ext cx="1906666" cy="62666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2868E135-539D-1F42-87BA-EE2CFEC0E50E}"/>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2295525</xdr:colOff>
      <xdr:row>0</xdr:row>
      <xdr:rowOff>180975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520700</xdr:colOff>
          <xdr:row>2</xdr:row>
          <xdr:rowOff>165100</xdr:rowOff>
        </xdr:from>
        <xdr:to>
          <xdr:col>3</xdr:col>
          <xdr:colOff>1384300</xdr:colOff>
          <xdr:row>5</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508000</xdr:colOff>
          <xdr:row>10</xdr:row>
          <xdr:rowOff>88900</xdr:rowOff>
        </xdr:from>
        <xdr:to>
          <xdr:col>3</xdr:col>
          <xdr:colOff>1346200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76200</xdr:rowOff>
        </xdr:from>
        <xdr:to>
          <xdr:col>3</xdr:col>
          <xdr:colOff>1333500</xdr:colOff>
          <xdr:row>16</xdr:row>
          <xdr:rowOff>139700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18</xdr:row>
          <xdr:rowOff>88900</xdr:rowOff>
        </xdr:from>
        <xdr:to>
          <xdr:col>3</xdr:col>
          <xdr:colOff>1333500</xdr:colOff>
          <xdr:row>20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Current Market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863600</xdr:colOff>
          <xdr:row>6</xdr:row>
          <xdr:rowOff>177800</xdr:rowOff>
        </xdr:from>
        <xdr:to>
          <xdr:col>8</xdr:col>
          <xdr:colOff>444500</xdr:colOff>
          <xdr:row>8</xdr:row>
          <xdr:rowOff>177800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6</xdr:row>
          <xdr:rowOff>152400</xdr:rowOff>
        </xdr:from>
        <xdr:to>
          <xdr:col>11</xdr:col>
          <xdr:colOff>63500</xdr:colOff>
          <xdr:row>8</xdr:row>
          <xdr:rowOff>177800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825500</xdr:colOff>
          <xdr:row>1</xdr:row>
          <xdr:rowOff>457200</xdr:rowOff>
        </xdr:from>
        <xdr:to>
          <xdr:col>11</xdr:col>
          <xdr:colOff>0</xdr:colOff>
          <xdr:row>3</xdr:row>
          <xdr:rowOff>139700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2</xdr:row>
          <xdr:rowOff>101600</xdr:rowOff>
        </xdr:from>
        <xdr:to>
          <xdr:col>7</xdr:col>
          <xdr:colOff>520700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139700</xdr:rowOff>
        </xdr:from>
        <xdr:to>
          <xdr:col>7</xdr:col>
          <xdr:colOff>495300</xdr:colOff>
          <xdr:row>11</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1</xdr:row>
          <xdr:rowOff>0</xdr:rowOff>
        </xdr:from>
        <xdr:to>
          <xdr:col>2</xdr:col>
          <xdr:colOff>25400</xdr:colOff>
          <xdr:row>2</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12700</xdr:rowOff>
        </xdr:from>
        <xdr:to>
          <xdr:col>4</xdr:col>
          <xdr:colOff>292100</xdr:colOff>
          <xdr:row>2</xdr:row>
          <xdr:rowOff>63500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159925</xdr:colOff>
      <xdr:row>3</xdr:row>
      <xdr:rowOff>9407</xdr:rowOff>
    </xdr:from>
    <xdr:to>
      <xdr:col>12</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152400</xdr:colOff>
          <xdr:row>3</xdr:row>
          <xdr:rowOff>50800</xdr:rowOff>
        </xdr:from>
        <xdr:to>
          <xdr:col>5</xdr:col>
          <xdr:colOff>12700</xdr:colOff>
          <xdr:row>6</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8</xdr:row>
          <xdr:rowOff>50800</xdr:rowOff>
        </xdr:from>
        <xdr:to>
          <xdr:col>5</xdr:col>
          <xdr:colOff>12700</xdr:colOff>
          <xdr:row>11</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12</xdr:row>
          <xdr:rowOff>152400</xdr:rowOff>
        </xdr:from>
        <xdr:to>
          <xdr:col>5</xdr:col>
          <xdr:colOff>12700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13E114A5-B860-43DF-89DB-7452637287CB}" autoFormatId="16" applyNumberFormats="0" applyBorderFormats="0" applyFontFormats="0" applyPatternFormats="0" applyAlignmentFormats="0" applyWidthHeightFormats="0">
  <queryTableRefresh nextId="5"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2561" tableType="queryTable" totalsRowShown="0">
  <autoFilter ref="A4:C2561" xr:uid="{793C795E-2D72-4D62-9A7C-EF2ADADBA2FA}"/>
  <tableColumns count="3">
    <tableColumn id="1" xr3:uid="{56A48F4E-B66D-4323-A0DD-358F20BE366B}" uniqueName="1" name="Date" queryTableFieldId="1" dataDxfId="5"/>
    <tableColumn id="2" xr3:uid="{92521D32-FC74-4242-BB6F-84370CE1F295}" uniqueName="2" name="Close Price" queryTableFieldId="2" dataDxfId="4"/>
    <tableColumn id="4" xr3:uid="{F5D6669B-E925-4183-8998-A81E36B6B973}" uniqueName="4" name="Pct Change" queryTableFieldId="4" dataDxfId="3">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abSelected="1" workbookViewId="0">
      <selection activeCell="P19" sqref="P19"/>
    </sheetView>
  </sheetViews>
  <sheetFormatPr baseColWidth="10" defaultColWidth="12.6640625" defaultRowHeight="15" customHeight="1" x14ac:dyDescent="0.15"/>
  <cols>
    <col min="1" max="16" width="7.6640625" customWidth="1"/>
    <col min="17" max="17" width="10.6640625" customWidth="1"/>
    <col min="18" max="26" width="7.6640625" customWidth="1"/>
  </cols>
  <sheetData>
    <row r="1" spans="1:14" ht="16" x14ac:dyDescent="0.2">
      <c r="C1" s="138" t="s">
        <v>0</v>
      </c>
      <c r="D1" s="139"/>
      <c r="E1" s="139"/>
      <c r="F1" s="139"/>
      <c r="G1" s="139"/>
      <c r="H1" s="139"/>
      <c r="I1" s="139"/>
      <c r="J1" s="139"/>
      <c r="K1" s="140"/>
      <c r="M1" s="1" t="s">
        <v>1</v>
      </c>
      <c r="N1" s="1"/>
    </row>
    <row r="2" spans="1:14" ht="16" x14ac:dyDescent="0.2">
      <c r="C2" s="141"/>
      <c r="D2" s="142"/>
      <c r="E2" s="142"/>
      <c r="F2" s="142"/>
      <c r="G2" s="142"/>
      <c r="H2" s="142"/>
      <c r="I2" s="142"/>
      <c r="J2" s="142"/>
      <c r="K2" s="143"/>
      <c r="M2" s="1"/>
      <c r="N2" s="1" t="s">
        <v>2</v>
      </c>
    </row>
    <row r="3" spans="1:14" ht="16" x14ac:dyDescent="0.2">
      <c r="C3" s="141"/>
      <c r="D3" s="142"/>
      <c r="E3" s="142"/>
      <c r="F3" s="142"/>
      <c r="G3" s="142"/>
      <c r="H3" s="142"/>
      <c r="I3" s="142"/>
      <c r="J3" s="142"/>
      <c r="K3" s="143"/>
      <c r="N3" s="1" t="s">
        <v>3</v>
      </c>
    </row>
    <row r="4" spans="1:14" ht="16" x14ac:dyDescent="0.2">
      <c r="C4" s="141"/>
      <c r="D4" s="142"/>
      <c r="E4" s="142"/>
      <c r="F4" s="142"/>
      <c r="G4" s="142"/>
      <c r="H4" s="142"/>
      <c r="I4" s="142"/>
      <c r="J4" s="142"/>
      <c r="K4" s="143"/>
      <c r="N4" s="1" t="s">
        <v>4</v>
      </c>
    </row>
    <row r="5" spans="1:14" ht="16" x14ac:dyDescent="0.2">
      <c r="C5" s="141"/>
      <c r="D5" s="142"/>
      <c r="E5" s="142"/>
      <c r="F5" s="142"/>
      <c r="G5" s="142"/>
      <c r="H5" s="142"/>
      <c r="I5" s="142"/>
      <c r="J5" s="142"/>
      <c r="K5" s="143"/>
      <c r="N5" s="1" t="s">
        <v>5</v>
      </c>
    </row>
    <row r="6" spans="1:14" ht="14" x14ac:dyDescent="0.15">
      <c r="C6" s="141"/>
      <c r="D6" s="142"/>
      <c r="E6" s="142"/>
      <c r="F6" s="142"/>
      <c r="G6" s="142"/>
      <c r="H6" s="142"/>
      <c r="I6" s="142"/>
      <c r="J6" s="142"/>
      <c r="K6" s="143"/>
    </row>
    <row r="7" spans="1:14" ht="14" x14ac:dyDescent="0.15">
      <c r="C7" s="141"/>
      <c r="D7" s="142"/>
      <c r="E7" s="142"/>
      <c r="F7" s="142"/>
      <c r="G7" s="142"/>
      <c r="H7" s="142"/>
      <c r="I7" s="142"/>
      <c r="J7" s="142"/>
      <c r="K7" s="143"/>
    </row>
    <row r="8" spans="1:14" ht="14" x14ac:dyDescent="0.15">
      <c r="C8" s="144"/>
      <c r="D8" s="145"/>
      <c r="E8" s="145"/>
      <c r="F8" s="145"/>
      <c r="G8" s="145"/>
      <c r="H8" s="145"/>
      <c r="I8" s="145"/>
      <c r="J8" s="145"/>
      <c r="K8" s="146"/>
      <c r="M8" s="123" t="s">
        <v>6</v>
      </c>
    </row>
    <row r="11" spans="1:14" s="118" customFormat="1" ht="15" customHeight="1" x14ac:dyDescent="0.15">
      <c r="E11" s="122" t="s">
        <v>66</v>
      </c>
    </row>
    <row r="12" spans="1:14" s="118" customFormat="1" ht="15" customHeight="1" x14ac:dyDescent="0.15"/>
    <row r="14" spans="1:14" ht="19" x14ac:dyDescent="0.25">
      <c r="A14" s="2" t="s">
        <v>7</v>
      </c>
    </row>
    <row r="15" spans="1:14" ht="19" x14ac:dyDescent="0.25">
      <c r="B15" s="3" t="s">
        <v>8</v>
      </c>
    </row>
    <row r="16" spans="1:14" ht="19" x14ac:dyDescent="0.25">
      <c r="B16" s="3" t="s">
        <v>9</v>
      </c>
    </row>
    <row r="17" spans="1:27" s="118" customFormat="1" ht="19" x14ac:dyDescent="0.25">
      <c r="B17" s="3"/>
    </row>
    <row r="18" spans="1:27" s="118" customFormat="1" ht="87" customHeight="1" x14ac:dyDescent="0.15">
      <c r="A18" s="147" t="s">
        <v>66</v>
      </c>
      <c r="B18" s="147"/>
      <c r="C18" s="147"/>
      <c r="D18" s="147"/>
      <c r="E18" s="147"/>
      <c r="F18" s="147"/>
      <c r="G18" s="147"/>
      <c r="H18" s="147"/>
      <c r="I18" s="147"/>
      <c r="J18" s="147"/>
      <c r="K18" s="147"/>
      <c r="L18" s="147"/>
      <c r="M18" s="147"/>
      <c r="N18" s="147"/>
      <c r="O18" s="147"/>
      <c r="P18" s="147"/>
      <c r="Q18" s="147"/>
      <c r="R18" s="147"/>
      <c r="S18" s="147"/>
      <c r="T18" s="147"/>
      <c r="U18" s="147"/>
      <c r="V18" s="147"/>
      <c r="W18" s="147"/>
      <c r="X18" s="147"/>
      <c r="Y18" s="147"/>
      <c r="Z18" s="147"/>
      <c r="AA18" s="147"/>
    </row>
    <row r="19" spans="1:27" s="135" customFormat="1" ht="87" customHeight="1" x14ac:dyDescent="0.15">
      <c r="A19" s="136"/>
      <c r="B19" s="136"/>
      <c r="C19" s="136"/>
      <c r="D19" s="136"/>
      <c r="E19" s="136"/>
      <c r="F19" s="136"/>
      <c r="G19" s="136"/>
      <c r="H19" s="136"/>
      <c r="I19" s="137" t="s">
        <v>6</v>
      </c>
      <c r="J19" s="136"/>
      <c r="K19" s="136"/>
      <c r="L19" s="136"/>
      <c r="M19" s="136"/>
      <c r="N19" s="136"/>
      <c r="O19" s="136"/>
      <c r="P19" s="136"/>
      <c r="Q19" s="136"/>
      <c r="R19" s="136"/>
      <c r="S19" s="136"/>
      <c r="T19" s="136"/>
      <c r="U19" s="136"/>
      <c r="V19" s="136"/>
      <c r="W19" s="136"/>
      <c r="X19" s="136"/>
      <c r="Y19" s="136"/>
      <c r="Z19" s="136"/>
      <c r="AA19" s="136"/>
    </row>
    <row r="20" spans="1:27" s="118" customFormat="1" ht="28" customHeight="1" x14ac:dyDescent="0.25">
      <c r="B20" s="3"/>
    </row>
    <row r="21" spans="1:27" ht="17" x14ac:dyDescent="0.2">
      <c r="A21" s="4"/>
      <c r="B21" s="112"/>
    </row>
    <row r="22" spans="1:27" ht="17" x14ac:dyDescent="0.2">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 x14ac:dyDescent="0.2">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9" x14ac:dyDescent="0.25">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9" x14ac:dyDescent="0.25">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9" x14ac:dyDescent="0.25">
      <c r="A28" s="3"/>
    </row>
    <row r="30" spans="1:27" ht="15.75" customHeight="1" x14ac:dyDescent="0.15"/>
    <row r="31" spans="1:27" ht="15.75" customHeight="1" x14ac:dyDescent="0.15"/>
    <row r="32" spans="1:27"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spans="1:1" ht="15.75" customHeight="1" x14ac:dyDescent="0.15"/>
    <row r="98" spans="1:1" ht="15.75" customHeight="1" x14ac:dyDescent="0.15"/>
    <row r="99" spans="1:1" ht="15.75" customHeight="1" x14ac:dyDescent="0.15"/>
    <row r="100" spans="1:1" ht="15.75" customHeight="1" x14ac:dyDescent="0.15"/>
    <row r="101" spans="1:1" ht="15.75" customHeight="1" x14ac:dyDescent="0.15"/>
    <row r="102" spans="1:1" ht="15.75" customHeight="1" x14ac:dyDescent="0.15"/>
    <row r="103" spans="1:1" ht="15.75" customHeight="1" x14ac:dyDescent="0.15"/>
    <row r="104" spans="1:1" ht="15.75" customHeight="1" x14ac:dyDescent="0.15"/>
    <row r="105" spans="1:1" ht="15.75" customHeight="1" x14ac:dyDescent="0.15"/>
    <row r="106" spans="1:1" ht="15.75" customHeight="1" x14ac:dyDescent="0.15"/>
    <row r="107" spans="1:1" ht="15.75" customHeight="1" x14ac:dyDescent="0.15">
      <c r="A107" s="133"/>
    </row>
    <row r="108" spans="1:1" ht="15.75" customHeight="1" x14ac:dyDescent="0.15">
      <c r="A108" s="134"/>
    </row>
    <row r="109" spans="1:1" ht="15.75" customHeight="1" x14ac:dyDescent="0.15">
      <c r="A109" s="122"/>
    </row>
    <row r="110" spans="1:1" ht="15.75" customHeight="1" x14ac:dyDescent="0.15"/>
    <row r="111" spans="1:1" ht="15.75" customHeight="1" x14ac:dyDescent="0.15"/>
    <row r="112" spans="1:1"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127000</xdr:colOff>
                    <xdr:row>0</xdr:row>
                    <xdr:rowOff>114300</xdr:rowOff>
                  </from>
                  <to>
                    <xdr:col>21</xdr:col>
                    <xdr:colOff>431800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zoomScaleNormal="100" workbookViewId="0">
      <selection activeCell="B4" sqref="B4"/>
    </sheetView>
  </sheetViews>
  <sheetFormatPr baseColWidth="10" defaultColWidth="12.6640625" defaultRowHeight="15" customHeight="1" x14ac:dyDescent="0.15"/>
  <cols>
    <col min="1" max="1" width="35.83203125" customWidth="1"/>
    <col min="2" max="2" width="9.83203125" customWidth="1"/>
    <col min="3" max="3" width="7.6640625" customWidth="1"/>
    <col min="4" max="4" width="29.5" customWidth="1"/>
    <col min="5" max="23" width="7.6640625" customWidth="1"/>
  </cols>
  <sheetData>
    <row r="3" spans="1:4" ht="14" x14ac:dyDescent="0.15">
      <c r="A3" s="148" t="s">
        <v>10</v>
      </c>
      <c r="B3" s="149"/>
    </row>
    <row r="4" spans="1:4" x14ac:dyDescent="0.2">
      <c r="A4" s="6" t="s">
        <v>11</v>
      </c>
      <c r="B4" s="7" t="s">
        <v>42</v>
      </c>
    </row>
    <row r="5" spans="1:4" x14ac:dyDescent="0.2">
      <c r="A5" s="8" t="s">
        <v>13</v>
      </c>
      <c r="B5" s="9">
        <v>100</v>
      </c>
    </row>
    <row r="6" spans="1:4" x14ac:dyDescent="0.2">
      <c r="A6" s="8" t="s">
        <v>14</v>
      </c>
      <c r="B6" s="9">
        <v>105</v>
      </c>
    </row>
    <row r="7" spans="1:4" x14ac:dyDescent="0.2">
      <c r="A7" s="8" t="s">
        <v>15</v>
      </c>
      <c r="B7" s="10">
        <v>0.01</v>
      </c>
    </row>
    <row r="8" spans="1:4" x14ac:dyDescent="0.2">
      <c r="A8" s="8" t="s">
        <v>16</v>
      </c>
      <c r="B8" s="10">
        <v>0.2</v>
      </c>
    </row>
    <row r="9" spans="1:4" x14ac:dyDescent="0.2">
      <c r="A9" s="8" t="s">
        <v>17</v>
      </c>
      <c r="B9" s="11">
        <v>1</v>
      </c>
      <c r="D9" s="12"/>
    </row>
    <row r="10" spans="1:4" x14ac:dyDescent="0.2">
      <c r="A10" s="8" t="s">
        <v>18</v>
      </c>
      <c r="B10" s="13">
        <v>0.1</v>
      </c>
    </row>
    <row r="11" spans="1:4" x14ac:dyDescent="0.2">
      <c r="A11" s="8" t="s">
        <v>19</v>
      </c>
      <c r="B11" s="13">
        <v>0.03</v>
      </c>
    </row>
    <row r="12" spans="1:4" x14ac:dyDescent="0.2">
      <c r="A12" s="8" t="s">
        <v>20</v>
      </c>
      <c r="B12" s="14">
        <v>12</v>
      </c>
    </row>
    <row r="13" spans="1:4" x14ac:dyDescent="0.2">
      <c r="B13" s="15"/>
    </row>
    <row r="14" spans="1:4" x14ac:dyDescent="0.2">
      <c r="B14" s="15"/>
    </row>
    <row r="15" spans="1:4" x14ac:dyDescent="0.2">
      <c r="B15" s="15"/>
    </row>
    <row r="16" spans="1:4" x14ac:dyDescent="0.2">
      <c r="B16" s="15"/>
    </row>
    <row r="17" spans="2:2" x14ac:dyDescent="0.2">
      <c r="B17" s="15"/>
    </row>
    <row r="18" spans="2:2" x14ac:dyDescent="0.2">
      <c r="B18" s="15"/>
    </row>
    <row r="19" spans="2:2" x14ac:dyDescent="0.2">
      <c r="B19" s="15"/>
    </row>
    <row r="20" spans="2:2" x14ac:dyDescent="0.2">
      <c r="B20" s="15"/>
    </row>
    <row r="21" spans="2:2" x14ac:dyDescent="0.2">
      <c r="B21" s="15"/>
    </row>
    <row r="22" spans="2:2" ht="15.75" customHeight="1" x14ac:dyDescent="0.2">
      <c r="B22" s="15"/>
    </row>
    <row r="23" spans="2:2" ht="15.75" customHeight="1" x14ac:dyDescent="0.2">
      <c r="B23" s="15"/>
    </row>
    <row r="24" spans="2:2" ht="15.75" customHeight="1" x14ac:dyDescent="0.2">
      <c r="B24" s="15"/>
    </row>
    <row r="25" spans="2:2" ht="15.75" customHeight="1" x14ac:dyDescent="0.2">
      <c r="B25" s="15"/>
    </row>
    <row r="26" spans="2:2" ht="15.75" customHeight="1" x14ac:dyDescent="0.2">
      <c r="B26" s="15"/>
    </row>
    <row r="27" spans="2:2" ht="15.75" customHeight="1" x14ac:dyDescent="0.2">
      <c r="B27" s="15"/>
    </row>
    <row r="28" spans="2:2" ht="15.75" customHeight="1" x14ac:dyDescent="0.2">
      <c r="B28" s="15"/>
    </row>
    <row r="29" spans="2:2" ht="15.75" customHeight="1" x14ac:dyDescent="0.2">
      <c r="B29" s="15"/>
    </row>
    <row r="30" spans="2:2" ht="15.75" customHeight="1" x14ac:dyDescent="0.2">
      <c r="B30" s="15"/>
    </row>
    <row r="31" spans="2:2" ht="15.75" customHeight="1" x14ac:dyDescent="0.2">
      <c r="B31" s="15"/>
    </row>
    <row r="32" spans="2:2" ht="15.75" customHeight="1" x14ac:dyDescent="0.2">
      <c r="B32" s="15"/>
    </row>
    <row r="33" spans="2:5" ht="15.75" customHeight="1" x14ac:dyDescent="0.2">
      <c r="B33" s="15"/>
    </row>
    <row r="34" spans="2:5" ht="15.75" customHeight="1" x14ac:dyDescent="0.2">
      <c r="B34" s="15"/>
    </row>
    <row r="35" spans="2:5" ht="15.75" customHeight="1" x14ac:dyDescent="0.2">
      <c r="B35" s="15"/>
      <c r="E35" s="57"/>
    </row>
    <row r="36" spans="2:5" ht="15.75" customHeight="1" x14ac:dyDescent="0.2">
      <c r="B36" s="15"/>
    </row>
    <row r="37" spans="2:5" ht="15.75" customHeight="1" x14ac:dyDescent="0.2">
      <c r="B37" s="15"/>
    </row>
    <row r="38" spans="2:5" ht="15.75" customHeight="1" x14ac:dyDescent="0.2">
      <c r="B38" s="15"/>
    </row>
    <row r="39" spans="2:5" ht="15.75" customHeight="1" x14ac:dyDescent="0.2">
      <c r="B39" s="15"/>
    </row>
    <row r="40" spans="2:5" ht="15.75" customHeight="1" x14ac:dyDescent="0.2">
      <c r="B40" s="15"/>
    </row>
    <row r="41" spans="2:5" ht="15.75" customHeight="1" x14ac:dyDescent="0.2">
      <c r="B41" s="15"/>
    </row>
    <row r="42" spans="2:5" ht="15.75" customHeight="1" x14ac:dyDescent="0.2">
      <c r="B42" s="15"/>
    </row>
    <row r="43" spans="2:5" ht="15.75" customHeight="1" x14ac:dyDescent="0.2">
      <c r="B43" s="15"/>
    </row>
    <row r="44" spans="2:5" ht="15.75" customHeight="1" x14ac:dyDescent="0.2">
      <c r="B44" s="15"/>
    </row>
    <row r="45" spans="2:5" ht="15.75" customHeight="1" x14ac:dyDescent="0.2">
      <c r="B45" s="15"/>
    </row>
    <row r="46" spans="2:5" ht="15.75" customHeight="1" x14ac:dyDescent="0.2">
      <c r="B46" s="15"/>
    </row>
    <row r="47" spans="2:5" ht="15.75" customHeight="1" x14ac:dyDescent="0.2">
      <c r="B47" s="15"/>
    </row>
    <row r="48" spans="2:5" ht="15.75" customHeight="1" x14ac:dyDescent="0.2">
      <c r="B48" s="15"/>
    </row>
    <row r="49" spans="2:2" ht="15.75" customHeight="1" x14ac:dyDescent="0.2">
      <c r="B49" s="15"/>
    </row>
    <row r="50" spans="2:2" ht="15.75" customHeight="1" x14ac:dyDescent="0.2">
      <c r="B50" s="15"/>
    </row>
    <row r="51" spans="2:2" ht="15.75" customHeight="1" x14ac:dyDescent="0.2">
      <c r="B51" s="15"/>
    </row>
    <row r="52" spans="2:2" ht="15.75" customHeight="1" x14ac:dyDescent="0.2">
      <c r="B52" s="15"/>
    </row>
    <row r="53" spans="2:2" ht="15.75" customHeight="1" x14ac:dyDescent="0.2">
      <c r="B53" s="15"/>
    </row>
    <row r="54" spans="2:2" ht="15.75" customHeight="1" x14ac:dyDescent="0.2">
      <c r="B54" s="15"/>
    </row>
    <row r="55" spans="2:2" ht="15.75" customHeight="1" x14ac:dyDescent="0.2">
      <c r="B55" s="15"/>
    </row>
    <row r="56" spans="2:2" ht="15.75" customHeight="1" x14ac:dyDescent="0.2">
      <c r="B56" s="15"/>
    </row>
    <row r="57" spans="2:2" ht="15.75" customHeight="1" x14ac:dyDescent="0.2">
      <c r="B57" s="15"/>
    </row>
    <row r="58" spans="2:2" ht="15.75" customHeight="1" x14ac:dyDescent="0.2">
      <c r="B58" s="15"/>
    </row>
    <row r="59" spans="2:2" ht="15.75" customHeight="1" x14ac:dyDescent="0.2">
      <c r="B59" s="15"/>
    </row>
    <row r="60" spans="2:2" ht="15.75" customHeight="1" x14ac:dyDescent="0.2">
      <c r="B60" s="15"/>
    </row>
    <row r="61" spans="2:2" ht="15.75" customHeight="1" x14ac:dyDescent="0.2">
      <c r="B61" s="15"/>
    </row>
    <row r="62" spans="2:2" ht="15.75" customHeight="1" x14ac:dyDescent="0.2">
      <c r="B62" s="15"/>
    </row>
    <row r="63" spans="2:2" ht="15.75" customHeight="1" x14ac:dyDescent="0.2">
      <c r="B63" s="15"/>
    </row>
    <row r="64" spans="2:2" ht="15.75" customHeight="1" x14ac:dyDescent="0.2">
      <c r="B64" s="15"/>
    </row>
    <row r="65" spans="2:2" ht="15.75" customHeight="1" x14ac:dyDescent="0.2">
      <c r="B65" s="15"/>
    </row>
    <row r="66" spans="2:2" ht="15.75" customHeight="1" x14ac:dyDescent="0.2">
      <c r="B66" s="15"/>
    </row>
    <row r="67" spans="2:2" ht="15.75" customHeight="1" x14ac:dyDescent="0.2">
      <c r="B67" s="15"/>
    </row>
    <row r="68" spans="2:2" ht="15.75" customHeight="1" x14ac:dyDescent="0.2">
      <c r="B68" s="15"/>
    </row>
    <row r="69" spans="2:2" ht="15.75" customHeight="1" x14ac:dyDescent="0.2">
      <c r="B69" s="15"/>
    </row>
    <row r="70" spans="2:2" ht="15.75" customHeight="1" x14ac:dyDescent="0.2">
      <c r="B70" s="15"/>
    </row>
    <row r="71" spans="2:2" ht="15.75" customHeight="1" x14ac:dyDescent="0.2">
      <c r="B71" s="15"/>
    </row>
    <row r="72" spans="2:2" ht="15.75" customHeight="1" x14ac:dyDescent="0.2">
      <c r="B72" s="15"/>
    </row>
    <row r="73" spans="2:2" ht="15.75" customHeight="1" x14ac:dyDescent="0.2">
      <c r="B73" s="15"/>
    </row>
    <row r="74" spans="2:2" ht="15.75" customHeight="1" x14ac:dyDescent="0.2">
      <c r="B74" s="15"/>
    </row>
    <row r="75" spans="2:2" ht="15.75" customHeight="1" x14ac:dyDescent="0.2">
      <c r="B75" s="15"/>
    </row>
    <row r="76" spans="2:2" ht="15.75" customHeight="1" x14ac:dyDescent="0.2">
      <c r="B76" s="15"/>
    </row>
    <row r="77" spans="2:2" ht="15.75" customHeight="1" x14ac:dyDescent="0.2">
      <c r="B77" s="15"/>
    </row>
    <row r="78" spans="2:2" ht="15.75" customHeight="1" x14ac:dyDescent="0.2">
      <c r="B78" s="15"/>
    </row>
    <row r="79" spans="2:2" ht="15.75" customHeight="1" x14ac:dyDescent="0.2">
      <c r="B79" s="15"/>
    </row>
    <row r="80" spans="2:2" ht="15.75" customHeight="1" x14ac:dyDescent="0.2">
      <c r="B80" s="15"/>
    </row>
    <row r="81" spans="2:2" ht="15.75" customHeight="1" x14ac:dyDescent="0.2">
      <c r="B81" s="15"/>
    </row>
    <row r="82" spans="2:2" ht="15.75" customHeight="1" x14ac:dyDescent="0.2">
      <c r="B82" s="15"/>
    </row>
    <row r="83" spans="2:2" ht="15.75" customHeight="1" x14ac:dyDescent="0.2">
      <c r="B83" s="15"/>
    </row>
    <row r="84" spans="2:2" ht="15.75" customHeight="1" x14ac:dyDescent="0.2">
      <c r="B84" s="15"/>
    </row>
    <row r="85" spans="2:2" ht="15.75" customHeight="1" x14ac:dyDescent="0.2">
      <c r="B85" s="15"/>
    </row>
    <row r="86" spans="2:2" ht="15.75" customHeight="1" x14ac:dyDescent="0.2">
      <c r="B86" s="15"/>
    </row>
    <row r="87" spans="2:2" ht="15.75" customHeight="1" x14ac:dyDescent="0.2">
      <c r="B87" s="15"/>
    </row>
    <row r="88" spans="2:2" ht="15.75" customHeight="1" x14ac:dyDescent="0.2">
      <c r="B88" s="15"/>
    </row>
    <row r="89" spans="2:2" ht="15.75" customHeight="1" x14ac:dyDescent="0.2">
      <c r="B89" s="15"/>
    </row>
    <row r="90" spans="2:2" ht="15.75" customHeight="1" x14ac:dyDescent="0.2">
      <c r="B90" s="15"/>
    </row>
    <row r="91" spans="2:2" ht="15.75" customHeight="1" x14ac:dyDescent="0.2">
      <c r="B91" s="15"/>
    </row>
    <row r="92" spans="2:2" ht="15.75" customHeight="1" x14ac:dyDescent="0.2">
      <c r="B92" s="15"/>
    </row>
    <row r="93" spans="2:2" ht="15.75" customHeight="1" x14ac:dyDescent="0.2">
      <c r="B93" s="15"/>
    </row>
    <row r="94" spans="2:2" ht="15.75" customHeight="1" x14ac:dyDescent="0.2">
      <c r="B94" s="15"/>
    </row>
    <row r="95" spans="2:2" ht="15.75" customHeight="1" x14ac:dyDescent="0.2">
      <c r="B95" s="15"/>
    </row>
    <row r="96" spans="2:2" ht="15.75" customHeight="1" x14ac:dyDescent="0.2">
      <c r="B96" s="15"/>
    </row>
    <row r="97" spans="2:2" ht="15.75" customHeight="1" x14ac:dyDescent="0.2">
      <c r="B97" s="15"/>
    </row>
    <row r="98" spans="2:2" ht="15.75" customHeight="1" x14ac:dyDescent="0.2">
      <c r="B98" s="15"/>
    </row>
    <row r="99" spans="2:2" ht="15.75" customHeight="1" x14ac:dyDescent="0.2">
      <c r="B99" s="15"/>
    </row>
    <row r="100" spans="2:2" ht="15.75" customHeight="1" x14ac:dyDescent="0.2">
      <c r="B100" s="15"/>
    </row>
    <row r="101" spans="2:2" ht="15.75" customHeight="1" x14ac:dyDescent="0.2">
      <c r="B101" s="15"/>
    </row>
    <row r="102" spans="2:2" ht="15.75" customHeight="1" x14ac:dyDescent="0.2">
      <c r="B102" s="15"/>
    </row>
    <row r="103" spans="2:2" ht="15.75" customHeight="1" x14ac:dyDescent="0.2">
      <c r="B103" s="15"/>
    </row>
    <row r="104" spans="2:2" ht="15.75" customHeight="1" x14ac:dyDescent="0.2">
      <c r="B104" s="15"/>
    </row>
    <row r="105" spans="2:2" ht="15.75" customHeight="1" x14ac:dyDescent="0.2">
      <c r="B105" s="15"/>
    </row>
    <row r="106" spans="2:2" ht="15.75" customHeight="1" x14ac:dyDescent="0.2">
      <c r="B106" s="15"/>
    </row>
    <row r="107" spans="2:2" ht="15.75" customHeight="1" x14ac:dyDescent="0.2">
      <c r="B107" s="15"/>
    </row>
    <row r="108" spans="2:2" ht="15.75" customHeight="1" x14ac:dyDescent="0.2">
      <c r="B108" s="15"/>
    </row>
    <row r="109" spans="2:2" ht="15.75" customHeight="1" x14ac:dyDescent="0.2">
      <c r="B109" s="15"/>
    </row>
    <row r="110" spans="2:2" ht="15.75" customHeight="1" x14ac:dyDescent="0.2">
      <c r="B110" s="15"/>
    </row>
    <row r="111" spans="2:2" ht="15.75" customHeight="1" x14ac:dyDescent="0.2">
      <c r="B111" s="15"/>
    </row>
    <row r="112" spans="2:2" ht="15.75" customHeight="1" x14ac:dyDescent="0.2">
      <c r="B112" s="15"/>
    </row>
    <row r="113" spans="2:2" ht="15.75" customHeight="1" x14ac:dyDescent="0.2">
      <c r="B113" s="15"/>
    </row>
    <row r="114" spans="2:2" ht="15.75" customHeight="1" x14ac:dyDescent="0.2">
      <c r="B114" s="15"/>
    </row>
    <row r="115" spans="2:2" ht="15.75" customHeight="1" x14ac:dyDescent="0.2">
      <c r="B115" s="15"/>
    </row>
    <row r="116" spans="2:2" ht="15.75" customHeight="1" x14ac:dyDescent="0.2">
      <c r="B116" s="15"/>
    </row>
    <row r="117" spans="2:2" ht="15.75" customHeight="1" x14ac:dyDescent="0.2">
      <c r="B117" s="15"/>
    </row>
    <row r="118" spans="2:2" ht="15.75" customHeight="1" x14ac:dyDescent="0.2">
      <c r="B118" s="15"/>
    </row>
    <row r="119" spans="2:2" ht="15.75" customHeight="1" x14ac:dyDescent="0.2">
      <c r="B119" s="15"/>
    </row>
    <row r="120" spans="2:2" ht="15.75" customHeight="1" x14ac:dyDescent="0.2">
      <c r="B120" s="15"/>
    </row>
    <row r="121" spans="2:2" ht="15.75" customHeight="1" x14ac:dyDescent="0.2">
      <c r="B121" s="15"/>
    </row>
    <row r="122" spans="2:2" ht="15.75" customHeight="1" x14ac:dyDescent="0.2">
      <c r="B122" s="15"/>
    </row>
    <row r="123" spans="2:2" ht="15.75" customHeight="1" x14ac:dyDescent="0.2">
      <c r="B123" s="15"/>
    </row>
    <row r="124" spans="2:2" ht="15.75" customHeight="1" x14ac:dyDescent="0.2">
      <c r="B124" s="15"/>
    </row>
    <row r="125" spans="2:2" ht="15.75" customHeight="1" x14ac:dyDescent="0.2">
      <c r="B125" s="15"/>
    </row>
    <row r="126" spans="2:2" ht="15.75" customHeight="1" x14ac:dyDescent="0.2">
      <c r="B126" s="15"/>
    </row>
    <row r="127" spans="2:2" ht="15.75" customHeight="1" x14ac:dyDescent="0.2">
      <c r="B127" s="15"/>
    </row>
    <row r="128" spans="2:2" ht="15.75" customHeight="1" x14ac:dyDescent="0.2">
      <c r="B128" s="15"/>
    </row>
    <row r="129" spans="2:2" ht="15.75" customHeight="1" x14ac:dyDescent="0.2">
      <c r="B129" s="15"/>
    </row>
    <row r="130" spans="2:2" ht="15.75" customHeight="1" x14ac:dyDescent="0.2">
      <c r="B130" s="15"/>
    </row>
    <row r="131" spans="2:2" ht="15.75" customHeight="1" x14ac:dyDescent="0.2">
      <c r="B131" s="15"/>
    </row>
    <row r="132" spans="2:2" ht="15.75" customHeight="1" x14ac:dyDescent="0.2">
      <c r="B132" s="15"/>
    </row>
    <row r="133" spans="2:2" ht="15.75" customHeight="1" x14ac:dyDescent="0.2">
      <c r="B133" s="15"/>
    </row>
    <row r="134" spans="2:2" ht="15.75" customHeight="1" x14ac:dyDescent="0.2">
      <c r="B134" s="15"/>
    </row>
    <row r="135" spans="2:2" ht="15.75" customHeight="1" x14ac:dyDescent="0.2">
      <c r="B135" s="15"/>
    </row>
    <row r="136" spans="2:2" ht="15.75" customHeight="1" x14ac:dyDescent="0.2">
      <c r="B136" s="15"/>
    </row>
    <row r="137" spans="2:2" ht="15.75" customHeight="1" x14ac:dyDescent="0.2">
      <c r="B137" s="15"/>
    </row>
    <row r="138" spans="2:2" ht="15.75" customHeight="1" x14ac:dyDescent="0.2">
      <c r="B138" s="15"/>
    </row>
    <row r="139" spans="2:2" ht="15.75" customHeight="1" x14ac:dyDescent="0.2">
      <c r="B139" s="15"/>
    </row>
    <row r="140" spans="2:2" ht="15.75" customHeight="1" x14ac:dyDescent="0.2">
      <c r="B140" s="15"/>
    </row>
    <row r="141" spans="2:2" ht="15.75" customHeight="1" x14ac:dyDescent="0.2">
      <c r="B141" s="15"/>
    </row>
    <row r="142" spans="2:2" ht="15.75" customHeight="1" x14ac:dyDescent="0.2">
      <c r="B142" s="15"/>
    </row>
    <row r="143" spans="2:2" ht="15.75" customHeight="1" x14ac:dyDescent="0.2">
      <c r="B143" s="15"/>
    </row>
    <row r="144" spans="2:2" ht="15.75" customHeight="1" x14ac:dyDescent="0.2">
      <c r="B144" s="15"/>
    </row>
    <row r="145" spans="2:2" ht="15.75" customHeight="1" x14ac:dyDescent="0.2">
      <c r="B145" s="15"/>
    </row>
    <row r="146" spans="2:2" ht="15.75" customHeight="1" x14ac:dyDescent="0.2">
      <c r="B146" s="15"/>
    </row>
    <row r="147" spans="2:2" ht="15.75" customHeight="1" x14ac:dyDescent="0.2">
      <c r="B147" s="15"/>
    </row>
    <row r="148" spans="2:2" ht="15.75" customHeight="1" x14ac:dyDescent="0.2">
      <c r="B148" s="15"/>
    </row>
    <row r="149" spans="2:2" ht="15.75" customHeight="1" x14ac:dyDescent="0.2">
      <c r="B149" s="15"/>
    </row>
    <row r="150" spans="2:2" ht="15.75" customHeight="1" x14ac:dyDescent="0.2">
      <c r="B150" s="15"/>
    </row>
    <row r="151" spans="2:2" ht="15.75" customHeight="1" x14ac:dyDescent="0.2">
      <c r="B151" s="15"/>
    </row>
    <row r="152" spans="2:2" ht="15.75" customHeight="1" x14ac:dyDescent="0.2">
      <c r="B152" s="15"/>
    </row>
    <row r="153" spans="2:2" ht="15.75" customHeight="1" x14ac:dyDescent="0.2">
      <c r="B153" s="15"/>
    </row>
    <row r="154" spans="2:2" ht="15.75" customHeight="1" x14ac:dyDescent="0.2">
      <c r="B154" s="15"/>
    </row>
    <row r="155" spans="2:2" ht="15.75" customHeight="1" x14ac:dyDescent="0.2">
      <c r="B155" s="15"/>
    </row>
    <row r="156" spans="2:2" ht="15.75" customHeight="1" x14ac:dyDescent="0.2">
      <c r="B156" s="15"/>
    </row>
    <row r="157" spans="2:2" ht="15.75" customHeight="1" x14ac:dyDescent="0.2">
      <c r="B157" s="15"/>
    </row>
    <row r="158" spans="2:2" ht="15.75" customHeight="1" x14ac:dyDescent="0.2">
      <c r="B158" s="15"/>
    </row>
    <row r="159" spans="2:2" ht="15.75" customHeight="1" x14ac:dyDescent="0.2">
      <c r="B159" s="15"/>
    </row>
    <row r="160" spans="2:2" ht="15.75" customHeight="1" x14ac:dyDescent="0.2">
      <c r="B160" s="15"/>
    </row>
    <row r="161" spans="2:2" ht="15.75" customHeight="1" x14ac:dyDescent="0.2">
      <c r="B161" s="15"/>
    </row>
    <row r="162" spans="2:2" ht="15.75" customHeight="1" x14ac:dyDescent="0.2">
      <c r="B162" s="15"/>
    </row>
    <row r="163" spans="2:2" ht="15.75" customHeight="1" x14ac:dyDescent="0.2">
      <c r="B163" s="15"/>
    </row>
    <row r="164" spans="2:2" ht="15.75" customHeight="1" x14ac:dyDescent="0.2">
      <c r="B164" s="15"/>
    </row>
    <row r="165" spans="2:2" ht="15.75" customHeight="1" x14ac:dyDescent="0.2">
      <c r="B165" s="15"/>
    </row>
    <row r="166" spans="2:2" ht="15.75" customHeight="1" x14ac:dyDescent="0.2">
      <c r="B166" s="15"/>
    </row>
    <row r="167" spans="2:2" ht="15.75" customHeight="1" x14ac:dyDescent="0.2">
      <c r="B167" s="15"/>
    </row>
    <row r="168" spans="2:2" ht="15.75" customHeight="1" x14ac:dyDescent="0.2">
      <c r="B168" s="15"/>
    </row>
    <row r="169" spans="2:2" ht="15.75" customHeight="1" x14ac:dyDescent="0.2">
      <c r="B169" s="15"/>
    </row>
    <row r="170" spans="2:2" ht="15.75" customHeight="1" x14ac:dyDescent="0.2">
      <c r="B170" s="15"/>
    </row>
    <row r="171" spans="2:2" ht="15.75" customHeight="1" x14ac:dyDescent="0.2">
      <c r="B171" s="15"/>
    </row>
    <row r="172" spans="2:2" ht="15.75" customHeight="1" x14ac:dyDescent="0.2">
      <c r="B172" s="15"/>
    </row>
    <row r="173" spans="2:2" ht="15.75" customHeight="1" x14ac:dyDescent="0.2">
      <c r="B173" s="15"/>
    </row>
    <row r="174" spans="2:2" ht="15.75" customHeight="1" x14ac:dyDescent="0.2">
      <c r="B174" s="15"/>
    </row>
    <row r="175" spans="2:2" ht="15.75" customHeight="1" x14ac:dyDescent="0.2">
      <c r="B175" s="15"/>
    </row>
    <row r="176" spans="2:2" ht="15.75" customHeight="1" x14ac:dyDescent="0.2">
      <c r="B176" s="15"/>
    </row>
    <row r="177" spans="2:2" ht="15.75" customHeight="1" x14ac:dyDescent="0.2">
      <c r="B177" s="15"/>
    </row>
    <row r="178" spans="2:2" ht="15.75" customHeight="1" x14ac:dyDescent="0.2">
      <c r="B178" s="15"/>
    </row>
    <row r="179" spans="2:2" ht="15.75" customHeight="1" x14ac:dyDescent="0.2">
      <c r="B179" s="15"/>
    </row>
    <row r="180" spans="2:2" ht="15.75" customHeight="1" x14ac:dyDescent="0.2">
      <c r="B180" s="15"/>
    </row>
    <row r="181" spans="2:2" ht="15.75" customHeight="1" x14ac:dyDescent="0.2">
      <c r="B181" s="15"/>
    </row>
    <row r="182" spans="2:2" ht="15.75" customHeight="1" x14ac:dyDescent="0.2">
      <c r="B182" s="15"/>
    </row>
    <row r="183" spans="2:2" ht="15.75" customHeight="1" x14ac:dyDescent="0.2">
      <c r="B183" s="15"/>
    </row>
    <row r="184" spans="2:2" ht="15.75" customHeight="1" x14ac:dyDescent="0.2">
      <c r="B184" s="15"/>
    </row>
    <row r="185" spans="2:2" ht="15.75" customHeight="1" x14ac:dyDescent="0.2">
      <c r="B185" s="15"/>
    </row>
    <row r="186" spans="2:2" ht="15.75" customHeight="1" x14ac:dyDescent="0.2">
      <c r="B186" s="15"/>
    </row>
    <row r="187" spans="2:2" ht="15.75" customHeight="1" x14ac:dyDescent="0.2">
      <c r="B187" s="15"/>
    </row>
    <row r="188" spans="2:2" ht="15.75" customHeight="1" x14ac:dyDescent="0.2">
      <c r="B188" s="15"/>
    </row>
    <row r="189" spans="2:2" ht="15.75" customHeight="1" x14ac:dyDescent="0.2">
      <c r="B189" s="15"/>
    </row>
    <row r="190" spans="2:2" ht="15.75" customHeight="1" x14ac:dyDescent="0.2">
      <c r="B190" s="15"/>
    </row>
    <row r="191" spans="2:2" ht="15.75" customHeight="1" x14ac:dyDescent="0.2">
      <c r="B191" s="15"/>
    </row>
    <row r="192" spans="2:2" ht="15.75" customHeight="1" x14ac:dyDescent="0.2">
      <c r="B192" s="15"/>
    </row>
    <row r="193" spans="2:2" ht="15.75" customHeight="1" x14ac:dyDescent="0.2">
      <c r="B193" s="15"/>
    </row>
    <row r="194" spans="2:2" ht="15.75" customHeight="1" x14ac:dyDescent="0.2">
      <c r="B194" s="15"/>
    </row>
    <row r="195" spans="2:2" ht="15.75" customHeight="1" x14ac:dyDescent="0.2">
      <c r="B195" s="15"/>
    </row>
    <row r="196" spans="2:2" ht="15.75" customHeight="1" x14ac:dyDescent="0.2">
      <c r="B196" s="15"/>
    </row>
    <row r="197" spans="2:2" ht="15.75" customHeight="1" x14ac:dyDescent="0.2">
      <c r="B197" s="15"/>
    </row>
    <row r="198" spans="2:2" ht="15.75" customHeight="1" x14ac:dyDescent="0.2">
      <c r="B198" s="15"/>
    </row>
    <row r="199" spans="2:2" ht="15.75" customHeight="1" x14ac:dyDescent="0.2">
      <c r="B199" s="15"/>
    </row>
    <row r="200" spans="2:2" ht="15.75" customHeight="1" x14ac:dyDescent="0.2">
      <c r="B200" s="15"/>
    </row>
    <row r="201" spans="2:2" ht="15.75" customHeight="1" x14ac:dyDescent="0.2">
      <c r="B201" s="15"/>
    </row>
    <row r="202" spans="2:2" ht="15.75" customHeight="1" x14ac:dyDescent="0.2">
      <c r="B202" s="15"/>
    </row>
    <row r="203" spans="2:2" ht="15.75" customHeight="1" x14ac:dyDescent="0.2">
      <c r="B203" s="15"/>
    </row>
    <row r="204" spans="2:2" ht="15.75" customHeight="1" x14ac:dyDescent="0.2">
      <c r="B204" s="15"/>
    </row>
    <row r="205" spans="2:2" ht="15.75" customHeight="1" x14ac:dyDescent="0.2">
      <c r="B205" s="15"/>
    </row>
    <row r="206" spans="2:2" ht="15.75" customHeight="1" x14ac:dyDescent="0.2">
      <c r="B206" s="15"/>
    </row>
    <row r="207" spans="2:2" ht="15.75" customHeight="1" x14ac:dyDescent="0.2">
      <c r="B207" s="15"/>
    </row>
    <row r="208" spans="2:2" ht="15.75" customHeight="1" x14ac:dyDescent="0.2">
      <c r="B208" s="15"/>
    </row>
    <row r="209" spans="2:2" ht="15.75" customHeight="1" x14ac:dyDescent="0.2">
      <c r="B209" s="15"/>
    </row>
    <row r="210" spans="2:2" ht="15.75" customHeight="1" x14ac:dyDescent="0.2">
      <c r="B210" s="15"/>
    </row>
    <row r="211" spans="2:2" ht="15.75" customHeight="1" x14ac:dyDescent="0.2">
      <c r="B211" s="15"/>
    </row>
    <row r="212" spans="2:2" ht="15.75" customHeight="1" x14ac:dyDescent="0.2">
      <c r="B212" s="15"/>
    </row>
    <row r="213" spans="2:2" ht="15.75" customHeight="1" x14ac:dyDescent="0.2">
      <c r="B213" s="15"/>
    </row>
    <row r="214" spans="2:2" ht="15.75" customHeight="1" x14ac:dyDescent="0.2">
      <c r="B214" s="15"/>
    </row>
    <row r="215" spans="2:2" ht="15.75" customHeight="1" x14ac:dyDescent="0.2">
      <c r="B215" s="15"/>
    </row>
    <row r="216" spans="2:2" ht="15.75" customHeight="1" x14ac:dyDescent="0.2">
      <c r="B216" s="15"/>
    </row>
    <row r="217" spans="2:2" ht="15.75" customHeight="1" x14ac:dyDescent="0.2">
      <c r="B217" s="15"/>
    </row>
    <row r="218" spans="2:2" ht="15.75" customHeight="1" x14ac:dyDescent="0.2">
      <c r="B218" s="15"/>
    </row>
    <row r="219" spans="2:2" ht="15.75" customHeight="1" x14ac:dyDescent="0.2">
      <c r="B219" s="15"/>
    </row>
    <row r="220" spans="2:2" ht="15.75" customHeight="1" x14ac:dyDescent="0.2">
      <c r="B220" s="15"/>
    </row>
    <row r="221" spans="2:2" ht="15.75" customHeight="1" x14ac:dyDescent="0.2">
      <c r="B221" s="15"/>
    </row>
    <row r="222" spans="2:2" ht="15.75" customHeight="1" x14ac:dyDescent="0.2">
      <c r="B222" s="15"/>
    </row>
    <row r="223" spans="2:2" ht="15.75" customHeight="1" x14ac:dyDescent="0.2">
      <c r="B223" s="15"/>
    </row>
    <row r="224" spans="2:2" ht="15.75" customHeight="1" x14ac:dyDescent="0.2">
      <c r="B224" s="15"/>
    </row>
    <row r="225" spans="2:2" ht="15.75" customHeight="1" x14ac:dyDescent="0.2">
      <c r="B225" s="15"/>
    </row>
    <row r="226" spans="2:2" ht="15.75" customHeight="1" x14ac:dyDescent="0.2">
      <c r="B226" s="15"/>
    </row>
    <row r="227" spans="2:2" ht="15.75" customHeight="1" x14ac:dyDescent="0.2">
      <c r="B227" s="15"/>
    </row>
    <row r="228" spans="2:2" ht="15.75" customHeight="1" x14ac:dyDescent="0.2">
      <c r="B228" s="15"/>
    </row>
    <row r="229" spans="2:2" ht="15.75" customHeight="1" x14ac:dyDescent="0.2">
      <c r="B229" s="15"/>
    </row>
    <row r="230" spans="2:2" ht="15.75" customHeight="1" x14ac:dyDescent="0.2">
      <c r="B230" s="15"/>
    </row>
    <row r="231" spans="2:2" ht="15.75" customHeight="1" x14ac:dyDescent="0.2">
      <c r="B231" s="15"/>
    </row>
    <row r="232" spans="2:2" ht="15.75" customHeight="1" x14ac:dyDescent="0.2">
      <c r="B232" s="15"/>
    </row>
    <row r="233" spans="2:2" ht="15.75" customHeight="1" x14ac:dyDescent="0.2">
      <c r="B233" s="15"/>
    </row>
    <row r="234" spans="2:2" ht="15.75" customHeight="1" x14ac:dyDescent="0.2">
      <c r="B234" s="15"/>
    </row>
    <row r="235" spans="2:2" ht="15.75" customHeight="1" x14ac:dyDescent="0.2">
      <c r="B235" s="15"/>
    </row>
    <row r="236" spans="2:2" ht="15.75" customHeight="1" x14ac:dyDescent="0.2">
      <c r="B236" s="15"/>
    </row>
    <row r="237" spans="2:2" ht="15.75" customHeight="1" x14ac:dyDescent="0.2">
      <c r="B237" s="15"/>
    </row>
    <row r="238" spans="2:2" ht="15.75" customHeight="1" x14ac:dyDescent="0.2">
      <c r="B238" s="15"/>
    </row>
    <row r="239" spans="2:2" ht="15.75" customHeight="1" x14ac:dyDescent="0.2">
      <c r="B239" s="15"/>
    </row>
    <row r="240" spans="2:2" ht="15.75" customHeight="1" x14ac:dyDescent="0.2">
      <c r="B240" s="15"/>
    </row>
    <row r="241" spans="2:2" ht="15.75" customHeight="1" x14ac:dyDescent="0.2">
      <c r="B241" s="15"/>
    </row>
    <row r="242" spans="2:2" ht="15.75" customHeight="1" x14ac:dyDescent="0.2">
      <c r="B242" s="15"/>
    </row>
    <row r="243" spans="2:2" ht="15.75" customHeight="1" x14ac:dyDescent="0.2">
      <c r="B243" s="15"/>
    </row>
    <row r="244" spans="2:2" ht="15.75" customHeight="1" x14ac:dyDescent="0.2">
      <c r="B244" s="15"/>
    </row>
    <row r="245" spans="2:2" ht="15.75" customHeight="1" x14ac:dyDescent="0.2">
      <c r="B245" s="15"/>
    </row>
    <row r="246" spans="2:2" ht="15.75" customHeight="1" x14ac:dyDescent="0.2">
      <c r="B246" s="15"/>
    </row>
    <row r="247" spans="2:2" ht="15.75" customHeight="1" x14ac:dyDescent="0.2">
      <c r="B247" s="15"/>
    </row>
    <row r="248" spans="2:2" ht="15.75" customHeight="1" x14ac:dyDescent="0.2">
      <c r="B248" s="15"/>
    </row>
    <row r="249" spans="2:2" ht="15.75" customHeight="1" x14ac:dyDescent="0.2">
      <c r="B249" s="15"/>
    </row>
    <row r="250" spans="2:2" ht="15.75" customHeight="1" x14ac:dyDescent="0.2">
      <c r="B250" s="15"/>
    </row>
    <row r="251" spans="2:2" ht="15.75" customHeight="1" x14ac:dyDescent="0.2">
      <c r="B251" s="15"/>
    </row>
    <row r="252" spans="2:2" ht="15.75" customHeight="1" x14ac:dyDescent="0.2">
      <c r="B252" s="15"/>
    </row>
    <row r="253" spans="2:2" ht="15.75" customHeight="1" x14ac:dyDescent="0.2">
      <c r="B253" s="15"/>
    </row>
    <row r="254" spans="2:2" ht="15.75" customHeight="1" x14ac:dyDescent="0.2">
      <c r="B254" s="15"/>
    </row>
    <row r="255" spans="2:2" ht="15.75" customHeight="1" x14ac:dyDescent="0.2">
      <c r="B255" s="15"/>
    </row>
    <row r="256" spans="2:2" ht="15.75" customHeight="1" x14ac:dyDescent="0.2">
      <c r="B256" s="15"/>
    </row>
    <row r="257" spans="2:2" ht="15.75" customHeight="1" x14ac:dyDescent="0.2">
      <c r="B257" s="15"/>
    </row>
    <row r="258" spans="2:2" ht="15.75" customHeight="1" x14ac:dyDescent="0.2">
      <c r="B258" s="15"/>
    </row>
    <row r="259" spans="2:2" ht="15.75" customHeight="1" x14ac:dyDescent="0.2">
      <c r="B259" s="15"/>
    </row>
    <row r="260" spans="2:2" ht="15.75" customHeight="1" x14ac:dyDescent="0.2">
      <c r="B260" s="15"/>
    </row>
    <row r="261" spans="2:2" ht="15.75" customHeight="1" x14ac:dyDescent="0.2">
      <c r="B261" s="15"/>
    </row>
    <row r="262" spans="2:2" ht="15.75" customHeight="1" x14ac:dyDescent="0.2">
      <c r="B262" s="15"/>
    </row>
    <row r="263" spans="2:2" ht="15.75" customHeight="1" x14ac:dyDescent="0.2">
      <c r="B263" s="15"/>
    </row>
    <row r="264" spans="2:2" ht="15.75" customHeight="1" x14ac:dyDescent="0.2">
      <c r="B264" s="15"/>
    </row>
    <row r="265" spans="2:2" ht="15.75" customHeight="1" x14ac:dyDescent="0.2">
      <c r="B265" s="15"/>
    </row>
    <row r="266" spans="2:2" ht="15.75" customHeight="1" x14ac:dyDescent="0.2">
      <c r="B266" s="15"/>
    </row>
    <row r="267" spans="2:2" ht="15.75" customHeight="1" x14ac:dyDescent="0.2">
      <c r="B267" s="15"/>
    </row>
    <row r="268" spans="2:2" ht="15.75" customHeight="1" x14ac:dyDescent="0.2">
      <c r="B268" s="15"/>
    </row>
    <row r="269" spans="2:2" ht="15.75" customHeight="1" x14ac:dyDescent="0.2">
      <c r="B269" s="15"/>
    </row>
    <row r="270" spans="2:2" ht="15.75" customHeight="1" x14ac:dyDescent="0.2">
      <c r="B270" s="15"/>
    </row>
    <row r="271" spans="2:2" ht="15.75" customHeight="1" x14ac:dyDescent="0.2">
      <c r="B271" s="15"/>
    </row>
    <row r="272" spans="2:2" ht="15.75" customHeight="1" x14ac:dyDescent="0.2">
      <c r="B272" s="15"/>
    </row>
    <row r="273" spans="2:2" ht="15.75" customHeight="1" x14ac:dyDescent="0.2">
      <c r="B273" s="15"/>
    </row>
    <row r="274" spans="2:2" ht="15.75" customHeight="1" x14ac:dyDescent="0.2">
      <c r="B274" s="15"/>
    </row>
    <row r="275" spans="2:2" ht="15.75" customHeight="1" x14ac:dyDescent="0.2">
      <c r="B275" s="15"/>
    </row>
    <row r="276" spans="2:2" ht="15.75" customHeight="1" x14ac:dyDescent="0.2">
      <c r="B276" s="15"/>
    </row>
    <row r="277" spans="2:2" ht="15.75" customHeight="1" x14ac:dyDescent="0.2">
      <c r="B277" s="15"/>
    </row>
    <row r="278" spans="2:2" ht="15.75" customHeight="1" x14ac:dyDescent="0.2">
      <c r="B278" s="15"/>
    </row>
    <row r="279" spans="2:2" ht="15.75" customHeight="1" x14ac:dyDescent="0.2">
      <c r="B279" s="15"/>
    </row>
    <row r="280" spans="2:2" ht="15.75" customHeight="1" x14ac:dyDescent="0.2">
      <c r="B280" s="15"/>
    </row>
    <row r="281" spans="2:2" ht="15.75" customHeight="1" x14ac:dyDescent="0.2">
      <c r="B281" s="15"/>
    </row>
    <row r="282" spans="2:2" ht="15.75" customHeight="1" x14ac:dyDescent="0.2">
      <c r="B282" s="15"/>
    </row>
    <row r="283" spans="2:2" ht="15.75" customHeight="1" x14ac:dyDescent="0.2">
      <c r="B283" s="15"/>
    </row>
    <row r="284" spans="2:2" ht="15.75" customHeight="1" x14ac:dyDescent="0.2">
      <c r="B284" s="15"/>
    </row>
    <row r="285" spans="2:2" ht="15.75" customHeight="1" x14ac:dyDescent="0.2">
      <c r="B285" s="15"/>
    </row>
    <row r="286" spans="2:2" ht="15.75" customHeight="1" x14ac:dyDescent="0.2">
      <c r="B286" s="15"/>
    </row>
    <row r="287" spans="2:2" ht="15.75" customHeight="1" x14ac:dyDescent="0.2">
      <c r="B287" s="15"/>
    </row>
    <row r="288" spans="2:2" ht="15.75" customHeight="1" x14ac:dyDescent="0.2">
      <c r="B288" s="15"/>
    </row>
    <row r="289" spans="2:2" ht="15.75" customHeight="1" x14ac:dyDescent="0.2">
      <c r="B289" s="15"/>
    </row>
    <row r="290" spans="2:2" ht="15.75" customHeight="1" x14ac:dyDescent="0.2">
      <c r="B290" s="15"/>
    </row>
    <row r="291" spans="2:2" ht="15.75" customHeight="1" x14ac:dyDescent="0.2">
      <c r="B291" s="15"/>
    </row>
    <row r="292" spans="2:2" ht="15.75" customHeight="1" x14ac:dyDescent="0.2">
      <c r="B292" s="15"/>
    </row>
    <row r="293" spans="2:2" ht="15.75" customHeight="1" x14ac:dyDescent="0.2">
      <c r="B293" s="15"/>
    </row>
    <row r="294" spans="2:2" ht="15.75" customHeight="1" x14ac:dyDescent="0.2">
      <c r="B294" s="15"/>
    </row>
    <row r="295" spans="2:2" ht="15.75" customHeight="1" x14ac:dyDescent="0.2">
      <c r="B295" s="15"/>
    </row>
    <row r="296" spans="2:2" ht="15.75" customHeight="1" x14ac:dyDescent="0.2">
      <c r="B296" s="15"/>
    </row>
    <row r="297" spans="2:2" ht="15.75" customHeight="1" x14ac:dyDescent="0.2">
      <c r="B297" s="15"/>
    </row>
    <row r="298" spans="2:2" ht="15.75" customHeight="1" x14ac:dyDescent="0.2">
      <c r="B298" s="15"/>
    </row>
    <row r="299" spans="2:2" ht="15.75" customHeight="1" x14ac:dyDescent="0.2">
      <c r="B299" s="15"/>
    </row>
    <row r="300" spans="2:2" ht="15.75" customHeight="1" x14ac:dyDescent="0.2">
      <c r="B300" s="15"/>
    </row>
    <row r="301" spans="2:2" ht="15.75" customHeight="1" x14ac:dyDescent="0.2">
      <c r="B301" s="15"/>
    </row>
    <row r="302" spans="2:2" ht="15.75" customHeight="1" x14ac:dyDescent="0.2">
      <c r="B302" s="15"/>
    </row>
    <row r="303" spans="2:2" ht="15.75" customHeight="1" x14ac:dyDescent="0.2">
      <c r="B303" s="15"/>
    </row>
    <row r="304" spans="2:2" ht="15.75" customHeight="1" x14ac:dyDescent="0.2">
      <c r="B304" s="15"/>
    </row>
    <row r="305" spans="2:2" ht="15.75" customHeight="1" x14ac:dyDescent="0.2">
      <c r="B305" s="15"/>
    </row>
    <row r="306" spans="2:2" ht="15.75" customHeight="1" x14ac:dyDescent="0.2">
      <c r="B306" s="15"/>
    </row>
    <row r="307" spans="2:2" ht="15.75" customHeight="1" x14ac:dyDescent="0.2">
      <c r="B307" s="15"/>
    </row>
    <row r="308" spans="2:2" ht="15.75" customHeight="1" x14ac:dyDescent="0.2">
      <c r="B308" s="15"/>
    </row>
    <row r="309" spans="2:2" ht="15.75" customHeight="1" x14ac:dyDescent="0.2">
      <c r="B309" s="15"/>
    </row>
    <row r="310" spans="2:2" ht="15.75" customHeight="1" x14ac:dyDescent="0.2">
      <c r="B310" s="15"/>
    </row>
    <row r="311" spans="2:2" ht="15.75" customHeight="1" x14ac:dyDescent="0.2">
      <c r="B311" s="15"/>
    </row>
    <row r="312" spans="2:2" ht="15.75" customHeight="1" x14ac:dyDescent="0.2">
      <c r="B312" s="15"/>
    </row>
    <row r="313" spans="2:2" ht="15.75" customHeight="1" x14ac:dyDescent="0.2">
      <c r="B313" s="15"/>
    </row>
    <row r="314" spans="2:2" ht="15.75" customHeight="1" x14ac:dyDescent="0.2">
      <c r="B314" s="15"/>
    </row>
    <row r="315" spans="2:2" ht="15.75" customHeight="1" x14ac:dyDescent="0.2">
      <c r="B315" s="15"/>
    </row>
    <row r="316" spans="2:2" ht="15.75" customHeight="1" x14ac:dyDescent="0.2">
      <c r="B316" s="15"/>
    </row>
    <row r="317" spans="2:2" ht="15.75" customHeight="1" x14ac:dyDescent="0.2">
      <c r="B317" s="15"/>
    </row>
    <row r="318" spans="2:2" ht="15.75" customHeight="1" x14ac:dyDescent="0.2">
      <c r="B318" s="15"/>
    </row>
    <row r="319" spans="2:2" ht="15.75" customHeight="1" x14ac:dyDescent="0.2">
      <c r="B319" s="15"/>
    </row>
    <row r="320" spans="2:2" ht="15.75" customHeight="1" x14ac:dyDescent="0.2">
      <c r="B320" s="15"/>
    </row>
    <row r="321" spans="2:2" ht="15.75" customHeight="1" x14ac:dyDescent="0.2">
      <c r="B321" s="15"/>
    </row>
    <row r="322" spans="2:2" ht="15.75" customHeight="1" x14ac:dyDescent="0.2">
      <c r="B322" s="15"/>
    </row>
    <row r="323" spans="2:2" ht="15.75" customHeight="1" x14ac:dyDescent="0.2">
      <c r="B323" s="15"/>
    </row>
    <row r="324" spans="2:2" ht="15.75" customHeight="1" x14ac:dyDescent="0.2">
      <c r="B324" s="15"/>
    </row>
    <row r="325" spans="2:2" ht="15.75" customHeight="1" x14ac:dyDescent="0.2">
      <c r="B325" s="15"/>
    </row>
    <row r="326" spans="2:2" ht="15.75" customHeight="1" x14ac:dyDescent="0.2">
      <c r="B326" s="15"/>
    </row>
    <row r="327" spans="2:2" ht="15.75" customHeight="1" x14ac:dyDescent="0.2">
      <c r="B327" s="15"/>
    </row>
    <row r="328" spans="2:2" ht="15.75" customHeight="1" x14ac:dyDescent="0.2">
      <c r="B328" s="15"/>
    </row>
    <row r="329" spans="2:2" ht="15.75" customHeight="1" x14ac:dyDescent="0.2">
      <c r="B329" s="15"/>
    </row>
    <row r="330" spans="2:2" ht="15.75" customHeight="1" x14ac:dyDescent="0.2">
      <c r="B330" s="15"/>
    </row>
    <row r="331" spans="2:2" ht="15.75" customHeight="1" x14ac:dyDescent="0.2">
      <c r="B331" s="15"/>
    </row>
    <row r="332" spans="2:2" ht="15.75" customHeight="1" x14ac:dyDescent="0.2">
      <c r="B332" s="15"/>
    </row>
    <row r="333" spans="2:2" ht="15.75" customHeight="1" x14ac:dyDescent="0.2">
      <c r="B333" s="15"/>
    </row>
    <row r="334" spans="2:2" ht="15.75" customHeight="1" x14ac:dyDescent="0.2">
      <c r="B334" s="15"/>
    </row>
    <row r="335" spans="2:2" ht="15.75" customHeight="1" x14ac:dyDescent="0.2">
      <c r="B335" s="15"/>
    </row>
    <row r="336" spans="2:2" ht="15.75" customHeight="1" x14ac:dyDescent="0.2">
      <c r="B336" s="15"/>
    </row>
    <row r="337" spans="2:2" ht="15.75" customHeight="1" x14ac:dyDescent="0.2">
      <c r="B337" s="15"/>
    </row>
    <row r="338" spans="2:2" ht="15.75" customHeight="1" x14ac:dyDescent="0.2">
      <c r="B338" s="15"/>
    </row>
    <row r="339" spans="2:2" ht="15.75" customHeight="1" x14ac:dyDescent="0.2">
      <c r="B339" s="15"/>
    </row>
    <row r="340" spans="2:2" ht="15.75" customHeight="1" x14ac:dyDescent="0.2">
      <c r="B340" s="15"/>
    </row>
    <row r="341" spans="2:2" ht="15.75" customHeight="1" x14ac:dyDescent="0.2">
      <c r="B341" s="15"/>
    </row>
    <row r="342" spans="2:2" ht="15.75" customHeight="1" x14ac:dyDescent="0.2">
      <c r="B342" s="15"/>
    </row>
    <row r="343" spans="2:2" ht="15.75" customHeight="1" x14ac:dyDescent="0.2">
      <c r="B343" s="15"/>
    </row>
    <row r="344" spans="2:2" ht="15.75" customHeight="1" x14ac:dyDescent="0.2">
      <c r="B344" s="15"/>
    </row>
    <row r="345" spans="2:2" ht="15.75" customHeight="1" x14ac:dyDescent="0.2">
      <c r="B345" s="15"/>
    </row>
    <row r="346" spans="2:2" ht="15.75" customHeight="1" x14ac:dyDescent="0.2">
      <c r="B346" s="15"/>
    </row>
    <row r="347" spans="2:2" ht="15.75" customHeight="1" x14ac:dyDescent="0.2">
      <c r="B347" s="15"/>
    </row>
    <row r="348" spans="2:2" ht="15.75" customHeight="1" x14ac:dyDescent="0.2">
      <c r="B348" s="15"/>
    </row>
    <row r="349" spans="2:2" ht="15.75" customHeight="1" x14ac:dyDescent="0.2">
      <c r="B349" s="15"/>
    </row>
    <row r="350" spans="2:2" ht="15.75" customHeight="1" x14ac:dyDescent="0.2">
      <c r="B350" s="15"/>
    </row>
    <row r="351" spans="2:2" ht="15.75" customHeight="1" x14ac:dyDescent="0.2">
      <c r="B351" s="15"/>
    </row>
    <row r="352" spans="2:2" ht="15.75" customHeight="1" x14ac:dyDescent="0.2">
      <c r="B352" s="15"/>
    </row>
    <row r="353" spans="2:2" ht="15.75" customHeight="1" x14ac:dyDescent="0.2">
      <c r="B353" s="15"/>
    </row>
    <row r="354" spans="2:2" ht="15.75" customHeight="1" x14ac:dyDescent="0.2">
      <c r="B354" s="15"/>
    </row>
    <row r="355" spans="2:2" ht="15.75" customHeight="1" x14ac:dyDescent="0.2">
      <c r="B355" s="15"/>
    </row>
    <row r="356" spans="2:2" ht="15.75" customHeight="1" x14ac:dyDescent="0.2">
      <c r="B356" s="15"/>
    </row>
    <row r="357" spans="2:2" ht="15.75" customHeight="1" x14ac:dyDescent="0.2">
      <c r="B357" s="15"/>
    </row>
    <row r="358" spans="2:2" ht="15.75" customHeight="1" x14ac:dyDescent="0.2">
      <c r="B358" s="15"/>
    </row>
    <row r="359" spans="2:2" ht="15.75" customHeight="1" x14ac:dyDescent="0.2">
      <c r="B359" s="15"/>
    </row>
    <row r="360" spans="2:2" ht="15.75" customHeight="1" x14ac:dyDescent="0.2">
      <c r="B360" s="15"/>
    </row>
    <row r="361" spans="2:2" ht="15.75" customHeight="1" x14ac:dyDescent="0.2">
      <c r="B361" s="15"/>
    </row>
    <row r="362" spans="2:2" ht="15.75" customHeight="1" x14ac:dyDescent="0.2">
      <c r="B362" s="15"/>
    </row>
    <row r="363" spans="2:2" ht="15.75" customHeight="1" x14ac:dyDescent="0.2">
      <c r="B363" s="15"/>
    </row>
    <row r="364" spans="2:2" ht="15.75" customHeight="1" x14ac:dyDescent="0.2">
      <c r="B364" s="15"/>
    </row>
    <row r="365" spans="2:2" ht="15.75" customHeight="1" x14ac:dyDescent="0.2">
      <c r="B365" s="15"/>
    </row>
    <row r="366" spans="2:2" ht="15.75" customHeight="1" x14ac:dyDescent="0.2">
      <c r="B366" s="15"/>
    </row>
    <row r="367" spans="2:2" ht="15.75" customHeight="1" x14ac:dyDescent="0.2">
      <c r="B367" s="15"/>
    </row>
    <row r="368" spans="2:2" ht="15.75" customHeight="1" x14ac:dyDescent="0.2">
      <c r="B368" s="15"/>
    </row>
    <row r="369" spans="2:2" ht="15.75" customHeight="1" x14ac:dyDescent="0.2">
      <c r="B369" s="15"/>
    </row>
    <row r="370" spans="2:2" ht="15.75" customHeight="1" x14ac:dyDescent="0.2">
      <c r="B370" s="15"/>
    </row>
    <row r="371" spans="2:2" ht="15.75" customHeight="1" x14ac:dyDescent="0.2">
      <c r="B371" s="15"/>
    </row>
    <row r="372" spans="2:2" ht="15.75" customHeight="1" x14ac:dyDescent="0.2">
      <c r="B372" s="15"/>
    </row>
    <row r="373" spans="2:2" ht="15.75" customHeight="1" x14ac:dyDescent="0.2">
      <c r="B373" s="15"/>
    </row>
    <row r="374" spans="2:2" ht="15.75" customHeight="1" x14ac:dyDescent="0.2">
      <c r="B374" s="15"/>
    </row>
    <row r="375" spans="2:2" ht="15.75" customHeight="1" x14ac:dyDescent="0.2">
      <c r="B375" s="15"/>
    </row>
    <row r="376" spans="2:2" ht="15.75" customHeight="1" x14ac:dyDescent="0.2">
      <c r="B376" s="15"/>
    </row>
    <row r="377" spans="2:2" ht="15.75" customHeight="1" x14ac:dyDescent="0.2">
      <c r="B377" s="15"/>
    </row>
    <row r="378" spans="2:2" ht="15.75" customHeight="1" x14ac:dyDescent="0.2">
      <c r="B378" s="15"/>
    </row>
    <row r="379" spans="2:2" ht="15.75" customHeight="1" x14ac:dyDescent="0.2">
      <c r="B379" s="15"/>
    </row>
    <row r="380" spans="2:2" ht="15.75" customHeight="1" x14ac:dyDescent="0.2">
      <c r="B380" s="15"/>
    </row>
    <row r="381" spans="2:2" ht="15.75" customHeight="1" x14ac:dyDescent="0.2">
      <c r="B381" s="15"/>
    </row>
    <row r="382" spans="2:2" ht="15.75" customHeight="1" x14ac:dyDescent="0.2">
      <c r="B382" s="15"/>
    </row>
    <row r="383" spans="2:2" ht="15.75" customHeight="1" x14ac:dyDescent="0.2">
      <c r="B383" s="15"/>
    </row>
    <row r="384" spans="2:2" ht="15.75" customHeight="1" x14ac:dyDescent="0.2">
      <c r="B384" s="15"/>
    </row>
    <row r="385" spans="2:2" ht="15.75" customHeight="1" x14ac:dyDescent="0.2">
      <c r="B385" s="15"/>
    </row>
    <row r="386" spans="2:2" ht="15.75" customHeight="1" x14ac:dyDescent="0.2">
      <c r="B386" s="15"/>
    </row>
    <row r="387" spans="2:2" ht="15.75" customHeight="1" x14ac:dyDescent="0.2">
      <c r="B387" s="15"/>
    </row>
    <row r="388" spans="2:2" ht="15.75" customHeight="1" x14ac:dyDescent="0.2">
      <c r="B388" s="15"/>
    </row>
    <row r="389" spans="2:2" ht="15.75" customHeight="1" x14ac:dyDescent="0.2">
      <c r="B389" s="15"/>
    </row>
    <row r="390" spans="2:2" ht="15.75" customHeight="1" x14ac:dyDescent="0.2">
      <c r="B390" s="15"/>
    </row>
    <row r="391" spans="2:2" ht="15.75" customHeight="1" x14ac:dyDescent="0.2">
      <c r="B391" s="15"/>
    </row>
    <row r="392" spans="2:2" ht="15.75" customHeight="1" x14ac:dyDescent="0.2">
      <c r="B392" s="15"/>
    </row>
    <row r="393" spans="2:2" ht="15.75" customHeight="1" x14ac:dyDescent="0.2">
      <c r="B393" s="15"/>
    </row>
    <row r="394" spans="2:2" ht="15.75" customHeight="1" x14ac:dyDescent="0.2">
      <c r="B394" s="15"/>
    </row>
    <row r="395" spans="2:2" ht="15.75" customHeight="1" x14ac:dyDescent="0.2">
      <c r="B395" s="15"/>
    </row>
    <row r="396" spans="2:2" ht="15.75" customHeight="1" x14ac:dyDescent="0.2">
      <c r="B396" s="15"/>
    </row>
    <row r="397" spans="2:2" ht="15.75" customHeight="1" x14ac:dyDescent="0.2">
      <c r="B397" s="15"/>
    </row>
    <row r="398" spans="2:2" ht="15.75" customHeight="1" x14ac:dyDescent="0.2">
      <c r="B398" s="15"/>
    </row>
    <row r="399" spans="2:2" ht="15.75" customHeight="1" x14ac:dyDescent="0.2">
      <c r="B399" s="15"/>
    </row>
    <row r="400" spans="2:2" ht="15.75" customHeight="1" x14ac:dyDescent="0.2">
      <c r="B400" s="15"/>
    </row>
    <row r="401" spans="2:2" ht="15.75" customHeight="1" x14ac:dyDescent="0.2">
      <c r="B401" s="15"/>
    </row>
    <row r="402" spans="2:2" ht="15.75" customHeight="1" x14ac:dyDescent="0.2">
      <c r="B402" s="15"/>
    </row>
    <row r="403" spans="2:2" ht="15.75" customHeight="1" x14ac:dyDescent="0.2">
      <c r="B403" s="15"/>
    </row>
    <row r="404" spans="2:2" ht="15.75" customHeight="1" x14ac:dyDescent="0.2">
      <c r="B404" s="15"/>
    </row>
    <row r="405" spans="2:2" ht="15.75" customHeight="1" x14ac:dyDescent="0.2">
      <c r="B405" s="15"/>
    </row>
    <row r="406" spans="2:2" ht="15.75" customHeight="1" x14ac:dyDescent="0.2">
      <c r="B406" s="15"/>
    </row>
    <row r="407" spans="2:2" ht="15.75" customHeight="1" x14ac:dyDescent="0.2">
      <c r="B407" s="15"/>
    </row>
    <row r="408" spans="2:2" ht="15.75" customHeight="1" x14ac:dyDescent="0.2">
      <c r="B408" s="15"/>
    </row>
    <row r="409" spans="2:2" ht="15.75" customHeight="1" x14ac:dyDescent="0.2">
      <c r="B409" s="15"/>
    </row>
    <row r="410" spans="2:2" ht="15.75" customHeight="1" x14ac:dyDescent="0.2">
      <c r="B410" s="15"/>
    </row>
    <row r="411" spans="2:2" ht="15.75" customHeight="1" x14ac:dyDescent="0.2">
      <c r="B411" s="15"/>
    </row>
    <row r="412" spans="2:2" ht="15.75" customHeight="1" x14ac:dyDescent="0.2">
      <c r="B412" s="15"/>
    </row>
    <row r="413" spans="2:2" ht="15.75" customHeight="1" x14ac:dyDescent="0.2">
      <c r="B413" s="15"/>
    </row>
    <row r="414" spans="2:2" ht="15.75" customHeight="1" x14ac:dyDescent="0.2">
      <c r="B414" s="15"/>
    </row>
    <row r="415" spans="2:2" ht="15.75" customHeight="1" x14ac:dyDescent="0.2">
      <c r="B415" s="15"/>
    </row>
    <row r="416" spans="2:2" ht="15.75" customHeight="1" x14ac:dyDescent="0.2">
      <c r="B416" s="15"/>
    </row>
    <row r="417" spans="2:2" ht="15.75" customHeight="1" x14ac:dyDescent="0.2">
      <c r="B417" s="15"/>
    </row>
    <row r="418" spans="2:2" ht="15.75" customHeight="1" x14ac:dyDescent="0.2">
      <c r="B418" s="15"/>
    </row>
    <row r="419" spans="2:2" ht="15.75" customHeight="1" x14ac:dyDescent="0.2">
      <c r="B419" s="15"/>
    </row>
    <row r="420" spans="2:2" ht="15.75" customHeight="1" x14ac:dyDescent="0.2">
      <c r="B420" s="15"/>
    </row>
    <row r="421" spans="2:2" ht="15.75" customHeight="1" x14ac:dyDescent="0.2">
      <c r="B421" s="15"/>
    </row>
    <row r="422" spans="2:2" ht="15.75" customHeight="1" x14ac:dyDescent="0.2">
      <c r="B422" s="15"/>
    </row>
    <row r="423" spans="2:2" ht="15.75" customHeight="1" x14ac:dyDescent="0.2">
      <c r="B423" s="15"/>
    </row>
    <row r="424" spans="2:2" ht="15.75" customHeight="1" x14ac:dyDescent="0.2">
      <c r="B424" s="15"/>
    </row>
    <row r="425" spans="2:2" ht="15.75" customHeight="1" x14ac:dyDescent="0.2">
      <c r="B425" s="15"/>
    </row>
    <row r="426" spans="2:2" ht="15.75" customHeight="1" x14ac:dyDescent="0.2">
      <c r="B426" s="15"/>
    </row>
    <row r="427" spans="2:2" ht="15.75" customHeight="1" x14ac:dyDescent="0.2">
      <c r="B427" s="15"/>
    </row>
    <row r="428" spans="2:2" ht="15.75" customHeight="1" x14ac:dyDescent="0.2">
      <c r="B428" s="15"/>
    </row>
    <row r="429" spans="2:2" ht="15.75" customHeight="1" x14ac:dyDescent="0.2">
      <c r="B429" s="15"/>
    </row>
    <row r="430" spans="2:2" ht="15.75" customHeight="1" x14ac:dyDescent="0.2">
      <c r="B430" s="15"/>
    </row>
    <row r="431" spans="2:2" ht="15.75" customHeight="1" x14ac:dyDescent="0.2">
      <c r="B431" s="15"/>
    </row>
    <row r="432" spans="2:2" ht="15.75" customHeight="1" x14ac:dyDescent="0.2">
      <c r="B432" s="15"/>
    </row>
    <row r="433" spans="2:2" ht="15.75" customHeight="1" x14ac:dyDescent="0.2">
      <c r="B433" s="15"/>
    </row>
    <row r="434" spans="2:2" ht="15.75" customHeight="1" x14ac:dyDescent="0.2">
      <c r="B434" s="15"/>
    </row>
    <row r="435" spans="2:2" ht="15.75" customHeight="1" x14ac:dyDescent="0.2">
      <c r="B435" s="15"/>
    </row>
    <row r="436" spans="2:2" ht="15.75" customHeight="1" x14ac:dyDescent="0.2">
      <c r="B436" s="15"/>
    </row>
    <row r="437" spans="2:2" ht="15.75" customHeight="1" x14ac:dyDescent="0.2">
      <c r="B437" s="15"/>
    </row>
    <row r="438" spans="2:2" ht="15.75" customHeight="1" x14ac:dyDescent="0.2">
      <c r="B438" s="15"/>
    </row>
    <row r="439" spans="2:2" ht="15.75" customHeight="1" x14ac:dyDescent="0.2">
      <c r="B439" s="15"/>
    </row>
    <row r="440" spans="2:2" ht="15.75" customHeight="1" x14ac:dyDescent="0.2">
      <c r="B440" s="15"/>
    </row>
    <row r="441" spans="2:2" ht="15.75" customHeight="1" x14ac:dyDescent="0.2">
      <c r="B441" s="15"/>
    </row>
    <row r="442" spans="2:2" ht="15.75" customHeight="1" x14ac:dyDescent="0.2">
      <c r="B442" s="15"/>
    </row>
    <row r="443" spans="2:2" ht="15.75" customHeight="1" x14ac:dyDescent="0.2">
      <c r="B443" s="15"/>
    </row>
    <row r="444" spans="2:2" ht="15.75" customHeight="1" x14ac:dyDescent="0.2">
      <c r="B444" s="15"/>
    </row>
    <row r="445" spans="2:2" ht="15.75" customHeight="1" x14ac:dyDescent="0.2">
      <c r="B445" s="15"/>
    </row>
    <row r="446" spans="2:2" ht="15.75" customHeight="1" x14ac:dyDescent="0.2">
      <c r="B446" s="15"/>
    </row>
    <row r="447" spans="2:2" ht="15.75" customHeight="1" x14ac:dyDescent="0.2">
      <c r="B447" s="15"/>
    </row>
    <row r="448" spans="2:2" ht="15.75" customHeight="1" x14ac:dyDescent="0.2">
      <c r="B448" s="15"/>
    </row>
    <row r="449" spans="2:2" ht="15.75" customHeight="1" x14ac:dyDescent="0.2">
      <c r="B449" s="15"/>
    </row>
    <row r="450" spans="2:2" ht="15.75" customHeight="1" x14ac:dyDescent="0.2">
      <c r="B450" s="15"/>
    </row>
    <row r="451" spans="2:2" ht="15.75" customHeight="1" x14ac:dyDescent="0.2">
      <c r="B451" s="15"/>
    </row>
    <row r="452" spans="2:2" ht="15.75" customHeight="1" x14ac:dyDescent="0.2">
      <c r="B452" s="15"/>
    </row>
    <row r="453" spans="2:2" ht="15.75" customHeight="1" x14ac:dyDescent="0.2">
      <c r="B453" s="15"/>
    </row>
    <row r="454" spans="2:2" ht="15.75" customHeight="1" x14ac:dyDescent="0.2">
      <c r="B454" s="15"/>
    </row>
    <row r="455" spans="2:2" ht="15.75" customHeight="1" x14ac:dyDescent="0.2">
      <c r="B455" s="15"/>
    </row>
    <row r="456" spans="2:2" ht="15.75" customHeight="1" x14ac:dyDescent="0.2">
      <c r="B456" s="15"/>
    </row>
    <row r="457" spans="2:2" ht="15.75" customHeight="1" x14ac:dyDescent="0.2">
      <c r="B457" s="15"/>
    </row>
    <row r="458" spans="2:2" ht="15.75" customHeight="1" x14ac:dyDescent="0.2">
      <c r="B458" s="15"/>
    </row>
    <row r="459" spans="2:2" ht="15.75" customHeight="1" x14ac:dyDescent="0.2">
      <c r="B459" s="15"/>
    </row>
    <row r="460" spans="2:2" ht="15.75" customHeight="1" x14ac:dyDescent="0.2">
      <c r="B460" s="15"/>
    </row>
    <row r="461" spans="2:2" ht="15.75" customHeight="1" x14ac:dyDescent="0.2">
      <c r="B461" s="15"/>
    </row>
    <row r="462" spans="2:2" ht="15.75" customHeight="1" x14ac:dyDescent="0.2">
      <c r="B462" s="15"/>
    </row>
    <row r="463" spans="2:2" ht="15.75" customHeight="1" x14ac:dyDescent="0.2">
      <c r="B463" s="15"/>
    </row>
    <row r="464" spans="2:2" ht="15.75" customHeight="1" x14ac:dyDescent="0.2">
      <c r="B464" s="15"/>
    </row>
    <row r="465" spans="2:2" ht="15.75" customHeight="1" x14ac:dyDescent="0.2">
      <c r="B465" s="15"/>
    </row>
    <row r="466" spans="2:2" ht="15.75" customHeight="1" x14ac:dyDescent="0.2">
      <c r="B466" s="15"/>
    </row>
    <row r="467" spans="2:2" ht="15.75" customHeight="1" x14ac:dyDescent="0.2">
      <c r="B467" s="15"/>
    </row>
    <row r="468" spans="2:2" ht="15.75" customHeight="1" x14ac:dyDescent="0.2">
      <c r="B468" s="15"/>
    </row>
    <row r="469" spans="2:2" ht="15.75" customHeight="1" x14ac:dyDescent="0.2">
      <c r="B469" s="15"/>
    </row>
    <row r="470" spans="2:2" ht="15.75" customHeight="1" x14ac:dyDescent="0.2">
      <c r="B470" s="15"/>
    </row>
    <row r="471" spans="2:2" ht="15.75" customHeight="1" x14ac:dyDescent="0.2">
      <c r="B471" s="15"/>
    </row>
    <row r="472" spans="2:2" ht="15.75" customHeight="1" x14ac:dyDescent="0.2">
      <c r="B472" s="15"/>
    </row>
    <row r="473" spans="2:2" ht="15.75" customHeight="1" x14ac:dyDescent="0.2">
      <c r="B473" s="15"/>
    </row>
    <row r="474" spans="2:2" ht="15.75" customHeight="1" x14ac:dyDescent="0.2">
      <c r="B474" s="15"/>
    </row>
    <row r="475" spans="2:2" ht="15.75" customHeight="1" x14ac:dyDescent="0.2">
      <c r="B475" s="15"/>
    </row>
    <row r="476" spans="2:2" ht="15.75" customHeight="1" x14ac:dyDescent="0.2">
      <c r="B476" s="15"/>
    </row>
    <row r="477" spans="2:2" ht="15.75" customHeight="1" x14ac:dyDescent="0.2">
      <c r="B477" s="15"/>
    </row>
    <row r="478" spans="2:2" ht="15.75" customHeight="1" x14ac:dyDescent="0.2">
      <c r="B478" s="15"/>
    </row>
    <row r="479" spans="2:2" ht="15.75" customHeight="1" x14ac:dyDescent="0.2">
      <c r="B479" s="15"/>
    </row>
    <row r="480" spans="2:2" ht="15.75" customHeight="1" x14ac:dyDescent="0.2">
      <c r="B480" s="15"/>
    </row>
    <row r="481" spans="2:2" ht="15.75" customHeight="1" x14ac:dyDescent="0.2">
      <c r="B481" s="15"/>
    </row>
    <row r="482" spans="2:2" ht="15.75" customHeight="1" x14ac:dyDescent="0.2">
      <c r="B482" s="15"/>
    </row>
    <row r="483" spans="2:2" ht="15.75" customHeight="1" x14ac:dyDescent="0.2">
      <c r="B483" s="15"/>
    </row>
    <row r="484" spans="2:2" ht="15.75" customHeight="1" x14ac:dyDescent="0.2">
      <c r="B484" s="15"/>
    </row>
    <row r="485" spans="2:2" ht="15.75" customHeight="1" x14ac:dyDescent="0.2">
      <c r="B485" s="15"/>
    </row>
    <row r="486" spans="2:2" ht="15.75" customHeight="1" x14ac:dyDescent="0.2">
      <c r="B486" s="15"/>
    </row>
    <row r="487" spans="2:2" ht="15.75" customHeight="1" x14ac:dyDescent="0.2">
      <c r="B487" s="15"/>
    </row>
    <row r="488" spans="2:2" ht="15.75" customHeight="1" x14ac:dyDescent="0.2">
      <c r="B488" s="15"/>
    </row>
    <row r="489" spans="2:2" ht="15.75" customHeight="1" x14ac:dyDescent="0.2">
      <c r="B489" s="15"/>
    </row>
    <row r="490" spans="2:2" ht="15.75" customHeight="1" x14ac:dyDescent="0.2">
      <c r="B490" s="15"/>
    </row>
    <row r="491" spans="2:2" ht="15.75" customHeight="1" x14ac:dyDescent="0.2">
      <c r="B491" s="15"/>
    </row>
    <row r="492" spans="2:2" ht="15.75" customHeight="1" x14ac:dyDescent="0.2">
      <c r="B492" s="15"/>
    </row>
    <row r="493" spans="2:2" ht="15.75" customHeight="1" x14ac:dyDescent="0.2">
      <c r="B493" s="15"/>
    </row>
    <row r="494" spans="2:2" ht="15.75" customHeight="1" x14ac:dyDescent="0.2">
      <c r="B494" s="15"/>
    </row>
    <row r="495" spans="2:2" ht="15.75" customHeight="1" x14ac:dyDescent="0.2">
      <c r="B495" s="15"/>
    </row>
    <row r="496" spans="2:2" ht="15.75" customHeight="1" x14ac:dyDescent="0.2">
      <c r="B496" s="15"/>
    </row>
    <row r="497" spans="2:2" ht="15.75" customHeight="1" x14ac:dyDescent="0.2">
      <c r="B497" s="15"/>
    </row>
    <row r="498" spans="2:2" ht="15.75" customHeight="1" x14ac:dyDescent="0.2">
      <c r="B498" s="15"/>
    </row>
    <row r="499" spans="2:2" ht="15.75" customHeight="1" x14ac:dyDescent="0.2">
      <c r="B499" s="15"/>
    </row>
    <row r="500" spans="2:2" ht="15.75" customHeight="1" x14ac:dyDescent="0.2">
      <c r="B500" s="15"/>
    </row>
    <row r="501" spans="2:2" ht="15.75" customHeight="1" x14ac:dyDescent="0.2">
      <c r="B501" s="15"/>
    </row>
    <row r="502" spans="2:2" ht="15.75" customHeight="1" x14ac:dyDescent="0.2">
      <c r="B502" s="15"/>
    </row>
    <row r="503" spans="2:2" ht="15.75" customHeight="1" x14ac:dyDescent="0.2">
      <c r="B503" s="15"/>
    </row>
    <row r="504" spans="2:2" ht="15.75" customHeight="1" x14ac:dyDescent="0.2">
      <c r="B504" s="15"/>
    </row>
    <row r="505" spans="2:2" ht="15.75" customHeight="1" x14ac:dyDescent="0.2">
      <c r="B505" s="15"/>
    </row>
    <row r="506" spans="2:2" ht="15.75" customHeight="1" x14ac:dyDescent="0.2">
      <c r="B506" s="15"/>
    </row>
    <row r="507" spans="2:2" ht="15.75" customHeight="1" x14ac:dyDescent="0.2">
      <c r="B507" s="15"/>
    </row>
    <row r="508" spans="2:2" ht="15.75" customHeight="1" x14ac:dyDescent="0.2">
      <c r="B508" s="15"/>
    </row>
    <row r="509" spans="2:2" ht="15.75" customHeight="1" x14ac:dyDescent="0.2">
      <c r="B509" s="15"/>
    </row>
    <row r="510" spans="2:2" ht="15.75" customHeight="1" x14ac:dyDescent="0.2">
      <c r="B510" s="15"/>
    </row>
    <row r="511" spans="2:2" ht="15.75" customHeight="1" x14ac:dyDescent="0.2">
      <c r="B511" s="15"/>
    </row>
    <row r="512" spans="2:2" ht="15.75" customHeight="1" x14ac:dyDescent="0.2">
      <c r="B512" s="15"/>
    </row>
    <row r="513" spans="2:2" ht="15.75" customHeight="1" x14ac:dyDescent="0.2">
      <c r="B513" s="15"/>
    </row>
    <row r="514" spans="2:2" ht="15.75" customHeight="1" x14ac:dyDescent="0.2">
      <c r="B514" s="15"/>
    </row>
    <row r="515" spans="2:2" ht="15.75" customHeight="1" x14ac:dyDescent="0.2">
      <c r="B515" s="15"/>
    </row>
    <row r="516" spans="2:2" ht="15.75" customHeight="1" x14ac:dyDescent="0.2">
      <c r="B516" s="15"/>
    </row>
    <row r="517" spans="2:2" ht="15.75" customHeight="1" x14ac:dyDescent="0.2">
      <c r="B517" s="15"/>
    </row>
    <row r="518" spans="2:2" ht="15.75" customHeight="1" x14ac:dyDescent="0.2">
      <c r="B518" s="15"/>
    </row>
    <row r="519" spans="2:2" ht="15.75" customHeight="1" x14ac:dyDescent="0.2">
      <c r="B519" s="15"/>
    </row>
    <row r="520" spans="2:2" ht="15.75" customHeight="1" x14ac:dyDescent="0.2">
      <c r="B520" s="15"/>
    </row>
    <row r="521" spans="2:2" ht="15.75" customHeight="1" x14ac:dyDescent="0.2">
      <c r="B521" s="15"/>
    </row>
    <row r="522" spans="2:2" ht="15.75" customHeight="1" x14ac:dyDescent="0.2">
      <c r="B522" s="15"/>
    </row>
    <row r="523" spans="2:2" ht="15.75" customHeight="1" x14ac:dyDescent="0.2">
      <c r="B523" s="15"/>
    </row>
    <row r="524" spans="2:2" ht="15.75" customHeight="1" x14ac:dyDescent="0.2">
      <c r="B524" s="15"/>
    </row>
    <row r="525" spans="2:2" ht="15.75" customHeight="1" x14ac:dyDescent="0.2">
      <c r="B525" s="15"/>
    </row>
    <row r="526" spans="2:2" ht="15.75" customHeight="1" x14ac:dyDescent="0.2">
      <c r="B526" s="15"/>
    </row>
    <row r="527" spans="2:2" ht="15.75" customHeight="1" x14ac:dyDescent="0.2">
      <c r="B527" s="15"/>
    </row>
    <row r="528" spans="2:2" ht="15.75" customHeight="1" x14ac:dyDescent="0.2">
      <c r="B528" s="15"/>
    </row>
    <row r="529" spans="2:2" ht="15.75" customHeight="1" x14ac:dyDescent="0.2">
      <c r="B529" s="15"/>
    </row>
    <row r="530" spans="2:2" ht="15.75" customHeight="1" x14ac:dyDescent="0.2">
      <c r="B530" s="15"/>
    </row>
    <row r="531" spans="2:2" ht="15.75" customHeight="1" x14ac:dyDescent="0.2">
      <c r="B531" s="15"/>
    </row>
    <row r="532" spans="2:2" ht="15.75" customHeight="1" x14ac:dyDescent="0.2">
      <c r="B532" s="15"/>
    </row>
    <row r="533" spans="2:2" ht="15.75" customHeight="1" x14ac:dyDescent="0.2">
      <c r="B533" s="15"/>
    </row>
    <row r="534" spans="2:2" ht="15.75" customHeight="1" x14ac:dyDescent="0.2">
      <c r="B534" s="15"/>
    </row>
    <row r="535" spans="2:2" ht="15.75" customHeight="1" x14ac:dyDescent="0.2">
      <c r="B535" s="15"/>
    </row>
    <row r="536" spans="2:2" ht="15.75" customHeight="1" x14ac:dyDescent="0.2">
      <c r="B536" s="15"/>
    </row>
    <row r="537" spans="2:2" ht="15.75" customHeight="1" x14ac:dyDescent="0.2">
      <c r="B537" s="15"/>
    </row>
    <row r="538" spans="2:2" ht="15.75" customHeight="1" x14ac:dyDescent="0.2">
      <c r="B538" s="15"/>
    </row>
    <row r="539" spans="2:2" ht="15.75" customHeight="1" x14ac:dyDescent="0.2">
      <c r="B539" s="15"/>
    </row>
    <row r="540" spans="2:2" ht="15.75" customHeight="1" x14ac:dyDescent="0.2">
      <c r="B540" s="15"/>
    </row>
    <row r="541" spans="2:2" ht="15.75" customHeight="1" x14ac:dyDescent="0.2">
      <c r="B541" s="15"/>
    </row>
    <row r="542" spans="2:2" ht="15.75" customHeight="1" x14ac:dyDescent="0.2">
      <c r="B542" s="15"/>
    </row>
    <row r="543" spans="2:2" ht="15.75" customHeight="1" x14ac:dyDescent="0.2">
      <c r="B543" s="15"/>
    </row>
    <row r="544" spans="2:2" ht="15.75" customHeight="1" x14ac:dyDescent="0.2">
      <c r="B544" s="15"/>
    </row>
    <row r="545" spans="2:2" ht="15.75" customHeight="1" x14ac:dyDescent="0.2">
      <c r="B545" s="15"/>
    </row>
    <row r="546" spans="2:2" ht="15.75" customHeight="1" x14ac:dyDescent="0.2">
      <c r="B546" s="15"/>
    </row>
    <row r="547" spans="2:2" ht="15.75" customHeight="1" x14ac:dyDescent="0.2">
      <c r="B547" s="15"/>
    </row>
    <row r="548" spans="2:2" ht="15.75" customHeight="1" x14ac:dyDescent="0.2">
      <c r="B548" s="15"/>
    </row>
    <row r="549" spans="2:2" ht="15.75" customHeight="1" x14ac:dyDescent="0.2">
      <c r="B549" s="15"/>
    </row>
    <row r="550" spans="2:2" ht="15.75" customHeight="1" x14ac:dyDescent="0.2">
      <c r="B550" s="15"/>
    </row>
    <row r="551" spans="2:2" ht="15.75" customHeight="1" x14ac:dyDescent="0.2">
      <c r="B551" s="15"/>
    </row>
    <row r="552" spans="2:2" ht="15.75" customHeight="1" x14ac:dyDescent="0.2">
      <c r="B552" s="15"/>
    </row>
    <row r="553" spans="2:2" ht="15.75" customHeight="1" x14ac:dyDescent="0.2">
      <c r="B553" s="15"/>
    </row>
    <row r="554" spans="2:2" ht="15.75" customHeight="1" x14ac:dyDescent="0.2">
      <c r="B554" s="15"/>
    </row>
    <row r="555" spans="2:2" ht="15.75" customHeight="1" x14ac:dyDescent="0.2">
      <c r="B555" s="15"/>
    </row>
    <row r="556" spans="2:2" ht="15.75" customHeight="1" x14ac:dyDescent="0.2">
      <c r="B556" s="15"/>
    </row>
    <row r="557" spans="2:2" ht="15.75" customHeight="1" x14ac:dyDescent="0.2">
      <c r="B557" s="15"/>
    </row>
    <row r="558" spans="2:2" ht="15.75" customHeight="1" x14ac:dyDescent="0.2">
      <c r="B558" s="15"/>
    </row>
    <row r="559" spans="2:2" ht="15.75" customHeight="1" x14ac:dyDescent="0.2">
      <c r="B559" s="15"/>
    </row>
    <row r="560" spans="2:2" ht="15.75" customHeight="1" x14ac:dyDescent="0.2">
      <c r="B560" s="15"/>
    </row>
    <row r="561" spans="2:2" ht="15.75" customHeight="1" x14ac:dyDescent="0.2">
      <c r="B561" s="15"/>
    </row>
    <row r="562" spans="2:2" ht="15.75" customHeight="1" x14ac:dyDescent="0.2">
      <c r="B562" s="15"/>
    </row>
    <row r="563" spans="2:2" ht="15.75" customHeight="1" x14ac:dyDescent="0.2">
      <c r="B563" s="15"/>
    </row>
    <row r="564" spans="2:2" ht="15.75" customHeight="1" x14ac:dyDescent="0.2">
      <c r="B564" s="15"/>
    </row>
    <row r="565" spans="2:2" ht="15.75" customHeight="1" x14ac:dyDescent="0.2">
      <c r="B565" s="15"/>
    </row>
    <row r="566" spans="2:2" ht="15.75" customHeight="1" x14ac:dyDescent="0.2">
      <c r="B566" s="15"/>
    </row>
    <row r="567" spans="2:2" ht="15.75" customHeight="1" x14ac:dyDescent="0.2">
      <c r="B567" s="15"/>
    </row>
    <row r="568" spans="2:2" ht="15.75" customHeight="1" x14ac:dyDescent="0.2">
      <c r="B568" s="15"/>
    </row>
    <row r="569" spans="2:2" ht="15.75" customHeight="1" x14ac:dyDescent="0.2">
      <c r="B569" s="15"/>
    </row>
    <row r="570" spans="2:2" ht="15.75" customHeight="1" x14ac:dyDescent="0.2">
      <c r="B570" s="15"/>
    </row>
    <row r="571" spans="2:2" ht="15.75" customHeight="1" x14ac:dyDescent="0.2">
      <c r="B571" s="15"/>
    </row>
    <row r="572" spans="2:2" ht="15.75" customHeight="1" x14ac:dyDescent="0.2">
      <c r="B572" s="15"/>
    </row>
    <row r="573" spans="2:2" ht="15.75" customHeight="1" x14ac:dyDescent="0.2">
      <c r="B573" s="15"/>
    </row>
    <row r="574" spans="2:2" ht="15.75" customHeight="1" x14ac:dyDescent="0.2">
      <c r="B574" s="15"/>
    </row>
    <row r="575" spans="2:2" ht="15.75" customHeight="1" x14ac:dyDescent="0.2">
      <c r="B575" s="15"/>
    </row>
    <row r="576" spans="2:2" ht="15.75" customHeight="1" x14ac:dyDescent="0.2">
      <c r="B576" s="15"/>
    </row>
    <row r="577" spans="2:2" ht="15.75" customHeight="1" x14ac:dyDescent="0.2">
      <c r="B577" s="15"/>
    </row>
    <row r="578" spans="2:2" ht="15.75" customHeight="1" x14ac:dyDescent="0.2">
      <c r="B578" s="15"/>
    </row>
    <row r="579" spans="2:2" ht="15.75" customHeight="1" x14ac:dyDescent="0.2">
      <c r="B579" s="15"/>
    </row>
    <row r="580" spans="2:2" ht="15.75" customHeight="1" x14ac:dyDescent="0.2">
      <c r="B580" s="15"/>
    </row>
    <row r="581" spans="2:2" ht="15.75" customHeight="1" x14ac:dyDescent="0.2">
      <c r="B581" s="15"/>
    </row>
    <row r="582" spans="2:2" ht="15.75" customHeight="1" x14ac:dyDescent="0.2">
      <c r="B582" s="15"/>
    </row>
    <row r="583" spans="2:2" ht="15.75" customHeight="1" x14ac:dyDescent="0.2">
      <c r="B583" s="15"/>
    </row>
    <row r="584" spans="2:2" ht="15.75" customHeight="1" x14ac:dyDescent="0.2">
      <c r="B584" s="15"/>
    </row>
    <row r="585" spans="2:2" ht="15.75" customHeight="1" x14ac:dyDescent="0.2">
      <c r="B585" s="15"/>
    </row>
    <row r="586" spans="2:2" ht="15.75" customHeight="1" x14ac:dyDescent="0.2">
      <c r="B586" s="15"/>
    </row>
    <row r="587" spans="2:2" ht="15.75" customHeight="1" x14ac:dyDescent="0.2">
      <c r="B587" s="15"/>
    </row>
    <row r="588" spans="2:2" ht="15.75" customHeight="1" x14ac:dyDescent="0.2">
      <c r="B588" s="15"/>
    </row>
    <row r="589" spans="2:2" ht="15.75" customHeight="1" x14ac:dyDescent="0.2">
      <c r="B589" s="15"/>
    </row>
    <row r="590" spans="2:2" ht="15.75" customHeight="1" x14ac:dyDescent="0.2">
      <c r="B590" s="15"/>
    </row>
    <row r="591" spans="2:2" ht="15.75" customHeight="1" x14ac:dyDescent="0.2">
      <c r="B591" s="15"/>
    </row>
    <row r="592" spans="2:2" ht="15.75" customHeight="1" x14ac:dyDescent="0.2">
      <c r="B592" s="15"/>
    </row>
    <row r="593" spans="2:2" ht="15.75" customHeight="1" x14ac:dyDescent="0.2">
      <c r="B593" s="15"/>
    </row>
    <row r="594" spans="2:2" ht="15.75" customHeight="1" x14ac:dyDescent="0.2">
      <c r="B594" s="15"/>
    </row>
    <row r="595" spans="2:2" ht="15.75" customHeight="1" x14ac:dyDescent="0.2">
      <c r="B595" s="15"/>
    </row>
    <row r="596" spans="2:2" ht="15.75" customHeight="1" x14ac:dyDescent="0.2">
      <c r="B596" s="15"/>
    </row>
    <row r="597" spans="2:2" ht="15.75" customHeight="1" x14ac:dyDescent="0.2">
      <c r="B597" s="15"/>
    </row>
    <row r="598" spans="2:2" ht="15.75" customHeight="1" x14ac:dyDescent="0.2">
      <c r="B598" s="15"/>
    </row>
    <row r="599" spans="2:2" ht="15.75" customHeight="1" x14ac:dyDescent="0.2">
      <c r="B599" s="15"/>
    </row>
    <row r="600" spans="2:2" ht="15.75" customHeight="1" x14ac:dyDescent="0.2">
      <c r="B600" s="15"/>
    </row>
    <row r="601" spans="2:2" ht="15.75" customHeight="1" x14ac:dyDescent="0.2">
      <c r="B601" s="15"/>
    </row>
    <row r="602" spans="2:2" ht="15.75" customHeight="1" x14ac:dyDescent="0.2">
      <c r="B602" s="15"/>
    </row>
    <row r="603" spans="2:2" ht="15.75" customHeight="1" x14ac:dyDescent="0.2">
      <c r="B603" s="15"/>
    </row>
    <row r="604" spans="2:2" ht="15.75" customHeight="1" x14ac:dyDescent="0.2">
      <c r="B604" s="15"/>
    </row>
    <row r="605" spans="2:2" ht="15.75" customHeight="1" x14ac:dyDescent="0.2">
      <c r="B605" s="15"/>
    </row>
    <row r="606" spans="2:2" ht="15.75" customHeight="1" x14ac:dyDescent="0.2">
      <c r="B606" s="15"/>
    </row>
    <row r="607" spans="2:2" ht="15.75" customHeight="1" x14ac:dyDescent="0.2">
      <c r="B607" s="15"/>
    </row>
    <row r="608" spans="2:2" ht="15.75" customHeight="1" x14ac:dyDescent="0.2">
      <c r="B608" s="15"/>
    </row>
    <row r="609" spans="2:2" ht="15.75" customHeight="1" x14ac:dyDescent="0.2">
      <c r="B609" s="15"/>
    </row>
    <row r="610" spans="2:2" ht="15.75" customHeight="1" x14ac:dyDescent="0.2">
      <c r="B610" s="15"/>
    </row>
    <row r="611" spans="2:2" ht="15.75" customHeight="1" x14ac:dyDescent="0.2">
      <c r="B611" s="15"/>
    </row>
    <row r="612" spans="2:2" ht="15.75" customHeight="1" x14ac:dyDescent="0.2">
      <c r="B612" s="15"/>
    </row>
    <row r="613" spans="2:2" ht="15.75" customHeight="1" x14ac:dyDescent="0.2">
      <c r="B613" s="15"/>
    </row>
    <row r="614" spans="2:2" ht="15.75" customHeight="1" x14ac:dyDescent="0.2">
      <c r="B614" s="15"/>
    </row>
    <row r="615" spans="2:2" ht="15.75" customHeight="1" x14ac:dyDescent="0.2">
      <c r="B615" s="15"/>
    </row>
    <row r="616" spans="2:2" ht="15.75" customHeight="1" x14ac:dyDescent="0.2">
      <c r="B616" s="15"/>
    </row>
    <row r="617" spans="2:2" ht="15.75" customHeight="1" x14ac:dyDescent="0.2">
      <c r="B617" s="15"/>
    </row>
    <row r="618" spans="2:2" ht="15.75" customHeight="1" x14ac:dyDescent="0.2">
      <c r="B618" s="15"/>
    </row>
    <row r="619" spans="2:2" ht="15.75" customHeight="1" x14ac:dyDescent="0.2">
      <c r="B619" s="15"/>
    </row>
    <row r="620" spans="2:2" ht="15.75" customHeight="1" x14ac:dyDescent="0.2">
      <c r="B620" s="15"/>
    </row>
    <row r="621" spans="2:2" ht="15.75" customHeight="1" x14ac:dyDescent="0.2">
      <c r="B621" s="15"/>
    </row>
    <row r="622" spans="2:2" ht="15.75" customHeight="1" x14ac:dyDescent="0.2">
      <c r="B622" s="15"/>
    </row>
    <row r="623" spans="2:2" ht="15.75" customHeight="1" x14ac:dyDescent="0.2">
      <c r="B623" s="15"/>
    </row>
    <row r="624" spans="2:2" ht="15.75" customHeight="1" x14ac:dyDescent="0.2">
      <c r="B624" s="15"/>
    </row>
    <row r="625" spans="2:2" ht="15.75" customHeight="1" x14ac:dyDescent="0.2">
      <c r="B625" s="15"/>
    </row>
    <row r="626" spans="2:2" ht="15.75" customHeight="1" x14ac:dyDescent="0.2">
      <c r="B626" s="15"/>
    </row>
    <row r="627" spans="2:2" ht="15.75" customHeight="1" x14ac:dyDescent="0.2">
      <c r="B627" s="15"/>
    </row>
    <row r="628" spans="2:2" ht="15.75" customHeight="1" x14ac:dyDescent="0.2">
      <c r="B628" s="15"/>
    </row>
    <row r="629" spans="2:2" ht="15.75" customHeight="1" x14ac:dyDescent="0.2">
      <c r="B629" s="15"/>
    </row>
    <row r="630" spans="2:2" ht="15.75" customHeight="1" x14ac:dyDescent="0.2">
      <c r="B630" s="15"/>
    </row>
    <row r="631" spans="2:2" ht="15.75" customHeight="1" x14ac:dyDescent="0.2">
      <c r="B631" s="15"/>
    </row>
    <row r="632" spans="2:2" ht="15.75" customHeight="1" x14ac:dyDescent="0.2">
      <c r="B632" s="15"/>
    </row>
    <row r="633" spans="2:2" ht="15.75" customHeight="1" x14ac:dyDescent="0.2">
      <c r="B633" s="15"/>
    </row>
    <row r="634" spans="2:2" ht="15.75" customHeight="1" x14ac:dyDescent="0.2">
      <c r="B634" s="15"/>
    </row>
    <row r="635" spans="2:2" ht="15.75" customHeight="1" x14ac:dyDescent="0.2">
      <c r="B635" s="15"/>
    </row>
    <row r="636" spans="2:2" ht="15.75" customHeight="1" x14ac:dyDescent="0.2">
      <c r="B636" s="15"/>
    </row>
    <row r="637" spans="2:2" ht="15.75" customHeight="1" x14ac:dyDescent="0.2">
      <c r="B637" s="15"/>
    </row>
    <row r="638" spans="2:2" ht="15.75" customHeight="1" x14ac:dyDescent="0.2">
      <c r="B638" s="15"/>
    </row>
    <row r="639" spans="2:2" ht="15.75" customHeight="1" x14ac:dyDescent="0.2">
      <c r="B639" s="15"/>
    </row>
    <row r="640" spans="2:2" ht="15.75" customHeight="1" x14ac:dyDescent="0.2">
      <c r="B640" s="15"/>
    </row>
    <row r="641" spans="2:2" ht="15.75" customHeight="1" x14ac:dyDescent="0.2">
      <c r="B641" s="15"/>
    </row>
    <row r="642" spans="2:2" ht="15.75" customHeight="1" x14ac:dyDescent="0.2">
      <c r="B642" s="15"/>
    </row>
    <row r="643" spans="2:2" ht="15.75" customHeight="1" x14ac:dyDescent="0.2">
      <c r="B643" s="15"/>
    </row>
    <row r="644" spans="2:2" ht="15.75" customHeight="1" x14ac:dyDescent="0.2">
      <c r="B644" s="15"/>
    </row>
    <row r="645" spans="2:2" ht="15.75" customHeight="1" x14ac:dyDescent="0.2">
      <c r="B645" s="15"/>
    </row>
    <row r="646" spans="2:2" ht="15.75" customHeight="1" x14ac:dyDescent="0.2">
      <c r="B646" s="15"/>
    </row>
    <row r="647" spans="2:2" ht="15.75" customHeight="1" x14ac:dyDescent="0.2">
      <c r="B647" s="15"/>
    </row>
    <row r="648" spans="2:2" ht="15.75" customHeight="1" x14ac:dyDescent="0.2">
      <c r="B648" s="15"/>
    </row>
    <row r="649" spans="2:2" ht="15.75" customHeight="1" x14ac:dyDescent="0.2">
      <c r="B649" s="15"/>
    </row>
    <row r="650" spans="2:2" ht="15.75" customHeight="1" x14ac:dyDescent="0.2">
      <c r="B650" s="15"/>
    </row>
    <row r="651" spans="2:2" ht="15.75" customHeight="1" x14ac:dyDescent="0.2">
      <c r="B651" s="15"/>
    </row>
    <row r="652" spans="2:2" ht="15.75" customHeight="1" x14ac:dyDescent="0.2">
      <c r="B652" s="15"/>
    </row>
    <row r="653" spans="2:2" ht="15.75" customHeight="1" x14ac:dyDescent="0.2">
      <c r="B653" s="15"/>
    </row>
    <row r="654" spans="2:2" ht="15.75" customHeight="1" x14ac:dyDescent="0.2">
      <c r="B654" s="15"/>
    </row>
    <row r="655" spans="2:2" ht="15.75" customHeight="1" x14ac:dyDescent="0.2">
      <c r="B655" s="15"/>
    </row>
    <row r="656" spans="2:2" ht="15.75" customHeight="1" x14ac:dyDescent="0.2">
      <c r="B656" s="15"/>
    </row>
    <row r="657" spans="2:2" ht="15.75" customHeight="1" x14ac:dyDescent="0.2">
      <c r="B657" s="15"/>
    </row>
    <row r="658" spans="2:2" ht="15.75" customHeight="1" x14ac:dyDescent="0.2">
      <c r="B658" s="15"/>
    </row>
    <row r="659" spans="2:2" ht="15.75" customHeight="1" x14ac:dyDescent="0.2">
      <c r="B659" s="15"/>
    </row>
    <row r="660" spans="2:2" ht="15.75" customHeight="1" x14ac:dyDescent="0.2">
      <c r="B660" s="15"/>
    </row>
    <row r="661" spans="2:2" ht="15.75" customHeight="1" x14ac:dyDescent="0.2">
      <c r="B661" s="15"/>
    </row>
    <row r="662" spans="2:2" ht="15.75" customHeight="1" x14ac:dyDescent="0.2">
      <c r="B662" s="15"/>
    </row>
    <row r="663" spans="2:2" ht="15.75" customHeight="1" x14ac:dyDescent="0.2">
      <c r="B663" s="15"/>
    </row>
    <row r="664" spans="2:2" ht="15.75" customHeight="1" x14ac:dyDescent="0.2">
      <c r="B664" s="15"/>
    </row>
    <row r="665" spans="2:2" ht="15.75" customHeight="1" x14ac:dyDescent="0.2">
      <c r="B665" s="15"/>
    </row>
    <row r="666" spans="2:2" ht="15.75" customHeight="1" x14ac:dyDescent="0.2">
      <c r="B666" s="15"/>
    </row>
    <row r="667" spans="2:2" ht="15.75" customHeight="1" x14ac:dyDescent="0.2">
      <c r="B667" s="15"/>
    </row>
    <row r="668" spans="2:2" ht="15.75" customHeight="1" x14ac:dyDescent="0.2">
      <c r="B668" s="15"/>
    </row>
    <row r="669" spans="2:2" ht="15.75" customHeight="1" x14ac:dyDescent="0.2">
      <c r="B669" s="15"/>
    </row>
    <row r="670" spans="2:2" ht="15.75" customHeight="1" x14ac:dyDescent="0.2">
      <c r="B670" s="15"/>
    </row>
    <row r="671" spans="2:2" ht="15.75" customHeight="1" x14ac:dyDescent="0.2">
      <c r="B671" s="15"/>
    </row>
    <row r="672" spans="2:2" ht="15.75" customHeight="1" x14ac:dyDescent="0.2">
      <c r="B672" s="15"/>
    </row>
    <row r="673" spans="2:2" ht="15.75" customHeight="1" x14ac:dyDescent="0.2">
      <c r="B673" s="15"/>
    </row>
    <row r="674" spans="2:2" ht="15.75" customHeight="1" x14ac:dyDescent="0.2">
      <c r="B674" s="15"/>
    </row>
    <row r="675" spans="2:2" ht="15.75" customHeight="1" x14ac:dyDescent="0.2">
      <c r="B675" s="15"/>
    </row>
    <row r="676" spans="2:2" ht="15.75" customHeight="1" x14ac:dyDescent="0.2">
      <c r="B676" s="15"/>
    </row>
    <row r="677" spans="2:2" ht="15.75" customHeight="1" x14ac:dyDescent="0.2">
      <c r="B677" s="15"/>
    </row>
    <row r="678" spans="2:2" ht="15.75" customHeight="1" x14ac:dyDescent="0.2">
      <c r="B678" s="15"/>
    </row>
    <row r="679" spans="2:2" ht="15.75" customHeight="1" x14ac:dyDescent="0.2">
      <c r="B679" s="15"/>
    </row>
    <row r="680" spans="2:2" ht="15.75" customHeight="1" x14ac:dyDescent="0.2">
      <c r="B680" s="15"/>
    </row>
    <row r="681" spans="2:2" ht="15.75" customHeight="1" x14ac:dyDescent="0.2">
      <c r="B681" s="15"/>
    </row>
    <row r="682" spans="2:2" ht="15.75" customHeight="1" x14ac:dyDescent="0.2">
      <c r="B682" s="15"/>
    </row>
    <row r="683" spans="2:2" ht="15.75" customHeight="1" x14ac:dyDescent="0.2">
      <c r="B683" s="15"/>
    </row>
    <row r="684" spans="2:2" ht="15.75" customHeight="1" x14ac:dyDescent="0.2">
      <c r="B684" s="15"/>
    </row>
    <row r="685" spans="2:2" ht="15.75" customHeight="1" x14ac:dyDescent="0.2">
      <c r="B685" s="15"/>
    </row>
    <row r="686" spans="2:2" ht="15.75" customHeight="1" x14ac:dyDescent="0.2">
      <c r="B686" s="15"/>
    </row>
    <row r="687" spans="2:2" ht="15.75" customHeight="1" x14ac:dyDescent="0.2">
      <c r="B687" s="15"/>
    </row>
    <row r="688" spans="2:2" ht="15.75" customHeight="1" x14ac:dyDescent="0.2">
      <c r="B688" s="15"/>
    </row>
    <row r="689" spans="2:2" ht="15.75" customHeight="1" x14ac:dyDescent="0.2">
      <c r="B689" s="15"/>
    </row>
    <row r="690" spans="2:2" ht="15.75" customHeight="1" x14ac:dyDescent="0.2">
      <c r="B690" s="15"/>
    </row>
    <row r="691" spans="2:2" ht="15.75" customHeight="1" x14ac:dyDescent="0.2">
      <c r="B691" s="15"/>
    </row>
    <row r="692" spans="2:2" ht="15.75" customHeight="1" x14ac:dyDescent="0.2">
      <c r="B692" s="15"/>
    </row>
    <row r="693" spans="2:2" ht="15.75" customHeight="1" x14ac:dyDescent="0.2">
      <c r="B693" s="15"/>
    </row>
    <row r="694" spans="2:2" ht="15.75" customHeight="1" x14ac:dyDescent="0.2">
      <c r="B694" s="15"/>
    </row>
    <row r="695" spans="2:2" ht="15.75" customHeight="1" x14ac:dyDescent="0.2">
      <c r="B695" s="15"/>
    </row>
    <row r="696" spans="2:2" ht="15.75" customHeight="1" x14ac:dyDescent="0.2">
      <c r="B696" s="15"/>
    </row>
    <row r="697" spans="2:2" ht="15.75" customHeight="1" x14ac:dyDescent="0.2">
      <c r="B697" s="15"/>
    </row>
    <row r="698" spans="2:2" ht="15.75" customHeight="1" x14ac:dyDescent="0.2">
      <c r="B698" s="15"/>
    </row>
    <row r="699" spans="2:2" ht="15.75" customHeight="1" x14ac:dyDescent="0.2">
      <c r="B699" s="15"/>
    </row>
    <row r="700" spans="2:2" ht="15.75" customHeight="1" x14ac:dyDescent="0.2">
      <c r="B700" s="15"/>
    </row>
    <row r="701" spans="2:2" ht="15.75" customHeight="1" x14ac:dyDescent="0.2">
      <c r="B701" s="15"/>
    </row>
    <row r="702" spans="2:2" ht="15.75" customHeight="1" x14ac:dyDescent="0.2">
      <c r="B702" s="15"/>
    </row>
    <row r="703" spans="2:2" ht="15.75" customHeight="1" x14ac:dyDescent="0.2">
      <c r="B703" s="15"/>
    </row>
    <row r="704" spans="2:2" ht="15.75" customHeight="1" x14ac:dyDescent="0.2">
      <c r="B704" s="15"/>
    </row>
    <row r="705" spans="2:2" ht="15.75" customHeight="1" x14ac:dyDescent="0.2">
      <c r="B705" s="15"/>
    </row>
    <row r="706" spans="2:2" ht="15.75" customHeight="1" x14ac:dyDescent="0.2">
      <c r="B706" s="15"/>
    </row>
    <row r="707" spans="2:2" ht="15.75" customHeight="1" x14ac:dyDescent="0.2">
      <c r="B707" s="15"/>
    </row>
    <row r="708" spans="2:2" ht="15.75" customHeight="1" x14ac:dyDescent="0.2">
      <c r="B708" s="15"/>
    </row>
    <row r="709" spans="2:2" ht="15.75" customHeight="1" x14ac:dyDescent="0.2">
      <c r="B709" s="15"/>
    </row>
    <row r="710" spans="2:2" ht="15.75" customHeight="1" x14ac:dyDescent="0.2">
      <c r="B710" s="15"/>
    </row>
    <row r="711" spans="2:2" ht="15.75" customHeight="1" x14ac:dyDescent="0.2">
      <c r="B711" s="15"/>
    </row>
    <row r="712" spans="2:2" ht="15.75" customHeight="1" x14ac:dyDescent="0.2">
      <c r="B712" s="15"/>
    </row>
    <row r="713" spans="2:2" ht="15.75" customHeight="1" x14ac:dyDescent="0.2">
      <c r="B713" s="15"/>
    </row>
    <row r="714" spans="2:2" ht="15.75" customHeight="1" x14ac:dyDescent="0.2">
      <c r="B714" s="15"/>
    </row>
    <row r="715" spans="2:2" ht="15.75" customHeight="1" x14ac:dyDescent="0.2">
      <c r="B715" s="15"/>
    </row>
    <row r="716" spans="2:2" ht="15.75" customHeight="1" x14ac:dyDescent="0.2">
      <c r="B716" s="15"/>
    </row>
    <row r="717" spans="2:2" ht="15.75" customHeight="1" x14ac:dyDescent="0.2">
      <c r="B717" s="15"/>
    </row>
    <row r="718" spans="2:2" ht="15.75" customHeight="1" x14ac:dyDescent="0.2">
      <c r="B718" s="15"/>
    </row>
    <row r="719" spans="2:2" ht="15.75" customHeight="1" x14ac:dyDescent="0.2">
      <c r="B719" s="15"/>
    </row>
    <row r="720" spans="2:2" ht="15.75" customHeight="1" x14ac:dyDescent="0.2">
      <c r="B720" s="15"/>
    </row>
    <row r="721" spans="2:2" ht="15.75" customHeight="1" x14ac:dyDescent="0.2">
      <c r="B721" s="15"/>
    </row>
    <row r="722" spans="2:2" ht="15.75" customHeight="1" x14ac:dyDescent="0.2">
      <c r="B722" s="15"/>
    </row>
    <row r="723" spans="2:2" ht="15.75" customHeight="1" x14ac:dyDescent="0.2">
      <c r="B723" s="15"/>
    </row>
    <row r="724" spans="2:2" ht="15.75" customHeight="1" x14ac:dyDescent="0.2">
      <c r="B724" s="15"/>
    </row>
    <row r="725" spans="2:2" ht="15.75" customHeight="1" x14ac:dyDescent="0.2">
      <c r="B725" s="15"/>
    </row>
    <row r="726" spans="2:2" ht="15.75" customHeight="1" x14ac:dyDescent="0.2">
      <c r="B726" s="15"/>
    </row>
    <row r="727" spans="2:2" ht="15.75" customHeight="1" x14ac:dyDescent="0.2">
      <c r="B727" s="15"/>
    </row>
    <row r="728" spans="2:2" ht="15.75" customHeight="1" x14ac:dyDescent="0.2">
      <c r="B728" s="15"/>
    </row>
    <row r="729" spans="2:2" ht="15.75" customHeight="1" x14ac:dyDescent="0.2">
      <c r="B729" s="15"/>
    </row>
    <row r="730" spans="2:2" ht="15.75" customHeight="1" x14ac:dyDescent="0.2">
      <c r="B730" s="15"/>
    </row>
    <row r="731" spans="2:2" ht="15.75" customHeight="1" x14ac:dyDescent="0.2">
      <c r="B731" s="15"/>
    </row>
    <row r="732" spans="2:2" ht="15.75" customHeight="1" x14ac:dyDescent="0.2">
      <c r="B732" s="15"/>
    </row>
    <row r="733" spans="2:2" ht="15.75" customHeight="1" x14ac:dyDescent="0.2">
      <c r="B733" s="15"/>
    </row>
    <row r="734" spans="2:2" ht="15.75" customHeight="1" x14ac:dyDescent="0.2">
      <c r="B734" s="15"/>
    </row>
    <row r="735" spans="2:2" ht="15.75" customHeight="1" x14ac:dyDescent="0.2">
      <c r="B735" s="15"/>
    </row>
    <row r="736" spans="2:2" ht="15.75" customHeight="1" x14ac:dyDescent="0.2">
      <c r="B736" s="15"/>
    </row>
    <row r="737" spans="2:2" ht="15.75" customHeight="1" x14ac:dyDescent="0.2">
      <c r="B737" s="15"/>
    </row>
    <row r="738" spans="2:2" ht="15.75" customHeight="1" x14ac:dyDescent="0.2">
      <c r="B738" s="15"/>
    </row>
    <row r="739" spans="2:2" ht="15.75" customHeight="1" x14ac:dyDescent="0.2">
      <c r="B739" s="15"/>
    </row>
    <row r="740" spans="2:2" ht="15.75" customHeight="1" x14ac:dyDescent="0.2">
      <c r="B740" s="15"/>
    </row>
    <row r="741" spans="2:2" ht="15.75" customHeight="1" x14ac:dyDescent="0.2">
      <c r="B741" s="15"/>
    </row>
    <row r="742" spans="2:2" ht="15.75" customHeight="1" x14ac:dyDescent="0.2">
      <c r="B742" s="15"/>
    </row>
    <row r="743" spans="2:2" ht="15.75" customHeight="1" x14ac:dyDescent="0.2">
      <c r="B743" s="15"/>
    </row>
    <row r="744" spans="2:2" ht="15.75" customHeight="1" x14ac:dyDescent="0.2">
      <c r="B744" s="15"/>
    </row>
    <row r="745" spans="2:2" ht="15.75" customHeight="1" x14ac:dyDescent="0.2">
      <c r="B745" s="15"/>
    </row>
    <row r="746" spans="2:2" ht="15.75" customHeight="1" x14ac:dyDescent="0.2">
      <c r="B746" s="15"/>
    </row>
    <row r="747" spans="2:2" ht="15.75" customHeight="1" x14ac:dyDescent="0.2">
      <c r="B747" s="15"/>
    </row>
    <row r="748" spans="2:2" ht="15.75" customHeight="1" x14ac:dyDescent="0.2">
      <c r="B748" s="15"/>
    </row>
    <row r="749" spans="2:2" ht="15.75" customHeight="1" x14ac:dyDescent="0.2">
      <c r="B749" s="15"/>
    </row>
    <row r="750" spans="2:2" ht="15.75" customHeight="1" x14ac:dyDescent="0.2">
      <c r="B750" s="15"/>
    </row>
    <row r="751" spans="2:2" ht="15.75" customHeight="1" x14ac:dyDescent="0.2">
      <c r="B751" s="15"/>
    </row>
    <row r="752" spans="2:2" ht="15.75" customHeight="1" x14ac:dyDescent="0.2">
      <c r="B752" s="15"/>
    </row>
    <row r="753" spans="2:2" ht="15.75" customHeight="1" x14ac:dyDescent="0.2">
      <c r="B753" s="15"/>
    </row>
    <row r="754" spans="2:2" ht="15.75" customHeight="1" x14ac:dyDescent="0.2">
      <c r="B754" s="15"/>
    </row>
    <row r="755" spans="2:2" ht="15.75" customHeight="1" x14ac:dyDescent="0.2">
      <c r="B755" s="15"/>
    </row>
    <row r="756" spans="2:2" ht="15.75" customHeight="1" x14ac:dyDescent="0.2">
      <c r="B756" s="15"/>
    </row>
    <row r="757" spans="2:2" ht="15.75" customHeight="1" x14ac:dyDescent="0.2">
      <c r="B757" s="15"/>
    </row>
    <row r="758" spans="2:2" ht="15.75" customHeight="1" x14ac:dyDescent="0.2">
      <c r="B758" s="15"/>
    </row>
    <row r="759" spans="2:2" ht="15.75" customHeight="1" x14ac:dyDescent="0.2">
      <c r="B759" s="15"/>
    </row>
    <row r="760" spans="2:2" ht="15.75" customHeight="1" x14ac:dyDescent="0.2">
      <c r="B760" s="15"/>
    </row>
    <row r="761" spans="2:2" ht="15.75" customHeight="1" x14ac:dyDescent="0.2">
      <c r="B761" s="15"/>
    </row>
    <row r="762" spans="2:2" ht="15.75" customHeight="1" x14ac:dyDescent="0.2">
      <c r="B762" s="15"/>
    </row>
    <row r="763" spans="2:2" ht="15.75" customHeight="1" x14ac:dyDescent="0.2">
      <c r="B763" s="15"/>
    </row>
    <row r="764" spans="2:2" ht="15.75" customHeight="1" x14ac:dyDescent="0.2">
      <c r="B764" s="15"/>
    </row>
    <row r="765" spans="2:2" ht="15.75" customHeight="1" x14ac:dyDescent="0.2">
      <c r="B765" s="15"/>
    </row>
    <row r="766" spans="2:2" ht="15.75" customHeight="1" x14ac:dyDescent="0.2">
      <c r="B766" s="15"/>
    </row>
    <row r="767" spans="2:2" ht="15.75" customHeight="1" x14ac:dyDescent="0.2">
      <c r="B767" s="15"/>
    </row>
    <row r="768" spans="2:2" ht="15.75" customHeight="1" x14ac:dyDescent="0.2">
      <c r="B768" s="15"/>
    </row>
    <row r="769" spans="2:2" ht="15.75" customHeight="1" x14ac:dyDescent="0.2">
      <c r="B769" s="15"/>
    </row>
    <row r="770" spans="2:2" ht="15.75" customHeight="1" x14ac:dyDescent="0.2">
      <c r="B770" s="15"/>
    </row>
    <row r="771" spans="2:2" ht="15.75" customHeight="1" x14ac:dyDescent="0.2">
      <c r="B771" s="15"/>
    </row>
    <row r="772" spans="2:2" ht="15.75" customHeight="1" x14ac:dyDescent="0.2">
      <c r="B772" s="15"/>
    </row>
    <row r="773" spans="2:2" ht="15.75" customHeight="1" x14ac:dyDescent="0.2">
      <c r="B773" s="15"/>
    </row>
    <row r="774" spans="2:2" ht="15.75" customHeight="1" x14ac:dyDescent="0.2">
      <c r="B774" s="15"/>
    </row>
    <row r="775" spans="2:2" ht="15.75" customHeight="1" x14ac:dyDescent="0.2">
      <c r="B775" s="15"/>
    </row>
    <row r="776" spans="2:2" ht="15.75" customHeight="1" x14ac:dyDescent="0.2">
      <c r="B776" s="15"/>
    </row>
    <row r="777" spans="2:2" ht="15.75" customHeight="1" x14ac:dyDescent="0.2">
      <c r="B777" s="15"/>
    </row>
    <row r="778" spans="2:2" ht="15.75" customHeight="1" x14ac:dyDescent="0.2">
      <c r="B778" s="15"/>
    </row>
    <row r="779" spans="2:2" ht="15.75" customHeight="1" x14ac:dyDescent="0.2">
      <c r="B779" s="15"/>
    </row>
    <row r="780" spans="2:2" ht="15.75" customHeight="1" x14ac:dyDescent="0.2">
      <c r="B780" s="15"/>
    </row>
    <row r="781" spans="2:2" ht="15.75" customHeight="1" x14ac:dyDescent="0.2">
      <c r="B781" s="15"/>
    </row>
    <row r="782" spans="2:2" ht="15.75" customHeight="1" x14ac:dyDescent="0.2">
      <c r="B782" s="15"/>
    </row>
    <row r="783" spans="2:2" ht="15.75" customHeight="1" x14ac:dyDescent="0.2">
      <c r="B783" s="15"/>
    </row>
    <row r="784" spans="2:2" ht="15.75" customHeight="1" x14ac:dyDescent="0.2">
      <c r="B784" s="15"/>
    </row>
    <row r="785" spans="2:2" ht="15.75" customHeight="1" x14ac:dyDescent="0.2">
      <c r="B785" s="15"/>
    </row>
    <row r="786" spans="2:2" ht="15.75" customHeight="1" x14ac:dyDescent="0.2">
      <c r="B786" s="15"/>
    </row>
    <row r="787" spans="2:2" ht="15.75" customHeight="1" x14ac:dyDescent="0.2">
      <c r="B787" s="15"/>
    </row>
    <row r="788" spans="2:2" ht="15.75" customHeight="1" x14ac:dyDescent="0.2">
      <c r="B788" s="15"/>
    </row>
    <row r="789" spans="2:2" ht="15.75" customHeight="1" x14ac:dyDescent="0.2">
      <c r="B789" s="15"/>
    </row>
    <row r="790" spans="2:2" ht="15.75" customHeight="1" x14ac:dyDescent="0.2">
      <c r="B790" s="15"/>
    </row>
    <row r="791" spans="2:2" ht="15.75" customHeight="1" x14ac:dyDescent="0.2">
      <c r="B791" s="15"/>
    </row>
    <row r="792" spans="2:2" ht="15.75" customHeight="1" x14ac:dyDescent="0.2">
      <c r="B792" s="15"/>
    </row>
    <row r="793" spans="2:2" ht="15.75" customHeight="1" x14ac:dyDescent="0.2">
      <c r="B793" s="15"/>
    </row>
    <row r="794" spans="2:2" ht="15.75" customHeight="1" x14ac:dyDescent="0.2">
      <c r="B794" s="15"/>
    </row>
    <row r="795" spans="2:2" ht="15.75" customHeight="1" x14ac:dyDescent="0.2">
      <c r="B795" s="15"/>
    </row>
    <row r="796" spans="2:2" ht="15.75" customHeight="1" x14ac:dyDescent="0.2">
      <c r="B796" s="15"/>
    </row>
    <row r="797" spans="2:2" ht="15.75" customHeight="1" x14ac:dyDescent="0.2">
      <c r="B797" s="15"/>
    </row>
    <row r="798" spans="2:2" ht="15.75" customHeight="1" x14ac:dyDescent="0.2">
      <c r="B798" s="15"/>
    </row>
    <row r="799" spans="2:2" ht="15.75" customHeight="1" x14ac:dyDescent="0.2">
      <c r="B799" s="15"/>
    </row>
    <row r="800" spans="2:2" ht="15.75" customHeight="1" x14ac:dyDescent="0.2">
      <c r="B800" s="15"/>
    </row>
    <row r="801" spans="2:2" ht="15.75" customHeight="1" x14ac:dyDescent="0.2">
      <c r="B801" s="15"/>
    </row>
    <row r="802" spans="2:2" ht="15.75" customHeight="1" x14ac:dyDescent="0.2">
      <c r="B802" s="15"/>
    </row>
    <row r="803" spans="2:2" ht="15.75" customHeight="1" x14ac:dyDescent="0.2">
      <c r="B803" s="15"/>
    </row>
    <row r="804" spans="2:2" ht="15.75" customHeight="1" x14ac:dyDescent="0.2">
      <c r="B804" s="15"/>
    </row>
    <row r="805" spans="2:2" ht="15.75" customHeight="1" x14ac:dyDescent="0.2">
      <c r="B805" s="15"/>
    </row>
    <row r="806" spans="2:2" ht="15.75" customHeight="1" x14ac:dyDescent="0.2">
      <c r="B806" s="15"/>
    </row>
    <row r="807" spans="2:2" ht="15.75" customHeight="1" x14ac:dyDescent="0.2">
      <c r="B807" s="15"/>
    </row>
    <row r="808" spans="2:2" ht="15.75" customHeight="1" x14ac:dyDescent="0.2">
      <c r="B808" s="15"/>
    </row>
    <row r="809" spans="2:2" ht="15.75" customHeight="1" x14ac:dyDescent="0.2">
      <c r="B809" s="15"/>
    </row>
    <row r="810" spans="2:2" ht="15.75" customHeight="1" x14ac:dyDescent="0.2">
      <c r="B810" s="15"/>
    </row>
    <row r="811" spans="2:2" ht="15.75" customHeight="1" x14ac:dyDescent="0.2">
      <c r="B811" s="15"/>
    </row>
    <row r="812" spans="2:2" ht="15.75" customHeight="1" x14ac:dyDescent="0.2">
      <c r="B812" s="15"/>
    </row>
    <row r="813" spans="2:2" ht="15.75" customHeight="1" x14ac:dyDescent="0.2">
      <c r="B813" s="15"/>
    </row>
    <row r="814" spans="2:2" ht="15.75" customHeight="1" x14ac:dyDescent="0.2">
      <c r="B814" s="15"/>
    </row>
    <row r="815" spans="2:2" ht="15.75" customHeight="1" x14ac:dyDescent="0.2">
      <c r="B815" s="15"/>
    </row>
    <row r="816" spans="2:2" ht="15.75" customHeight="1" x14ac:dyDescent="0.2">
      <c r="B816" s="15"/>
    </row>
    <row r="817" spans="2:2" ht="15.75" customHeight="1" x14ac:dyDescent="0.2">
      <c r="B817" s="15"/>
    </row>
    <row r="818" spans="2:2" ht="15.75" customHeight="1" x14ac:dyDescent="0.2">
      <c r="B818" s="15"/>
    </row>
    <row r="819" spans="2:2" ht="15.75" customHeight="1" x14ac:dyDescent="0.2">
      <c r="B819" s="15"/>
    </row>
    <row r="820" spans="2:2" ht="15.75" customHeight="1" x14ac:dyDescent="0.2">
      <c r="B820" s="15"/>
    </row>
    <row r="821" spans="2:2" ht="15.75" customHeight="1" x14ac:dyDescent="0.2">
      <c r="B821" s="15"/>
    </row>
    <row r="822" spans="2:2" ht="15.75" customHeight="1" x14ac:dyDescent="0.2">
      <c r="B822" s="15"/>
    </row>
    <row r="823" spans="2:2" ht="15.75" customHeight="1" x14ac:dyDescent="0.2">
      <c r="B823" s="15"/>
    </row>
    <row r="824" spans="2:2" ht="15.75" customHeight="1" x14ac:dyDescent="0.2">
      <c r="B824" s="15"/>
    </row>
    <row r="825" spans="2:2" ht="15.75" customHeight="1" x14ac:dyDescent="0.2">
      <c r="B825" s="15"/>
    </row>
    <row r="826" spans="2:2" ht="15.75" customHeight="1" x14ac:dyDescent="0.2">
      <c r="B826" s="15"/>
    </row>
    <row r="827" spans="2:2" ht="15.75" customHeight="1" x14ac:dyDescent="0.2">
      <c r="B827" s="15"/>
    </row>
    <row r="828" spans="2:2" ht="15.75" customHeight="1" x14ac:dyDescent="0.2">
      <c r="B828" s="15"/>
    </row>
    <row r="829" spans="2:2" ht="15.75" customHeight="1" x14ac:dyDescent="0.2">
      <c r="B829" s="15"/>
    </row>
    <row r="830" spans="2:2" ht="15.75" customHeight="1" x14ac:dyDescent="0.2">
      <c r="B830" s="15"/>
    </row>
    <row r="831" spans="2:2" ht="15.75" customHeight="1" x14ac:dyDescent="0.2">
      <c r="B831" s="15"/>
    </row>
    <row r="832" spans="2:2" ht="15.75" customHeight="1" x14ac:dyDescent="0.2">
      <c r="B832" s="15"/>
    </row>
    <row r="833" spans="2:2" ht="15.75" customHeight="1" x14ac:dyDescent="0.2">
      <c r="B833" s="15"/>
    </row>
    <row r="834" spans="2:2" ht="15.75" customHeight="1" x14ac:dyDescent="0.2">
      <c r="B834" s="15"/>
    </row>
    <row r="835" spans="2:2" ht="15.75" customHeight="1" x14ac:dyDescent="0.2">
      <c r="B835" s="15"/>
    </row>
    <row r="836" spans="2:2" ht="15.75" customHeight="1" x14ac:dyDescent="0.2">
      <c r="B836" s="15"/>
    </row>
    <row r="837" spans="2:2" ht="15.75" customHeight="1" x14ac:dyDescent="0.2">
      <c r="B837" s="15"/>
    </row>
    <row r="838" spans="2:2" ht="15.75" customHeight="1" x14ac:dyDescent="0.2">
      <c r="B838" s="15"/>
    </row>
    <row r="839" spans="2:2" ht="15.75" customHeight="1" x14ac:dyDescent="0.2">
      <c r="B839" s="15"/>
    </row>
    <row r="840" spans="2:2" ht="15.75" customHeight="1" x14ac:dyDescent="0.2">
      <c r="B840" s="15"/>
    </row>
    <row r="841" spans="2:2" ht="15.75" customHeight="1" x14ac:dyDescent="0.2">
      <c r="B841" s="15"/>
    </row>
    <row r="842" spans="2:2" ht="15.75" customHeight="1" x14ac:dyDescent="0.2">
      <c r="B842" s="15"/>
    </row>
    <row r="843" spans="2:2" ht="15.75" customHeight="1" x14ac:dyDescent="0.2">
      <c r="B843" s="15"/>
    </row>
    <row r="844" spans="2:2" ht="15.75" customHeight="1" x14ac:dyDescent="0.2">
      <c r="B844" s="15"/>
    </row>
    <row r="845" spans="2:2" ht="15.75" customHeight="1" x14ac:dyDescent="0.2">
      <c r="B845" s="15"/>
    </row>
    <row r="846" spans="2:2" ht="15.75" customHeight="1" x14ac:dyDescent="0.2">
      <c r="B846" s="15"/>
    </row>
    <row r="847" spans="2:2" ht="15.75" customHeight="1" x14ac:dyDescent="0.2">
      <c r="B847" s="15"/>
    </row>
    <row r="848" spans="2:2" ht="15.75" customHeight="1" x14ac:dyDescent="0.2">
      <c r="B848" s="15"/>
    </row>
    <row r="849" spans="2:2" ht="15.75" customHeight="1" x14ac:dyDescent="0.2">
      <c r="B849" s="15"/>
    </row>
    <row r="850" spans="2:2" ht="15.75" customHeight="1" x14ac:dyDescent="0.2">
      <c r="B850" s="15"/>
    </row>
    <row r="851" spans="2:2" ht="15.75" customHeight="1" x14ac:dyDescent="0.2">
      <c r="B851" s="15"/>
    </row>
    <row r="852" spans="2:2" ht="15.75" customHeight="1" x14ac:dyDescent="0.2">
      <c r="B852" s="15"/>
    </row>
    <row r="853" spans="2:2" ht="15.75" customHeight="1" x14ac:dyDescent="0.2">
      <c r="B853" s="15"/>
    </row>
    <row r="854" spans="2:2" ht="15.75" customHeight="1" x14ac:dyDescent="0.2">
      <c r="B854" s="15"/>
    </row>
    <row r="855" spans="2:2" ht="15.75" customHeight="1" x14ac:dyDescent="0.2">
      <c r="B855" s="15"/>
    </row>
    <row r="856" spans="2:2" ht="15.75" customHeight="1" x14ac:dyDescent="0.2">
      <c r="B856" s="15"/>
    </row>
    <row r="857" spans="2:2" ht="15.75" customHeight="1" x14ac:dyDescent="0.2">
      <c r="B857" s="15"/>
    </row>
    <row r="858" spans="2:2" ht="15.75" customHeight="1" x14ac:dyDescent="0.2">
      <c r="B858" s="15"/>
    </row>
    <row r="859" spans="2:2" ht="15.75" customHeight="1" x14ac:dyDescent="0.2">
      <c r="B859" s="15"/>
    </row>
    <row r="860" spans="2:2" ht="15.75" customHeight="1" x14ac:dyDescent="0.2">
      <c r="B860" s="15"/>
    </row>
    <row r="861" spans="2:2" ht="15.75" customHeight="1" x14ac:dyDescent="0.2">
      <c r="B861" s="15"/>
    </row>
    <row r="862" spans="2:2" ht="15.75" customHeight="1" x14ac:dyDescent="0.2">
      <c r="B862" s="15"/>
    </row>
    <row r="863" spans="2:2" ht="15.75" customHeight="1" x14ac:dyDescent="0.2">
      <c r="B863" s="15"/>
    </row>
    <row r="864" spans="2:2" ht="15.75" customHeight="1" x14ac:dyDescent="0.2">
      <c r="B864" s="15"/>
    </row>
    <row r="865" spans="2:2" ht="15.75" customHeight="1" x14ac:dyDescent="0.2">
      <c r="B865" s="15"/>
    </row>
    <row r="866" spans="2:2" ht="15.75" customHeight="1" x14ac:dyDescent="0.2">
      <c r="B866" s="15"/>
    </row>
    <row r="867" spans="2:2" ht="15.75" customHeight="1" x14ac:dyDescent="0.2">
      <c r="B867" s="15"/>
    </row>
    <row r="868" spans="2:2" ht="15.75" customHeight="1" x14ac:dyDescent="0.2">
      <c r="B868" s="15"/>
    </row>
    <row r="869" spans="2:2" ht="15.75" customHeight="1" x14ac:dyDescent="0.2">
      <c r="B869" s="15"/>
    </row>
    <row r="870" spans="2:2" ht="15.75" customHeight="1" x14ac:dyDescent="0.2">
      <c r="B870" s="15"/>
    </row>
    <row r="871" spans="2:2" ht="15.75" customHeight="1" x14ac:dyDescent="0.2">
      <c r="B871" s="15"/>
    </row>
    <row r="872" spans="2:2" ht="15.75" customHeight="1" x14ac:dyDescent="0.2">
      <c r="B872" s="15"/>
    </row>
    <row r="873" spans="2:2" ht="15.75" customHeight="1" x14ac:dyDescent="0.2">
      <c r="B873" s="15"/>
    </row>
    <row r="874" spans="2:2" ht="15.75" customHeight="1" x14ac:dyDescent="0.2">
      <c r="B874" s="15"/>
    </row>
    <row r="875" spans="2:2" ht="15.75" customHeight="1" x14ac:dyDescent="0.2">
      <c r="B875" s="15"/>
    </row>
    <row r="876" spans="2:2" ht="15.75" customHeight="1" x14ac:dyDescent="0.2">
      <c r="B876" s="15"/>
    </row>
    <row r="877" spans="2:2" ht="15.75" customHeight="1" x14ac:dyDescent="0.2">
      <c r="B877" s="15"/>
    </row>
    <row r="878" spans="2:2" ht="15.75" customHeight="1" x14ac:dyDescent="0.2">
      <c r="B878" s="15"/>
    </row>
    <row r="879" spans="2:2" ht="15.75" customHeight="1" x14ac:dyDescent="0.2">
      <c r="B879" s="15"/>
    </row>
    <row r="880" spans="2:2" ht="15.75" customHeight="1" x14ac:dyDescent="0.2">
      <c r="B880" s="15"/>
    </row>
    <row r="881" spans="2:2" ht="15.75" customHeight="1" x14ac:dyDescent="0.2">
      <c r="B881" s="15"/>
    </row>
    <row r="882" spans="2:2" ht="15.75" customHeight="1" x14ac:dyDescent="0.2">
      <c r="B882" s="15"/>
    </row>
    <row r="883" spans="2:2" ht="15.75" customHeight="1" x14ac:dyDescent="0.2">
      <c r="B883" s="15"/>
    </row>
    <row r="884" spans="2:2" ht="15.75" customHeight="1" x14ac:dyDescent="0.2">
      <c r="B884" s="15"/>
    </row>
    <row r="885" spans="2:2" ht="15.75" customHeight="1" x14ac:dyDescent="0.2">
      <c r="B885" s="15"/>
    </row>
    <row r="886" spans="2:2" ht="15.75" customHeight="1" x14ac:dyDescent="0.2">
      <c r="B886" s="15"/>
    </row>
    <row r="887" spans="2:2" ht="15.75" customHeight="1" x14ac:dyDescent="0.2">
      <c r="B887" s="15"/>
    </row>
    <row r="888" spans="2:2" ht="15.75" customHeight="1" x14ac:dyDescent="0.2">
      <c r="B888" s="15"/>
    </row>
    <row r="889" spans="2:2" ht="15.75" customHeight="1" x14ac:dyDescent="0.2">
      <c r="B889" s="15"/>
    </row>
    <row r="890" spans="2:2" ht="15.75" customHeight="1" x14ac:dyDescent="0.2">
      <c r="B890" s="15"/>
    </row>
    <row r="891" spans="2:2" ht="15.75" customHeight="1" x14ac:dyDescent="0.2">
      <c r="B891" s="15"/>
    </row>
    <row r="892" spans="2:2" ht="15.75" customHeight="1" x14ac:dyDescent="0.2">
      <c r="B892" s="15"/>
    </row>
    <row r="893" spans="2:2" ht="15.75" customHeight="1" x14ac:dyDescent="0.2">
      <c r="B893" s="15"/>
    </row>
    <row r="894" spans="2:2" ht="15.75" customHeight="1" x14ac:dyDescent="0.2">
      <c r="B894" s="15"/>
    </row>
    <row r="895" spans="2:2" ht="15.75" customHeight="1" x14ac:dyDescent="0.2">
      <c r="B895" s="15"/>
    </row>
    <row r="896" spans="2:2" ht="15.75" customHeight="1" x14ac:dyDescent="0.2">
      <c r="B896" s="15"/>
    </row>
    <row r="897" spans="2:2" ht="15.75" customHeight="1" x14ac:dyDescent="0.2">
      <c r="B897" s="15"/>
    </row>
    <row r="898" spans="2:2" ht="15.75" customHeight="1" x14ac:dyDescent="0.2">
      <c r="B898" s="15"/>
    </row>
    <row r="899" spans="2:2" ht="15.75" customHeight="1" x14ac:dyDescent="0.2">
      <c r="B899" s="15"/>
    </row>
    <row r="900" spans="2:2" ht="15.75" customHeight="1" x14ac:dyDescent="0.2">
      <c r="B900" s="15"/>
    </row>
    <row r="901" spans="2:2" ht="15.75" customHeight="1" x14ac:dyDescent="0.2">
      <c r="B901" s="15"/>
    </row>
    <row r="902" spans="2:2" ht="15.75" customHeight="1" x14ac:dyDescent="0.2">
      <c r="B902" s="15"/>
    </row>
    <row r="903" spans="2:2" ht="15.75" customHeight="1" x14ac:dyDescent="0.2">
      <c r="B903" s="15"/>
    </row>
    <row r="904" spans="2:2" ht="15.75" customHeight="1" x14ac:dyDescent="0.2">
      <c r="B904" s="15"/>
    </row>
    <row r="905" spans="2:2" ht="15.75" customHeight="1" x14ac:dyDescent="0.2">
      <c r="B905" s="15"/>
    </row>
    <row r="906" spans="2:2" ht="15.75" customHeight="1" x14ac:dyDescent="0.2">
      <c r="B906" s="15"/>
    </row>
    <row r="907" spans="2:2" ht="15.75" customHeight="1" x14ac:dyDescent="0.2">
      <c r="B907" s="15"/>
    </row>
    <row r="908" spans="2:2" ht="15.75" customHeight="1" x14ac:dyDescent="0.2">
      <c r="B908" s="15"/>
    </row>
    <row r="909" spans="2:2" ht="15.75" customHeight="1" x14ac:dyDescent="0.2">
      <c r="B909" s="15"/>
    </row>
    <row r="910" spans="2:2" ht="15.75" customHeight="1" x14ac:dyDescent="0.2">
      <c r="B910" s="15"/>
    </row>
    <row r="911" spans="2:2" ht="15.75" customHeight="1" x14ac:dyDescent="0.2">
      <c r="B911" s="15"/>
    </row>
    <row r="912" spans="2:2" ht="15.75" customHeight="1" x14ac:dyDescent="0.2">
      <c r="B912" s="15"/>
    </row>
    <row r="913" spans="2:2" ht="15.75" customHeight="1" x14ac:dyDescent="0.2">
      <c r="B913" s="15"/>
    </row>
    <row r="914" spans="2:2" ht="15.75" customHeight="1" x14ac:dyDescent="0.2">
      <c r="B914" s="15"/>
    </row>
    <row r="915" spans="2:2" ht="15.75" customHeight="1" x14ac:dyDescent="0.2">
      <c r="B915" s="15"/>
    </row>
    <row r="916" spans="2:2" ht="15.75" customHeight="1" x14ac:dyDescent="0.2">
      <c r="B916" s="15"/>
    </row>
    <row r="917" spans="2:2" ht="15.75" customHeight="1" x14ac:dyDescent="0.2">
      <c r="B917" s="15"/>
    </row>
    <row r="918" spans="2:2" ht="15.75" customHeight="1" x14ac:dyDescent="0.2">
      <c r="B918" s="15"/>
    </row>
    <row r="919" spans="2:2" ht="15.75" customHeight="1" x14ac:dyDescent="0.2">
      <c r="B919" s="15"/>
    </row>
    <row r="920" spans="2:2" ht="15.75" customHeight="1" x14ac:dyDescent="0.2">
      <c r="B920" s="15"/>
    </row>
    <row r="921" spans="2:2" ht="15.75" customHeight="1" x14ac:dyDescent="0.2">
      <c r="B921" s="15"/>
    </row>
    <row r="922" spans="2:2" ht="15.75" customHeight="1" x14ac:dyDescent="0.2">
      <c r="B922" s="15"/>
    </row>
    <row r="923" spans="2:2" ht="15.75" customHeight="1" x14ac:dyDescent="0.2">
      <c r="B923" s="15"/>
    </row>
    <row r="924" spans="2:2" ht="15.75" customHeight="1" x14ac:dyDescent="0.2">
      <c r="B924" s="15"/>
    </row>
    <row r="925" spans="2:2" ht="15.75" customHeight="1" x14ac:dyDescent="0.2">
      <c r="B925" s="15"/>
    </row>
    <row r="926" spans="2:2" ht="15.75" customHeight="1" x14ac:dyDescent="0.2">
      <c r="B926" s="15"/>
    </row>
    <row r="927" spans="2:2" ht="15.75" customHeight="1" x14ac:dyDescent="0.2">
      <c r="B927" s="15"/>
    </row>
    <row r="928" spans="2:2" ht="15.75" customHeight="1" x14ac:dyDescent="0.2">
      <c r="B928" s="15"/>
    </row>
    <row r="929" spans="2:2" ht="15.75" customHeight="1" x14ac:dyDescent="0.2">
      <c r="B929" s="15"/>
    </row>
    <row r="930" spans="2:2" ht="15.75" customHeight="1" x14ac:dyDescent="0.2">
      <c r="B930" s="15"/>
    </row>
    <row r="931" spans="2:2" ht="15.75" customHeight="1" x14ac:dyDescent="0.2">
      <c r="B931" s="15"/>
    </row>
    <row r="932" spans="2:2" ht="15.75" customHeight="1" x14ac:dyDescent="0.2">
      <c r="B932" s="15"/>
    </row>
    <row r="933" spans="2:2" ht="15.75" customHeight="1" x14ac:dyDescent="0.2">
      <c r="B933" s="15"/>
    </row>
    <row r="934" spans="2:2" ht="15.75" customHeight="1" x14ac:dyDescent="0.2">
      <c r="B934" s="15"/>
    </row>
    <row r="935" spans="2:2" ht="15.75" customHeight="1" x14ac:dyDescent="0.2">
      <c r="B935" s="15"/>
    </row>
    <row r="936" spans="2:2" ht="15.75" customHeight="1" x14ac:dyDescent="0.2">
      <c r="B936" s="15"/>
    </row>
    <row r="937" spans="2:2" ht="15.75" customHeight="1" x14ac:dyDescent="0.2">
      <c r="B937" s="15"/>
    </row>
    <row r="938" spans="2:2" ht="15.75" customHeight="1" x14ac:dyDescent="0.2">
      <c r="B938" s="15"/>
    </row>
    <row r="939" spans="2:2" ht="15.75" customHeight="1" x14ac:dyDescent="0.2">
      <c r="B939" s="15"/>
    </row>
    <row r="940" spans="2:2" ht="15.75" customHeight="1" x14ac:dyDescent="0.2">
      <c r="B940" s="15"/>
    </row>
    <row r="941" spans="2:2" ht="15.75" customHeight="1" x14ac:dyDescent="0.2">
      <c r="B941" s="15"/>
    </row>
    <row r="942" spans="2:2" ht="15.75" customHeight="1" x14ac:dyDescent="0.2">
      <c r="B942" s="15"/>
    </row>
    <row r="943" spans="2:2" ht="15.75" customHeight="1" x14ac:dyDescent="0.2">
      <c r="B943" s="15"/>
    </row>
    <row r="944" spans="2:2" ht="15.75" customHeight="1" x14ac:dyDescent="0.2">
      <c r="B944" s="15"/>
    </row>
    <row r="945" spans="2:2" ht="15.75" customHeight="1" x14ac:dyDescent="0.2">
      <c r="B945" s="15"/>
    </row>
    <row r="946" spans="2:2" ht="15.75" customHeight="1" x14ac:dyDescent="0.2">
      <c r="B946" s="15"/>
    </row>
    <row r="947" spans="2:2" ht="15.75" customHeight="1" x14ac:dyDescent="0.2">
      <c r="B947" s="15"/>
    </row>
    <row r="948" spans="2:2" ht="15.75" customHeight="1" x14ac:dyDescent="0.2">
      <c r="B948" s="15"/>
    </row>
    <row r="949" spans="2:2" ht="15.75" customHeight="1" x14ac:dyDescent="0.2">
      <c r="B949" s="15"/>
    </row>
    <row r="950" spans="2:2" ht="15.75" customHeight="1" x14ac:dyDescent="0.2">
      <c r="B950" s="15"/>
    </row>
    <row r="951" spans="2:2" ht="15.75" customHeight="1" x14ac:dyDescent="0.2">
      <c r="B951" s="15"/>
    </row>
    <row r="952" spans="2:2" ht="15.75" customHeight="1" x14ac:dyDescent="0.2">
      <c r="B952" s="15"/>
    </row>
    <row r="953" spans="2:2" ht="15.75" customHeight="1" x14ac:dyDescent="0.2">
      <c r="B953" s="15"/>
    </row>
    <row r="954" spans="2:2" ht="15.75" customHeight="1" x14ac:dyDescent="0.2">
      <c r="B954" s="15"/>
    </row>
    <row r="955" spans="2:2" ht="15.75" customHeight="1" x14ac:dyDescent="0.2">
      <c r="B955" s="15"/>
    </row>
    <row r="956" spans="2:2" ht="15.75" customHeight="1" x14ac:dyDescent="0.2">
      <c r="B956" s="15"/>
    </row>
    <row r="957" spans="2:2" ht="15.75" customHeight="1" x14ac:dyDescent="0.2">
      <c r="B957" s="15"/>
    </row>
    <row r="958" spans="2:2" ht="15.75" customHeight="1" x14ac:dyDescent="0.2">
      <c r="B958" s="15"/>
    </row>
    <row r="959" spans="2:2" ht="15.75" customHeight="1" x14ac:dyDescent="0.2">
      <c r="B959" s="15"/>
    </row>
    <row r="960" spans="2:2" ht="15.75" customHeight="1" x14ac:dyDescent="0.2">
      <c r="B960" s="15"/>
    </row>
    <row r="961" spans="2:2" ht="15.75" customHeight="1" x14ac:dyDescent="0.2">
      <c r="B961" s="15"/>
    </row>
    <row r="962" spans="2:2" ht="15.75" customHeight="1" x14ac:dyDescent="0.2">
      <c r="B962" s="15"/>
    </row>
    <row r="963" spans="2:2" ht="15.75" customHeight="1" x14ac:dyDescent="0.2">
      <c r="B963" s="15"/>
    </row>
    <row r="964" spans="2:2" ht="15.75" customHeight="1" x14ac:dyDescent="0.2">
      <c r="B964" s="15"/>
    </row>
    <row r="965" spans="2:2" ht="15.75" customHeight="1" x14ac:dyDescent="0.2">
      <c r="B965" s="15"/>
    </row>
    <row r="966" spans="2:2" ht="15.75" customHeight="1" x14ac:dyDescent="0.2">
      <c r="B966" s="15"/>
    </row>
    <row r="967" spans="2:2" ht="15.75" customHeight="1" x14ac:dyDescent="0.2">
      <c r="B967" s="15"/>
    </row>
    <row r="968" spans="2:2" ht="15.75" customHeight="1" x14ac:dyDescent="0.2">
      <c r="B968" s="15"/>
    </row>
    <row r="969" spans="2:2" ht="15.75" customHeight="1" x14ac:dyDescent="0.2">
      <c r="B969" s="15"/>
    </row>
    <row r="970" spans="2:2" ht="15.75" customHeight="1" x14ac:dyDescent="0.2">
      <c r="B970" s="15"/>
    </row>
    <row r="971" spans="2:2" ht="15.75" customHeight="1" x14ac:dyDescent="0.2">
      <c r="B971" s="15"/>
    </row>
    <row r="972" spans="2:2" ht="15.75" customHeight="1" x14ac:dyDescent="0.2">
      <c r="B972" s="15"/>
    </row>
    <row r="973" spans="2:2" ht="15.75" customHeight="1" x14ac:dyDescent="0.2">
      <c r="B973" s="15"/>
    </row>
    <row r="974" spans="2:2" ht="15.75" customHeight="1" x14ac:dyDescent="0.2">
      <c r="B974" s="15"/>
    </row>
    <row r="975" spans="2:2" ht="15.75" customHeight="1" x14ac:dyDescent="0.2">
      <c r="B975" s="15"/>
    </row>
    <row r="976" spans="2:2" ht="15.75" customHeight="1" x14ac:dyDescent="0.2">
      <c r="B976" s="15"/>
    </row>
    <row r="977" spans="2:2" ht="15.75" customHeight="1" x14ac:dyDescent="0.2">
      <c r="B977" s="15"/>
    </row>
    <row r="978" spans="2:2" ht="15.75" customHeight="1" x14ac:dyDescent="0.2">
      <c r="B978" s="15"/>
    </row>
    <row r="979" spans="2:2" ht="15.75" customHeight="1" x14ac:dyDescent="0.2">
      <c r="B979" s="15"/>
    </row>
    <row r="980" spans="2:2" ht="15.75" customHeight="1" x14ac:dyDescent="0.2">
      <c r="B980" s="15"/>
    </row>
    <row r="981" spans="2:2" ht="15.75" customHeight="1" x14ac:dyDescent="0.2">
      <c r="B981" s="15"/>
    </row>
    <row r="982" spans="2:2" ht="15.75" customHeight="1" x14ac:dyDescent="0.2">
      <c r="B982" s="15"/>
    </row>
    <row r="983" spans="2:2" ht="15.75" customHeight="1" x14ac:dyDescent="0.2">
      <c r="B983" s="15"/>
    </row>
    <row r="984" spans="2:2" ht="15.75" customHeight="1" x14ac:dyDescent="0.2">
      <c r="B984" s="15"/>
    </row>
    <row r="985" spans="2:2" ht="15.75" customHeight="1" x14ac:dyDescent="0.2">
      <c r="B985" s="15"/>
    </row>
    <row r="986" spans="2:2" ht="15.75" customHeight="1" x14ac:dyDescent="0.2">
      <c r="B986" s="15"/>
    </row>
    <row r="987" spans="2:2" ht="15.75" customHeight="1" x14ac:dyDescent="0.2">
      <c r="B987" s="15"/>
    </row>
    <row r="988" spans="2:2" ht="15.75" customHeight="1" x14ac:dyDescent="0.2">
      <c r="B988" s="15"/>
    </row>
    <row r="989" spans="2:2" ht="15.75" customHeight="1" x14ac:dyDescent="0.2">
      <c r="B989" s="15"/>
    </row>
    <row r="990" spans="2:2" ht="15.75" customHeight="1" x14ac:dyDescent="0.2">
      <c r="B990" s="15"/>
    </row>
    <row r="991" spans="2:2" ht="15.75" customHeight="1" x14ac:dyDescent="0.2">
      <c r="B991" s="15"/>
    </row>
    <row r="992" spans="2:2" ht="15.75" customHeight="1" x14ac:dyDescent="0.2">
      <c r="B992" s="15"/>
    </row>
    <row r="993" spans="2:2" ht="15.75" customHeight="1" x14ac:dyDescent="0.2">
      <c r="B993" s="15"/>
    </row>
    <row r="994" spans="2:2" ht="15.75" customHeight="1" x14ac:dyDescent="0.2">
      <c r="B994" s="15"/>
    </row>
    <row r="995" spans="2:2" ht="15.75" customHeight="1" x14ac:dyDescent="0.2">
      <c r="B995" s="15"/>
    </row>
    <row r="996" spans="2:2" ht="15.75" customHeight="1" x14ac:dyDescent="0.2">
      <c r="B996" s="15"/>
    </row>
    <row r="997" spans="2:2" ht="15.75" customHeight="1" x14ac:dyDescent="0.2">
      <c r="B997" s="15"/>
    </row>
    <row r="998" spans="2:2" ht="15.75" customHeight="1" x14ac:dyDescent="0.2">
      <c r="B998" s="15"/>
    </row>
    <row r="999" spans="2:2" ht="15.75" customHeight="1" x14ac:dyDescent="0.2">
      <c r="B999" s="15"/>
    </row>
    <row r="1000" spans="2:2" ht="15.75" customHeight="1" x14ac:dyDescent="0.2">
      <c r="B1000" s="15"/>
    </row>
    <row r="1001" spans="2:2" ht="15.75" customHeight="1" x14ac:dyDescent="0.2">
      <c r="B1001" s="15"/>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520700</xdr:colOff>
                    <xdr:row>2</xdr:row>
                    <xdr:rowOff>165100</xdr:rowOff>
                  </from>
                  <to>
                    <xdr:col>3</xdr:col>
                    <xdr:colOff>1384300</xdr:colOff>
                    <xdr:row>5</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508000</xdr:colOff>
                    <xdr:row>10</xdr:row>
                    <xdr:rowOff>88900</xdr:rowOff>
                  </from>
                  <to>
                    <xdr:col>3</xdr:col>
                    <xdr:colOff>1346200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76200</xdr:rowOff>
                  </from>
                  <to>
                    <xdr:col>3</xdr:col>
                    <xdr:colOff>1333500</xdr:colOff>
                    <xdr:row>16</xdr:row>
                    <xdr:rowOff>139700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18</xdr:row>
                    <xdr:rowOff>88900</xdr:rowOff>
                  </from>
                  <to>
                    <xdr:col>3</xdr:col>
                    <xdr:colOff>1333500</xdr:colOff>
                    <xdr:row>20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1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000"/>
  <sheetViews>
    <sheetView showGridLines="0" topLeftCell="A2" zoomScale="87" zoomScaleNormal="50" workbookViewId="0">
      <selection activeCell="I27" sqref="I26:I27"/>
    </sheetView>
  </sheetViews>
  <sheetFormatPr baseColWidth="10" defaultColWidth="12.6640625" defaultRowHeight="15" customHeight="1" x14ac:dyDescent="0.15"/>
  <cols>
    <col min="1" max="1" width="18.5" customWidth="1"/>
    <col min="2" max="2" width="15.6640625" customWidth="1"/>
    <col min="3" max="3" width="11.1640625" customWidth="1"/>
    <col min="4" max="4" width="19" customWidth="1"/>
    <col min="5" max="5" width="18.6640625" customWidth="1"/>
    <col min="6" max="6" width="11.1640625" customWidth="1"/>
    <col min="7" max="7" width="13.1640625" customWidth="1"/>
    <col min="8" max="9" width="11.1640625" customWidth="1"/>
    <col min="10" max="10" width="13" customWidth="1"/>
    <col min="11" max="11" width="11.1640625" customWidth="1"/>
    <col min="12" max="12" width="12" customWidth="1"/>
    <col min="13" max="13" width="17.5" customWidth="1"/>
    <col min="14" max="14" width="16.33203125" customWidth="1"/>
    <col min="15" max="40" width="11.1640625" customWidth="1"/>
  </cols>
  <sheetData>
    <row r="1" spans="1:40" ht="18.75"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row>
    <row r="2" spans="1:40" ht="39.75" customHeight="1" x14ac:dyDescent="0.6">
      <c r="A2" s="5"/>
      <c r="B2" s="5"/>
      <c r="C2" s="5"/>
      <c r="D2" s="16" t="s">
        <v>21</v>
      </c>
      <c r="E2" s="16"/>
      <c r="F2" s="5"/>
      <c r="G2" s="17"/>
      <c r="H2" s="5"/>
      <c r="I2" s="5"/>
      <c r="J2" s="5"/>
      <c r="K2" s="5"/>
      <c r="L2" s="5"/>
      <c r="M2" s="5"/>
      <c r="N2" s="5"/>
      <c r="O2" s="64"/>
      <c r="P2" s="5"/>
      <c r="Q2" s="5"/>
      <c r="R2" s="5"/>
      <c r="S2" s="5"/>
      <c r="T2" s="5"/>
      <c r="U2" s="5"/>
      <c r="V2" s="5"/>
      <c r="W2" s="5"/>
      <c r="X2" s="5"/>
      <c r="Y2" s="5"/>
      <c r="Z2" s="5"/>
      <c r="AA2" s="5"/>
      <c r="AB2" s="5"/>
      <c r="AC2" s="5"/>
      <c r="AD2" s="5"/>
      <c r="AE2" s="5"/>
      <c r="AF2" s="5"/>
      <c r="AG2" s="5"/>
      <c r="AH2" s="5"/>
      <c r="AI2" s="5"/>
      <c r="AJ2" s="5"/>
      <c r="AK2" s="5"/>
      <c r="AL2" s="5"/>
      <c r="AM2" s="5"/>
      <c r="AN2" s="5"/>
    </row>
    <row r="3" spans="1:40" ht="18.75" customHeight="1" x14ac:dyDescent="0.15">
      <c r="A3" s="5"/>
      <c r="B3" s="5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row>
    <row r="4" spans="1:40" ht="18.75" customHeight="1" thickBot="1" x14ac:dyDescent="0.2">
      <c r="A4" s="5"/>
      <c r="B4" s="5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8.75" customHeight="1" thickBot="1" x14ac:dyDescent="0.25">
      <c r="A5" s="5"/>
      <c r="B5" s="18">
        <v>102.16</v>
      </c>
      <c r="C5" s="5"/>
      <c r="D5" s="5"/>
      <c r="E5" s="18" t="s">
        <v>22</v>
      </c>
      <c r="F5" s="5"/>
      <c r="G5" s="19" t="s">
        <v>23</v>
      </c>
      <c r="H5" s="20">
        <f>IF(Inputs!bs_option_type="Call",BinomialModel!A53,BinomialModel!A80)</f>
        <v>5.1087146746639593</v>
      </c>
      <c r="I5" s="5"/>
      <c r="J5" s="19" t="s">
        <v>51</v>
      </c>
      <c r="K5" s="66">
        <v>1.3681383594420331</v>
      </c>
      <c r="L5" s="5"/>
      <c r="M5" s="5"/>
      <c r="N5" s="5"/>
      <c r="O5" s="5"/>
      <c r="P5" s="5"/>
      <c r="Q5" s="5"/>
      <c r="R5" s="5"/>
      <c r="S5" s="5"/>
      <c r="T5" s="5"/>
      <c r="U5" s="5"/>
      <c r="V5" s="5"/>
      <c r="W5" s="5"/>
      <c r="X5" s="5"/>
      <c r="Y5" s="5"/>
      <c r="Z5" s="5"/>
      <c r="AA5" s="5"/>
      <c r="AB5" s="5"/>
      <c r="AC5" s="5"/>
      <c r="AD5" s="5"/>
      <c r="AE5" s="5"/>
      <c r="AF5" s="5"/>
      <c r="AG5" s="5"/>
      <c r="AH5" s="5"/>
      <c r="AI5" s="5"/>
      <c r="AJ5" s="5"/>
      <c r="AK5" s="5"/>
      <c r="AL5" s="5"/>
      <c r="AM5" s="5"/>
      <c r="AN5" s="5"/>
    </row>
    <row r="6" spans="1:40" ht="18.75" customHeight="1" x14ac:dyDescent="0.2">
      <c r="A6" s="21" t="s">
        <v>24</v>
      </c>
      <c r="B6" s="22">
        <f>EXP(Inputs!Sigma*SQRT(Inputs!Time/12))</f>
        <v>1.0594342369612506</v>
      </c>
      <c r="C6" s="5"/>
      <c r="D6" s="21" t="s">
        <v>25</v>
      </c>
      <c r="E6" s="22">
        <f>((1+Rate)^(1/(Time*12))-1)</f>
        <v>8.295381143461622E-4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40" ht="18.75" customHeight="1" x14ac:dyDescent="0.2">
      <c r="A7" s="21" t="s">
        <v>26</v>
      </c>
      <c r="B7" s="62">
        <f>EXP(-Inputs!Sigma*SQRT(Inputs!Time/12))</f>
        <v>0.94390002240089532</v>
      </c>
      <c r="C7" s="5"/>
      <c r="D7" s="21" t="s">
        <v>27</v>
      </c>
      <c r="E7" s="22">
        <f>(EXP(Rate*(((Time*12)/12)/n_periods))-B7)/(B6-B7)</f>
        <v>0.49278612805550176</v>
      </c>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row>
    <row r="8" spans="1:40" ht="18.75" customHeight="1" x14ac:dyDescent="0.2">
      <c r="A8" s="61" t="s">
        <v>50</v>
      </c>
      <c r="B8" s="63" t="b">
        <f>(B6*B7)=1</f>
        <v>1</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row>
    <row r="9" spans="1:40" ht="18.75" customHeight="1" x14ac:dyDescent="0.1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row>
    <row r="10" spans="1:40" ht="18.75" customHeight="1" x14ac:dyDescent="0.1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row>
    <row r="11" spans="1:40" ht="18.75" customHeight="1" thickBot="1" x14ac:dyDescent="0.25">
      <c r="A11" s="23">
        <v>0</v>
      </c>
      <c r="B11" s="23">
        <v>1</v>
      </c>
      <c r="C11" s="23">
        <v>2</v>
      </c>
      <c r="D11" s="23">
        <v>3</v>
      </c>
      <c r="E11" s="23">
        <v>4</v>
      </c>
      <c r="F11" s="23">
        <v>5</v>
      </c>
      <c r="G11" s="23">
        <v>6</v>
      </c>
      <c r="H11" s="23">
        <v>7</v>
      </c>
      <c r="I11" s="23">
        <v>8</v>
      </c>
      <c r="J11" s="23">
        <v>9</v>
      </c>
      <c r="K11" s="23">
        <v>10</v>
      </c>
      <c r="L11" s="23">
        <v>11</v>
      </c>
      <c r="M11" s="23">
        <v>12</v>
      </c>
      <c r="N11" s="5"/>
      <c r="O11" s="5"/>
      <c r="P11" s="5"/>
      <c r="Q11" s="5"/>
      <c r="R11" s="5"/>
      <c r="S11" s="5"/>
      <c r="T11" s="5"/>
      <c r="U11" s="5"/>
      <c r="V11" s="5"/>
      <c r="W11" s="5"/>
      <c r="X11" s="5"/>
      <c r="Y11" s="5"/>
      <c r="Z11" s="5"/>
      <c r="AA11" s="5"/>
      <c r="AB11" s="5"/>
      <c r="AC11" s="5"/>
      <c r="AD11" s="5"/>
      <c r="AE11" s="5"/>
      <c r="AF11" s="5"/>
      <c r="AG11" s="5"/>
      <c r="AH11" s="5"/>
      <c r="AI11" s="5"/>
      <c r="AJ11" s="5"/>
      <c r="AK11" s="5"/>
      <c r="AL11" s="5"/>
      <c r="AM11" s="5"/>
    </row>
    <row r="12" spans="1:40" ht="20" customHeight="1" thickBot="1" x14ac:dyDescent="0.2">
      <c r="A12" s="150" t="s">
        <v>28</v>
      </c>
      <c r="B12" s="151"/>
      <c r="C12" s="151"/>
      <c r="D12" s="151"/>
      <c r="E12" s="151"/>
      <c r="F12" s="151"/>
      <c r="G12" s="151"/>
      <c r="H12" s="151"/>
      <c r="I12" s="151"/>
      <c r="J12" s="151"/>
      <c r="K12" s="151"/>
      <c r="L12" s="151"/>
      <c r="M12" s="152"/>
      <c r="N12" s="5"/>
      <c r="O12" s="5"/>
      <c r="P12" s="5"/>
      <c r="Q12" s="5"/>
      <c r="R12" s="5"/>
      <c r="S12" s="5"/>
      <c r="T12" s="5"/>
      <c r="U12" s="5"/>
      <c r="V12" s="5"/>
      <c r="W12" s="5"/>
      <c r="X12" s="5"/>
      <c r="Y12" s="5"/>
      <c r="Z12" s="5"/>
      <c r="AA12" s="5"/>
      <c r="AB12" s="5"/>
      <c r="AC12" s="5"/>
      <c r="AD12" s="5"/>
      <c r="AE12" s="5"/>
      <c r="AF12" s="5"/>
      <c r="AG12" s="5"/>
      <c r="AH12" s="5"/>
      <c r="AI12" s="5"/>
      <c r="AJ12" s="5"/>
      <c r="AK12" s="5"/>
      <c r="AL12" s="5"/>
      <c r="AM12" s="5"/>
    </row>
    <row r="13" spans="1:40" ht="18" customHeight="1" x14ac:dyDescent="0.2">
      <c r="A13" s="25"/>
      <c r="B13" s="25"/>
      <c r="C13" s="25"/>
      <c r="D13" s="25"/>
      <c r="E13" s="25"/>
      <c r="F13" s="25"/>
      <c r="G13" s="25"/>
      <c r="H13" s="25"/>
      <c r="I13" s="25"/>
      <c r="J13" s="25"/>
      <c r="K13" s="25"/>
      <c r="L13" s="114">
        <f>EXP(-dividend_rate/12)*((BinomialModel!M13-BinomialModel!M15)/(Inputs!Stock*(up_factor-down_factor)))</f>
        <v>1.8259969075823301</v>
      </c>
      <c r="M13" s="26">
        <f>L14*$B$6</f>
        <v>193.93660000066336</v>
      </c>
      <c r="N13" s="5"/>
      <c r="O13" s="5"/>
      <c r="P13" s="5"/>
      <c r="Q13" s="5"/>
      <c r="R13" s="5"/>
      <c r="S13" s="5"/>
      <c r="T13" s="5"/>
      <c r="U13" s="5"/>
      <c r="V13" s="5"/>
      <c r="W13" s="5"/>
      <c r="X13" s="5"/>
      <c r="Y13" s="5"/>
      <c r="Z13" s="5"/>
      <c r="AA13" s="5"/>
      <c r="AB13" s="5"/>
      <c r="AC13" s="5"/>
      <c r="AD13" s="5"/>
      <c r="AE13" s="5"/>
      <c r="AF13" s="5"/>
      <c r="AG13" s="5"/>
      <c r="AH13" s="5"/>
      <c r="AI13" s="5"/>
      <c r="AJ13" s="5"/>
      <c r="AK13" s="5"/>
      <c r="AL13" s="5"/>
      <c r="AM13" s="5"/>
    </row>
    <row r="14" spans="1:40" ht="18.75" customHeight="1" x14ac:dyDescent="0.2">
      <c r="A14" s="25"/>
      <c r="B14" s="25"/>
      <c r="C14" s="25"/>
      <c r="D14" s="25"/>
      <c r="E14" s="25"/>
      <c r="F14" s="25"/>
      <c r="G14" s="25"/>
      <c r="H14" s="25"/>
      <c r="I14" s="114"/>
      <c r="J14" s="25"/>
      <c r="K14" s="114">
        <f>EXP(-dividend_rate/12)*((BinomialModel!L14-BinomialModel!L16)/(Inputs!Stock*(up_factor-down_factor)))</f>
        <v>1.7235585219709273</v>
      </c>
      <c r="L14" s="27">
        <f>K15*$B$6</f>
        <v>183.05676108497966</v>
      </c>
      <c r="M14" s="28"/>
      <c r="N14" s="5"/>
      <c r="O14" s="5"/>
      <c r="P14" s="5"/>
      <c r="Q14" s="5"/>
      <c r="R14" s="5"/>
      <c r="S14" s="5"/>
      <c r="T14" s="5"/>
      <c r="U14" s="5"/>
      <c r="V14" s="5"/>
      <c r="W14" s="5"/>
      <c r="X14" s="5"/>
      <c r="Y14" s="5"/>
      <c r="Z14" s="5"/>
      <c r="AA14" s="5"/>
      <c r="AB14" s="5"/>
      <c r="AC14" s="5"/>
      <c r="AD14" s="5"/>
      <c r="AE14" s="5"/>
      <c r="AF14" s="5"/>
      <c r="AG14" s="5"/>
      <c r="AH14" s="5"/>
      <c r="AI14" s="5"/>
      <c r="AJ14" s="5"/>
      <c r="AK14" s="5"/>
      <c r="AL14" s="5"/>
      <c r="AM14" s="5"/>
    </row>
    <row r="15" spans="1:40" ht="18.75" customHeight="1" x14ac:dyDescent="0.2">
      <c r="A15" s="25"/>
      <c r="B15" s="25"/>
      <c r="C15" s="25"/>
      <c r="D15" s="25"/>
      <c r="E15" s="25"/>
      <c r="F15" s="25"/>
      <c r="G15" s="25"/>
      <c r="H15" s="25"/>
      <c r="I15" s="25"/>
      <c r="J15" s="114">
        <f>EXP(-dividend_rate/12)*((BinomialModel!K15-BinomialModel!K17)/(Inputs!Stock*(up_factor-down_factor)))</f>
        <v>1.6268669274976115</v>
      </c>
      <c r="K15" s="27">
        <f>J16*$B$6</f>
        <v>172.78728088874766</v>
      </c>
      <c r="L15" s="114">
        <f>EXP(-dividend_rate/12)*((BinomialModel!M15-BinomialModel!M17)/(Inputs!Stock*(up_factor-down_factor)))</f>
        <v>1.6268669274976115</v>
      </c>
      <c r="M15" s="26">
        <f>L14*$B$7</f>
        <v>172.78728088874763</v>
      </c>
      <c r="N15" s="5"/>
      <c r="O15" s="5"/>
      <c r="P15" s="5"/>
      <c r="Q15" s="5"/>
      <c r="R15" s="5"/>
      <c r="S15" s="5"/>
      <c r="T15" s="5"/>
      <c r="U15" s="5"/>
      <c r="V15" s="5"/>
      <c r="W15" s="5"/>
      <c r="X15" s="5"/>
      <c r="Y15" s="5"/>
      <c r="Z15" s="5"/>
      <c r="AA15" s="5"/>
      <c r="AB15" s="5"/>
      <c r="AC15" s="5"/>
      <c r="AD15" s="5"/>
      <c r="AE15" s="5"/>
      <c r="AF15" s="5"/>
      <c r="AG15" s="5"/>
      <c r="AH15" s="5"/>
      <c r="AI15" s="5"/>
      <c r="AJ15" s="5"/>
      <c r="AK15" s="5"/>
      <c r="AL15" s="5"/>
      <c r="AM15" s="5"/>
    </row>
    <row r="16" spans="1:40" ht="18.75" customHeight="1" x14ac:dyDescent="0.3">
      <c r="A16" s="25"/>
      <c r="B16" s="29"/>
      <c r="C16" s="25"/>
      <c r="D16" s="25"/>
      <c r="E16" s="25"/>
      <c r="F16" s="25"/>
      <c r="G16" s="25"/>
      <c r="H16" s="25"/>
      <c r="I16" s="114">
        <f>EXP(-dividend_rate/12)*((BinomialModel!J16-BinomialModel!J18)/(Inputs!Stock*(up_factor-down_factor)))</f>
        <v>1.5355997293082735</v>
      </c>
      <c r="J16" s="27">
        <f>I17*$B$6</f>
        <v>163.09391830147874</v>
      </c>
      <c r="K16" s="114">
        <f>EXP(-dividend_rate/12)*((BinomialModel!L16-BinomialModel!L18)/(Inputs!Stock*(up_factor-down_factor)))</f>
        <v>1.535599729308271</v>
      </c>
      <c r="L16" s="27">
        <f>K15*$B$7</f>
        <v>163.09391830147871</v>
      </c>
      <c r="M16" s="28"/>
      <c r="N16" s="5"/>
      <c r="O16" s="5"/>
      <c r="P16" s="5"/>
      <c r="Q16" s="5"/>
      <c r="R16" s="5"/>
      <c r="S16" s="5"/>
      <c r="T16" s="5"/>
      <c r="U16" s="5"/>
      <c r="V16" s="5"/>
      <c r="W16" s="5"/>
      <c r="X16" s="5"/>
      <c r="Y16" s="5"/>
      <c r="Z16" s="5"/>
      <c r="AA16" s="5"/>
      <c r="AB16" s="5"/>
      <c r="AC16" s="5"/>
      <c r="AD16" s="5"/>
      <c r="AE16" s="5"/>
      <c r="AF16" s="5"/>
      <c r="AG16" s="5"/>
      <c r="AH16" s="5"/>
      <c r="AI16" s="5"/>
      <c r="AJ16" s="5"/>
      <c r="AK16" s="5"/>
      <c r="AL16" s="5"/>
      <c r="AM16" s="5"/>
    </row>
    <row r="17" spans="1:39" ht="18.75" customHeight="1" x14ac:dyDescent="0.2">
      <c r="A17" s="25"/>
      <c r="B17" s="25"/>
      <c r="C17" s="25"/>
      <c r="D17" s="25"/>
      <c r="E17" s="25"/>
      <c r="F17" s="25"/>
      <c r="G17" s="25"/>
      <c r="H17" s="114">
        <f>EXP(-dividend_rate/12)*((BinomialModel!I17-BinomialModel!I19)/(Inputs!Stock*(up_factor-down_factor)))</f>
        <v>1.4494526188928878</v>
      </c>
      <c r="I17" s="27">
        <f>H18*$B$6</f>
        <v>153.94435313821558</v>
      </c>
      <c r="J17" s="114">
        <f>EXP(-dividend_rate/12)*((BinomialModel!K17-BinomialModel!K19)/(Inputs!Stock*(up_factor-down_factor)))</f>
        <v>1.4494526188928878</v>
      </c>
      <c r="K17" s="27">
        <f>J16*$B$7</f>
        <v>153.94435313821558</v>
      </c>
      <c r="L17" s="114">
        <f>EXP(-dividend_rate/12)*((BinomialModel!M17-BinomialModel!M19)/(Inputs!Stock*(up_factor-down_factor)))</f>
        <v>1.4494526188928851</v>
      </c>
      <c r="M17" s="26">
        <f>L16*$B$7</f>
        <v>153.94435313821555</v>
      </c>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8.75" customHeight="1" x14ac:dyDescent="0.3">
      <c r="A18" s="25"/>
      <c r="B18" s="29"/>
      <c r="C18" s="25"/>
      <c r="D18" s="25"/>
      <c r="E18" s="25"/>
      <c r="F18" s="25"/>
      <c r="G18" s="114">
        <f>EXP(-dividend_rate/12)*((BinomialModel!H18-BinomialModel!H20)/(Inputs!Stock*(up_factor-down_factor)))</f>
        <v>1.3681383594420331</v>
      </c>
      <c r="H18" s="27">
        <f>G19*$B$6</f>
        <v>145.30807837565303</v>
      </c>
      <c r="I18" s="114">
        <f>EXP(-dividend_rate/12)*((BinomialModel!J18-BinomialModel!J20)/(Inputs!Stock*(up_factor-down_factor)))</f>
        <v>1.3681383594420331</v>
      </c>
      <c r="J18" s="27">
        <f>I17*$B$7</f>
        <v>145.30807837565303</v>
      </c>
      <c r="K18" s="114">
        <f>EXP(-dividend_rate/12)*((BinomialModel!L18-BinomialModel!L20)/(Inputs!Stock*(up_factor-down_factor)))</f>
        <v>1.3681383594420331</v>
      </c>
      <c r="L18" s="27">
        <f>K17*$B$7</f>
        <v>145.30807837565303</v>
      </c>
      <c r="M18" s="28"/>
      <c r="N18" s="5"/>
      <c r="O18" s="5"/>
      <c r="P18" s="56"/>
      <c r="Q18" s="5"/>
      <c r="R18" s="5"/>
      <c r="S18" s="5"/>
      <c r="T18" s="5"/>
      <c r="U18" s="5"/>
      <c r="V18" s="5"/>
      <c r="W18" s="5"/>
      <c r="X18" s="5"/>
      <c r="Y18" s="5"/>
      <c r="Z18" s="5"/>
      <c r="AA18" s="5"/>
      <c r="AB18" s="5"/>
      <c r="AC18" s="5"/>
      <c r="AD18" s="5"/>
      <c r="AE18" s="5"/>
      <c r="AF18" s="5"/>
      <c r="AG18" s="5"/>
      <c r="AH18" s="5"/>
      <c r="AI18" s="5"/>
      <c r="AJ18" s="5"/>
      <c r="AK18" s="5"/>
      <c r="AL18" s="5"/>
      <c r="AM18" s="5"/>
    </row>
    <row r="19" spans="1:39" ht="18.75" customHeight="1" x14ac:dyDescent="0.2">
      <c r="A19" s="25"/>
      <c r="B19" s="25"/>
      <c r="C19" s="25"/>
      <c r="D19" s="25"/>
      <c r="E19" s="25"/>
      <c r="F19" s="114">
        <f>EXP(-dividend_rate/12)*((BinomialModel!G19-BinomialModel!G21)/(Inputs!Stock*(up_factor-down_factor)))</f>
        <v>1.2913858281248576</v>
      </c>
      <c r="G19" s="27">
        <f>F20*$B$6*(1-dividend_rate)</f>
        <v>137.15629843380995</v>
      </c>
      <c r="H19" s="114">
        <f>EXP(-dividend_rate/12)*((BinomialModel!I19-BinomialModel!I21)/(Inputs!Stock*(up_factor-down_factor)))</f>
        <v>1.29138582812486</v>
      </c>
      <c r="I19" s="27">
        <f>H18*$B$7</f>
        <v>137.15629843380995</v>
      </c>
      <c r="J19" s="114">
        <f>EXP(-dividend_rate/12)*((BinomialModel!K19-BinomialModel!K21)/(Inputs!Stock*(up_factor-down_factor)))</f>
        <v>1.29138582812486</v>
      </c>
      <c r="K19" s="27">
        <f>J18*$B$7</f>
        <v>137.15629843380995</v>
      </c>
      <c r="L19" s="114">
        <f>EXP(-dividend_rate/12)*((BinomialModel!M19-BinomialModel!M21)/(Inputs!Stock*(up_factor-down_factor)))</f>
        <v>1.29138582812486</v>
      </c>
      <c r="M19" s="26">
        <f>L18*$B$7</f>
        <v>137.15629843380995</v>
      </c>
      <c r="N19" s="5"/>
      <c r="O19" s="114"/>
      <c r="P19" s="5"/>
      <c r="Q19" s="5"/>
      <c r="R19" s="5"/>
      <c r="S19" s="5"/>
      <c r="T19" s="5"/>
      <c r="U19" s="5"/>
      <c r="V19" s="5"/>
      <c r="W19" s="5"/>
      <c r="X19" s="5"/>
      <c r="Y19" s="5"/>
      <c r="Z19" s="5"/>
      <c r="AA19" s="5"/>
      <c r="AB19" s="5"/>
      <c r="AC19" s="5"/>
      <c r="AD19" s="5"/>
      <c r="AE19" s="5"/>
      <c r="AF19" s="5"/>
      <c r="AG19" s="5"/>
      <c r="AH19" s="5"/>
      <c r="AI19" s="5"/>
      <c r="AJ19" s="5"/>
      <c r="AK19" s="5"/>
      <c r="AL19" s="5"/>
      <c r="AM19" s="5"/>
    </row>
    <row r="20" spans="1:39" ht="18.75" customHeight="1" x14ac:dyDescent="0.3">
      <c r="A20" s="25"/>
      <c r="B20" s="29"/>
      <c r="C20" s="25"/>
      <c r="D20" s="25"/>
      <c r="E20" s="115">
        <f>EXP(-dividend_rate/12)*((BinomialModel!F20-BinomialModel!F22)/(Inputs!Stock*(up_factor-down_factor)))</f>
        <v>1.2566382598920129</v>
      </c>
      <c r="F20" s="27">
        <f>E21*$B$6</f>
        <v>133.46580738566715</v>
      </c>
      <c r="G20" s="114">
        <f>EXP(-dividend_rate/12)*((BinomialModel!H20-BinomialModel!H22)/(Inputs!Stock*(up_factor-down_factor)))</f>
        <v>1.218939112095252</v>
      </c>
      <c r="H20" s="27">
        <f>G19*$B$7</f>
        <v>129.4618331640971</v>
      </c>
      <c r="I20" s="114">
        <f>EXP(-dividend_rate/12)*((BinomialModel!J20-BinomialModel!J22)/(Inputs!Stock*(up_factor-down_factor)))</f>
        <v>1.2189391120952544</v>
      </c>
      <c r="J20" s="27">
        <f>I19*$B$7</f>
        <v>129.4618331640971</v>
      </c>
      <c r="K20" s="114">
        <f>EXP(-dividend_rate/12)*((BinomialModel!L20-BinomialModel!L22)/(Inputs!Stock*(up_factor-down_factor)))</f>
        <v>1.2189391120952544</v>
      </c>
      <c r="L20" s="27">
        <f>K19*$B$7</f>
        <v>129.4618331640971</v>
      </c>
      <c r="M20" s="28"/>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spans="1:39" ht="18.75" customHeight="1" x14ac:dyDescent="0.2">
      <c r="A21" s="25"/>
      <c r="B21" s="25"/>
      <c r="C21" s="25"/>
      <c r="D21" s="115">
        <f>EXP(-dividend_rate/12)*((BinomialModel!E21-BinomialModel!E23)/(Inputs!Stock*(up_factor-down_factor)))</f>
        <v>1.1861408816618937</v>
      </c>
      <c r="E21" s="27">
        <f>D22*$B$6</f>
        <v>125.97837858108483</v>
      </c>
      <c r="F21" s="114">
        <f>EXP(-dividend_rate/12)*((BinomialModel!G21-BinomialModel!G23)/(Inputs!Stock*(up_factor-down_factor)))</f>
        <v>1.1505566552120354</v>
      </c>
      <c r="G21" s="27">
        <f>F20*$B$7*(1-dividend_rate)</f>
        <v>122.19902722365225</v>
      </c>
      <c r="H21" s="114">
        <f>EXP(-dividend_rate/12)*((BinomialModel!I21-BinomialModel!I23)/(Inputs!Stock*(up_factor-down_factor)))</f>
        <v>1.1505566552120354</v>
      </c>
      <c r="I21" s="27">
        <f>H20*$B$7</f>
        <v>122.19902722365222</v>
      </c>
      <c r="J21" s="114">
        <f>EXP(-dividend_rate/12)*((BinomialModel!K21-BinomialModel!K23)/(Inputs!Stock*(up_factor-down_factor)))</f>
        <v>1.1505566552120379</v>
      </c>
      <c r="K21" s="27">
        <f>J20*$B$7</f>
        <v>122.19902722365222</v>
      </c>
      <c r="L21" s="114">
        <f>EXP(-dividend_rate/12)*((BinomialModel!M21-BinomialModel!M23)/(Inputs!Stock*(up_factor-down_factor)))</f>
        <v>1.1505566552120379</v>
      </c>
      <c r="M21" s="26">
        <f>L20*$B$7</f>
        <v>122.19902722365222</v>
      </c>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spans="1:39" ht="18.75" customHeight="1" x14ac:dyDescent="0.2">
      <c r="A22" s="25"/>
      <c r="B22" s="25"/>
      <c r="C22" s="115">
        <f>EXP(-dividend_rate/12)*((BinomialModel!D22-BinomialModel!D24)/(Inputs!Stock*(up_factor-down_factor)))</f>
        <v>1.119598404771279</v>
      </c>
      <c r="D22" s="27">
        <f>C23*$B$6</f>
        <v>118.91099436471445</v>
      </c>
      <c r="E22" s="115">
        <f>EXP(-dividend_rate/12)*((BinomialModel!F22-BinomialModel!F24)/(Inputs!Stock*(up_factor-down_factor)))</f>
        <v>1.119598404771279</v>
      </c>
      <c r="F22" s="27">
        <f>E21*$B$7</f>
        <v>118.91099436471444</v>
      </c>
      <c r="G22" s="114">
        <f>EXP(-dividend_rate/12)*((BinomialModel!H22-BinomialModel!H24)/(Inputs!Stock*(up_factor-down_factor)))</f>
        <v>1.0860104526281402</v>
      </c>
      <c r="H22" s="27">
        <f>G21*$B$7</f>
        <v>115.34366453377298</v>
      </c>
      <c r="I22" s="114">
        <f>EXP(-dividend_rate/12)*((BinomialModel!J22-BinomialModel!J24)/(Inputs!Stock*(up_factor-down_factor)))</f>
        <v>1.0860104526281402</v>
      </c>
      <c r="J22" s="27">
        <f>I21*$B$7</f>
        <v>115.34366453377295</v>
      </c>
      <c r="K22" s="114">
        <f>EXP(-dividend_rate/12)*((BinomialModel!L22-BinomialModel!L24)/(Inputs!Stock*(up_factor-down_factor)))</f>
        <v>1.0860104526281413</v>
      </c>
      <c r="L22" s="27">
        <f>K21*$B$7</f>
        <v>115.34366453377295</v>
      </c>
      <c r="M22" s="28"/>
      <c r="N22" s="5"/>
      <c r="O22" s="5"/>
      <c r="P22" s="5"/>
      <c r="Q22" s="5"/>
      <c r="R22" s="5"/>
      <c r="S22" s="5"/>
      <c r="T22" s="5"/>
      <c r="U22" s="5"/>
      <c r="V22" s="5"/>
      <c r="W22" s="5"/>
      <c r="X22" s="5"/>
      <c r="Y22" s="5"/>
      <c r="Z22" s="5"/>
      <c r="AA22" s="5"/>
      <c r="AB22" s="5"/>
      <c r="AC22" s="5"/>
      <c r="AD22" s="5"/>
      <c r="AE22" s="5"/>
      <c r="AF22" s="5"/>
      <c r="AG22" s="5"/>
      <c r="AH22" s="5"/>
      <c r="AI22" s="5"/>
      <c r="AJ22" s="5"/>
      <c r="AK22" s="5"/>
      <c r="AL22" s="5"/>
      <c r="AM22" s="5"/>
    </row>
    <row r="23" spans="1:39" ht="18.75" customHeight="1" x14ac:dyDescent="0.2">
      <c r="A23" s="117" t="s">
        <v>51</v>
      </c>
      <c r="B23" s="115">
        <f>EXP(-dividend_rate/12)*((BinomialModel!C23-BinomialModel!C25)/(Inputs!Stock*(up_factor-down_factor)))</f>
        <v>1.0567889593436171</v>
      </c>
      <c r="C23" s="27">
        <f>B24*$B$6</f>
        <v>112.24009024456673</v>
      </c>
      <c r="D23" s="115">
        <f>EXP(-dividend_rate/12)*((BinomialModel!E23-BinomialModel!E25)/(Inputs!Stock*(up_factor-down_factor)))</f>
        <v>1.0567889593436171</v>
      </c>
      <c r="E23" s="27">
        <f>D22*$B$7</f>
        <v>112.24009024456672</v>
      </c>
      <c r="F23" s="114">
        <f>EXP(-dividend_rate/12)*((BinomialModel!G23-BinomialModel!G25)/(Inputs!Stock*(up_factor-down_factor)))</f>
        <v>1.0250852905633088</v>
      </c>
      <c r="G23" s="27">
        <f>F22*$B$7*(1-dividend_rate)</f>
        <v>108.8728875372297</v>
      </c>
      <c r="H23" s="114">
        <f>EXP(-dividend_rate/12)*((BinomialModel!I23-BinomialModel!I25)/(Inputs!Stock*(up_factor-down_factor)))</f>
        <v>1.0250852905633074</v>
      </c>
      <c r="I23" s="27">
        <f>H22*$B$7</f>
        <v>108.87288753722967</v>
      </c>
      <c r="J23" s="114">
        <f>EXP(-dividend_rate/12)*((BinomialModel!K23-BinomialModel!K25)/(Inputs!Stock*(up_factor-down_factor)))</f>
        <v>1.0250852905633074</v>
      </c>
      <c r="K23" s="27">
        <f>J22*$B$7</f>
        <v>108.87288753722964</v>
      </c>
      <c r="L23" s="114">
        <f>EXP(-dividend_rate/12)*((BinomialModel!M23-BinomialModel!M25)/(Inputs!Stock*(up_factor-down_factor)))</f>
        <v>1.0250852905633088</v>
      </c>
      <c r="M23" s="26">
        <f>L22*$B$7</f>
        <v>108.87288753722964</v>
      </c>
      <c r="N23" s="5"/>
      <c r="O23" s="5"/>
      <c r="P23" s="65"/>
      <c r="Q23" s="5"/>
      <c r="R23" s="5"/>
      <c r="S23" s="5"/>
      <c r="T23" s="5"/>
      <c r="U23" s="5"/>
      <c r="V23" s="5"/>
      <c r="W23" s="5"/>
      <c r="X23" s="5"/>
      <c r="Y23" s="5"/>
      <c r="Z23" s="5"/>
      <c r="AA23" s="5"/>
      <c r="AB23" s="5"/>
      <c r="AC23" s="5"/>
      <c r="AD23" s="5"/>
      <c r="AE23" s="5"/>
      <c r="AF23" s="5"/>
      <c r="AG23" s="5"/>
      <c r="AH23" s="5"/>
      <c r="AI23" s="5"/>
      <c r="AJ23" s="5"/>
      <c r="AK23" s="5"/>
      <c r="AL23" s="5"/>
      <c r="AM23" s="5"/>
    </row>
    <row r="24" spans="1:39" ht="18.75" customHeight="1" x14ac:dyDescent="0.2">
      <c r="A24" s="113">
        <f>EXP(-dividend_rate/12)*((BinomialModel!B24-BinomialModel!B26)/(Inputs!Stock*(up_factor-down_factor)))</f>
        <v>0.99750312239746075</v>
      </c>
      <c r="B24" s="27">
        <f>A25*$B$6</f>
        <v>105.94342369612507</v>
      </c>
      <c r="C24" s="115">
        <f>EXP(-dividend_rate/12)*((BinomialModel!D24-BinomialModel!D26)/(Inputs!Stock*(up_factor-down_factor)))</f>
        <v>0.99750312239745942</v>
      </c>
      <c r="D24" s="27">
        <f>C23*$B$7</f>
        <v>105.94342369612505</v>
      </c>
      <c r="E24" s="115">
        <f>EXP(-dividend_rate/12)*((BinomialModel!F24-BinomialModel!F26)/(Inputs!Stock*(up_factor-down_factor)))</f>
        <v>0.99750312239745942</v>
      </c>
      <c r="F24" s="27">
        <f>E23*$B$7</f>
        <v>105.94342369612504</v>
      </c>
      <c r="G24" s="114">
        <f>EXP(-dividend_rate/12)*((BinomialModel!H24-BinomialModel!H26)/(Inputs!Stock*(up_factor-down_factor)))</f>
        <v>0.96757802872553433</v>
      </c>
      <c r="H24" s="27">
        <f>G23*$B$7</f>
        <v>102.76512098524127</v>
      </c>
      <c r="I24" s="114">
        <f>EXP(-dividend_rate/12)*((BinomialModel!J24-BinomialModel!J26)/(Inputs!Stock*(up_factor-down_factor)))</f>
        <v>0.96757802872553311</v>
      </c>
      <c r="J24" s="27">
        <f>I23*$B$7</f>
        <v>102.76512098524124</v>
      </c>
      <c r="K24" s="114">
        <f>EXP(-dividend_rate/12)*((BinomialModel!L24-BinomialModel!L26)/(Inputs!Stock*(up_factor-down_factor)))</f>
        <v>0.96757802872553433</v>
      </c>
      <c r="L24" s="27">
        <f>K23*$B$7</f>
        <v>102.76512098524123</v>
      </c>
      <c r="M24" s="28"/>
      <c r="N24" s="5"/>
      <c r="O24" s="5"/>
      <c r="P24" s="5"/>
      <c r="Q24" s="5"/>
      <c r="R24" s="5"/>
      <c r="S24" s="5"/>
      <c r="T24" s="5"/>
      <c r="U24" s="5"/>
      <c r="V24" s="5"/>
      <c r="W24" s="5"/>
      <c r="X24" s="5"/>
      <c r="Y24" s="5"/>
      <c r="Z24" s="5"/>
      <c r="AA24" s="5"/>
      <c r="AB24" s="5"/>
      <c r="AC24" s="5"/>
      <c r="AD24" s="5"/>
      <c r="AE24" s="5"/>
      <c r="AF24" s="5"/>
      <c r="AG24" s="5"/>
      <c r="AH24" s="5"/>
      <c r="AI24" s="5"/>
      <c r="AJ24" s="5"/>
      <c r="AK24" s="5"/>
      <c r="AL24" s="5"/>
      <c r="AM24" s="5"/>
    </row>
    <row r="25" spans="1:39" ht="18.75" customHeight="1" x14ac:dyDescent="0.2">
      <c r="A25" s="27">
        <f>Inputs!Stock</f>
        <v>100</v>
      </c>
      <c r="B25" s="115">
        <f>EXP(-dividend_rate/12)*((BinomialModel!C25-BinomialModel!C27)/(Inputs!Stock*(up_factor-down_factor)))</f>
        <v>0.94154321957592624</v>
      </c>
      <c r="C25" s="27">
        <f>B24*$B$7</f>
        <v>100</v>
      </c>
      <c r="D25" s="115">
        <f>EXP(-dividend_rate/12)*((BinomialModel!E25-BinomialModel!E27)/(Inputs!Stock*(up_factor-down_factor)))</f>
        <v>0.94154321957592502</v>
      </c>
      <c r="E25" s="27">
        <f>D24*$B$7</f>
        <v>99.999999999999986</v>
      </c>
      <c r="F25" s="114">
        <f>EXP(-dividend_rate/12)*((BinomialModel!G25-BinomialModel!G27)/(Inputs!Stock*(up_factor-down_factor)))</f>
        <v>0.91329692298864784</v>
      </c>
      <c r="G25" s="27">
        <f>F24*$B$7*(1-dividend_rate)</f>
        <v>96.999999999999972</v>
      </c>
      <c r="H25" s="116">
        <f>EXP(-dividend_rate/12)*((BinomialModel!I23-BinomialModel!I25)/(Inputs!Stock*(up_factor-down_factor)))</f>
        <v>1.0250852905633074</v>
      </c>
      <c r="I25" s="27">
        <f>H24*$B$7</f>
        <v>96.999999999999957</v>
      </c>
      <c r="J25" s="114">
        <f>EXP(-dividend_rate/12)*((BinomialModel!K25-BinomialModel!K27)/(Inputs!Stock*(up_factor-down_factor)))</f>
        <v>0.9132969229886454</v>
      </c>
      <c r="K25" s="27">
        <f>J24*$B$7</f>
        <v>96.999999999999929</v>
      </c>
      <c r="L25" s="114">
        <f>EXP(-dividend_rate/12)*((BinomialModel!M25-BinomialModel!M27)/(Inputs!Stock*(up_factor-down_factor)))</f>
        <v>0.91329692298864662</v>
      </c>
      <c r="M25" s="26">
        <f>L24*$B$7</f>
        <v>96.999999999999915</v>
      </c>
      <c r="N25" s="5"/>
      <c r="O25" s="5"/>
      <c r="P25" s="5"/>
      <c r="Q25" s="5"/>
      <c r="R25" s="5"/>
      <c r="S25" s="5"/>
      <c r="T25" s="5"/>
      <c r="U25" s="5"/>
      <c r="V25" s="5"/>
      <c r="W25" s="5"/>
      <c r="X25" s="5"/>
      <c r="Y25" s="5"/>
      <c r="Z25" s="5"/>
      <c r="AA25" s="5"/>
      <c r="AB25" s="5"/>
      <c r="AC25" s="5"/>
      <c r="AD25" s="5"/>
      <c r="AE25" s="5"/>
      <c r="AF25" s="5"/>
      <c r="AG25" s="5"/>
      <c r="AH25" s="5"/>
      <c r="AI25" s="5"/>
      <c r="AJ25" s="5"/>
      <c r="AK25" s="5"/>
      <c r="AL25" s="5"/>
      <c r="AM25" s="5"/>
    </row>
    <row r="26" spans="1:39" ht="18.75" customHeight="1" x14ac:dyDescent="0.2">
      <c r="A26" s="30" t="s">
        <v>29</v>
      </c>
      <c r="B26" s="27">
        <f>A25*$B$7</f>
        <v>94.39000224008953</v>
      </c>
      <c r="C26" s="115">
        <f>EXP(-dividend_rate/12)*((BinomialModel!D26-BinomialModel!D28)/(Inputs!Stock*(up_factor-down_factor)))</f>
        <v>0.88872266604912731</v>
      </c>
      <c r="D26" s="27">
        <f>C25*$B$7</f>
        <v>94.39000224008953</v>
      </c>
      <c r="E26" s="115">
        <f>EXP(-dividend_rate/12)*((BinomialModel!F26-BinomialModel!F28)/(Inputs!Stock*(up_factor-down_factor)))</f>
        <v>0.88872266604912609</v>
      </c>
      <c r="F26" s="27">
        <f>E25*$B$7</f>
        <v>94.390002240089515</v>
      </c>
      <c r="G26" s="114">
        <f>EXP(-dividend_rate/12)*((BinomialModel!H26-BinomialModel!H28)/(Inputs!Stock*(up_factor-down_factor)))</f>
        <v>0.86206098606765358</v>
      </c>
      <c r="H26" s="27">
        <f>G25*$B$7</f>
        <v>91.558302172886826</v>
      </c>
      <c r="I26" s="114">
        <f>EXP(-dividend_rate/12)*((BinomialModel!J26-BinomialModel!J28)/(Inputs!Stock*(up_factor-down_factor)))</f>
        <v>0.86206098606765236</v>
      </c>
      <c r="J26" s="27">
        <f>I25*$B$7</f>
        <v>91.558302172886812</v>
      </c>
      <c r="K26" s="114">
        <f>EXP(-dividend_rate/12)*((BinomialModel!L26-BinomialModel!L28)/(Inputs!Stock*(up_factor-down_factor)))</f>
        <v>0.86206098606765114</v>
      </c>
      <c r="L26" s="27">
        <f>K25*$B$7</f>
        <v>91.558302172886783</v>
      </c>
      <c r="M26" s="28"/>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spans="1:39" ht="18.75" customHeight="1" x14ac:dyDescent="0.2">
      <c r="A27" s="25"/>
      <c r="B27" s="25"/>
      <c r="C27" s="27">
        <f>B26*$B$7</f>
        <v>89.094725228841071</v>
      </c>
      <c r="D27" s="115">
        <f>EXP(-dividend_rate/12)*((BinomialModel!E27-BinomialModel!E29)/(Inputs!Stock*(up_factor-down_factor)))</f>
        <v>0.83886534439195559</v>
      </c>
      <c r="E27" s="27">
        <f>D26*$B$7</f>
        <v>89.094725228841071</v>
      </c>
      <c r="F27" s="114">
        <f>EXP(-dividend_rate/12)*((BinomialModel!G27-BinomialModel!G29)/(Inputs!Stock*(up_factor-down_factor)))</f>
        <v>0.81369938406019582</v>
      </c>
      <c r="G27" s="27">
        <f>F26*$B$7*(1-dividend_rate)</f>
        <v>86.421883471975818</v>
      </c>
      <c r="H27" s="114">
        <f>EXP(-dividend_rate/12)*((BinomialModel!I27-BinomialModel!I29)/(Inputs!Stock*(up_factor-down_factor)))</f>
        <v>0.81369938406019582</v>
      </c>
      <c r="I27" s="27">
        <f>H26*$B$7</f>
        <v>86.421883471975818</v>
      </c>
      <c r="J27" s="114">
        <f>EXP(-dividend_rate/12)*((BinomialModel!K27-BinomialModel!K29)/(Inputs!Stock*(up_factor-down_factor)))</f>
        <v>0.81369938406019449</v>
      </c>
      <c r="K27" s="27">
        <f>J26*$B$7</f>
        <v>86.421883471975804</v>
      </c>
      <c r="L27" s="114">
        <f>EXP(-dividend_rate/12)*((BinomialModel!M27-BinomialModel!M29)/(Inputs!Stock*(up_factor-down_factor)))</f>
        <v>0.81369938406019326</v>
      </c>
      <c r="M27" s="26">
        <f>L26*$B$7</f>
        <v>86.421883471975775</v>
      </c>
      <c r="N27" s="5"/>
      <c r="O27" s="5"/>
      <c r="P27" s="5"/>
      <c r="Q27" s="5"/>
      <c r="R27" s="5"/>
      <c r="S27" s="5"/>
      <c r="T27" s="5"/>
      <c r="U27" s="5"/>
      <c r="V27" s="5"/>
      <c r="W27" s="5"/>
      <c r="X27" s="5"/>
      <c r="Y27" s="5"/>
      <c r="Z27" s="5"/>
      <c r="AA27" s="5"/>
      <c r="AB27" s="5"/>
      <c r="AC27" s="5"/>
      <c r="AD27" s="5"/>
      <c r="AE27" s="5"/>
      <c r="AF27" s="5"/>
      <c r="AG27" s="5"/>
      <c r="AH27" s="5"/>
      <c r="AI27" s="5"/>
      <c r="AJ27" s="5"/>
      <c r="AK27" s="5"/>
      <c r="AL27" s="5"/>
      <c r="AM27" s="5"/>
    </row>
    <row r="28" spans="1:39" ht="18.75" customHeight="1" x14ac:dyDescent="0.2">
      <c r="A28" s="25"/>
      <c r="B28" s="25"/>
      <c r="C28" s="25"/>
      <c r="D28" s="27">
        <f>C27*$B$7</f>
        <v>84.096513139304705</v>
      </c>
      <c r="E28" s="115">
        <f>EXP(-dividend_rate/12)*((BinomialModel!F28-BinomialModel!F30)/(Inputs!Stock*(up_factor-down_factor)))</f>
        <v>0.79180501736290199</v>
      </c>
      <c r="F28" s="27">
        <f>E27*$B$7</f>
        <v>84.096513139304705</v>
      </c>
      <c r="G28" s="114">
        <f>EXP(-dividend_rate/12)*((BinomialModel!H28-BinomialModel!H30)/(Inputs!Stock*(up_factor-down_factor)))</f>
        <v>0.76805086684201385</v>
      </c>
      <c r="H28" s="27">
        <f>G27*$B$7</f>
        <v>81.573617745125546</v>
      </c>
      <c r="I28" s="114">
        <f>EXP(-dividend_rate/12)*((BinomialModel!J28-BinomialModel!J30)/(Inputs!Stock*(up_factor-down_factor)))</f>
        <v>0.76805086684201385</v>
      </c>
      <c r="J28" s="27">
        <f>I27*$B$7</f>
        <v>81.573617745125546</v>
      </c>
      <c r="K28" s="114">
        <f>EXP(-dividend_rate/12)*((BinomialModel!L28-BinomialModel!L30)/(Inputs!Stock*(up_factor-down_factor)))</f>
        <v>0.76805086684201263</v>
      </c>
      <c r="L28" s="27">
        <f>K27*$B$7</f>
        <v>81.573617745125532</v>
      </c>
      <c r="M28" s="28"/>
      <c r="N28" s="5"/>
      <c r="O28" s="5"/>
      <c r="P28" s="5"/>
      <c r="Q28" s="5"/>
      <c r="R28" s="5"/>
      <c r="S28" s="5"/>
      <c r="T28" s="5"/>
      <c r="U28" s="5"/>
      <c r="V28" s="5"/>
      <c r="W28" s="5"/>
      <c r="X28" s="5"/>
      <c r="Y28" s="5"/>
      <c r="Z28" s="5"/>
      <c r="AA28" s="5"/>
      <c r="AB28" s="5"/>
      <c r="AC28" s="5"/>
      <c r="AD28" s="5"/>
      <c r="AE28" s="5"/>
      <c r="AF28" s="5"/>
      <c r="AG28" s="5"/>
      <c r="AH28" s="5"/>
      <c r="AI28" s="5"/>
      <c r="AJ28" s="5"/>
      <c r="AK28" s="5"/>
      <c r="AL28" s="5"/>
      <c r="AM28" s="5"/>
    </row>
    <row r="29" spans="1:39" ht="18.75" customHeight="1" x14ac:dyDescent="0.2">
      <c r="A29" s="25"/>
      <c r="B29" s="25"/>
      <c r="C29" s="25"/>
      <c r="D29" s="25"/>
      <c r="E29" s="27">
        <f>D28*$B$7</f>
        <v>79.378700636026892</v>
      </c>
      <c r="F29" s="114">
        <f>EXP(-dividend_rate/12)*((BinomialModel!G29-BinomialModel!G31)/(Inputs!Stock*(up_factor-down_factor)))</f>
        <v>0.72496323041720423</v>
      </c>
      <c r="G29" s="27">
        <f>F28*$B$7*(1-dividend_rate)</f>
        <v>76.997339616946078</v>
      </c>
      <c r="H29" s="114">
        <f>EXP(-dividend_rate/12)*((BinomialModel!I29-BinomialModel!I31)/(Inputs!Stock*(up_factor-down_factor)))</f>
        <v>0.72496323041720423</v>
      </c>
      <c r="I29" s="27">
        <f>H28*$B$7</f>
        <v>76.997339616946078</v>
      </c>
      <c r="J29" s="114">
        <f>EXP(-dividend_rate/12)*((BinomialModel!K29-BinomialModel!K31)/(Inputs!Stock*(up_factor-down_factor)))</f>
        <v>0.72496323041720423</v>
      </c>
      <c r="K29" s="27">
        <f>J28*$B$7</f>
        <v>76.997339616946078</v>
      </c>
      <c r="L29" s="114">
        <f>EXP(-dividend_rate/12)*((BinomialModel!M29-BinomialModel!M31)/(Inputs!Stock*(up_factor-down_factor)))</f>
        <v>0.72496323041720301</v>
      </c>
      <c r="M29" s="26">
        <f>L28*$B$7</f>
        <v>76.997339616946064</v>
      </c>
      <c r="N29" s="5"/>
      <c r="O29" s="5"/>
      <c r="P29" s="5"/>
      <c r="Q29" s="5"/>
      <c r="R29" s="5"/>
      <c r="S29" s="5"/>
      <c r="T29" s="5"/>
      <c r="U29" s="5"/>
      <c r="V29" s="5"/>
      <c r="W29" s="5"/>
      <c r="X29" s="5"/>
      <c r="Y29" s="5"/>
      <c r="Z29" s="5"/>
      <c r="AA29" s="5"/>
      <c r="AB29" s="5"/>
      <c r="AC29" s="5"/>
      <c r="AD29" s="5"/>
      <c r="AE29" s="5"/>
      <c r="AF29" s="5"/>
      <c r="AG29" s="5"/>
      <c r="AH29" s="5"/>
      <c r="AI29" s="5"/>
      <c r="AJ29" s="5"/>
      <c r="AK29" s="5"/>
      <c r="AL29" s="5"/>
      <c r="AM29" s="5"/>
    </row>
    <row r="30" spans="1:39" ht="18.75" customHeight="1" x14ac:dyDescent="0.2">
      <c r="A30" s="25"/>
      <c r="B30" s="25"/>
      <c r="C30" s="25"/>
      <c r="D30" s="25"/>
      <c r="E30" s="25"/>
      <c r="F30" s="27">
        <f>E29*$B$7</f>
        <v>74.925557308499748</v>
      </c>
      <c r="G30" s="114">
        <f>EXP(-dividend_rate/12)*((BinomialModel!H30-BinomialModel!H32)/(Inputs!Stock*(up_factor-down_factor)))</f>
        <v>0.6842928094306242</v>
      </c>
      <c r="H30" s="27">
        <f>G29*$B$7</f>
        <v>72.677790589244751</v>
      </c>
      <c r="I30" s="114">
        <f>EXP(-dividend_rate/12)*((BinomialModel!J30-BinomialModel!J32)/(Inputs!Stock*(up_factor-down_factor)))</f>
        <v>0.6842928094306242</v>
      </c>
      <c r="J30" s="27">
        <f>I29*$B$7</f>
        <v>72.677790589244751</v>
      </c>
      <c r="K30" s="114">
        <f>EXP(-dividend_rate/12)*((BinomialModel!L30-BinomialModel!L32)/(Inputs!Stock*(up_factor-down_factor)))</f>
        <v>0.6842928094306242</v>
      </c>
      <c r="L30" s="27">
        <f>K29*$B$7</f>
        <v>72.677790589244751</v>
      </c>
      <c r="M30" s="28"/>
      <c r="N30" s="5"/>
      <c r="O30" s="5"/>
      <c r="P30" s="5"/>
      <c r="Q30" s="5"/>
      <c r="R30" s="5"/>
      <c r="S30" s="5"/>
      <c r="T30" s="5"/>
      <c r="U30" s="5"/>
      <c r="V30" s="5"/>
      <c r="W30" s="5"/>
      <c r="X30" s="5"/>
      <c r="Y30" s="5"/>
      <c r="Z30" s="5"/>
      <c r="AA30" s="5"/>
      <c r="AB30" s="5"/>
      <c r="AC30" s="5"/>
      <c r="AD30" s="5"/>
      <c r="AE30" s="5"/>
      <c r="AF30" s="5"/>
      <c r="AG30" s="5"/>
      <c r="AH30" s="5"/>
      <c r="AI30" s="5"/>
      <c r="AJ30" s="5"/>
      <c r="AK30" s="5"/>
      <c r="AL30" s="5"/>
      <c r="AM30" s="5"/>
    </row>
    <row r="31" spans="1:39" ht="18.75" customHeight="1" x14ac:dyDescent="0.2">
      <c r="A31" s="25"/>
      <c r="B31" s="25"/>
      <c r="C31" s="25"/>
      <c r="D31" s="25"/>
      <c r="E31" s="25"/>
      <c r="F31" s="25"/>
      <c r="G31" s="27">
        <f>F30*$B$7*(1-dividend_rate)</f>
        <v>68.6005681652357</v>
      </c>
      <c r="H31" s="114">
        <f>EXP(-dividend_rate/12)*((BinomialModel!I31-BinomialModel!I33)/(Inputs!Stock*(up_factor-down_factor)))</f>
        <v>0.64590399815033794</v>
      </c>
      <c r="I31" s="27">
        <f>H30*$B$7</f>
        <v>68.6005681652357</v>
      </c>
      <c r="J31" s="114">
        <f>EXP(-dividend_rate/12)*((BinomialModel!K31-BinomialModel!K33)/(Inputs!Stock*(up_factor-down_factor)))</f>
        <v>0.64590399815033794</v>
      </c>
      <c r="K31" s="27">
        <f>J30*$B$7</f>
        <v>68.6005681652357</v>
      </c>
      <c r="L31" s="114">
        <f>EXP(-dividend_rate/12)*((BinomialModel!M31-BinomialModel!M33)/(Inputs!Stock*(up_factor-down_factor)))</f>
        <v>0.64590399815033794</v>
      </c>
      <c r="M31" s="26">
        <f>L30*$B$7</f>
        <v>68.6005681652357</v>
      </c>
      <c r="N31" s="5"/>
      <c r="O31" s="5"/>
      <c r="P31" s="5"/>
      <c r="Q31" s="5"/>
      <c r="R31" s="5"/>
      <c r="S31" s="5"/>
      <c r="T31" s="5"/>
      <c r="U31" s="5"/>
      <c r="V31" s="5"/>
      <c r="W31" s="5"/>
      <c r="X31" s="5"/>
      <c r="Y31" s="5"/>
      <c r="Z31" s="5"/>
      <c r="AA31" s="5"/>
      <c r="AB31" s="5"/>
      <c r="AC31" s="5"/>
      <c r="AD31" s="5"/>
      <c r="AE31" s="5"/>
      <c r="AF31" s="5"/>
      <c r="AG31" s="5"/>
      <c r="AH31" s="5"/>
      <c r="AI31" s="5"/>
      <c r="AJ31" s="5"/>
      <c r="AK31" s="5"/>
      <c r="AL31" s="5"/>
      <c r="AM31" s="5"/>
    </row>
    <row r="32" spans="1:39" ht="18.75" customHeight="1" x14ac:dyDescent="0.2">
      <c r="A32" s="25"/>
      <c r="B32" s="25"/>
      <c r="C32" s="25"/>
      <c r="D32" s="25"/>
      <c r="E32" s="25"/>
      <c r="F32" s="25"/>
      <c r="G32" s="25"/>
      <c r="H32" s="27">
        <f>G31*$B$7</f>
        <v>64.752077827880129</v>
      </c>
      <c r="I32" s="114">
        <f>EXP(-dividend_rate/12)*((BinomialModel!J32-BinomialModel!J34)/(Inputs!Stock*(up_factor-down_factor)))</f>
        <v>0.60966879832293253</v>
      </c>
      <c r="J32" s="27">
        <f>I31*$B$7</f>
        <v>64.752077827880129</v>
      </c>
      <c r="K32" s="114">
        <f>EXP(-dividend_rate/12)*((BinomialModel!L32-BinomialModel!L34)/(Inputs!Stock*(up_factor-down_factor)))</f>
        <v>0.60966879832293253</v>
      </c>
      <c r="L32" s="27">
        <f>K31*$B$7</f>
        <v>64.752077827880129</v>
      </c>
      <c r="M32" s="28"/>
      <c r="N32" s="114"/>
      <c r="O32" s="5"/>
      <c r="P32" s="5"/>
      <c r="Q32" s="5"/>
      <c r="R32" s="5"/>
      <c r="S32" s="5"/>
      <c r="T32" s="5"/>
      <c r="U32" s="5"/>
      <c r="V32" s="5"/>
      <c r="W32" s="5"/>
      <c r="X32" s="5"/>
      <c r="Y32" s="5"/>
      <c r="Z32" s="5"/>
      <c r="AA32" s="5"/>
      <c r="AB32" s="5"/>
      <c r="AC32" s="5"/>
      <c r="AD32" s="5"/>
      <c r="AE32" s="5"/>
      <c r="AF32" s="5"/>
      <c r="AG32" s="5"/>
      <c r="AH32" s="5"/>
      <c r="AI32" s="5"/>
      <c r="AJ32" s="5"/>
      <c r="AK32" s="5"/>
      <c r="AL32" s="5"/>
      <c r="AM32" s="5"/>
    </row>
    <row r="33" spans="1:40" ht="18.75" customHeight="1" x14ac:dyDescent="0.2">
      <c r="A33" s="25"/>
      <c r="B33" s="25"/>
      <c r="C33" s="25"/>
      <c r="D33" s="25"/>
      <c r="E33" s="25"/>
      <c r="F33" s="25"/>
      <c r="G33" s="25"/>
      <c r="H33" s="25"/>
      <c r="I33" s="27">
        <f>H32*$B$7</f>
        <v>61.11948771224057</v>
      </c>
      <c r="J33" s="114">
        <f>EXP(-dividend_rate/12)*((BinomialModel!K33-BinomialModel!K35)/(Inputs!Stock*(up_factor-down_factor)))</f>
        <v>0.57546639239414288</v>
      </c>
      <c r="K33" s="27">
        <f>J32*$B$7</f>
        <v>61.11948771224057</v>
      </c>
      <c r="L33" s="114">
        <f>EXP(-dividend_rate/12)*((BinomialModel!M33-BinomialModel!M35)/(Inputs!Stock*(up_factor-down_factor)))</f>
        <v>0.57546639239414288</v>
      </c>
      <c r="M33" s="26">
        <f>L32*$B$7</f>
        <v>61.11948771224057</v>
      </c>
      <c r="N33" s="5"/>
      <c r="O33" s="5"/>
      <c r="P33" s="5"/>
      <c r="Q33" s="5"/>
      <c r="R33" s="5"/>
      <c r="S33" s="5"/>
      <c r="T33" s="5"/>
      <c r="U33" s="5"/>
      <c r="V33" s="5"/>
      <c r="W33" s="5"/>
      <c r="X33" s="5"/>
      <c r="Y33" s="5"/>
      <c r="Z33" s="5"/>
      <c r="AA33" s="5"/>
      <c r="AB33" s="5"/>
      <c r="AC33" s="5"/>
      <c r="AD33" s="5"/>
      <c r="AE33" s="5"/>
      <c r="AF33" s="5"/>
      <c r="AG33" s="5"/>
      <c r="AH33" s="5"/>
      <c r="AI33" s="5"/>
      <c r="AJ33" s="5"/>
      <c r="AK33" s="5"/>
      <c r="AL33" s="5"/>
      <c r="AM33" s="5"/>
    </row>
    <row r="34" spans="1:40" ht="18.75" customHeight="1" x14ac:dyDescent="0.2">
      <c r="A34" s="25"/>
      <c r="B34" s="25"/>
      <c r="C34" s="25"/>
      <c r="D34" s="25"/>
      <c r="E34" s="25"/>
      <c r="F34" s="25"/>
      <c r="G34" s="25"/>
      <c r="H34" s="25"/>
      <c r="I34" s="25"/>
      <c r="J34" s="27">
        <f>I33*$B$7</f>
        <v>57.690685820715117</v>
      </c>
      <c r="K34" s="114">
        <f>EXP(-dividend_rate/12)*((BinomialModel!L34-BinomialModel!L36)/(Inputs!Stock*(up_factor-down_factor)))</f>
        <v>0.54318274067179351</v>
      </c>
      <c r="L34" s="27">
        <f>K33*$B$7</f>
        <v>57.690685820715117</v>
      </c>
      <c r="M34" s="28"/>
      <c r="N34" s="5"/>
      <c r="O34" s="5"/>
      <c r="P34" s="5"/>
      <c r="Q34" s="5"/>
      <c r="R34" s="5"/>
      <c r="S34" s="5"/>
      <c r="T34" s="5"/>
      <c r="U34" s="5"/>
      <c r="V34" s="5"/>
      <c r="W34" s="5"/>
      <c r="X34" s="5"/>
      <c r="Y34" s="5"/>
      <c r="Z34" s="5"/>
      <c r="AA34" s="5"/>
      <c r="AB34" s="5"/>
      <c r="AC34" s="5"/>
      <c r="AD34" s="5"/>
      <c r="AE34" s="5"/>
      <c r="AF34" s="5"/>
      <c r="AG34" s="5"/>
      <c r="AH34" s="5"/>
      <c r="AI34" s="5"/>
      <c r="AJ34" s="5"/>
      <c r="AK34" s="5"/>
      <c r="AL34" s="5"/>
      <c r="AM34" s="5"/>
    </row>
    <row r="35" spans="1:40" ht="18.75" customHeight="1" x14ac:dyDescent="0.2">
      <c r="A35" s="25"/>
      <c r="B35" s="25"/>
      <c r="C35" s="25"/>
      <c r="D35" s="25"/>
      <c r="E35" s="25"/>
      <c r="F35" s="25"/>
      <c r="G35" s="25"/>
      <c r="H35" s="25"/>
      <c r="I35" s="25"/>
      <c r="J35" s="25"/>
      <c r="K35" s="27">
        <f>J34*$B$7</f>
        <v>54.454239638496013</v>
      </c>
      <c r="L35" s="114">
        <f>EXP(-dividend_rate/12)*((BinomialModel!M35-BinomialModel!M37)/(Inputs!Stock*(up_factor-down_factor)))</f>
        <v>0.51271020108788534</v>
      </c>
      <c r="M35" s="26">
        <f>L34*$B$7</f>
        <v>54.454239638496013</v>
      </c>
      <c r="N35" s="5"/>
      <c r="O35" s="5"/>
      <c r="P35" s="5"/>
      <c r="Q35" s="5"/>
      <c r="R35" s="5"/>
      <c r="S35" s="5"/>
      <c r="T35" s="5"/>
      <c r="U35" s="5"/>
      <c r="V35" s="5"/>
      <c r="W35" s="5"/>
      <c r="X35" s="5"/>
      <c r="Y35" s="5"/>
      <c r="Z35" s="5"/>
      <c r="AA35" s="5"/>
      <c r="AB35" s="5"/>
      <c r="AC35" s="5"/>
      <c r="AD35" s="5"/>
      <c r="AE35" s="5"/>
      <c r="AF35" s="5"/>
      <c r="AG35" s="5"/>
      <c r="AH35" s="5"/>
      <c r="AI35" s="5"/>
      <c r="AJ35" s="5"/>
      <c r="AK35" s="5"/>
      <c r="AL35" s="5"/>
      <c r="AM35" s="5"/>
    </row>
    <row r="36" spans="1:40" ht="18.75" customHeight="1" x14ac:dyDescent="0.2">
      <c r="A36" s="25"/>
      <c r="B36" s="25"/>
      <c r="C36" s="25"/>
      <c r="D36" s="25"/>
      <c r="E36" s="25"/>
      <c r="F36" s="25"/>
      <c r="G36" s="25"/>
      <c r="H36" s="25"/>
      <c r="I36" s="25"/>
      <c r="J36" s="25"/>
      <c r="K36" s="25"/>
      <c r="L36" s="27">
        <f>K35*$B$7</f>
        <v>51.399358014600111</v>
      </c>
      <c r="M36" s="28"/>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40" ht="18.75" customHeight="1" thickBot="1" x14ac:dyDescent="0.25">
      <c r="A37" s="25"/>
      <c r="B37" s="25"/>
      <c r="C37" s="25"/>
      <c r="D37" s="25"/>
      <c r="E37" s="25"/>
      <c r="F37" s="25"/>
      <c r="G37" s="25"/>
      <c r="H37" s="25"/>
      <c r="I37" s="25"/>
      <c r="J37" s="25"/>
      <c r="K37" s="25"/>
      <c r="L37" s="25"/>
      <c r="M37" s="26">
        <f>L36*$B$7</f>
        <v>48.515855181372686</v>
      </c>
      <c r="N37" s="5"/>
      <c r="O37" s="5"/>
      <c r="P37" s="5"/>
      <c r="Q37" s="5"/>
      <c r="R37" s="5"/>
      <c r="S37" s="5"/>
      <c r="T37" s="5"/>
      <c r="U37" s="5"/>
      <c r="V37" s="5"/>
      <c r="W37" s="5"/>
      <c r="X37" s="5"/>
      <c r="Y37" s="5"/>
      <c r="Z37" s="5"/>
      <c r="AA37" s="5"/>
      <c r="AB37" s="5"/>
      <c r="AC37" s="5"/>
      <c r="AD37" s="5"/>
      <c r="AE37" s="5"/>
      <c r="AF37" s="5"/>
      <c r="AG37" s="5"/>
      <c r="AH37" s="5"/>
      <c r="AI37" s="5"/>
      <c r="AJ37" s="5"/>
      <c r="AK37" s="5"/>
      <c r="AL37" s="5"/>
      <c r="AM37" s="5"/>
    </row>
    <row r="38" spans="1:40" ht="18.75" customHeight="1" thickBot="1" x14ac:dyDescent="0.2">
      <c r="A38" s="150" t="s">
        <v>31</v>
      </c>
      <c r="B38" s="151"/>
      <c r="C38" s="151"/>
      <c r="D38" s="151"/>
      <c r="E38" s="151"/>
      <c r="F38" s="151"/>
      <c r="G38" s="151"/>
      <c r="H38" s="151"/>
      <c r="I38" s="151"/>
      <c r="J38" s="151"/>
      <c r="K38" s="151"/>
      <c r="L38" s="151"/>
      <c r="M38" s="152"/>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row>
    <row r="39" spans="1:40" ht="18.75" customHeight="1" x14ac:dyDescent="0.2">
      <c r="A39" s="23">
        <v>0</v>
      </c>
      <c r="B39" s="23">
        <v>1</v>
      </c>
      <c r="C39" s="23">
        <v>2</v>
      </c>
      <c r="D39" s="23">
        <v>3</v>
      </c>
      <c r="E39" s="23">
        <v>4</v>
      </c>
      <c r="F39" s="23">
        <v>5</v>
      </c>
      <c r="G39" s="23">
        <v>6</v>
      </c>
      <c r="H39" s="23">
        <v>7</v>
      </c>
      <c r="I39" s="23">
        <v>8</v>
      </c>
      <c r="J39" s="23">
        <v>9</v>
      </c>
      <c r="K39" s="23">
        <v>10</v>
      </c>
      <c r="L39" s="23">
        <v>11</v>
      </c>
      <c r="M39" s="23">
        <v>12</v>
      </c>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40" ht="25.5" customHeight="1" x14ac:dyDescent="0.3">
      <c r="A40" s="24" t="s">
        <v>30</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row>
    <row r="41" spans="1:40" ht="18.75" customHeight="1" x14ac:dyDescent="0.15">
      <c r="A41" s="25"/>
      <c r="B41" s="25"/>
      <c r="C41" s="25"/>
      <c r="D41" s="25"/>
      <c r="E41" s="25"/>
      <c r="F41" s="25"/>
      <c r="G41" s="25"/>
      <c r="H41" s="25"/>
      <c r="I41" s="25"/>
      <c r="J41" s="25"/>
      <c r="K41" s="25"/>
      <c r="L41" s="25"/>
      <c r="M41" s="27">
        <f>IF(M13&gt;Exercise,M13-Exercise,0)</f>
        <v>88.936600000663361</v>
      </c>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40" ht="18.75" customHeight="1" x14ac:dyDescent="0.15">
      <c r="A42" s="25"/>
      <c r="B42" s="25"/>
      <c r="C42" s="25"/>
      <c r="D42" s="25"/>
      <c r="E42" s="25"/>
      <c r="F42" s="25"/>
      <c r="G42" s="25"/>
      <c r="H42" s="25"/>
      <c r="I42" s="25"/>
      <c r="J42" s="25"/>
      <c r="K42" s="25"/>
      <c r="L42" s="27">
        <f>((M41*$E$7)/(1+$E$6))+((M43*(1-$E$7))/(1+$E$6))</f>
        <v>78.144548083854886</v>
      </c>
      <c r="M42" s="25"/>
      <c r="N42" s="5"/>
      <c r="O42" s="5"/>
      <c r="P42" s="5"/>
      <c r="Q42" s="5"/>
      <c r="R42" s="5"/>
      <c r="S42" s="5"/>
      <c r="T42" s="5"/>
      <c r="U42" s="5"/>
      <c r="V42" s="5"/>
      <c r="W42" s="5"/>
      <c r="X42" s="5"/>
      <c r="Y42" s="5"/>
      <c r="Z42" s="5"/>
      <c r="AA42" s="5"/>
      <c r="AB42" s="5"/>
      <c r="AC42" s="5"/>
      <c r="AD42" s="5"/>
      <c r="AE42" s="5"/>
      <c r="AF42" s="5"/>
      <c r="AG42" s="5"/>
      <c r="AH42" s="5"/>
      <c r="AI42" s="5"/>
      <c r="AJ42" s="5"/>
      <c r="AK42" s="5"/>
      <c r="AL42" s="5"/>
      <c r="AM42" s="5"/>
    </row>
    <row r="43" spans="1:40" ht="18.75" customHeight="1" x14ac:dyDescent="0.15">
      <c r="A43" s="25"/>
      <c r="B43" s="25"/>
      <c r="C43" s="25"/>
      <c r="D43" s="25"/>
      <c r="E43" s="25"/>
      <c r="F43" s="25"/>
      <c r="G43" s="25"/>
      <c r="H43" s="25"/>
      <c r="I43" s="25"/>
      <c r="J43" s="25"/>
      <c r="K43" s="27">
        <f>((L42*$E$7)/(1+$E$6))+((L44*(1-$E$7))/(1+$E$6))</f>
        <v>67.962697742272667</v>
      </c>
      <c r="L43" s="25"/>
      <c r="M43" s="27">
        <f>IF(M15&gt;Exercise,M15-Exercise,0)</f>
        <v>67.787280888747631</v>
      </c>
      <c r="N43" s="5"/>
      <c r="O43" s="5"/>
      <c r="P43" s="5"/>
      <c r="Q43" s="5"/>
      <c r="R43" s="5"/>
      <c r="S43" s="5"/>
      <c r="T43" s="5"/>
      <c r="U43" s="5"/>
      <c r="V43" s="5"/>
      <c r="W43" s="5"/>
      <c r="X43" s="5"/>
      <c r="Y43" s="5"/>
      <c r="Z43" s="5"/>
      <c r="AA43" s="5"/>
      <c r="AB43" s="5"/>
      <c r="AC43" s="5"/>
      <c r="AD43" s="5"/>
      <c r="AE43" s="5"/>
      <c r="AF43" s="5"/>
      <c r="AG43" s="5"/>
      <c r="AH43" s="5"/>
      <c r="AI43" s="5"/>
      <c r="AJ43" s="5"/>
      <c r="AK43" s="5"/>
      <c r="AL43" s="5"/>
      <c r="AM43" s="5"/>
    </row>
    <row r="44" spans="1:40" ht="18.75" customHeight="1" x14ac:dyDescent="0.15">
      <c r="A44" s="25"/>
      <c r="B44" s="25"/>
      <c r="C44" s="25"/>
      <c r="D44" s="25"/>
      <c r="E44" s="25"/>
      <c r="F44" s="25"/>
      <c r="G44" s="25"/>
      <c r="H44" s="25"/>
      <c r="I44" s="25"/>
      <c r="J44" s="27">
        <f>((K43*$E$7)/(1+$E$6))+((K45*(1-$E$7))/(1+$E$6))</f>
        <v>58.35681507855071</v>
      </c>
      <c r="K44" s="25"/>
      <c r="L44" s="27">
        <f>((M43*$E$7)/(1+$E$6))+((M45*(1-$E$7))/(1+$E$6))</f>
        <v>58.181622672068826</v>
      </c>
      <c r="M44" s="25"/>
      <c r="N44" s="5"/>
      <c r="O44" s="5"/>
      <c r="P44" s="5"/>
      <c r="Q44" s="5"/>
      <c r="R44" s="5"/>
      <c r="S44" s="5"/>
      <c r="T44" s="5"/>
      <c r="U44" s="5"/>
      <c r="V44" s="5"/>
      <c r="W44" s="5"/>
      <c r="X44" s="5"/>
      <c r="Y44" s="5"/>
      <c r="Z44" s="5"/>
      <c r="AA44" s="5"/>
      <c r="AB44" s="5"/>
      <c r="AC44" s="5"/>
      <c r="AD44" s="5"/>
      <c r="AE44" s="5"/>
      <c r="AF44" s="5"/>
      <c r="AG44" s="5"/>
      <c r="AH44" s="5"/>
      <c r="AI44" s="5"/>
      <c r="AJ44" s="5"/>
      <c r="AK44" s="5"/>
      <c r="AL44" s="5"/>
      <c r="AM44" s="5"/>
    </row>
    <row r="45" spans="1:40" ht="18.75" customHeight="1" x14ac:dyDescent="0.15">
      <c r="A45" s="25"/>
      <c r="B45" s="25"/>
      <c r="C45" s="25"/>
      <c r="D45" s="25"/>
      <c r="E45" s="25"/>
      <c r="F45" s="25"/>
      <c r="G45" s="25"/>
      <c r="H45" s="25"/>
      <c r="I45" s="27">
        <f>((J44*$E$7)/(1+$E$6))+((J46*(1-$E$7))/(1+$E$6))</f>
        <v>49.294586585754317</v>
      </c>
      <c r="J45" s="25"/>
      <c r="K45" s="27">
        <f>((L44*$E$7)/(1+$E$6))+((L46*(1-$E$7))/(1+$E$6))</f>
        <v>49.119614005737397</v>
      </c>
      <c r="L45" s="25"/>
      <c r="M45" s="27">
        <f>IF(M17&gt;Exercise,M17-Exercise,0)</f>
        <v>48.944353138215547</v>
      </c>
      <c r="N45" s="5"/>
      <c r="O45" s="5"/>
      <c r="P45" s="5"/>
      <c r="Q45" s="5"/>
      <c r="R45" s="5"/>
      <c r="S45" s="5"/>
      <c r="T45" s="5"/>
      <c r="U45" s="5"/>
      <c r="V45" s="5"/>
      <c r="W45" s="5"/>
      <c r="X45" s="5"/>
      <c r="Y45" s="5"/>
      <c r="Z45" s="5"/>
      <c r="AA45" s="5"/>
      <c r="AB45" s="5"/>
      <c r="AC45" s="5"/>
      <c r="AD45" s="5"/>
      <c r="AE45" s="5"/>
      <c r="AF45" s="5"/>
      <c r="AG45" s="5"/>
      <c r="AH45" s="5"/>
      <c r="AI45" s="5"/>
      <c r="AJ45" s="5"/>
      <c r="AK45" s="5"/>
      <c r="AL45" s="5"/>
      <c r="AM45" s="5"/>
    </row>
    <row r="46" spans="1:40" ht="18.75" customHeight="1" x14ac:dyDescent="0.15">
      <c r="A46" s="25"/>
      <c r="B46" s="25"/>
      <c r="C46" s="25"/>
      <c r="D46" s="25"/>
      <c r="E46" s="25"/>
      <c r="F46" s="25"/>
      <c r="G46" s="25"/>
      <c r="H46" s="27">
        <f>((I45*$E$7)/(1+$E$6))+((I47*(1-$E$7))/(1+$E$6))</f>
        <v>40.745511421019927</v>
      </c>
      <c r="I46" s="25"/>
      <c r="J46" s="27">
        <f>((K45*$E$7)/(1+$E$6))+((K47*(1-$E$7))/(1+$E$6))</f>
        <v>40.570754299480107</v>
      </c>
      <c r="K46" s="25"/>
      <c r="L46" s="27">
        <f>((M45*$E$7)/(1+$E$6))+((M47*(1-$E$7))/(1+$E$6))</f>
        <v>40.395709128799552</v>
      </c>
      <c r="M46" s="25"/>
      <c r="N46" s="5"/>
      <c r="O46" s="5"/>
      <c r="P46" s="5"/>
      <c r="Q46" s="5"/>
      <c r="R46" s="5"/>
      <c r="S46" s="5"/>
      <c r="T46" s="5"/>
      <c r="U46" s="5"/>
      <c r="V46" s="5"/>
      <c r="W46" s="5"/>
      <c r="X46" s="5"/>
      <c r="Y46" s="5"/>
      <c r="Z46" s="5"/>
      <c r="AA46" s="5"/>
      <c r="AB46" s="5"/>
      <c r="AC46" s="5"/>
      <c r="AD46" s="5"/>
      <c r="AE46" s="5"/>
      <c r="AF46" s="5"/>
      <c r="AG46" s="5"/>
      <c r="AH46" s="5"/>
      <c r="AI46" s="5"/>
      <c r="AJ46" s="5"/>
      <c r="AK46" s="5"/>
      <c r="AL46" s="5"/>
      <c r="AM46" s="5"/>
    </row>
    <row r="47" spans="1:40" ht="18.75" customHeight="1" x14ac:dyDescent="0.15">
      <c r="A47" s="25"/>
      <c r="B47" s="25"/>
      <c r="C47" s="25"/>
      <c r="D47" s="25"/>
      <c r="E47" s="25"/>
      <c r="F47" s="25"/>
      <c r="G47" s="27">
        <f>((H46*$E$7)/(1+$E$6))+((H48*(1-$E$7))/(1+$E$6))</f>
        <v>32.816342392170426</v>
      </c>
      <c r="H47" s="25"/>
      <c r="I47" s="27">
        <f>((J46*$E$7)/(1+$E$6))+((J48*(1-$E$7))/(1+$E$6))</f>
        <v>32.506253929596376</v>
      </c>
      <c r="J47" s="25"/>
      <c r="K47" s="27">
        <f>((L46*$E$7)/(1+$E$6))+((L48*(1-$E$7))/(1+$E$6))</f>
        <v>32.331420326030866</v>
      </c>
      <c r="L47" s="25"/>
      <c r="M47" s="27">
        <f>IF(M19&gt;Exercise,M19-Exercise,0)</f>
        <v>32.156298433809951</v>
      </c>
      <c r="N47" s="5"/>
      <c r="O47" s="5"/>
      <c r="P47" s="5"/>
      <c r="Q47" s="5"/>
      <c r="R47" s="5"/>
      <c r="S47" s="5"/>
      <c r="T47" s="5"/>
      <c r="U47" s="5"/>
      <c r="V47" s="5"/>
      <c r="W47" s="5"/>
      <c r="X47" s="5"/>
      <c r="Y47" s="5"/>
      <c r="Z47" s="5"/>
      <c r="AA47" s="5"/>
      <c r="AB47" s="5"/>
      <c r="AC47" s="5"/>
      <c r="AD47" s="5"/>
      <c r="AE47" s="5"/>
      <c r="AF47" s="5"/>
      <c r="AG47" s="5"/>
      <c r="AH47" s="5"/>
      <c r="AI47" s="5"/>
      <c r="AJ47" s="5"/>
      <c r="AK47" s="5"/>
      <c r="AL47" s="5"/>
      <c r="AM47" s="5"/>
    </row>
    <row r="48" spans="1:40" ht="18.75" customHeight="1" x14ac:dyDescent="0.15">
      <c r="A48" s="25"/>
      <c r="B48" s="25"/>
      <c r="C48" s="25"/>
      <c r="D48" s="25"/>
      <c r="E48" s="25"/>
      <c r="F48" s="27">
        <f>((G47*$E$7)/(1+$E$6))+((G49*(1-$E$7))/(1+$E$6))</f>
        <v>25.699965250129495</v>
      </c>
      <c r="G48" s="25"/>
      <c r="H48" s="27">
        <f>((I47*$E$7)/(1+$E$6))+((I49*(1-$E$7))/(1+$E$6))</f>
        <v>25.166389754319077</v>
      </c>
      <c r="I48" s="25"/>
      <c r="J48" s="27">
        <f>((K47*$E$7)/(1+$E$6))+((K49*(1-$E$7))/(1+$E$6))</f>
        <v>24.724312319332476</v>
      </c>
      <c r="K48" s="25"/>
      <c r="L48" s="27">
        <f>((M47*$E$7)/(1+$E$6))+((M49*(1-$E$7))/(1+$E$6))</f>
        <v>24.549398327984548</v>
      </c>
      <c r="M48" s="25"/>
      <c r="N48" s="5"/>
      <c r="O48" s="5"/>
      <c r="P48" s="5"/>
      <c r="Q48" s="5"/>
      <c r="R48" s="5"/>
      <c r="S48" s="5"/>
      <c r="T48" s="5"/>
      <c r="U48" s="5"/>
      <c r="V48" s="5"/>
      <c r="W48" s="5"/>
      <c r="X48" s="5"/>
      <c r="Y48" s="5"/>
      <c r="Z48" s="5"/>
      <c r="AA48" s="5"/>
      <c r="AB48" s="5"/>
      <c r="AC48" s="5"/>
      <c r="AD48" s="5"/>
      <c r="AE48" s="5"/>
      <c r="AF48" s="5"/>
      <c r="AG48" s="5"/>
      <c r="AH48" s="5"/>
      <c r="AI48" s="5"/>
      <c r="AJ48" s="5"/>
      <c r="AK48" s="5"/>
      <c r="AL48" s="5"/>
      <c r="AM48" s="5"/>
    </row>
    <row r="49" spans="1:39" ht="18.75" customHeight="1" x14ac:dyDescent="0.15">
      <c r="A49" s="25"/>
      <c r="B49" s="25"/>
      <c r="C49" s="25"/>
      <c r="D49" s="25"/>
      <c r="E49" s="27">
        <f>((F48*$E$7)/(1+$E$6))+((F50*(1-$E$7))/(1+$E$6))</f>
        <v>19.567596727629471</v>
      </c>
      <c r="F49" s="25"/>
      <c r="G49" s="27">
        <f>((H48*$E$7)/(1+$E$6))+((H50*(1-$E$7))/(1+$E$6))</f>
        <v>18.828045869190166</v>
      </c>
      <c r="H49" s="25"/>
      <c r="I49" s="27">
        <f>((J48*$E$7)/(1+$E$6))+((J50*(1-$E$7))/(1+$E$6))</f>
        <v>18.076467796742978</v>
      </c>
      <c r="J49" s="25"/>
      <c r="K49" s="27">
        <f>((L48*$E$7)/(1+$E$6))+((L50*(1-$E$7))/(1+$E$6))</f>
        <v>17.374025296210647</v>
      </c>
      <c r="L49" s="25"/>
      <c r="M49" s="27">
        <f>IF(M21&gt;Exercise,M21-Exercise,0)</f>
        <v>17.199027223652223</v>
      </c>
      <c r="N49" s="5"/>
      <c r="O49" s="5"/>
      <c r="P49" s="5"/>
      <c r="Q49" s="5"/>
      <c r="R49" s="5"/>
      <c r="S49" s="5"/>
      <c r="T49" s="5"/>
      <c r="U49" s="5"/>
      <c r="V49" s="5"/>
      <c r="W49" s="5"/>
      <c r="X49" s="5"/>
      <c r="Y49" s="5"/>
      <c r="Z49" s="5"/>
      <c r="AA49" s="5"/>
      <c r="AB49" s="5"/>
      <c r="AC49" s="5"/>
      <c r="AD49" s="5"/>
      <c r="AE49" s="5"/>
      <c r="AF49" s="5"/>
      <c r="AG49" s="5"/>
      <c r="AH49" s="5"/>
      <c r="AI49" s="5"/>
      <c r="AJ49" s="5"/>
      <c r="AK49" s="5"/>
      <c r="AL49" s="5"/>
      <c r="AM49" s="5"/>
    </row>
    <row r="50" spans="1:39" ht="18.75" customHeight="1" x14ac:dyDescent="0.15">
      <c r="A50" s="25"/>
      <c r="B50" s="25"/>
      <c r="C50" s="25"/>
      <c r="D50" s="27">
        <f>((E49*$E$7)/(1+$E$6))+((E51*(1-$E$7))/(1+$E$6))</f>
        <v>14.500249411011307</v>
      </c>
      <c r="E50" s="25"/>
      <c r="F50" s="27">
        <f>((G49*$E$7)/(1+$E$6))+((G51*(1-$E$7))/(1+$E$6))</f>
        <v>13.641666387440745</v>
      </c>
      <c r="G50" s="25"/>
      <c r="H50" s="27">
        <f>((I49*$E$7)/(1+$E$6))+((I51*(1-$E$7))/(1+$E$6))</f>
        <v>12.70078963336335</v>
      </c>
      <c r="I50" s="25"/>
      <c r="J50" s="27">
        <f>((K49*$E$7)/(1+$E$6))+((K51*(1-$E$7))/(1+$E$6))</f>
        <v>11.647285505867981</v>
      </c>
      <c r="K50" s="25"/>
      <c r="L50" s="27">
        <f>((M49*$E$7)/(1+$E$6))+((M51*(1-$E$7))/(1+$E$6))</f>
        <v>10.431171261090238</v>
      </c>
      <c r="M50" s="25"/>
      <c r="N50" s="5"/>
      <c r="O50" s="5"/>
      <c r="P50" s="5"/>
      <c r="Q50" s="5"/>
      <c r="R50" s="5"/>
      <c r="S50" s="5"/>
      <c r="T50" s="5"/>
      <c r="U50" s="5"/>
      <c r="V50" s="5"/>
      <c r="W50" s="5"/>
      <c r="X50" s="5"/>
      <c r="Y50" s="5"/>
      <c r="Z50" s="5"/>
      <c r="AA50" s="5"/>
      <c r="AB50" s="5"/>
      <c r="AC50" s="5"/>
      <c r="AD50" s="5"/>
      <c r="AE50" s="5"/>
      <c r="AF50" s="5"/>
      <c r="AG50" s="5"/>
      <c r="AH50" s="5"/>
      <c r="AI50" s="5"/>
      <c r="AJ50" s="5"/>
      <c r="AK50" s="5"/>
      <c r="AL50" s="5"/>
      <c r="AM50" s="5"/>
    </row>
    <row r="51" spans="1:39" ht="18.75" customHeight="1" x14ac:dyDescent="0.15">
      <c r="A51" s="25"/>
      <c r="B51" s="25"/>
      <c r="C51" s="27">
        <f>((D50*$E$7)/(1+$E$6))+((D52*(1-$E$7))/(1+$E$6))</f>
        <v>10.476163659119649</v>
      </c>
      <c r="D51" s="25"/>
      <c r="E51" s="27">
        <f>((F50*$E$7)/(1+$E$6))+((F52*(1-$E$7))/(1+$E$6))</f>
        <v>9.6007581084810951</v>
      </c>
      <c r="F51" s="25"/>
      <c r="G51" s="27">
        <f>((H50*$E$7)/(1+$E$6))+((H52*(1-$E$7))/(1+$E$6))</f>
        <v>8.6251246050333279</v>
      </c>
      <c r="H51" s="25"/>
      <c r="I51" s="27">
        <f>((J50*$E$7)/(1+$E$6))+((J52*(1-$E$7))/(1+$E$6))</f>
        <v>7.4987950021717324</v>
      </c>
      <c r="J51" s="25"/>
      <c r="K51" s="27">
        <f>((L50*$E$7)/(1+$E$6))+((L52*(1-$E$7))/(1+$E$6))</f>
        <v>6.102492242176849</v>
      </c>
      <c r="L51" s="25"/>
      <c r="M51" s="27">
        <f>IF(M23&gt;Exercise,M23-Exercise,0)</f>
        <v>3.8728875372296443</v>
      </c>
      <c r="N51" s="5"/>
      <c r="O51" s="5"/>
      <c r="P51" s="5"/>
      <c r="Q51" s="5"/>
      <c r="R51" s="5"/>
      <c r="S51" s="5"/>
      <c r="T51" s="5"/>
      <c r="U51" s="5"/>
      <c r="V51" s="5"/>
      <c r="W51" s="5"/>
      <c r="X51" s="5"/>
      <c r="Y51" s="5"/>
      <c r="Z51" s="5"/>
      <c r="AA51" s="5"/>
      <c r="AB51" s="5"/>
      <c r="AC51" s="5"/>
      <c r="AD51" s="5"/>
      <c r="AE51" s="5"/>
      <c r="AF51" s="5"/>
      <c r="AG51" s="5"/>
      <c r="AH51" s="5"/>
      <c r="AI51" s="5"/>
      <c r="AJ51" s="5"/>
      <c r="AK51" s="5"/>
      <c r="AL51" s="5"/>
      <c r="AM51" s="5"/>
    </row>
    <row r="52" spans="1:39" ht="18.75" customHeight="1" x14ac:dyDescent="0.15">
      <c r="A52" s="30"/>
      <c r="B52" s="27">
        <f>((C51*$E$7)/(1+$E$6))+((C53*(1-$E$7))/(1+$E$6))</f>
        <v>7.3941308446071883</v>
      </c>
      <c r="C52" s="25"/>
      <c r="D52" s="27">
        <f>((E51*$E$7)/(1+$E$6))+((E53*(1-$E$7))/(1+$E$6))</f>
        <v>6.58367694139306</v>
      </c>
      <c r="E52" s="25"/>
      <c r="F52" s="27">
        <f>((G51*$E$7)/(1+$E$6))+((G53*(1-$E$7))/(1+$E$6))</f>
        <v>5.6904956737514496</v>
      </c>
      <c r="G52" s="25"/>
      <c r="H52" s="27">
        <f>((I51*$E$7)/(1+$E$6))+((I53*(1-$E$7))/(1+$E$6))</f>
        <v>4.6794984507468804</v>
      </c>
      <c r="I52" s="25"/>
      <c r="J52" s="27">
        <f>((K51*$E$7)/(1+$E$6))+((K53*(1-$E$7))/(1+$E$6))</f>
        <v>3.4805728101956026</v>
      </c>
      <c r="K52" s="25"/>
      <c r="L52" s="27">
        <f>((M51*$E$7)/(1+$E$6))+((M53*(1-$E$7))/(1+$E$6))</f>
        <v>1.9069233882341259</v>
      </c>
      <c r="M52" s="25"/>
      <c r="N52" s="5"/>
      <c r="O52" s="5"/>
      <c r="P52" s="5"/>
      <c r="Q52" s="5"/>
      <c r="R52" s="5"/>
      <c r="S52" s="5"/>
      <c r="T52" s="5"/>
      <c r="U52" s="5"/>
      <c r="V52" s="5"/>
      <c r="W52" s="5"/>
      <c r="X52" s="5"/>
      <c r="Y52" s="5"/>
      <c r="Z52" s="5"/>
      <c r="AA52" s="5"/>
      <c r="AB52" s="5"/>
      <c r="AC52" s="5"/>
      <c r="AD52" s="5"/>
      <c r="AE52" s="5"/>
      <c r="AF52" s="5"/>
      <c r="AG52" s="5"/>
      <c r="AH52" s="5"/>
      <c r="AI52" s="5"/>
      <c r="AJ52" s="5"/>
      <c r="AK52" s="5"/>
      <c r="AL52" s="5"/>
      <c r="AM52" s="5"/>
    </row>
    <row r="53" spans="1:39" ht="18.75" customHeight="1" x14ac:dyDescent="0.15">
      <c r="A53" s="31">
        <f>((B52*$E$7)/(1+$E$6))+((B54*(1-$E$7))/(1+$E$6))</f>
        <v>5.1087146746639593</v>
      </c>
      <c r="B53" s="25"/>
      <c r="C53" s="27">
        <f>((D52*$E$7)/(1+$E$6))+((D54*(1-$E$7))/(1+$E$6))</f>
        <v>4.4118596814654722</v>
      </c>
      <c r="D53" s="25"/>
      <c r="E53" s="27">
        <f>((F52*$E$7)/(1+$E$6))+((F54*(1-$E$7))/(1+$E$6))</f>
        <v>3.6631843891602762</v>
      </c>
      <c r="F53" s="25"/>
      <c r="G53" s="27">
        <f>((H52*$E$7)/(1+$E$6))+((H54*(1-$E$7))/(1+$E$6))</f>
        <v>2.8486492160645036</v>
      </c>
      <c r="H53" s="25"/>
      <c r="I53" s="27">
        <f>((J52*$E$7)/(1+$E$6))+((J54*(1-$E$7))/(1+$E$6))</f>
        <v>1.9480502673904858</v>
      </c>
      <c r="J53" s="25"/>
      <c r="K53" s="27">
        <f>((L52*$E$7)/(1+$E$6))+((L54*(1-$E$7))/(1+$E$6))</f>
        <v>0.9389265176534094</v>
      </c>
      <c r="L53" s="25"/>
      <c r="M53" s="27">
        <f>IF(M25&gt;Exercise,M25-Exercise,0)</f>
        <v>0</v>
      </c>
      <c r="N53" s="5"/>
      <c r="O53" s="5"/>
      <c r="P53" s="5"/>
      <c r="Q53" s="5"/>
      <c r="R53" s="5"/>
      <c r="S53" s="5"/>
      <c r="T53" s="5"/>
      <c r="U53" s="5"/>
      <c r="V53" s="5"/>
      <c r="W53" s="5"/>
      <c r="X53" s="5"/>
      <c r="Y53" s="5"/>
      <c r="Z53" s="5"/>
      <c r="AA53" s="5"/>
      <c r="AB53" s="5"/>
      <c r="AC53" s="5"/>
      <c r="AD53" s="5"/>
      <c r="AE53" s="5"/>
      <c r="AF53" s="5"/>
      <c r="AG53" s="5"/>
      <c r="AH53" s="5"/>
      <c r="AI53" s="5"/>
      <c r="AJ53" s="5"/>
      <c r="AK53" s="5"/>
      <c r="AL53" s="5"/>
      <c r="AM53" s="5"/>
    </row>
    <row r="54" spans="1:39" ht="18.75" customHeight="1" x14ac:dyDescent="0.15">
      <c r="A54" s="25"/>
      <c r="B54" s="27">
        <f>((C53*$E$7)/(1+$E$6))+((C55*(1-$E$7))/(1+$E$6))</f>
        <v>2.896662572180102</v>
      </c>
      <c r="C54" s="25"/>
      <c r="D54" s="27">
        <f>((E53*$E$7)/(1+$E$6))+((E55*(1-$E$7))/(1+$E$6))</f>
        <v>2.3090354654913225</v>
      </c>
      <c r="E54" s="25"/>
      <c r="F54" s="27">
        <f>((G53*$E$7)/(1+$E$6))+((G55*(1-$E$7))/(1+$E$6))</f>
        <v>1.6995312197232819</v>
      </c>
      <c r="G54" s="25"/>
      <c r="H54" s="27">
        <f>((I53*$E$7)/(1+$E$6))+((I55*(1-$E$7))/(1+$E$6))</f>
        <v>1.0745375600413312</v>
      </c>
      <c r="I54" s="25"/>
      <c r="J54" s="27">
        <f>((K53*$E$7)/(1+$E$6))+((K55*(1-$E$7))/(1+$E$6))</f>
        <v>0.46230646233204636</v>
      </c>
      <c r="K54" s="25"/>
      <c r="L54" s="27">
        <f>((M53*$E$7)/(1+$E$6))+((M55*(1-$E$7))/(1+$E$6))</f>
        <v>0</v>
      </c>
      <c r="M54" s="25"/>
      <c r="N54" s="5"/>
      <c r="O54" s="5"/>
      <c r="P54" s="5"/>
      <c r="Q54" s="5"/>
      <c r="R54" s="5"/>
      <c r="S54" s="5"/>
      <c r="T54" s="5"/>
      <c r="U54" s="5"/>
      <c r="V54" s="5"/>
      <c r="W54" s="5"/>
      <c r="X54" s="5"/>
      <c r="Y54" s="5"/>
      <c r="Z54" s="5"/>
      <c r="AA54" s="5"/>
      <c r="AB54" s="5"/>
      <c r="AC54" s="5"/>
      <c r="AD54" s="5"/>
      <c r="AE54" s="5"/>
      <c r="AF54" s="5"/>
      <c r="AG54" s="5"/>
      <c r="AH54" s="5"/>
      <c r="AI54" s="5"/>
      <c r="AJ54" s="5"/>
      <c r="AK54" s="5"/>
      <c r="AL54" s="5"/>
      <c r="AM54" s="5"/>
    </row>
    <row r="55" spans="1:39" ht="18.75" customHeight="1" x14ac:dyDescent="0.15">
      <c r="A55" s="25"/>
      <c r="B55" s="25"/>
      <c r="C55" s="27">
        <f>((D54*$E$7)/(1+$E$6))+((D56*(1-$E$7))/(1+$E$6))</f>
        <v>1.4293028135356374</v>
      </c>
      <c r="D55" s="25"/>
      <c r="E55" s="27">
        <f>((F54*$E$7)/(1+$E$6))+((F56*(1-$E$7))/(1+$E$6))</f>
        <v>0.99718181009256623</v>
      </c>
      <c r="F55" s="25"/>
      <c r="G55" s="27">
        <f>((H54*$E$7)/(1+$E$6))+((H56*(1-$E$7))/(1+$E$6))</f>
        <v>0.58587953664310233</v>
      </c>
      <c r="H55" s="25"/>
      <c r="I55" s="27">
        <f>((J54*$E$7)/(1+$E$6))+((J56*(1-$E$7))/(1+$E$6))</f>
        <v>0.22762938429742594</v>
      </c>
      <c r="J55" s="25"/>
      <c r="K55" s="27">
        <f>((L54*$E$7)/(1+$E$6))+((L56*(1-$E$7))/(1+$E$6))</f>
        <v>0</v>
      </c>
      <c r="L55" s="25"/>
      <c r="M55" s="27">
        <f>IF(M27&gt;Exercise,M27-Exercise,0)</f>
        <v>0</v>
      </c>
      <c r="N55" s="5"/>
      <c r="O55" s="5"/>
      <c r="P55" s="5"/>
      <c r="Q55" s="5"/>
      <c r="R55" s="5"/>
      <c r="S55" s="5"/>
      <c r="T55" s="5"/>
      <c r="U55" s="5"/>
      <c r="V55" s="5"/>
      <c r="W55" s="5"/>
      <c r="X55" s="5"/>
      <c r="Y55" s="5"/>
      <c r="Z55" s="5"/>
      <c r="AA55" s="5"/>
      <c r="AB55" s="5"/>
      <c r="AC55" s="5"/>
      <c r="AD55" s="5"/>
      <c r="AE55" s="5"/>
      <c r="AF55" s="5"/>
      <c r="AG55" s="5"/>
      <c r="AH55" s="5"/>
      <c r="AI55" s="5"/>
      <c r="AJ55" s="5"/>
      <c r="AK55" s="5"/>
      <c r="AL55" s="5"/>
      <c r="AM55" s="5"/>
    </row>
    <row r="56" spans="1:39" ht="18.75" customHeight="1" x14ac:dyDescent="0.15">
      <c r="A56" s="25"/>
      <c r="B56" s="25"/>
      <c r="C56" s="25"/>
      <c r="D56" s="27">
        <f>((E55*$E$7)/(1+$E$6))+((E57*(1-$E$7))/(1+$E$6))</f>
        <v>0.57693183152160721</v>
      </c>
      <c r="E56" s="25"/>
      <c r="F56" s="27">
        <f>((G55*$E$7)/(1+$E$6))+((G57*(1-$E$7))/(1+$E$6))</f>
        <v>0.31644166299862825</v>
      </c>
      <c r="G56" s="25"/>
      <c r="H56" s="27">
        <f>((I55*$E$7)/(1+$E$6))+((I57*(1-$E$7))/(1+$E$6))</f>
        <v>0.11207962859582436</v>
      </c>
      <c r="I56" s="25"/>
      <c r="J56" s="27">
        <f>((K55*$E$7)/(1+$E$6))+((K57*(1-$E$7))/(1+$E$6))</f>
        <v>0</v>
      </c>
      <c r="K56" s="25"/>
      <c r="L56" s="27">
        <f>((M55*$E$7)/(1+$E$6))+((M57*(1-$E$7))/(1+$E$6))</f>
        <v>0</v>
      </c>
      <c r="M56" s="27"/>
      <c r="N56" s="5"/>
      <c r="O56" s="5"/>
      <c r="P56" s="5"/>
      <c r="Q56" s="5"/>
      <c r="R56" s="5"/>
      <c r="S56" s="5"/>
      <c r="T56" s="5"/>
      <c r="U56" s="5"/>
      <c r="V56" s="5"/>
      <c r="W56" s="5"/>
      <c r="X56" s="5"/>
      <c r="Y56" s="5"/>
      <c r="Z56" s="5"/>
      <c r="AA56" s="5"/>
      <c r="AB56" s="5"/>
      <c r="AC56" s="5"/>
      <c r="AD56" s="5"/>
      <c r="AE56" s="5"/>
      <c r="AF56" s="5"/>
      <c r="AG56" s="5"/>
      <c r="AH56" s="5"/>
      <c r="AI56" s="5"/>
      <c r="AJ56" s="5"/>
      <c r="AK56" s="5"/>
      <c r="AL56" s="5"/>
      <c r="AM56" s="5"/>
    </row>
    <row r="57" spans="1:39" ht="18.75" customHeight="1" x14ac:dyDescent="0.15">
      <c r="A57" s="25"/>
      <c r="B57" s="25"/>
      <c r="C57" s="25"/>
      <c r="D57" s="25"/>
      <c r="E57" s="27">
        <f>((F56*$E$7)/(1+$E$6))+((F58*(1-$E$7))/(1+$E$6))</f>
        <v>0.1695794615643979</v>
      </c>
      <c r="F57" s="25"/>
      <c r="G57" s="27">
        <f>((H56*$E$7)/(1+$E$6))+((H58*(1-$E$7))/(1+$E$6))</f>
        <v>5.5185507727615379E-2</v>
      </c>
      <c r="H57" s="25"/>
      <c r="I57" s="27">
        <f>((J56*$E$7)/(1+$E$6))+((J58*(1-$E$7))/(1+$E$6))</f>
        <v>0</v>
      </c>
      <c r="J57" s="25"/>
      <c r="K57" s="27">
        <f>((L56*$E$7)/(1+$E$6))+((L58*(1-$E$7))/(1+$E$6))</f>
        <v>0</v>
      </c>
      <c r="L57" s="25"/>
      <c r="M57" s="27">
        <f>IF(M29&gt;Exercise,M29-Exercise,0)</f>
        <v>0</v>
      </c>
      <c r="N57" s="5"/>
      <c r="O57" s="5"/>
      <c r="P57" s="5"/>
      <c r="Q57" s="5"/>
      <c r="R57" s="5"/>
      <c r="S57" s="5"/>
      <c r="T57" s="5"/>
      <c r="U57" s="5"/>
      <c r="V57" s="5"/>
      <c r="W57" s="5"/>
      <c r="X57" s="5"/>
      <c r="Y57" s="5"/>
      <c r="Z57" s="5"/>
      <c r="AA57" s="5"/>
      <c r="AB57" s="5"/>
      <c r="AC57" s="5"/>
      <c r="AD57" s="5"/>
      <c r="AE57" s="5"/>
      <c r="AF57" s="5"/>
      <c r="AG57" s="5"/>
      <c r="AH57" s="5"/>
      <c r="AI57" s="5"/>
      <c r="AJ57" s="5"/>
      <c r="AK57" s="5"/>
      <c r="AL57" s="5"/>
      <c r="AM57" s="5"/>
    </row>
    <row r="58" spans="1:39" ht="18.75" customHeight="1" x14ac:dyDescent="0.15">
      <c r="A58" s="25"/>
      <c r="B58" s="25"/>
      <c r="C58" s="25"/>
      <c r="D58" s="25"/>
      <c r="E58" s="25"/>
      <c r="F58" s="27">
        <f>((G57*$E$7)/(1+$E$6))+((G59*(1-$E$7))/(1+$E$6))</f>
        <v>2.7172112375006188E-2</v>
      </c>
      <c r="G58" s="25"/>
      <c r="H58" s="27">
        <f>((I57*$E$7)/(1+$E$6))+((I59*(1-$E$7))/(1+$E$6))</f>
        <v>0</v>
      </c>
      <c r="I58" s="25"/>
      <c r="J58" s="27">
        <f>((K57*$E$7)/(1+$E$6))+((K59*(1-$E$7))/(1+$E$6))</f>
        <v>0</v>
      </c>
      <c r="K58" s="25"/>
      <c r="L58" s="27">
        <f>((M57*$E$7)/(1+$E$6))+((M59*(1-$E$7))/(1+$E$6))</f>
        <v>0</v>
      </c>
      <c r="M58" s="25"/>
      <c r="N58" s="5"/>
      <c r="O58" s="5"/>
      <c r="P58" s="5"/>
      <c r="Q58" s="5"/>
      <c r="R58" s="5"/>
      <c r="S58" s="5"/>
      <c r="T58" s="5"/>
      <c r="U58" s="5"/>
      <c r="V58" s="5"/>
      <c r="W58" s="5"/>
      <c r="X58" s="5"/>
      <c r="Y58" s="5"/>
      <c r="Z58" s="5"/>
      <c r="AA58" s="5"/>
      <c r="AB58" s="5"/>
      <c r="AC58" s="5"/>
      <c r="AD58" s="5"/>
      <c r="AE58" s="5"/>
      <c r="AF58" s="5"/>
      <c r="AG58" s="5"/>
      <c r="AH58" s="5"/>
      <c r="AI58" s="5"/>
      <c r="AJ58" s="5"/>
      <c r="AK58" s="5"/>
      <c r="AL58" s="5"/>
      <c r="AM58" s="5"/>
    </row>
    <row r="59" spans="1:39" ht="18.75" customHeight="1" x14ac:dyDescent="0.15">
      <c r="A59" s="25"/>
      <c r="B59" s="25"/>
      <c r="C59" s="25"/>
      <c r="D59" s="25"/>
      <c r="E59" s="25"/>
      <c r="F59" s="25"/>
      <c r="G59" s="27">
        <f>((H58*$E$7)/(1+$E$6))+((H60*(1-$E$7))/(1+$E$6))</f>
        <v>0</v>
      </c>
      <c r="H59" s="25"/>
      <c r="I59" s="27">
        <f>((J58*$E$7)/(1+$E$6))+((J60*(1-$E$7))/(1+$E$6))</f>
        <v>0</v>
      </c>
      <c r="J59" s="25"/>
      <c r="K59" s="27">
        <f>((L58*$E$7)/(1+$E$6))+((L60*(1-$E$7))/(1+$E$6))</f>
        <v>0</v>
      </c>
      <c r="L59" s="25"/>
      <c r="M59" s="27">
        <f>IF(M31&gt;Exercise,M31-Exercise,0)</f>
        <v>0</v>
      </c>
      <c r="N59" s="5"/>
      <c r="O59" s="5"/>
      <c r="P59" s="5"/>
      <c r="Q59" s="5"/>
      <c r="R59" s="5"/>
      <c r="S59" s="5"/>
      <c r="T59" s="5"/>
      <c r="U59" s="5"/>
      <c r="V59" s="5"/>
      <c r="W59" s="5"/>
      <c r="X59" s="5"/>
      <c r="Y59" s="5"/>
      <c r="Z59" s="5"/>
      <c r="AA59" s="5"/>
      <c r="AB59" s="5"/>
      <c r="AC59" s="5"/>
      <c r="AD59" s="5"/>
      <c r="AE59" s="5"/>
      <c r="AF59" s="5"/>
      <c r="AG59" s="5"/>
      <c r="AH59" s="5"/>
      <c r="AI59" s="5"/>
      <c r="AJ59" s="5"/>
      <c r="AK59" s="5"/>
      <c r="AL59" s="5"/>
      <c r="AM59" s="5"/>
    </row>
    <row r="60" spans="1:39" ht="18.75" customHeight="1" x14ac:dyDescent="0.15">
      <c r="A60" s="25"/>
      <c r="B60" s="25"/>
      <c r="C60" s="25"/>
      <c r="D60" s="25"/>
      <c r="E60" s="25"/>
      <c r="F60" s="25"/>
      <c r="G60" s="25"/>
      <c r="H60" s="27">
        <f>((I59*$E$7)/(1+$E$6))+((I61*(1-$E$7))/(1+$E$6))</f>
        <v>0</v>
      </c>
      <c r="I60" s="25"/>
      <c r="J60" s="27">
        <f>((K59*$E$7)/(1+$E$6))+((K61*(1-$E$7))/(1+$E$6))</f>
        <v>0</v>
      </c>
      <c r="K60" s="25"/>
      <c r="L60" s="27">
        <f>((M59*$E$7)/(1+$E$6))+((M61*(1-$E$7))/(1+$E$6))</f>
        <v>0</v>
      </c>
      <c r="M60" s="25"/>
      <c r="N60" s="5"/>
      <c r="O60" s="5"/>
      <c r="P60" s="5"/>
      <c r="Q60" s="5"/>
      <c r="R60" s="5"/>
      <c r="S60" s="5"/>
      <c r="T60" s="5"/>
      <c r="U60" s="5"/>
      <c r="V60" s="5"/>
      <c r="W60" s="5"/>
      <c r="X60" s="5"/>
      <c r="Y60" s="5"/>
      <c r="Z60" s="5"/>
      <c r="AA60" s="5"/>
      <c r="AB60" s="5"/>
      <c r="AC60" s="5"/>
      <c r="AD60" s="5"/>
      <c r="AE60" s="5"/>
      <c r="AF60" s="5"/>
      <c r="AG60" s="5"/>
      <c r="AH60" s="5"/>
      <c r="AI60" s="5"/>
      <c r="AJ60" s="5"/>
      <c r="AK60" s="5"/>
      <c r="AL60" s="5"/>
      <c r="AM60" s="5"/>
    </row>
    <row r="61" spans="1:39" ht="18.75" customHeight="1" x14ac:dyDescent="0.15">
      <c r="A61" s="25"/>
      <c r="B61" s="25"/>
      <c r="C61" s="25"/>
      <c r="D61" s="25"/>
      <c r="E61" s="25"/>
      <c r="F61" s="25"/>
      <c r="G61" s="25"/>
      <c r="H61" s="25"/>
      <c r="I61" s="27">
        <f>((J60*$E$7)/(1+$E$6))+((J62*(1-$E$7))/(1+$E$6))</f>
        <v>0</v>
      </c>
      <c r="J61" s="25"/>
      <c r="K61" s="27">
        <f>((L60*$E$7)/(1+$E$6))+((L62*(1-$E$7))/(1+$E$6))</f>
        <v>0</v>
      </c>
      <c r="L61" s="27"/>
      <c r="M61" s="27">
        <f>IF(M33&gt;Exercise,M33-Exercise,0)</f>
        <v>0</v>
      </c>
      <c r="N61" s="5"/>
      <c r="O61" s="5"/>
      <c r="P61" s="5"/>
      <c r="Q61" s="5"/>
      <c r="R61" s="5"/>
      <c r="S61" s="5"/>
      <c r="T61" s="5"/>
      <c r="U61" s="5"/>
      <c r="V61" s="5"/>
      <c r="W61" s="5"/>
      <c r="X61" s="5"/>
      <c r="Y61" s="5"/>
      <c r="Z61" s="5"/>
      <c r="AA61" s="5"/>
      <c r="AB61" s="5"/>
      <c r="AC61" s="5"/>
      <c r="AD61" s="5"/>
      <c r="AE61" s="5"/>
      <c r="AF61" s="5"/>
      <c r="AG61" s="5"/>
      <c r="AH61" s="5"/>
      <c r="AI61" s="5"/>
      <c r="AJ61" s="5"/>
      <c r="AK61" s="5"/>
      <c r="AL61" s="5"/>
      <c r="AM61" s="5"/>
    </row>
    <row r="62" spans="1:39" ht="18.75" customHeight="1" x14ac:dyDescent="0.15">
      <c r="A62" s="25"/>
      <c r="B62" s="25"/>
      <c r="C62" s="25"/>
      <c r="D62" s="25"/>
      <c r="E62" s="25"/>
      <c r="F62" s="25"/>
      <c r="G62" s="25"/>
      <c r="H62" s="25"/>
      <c r="I62" s="25"/>
      <c r="J62" s="27">
        <f>((K61*$E$7)/(1+$E$6))+((K63*(1-$E$7))/(1+$E$6))</f>
        <v>0</v>
      </c>
      <c r="K62" s="25"/>
      <c r="L62" s="27">
        <f>((M61*$E$7)/(1+$E$6))+((M63*(1-$E$7))/(1+$E$6))</f>
        <v>0</v>
      </c>
      <c r="M62" s="25"/>
      <c r="N62" s="5"/>
      <c r="O62" s="5"/>
      <c r="P62" s="5"/>
      <c r="Q62" s="5"/>
      <c r="R62" s="5"/>
      <c r="S62" s="5"/>
      <c r="T62" s="5"/>
      <c r="U62" s="5"/>
      <c r="V62" s="5"/>
      <c r="W62" s="5"/>
      <c r="X62" s="5"/>
      <c r="Y62" s="5"/>
      <c r="Z62" s="5"/>
      <c r="AA62" s="5"/>
      <c r="AB62" s="5"/>
      <c r="AC62" s="5"/>
      <c r="AD62" s="5"/>
      <c r="AE62" s="5"/>
      <c r="AF62" s="5"/>
      <c r="AG62" s="5"/>
      <c r="AH62" s="5"/>
      <c r="AI62" s="5"/>
      <c r="AJ62" s="5"/>
      <c r="AK62" s="5"/>
      <c r="AL62" s="5"/>
      <c r="AM62" s="5"/>
    </row>
    <row r="63" spans="1:39" ht="18.75" customHeight="1" x14ac:dyDescent="0.15">
      <c r="A63" s="25"/>
      <c r="B63" s="25"/>
      <c r="C63" s="25"/>
      <c r="D63" s="25"/>
      <c r="E63" s="25"/>
      <c r="F63" s="25"/>
      <c r="G63" s="25"/>
      <c r="H63" s="25"/>
      <c r="I63" s="25"/>
      <c r="J63" s="25"/>
      <c r="K63" s="27">
        <f>((L62*$E$7)/(1+$E$6))+((L64*(1-$E$7))/(1+$E$6))</f>
        <v>0</v>
      </c>
      <c r="L63" s="25"/>
      <c r="M63" s="27">
        <f>IF(M35&gt;Exercise,M35-Exercise,0)</f>
        <v>0</v>
      </c>
      <c r="N63" s="5"/>
      <c r="O63" s="5"/>
      <c r="P63" s="5"/>
      <c r="Q63" s="5"/>
      <c r="R63" s="5"/>
      <c r="S63" s="5"/>
      <c r="T63" s="5"/>
      <c r="U63" s="5"/>
      <c r="V63" s="5"/>
      <c r="W63" s="5"/>
      <c r="X63" s="5"/>
      <c r="Y63" s="5"/>
      <c r="Z63" s="5"/>
      <c r="AA63" s="5"/>
      <c r="AB63" s="5"/>
      <c r="AC63" s="5"/>
      <c r="AD63" s="5"/>
      <c r="AE63" s="5"/>
      <c r="AF63" s="5"/>
      <c r="AG63" s="5"/>
      <c r="AH63" s="5"/>
      <c r="AI63" s="5"/>
      <c r="AJ63" s="5"/>
      <c r="AK63" s="5"/>
      <c r="AL63" s="5"/>
      <c r="AM63" s="5"/>
    </row>
    <row r="64" spans="1:39" ht="18.75" customHeight="1" x14ac:dyDescent="0.15">
      <c r="A64" s="25"/>
      <c r="B64" s="25"/>
      <c r="C64" s="25"/>
      <c r="D64" s="25"/>
      <c r="E64" s="25"/>
      <c r="F64" s="25"/>
      <c r="G64" s="25"/>
      <c r="H64" s="25"/>
      <c r="I64" s="25"/>
      <c r="J64" s="25"/>
      <c r="K64" s="25"/>
      <c r="L64" s="27">
        <f>((M63*$E$7)/(1+$E$6))+((M65*(1-$E$7))/(1+$E$6))</f>
        <v>0</v>
      </c>
      <c r="M64" s="25"/>
      <c r="N64" s="5"/>
      <c r="O64" s="5"/>
      <c r="P64" s="5"/>
      <c r="Q64" s="5"/>
      <c r="R64" s="5"/>
      <c r="S64" s="5"/>
      <c r="T64" s="5"/>
      <c r="U64" s="5"/>
      <c r="V64" s="5"/>
      <c r="W64" s="5"/>
      <c r="X64" s="5"/>
      <c r="Y64" s="5"/>
      <c r="Z64" s="5"/>
      <c r="AA64" s="5"/>
      <c r="AB64" s="5"/>
      <c r="AC64" s="5"/>
      <c r="AD64" s="5"/>
      <c r="AE64" s="5"/>
      <c r="AF64" s="5"/>
      <c r="AG64" s="5"/>
      <c r="AH64" s="5"/>
      <c r="AI64" s="5"/>
      <c r="AJ64" s="5"/>
      <c r="AK64" s="5"/>
      <c r="AL64" s="5"/>
      <c r="AM64" s="5"/>
    </row>
    <row r="65" spans="1:39" ht="18.75" customHeight="1" thickBot="1" x14ac:dyDescent="0.2">
      <c r="A65" s="59"/>
      <c r="B65" s="59"/>
      <c r="C65" s="59"/>
      <c r="D65" s="59"/>
      <c r="E65" s="59"/>
      <c r="F65" s="59"/>
      <c r="G65" s="59"/>
      <c r="H65" s="59"/>
      <c r="I65" s="59"/>
      <c r="J65" s="59"/>
      <c r="K65" s="59"/>
      <c r="L65" s="59"/>
      <c r="M65" s="60">
        <f>IF(M37&gt;Exercise,M37-Exercise,0)</f>
        <v>0</v>
      </c>
      <c r="N65" s="5"/>
      <c r="O65" s="5"/>
      <c r="P65" s="5"/>
      <c r="Q65" s="5"/>
      <c r="R65" s="5"/>
      <c r="S65" s="5"/>
      <c r="T65" s="5"/>
      <c r="U65" s="5"/>
      <c r="V65" s="5"/>
      <c r="W65" s="5"/>
      <c r="X65" s="5"/>
      <c r="Y65" s="5"/>
      <c r="Z65" s="5"/>
      <c r="AA65" s="5"/>
      <c r="AB65" s="5"/>
      <c r="AC65" s="5"/>
      <c r="AD65" s="5"/>
      <c r="AE65" s="5"/>
      <c r="AF65" s="5"/>
      <c r="AG65" s="5"/>
      <c r="AH65" s="5"/>
      <c r="AI65" s="5"/>
      <c r="AJ65" s="5"/>
      <c r="AK65" s="5"/>
      <c r="AL65" s="5"/>
      <c r="AM65" s="5"/>
    </row>
    <row r="66" spans="1:39" ht="18.75" customHeight="1" thickBot="1" x14ac:dyDescent="0.2">
      <c r="A66" s="150" t="s">
        <v>32</v>
      </c>
      <c r="B66" s="151"/>
      <c r="C66" s="151"/>
      <c r="D66" s="151"/>
      <c r="E66" s="151"/>
      <c r="F66" s="151"/>
      <c r="G66" s="151"/>
      <c r="H66" s="151"/>
      <c r="I66" s="151"/>
      <c r="J66" s="151"/>
      <c r="K66" s="151"/>
      <c r="L66" s="151"/>
      <c r="M66" s="152"/>
      <c r="N66" s="5"/>
      <c r="O66" s="5"/>
      <c r="P66" s="5"/>
      <c r="Q66" s="5"/>
      <c r="R66" s="5"/>
      <c r="S66" s="5"/>
      <c r="T66" s="5"/>
      <c r="U66" s="5"/>
      <c r="V66" s="5"/>
      <c r="W66" s="5"/>
      <c r="X66" s="5"/>
      <c r="Y66" s="5"/>
      <c r="Z66" s="5"/>
      <c r="AA66" s="5"/>
      <c r="AB66" s="5"/>
      <c r="AC66" s="5"/>
      <c r="AD66" s="5"/>
      <c r="AE66" s="5"/>
      <c r="AF66" s="5"/>
      <c r="AG66" s="5"/>
      <c r="AH66" s="5"/>
      <c r="AI66" s="5"/>
      <c r="AJ66" s="5"/>
      <c r="AK66" s="5"/>
      <c r="AL66" s="5"/>
      <c r="AM66" s="5"/>
    </row>
    <row r="67" spans="1:39" ht="18.75" customHeight="1" x14ac:dyDescent="0.15">
      <c r="A67" s="25"/>
      <c r="B67" s="25"/>
      <c r="C67" s="25"/>
      <c r="D67" s="25"/>
      <c r="E67" s="25"/>
      <c r="F67" s="25"/>
      <c r="G67" s="25"/>
      <c r="H67" s="25"/>
      <c r="I67" s="25"/>
      <c r="J67" s="25"/>
      <c r="K67" s="25"/>
      <c r="L67" s="25"/>
      <c r="M67" s="5"/>
      <c r="N67" s="5"/>
      <c r="O67" s="5"/>
      <c r="P67" s="5"/>
      <c r="Q67" s="5"/>
      <c r="R67" s="5"/>
      <c r="S67" s="5"/>
      <c r="T67" s="5"/>
      <c r="U67" s="5"/>
      <c r="V67" s="5"/>
      <c r="W67" s="5"/>
      <c r="X67" s="5"/>
      <c r="Y67" s="5"/>
      <c r="Z67" s="5"/>
      <c r="AA67" s="5"/>
      <c r="AB67" s="5"/>
      <c r="AC67" s="5"/>
      <c r="AD67" s="5"/>
      <c r="AE67" s="5"/>
      <c r="AF67" s="5"/>
      <c r="AG67" s="5"/>
      <c r="AH67" s="5"/>
      <c r="AI67" s="5"/>
      <c r="AJ67" s="5"/>
      <c r="AK67" s="5"/>
      <c r="AL67" s="5"/>
    </row>
    <row r="68" spans="1:39" ht="18.75" customHeight="1" x14ac:dyDescent="0.15">
      <c r="A68" s="25"/>
      <c r="B68" s="25"/>
      <c r="C68" s="25"/>
      <c r="D68" s="25"/>
      <c r="E68" s="25"/>
      <c r="F68" s="25"/>
      <c r="G68" s="25"/>
      <c r="H68" s="25"/>
      <c r="I68" s="25"/>
      <c r="J68" s="25"/>
      <c r="K68" s="25"/>
      <c r="L68" s="25"/>
      <c r="M68" s="27">
        <f>IF(M13&lt;Exercise,Exercise-M13,0)</f>
        <v>0</v>
      </c>
      <c r="N68" s="5"/>
      <c r="O68" s="5"/>
      <c r="P68" s="5"/>
      <c r="Q68" s="5"/>
      <c r="R68" s="5"/>
      <c r="S68" s="5"/>
      <c r="T68" s="5"/>
      <c r="U68" s="5"/>
      <c r="V68" s="5"/>
      <c r="W68" s="5"/>
      <c r="X68" s="5"/>
      <c r="Y68" s="5"/>
      <c r="Z68" s="5"/>
      <c r="AA68" s="5"/>
      <c r="AB68" s="5"/>
      <c r="AC68" s="5"/>
      <c r="AD68" s="5"/>
      <c r="AE68" s="5"/>
      <c r="AF68" s="5"/>
      <c r="AG68" s="5"/>
      <c r="AH68" s="5"/>
      <c r="AI68" s="5"/>
      <c r="AJ68" s="5"/>
      <c r="AK68" s="5"/>
      <c r="AL68" s="5"/>
      <c r="AM68" s="5"/>
    </row>
    <row r="69" spans="1:39" ht="18.75" customHeight="1" x14ac:dyDescent="0.15">
      <c r="A69" s="25"/>
      <c r="B69" s="25"/>
      <c r="C69" s="25"/>
      <c r="D69" s="25"/>
      <c r="E69" s="25"/>
      <c r="F69" s="25"/>
      <c r="G69" s="25"/>
      <c r="H69" s="25"/>
      <c r="I69" s="25"/>
      <c r="J69" s="25"/>
      <c r="K69" s="25"/>
      <c r="L69" s="27">
        <f>((M68*$E$7)/(1+$E$6))+((M70*(1-$E$7))/(1+$E$6))</f>
        <v>0</v>
      </c>
      <c r="M69" s="25"/>
      <c r="N69" s="5"/>
      <c r="O69" s="5"/>
      <c r="P69" s="5"/>
      <c r="Q69" s="5"/>
      <c r="R69" s="5"/>
      <c r="S69" s="5"/>
      <c r="T69" s="5"/>
      <c r="U69" s="5"/>
      <c r="V69" s="5"/>
      <c r="W69" s="5"/>
      <c r="X69" s="5"/>
      <c r="Y69" s="5"/>
      <c r="Z69" s="5"/>
      <c r="AA69" s="5"/>
      <c r="AB69" s="5"/>
      <c r="AC69" s="5"/>
      <c r="AD69" s="5"/>
      <c r="AE69" s="5"/>
      <c r="AF69" s="5"/>
      <c r="AG69" s="5"/>
      <c r="AH69" s="5"/>
      <c r="AI69" s="5"/>
      <c r="AJ69" s="5"/>
      <c r="AK69" s="5"/>
      <c r="AL69" s="5"/>
      <c r="AM69" s="5"/>
    </row>
    <row r="70" spans="1:39" ht="18.75" customHeight="1" x14ac:dyDescent="0.15">
      <c r="A70" s="25"/>
      <c r="B70" s="25"/>
      <c r="C70" s="25"/>
      <c r="D70" s="25"/>
      <c r="E70" s="25"/>
      <c r="F70" s="25"/>
      <c r="G70" s="25"/>
      <c r="H70" s="25"/>
      <c r="I70" s="25"/>
      <c r="J70" s="25"/>
      <c r="K70" s="27">
        <f>((L69*$E$7)/(1+$E$6))+((L71*(1-$E$7))/(1+$E$6))</f>
        <v>0</v>
      </c>
      <c r="L70" s="25"/>
      <c r="M70" s="27">
        <f>IF(M15&lt;Exercise,Exercise-M15,0)</f>
        <v>0</v>
      </c>
      <c r="N70" s="5"/>
      <c r="O70" s="5"/>
      <c r="P70" s="5"/>
      <c r="Q70" s="5"/>
      <c r="R70" s="5"/>
      <c r="S70" s="5"/>
      <c r="T70" s="5"/>
      <c r="U70" s="5"/>
      <c r="V70" s="5"/>
      <c r="W70" s="5"/>
      <c r="X70" s="5"/>
      <c r="Y70" s="5"/>
      <c r="Z70" s="5"/>
      <c r="AA70" s="5"/>
      <c r="AB70" s="5"/>
      <c r="AC70" s="5"/>
      <c r="AD70" s="5"/>
      <c r="AE70" s="5"/>
      <c r="AF70" s="5"/>
      <c r="AG70" s="5"/>
      <c r="AH70" s="5"/>
      <c r="AI70" s="5"/>
      <c r="AJ70" s="5"/>
      <c r="AK70" s="5"/>
      <c r="AL70" s="5"/>
      <c r="AM70" s="5"/>
    </row>
    <row r="71" spans="1:39" ht="18.75" customHeight="1" x14ac:dyDescent="0.15">
      <c r="A71" s="25"/>
      <c r="B71" s="25"/>
      <c r="C71" s="25"/>
      <c r="D71" s="25"/>
      <c r="E71" s="25"/>
      <c r="F71" s="25"/>
      <c r="G71" s="25"/>
      <c r="H71" s="25"/>
      <c r="I71" s="25"/>
      <c r="J71" s="27">
        <f>((K70*$E$7)/(1+$E$6))+((K72*(1-$E$7))/(1+$E$6))</f>
        <v>0</v>
      </c>
      <c r="K71" s="25"/>
      <c r="L71" s="27">
        <f>((M70*$E$7)/(1+$E$6))+((M72*(1-$E$7))/(1+$E$6))</f>
        <v>0</v>
      </c>
      <c r="M71" s="25"/>
      <c r="N71" s="5"/>
      <c r="O71" s="5"/>
      <c r="P71" s="5"/>
      <c r="Q71" s="5"/>
      <c r="R71" s="5"/>
      <c r="S71" s="5"/>
      <c r="T71" s="5"/>
      <c r="U71" s="5"/>
      <c r="V71" s="5"/>
      <c r="W71" s="5"/>
      <c r="X71" s="5"/>
      <c r="Y71" s="5"/>
      <c r="Z71" s="5"/>
      <c r="AA71" s="5"/>
      <c r="AB71" s="5"/>
      <c r="AC71" s="5"/>
      <c r="AD71" s="5"/>
      <c r="AE71" s="5"/>
      <c r="AF71" s="5"/>
      <c r="AG71" s="5"/>
      <c r="AH71" s="5"/>
      <c r="AI71" s="5"/>
      <c r="AJ71" s="5"/>
      <c r="AK71" s="5"/>
      <c r="AL71" s="5"/>
      <c r="AM71" s="5"/>
    </row>
    <row r="72" spans="1:39" ht="18.75" customHeight="1" x14ac:dyDescent="0.15">
      <c r="A72" s="25"/>
      <c r="B72" s="25"/>
      <c r="C72" s="25"/>
      <c r="D72" s="25"/>
      <c r="E72" s="25"/>
      <c r="F72" s="25"/>
      <c r="G72" s="25"/>
      <c r="H72" s="25"/>
      <c r="I72" s="27">
        <f>((J71*$E$7)/(1+$E$6))+((J73*(1-$E$7))/(1+$E$6))</f>
        <v>0</v>
      </c>
      <c r="J72" s="25"/>
      <c r="K72" s="27">
        <f>((L71*$E$7)/(1+$E$6))+((L73*(1-$E$7))/(1+$E$6))</f>
        <v>0</v>
      </c>
      <c r="L72" s="25"/>
      <c r="M72" s="27">
        <f>IF(M17&lt;Exercise,Exercise-M17,0)</f>
        <v>0</v>
      </c>
      <c r="N72" s="5"/>
      <c r="O72" s="5"/>
      <c r="P72" s="5"/>
      <c r="Q72" s="5"/>
      <c r="R72" s="5"/>
      <c r="S72" s="5"/>
      <c r="T72" s="5"/>
      <c r="U72" s="5"/>
      <c r="V72" s="5"/>
      <c r="W72" s="5"/>
      <c r="X72" s="5"/>
      <c r="Y72" s="5"/>
      <c r="Z72" s="5"/>
      <c r="AA72" s="5"/>
      <c r="AB72" s="5"/>
      <c r="AC72" s="5"/>
      <c r="AD72" s="5"/>
      <c r="AE72" s="5"/>
      <c r="AF72" s="5"/>
      <c r="AG72" s="5"/>
      <c r="AH72" s="5"/>
      <c r="AI72" s="5"/>
      <c r="AJ72" s="5"/>
      <c r="AK72" s="5"/>
      <c r="AL72" s="5"/>
      <c r="AM72" s="5"/>
    </row>
    <row r="73" spans="1:39" ht="18.75" customHeight="1" x14ac:dyDescent="0.15">
      <c r="A73" s="25"/>
      <c r="B73" s="25"/>
      <c r="C73" s="25"/>
      <c r="D73" s="25"/>
      <c r="E73" s="25"/>
      <c r="F73" s="25"/>
      <c r="G73" s="25"/>
      <c r="H73" s="27">
        <f>((I72*$E$7)/(1+$E$6))+((I74*(1-$E$7))/(1+$E$6))</f>
        <v>0</v>
      </c>
      <c r="I73" s="25"/>
      <c r="J73" s="27">
        <f>((K72*$E$7)/(1+$E$6))+((K74*(1-$E$7))/(1+$E$6))</f>
        <v>0</v>
      </c>
      <c r="K73" s="25"/>
      <c r="L73" s="27">
        <f>((M72*$E$7)/(1+$E$6))+((M74*(1-$E$7))/(1+$E$6))</f>
        <v>0</v>
      </c>
      <c r="M73" s="25"/>
      <c r="N73" s="5"/>
      <c r="O73" s="5"/>
      <c r="P73" s="5"/>
      <c r="Q73" s="5"/>
      <c r="R73" s="5"/>
      <c r="S73" s="5"/>
      <c r="T73" s="5"/>
      <c r="U73" s="5"/>
      <c r="V73" s="5"/>
      <c r="W73" s="5"/>
      <c r="X73" s="5"/>
      <c r="Y73" s="5"/>
      <c r="Z73" s="5"/>
      <c r="AA73" s="5"/>
      <c r="AB73" s="5"/>
      <c r="AC73" s="5"/>
      <c r="AD73" s="5"/>
      <c r="AE73" s="5"/>
      <c r="AF73" s="5"/>
      <c r="AG73" s="5"/>
      <c r="AH73" s="5"/>
      <c r="AI73" s="5"/>
      <c r="AJ73" s="5"/>
      <c r="AK73" s="5"/>
      <c r="AL73" s="5"/>
      <c r="AM73" s="5"/>
    </row>
    <row r="74" spans="1:39" ht="18.75" customHeight="1" x14ac:dyDescent="0.15">
      <c r="A74" s="25"/>
      <c r="B74" s="25"/>
      <c r="C74" s="25"/>
      <c r="D74" s="25"/>
      <c r="E74" s="25"/>
      <c r="F74" s="25"/>
      <c r="G74" s="27">
        <f>((H73*$E$7)/(1+$E$6))+((H75*(1-$E$7))/(1+$E$6))</f>
        <v>0.13554266994993755</v>
      </c>
      <c r="H74" s="25"/>
      <c r="I74" s="27">
        <f>((J73*$E$7)/(1+$E$6))+((J75*(1-$E$7))/(1+$E$6))</f>
        <v>0</v>
      </c>
      <c r="J74" s="25"/>
      <c r="K74" s="27">
        <f>((L73*$E$7)/(1+$E$6))+((L75*(1-$E$7))/(1+$E$6))</f>
        <v>0</v>
      </c>
      <c r="L74" s="25"/>
      <c r="M74" s="27">
        <f>IF(M19&lt;Exercise,Exercise-M19,0)</f>
        <v>0</v>
      </c>
      <c r="N74" s="5"/>
      <c r="O74" s="5"/>
      <c r="P74" s="5"/>
      <c r="Q74" s="5"/>
      <c r="R74" s="5"/>
      <c r="S74" s="5"/>
      <c r="T74" s="5"/>
      <c r="U74" s="5"/>
      <c r="V74" s="5"/>
      <c r="W74" s="5"/>
      <c r="X74" s="5"/>
      <c r="Y74" s="5"/>
      <c r="Z74" s="5"/>
      <c r="AA74" s="5"/>
      <c r="AB74" s="5"/>
      <c r="AC74" s="5"/>
      <c r="AD74" s="5"/>
      <c r="AE74" s="5"/>
      <c r="AF74" s="5"/>
      <c r="AG74" s="5"/>
      <c r="AH74" s="5"/>
      <c r="AI74" s="5"/>
      <c r="AJ74" s="5"/>
      <c r="AK74" s="5"/>
      <c r="AL74" s="5"/>
      <c r="AM74" s="5"/>
    </row>
    <row r="75" spans="1:39" ht="18.75" customHeight="1" x14ac:dyDescent="0.15">
      <c r="A75" s="25"/>
      <c r="B75" s="25"/>
      <c r="C75" s="25"/>
      <c r="D75" s="25"/>
      <c r="E75" s="25"/>
      <c r="F75" s="27">
        <f>((G74*$E$7)/(1+$E$6))+((G76*(1-$E$7))/(1+$E$6))</f>
        <v>0.62668862146310966</v>
      </c>
      <c r="G75" s="25"/>
      <c r="H75" s="27">
        <f>((I74*$E$7)/(1+$E$6))+((I76*(1-$E$7))/(1+$E$6))</f>
        <v>0.26745149386534384</v>
      </c>
      <c r="I75" s="25"/>
      <c r="J75" s="27">
        <f>((K74*$E$7)/(1+$E$6))+((K76*(1-$E$7))/(1+$E$6))</f>
        <v>0</v>
      </c>
      <c r="K75" s="25"/>
      <c r="L75" s="27">
        <f>((M74*$E$7)/(1+$E$6))+((M76*(1-$E$7))/(1+$E$6))</f>
        <v>0</v>
      </c>
      <c r="M75" s="25"/>
      <c r="N75" s="5"/>
      <c r="O75" s="5"/>
      <c r="P75" s="5"/>
      <c r="Q75" s="5"/>
      <c r="R75" s="5"/>
      <c r="S75" s="5"/>
      <c r="T75" s="5"/>
      <c r="U75" s="5"/>
      <c r="V75" s="5"/>
      <c r="W75" s="5"/>
      <c r="X75" s="5"/>
      <c r="Y75" s="5"/>
      <c r="Z75" s="5"/>
      <c r="AA75" s="5"/>
      <c r="AB75" s="5"/>
      <c r="AC75" s="5"/>
      <c r="AD75" s="5"/>
      <c r="AE75" s="5"/>
      <c r="AF75" s="5"/>
      <c r="AG75" s="5"/>
      <c r="AH75" s="5"/>
      <c r="AI75" s="5"/>
      <c r="AJ75" s="5"/>
      <c r="AK75" s="5"/>
      <c r="AL75" s="5"/>
      <c r="AM75" s="5"/>
    </row>
    <row r="76" spans="1:39" ht="18.75" customHeight="1" x14ac:dyDescent="0.15">
      <c r="A76" s="25"/>
      <c r="B76" s="25"/>
      <c r="C76" s="25"/>
      <c r="D76" s="25"/>
      <c r="E76" s="27">
        <f>((F75*$E$7)/(1+$E$6))+((F77*(1-$E$7))/(1+$E$6))</f>
        <v>1.6703050417616103</v>
      </c>
      <c r="F76" s="25"/>
      <c r="G76" s="27">
        <f>((H75*$E$7)/(1+$E$6))+((H77*(1-$E$7))/(1+$E$6))</f>
        <v>1.1048888191899238</v>
      </c>
      <c r="H76" s="25"/>
      <c r="I76" s="27">
        <f>((J75*$E$7)/(1+$E$6))+((J77*(1-$E$7))/(1+$E$6))</f>
        <v>0.52773271765432717</v>
      </c>
      <c r="J76" s="25"/>
      <c r="K76" s="27">
        <f>((L75*$E$7)/(1+$E$6))+((L77*(1-$E$7))/(1+$E$6))</f>
        <v>0</v>
      </c>
      <c r="L76" s="25"/>
      <c r="M76" s="27">
        <f>IF(M21&lt;Exercise,Exercise-M21,0)</f>
        <v>0</v>
      </c>
      <c r="N76" s="5"/>
      <c r="O76" s="5"/>
      <c r="P76" s="5"/>
      <c r="Q76" s="5"/>
      <c r="R76" s="5"/>
      <c r="S76" s="5"/>
      <c r="T76" s="5"/>
      <c r="U76" s="5"/>
      <c r="V76" s="5"/>
      <c r="W76" s="5"/>
      <c r="X76" s="5"/>
      <c r="Y76" s="5"/>
      <c r="Z76" s="5"/>
      <c r="AA76" s="5"/>
      <c r="AB76" s="5"/>
      <c r="AC76" s="5"/>
      <c r="AD76" s="5"/>
      <c r="AE76" s="5"/>
      <c r="AF76" s="5"/>
      <c r="AG76" s="5"/>
      <c r="AH76" s="5"/>
      <c r="AI76" s="5"/>
      <c r="AJ76" s="5"/>
      <c r="AK76" s="5"/>
      <c r="AL76" s="5"/>
      <c r="AM76" s="5"/>
    </row>
    <row r="77" spans="1:39" ht="18.75" customHeight="1" x14ac:dyDescent="0.15">
      <c r="A77" s="25"/>
      <c r="B77" s="25"/>
      <c r="C77" s="25"/>
      <c r="D77" s="27">
        <f>((E76*$E$7)/(1+$E$6))+((E78*(1-$E$7))/(1+$E$6))</f>
        <v>3.3716160786769569</v>
      </c>
      <c r="E77" s="25"/>
      <c r="F77" s="27">
        <f>((G76*$E$7)/(1+$E$6))+((G78*(1-$E$7))/(1+$E$6))</f>
        <v>2.686967450169071</v>
      </c>
      <c r="G77" s="25"/>
      <c r="H77" s="27">
        <f>((I76*$E$7)/(1+$E$6))+((I78*(1-$E$7))/(1+$E$6))</f>
        <v>1.9203121885033436</v>
      </c>
      <c r="I77" s="25"/>
      <c r="J77" s="27">
        <f>((K76*$E$7)/(1+$E$6))+((K78*(1-$E$7))/(1+$E$6))</f>
        <v>1.0413171272957686</v>
      </c>
      <c r="K77" s="25"/>
      <c r="L77" s="27">
        <f>((M76*$E$7)/(1+$E$6))+((M78*(1-$E$7))/(1+$E$6))</f>
        <v>0</v>
      </c>
      <c r="M77" s="25"/>
      <c r="N77" s="5"/>
      <c r="O77" s="5"/>
      <c r="P77" s="5"/>
      <c r="Q77" s="5"/>
      <c r="R77" s="5"/>
      <c r="S77" s="5"/>
      <c r="T77" s="5"/>
      <c r="U77" s="5"/>
      <c r="V77" s="5"/>
      <c r="W77" s="5"/>
      <c r="X77" s="5"/>
      <c r="Y77" s="5"/>
      <c r="Z77" s="5"/>
      <c r="AA77" s="5"/>
      <c r="AB77" s="5"/>
      <c r="AC77" s="5"/>
      <c r="AD77" s="5"/>
      <c r="AE77" s="5"/>
      <c r="AF77" s="5"/>
      <c r="AG77" s="5"/>
      <c r="AH77" s="5"/>
      <c r="AI77" s="5"/>
      <c r="AJ77" s="5"/>
      <c r="AK77" s="5"/>
      <c r="AL77" s="5"/>
      <c r="AM77" s="5"/>
    </row>
    <row r="78" spans="1:39" ht="18.75" customHeight="1" x14ac:dyDescent="0.15">
      <c r="A78" s="25"/>
      <c r="B78" s="25"/>
      <c r="C78" s="27">
        <f>((D77*$E$7)/(1+$E$6))+((D79*(1-$E$7))/(1+$E$6))</f>
        <v>5.7317154757913134</v>
      </c>
      <c r="D78" s="25"/>
      <c r="E78" s="27">
        <f>((F77*$E$7)/(1+$E$6))+((F79*(1-$E$7))/(1+$E$6))</f>
        <v>5.030047381667532</v>
      </c>
      <c r="F78" s="25"/>
      <c r="G78" s="27">
        <f>((H77*$E$7)/(1+$E$6))+((H79*(1-$E$7))/(1+$E$6))</f>
        <v>4.2284381945595948</v>
      </c>
      <c r="H78" s="25"/>
      <c r="I78" s="27">
        <f>((J77*$E$7)/(1+$E$6))+((J79*(1-$E$7))/(1+$E$6))</f>
        <v>3.2764202439950503</v>
      </c>
      <c r="J78" s="25"/>
      <c r="K78" s="27">
        <f>((L77*$E$7)/(1+$E$6))+((L79*(1-$E$7))/(1+$E$6))</f>
        <v>2.0547169491768598</v>
      </c>
      <c r="L78" s="25"/>
      <c r="M78" s="27">
        <f>IF(M23&lt;Exercise,Exercise-M23,0)</f>
        <v>0</v>
      </c>
      <c r="N78" s="5"/>
      <c r="O78" s="5"/>
      <c r="P78" s="5"/>
      <c r="Q78" s="5"/>
      <c r="R78" s="5"/>
      <c r="S78" s="5"/>
      <c r="T78" s="5"/>
      <c r="U78" s="5"/>
      <c r="V78" s="5"/>
      <c r="W78" s="5"/>
      <c r="X78" s="5"/>
      <c r="Y78" s="5"/>
      <c r="Z78" s="5"/>
      <c r="AA78" s="5"/>
      <c r="AB78" s="5"/>
      <c r="AC78" s="5"/>
      <c r="AD78" s="5"/>
      <c r="AE78" s="5"/>
      <c r="AF78" s="5"/>
      <c r="AG78" s="5"/>
      <c r="AH78" s="5"/>
      <c r="AI78" s="5"/>
      <c r="AJ78" s="5"/>
      <c r="AK78" s="5"/>
      <c r="AL78" s="5"/>
      <c r="AM78" s="5"/>
    </row>
    <row r="79" spans="1:39" ht="18.75" customHeight="1" x14ac:dyDescent="0.15">
      <c r="A79" s="25"/>
      <c r="B79" s="27">
        <f>((C78*$E$7)/(1+$E$6))+((C80*(1-$E$7))/(1+$E$6))</f>
        <v>8.6709660021237323</v>
      </c>
      <c r="C79" s="25"/>
      <c r="D79" s="27">
        <f>((E78*$E$7)/(1+$E$6))+((E80*(1-$E$7))/(1+$E$6))</f>
        <v>8.0340557404630335</v>
      </c>
      <c r="E79" s="25"/>
      <c r="F79" s="27">
        <f>((G78*$E$7)/(1+$E$6))+((G80*(1-$E$7))/(1+$E$6))</f>
        <v>7.3147047368483449</v>
      </c>
      <c r="G79" s="25"/>
      <c r="H79" s="27">
        <f>((I78*$E$7)/(1+$E$6))+((I80*(1-$E$7))/(1+$E$6))</f>
        <v>6.4778248760817014</v>
      </c>
      <c r="I79" s="25"/>
      <c r="J79" s="27">
        <f>((K78*$E$7)/(1+$E$6))+((K80*(1-$E$7))/(1+$E$6))</f>
        <v>5.4533041725064795</v>
      </c>
      <c r="K79" s="25"/>
      <c r="L79" s="27">
        <f>((M78*$E$7)/(1+$E$6))+((M80*(1-$E$7))/(1+$E$6))</f>
        <v>4.0543477395772376</v>
      </c>
      <c r="M79" s="25"/>
      <c r="N79" s="5"/>
      <c r="O79" s="5"/>
      <c r="P79" s="5"/>
      <c r="Q79" s="5"/>
      <c r="R79" s="5"/>
      <c r="S79" s="5"/>
      <c r="T79" s="5"/>
      <c r="U79" s="5"/>
      <c r="V79" s="5"/>
      <c r="W79" s="5"/>
      <c r="X79" s="5"/>
      <c r="Y79" s="5"/>
      <c r="Z79" s="5"/>
      <c r="AA79" s="5"/>
      <c r="AB79" s="5"/>
      <c r="AC79" s="5"/>
      <c r="AD79" s="5"/>
      <c r="AE79" s="5"/>
      <c r="AF79" s="5"/>
      <c r="AG79" s="5"/>
      <c r="AH79" s="5"/>
      <c r="AI79" s="5"/>
      <c r="AJ79" s="5"/>
      <c r="AK79" s="5"/>
      <c r="AL79" s="5"/>
      <c r="AM79" s="5"/>
    </row>
    <row r="80" spans="1:39" ht="18.75" customHeight="1" x14ac:dyDescent="0.15">
      <c r="A80" s="31">
        <f>((B79*$E$7)/(1+$E$6))+((B81*(1-$E$7))/(1+$E$6))</f>
        <v>12.064292687372472</v>
      </c>
      <c r="B80" s="25"/>
      <c r="C80" s="27">
        <f>((D79*$E$7)/(1+$E$6))+((D81*(1-$E$7))/(1+$E$6))</f>
        <v>11.540790475699426</v>
      </c>
      <c r="D80" s="25"/>
      <c r="E80" s="27">
        <f>((F79*$E$7)/(1+$E$6))+((F81*(1-$E$7))/(1+$E$6))</f>
        <v>10.965754350215189</v>
      </c>
      <c r="F80" s="25"/>
      <c r="G80" s="27">
        <f>((H79*$E$7)/(1+$E$6))+((H81*(1-$E$7))/(1+$E$6))</f>
        <v>10.325145204579092</v>
      </c>
      <c r="H80" s="25"/>
      <c r="I80" s="27">
        <f>((J79*$E$7)/(1+$E$6))+((J81*(1-$E$7))/(1+$E$6))</f>
        <v>9.5987596201356187</v>
      </c>
      <c r="J80" s="25"/>
      <c r="K80" s="27">
        <f>((L79*$E$7)/(1+$E$6))+((L81*(1-$E$7))/(1+$E$6))</f>
        <v>8.7641370483223753</v>
      </c>
      <c r="L80" s="25"/>
      <c r="M80" s="27">
        <f>IF(M25&lt;Exercise,Exercise-M25,0)</f>
        <v>8.0000000000000853</v>
      </c>
      <c r="N80" s="5"/>
      <c r="O80" s="5"/>
      <c r="P80" s="5"/>
      <c r="Q80" s="5"/>
      <c r="R80" s="5"/>
      <c r="S80" s="5"/>
      <c r="T80" s="5"/>
      <c r="U80" s="5"/>
      <c r="V80" s="5"/>
      <c r="W80" s="5"/>
      <c r="X80" s="5"/>
      <c r="Y80" s="5"/>
      <c r="Z80" s="5"/>
      <c r="AA80" s="5"/>
      <c r="AB80" s="5"/>
      <c r="AC80" s="5"/>
      <c r="AD80" s="5"/>
      <c r="AE80" s="5"/>
      <c r="AF80" s="5"/>
      <c r="AG80" s="5"/>
      <c r="AH80" s="5"/>
      <c r="AI80" s="5"/>
      <c r="AJ80" s="5"/>
      <c r="AK80" s="5"/>
      <c r="AL80" s="5"/>
      <c r="AM80" s="5"/>
    </row>
    <row r="81" spans="1:39" ht="18.75" customHeight="1" x14ac:dyDescent="0.15">
      <c r="A81" s="25"/>
      <c r="B81" s="27">
        <f>((C80*$E$7)/(1+$E$6))+((C82*(1-$E$7))/(1+$E$6))</f>
        <v>15.380826800702112</v>
      </c>
      <c r="C81" s="25"/>
      <c r="D81" s="27">
        <f>((E80*$E$7)/(1+$E$6))+((E82*(1-$E$7))/(1+$E$6))</f>
        <v>14.966650559538561</v>
      </c>
      <c r="E81" s="25"/>
      <c r="F81" s="27">
        <f>((G80*$E$7)/(1+$E$6))+((G82*(1-$E$7))/(1+$E$6))</f>
        <v>14.530883802537257</v>
      </c>
      <c r="G81" s="25"/>
      <c r="H81" s="27">
        <f>((I80*$E$7)/(1+$E$6))+((I82*(1-$E$7))/(1+$E$6))</f>
        <v>14.079914730601052</v>
      </c>
      <c r="I81" s="25"/>
      <c r="J81" s="27">
        <f>((K80*$E$7)/(1+$E$6))+((K82*(1-$E$7))/(1+$E$6))</f>
        <v>13.641995796143647</v>
      </c>
      <c r="K81" s="25"/>
      <c r="L81" s="27">
        <f>((M80*$E$7)/(1+$E$6))+((M82*(1-$E$7))/(1+$E$6))</f>
        <v>13.354289549887655</v>
      </c>
      <c r="M81" s="25"/>
      <c r="N81" s="5"/>
      <c r="O81" s="5"/>
      <c r="P81" s="5"/>
      <c r="Q81" s="5"/>
      <c r="R81" s="5"/>
      <c r="S81" s="5"/>
      <c r="T81" s="5"/>
      <c r="U81" s="5"/>
      <c r="V81" s="5"/>
      <c r="W81" s="5"/>
      <c r="X81" s="5"/>
      <c r="Y81" s="5"/>
      <c r="Z81" s="5"/>
      <c r="AA81" s="5"/>
      <c r="AB81" s="5"/>
      <c r="AC81" s="5"/>
      <c r="AD81" s="5"/>
      <c r="AE81" s="5"/>
      <c r="AF81" s="5"/>
      <c r="AG81" s="5"/>
      <c r="AH81" s="5"/>
      <c r="AI81" s="5"/>
      <c r="AJ81" s="5"/>
      <c r="AK81" s="5"/>
      <c r="AL81" s="5"/>
      <c r="AM81" s="5"/>
    </row>
    <row r="82" spans="1:39" ht="18.75" customHeight="1" x14ac:dyDescent="0.15">
      <c r="A82" s="25"/>
      <c r="B82" s="25"/>
      <c r="C82" s="27">
        <f>((D81*$E$7)/(1+$E$6))+((D83*(1-$E$7))/(1+$E$6))</f>
        <v>19.136787983207689</v>
      </c>
      <c r="D82" s="25"/>
      <c r="E82" s="27">
        <f>((F81*$E$7)/(1+$E$6))+((F83*(1-$E$7))/(1+$E$6))</f>
        <v>18.878218575652944</v>
      </c>
      <c r="F82" s="25"/>
      <c r="G82" s="27">
        <f>((H81*$E$7)/(1+$E$6))+((H83*(1-$E$7))/(1+$E$6))</f>
        <v>18.640754759455451</v>
      </c>
      <c r="H82" s="25"/>
      <c r="I82" s="27">
        <f>((J81*$E$7)/(1+$E$6))+((J83*(1-$E$7))/(1+$E$6))</f>
        <v>18.456630401857531</v>
      </c>
      <c r="J82" s="25"/>
      <c r="K82" s="27">
        <f>((L81*$E$7)/(1+$E$6))+((L83*(1-$E$7))/(1+$E$6))</f>
        <v>18.403414626726065</v>
      </c>
      <c r="L82" s="25"/>
      <c r="M82" s="27">
        <f>IF(M27&lt;Exercise,Exercise-M27,0)</f>
        <v>18.578116528024225</v>
      </c>
      <c r="N82" s="5"/>
      <c r="O82" s="5"/>
      <c r="P82" s="5"/>
      <c r="Q82" s="5"/>
      <c r="R82" s="5"/>
      <c r="S82" s="5"/>
      <c r="T82" s="5"/>
      <c r="U82" s="5"/>
      <c r="V82" s="5"/>
      <c r="W82" s="5"/>
      <c r="X82" s="5"/>
      <c r="Y82" s="5"/>
      <c r="Z82" s="5"/>
      <c r="AA82" s="5"/>
      <c r="AB82" s="5"/>
      <c r="AC82" s="5"/>
      <c r="AD82" s="5"/>
      <c r="AE82" s="5"/>
      <c r="AF82" s="5"/>
      <c r="AG82" s="5"/>
      <c r="AH82" s="5"/>
      <c r="AI82" s="5"/>
      <c r="AJ82" s="5"/>
      <c r="AK82" s="5"/>
      <c r="AL82" s="5"/>
      <c r="AM82" s="5"/>
    </row>
    <row r="83" spans="1:39" ht="18.75" customHeight="1" x14ac:dyDescent="0.15">
      <c r="A83" s="25"/>
      <c r="B83" s="25"/>
      <c r="C83" s="25"/>
      <c r="D83" s="27">
        <f>((E82*$E$7)/(1+$E$6))+((E84*(1-$E$7))/(1+$E$6))</f>
        <v>23.219603308325787</v>
      </c>
      <c r="E83" s="25"/>
      <c r="F83" s="27">
        <f>((G82*$E$7)/(1+$E$6))+((G84*(1-$E$7))/(1+$E$6))</f>
        <v>23.132767970706396</v>
      </c>
      <c r="G83" s="25"/>
      <c r="H83" s="27">
        <f>((I82*$E$7)/(1+$E$6))+((I84*(1-$E$7))/(1+$E$6))</f>
        <v>23.102347866870453</v>
      </c>
      <c r="I83" s="25"/>
      <c r="J83" s="27">
        <f>((K82*$E$7)/(1+$E$6))+((K84*(1-$E$7))/(1+$E$6))</f>
        <v>23.164497745031866</v>
      </c>
      <c r="K83" s="25"/>
      <c r="L83" s="27">
        <f>((M82*$E$7)/(1+$E$6))+((M84*(1-$E$7))/(1+$E$6))</f>
        <v>23.339015305297522</v>
      </c>
      <c r="M83" s="25"/>
      <c r="N83" s="5"/>
      <c r="O83" s="5"/>
      <c r="P83" s="5"/>
      <c r="Q83" s="5"/>
      <c r="R83" s="5"/>
      <c r="S83" s="5"/>
      <c r="T83" s="5"/>
      <c r="U83" s="5"/>
      <c r="V83" s="5"/>
      <c r="W83" s="5"/>
      <c r="X83" s="5"/>
      <c r="Y83" s="5"/>
      <c r="Z83" s="5"/>
      <c r="AA83" s="5"/>
      <c r="AB83" s="5"/>
      <c r="AC83" s="5"/>
      <c r="AD83" s="5"/>
      <c r="AE83" s="5"/>
      <c r="AF83" s="5"/>
      <c r="AG83" s="5"/>
      <c r="AH83" s="5"/>
      <c r="AI83" s="5"/>
      <c r="AJ83" s="5"/>
      <c r="AK83" s="5"/>
      <c r="AL83" s="5"/>
      <c r="AM83" s="5"/>
    </row>
    <row r="84" spans="1:39" ht="18.75" customHeight="1" x14ac:dyDescent="0.15">
      <c r="A84" s="25"/>
      <c r="B84" s="25"/>
      <c r="C84" s="25"/>
      <c r="D84" s="25"/>
      <c r="E84" s="27">
        <f>((F83*$E$7)/(1+$E$6))+((F85*(1-$E$7))/(1+$E$6))</f>
        <v>27.475472160023084</v>
      </c>
      <c r="F84" s="25"/>
      <c r="G84" s="27">
        <f>((H83*$E$7)/(1+$E$6))+((H85*(1-$E$7))/(1+$E$6))</f>
        <v>27.534838643002335</v>
      </c>
      <c r="H84" s="25"/>
      <c r="I84" s="27">
        <f>((J83*$E$7)/(1+$E$6))+((J85*(1-$E$7))/(1+$E$6))</f>
        <v>27.653700910232402</v>
      </c>
      <c r="J84" s="25"/>
      <c r="K84" s="27">
        <f>((L83*$E$7)/(1+$E$6))+((L85*(1-$E$7))/(1+$E$6))</f>
        <v>27.828036500254147</v>
      </c>
      <c r="L84" s="25"/>
      <c r="M84" s="27">
        <f>IF(M29&lt;Exercise,Exercise-M29,0)</f>
        <v>28.002660383053936</v>
      </c>
      <c r="N84" s="5"/>
      <c r="O84" s="5"/>
      <c r="P84" s="5"/>
      <c r="Q84" s="5"/>
      <c r="R84" s="5"/>
      <c r="S84" s="5"/>
      <c r="T84" s="5"/>
      <c r="U84" s="5"/>
      <c r="V84" s="5"/>
      <c r="W84" s="5"/>
      <c r="X84" s="5"/>
      <c r="Y84" s="5"/>
      <c r="Z84" s="5"/>
      <c r="AA84" s="5"/>
      <c r="AB84" s="5"/>
      <c r="AC84" s="5"/>
      <c r="AD84" s="5"/>
      <c r="AE84" s="5"/>
      <c r="AF84" s="5"/>
      <c r="AG84" s="5"/>
      <c r="AH84" s="5"/>
      <c r="AI84" s="5"/>
      <c r="AJ84" s="5"/>
      <c r="AK84" s="5"/>
      <c r="AL84" s="5"/>
      <c r="AM84" s="5"/>
    </row>
    <row r="85" spans="1:39" ht="18.75" customHeight="1" x14ac:dyDescent="0.15">
      <c r="A85" s="25"/>
      <c r="B85" s="25"/>
      <c r="C85" s="25"/>
      <c r="D85" s="25"/>
      <c r="E85" s="25"/>
      <c r="F85" s="27">
        <f>((G84*$E$7)/(1+$E$6))+((G86*(1-$E$7))/(1+$E$6))</f>
        <v>31.739583324448887</v>
      </c>
      <c r="G85" s="25"/>
      <c r="H85" s="27">
        <f>((I84*$E$7)/(1+$E$6))+((I86*(1-$E$7))/(1+$E$6))</f>
        <v>31.886279499454318</v>
      </c>
      <c r="I85" s="25"/>
      <c r="J85" s="27">
        <f>((K84*$E$7)/(1+$E$6))+((K86*(1-$E$7))/(1+$E$6))</f>
        <v>32.060435363634774</v>
      </c>
      <c r="K85" s="25"/>
      <c r="L85" s="27">
        <f>((M84*$E$7)/(1+$E$6))+((M86*(1-$E$7))/(1+$E$6))</f>
        <v>32.234879281933267</v>
      </c>
      <c r="M85" s="25"/>
      <c r="N85" s="5"/>
      <c r="O85" s="5"/>
      <c r="P85" s="5"/>
      <c r="Q85" s="5"/>
      <c r="R85" s="5"/>
      <c r="S85" s="5"/>
      <c r="T85" s="5"/>
      <c r="U85" s="5"/>
      <c r="V85" s="5"/>
      <c r="W85" s="5"/>
      <c r="X85" s="5"/>
      <c r="Y85" s="5"/>
      <c r="Z85" s="5"/>
      <c r="AA85" s="5"/>
      <c r="AB85" s="5"/>
      <c r="AC85" s="5"/>
      <c r="AD85" s="5"/>
      <c r="AE85" s="5"/>
      <c r="AF85" s="5"/>
      <c r="AG85" s="5"/>
      <c r="AH85" s="5"/>
      <c r="AI85" s="5"/>
      <c r="AJ85" s="5"/>
      <c r="AK85" s="5"/>
      <c r="AL85" s="5"/>
      <c r="AM85" s="5"/>
    </row>
    <row r="86" spans="1:39" ht="18.75" customHeight="1" x14ac:dyDescent="0.15">
      <c r="A86" s="25"/>
      <c r="B86" s="25"/>
      <c r="C86" s="25"/>
      <c r="D86" s="25"/>
      <c r="E86" s="25"/>
      <c r="F86" s="25"/>
      <c r="G86" s="27">
        <f>((H85*$E$7)/(1+$E$6))+((H87*(1-$E$7))/(1+$E$6))</f>
        <v>35.876633119811572</v>
      </c>
      <c r="H86" s="25"/>
      <c r="I86" s="27">
        <f>((J85*$E$7)/(1+$E$6))+((J87*(1-$E$7))/(1+$E$6))</f>
        <v>36.050611383251663</v>
      </c>
      <c r="J86" s="25"/>
      <c r="K86" s="27">
        <f>((L85*$E$7)/(1+$E$6))+((L87*(1-$E$7))/(1+$E$6))</f>
        <v>36.22487746233125</v>
      </c>
      <c r="L86" s="25"/>
      <c r="M86" s="27">
        <f>IF(M31&lt;Exercise,Exercise-M31,0)</f>
        <v>36.3994318347643</v>
      </c>
      <c r="N86" s="5"/>
      <c r="O86" s="5"/>
      <c r="P86" s="5"/>
      <c r="Q86" s="5"/>
      <c r="R86" s="5"/>
      <c r="S86" s="5"/>
      <c r="T86" s="5"/>
      <c r="U86" s="5"/>
      <c r="V86" s="5"/>
      <c r="W86" s="5"/>
      <c r="X86" s="5"/>
      <c r="Y86" s="5"/>
      <c r="Z86" s="5"/>
      <c r="AA86" s="5"/>
      <c r="AB86" s="5"/>
      <c r="AC86" s="5"/>
      <c r="AD86" s="5"/>
      <c r="AE86" s="5"/>
      <c r="AF86" s="5"/>
      <c r="AG86" s="5"/>
      <c r="AH86" s="5"/>
      <c r="AI86" s="5"/>
      <c r="AJ86" s="5"/>
      <c r="AK86" s="5"/>
      <c r="AL86" s="5"/>
      <c r="AM86" s="5"/>
    </row>
    <row r="87" spans="1:39" ht="18.75" customHeight="1" x14ac:dyDescent="0.15">
      <c r="A87" s="25"/>
      <c r="B87" s="25"/>
      <c r="C87" s="25"/>
      <c r="D87" s="25"/>
      <c r="E87" s="25"/>
      <c r="F87" s="25"/>
      <c r="G87" s="25"/>
      <c r="H87" s="27">
        <f>((I86*$E$7)/(1+$E$6))+((I88*(1-$E$7))/(1+$E$6))</f>
        <v>39.812156288929131</v>
      </c>
      <c r="I87" s="25"/>
      <c r="J87" s="27">
        <f>((K86*$E$7)/(1+$E$6))+((K88*(1-$E$7))/(1+$E$6))</f>
        <v>39.986246541458158</v>
      </c>
      <c r="K87" s="25"/>
      <c r="L87" s="27">
        <f>((M86*$E$7)/(1+$E$6))+((M88*(1-$E$7))/(1+$E$6))</f>
        <v>40.160624848648354</v>
      </c>
      <c r="M87" s="25"/>
      <c r="N87" s="5"/>
      <c r="O87" s="5"/>
      <c r="P87" s="5"/>
      <c r="Q87" s="5"/>
      <c r="R87" s="5"/>
      <c r="S87" s="5"/>
      <c r="T87" s="5"/>
      <c r="U87" s="5"/>
      <c r="V87" s="5"/>
      <c r="W87" s="5"/>
      <c r="X87" s="5"/>
      <c r="Y87" s="5"/>
      <c r="Z87" s="5"/>
      <c r="AA87" s="5"/>
      <c r="AB87" s="5"/>
      <c r="AC87" s="5"/>
      <c r="AD87" s="5"/>
      <c r="AE87" s="5"/>
      <c r="AF87" s="5"/>
      <c r="AG87" s="5"/>
      <c r="AH87" s="5"/>
      <c r="AI87" s="5"/>
      <c r="AJ87" s="5"/>
      <c r="AK87" s="5"/>
      <c r="AL87" s="5"/>
      <c r="AM87" s="5"/>
    </row>
    <row r="88" spans="1:39" ht="18.75" customHeight="1" x14ac:dyDescent="0.15">
      <c r="A88" s="25"/>
      <c r="B88" s="25"/>
      <c r="C88" s="25"/>
      <c r="D88" s="25"/>
      <c r="E88" s="25"/>
      <c r="F88" s="25"/>
      <c r="G88" s="25"/>
      <c r="H88" s="25"/>
      <c r="I88" s="27">
        <f>((J87*$E$7)/(1+$E$6))+((J89*(1-$E$7))/(1+$E$6))</f>
        <v>43.531815696899969</v>
      </c>
      <c r="J88" s="25"/>
      <c r="K88" s="27">
        <f>((L87*$E$7)/(1+$E$6))+((L89*(1-$E$7))/(1+$E$6))</f>
        <v>43.706019845396625</v>
      </c>
      <c r="L88" s="25"/>
      <c r="M88" s="27">
        <f>IF(M33&lt;Exercise,Exercise-M33,0)</f>
        <v>43.88051228775943</v>
      </c>
      <c r="N88" s="5"/>
      <c r="O88" s="5"/>
      <c r="P88" s="5"/>
      <c r="Q88" s="5"/>
      <c r="R88" s="5"/>
      <c r="S88" s="5"/>
      <c r="T88" s="5"/>
      <c r="U88" s="5"/>
      <c r="V88" s="5"/>
      <c r="W88" s="5"/>
      <c r="X88" s="5"/>
      <c r="Y88" s="5"/>
      <c r="Z88" s="5"/>
      <c r="AA88" s="5"/>
      <c r="AB88" s="5"/>
      <c r="AC88" s="5"/>
      <c r="AD88" s="5"/>
      <c r="AE88" s="5"/>
      <c r="AF88" s="5"/>
      <c r="AG88" s="5"/>
      <c r="AH88" s="5"/>
      <c r="AI88" s="5"/>
      <c r="AJ88" s="5"/>
      <c r="AK88" s="5"/>
      <c r="AL88" s="5"/>
      <c r="AM88" s="5"/>
    </row>
    <row r="89" spans="1:39" ht="18.75" customHeight="1" x14ac:dyDescent="0.15">
      <c r="A89" s="25"/>
      <c r="B89" s="25"/>
      <c r="C89" s="25"/>
      <c r="D89" s="25"/>
      <c r="E89" s="25"/>
      <c r="F89" s="25"/>
      <c r="G89" s="25"/>
      <c r="H89" s="25"/>
      <c r="I89" s="25"/>
      <c r="J89" s="27">
        <f>((K88*$E$7)/(1+$E$6))+((K90*(1-$E$7))/(1+$E$6))</f>
        <v>47.047726232496665</v>
      </c>
      <c r="K89" s="25"/>
      <c r="L89" s="27">
        <f>((M88*$E$7)/(1+$E$6))+((M90*(1-$E$7))/(1+$E$6))</f>
        <v>47.22204608365022</v>
      </c>
      <c r="M89" s="25"/>
      <c r="N89" s="5"/>
      <c r="O89" s="5"/>
      <c r="P89" s="5"/>
      <c r="Q89" s="5"/>
      <c r="R89" s="5"/>
      <c r="S89" s="5"/>
      <c r="T89" s="5"/>
      <c r="U89" s="5"/>
      <c r="V89" s="5"/>
      <c r="W89" s="5"/>
      <c r="X89" s="5"/>
      <c r="Y89" s="5"/>
      <c r="Z89" s="5"/>
      <c r="AA89" s="5"/>
      <c r="AB89" s="5"/>
      <c r="AC89" s="5"/>
      <c r="AD89" s="5"/>
      <c r="AE89" s="5"/>
      <c r="AF89" s="5"/>
      <c r="AG89" s="5"/>
      <c r="AH89" s="5"/>
      <c r="AI89" s="5"/>
      <c r="AJ89" s="5"/>
      <c r="AK89" s="5"/>
      <c r="AL89" s="5"/>
      <c r="AM89" s="5"/>
    </row>
    <row r="90" spans="1:39" ht="18.75" customHeight="1" x14ac:dyDescent="0.15">
      <c r="A90" s="25"/>
      <c r="B90" s="25"/>
      <c r="C90" s="25"/>
      <c r="D90" s="25"/>
      <c r="E90" s="25"/>
      <c r="F90" s="25"/>
      <c r="G90" s="25"/>
      <c r="H90" s="25"/>
      <c r="I90" s="25"/>
      <c r="J90" s="25"/>
      <c r="K90" s="27">
        <f>((L89*$E$7)/(1+$E$6))+((L91*(1-$E$7))/(1+$E$6))</f>
        <v>50.371323095567107</v>
      </c>
      <c r="L90" s="25"/>
      <c r="M90" s="27">
        <f>IF(M35&lt;Exercise,Exercise-M35,0)</f>
        <v>50.545760361503987</v>
      </c>
      <c r="N90" s="5"/>
      <c r="O90" s="5"/>
      <c r="P90" s="5"/>
      <c r="Q90" s="5"/>
      <c r="R90" s="5"/>
      <c r="S90" s="5"/>
      <c r="T90" s="5"/>
      <c r="U90" s="5"/>
      <c r="V90" s="5"/>
      <c r="W90" s="5"/>
      <c r="X90" s="5"/>
      <c r="Y90" s="5"/>
      <c r="Z90" s="5"/>
      <c r="AA90" s="5"/>
      <c r="AB90" s="5"/>
      <c r="AC90" s="5"/>
      <c r="AD90" s="5"/>
      <c r="AE90" s="5"/>
      <c r="AF90" s="5"/>
      <c r="AG90" s="5"/>
      <c r="AH90" s="5"/>
      <c r="AI90" s="5"/>
      <c r="AJ90" s="5"/>
      <c r="AK90" s="5"/>
      <c r="AL90" s="5"/>
      <c r="AM90" s="5"/>
    </row>
    <row r="91" spans="1:39" ht="18.75" customHeight="1" x14ac:dyDescent="0.15">
      <c r="A91" s="25"/>
      <c r="B91" s="25"/>
      <c r="C91" s="25"/>
      <c r="D91" s="25"/>
      <c r="E91" s="25"/>
      <c r="F91" s="25"/>
      <c r="G91" s="25"/>
      <c r="H91" s="25"/>
      <c r="I91" s="25"/>
      <c r="J91" s="25"/>
      <c r="K91" s="25"/>
      <c r="L91" s="27">
        <f>((M90*$E$7)/(1+$E$6))+((M92*(1-$E$7))/(1+$E$6))</f>
        <v>53.513399930226171</v>
      </c>
      <c r="M91" s="25"/>
      <c r="N91" s="5"/>
      <c r="O91" s="5"/>
      <c r="P91" s="5"/>
      <c r="Q91" s="5"/>
      <c r="R91" s="5"/>
      <c r="S91" s="5"/>
      <c r="T91" s="5"/>
      <c r="U91" s="5"/>
      <c r="V91" s="5"/>
      <c r="W91" s="5"/>
      <c r="X91" s="5"/>
      <c r="Y91" s="5"/>
      <c r="Z91" s="5"/>
      <c r="AA91" s="5"/>
      <c r="AB91" s="5"/>
      <c r="AC91" s="5"/>
      <c r="AD91" s="5"/>
      <c r="AE91" s="5"/>
      <c r="AF91" s="5"/>
      <c r="AG91" s="5"/>
      <c r="AH91" s="5"/>
      <c r="AI91" s="5"/>
      <c r="AJ91" s="5"/>
      <c r="AK91" s="5"/>
      <c r="AL91" s="5"/>
      <c r="AM91" s="5"/>
    </row>
    <row r="92" spans="1:39" ht="18.75" customHeight="1" x14ac:dyDescent="0.15">
      <c r="A92" s="25"/>
      <c r="B92" s="25"/>
      <c r="C92" s="25"/>
      <c r="D92" s="25"/>
      <c r="E92" s="25"/>
      <c r="F92" s="25"/>
      <c r="G92" s="25"/>
      <c r="H92" s="25"/>
      <c r="I92" s="25"/>
      <c r="J92" s="25"/>
      <c r="K92" s="25"/>
      <c r="L92" s="25"/>
      <c r="M92" s="27">
        <f>IF(M37&lt;Exercise,Exercise-M37,0)</f>
        <v>56.484144818627314</v>
      </c>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1:39" ht="18.75" customHeight="1" x14ac:dyDescent="0.1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1:39" ht="18.75" customHeight="1" x14ac:dyDescent="0.1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1:39" ht="18.75" customHeight="1" x14ac:dyDescent="0.1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row>
    <row r="96" spans="1:39" ht="18.75" customHeight="1" x14ac:dyDescent="0.1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row>
    <row r="97" spans="1:40" ht="18.75" customHeight="1" x14ac:dyDescent="0.1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row>
    <row r="98" spans="1:40" ht="18.75" customHeight="1" x14ac:dyDescent="0.1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row>
    <row r="99" spans="1:40" ht="18.75" customHeight="1" x14ac:dyDescent="0.1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row>
    <row r="100" spans="1:40" ht="18.75" customHeight="1" x14ac:dyDescent="0.1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row>
    <row r="101" spans="1:40" ht="18.75" customHeight="1" x14ac:dyDescent="0.1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row>
    <row r="102" spans="1:40" ht="18.75" customHeight="1" x14ac:dyDescent="0.1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row>
    <row r="103" spans="1:40" ht="18.75" customHeight="1" x14ac:dyDescent="0.1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row>
    <row r="104" spans="1:40" ht="18.75" customHeight="1" x14ac:dyDescent="0.1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row>
    <row r="105" spans="1:40" ht="18.75" customHeight="1" x14ac:dyDescent="0.1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row>
    <row r="106" spans="1:40" ht="18.75" customHeight="1" x14ac:dyDescent="0.1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row>
    <row r="107" spans="1:40" ht="18.75" customHeight="1" x14ac:dyDescent="0.1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row>
    <row r="108" spans="1:40" ht="18.75" customHeight="1" x14ac:dyDescent="0.1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row>
    <row r="109" spans="1:40" ht="18.75" customHeight="1" x14ac:dyDescent="0.1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row>
    <row r="110" spans="1:40" ht="18.75" customHeight="1" x14ac:dyDescent="0.1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row>
    <row r="111" spans="1:40" ht="18.75" customHeight="1" x14ac:dyDescent="0.1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row>
    <row r="112" spans="1:40" ht="18.75" customHeight="1" x14ac:dyDescent="0.1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row>
    <row r="113" spans="1:40" ht="18.75" customHeight="1" x14ac:dyDescent="0.1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row>
    <row r="114" spans="1:40" ht="18.75" customHeight="1" x14ac:dyDescent="0.1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row>
    <row r="115" spans="1:40" ht="18.75" customHeight="1" x14ac:dyDescent="0.1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row>
    <row r="116" spans="1:40" ht="18.75" customHeight="1" x14ac:dyDescent="0.1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row>
    <row r="117" spans="1:40" ht="18.75" customHeight="1" x14ac:dyDescent="0.1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row>
    <row r="118" spans="1:40" ht="18.75" customHeight="1" x14ac:dyDescent="0.1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row>
    <row r="119" spans="1:40" ht="18.75" customHeight="1" x14ac:dyDescent="0.1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row>
    <row r="120" spans="1:40" ht="18.75" customHeight="1" x14ac:dyDescent="0.1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row>
    <row r="121" spans="1:40" ht="18.75" customHeight="1" x14ac:dyDescent="0.1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row>
    <row r="122" spans="1:40" ht="18.75" customHeight="1" x14ac:dyDescent="0.1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row>
    <row r="123" spans="1:40" ht="18.75" customHeight="1" x14ac:dyDescent="0.1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row>
    <row r="124" spans="1:40" ht="18.75" customHeight="1" x14ac:dyDescent="0.1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row>
    <row r="125" spans="1:40" ht="18.75" customHeight="1" x14ac:dyDescent="0.1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row>
    <row r="126" spans="1:40" ht="18.75" customHeight="1" x14ac:dyDescent="0.1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row>
    <row r="127" spans="1:40" ht="18.75" customHeight="1" x14ac:dyDescent="0.1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row>
    <row r="128" spans="1:40" ht="18.75" customHeight="1" x14ac:dyDescent="0.1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row>
    <row r="129" spans="1:40" ht="18.75" customHeight="1" x14ac:dyDescent="0.1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row>
    <row r="130" spans="1:40" ht="18.75" customHeight="1" x14ac:dyDescent="0.1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row>
    <row r="131" spans="1:40" ht="18.75" customHeight="1" x14ac:dyDescent="0.1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row>
    <row r="132" spans="1:40" ht="18.75" customHeight="1" x14ac:dyDescent="0.1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row>
    <row r="133" spans="1:40" ht="18.75" customHeight="1" x14ac:dyDescent="0.1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row>
    <row r="134" spans="1:40" ht="18.75" customHeight="1" x14ac:dyDescent="0.1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row>
    <row r="135" spans="1:40" ht="18.75" customHeight="1" x14ac:dyDescent="0.1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row>
    <row r="136" spans="1:40" ht="18.75" customHeight="1" x14ac:dyDescent="0.1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row>
    <row r="137" spans="1:40" ht="18.75" customHeight="1" x14ac:dyDescent="0.1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row>
    <row r="138" spans="1:40" ht="18.75" customHeight="1" x14ac:dyDescent="0.1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row>
    <row r="139" spans="1:40" ht="18.75" customHeight="1" x14ac:dyDescent="0.1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row>
    <row r="140" spans="1:40" ht="18.75" customHeight="1" x14ac:dyDescent="0.1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row>
    <row r="141" spans="1:40" ht="18.75" customHeight="1" x14ac:dyDescent="0.1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row>
    <row r="142" spans="1:40" ht="18.75" customHeight="1" x14ac:dyDescent="0.1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row>
    <row r="143" spans="1:40" ht="18.75" customHeight="1" x14ac:dyDescent="0.1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row>
    <row r="144" spans="1:40" ht="18.75" customHeight="1" x14ac:dyDescent="0.1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row>
    <row r="145" spans="1:40" ht="18.75" customHeight="1" x14ac:dyDescent="0.1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row>
    <row r="146" spans="1:40" ht="18.75" customHeight="1" x14ac:dyDescent="0.1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row>
    <row r="147" spans="1:40" ht="18.75" customHeight="1" x14ac:dyDescent="0.1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row>
    <row r="148" spans="1:40" ht="18.75" customHeight="1" x14ac:dyDescent="0.1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row>
    <row r="149" spans="1:40" ht="18.75" customHeight="1" x14ac:dyDescent="0.1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row>
    <row r="150" spans="1:40" ht="18.75" customHeight="1" x14ac:dyDescent="0.1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row>
    <row r="151" spans="1:40" ht="18.75" customHeight="1" x14ac:dyDescent="0.1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row>
    <row r="152" spans="1:40" ht="18.75" customHeight="1" x14ac:dyDescent="0.1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row>
    <row r="153" spans="1:40" ht="18.75" customHeight="1" x14ac:dyDescent="0.1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row>
    <row r="154" spans="1:40" ht="18.75" customHeight="1" x14ac:dyDescent="0.1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row>
    <row r="155" spans="1:40" ht="18.75" customHeight="1" x14ac:dyDescent="0.1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row>
    <row r="156" spans="1:40" ht="18.75" customHeight="1" x14ac:dyDescent="0.1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row>
    <row r="157" spans="1:40" ht="18.75" customHeight="1" x14ac:dyDescent="0.1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row>
    <row r="158" spans="1:40" ht="18.75" customHeight="1" x14ac:dyDescent="0.1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row>
    <row r="159" spans="1:40" ht="18.75" customHeight="1" x14ac:dyDescent="0.1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row>
    <row r="160" spans="1:40" ht="18.75" customHeight="1" x14ac:dyDescent="0.1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row>
    <row r="161" spans="1:40" ht="18.75" customHeight="1" x14ac:dyDescent="0.1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row>
    <row r="162" spans="1:40" ht="18.75" customHeight="1" x14ac:dyDescent="0.1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row>
    <row r="163" spans="1:40" ht="18.75" customHeight="1" x14ac:dyDescent="0.1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row>
    <row r="164" spans="1:40" ht="18.75" customHeight="1" x14ac:dyDescent="0.1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row>
    <row r="165" spans="1:40" ht="18.75" customHeight="1" x14ac:dyDescent="0.1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row>
    <row r="166" spans="1:40" ht="18.75" customHeight="1" x14ac:dyDescent="0.1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row>
    <row r="167" spans="1:40" ht="18.75" customHeight="1" x14ac:dyDescent="0.1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row>
    <row r="168" spans="1:40" ht="18.75" customHeight="1" x14ac:dyDescent="0.1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row>
    <row r="169" spans="1:40" ht="18.75" customHeight="1" x14ac:dyDescent="0.1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row>
    <row r="170" spans="1:40" ht="18.75" customHeight="1" x14ac:dyDescent="0.1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row>
    <row r="171" spans="1:40" ht="18.75" customHeight="1" x14ac:dyDescent="0.1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row>
    <row r="172" spans="1:40" ht="18.75" customHeight="1" x14ac:dyDescent="0.1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row>
    <row r="173" spans="1:40" ht="18.75" customHeight="1" x14ac:dyDescent="0.1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row>
    <row r="174" spans="1:40" ht="18.75" customHeight="1" x14ac:dyDescent="0.1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row>
    <row r="175" spans="1:40" ht="18.75" customHeight="1" x14ac:dyDescent="0.1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row>
    <row r="176" spans="1:40" ht="18.75" customHeight="1" x14ac:dyDescent="0.1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row>
    <row r="177" spans="1:40" ht="18.75" customHeight="1" x14ac:dyDescent="0.1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row>
    <row r="178" spans="1:40" ht="18.75" customHeight="1" x14ac:dyDescent="0.1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row>
    <row r="179" spans="1:40" ht="18.75" customHeight="1" x14ac:dyDescent="0.1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row>
    <row r="180" spans="1:40" ht="18.75" customHeight="1" x14ac:dyDescent="0.1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row>
    <row r="181" spans="1:40" ht="18.75" customHeight="1" x14ac:dyDescent="0.1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row>
    <row r="182" spans="1:40" ht="18.75" customHeight="1" x14ac:dyDescent="0.1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row>
    <row r="183" spans="1:40" ht="18.75" customHeight="1" x14ac:dyDescent="0.1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row>
    <row r="184" spans="1:40" ht="18.75" customHeight="1" x14ac:dyDescent="0.1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row>
    <row r="185" spans="1:40" ht="18.75" customHeight="1" x14ac:dyDescent="0.1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row>
    <row r="186" spans="1:40" ht="18.75" customHeight="1" x14ac:dyDescent="0.1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row>
    <row r="187" spans="1:40" ht="18.75" customHeight="1" x14ac:dyDescent="0.1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row>
    <row r="188" spans="1:40" ht="18.75" customHeight="1" x14ac:dyDescent="0.1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row>
    <row r="189" spans="1:40" ht="18.75" customHeight="1" x14ac:dyDescent="0.1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row>
    <row r="190" spans="1:40" ht="18.75" customHeight="1" x14ac:dyDescent="0.1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row>
    <row r="191" spans="1:40" ht="18.75" customHeight="1" x14ac:dyDescent="0.1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row>
    <row r="192" spans="1:40" ht="18.75" customHeight="1" x14ac:dyDescent="0.1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row>
    <row r="193" spans="1:40" ht="18.75" customHeight="1" x14ac:dyDescent="0.1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row>
    <row r="194" spans="1:40" ht="18.75" customHeight="1" x14ac:dyDescent="0.1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row>
    <row r="195" spans="1:40" ht="18.75" customHeight="1" x14ac:dyDescent="0.1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row>
    <row r="196" spans="1:40" ht="18.75" customHeight="1" x14ac:dyDescent="0.1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row>
    <row r="197" spans="1:40" ht="18.75" customHeight="1" x14ac:dyDescent="0.1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row>
    <row r="198" spans="1:40" ht="18.75" customHeight="1" x14ac:dyDescent="0.1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row>
    <row r="199" spans="1:40" ht="18.75" customHeight="1" x14ac:dyDescent="0.1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row>
    <row r="200" spans="1:40" ht="18.75" customHeight="1" x14ac:dyDescent="0.1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row>
    <row r="201" spans="1:40" ht="18.75" customHeight="1" x14ac:dyDescent="0.1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row>
    <row r="202" spans="1:40" ht="18.75" customHeight="1" x14ac:dyDescent="0.1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row>
    <row r="203" spans="1:40" ht="18.75" customHeight="1" x14ac:dyDescent="0.1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row>
    <row r="204" spans="1:40" ht="18.75" customHeight="1" x14ac:dyDescent="0.1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row>
    <row r="205" spans="1:40" ht="18.75" customHeight="1" x14ac:dyDescent="0.1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row>
    <row r="206" spans="1:40" ht="18.75" customHeight="1" x14ac:dyDescent="0.1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row>
    <row r="207" spans="1:40" ht="18.75" customHeight="1" x14ac:dyDescent="0.1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row>
    <row r="208" spans="1:40" ht="18.75" customHeight="1" x14ac:dyDescent="0.1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row>
    <row r="209" spans="1:40" ht="18.75" customHeight="1" x14ac:dyDescent="0.1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row>
    <row r="210" spans="1:40" ht="18.75" customHeight="1" x14ac:dyDescent="0.1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row>
    <row r="211" spans="1:40" ht="18.75" customHeight="1" x14ac:dyDescent="0.1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row>
    <row r="212" spans="1:40" ht="18.75" customHeight="1" x14ac:dyDescent="0.1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row>
    <row r="213" spans="1:40" ht="18.75" customHeight="1" x14ac:dyDescent="0.1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row>
    <row r="214" spans="1:40" ht="18.75" customHeight="1" x14ac:dyDescent="0.1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row>
    <row r="215" spans="1:40" ht="18.75" customHeight="1" x14ac:dyDescent="0.1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row>
    <row r="216" spans="1:40" ht="18.75" customHeight="1" x14ac:dyDescent="0.1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row>
    <row r="217" spans="1:40" ht="18.75" customHeight="1" x14ac:dyDescent="0.1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row>
    <row r="218" spans="1:40" ht="18.75" customHeight="1" x14ac:dyDescent="0.1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row>
    <row r="219" spans="1:40" ht="18.75" customHeight="1" x14ac:dyDescent="0.1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row>
    <row r="220" spans="1:40" ht="18.75" customHeight="1" x14ac:dyDescent="0.1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row>
    <row r="221" spans="1:40" ht="18.75" customHeight="1" x14ac:dyDescent="0.1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row>
    <row r="222" spans="1:40" ht="18.75" customHeight="1" x14ac:dyDescent="0.1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row>
    <row r="223" spans="1:40" ht="18.75" customHeight="1" x14ac:dyDescent="0.1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row>
    <row r="224" spans="1:40" ht="18.75" customHeight="1" x14ac:dyDescent="0.1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row>
    <row r="225" spans="1:40" ht="18.75" customHeight="1" x14ac:dyDescent="0.1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row>
    <row r="226" spans="1:40" ht="18.75" customHeight="1" x14ac:dyDescent="0.1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row>
    <row r="227" spans="1:40" ht="18.75" customHeight="1" x14ac:dyDescent="0.1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row>
    <row r="228" spans="1:40" ht="18.75" customHeight="1" x14ac:dyDescent="0.1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row>
    <row r="229" spans="1:40" ht="18.75" customHeight="1" x14ac:dyDescent="0.1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row>
    <row r="230" spans="1:40" ht="18.75" customHeight="1" x14ac:dyDescent="0.1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row>
    <row r="231" spans="1:40" ht="18.75" customHeight="1" x14ac:dyDescent="0.1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row>
    <row r="232" spans="1:40" ht="18.75" customHeight="1" x14ac:dyDescent="0.1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row>
    <row r="233" spans="1:40" ht="18.75" customHeight="1" x14ac:dyDescent="0.1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row>
    <row r="234" spans="1:40" ht="18.75" customHeight="1" x14ac:dyDescent="0.1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row>
    <row r="235" spans="1:40" ht="18.75" customHeight="1" x14ac:dyDescent="0.1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row>
    <row r="236" spans="1:40" ht="18.75" customHeight="1" x14ac:dyDescent="0.1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row>
    <row r="237" spans="1:40" ht="18.75" customHeight="1" x14ac:dyDescent="0.1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row>
    <row r="238" spans="1:40" ht="18.75" customHeight="1" x14ac:dyDescent="0.1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row>
    <row r="239" spans="1:40" ht="18.75" customHeight="1" x14ac:dyDescent="0.1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row>
    <row r="240" spans="1:40" ht="18.75" customHeight="1" x14ac:dyDescent="0.1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row>
    <row r="241" spans="1:40" ht="18.75" customHeight="1" x14ac:dyDescent="0.1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row>
    <row r="242" spans="1:40" ht="18.75" customHeight="1" x14ac:dyDescent="0.1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row>
    <row r="243" spans="1:40" ht="18.75" customHeight="1" x14ac:dyDescent="0.1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row>
    <row r="244" spans="1:40" ht="18.75" customHeight="1" x14ac:dyDescent="0.1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row>
    <row r="245" spans="1:40" ht="18.75" customHeight="1" x14ac:dyDescent="0.1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row>
    <row r="246" spans="1:40" ht="18.75" customHeight="1" x14ac:dyDescent="0.1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row>
    <row r="247" spans="1:40" ht="18.75" customHeight="1" x14ac:dyDescent="0.1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row>
    <row r="248" spans="1:40" ht="18.75" customHeight="1" x14ac:dyDescent="0.1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row>
    <row r="249" spans="1:40" ht="18.75" customHeight="1" x14ac:dyDescent="0.1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row>
    <row r="250" spans="1:40" ht="18.75" customHeight="1" x14ac:dyDescent="0.1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row>
    <row r="251" spans="1:40" ht="18.75" customHeight="1" x14ac:dyDescent="0.1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row>
    <row r="252" spans="1:40" ht="18.75" customHeight="1" x14ac:dyDescent="0.1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row>
    <row r="253" spans="1:40" ht="18.75" customHeight="1" x14ac:dyDescent="0.1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row>
    <row r="254" spans="1:40" ht="18.75" customHeight="1" x14ac:dyDescent="0.1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row>
    <row r="255" spans="1:40" ht="18.75" customHeight="1" x14ac:dyDescent="0.1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row>
    <row r="256" spans="1:40" ht="18.75" customHeight="1" x14ac:dyDescent="0.1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row>
    <row r="257" spans="1:40" ht="18.75" customHeight="1" x14ac:dyDescent="0.1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row>
    <row r="258" spans="1:40" ht="18.75" customHeight="1" x14ac:dyDescent="0.1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row>
    <row r="259" spans="1:40" ht="18.75" customHeight="1" x14ac:dyDescent="0.1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row>
    <row r="260" spans="1:40" ht="18.75" customHeight="1" x14ac:dyDescent="0.1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row>
    <row r="261" spans="1:40" ht="18.75" customHeight="1" x14ac:dyDescent="0.1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row>
    <row r="262" spans="1:40" ht="18.75" customHeight="1" x14ac:dyDescent="0.1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row>
    <row r="263" spans="1:40" ht="18.75" customHeight="1" x14ac:dyDescent="0.1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row>
    <row r="264" spans="1:40" ht="18.75" customHeight="1" x14ac:dyDescent="0.1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row>
    <row r="265" spans="1:40" ht="18.75" customHeight="1" x14ac:dyDescent="0.1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row>
    <row r="266" spans="1:40" ht="18.75" customHeight="1" x14ac:dyDescent="0.1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row>
    <row r="267" spans="1:40" ht="18.75" customHeight="1" x14ac:dyDescent="0.1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row>
    <row r="268" spans="1:40" ht="18.75" customHeight="1" x14ac:dyDescent="0.1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row>
    <row r="269" spans="1:40" ht="18.75" customHeight="1" x14ac:dyDescent="0.1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row>
    <row r="270" spans="1:40" ht="18.75" customHeight="1" x14ac:dyDescent="0.1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row>
    <row r="271" spans="1:40" ht="18.75" customHeight="1" x14ac:dyDescent="0.1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row>
    <row r="272" spans="1:40" ht="18.75" customHeight="1" x14ac:dyDescent="0.1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row>
    <row r="273" spans="1:40" ht="18.75" customHeight="1" x14ac:dyDescent="0.1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row>
    <row r="274" spans="1:40" ht="18.75" customHeight="1" x14ac:dyDescent="0.1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row>
    <row r="275" spans="1:40" ht="18.75" customHeight="1" x14ac:dyDescent="0.1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row>
    <row r="276" spans="1:40" ht="18.75" customHeight="1" x14ac:dyDescent="0.1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row>
    <row r="277" spans="1:40" ht="18.75" customHeight="1" x14ac:dyDescent="0.1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row>
    <row r="278" spans="1:40" ht="18.75" customHeight="1" x14ac:dyDescent="0.1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row>
    <row r="279" spans="1:40" ht="18.75" customHeight="1" x14ac:dyDescent="0.1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row>
    <row r="280" spans="1:40" ht="18.75" customHeight="1" x14ac:dyDescent="0.1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row>
    <row r="281" spans="1:40" ht="18.75" customHeight="1" x14ac:dyDescent="0.1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row>
    <row r="282" spans="1:40" ht="18.75" customHeight="1" x14ac:dyDescent="0.1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row>
    <row r="283" spans="1:40" ht="18.75" customHeight="1" x14ac:dyDescent="0.1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row>
    <row r="284" spans="1:40" ht="18.75" customHeight="1" x14ac:dyDescent="0.1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row>
    <row r="285" spans="1:40" ht="18.75" customHeight="1" x14ac:dyDescent="0.1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row>
    <row r="286" spans="1:40" ht="18.75" customHeight="1" x14ac:dyDescent="0.1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row>
    <row r="287" spans="1:40" ht="18.75" customHeight="1" x14ac:dyDescent="0.1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row>
    <row r="288" spans="1:40" ht="18.75" customHeight="1" x14ac:dyDescent="0.1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row>
    <row r="289" spans="1:40" ht="18.75" customHeight="1" x14ac:dyDescent="0.1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row>
    <row r="290" spans="1:40" ht="18.75" customHeight="1" x14ac:dyDescent="0.1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row>
    <row r="291" spans="1:40" ht="18.75" customHeight="1" x14ac:dyDescent="0.1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row>
    <row r="292" spans="1:40" ht="18.75" customHeight="1" x14ac:dyDescent="0.1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row>
    <row r="293" spans="1:40" ht="18.75" customHeight="1" x14ac:dyDescent="0.1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row>
    <row r="294" spans="1:40" ht="18.75" customHeight="1" x14ac:dyDescent="0.1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row>
    <row r="295" spans="1:40" ht="18.75" customHeight="1" x14ac:dyDescent="0.1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row>
    <row r="296" spans="1:40" ht="18.75" customHeight="1" x14ac:dyDescent="0.1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row>
    <row r="297" spans="1:40" ht="18.75" customHeight="1" x14ac:dyDescent="0.1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row>
    <row r="298" spans="1:40" ht="18.75" customHeight="1" x14ac:dyDescent="0.1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row>
    <row r="299" spans="1:40" ht="18.75" customHeight="1" x14ac:dyDescent="0.1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row>
    <row r="300" spans="1:40" ht="18.75" customHeight="1" x14ac:dyDescent="0.1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row>
    <row r="301" spans="1:40" ht="18.75" customHeight="1" x14ac:dyDescent="0.1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row>
    <row r="302" spans="1:40" ht="18.75" customHeight="1" x14ac:dyDescent="0.1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row>
    <row r="303" spans="1:40" ht="18.75" customHeight="1" x14ac:dyDescent="0.1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row>
    <row r="304" spans="1:40" ht="18.75" customHeight="1" x14ac:dyDescent="0.1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row>
    <row r="305" spans="1:40" ht="18.75" customHeight="1" x14ac:dyDescent="0.1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row>
    <row r="306" spans="1:40" ht="18.75" customHeight="1" x14ac:dyDescent="0.1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row>
    <row r="307" spans="1:40" ht="18.75" customHeight="1" x14ac:dyDescent="0.1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row>
    <row r="308" spans="1:40" ht="18.75" customHeight="1" x14ac:dyDescent="0.1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row>
    <row r="309" spans="1:40" ht="18.75" customHeight="1" x14ac:dyDescent="0.1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row>
    <row r="310" spans="1:40" ht="18.75" customHeight="1" x14ac:dyDescent="0.1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row>
    <row r="311" spans="1:40" ht="18.75" customHeight="1" x14ac:dyDescent="0.1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row>
    <row r="312" spans="1:40" ht="18.75" customHeight="1" x14ac:dyDescent="0.1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row>
    <row r="313" spans="1:40" ht="18.75" customHeight="1" x14ac:dyDescent="0.1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row>
    <row r="314" spans="1:40" ht="18.75" customHeight="1" x14ac:dyDescent="0.1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row>
    <row r="315" spans="1:40" ht="18.75" customHeight="1" x14ac:dyDescent="0.1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row>
    <row r="316" spans="1:40" ht="18.75" customHeight="1" x14ac:dyDescent="0.1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row>
    <row r="317" spans="1:40" ht="18.75" customHeight="1" x14ac:dyDescent="0.1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row>
    <row r="318" spans="1:40" ht="18.75" customHeight="1" x14ac:dyDescent="0.1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row>
    <row r="319" spans="1:40" ht="18.75" customHeight="1" x14ac:dyDescent="0.1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row>
    <row r="320" spans="1:40" ht="18.75" customHeight="1" x14ac:dyDescent="0.1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row>
    <row r="321" spans="1:40" ht="18.75" customHeight="1" x14ac:dyDescent="0.1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row>
    <row r="322" spans="1:40" ht="18.75" customHeight="1" x14ac:dyDescent="0.1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row>
    <row r="323" spans="1:40" ht="18.75" customHeight="1" x14ac:dyDescent="0.1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row>
    <row r="324" spans="1:40" ht="18.75" customHeight="1" x14ac:dyDescent="0.1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row>
    <row r="325" spans="1:40" ht="18.75" customHeight="1" x14ac:dyDescent="0.1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row>
    <row r="326" spans="1:40" ht="18.75" customHeight="1" x14ac:dyDescent="0.1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row>
    <row r="327" spans="1:40" ht="18.75" customHeight="1" x14ac:dyDescent="0.1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row>
    <row r="328" spans="1:40" ht="18.75" customHeight="1" x14ac:dyDescent="0.1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row>
    <row r="329" spans="1:40" ht="18.75" customHeight="1" x14ac:dyDescent="0.1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row>
    <row r="330" spans="1:40" ht="18.75" customHeight="1" x14ac:dyDescent="0.1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row>
    <row r="331" spans="1:40" ht="18.75" customHeight="1" x14ac:dyDescent="0.1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row>
    <row r="332" spans="1:40" ht="18.75" customHeight="1" x14ac:dyDescent="0.1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row>
    <row r="333" spans="1:40" ht="18.75" customHeight="1" x14ac:dyDescent="0.1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row>
    <row r="334" spans="1:40" ht="18.75" customHeight="1" x14ac:dyDescent="0.1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row>
    <row r="335" spans="1:40" ht="18.75" customHeight="1" x14ac:dyDescent="0.1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row>
    <row r="336" spans="1:40" ht="18.75" customHeight="1" x14ac:dyDescent="0.1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row>
    <row r="337" spans="1:40" ht="18.75" customHeight="1" x14ac:dyDescent="0.1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row>
    <row r="338" spans="1:40" ht="18.75" customHeight="1" x14ac:dyDescent="0.1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row>
    <row r="339" spans="1:40" ht="18.75" customHeight="1" x14ac:dyDescent="0.1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row>
    <row r="340" spans="1:40" ht="18.75" customHeight="1" x14ac:dyDescent="0.1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row>
    <row r="341" spans="1:40" ht="18.75" customHeight="1" x14ac:dyDescent="0.1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row>
    <row r="342" spans="1:40" ht="18.75" customHeight="1" x14ac:dyDescent="0.1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row>
    <row r="343" spans="1:40" ht="18.75" customHeight="1" x14ac:dyDescent="0.1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row>
    <row r="344" spans="1:40" ht="18.75" customHeight="1" x14ac:dyDescent="0.1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row>
    <row r="345" spans="1:40" ht="18.75" customHeight="1" x14ac:dyDescent="0.1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row>
    <row r="346" spans="1:40" ht="18.75" customHeight="1" x14ac:dyDescent="0.1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row>
    <row r="347" spans="1:40" ht="18.75" customHeight="1" x14ac:dyDescent="0.1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row>
    <row r="348" spans="1:40" ht="18.75" customHeight="1" x14ac:dyDescent="0.1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row>
    <row r="349" spans="1:40" ht="18.75" customHeight="1" x14ac:dyDescent="0.1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row>
    <row r="350" spans="1:40" ht="18.75" customHeight="1" x14ac:dyDescent="0.1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row>
    <row r="351" spans="1:40" ht="18.75" customHeight="1" x14ac:dyDescent="0.1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row>
    <row r="352" spans="1:40" ht="18.75" customHeight="1" x14ac:dyDescent="0.1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row>
    <row r="353" spans="1:40" ht="18.75" customHeight="1" x14ac:dyDescent="0.1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row>
    <row r="354" spans="1:40" ht="18.75" customHeight="1" x14ac:dyDescent="0.1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row>
    <row r="355" spans="1:40" ht="18.75" customHeight="1" x14ac:dyDescent="0.1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row>
    <row r="356" spans="1:40" ht="18.75" customHeight="1" x14ac:dyDescent="0.1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row>
    <row r="357" spans="1:40" ht="18.75" customHeight="1" x14ac:dyDescent="0.1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row>
    <row r="358" spans="1:40" ht="18.75" customHeight="1" x14ac:dyDescent="0.1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row>
    <row r="359" spans="1:40" ht="18.75" customHeight="1" x14ac:dyDescent="0.1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row>
    <row r="360" spans="1:40" ht="18.75" customHeight="1" x14ac:dyDescent="0.1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row>
    <row r="361" spans="1:40" ht="18.75" customHeight="1" x14ac:dyDescent="0.1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row>
    <row r="362" spans="1:40" ht="18.75" customHeight="1" x14ac:dyDescent="0.1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row>
    <row r="363" spans="1:40" ht="18.75" customHeight="1" x14ac:dyDescent="0.1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row>
    <row r="364" spans="1:40" ht="18.75" customHeight="1" x14ac:dyDescent="0.1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row>
    <row r="365" spans="1:40" ht="18.75" customHeight="1" x14ac:dyDescent="0.1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row>
    <row r="366" spans="1:40" ht="18.75" customHeight="1" x14ac:dyDescent="0.1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row>
    <row r="367" spans="1:40" ht="18.75" customHeight="1" x14ac:dyDescent="0.1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row>
    <row r="368" spans="1:40" ht="18.75" customHeight="1" x14ac:dyDescent="0.1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row>
    <row r="369" spans="1:40" ht="18.75" customHeight="1" x14ac:dyDescent="0.1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row>
    <row r="370" spans="1:40" ht="18.75" customHeight="1" x14ac:dyDescent="0.1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row>
    <row r="371" spans="1:40" ht="18.75" customHeight="1" x14ac:dyDescent="0.1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row>
    <row r="372" spans="1:40" ht="18.75" customHeight="1" x14ac:dyDescent="0.1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row>
    <row r="373" spans="1:40" ht="18.75" customHeight="1" x14ac:dyDescent="0.1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row>
    <row r="374" spans="1:40" ht="18.75" customHeight="1" x14ac:dyDescent="0.1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row>
    <row r="375" spans="1:40" ht="18.75" customHeight="1" x14ac:dyDescent="0.1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row>
    <row r="376" spans="1:40" ht="18.75" customHeight="1" x14ac:dyDescent="0.1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row>
    <row r="377" spans="1:40" ht="18.75" customHeight="1" x14ac:dyDescent="0.1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row>
    <row r="378" spans="1:40" ht="18.75" customHeight="1" x14ac:dyDescent="0.1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row>
    <row r="379" spans="1:40" ht="18.75" customHeight="1" x14ac:dyDescent="0.1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row>
    <row r="380" spans="1:40" ht="18.75" customHeight="1" x14ac:dyDescent="0.1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row>
    <row r="381" spans="1:40" ht="18.75" customHeight="1" x14ac:dyDescent="0.1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row>
    <row r="382" spans="1:40" ht="18.75" customHeight="1" x14ac:dyDescent="0.1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row>
    <row r="383" spans="1:40" ht="18.75" customHeight="1" x14ac:dyDescent="0.1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row>
    <row r="384" spans="1:40" ht="18.75" customHeight="1" x14ac:dyDescent="0.1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row>
    <row r="385" spans="1:40" ht="18.75" customHeight="1" x14ac:dyDescent="0.1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row>
    <row r="386" spans="1:40" ht="18.75" customHeight="1" x14ac:dyDescent="0.1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row>
    <row r="387" spans="1:40" ht="18.75" customHeight="1" x14ac:dyDescent="0.1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row>
    <row r="388" spans="1:40" ht="18.75" customHeight="1" x14ac:dyDescent="0.1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row>
    <row r="389" spans="1:40" ht="18.75" customHeight="1" x14ac:dyDescent="0.1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row>
    <row r="390" spans="1:40" ht="18.75" customHeight="1" x14ac:dyDescent="0.1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row>
    <row r="391" spans="1:40" ht="18.75" customHeight="1" x14ac:dyDescent="0.1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row>
    <row r="392" spans="1:40" ht="18.75" customHeight="1" x14ac:dyDescent="0.1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row>
    <row r="393" spans="1:40" ht="18.75" customHeight="1" x14ac:dyDescent="0.1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row>
    <row r="394" spans="1:40" ht="18.75" customHeight="1" x14ac:dyDescent="0.1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row>
    <row r="395" spans="1:40" ht="18.75" customHeight="1" x14ac:dyDescent="0.1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row>
    <row r="396" spans="1:40" ht="18.75" customHeight="1" x14ac:dyDescent="0.1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row>
    <row r="397" spans="1:40" ht="18.75" customHeight="1" x14ac:dyDescent="0.1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row>
    <row r="398" spans="1:40" ht="18.75" customHeight="1" x14ac:dyDescent="0.1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row>
    <row r="399" spans="1:40" ht="18.75" customHeight="1" x14ac:dyDescent="0.1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row>
    <row r="400" spans="1:40" ht="18.75" customHeight="1" x14ac:dyDescent="0.1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row>
    <row r="401" spans="1:40" ht="18.75" customHeight="1" x14ac:dyDescent="0.1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row>
    <row r="402" spans="1:40" ht="18.75" customHeight="1" x14ac:dyDescent="0.1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row>
    <row r="403" spans="1:40" ht="18.75" customHeight="1" x14ac:dyDescent="0.1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row>
    <row r="404" spans="1:40" ht="18.75" customHeight="1" x14ac:dyDescent="0.1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row>
    <row r="405" spans="1:40" ht="18.75" customHeight="1" x14ac:dyDescent="0.1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row>
    <row r="406" spans="1:40" ht="18.75" customHeight="1" x14ac:dyDescent="0.1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row>
    <row r="407" spans="1:40" ht="18.75" customHeight="1" x14ac:dyDescent="0.1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row>
    <row r="408" spans="1:40" ht="18.75" customHeight="1" x14ac:dyDescent="0.1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row>
    <row r="409" spans="1:40" ht="18.75" customHeight="1" x14ac:dyDescent="0.1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row>
    <row r="410" spans="1:40" ht="18.75" customHeight="1" x14ac:dyDescent="0.1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row>
    <row r="411" spans="1:40" ht="18.75" customHeight="1" x14ac:dyDescent="0.1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row>
    <row r="412" spans="1:40" ht="18.75" customHeight="1" x14ac:dyDescent="0.1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row>
    <row r="413" spans="1:40" ht="18.75" customHeight="1" x14ac:dyDescent="0.1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row>
    <row r="414" spans="1:40" ht="18.75" customHeight="1" x14ac:dyDescent="0.1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row>
    <row r="415" spans="1:40" ht="18.75" customHeight="1" x14ac:dyDescent="0.1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row>
    <row r="416" spans="1:40" ht="18.75" customHeight="1" x14ac:dyDescent="0.1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row>
    <row r="417" spans="1:40" ht="18.75" customHeight="1" x14ac:dyDescent="0.1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row>
    <row r="418" spans="1:40" ht="18.75" customHeight="1" x14ac:dyDescent="0.1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row>
    <row r="419" spans="1:40" ht="18.75" customHeight="1" x14ac:dyDescent="0.1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row>
    <row r="420" spans="1:40" ht="18.75" customHeight="1" x14ac:dyDescent="0.1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row>
    <row r="421" spans="1:40" ht="18.75" customHeight="1" x14ac:dyDescent="0.1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row>
    <row r="422" spans="1:40" ht="18.75" customHeight="1" x14ac:dyDescent="0.1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row>
    <row r="423" spans="1:40" ht="18.75" customHeight="1" x14ac:dyDescent="0.1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row>
    <row r="424" spans="1:40" ht="18.75" customHeight="1" x14ac:dyDescent="0.1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row>
    <row r="425" spans="1:40" ht="18.75" customHeight="1" x14ac:dyDescent="0.1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row>
    <row r="426" spans="1:40" ht="18.75" customHeight="1" x14ac:dyDescent="0.1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row>
    <row r="427" spans="1:40" ht="18.75" customHeight="1" x14ac:dyDescent="0.1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row>
    <row r="428" spans="1:40" ht="18.75" customHeight="1" x14ac:dyDescent="0.1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row>
    <row r="429" spans="1:40" ht="18.75" customHeight="1" x14ac:dyDescent="0.1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row>
    <row r="430" spans="1:40" ht="18.75" customHeight="1" x14ac:dyDescent="0.1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row>
    <row r="431" spans="1:40" ht="18.75" customHeight="1" x14ac:dyDescent="0.1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row>
    <row r="432" spans="1:40" ht="18.75" customHeight="1" x14ac:dyDescent="0.1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row>
    <row r="433" spans="1:40" ht="18.75" customHeight="1" x14ac:dyDescent="0.1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row>
    <row r="434" spans="1:40" ht="18.75" customHeight="1" x14ac:dyDescent="0.1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row>
    <row r="435" spans="1:40" ht="18.75" customHeight="1" x14ac:dyDescent="0.1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row>
    <row r="436" spans="1:40" ht="18.75" customHeight="1" x14ac:dyDescent="0.1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row>
    <row r="437" spans="1:40" ht="18.75" customHeight="1" x14ac:dyDescent="0.1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row>
    <row r="438" spans="1:40" ht="18.75" customHeight="1" x14ac:dyDescent="0.1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row>
    <row r="439" spans="1:40" ht="18.75" customHeight="1" x14ac:dyDescent="0.1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row>
    <row r="440" spans="1:40" ht="18.75" customHeight="1" x14ac:dyDescent="0.1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row>
    <row r="441" spans="1:40" ht="18.75" customHeight="1" x14ac:dyDescent="0.1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row>
    <row r="442" spans="1:40" ht="18.75" customHeight="1" x14ac:dyDescent="0.1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row>
    <row r="443" spans="1:40" ht="18.75" customHeight="1" x14ac:dyDescent="0.1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row>
    <row r="444" spans="1:40" ht="18.75" customHeight="1" x14ac:dyDescent="0.1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row>
    <row r="445" spans="1:40" ht="18.75" customHeight="1" x14ac:dyDescent="0.1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row>
    <row r="446" spans="1:40" ht="18.75" customHeight="1" x14ac:dyDescent="0.1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row>
    <row r="447" spans="1:40" ht="18.75" customHeight="1" x14ac:dyDescent="0.1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row>
    <row r="448" spans="1:40" ht="18.75" customHeight="1" x14ac:dyDescent="0.1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row>
    <row r="449" spans="1:40" ht="18.75" customHeight="1" x14ac:dyDescent="0.1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row>
    <row r="450" spans="1:40" ht="18.75" customHeight="1" x14ac:dyDescent="0.1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row>
    <row r="451" spans="1:40" ht="18.75" customHeight="1" x14ac:dyDescent="0.1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row>
    <row r="452" spans="1:40" ht="18.75" customHeight="1" x14ac:dyDescent="0.1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row>
    <row r="453" spans="1:40" ht="18.75" customHeight="1" x14ac:dyDescent="0.1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row>
    <row r="454" spans="1:40" ht="18.75" customHeight="1" x14ac:dyDescent="0.1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row>
    <row r="455" spans="1:40" ht="18.75" customHeight="1" x14ac:dyDescent="0.1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row>
    <row r="456" spans="1:40" ht="18.75" customHeight="1" x14ac:dyDescent="0.1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row>
    <row r="457" spans="1:40" ht="18.75" customHeight="1" x14ac:dyDescent="0.1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row>
    <row r="458" spans="1:40" ht="18.75" customHeight="1" x14ac:dyDescent="0.1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row>
    <row r="459" spans="1:40" ht="18.75" customHeight="1" x14ac:dyDescent="0.1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row>
    <row r="460" spans="1:40" ht="18.75" customHeight="1" x14ac:dyDescent="0.1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row>
    <row r="461" spans="1:40" ht="18.75" customHeight="1" x14ac:dyDescent="0.1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row>
    <row r="462" spans="1:40" ht="18.75" customHeight="1" x14ac:dyDescent="0.1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row>
    <row r="463" spans="1:40" ht="18.75" customHeight="1" x14ac:dyDescent="0.1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row>
    <row r="464" spans="1:40" ht="18.75" customHeight="1" x14ac:dyDescent="0.1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row>
    <row r="465" spans="1:40" ht="18.75" customHeight="1" x14ac:dyDescent="0.1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row>
    <row r="466" spans="1:40" ht="18.75" customHeight="1" x14ac:dyDescent="0.1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row>
    <row r="467" spans="1:40" ht="18.75" customHeight="1" x14ac:dyDescent="0.1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row>
    <row r="468" spans="1:40" ht="18.75" customHeight="1" x14ac:dyDescent="0.1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row>
    <row r="469" spans="1:40" ht="18.75" customHeight="1" x14ac:dyDescent="0.1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row>
    <row r="470" spans="1:40" ht="18.75" customHeight="1" x14ac:dyDescent="0.1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row>
    <row r="471" spans="1:40" ht="18.75" customHeight="1" x14ac:dyDescent="0.1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row>
    <row r="472" spans="1:40" ht="18.75" customHeight="1" x14ac:dyDescent="0.1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row>
    <row r="473" spans="1:40" ht="18.75" customHeight="1" x14ac:dyDescent="0.1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row>
    <row r="474" spans="1:40" ht="18.75" customHeight="1" x14ac:dyDescent="0.1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row>
    <row r="475" spans="1:40" ht="18.75" customHeight="1" x14ac:dyDescent="0.1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row>
    <row r="476" spans="1:40" ht="18.75" customHeight="1" x14ac:dyDescent="0.1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row>
    <row r="477" spans="1:40" ht="18.75" customHeight="1" x14ac:dyDescent="0.1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row>
    <row r="478" spans="1:40" ht="18.75" customHeight="1" x14ac:dyDescent="0.1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row>
    <row r="479" spans="1:40" ht="18.75" customHeight="1" x14ac:dyDescent="0.1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row>
    <row r="480" spans="1:40" ht="18.75" customHeight="1" x14ac:dyDescent="0.1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row>
    <row r="481" spans="1:40" ht="18.75" customHeight="1" x14ac:dyDescent="0.1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row>
    <row r="482" spans="1:40" ht="18.75" customHeight="1" x14ac:dyDescent="0.1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row>
    <row r="483" spans="1:40" ht="18.75" customHeight="1" x14ac:dyDescent="0.1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row>
    <row r="484" spans="1:40" ht="18.75" customHeight="1" x14ac:dyDescent="0.1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row>
    <row r="485" spans="1:40" ht="18.75" customHeight="1" x14ac:dyDescent="0.1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row>
    <row r="486" spans="1:40" ht="18.75" customHeight="1" x14ac:dyDescent="0.1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row>
    <row r="487" spans="1:40" ht="18.75" customHeight="1" x14ac:dyDescent="0.1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row>
    <row r="488" spans="1:40" ht="18.75" customHeight="1" x14ac:dyDescent="0.1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row>
    <row r="489" spans="1:40" ht="18.75" customHeight="1" x14ac:dyDescent="0.1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row>
    <row r="490" spans="1:40" ht="18.75" customHeight="1" x14ac:dyDescent="0.1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row>
    <row r="491" spans="1:40" ht="18.75" customHeight="1" x14ac:dyDescent="0.1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row>
    <row r="492" spans="1:40" ht="18.75" customHeight="1" x14ac:dyDescent="0.1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row>
    <row r="493" spans="1:40" ht="18.75" customHeight="1" x14ac:dyDescent="0.1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row>
    <row r="494" spans="1:40" ht="18.75" customHeight="1" x14ac:dyDescent="0.1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row>
    <row r="495" spans="1:40" ht="18.75" customHeight="1" x14ac:dyDescent="0.1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row>
    <row r="496" spans="1:40" ht="18.75" customHeight="1" x14ac:dyDescent="0.1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row>
    <row r="497" spans="1:40" ht="18.75" customHeight="1" x14ac:dyDescent="0.1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row>
    <row r="498" spans="1:40" ht="18.75" customHeight="1" x14ac:dyDescent="0.1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row>
    <row r="499" spans="1:40" ht="18.75" customHeight="1" x14ac:dyDescent="0.1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row>
    <row r="500" spans="1:40" ht="18.75" customHeight="1" x14ac:dyDescent="0.1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row>
    <row r="501" spans="1:40" ht="18.75" customHeight="1" x14ac:dyDescent="0.1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row>
    <row r="502" spans="1:40" ht="18.75" customHeight="1" x14ac:dyDescent="0.1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row>
    <row r="503" spans="1:40" ht="18.75" customHeight="1" x14ac:dyDescent="0.1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row>
    <row r="504" spans="1:40" ht="18.75" customHeight="1" x14ac:dyDescent="0.1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row>
    <row r="505" spans="1:40" ht="18.75" customHeight="1" x14ac:dyDescent="0.1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row>
    <row r="506" spans="1:40" ht="18.75" customHeight="1" x14ac:dyDescent="0.1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row>
    <row r="507" spans="1:40" ht="18.75" customHeight="1" x14ac:dyDescent="0.1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row>
    <row r="508" spans="1:40" ht="18.75" customHeight="1" x14ac:dyDescent="0.1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row>
    <row r="509" spans="1:40" ht="18.75" customHeight="1" x14ac:dyDescent="0.1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row>
    <row r="510" spans="1:40" ht="18.75" customHeight="1" x14ac:dyDescent="0.1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row>
    <row r="511" spans="1:40" ht="18.75" customHeight="1" x14ac:dyDescent="0.1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row>
    <row r="512" spans="1:40" ht="18.75" customHeight="1" x14ac:dyDescent="0.1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row>
    <row r="513" spans="1:40" ht="18.75" customHeight="1" x14ac:dyDescent="0.1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row>
    <row r="514" spans="1:40" ht="18.75" customHeight="1" x14ac:dyDescent="0.1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row>
    <row r="515" spans="1:40" ht="18.75" customHeight="1" x14ac:dyDescent="0.1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row>
    <row r="516" spans="1:40" ht="18.75" customHeight="1" x14ac:dyDescent="0.1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row>
    <row r="517" spans="1:40" ht="18.75" customHeight="1" x14ac:dyDescent="0.1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row>
    <row r="518" spans="1:40" ht="18.75" customHeight="1" x14ac:dyDescent="0.1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row>
    <row r="519" spans="1:40" ht="18.75" customHeight="1" x14ac:dyDescent="0.1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row>
    <row r="520" spans="1:40" ht="18.75" customHeight="1" x14ac:dyDescent="0.1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row>
    <row r="521" spans="1:40" ht="18.75" customHeight="1" x14ac:dyDescent="0.1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row>
    <row r="522" spans="1:40" ht="18.75" customHeight="1" x14ac:dyDescent="0.1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row>
    <row r="523" spans="1:40" ht="18.75" customHeight="1" x14ac:dyDescent="0.1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row>
    <row r="524" spans="1:40" ht="18.75" customHeight="1" x14ac:dyDescent="0.1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row>
    <row r="525" spans="1:40" ht="18.75" customHeight="1" x14ac:dyDescent="0.1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row>
    <row r="526" spans="1:40" ht="18.75" customHeight="1" x14ac:dyDescent="0.1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row>
    <row r="527" spans="1:40" ht="18.75" customHeight="1" x14ac:dyDescent="0.1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row>
    <row r="528" spans="1:40" ht="18.75" customHeight="1" x14ac:dyDescent="0.1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row>
    <row r="529" spans="1:40" ht="18.75" customHeight="1" x14ac:dyDescent="0.1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row>
    <row r="530" spans="1:40" ht="18.75" customHeight="1" x14ac:dyDescent="0.1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row>
    <row r="531" spans="1:40" ht="18.75" customHeight="1" x14ac:dyDescent="0.1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row>
    <row r="532" spans="1:40" ht="18.75" customHeight="1" x14ac:dyDescent="0.1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row>
    <row r="533" spans="1:40" ht="18.75" customHeight="1" x14ac:dyDescent="0.1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row>
    <row r="534" spans="1:40" ht="18.75" customHeight="1" x14ac:dyDescent="0.1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row>
    <row r="535" spans="1:40" ht="18.75" customHeight="1" x14ac:dyDescent="0.1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row>
    <row r="536" spans="1:40" ht="18.75" customHeight="1" x14ac:dyDescent="0.1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row>
    <row r="537" spans="1:40" ht="18.75" customHeight="1" x14ac:dyDescent="0.1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row>
    <row r="538" spans="1:40" ht="18.75" customHeight="1" x14ac:dyDescent="0.1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row>
    <row r="539" spans="1:40" ht="18.75" customHeight="1" x14ac:dyDescent="0.1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row>
    <row r="540" spans="1:40" ht="18.75" customHeight="1" x14ac:dyDescent="0.1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row>
    <row r="541" spans="1:40" ht="18.75" customHeight="1" x14ac:dyDescent="0.1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row>
    <row r="542" spans="1:40" ht="18.75" customHeight="1" x14ac:dyDescent="0.1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row>
    <row r="543" spans="1:40" ht="18.75" customHeight="1" x14ac:dyDescent="0.1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row>
    <row r="544" spans="1:40" ht="18.75" customHeight="1" x14ac:dyDescent="0.1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row>
    <row r="545" spans="1:40" ht="18.75" customHeight="1" x14ac:dyDescent="0.1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row>
    <row r="546" spans="1:40" ht="18.75" customHeight="1" x14ac:dyDescent="0.1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row>
    <row r="547" spans="1:40" ht="18.75" customHeight="1" x14ac:dyDescent="0.1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row>
    <row r="548" spans="1:40" ht="18.75" customHeight="1" x14ac:dyDescent="0.1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row>
    <row r="549" spans="1:40" ht="18.75" customHeight="1" x14ac:dyDescent="0.1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row>
    <row r="550" spans="1:40" ht="18.75" customHeight="1" x14ac:dyDescent="0.1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row>
    <row r="551" spans="1:40" ht="18.75" customHeight="1" x14ac:dyDescent="0.1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row>
    <row r="552" spans="1:40" ht="18.75" customHeight="1" x14ac:dyDescent="0.1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row>
    <row r="553" spans="1:40" ht="18.75" customHeight="1" x14ac:dyDescent="0.1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row>
    <row r="554" spans="1:40" ht="18.75" customHeight="1" x14ac:dyDescent="0.1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row>
    <row r="555" spans="1:40" ht="18.75" customHeight="1" x14ac:dyDescent="0.1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row>
    <row r="556" spans="1:40" ht="18.75" customHeight="1" x14ac:dyDescent="0.1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row>
    <row r="557" spans="1:40" ht="18.75" customHeight="1" x14ac:dyDescent="0.1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row>
    <row r="558" spans="1:40" ht="18.75" customHeight="1" x14ac:dyDescent="0.1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row>
    <row r="559" spans="1:40" ht="18.75" customHeight="1" x14ac:dyDescent="0.1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row>
    <row r="560" spans="1:40" ht="18.75" customHeight="1" x14ac:dyDescent="0.1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row>
    <row r="561" spans="1:40" ht="18.75" customHeight="1" x14ac:dyDescent="0.1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row>
    <row r="562" spans="1:40" ht="18.75" customHeight="1" x14ac:dyDescent="0.1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row>
    <row r="563" spans="1:40" ht="18.75" customHeight="1" x14ac:dyDescent="0.1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row>
    <row r="564" spans="1:40" ht="18.75" customHeight="1" x14ac:dyDescent="0.1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row>
    <row r="565" spans="1:40" ht="18.75" customHeight="1" x14ac:dyDescent="0.1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row>
    <row r="566" spans="1:40" ht="18.75" customHeight="1" x14ac:dyDescent="0.1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row>
    <row r="567" spans="1:40" ht="18.75" customHeight="1" x14ac:dyDescent="0.1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row>
    <row r="568" spans="1:40" ht="18.75" customHeight="1" x14ac:dyDescent="0.1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row>
    <row r="569" spans="1:40" ht="18.75" customHeight="1" x14ac:dyDescent="0.1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row>
    <row r="570" spans="1:40" ht="18.75" customHeight="1" x14ac:dyDescent="0.1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row>
    <row r="571" spans="1:40" ht="18.75" customHeight="1" x14ac:dyDescent="0.1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row>
    <row r="572" spans="1:40" ht="18.75" customHeight="1" x14ac:dyDescent="0.1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row>
    <row r="573" spans="1:40" ht="18.75" customHeight="1" x14ac:dyDescent="0.1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row>
    <row r="574" spans="1:40" ht="18.75" customHeight="1" x14ac:dyDescent="0.1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row>
    <row r="575" spans="1:40" ht="18.75" customHeight="1" x14ac:dyDescent="0.1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row>
    <row r="576" spans="1:40" ht="18.75" customHeight="1" x14ac:dyDescent="0.1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row>
    <row r="577" spans="1:40" ht="18.75" customHeight="1" x14ac:dyDescent="0.1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row>
    <row r="578" spans="1:40" ht="18.75" customHeight="1" x14ac:dyDescent="0.1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row>
    <row r="579" spans="1:40" ht="18.75" customHeight="1" x14ac:dyDescent="0.1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row>
    <row r="580" spans="1:40" ht="18.75" customHeight="1" x14ac:dyDescent="0.1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row>
    <row r="581" spans="1:40" ht="18.75" customHeight="1" x14ac:dyDescent="0.1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row>
    <row r="582" spans="1:40" ht="18.75" customHeight="1" x14ac:dyDescent="0.1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row>
    <row r="583" spans="1:40" ht="18.75" customHeight="1" x14ac:dyDescent="0.1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row>
    <row r="584" spans="1:40" ht="18.75" customHeight="1" x14ac:dyDescent="0.1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row>
    <row r="585" spans="1:40" ht="18.75" customHeight="1" x14ac:dyDescent="0.1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row>
    <row r="586" spans="1:40" ht="18.75" customHeight="1" x14ac:dyDescent="0.1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row>
    <row r="587" spans="1:40" ht="18.75" customHeight="1" x14ac:dyDescent="0.1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row>
    <row r="588" spans="1:40" ht="18.75" customHeight="1" x14ac:dyDescent="0.1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row>
    <row r="589" spans="1:40" ht="18.75" customHeight="1" x14ac:dyDescent="0.1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row>
    <row r="590" spans="1:40" ht="18.75" customHeight="1" x14ac:dyDescent="0.1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row>
    <row r="591" spans="1:40" ht="18.75" customHeight="1" x14ac:dyDescent="0.1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row>
    <row r="592" spans="1:40" ht="18.75" customHeight="1" x14ac:dyDescent="0.1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row>
    <row r="593" spans="1:40" ht="18.75" customHeight="1" x14ac:dyDescent="0.1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row>
    <row r="594" spans="1:40" ht="18.75" customHeight="1" x14ac:dyDescent="0.1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row>
    <row r="595" spans="1:40" ht="18.75" customHeight="1" x14ac:dyDescent="0.1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row>
    <row r="596" spans="1:40" ht="18.75" customHeight="1" x14ac:dyDescent="0.1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row>
    <row r="597" spans="1:40" ht="18.75" customHeight="1" x14ac:dyDescent="0.1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row>
    <row r="598" spans="1:40" ht="18.75" customHeight="1" x14ac:dyDescent="0.1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row>
    <row r="599" spans="1:40" ht="18.75" customHeight="1" x14ac:dyDescent="0.1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row>
    <row r="600" spans="1:40" ht="18.75" customHeight="1" x14ac:dyDescent="0.1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row>
    <row r="601" spans="1:40" ht="18.75" customHeight="1" x14ac:dyDescent="0.1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row>
    <row r="602" spans="1:40" ht="18.75" customHeight="1" x14ac:dyDescent="0.1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row>
    <row r="603" spans="1:40" ht="18.75" customHeight="1" x14ac:dyDescent="0.1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row>
    <row r="604" spans="1:40" ht="18.75" customHeight="1" x14ac:dyDescent="0.1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row>
    <row r="605" spans="1:40" ht="18.75" customHeight="1" x14ac:dyDescent="0.1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row>
    <row r="606" spans="1:40" ht="18.75" customHeight="1" x14ac:dyDescent="0.1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row>
    <row r="607" spans="1:40" ht="18.75" customHeight="1" x14ac:dyDescent="0.1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row>
    <row r="608" spans="1:40" ht="18.75" customHeight="1" x14ac:dyDescent="0.1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row>
    <row r="609" spans="1:40" ht="18.75" customHeight="1" x14ac:dyDescent="0.1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row>
    <row r="610" spans="1:40" ht="18.75" customHeight="1" x14ac:dyDescent="0.1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row>
    <row r="611" spans="1:40" ht="18.75" customHeight="1" x14ac:dyDescent="0.1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row>
    <row r="612" spans="1:40" ht="18.75" customHeight="1" x14ac:dyDescent="0.1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row>
    <row r="613" spans="1:40" ht="18.75" customHeight="1" x14ac:dyDescent="0.1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row>
    <row r="614" spans="1:40" ht="18.75" customHeight="1" x14ac:dyDescent="0.1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row>
    <row r="615" spans="1:40" ht="18.75" customHeight="1" x14ac:dyDescent="0.1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row>
    <row r="616" spans="1:40" ht="18.75" customHeight="1" x14ac:dyDescent="0.1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row>
    <row r="617" spans="1:40" ht="18.75" customHeight="1" x14ac:dyDescent="0.1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row>
    <row r="618" spans="1:40" ht="18.75" customHeight="1" x14ac:dyDescent="0.1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row>
    <row r="619" spans="1:40" ht="18.75" customHeight="1" x14ac:dyDescent="0.1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row>
    <row r="620" spans="1:40" ht="18.75" customHeight="1" x14ac:dyDescent="0.1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row>
    <row r="621" spans="1:40" ht="18.75" customHeight="1" x14ac:dyDescent="0.1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row>
    <row r="622" spans="1:40" ht="18.75" customHeight="1" x14ac:dyDescent="0.1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row>
    <row r="623" spans="1:40" ht="18.75" customHeight="1" x14ac:dyDescent="0.1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row>
    <row r="624" spans="1:40" ht="18.75" customHeight="1" x14ac:dyDescent="0.1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row>
    <row r="625" spans="1:40" ht="18.75" customHeight="1" x14ac:dyDescent="0.1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row>
    <row r="626" spans="1:40" ht="18.75" customHeight="1" x14ac:dyDescent="0.1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row>
    <row r="627" spans="1:40" ht="18.75" customHeight="1" x14ac:dyDescent="0.1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row>
    <row r="628" spans="1:40" ht="18.75" customHeight="1" x14ac:dyDescent="0.1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row>
    <row r="629" spans="1:40" ht="18.75" customHeight="1" x14ac:dyDescent="0.1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row>
    <row r="630" spans="1:40" ht="18.75" customHeight="1" x14ac:dyDescent="0.1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row>
    <row r="631" spans="1:40" ht="18.75" customHeight="1" x14ac:dyDescent="0.1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row>
    <row r="632" spans="1:40" ht="18.75" customHeight="1" x14ac:dyDescent="0.1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row>
    <row r="633" spans="1:40" ht="18.75" customHeight="1" x14ac:dyDescent="0.1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row>
    <row r="634" spans="1:40" ht="18.75" customHeight="1" x14ac:dyDescent="0.1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row>
    <row r="635" spans="1:40" ht="18.75" customHeight="1" x14ac:dyDescent="0.1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row>
    <row r="636" spans="1:40" ht="18.75" customHeight="1" x14ac:dyDescent="0.1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row>
    <row r="637" spans="1:40" ht="18.75" customHeight="1" x14ac:dyDescent="0.1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row>
    <row r="638" spans="1:40" ht="18.75" customHeight="1" x14ac:dyDescent="0.1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row>
    <row r="639" spans="1:40" ht="18.75" customHeight="1" x14ac:dyDescent="0.1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row>
    <row r="640" spans="1:40" ht="18.75" customHeight="1" x14ac:dyDescent="0.1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row>
    <row r="641" spans="1:40" ht="18.75" customHeight="1" x14ac:dyDescent="0.1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row>
    <row r="642" spans="1:40" ht="18.75" customHeight="1" x14ac:dyDescent="0.1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row>
    <row r="643" spans="1:40" ht="18.75" customHeight="1" x14ac:dyDescent="0.1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row>
    <row r="644" spans="1:40" ht="18.75" customHeight="1" x14ac:dyDescent="0.1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row>
    <row r="645" spans="1:40" ht="18.75" customHeight="1" x14ac:dyDescent="0.1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row>
    <row r="646" spans="1:40" ht="18.75" customHeight="1" x14ac:dyDescent="0.1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row>
    <row r="647" spans="1:40" ht="18.75" customHeight="1" x14ac:dyDescent="0.1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row>
    <row r="648" spans="1:40" ht="18.75" customHeight="1" x14ac:dyDescent="0.1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row>
    <row r="649" spans="1:40" ht="18.75" customHeight="1" x14ac:dyDescent="0.1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row>
    <row r="650" spans="1:40" ht="18.75" customHeight="1" x14ac:dyDescent="0.1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row>
    <row r="651" spans="1:40" ht="18.75" customHeight="1" x14ac:dyDescent="0.1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row>
    <row r="652" spans="1:40" ht="18.75" customHeight="1" x14ac:dyDescent="0.1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row>
    <row r="653" spans="1:40" ht="18.75" customHeight="1" x14ac:dyDescent="0.1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row>
    <row r="654" spans="1:40" ht="18.75" customHeight="1" x14ac:dyDescent="0.1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row>
    <row r="655" spans="1:40" ht="18.75" customHeight="1" x14ac:dyDescent="0.1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row>
    <row r="656" spans="1:40" ht="18.75" customHeight="1" x14ac:dyDescent="0.1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row>
    <row r="657" spans="1:40" ht="18.75" customHeight="1" x14ac:dyDescent="0.1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row>
    <row r="658" spans="1:40" ht="18.75" customHeight="1" x14ac:dyDescent="0.1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row>
    <row r="659" spans="1:40" ht="18.75" customHeight="1" x14ac:dyDescent="0.1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row>
    <row r="660" spans="1:40" ht="18.75" customHeight="1" x14ac:dyDescent="0.1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row>
    <row r="661" spans="1:40" ht="18.75" customHeight="1" x14ac:dyDescent="0.1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row>
    <row r="662" spans="1:40" ht="18.75" customHeight="1" x14ac:dyDescent="0.1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row>
    <row r="663" spans="1:40" ht="18.75" customHeight="1" x14ac:dyDescent="0.1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row>
    <row r="664" spans="1:40" ht="18.75" customHeight="1" x14ac:dyDescent="0.1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row>
    <row r="665" spans="1:40" ht="18.75" customHeight="1" x14ac:dyDescent="0.1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row>
    <row r="666" spans="1:40" ht="18.75" customHeight="1" x14ac:dyDescent="0.1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row>
    <row r="667" spans="1:40" ht="18.75" customHeight="1" x14ac:dyDescent="0.1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row>
    <row r="668" spans="1:40" ht="18.75" customHeight="1" x14ac:dyDescent="0.1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row>
    <row r="669" spans="1:40" ht="18.75" customHeight="1" x14ac:dyDescent="0.1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row>
    <row r="670" spans="1:40" ht="18.75" customHeight="1" x14ac:dyDescent="0.1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row>
    <row r="671" spans="1:40" ht="18.75" customHeight="1" x14ac:dyDescent="0.1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row>
    <row r="672" spans="1:40" ht="18.75" customHeight="1" x14ac:dyDescent="0.1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row>
    <row r="673" spans="1:40" ht="18.75" customHeight="1" x14ac:dyDescent="0.1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row>
    <row r="674" spans="1:40" ht="18.75" customHeight="1" x14ac:dyDescent="0.1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row>
    <row r="675" spans="1:40" ht="18.75" customHeight="1" x14ac:dyDescent="0.1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row>
    <row r="676" spans="1:40" ht="18.75" customHeight="1" x14ac:dyDescent="0.1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row>
    <row r="677" spans="1:40" ht="18.75" customHeight="1" x14ac:dyDescent="0.1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row>
    <row r="678" spans="1:40" ht="18.75" customHeight="1" x14ac:dyDescent="0.1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row>
    <row r="679" spans="1:40" ht="18.75" customHeight="1" x14ac:dyDescent="0.1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row>
    <row r="680" spans="1:40" ht="18.75" customHeight="1" x14ac:dyDescent="0.1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row>
    <row r="681" spans="1:40" ht="18.75" customHeight="1" x14ac:dyDescent="0.1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row>
    <row r="682" spans="1:40" ht="18.75" customHeight="1" x14ac:dyDescent="0.1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row>
    <row r="683" spans="1:40" ht="18.75" customHeight="1" x14ac:dyDescent="0.1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row>
    <row r="684" spans="1:40" ht="18.75" customHeight="1" x14ac:dyDescent="0.1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row>
    <row r="685" spans="1:40" ht="18.75" customHeight="1" x14ac:dyDescent="0.1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row>
    <row r="686" spans="1:40" ht="18.75" customHeight="1" x14ac:dyDescent="0.1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row>
    <row r="687" spans="1:40" ht="18.75" customHeight="1" x14ac:dyDescent="0.1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row>
    <row r="688" spans="1:40" ht="18.75" customHeight="1" x14ac:dyDescent="0.1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row>
    <row r="689" spans="1:40" ht="18.75" customHeight="1" x14ac:dyDescent="0.1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row>
    <row r="690" spans="1:40" ht="18.75" customHeight="1" x14ac:dyDescent="0.1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row>
    <row r="691" spans="1:40" ht="18.75" customHeight="1" x14ac:dyDescent="0.1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row>
    <row r="692" spans="1:40" ht="18.75" customHeight="1" x14ac:dyDescent="0.1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row>
    <row r="693" spans="1:40" ht="18.75" customHeight="1" x14ac:dyDescent="0.1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row>
    <row r="694" spans="1:40" ht="18.75" customHeight="1" x14ac:dyDescent="0.1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row>
    <row r="695" spans="1:40" ht="18.75" customHeight="1" x14ac:dyDescent="0.1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row>
    <row r="696" spans="1:40" ht="18.75" customHeight="1" x14ac:dyDescent="0.1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row>
    <row r="697" spans="1:40" ht="18.75" customHeight="1" x14ac:dyDescent="0.1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row>
    <row r="698" spans="1:40" ht="18.75" customHeight="1" x14ac:dyDescent="0.1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row>
    <row r="699" spans="1:40" ht="18.75" customHeight="1" x14ac:dyDescent="0.1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row>
    <row r="700" spans="1:40" ht="18.75" customHeight="1" x14ac:dyDescent="0.1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row>
    <row r="701" spans="1:40" ht="18.75" customHeight="1" x14ac:dyDescent="0.1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row>
    <row r="702" spans="1:40" ht="18.75" customHeight="1" x14ac:dyDescent="0.1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row>
    <row r="703" spans="1:40" ht="18.75" customHeight="1" x14ac:dyDescent="0.1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row>
    <row r="704" spans="1:40" ht="18.75" customHeight="1" x14ac:dyDescent="0.1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row>
    <row r="705" spans="1:40" ht="18.75" customHeight="1" x14ac:dyDescent="0.1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row>
    <row r="706" spans="1:40" ht="18.75" customHeight="1" x14ac:dyDescent="0.1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row>
    <row r="707" spans="1:40" ht="18.75" customHeight="1" x14ac:dyDescent="0.1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row>
    <row r="708" spans="1:40" ht="18.75" customHeight="1" x14ac:dyDescent="0.1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row>
    <row r="709" spans="1:40" ht="18.75" customHeight="1" x14ac:dyDescent="0.1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row>
    <row r="710" spans="1:40" ht="18.75" customHeight="1" x14ac:dyDescent="0.1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row>
    <row r="711" spans="1:40" ht="18.75" customHeight="1" x14ac:dyDescent="0.1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row>
    <row r="712" spans="1:40" ht="18.75" customHeight="1" x14ac:dyDescent="0.1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row>
    <row r="713" spans="1:40" ht="18.75" customHeight="1" x14ac:dyDescent="0.1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row>
    <row r="714" spans="1:40" ht="18.75" customHeight="1" x14ac:dyDescent="0.1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row>
    <row r="715" spans="1:40" ht="18.75" customHeight="1" x14ac:dyDescent="0.1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row>
    <row r="716" spans="1:40" ht="18.75" customHeight="1" x14ac:dyDescent="0.1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row>
    <row r="717" spans="1:40" ht="18.75" customHeight="1" x14ac:dyDescent="0.1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row>
    <row r="718" spans="1:40" ht="18.75" customHeight="1" x14ac:dyDescent="0.1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row>
    <row r="719" spans="1:40" ht="18.75" customHeight="1" x14ac:dyDescent="0.1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row>
    <row r="720" spans="1:40" ht="18.75" customHeight="1" x14ac:dyDescent="0.1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row>
    <row r="721" spans="1:40" ht="18.75" customHeight="1" x14ac:dyDescent="0.1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row>
    <row r="722" spans="1:40" ht="18.75" customHeight="1" x14ac:dyDescent="0.1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row>
    <row r="723" spans="1:40" ht="18.75" customHeight="1" x14ac:dyDescent="0.1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row>
    <row r="724" spans="1:40" ht="18.75" customHeight="1" x14ac:dyDescent="0.1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row>
    <row r="725" spans="1:40" ht="18.75" customHeight="1" x14ac:dyDescent="0.1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row>
    <row r="726" spans="1:40" ht="18.75" customHeight="1" x14ac:dyDescent="0.1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row>
    <row r="727" spans="1:40" ht="18.75" customHeight="1" x14ac:dyDescent="0.1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row>
    <row r="728" spans="1:40" ht="18.75" customHeight="1" x14ac:dyDescent="0.1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row>
    <row r="729" spans="1:40" ht="18.75" customHeight="1" x14ac:dyDescent="0.1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row>
    <row r="730" spans="1:40" ht="18.75" customHeight="1" x14ac:dyDescent="0.1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row>
    <row r="731" spans="1:40" ht="18.75" customHeight="1" x14ac:dyDescent="0.1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row>
    <row r="732" spans="1:40" ht="18.75" customHeight="1" x14ac:dyDescent="0.1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row>
    <row r="733" spans="1:40" ht="18.75" customHeight="1" x14ac:dyDescent="0.1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row>
    <row r="734" spans="1:40" ht="18.75" customHeight="1" x14ac:dyDescent="0.1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row>
    <row r="735" spans="1:40" ht="18.75" customHeight="1" x14ac:dyDescent="0.1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row>
    <row r="736" spans="1:40" ht="18.75" customHeight="1" x14ac:dyDescent="0.1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row>
    <row r="737" spans="1:40" ht="18.75" customHeight="1" x14ac:dyDescent="0.1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row>
    <row r="738" spans="1:40" ht="18.75" customHeight="1" x14ac:dyDescent="0.1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row>
    <row r="739" spans="1:40" ht="18.75" customHeight="1" x14ac:dyDescent="0.1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row>
    <row r="740" spans="1:40" ht="18.75" customHeight="1" x14ac:dyDescent="0.1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row>
    <row r="741" spans="1:40" ht="18.75" customHeight="1" x14ac:dyDescent="0.1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row>
    <row r="742" spans="1:40" ht="18.75" customHeight="1" x14ac:dyDescent="0.1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row>
    <row r="743" spans="1:40" ht="18.75" customHeight="1" x14ac:dyDescent="0.1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row>
    <row r="744" spans="1:40" ht="18.75" customHeight="1" x14ac:dyDescent="0.1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row>
    <row r="745" spans="1:40" ht="18.75" customHeight="1" x14ac:dyDescent="0.1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row>
    <row r="746" spans="1:40" ht="18.75" customHeight="1" x14ac:dyDescent="0.1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row>
    <row r="747" spans="1:40" ht="18.75" customHeight="1" x14ac:dyDescent="0.1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row>
    <row r="748" spans="1:40" ht="18.75" customHeight="1" x14ac:dyDescent="0.1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row>
    <row r="749" spans="1:40" ht="18.75" customHeight="1" x14ac:dyDescent="0.1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row>
    <row r="750" spans="1:40" ht="18.75" customHeight="1" x14ac:dyDescent="0.1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row>
    <row r="751" spans="1:40" ht="18.75" customHeight="1" x14ac:dyDescent="0.1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row>
    <row r="752" spans="1:40" ht="18.75" customHeight="1" x14ac:dyDescent="0.1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row>
    <row r="753" spans="1:40" ht="18.75" customHeight="1" x14ac:dyDescent="0.1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row>
    <row r="754" spans="1:40" ht="18.75" customHeight="1" x14ac:dyDescent="0.1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row>
    <row r="755" spans="1:40" ht="18.75" customHeight="1" x14ac:dyDescent="0.1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row>
    <row r="756" spans="1:40" ht="18.75" customHeight="1" x14ac:dyDescent="0.1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row>
    <row r="757" spans="1:40" ht="18.75" customHeight="1" x14ac:dyDescent="0.1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row>
    <row r="758" spans="1:40" ht="18.75" customHeight="1" x14ac:dyDescent="0.1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row>
    <row r="759" spans="1:40" ht="18.75" customHeight="1" x14ac:dyDescent="0.1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row>
    <row r="760" spans="1:40" ht="18.75" customHeight="1" x14ac:dyDescent="0.1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row>
    <row r="761" spans="1:40" ht="18.75" customHeight="1" x14ac:dyDescent="0.1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row>
    <row r="762" spans="1:40" ht="18.75" customHeight="1" x14ac:dyDescent="0.1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row>
    <row r="763" spans="1:40" ht="18.75" customHeight="1" x14ac:dyDescent="0.1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row>
    <row r="764" spans="1:40" ht="18.75" customHeight="1" x14ac:dyDescent="0.1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row>
    <row r="765" spans="1:40" ht="18.75" customHeight="1" x14ac:dyDescent="0.1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row>
    <row r="766" spans="1:40" ht="18.75" customHeight="1" x14ac:dyDescent="0.1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row>
    <row r="767" spans="1:40" ht="18.75" customHeight="1" x14ac:dyDescent="0.1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row>
    <row r="768" spans="1:40" ht="18.75" customHeight="1" x14ac:dyDescent="0.1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row>
    <row r="769" spans="1:40" ht="18.75" customHeight="1" x14ac:dyDescent="0.1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row>
    <row r="770" spans="1:40" ht="18.75" customHeight="1" x14ac:dyDescent="0.1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row>
    <row r="771" spans="1:40" ht="18.75" customHeight="1" x14ac:dyDescent="0.1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row>
    <row r="772" spans="1:40" ht="18.75" customHeight="1" x14ac:dyDescent="0.1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row>
    <row r="773" spans="1:40" ht="18.75" customHeight="1" x14ac:dyDescent="0.1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row>
    <row r="774" spans="1:40" ht="18.75" customHeight="1" x14ac:dyDescent="0.1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row>
    <row r="775" spans="1:40" ht="18.75" customHeight="1" x14ac:dyDescent="0.1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row>
    <row r="776" spans="1:40" ht="18.75" customHeight="1" x14ac:dyDescent="0.1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row>
    <row r="777" spans="1:40" ht="18.75" customHeight="1" x14ac:dyDescent="0.1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row>
    <row r="778" spans="1:40" ht="18.75" customHeight="1" x14ac:dyDescent="0.1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row>
    <row r="779" spans="1:40" ht="18.75" customHeight="1" x14ac:dyDescent="0.1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row>
    <row r="780" spans="1:40" ht="18.75" customHeight="1" x14ac:dyDescent="0.1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row>
    <row r="781" spans="1:40" ht="18.75" customHeight="1" x14ac:dyDescent="0.1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row>
    <row r="782" spans="1:40" ht="18.75" customHeight="1" x14ac:dyDescent="0.1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row>
    <row r="783" spans="1:40" ht="18.75" customHeight="1" x14ac:dyDescent="0.1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row>
    <row r="784" spans="1:40" ht="18.75" customHeight="1" x14ac:dyDescent="0.1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row>
    <row r="785" spans="1:40" ht="18.75" customHeight="1" x14ac:dyDescent="0.1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row>
    <row r="786" spans="1:40" ht="18.75" customHeight="1" x14ac:dyDescent="0.1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row>
    <row r="787" spans="1:40" ht="18.75" customHeight="1" x14ac:dyDescent="0.1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row>
    <row r="788" spans="1:40" ht="18.75" customHeight="1" x14ac:dyDescent="0.1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row>
    <row r="789" spans="1:40" ht="18.75" customHeight="1" x14ac:dyDescent="0.1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row>
    <row r="790" spans="1:40" ht="18.75" customHeight="1" x14ac:dyDescent="0.1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row>
    <row r="791" spans="1:40" ht="18.75" customHeight="1" x14ac:dyDescent="0.1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row>
    <row r="792" spans="1:40" ht="18.75" customHeight="1" x14ac:dyDescent="0.1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row>
    <row r="793" spans="1:40" ht="18.75" customHeight="1" x14ac:dyDescent="0.1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row>
    <row r="794" spans="1:40" ht="18.75" customHeight="1" x14ac:dyDescent="0.1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row>
    <row r="795" spans="1:40" ht="18.75" customHeight="1" x14ac:dyDescent="0.1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row>
    <row r="796" spans="1:40" ht="18.75" customHeight="1" x14ac:dyDescent="0.1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row>
    <row r="797" spans="1:40" ht="18.75" customHeight="1" x14ac:dyDescent="0.1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row>
    <row r="798" spans="1:40" ht="18.75" customHeight="1" x14ac:dyDescent="0.1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row>
    <row r="799" spans="1:40" ht="18.75" customHeight="1" x14ac:dyDescent="0.1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row>
    <row r="800" spans="1:40" ht="18.75" customHeight="1" x14ac:dyDescent="0.1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row>
    <row r="801" spans="1:40" ht="18.75" customHeight="1" x14ac:dyDescent="0.1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row>
    <row r="802" spans="1:40" ht="18.75" customHeight="1" x14ac:dyDescent="0.1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row>
    <row r="803" spans="1:40" ht="18.75" customHeight="1" x14ac:dyDescent="0.1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row>
    <row r="804" spans="1:40" ht="18.75" customHeight="1" x14ac:dyDescent="0.1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row>
    <row r="805" spans="1:40" ht="18.75" customHeight="1" x14ac:dyDescent="0.1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row>
    <row r="806" spans="1:40" ht="18.75" customHeight="1" x14ac:dyDescent="0.1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row>
    <row r="807" spans="1:40" ht="18.75" customHeight="1" x14ac:dyDescent="0.1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row>
    <row r="808" spans="1:40" ht="18.75" customHeight="1" x14ac:dyDescent="0.1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row>
    <row r="809" spans="1:40" ht="18.75" customHeight="1" x14ac:dyDescent="0.1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row>
    <row r="810" spans="1:40" ht="18.75" customHeight="1" x14ac:dyDescent="0.1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row>
    <row r="811" spans="1:40" ht="18.75" customHeight="1" x14ac:dyDescent="0.1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row>
    <row r="812" spans="1:40" ht="18.75" customHeight="1" x14ac:dyDescent="0.1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row>
    <row r="813" spans="1:40" ht="18.75" customHeight="1" x14ac:dyDescent="0.1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row>
    <row r="814" spans="1:40" ht="18.75" customHeight="1" x14ac:dyDescent="0.1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row>
    <row r="815" spans="1:40" ht="18.75" customHeight="1" x14ac:dyDescent="0.1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row>
    <row r="816" spans="1:40" ht="18.75" customHeight="1" x14ac:dyDescent="0.1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row>
    <row r="817" spans="1:40" ht="18.75" customHeight="1" x14ac:dyDescent="0.1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row>
    <row r="818" spans="1:40" ht="18.75" customHeight="1" x14ac:dyDescent="0.1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row>
    <row r="819" spans="1:40" ht="18.75" customHeight="1" x14ac:dyDescent="0.1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row>
    <row r="820" spans="1:40" ht="18.75" customHeight="1" x14ac:dyDescent="0.1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row>
    <row r="821" spans="1:40" ht="18.75" customHeight="1" x14ac:dyDescent="0.1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row>
    <row r="822" spans="1:40" ht="18.75" customHeight="1" x14ac:dyDescent="0.1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row>
    <row r="823" spans="1:40" ht="18.75" customHeight="1" x14ac:dyDescent="0.1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row>
    <row r="824" spans="1:40" ht="18.75" customHeight="1" x14ac:dyDescent="0.1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row>
    <row r="825" spans="1:40" ht="18.75" customHeight="1" x14ac:dyDescent="0.1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row>
    <row r="826" spans="1:40" ht="18.75" customHeight="1" x14ac:dyDescent="0.1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row>
    <row r="827" spans="1:40" ht="18.75" customHeight="1" x14ac:dyDescent="0.1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row>
    <row r="828" spans="1:40" ht="18.75" customHeight="1" x14ac:dyDescent="0.1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row>
    <row r="829" spans="1:40" ht="18.75" customHeight="1" x14ac:dyDescent="0.1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row>
    <row r="830" spans="1:40" ht="18.75" customHeight="1" x14ac:dyDescent="0.1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row>
    <row r="831" spans="1:40" ht="18.75" customHeight="1" x14ac:dyDescent="0.1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row>
    <row r="832" spans="1:40" ht="18.75" customHeight="1" x14ac:dyDescent="0.1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row>
    <row r="833" spans="1:40" ht="18.75" customHeight="1" x14ac:dyDescent="0.1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row>
    <row r="834" spans="1:40" ht="18.75" customHeight="1" x14ac:dyDescent="0.1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row>
    <row r="835" spans="1:40" ht="18.75" customHeight="1" x14ac:dyDescent="0.1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row>
    <row r="836" spans="1:40" ht="18.75" customHeight="1" x14ac:dyDescent="0.1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row>
    <row r="837" spans="1:40" ht="18.75" customHeight="1" x14ac:dyDescent="0.1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row>
    <row r="838" spans="1:40" ht="18.75" customHeight="1" x14ac:dyDescent="0.1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row>
    <row r="839" spans="1:40" ht="18.75" customHeight="1" x14ac:dyDescent="0.1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row>
    <row r="840" spans="1:40" ht="18.75" customHeight="1" x14ac:dyDescent="0.1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row>
    <row r="841" spans="1:40" ht="18.75" customHeight="1" x14ac:dyDescent="0.1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row>
    <row r="842" spans="1:40" ht="18.75" customHeight="1" x14ac:dyDescent="0.1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row>
    <row r="843" spans="1:40" ht="18.75" customHeight="1" x14ac:dyDescent="0.1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row>
    <row r="844" spans="1:40" ht="18.75" customHeight="1" x14ac:dyDescent="0.1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row>
    <row r="845" spans="1:40" ht="18.75" customHeight="1" x14ac:dyDescent="0.1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row>
    <row r="846" spans="1:40" ht="18.75" customHeight="1" x14ac:dyDescent="0.1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row>
    <row r="847" spans="1:40" ht="18.75" customHeight="1" x14ac:dyDescent="0.1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row>
    <row r="848" spans="1:40" ht="18.75" customHeight="1" x14ac:dyDescent="0.1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row>
    <row r="849" spans="1:40" ht="18.75" customHeight="1" x14ac:dyDescent="0.1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row>
    <row r="850" spans="1:40" ht="18.75" customHeight="1" x14ac:dyDescent="0.1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row>
    <row r="851" spans="1:40" ht="18.75" customHeight="1" x14ac:dyDescent="0.1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row>
    <row r="852" spans="1:40" ht="18.75" customHeight="1" x14ac:dyDescent="0.1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row>
    <row r="853" spans="1:40" ht="18.75" customHeight="1" x14ac:dyDescent="0.1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row>
    <row r="854" spans="1:40" ht="18.75" customHeight="1" x14ac:dyDescent="0.1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row>
    <row r="855" spans="1:40" ht="18.75" customHeight="1" x14ac:dyDescent="0.1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row>
    <row r="856" spans="1:40" ht="18.75" customHeight="1" x14ac:dyDescent="0.1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row>
    <row r="857" spans="1:40" ht="18.75" customHeight="1" x14ac:dyDescent="0.1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row>
    <row r="858" spans="1:40" ht="18.75" customHeight="1" x14ac:dyDescent="0.1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row>
    <row r="859" spans="1:40" ht="18.75" customHeight="1" x14ac:dyDescent="0.1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row>
    <row r="860" spans="1:40" ht="18.75" customHeight="1" x14ac:dyDescent="0.1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row>
    <row r="861" spans="1:40" ht="18.75" customHeight="1" x14ac:dyDescent="0.1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row>
    <row r="862" spans="1:40" ht="18.75" customHeight="1" x14ac:dyDescent="0.1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row>
    <row r="863" spans="1:40" ht="18.75" customHeight="1" x14ac:dyDescent="0.1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row>
    <row r="864" spans="1:40" ht="18.75" customHeight="1" x14ac:dyDescent="0.1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row>
    <row r="865" spans="1:40" ht="18.75" customHeight="1" x14ac:dyDescent="0.1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row>
    <row r="866" spans="1:40" ht="18.75" customHeight="1" x14ac:dyDescent="0.1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row>
    <row r="867" spans="1:40" ht="18.75" customHeight="1" x14ac:dyDescent="0.1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row>
    <row r="868" spans="1:40" ht="18.75" customHeight="1" x14ac:dyDescent="0.1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row>
    <row r="869" spans="1:40" ht="18.75" customHeight="1" x14ac:dyDescent="0.1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row>
    <row r="870" spans="1:40" ht="18.75" customHeight="1" x14ac:dyDescent="0.1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row>
    <row r="871" spans="1:40" ht="18.75" customHeight="1" x14ac:dyDescent="0.1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row>
    <row r="872" spans="1:40" ht="18.75" customHeight="1" x14ac:dyDescent="0.1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row>
    <row r="873" spans="1:40" ht="18.75" customHeight="1" x14ac:dyDescent="0.1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row>
    <row r="874" spans="1:40" ht="18.75" customHeight="1" x14ac:dyDescent="0.1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row>
    <row r="875" spans="1:40" ht="18.75" customHeight="1" x14ac:dyDescent="0.1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row>
    <row r="876" spans="1:40" ht="18.75" customHeight="1" x14ac:dyDescent="0.1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row>
    <row r="877" spans="1:40" ht="18.75" customHeight="1" x14ac:dyDescent="0.1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row>
    <row r="878" spans="1:40" ht="18.75" customHeight="1" x14ac:dyDescent="0.1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row>
    <row r="879" spans="1:40" ht="18.75" customHeight="1" x14ac:dyDescent="0.1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row>
    <row r="880" spans="1:40" ht="18.75" customHeight="1" x14ac:dyDescent="0.1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row>
    <row r="881" spans="1:40" ht="18.75" customHeight="1" x14ac:dyDescent="0.1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row>
    <row r="882" spans="1:40" ht="18.75" customHeight="1" x14ac:dyDescent="0.1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row>
    <row r="883" spans="1:40" ht="18.75" customHeight="1" x14ac:dyDescent="0.1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row>
    <row r="884" spans="1:40" ht="18.75" customHeight="1" x14ac:dyDescent="0.1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row>
    <row r="885" spans="1:40" ht="18.75" customHeight="1" x14ac:dyDescent="0.1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row>
    <row r="886" spans="1:40" ht="18.75" customHeight="1" x14ac:dyDescent="0.1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row>
    <row r="887" spans="1:40" ht="18.75" customHeight="1" x14ac:dyDescent="0.1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row>
    <row r="888" spans="1:40" ht="18.75" customHeight="1" x14ac:dyDescent="0.1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row>
    <row r="889" spans="1:40" ht="18.75" customHeight="1" x14ac:dyDescent="0.1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row>
    <row r="890" spans="1:40" ht="18.75" customHeight="1" x14ac:dyDescent="0.1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row>
    <row r="891" spans="1:40" ht="18.75" customHeight="1" x14ac:dyDescent="0.1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row>
    <row r="892" spans="1:40" ht="18.75" customHeight="1" x14ac:dyDescent="0.1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row>
    <row r="893" spans="1:40" ht="18.75" customHeight="1" x14ac:dyDescent="0.1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row>
    <row r="894" spans="1:40" ht="18.75" customHeight="1" x14ac:dyDescent="0.1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row>
    <row r="895" spans="1:40" ht="18.75" customHeight="1" x14ac:dyDescent="0.1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row>
    <row r="896" spans="1:40" ht="18.75" customHeight="1" x14ac:dyDescent="0.1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row>
    <row r="897" spans="1:40" ht="18.75" customHeight="1" x14ac:dyDescent="0.1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row>
    <row r="898" spans="1:40" ht="18.75" customHeight="1" x14ac:dyDescent="0.1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row>
    <row r="899" spans="1:40" ht="18.75" customHeight="1" x14ac:dyDescent="0.1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row>
    <row r="900" spans="1:40" ht="18.75" customHeight="1" x14ac:dyDescent="0.1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row>
    <row r="901" spans="1:40" ht="18.75" customHeight="1" x14ac:dyDescent="0.1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row>
    <row r="902" spans="1:40" ht="18.75" customHeight="1" x14ac:dyDescent="0.1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row>
    <row r="903" spans="1:40" ht="18.75" customHeight="1" x14ac:dyDescent="0.1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row>
    <row r="904" spans="1:40" ht="18.75" customHeight="1" x14ac:dyDescent="0.1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row>
    <row r="905" spans="1:40" ht="18.75" customHeight="1" x14ac:dyDescent="0.1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row>
    <row r="906" spans="1:40" ht="18.75" customHeight="1" x14ac:dyDescent="0.1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row>
    <row r="907" spans="1:40" ht="18.75" customHeight="1" x14ac:dyDescent="0.1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row>
    <row r="908" spans="1:40" ht="18.75" customHeight="1" x14ac:dyDescent="0.1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row>
    <row r="909" spans="1:40" ht="18.75" customHeight="1" x14ac:dyDescent="0.1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row>
    <row r="910" spans="1:40" ht="18.75" customHeight="1" x14ac:dyDescent="0.1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row>
    <row r="911" spans="1:40" ht="18.75" customHeight="1" x14ac:dyDescent="0.1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row>
    <row r="912" spans="1:40" ht="18.75" customHeight="1" x14ac:dyDescent="0.1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row>
    <row r="913" spans="1:40" ht="18.75" customHeight="1" x14ac:dyDescent="0.1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row>
    <row r="914" spans="1:40" ht="18.75" customHeight="1" x14ac:dyDescent="0.1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row>
    <row r="915" spans="1:40" ht="18.75" customHeight="1" x14ac:dyDescent="0.1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row>
    <row r="916" spans="1:40" ht="18.75" customHeight="1" x14ac:dyDescent="0.1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row>
    <row r="917" spans="1:40" ht="18.75" customHeight="1" x14ac:dyDescent="0.1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row>
    <row r="918" spans="1:40" ht="18.75" customHeight="1" x14ac:dyDescent="0.1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row>
    <row r="919" spans="1:40" ht="18.75" customHeight="1" x14ac:dyDescent="0.1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row>
    <row r="920" spans="1:40" ht="18.75" customHeight="1" x14ac:dyDescent="0.1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row>
    <row r="921" spans="1:40" ht="18.75" customHeight="1" x14ac:dyDescent="0.1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row>
    <row r="922" spans="1:40" ht="18.75" customHeight="1" x14ac:dyDescent="0.1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row>
    <row r="923" spans="1:40" ht="18.75" customHeight="1" x14ac:dyDescent="0.1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row>
    <row r="924" spans="1:40" ht="18.75" customHeight="1" x14ac:dyDescent="0.1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row>
    <row r="925" spans="1:40" ht="18.75" customHeight="1" x14ac:dyDescent="0.1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row>
    <row r="926" spans="1:40" ht="18.75" customHeight="1" x14ac:dyDescent="0.1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row>
    <row r="927" spans="1:40" ht="18.75" customHeight="1" x14ac:dyDescent="0.1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row>
    <row r="928" spans="1:40" ht="18.75" customHeight="1" x14ac:dyDescent="0.1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row>
    <row r="929" spans="1:40" ht="18.75" customHeight="1" x14ac:dyDescent="0.1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row>
    <row r="930" spans="1:40" ht="18.75" customHeight="1" x14ac:dyDescent="0.1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row>
    <row r="931" spans="1:40" ht="18.75" customHeight="1" x14ac:dyDescent="0.1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row>
    <row r="932" spans="1:40" ht="18.75" customHeight="1" x14ac:dyDescent="0.1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row>
    <row r="933" spans="1:40" ht="18.75" customHeight="1" x14ac:dyDescent="0.1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row>
    <row r="934" spans="1:40" ht="18.75" customHeight="1" x14ac:dyDescent="0.1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row>
    <row r="935" spans="1:40" ht="18.75" customHeight="1" x14ac:dyDescent="0.1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row>
    <row r="936" spans="1:40" ht="18.75" customHeight="1" x14ac:dyDescent="0.1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row>
    <row r="937" spans="1:40" ht="18.75" customHeight="1" x14ac:dyDescent="0.1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row>
    <row r="938" spans="1:40" ht="18.75" customHeight="1" x14ac:dyDescent="0.1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row>
    <row r="939" spans="1:40" ht="18.75" customHeight="1" x14ac:dyDescent="0.1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row>
    <row r="940" spans="1:40" ht="18.75" customHeight="1" x14ac:dyDescent="0.1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row>
    <row r="941" spans="1:40" ht="18.75" customHeight="1" x14ac:dyDescent="0.1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row>
    <row r="942" spans="1:40" ht="18.75" customHeight="1" x14ac:dyDescent="0.1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row>
    <row r="943" spans="1:40" ht="18.75" customHeight="1" x14ac:dyDescent="0.1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row>
    <row r="944" spans="1:40" ht="18.75" customHeight="1" x14ac:dyDescent="0.1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row>
    <row r="945" spans="1:40" ht="18.75" customHeight="1" x14ac:dyDescent="0.1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row>
    <row r="946" spans="1:40" ht="18.75" customHeight="1" x14ac:dyDescent="0.1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row>
    <row r="947" spans="1:40" ht="18.75" customHeight="1" x14ac:dyDescent="0.1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row>
    <row r="948" spans="1:40" ht="18.75" customHeight="1" x14ac:dyDescent="0.1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row>
    <row r="949" spans="1:40" ht="18.75" customHeight="1" x14ac:dyDescent="0.1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row>
    <row r="950" spans="1:40" ht="18.75" customHeight="1" x14ac:dyDescent="0.1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row>
    <row r="951" spans="1:40" ht="18.75" customHeight="1" x14ac:dyDescent="0.1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row>
    <row r="952" spans="1:40" ht="18.75" customHeight="1" x14ac:dyDescent="0.1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row>
    <row r="953" spans="1:40" ht="18.75" customHeight="1" x14ac:dyDescent="0.1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row>
    <row r="954" spans="1:40" ht="18.75" customHeight="1" x14ac:dyDescent="0.1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row>
    <row r="955" spans="1:40" ht="18.75" customHeight="1" x14ac:dyDescent="0.1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row>
    <row r="956" spans="1:40" ht="18.75" customHeight="1" x14ac:dyDescent="0.1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row>
    <row r="957" spans="1:40" ht="18.75" customHeight="1" x14ac:dyDescent="0.1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row>
    <row r="958" spans="1:40" ht="18.75" customHeight="1" x14ac:dyDescent="0.1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row>
    <row r="959" spans="1:40" ht="18.75" customHeight="1" x14ac:dyDescent="0.1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row>
    <row r="960" spans="1:40" ht="18.75" customHeight="1" x14ac:dyDescent="0.1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row>
    <row r="961" spans="1:40" ht="18.75" customHeight="1" x14ac:dyDescent="0.1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row>
    <row r="962" spans="1:40" ht="18.75" customHeight="1" x14ac:dyDescent="0.1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row>
    <row r="963" spans="1:40" ht="18.75" customHeight="1" x14ac:dyDescent="0.1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row>
    <row r="964" spans="1:40" ht="18.75" customHeight="1" x14ac:dyDescent="0.1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row>
    <row r="965" spans="1:40" ht="18.75" customHeight="1" x14ac:dyDescent="0.1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row>
    <row r="966" spans="1:40" ht="18.75" customHeight="1" x14ac:dyDescent="0.1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row>
    <row r="967" spans="1:40" ht="18.75" customHeight="1" x14ac:dyDescent="0.1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row>
    <row r="968" spans="1:40" ht="18.75" customHeight="1" x14ac:dyDescent="0.1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row>
    <row r="969" spans="1:40" ht="18.75" customHeight="1" x14ac:dyDescent="0.1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row>
    <row r="970" spans="1:40" ht="18.75" customHeight="1" x14ac:dyDescent="0.1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row>
    <row r="971" spans="1:40" ht="18.75" customHeight="1" x14ac:dyDescent="0.1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row>
    <row r="972" spans="1:40" ht="18.75" customHeight="1" x14ac:dyDescent="0.1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row>
    <row r="973" spans="1:40" ht="18.75" customHeight="1" x14ac:dyDescent="0.1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row>
    <row r="974" spans="1:40" ht="18.75" customHeight="1" x14ac:dyDescent="0.1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row>
    <row r="975" spans="1:40" ht="18.75" customHeight="1" x14ac:dyDescent="0.1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row>
    <row r="976" spans="1:40" ht="18.75" customHeight="1" x14ac:dyDescent="0.1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row>
    <row r="977" spans="1:40" ht="18.75" customHeight="1" x14ac:dyDescent="0.1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row>
    <row r="978" spans="1:40" ht="18.75" customHeight="1" x14ac:dyDescent="0.1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row>
    <row r="979" spans="1:40" ht="18.75" customHeight="1" x14ac:dyDescent="0.1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row>
    <row r="980" spans="1:40" ht="18.75" customHeight="1" x14ac:dyDescent="0.1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row>
    <row r="981" spans="1:40" ht="18.75" customHeight="1" x14ac:dyDescent="0.1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row>
    <row r="982" spans="1:40" ht="18.75" customHeight="1" x14ac:dyDescent="0.1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row>
    <row r="983" spans="1:40" ht="18.75" customHeight="1" x14ac:dyDescent="0.1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row>
    <row r="984" spans="1:40" ht="18.75" customHeight="1" x14ac:dyDescent="0.1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row>
    <row r="985" spans="1:40" ht="18.75" customHeight="1" x14ac:dyDescent="0.1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row>
    <row r="986" spans="1:40" ht="18.75" customHeight="1" x14ac:dyDescent="0.1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row>
    <row r="987" spans="1:40" ht="18.75" customHeight="1" x14ac:dyDescent="0.1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row>
    <row r="988" spans="1:40" ht="18.75" customHeight="1" x14ac:dyDescent="0.1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row>
    <row r="989" spans="1:40" ht="18.75" customHeight="1" x14ac:dyDescent="0.1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row>
    <row r="990" spans="1:40" ht="18.75" customHeight="1" x14ac:dyDescent="0.1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row>
    <row r="991" spans="1:40" ht="18.75" customHeight="1" x14ac:dyDescent="0.1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row>
    <row r="992" spans="1:40" ht="18.75" customHeight="1" x14ac:dyDescent="0.1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row>
    <row r="993" spans="1:40" ht="18.75" customHeight="1" x14ac:dyDescent="0.1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row>
    <row r="994" spans="1:40" ht="18.75" customHeight="1" x14ac:dyDescent="0.1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row>
    <row r="995" spans="1:40" ht="18.75" customHeight="1" x14ac:dyDescent="0.1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row>
    <row r="996" spans="1:40" ht="18.75" customHeight="1" x14ac:dyDescent="0.1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row>
    <row r="997" spans="1:40" ht="18.75" customHeight="1" x14ac:dyDescent="0.1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row>
    <row r="998" spans="1:40" ht="18.75" customHeight="1" x14ac:dyDescent="0.1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row>
    <row r="999" spans="1:40" ht="18.75" customHeight="1" x14ac:dyDescent="0.1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row>
    <row r="1000" spans="1:40" ht="18.75" customHeight="1" x14ac:dyDescent="0.1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row>
  </sheetData>
  <mergeCells count="3">
    <mergeCell ref="A66:M66"/>
    <mergeCell ref="A38:M38"/>
    <mergeCell ref="A12:M12"/>
  </mergeCells>
  <conditionalFormatting sqref="B8">
    <cfRule type="cellIs" dxfId="2" priority="12" operator="equal">
      <formula>TRUE</formula>
    </cfRule>
  </conditionalFormatting>
  <conditionalFormatting sqref="A13:M19 A25:M37 B24:M24 A21:M23 A20:D20 F20:M20">
    <cfRule type="colorScale" priority="16">
      <colorScale>
        <cfvo type="min"/>
        <cfvo type="percentile" val="50"/>
        <cfvo type="max"/>
        <color rgb="FF63BE7B"/>
        <color rgb="FFFFEB84"/>
        <color rgb="FFF8696B"/>
      </colorScale>
    </cfRule>
  </conditionalFormatting>
  <conditionalFormatting sqref="A41:M65">
    <cfRule type="colorScale" priority="17">
      <colorScale>
        <cfvo type="min"/>
        <cfvo type="percentile" val="50"/>
        <cfvo type="max"/>
        <color rgb="FF63BE7B"/>
        <color rgb="FFFFEB84"/>
        <color rgb="FFF8696B"/>
      </colorScale>
    </cfRule>
  </conditionalFormatting>
  <conditionalFormatting sqref="A66">
    <cfRule type="colorScale" priority="9">
      <colorScale>
        <cfvo type="min"/>
        <cfvo type="percentile" val="50"/>
        <cfvo type="max"/>
        <color rgb="FF63BE7B"/>
        <color rgb="FFFFEB84"/>
        <color rgb="FFF8696B"/>
      </colorScale>
    </cfRule>
  </conditionalFormatting>
  <conditionalFormatting sqref="A68:M92">
    <cfRule type="colorScale" priority="18">
      <colorScale>
        <cfvo type="min"/>
        <cfvo type="percentile" val="50"/>
        <cfvo type="max"/>
        <color rgb="FF63BE7B"/>
        <color rgb="FFFFEB84"/>
        <color rgb="FFF8696B"/>
      </colorScale>
    </cfRule>
  </conditionalFormatting>
  <conditionalFormatting sqref="A38">
    <cfRule type="colorScale" priority="8">
      <colorScale>
        <cfvo type="min"/>
        <cfvo type="percentile" val="50"/>
        <cfvo type="max"/>
        <color rgb="FF63BE7B"/>
        <color rgb="FFFFEB84"/>
        <color rgb="FFF8696B"/>
      </colorScale>
    </cfRule>
  </conditionalFormatting>
  <conditionalFormatting sqref="A12">
    <cfRule type="colorScale" priority="7">
      <colorScale>
        <cfvo type="min"/>
        <cfvo type="percentile" val="50"/>
        <cfvo type="max"/>
        <color rgb="FF63BE7B"/>
        <color rgb="FFFFEB84"/>
        <color rgb="FFF8696B"/>
      </colorScale>
    </cfRule>
  </conditionalFormatting>
  <conditionalFormatting sqref="A24">
    <cfRule type="dataBar" priority="5">
      <dataBar>
        <cfvo type="min"/>
        <cfvo type="max"/>
        <color rgb="FF638EC6"/>
      </dataBar>
      <extLst>
        <ext xmlns:x14="http://schemas.microsoft.com/office/spreadsheetml/2009/9/main" uri="{B025F937-C7B1-47D3-B67F-A62EFF666E3E}">
          <x14:id>{C6034F81-819D-4571-8190-8AC5389B1564}</x14:id>
        </ext>
      </extLst>
    </cfRule>
    <cfRule type="colorScale" priority="6">
      <colorScale>
        <cfvo type="min"/>
        <cfvo type="percentile" val="50"/>
        <cfvo type="max"/>
        <color rgb="FF63BE7B"/>
        <color rgb="FFFFEB84"/>
        <color rgb="FFF8696B"/>
      </colorScale>
    </cfRule>
  </conditionalFormatting>
  <conditionalFormatting sqref="E20">
    <cfRule type="colorScale" priority="4">
      <colorScale>
        <cfvo type="min"/>
        <cfvo type="percentile" val="50"/>
        <cfvo type="max"/>
        <color rgb="FF63BE7B"/>
        <color rgb="FFFFEB84"/>
        <color rgb="FFF8696B"/>
      </colorScale>
    </cfRule>
  </conditionalFormatting>
  <conditionalFormatting sqref="B25 B23 C22 C24 C26 D21 E20 D23 E22 D25 E24 D27 E26 E28">
    <cfRule type="dataBar" priority="3">
      <dataBar>
        <cfvo type="min"/>
        <cfvo type="max"/>
        <color rgb="FF638EC6"/>
      </dataBar>
      <extLst>
        <ext xmlns:x14="http://schemas.microsoft.com/office/spreadsheetml/2009/9/main" uri="{B025F937-C7B1-47D3-B67F-A62EFF666E3E}">
          <x14:id>{9ECE7C6F-6601-442B-9993-F92FF12E2AB0}</x14:id>
        </ext>
      </extLst>
    </cfRule>
  </conditionalFormatting>
  <conditionalFormatting sqref="I14 F19 G18 H17 I16 J15 K14 L13">
    <cfRule type="dataBar" priority="2">
      <dataBar>
        <cfvo type="min"/>
        <cfvo type="max"/>
        <color rgb="FF638EC6"/>
      </dataBar>
      <extLst>
        <ext xmlns:x14="http://schemas.microsoft.com/office/spreadsheetml/2009/9/main" uri="{B025F937-C7B1-47D3-B67F-A62EFF666E3E}">
          <x14:id>{1DC42844-2F38-4628-8CA4-B79254EF5AE4}</x14:id>
        </ext>
      </extLst>
    </cfRule>
  </conditionalFormatting>
  <conditionalFormatting sqref="F16 F21 F23 F25 F27 F29 G30 G26 G28 G24 G22 G20 H19 I18 J17 K16 L15 L17 K18 J19 I20 H21 H23 I22 J21 K20 L19 L21 K22 J23 I24 H25 H27 J25 K24 L23 L25 K26 J27 I26 I28 H29 I30 H31 I32 J33 K34 L35 L33 K32 J31 K30 J29 K28 L27 L29 L31">
    <cfRule type="dataBar" priority="1">
      <dataBar>
        <cfvo type="min"/>
        <cfvo type="max"/>
        <color rgb="FF638EC6"/>
      </dataBar>
      <extLst>
        <ext xmlns:x14="http://schemas.microsoft.com/office/spreadsheetml/2009/9/main" uri="{B025F937-C7B1-47D3-B67F-A62EFF666E3E}">
          <x14:id>{9BC2B1BE-C468-472D-B449-499C39BD9910}</x14:id>
        </ext>
      </extLst>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863600</xdr:colOff>
                    <xdr:row>6</xdr:row>
                    <xdr:rowOff>177800</xdr:rowOff>
                  </from>
                  <to>
                    <xdr:col>8</xdr:col>
                    <xdr:colOff>444500</xdr:colOff>
                    <xdr:row>8</xdr:row>
                    <xdr:rowOff>177800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292100</xdr:colOff>
                    <xdr:row>6</xdr:row>
                    <xdr:rowOff>152400</xdr:rowOff>
                  </from>
                  <to>
                    <xdr:col>11</xdr:col>
                    <xdr:colOff>63500</xdr:colOff>
                    <xdr:row>8</xdr:row>
                    <xdr:rowOff>177800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825500</xdr:colOff>
                    <xdr:row>1</xdr:row>
                    <xdr:rowOff>457200</xdr:rowOff>
                  </from>
                  <to>
                    <xdr:col>11</xdr:col>
                    <xdr:colOff>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6034F81-819D-4571-8190-8AC5389B1564}">
            <x14:dataBar minLength="0" maxLength="100" border="1" negativeBarBorderColorSameAsPositive="0">
              <x14:cfvo type="autoMin"/>
              <x14:cfvo type="autoMax"/>
              <x14:borderColor rgb="FF638EC6"/>
              <x14:negativeFillColor rgb="FFFF0000"/>
              <x14:negativeBorderColor rgb="FFFF0000"/>
              <x14:axisColor rgb="FF000000"/>
            </x14:dataBar>
          </x14:cfRule>
          <xm:sqref>A24</xm:sqref>
        </x14:conditionalFormatting>
        <x14:conditionalFormatting xmlns:xm="http://schemas.microsoft.com/office/excel/2006/main">
          <x14:cfRule type="dataBar" id="{9ECE7C6F-6601-442B-9993-F92FF12E2AB0}">
            <x14:dataBar minLength="0" maxLength="100" border="1" negativeBarBorderColorSameAsPositive="0">
              <x14:cfvo type="autoMin"/>
              <x14:cfvo type="autoMax"/>
              <x14:borderColor rgb="FF638EC6"/>
              <x14:negativeFillColor rgb="FFFF0000"/>
              <x14:negativeBorderColor rgb="FFFF0000"/>
              <x14:axisColor rgb="FF000000"/>
            </x14:dataBar>
          </x14:cfRule>
          <xm:sqref>B25 B23 C22 C24 C26 D21 E20 D23 E22 D25 E24 D27 E26 E28</xm:sqref>
        </x14:conditionalFormatting>
        <x14:conditionalFormatting xmlns:xm="http://schemas.microsoft.com/office/excel/2006/main">
          <x14:cfRule type="dataBar" id="{1DC42844-2F38-4628-8CA4-B79254EF5AE4}">
            <x14:dataBar minLength="0" maxLength="100" border="1" negativeBarBorderColorSameAsPositive="0">
              <x14:cfvo type="autoMin"/>
              <x14:cfvo type="autoMax"/>
              <x14:borderColor rgb="FF638EC6"/>
              <x14:negativeFillColor rgb="FFFF0000"/>
              <x14:negativeBorderColor rgb="FFFF0000"/>
              <x14:axisColor rgb="FF000000"/>
            </x14:dataBar>
          </x14:cfRule>
          <xm:sqref>I14 F19 G18 H17 I16 J15 K14 L13</xm:sqref>
        </x14:conditionalFormatting>
        <x14:conditionalFormatting xmlns:xm="http://schemas.microsoft.com/office/excel/2006/main">
          <x14:cfRule type="dataBar" id="{9BC2B1BE-C468-472D-B449-499C39BD9910}">
            <x14:dataBar minLength="0" maxLength="100" border="1" negativeBarBorderColorSameAsPositive="0">
              <x14:cfvo type="autoMin"/>
              <x14:cfvo type="autoMax"/>
              <x14:borderColor rgb="FF638EC6"/>
              <x14:negativeFillColor rgb="FFFF0000"/>
              <x14:negativeBorderColor rgb="FFFF0000"/>
              <x14:axisColor rgb="FF000000"/>
            </x14:dataBar>
          </x14:cfRule>
          <xm:sqref>F16 F21 F23 F25 F27 F29 G30 G26 G28 G24 G22 G20 H19 I18 J17 K16 L15 L17 K18 J19 I20 H21 H23 I22 J21 K20 L19 L21 K22 J23 I24 H25 H27 J25 K24 L23 L25 K26 J27 I26 I28 H29 I30 H31 I32 J33 K34 L35 L33 K32 J31 K30 J29 K28 L27 L29 L31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G13" sqref="G13"/>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6" width="7.6640625" customWidth="1"/>
  </cols>
  <sheetData>
    <row r="1" spans="2:16" ht="60" customHeight="1" x14ac:dyDescent="0.6">
      <c r="B1" s="16" t="s">
        <v>33</v>
      </c>
    </row>
    <row r="2" spans="2:16" x14ac:dyDescent="0.2">
      <c r="B2" s="153" t="s">
        <v>34</v>
      </c>
      <c r="C2" s="154"/>
      <c r="D2" s="154"/>
      <c r="E2" s="149"/>
      <c r="F2" s="5"/>
      <c r="G2" s="5"/>
      <c r="H2" s="12"/>
    </row>
    <row r="3" spans="2:16" x14ac:dyDescent="0.2">
      <c r="B3" s="32"/>
      <c r="C3" s="33"/>
      <c r="D3" s="33"/>
      <c r="E3" s="34"/>
      <c r="I3" s="35" t="s">
        <v>35</v>
      </c>
      <c r="J3" s="36"/>
      <c r="K3" s="36"/>
      <c r="L3" s="36"/>
      <c r="M3" s="36"/>
      <c r="N3" s="36"/>
      <c r="O3" s="36"/>
      <c r="P3" s="36"/>
    </row>
    <row r="4" spans="2:16" x14ac:dyDescent="0.2">
      <c r="B4" s="37"/>
      <c r="C4" s="21" t="s">
        <v>36</v>
      </c>
      <c r="D4" s="38">
        <f>(LN(Stock/Exercise)+(Rate-dividend_rate+(Sigma^2)/2)*Time)/(Sigma*SQRT(Time))</f>
        <v>-0.24395082084716024</v>
      </c>
      <c r="E4" s="39"/>
      <c r="I4" s="40" t="str">
        <f>GetCF(d_1)</f>
        <v>D4:  =(LN(Stock/Exercise)+(Rate-dividend_rate+(Sigma^2)/2)*Time)/(Sigma*SQRT(Time))</v>
      </c>
      <c r="J4" s="36"/>
      <c r="K4" s="36"/>
      <c r="L4" s="36"/>
      <c r="M4" s="36"/>
      <c r="N4" s="36"/>
      <c r="O4" s="36"/>
      <c r="P4" s="36"/>
    </row>
    <row r="5" spans="2:16" x14ac:dyDescent="0.2">
      <c r="B5" s="37"/>
      <c r="C5" s="21" t="s">
        <v>37</v>
      </c>
      <c r="D5" s="38">
        <f>(LN(Stock/Exercise)+(Rate-dividend_rate-(Sigma^2)/2)*Time)/(Sigma*SQRT(Time))</f>
        <v>-0.44395082084716025</v>
      </c>
      <c r="E5" s="39"/>
      <c r="I5" s="40" t="str">
        <f>GetCF(d_2)</f>
        <v>D5:  =(LN(Stock/Exercise)+(Rate-dividend_rate-(Sigma^2)/2)*Time)/(Sigma*SQRT(Time))</v>
      </c>
      <c r="J5" s="36"/>
      <c r="K5" s="36"/>
      <c r="L5" s="36"/>
      <c r="M5" s="36"/>
      <c r="N5" s="36"/>
      <c r="O5" s="36"/>
      <c r="P5" s="36"/>
    </row>
    <row r="6" spans="2:16" x14ac:dyDescent="0.2">
      <c r="B6" s="37"/>
      <c r="C6" s="21" t="s">
        <v>38</v>
      </c>
      <c r="D6" s="38">
        <f>_xlfn.NORM.S.DIST(d_1,TRUE)</f>
        <v>0.40363445428639244</v>
      </c>
      <c r="E6" s="39"/>
      <c r="I6" s="40" t="str">
        <f>GetCF(Nd_1)</f>
        <v>D6:  =NORM.S.DIST(d_1,TRUE)</v>
      </c>
      <c r="J6" s="36"/>
      <c r="K6" s="36"/>
      <c r="L6" s="36"/>
      <c r="M6" s="36"/>
      <c r="N6" s="36"/>
      <c r="O6" s="36"/>
      <c r="P6" s="36"/>
    </row>
    <row r="7" spans="2:16" x14ac:dyDescent="0.2">
      <c r="B7" s="37"/>
      <c r="C7" s="21" t="s">
        <v>39</v>
      </c>
      <c r="D7" s="38">
        <f>_xlfn.NORM.S.DIST(d_2,TRUE)</f>
        <v>0.32853907017735839</v>
      </c>
      <c r="E7" s="39"/>
      <c r="I7" s="40" t="str">
        <f>GetCF(Nd_2)</f>
        <v>D7:  =NORM.S.DIST(d_2,TRUE)</v>
      </c>
      <c r="J7" s="36"/>
      <c r="K7" s="36"/>
      <c r="L7" s="36"/>
      <c r="M7" s="36"/>
      <c r="N7" s="36"/>
      <c r="O7" s="36"/>
      <c r="P7" s="36"/>
    </row>
    <row r="8" spans="2:16" x14ac:dyDescent="0.2">
      <c r="B8" s="37"/>
      <c r="C8" s="21" t="s">
        <v>40</v>
      </c>
      <c r="D8" s="38">
        <f>_xlfn.NORM.S.DIST(-d_1,TRUE)</f>
        <v>0.59636554571360756</v>
      </c>
      <c r="E8" s="39"/>
      <c r="I8" s="40" t="str">
        <f>GetCF(Nminusd_1)</f>
        <v>D8:  =NORM.S.DIST(-d_1,TRUE)</v>
      </c>
      <c r="J8" s="36"/>
      <c r="K8" s="36"/>
      <c r="L8" s="36"/>
      <c r="M8" s="36"/>
      <c r="N8" s="36"/>
      <c r="O8" s="36"/>
      <c r="P8" s="36"/>
    </row>
    <row r="9" spans="2:16" x14ac:dyDescent="0.2">
      <c r="B9" s="37"/>
      <c r="C9" s="21" t="s">
        <v>41</v>
      </c>
      <c r="D9" s="38">
        <f>_xlfn.NORM.S.DIST(-d_2,TRUE)</f>
        <v>0.67146092982264161</v>
      </c>
      <c r="E9" s="39"/>
      <c r="I9" s="40" t="str">
        <f>GetCF(Nminusd_2)</f>
        <v>D9:  =NORM.S.DIST(-d_2,TRUE)</v>
      </c>
      <c r="J9" s="36"/>
      <c r="K9" s="36"/>
      <c r="L9" s="36"/>
      <c r="M9" s="36"/>
      <c r="N9" s="36"/>
      <c r="O9" s="36"/>
      <c r="P9" s="36"/>
    </row>
    <row r="10" spans="2:16" ht="14.25" hidden="1" customHeight="1" x14ac:dyDescent="0.2">
      <c r="B10" s="37"/>
      <c r="C10" s="41" t="s">
        <v>42</v>
      </c>
      <c r="D10" s="42">
        <f>Stock*Nd_1*EXP(-dividend_rate*Time)-Exercise*EXP(-Rate*Time)*Nd_2</f>
        <v>5.0171698948859103</v>
      </c>
      <c r="E10" s="39"/>
      <c r="I10" s="40" t="str">
        <f t="shared" ref="I10:I11" si="0">GetCF(D10)</f>
        <v>D10:  =Stock*Nd_1*EXP(-dividend_rate*Time)-Exercise*EXP(-Rate*Time)*Nd_2</v>
      </c>
      <c r="J10" s="36"/>
      <c r="K10" s="36"/>
      <c r="L10" s="36"/>
      <c r="M10" s="36"/>
      <c r="N10" s="36"/>
      <c r="O10" s="36"/>
      <c r="P10" s="36"/>
    </row>
    <row r="11" spans="2:16" hidden="1" x14ac:dyDescent="0.2">
      <c r="B11" s="37"/>
      <c r="C11" s="41" t="s">
        <v>12</v>
      </c>
      <c r="D11" s="43">
        <f>Exercise*EXP(-Rate*Time)*Nminusd_2-Stock*Nminusd_1*EXP(-dividend_rate*Time)</f>
        <v>11.927849083697744</v>
      </c>
      <c r="E11" s="39"/>
      <c r="I11" s="40" t="str">
        <f t="shared" si="0"/>
        <v>D11:  =Exercise*EXP(-Rate*Time)*Nminusd_2-Stock*Nminusd_1*EXP(-dividend_rate*Time)</v>
      </c>
      <c r="J11" s="36"/>
      <c r="K11" s="36"/>
      <c r="L11" s="36"/>
      <c r="M11" s="36"/>
      <c r="N11" s="36"/>
      <c r="O11" s="36"/>
      <c r="P11" s="36"/>
    </row>
    <row r="12" spans="2:16" ht="32" x14ac:dyDescent="0.2">
      <c r="B12" s="44"/>
      <c r="C12" s="45" t="s">
        <v>43</v>
      </c>
      <c r="D12" s="46">
        <f>IF(bs_option_type="Call",Stock*Nd_1*EXP(-dividend_rate*Time)-Exercise*EXP(-Rate*Time)*Nd_2,IF(bs_option_type="Put",Exercise*EXP(-Rate*Time)*Nminusd_2-Stock*Nminusd_1*EXP(-dividend_rate*Time),"Please choose an option type (Call or Put)"))</f>
        <v>5.0171698948859103</v>
      </c>
      <c r="E12" s="47"/>
      <c r="I12" s="48" t="str">
        <f>"If it's a call then we calculate as the following: "&amp;RIGHT(GetCF(D10),LEN(GetCF(D10))-FIND("=",GetCF(D10)))</f>
        <v>If it's a call then we calculate as the following: Stock*Nd_1*EXP(-dividend_rate*Time)-Exercise*EXP(-Rate*Time)*Nd_2</v>
      </c>
      <c r="J12" s="36"/>
      <c r="K12" s="36"/>
      <c r="L12" s="36"/>
      <c r="M12" s="36"/>
      <c r="N12" s="36"/>
      <c r="O12" s="36"/>
      <c r="P12" s="36"/>
    </row>
    <row r="13" spans="2:16" ht="32" x14ac:dyDescent="0.2">
      <c r="I13" s="48" t="str">
        <f>"when it's a put, we use the following expression: "&amp;RIGHT(GetCF(D11),LEN(GetCF(D11))-FIND("=",GetCF(D11)))</f>
        <v>when it's a put, we use the following expression: Exercise*EXP(-Rate*Time)*Nminusd_2-Stock*Nminusd_1*EXP(-dividend_rate*Time)</v>
      </c>
      <c r="J13" s="36"/>
      <c r="K13" s="36"/>
      <c r="L13" s="36"/>
      <c r="M13" s="36"/>
      <c r="N13" s="36"/>
      <c r="O13" s="36"/>
      <c r="P13" s="36"/>
    </row>
    <row r="14" spans="2:16" x14ac:dyDescent="0.2">
      <c r="C14" s="49" t="s">
        <v>44</v>
      </c>
      <c r="D14" s="46">
        <v>5.0171698948859103</v>
      </c>
    </row>
    <row r="16" spans="2:16" ht="32" x14ac:dyDescent="0.2">
      <c r="C16" s="50" t="s">
        <v>45</v>
      </c>
      <c r="D16" s="23" t="b">
        <f>vba_bs_result=D12</f>
        <v>1</v>
      </c>
      <c r="E16" s="51"/>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1" priority="1" operator="equal">
      <formula>"FALSE"</formula>
    </cfRule>
  </conditionalFormatting>
  <conditionalFormatting sqref="D16">
    <cfRule type="containsText" dxfId="0"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203200</xdr:colOff>
                    <xdr:row>2</xdr:row>
                    <xdr:rowOff>101600</xdr:rowOff>
                  </from>
                  <to>
                    <xdr:col>7</xdr:col>
                    <xdr:colOff>520700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139700</xdr:rowOff>
                  </from>
                  <to>
                    <xdr:col>7</xdr:col>
                    <xdr:colOff>495300</xdr:colOff>
                    <xdr:row>11</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N3105"/>
  <sheetViews>
    <sheetView workbookViewId="0">
      <selection activeCell="E2" sqref="E2"/>
    </sheetView>
  </sheetViews>
  <sheetFormatPr baseColWidth="10" defaultColWidth="10.6640625" defaultRowHeight="14" x14ac:dyDescent="0.15"/>
  <cols>
    <col min="5" max="5" width="30.83203125" customWidth="1"/>
    <col min="6" max="6" width="25" customWidth="1"/>
    <col min="11" max="11" width="15.83203125" customWidth="1"/>
    <col min="12" max="12" width="18.1640625" customWidth="1"/>
    <col min="13" max="13" width="18.83203125" customWidth="1"/>
    <col min="14" max="14" width="18.6640625" customWidth="1"/>
  </cols>
  <sheetData>
    <row r="1" spans="1:14" s="58" customFormat="1" x14ac:dyDescent="0.15"/>
    <row r="2" spans="1:14" s="58" customFormat="1" ht="37" x14ac:dyDescent="0.35">
      <c r="E2" s="80"/>
      <c r="F2" s="80" t="s">
        <v>61</v>
      </c>
    </row>
    <row r="3" spans="1:14" s="58" customFormat="1" ht="38" thickBot="1" x14ac:dyDescent="0.4">
      <c r="E3" s="80"/>
      <c r="F3" s="80"/>
    </row>
    <row r="4" spans="1:14" s="58" customFormat="1" ht="38" thickBot="1" x14ac:dyDescent="0.4">
      <c r="A4" s="155" t="s">
        <v>52</v>
      </c>
      <c r="B4" s="156"/>
      <c r="C4" s="156"/>
      <c r="D4" s="156"/>
      <c r="E4" s="156"/>
      <c r="F4" s="157"/>
      <c r="H4" s="158" t="s">
        <v>62</v>
      </c>
      <c r="I4" s="159"/>
      <c r="J4" s="159"/>
      <c r="K4" s="159"/>
      <c r="L4" s="159"/>
      <c r="M4" s="159"/>
      <c r="N4" s="160"/>
    </row>
    <row r="5" spans="1:14" s="58" customFormat="1" x14ac:dyDescent="0.15"/>
    <row r="6" spans="1:14" ht="16" thickBot="1" x14ac:dyDescent="0.25">
      <c r="A6" s="71" t="s">
        <v>59</v>
      </c>
      <c r="B6" s="68"/>
      <c r="C6" s="68"/>
      <c r="D6" s="67"/>
      <c r="E6" s="67"/>
      <c r="F6" s="67"/>
      <c r="G6" s="67"/>
      <c r="H6" s="67"/>
      <c r="I6" s="67"/>
      <c r="J6" s="67"/>
    </row>
    <row r="7" spans="1:14" ht="15" x14ac:dyDescent="0.2">
      <c r="A7" s="72" t="s">
        <v>60</v>
      </c>
      <c r="B7" s="69" t="s">
        <v>46</v>
      </c>
      <c r="C7" s="82" t="s">
        <v>53</v>
      </c>
      <c r="D7" s="84" t="s">
        <v>64</v>
      </c>
      <c r="E7" s="110" t="s">
        <v>65</v>
      </c>
      <c r="F7" s="110" t="s">
        <v>57</v>
      </c>
      <c r="G7" s="67"/>
      <c r="H7" s="94" t="s">
        <v>60</v>
      </c>
      <c r="I7" s="95" t="s">
        <v>46</v>
      </c>
      <c r="J7" s="95" t="s">
        <v>53</v>
      </c>
      <c r="K7" s="96" t="s">
        <v>54</v>
      </c>
      <c r="L7" s="97" t="s">
        <v>55</v>
      </c>
      <c r="M7" s="98" t="s">
        <v>56</v>
      </c>
      <c r="N7" s="99" t="s">
        <v>63</v>
      </c>
    </row>
    <row r="8" spans="1:14" ht="15" x14ac:dyDescent="0.2">
      <c r="A8" s="73">
        <v>44487</v>
      </c>
      <c r="B8" s="70">
        <v>113.78</v>
      </c>
      <c r="C8" s="85">
        <v>125898</v>
      </c>
      <c r="D8" s="88">
        <v>-9.7476066144474016E-3</v>
      </c>
      <c r="E8" s="119">
        <v>0.15921839645963498</v>
      </c>
      <c r="F8" s="119">
        <v>2.2184189094642332E-2</v>
      </c>
      <c r="G8" s="67"/>
      <c r="H8" s="100">
        <v>43830</v>
      </c>
      <c r="I8" s="83">
        <v>130.47999999999999</v>
      </c>
      <c r="J8" s="86">
        <v>272778</v>
      </c>
      <c r="K8" s="90">
        <v>1.8</v>
      </c>
      <c r="L8" s="92">
        <v>1.3795217657878604E-2</v>
      </c>
      <c r="M8" s="93">
        <v>1.8820362880159498E-2</v>
      </c>
      <c r="N8" s="101">
        <v>1.8645451045686053E-2</v>
      </c>
    </row>
    <row r="9" spans="1:14" ht="15" x14ac:dyDescent="0.2">
      <c r="A9" s="73">
        <v>44484</v>
      </c>
      <c r="B9" s="70">
        <v>114.9</v>
      </c>
      <c r="C9" s="85">
        <v>1541664</v>
      </c>
      <c r="D9" s="88">
        <v>1.3585038814396766E-2</v>
      </c>
      <c r="E9" s="111"/>
      <c r="F9" s="120" t="s">
        <v>58</v>
      </c>
      <c r="G9" s="67"/>
      <c r="H9" s="100">
        <v>43465</v>
      </c>
      <c r="I9" s="83">
        <v>83.96</v>
      </c>
      <c r="J9" s="86">
        <v>426473</v>
      </c>
      <c r="K9" s="90">
        <v>1.65</v>
      </c>
      <c r="L9" s="92">
        <v>1.96522153406384E-2</v>
      </c>
      <c r="M9" s="91"/>
      <c r="N9" s="102"/>
    </row>
    <row r="10" spans="1:14" ht="16" thickBot="1" x14ac:dyDescent="0.25">
      <c r="A10" s="73">
        <v>44483</v>
      </c>
      <c r="B10" s="70">
        <v>113.36</v>
      </c>
      <c r="C10" s="85">
        <v>1286858</v>
      </c>
      <c r="D10" s="88">
        <v>9.0795798468932265E-3</v>
      </c>
      <c r="E10" s="81"/>
      <c r="F10" s="121">
        <v>0.35216308429232845</v>
      </c>
      <c r="G10" s="67"/>
      <c r="H10" s="100">
        <v>43098</v>
      </c>
      <c r="I10" s="83">
        <v>83</v>
      </c>
      <c r="J10" s="86">
        <v>1578785</v>
      </c>
      <c r="K10" s="90">
        <v>1.5</v>
      </c>
      <c r="L10" s="92">
        <v>1.8072289156626505E-2</v>
      </c>
      <c r="M10" s="91"/>
      <c r="N10" s="102"/>
    </row>
    <row r="11" spans="1:14" ht="15" x14ac:dyDescent="0.2">
      <c r="A11" s="73">
        <v>44482</v>
      </c>
      <c r="B11" s="70">
        <v>112.34</v>
      </c>
      <c r="C11" s="85">
        <v>1246440</v>
      </c>
      <c r="D11" s="88">
        <v>-7.9477216531260719E-3</v>
      </c>
      <c r="E11" s="67"/>
      <c r="F11" s="67"/>
      <c r="G11" s="67"/>
      <c r="H11" s="100">
        <v>42734</v>
      </c>
      <c r="I11" s="83">
        <v>62.84</v>
      </c>
      <c r="J11" s="86">
        <v>1215943</v>
      </c>
      <c r="K11" s="90">
        <v>1.35</v>
      </c>
      <c r="L11" s="92">
        <v>2.1483131763208149E-2</v>
      </c>
      <c r="M11" s="91"/>
      <c r="N11" s="102"/>
    </row>
    <row r="12" spans="1:14" ht="15" x14ac:dyDescent="0.2">
      <c r="A12" s="73">
        <v>44481</v>
      </c>
      <c r="B12" s="70">
        <v>113.24</v>
      </c>
      <c r="C12" s="85">
        <v>1212402</v>
      </c>
      <c r="D12" s="88">
        <v>-5.0957652433667455E-3</v>
      </c>
      <c r="E12" s="74"/>
      <c r="F12" s="67"/>
      <c r="G12" s="67"/>
      <c r="H12" s="100">
        <v>42369</v>
      </c>
      <c r="I12" s="83">
        <v>62</v>
      </c>
      <c r="J12" s="86">
        <v>409212</v>
      </c>
      <c r="K12" s="90">
        <v>1.3</v>
      </c>
      <c r="L12" s="92">
        <v>2.0967741935483872E-2</v>
      </c>
      <c r="M12" s="91"/>
      <c r="N12" s="102"/>
    </row>
    <row r="13" spans="1:14" ht="15" x14ac:dyDescent="0.2">
      <c r="A13" s="73">
        <v>44480</v>
      </c>
      <c r="B13" s="70">
        <v>113.82</v>
      </c>
      <c r="C13" s="85">
        <v>785366</v>
      </c>
      <c r="D13" s="88">
        <v>5.2994170641229577E-3</v>
      </c>
      <c r="E13" s="67"/>
      <c r="F13" s="67"/>
      <c r="G13" s="67"/>
      <c r="H13" s="100">
        <v>42004</v>
      </c>
      <c r="I13" s="83">
        <v>41.35</v>
      </c>
      <c r="J13" s="86">
        <v>511732</v>
      </c>
      <c r="K13" s="90">
        <v>1.2</v>
      </c>
      <c r="L13" s="92">
        <v>2.9020556227327687E-2</v>
      </c>
      <c r="M13" s="91"/>
      <c r="N13" s="102"/>
    </row>
    <row r="14" spans="1:14" ht="15" x14ac:dyDescent="0.2">
      <c r="A14" s="73">
        <v>44477</v>
      </c>
      <c r="B14" s="70">
        <v>113.22</v>
      </c>
      <c r="C14" s="85">
        <v>1301126</v>
      </c>
      <c r="D14" s="88">
        <v>-8.5814360770578579E-3</v>
      </c>
      <c r="E14" s="67"/>
      <c r="F14" s="67"/>
      <c r="G14" s="67"/>
      <c r="H14" s="100">
        <v>41639</v>
      </c>
      <c r="I14" s="83">
        <v>55.81</v>
      </c>
      <c r="J14" s="86">
        <v>357259</v>
      </c>
      <c r="K14" s="90">
        <v>0.75</v>
      </c>
      <c r="L14" s="92">
        <v>1.3438451890342233E-2</v>
      </c>
      <c r="M14" s="91"/>
      <c r="N14" s="102"/>
    </row>
    <row r="15" spans="1:14" ht="15" x14ac:dyDescent="0.2">
      <c r="A15" s="73">
        <v>44476</v>
      </c>
      <c r="B15" s="70">
        <v>114.2</v>
      </c>
      <c r="C15" s="85">
        <v>1465696</v>
      </c>
      <c r="D15" s="88">
        <v>6.8770939869511327E-3</v>
      </c>
      <c r="E15" s="67"/>
      <c r="F15" s="67"/>
      <c r="G15" s="67"/>
      <c r="H15" s="100">
        <v>41274</v>
      </c>
      <c r="I15" s="83">
        <v>29.5</v>
      </c>
      <c r="J15" s="86">
        <v>474607</v>
      </c>
      <c r="K15" s="90">
        <v>0.6</v>
      </c>
      <c r="L15" s="92">
        <v>2.0338983050847456E-2</v>
      </c>
      <c r="M15" s="91"/>
      <c r="N15" s="102"/>
    </row>
    <row r="16" spans="1:14" ht="16" thickBot="1" x14ac:dyDescent="0.25">
      <c r="A16" s="73">
        <v>44475</v>
      </c>
      <c r="B16" s="70">
        <v>113.42</v>
      </c>
      <c r="C16" s="85">
        <v>1592220</v>
      </c>
      <c r="D16" s="88">
        <v>-1.4424748001390264E-2</v>
      </c>
      <c r="E16" s="67"/>
      <c r="F16" s="67"/>
      <c r="G16" s="67"/>
      <c r="H16" s="103">
        <v>40543</v>
      </c>
      <c r="I16" s="104">
        <v>17.440000000000001</v>
      </c>
      <c r="J16" s="105">
        <v>452496</v>
      </c>
      <c r="K16" s="106">
        <v>0.22</v>
      </c>
      <c r="L16" s="107">
        <v>1.2614678899082568E-2</v>
      </c>
      <c r="M16" s="108"/>
      <c r="N16" s="109"/>
    </row>
    <row r="17" spans="1:10" ht="15" x14ac:dyDescent="0.2">
      <c r="A17" s="73">
        <v>44474</v>
      </c>
      <c r="B17" s="70">
        <v>115.08</v>
      </c>
      <c r="C17" s="85">
        <v>1344477</v>
      </c>
      <c r="D17" s="88">
        <v>1.2493401372514423E-2</v>
      </c>
      <c r="E17" s="67"/>
      <c r="F17" s="67"/>
      <c r="G17" s="67"/>
      <c r="H17" s="67"/>
      <c r="I17" s="67"/>
      <c r="J17" s="67"/>
    </row>
    <row r="18" spans="1:10" ht="15" x14ac:dyDescent="0.2">
      <c r="A18" s="73">
        <v>44473</v>
      </c>
      <c r="B18" s="70">
        <v>113.66</v>
      </c>
      <c r="C18" s="85">
        <v>1545522</v>
      </c>
      <c r="D18" s="88">
        <v>-2.5047177903585571E-2</v>
      </c>
      <c r="E18" s="67"/>
      <c r="F18" s="67"/>
      <c r="G18" s="67"/>
      <c r="H18" s="67"/>
      <c r="I18" s="67"/>
      <c r="J18" s="67"/>
    </row>
    <row r="19" spans="1:10" ht="15" x14ac:dyDescent="0.2">
      <c r="A19" s="73">
        <v>44470</v>
      </c>
      <c r="B19" s="70">
        <v>116.58</v>
      </c>
      <c r="C19" s="85">
        <v>1638193</v>
      </c>
      <c r="D19" s="88">
        <v>1.2858384013900936E-2</v>
      </c>
      <c r="E19" s="67"/>
      <c r="F19" s="67"/>
      <c r="G19" s="67"/>
      <c r="H19" s="67"/>
      <c r="I19" s="67"/>
      <c r="J19" s="67"/>
    </row>
    <row r="20" spans="1:10" ht="15" x14ac:dyDescent="0.2">
      <c r="A20" s="73">
        <v>44469</v>
      </c>
      <c r="B20" s="70">
        <v>115.1</v>
      </c>
      <c r="C20" s="85">
        <v>1891572</v>
      </c>
      <c r="D20" s="88">
        <v>-1.8755328218243883E-2</v>
      </c>
      <c r="E20" s="67"/>
      <c r="F20" s="67"/>
      <c r="G20" s="67"/>
      <c r="H20" s="67"/>
      <c r="I20" s="67"/>
      <c r="J20" s="67"/>
    </row>
    <row r="21" spans="1:10" ht="15" x14ac:dyDescent="0.2">
      <c r="A21" s="73">
        <v>44468</v>
      </c>
      <c r="B21" s="70">
        <v>117.3</v>
      </c>
      <c r="C21" s="85">
        <v>1856224</v>
      </c>
      <c r="D21" s="88">
        <v>3.4756527875793974E-2</v>
      </c>
      <c r="E21" s="67"/>
      <c r="F21" s="67"/>
      <c r="G21" s="67"/>
      <c r="H21" s="67"/>
      <c r="I21" s="67"/>
      <c r="J21" s="67"/>
    </row>
    <row r="22" spans="1:10" ht="15" x14ac:dyDescent="0.2">
      <c r="A22" s="73">
        <v>44467</v>
      </c>
      <c r="B22" s="70">
        <v>113.36</v>
      </c>
      <c r="C22" s="85">
        <v>1789397</v>
      </c>
      <c r="D22" s="88">
        <v>-3.3094506994199913E-2</v>
      </c>
      <c r="E22" s="87"/>
    </row>
    <row r="23" spans="1:10" ht="15" x14ac:dyDescent="0.2">
      <c r="A23" s="73">
        <v>44466</v>
      </c>
      <c r="B23" s="70">
        <v>117.24</v>
      </c>
      <c r="C23" s="85">
        <v>1577958</v>
      </c>
      <c r="D23" s="88">
        <v>1.5944540727902856E-2</v>
      </c>
      <c r="E23" s="87"/>
    </row>
    <row r="24" spans="1:10" ht="15" x14ac:dyDescent="0.2">
      <c r="A24" s="73">
        <v>44463</v>
      </c>
      <c r="B24" s="70">
        <v>115.4</v>
      </c>
      <c r="C24" s="85">
        <v>974686</v>
      </c>
      <c r="D24" s="88">
        <v>-1.097017483716145E-2</v>
      </c>
      <c r="E24" s="87"/>
    </row>
    <row r="25" spans="1:10" ht="15" x14ac:dyDescent="0.2">
      <c r="A25" s="73">
        <v>44462</v>
      </c>
      <c r="B25" s="70">
        <v>116.68</v>
      </c>
      <c r="C25" s="85">
        <v>1211204</v>
      </c>
      <c r="D25" s="88">
        <v>7.2513812154695323E-3</v>
      </c>
      <c r="E25" s="87"/>
    </row>
    <row r="26" spans="1:10" ht="15" x14ac:dyDescent="0.2">
      <c r="A26" s="73">
        <v>44461</v>
      </c>
      <c r="B26" s="70">
        <v>115.84</v>
      </c>
      <c r="C26" s="85">
        <v>1225883</v>
      </c>
      <c r="D26" s="88">
        <v>2.2598870056497189E-2</v>
      </c>
      <c r="E26" s="87"/>
    </row>
    <row r="27" spans="1:10" ht="15" x14ac:dyDescent="0.2">
      <c r="A27" s="73">
        <v>44460</v>
      </c>
      <c r="B27" s="70">
        <v>113.28</v>
      </c>
      <c r="C27" s="85">
        <v>1539371</v>
      </c>
      <c r="D27" s="88">
        <v>1.1970698588529505E-2</v>
      </c>
      <c r="E27" s="87"/>
    </row>
    <row r="28" spans="1:10" ht="15" x14ac:dyDescent="0.2">
      <c r="A28" s="73">
        <v>44459</v>
      </c>
      <c r="B28" s="70">
        <v>111.94</v>
      </c>
      <c r="C28" s="85">
        <v>2416938</v>
      </c>
      <c r="D28" s="88">
        <v>-9.7310686482662279E-3</v>
      </c>
      <c r="E28" s="87"/>
    </row>
    <row r="29" spans="1:10" ht="15" x14ac:dyDescent="0.2">
      <c r="A29" s="73">
        <v>44456</v>
      </c>
      <c r="B29" s="70">
        <v>113.04</v>
      </c>
      <c r="C29" s="85">
        <v>3390435</v>
      </c>
      <c r="D29" s="88">
        <v>-1.6016713091921875E-2</v>
      </c>
      <c r="E29" s="87"/>
    </row>
    <row r="30" spans="1:10" ht="15" x14ac:dyDescent="0.2">
      <c r="A30" s="73">
        <v>44455</v>
      </c>
      <c r="B30" s="70">
        <v>114.88</v>
      </c>
      <c r="C30" s="85">
        <v>1445194</v>
      </c>
      <c r="D30" s="88">
        <v>2.2427910288358888E-2</v>
      </c>
      <c r="E30" s="87"/>
    </row>
    <row r="31" spans="1:10" ht="15" x14ac:dyDescent="0.2">
      <c r="A31" s="73">
        <v>44454</v>
      </c>
      <c r="B31" s="70">
        <v>112.36</v>
      </c>
      <c r="C31" s="85">
        <v>1054477</v>
      </c>
      <c r="D31" s="88">
        <v>-3.5473572188720048E-3</v>
      </c>
      <c r="E31" s="87"/>
    </row>
    <row r="32" spans="1:10" ht="15" x14ac:dyDescent="0.2">
      <c r="A32" s="73">
        <v>44453</v>
      </c>
      <c r="B32" s="70">
        <v>112.76</v>
      </c>
      <c r="C32" s="85">
        <v>1132942</v>
      </c>
      <c r="D32" s="88">
        <v>-2.0159888773027435E-2</v>
      </c>
      <c r="E32" s="87"/>
    </row>
    <row r="33" spans="1:5" ht="15" x14ac:dyDescent="0.2">
      <c r="A33" s="73">
        <v>44452</v>
      </c>
      <c r="B33" s="70">
        <v>115.08</v>
      </c>
      <c r="C33" s="85">
        <v>1047597</v>
      </c>
      <c r="D33" s="88">
        <v>6.2959076600210828E-3</v>
      </c>
      <c r="E33" s="87"/>
    </row>
    <row r="34" spans="1:5" ht="15" x14ac:dyDescent="0.2">
      <c r="A34" s="73">
        <v>44449</v>
      </c>
      <c r="B34" s="70">
        <v>114.36</v>
      </c>
      <c r="C34" s="85">
        <v>1161466</v>
      </c>
      <c r="D34" s="88">
        <v>-7.2916666666666963E-3</v>
      </c>
      <c r="E34" s="87"/>
    </row>
    <row r="35" spans="1:5" ht="15" x14ac:dyDescent="0.2">
      <c r="A35" s="73">
        <v>44448</v>
      </c>
      <c r="B35" s="70">
        <v>115.2</v>
      </c>
      <c r="C35" s="85">
        <v>1168922</v>
      </c>
      <c r="D35" s="88">
        <v>1.3014421385860064E-2</v>
      </c>
      <c r="E35" s="87"/>
    </row>
    <row r="36" spans="1:5" ht="15" x14ac:dyDescent="0.2">
      <c r="A36" s="73">
        <v>44447</v>
      </c>
      <c r="B36" s="70">
        <v>113.72</v>
      </c>
      <c r="C36" s="85">
        <v>1134101</v>
      </c>
      <c r="D36" s="88">
        <v>-3.3304119193688919E-3</v>
      </c>
      <c r="E36" s="87"/>
    </row>
    <row r="37" spans="1:5" ht="15" x14ac:dyDescent="0.2">
      <c r="A37" s="73">
        <v>44446</v>
      </c>
      <c r="B37" s="70">
        <v>114.1</v>
      </c>
      <c r="C37" s="85">
        <v>892841</v>
      </c>
      <c r="D37" s="88">
        <v>-1.536071798412153E-2</v>
      </c>
      <c r="E37" s="87"/>
    </row>
    <row r="38" spans="1:5" ht="15" x14ac:dyDescent="0.2">
      <c r="A38" s="73">
        <v>44445</v>
      </c>
      <c r="B38" s="70">
        <v>115.88</v>
      </c>
      <c r="C38" s="85">
        <v>641283</v>
      </c>
      <c r="D38" s="88">
        <v>1.2229210342417751E-2</v>
      </c>
      <c r="E38" s="87"/>
    </row>
    <row r="39" spans="1:5" ht="15" x14ac:dyDescent="0.2">
      <c r="A39" s="73">
        <v>44442</v>
      </c>
      <c r="B39" s="70">
        <v>114.48</v>
      </c>
      <c r="C39" s="85">
        <v>896433</v>
      </c>
      <c r="D39" s="88">
        <v>-1.9695153279671196E-2</v>
      </c>
      <c r="E39" s="87"/>
    </row>
    <row r="40" spans="1:5" ht="15" x14ac:dyDescent="0.2">
      <c r="A40" s="73">
        <v>44441</v>
      </c>
      <c r="B40" s="70">
        <v>116.78</v>
      </c>
      <c r="C40" s="85">
        <v>938576</v>
      </c>
      <c r="D40" s="88">
        <v>-1.0338983050847461E-2</v>
      </c>
      <c r="E40" s="87"/>
    </row>
    <row r="41" spans="1:5" ht="15" x14ac:dyDescent="0.2">
      <c r="A41" s="73">
        <v>44440</v>
      </c>
      <c r="B41" s="70">
        <v>118</v>
      </c>
      <c r="C41" s="85">
        <v>1478587</v>
      </c>
      <c r="D41" s="88">
        <v>1.9878997407087207E-2</v>
      </c>
      <c r="E41" s="87"/>
    </row>
    <row r="42" spans="1:5" ht="15" x14ac:dyDescent="0.2">
      <c r="A42" s="73">
        <v>44439</v>
      </c>
      <c r="B42" s="70">
        <v>115.7</v>
      </c>
      <c r="C42" s="85">
        <v>1518227</v>
      </c>
      <c r="D42" s="88">
        <v>7.3132509141564661E-3</v>
      </c>
      <c r="E42" s="87"/>
    </row>
    <row r="43" spans="1:5" ht="15" x14ac:dyDescent="0.2">
      <c r="A43" s="73">
        <v>44438</v>
      </c>
      <c r="B43" s="70">
        <v>114.86</v>
      </c>
      <c r="C43" s="85">
        <v>505387</v>
      </c>
      <c r="D43" s="88">
        <v>-1.3910624239262814E-3</v>
      </c>
      <c r="E43" s="87"/>
    </row>
    <row r="44" spans="1:5" ht="15" x14ac:dyDescent="0.2">
      <c r="A44" s="73">
        <v>44435</v>
      </c>
      <c r="B44" s="70">
        <v>115.02</v>
      </c>
      <c r="C44" s="85">
        <v>669090</v>
      </c>
      <c r="D44" s="88">
        <v>1.7391304347813552E-4</v>
      </c>
      <c r="E44" s="87"/>
    </row>
    <row r="45" spans="1:5" ht="15" x14ac:dyDescent="0.2">
      <c r="A45" s="73">
        <v>44434</v>
      </c>
      <c r="B45" s="70">
        <v>115</v>
      </c>
      <c r="C45" s="85">
        <v>686226</v>
      </c>
      <c r="D45" s="88">
        <v>-7.9365079365079083E-3</v>
      </c>
      <c r="E45" s="87"/>
    </row>
    <row r="46" spans="1:5" ht="15" x14ac:dyDescent="0.2">
      <c r="A46" s="73">
        <v>44433</v>
      </c>
      <c r="B46" s="70">
        <v>115.92</v>
      </c>
      <c r="C46" s="85">
        <v>1279245</v>
      </c>
      <c r="D46" s="88">
        <v>2.1681649920676893E-2</v>
      </c>
      <c r="E46" s="87"/>
    </row>
    <row r="47" spans="1:5" ht="15" x14ac:dyDescent="0.2">
      <c r="A47" s="73">
        <v>44432</v>
      </c>
      <c r="B47" s="70">
        <v>113.46</v>
      </c>
      <c r="C47" s="85">
        <v>847802</v>
      </c>
      <c r="D47" s="88">
        <v>1.5574650912996812E-2</v>
      </c>
      <c r="E47" s="87"/>
    </row>
    <row r="48" spans="1:5" ht="15" x14ac:dyDescent="0.2">
      <c r="A48" s="73">
        <v>44431</v>
      </c>
      <c r="B48" s="70">
        <v>111.72</v>
      </c>
      <c r="C48" s="85">
        <v>795534</v>
      </c>
      <c r="D48" s="88">
        <v>1.1223750905141161E-2</v>
      </c>
      <c r="E48" s="87"/>
    </row>
    <row r="49" spans="1:5" ht="15" x14ac:dyDescent="0.2">
      <c r="A49" s="73">
        <v>44428</v>
      </c>
      <c r="B49" s="70">
        <v>110.48</v>
      </c>
      <c r="C49" s="85">
        <v>989618</v>
      </c>
      <c r="D49" s="88">
        <v>3.9985459832787562E-3</v>
      </c>
      <c r="E49" s="87"/>
    </row>
    <row r="50" spans="1:5" ht="15" x14ac:dyDescent="0.2">
      <c r="A50" s="73">
        <v>44427</v>
      </c>
      <c r="B50" s="70">
        <v>110.04</v>
      </c>
      <c r="C50" s="85">
        <v>1616551</v>
      </c>
      <c r="D50" s="88">
        <v>-3.1508537229360978E-2</v>
      </c>
      <c r="E50" s="87"/>
    </row>
    <row r="51" spans="1:5" ht="15" x14ac:dyDescent="0.2">
      <c r="A51" s="73">
        <v>44426</v>
      </c>
      <c r="B51" s="70">
        <v>113.62</v>
      </c>
      <c r="C51" s="85">
        <v>904719</v>
      </c>
      <c r="D51" s="88">
        <v>7.0459749867879395E-4</v>
      </c>
      <c r="E51" s="87"/>
    </row>
    <row r="52" spans="1:5" ht="15" x14ac:dyDescent="0.2">
      <c r="A52" s="73">
        <v>44425</v>
      </c>
      <c r="B52" s="70">
        <v>113.54</v>
      </c>
      <c r="C52" s="85">
        <v>924576</v>
      </c>
      <c r="D52" s="88">
        <v>-9.4224393648577598E-3</v>
      </c>
      <c r="E52" s="87"/>
    </row>
    <row r="53" spans="1:5" ht="15" x14ac:dyDescent="0.2">
      <c r="A53" s="73">
        <v>44424</v>
      </c>
      <c r="B53" s="70">
        <v>114.62</v>
      </c>
      <c r="C53" s="85">
        <v>611241</v>
      </c>
      <c r="D53" s="88">
        <v>-7.103257103257099E-3</v>
      </c>
      <c r="E53" s="87"/>
    </row>
    <row r="54" spans="1:5" ht="15" x14ac:dyDescent="0.2">
      <c r="A54" s="73">
        <v>44421</v>
      </c>
      <c r="B54" s="70">
        <v>115.44</v>
      </c>
      <c r="C54" s="85">
        <v>681571</v>
      </c>
      <c r="D54" s="88">
        <v>1.214223764093747E-3</v>
      </c>
      <c r="E54" s="87"/>
    </row>
    <row r="55" spans="1:5" ht="15" x14ac:dyDescent="0.2">
      <c r="A55" s="73">
        <v>44420</v>
      </c>
      <c r="B55" s="70">
        <v>115.3</v>
      </c>
      <c r="C55" s="85">
        <v>817945</v>
      </c>
      <c r="D55" s="88">
        <v>-3.6294503975112802E-3</v>
      </c>
      <c r="E55" s="87"/>
    </row>
    <row r="56" spans="1:5" ht="15" x14ac:dyDescent="0.2">
      <c r="A56" s="73">
        <v>44419</v>
      </c>
      <c r="B56" s="70">
        <v>115.72</v>
      </c>
      <c r="C56" s="85">
        <v>712806</v>
      </c>
      <c r="D56" s="88">
        <v>4.8627995831886928E-3</v>
      </c>
      <c r="E56" s="87"/>
    </row>
    <row r="57" spans="1:5" ht="15" x14ac:dyDescent="0.2">
      <c r="A57" s="73">
        <v>44418</v>
      </c>
      <c r="B57" s="70">
        <v>115.16</v>
      </c>
      <c r="C57" s="85">
        <v>916010</v>
      </c>
      <c r="D57" s="88">
        <v>3.4855350296270071E-3</v>
      </c>
      <c r="E57" s="87"/>
    </row>
    <row r="58" spans="1:5" ht="15" x14ac:dyDescent="0.2">
      <c r="A58" s="73">
        <v>44417</v>
      </c>
      <c r="B58" s="70">
        <v>114.76</v>
      </c>
      <c r="C58" s="85">
        <v>753338</v>
      </c>
      <c r="D58" s="88">
        <v>-1.8306244653550019E-2</v>
      </c>
      <c r="E58" s="87"/>
    </row>
    <row r="59" spans="1:5" ht="15" x14ac:dyDescent="0.2">
      <c r="A59" s="73">
        <v>44414</v>
      </c>
      <c r="B59" s="70">
        <v>116.9</v>
      </c>
      <c r="C59" s="85">
        <v>1045415</v>
      </c>
      <c r="D59" s="88">
        <v>2.2290809327847327E-3</v>
      </c>
      <c r="E59" s="87"/>
    </row>
    <row r="60" spans="1:5" ht="15" x14ac:dyDescent="0.2">
      <c r="A60" s="73">
        <v>44413</v>
      </c>
      <c r="B60" s="70">
        <v>116.64</v>
      </c>
      <c r="C60" s="85">
        <v>1227423</v>
      </c>
      <c r="D60" s="88">
        <v>1.9224047535826738E-2</v>
      </c>
      <c r="E60" s="87"/>
    </row>
    <row r="61" spans="1:5" ht="15" x14ac:dyDescent="0.2">
      <c r="A61" s="73">
        <v>44412</v>
      </c>
      <c r="B61" s="70">
        <v>114.44</v>
      </c>
      <c r="C61" s="85">
        <v>1536356</v>
      </c>
      <c r="D61" s="88">
        <v>-2.9621885345879617E-3</v>
      </c>
      <c r="E61" s="87"/>
    </row>
    <row r="62" spans="1:5" ht="15" x14ac:dyDescent="0.2">
      <c r="A62" s="73">
        <v>44411</v>
      </c>
      <c r="B62" s="70">
        <v>114.78</v>
      </c>
      <c r="C62" s="85">
        <v>1446369</v>
      </c>
      <c r="D62" s="88">
        <v>-1.7126220243192325E-2</v>
      </c>
      <c r="E62" s="87"/>
    </row>
    <row r="63" spans="1:5" ht="15" x14ac:dyDescent="0.2">
      <c r="A63" s="73">
        <v>44410</v>
      </c>
      <c r="B63" s="70">
        <v>116.78</v>
      </c>
      <c r="C63" s="85">
        <v>1114904</v>
      </c>
      <c r="D63" s="88">
        <v>9.3344857389801028E-3</v>
      </c>
      <c r="E63" s="87"/>
    </row>
    <row r="64" spans="1:5" ht="15" x14ac:dyDescent="0.2">
      <c r="A64" s="73">
        <v>44407</v>
      </c>
      <c r="B64" s="70">
        <v>115.7</v>
      </c>
      <c r="C64" s="85">
        <v>2047519</v>
      </c>
      <c r="D64" s="88">
        <v>-2.586206896551646E-3</v>
      </c>
      <c r="E64" s="87"/>
    </row>
    <row r="65" spans="1:5" ht="15" x14ac:dyDescent="0.2">
      <c r="A65" s="73">
        <v>44406</v>
      </c>
      <c r="B65" s="70">
        <v>116</v>
      </c>
      <c r="C65" s="85">
        <v>2705991</v>
      </c>
      <c r="D65" s="88">
        <v>6.0711188204682909E-3</v>
      </c>
      <c r="E65" s="87"/>
    </row>
    <row r="66" spans="1:5" ht="15" x14ac:dyDescent="0.2">
      <c r="A66" s="73">
        <v>44405</v>
      </c>
      <c r="B66" s="70">
        <v>115.3</v>
      </c>
      <c r="C66" s="85">
        <v>1651513</v>
      </c>
      <c r="D66" s="88">
        <v>2.6531339031339085E-2</v>
      </c>
      <c r="E66" s="87"/>
    </row>
    <row r="67" spans="1:5" ht="15" x14ac:dyDescent="0.2">
      <c r="A67" s="73">
        <v>44404</v>
      </c>
      <c r="B67" s="70">
        <v>112.32</v>
      </c>
      <c r="C67" s="85">
        <v>1244190</v>
      </c>
      <c r="D67" s="88">
        <v>2.8571428571428914E-3</v>
      </c>
      <c r="E67" s="87"/>
    </row>
    <row r="68" spans="1:5" ht="15" x14ac:dyDescent="0.2">
      <c r="A68" s="73">
        <v>44403</v>
      </c>
      <c r="B68" s="70">
        <v>112</v>
      </c>
      <c r="C68" s="85">
        <v>1176450</v>
      </c>
      <c r="D68" s="88">
        <v>4.484304932735439E-3</v>
      </c>
      <c r="E68" s="87"/>
    </row>
    <row r="69" spans="1:5" ht="15" x14ac:dyDescent="0.2">
      <c r="A69" s="73">
        <v>44400</v>
      </c>
      <c r="B69" s="70">
        <v>111.5</v>
      </c>
      <c r="C69" s="85">
        <v>2048605</v>
      </c>
      <c r="D69" s="88">
        <v>1.8078889700511303E-2</v>
      </c>
      <c r="E69" s="87"/>
    </row>
    <row r="70" spans="1:5" ht="15" x14ac:dyDescent="0.2">
      <c r="A70" s="73">
        <v>44399</v>
      </c>
      <c r="B70" s="70">
        <v>109.52</v>
      </c>
      <c r="C70" s="85">
        <v>1324149</v>
      </c>
      <c r="D70" s="88">
        <v>-1.0122921185827916E-2</v>
      </c>
      <c r="E70" s="87"/>
    </row>
    <row r="71" spans="1:5" ht="15" x14ac:dyDescent="0.2">
      <c r="A71" s="73">
        <v>44398</v>
      </c>
      <c r="B71" s="70">
        <v>110.64</v>
      </c>
      <c r="C71" s="85">
        <v>2105827</v>
      </c>
      <c r="D71" s="88">
        <v>4.3773584905660412E-2</v>
      </c>
      <c r="E71" s="87"/>
    </row>
    <row r="72" spans="1:5" ht="15" x14ac:dyDescent="0.2">
      <c r="A72" s="73">
        <v>44397</v>
      </c>
      <c r="B72" s="70">
        <v>106</v>
      </c>
      <c r="C72" s="85">
        <v>1915970</v>
      </c>
      <c r="D72" s="88">
        <v>2.3363583703417623E-2</v>
      </c>
      <c r="E72" s="87"/>
    </row>
    <row r="73" spans="1:5" ht="15" x14ac:dyDescent="0.2">
      <c r="A73" s="73">
        <v>44396</v>
      </c>
      <c r="B73" s="70">
        <v>103.58</v>
      </c>
      <c r="C73" s="85">
        <v>3974206</v>
      </c>
      <c r="D73" s="88">
        <v>-6.3810556760665271E-2</v>
      </c>
      <c r="E73" s="87"/>
    </row>
    <row r="74" spans="1:5" ht="15" x14ac:dyDescent="0.2">
      <c r="A74" s="73">
        <v>44393</v>
      </c>
      <c r="B74" s="70">
        <v>110.64</v>
      </c>
      <c r="C74" s="85">
        <v>1556374</v>
      </c>
      <c r="D74" s="88">
        <v>2.1739130434781373E-3</v>
      </c>
      <c r="E74" s="87"/>
    </row>
    <row r="75" spans="1:5" ht="15" x14ac:dyDescent="0.2">
      <c r="A75" s="73">
        <v>44392</v>
      </c>
      <c r="B75" s="70">
        <v>110.4</v>
      </c>
      <c r="C75" s="85">
        <v>1673725</v>
      </c>
      <c r="D75" s="88">
        <v>-5.2261668769147951E-3</v>
      </c>
      <c r="E75" s="87"/>
    </row>
    <row r="76" spans="1:5" ht="15" x14ac:dyDescent="0.2">
      <c r="A76" s="73">
        <v>44391</v>
      </c>
      <c r="B76" s="70">
        <v>110.98</v>
      </c>
      <c r="C76" s="85">
        <v>1057178</v>
      </c>
      <c r="D76" s="88">
        <v>-2.3372887450556767E-3</v>
      </c>
      <c r="E76" s="87"/>
    </row>
    <row r="77" spans="1:5" ht="15" x14ac:dyDescent="0.2">
      <c r="A77" s="73">
        <v>44390</v>
      </c>
      <c r="B77" s="70">
        <v>111.24</v>
      </c>
      <c r="C77" s="85">
        <v>1387125</v>
      </c>
      <c r="D77" s="88">
        <v>-8.5561497326204217E-3</v>
      </c>
      <c r="E77" s="87"/>
    </row>
    <row r="78" spans="1:5" ht="15" x14ac:dyDescent="0.2">
      <c r="A78" s="73">
        <v>44389</v>
      </c>
      <c r="B78" s="70">
        <v>112.2</v>
      </c>
      <c r="C78" s="85">
        <v>1521422</v>
      </c>
      <c r="D78" s="88">
        <v>-4.9663001064207402E-3</v>
      </c>
      <c r="E78" s="87"/>
    </row>
    <row r="79" spans="1:5" ht="15" x14ac:dyDescent="0.2">
      <c r="A79" s="73">
        <v>44386</v>
      </c>
      <c r="B79" s="70">
        <v>112.76</v>
      </c>
      <c r="C79" s="85">
        <v>1837644</v>
      </c>
      <c r="D79" s="88">
        <v>3.4305631994129504E-2</v>
      </c>
      <c r="E79" s="87"/>
    </row>
    <row r="80" spans="1:5" ht="15" x14ac:dyDescent="0.2">
      <c r="A80" s="73">
        <v>44385</v>
      </c>
      <c r="B80" s="70">
        <v>109.02</v>
      </c>
      <c r="C80" s="85">
        <v>2112437</v>
      </c>
      <c r="D80" s="88">
        <v>-7.2846476051721121E-3</v>
      </c>
      <c r="E80" s="87"/>
    </row>
    <row r="81" spans="1:5" ht="15" x14ac:dyDescent="0.2">
      <c r="A81" s="73">
        <v>44384</v>
      </c>
      <c r="B81" s="70">
        <v>109.82</v>
      </c>
      <c r="C81" s="85">
        <v>1549039</v>
      </c>
      <c r="D81" s="88">
        <v>-9.5598845598845461E-3</v>
      </c>
      <c r="E81" s="87"/>
    </row>
    <row r="82" spans="1:5" ht="15" x14ac:dyDescent="0.2">
      <c r="A82" s="73">
        <v>44383</v>
      </c>
      <c r="B82" s="70">
        <v>110.88</v>
      </c>
      <c r="C82" s="85">
        <v>1090015</v>
      </c>
      <c r="D82" s="88">
        <v>-1.945525291828798E-2</v>
      </c>
      <c r="E82" s="87"/>
    </row>
    <row r="83" spans="1:5" ht="15" x14ac:dyDescent="0.2">
      <c r="A83" s="73">
        <v>44382</v>
      </c>
      <c r="B83" s="70">
        <v>113.08</v>
      </c>
      <c r="C83" s="85">
        <v>919942</v>
      </c>
      <c r="D83" s="88">
        <v>7.6635180894670807E-3</v>
      </c>
      <c r="E83" s="87"/>
    </row>
    <row r="84" spans="1:5" ht="15" x14ac:dyDescent="0.2">
      <c r="A84" s="73">
        <v>44379</v>
      </c>
      <c r="B84" s="70">
        <v>112.22</v>
      </c>
      <c r="C84" s="85">
        <v>1648830</v>
      </c>
      <c r="D84" s="88">
        <v>2.1110100090991679E-2</v>
      </c>
      <c r="E84" s="87"/>
    </row>
    <row r="85" spans="1:5" ht="15" x14ac:dyDescent="0.2">
      <c r="A85" s="73">
        <v>44378</v>
      </c>
      <c r="B85" s="70">
        <v>109.9</v>
      </c>
      <c r="C85" s="85">
        <v>1245443</v>
      </c>
      <c r="D85" s="88">
        <v>1.3463666543710895E-2</v>
      </c>
      <c r="E85" s="87"/>
    </row>
    <row r="86" spans="1:5" ht="15" x14ac:dyDescent="0.2">
      <c r="A86" s="73">
        <v>44377</v>
      </c>
      <c r="B86" s="70">
        <v>108.44</v>
      </c>
      <c r="C86" s="85">
        <v>1986579</v>
      </c>
      <c r="D86" s="88">
        <v>1.8407212622088664E-2</v>
      </c>
      <c r="E86" s="87"/>
    </row>
    <row r="87" spans="1:5" ht="15" x14ac:dyDescent="0.2">
      <c r="A87" s="73">
        <v>44376</v>
      </c>
      <c r="B87" s="70">
        <v>106.48</v>
      </c>
      <c r="C87" s="85">
        <v>1505310</v>
      </c>
      <c r="D87" s="88">
        <v>-5.7889822595703633E-3</v>
      </c>
      <c r="E87" s="87"/>
    </row>
    <row r="88" spans="1:5" ht="15" x14ac:dyDescent="0.2">
      <c r="A88" s="73">
        <v>44375</v>
      </c>
      <c r="B88" s="70">
        <v>107.1</v>
      </c>
      <c r="C88" s="85">
        <v>1510341</v>
      </c>
      <c r="D88" s="88">
        <v>-2.9187817258883197E-2</v>
      </c>
      <c r="E88" s="87"/>
    </row>
    <row r="89" spans="1:5" ht="15" x14ac:dyDescent="0.2">
      <c r="A89" s="73">
        <v>44372</v>
      </c>
      <c r="B89" s="70">
        <v>110.32</v>
      </c>
      <c r="C89" s="85">
        <v>1443544</v>
      </c>
      <c r="D89" s="88">
        <v>-1.4295925661186648E-2</v>
      </c>
      <c r="E89" s="87"/>
    </row>
    <row r="90" spans="1:5" ht="15" x14ac:dyDescent="0.2">
      <c r="A90" s="73">
        <v>44371</v>
      </c>
      <c r="B90" s="70">
        <v>111.92</v>
      </c>
      <c r="C90" s="85">
        <v>1232312</v>
      </c>
      <c r="D90" s="88">
        <v>5.5705300988320161E-3</v>
      </c>
      <c r="E90" s="87"/>
    </row>
    <row r="91" spans="1:5" ht="15" x14ac:dyDescent="0.2">
      <c r="A91" s="73">
        <v>44370</v>
      </c>
      <c r="B91" s="70">
        <v>111.3</v>
      </c>
      <c r="C91" s="85">
        <v>1089417</v>
      </c>
      <c r="D91" s="88">
        <v>-1.1896306818181879E-2</v>
      </c>
      <c r="E91" s="87"/>
    </row>
    <row r="92" spans="1:5" ht="15" x14ac:dyDescent="0.2">
      <c r="A92" s="73">
        <v>44369</v>
      </c>
      <c r="B92" s="70">
        <v>112.64</v>
      </c>
      <c r="C92" s="85">
        <v>1121429</v>
      </c>
      <c r="D92" s="88">
        <v>-2.4796315975912364E-3</v>
      </c>
      <c r="E92" s="87"/>
    </row>
    <row r="93" spans="1:5" ht="15" x14ac:dyDescent="0.2">
      <c r="A93" s="73">
        <v>44368</v>
      </c>
      <c r="B93" s="70">
        <v>112.92</v>
      </c>
      <c r="C93" s="85">
        <v>1176178</v>
      </c>
      <c r="D93" s="88">
        <v>1.7743080198722172E-3</v>
      </c>
      <c r="E93" s="87"/>
    </row>
    <row r="94" spans="1:5" ht="15" x14ac:dyDescent="0.2">
      <c r="A94" s="73">
        <v>44365</v>
      </c>
      <c r="B94" s="70">
        <v>112.72</v>
      </c>
      <c r="C94" s="85">
        <v>2224730</v>
      </c>
      <c r="D94" s="88">
        <v>-1.6404886561954601E-2</v>
      </c>
      <c r="E94" s="87"/>
    </row>
    <row r="95" spans="1:5" ht="15" x14ac:dyDescent="0.2">
      <c r="A95" s="73">
        <v>44364</v>
      </c>
      <c r="B95" s="70">
        <v>114.6</v>
      </c>
      <c r="C95" s="85">
        <v>1441039</v>
      </c>
      <c r="D95" s="88">
        <v>4.5582047685834848E-3</v>
      </c>
      <c r="E95" s="87"/>
    </row>
    <row r="96" spans="1:5" ht="15" x14ac:dyDescent="0.2">
      <c r="A96" s="73">
        <v>44363</v>
      </c>
      <c r="B96" s="70">
        <v>114.08</v>
      </c>
      <c r="C96" s="85">
        <v>1660779</v>
      </c>
      <c r="D96" s="88">
        <v>7.9519349708427889E-3</v>
      </c>
      <c r="E96" s="87"/>
    </row>
    <row r="97" spans="1:5" ht="15" x14ac:dyDescent="0.2">
      <c r="A97" s="73">
        <v>44362</v>
      </c>
      <c r="B97" s="70">
        <v>113.18</v>
      </c>
      <c r="C97" s="85">
        <v>1405518</v>
      </c>
      <c r="D97" s="88">
        <v>6.9395017793594249E-3</v>
      </c>
      <c r="E97" s="87"/>
    </row>
    <row r="98" spans="1:5" ht="15" x14ac:dyDescent="0.2">
      <c r="A98" s="73">
        <v>44361</v>
      </c>
      <c r="B98" s="70">
        <v>112.4</v>
      </c>
      <c r="C98" s="85">
        <v>1015695</v>
      </c>
      <c r="D98" s="88">
        <v>3.5599857600576712E-4</v>
      </c>
      <c r="E98" s="87"/>
    </row>
    <row r="99" spans="1:5" ht="15" x14ac:dyDescent="0.2">
      <c r="A99" s="73">
        <v>44358</v>
      </c>
      <c r="B99" s="70">
        <v>112.36</v>
      </c>
      <c r="C99" s="85">
        <v>1806452</v>
      </c>
      <c r="D99" s="88">
        <v>1.6648570394498741E-2</v>
      </c>
      <c r="E99" s="87"/>
    </row>
    <row r="100" spans="1:5" ht="15" x14ac:dyDescent="0.2">
      <c r="A100" s="73">
        <v>44357</v>
      </c>
      <c r="B100" s="70">
        <v>110.52</v>
      </c>
      <c r="C100" s="85">
        <v>1046648</v>
      </c>
      <c r="D100" s="88">
        <v>-7.2332730560575875E-4</v>
      </c>
      <c r="E100" s="87"/>
    </row>
    <row r="101" spans="1:5" ht="15" x14ac:dyDescent="0.2">
      <c r="A101" s="73">
        <v>44356</v>
      </c>
      <c r="B101" s="70">
        <v>110.6</v>
      </c>
      <c r="C101" s="85">
        <v>1035299</v>
      </c>
      <c r="D101" s="88">
        <v>9.0497737556560764E-4</v>
      </c>
      <c r="E101" s="87"/>
    </row>
    <row r="102" spans="1:5" ht="15" x14ac:dyDescent="0.2">
      <c r="A102" s="73">
        <v>44355</v>
      </c>
      <c r="B102" s="70">
        <v>110.5</v>
      </c>
      <c r="C102" s="85">
        <v>1171363</v>
      </c>
      <c r="D102" s="88">
        <v>-7.3661516349262657E-3</v>
      </c>
      <c r="E102" s="87"/>
    </row>
    <row r="103" spans="1:5" ht="15" x14ac:dyDescent="0.2">
      <c r="A103" s="73">
        <v>44354</v>
      </c>
      <c r="B103" s="70">
        <v>111.32</v>
      </c>
      <c r="C103" s="85">
        <v>1094346</v>
      </c>
      <c r="D103" s="88">
        <v>1.2736535662299708E-2</v>
      </c>
      <c r="E103" s="87"/>
    </row>
    <row r="104" spans="1:5" ht="15" x14ac:dyDescent="0.2">
      <c r="A104" s="73">
        <v>44351</v>
      </c>
      <c r="B104" s="70">
        <v>109.92</v>
      </c>
      <c r="C104" s="85">
        <v>1244330</v>
      </c>
      <c r="D104" s="88">
        <v>1.2752778283839916E-3</v>
      </c>
      <c r="E104" s="87"/>
    </row>
    <row r="105" spans="1:5" ht="15" x14ac:dyDescent="0.2">
      <c r="A105" s="73">
        <v>44350</v>
      </c>
      <c r="B105" s="70">
        <v>109.78</v>
      </c>
      <c r="C105" s="85">
        <v>1084375</v>
      </c>
      <c r="D105" s="88">
        <v>-8.3107497741644609E-3</v>
      </c>
      <c r="E105" s="87"/>
    </row>
    <row r="106" spans="1:5" ht="15" x14ac:dyDescent="0.2">
      <c r="A106" s="73">
        <v>44349</v>
      </c>
      <c r="B106" s="70">
        <v>110.7</v>
      </c>
      <c r="C106" s="85">
        <v>1660110</v>
      </c>
      <c r="D106" s="88">
        <v>1.7837440235380697E-2</v>
      </c>
      <c r="E106" s="87"/>
    </row>
    <row r="107" spans="1:5" ht="15" x14ac:dyDescent="0.2">
      <c r="A107" s="73">
        <v>44348</v>
      </c>
      <c r="B107" s="70">
        <v>108.76</v>
      </c>
      <c r="C107" s="85">
        <v>1489206</v>
      </c>
      <c r="D107" s="88">
        <v>1.9688730545659228E-2</v>
      </c>
      <c r="E107" s="87"/>
    </row>
    <row r="108" spans="1:5" ht="15" x14ac:dyDescent="0.2">
      <c r="A108" s="73">
        <v>44347</v>
      </c>
      <c r="B108" s="70">
        <v>106.66</v>
      </c>
      <c r="C108" s="85">
        <v>916534</v>
      </c>
      <c r="D108" s="88">
        <v>-1.2407407407407423E-2</v>
      </c>
      <c r="E108" s="87"/>
    </row>
    <row r="109" spans="1:5" ht="15" x14ac:dyDescent="0.2">
      <c r="A109" s="73">
        <v>44344</v>
      </c>
      <c r="B109" s="70">
        <v>108</v>
      </c>
      <c r="C109" s="85">
        <v>2237227</v>
      </c>
      <c r="D109" s="88">
        <v>1.2373453318335059E-2</v>
      </c>
      <c r="E109" s="87"/>
    </row>
    <row r="110" spans="1:5" ht="15" x14ac:dyDescent="0.2">
      <c r="A110" s="73">
        <v>44343</v>
      </c>
      <c r="B110" s="70">
        <v>106.68</v>
      </c>
      <c r="C110" s="85">
        <v>5430363</v>
      </c>
      <c r="D110" s="88">
        <v>9.2249411282891325E-2</v>
      </c>
      <c r="E110" s="87"/>
    </row>
    <row r="111" spans="1:5" ht="15" x14ac:dyDescent="0.2">
      <c r="A111" s="73">
        <v>44342</v>
      </c>
      <c r="B111" s="70">
        <v>97.67</v>
      </c>
      <c r="C111" s="85">
        <v>995643</v>
      </c>
      <c r="D111" s="88">
        <v>5.4560428247889536E-3</v>
      </c>
      <c r="E111" s="87"/>
    </row>
    <row r="112" spans="1:5" ht="15" x14ac:dyDescent="0.2">
      <c r="A112" s="73">
        <v>44341</v>
      </c>
      <c r="B112" s="70">
        <v>97.14</v>
      </c>
      <c r="C112" s="85">
        <v>1314019</v>
      </c>
      <c r="D112" s="88">
        <v>-1.1398330958681147E-2</v>
      </c>
      <c r="E112" s="87"/>
    </row>
    <row r="113" spans="1:5" ht="15" x14ac:dyDescent="0.2">
      <c r="A113" s="73">
        <v>44340</v>
      </c>
      <c r="B113" s="70">
        <v>98.26</v>
      </c>
      <c r="C113" s="85">
        <v>661841</v>
      </c>
      <c r="D113" s="88">
        <v>3.5747114697171067E-3</v>
      </c>
      <c r="E113" s="87"/>
    </row>
    <row r="114" spans="1:5" ht="15" x14ac:dyDescent="0.2">
      <c r="A114" s="73">
        <v>44337</v>
      </c>
      <c r="B114" s="70">
        <v>97.91</v>
      </c>
      <c r="C114" s="85">
        <v>1454579</v>
      </c>
      <c r="D114" s="88">
        <v>1.4506268780437148E-2</v>
      </c>
      <c r="E114" s="87"/>
    </row>
    <row r="115" spans="1:5" ht="15" x14ac:dyDescent="0.2">
      <c r="A115" s="73">
        <v>44336</v>
      </c>
      <c r="B115" s="70">
        <v>96.51</v>
      </c>
      <c r="C115" s="85">
        <v>1291926</v>
      </c>
      <c r="D115" s="88">
        <v>1.5253524090048431E-2</v>
      </c>
      <c r="E115" s="87"/>
    </row>
    <row r="116" spans="1:5" ht="15" x14ac:dyDescent="0.2">
      <c r="A116" s="73">
        <v>44335</v>
      </c>
      <c r="B116" s="70">
        <v>95.06</v>
      </c>
      <c r="C116" s="85">
        <v>1947475</v>
      </c>
      <c r="D116" s="88">
        <v>-2.1412394482190678E-2</v>
      </c>
      <c r="E116" s="87"/>
    </row>
    <row r="117" spans="1:5" ht="15" x14ac:dyDescent="0.2">
      <c r="A117" s="73">
        <v>44334</v>
      </c>
      <c r="B117" s="70">
        <v>97.14</v>
      </c>
      <c r="C117" s="85">
        <v>1469378</v>
      </c>
      <c r="D117" s="88">
        <v>2.4767801857583649E-3</v>
      </c>
      <c r="E117" s="87"/>
    </row>
    <row r="118" spans="1:5" ht="15" x14ac:dyDescent="0.2">
      <c r="A118" s="73">
        <v>44333</v>
      </c>
      <c r="B118" s="70">
        <v>96.9</v>
      </c>
      <c r="C118" s="85">
        <v>1087269</v>
      </c>
      <c r="D118" s="88">
        <v>-2.6815305815004353E-2</v>
      </c>
      <c r="E118" s="87"/>
    </row>
    <row r="119" spans="1:5" ht="15" x14ac:dyDescent="0.2">
      <c r="A119" s="73">
        <v>44330</v>
      </c>
      <c r="B119" s="70">
        <v>99.57</v>
      </c>
      <c r="C119" s="85">
        <v>1525622</v>
      </c>
      <c r="D119" s="88">
        <v>3.7187499999999929E-2</v>
      </c>
      <c r="E119" s="87"/>
    </row>
    <row r="120" spans="1:5" ht="15" x14ac:dyDescent="0.2">
      <c r="A120" s="73">
        <v>44329</v>
      </c>
      <c r="B120" s="70">
        <v>96</v>
      </c>
      <c r="C120" s="85">
        <v>1211617</v>
      </c>
      <c r="D120" s="88">
        <v>-5.7995028997515075E-3</v>
      </c>
      <c r="E120" s="87"/>
    </row>
    <row r="121" spans="1:5" ht="15" x14ac:dyDescent="0.2">
      <c r="A121" s="73">
        <v>44328</v>
      </c>
      <c r="B121" s="70">
        <v>96.56</v>
      </c>
      <c r="C121" s="85">
        <v>1448836</v>
      </c>
      <c r="D121" s="88">
        <v>6.8821689259646046E-3</v>
      </c>
      <c r="E121" s="87"/>
    </row>
    <row r="122" spans="1:5" ht="15" x14ac:dyDescent="0.2">
      <c r="A122" s="73">
        <v>44327</v>
      </c>
      <c r="B122" s="70">
        <v>95.9</v>
      </c>
      <c r="C122" s="85">
        <v>2063036</v>
      </c>
      <c r="D122" s="88">
        <v>-2.5010166734444783E-2</v>
      </c>
      <c r="E122" s="87"/>
    </row>
    <row r="123" spans="1:5" ht="15" x14ac:dyDescent="0.2">
      <c r="A123" s="73">
        <v>44326</v>
      </c>
      <c r="B123" s="70">
        <v>98.36</v>
      </c>
      <c r="C123" s="85">
        <v>1031069</v>
      </c>
      <c r="D123" s="88">
        <v>-1.0165700925079957E-4</v>
      </c>
      <c r="E123" s="87"/>
    </row>
    <row r="124" spans="1:5" ht="15" x14ac:dyDescent="0.2">
      <c r="A124" s="73">
        <v>44323</v>
      </c>
      <c r="B124" s="70">
        <v>98.37</v>
      </c>
      <c r="C124" s="85">
        <v>1139121</v>
      </c>
      <c r="D124" s="88">
        <v>1.6744186046511622E-2</v>
      </c>
      <c r="E124" s="87"/>
    </row>
    <row r="125" spans="1:5" ht="15" x14ac:dyDescent="0.2">
      <c r="A125" s="73">
        <v>44322</v>
      </c>
      <c r="B125" s="70">
        <v>96.75</v>
      </c>
      <c r="C125" s="85">
        <v>1838181</v>
      </c>
      <c r="D125" s="88">
        <v>1.8639328984157988E-3</v>
      </c>
      <c r="E125" s="87"/>
    </row>
    <row r="126" spans="1:5" ht="15" x14ac:dyDescent="0.2">
      <c r="A126" s="73">
        <v>44321</v>
      </c>
      <c r="B126" s="70">
        <v>96.57</v>
      </c>
      <c r="C126" s="85">
        <v>2282437</v>
      </c>
      <c r="D126" s="88">
        <v>-1.6540887005066507E-3</v>
      </c>
      <c r="E126" s="87"/>
    </row>
    <row r="127" spans="1:5" ht="15" x14ac:dyDescent="0.2">
      <c r="A127" s="73">
        <v>44320</v>
      </c>
      <c r="B127" s="70">
        <v>96.73</v>
      </c>
      <c r="C127" s="85">
        <v>2254082</v>
      </c>
      <c r="D127" s="88">
        <v>-3.1828645781203035E-2</v>
      </c>
      <c r="E127" s="87"/>
    </row>
    <row r="128" spans="1:5" ht="15" x14ac:dyDescent="0.2">
      <c r="A128" s="73">
        <v>44319</v>
      </c>
      <c r="B128" s="70">
        <v>99.91</v>
      </c>
      <c r="C128" s="85">
        <v>1004726</v>
      </c>
      <c r="D128" s="88">
        <v>-3.0018010806487361E-4</v>
      </c>
      <c r="E128" s="87"/>
    </row>
    <row r="129" spans="1:5" ht="15" x14ac:dyDescent="0.2">
      <c r="A129" s="73">
        <v>44316</v>
      </c>
      <c r="B129" s="70">
        <v>99.94</v>
      </c>
      <c r="C129" s="85">
        <v>1707401</v>
      </c>
      <c r="D129" s="88">
        <v>-6.0000000000004494E-4</v>
      </c>
      <c r="E129" s="87"/>
    </row>
    <row r="130" spans="1:5" ht="15" x14ac:dyDescent="0.2">
      <c r="A130" s="73">
        <v>44315</v>
      </c>
      <c r="B130" s="70">
        <v>100</v>
      </c>
      <c r="C130" s="85">
        <v>1725985</v>
      </c>
      <c r="D130" s="88">
        <v>7.0493454179254567E-3</v>
      </c>
      <c r="E130" s="87"/>
    </row>
    <row r="131" spans="1:5" ht="15" x14ac:dyDescent="0.2">
      <c r="A131" s="73">
        <v>44314</v>
      </c>
      <c r="B131" s="70">
        <v>99.3</v>
      </c>
      <c r="C131" s="85">
        <v>1394580</v>
      </c>
      <c r="D131" s="88">
        <v>-4.9103116544745307E-3</v>
      </c>
      <c r="E131" s="87"/>
    </row>
    <row r="132" spans="1:5" ht="15" x14ac:dyDescent="0.2">
      <c r="A132" s="73">
        <v>44313</v>
      </c>
      <c r="B132" s="70">
        <v>99.79</v>
      </c>
      <c r="C132" s="85">
        <v>933554</v>
      </c>
      <c r="D132" s="88">
        <v>-1.4322402212564089E-2</v>
      </c>
      <c r="E132" s="87"/>
    </row>
    <row r="133" spans="1:5" ht="15" x14ac:dyDescent="0.2">
      <c r="A133" s="73">
        <v>44312</v>
      </c>
      <c r="B133" s="70">
        <v>101.24</v>
      </c>
      <c r="C133" s="85">
        <v>1297965</v>
      </c>
      <c r="D133" s="88">
        <v>2.8234816169002697E-2</v>
      </c>
      <c r="E133" s="87"/>
    </row>
    <row r="134" spans="1:5" ht="15" x14ac:dyDescent="0.2">
      <c r="A134" s="73">
        <v>44309</v>
      </c>
      <c r="B134" s="70">
        <v>98.46</v>
      </c>
      <c r="C134" s="85">
        <v>1526193</v>
      </c>
      <c r="D134" s="88">
        <v>-1.2536355430749158E-2</v>
      </c>
      <c r="E134" s="87"/>
    </row>
    <row r="135" spans="1:5" ht="15" x14ac:dyDescent="0.2">
      <c r="A135" s="73">
        <v>44308</v>
      </c>
      <c r="B135" s="70">
        <v>99.71</v>
      </c>
      <c r="C135" s="85">
        <v>1588552</v>
      </c>
      <c r="D135" s="88">
        <v>2.0259899723728436E-2</v>
      </c>
      <c r="E135" s="87"/>
    </row>
    <row r="136" spans="1:5" ht="15" x14ac:dyDescent="0.2">
      <c r="A136" s="73">
        <v>44307</v>
      </c>
      <c r="B136" s="70">
        <v>97.73</v>
      </c>
      <c r="C136" s="85">
        <v>1730581</v>
      </c>
      <c r="D136" s="88">
        <v>-2.1441698999387082E-3</v>
      </c>
      <c r="E136" s="87"/>
    </row>
    <row r="137" spans="1:5" ht="15" x14ac:dyDescent="0.2">
      <c r="A137" s="73">
        <v>44306</v>
      </c>
      <c r="B137" s="70">
        <v>97.94</v>
      </c>
      <c r="C137" s="85">
        <v>2030955</v>
      </c>
      <c r="D137" s="88">
        <v>-4.6348588120740053E-2</v>
      </c>
      <c r="E137" s="87"/>
    </row>
    <row r="138" spans="1:5" ht="15" x14ac:dyDescent="0.2">
      <c r="A138" s="73">
        <v>44305</v>
      </c>
      <c r="B138" s="70">
        <v>102.7</v>
      </c>
      <c r="C138" s="85">
        <v>1106840</v>
      </c>
      <c r="D138" s="88">
        <v>-9.4521604938272441E-3</v>
      </c>
      <c r="E138" s="87"/>
    </row>
    <row r="139" spans="1:5" ht="15" x14ac:dyDescent="0.2">
      <c r="A139" s="73">
        <v>44302</v>
      </c>
      <c r="B139" s="70">
        <v>103.68</v>
      </c>
      <c r="C139" s="85">
        <v>1730699</v>
      </c>
      <c r="D139" s="88">
        <v>8.168028004667427E-3</v>
      </c>
      <c r="E139" s="87"/>
    </row>
    <row r="140" spans="1:5" ht="15" x14ac:dyDescent="0.2">
      <c r="A140" s="73">
        <v>44301</v>
      </c>
      <c r="B140" s="70">
        <v>102.84</v>
      </c>
      <c r="C140" s="85">
        <v>1929003</v>
      </c>
      <c r="D140" s="88">
        <v>2.6142486529634912E-2</v>
      </c>
      <c r="E140" s="87"/>
    </row>
    <row r="141" spans="1:5" ht="15" x14ac:dyDescent="0.2">
      <c r="A141" s="73">
        <v>44300</v>
      </c>
      <c r="B141" s="70">
        <v>100.22</v>
      </c>
      <c r="C141" s="85">
        <v>1184415</v>
      </c>
      <c r="D141" s="88">
        <v>1.8495934959349425E-2</v>
      </c>
      <c r="E141" s="87"/>
    </row>
    <row r="142" spans="1:5" ht="15" x14ac:dyDescent="0.2">
      <c r="A142" s="73">
        <v>44299</v>
      </c>
      <c r="B142" s="70">
        <v>98.4</v>
      </c>
      <c r="C142" s="85">
        <v>1667017</v>
      </c>
      <c r="D142" s="88">
        <v>-1.501501501501501E-2</v>
      </c>
      <c r="E142" s="87"/>
    </row>
    <row r="143" spans="1:5" ht="15" x14ac:dyDescent="0.2">
      <c r="A143" s="73">
        <v>44298</v>
      </c>
      <c r="B143" s="70">
        <v>99.9</v>
      </c>
      <c r="C143" s="85">
        <v>1461248</v>
      </c>
      <c r="D143" s="88">
        <v>-1.186943620178027E-2</v>
      </c>
      <c r="E143" s="87"/>
    </row>
    <row r="144" spans="1:5" ht="15" x14ac:dyDescent="0.2">
      <c r="A144" s="73">
        <v>44295</v>
      </c>
      <c r="B144" s="70">
        <v>101.1</v>
      </c>
      <c r="C144" s="85">
        <v>1976032</v>
      </c>
      <c r="D144" s="88">
        <v>2.9761904761904656E-3</v>
      </c>
      <c r="E144" s="87"/>
    </row>
    <row r="145" spans="1:5" ht="15" x14ac:dyDescent="0.2">
      <c r="A145" s="73">
        <v>44294</v>
      </c>
      <c r="B145" s="70">
        <v>100.8</v>
      </c>
      <c r="C145" s="85">
        <v>1227715</v>
      </c>
      <c r="D145" s="88">
        <v>2.5860354087923199E-3</v>
      </c>
      <c r="E145" s="87"/>
    </row>
    <row r="146" spans="1:5" ht="15" x14ac:dyDescent="0.2">
      <c r="A146" s="73">
        <v>44293</v>
      </c>
      <c r="B146" s="70">
        <v>100.54</v>
      </c>
      <c r="C146" s="85">
        <v>1071145</v>
      </c>
      <c r="D146" s="88">
        <v>-1.5888778550148253E-3</v>
      </c>
      <c r="E146" s="87"/>
    </row>
    <row r="147" spans="1:5" ht="15" x14ac:dyDescent="0.2">
      <c r="A147" s="73">
        <v>44292</v>
      </c>
      <c r="B147" s="70">
        <v>100.7</v>
      </c>
      <c r="C147" s="85">
        <v>1516580</v>
      </c>
      <c r="D147" s="88">
        <v>2.7882891854211778E-3</v>
      </c>
      <c r="E147" s="87"/>
    </row>
    <row r="148" spans="1:5" ht="15" x14ac:dyDescent="0.2">
      <c r="A148" s="73">
        <v>44287</v>
      </c>
      <c r="B148" s="70">
        <v>100.42</v>
      </c>
      <c r="C148" s="85">
        <v>1883358</v>
      </c>
      <c r="D148" s="88">
        <v>4.0190594572198091E-2</v>
      </c>
      <c r="E148" s="87"/>
    </row>
    <row r="149" spans="1:5" ht="15" x14ac:dyDescent="0.2">
      <c r="A149" s="73">
        <v>44286</v>
      </c>
      <c r="B149" s="70">
        <v>96.54</v>
      </c>
      <c r="C149" s="85">
        <v>1827776</v>
      </c>
      <c r="D149" s="88">
        <v>-1.1873080859774787E-2</v>
      </c>
      <c r="E149" s="87"/>
    </row>
    <row r="150" spans="1:5" ht="15" x14ac:dyDescent="0.2">
      <c r="A150" s="73">
        <v>44285</v>
      </c>
      <c r="B150" s="70">
        <v>97.7</v>
      </c>
      <c r="C150" s="85">
        <v>1639176</v>
      </c>
      <c r="D150" s="88">
        <v>3.0800821355236874E-3</v>
      </c>
      <c r="E150" s="87"/>
    </row>
    <row r="151" spans="1:5" ht="15" x14ac:dyDescent="0.2">
      <c r="A151" s="73">
        <v>44284</v>
      </c>
      <c r="B151" s="70">
        <v>97.4</v>
      </c>
      <c r="C151" s="85">
        <v>1014054</v>
      </c>
      <c r="D151" s="88">
        <v>-2.866502866502918E-3</v>
      </c>
      <c r="E151" s="87"/>
    </row>
    <row r="152" spans="1:5" ht="15" x14ac:dyDescent="0.2">
      <c r="A152" s="73">
        <v>44281</v>
      </c>
      <c r="B152" s="70">
        <v>97.68</v>
      </c>
      <c r="C152" s="85">
        <v>1937074</v>
      </c>
      <c r="D152" s="88">
        <v>1.233288423670853E-2</v>
      </c>
      <c r="E152" s="87"/>
    </row>
    <row r="153" spans="1:5" ht="15" x14ac:dyDescent="0.2">
      <c r="A153" s="73">
        <v>44280</v>
      </c>
      <c r="B153" s="70">
        <v>96.49</v>
      </c>
      <c r="C153" s="85">
        <v>1733605</v>
      </c>
      <c r="D153" s="88">
        <v>5.4183599041366381E-3</v>
      </c>
      <c r="E153" s="87"/>
    </row>
    <row r="154" spans="1:5" ht="15" x14ac:dyDescent="0.2">
      <c r="A154" s="73">
        <v>44279</v>
      </c>
      <c r="B154" s="70">
        <v>95.97</v>
      </c>
      <c r="C154" s="85">
        <v>1803009</v>
      </c>
      <c r="D154" s="88">
        <v>7.9823547946644702E-3</v>
      </c>
      <c r="E154" s="87"/>
    </row>
    <row r="155" spans="1:5" ht="15" x14ac:dyDescent="0.2">
      <c r="A155" s="73">
        <v>44278</v>
      </c>
      <c r="B155" s="70">
        <v>95.21</v>
      </c>
      <c r="C155" s="85">
        <v>1482214</v>
      </c>
      <c r="D155" s="88">
        <v>-1.9161429895951376E-2</v>
      </c>
      <c r="E155" s="87"/>
    </row>
    <row r="156" spans="1:5" ht="15" x14ac:dyDescent="0.2">
      <c r="A156" s="73">
        <v>44277</v>
      </c>
      <c r="B156" s="70">
        <v>97.07</v>
      </c>
      <c r="C156" s="85">
        <v>1103498</v>
      </c>
      <c r="D156" s="88">
        <v>-2.7737826176290614E-3</v>
      </c>
      <c r="E156" s="87"/>
    </row>
    <row r="157" spans="1:5" ht="15" x14ac:dyDescent="0.2">
      <c r="A157" s="73">
        <v>44274</v>
      </c>
      <c r="B157" s="70">
        <v>97.34</v>
      </c>
      <c r="C157" s="85">
        <v>3764747</v>
      </c>
      <c r="D157" s="88">
        <v>-3.7190900098911905E-2</v>
      </c>
      <c r="E157" s="87"/>
    </row>
    <row r="158" spans="1:5" ht="15" x14ac:dyDescent="0.2">
      <c r="A158" s="73">
        <v>44273</v>
      </c>
      <c r="B158" s="70">
        <v>101.1</v>
      </c>
      <c r="C158" s="85">
        <v>1347315</v>
      </c>
      <c r="D158" s="88">
        <v>9.9009900990099098E-4</v>
      </c>
      <c r="E158" s="87"/>
    </row>
    <row r="159" spans="1:5" ht="15" x14ac:dyDescent="0.2">
      <c r="A159" s="73">
        <v>44272</v>
      </c>
      <c r="B159" s="70">
        <v>101</v>
      </c>
      <c r="C159" s="85">
        <v>1423575</v>
      </c>
      <c r="D159" s="88">
        <v>-7.6635881312635545E-3</v>
      </c>
      <c r="E159" s="87"/>
    </row>
    <row r="160" spans="1:5" ht="15" x14ac:dyDescent="0.2">
      <c r="A160" s="73">
        <v>44271</v>
      </c>
      <c r="B160" s="70">
        <v>101.78</v>
      </c>
      <c r="C160" s="85">
        <v>1957658</v>
      </c>
      <c r="D160" s="88">
        <v>1.7800000000000038E-2</v>
      </c>
      <c r="E160" s="87"/>
    </row>
    <row r="161" spans="1:5" ht="15" x14ac:dyDescent="0.2">
      <c r="A161" s="73">
        <v>44270</v>
      </c>
      <c r="B161" s="70">
        <v>100</v>
      </c>
      <c r="C161" s="85">
        <v>1437703</v>
      </c>
      <c r="D161" s="88">
        <v>0</v>
      </c>
      <c r="E161" s="87"/>
    </row>
    <row r="162" spans="1:5" ht="15" x14ac:dyDescent="0.2">
      <c r="A162" s="73">
        <v>44267</v>
      </c>
      <c r="B162" s="70">
        <v>100</v>
      </c>
      <c r="C162" s="85">
        <v>1932352</v>
      </c>
      <c r="D162" s="88">
        <v>8.7763542822556495E-3</v>
      </c>
      <c r="E162" s="87"/>
    </row>
    <row r="163" spans="1:5" ht="15" x14ac:dyDescent="0.2">
      <c r="A163" s="73">
        <v>44266</v>
      </c>
      <c r="B163" s="70">
        <v>99.13</v>
      </c>
      <c r="C163" s="85">
        <v>1743287</v>
      </c>
      <c r="D163" s="88">
        <v>1.4142842711384329E-3</v>
      </c>
      <c r="E163" s="87"/>
    </row>
    <row r="164" spans="1:5" ht="15" x14ac:dyDescent="0.2">
      <c r="A164" s="73">
        <v>44265</v>
      </c>
      <c r="B164" s="70">
        <v>98.99</v>
      </c>
      <c r="C164" s="85">
        <v>1691917</v>
      </c>
      <c r="D164" s="88">
        <v>-1.2667065629363705E-2</v>
      </c>
      <c r="E164" s="87"/>
    </row>
    <row r="165" spans="1:5" ht="15" x14ac:dyDescent="0.2">
      <c r="A165" s="73">
        <v>44264</v>
      </c>
      <c r="B165" s="70">
        <v>100.26</v>
      </c>
      <c r="C165" s="85">
        <v>1739101</v>
      </c>
      <c r="D165" s="88">
        <v>-2.5865499403102676E-3</v>
      </c>
      <c r="E165" s="87"/>
    </row>
    <row r="166" spans="1:5" ht="15" x14ac:dyDescent="0.2">
      <c r="A166" s="73">
        <v>44263</v>
      </c>
      <c r="B166" s="70">
        <v>100.52</v>
      </c>
      <c r="C166" s="85">
        <v>2654406</v>
      </c>
      <c r="D166" s="88">
        <v>5.3447914483336856E-2</v>
      </c>
      <c r="E166" s="87"/>
    </row>
    <row r="167" spans="1:5" ht="15" x14ac:dyDescent="0.2">
      <c r="A167" s="73">
        <v>44260</v>
      </c>
      <c r="B167" s="70">
        <v>95.42</v>
      </c>
      <c r="C167" s="85">
        <v>2464071</v>
      </c>
      <c r="D167" s="88">
        <v>-4.8654037886340928E-2</v>
      </c>
      <c r="E167" s="87"/>
    </row>
    <row r="168" spans="1:5" ht="15" x14ac:dyDescent="0.2">
      <c r="A168" s="73">
        <v>44259</v>
      </c>
      <c r="B168" s="70">
        <v>100.3</v>
      </c>
      <c r="C168" s="85">
        <v>2008727</v>
      </c>
      <c r="D168" s="88">
        <v>-1.5926737009754888E-3</v>
      </c>
      <c r="E168" s="87"/>
    </row>
    <row r="169" spans="1:5" ht="15" x14ac:dyDescent="0.2">
      <c r="A169" s="73">
        <v>44258</v>
      </c>
      <c r="B169" s="70">
        <v>100.46</v>
      </c>
      <c r="C169" s="85">
        <v>1522786</v>
      </c>
      <c r="D169" s="88">
        <v>1.3723511604439853E-2</v>
      </c>
      <c r="E169" s="87"/>
    </row>
    <row r="170" spans="1:5" ht="15" x14ac:dyDescent="0.2">
      <c r="A170" s="73">
        <v>44257</v>
      </c>
      <c r="B170" s="70">
        <v>99.1</v>
      </c>
      <c r="C170" s="85">
        <v>1532642</v>
      </c>
      <c r="D170" s="88">
        <v>-1.5693285657528921E-2</v>
      </c>
      <c r="E170" s="87"/>
    </row>
    <row r="171" spans="1:5" ht="15" x14ac:dyDescent="0.2">
      <c r="A171" s="73">
        <v>44256</v>
      </c>
      <c r="B171" s="70">
        <v>100.68</v>
      </c>
      <c r="C171" s="85">
        <v>2102766</v>
      </c>
      <c r="D171" s="88">
        <v>4.973412574288405E-2</v>
      </c>
      <c r="E171" s="87"/>
    </row>
    <row r="172" spans="1:5" ht="15" x14ac:dyDescent="0.2">
      <c r="A172" s="73">
        <v>44253</v>
      </c>
      <c r="B172" s="70">
        <v>95.91</v>
      </c>
      <c r="C172" s="85">
        <v>2253924</v>
      </c>
      <c r="D172" s="88">
        <v>-3.0526634994440638E-2</v>
      </c>
      <c r="E172" s="87"/>
    </row>
    <row r="173" spans="1:5" ht="15" x14ac:dyDescent="0.2">
      <c r="A173" s="73">
        <v>44252</v>
      </c>
      <c r="B173" s="70">
        <v>98.93</v>
      </c>
      <c r="C173" s="85">
        <v>2564953</v>
      </c>
      <c r="D173" s="88">
        <v>-3.6896417445482776E-2</v>
      </c>
      <c r="E173" s="87"/>
    </row>
    <row r="174" spans="1:5" ht="15" x14ac:dyDescent="0.2">
      <c r="A174" s="73">
        <v>44251</v>
      </c>
      <c r="B174" s="70">
        <v>102.72</v>
      </c>
      <c r="C174" s="85">
        <v>2957767</v>
      </c>
      <c r="D174" s="88">
        <v>3.8100050530570861E-2</v>
      </c>
      <c r="E174" s="87"/>
    </row>
    <row r="175" spans="1:5" ht="15" x14ac:dyDescent="0.2">
      <c r="A175" s="73">
        <v>44250</v>
      </c>
      <c r="B175" s="70">
        <v>98.95</v>
      </c>
      <c r="C175" s="85">
        <v>4339464</v>
      </c>
      <c r="D175" s="88">
        <v>3.2881002087682631E-2</v>
      </c>
      <c r="E175" s="87"/>
    </row>
    <row r="176" spans="1:5" ht="15" x14ac:dyDescent="0.2">
      <c r="A176" s="73">
        <v>44249</v>
      </c>
      <c r="B176" s="70">
        <v>95.8</v>
      </c>
      <c r="C176" s="85">
        <v>2318571</v>
      </c>
      <c r="D176" s="88">
        <v>4.3914133158984514E-2</v>
      </c>
      <c r="E176" s="87"/>
    </row>
    <row r="177" spans="1:5" ht="15" x14ac:dyDescent="0.2">
      <c r="A177" s="73">
        <v>44246</v>
      </c>
      <c r="B177" s="70">
        <v>91.77</v>
      </c>
      <c r="C177" s="85">
        <v>2259103</v>
      </c>
      <c r="D177" s="88">
        <v>5.2579691094314374E-3</v>
      </c>
      <c r="E177" s="87"/>
    </row>
    <row r="178" spans="1:5" ht="15" x14ac:dyDescent="0.2">
      <c r="A178" s="73">
        <v>44245</v>
      </c>
      <c r="B178" s="70">
        <v>91.29</v>
      </c>
      <c r="C178" s="85">
        <v>2466402</v>
      </c>
      <c r="D178" s="88">
        <v>-2.7795527156549538E-2</v>
      </c>
      <c r="E178" s="87"/>
    </row>
    <row r="179" spans="1:5" ht="15" x14ac:dyDescent="0.2">
      <c r="A179" s="73">
        <v>44244</v>
      </c>
      <c r="B179" s="70">
        <v>93.9</v>
      </c>
      <c r="C179" s="85">
        <v>1441968</v>
      </c>
      <c r="D179" s="88">
        <v>1.0660980810235365E-3</v>
      </c>
      <c r="E179" s="87"/>
    </row>
    <row r="180" spans="1:5" ht="15" x14ac:dyDescent="0.2">
      <c r="A180" s="73">
        <v>44243</v>
      </c>
      <c r="B180" s="70">
        <v>93.8</v>
      </c>
      <c r="C180" s="85">
        <v>1136036</v>
      </c>
      <c r="D180" s="88">
        <v>1.3878509661577887E-3</v>
      </c>
      <c r="E180" s="87"/>
    </row>
    <row r="181" spans="1:5" ht="15" x14ac:dyDescent="0.2">
      <c r="A181" s="73">
        <v>44242</v>
      </c>
      <c r="B181" s="70">
        <v>93.67</v>
      </c>
      <c r="C181" s="85">
        <v>1195215</v>
      </c>
      <c r="D181" s="88">
        <v>1.5833423706756333E-2</v>
      </c>
      <c r="E181" s="87"/>
    </row>
    <row r="182" spans="1:5" ht="15" x14ac:dyDescent="0.2">
      <c r="A182" s="73">
        <v>44239</v>
      </c>
      <c r="B182" s="70">
        <v>92.21</v>
      </c>
      <c r="C182" s="85">
        <v>1389406</v>
      </c>
      <c r="D182" s="88">
        <v>1.0852883139662373E-2</v>
      </c>
      <c r="E182" s="87"/>
    </row>
    <row r="183" spans="1:5" ht="15" x14ac:dyDescent="0.2">
      <c r="A183" s="73">
        <v>44238</v>
      </c>
      <c r="B183" s="70">
        <v>91.22</v>
      </c>
      <c r="C183" s="85">
        <v>1142713</v>
      </c>
      <c r="D183" s="88">
        <v>-5.1259679354346277E-3</v>
      </c>
      <c r="E183" s="87"/>
    </row>
    <row r="184" spans="1:5" ht="15" x14ac:dyDescent="0.2">
      <c r="A184" s="73">
        <v>44237</v>
      </c>
      <c r="B184" s="70">
        <v>91.69</v>
      </c>
      <c r="C184" s="85">
        <v>1157173</v>
      </c>
      <c r="D184" s="88">
        <v>-8.4351681626473329E-3</v>
      </c>
      <c r="E184" s="87"/>
    </row>
    <row r="185" spans="1:5" ht="15" x14ac:dyDescent="0.2">
      <c r="A185" s="73">
        <v>44236</v>
      </c>
      <c r="B185" s="70">
        <v>92.47</v>
      </c>
      <c r="C185" s="85">
        <v>1325928</v>
      </c>
      <c r="D185" s="88">
        <v>-1.4914243102162605E-2</v>
      </c>
      <c r="E185" s="87"/>
    </row>
    <row r="186" spans="1:5" ht="15" x14ac:dyDescent="0.2">
      <c r="A186" s="73">
        <v>44235</v>
      </c>
      <c r="B186" s="70">
        <v>93.87</v>
      </c>
      <c r="C186" s="85">
        <v>1368441</v>
      </c>
      <c r="D186" s="88">
        <v>4.81695568400764E-3</v>
      </c>
      <c r="E186" s="87"/>
    </row>
    <row r="187" spans="1:5" ht="15" x14ac:dyDescent="0.2">
      <c r="A187" s="73">
        <v>44232</v>
      </c>
      <c r="B187" s="70">
        <v>93.42</v>
      </c>
      <c r="C187" s="85">
        <v>2275049</v>
      </c>
      <c r="D187" s="88">
        <v>3.4371643394199847E-3</v>
      </c>
      <c r="E187" s="87"/>
    </row>
    <row r="188" spans="1:5" ht="15" x14ac:dyDescent="0.2">
      <c r="A188" s="73">
        <v>44231</v>
      </c>
      <c r="B188" s="70">
        <v>93.1</v>
      </c>
      <c r="C188" s="85">
        <v>1992215</v>
      </c>
      <c r="D188" s="88">
        <v>3.6632891660171474E-2</v>
      </c>
      <c r="E188" s="87"/>
    </row>
    <row r="189" spans="1:5" ht="15" x14ac:dyDescent="0.2">
      <c r="A189" s="73">
        <v>44230</v>
      </c>
      <c r="B189" s="70">
        <v>89.81</v>
      </c>
      <c r="C189" s="85">
        <v>1742351</v>
      </c>
      <c r="D189" s="88">
        <v>1.3771306016480356E-2</v>
      </c>
      <c r="E189" s="87"/>
    </row>
    <row r="190" spans="1:5" ht="15" x14ac:dyDescent="0.2">
      <c r="A190" s="73">
        <v>44229</v>
      </c>
      <c r="B190" s="70">
        <v>88.59</v>
      </c>
      <c r="C190" s="85">
        <v>3010345</v>
      </c>
      <c r="D190" s="88">
        <v>6.5936710383828645E-2</v>
      </c>
      <c r="E190" s="87"/>
    </row>
    <row r="191" spans="1:5" ht="15" x14ac:dyDescent="0.2">
      <c r="A191" s="73">
        <v>44228</v>
      </c>
      <c r="B191" s="70">
        <v>83.11</v>
      </c>
      <c r="C191" s="85">
        <v>1738516</v>
      </c>
      <c r="D191" s="88">
        <v>-1.0817307692307931E-3</v>
      </c>
      <c r="E191" s="87"/>
    </row>
    <row r="192" spans="1:5" ht="15" x14ac:dyDescent="0.2">
      <c r="A192" s="73">
        <v>44225</v>
      </c>
      <c r="B192" s="70">
        <v>83.2</v>
      </c>
      <c r="C192" s="85">
        <v>3536944</v>
      </c>
      <c r="D192" s="88">
        <v>-2.2900763358778664E-2</v>
      </c>
      <c r="E192" s="87"/>
    </row>
    <row r="193" spans="1:5" ht="15" x14ac:dyDescent="0.2">
      <c r="A193" s="73">
        <v>44224</v>
      </c>
      <c r="B193" s="70">
        <v>85.15</v>
      </c>
      <c r="C193" s="85">
        <v>3080959</v>
      </c>
      <c r="D193" s="88">
        <v>9.3646277856804794E-3</v>
      </c>
      <c r="E193" s="87"/>
    </row>
    <row r="194" spans="1:5" ht="15" x14ac:dyDescent="0.2">
      <c r="A194" s="73">
        <v>44223</v>
      </c>
      <c r="B194" s="70">
        <v>84.36</v>
      </c>
      <c r="C194" s="85">
        <v>2738586</v>
      </c>
      <c r="D194" s="88">
        <v>-1.0903974674639549E-2</v>
      </c>
      <c r="E194" s="87"/>
    </row>
    <row r="195" spans="1:5" ht="15" x14ac:dyDescent="0.2">
      <c r="A195" s="73">
        <v>44222</v>
      </c>
      <c r="B195" s="70">
        <v>85.29</v>
      </c>
      <c r="C195" s="85">
        <v>2013721</v>
      </c>
      <c r="D195" s="88">
        <v>4.9487451396252879E-3</v>
      </c>
      <c r="E195" s="87"/>
    </row>
    <row r="196" spans="1:5" ht="15" x14ac:dyDescent="0.2">
      <c r="A196" s="73">
        <v>44221</v>
      </c>
      <c r="B196" s="70">
        <v>84.87</v>
      </c>
      <c r="C196" s="85">
        <v>3028873</v>
      </c>
      <c r="D196" s="88">
        <v>-4.4579533941236038E-2</v>
      </c>
      <c r="E196" s="87"/>
    </row>
    <row r="197" spans="1:5" ht="15" x14ac:dyDescent="0.2">
      <c r="A197" s="73">
        <v>44218</v>
      </c>
      <c r="B197" s="70">
        <v>88.83</v>
      </c>
      <c r="C197" s="85">
        <v>1500933</v>
      </c>
      <c r="D197" s="88">
        <v>-5.9310653536257529E-3</v>
      </c>
      <c r="E197" s="87"/>
    </row>
    <row r="198" spans="1:5" ht="15" x14ac:dyDescent="0.2">
      <c r="A198" s="73">
        <v>44217</v>
      </c>
      <c r="B198" s="70">
        <v>89.36</v>
      </c>
      <c r="C198" s="85">
        <v>1786910</v>
      </c>
      <c r="D198" s="88">
        <v>-3.3005086029650466E-2</v>
      </c>
      <c r="E198" s="87"/>
    </row>
    <row r="199" spans="1:5" ht="15" x14ac:dyDescent="0.2">
      <c r="A199" s="73">
        <v>44216</v>
      </c>
      <c r="B199" s="70">
        <v>92.41</v>
      </c>
      <c r="C199" s="85">
        <v>1384857</v>
      </c>
      <c r="D199" s="88">
        <v>1.2157721796276055E-2</v>
      </c>
      <c r="E199" s="87"/>
    </row>
    <row r="200" spans="1:5" ht="15" x14ac:dyDescent="0.2">
      <c r="A200" s="73">
        <v>44215</v>
      </c>
      <c r="B200" s="70">
        <v>91.3</v>
      </c>
      <c r="C200" s="85">
        <v>1302168</v>
      </c>
      <c r="D200" s="88">
        <v>1.2062726176116367E-3</v>
      </c>
      <c r="E200" s="87"/>
    </row>
    <row r="201" spans="1:5" ht="15" x14ac:dyDescent="0.2">
      <c r="A201" s="73">
        <v>44214</v>
      </c>
      <c r="B201" s="70">
        <v>91.19</v>
      </c>
      <c r="C201" s="85">
        <v>1199645</v>
      </c>
      <c r="D201" s="88">
        <v>-1.4694759589411133E-2</v>
      </c>
      <c r="E201" s="87"/>
    </row>
    <row r="202" spans="1:5" ht="15" x14ac:dyDescent="0.2">
      <c r="A202" s="73">
        <v>44211</v>
      </c>
      <c r="B202" s="70">
        <v>92.55</v>
      </c>
      <c r="C202" s="85">
        <v>2298870</v>
      </c>
      <c r="D202" s="88">
        <v>-7.5067024128686599E-3</v>
      </c>
      <c r="E202" s="87"/>
    </row>
    <row r="203" spans="1:5" ht="15" x14ac:dyDescent="0.2">
      <c r="A203" s="73">
        <v>44210</v>
      </c>
      <c r="B203" s="70">
        <v>93.25</v>
      </c>
      <c r="C203" s="85">
        <v>2536958</v>
      </c>
      <c r="D203" s="88">
        <v>4.6459432162495817E-2</v>
      </c>
      <c r="E203" s="87"/>
    </row>
    <row r="204" spans="1:5" ht="15" x14ac:dyDescent="0.2">
      <c r="A204" s="73">
        <v>44209</v>
      </c>
      <c r="B204" s="70">
        <v>89.11</v>
      </c>
      <c r="C204" s="85">
        <v>1751184</v>
      </c>
      <c r="D204" s="88">
        <v>-9.4486438417074048E-3</v>
      </c>
      <c r="E204" s="87"/>
    </row>
    <row r="205" spans="1:5" ht="15" x14ac:dyDescent="0.2">
      <c r="A205" s="73">
        <v>44208</v>
      </c>
      <c r="B205" s="70">
        <v>89.96</v>
      </c>
      <c r="C205" s="85">
        <v>1572946</v>
      </c>
      <c r="D205" s="88">
        <v>2.0049008687903491E-3</v>
      </c>
      <c r="E205" s="87"/>
    </row>
    <row r="206" spans="1:5" ht="15" x14ac:dyDescent="0.2">
      <c r="A206" s="73">
        <v>44207</v>
      </c>
      <c r="B206" s="70">
        <v>89.78</v>
      </c>
      <c r="C206" s="85">
        <v>2214256</v>
      </c>
      <c r="D206" s="88">
        <v>-3.5516093229743806E-3</v>
      </c>
      <c r="E206" s="87"/>
    </row>
    <row r="207" spans="1:5" ht="15" x14ac:dyDescent="0.2">
      <c r="A207" s="73">
        <v>44204</v>
      </c>
      <c r="B207" s="70">
        <v>90.1</v>
      </c>
      <c r="C207" s="85">
        <v>1856095</v>
      </c>
      <c r="D207" s="88">
        <v>5.355947333184341E-3</v>
      </c>
      <c r="E207" s="87"/>
    </row>
    <row r="208" spans="1:5" ht="15" x14ac:dyDescent="0.2">
      <c r="A208" s="73">
        <v>44203</v>
      </c>
      <c r="B208" s="70">
        <v>89.62</v>
      </c>
      <c r="C208" s="85">
        <v>1320055</v>
      </c>
      <c r="D208" s="88">
        <v>-6.0995896639680636E-3</v>
      </c>
      <c r="E208" s="87"/>
    </row>
    <row r="209" spans="1:5" ht="15" x14ac:dyDescent="0.2">
      <c r="A209" s="73">
        <v>44202</v>
      </c>
      <c r="B209" s="70">
        <v>90.17</v>
      </c>
      <c r="C209" s="85">
        <v>1498665</v>
      </c>
      <c r="D209" s="88">
        <v>3.7849270844929617E-3</v>
      </c>
      <c r="E209" s="87"/>
    </row>
    <row r="210" spans="1:5" ht="15" x14ac:dyDescent="0.2">
      <c r="A210" s="73">
        <v>44201</v>
      </c>
      <c r="B210" s="70">
        <v>89.83</v>
      </c>
      <c r="C210" s="85">
        <v>1567333</v>
      </c>
      <c r="D210" s="88">
        <v>-6.6748247858494647E-4</v>
      </c>
      <c r="E210" s="87"/>
    </row>
    <row r="211" spans="1:5" ht="15" x14ac:dyDescent="0.2">
      <c r="A211" s="73">
        <v>44200</v>
      </c>
      <c r="B211" s="70">
        <v>89.89</v>
      </c>
      <c r="C211" s="85">
        <v>1854889</v>
      </c>
      <c r="D211" s="88">
        <v>1.2252171975941639E-3</v>
      </c>
      <c r="E211" s="87"/>
    </row>
    <row r="212" spans="1:5" ht="15" x14ac:dyDescent="0.2">
      <c r="A212" s="73">
        <v>44196</v>
      </c>
      <c r="B212" s="70">
        <v>89.78</v>
      </c>
      <c r="C212" s="85">
        <v>470045</v>
      </c>
      <c r="D212" s="88">
        <v>-1.6109589041095829E-2</v>
      </c>
      <c r="E212" s="87"/>
    </row>
    <row r="213" spans="1:5" ht="15" x14ac:dyDescent="0.2">
      <c r="A213" s="73">
        <v>44195</v>
      </c>
      <c r="B213" s="70">
        <v>91.25</v>
      </c>
      <c r="C213" s="85">
        <v>1001345</v>
      </c>
      <c r="D213" s="88">
        <v>-1.9555173525303449E-2</v>
      </c>
      <c r="E213" s="87"/>
    </row>
    <row r="214" spans="1:5" ht="15" x14ac:dyDescent="0.2">
      <c r="A214" s="73">
        <v>44194</v>
      </c>
      <c r="B214" s="70">
        <v>93.07</v>
      </c>
      <c r="C214" s="85">
        <v>967733</v>
      </c>
      <c r="D214" s="88">
        <v>1.1850402261361026E-2</v>
      </c>
      <c r="E214" s="87"/>
    </row>
    <row r="215" spans="1:5" ht="15" x14ac:dyDescent="0.2">
      <c r="A215" s="73">
        <v>44193</v>
      </c>
      <c r="B215" s="70">
        <v>91.98</v>
      </c>
      <c r="C215" s="85">
        <v>935395</v>
      </c>
      <c r="D215" s="88">
        <v>-6.5189048239899794E-4</v>
      </c>
      <c r="E215" s="87"/>
    </row>
    <row r="216" spans="1:5" ht="15" x14ac:dyDescent="0.2">
      <c r="A216" s="73">
        <v>44189</v>
      </c>
      <c r="B216" s="70">
        <v>92.04</v>
      </c>
      <c r="C216" s="85">
        <v>352865</v>
      </c>
      <c r="D216" s="88">
        <v>9.7879282218604757E-4</v>
      </c>
      <c r="E216" s="87"/>
    </row>
    <row r="217" spans="1:5" ht="15" x14ac:dyDescent="0.2">
      <c r="A217" s="73">
        <v>44188</v>
      </c>
      <c r="B217" s="70">
        <v>91.95</v>
      </c>
      <c r="C217" s="85">
        <v>1561928</v>
      </c>
      <c r="D217" s="88">
        <v>4.5599272231066745E-2</v>
      </c>
      <c r="E217" s="87"/>
    </row>
    <row r="218" spans="1:5" ht="15" x14ac:dyDescent="0.2">
      <c r="A218" s="73">
        <v>44187</v>
      </c>
      <c r="B218" s="70">
        <v>87.94</v>
      </c>
      <c r="C218" s="85">
        <v>1691985</v>
      </c>
      <c r="D218" s="88">
        <v>1.6177490177952336E-2</v>
      </c>
      <c r="E218" s="87"/>
    </row>
    <row r="219" spans="1:5" ht="15" x14ac:dyDescent="0.2">
      <c r="A219" s="73">
        <v>44186</v>
      </c>
      <c r="B219" s="70">
        <v>86.54</v>
      </c>
      <c r="C219" s="85">
        <v>3398767</v>
      </c>
      <c r="D219" s="88">
        <v>-2.7640449438202208E-2</v>
      </c>
      <c r="E219" s="87"/>
    </row>
    <row r="220" spans="1:5" ht="15" x14ac:dyDescent="0.2">
      <c r="A220" s="73">
        <v>44183</v>
      </c>
      <c r="B220" s="70">
        <v>89</v>
      </c>
      <c r="C220" s="85">
        <v>3297694</v>
      </c>
      <c r="D220" s="88">
        <v>-1.5268864793095749E-2</v>
      </c>
      <c r="E220" s="87"/>
    </row>
    <row r="221" spans="1:5" ht="15" x14ac:dyDescent="0.2">
      <c r="A221" s="73">
        <v>44182</v>
      </c>
      <c r="B221" s="70">
        <v>90.38</v>
      </c>
      <c r="C221" s="85">
        <v>1487973</v>
      </c>
      <c r="D221" s="88">
        <v>-3.6379671480541997E-3</v>
      </c>
      <c r="E221" s="87"/>
    </row>
    <row r="222" spans="1:5" ht="15" x14ac:dyDescent="0.2">
      <c r="A222" s="73">
        <v>44181</v>
      </c>
      <c r="B222" s="70">
        <v>90.71</v>
      </c>
      <c r="C222" s="85">
        <v>1735232</v>
      </c>
      <c r="D222" s="88">
        <v>-7.2233774761958358E-3</v>
      </c>
      <c r="E222" s="87"/>
    </row>
    <row r="223" spans="1:5" ht="15" x14ac:dyDescent="0.2">
      <c r="A223" s="73">
        <v>44180</v>
      </c>
      <c r="B223" s="70">
        <v>91.37</v>
      </c>
      <c r="C223" s="85">
        <v>2055691</v>
      </c>
      <c r="D223" s="88">
        <v>-7.387289516566975E-3</v>
      </c>
      <c r="E223" s="87"/>
    </row>
    <row r="224" spans="1:5" ht="15" x14ac:dyDescent="0.2">
      <c r="A224" s="73">
        <v>44179</v>
      </c>
      <c r="B224" s="70">
        <v>92.05</v>
      </c>
      <c r="C224" s="85">
        <v>1698577</v>
      </c>
      <c r="D224" s="88">
        <v>-1.5186028853454436E-3</v>
      </c>
      <c r="E224" s="87"/>
    </row>
    <row r="225" spans="1:5" ht="15" x14ac:dyDescent="0.2">
      <c r="A225" s="73">
        <v>44176</v>
      </c>
      <c r="B225" s="70">
        <v>92.19</v>
      </c>
      <c r="C225" s="85">
        <v>1774037</v>
      </c>
      <c r="D225" s="88">
        <v>-1.6325224071703004E-2</v>
      </c>
      <c r="E225" s="87"/>
    </row>
    <row r="226" spans="1:5" ht="15" x14ac:dyDescent="0.2">
      <c r="A226" s="73">
        <v>44175</v>
      </c>
      <c r="B226" s="70">
        <v>93.72</v>
      </c>
      <c r="C226" s="85">
        <v>1687673</v>
      </c>
      <c r="D226" s="88">
        <v>1.3890372903087034E-3</v>
      </c>
      <c r="E226" s="87"/>
    </row>
    <row r="227" spans="1:5" ht="15" x14ac:dyDescent="0.2">
      <c r="A227" s="73">
        <v>44174</v>
      </c>
      <c r="B227" s="70">
        <v>93.59</v>
      </c>
      <c r="C227" s="85">
        <v>1365525</v>
      </c>
      <c r="D227" s="88">
        <v>-1.203420247017839E-2</v>
      </c>
      <c r="E227" s="87"/>
    </row>
    <row r="228" spans="1:5" ht="15" x14ac:dyDescent="0.2">
      <c r="A228" s="73">
        <v>44173</v>
      </c>
      <c r="B228" s="70">
        <v>94.73</v>
      </c>
      <c r="C228" s="85">
        <v>1346764</v>
      </c>
      <c r="D228" s="88">
        <v>-5.0414872387353205E-3</v>
      </c>
      <c r="E228" s="87"/>
    </row>
    <row r="229" spans="1:5" ht="15" x14ac:dyDescent="0.2">
      <c r="A229" s="73">
        <v>44172</v>
      </c>
      <c r="B229" s="70">
        <v>95.21</v>
      </c>
      <c r="C229" s="85">
        <v>1631950</v>
      </c>
      <c r="D229" s="88">
        <v>-1.0702410640066495E-2</v>
      </c>
      <c r="E229" s="87"/>
    </row>
    <row r="230" spans="1:5" ht="15" x14ac:dyDescent="0.2">
      <c r="A230" s="73">
        <v>44169</v>
      </c>
      <c r="B230" s="70">
        <v>96.24</v>
      </c>
      <c r="C230" s="85">
        <v>2485380</v>
      </c>
      <c r="D230" s="88">
        <v>1.3052631578947205E-2</v>
      </c>
      <c r="E230" s="87"/>
    </row>
    <row r="231" spans="1:5" ht="15" x14ac:dyDescent="0.2">
      <c r="A231" s="73">
        <v>44168</v>
      </c>
      <c r="B231" s="70">
        <v>95</v>
      </c>
      <c r="C231" s="85">
        <v>2495805</v>
      </c>
      <c r="D231" s="88">
        <v>4.029785370127037E-2</v>
      </c>
      <c r="E231" s="87"/>
    </row>
    <row r="232" spans="1:5" ht="15" x14ac:dyDescent="0.2">
      <c r="A232" s="73">
        <v>44167</v>
      </c>
      <c r="B232" s="70">
        <v>91.32</v>
      </c>
      <c r="C232" s="85">
        <v>1943603</v>
      </c>
      <c r="D232" s="88">
        <v>2.147651006711393E-2</v>
      </c>
      <c r="E232" s="87"/>
    </row>
    <row r="233" spans="1:5" ht="15" x14ac:dyDescent="0.2">
      <c r="A233" s="73">
        <v>44166</v>
      </c>
      <c r="B233" s="70">
        <v>89.4</v>
      </c>
      <c r="C233" s="85">
        <v>2001688</v>
      </c>
      <c r="D233" s="88">
        <v>1.9035677647327054E-2</v>
      </c>
      <c r="E233" s="87"/>
    </row>
    <row r="234" spans="1:5" ht="15" x14ac:dyDescent="0.2">
      <c r="A234" s="73">
        <v>44165</v>
      </c>
      <c r="B234" s="70">
        <v>87.73</v>
      </c>
      <c r="C234" s="85">
        <v>3524562</v>
      </c>
      <c r="D234" s="88">
        <v>-2.5222222222222146E-2</v>
      </c>
      <c r="E234" s="87"/>
    </row>
    <row r="235" spans="1:5" ht="15" x14ac:dyDescent="0.2">
      <c r="A235" s="73">
        <v>44162</v>
      </c>
      <c r="B235" s="70">
        <v>90</v>
      </c>
      <c r="C235" s="85">
        <v>2070142</v>
      </c>
      <c r="D235" s="88">
        <v>2.2271714922048602E-3</v>
      </c>
      <c r="E235" s="87"/>
    </row>
    <row r="236" spans="1:5" ht="15" x14ac:dyDescent="0.2">
      <c r="A236" s="73">
        <v>44161</v>
      </c>
      <c r="B236" s="70">
        <v>89.8</v>
      </c>
      <c r="C236" s="85">
        <v>1877723</v>
      </c>
      <c r="D236" s="88">
        <v>-1.8579234972677661E-2</v>
      </c>
      <c r="E236" s="87"/>
    </row>
    <row r="237" spans="1:5" ht="15" x14ac:dyDescent="0.2">
      <c r="A237" s="73">
        <v>44160</v>
      </c>
      <c r="B237" s="70">
        <v>91.5</v>
      </c>
      <c r="C237" s="85">
        <v>2783332</v>
      </c>
      <c r="D237" s="88">
        <v>-2.1390374331550777E-2</v>
      </c>
      <c r="E237" s="87"/>
    </row>
    <row r="238" spans="1:5" ht="15" x14ac:dyDescent="0.2">
      <c r="A238" s="73">
        <v>44159</v>
      </c>
      <c r="B238" s="70">
        <v>93.5</v>
      </c>
      <c r="C238" s="85">
        <v>3279891</v>
      </c>
      <c r="D238" s="88">
        <v>3.7275349456401097E-2</v>
      </c>
      <c r="E238" s="87"/>
    </row>
    <row r="239" spans="1:5" ht="15" x14ac:dyDescent="0.2">
      <c r="A239" s="73">
        <v>44158</v>
      </c>
      <c r="B239" s="70">
        <v>90.14</v>
      </c>
      <c r="C239" s="85">
        <v>1928740</v>
      </c>
      <c r="D239" s="88">
        <v>1.6922382671480163E-2</v>
      </c>
      <c r="E239" s="87"/>
    </row>
    <row r="240" spans="1:5" ht="15" x14ac:dyDescent="0.2">
      <c r="A240" s="73">
        <v>44155</v>
      </c>
      <c r="B240" s="70">
        <v>88.64</v>
      </c>
      <c r="C240" s="85">
        <v>2253690</v>
      </c>
      <c r="D240" s="88">
        <v>-7.7241688122691166E-3</v>
      </c>
      <c r="E240" s="87"/>
    </row>
    <row r="241" spans="1:5" ht="15" x14ac:dyDescent="0.2">
      <c r="A241" s="73">
        <v>44154</v>
      </c>
      <c r="B241" s="70">
        <v>89.33</v>
      </c>
      <c r="C241" s="85">
        <v>2360085</v>
      </c>
      <c r="D241" s="88">
        <v>-7.4444444444444757E-3</v>
      </c>
      <c r="E241" s="87"/>
    </row>
    <row r="242" spans="1:5" ht="15" x14ac:dyDescent="0.2">
      <c r="A242" s="73">
        <v>44153</v>
      </c>
      <c r="B242" s="70">
        <v>90</v>
      </c>
      <c r="C242" s="85">
        <v>2642183</v>
      </c>
      <c r="D242" s="88">
        <v>-9.990009990010762E-4</v>
      </c>
      <c r="E242" s="87"/>
    </row>
    <row r="243" spans="1:5" ht="15" x14ac:dyDescent="0.2">
      <c r="A243" s="73">
        <v>44152</v>
      </c>
      <c r="B243" s="70">
        <v>90.09</v>
      </c>
      <c r="C243" s="85">
        <v>2891922</v>
      </c>
      <c r="D243" s="88">
        <v>1.0000000000001119E-3</v>
      </c>
      <c r="E243" s="87"/>
    </row>
    <row r="244" spans="1:5" ht="15" x14ac:dyDescent="0.2">
      <c r="A244" s="73">
        <v>44151</v>
      </c>
      <c r="B244" s="70">
        <v>90</v>
      </c>
      <c r="C244" s="85">
        <v>3884774</v>
      </c>
      <c r="D244" s="88">
        <v>5.1893408134642272E-2</v>
      </c>
      <c r="E244" s="87"/>
    </row>
    <row r="245" spans="1:5" ht="15" x14ac:dyDescent="0.2">
      <c r="A245" s="73">
        <v>44148</v>
      </c>
      <c r="B245" s="70">
        <v>85.56</v>
      </c>
      <c r="C245" s="85">
        <v>2420350</v>
      </c>
      <c r="D245" s="88">
        <v>1.1227987235551407E-2</v>
      </c>
      <c r="E245" s="87"/>
    </row>
    <row r="246" spans="1:5" ht="15" x14ac:dyDescent="0.2">
      <c r="A246" s="73">
        <v>44147</v>
      </c>
      <c r="B246" s="70">
        <v>84.61</v>
      </c>
      <c r="C246" s="85">
        <v>2822386</v>
      </c>
      <c r="D246" s="88">
        <v>-2.7471264367816106E-2</v>
      </c>
      <c r="E246" s="87"/>
    </row>
    <row r="247" spans="1:5" ht="15" x14ac:dyDescent="0.2">
      <c r="A247" s="73">
        <v>44146</v>
      </c>
      <c r="B247" s="70">
        <v>87</v>
      </c>
      <c r="C247" s="85">
        <v>3265918</v>
      </c>
      <c r="D247" s="88">
        <v>-1.0464058234758933E-2</v>
      </c>
      <c r="E247" s="87"/>
    </row>
    <row r="248" spans="1:5" ht="15" x14ac:dyDescent="0.2">
      <c r="A248" s="73">
        <v>44145</v>
      </c>
      <c r="B248" s="70">
        <v>87.92</v>
      </c>
      <c r="C248" s="85">
        <v>7232758</v>
      </c>
      <c r="D248" s="88">
        <v>5.9277108433734904E-2</v>
      </c>
      <c r="E248" s="87"/>
    </row>
    <row r="249" spans="1:5" ht="15" x14ac:dyDescent="0.2">
      <c r="A249" s="73">
        <v>44144</v>
      </c>
      <c r="B249" s="70">
        <v>83</v>
      </c>
      <c r="C249" s="85">
        <v>10568937</v>
      </c>
      <c r="D249" s="88">
        <v>0.18571428571428572</v>
      </c>
      <c r="E249" s="87"/>
    </row>
    <row r="250" spans="1:5" ht="15" x14ac:dyDescent="0.2">
      <c r="A250" s="73">
        <v>44141</v>
      </c>
      <c r="B250" s="70">
        <v>70</v>
      </c>
      <c r="C250" s="85">
        <v>2672747</v>
      </c>
      <c r="D250" s="88">
        <v>-5.3992611537367896E-3</v>
      </c>
      <c r="E250" s="87"/>
    </row>
    <row r="251" spans="1:5" ht="15" x14ac:dyDescent="0.2">
      <c r="A251" s="73">
        <v>44140</v>
      </c>
      <c r="B251" s="70">
        <v>70.38</v>
      </c>
      <c r="C251" s="85">
        <v>2203607</v>
      </c>
      <c r="D251" s="88">
        <v>2.6246719160105014E-2</v>
      </c>
      <c r="E251" s="87"/>
    </row>
    <row r="252" spans="1:5" ht="15" x14ac:dyDescent="0.2">
      <c r="A252" s="73">
        <v>44139</v>
      </c>
      <c r="B252" s="70">
        <v>68.58</v>
      </c>
      <c r="C252" s="85">
        <v>2874383</v>
      </c>
      <c r="D252" s="88">
        <v>3.4701267350633724E-2</v>
      </c>
      <c r="E252" s="87"/>
    </row>
    <row r="253" spans="1:5" ht="15" x14ac:dyDescent="0.2">
      <c r="A253" s="73">
        <v>44138</v>
      </c>
      <c r="B253" s="70">
        <v>66.28</v>
      </c>
      <c r="C253" s="85">
        <v>2549566</v>
      </c>
      <c r="D253" s="88">
        <v>5.0562688223173113E-2</v>
      </c>
      <c r="E253" s="87"/>
    </row>
    <row r="254" spans="1:5" ht="15" x14ac:dyDescent="0.2">
      <c r="A254" s="73">
        <v>44137</v>
      </c>
      <c r="B254" s="70">
        <v>63.09</v>
      </c>
      <c r="C254" s="85">
        <v>1840502</v>
      </c>
      <c r="D254" s="88">
        <v>7.9884965649463791E-3</v>
      </c>
      <c r="E254" s="87"/>
    </row>
    <row r="255" spans="1:5" ht="15" x14ac:dyDescent="0.2">
      <c r="A255" s="73">
        <v>44134</v>
      </c>
      <c r="B255" s="70">
        <v>62.59</v>
      </c>
      <c r="C255" s="85">
        <v>2533525</v>
      </c>
      <c r="D255" s="88">
        <v>1.7723577235772447E-2</v>
      </c>
      <c r="E255" s="87"/>
    </row>
    <row r="256" spans="1:5" ht="15" x14ac:dyDescent="0.2">
      <c r="A256" s="73">
        <v>44133</v>
      </c>
      <c r="B256" s="70">
        <v>61.5</v>
      </c>
      <c r="C256" s="85">
        <v>3558316</v>
      </c>
      <c r="D256" s="88">
        <v>-4.3710539096649681E-3</v>
      </c>
      <c r="E256" s="87"/>
    </row>
    <row r="257" spans="1:5" ht="15" x14ac:dyDescent="0.2">
      <c r="A257" s="73">
        <v>44132</v>
      </c>
      <c r="B257" s="70">
        <v>61.77</v>
      </c>
      <c r="C257" s="85">
        <v>3855312</v>
      </c>
      <c r="D257" s="88">
        <v>-3.4843749999999951E-2</v>
      </c>
      <c r="E257" s="87"/>
    </row>
    <row r="258" spans="1:5" ht="15" x14ac:dyDescent="0.2">
      <c r="A258" s="73">
        <v>44131</v>
      </c>
      <c r="B258" s="70">
        <v>64</v>
      </c>
      <c r="C258" s="85">
        <v>2483118</v>
      </c>
      <c r="D258" s="88">
        <v>-2.8094153378891318E-2</v>
      </c>
      <c r="E258" s="87"/>
    </row>
    <row r="259" spans="1:5" ht="15" x14ac:dyDescent="0.2">
      <c r="A259" s="73">
        <v>44130</v>
      </c>
      <c r="B259" s="70">
        <v>65.849999999999994</v>
      </c>
      <c r="C259" s="85">
        <v>3086066</v>
      </c>
      <c r="D259" s="88">
        <v>-3.2044686167867265E-2</v>
      </c>
      <c r="E259" s="87"/>
    </row>
    <row r="260" spans="1:5" ht="15" x14ac:dyDescent="0.2">
      <c r="A260" s="73">
        <v>44127</v>
      </c>
      <c r="B260" s="70">
        <v>68.03</v>
      </c>
      <c r="C260" s="85">
        <v>3398269</v>
      </c>
      <c r="D260" s="88">
        <v>5.5546935608999259E-2</v>
      </c>
      <c r="E260" s="87"/>
    </row>
    <row r="261" spans="1:5" ht="15" x14ac:dyDescent="0.2">
      <c r="A261" s="73">
        <v>44126</v>
      </c>
      <c r="B261" s="70">
        <v>64.45</v>
      </c>
      <c r="C261" s="85">
        <v>1983309</v>
      </c>
      <c r="D261" s="88">
        <v>6.0880424601936767E-3</v>
      </c>
      <c r="E261" s="87"/>
    </row>
    <row r="262" spans="1:5" ht="15" x14ac:dyDescent="0.2">
      <c r="A262" s="73">
        <v>44125</v>
      </c>
      <c r="B262" s="70">
        <v>64.06</v>
      </c>
      <c r="C262" s="85">
        <v>2110298</v>
      </c>
      <c r="D262" s="88">
        <v>-4.3023603226770124E-2</v>
      </c>
      <c r="E262" s="87"/>
    </row>
    <row r="263" spans="1:5" ht="15" x14ac:dyDescent="0.2">
      <c r="A263" s="73">
        <v>44124</v>
      </c>
      <c r="B263" s="70">
        <v>66.94</v>
      </c>
      <c r="C263" s="85">
        <v>2501202</v>
      </c>
      <c r="D263" s="88">
        <v>1.1331016769904778E-2</v>
      </c>
      <c r="E263" s="87"/>
    </row>
    <row r="264" spans="1:5" ht="15" x14ac:dyDescent="0.2">
      <c r="A264" s="73">
        <v>44123</v>
      </c>
      <c r="B264" s="70">
        <v>66.19</v>
      </c>
      <c r="C264" s="85">
        <v>1199317</v>
      </c>
      <c r="D264" s="88">
        <v>2.8753497046938081E-2</v>
      </c>
      <c r="E264" s="87"/>
    </row>
    <row r="265" spans="1:5" ht="15" x14ac:dyDescent="0.2">
      <c r="A265" s="73">
        <v>44120</v>
      </c>
      <c r="B265" s="70">
        <v>64.34</v>
      </c>
      <c r="C265" s="85">
        <v>2602485</v>
      </c>
      <c r="D265" s="88">
        <v>4.1268813723903675E-2</v>
      </c>
      <c r="E265" s="87"/>
    </row>
    <row r="266" spans="1:5" ht="15" x14ac:dyDescent="0.2">
      <c r="A266" s="73">
        <v>44119</v>
      </c>
      <c r="B266" s="70">
        <v>61.79</v>
      </c>
      <c r="C266" s="85">
        <v>2544700</v>
      </c>
      <c r="D266" s="88">
        <v>-5.7924376508446951E-3</v>
      </c>
      <c r="E266" s="87"/>
    </row>
    <row r="267" spans="1:5" ht="15" x14ac:dyDescent="0.2">
      <c r="A267" s="73">
        <v>44118</v>
      </c>
      <c r="B267" s="70">
        <v>62.15</v>
      </c>
      <c r="C267" s="85">
        <v>2589403</v>
      </c>
      <c r="D267" s="88">
        <v>-2.4026381909547756E-2</v>
      </c>
      <c r="E267" s="87"/>
    </row>
    <row r="268" spans="1:5" ht="15" x14ac:dyDescent="0.2">
      <c r="A268" s="73">
        <v>44117</v>
      </c>
      <c r="B268" s="70">
        <v>63.68</v>
      </c>
      <c r="C268" s="85">
        <v>2160265</v>
      </c>
      <c r="D268" s="88">
        <v>-3.5005303833914203E-2</v>
      </c>
      <c r="E268" s="87"/>
    </row>
    <row r="269" spans="1:5" ht="15" x14ac:dyDescent="0.2">
      <c r="A269" s="73">
        <v>44116</v>
      </c>
      <c r="B269" s="70">
        <v>65.989999999999995</v>
      </c>
      <c r="C269" s="85">
        <v>1691699</v>
      </c>
      <c r="D269" s="88">
        <v>-1.1829889188379794E-2</v>
      </c>
      <c r="E269" s="87"/>
    </row>
    <row r="270" spans="1:5" ht="15" x14ac:dyDescent="0.2">
      <c r="A270" s="73">
        <v>44113</v>
      </c>
      <c r="B270" s="70">
        <v>66.78</v>
      </c>
      <c r="C270" s="85">
        <v>2064860</v>
      </c>
      <c r="D270" s="88">
        <v>-2.0920502092049986E-3</v>
      </c>
      <c r="E270" s="87"/>
    </row>
    <row r="271" spans="1:5" ht="15" x14ac:dyDescent="0.2">
      <c r="A271" s="73">
        <v>44112</v>
      </c>
      <c r="B271" s="70">
        <v>66.92</v>
      </c>
      <c r="C271" s="85">
        <v>1669083</v>
      </c>
      <c r="D271" s="88">
        <v>3.2983508245876259E-3</v>
      </c>
      <c r="E271" s="87"/>
    </row>
    <row r="272" spans="1:5" ht="15" x14ac:dyDescent="0.2">
      <c r="A272" s="73">
        <v>44111</v>
      </c>
      <c r="B272" s="70">
        <v>66.7</v>
      </c>
      <c r="C272" s="85">
        <v>1914374</v>
      </c>
      <c r="D272" s="88">
        <v>-1.5788697063597312E-2</v>
      </c>
      <c r="E272" s="87"/>
    </row>
    <row r="273" spans="1:5" ht="15" x14ac:dyDescent="0.2">
      <c r="A273" s="73">
        <v>44110</v>
      </c>
      <c r="B273" s="70">
        <v>67.77</v>
      </c>
      <c r="C273" s="85">
        <v>2265095</v>
      </c>
      <c r="D273" s="88">
        <v>2.9939209726443705E-2</v>
      </c>
      <c r="E273" s="87"/>
    </row>
    <row r="274" spans="1:5" ht="15" x14ac:dyDescent="0.2">
      <c r="A274" s="73">
        <v>44109</v>
      </c>
      <c r="B274" s="70">
        <v>65.8</v>
      </c>
      <c r="C274" s="85">
        <v>1605420</v>
      </c>
      <c r="D274" s="88">
        <v>1.8260600433302354E-2</v>
      </c>
      <c r="E274" s="87"/>
    </row>
    <row r="275" spans="1:5" ht="15" x14ac:dyDescent="0.2">
      <c r="A275" s="73">
        <v>44106</v>
      </c>
      <c r="B275" s="70">
        <v>64.62</v>
      </c>
      <c r="C275" s="85">
        <v>2299021</v>
      </c>
      <c r="D275" s="88">
        <v>-4.3143297380585643E-3</v>
      </c>
      <c r="E275" s="87"/>
    </row>
    <row r="276" spans="1:5" ht="15" x14ac:dyDescent="0.2">
      <c r="A276" s="73">
        <v>44105</v>
      </c>
      <c r="B276" s="70">
        <v>64.900000000000006</v>
      </c>
      <c r="C276" s="85">
        <v>2489597</v>
      </c>
      <c r="D276" s="88">
        <v>4.5593684549702029E-2</v>
      </c>
      <c r="E276" s="87"/>
    </row>
    <row r="277" spans="1:5" ht="15" x14ac:dyDescent="0.2">
      <c r="A277" s="73">
        <v>44104</v>
      </c>
      <c r="B277" s="70">
        <v>62.07</v>
      </c>
      <c r="C277" s="85">
        <v>2016150</v>
      </c>
      <c r="D277" s="88">
        <v>-8.3080364275444074E-3</v>
      </c>
      <c r="E277" s="87"/>
    </row>
    <row r="278" spans="1:5" ht="15" x14ac:dyDescent="0.2">
      <c r="A278" s="73">
        <v>44103</v>
      </c>
      <c r="B278" s="70">
        <v>62.59</v>
      </c>
      <c r="C278" s="85">
        <v>1820433</v>
      </c>
      <c r="D278" s="88">
        <v>4.4936607286150121E-3</v>
      </c>
      <c r="E278" s="87"/>
    </row>
    <row r="279" spans="1:5" ht="15" x14ac:dyDescent="0.2">
      <c r="A279" s="73">
        <v>44102</v>
      </c>
      <c r="B279" s="70">
        <v>62.31</v>
      </c>
      <c r="C279" s="85">
        <v>2246798</v>
      </c>
      <c r="D279" s="88">
        <v>3.8153948683772088E-2</v>
      </c>
      <c r="E279" s="87"/>
    </row>
    <row r="280" spans="1:5" ht="15" x14ac:dyDescent="0.2">
      <c r="A280" s="73">
        <v>44099</v>
      </c>
      <c r="B280" s="70">
        <v>60.02</v>
      </c>
      <c r="C280" s="85">
        <v>2495747</v>
      </c>
      <c r="D280" s="88">
        <v>6.2028499580888408E-3</v>
      </c>
      <c r="E280" s="87"/>
    </row>
    <row r="281" spans="1:5" ht="15" x14ac:dyDescent="0.2">
      <c r="A281" s="73">
        <v>44098</v>
      </c>
      <c r="B281" s="70">
        <v>59.65</v>
      </c>
      <c r="C281" s="85">
        <v>3239813</v>
      </c>
      <c r="D281" s="88">
        <v>-3.4633435831040615E-2</v>
      </c>
      <c r="E281" s="87"/>
    </row>
    <row r="282" spans="1:5" ht="15" x14ac:dyDescent="0.2">
      <c r="A282" s="73">
        <v>44097</v>
      </c>
      <c r="B282" s="70">
        <v>61.79</v>
      </c>
      <c r="C282" s="85">
        <v>2237429</v>
      </c>
      <c r="D282" s="88">
        <v>-9.2993426326759554E-3</v>
      </c>
      <c r="E282" s="87"/>
    </row>
    <row r="283" spans="1:5" ht="15" x14ac:dyDescent="0.2">
      <c r="A283" s="73">
        <v>44096</v>
      </c>
      <c r="B283" s="70">
        <v>62.37</v>
      </c>
      <c r="C283" s="85">
        <v>3342559</v>
      </c>
      <c r="D283" s="88">
        <v>-2.6837260102980265E-2</v>
      </c>
      <c r="E283" s="87"/>
    </row>
    <row r="284" spans="1:5" ht="15" x14ac:dyDescent="0.2">
      <c r="A284" s="73">
        <v>44095</v>
      </c>
      <c r="B284" s="70">
        <v>64.09</v>
      </c>
      <c r="C284" s="85">
        <v>3175014</v>
      </c>
      <c r="D284" s="88">
        <v>-6.5743440233235972E-2</v>
      </c>
      <c r="E284" s="87"/>
    </row>
    <row r="285" spans="1:5" ht="15" x14ac:dyDescent="0.2">
      <c r="A285" s="73">
        <v>44092</v>
      </c>
      <c r="B285" s="70">
        <v>68.599999999999994</v>
      </c>
      <c r="C285" s="85">
        <v>3993509</v>
      </c>
      <c r="D285" s="88">
        <v>-3.5433070866141891E-2</v>
      </c>
      <c r="E285" s="87"/>
    </row>
    <row r="286" spans="1:5" ht="15" x14ac:dyDescent="0.2">
      <c r="A286" s="73">
        <v>44091</v>
      </c>
      <c r="B286" s="70">
        <v>71.12</v>
      </c>
      <c r="C286" s="85">
        <v>1531358</v>
      </c>
      <c r="D286" s="88">
        <v>4.661675377878316E-3</v>
      </c>
      <c r="E286" s="87"/>
    </row>
    <row r="287" spans="1:5" ht="15" x14ac:dyDescent="0.2">
      <c r="A287" s="73">
        <v>44090</v>
      </c>
      <c r="B287" s="70">
        <v>70.790000000000006</v>
      </c>
      <c r="C287" s="85">
        <v>1642471</v>
      </c>
      <c r="D287" s="88">
        <v>1.8854346574553871E-2</v>
      </c>
      <c r="E287" s="87"/>
    </row>
    <row r="288" spans="1:5" ht="15" x14ac:dyDescent="0.2">
      <c r="A288" s="73">
        <v>44089</v>
      </c>
      <c r="B288" s="70">
        <v>69.48</v>
      </c>
      <c r="C288" s="85">
        <v>1716297</v>
      </c>
      <c r="D288" s="88">
        <v>-2.579921480650571E-2</v>
      </c>
      <c r="E288" s="87"/>
    </row>
    <row r="289" spans="1:5" ht="15" x14ac:dyDescent="0.2">
      <c r="A289" s="73">
        <v>44088</v>
      </c>
      <c r="B289" s="70">
        <v>71.319999999999993</v>
      </c>
      <c r="C289" s="85">
        <v>1691025</v>
      </c>
      <c r="D289" s="88">
        <v>3.6326649229875052E-2</v>
      </c>
      <c r="E289" s="87"/>
    </row>
    <row r="290" spans="1:5" ht="15" x14ac:dyDescent="0.2">
      <c r="A290" s="73">
        <v>44085</v>
      </c>
      <c r="B290" s="70">
        <v>68.819999999999993</v>
      </c>
      <c r="C290" s="85">
        <v>1609414</v>
      </c>
      <c r="D290" s="88">
        <v>-8.9285714285715079E-3</v>
      </c>
      <c r="E290" s="87"/>
    </row>
    <row r="291" spans="1:5" ht="15" x14ac:dyDescent="0.2">
      <c r="A291" s="73">
        <v>44084</v>
      </c>
      <c r="B291" s="70">
        <v>69.44</v>
      </c>
      <c r="C291" s="85">
        <v>1540101</v>
      </c>
      <c r="D291" s="88">
        <v>7.2056492289940266E-4</v>
      </c>
      <c r="E291" s="87"/>
    </row>
    <row r="292" spans="1:5" ht="15" x14ac:dyDescent="0.2">
      <c r="A292" s="73">
        <v>44083</v>
      </c>
      <c r="B292" s="70">
        <v>69.39</v>
      </c>
      <c r="C292" s="85">
        <v>2973903</v>
      </c>
      <c r="D292" s="88">
        <v>-1.9638315908448667E-2</v>
      </c>
      <c r="E292" s="87"/>
    </row>
    <row r="293" spans="1:5" ht="15" x14ac:dyDescent="0.2">
      <c r="A293" s="73">
        <v>44082</v>
      </c>
      <c r="B293" s="70">
        <v>70.78</v>
      </c>
      <c r="C293" s="85">
        <v>1965586</v>
      </c>
      <c r="D293" s="88">
        <v>-4.0531381320319859E-2</v>
      </c>
      <c r="E293" s="87"/>
    </row>
    <row r="294" spans="1:5" ht="15" x14ac:dyDescent="0.2">
      <c r="A294" s="73">
        <v>44081</v>
      </c>
      <c r="B294" s="70">
        <v>73.77</v>
      </c>
      <c r="C294" s="85">
        <v>1687917</v>
      </c>
      <c r="D294" s="88">
        <v>5.7179707652622369E-2</v>
      </c>
      <c r="E294" s="87"/>
    </row>
    <row r="295" spans="1:5" ht="15" x14ac:dyDescent="0.2">
      <c r="A295" s="73">
        <v>44078</v>
      </c>
      <c r="B295" s="70">
        <v>69.78</v>
      </c>
      <c r="C295" s="85">
        <v>2020741</v>
      </c>
      <c r="D295" s="88">
        <v>-2.4055944055944023E-2</v>
      </c>
      <c r="E295" s="87"/>
    </row>
    <row r="296" spans="1:5" ht="15" x14ac:dyDescent="0.2">
      <c r="A296" s="73">
        <v>44077</v>
      </c>
      <c r="B296" s="70">
        <v>71.5</v>
      </c>
      <c r="C296" s="85">
        <v>2596847</v>
      </c>
      <c r="D296" s="88">
        <v>-8.0466148723640218E-3</v>
      </c>
      <c r="E296" s="87"/>
    </row>
    <row r="297" spans="1:5" ht="15" x14ac:dyDescent="0.2">
      <c r="A297" s="73">
        <v>44076</v>
      </c>
      <c r="B297" s="70">
        <v>72.08</v>
      </c>
      <c r="C297" s="85">
        <v>2273300</v>
      </c>
      <c r="D297" s="88">
        <v>3.6078769584591219E-2</v>
      </c>
      <c r="E297" s="87"/>
    </row>
    <row r="298" spans="1:5" ht="15" x14ac:dyDescent="0.2">
      <c r="A298" s="73">
        <v>44075</v>
      </c>
      <c r="B298" s="70">
        <v>69.569999999999993</v>
      </c>
      <c r="C298" s="85">
        <v>2386066</v>
      </c>
      <c r="D298" s="88">
        <v>1.0604299825682562E-2</v>
      </c>
      <c r="E298" s="87"/>
    </row>
    <row r="299" spans="1:5" ht="15" x14ac:dyDescent="0.2">
      <c r="A299" s="73">
        <v>44074</v>
      </c>
      <c r="B299" s="70">
        <v>68.84</v>
      </c>
      <c r="C299" s="85">
        <v>2212248</v>
      </c>
      <c r="D299" s="88">
        <v>-3.6394176931690891E-2</v>
      </c>
      <c r="E299" s="87"/>
    </row>
    <row r="300" spans="1:5" ht="15" x14ac:dyDescent="0.2">
      <c r="A300" s="73">
        <v>44071</v>
      </c>
      <c r="B300" s="70">
        <v>71.44</v>
      </c>
      <c r="C300" s="85">
        <v>1768097</v>
      </c>
      <c r="D300" s="88">
        <v>-9.2913604215781875E-3</v>
      </c>
      <c r="E300" s="87"/>
    </row>
    <row r="301" spans="1:5" ht="15" x14ac:dyDescent="0.2">
      <c r="A301" s="73">
        <v>44070</v>
      </c>
      <c r="B301" s="70">
        <v>72.11</v>
      </c>
      <c r="C301" s="85">
        <v>2056024</v>
      </c>
      <c r="D301" s="88">
        <v>2.6623006833712992E-2</v>
      </c>
      <c r="E301" s="87"/>
    </row>
    <row r="302" spans="1:5" ht="15" x14ac:dyDescent="0.2">
      <c r="A302" s="73">
        <v>44069</v>
      </c>
      <c r="B302" s="70">
        <v>70.239999999999995</v>
      </c>
      <c r="C302" s="85">
        <v>1454869</v>
      </c>
      <c r="D302" s="88">
        <v>-1.8446059250978308E-2</v>
      </c>
      <c r="E302" s="87"/>
    </row>
    <row r="303" spans="1:5" ht="15" x14ac:dyDescent="0.2">
      <c r="A303" s="73">
        <v>44068</v>
      </c>
      <c r="B303" s="70">
        <v>71.56</v>
      </c>
      <c r="C303" s="85">
        <v>1890052</v>
      </c>
      <c r="D303" s="88">
        <v>-7.4895977808597802E-3</v>
      </c>
      <c r="E303" s="87"/>
    </row>
    <row r="304" spans="1:5" ht="15" x14ac:dyDescent="0.2">
      <c r="A304" s="73">
        <v>44067</v>
      </c>
      <c r="B304" s="70">
        <v>72.099999999999994</v>
      </c>
      <c r="C304" s="85">
        <v>1837871</v>
      </c>
      <c r="D304" s="88">
        <v>4.371742906774756E-2</v>
      </c>
      <c r="E304" s="87"/>
    </row>
    <row r="305" spans="1:5" ht="15" x14ac:dyDescent="0.2">
      <c r="A305" s="73">
        <v>44064</v>
      </c>
      <c r="B305" s="70">
        <v>69.08</v>
      </c>
      <c r="C305" s="85">
        <v>1911917</v>
      </c>
      <c r="D305" s="88">
        <v>-1.3011421136330803E-3</v>
      </c>
      <c r="E305" s="87"/>
    </row>
    <row r="306" spans="1:5" ht="15" x14ac:dyDescent="0.2">
      <c r="A306" s="73">
        <v>44063</v>
      </c>
      <c r="B306" s="70">
        <v>69.17</v>
      </c>
      <c r="C306" s="85">
        <v>1494100</v>
      </c>
      <c r="D306" s="88">
        <v>-1.5373665480427068E-2</v>
      </c>
      <c r="E306" s="87"/>
    </row>
    <row r="307" spans="1:5" ht="15" x14ac:dyDescent="0.2">
      <c r="A307" s="73">
        <v>44062</v>
      </c>
      <c r="B307" s="70">
        <v>70.25</v>
      </c>
      <c r="C307" s="85">
        <v>1257818</v>
      </c>
      <c r="D307" s="88">
        <v>1.4733497038855958E-2</v>
      </c>
      <c r="E307" s="87"/>
    </row>
    <row r="308" spans="1:5" ht="15" x14ac:dyDescent="0.2">
      <c r="A308" s="73">
        <v>44061</v>
      </c>
      <c r="B308" s="70">
        <v>69.23</v>
      </c>
      <c r="C308" s="85">
        <v>1746225</v>
      </c>
      <c r="D308" s="88">
        <v>-3.0935050391937224E-2</v>
      </c>
      <c r="E308" s="87"/>
    </row>
    <row r="309" spans="1:5" ht="15" x14ac:dyDescent="0.2">
      <c r="A309" s="73">
        <v>44060</v>
      </c>
      <c r="B309" s="70">
        <v>71.44</v>
      </c>
      <c r="C309" s="85">
        <v>1244566</v>
      </c>
      <c r="D309" s="88">
        <v>-9.2913604215781875E-3</v>
      </c>
      <c r="E309" s="87"/>
    </row>
    <row r="310" spans="1:5" ht="15" x14ac:dyDescent="0.2">
      <c r="A310" s="73">
        <v>44057</v>
      </c>
      <c r="B310" s="70">
        <v>72.11</v>
      </c>
      <c r="C310" s="85">
        <v>1475525</v>
      </c>
      <c r="D310" s="88">
        <v>-1.6234652114597514E-2</v>
      </c>
      <c r="E310" s="87"/>
    </row>
    <row r="311" spans="1:5" ht="15" x14ac:dyDescent="0.2">
      <c r="A311" s="73">
        <v>44056</v>
      </c>
      <c r="B311" s="70">
        <v>73.3</v>
      </c>
      <c r="C311" s="85">
        <v>1755844</v>
      </c>
      <c r="D311" s="88">
        <v>-2.1623064602242503E-2</v>
      </c>
      <c r="E311" s="87"/>
    </row>
    <row r="312" spans="1:5" ht="15" x14ac:dyDescent="0.2">
      <c r="A312" s="73">
        <v>44055</v>
      </c>
      <c r="B312" s="70">
        <v>74.92</v>
      </c>
      <c r="C312" s="85">
        <v>1907292</v>
      </c>
      <c r="D312" s="88">
        <v>-1.6539774218955139E-2</v>
      </c>
      <c r="E312" s="87"/>
    </row>
    <row r="313" spans="1:5" ht="15" x14ac:dyDescent="0.2">
      <c r="A313" s="73">
        <v>44054</v>
      </c>
      <c r="B313" s="70">
        <v>76.180000000000007</v>
      </c>
      <c r="C313" s="85">
        <v>3123354</v>
      </c>
      <c r="D313" s="88">
        <v>5.717457674160431E-2</v>
      </c>
      <c r="E313" s="87"/>
    </row>
    <row r="314" spans="1:5" ht="15" x14ac:dyDescent="0.2">
      <c r="A314" s="73">
        <v>44053</v>
      </c>
      <c r="B314" s="70">
        <v>72.06</v>
      </c>
      <c r="C314" s="85">
        <v>2375364</v>
      </c>
      <c r="D314" s="88">
        <v>3.9826839826839988E-2</v>
      </c>
      <c r="E314" s="87"/>
    </row>
    <row r="315" spans="1:5" ht="15" x14ac:dyDescent="0.2">
      <c r="A315" s="73">
        <v>44050</v>
      </c>
      <c r="B315" s="70">
        <v>69.3</v>
      </c>
      <c r="C315" s="85">
        <v>1518079</v>
      </c>
      <c r="D315" s="88">
        <v>1.4195814429972087E-2</v>
      </c>
      <c r="E315" s="87"/>
    </row>
    <row r="316" spans="1:5" ht="15" x14ac:dyDescent="0.2">
      <c r="A316" s="73">
        <v>44049</v>
      </c>
      <c r="B316" s="70">
        <v>68.33</v>
      </c>
      <c r="C316" s="85">
        <v>2431328</v>
      </c>
      <c r="D316" s="88">
        <v>5.2964543180815671E-3</v>
      </c>
      <c r="E316" s="87"/>
    </row>
    <row r="317" spans="1:5" ht="15" x14ac:dyDescent="0.2">
      <c r="A317" s="73">
        <v>44048</v>
      </c>
      <c r="B317" s="70">
        <v>67.97</v>
      </c>
      <c r="C317" s="85">
        <v>1931247</v>
      </c>
      <c r="D317" s="88">
        <v>3.4866017052375131E-2</v>
      </c>
      <c r="E317" s="87"/>
    </row>
    <row r="318" spans="1:5" ht="15" x14ac:dyDescent="0.2">
      <c r="A318" s="73">
        <v>44047</v>
      </c>
      <c r="B318" s="70">
        <v>65.680000000000007</v>
      </c>
      <c r="C318" s="85">
        <v>2316976</v>
      </c>
      <c r="D318" s="88">
        <v>3.0597834614781272E-2</v>
      </c>
      <c r="E318" s="87"/>
    </row>
    <row r="319" spans="1:5" ht="15" x14ac:dyDescent="0.2">
      <c r="A319" s="73">
        <v>44046</v>
      </c>
      <c r="B319" s="70">
        <v>63.73</v>
      </c>
      <c r="C319" s="85">
        <v>2563330</v>
      </c>
      <c r="D319" s="88">
        <v>2.7737461699725907E-2</v>
      </c>
      <c r="E319" s="87"/>
    </row>
    <row r="320" spans="1:5" ht="15" x14ac:dyDescent="0.2">
      <c r="A320" s="73">
        <v>44043</v>
      </c>
      <c r="B320" s="70">
        <v>62.01</v>
      </c>
      <c r="C320" s="85">
        <v>2660929</v>
      </c>
      <c r="D320" s="88">
        <v>-2.0997789706346803E-2</v>
      </c>
      <c r="E320" s="87"/>
    </row>
    <row r="321" spans="1:5" ht="15" x14ac:dyDescent="0.2">
      <c r="A321" s="73">
        <v>44042</v>
      </c>
      <c r="B321" s="70">
        <v>63.34</v>
      </c>
      <c r="C321" s="85">
        <v>3218359</v>
      </c>
      <c r="D321" s="88">
        <v>1.8655516243164971E-2</v>
      </c>
      <c r="E321" s="87"/>
    </row>
    <row r="322" spans="1:5" ht="15" x14ac:dyDescent="0.2">
      <c r="A322" s="73">
        <v>44041</v>
      </c>
      <c r="B322" s="70">
        <v>62.18</v>
      </c>
      <c r="C322" s="85">
        <v>1945867</v>
      </c>
      <c r="D322" s="88">
        <v>-2.6155050900548149E-2</v>
      </c>
      <c r="E322" s="87"/>
    </row>
    <row r="323" spans="1:5" ht="15" x14ac:dyDescent="0.2">
      <c r="A323" s="73">
        <v>44040</v>
      </c>
      <c r="B323" s="70">
        <v>63.85</v>
      </c>
      <c r="C323" s="85">
        <v>1918092</v>
      </c>
      <c r="D323" s="88">
        <v>3.116925064599485E-2</v>
      </c>
      <c r="E323" s="87"/>
    </row>
    <row r="324" spans="1:5" ht="15" x14ac:dyDescent="0.2">
      <c r="A324" s="73">
        <v>44039</v>
      </c>
      <c r="B324" s="70">
        <v>61.92</v>
      </c>
      <c r="C324" s="85">
        <v>2302830</v>
      </c>
      <c r="D324" s="88">
        <v>-3.1440638198029114E-2</v>
      </c>
      <c r="E324" s="87"/>
    </row>
    <row r="325" spans="1:5" ht="15" x14ac:dyDescent="0.2">
      <c r="A325" s="73">
        <v>44036</v>
      </c>
      <c r="B325" s="70">
        <v>63.93</v>
      </c>
      <c r="C325" s="85">
        <v>2093318</v>
      </c>
      <c r="D325" s="88">
        <v>-2.0680147058823595E-2</v>
      </c>
      <c r="E325" s="87"/>
    </row>
    <row r="326" spans="1:5" ht="15" x14ac:dyDescent="0.2">
      <c r="A326" s="73">
        <v>44035</v>
      </c>
      <c r="B326" s="70">
        <v>65.28</v>
      </c>
      <c r="C326" s="85">
        <v>1945594</v>
      </c>
      <c r="D326" s="88">
        <v>-2.7268663388466674E-2</v>
      </c>
      <c r="E326" s="87"/>
    </row>
    <row r="327" spans="1:5" ht="15" x14ac:dyDescent="0.2">
      <c r="A327" s="73">
        <v>44034</v>
      </c>
      <c r="B327" s="70">
        <v>67.11</v>
      </c>
      <c r="C327" s="85">
        <v>1890217</v>
      </c>
      <c r="D327" s="88">
        <v>-1.3813372520205647E-2</v>
      </c>
      <c r="E327" s="87"/>
    </row>
    <row r="328" spans="1:5" ht="15" x14ac:dyDescent="0.2">
      <c r="A328" s="73">
        <v>44033</v>
      </c>
      <c r="B328" s="70">
        <v>68.05</v>
      </c>
      <c r="C328" s="85">
        <v>2197989</v>
      </c>
      <c r="D328" s="88">
        <v>3.5611018109876769E-2</v>
      </c>
      <c r="E328" s="87"/>
    </row>
    <row r="329" spans="1:5" ht="15" x14ac:dyDescent="0.2">
      <c r="A329" s="73">
        <v>44032</v>
      </c>
      <c r="B329" s="70">
        <v>65.709999999999994</v>
      </c>
      <c r="C329" s="85">
        <v>1512486</v>
      </c>
      <c r="D329" s="88">
        <v>-2.8831562974205305E-3</v>
      </c>
      <c r="E329" s="87"/>
    </row>
    <row r="330" spans="1:5" ht="15" x14ac:dyDescent="0.2">
      <c r="A330" s="73">
        <v>44029</v>
      </c>
      <c r="B330" s="70">
        <v>65.900000000000006</v>
      </c>
      <c r="C330" s="85">
        <v>2228828</v>
      </c>
      <c r="D330" s="88">
        <v>-1.6417910447761086E-2</v>
      </c>
      <c r="E330" s="87"/>
    </row>
    <row r="331" spans="1:5" ht="15" x14ac:dyDescent="0.2">
      <c r="A331" s="73">
        <v>44028</v>
      </c>
      <c r="B331" s="70">
        <v>67</v>
      </c>
      <c r="C331" s="85">
        <v>2035858</v>
      </c>
      <c r="D331" s="88">
        <v>-3.2071655590869663E-2</v>
      </c>
      <c r="E331" s="87"/>
    </row>
    <row r="332" spans="1:5" ht="15" x14ac:dyDescent="0.2">
      <c r="A332" s="73">
        <v>44027</v>
      </c>
      <c r="B332" s="70">
        <v>69.22</v>
      </c>
      <c r="C332" s="85">
        <v>5094971</v>
      </c>
      <c r="D332" s="88">
        <v>4.6251511487303443E-2</v>
      </c>
      <c r="E332" s="87"/>
    </row>
    <row r="333" spans="1:5" ht="15" x14ac:dyDescent="0.2">
      <c r="A333" s="73">
        <v>44026</v>
      </c>
      <c r="B333" s="70">
        <v>66.16</v>
      </c>
      <c r="C333" s="85">
        <v>2402161</v>
      </c>
      <c r="D333" s="88">
        <v>-2.4907885040530542E-2</v>
      </c>
      <c r="E333" s="87"/>
    </row>
    <row r="334" spans="1:5" ht="15" x14ac:dyDescent="0.2">
      <c r="A334" s="73">
        <v>44025</v>
      </c>
      <c r="B334" s="70">
        <v>67.849999999999994</v>
      </c>
      <c r="C334" s="85">
        <v>2148001</v>
      </c>
      <c r="D334" s="88">
        <v>3.6669213139801204E-2</v>
      </c>
      <c r="E334" s="87"/>
    </row>
    <row r="335" spans="1:5" ht="15" x14ac:dyDescent="0.2">
      <c r="A335" s="73">
        <v>44022</v>
      </c>
      <c r="B335" s="70">
        <v>65.45</v>
      </c>
      <c r="C335" s="85">
        <v>2412795</v>
      </c>
      <c r="D335" s="88">
        <v>3.527364757987983E-2</v>
      </c>
      <c r="E335" s="87"/>
    </row>
    <row r="336" spans="1:5" ht="15" x14ac:dyDescent="0.2">
      <c r="A336" s="73">
        <v>44021</v>
      </c>
      <c r="B336" s="70">
        <v>63.22</v>
      </c>
      <c r="C336" s="85">
        <v>2470846</v>
      </c>
      <c r="D336" s="88">
        <v>-3.9647577092510988E-2</v>
      </c>
      <c r="E336" s="87"/>
    </row>
    <row r="337" spans="1:5" ht="15" x14ac:dyDescent="0.2">
      <c r="A337" s="73">
        <v>44020</v>
      </c>
      <c r="B337" s="70">
        <v>65.83</v>
      </c>
      <c r="C337" s="85">
        <v>1977311</v>
      </c>
      <c r="D337" s="88">
        <v>-2.1842496285289781E-2</v>
      </c>
      <c r="E337" s="87"/>
    </row>
    <row r="338" spans="1:5" ht="15" x14ac:dyDescent="0.2">
      <c r="A338" s="73">
        <v>44019</v>
      </c>
      <c r="B338" s="70">
        <v>67.3</v>
      </c>
      <c r="C338" s="85">
        <v>1608022</v>
      </c>
      <c r="D338" s="88">
        <v>-6.2020082693443612E-3</v>
      </c>
      <c r="E338" s="87"/>
    </row>
    <row r="339" spans="1:5" ht="15" x14ac:dyDescent="0.2">
      <c r="A339" s="73">
        <v>44018</v>
      </c>
      <c r="B339" s="70">
        <v>67.72</v>
      </c>
      <c r="C339" s="85">
        <v>2437984</v>
      </c>
      <c r="D339" s="88">
        <v>3.184519274721942E-2</v>
      </c>
      <c r="E339" s="87"/>
    </row>
    <row r="340" spans="1:5" ht="15" x14ac:dyDescent="0.2">
      <c r="A340" s="73">
        <v>44015</v>
      </c>
      <c r="B340" s="70">
        <v>65.63</v>
      </c>
      <c r="C340" s="85">
        <v>1574888</v>
      </c>
      <c r="D340" s="88">
        <v>-1.1745219093510006E-2</v>
      </c>
      <c r="E340" s="87"/>
    </row>
    <row r="341" spans="1:5" ht="15" x14ac:dyDescent="0.2">
      <c r="A341" s="73">
        <v>44014</v>
      </c>
      <c r="B341" s="70">
        <v>66.41</v>
      </c>
      <c r="C341" s="85">
        <v>2989535</v>
      </c>
      <c r="D341" s="88">
        <v>3.4584826296931048E-2</v>
      </c>
      <c r="E341" s="87"/>
    </row>
    <row r="342" spans="1:5" ht="15" x14ac:dyDescent="0.2">
      <c r="A342" s="73">
        <v>44013</v>
      </c>
      <c r="B342" s="70">
        <v>64.19</v>
      </c>
      <c r="C342" s="85">
        <v>2876580</v>
      </c>
      <c r="D342" s="88">
        <v>1.0547858942065336E-2</v>
      </c>
      <c r="E342" s="87"/>
    </row>
    <row r="343" spans="1:5" ht="15" x14ac:dyDescent="0.2">
      <c r="A343" s="73">
        <v>44012</v>
      </c>
      <c r="B343" s="70">
        <v>63.52</v>
      </c>
      <c r="C343" s="85">
        <v>2988582</v>
      </c>
      <c r="D343" s="88">
        <v>2.6835043409629833E-3</v>
      </c>
      <c r="E343" s="87"/>
    </row>
    <row r="344" spans="1:5" ht="15" x14ac:dyDescent="0.2">
      <c r="A344" s="73">
        <v>44011</v>
      </c>
      <c r="B344" s="70">
        <v>63.35</v>
      </c>
      <c r="C344" s="85">
        <v>3287317</v>
      </c>
      <c r="D344" s="88">
        <v>2.3755656108597201E-2</v>
      </c>
      <c r="E344" s="87"/>
    </row>
    <row r="345" spans="1:5" ht="15" x14ac:dyDescent="0.2">
      <c r="A345" s="73">
        <v>44008</v>
      </c>
      <c r="B345" s="70">
        <v>61.88</v>
      </c>
      <c r="C345" s="85">
        <v>3309535</v>
      </c>
      <c r="D345" s="88">
        <v>-3.1914893617021267E-2</v>
      </c>
      <c r="E345" s="87"/>
    </row>
    <row r="346" spans="1:5" ht="15" x14ac:dyDescent="0.2">
      <c r="A346" s="73">
        <v>44007</v>
      </c>
      <c r="B346" s="70">
        <v>63.92</v>
      </c>
      <c r="C346" s="85">
        <v>3561513</v>
      </c>
      <c r="D346" s="88">
        <v>1.5086549150389095E-2</v>
      </c>
      <c r="E346" s="87"/>
    </row>
    <row r="347" spans="1:5" ht="15" x14ac:dyDescent="0.2">
      <c r="A347" s="73">
        <v>44006</v>
      </c>
      <c r="B347" s="70">
        <v>62.97</v>
      </c>
      <c r="C347" s="85">
        <v>3412357</v>
      </c>
      <c r="D347" s="88">
        <v>-5.6770521270221752E-2</v>
      </c>
      <c r="E347" s="87"/>
    </row>
    <row r="348" spans="1:5" ht="15" x14ac:dyDescent="0.2">
      <c r="A348" s="73">
        <v>44005</v>
      </c>
      <c r="B348" s="70">
        <v>66.760000000000005</v>
      </c>
      <c r="C348" s="85">
        <v>3046980</v>
      </c>
      <c r="D348" s="88">
        <v>-7.4338388343740958E-3</v>
      </c>
      <c r="E348" s="87"/>
    </row>
    <row r="349" spans="1:5" ht="15" x14ac:dyDescent="0.2">
      <c r="A349" s="73">
        <v>44004</v>
      </c>
      <c r="B349" s="70">
        <v>67.260000000000005</v>
      </c>
      <c r="C349" s="85">
        <v>2118878</v>
      </c>
      <c r="D349" s="88">
        <v>-2.3235550392099791E-2</v>
      </c>
      <c r="E349" s="87"/>
    </row>
    <row r="350" spans="1:5" ht="15" x14ac:dyDescent="0.2">
      <c r="A350" s="73">
        <v>44001</v>
      </c>
      <c r="B350" s="70">
        <v>68.86</v>
      </c>
      <c r="C350" s="85">
        <v>5582655</v>
      </c>
      <c r="D350" s="88">
        <v>1.5334709525213874E-2</v>
      </c>
      <c r="E350" s="87"/>
    </row>
    <row r="351" spans="1:5" ht="15" x14ac:dyDescent="0.2">
      <c r="A351" s="73">
        <v>44000</v>
      </c>
      <c r="B351" s="70">
        <v>67.819999999999993</v>
      </c>
      <c r="C351" s="85">
        <v>3997334</v>
      </c>
      <c r="D351" s="88">
        <v>-2.7670250896057458E-2</v>
      </c>
      <c r="E351" s="87"/>
    </row>
    <row r="352" spans="1:5" ht="15" x14ac:dyDescent="0.2">
      <c r="A352" s="73">
        <v>43999</v>
      </c>
      <c r="B352" s="70">
        <v>69.75</v>
      </c>
      <c r="C352" s="85">
        <v>3408687</v>
      </c>
      <c r="D352" s="88">
        <v>-1.1456394099956801E-3</v>
      </c>
      <c r="E352" s="87"/>
    </row>
    <row r="353" spans="1:5" ht="15" x14ac:dyDescent="0.2">
      <c r="A353" s="73">
        <v>43998</v>
      </c>
      <c r="B353" s="70">
        <v>69.83</v>
      </c>
      <c r="C353" s="85">
        <v>5092018</v>
      </c>
      <c r="D353" s="88">
        <v>2.6911764705882302E-2</v>
      </c>
      <c r="E353" s="87"/>
    </row>
    <row r="354" spans="1:5" ht="15" x14ac:dyDescent="0.2">
      <c r="A354" s="73">
        <v>43997</v>
      </c>
      <c r="B354" s="70">
        <v>68</v>
      </c>
      <c r="C354" s="85">
        <v>3675595</v>
      </c>
      <c r="D354" s="88">
        <v>1.5683345780433067E-2</v>
      </c>
      <c r="E354" s="87"/>
    </row>
    <row r="355" spans="1:5" ht="15" x14ac:dyDescent="0.2">
      <c r="A355" s="73">
        <v>43994</v>
      </c>
      <c r="B355" s="70">
        <v>66.95</v>
      </c>
      <c r="C355" s="85">
        <v>5584757</v>
      </c>
      <c r="D355" s="88">
        <v>-1.6403220996122903E-3</v>
      </c>
      <c r="E355" s="87"/>
    </row>
    <row r="356" spans="1:5" ht="15" x14ac:dyDescent="0.2">
      <c r="A356" s="73">
        <v>43993</v>
      </c>
      <c r="B356" s="70">
        <v>67.06</v>
      </c>
      <c r="C356" s="85">
        <v>6610324</v>
      </c>
      <c r="D356" s="88">
        <v>-0.10538954108858045</v>
      </c>
      <c r="E356" s="87"/>
    </row>
    <row r="357" spans="1:5" ht="15" x14ac:dyDescent="0.2">
      <c r="A357" s="73">
        <v>43992</v>
      </c>
      <c r="B357" s="70">
        <v>74.959999999999994</v>
      </c>
      <c r="C357" s="85">
        <v>4459277</v>
      </c>
      <c r="D357" s="88">
        <v>-9.3828465706357056E-3</v>
      </c>
      <c r="E357" s="87"/>
    </row>
    <row r="358" spans="1:5" ht="15" x14ac:dyDescent="0.2">
      <c r="A358" s="73">
        <v>43991</v>
      </c>
      <c r="B358" s="70">
        <v>75.67</v>
      </c>
      <c r="C358" s="85">
        <v>7255504</v>
      </c>
      <c r="D358" s="88">
        <v>-7.6181174459772905E-2</v>
      </c>
      <c r="E358" s="87"/>
    </row>
    <row r="359" spans="1:5" ht="15" x14ac:dyDescent="0.2">
      <c r="A359" s="73">
        <v>43990</v>
      </c>
      <c r="B359" s="70">
        <v>81.91</v>
      </c>
      <c r="C359" s="85">
        <v>6926062</v>
      </c>
      <c r="D359" s="88">
        <v>1.1484317115336928E-2</v>
      </c>
      <c r="E359" s="87"/>
    </row>
    <row r="360" spans="1:5" ht="15" x14ac:dyDescent="0.2">
      <c r="A360" s="73">
        <v>43987</v>
      </c>
      <c r="B360" s="70">
        <v>80.98</v>
      </c>
      <c r="C360" s="85">
        <v>9357529</v>
      </c>
      <c r="D360" s="88">
        <v>0.12503473186996383</v>
      </c>
      <c r="E360" s="87"/>
    </row>
    <row r="361" spans="1:5" ht="15" x14ac:dyDescent="0.2">
      <c r="A361" s="73">
        <v>43986</v>
      </c>
      <c r="B361" s="70">
        <v>71.98</v>
      </c>
      <c r="C361" s="85">
        <v>6944413</v>
      </c>
      <c r="D361" s="88">
        <v>5.2185353018564751E-2</v>
      </c>
      <c r="E361" s="87"/>
    </row>
    <row r="362" spans="1:5" ht="15" x14ac:dyDescent="0.2">
      <c r="A362" s="73">
        <v>43985</v>
      </c>
      <c r="B362" s="70">
        <v>68.41</v>
      </c>
      <c r="C362" s="85">
        <v>5333349</v>
      </c>
      <c r="D362" s="88">
        <v>7.3940345368916693E-2</v>
      </c>
      <c r="E362" s="87"/>
    </row>
    <row r="363" spans="1:5" ht="15" x14ac:dyDescent="0.2">
      <c r="A363" s="73">
        <v>43984</v>
      </c>
      <c r="B363" s="70">
        <v>63.7</v>
      </c>
      <c r="C363" s="85">
        <v>3938126</v>
      </c>
      <c r="D363" s="88">
        <v>7.1668909825033822E-2</v>
      </c>
      <c r="E363" s="87"/>
    </row>
    <row r="364" spans="1:5" ht="15" x14ac:dyDescent="0.2">
      <c r="A364" s="73">
        <v>43983</v>
      </c>
      <c r="B364" s="70">
        <v>59.44</v>
      </c>
      <c r="C364" s="85">
        <v>2304131</v>
      </c>
      <c r="D364" s="88">
        <v>4.8324514991181511E-2</v>
      </c>
      <c r="E364" s="87"/>
    </row>
    <row r="365" spans="1:5" ht="15" x14ac:dyDescent="0.2">
      <c r="A365" s="73">
        <v>43980</v>
      </c>
      <c r="B365" s="70">
        <v>56.7</v>
      </c>
      <c r="C365" s="85">
        <v>3864580</v>
      </c>
      <c r="D365" s="88">
        <v>-5.6886227544910128E-2</v>
      </c>
      <c r="E365" s="87"/>
    </row>
    <row r="366" spans="1:5" ht="15" x14ac:dyDescent="0.2">
      <c r="A366" s="73">
        <v>43979</v>
      </c>
      <c r="B366" s="70">
        <v>60.12</v>
      </c>
      <c r="C366" s="85">
        <v>4058210</v>
      </c>
      <c r="D366" s="88">
        <v>-1.6522165876002082E-2</v>
      </c>
      <c r="E366" s="87"/>
    </row>
    <row r="367" spans="1:5" ht="15" x14ac:dyDescent="0.2">
      <c r="A367" s="73">
        <v>43978</v>
      </c>
      <c r="B367" s="70">
        <v>61.13</v>
      </c>
      <c r="C367" s="85">
        <v>4407751</v>
      </c>
      <c r="D367" s="88">
        <v>-2.6747333227193137E-2</v>
      </c>
      <c r="E367" s="87"/>
    </row>
    <row r="368" spans="1:5" ht="15" x14ac:dyDescent="0.2">
      <c r="A368" s="73">
        <v>43977</v>
      </c>
      <c r="B368" s="70">
        <v>62.81</v>
      </c>
      <c r="C368" s="85">
        <v>5591691</v>
      </c>
      <c r="D368" s="88">
        <v>7.1111869031377895E-2</v>
      </c>
      <c r="E368" s="87"/>
    </row>
    <row r="369" spans="1:5" ht="15" x14ac:dyDescent="0.2">
      <c r="A369" s="73">
        <v>43976</v>
      </c>
      <c r="B369" s="70">
        <v>58.64</v>
      </c>
      <c r="C369" s="85">
        <v>3477619</v>
      </c>
      <c r="D369" s="88">
        <v>8.5122131754256092E-2</v>
      </c>
      <c r="E369" s="87"/>
    </row>
    <row r="370" spans="1:5" ht="15" x14ac:dyDescent="0.2">
      <c r="A370" s="73">
        <v>43973</v>
      </c>
      <c r="B370" s="70">
        <v>54.04</v>
      </c>
      <c r="C370" s="85">
        <v>3006906</v>
      </c>
      <c r="D370" s="88">
        <v>-1.1161939615736527E-2</v>
      </c>
      <c r="E370" s="87"/>
    </row>
    <row r="371" spans="1:5" ht="15" x14ac:dyDescent="0.2">
      <c r="A371" s="73">
        <v>43972</v>
      </c>
      <c r="B371" s="70">
        <v>54.65</v>
      </c>
      <c r="C371" s="85">
        <v>2440212</v>
      </c>
      <c r="D371" s="88">
        <v>-7.2661217075385975E-3</v>
      </c>
      <c r="E371" s="87"/>
    </row>
    <row r="372" spans="1:5" ht="15" x14ac:dyDescent="0.2">
      <c r="A372" s="73">
        <v>43971</v>
      </c>
      <c r="B372" s="70">
        <v>55.05</v>
      </c>
      <c r="C372" s="85">
        <v>2979573</v>
      </c>
      <c r="D372" s="88">
        <v>1.5120781855061827E-2</v>
      </c>
      <c r="E372" s="87"/>
    </row>
    <row r="373" spans="1:5" ht="15" x14ac:dyDescent="0.2">
      <c r="A373" s="73">
        <v>43970</v>
      </c>
      <c r="B373" s="70">
        <v>54.23</v>
      </c>
      <c r="C373" s="85">
        <v>4179278</v>
      </c>
      <c r="D373" s="88">
        <v>-2.0057824358511112E-2</v>
      </c>
      <c r="E373" s="87"/>
    </row>
    <row r="374" spans="1:5" ht="15" x14ac:dyDescent="0.2">
      <c r="A374" s="73">
        <v>43969</v>
      </c>
      <c r="B374" s="70">
        <v>55.34</v>
      </c>
      <c r="C374" s="85">
        <v>3792875</v>
      </c>
      <c r="D374" s="88">
        <v>0.12228756844453459</v>
      </c>
      <c r="E374" s="87"/>
    </row>
    <row r="375" spans="1:5" ht="15" x14ac:dyDescent="0.2">
      <c r="A375" s="73">
        <v>43966</v>
      </c>
      <c r="B375" s="70">
        <v>49.31</v>
      </c>
      <c r="C375" s="85">
        <v>2592698</v>
      </c>
      <c r="D375" s="88">
        <v>-1.1427425821972759E-2</v>
      </c>
      <c r="E375" s="87"/>
    </row>
    <row r="376" spans="1:5" ht="15" x14ac:dyDescent="0.2">
      <c r="A376" s="73">
        <v>43965</v>
      </c>
      <c r="B376" s="70">
        <v>49.88</v>
      </c>
      <c r="C376" s="85">
        <v>3419641</v>
      </c>
      <c r="D376" s="88">
        <v>5.6451612903225534E-3</v>
      </c>
      <c r="E376" s="87"/>
    </row>
    <row r="377" spans="1:5" ht="15" x14ac:dyDescent="0.2">
      <c r="A377" s="73">
        <v>43964</v>
      </c>
      <c r="B377" s="70">
        <v>49.6</v>
      </c>
      <c r="C377" s="85">
        <v>3583071</v>
      </c>
      <c r="D377" s="88">
        <v>-3.162827020695036E-2</v>
      </c>
      <c r="E377" s="87"/>
    </row>
    <row r="378" spans="1:5" ht="15" x14ac:dyDescent="0.2">
      <c r="A378" s="73">
        <v>43963</v>
      </c>
      <c r="B378" s="70">
        <v>51.22</v>
      </c>
      <c r="C378" s="85">
        <v>3642869</v>
      </c>
      <c r="D378" s="88">
        <v>-6.0183486238532091E-2</v>
      </c>
      <c r="E378" s="87"/>
    </row>
    <row r="379" spans="1:5" ht="15" x14ac:dyDescent="0.2">
      <c r="A379" s="73">
        <v>43962</v>
      </c>
      <c r="B379" s="70">
        <v>54.5</v>
      </c>
      <c r="C379" s="85">
        <v>2054691</v>
      </c>
      <c r="D379" s="88">
        <v>-2.800071339397181E-2</v>
      </c>
      <c r="E379" s="87"/>
    </row>
    <row r="380" spans="1:5" ht="15" x14ac:dyDescent="0.2">
      <c r="A380" s="73">
        <v>43959</v>
      </c>
      <c r="B380" s="70">
        <v>56.07</v>
      </c>
      <c r="C380" s="85">
        <v>1293610</v>
      </c>
      <c r="D380" s="88">
        <v>5.7399103139013086E-3</v>
      </c>
      <c r="E380" s="87"/>
    </row>
    <row r="381" spans="1:5" ht="15" x14ac:dyDescent="0.2">
      <c r="A381" s="73">
        <v>43958</v>
      </c>
      <c r="B381" s="70">
        <v>55.75</v>
      </c>
      <c r="C381" s="85">
        <v>1949715</v>
      </c>
      <c r="D381" s="88">
        <v>3.8175046554934866E-2</v>
      </c>
      <c r="E381" s="87"/>
    </row>
    <row r="382" spans="1:5" ht="15" x14ac:dyDescent="0.2">
      <c r="A382" s="73">
        <v>43957</v>
      </c>
      <c r="B382" s="70">
        <v>53.7</v>
      </c>
      <c r="C382" s="85">
        <v>2373641</v>
      </c>
      <c r="D382" s="88">
        <v>-4.8547129695251545E-2</v>
      </c>
      <c r="E382" s="87"/>
    </row>
    <row r="383" spans="1:5" ht="15" x14ac:dyDescent="0.2">
      <c r="A383" s="73">
        <v>43956</v>
      </c>
      <c r="B383" s="70">
        <v>56.44</v>
      </c>
      <c r="C383" s="85">
        <v>2531046</v>
      </c>
      <c r="D383" s="88">
        <v>2.6181818181818084E-2</v>
      </c>
      <c r="E383" s="87"/>
    </row>
    <row r="384" spans="1:5" ht="15" x14ac:dyDescent="0.2">
      <c r="A384" s="73">
        <v>43955</v>
      </c>
      <c r="B384" s="70">
        <v>55</v>
      </c>
      <c r="C384" s="85">
        <v>3824066</v>
      </c>
      <c r="D384" s="88">
        <v>-4.9758120248790672E-2</v>
      </c>
      <c r="E384" s="87"/>
    </row>
    <row r="385" spans="1:5" ht="15" x14ac:dyDescent="0.2">
      <c r="A385" s="73">
        <v>43951</v>
      </c>
      <c r="B385" s="70">
        <v>57.88</v>
      </c>
      <c r="C385" s="85">
        <v>5434805</v>
      </c>
      <c r="D385" s="88">
        <v>-8.7343723240280724E-3</v>
      </c>
      <c r="E385" s="87"/>
    </row>
    <row r="386" spans="1:5" ht="15" x14ac:dyDescent="0.2">
      <c r="A386" s="73">
        <v>43950</v>
      </c>
      <c r="B386" s="70">
        <v>58.39</v>
      </c>
      <c r="C386" s="85">
        <v>4838851</v>
      </c>
      <c r="D386" s="88">
        <v>0.10419818456883512</v>
      </c>
      <c r="E386" s="87"/>
    </row>
    <row r="387" spans="1:5" ht="15" x14ac:dyDescent="0.2">
      <c r="A387" s="73">
        <v>43949</v>
      </c>
      <c r="B387" s="70">
        <v>52.88</v>
      </c>
      <c r="C387" s="85">
        <v>3707630</v>
      </c>
      <c r="D387" s="88">
        <v>3.5441550812610245E-2</v>
      </c>
      <c r="E387" s="87"/>
    </row>
    <row r="388" spans="1:5" ht="15" x14ac:dyDescent="0.2">
      <c r="A388" s="73">
        <v>43948</v>
      </c>
      <c r="B388" s="70">
        <v>51.07</v>
      </c>
      <c r="C388" s="85">
        <v>3880637</v>
      </c>
      <c r="D388" s="88">
        <v>-2.4264424914023697E-2</v>
      </c>
      <c r="E388" s="87"/>
    </row>
    <row r="389" spans="1:5" ht="15" x14ac:dyDescent="0.2">
      <c r="A389" s="73">
        <v>43945</v>
      </c>
      <c r="B389" s="70">
        <v>52.34</v>
      </c>
      <c r="C389" s="85">
        <v>2081357</v>
      </c>
      <c r="D389" s="88">
        <v>-3.5207373271889386E-2</v>
      </c>
      <c r="E389" s="87"/>
    </row>
    <row r="390" spans="1:5" ht="15" x14ac:dyDescent="0.2">
      <c r="A390" s="73">
        <v>43944</v>
      </c>
      <c r="B390" s="70">
        <v>54.25</v>
      </c>
      <c r="C390" s="85">
        <v>1805786</v>
      </c>
      <c r="D390" s="88">
        <v>1.3450401643937848E-2</v>
      </c>
      <c r="E390" s="87"/>
    </row>
    <row r="391" spans="1:5" ht="15" x14ac:dyDescent="0.2">
      <c r="A391" s="73">
        <v>43943</v>
      </c>
      <c r="B391" s="70">
        <v>53.53</v>
      </c>
      <c r="C391" s="85">
        <v>2009235</v>
      </c>
      <c r="D391" s="88">
        <v>3.0215550423402515E-2</v>
      </c>
      <c r="E391" s="87"/>
    </row>
    <row r="392" spans="1:5" ht="15" x14ac:dyDescent="0.2">
      <c r="A392" s="73">
        <v>43942</v>
      </c>
      <c r="B392" s="70">
        <v>51.96</v>
      </c>
      <c r="C392" s="85">
        <v>3277862</v>
      </c>
      <c r="D392" s="88">
        <v>-6.580366774541524E-2</v>
      </c>
      <c r="E392" s="87"/>
    </row>
    <row r="393" spans="1:5" ht="15" x14ac:dyDescent="0.2">
      <c r="A393" s="73">
        <v>43941</v>
      </c>
      <c r="B393" s="70">
        <v>55.62</v>
      </c>
      <c r="C393" s="85">
        <v>2355583</v>
      </c>
      <c r="D393" s="88">
        <v>-2.0774647887323971E-2</v>
      </c>
      <c r="E393" s="87"/>
    </row>
    <row r="394" spans="1:5" ht="15" x14ac:dyDescent="0.2">
      <c r="A394" s="73">
        <v>43938</v>
      </c>
      <c r="B394" s="70">
        <v>56.8</v>
      </c>
      <c r="C394" s="85">
        <v>4630925</v>
      </c>
      <c r="D394" s="88">
        <v>6.7669172932330657E-2</v>
      </c>
      <c r="E394" s="87"/>
    </row>
    <row r="395" spans="1:5" ht="15" x14ac:dyDescent="0.2">
      <c r="A395" s="73">
        <v>43937</v>
      </c>
      <c r="B395" s="70">
        <v>53.2</v>
      </c>
      <c r="C395" s="85">
        <v>3224520</v>
      </c>
      <c r="D395" s="88">
        <v>-2.9197080291970656E-2</v>
      </c>
      <c r="E395" s="87"/>
    </row>
    <row r="396" spans="1:5" ht="15" x14ac:dyDescent="0.2">
      <c r="A396" s="73">
        <v>43936</v>
      </c>
      <c r="B396" s="70">
        <v>54.8</v>
      </c>
      <c r="C396" s="85">
        <v>3149765</v>
      </c>
      <c r="D396" s="88">
        <v>-8.666666666666667E-2</v>
      </c>
      <c r="E396" s="87"/>
    </row>
    <row r="397" spans="1:5" ht="15" x14ac:dyDescent="0.2">
      <c r="A397" s="73">
        <v>43935</v>
      </c>
      <c r="B397" s="70">
        <v>60</v>
      </c>
      <c r="C397" s="85">
        <v>3251938</v>
      </c>
      <c r="D397" s="88">
        <v>-1.6393442622950838E-2</v>
      </c>
      <c r="E397" s="87"/>
    </row>
    <row r="398" spans="1:5" ht="15" x14ac:dyDescent="0.2">
      <c r="A398" s="73">
        <v>43930</v>
      </c>
      <c r="B398" s="70">
        <v>61</v>
      </c>
      <c r="C398" s="85">
        <v>5865210</v>
      </c>
      <c r="D398" s="88">
        <v>1.9896338404948866E-2</v>
      </c>
      <c r="E398" s="87"/>
    </row>
    <row r="399" spans="1:5" ht="15" x14ac:dyDescent="0.2">
      <c r="A399" s="73">
        <v>43929</v>
      </c>
      <c r="B399" s="70">
        <v>59.81</v>
      </c>
      <c r="C399" s="85">
        <v>3689182</v>
      </c>
      <c r="D399" s="88">
        <v>4.8562412342216144E-2</v>
      </c>
      <c r="E399" s="87"/>
    </row>
    <row r="400" spans="1:5" ht="15" x14ac:dyDescent="0.2">
      <c r="A400" s="73">
        <v>43928</v>
      </c>
      <c r="B400" s="70">
        <v>57.04</v>
      </c>
      <c r="C400" s="85">
        <v>4725986</v>
      </c>
      <c r="D400" s="88">
        <v>6.5570708014197621E-2</v>
      </c>
      <c r="E400" s="87"/>
    </row>
    <row r="401" spans="1:5" ht="15" x14ac:dyDescent="0.2">
      <c r="A401" s="73">
        <v>43927</v>
      </c>
      <c r="B401" s="70">
        <v>53.53</v>
      </c>
      <c r="C401" s="85">
        <v>4536814</v>
      </c>
      <c r="D401" s="88">
        <v>8.1304918695081163E-2</v>
      </c>
      <c r="E401" s="87"/>
    </row>
    <row r="402" spans="1:5" ht="15" x14ac:dyDescent="0.2">
      <c r="A402" s="73">
        <v>43924</v>
      </c>
      <c r="B402" s="70">
        <v>49.505000000000003</v>
      </c>
      <c r="C402" s="85">
        <v>3611057</v>
      </c>
      <c r="D402" s="88">
        <v>-1.5217823751740633E-2</v>
      </c>
      <c r="E402" s="87"/>
    </row>
    <row r="403" spans="1:5" ht="15" x14ac:dyDescent="0.2">
      <c r="A403" s="73">
        <v>43923</v>
      </c>
      <c r="B403" s="70">
        <v>50.27</v>
      </c>
      <c r="C403" s="85">
        <v>4727133</v>
      </c>
      <c r="D403" s="88">
        <v>-3.6973180076628309E-2</v>
      </c>
      <c r="E403" s="87"/>
    </row>
    <row r="404" spans="1:5" ht="15" x14ac:dyDescent="0.2">
      <c r="A404" s="73">
        <v>43922</v>
      </c>
      <c r="B404" s="70">
        <v>52.2</v>
      </c>
      <c r="C404" s="85">
        <v>5473512</v>
      </c>
      <c r="D404" s="88">
        <v>-0.12032355915065718</v>
      </c>
      <c r="E404" s="87"/>
    </row>
    <row r="405" spans="1:5" ht="15" x14ac:dyDescent="0.2">
      <c r="A405" s="73">
        <v>43921</v>
      </c>
      <c r="B405" s="70">
        <v>59.34</v>
      </c>
      <c r="C405" s="85">
        <v>4388129</v>
      </c>
      <c r="D405" s="88">
        <v>-2.6095519448547488E-2</v>
      </c>
      <c r="E405" s="87"/>
    </row>
    <row r="406" spans="1:5" ht="15" x14ac:dyDescent="0.2">
      <c r="A406" s="73">
        <v>43920</v>
      </c>
      <c r="B406" s="70">
        <v>60.93</v>
      </c>
      <c r="C406" s="85">
        <v>3942743</v>
      </c>
      <c r="D406" s="88">
        <v>-0.10620507554642811</v>
      </c>
      <c r="E406" s="87"/>
    </row>
    <row r="407" spans="1:5" ht="15" x14ac:dyDescent="0.2">
      <c r="A407" s="73">
        <v>43917</v>
      </c>
      <c r="B407" s="70">
        <v>68.17</v>
      </c>
      <c r="C407" s="85">
        <v>4577544</v>
      </c>
      <c r="D407" s="88">
        <v>-5.699266841886852E-2</v>
      </c>
      <c r="E407" s="87"/>
    </row>
    <row r="408" spans="1:5" ht="15" x14ac:dyDescent="0.2">
      <c r="A408" s="73">
        <v>43916</v>
      </c>
      <c r="B408" s="70">
        <v>72.290000000000006</v>
      </c>
      <c r="C408" s="85">
        <v>6003754</v>
      </c>
      <c r="D408" s="88">
        <v>0.20463256123979345</v>
      </c>
      <c r="E408" s="87"/>
    </row>
    <row r="409" spans="1:5" ht="15" x14ac:dyDescent="0.2">
      <c r="A409" s="73">
        <v>43915</v>
      </c>
      <c r="B409" s="70">
        <v>60.01</v>
      </c>
      <c r="C409" s="85">
        <v>6861866</v>
      </c>
      <c r="D409" s="88">
        <v>7.1989996427295422E-2</v>
      </c>
      <c r="E409" s="87"/>
    </row>
    <row r="410" spans="1:5" ht="15" x14ac:dyDescent="0.2">
      <c r="A410" s="73">
        <v>43914</v>
      </c>
      <c r="B410" s="70">
        <v>55.98</v>
      </c>
      <c r="C410" s="85">
        <v>5917619</v>
      </c>
      <c r="D410" s="88">
        <v>1.7818181818181733E-2</v>
      </c>
      <c r="E410" s="87"/>
    </row>
    <row r="411" spans="1:5" ht="15" x14ac:dyDescent="0.2">
      <c r="A411" s="73">
        <v>43913</v>
      </c>
      <c r="B411" s="70">
        <v>55</v>
      </c>
      <c r="C411" s="85">
        <v>5709289</v>
      </c>
      <c r="D411" s="88">
        <v>-0.13766070868610847</v>
      </c>
      <c r="E411" s="87"/>
    </row>
    <row r="412" spans="1:5" ht="15" x14ac:dyDescent="0.2">
      <c r="A412" s="73">
        <v>43910</v>
      </c>
      <c r="B412" s="70">
        <v>63.78</v>
      </c>
      <c r="C412" s="85">
        <v>6513253</v>
      </c>
      <c r="D412" s="88">
        <v>0.18704634282523736</v>
      </c>
      <c r="E412" s="87"/>
    </row>
    <row r="413" spans="1:5" ht="15" x14ac:dyDescent="0.2">
      <c r="A413" s="73">
        <v>43909</v>
      </c>
      <c r="B413" s="70">
        <v>53.73</v>
      </c>
      <c r="C413" s="85">
        <v>5948316</v>
      </c>
      <c r="D413" s="88">
        <v>9.5077957811066982E-2</v>
      </c>
      <c r="E413" s="87"/>
    </row>
    <row r="414" spans="1:5" ht="15" x14ac:dyDescent="0.2">
      <c r="A414" s="73">
        <v>43908</v>
      </c>
      <c r="B414" s="70">
        <v>49.064999999999998</v>
      </c>
      <c r="C414" s="85">
        <v>7222873</v>
      </c>
      <c r="D414" s="88">
        <v>-0.22168464467005078</v>
      </c>
      <c r="E414" s="87"/>
    </row>
    <row r="415" spans="1:5" ht="15" x14ac:dyDescent="0.2">
      <c r="A415" s="73">
        <v>43907</v>
      </c>
      <c r="B415" s="70">
        <v>63.04</v>
      </c>
      <c r="C415" s="85">
        <v>4556332</v>
      </c>
      <c r="D415" s="88">
        <v>-8.6376811594202962E-2</v>
      </c>
      <c r="E415" s="87"/>
    </row>
    <row r="416" spans="1:5" ht="15" x14ac:dyDescent="0.2">
      <c r="A416" s="73">
        <v>43906</v>
      </c>
      <c r="B416" s="70">
        <v>69</v>
      </c>
      <c r="C416" s="85">
        <v>5587845</v>
      </c>
      <c r="D416" s="88">
        <v>-7.1707251446253228E-2</v>
      </c>
      <c r="E416" s="87"/>
    </row>
    <row r="417" spans="1:5" ht="15" x14ac:dyDescent="0.2">
      <c r="A417" s="73">
        <v>43903</v>
      </c>
      <c r="B417" s="70">
        <v>74.33</v>
      </c>
      <c r="C417" s="85">
        <v>5478797</v>
      </c>
      <c r="D417" s="88">
        <v>4.1619955156950716E-2</v>
      </c>
      <c r="E417" s="87"/>
    </row>
    <row r="418" spans="1:5" ht="15" x14ac:dyDescent="0.2">
      <c r="A418" s="73">
        <v>43902</v>
      </c>
      <c r="B418" s="70">
        <v>71.36</v>
      </c>
      <c r="C418" s="85">
        <v>6948250</v>
      </c>
      <c r="D418" s="88">
        <v>-0.16732788798133025</v>
      </c>
      <c r="E418" s="87"/>
    </row>
    <row r="419" spans="1:5" ht="15" x14ac:dyDescent="0.2">
      <c r="A419" s="73">
        <v>43901</v>
      </c>
      <c r="B419" s="70">
        <v>85.7</v>
      </c>
      <c r="C419" s="85">
        <v>4037128</v>
      </c>
      <c r="D419" s="88">
        <v>-4.3740236554340561E-2</v>
      </c>
      <c r="E419" s="87"/>
    </row>
    <row r="420" spans="1:5" ht="15" x14ac:dyDescent="0.2">
      <c r="A420" s="73">
        <v>43900</v>
      </c>
      <c r="B420" s="70">
        <v>89.62</v>
      </c>
      <c r="C420" s="85">
        <v>4342684</v>
      </c>
      <c r="D420" s="88">
        <v>-4.1115679519945214E-3</v>
      </c>
      <c r="E420" s="87"/>
    </row>
    <row r="421" spans="1:5" ht="15" x14ac:dyDescent="0.2">
      <c r="A421" s="73">
        <v>43899</v>
      </c>
      <c r="B421" s="70">
        <v>89.99</v>
      </c>
      <c r="C421" s="85">
        <v>6098900</v>
      </c>
      <c r="D421" s="88">
        <v>-9.5577889447236219E-2</v>
      </c>
      <c r="E421" s="87"/>
    </row>
    <row r="422" spans="1:5" ht="15" x14ac:dyDescent="0.2">
      <c r="A422" s="73">
        <v>43896</v>
      </c>
      <c r="B422" s="70">
        <v>99.5</v>
      </c>
      <c r="C422" s="85">
        <v>4273436</v>
      </c>
      <c r="D422" s="88">
        <v>-7.6308949127367187E-2</v>
      </c>
      <c r="E422" s="87"/>
    </row>
    <row r="423" spans="1:5" ht="15" x14ac:dyDescent="0.2">
      <c r="A423" s="73">
        <v>43895</v>
      </c>
      <c r="B423" s="70">
        <v>107.72</v>
      </c>
      <c r="C423" s="85">
        <v>2689493</v>
      </c>
      <c r="D423" s="88">
        <v>-2.919971160778656E-2</v>
      </c>
      <c r="E423" s="87"/>
    </row>
    <row r="424" spans="1:5" ht="15" x14ac:dyDescent="0.2">
      <c r="A424" s="73">
        <v>43894</v>
      </c>
      <c r="B424" s="70">
        <v>110.96</v>
      </c>
      <c r="C424" s="85">
        <v>2046426</v>
      </c>
      <c r="D424" s="88">
        <v>-1.0346057795219465E-2</v>
      </c>
      <c r="E424" s="87"/>
    </row>
    <row r="425" spans="1:5" ht="15" x14ac:dyDescent="0.2">
      <c r="A425" s="73">
        <v>43893</v>
      </c>
      <c r="B425" s="70">
        <v>112.12</v>
      </c>
      <c r="C425" s="85">
        <v>4116304</v>
      </c>
      <c r="D425" s="88">
        <v>4.181378925850221E-2</v>
      </c>
      <c r="E425" s="87"/>
    </row>
    <row r="426" spans="1:5" ht="15" x14ac:dyDescent="0.2">
      <c r="A426" s="73">
        <v>43892</v>
      </c>
      <c r="B426" s="70">
        <v>107.62</v>
      </c>
      <c r="C426" s="85">
        <v>4352851</v>
      </c>
      <c r="D426" s="88">
        <v>-4.4403330249768169E-3</v>
      </c>
      <c r="E426" s="87"/>
    </row>
    <row r="427" spans="1:5" ht="15" x14ac:dyDescent="0.2">
      <c r="A427" s="73">
        <v>43889</v>
      </c>
      <c r="B427" s="70">
        <v>108.1</v>
      </c>
      <c r="C427" s="85">
        <v>5697178</v>
      </c>
      <c r="D427" s="88">
        <v>-6.0000000000000053E-2</v>
      </c>
      <c r="E427" s="87"/>
    </row>
    <row r="428" spans="1:5" ht="15" x14ac:dyDescent="0.2">
      <c r="A428" s="73">
        <v>43888</v>
      </c>
      <c r="B428" s="70">
        <v>115</v>
      </c>
      <c r="C428" s="85">
        <v>3604297</v>
      </c>
      <c r="D428" s="88">
        <v>-4.6118115461181164E-2</v>
      </c>
      <c r="E428" s="87"/>
    </row>
    <row r="429" spans="1:5" ht="15" x14ac:dyDescent="0.2">
      <c r="A429" s="73">
        <v>43887</v>
      </c>
      <c r="B429" s="70">
        <v>120.56</v>
      </c>
      <c r="C429" s="85">
        <v>2641213</v>
      </c>
      <c r="D429" s="88">
        <v>-2.4121741945928421E-2</v>
      </c>
      <c r="E429" s="87"/>
    </row>
    <row r="430" spans="1:5" ht="15" x14ac:dyDescent="0.2">
      <c r="A430" s="73">
        <v>43886</v>
      </c>
      <c r="B430" s="70">
        <v>123.54</v>
      </c>
      <c r="C430" s="85">
        <v>2168881</v>
      </c>
      <c r="D430" s="88">
        <v>-6.7534973468402759E-3</v>
      </c>
      <c r="E430" s="87"/>
    </row>
    <row r="431" spans="1:5" ht="15" x14ac:dyDescent="0.2">
      <c r="A431" s="73">
        <v>43885</v>
      </c>
      <c r="B431" s="70">
        <v>124.38</v>
      </c>
      <c r="C431" s="85">
        <v>2631098</v>
      </c>
      <c r="D431" s="88">
        <v>-4.9373280342402959E-2</v>
      </c>
      <c r="E431" s="87"/>
    </row>
    <row r="432" spans="1:5" ht="15" x14ac:dyDescent="0.2">
      <c r="A432" s="73">
        <v>43882</v>
      </c>
      <c r="B432" s="70">
        <v>130.84</v>
      </c>
      <c r="C432" s="85">
        <v>1237311</v>
      </c>
      <c r="D432" s="88">
        <v>-7.1331006222491444E-3</v>
      </c>
      <c r="E432" s="87"/>
    </row>
    <row r="433" spans="1:5" ht="15" x14ac:dyDescent="0.2">
      <c r="A433" s="73">
        <v>43881</v>
      </c>
      <c r="B433" s="70">
        <v>131.78</v>
      </c>
      <c r="C433" s="85">
        <v>1095571</v>
      </c>
      <c r="D433" s="88">
        <v>-1.5174506828541379E-4</v>
      </c>
      <c r="E433" s="87"/>
    </row>
    <row r="434" spans="1:5" ht="15" x14ac:dyDescent="0.2">
      <c r="A434" s="73">
        <v>43880</v>
      </c>
      <c r="B434" s="70">
        <v>131.80000000000001</v>
      </c>
      <c r="C434" s="85">
        <v>1221803</v>
      </c>
      <c r="D434" s="88">
        <v>1.1822508828497114E-2</v>
      </c>
      <c r="E434" s="87"/>
    </row>
    <row r="435" spans="1:5" ht="15" x14ac:dyDescent="0.2">
      <c r="A435" s="73">
        <v>43879</v>
      </c>
      <c r="B435" s="70">
        <v>130.26</v>
      </c>
      <c r="C435" s="85">
        <v>1225040</v>
      </c>
      <c r="D435" s="88">
        <v>-5.4970224461750039E-3</v>
      </c>
      <c r="E435" s="87"/>
    </row>
    <row r="436" spans="1:5" ht="15" x14ac:dyDescent="0.2">
      <c r="A436" s="73">
        <v>43878</v>
      </c>
      <c r="B436" s="70">
        <v>130.97999999999999</v>
      </c>
      <c r="C436" s="85">
        <v>1239666</v>
      </c>
      <c r="D436" s="88">
        <v>8.6246727244723154E-3</v>
      </c>
      <c r="E436" s="87"/>
    </row>
    <row r="437" spans="1:5" ht="15" x14ac:dyDescent="0.2">
      <c r="A437" s="73">
        <v>43875</v>
      </c>
      <c r="B437" s="70">
        <v>129.86000000000001</v>
      </c>
      <c r="C437" s="85">
        <v>1759988</v>
      </c>
      <c r="D437" s="88">
        <v>-2.2138554216867501E-2</v>
      </c>
      <c r="E437" s="87"/>
    </row>
    <row r="438" spans="1:5" ht="15" x14ac:dyDescent="0.2">
      <c r="A438" s="73">
        <v>43874</v>
      </c>
      <c r="B438" s="70">
        <v>132.80000000000001</v>
      </c>
      <c r="C438" s="85">
        <v>2023142</v>
      </c>
      <c r="D438" s="88">
        <v>-2.7818448023425923E-2</v>
      </c>
      <c r="E438" s="87"/>
    </row>
    <row r="439" spans="1:5" ht="15" x14ac:dyDescent="0.2">
      <c r="A439" s="73">
        <v>43873</v>
      </c>
      <c r="B439" s="70">
        <v>136.6</v>
      </c>
      <c r="C439" s="85">
        <v>1323454</v>
      </c>
      <c r="D439" s="88">
        <v>-1.0144927536231974E-2</v>
      </c>
      <c r="E439" s="87"/>
    </row>
    <row r="440" spans="1:5" ht="15" x14ac:dyDescent="0.2">
      <c r="A440" s="73">
        <v>43872</v>
      </c>
      <c r="B440" s="70">
        <v>138</v>
      </c>
      <c r="C440" s="85">
        <v>976754</v>
      </c>
      <c r="D440" s="88">
        <v>1.0101010101010166E-2</v>
      </c>
      <c r="E440" s="87"/>
    </row>
    <row r="441" spans="1:5" ht="15" x14ac:dyDescent="0.2">
      <c r="A441" s="73">
        <v>43871</v>
      </c>
      <c r="B441" s="70">
        <v>136.62</v>
      </c>
      <c r="C441" s="85">
        <v>668866</v>
      </c>
      <c r="D441" s="88">
        <v>-1.1697616610615302E-3</v>
      </c>
      <c r="E441" s="87"/>
    </row>
    <row r="442" spans="1:5" ht="15" x14ac:dyDescent="0.2">
      <c r="A442" s="73">
        <v>43868</v>
      </c>
      <c r="B442" s="70">
        <v>136.78</v>
      </c>
      <c r="C442" s="85">
        <v>905844</v>
      </c>
      <c r="D442" s="88">
        <v>-1.6058394160584077E-3</v>
      </c>
      <c r="E442" s="87"/>
    </row>
    <row r="443" spans="1:5" ht="15" x14ac:dyDescent="0.2">
      <c r="A443" s="73">
        <v>43867</v>
      </c>
      <c r="B443" s="70">
        <v>137</v>
      </c>
      <c r="C443" s="85">
        <v>840490</v>
      </c>
      <c r="D443" s="88">
        <v>8.7668030391596652E-4</v>
      </c>
      <c r="E443" s="87"/>
    </row>
    <row r="444" spans="1:5" ht="15" x14ac:dyDescent="0.2">
      <c r="A444" s="73">
        <v>43866</v>
      </c>
      <c r="B444" s="70">
        <v>136.88</v>
      </c>
      <c r="C444" s="85">
        <v>1471991</v>
      </c>
      <c r="D444" s="88">
        <v>-8.1159420289855788E-3</v>
      </c>
      <c r="E444" s="87"/>
    </row>
    <row r="445" spans="1:5" ht="15" x14ac:dyDescent="0.2">
      <c r="A445" s="73">
        <v>43865</v>
      </c>
      <c r="B445" s="70">
        <v>138</v>
      </c>
      <c r="C445" s="85">
        <v>1125014</v>
      </c>
      <c r="D445" s="88">
        <v>3.2315978456014305E-2</v>
      </c>
      <c r="E445" s="87"/>
    </row>
    <row r="446" spans="1:5" ht="15" x14ac:dyDescent="0.2">
      <c r="A446" s="73">
        <v>43864</v>
      </c>
      <c r="B446" s="70">
        <v>133.68</v>
      </c>
      <c r="C446" s="85">
        <v>753424</v>
      </c>
      <c r="D446" s="88">
        <v>3.3023116181327694E-3</v>
      </c>
      <c r="E446" s="87"/>
    </row>
    <row r="447" spans="1:5" ht="15" x14ac:dyDescent="0.2">
      <c r="A447" s="73">
        <v>43861</v>
      </c>
      <c r="B447" s="70">
        <v>133.24</v>
      </c>
      <c r="C447" s="85">
        <v>1207948</v>
      </c>
      <c r="D447" s="88">
        <v>-9.3680297397769063E-3</v>
      </c>
      <c r="E447" s="87"/>
    </row>
    <row r="448" spans="1:5" ht="15" x14ac:dyDescent="0.2">
      <c r="A448" s="73">
        <v>43860</v>
      </c>
      <c r="B448" s="70">
        <v>134.5</v>
      </c>
      <c r="C448" s="85">
        <v>1090153</v>
      </c>
      <c r="D448" s="88">
        <v>-1.5084944346807294E-2</v>
      </c>
      <c r="E448" s="87"/>
    </row>
    <row r="449" spans="1:7" ht="15" x14ac:dyDescent="0.2">
      <c r="A449" s="73">
        <v>43859</v>
      </c>
      <c r="B449" s="70">
        <v>136.56</v>
      </c>
      <c r="C449" s="85">
        <v>1045204</v>
      </c>
      <c r="D449" s="88">
        <v>1.7282479141835561E-2</v>
      </c>
      <c r="E449" s="87"/>
    </row>
    <row r="450" spans="1:7" ht="15" x14ac:dyDescent="0.2">
      <c r="A450" s="73">
        <v>43858</v>
      </c>
      <c r="B450" s="70">
        <v>134.24</v>
      </c>
      <c r="C450" s="85">
        <v>1433803</v>
      </c>
      <c r="D450" s="88">
        <v>1.0082768999247538E-2</v>
      </c>
      <c r="E450" s="87"/>
    </row>
    <row r="451" spans="1:7" ht="15" x14ac:dyDescent="0.2">
      <c r="A451" s="73">
        <v>43857</v>
      </c>
      <c r="B451" s="70">
        <v>132.9</v>
      </c>
      <c r="C451" s="85">
        <v>1804728</v>
      </c>
      <c r="D451" s="88">
        <v>-4.388489208633084E-2</v>
      </c>
      <c r="E451" s="87"/>
    </row>
    <row r="452" spans="1:7" ht="15" x14ac:dyDescent="0.2">
      <c r="A452" s="73">
        <v>43854</v>
      </c>
      <c r="B452" s="70">
        <v>139</v>
      </c>
      <c r="C452" s="85">
        <v>1462261</v>
      </c>
      <c r="D452" s="88">
        <v>2.356406480117812E-2</v>
      </c>
      <c r="E452" s="87"/>
    </row>
    <row r="453" spans="1:7" ht="15" x14ac:dyDescent="0.2">
      <c r="A453" s="73">
        <v>43853</v>
      </c>
      <c r="B453" s="70">
        <v>135.80000000000001</v>
      </c>
      <c r="C453" s="85">
        <v>985427</v>
      </c>
      <c r="D453" s="88">
        <v>-1.5799391216118175E-2</v>
      </c>
      <c r="E453" s="87"/>
    </row>
    <row r="454" spans="1:7" ht="15" x14ac:dyDescent="0.2">
      <c r="A454" s="73">
        <v>43852</v>
      </c>
      <c r="B454" s="70">
        <v>137.97999999999999</v>
      </c>
      <c r="C454" s="85">
        <v>1191568</v>
      </c>
      <c r="D454" s="88">
        <v>1.1583577712609872E-2</v>
      </c>
      <c r="E454" s="67"/>
      <c r="F454" s="67"/>
      <c r="G454" s="67"/>
    </row>
    <row r="455" spans="1:7" ht="15" x14ac:dyDescent="0.2">
      <c r="A455" s="73">
        <v>43851</v>
      </c>
      <c r="B455" s="70">
        <v>136.4</v>
      </c>
      <c r="C455" s="85">
        <v>817707</v>
      </c>
      <c r="D455" s="88">
        <v>-1.0877447425670761E-2</v>
      </c>
      <c r="E455" s="67"/>
      <c r="F455" s="67"/>
      <c r="G455" s="67"/>
    </row>
    <row r="456" spans="1:7" ht="15" x14ac:dyDescent="0.2">
      <c r="A456" s="73">
        <v>43850</v>
      </c>
      <c r="B456" s="70">
        <v>137.9</v>
      </c>
      <c r="C456" s="85">
        <v>706794</v>
      </c>
      <c r="D456" s="88">
        <v>8.1883316274309337E-3</v>
      </c>
      <c r="E456" s="67"/>
      <c r="F456" s="67"/>
      <c r="G456" s="67"/>
    </row>
    <row r="457" spans="1:7" ht="15" x14ac:dyDescent="0.2">
      <c r="A457" s="73">
        <v>43847</v>
      </c>
      <c r="B457" s="70">
        <v>136.78</v>
      </c>
      <c r="C457" s="85">
        <v>1061143</v>
      </c>
      <c r="D457" s="88">
        <v>2.5337331334332802E-2</v>
      </c>
      <c r="E457" s="67"/>
      <c r="F457" s="67"/>
      <c r="G457" s="67"/>
    </row>
    <row r="458" spans="1:7" ht="15" x14ac:dyDescent="0.2">
      <c r="A458" s="73">
        <v>43846</v>
      </c>
      <c r="B458" s="70">
        <v>133.4</v>
      </c>
      <c r="C458" s="85">
        <v>912337</v>
      </c>
      <c r="D458" s="88">
        <v>-6.4054819007893782E-3</v>
      </c>
      <c r="E458" s="67"/>
      <c r="F458" s="67"/>
      <c r="G458" s="67"/>
    </row>
    <row r="459" spans="1:7" ht="15" x14ac:dyDescent="0.2">
      <c r="A459" s="73">
        <v>43845</v>
      </c>
      <c r="B459" s="70">
        <v>134.26</v>
      </c>
      <c r="C459" s="85">
        <v>881425</v>
      </c>
      <c r="D459" s="88">
        <v>-6.2176165803109473E-3</v>
      </c>
      <c r="E459" s="67"/>
      <c r="F459" s="67"/>
      <c r="G459" s="67"/>
    </row>
    <row r="460" spans="1:7" ht="15" x14ac:dyDescent="0.2">
      <c r="A460" s="73">
        <v>43844</v>
      </c>
      <c r="B460" s="70">
        <v>135.1</v>
      </c>
      <c r="C460" s="85">
        <v>1236698</v>
      </c>
      <c r="D460" s="88">
        <v>-1.4801657785679101E-4</v>
      </c>
      <c r="E460" s="67"/>
      <c r="F460" s="67"/>
      <c r="G460" s="67"/>
    </row>
    <row r="461" spans="1:7" ht="15" x14ac:dyDescent="0.2">
      <c r="A461" s="73">
        <v>43843</v>
      </c>
      <c r="B461" s="70">
        <v>135.12</v>
      </c>
      <c r="C461" s="85">
        <v>1024311</v>
      </c>
      <c r="D461" s="88">
        <v>5.2075583990478513E-3</v>
      </c>
      <c r="E461" s="67"/>
      <c r="F461" s="67"/>
      <c r="G461" s="67"/>
    </row>
    <row r="462" spans="1:7" ht="15" x14ac:dyDescent="0.2">
      <c r="A462" s="73">
        <v>43840</v>
      </c>
      <c r="B462" s="70">
        <v>134.41999999999999</v>
      </c>
      <c r="C462" s="85">
        <v>649571</v>
      </c>
      <c r="D462" s="88">
        <v>-3.7058997924696024E-3</v>
      </c>
      <c r="E462" s="67"/>
      <c r="F462" s="67"/>
      <c r="G462" s="67"/>
    </row>
    <row r="463" spans="1:7" ht="15" x14ac:dyDescent="0.2">
      <c r="A463" s="73">
        <v>43839</v>
      </c>
      <c r="B463" s="70">
        <v>134.91999999999999</v>
      </c>
      <c r="C463" s="85">
        <v>815627</v>
      </c>
      <c r="D463" s="88">
        <v>4.0184551272510749E-3</v>
      </c>
      <c r="E463" s="67"/>
      <c r="F463" s="67"/>
      <c r="G463" s="67"/>
    </row>
    <row r="464" spans="1:7" ht="15" x14ac:dyDescent="0.2">
      <c r="A464" s="73">
        <v>43838</v>
      </c>
      <c r="B464" s="70">
        <v>134.38</v>
      </c>
      <c r="C464" s="85">
        <v>1281161</v>
      </c>
      <c r="D464" s="88">
        <v>1.8030303030303063E-2</v>
      </c>
      <c r="E464" s="67"/>
      <c r="F464" s="67"/>
      <c r="G464" s="67"/>
    </row>
    <row r="465" spans="1:7" ht="15" x14ac:dyDescent="0.2">
      <c r="A465" s="73">
        <v>43837</v>
      </c>
      <c r="B465" s="70">
        <v>132</v>
      </c>
      <c r="C465" s="85">
        <v>976037</v>
      </c>
      <c r="D465" s="88">
        <v>-1.0939607372995708E-2</v>
      </c>
      <c r="E465" s="67"/>
      <c r="F465" s="67"/>
      <c r="G465" s="67"/>
    </row>
    <row r="466" spans="1:7" ht="15" x14ac:dyDescent="0.2">
      <c r="A466" s="73">
        <v>43836</v>
      </c>
      <c r="B466" s="70">
        <v>133.46</v>
      </c>
      <c r="C466" s="85">
        <v>719626</v>
      </c>
      <c r="D466" s="88">
        <v>-4.3270665472991965E-3</v>
      </c>
      <c r="E466" s="67"/>
      <c r="F466" s="67"/>
      <c r="G466" s="67"/>
    </row>
    <row r="467" spans="1:7" ht="15" x14ac:dyDescent="0.2">
      <c r="A467" s="73">
        <v>43833</v>
      </c>
      <c r="B467" s="70">
        <v>134.04</v>
      </c>
      <c r="C467" s="85">
        <v>830258</v>
      </c>
      <c r="D467" s="88">
        <v>3.8945476333132056E-3</v>
      </c>
      <c r="E467" s="67"/>
      <c r="F467" s="67"/>
      <c r="G467" s="67"/>
    </row>
    <row r="468" spans="1:7" ht="15" x14ac:dyDescent="0.2">
      <c r="A468" s="73">
        <v>43832</v>
      </c>
      <c r="B468" s="70">
        <v>133.52000000000001</v>
      </c>
      <c r="C468" s="85">
        <v>1254852</v>
      </c>
      <c r="D468" s="88">
        <v>2.3298589822195126E-2</v>
      </c>
      <c r="E468" s="67"/>
      <c r="F468" s="67"/>
      <c r="G468" s="67"/>
    </row>
    <row r="469" spans="1:7" ht="15" x14ac:dyDescent="0.2">
      <c r="A469" s="76">
        <v>43830</v>
      </c>
      <c r="B469" s="77">
        <v>130.47999999999999</v>
      </c>
      <c r="C469" s="86">
        <v>272778</v>
      </c>
      <c r="D469" s="89">
        <v>3.6923076923076614E-3</v>
      </c>
      <c r="E469" s="79"/>
      <c r="F469" s="79"/>
      <c r="G469" s="78" t="e">
        <v>#REF!</v>
      </c>
    </row>
    <row r="470" spans="1:7" ht="15" x14ac:dyDescent="0.2">
      <c r="A470" s="73">
        <v>43829</v>
      </c>
      <c r="B470" s="70">
        <v>130</v>
      </c>
      <c r="C470" s="85">
        <v>847345</v>
      </c>
      <c r="D470" s="88">
        <v>-2.4609843937575038E-2</v>
      </c>
      <c r="E470" s="87"/>
    </row>
    <row r="471" spans="1:7" ht="15" x14ac:dyDescent="0.2">
      <c r="A471" s="73">
        <v>43826</v>
      </c>
      <c r="B471" s="70">
        <v>133.28</v>
      </c>
      <c r="C471" s="85">
        <v>693498</v>
      </c>
      <c r="D471" s="88">
        <v>1.05152471083092E-3</v>
      </c>
      <c r="E471" s="87"/>
    </row>
    <row r="472" spans="1:7" ht="15" x14ac:dyDescent="0.2">
      <c r="A472" s="73">
        <v>43823</v>
      </c>
      <c r="B472" s="70">
        <v>133.13999999999999</v>
      </c>
      <c r="C472" s="85">
        <v>214381</v>
      </c>
      <c r="D472" s="88">
        <v>2.7112516945322351E-3</v>
      </c>
      <c r="E472" s="87"/>
    </row>
    <row r="473" spans="1:7" ht="15" x14ac:dyDescent="0.2">
      <c r="A473" s="73">
        <v>43822</v>
      </c>
      <c r="B473" s="70">
        <v>132.78</v>
      </c>
      <c r="C473" s="85">
        <v>779143</v>
      </c>
      <c r="D473" s="88">
        <v>6.8243858052776663E-3</v>
      </c>
      <c r="E473" s="87"/>
    </row>
    <row r="474" spans="1:7" ht="15" x14ac:dyDescent="0.2">
      <c r="A474" s="73">
        <v>43819</v>
      </c>
      <c r="B474" s="70">
        <v>131.88</v>
      </c>
      <c r="C474" s="85">
        <v>2250131</v>
      </c>
      <c r="D474" s="88">
        <v>8.1027365846200183E-3</v>
      </c>
      <c r="E474" s="87"/>
    </row>
    <row r="475" spans="1:7" ht="15" x14ac:dyDescent="0.2">
      <c r="A475" s="73">
        <v>43818</v>
      </c>
      <c r="B475" s="70">
        <v>130.82</v>
      </c>
      <c r="C475" s="85">
        <v>1293684</v>
      </c>
      <c r="D475" s="88">
        <v>7.6499388004891422E-4</v>
      </c>
      <c r="E475" s="87"/>
    </row>
    <row r="476" spans="1:7" ht="15" x14ac:dyDescent="0.2">
      <c r="A476" s="73">
        <v>43817</v>
      </c>
      <c r="B476" s="70">
        <v>130.72</v>
      </c>
      <c r="C476" s="85">
        <v>1724054</v>
      </c>
      <c r="D476" s="88">
        <v>-5.9315589353612364E-3</v>
      </c>
      <c r="E476" s="87"/>
    </row>
    <row r="477" spans="1:7" ht="15" x14ac:dyDescent="0.2">
      <c r="A477" s="73">
        <v>43816</v>
      </c>
      <c r="B477" s="70">
        <v>131.5</v>
      </c>
      <c r="C477" s="85">
        <v>2058897</v>
      </c>
      <c r="D477" s="88">
        <v>1.7644327503482549E-2</v>
      </c>
      <c r="E477" s="87"/>
    </row>
    <row r="478" spans="1:7" ht="15" x14ac:dyDescent="0.2">
      <c r="A478" s="73">
        <v>43815</v>
      </c>
      <c r="B478" s="70">
        <v>129.22</v>
      </c>
      <c r="C478" s="85">
        <v>1551759</v>
      </c>
      <c r="D478" s="88">
        <v>2.6370135027799835E-2</v>
      </c>
      <c r="E478" s="87"/>
    </row>
    <row r="479" spans="1:7" ht="15" x14ac:dyDescent="0.2">
      <c r="A479" s="73">
        <v>43812</v>
      </c>
      <c r="B479" s="70">
        <v>125.9</v>
      </c>
      <c r="C479" s="85">
        <v>1716714</v>
      </c>
      <c r="D479" s="88">
        <v>1.4014175257732076E-2</v>
      </c>
      <c r="E479" s="87"/>
    </row>
    <row r="480" spans="1:7" ht="15" x14ac:dyDescent="0.2">
      <c r="A480" s="73">
        <v>43811</v>
      </c>
      <c r="B480" s="70">
        <v>124.16</v>
      </c>
      <c r="C480" s="85">
        <v>1330270</v>
      </c>
      <c r="D480" s="88">
        <v>1.290322580645098E-3</v>
      </c>
      <c r="E480" s="87"/>
    </row>
    <row r="481" spans="1:5" ht="15" x14ac:dyDescent="0.2">
      <c r="A481" s="73">
        <v>43810</v>
      </c>
      <c r="B481" s="70">
        <v>124</v>
      </c>
      <c r="C481" s="85">
        <v>1122774</v>
      </c>
      <c r="D481" s="88">
        <v>-1.7710513604894951E-3</v>
      </c>
      <c r="E481" s="87"/>
    </row>
    <row r="482" spans="1:5" ht="15" x14ac:dyDescent="0.2">
      <c r="A482" s="73">
        <v>43809</v>
      </c>
      <c r="B482" s="70">
        <v>124.22</v>
      </c>
      <c r="C482" s="85">
        <v>1488075</v>
      </c>
      <c r="D482" s="88">
        <v>-5.7627661277412923E-3</v>
      </c>
      <c r="E482" s="87"/>
    </row>
    <row r="483" spans="1:5" ht="15" x14ac:dyDescent="0.2">
      <c r="A483" s="73">
        <v>43808</v>
      </c>
      <c r="B483" s="70">
        <v>124.94</v>
      </c>
      <c r="C483" s="85">
        <v>1309613</v>
      </c>
      <c r="D483" s="88">
        <v>-1.6530226700251949E-2</v>
      </c>
      <c r="E483" s="87"/>
    </row>
    <row r="484" spans="1:5" ht="15" x14ac:dyDescent="0.2">
      <c r="A484" s="73">
        <v>43805</v>
      </c>
      <c r="B484" s="70">
        <v>127.04</v>
      </c>
      <c r="C484" s="85">
        <v>1126397</v>
      </c>
      <c r="D484" s="88">
        <v>3.1496062992131257E-4</v>
      </c>
      <c r="E484" s="87"/>
    </row>
    <row r="485" spans="1:5" ht="15" x14ac:dyDescent="0.2">
      <c r="A485" s="73">
        <v>43804</v>
      </c>
      <c r="B485" s="70">
        <v>127</v>
      </c>
      <c r="C485" s="85">
        <v>1298325</v>
      </c>
      <c r="D485" s="88">
        <v>-7.6574464760118532E-3</v>
      </c>
      <c r="E485" s="87"/>
    </row>
    <row r="486" spans="1:5" ht="15" x14ac:dyDescent="0.2">
      <c r="A486" s="73">
        <v>43803</v>
      </c>
      <c r="B486" s="70">
        <v>127.98</v>
      </c>
      <c r="C486" s="85">
        <v>2347993</v>
      </c>
      <c r="D486" s="88">
        <v>3.1597614057714107E-2</v>
      </c>
      <c r="E486" s="87"/>
    </row>
    <row r="487" spans="1:5" ht="15" x14ac:dyDescent="0.2">
      <c r="A487" s="73">
        <v>43802</v>
      </c>
      <c r="B487" s="70">
        <v>124.06</v>
      </c>
      <c r="C487" s="85">
        <v>2874629</v>
      </c>
      <c r="D487" s="88">
        <v>-4.4074587763908157E-2</v>
      </c>
      <c r="E487" s="87"/>
    </row>
    <row r="488" spans="1:5" ht="15" x14ac:dyDescent="0.2">
      <c r="A488" s="73">
        <v>43801</v>
      </c>
      <c r="B488" s="70">
        <v>129.78</v>
      </c>
      <c r="C488" s="85">
        <v>1991605</v>
      </c>
      <c r="D488" s="88">
        <v>-2.7136431784107962E-2</v>
      </c>
      <c r="E488" s="87"/>
    </row>
    <row r="489" spans="1:5" ht="15" x14ac:dyDescent="0.2">
      <c r="A489" s="73">
        <v>43798</v>
      </c>
      <c r="B489" s="70">
        <v>133.4</v>
      </c>
      <c r="C489" s="85">
        <v>1529398</v>
      </c>
      <c r="D489" s="88">
        <v>-1.6464601107618604E-3</v>
      </c>
      <c r="E489" s="87"/>
    </row>
    <row r="490" spans="1:5" ht="15" x14ac:dyDescent="0.2">
      <c r="A490" s="73">
        <v>43797</v>
      </c>
      <c r="B490" s="70">
        <v>133.62</v>
      </c>
      <c r="C490" s="85">
        <v>555840</v>
      </c>
      <c r="D490" s="88">
        <v>-2.3891294609525993E-3</v>
      </c>
      <c r="E490" s="87"/>
    </row>
    <row r="491" spans="1:5" ht="15" x14ac:dyDescent="0.2">
      <c r="A491" s="73">
        <v>43796</v>
      </c>
      <c r="B491" s="70">
        <v>133.94</v>
      </c>
      <c r="C491" s="85">
        <v>869935</v>
      </c>
      <c r="D491" s="88">
        <v>-1.2824292452830233E-2</v>
      </c>
      <c r="E491" s="87"/>
    </row>
    <row r="492" spans="1:5" ht="15" x14ac:dyDescent="0.2">
      <c r="A492" s="73">
        <v>43795</v>
      </c>
      <c r="B492" s="70">
        <v>135.68</v>
      </c>
      <c r="C492" s="85">
        <v>1458490</v>
      </c>
      <c r="D492" s="88">
        <v>8.1735770545399156E-3</v>
      </c>
      <c r="E492" s="87"/>
    </row>
    <row r="493" spans="1:5" ht="15" x14ac:dyDescent="0.2">
      <c r="A493" s="73">
        <v>43794</v>
      </c>
      <c r="B493" s="70">
        <v>134.58000000000001</v>
      </c>
      <c r="C493" s="85">
        <v>766245</v>
      </c>
      <c r="D493" s="88">
        <v>6.5818997756172948E-3</v>
      </c>
      <c r="E493" s="87"/>
    </row>
    <row r="494" spans="1:5" ht="15" x14ac:dyDescent="0.2">
      <c r="A494" s="73">
        <v>43791</v>
      </c>
      <c r="B494" s="70">
        <v>133.69999999999999</v>
      </c>
      <c r="C494" s="85">
        <v>710551</v>
      </c>
      <c r="D494" s="88">
        <v>-2.5365562518651075E-3</v>
      </c>
      <c r="E494" s="87"/>
    </row>
    <row r="495" spans="1:5" ht="15" x14ac:dyDescent="0.2">
      <c r="A495" s="73">
        <v>43790</v>
      </c>
      <c r="B495" s="70">
        <v>134.04</v>
      </c>
      <c r="C495" s="85">
        <v>1012179</v>
      </c>
      <c r="D495" s="88">
        <v>-7.8460399703923489E-3</v>
      </c>
      <c r="E495" s="87"/>
    </row>
    <row r="496" spans="1:5" ht="15" x14ac:dyDescent="0.2">
      <c r="A496" s="73">
        <v>43789</v>
      </c>
      <c r="B496" s="70">
        <v>135.1</v>
      </c>
      <c r="C496" s="85">
        <v>756966</v>
      </c>
      <c r="D496" s="88">
        <v>-1.4781966001479185E-3</v>
      </c>
      <c r="E496" s="87"/>
    </row>
    <row r="497" spans="1:5" ht="15" x14ac:dyDescent="0.2">
      <c r="A497" s="73">
        <v>43788</v>
      </c>
      <c r="B497" s="70">
        <v>135.30000000000001</v>
      </c>
      <c r="C497" s="85">
        <v>820254</v>
      </c>
      <c r="D497" s="88">
        <v>6.6964285714286031E-3</v>
      </c>
      <c r="E497" s="87"/>
    </row>
    <row r="498" spans="1:5" ht="15" x14ac:dyDescent="0.2">
      <c r="A498" s="73">
        <v>43787</v>
      </c>
      <c r="B498" s="70">
        <v>134.4</v>
      </c>
      <c r="C498" s="85">
        <v>1076652</v>
      </c>
      <c r="D498" s="88">
        <v>-1.4662756598240456E-2</v>
      </c>
      <c r="E498" s="87"/>
    </row>
    <row r="499" spans="1:5" ht="15" x14ac:dyDescent="0.2">
      <c r="A499" s="73">
        <v>43784</v>
      </c>
      <c r="B499" s="70">
        <v>136.4</v>
      </c>
      <c r="C499" s="85">
        <v>1126477</v>
      </c>
      <c r="D499" s="88">
        <v>3.9746798174591369E-3</v>
      </c>
      <c r="E499" s="87"/>
    </row>
    <row r="500" spans="1:5" ht="15" x14ac:dyDescent="0.2">
      <c r="A500" s="73">
        <v>43783</v>
      </c>
      <c r="B500" s="70">
        <v>135.86000000000001</v>
      </c>
      <c r="C500" s="85">
        <v>685658</v>
      </c>
      <c r="D500" s="88">
        <v>2.6568265682658243E-3</v>
      </c>
      <c r="E500" s="87"/>
    </row>
    <row r="501" spans="1:5" ht="15" x14ac:dyDescent="0.2">
      <c r="A501" s="73">
        <v>43782</v>
      </c>
      <c r="B501" s="70">
        <v>135.5</v>
      </c>
      <c r="C501" s="85">
        <v>1005889</v>
      </c>
      <c r="D501" s="88">
        <v>6.0885060885060849E-3</v>
      </c>
      <c r="E501" s="87"/>
    </row>
    <row r="502" spans="1:5" ht="15" x14ac:dyDescent="0.2">
      <c r="A502" s="73">
        <v>43781</v>
      </c>
      <c r="B502" s="70">
        <v>134.68</v>
      </c>
      <c r="C502" s="85">
        <v>1117643</v>
      </c>
      <c r="D502" s="88">
        <v>1.3698630136986356E-2</v>
      </c>
      <c r="E502" s="87"/>
    </row>
    <row r="503" spans="1:5" ht="15" x14ac:dyDescent="0.2">
      <c r="A503" s="73">
        <v>43780</v>
      </c>
      <c r="B503" s="70">
        <v>132.86000000000001</v>
      </c>
      <c r="C503" s="85">
        <v>717859</v>
      </c>
      <c r="D503" s="88">
        <v>-7.5210589651020232E-4</v>
      </c>
      <c r="E503" s="87"/>
    </row>
    <row r="504" spans="1:5" ht="15" x14ac:dyDescent="0.2">
      <c r="A504" s="73">
        <v>43777</v>
      </c>
      <c r="B504" s="70">
        <v>132.96</v>
      </c>
      <c r="C504" s="85">
        <v>1001098</v>
      </c>
      <c r="D504" s="88">
        <v>5.1406108255216409E-3</v>
      </c>
      <c r="E504" s="87"/>
    </row>
    <row r="505" spans="1:5" ht="15" x14ac:dyDescent="0.2">
      <c r="A505" s="73">
        <v>43776</v>
      </c>
      <c r="B505" s="70">
        <v>132.28</v>
      </c>
      <c r="C505" s="85">
        <v>1033920</v>
      </c>
      <c r="D505" s="88">
        <v>9.4627594627594291E-3</v>
      </c>
      <c r="E505" s="87"/>
    </row>
    <row r="506" spans="1:5" ht="15" x14ac:dyDescent="0.2">
      <c r="A506" s="73">
        <v>43775</v>
      </c>
      <c r="B506" s="70">
        <v>131.04</v>
      </c>
      <c r="C506" s="85">
        <v>1034298</v>
      </c>
      <c r="D506" s="88">
        <v>7.0703965570242389E-3</v>
      </c>
      <c r="E506" s="87"/>
    </row>
    <row r="507" spans="1:5" ht="15" x14ac:dyDescent="0.2">
      <c r="A507" s="73">
        <v>43774</v>
      </c>
      <c r="B507" s="70">
        <v>130.12</v>
      </c>
      <c r="C507" s="85">
        <v>1098427</v>
      </c>
      <c r="D507" s="88">
        <v>-5.502904310608403E-3</v>
      </c>
      <c r="E507" s="87"/>
    </row>
    <row r="508" spans="1:5" ht="15" x14ac:dyDescent="0.2">
      <c r="A508" s="73">
        <v>43773</v>
      </c>
      <c r="B508" s="70">
        <v>130.84</v>
      </c>
      <c r="C508" s="85">
        <v>1231104</v>
      </c>
      <c r="D508" s="88">
        <v>6.6164025234651813E-3</v>
      </c>
      <c r="E508" s="87"/>
    </row>
    <row r="509" spans="1:5" ht="15" x14ac:dyDescent="0.2">
      <c r="A509" s="73">
        <v>43770</v>
      </c>
      <c r="B509" s="70">
        <v>129.97999999999999</v>
      </c>
      <c r="C509" s="85">
        <v>1372617</v>
      </c>
      <c r="D509" s="88">
        <v>1.2147640554430739E-2</v>
      </c>
      <c r="E509" s="87"/>
    </row>
    <row r="510" spans="1:5" ht="15" x14ac:dyDescent="0.2">
      <c r="A510" s="73">
        <v>43769</v>
      </c>
      <c r="B510" s="70">
        <v>128.41999999999999</v>
      </c>
      <c r="C510" s="85">
        <v>1987720</v>
      </c>
      <c r="D510" s="88">
        <v>-1.2001846437913577E-2</v>
      </c>
      <c r="E510" s="87"/>
    </row>
    <row r="511" spans="1:5" ht="15" x14ac:dyDescent="0.2">
      <c r="A511" s="73">
        <v>43768</v>
      </c>
      <c r="B511" s="70">
        <v>129.97999999999999</v>
      </c>
      <c r="C511" s="85">
        <v>2393868</v>
      </c>
      <c r="D511" s="88">
        <v>3.3555979643765887E-2</v>
      </c>
      <c r="E511" s="87"/>
    </row>
    <row r="512" spans="1:5" ht="15" x14ac:dyDescent="0.2">
      <c r="A512" s="73">
        <v>43767</v>
      </c>
      <c r="B512" s="70">
        <v>125.76</v>
      </c>
      <c r="C512" s="85">
        <v>1827547</v>
      </c>
      <c r="D512" s="88">
        <v>8.6621751684312631E-3</v>
      </c>
      <c r="E512" s="87"/>
    </row>
    <row r="513" spans="1:5" ht="15" x14ac:dyDescent="0.2">
      <c r="A513" s="73">
        <v>43766</v>
      </c>
      <c r="B513" s="70">
        <v>124.68</v>
      </c>
      <c r="C513" s="85">
        <v>914618</v>
      </c>
      <c r="D513" s="88">
        <v>9.3911917098445929E-3</v>
      </c>
      <c r="E513" s="87"/>
    </row>
    <row r="514" spans="1:5" ht="15" x14ac:dyDescent="0.2">
      <c r="A514" s="73">
        <v>43763</v>
      </c>
      <c r="B514" s="70">
        <v>123.52</v>
      </c>
      <c r="C514" s="85">
        <v>699180</v>
      </c>
      <c r="D514" s="88">
        <v>1.030590544740706E-2</v>
      </c>
      <c r="E514" s="87"/>
    </row>
    <row r="515" spans="1:5" ht="15" x14ac:dyDescent="0.2">
      <c r="A515" s="73">
        <v>43762</v>
      </c>
      <c r="B515" s="70">
        <v>122.26</v>
      </c>
      <c r="C515" s="85">
        <v>849238</v>
      </c>
      <c r="D515" s="88">
        <v>1.7476697736351632E-2</v>
      </c>
      <c r="E515" s="87"/>
    </row>
    <row r="516" spans="1:5" ht="15" x14ac:dyDescent="0.2">
      <c r="A516" s="73">
        <v>43761</v>
      </c>
      <c r="B516" s="70">
        <v>120.16</v>
      </c>
      <c r="C516" s="85">
        <v>1055759</v>
      </c>
      <c r="D516" s="88">
        <v>-1.3950434925324218E-2</v>
      </c>
      <c r="E516" s="87"/>
    </row>
    <row r="517" spans="1:5" ht="15" x14ac:dyDescent="0.2">
      <c r="A517" s="73">
        <v>43760</v>
      </c>
      <c r="B517" s="70">
        <v>121.86</v>
      </c>
      <c r="C517" s="85">
        <v>1191168</v>
      </c>
      <c r="D517" s="88">
        <v>-1.1475409836065875E-3</v>
      </c>
      <c r="E517" s="87"/>
    </row>
    <row r="518" spans="1:5" ht="15" x14ac:dyDescent="0.2">
      <c r="A518" s="73">
        <v>43759</v>
      </c>
      <c r="B518" s="70">
        <v>122</v>
      </c>
      <c r="C518" s="85">
        <v>1082580</v>
      </c>
      <c r="D518" s="88">
        <v>1.3289036544850363E-2</v>
      </c>
      <c r="E518" s="87"/>
    </row>
    <row r="519" spans="1:5" ht="15" x14ac:dyDescent="0.2">
      <c r="A519" s="73">
        <v>43756</v>
      </c>
      <c r="B519" s="70">
        <v>120.4</v>
      </c>
      <c r="C519" s="85">
        <v>1178061</v>
      </c>
      <c r="D519" s="88">
        <v>4.6728971962617383E-3</v>
      </c>
      <c r="E519" s="87"/>
    </row>
    <row r="520" spans="1:5" ht="15" x14ac:dyDescent="0.2">
      <c r="A520" s="73">
        <v>43755</v>
      </c>
      <c r="B520" s="70">
        <v>119.84</v>
      </c>
      <c r="C520" s="85">
        <v>1169680</v>
      </c>
      <c r="D520" s="88">
        <v>4.3580288300368863E-3</v>
      </c>
      <c r="E520" s="87"/>
    </row>
    <row r="521" spans="1:5" ht="15" x14ac:dyDescent="0.2">
      <c r="A521" s="73">
        <v>43754</v>
      </c>
      <c r="B521" s="70">
        <v>119.32</v>
      </c>
      <c r="C521" s="85">
        <v>844506</v>
      </c>
      <c r="D521" s="88">
        <v>-1.0046885465505584E-3</v>
      </c>
      <c r="E521" s="87"/>
    </row>
    <row r="522" spans="1:5" ht="15" x14ac:dyDescent="0.2">
      <c r="A522" s="73">
        <v>43753</v>
      </c>
      <c r="B522" s="70">
        <v>119.44</v>
      </c>
      <c r="C522" s="85">
        <v>1194631</v>
      </c>
      <c r="D522" s="88">
        <v>9.6365173288250894E-3</v>
      </c>
      <c r="E522" s="87"/>
    </row>
    <row r="523" spans="1:5" ht="15" x14ac:dyDescent="0.2">
      <c r="A523" s="73">
        <v>43752</v>
      </c>
      <c r="B523" s="70">
        <v>118.3</v>
      </c>
      <c r="C523" s="85">
        <v>647740</v>
      </c>
      <c r="D523" s="88">
        <v>-4.8788694481830541E-3</v>
      </c>
      <c r="E523" s="87"/>
    </row>
    <row r="524" spans="1:5" ht="15" x14ac:dyDescent="0.2">
      <c r="A524" s="73">
        <v>43749</v>
      </c>
      <c r="B524" s="70">
        <v>118.88</v>
      </c>
      <c r="C524" s="85">
        <v>1192461</v>
      </c>
      <c r="D524" s="88">
        <v>8.141112618724522E-3</v>
      </c>
      <c r="E524" s="87"/>
    </row>
    <row r="525" spans="1:5" ht="15" x14ac:dyDescent="0.2">
      <c r="A525" s="73">
        <v>43748</v>
      </c>
      <c r="B525" s="70">
        <v>117.92</v>
      </c>
      <c r="C525" s="85">
        <v>947625</v>
      </c>
      <c r="D525" s="88">
        <v>4.6004430056227896E-3</v>
      </c>
      <c r="E525" s="87"/>
    </row>
    <row r="526" spans="1:5" ht="15" x14ac:dyDescent="0.2">
      <c r="A526" s="73">
        <v>43747</v>
      </c>
      <c r="B526" s="70">
        <v>117.38</v>
      </c>
      <c r="C526" s="85">
        <v>1063658</v>
      </c>
      <c r="D526" s="88">
        <v>-2.7187765505523043E-3</v>
      </c>
      <c r="E526" s="87"/>
    </row>
    <row r="527" spans="1:5" ht="15" x14ac:dyDescent="0.2">
      <c r="A527" s="73">
        <v>43746</v>
      </c>
      <c r="B527" s="70">
        <v>117.7</v>
      </c>
      <c r="C527" s="85">
        <v>1331108</v>
      </c>
      <c r="D527" s="88">
        <v>4.0948643576181887E-3</v>
      </c>
      <c r="E527" s="87"/>
    </row>
    <row r="528" spans="1:5" ht="15" x14ac:dyDescent="0.2">
      <c r="A528" s="73">
        <v>43745</v>
      </c>
      <c r="B528" s="70">
        <v>117.22</v>
      </c>
      <c r="C528" s="85">
        <v>789409</v>
      </c>
      <c r="D528" s="88">
        <v>-4.7546272711835869E-3</v>
      </c>
      <c r="E528" s="87"/>
    </row>
    <row r="529" spans="1:5" ht="15" x14ac:dyDescent="0.2">
      <c r="A529" s="73">
        <v>43742</v>
      </c>
      <c r="B529" s="70">
        <v>117.78</v>
      </c>
      <c r="C529" s="85">
        <v>1239220</v>
      </c>
      <c r="D529" s="88">
        <v>-1.2078510317060864E-2</v>
      </c>
      <c r="E529" s="87"/>
    </row>
    <row r="530" spans="1:5" ht="15" x14ac:dyDescent="0.2">
      <c r="A530" s="73">
        <v>43741</v>
      </c>
      <c r="B530" s="70">
        <v>119.22</v>
      </c>
      <c r="C530" s="85">
        <v>2224977</v>
      </c>
      <c r="D530" s="88">
        <v>4.2497376705141754E-2</v>
      </c>
      <c r="E530" s="87"/>
    </row>
    <row r="531" spans="1:5" ht="15" x14ac:dyDescent="0.2">
      <c r="A531" s="73">
        <v>43740</v>
      </c>
      <c r="B531" s="70">
        <v>114.36</v>
      </c>
      <c r="C531" s="85">
        <v>1574583</v>
      </c>
      <c r="D531" s="88">
        <v>-2.0387185197875635E-2</v>
      </c>
      <c r="E531" s="87"/>
    </row>
    <row r="532" spans="1:5" ht="15" x14ac:dyDescent="0.2">
      <c r="A532" s="73">
        <v>43739</v>
      </c>
      <c r="B532" s="70">
        <v>116.74</v>
      </c>
      <c r="C532" s="85">
        <v>1419321</v>
      </c>
      <c r="D532" s="88">
        <v>-2.0637583892617495E-2</v>
      </c>
      <c r="E532" s="87"/>
    </row>
    <row r="533" spans="1:5" ht="15" x14ac:dyDescent="0.2">
      <c r="A533" s="73">
        <v>43738</v>
      </c>
      <c r="B533" s="70">
        <v>119.2</v>
      </c>
      <c r="C533" s="85">
        <v>1268603</v>
      </c>
      <c r="D533" s="88">
        <v>1.6806722689075571E-3</v>
      </c>
      <c r="E533" s="87"/>
    </row>
    <row r="534" spans="1:5" ht="15" x14ac:dyDescent="0.2">
      <c r="A534" s="73">
        <v>43735</v>
      </c>
      <c r="B534" s="70">
        <v>119</v>
      </c>
      <c r="C534" s="85">
        <v>1304700</v>
      </c>
      <c r="D534" s="88">
        <v>-4.5173163794546278E-3</v>
      </c>
      <c r="E534" s="87"/>
    </row>
    <row r="535" spans="1:5" ht="15" x14ac:dyDescent="0.2">
      <c r="A535" s="73">
        <v>43734</v>
      </c>
      <c r="B535" s="70">
        <v>119.54</v>
      </c>
      <c r="C535" s="85">
        <v>1048743</v>
      </c>
      <c r="D535" s="88">
        <v>-1.1739417989417911E-2</v>
      </c>
      <c r="E535" s="87"/>
    </row>
    <row r="536" spans="1:5" ht="15" x14ac:dyDescent="0.2">
      <c r="A536" s="73">
        <v>43733</v>
      </c>
      <c r="B536" s="70">
        <v>120.96</v>
      </c>
      <c r="C536" s="85">
        <v>1277126</v>
      </c>
      <c r="D536" s="88">
        <v>1.8181818181818077E-2</v>
      </c>
      <c r="E536" s="87"/>
    </row>
    <row r="537" spans="1:5" ht="15" x14ac:dyDescent="0.2">
      <c r="A537" s="73">
        <v>43732</v>
      </c>
      <c r="B537" s="70">
        <v>118.8</v>
      </c>
      <c r="C537" s="85">
        <v>998744</v>
      </c>
      <c r="D537" s="88">
        <v>-8.3472454090149917E-3</v>
      </c>
      <c r="E537" s="87"/>
    </row>
    <row r="538" spans="1:5" ht="15" x14ac:dyDescent="0.2">
      <c r="A538" s="73">
        <v>43731</v>
      </c>
      <c r="B538" s="70">
        <v>119.8</v>
      </c>
      <c r="C538" s="85">
        <v>1406075</v>
      </c>
      <c r="D538" s="88">
        <v>-2.4979184013321776E-3</v>
      </c>
      <c r="E538" s="87"/>
    </row>
    <row r="539" spans="1:5" ht="15" x14ac:dyDescent="0.2">
      <c r="A539" s="73">
        <v>43728</v>
      </c>
      <c r="B539" s="70">
        <v>120.1</v>
      </c>
      <c r="C539" s="85">
        <v>3206085</v>
      </c>
      <c r="D539" s="88">
        <v>-3.2076079948420433E-2</v>
      </c>
      <c r="E539" s="87"/>
    </row>
    <row r="540" spans="1:5" ht="15" x14ac:dyDescent="0.2">
      <c r="A540" s="73">
        <v>43727</v>
      </c>
      <c r="B540" s="70">
        <v>124.08</v>
      </c>
      <c r="C540" s="85">
        <v>857922</v>
      </c>
      <c r="D540" s="88">
        <v>1.0258915486077269E-2</v>
      </c>
      <c r="E540" s="87"/>
    </row>
    <row r="541" spans="1:5" ht="15" x14ac:dyDescent="0.2">
      <c r="A541" s="73">
        <v>43726</v>
      </c>
      <c r="B541" s="70">
        <v>122.82</v>
      </c>
      <c r="C541" s="85">
        <v>983968</v>
      </c>
      <c r="D541" s="88">
        <v>7.0514922925548618E-3</v>
      </c>
      <c r="E541" s="87"/>
    </row>
    <row r="542" spans="1:5" ht="15" x14ac:dyDescent="0.2">
      <c r="A542" s="73">
        <v>43725</v>
      </c>
      <c r="B542" s="70">
        <v>121.96</v>
      </c>
      <c r="C542" s="85">
        <v>982862</v>
      </c>
      <c r="D542" s="88">
        <v>5.9386341141536292E-3</v>
      </c>
      <c r="E542" s="87"/>
    </row>
    <row r="543" spans="1:5" ht="15" x14ac:dyDescent="0.2">
      <c r="A543" s="73">
        <v>43724</v>
      </c>
      <c r="B543" s="70">
        <v>121.24</v>
      </c>
      <c r="C543" s="85">
        <v>1617882</v>
      </c>
      <c r="D543" s="88">
        <v>-3.3944223107569726E-2</v>
      </c>
      <c r="E543" s="87"/>
    </row>
    <row r="544" spans="1:5" ht="15" x14ac:dyDescent="0.2">
      <c r="A544" s="73">
        <v>43721</v>
      </c>
      <c r="B544" s="70">
        <v>125.5</v>
      </c>
      <c r="C544" s="85">
        <v>1176707</v>
      </c>
      <c r="D544" s="88">
        <v>5.4478448966512882E-3</v>
      </c>
      <c r="E544" s="87"/>
    </row>
    <row r="545" spans="1:5" ht="15" x14ac:dyDescent="0.2">
      <c r="A545" s="73">
        <v>43720</v>
      </c>
      <c r="B545" s="70">
        <v>124.82</v>
      </c>
      <c r="C545" s="85">
        <v>1155604</v>
      </c>
      <c r="D545" s="88">
        <v>1.0688259109311593E-2</v>
      </c>
      <c r="E545" s="87"/>
    </row>
    <row r="546" spans="1:5" ht="15" x14ac:dyDescent="0.2">
      <c r="A546" s="73">
        <v>43719</v>
      </c>
      <c r="B546" s="70">
        <v>123.5</v>
      </c>
      <c r="C546" s="85">
        <v>840873</v>
      </c>
      <c r="D546" s="88">
        <v>9.8119378577268268E-3</v>
      </c>
      <c r="E546" s="87"/>
    </row>
    <row r="547" spans="1:5" ht="15" x14ac:dyDescent="0.2">
      <c r="A547" s="73">
        <v>43718</v>
      </c>
      <c r="B547" s="70">
        <v>122.3</v>
      </c>
      <c r="C547" s="85">
        <v>1316005</v>
      </c>
      <c r="D547" s="88">
        <v>-3.5793125197098763E-2</v>
      </c>
      <c r="E547" s="87"/>
    </row>
    <row r="548" spans="1:5" ht="15" x14ac:dyDescent="0.2">
      <c r="A548" s="73">
        <v>43717</v>
      </c>
      <c r="B548" s="70">
        <v>126.84</v>
      </c>
      <c r="C548" s="85">
        <v>752032</v>
      </c>
      <c r="D548" s="88">
        <v>1.8957345971564177E-3</v>
      </c>
      <c r="E548" s="87"/>
    </row>
    <row r="549" spans="1:5" ht="15" x14ac:dyDescent="0.2">
      <c r="A549" s="73">
        <v>43714</v>
      </c>
      <c r="B549" s="70">
        <v>126.6</v>
      </c>
      <c r="C549" s="85">
        <v>840371</v>
      </c>
      <c r="D549" s="88">
        <v>-5.655042412818112E-3</v>
      </c>
      <c r="E549" s="87"/>
    </row>
    <row r="550" spans="1:5" ht="15" x14ac:dyDescent="0.2">
      <c r="A550" s="73">
        <v>43713</v>
      </c>
      <c r="B550" s="70">
        <v>127.32</v>
      </c>
      <c r="C550" s="85">
        <v>811224</v>
      </c>
      <c r="D550" s="88">
        <v>8.8748019017432789E-3</v>
      </c>
      <c r="E550" s="87"/>
    </row>
    <row r="551" spans="1:5" ht="15" x14ac:dyDescent="0.2">
      <c r="A551" s="73">
        <v>43712</v>
      </c>
      <c r="B551" s="70">
        <v>126.2</v>
      </c>
      <c r="C551" s="85">
        <v>638872</v>
      </c>
      <c r="D551" s="88">
        <v>1.2678542770020895E-2</v>
      </c>
      <c r="E551" s="87"/>
    </row>
    <row r="552" spans="1:5" ht="15" x14ac:dyDescent="0.2">
      <c r="A552" s="73">
        <v>43711</v>
      </c>
      <c r="B552" s="70">
        <v>124.62</v>
      </c>
      <c r="C552" s="85">
        <v>619706</v>
      </c>
      <c r="D552" s="88">
        <v>-1.0952380952380936E-2</v>
      </c>
      <c r="E552" s="87"/>
    </row>
    <row r="553" spans="1:5" ht="15" x14ac:dyDescent="0.2">
      <c r="A553" s="73">
        <v>43710</v>
      </c>
      <c r="B553" s="70">
        <v>126</v>
      </c>
      <c r="C553" s="85">
        <v>489160</v>
      </c>
      <c r="D553" s="88">
        <v>5.2656773575874283E-3</v>
      </c>
      <c r="E553" s="87"/>
    </row>
    <row r="554" spans="1:5" ht="15" x14ac:dyDescent="0.2">
      <c r="A554" s="73">
        <v>43707</v>
      </c>
      <c r="B554" s="70">
        <v>125.34</v>
      </c>
      <c r="C554" s="85">
        <v>899281</v>
      </c>
      <c r="D554" s="88">
        <v>4.7892720306519365E-4</v>
      </c>
      <c r="E554" s="87"/>
    </row>
    <row r="555" spans="1:5" ht="15" x14ac:dyDescent="0.2">
      <c r="A555" s="73">
        <v>43706</v>
      </c>
      <c r="B555" s="70">
        <v>125.28</v>
      </c>
      <c r="C555" s="85">
        <v>973076</v>
      </c>
      <c r="D555" s="88">
        <v>3.0263157894736992E-2</v>
      </c>
      <c r="E555" s="87"/>
    </row>
    <row r="556" spans="1:5" ht="15" x14ac:dyDescent="0.2">
      <c r="A556" s="73">
        <v>43705</v>
      </c>
      <c r="B556" s="70">
        <v>121.6</v>
      </c>
      <c r="C556" s="85">
        <v>645687</v>
      </c>
      <c r="D556" s="88">
        <v>-7.8328981723237989E-3</v>
      </c>
      <c r="E556" s="87"/>
    </row>
    <row r="557" spans="1:5" ht="15" x14ac:dyDescent="0.2">
      <c r="A557" s="73">
        <v>43704</v>
      </c>
      <c r="B557" s="70">
        <v>122.56</v>
      </c>
      <c r="C557" s="85">
        <v>797067</v>
      </c>
      <c r="D557" s="88">
        <v>-2.2793878215564556E-3</v>
      </c>
      <c r="E557" s="87"/>
    </row>
    <row r="558" spans="1:5" ht="15" x14ac:dyDescent="0.2">
      <c r="A558" s="73">
        <v>43703</v>
      </c>
      <c r="B558" s="70">
        <v>122.84</v>
      </c>
      <c r="C558" s="85">
        <v>620473</v>
      </c>
      <c r="D558" s="88">
        <v>1.7941608220517491E-3</v>
      </c>
      <c r="E558" s="87"/>
    </row>
    <row r="559" spans="1:5" ht="15" x14ac:dyDescent="0.2">
      <c r="A559" s="73">
        <v>43700</v>
      </c>
      <c r="B559" s="70">
        <v>122.62</v>
      </c>
      <c r="C559" s="85">
        <v>1109352</v>
      </c>
      <c r="D559" s="88">
        <v>-1.4467127471467611E-2</v>
      </c>
      <c r="E559" s="87"/>
    </row>
    <row r="560" spans="1:5" ht="15" x14ac:dyDescent="0.2">
      <c r="A560" s="73">
        <v>43699</v>
      </c>
      <c r="B560" s="70">
        <v>124.42</v>
      </c>
      <c r="C560" s="85">
        <v>1018327</v>
      </c>
      <c r="D560" s="88">
        <v>-2.7968749999999987E-2</v>
      </c>
      <c r="E560" s="87"/>
    </row>
    <row r="561" spans="1:5" ht="15" x14ac:dyDescent="0.2">
      <c r="A561" s="73">
        <v>43698</v>
      </c>
      <c r="B561" s="70">
        <v>128</v>
      </c>
      <c r="C561" s="85">
        <v>698994</v>
      </c>
      <c r="D561" s="88">
        <v>1.4263074484944571E-2</v>
      </c>
      <c r="E561" s="87"/>
    </row>
    <row r="562" spans="1:5" ht="15" x14ac:dyDescent="0.2">
      <c r="A562" s="73">
        <v>43697</v>
      </c>
      <c r="B562" s="70">
        <v>126.2</v>
      </c>
      <c r="C562" s="85">
        <v>999387</v>
      </c>
      <c r="D562" s="88">
        <v>1.138002885077749E-2</v>
      </c>
      <c r="E562" s="87"/>
    </row>
    <row r="563" spans="1:5" ht="15" x14ac:dyDescent="0.2">
      <c r="A563" s="73">
        <v>43696</v>
      </c>
      <c r="B563" s="70">
        <v>124.78</v>
      </c>
      <c r="C563" s="85">
        <v>950546</v>
      </c>
      <c r="D563" s="88">
        <v>1.4306616810274786E-2</v>
      </c>
      <c r="E563" s="87"/>
    </row>
    <row r="564" spans="1:5" ht="15" x14ac:dyDescent="0.2">
      <c r="A564" s="73">
        <v>43693</v>
      </c>
      <c r="B564" s="70">
        <v>123.02</v>
      </c>
      <c r="C564" s="85">
        <v>1119050</v>
      </c>
      <c r="D564" s="88">
        <v>5.065359477124165E-3</v>
      </c>
      <c r="E564" s="87"/>
    </row>
    <row r="565" spans="1:5" ht="15" x14ac:dyDescent="0.2">
      <c r="A565" s="73">
        <v>43692</v>
      </c>
      <c r="B565" s="70">
        <v>122.4</v>
      </c>
      <c r="C565" s="85">
        <v>1055062</v>
      </c>
      <c r="D565" s="88">
        <v>4.5961917268548813E-3</v>
      </c>
      <c r="E565" s="87"/>
    </row>
    <row r="566" spans="1:5" ht="15" x14ac:dyDescent="0.2">
      <c r="A566" s="73">
        <v>43691</v>
      </c>
      <c r="B566" s="70">
        <v>121.84</v>
      </c>
      <c r="C566" s="85">
        <v>1330499</v>
      </c>
      <c r="D566" s="88">
        <v>-3.7446674040132688E-2</v>
      </c>
      <c r="E566" s="87"/>
    </row>
    <row r="567" spans="1:5" ht="15" x14ac:dyDescent="0.2">
      <c r="A567" s="73">
        <v>43690</v>
      </c>
      <c r="B567" s="70">
        <v>126.58</v>
      </c>
      <c r="C567" s="85">
        <v>1356044</v>
      </c>
      <c r="D567" s="88">
        <v>1.1022364217252445E-2</v>
      </c>
      <c r="E567" s="87"/>
    </row>
    <row r="568" spans="1:5" ht="15" x14ac:dyDescent="0.2">
      <c r="A568" s="73">
        <v>43689</v>
      </c>
      <c r="B568" s="70">
        <v>125.2</v>
      </c>
      <c r="C568" s="85">
        <v>728771</v>
      </c>
      <c r="D568" s="88">
        <v>6.3938618925840629E-4</v>
      </c>
      <c r="E568" s="87"/>
    </row>
    <row r="569" spans="1:5" ht="15" x14ac:dyDescent="0.2">
      <c r="A569" s="73">
        <v>43686</v>
      </c>
      <c r="B569" s="70">
        <v>125.12</v>
      </c>
      <c r="C569" s="85">
        <v>993641</v>
      </c>
      <c r="D569" s="88">
        <v>-1.6042780748663055E-2</v>
      </c>
      <c r="E569" s="87"/>
    </row>
    <row r="570" spans="1:5" ht="15" x14ac:dyDescent="0.2">
      <c r="A570" s="73">
        <v>43685</v>
      </c>
      <c r="B570" s="70">
        <v>127.16</v>
      </c>
      <c r="C570" s="85">
        <v>1539909</v>
      </c>
      <c r="D570" s="88">
        <v>4.2295081967212989E-2</v>
      </c>
      <c r="E570" s="87"/>
    </row>
    <row r="571" spans="1:5" ht="15" x14ac:dyDescent="0.2">
      <c r="A571" s="73">
        <v>43684</v>
      </c>
      <c r="B571" s="70">
        <v>122</v>
      </c>
      <c r="C571" s="85">
        <v>1497201</v>
      </c>
      <c r="D571" s="88">
        <v>1.7344896597731863E-2</v>
      </c>
      <c r="E571" s="87"/>
    </row>
    <row r="572" spans="1:5" ht="15" x14ac:dyDescent="0.2">
      <c r="A572" s="73">
        <v>43683</v>
      </c>
      <c r="B572" s="70">
        <v>119.92</v>
      </c>
      <c r="C572" s="85">
        <v>1618056</v>
      </c>
      <c r="D572" s="88">
        <v>-6.4623032311516004E-3</v>
      </c>
      <c r="E572" s="87"/>
    </row>
    <row r="573" spans="1:5" ht="15" x14ac:dyDescent="0.2">
      <c r="A573" s="73">
        <v>43682</v>
      </c>
      <c r="B573" s="70">
        <v>120.7</v>
      </c>
      <c r="C573" s="85">
        <v>2089151</v>
      </c>
      <c r="D573" s="88">
        <v>-2.1404248419004346E-2</v>
      </c>
      <c r="E573" s="87"/>
    </row>
    <row r="574" spans="1:5" ht="15" x14ac:dyDescent="0.2">
      <c r="A574" s="73">
        <v>43679</v>
      </c>
      <c r="B574" s="70">
        <v>123.34</v>
      </c>
      <c r="C574" s="85">
        <v>2475378</v>
      </c>
      <c r="D574" s="88">
        <v>-4.6978828619996804E-2</v>
      </c>
      <c r="E574" s="87"/>
    </row>
    <row r="575" spans="1:5" ht="15" x14ac:dyDescent="0.2">
      <c r="A575" s="73">
        <v>43678</v>
      </c>
      <c r="B575" s="70">
        <v>129.41999999999999</v>
      </c>
      <c r="C575" s="85">
        <v>1296566</v>
      </c>
      <c r="D575" s="88">
        <v>1.062002186475075E-2</v>
      </c>
      <c r="E575" s="87"/>
    </row>
    <row r="576" spans="1:5" ht="15" x14ac:dyDescent="0.2">
      <c r="A576" s="73">
        <v>43677</v>
      </c>
      <c r="B576" s="70">
        <v>128.06</v>
      </c>
      <c r="C576" s="85">
        <v>1547913</v>
      </c>
      <c r="D576" s="88">
        <v>2.6620732853115392E-3</v>
      </c>
      <c r="E576" s="87"/>
    </row>
    <row r="577" spans="1:5" ht="15" x14ac:dyDescent="0.2">
      <c r="A577" s="73">
        <v>43676</v>
      </c>
      <c r="B577" s="70">
        <v>127.72</v>
      </c>
      <c r="C577" s="85">
        <v>1259431</v>
      </c>
      <c r="D577" s="88">
        <v>-1.8142681426814411E-2</v>
      </c>
      <c r="E577" s="87"/>
    </row>
    <row r="578" spans="1:5" ht="15" x14ac:dyDescent="0.2">
      <c r="A578" s="73">
        <v>43675</v>
      </c>
      <c r="B578" s="70">
        <v>130.08000000000001</v>
      </c>
      <c r="C578" s="85">
        <v>767765</v>
      </c>
      <c r="D578" s="88">
        <v>-7.0229007633586527E-3</v>
      </c>
      <c r="E578" s="87"/>
    </row>
    <row r="579" spans="1:5" ht="15" x14ac:dyDescent="0.2">
      <c r="A579" s="73">
        <v>43672</v>
      </c>
      <c r="B579" s="70">
        <v>131</v>
      </c>
      <c r="C579" s="85">
        <v>787658</v>
      </c>
      <c r="D579" s="88">
        <v>3.8314176245211051E-3</v>
      </c>
      <c r="E579" s="87"/>
    </row>
    <row r="580" spans="1:5" ht="15" x14ac:dyDescent="0.2">
      <c r="A580" s="73">
        <v>43671</v>
      </c>
      <c r="B580" s="70">
        <v>130.5</v>
      </c>
      <c r="C580" s="85">
        <v>1303089</v>
      </c>
      <c r="D580" s="88">
        <v>-1.1063958775386573E-2</v>
      </c>
      <c r="E580" s="87"/>
    </row>
    <row r="581" spans="1:5" ht="15" x14ac:dyDescent="0.2">
      <c r="A581" s="73">
        <v>43670</v>
      </c>
      <c r="B581" s="70">
        <v>131.96</v>
      </c>
      <c r="C581" s="85">
        <v>891454</v>
      </c>
      <c r="D581" s="88">
        <v>-4.9766249434474163E-3</v>
      </c>
      <c r="E581" s="87"/>
    </row>
    <row r="582" spans="1:5" ht="15" x14ac:dyDescent="0.2">
      <c r="A582" s="73">
        <v>43669</v>
      </c>
      <c r="B582" s="70">
        <v>132.62</v>
      </c>
      <c r="C582" s="85">
        <v>1151374</v>
      </c>
      <c r="D582" s="88">
        <v>1.4224533496482117E-2</v>
      </c>
      <c r="E582" s="87"/>
    </row>
    <row r="583" spans="1:5" ht="15" x14ac:dyDescent="0.2">
      <c r="A583" s="73">
        <v>43668</v>
      </c>
      <c r="B583" s="70">
        <v>130.76</v>
      </c>
      <c r="C583" s="85">
        <v>909190</v>
      </c>
      <c r="D583" s="88">
        <v>-5.6273764258555348E-3</v>
      </c>
      <c r="E583" s="87"/>
    </row>
    <row r="584" spans="1:5" ht="15" x14ac:dyDescent="0.2">
      <c r="A584" s="73">
        <v>43665</v>
      </c>
      <c r="B584" s="70">
        <v>131.5</v>
      </c>
      <c r="C584" s="85">
        <v>1110654</v>
      </c>
      <c r="D584" s="88">
        <v>-4.5420136260407862E-3</v>
      </c>
      <c r="E584" s="87"/>
    </row>
    <row r="585" spans="1:5" ht="15" x14ac:dyDescent="0.2">
      <c r="A585" s="73">
        <v>43664</v>
      </c>
      <c r="B585" s="70">
        <v>132.1</v>
      </c>
      <c r="C585" s="85">
        <v>918163</v>
      </c>
      <c r="D585" s="88">
        <v>1.0609275538040475E-3</v>
      </c>
      <c r="E585" s="87"/>
    </row>
    <row r="586" spans="1:5" ht="15" x14ac:dyDescent="0.2">
      <c r="A586" s="73">
        <v>43663</v>
      </c>
      <c r="B586" s="70">
        <v>131.96</v>
      </c>
      <c r="C586" s="85">
        <v>1084788</v>
      </c>
      <c r="D586" s="88">
        <v>6.2528595394237829E-3</v>
      </c>
      <c r="E586" s="87"/>
    </row>
    <row r="587" spans="1:5" ht="15" x14ac:dyDescent="0.2">
      <c r="A587" s="73">
        <v>43662</v>
      </c>
      <c r="B587" s="70">
        <v>131.13999999999999</v>
      </c>
      <c r="C587" s="85">
        <v>1035676</v>
      </c>
      <c r="D587" s="88">
        <v>1.5015479876161031E-2</v>
      </c>
      <c r="E587" s="87"/>
    </row>
    <row r="588" spans="1:5" ht="15" x14ac:dyDescent="0.2">
      <c r="A588" s="73">
        <v>43661</v>
      </c>
      <c r="B588" s="70">
        <v>129.19999999999999</v>
      </c>
      <c r="C588" s="85">
        <v>973647</v>
      </c>
      <c r="D588" s="88">
        <v>1.1904761904761862E-2</v>
      </c>
      <c r="E588" s="87"/>
    </row>
    <row r="589" spans="1:5" ht="15" x14ac:dyDescent="0.2">
      <c r="A589" s="73">
        <v>43658</v>
      </c>
      <c r="B589" s="70">
        <v>127.68</v>
      </c>
      <c r="C589" s="85">
        <v>1023854</v>
      </c>
      <c r="D589" s="88">
        <v>1.3494205429433359E-2</v>
      </c>
      <c r="E589" s="87"/>
    </row>
    <row r="590" spans="1:5" ht="15" x14ac:dyDescent="0.2">
      <c r="A590" s="73">
        <v>43657</v>
      </c>
      <c r="B590" s="70">
        <v>125.98</v>
      </c>
      <c r="C590" s="85">
        <v>727473</v>
      </c>
      <c r="D590" s="88">
        <v>1.112523839796653E-3</v>
      </c>
      <c r="E590" s="87"/>
    </row>
    <row r="591" spans="1:5" ht="15" x14ac:dyDescent="0.2">
      <c r="A591" s="73">
        <v>43656</v>
      </c>
      <c r="B591" s="70">
        <v>125.84</v>
      </c>
      <c r="C591" s="85">
        <v>1016895</v>
      </c>
      <c r="D591" s="88">
        <v>1.4020950846092006E-2</v>
      </c>
      <c r="E591" s="87"/>
    </row>
    <row r="592" spans="1:5" ht="15" x14ac:dyDescent="0.2">
      <c r="A592" s="73">
        <v>43655</v>
      </c>
      <c r="B592" s="70">
        <v>124.1</v>
      </c>
      <c r="C592" s="85">
        <v>666957</v>
      </c>
      <c r="D592" s="88">
        <v>1.4525500322788432E-3</v>
      </c>
      <c r="E592" s="87"/>
    </row>
    <row r="593" spans="1:5" ht="15" x14ac:dyDescent="0.2">
      <c r="A593" s="73">
        <v>43654</v>
      </c>
      <c r="B593" s="70">
        <v>123.92</v>
      </c>
      <c r="C593" s="85">
        <v>788487</v>
      </c>
      <c r="D593" s="88">
        <v>-5.2978006100496966E-3</v>
      </c>
      <c r="E593" s="87"/>
    </row>
    <row r="594" spans="1:5" ht="15" x14ac:dyDescent="0.2">
      <c r="A594" s="73">
        <v>43651</v>
      </c>
      <c r="B594" s="70">
        <v>124.58</v>
      </c>
      <c r="C594" s="85">
        <v>724073</v>
      </c>
      <c r="D594" s="88">
        <v>-6.3806029669803976E-3</v>
      </c>
      <c r="E594" s="87"/>
    </row>
    <row r="595" spans="1:5" ht="15" x14ac:dyDescent="0.2">
      <c r="A595" s="73">
        <v>43650</v>
      </c>
      <c r="B595" s="70">
        <v>125.38</v>
      </c>
      <c r="C595" s="85">
        <v>454665</v>
      </c>
      <c r="D595" s="88">
        <v>-2.0694046482012673E-3</v>
      </c>
      <c r="E595" s="87"/>
    </row>
    <row r="596" spans="1:5" ht="15" x14ac:dyDescent="0.2">
      <c r="A596" s="73">
        <v>43649</v>
      </c>
      <c r="B596" s="70">
        <v>125.64</v>
      </c>
      <c r="C596" s="85">
        <v>675445</v>
      </c>
      <c r="D596" s="88">
        <v>1.3552758954501476E-2</v>
      </c>
      <c r="E596" s="87"/>
    </row>
    <row r="597" spans="1:5" ht="15" x14ac:dyDescent="0.2">
      <c r="A597" s="73">
        <v>43648</v>
      </c>
      <c r="B597" s="70">
        <v>123.96</v>
      </c>
      <c r="C597" s="85">
        <v>1028534</v>
      </c>
      <c r="D597" s="88">
        <v>-2.7353177795655936E-3</v>
      </c>
      <c r="E597" s="87"/>
    </row>
    <row r="598" spans="1:5" ht="15" x14ac:dyDescent="0.2">
      <c r="A598" s="73">
        <v>43647</v>
      </c>
      <c r="B598" s="70">
        <v>124.3</v>
      </c>
      <c r="C598" s="85">
        <v>849429</v>
      </c>
      <c r="D598" s="88">
        <v>-3.0478023740777571E-3</v>
      </c>
      <c r="E598" s="87"/>
    </row>
    <row r="599" spans="1:5" ht="15" x14ac:dyDescent="0.2">
      <c r="A599" s="73">
        <v>43644</v>
      </c>
      <c r="B599" s="70">
        <v>124.68</v>
      </c>
      <c r="C599" s="85">
        <v>1108817</v>
      </c>
      <c r="D599" s="88">
        <v>6.4578624475299939E-3</v>
      </c>
      <c r="E599" s="87"/>
    </row>
    <row r="600" spans="1:5" ht="15" x14ac:dyDescent="0.2">
      <c r="A600" s="73">
        <v>43643</v>
      </c>
      <c r="B600" s="70">
        <v>123.88</v>
      </c>
      <c r="C600" s="85">
        <v>995489</v>
      </c>
      <c r="D600" s="88">
        <v>-1.3222877170622982E-2</v>
      </c>
      <c r="E600" s="87"/>
    </row>
    <row r="601" spans="1:5" ht="15" x14ac:dyDescent="0.2">
      <c r="A601" s="73">
        <v>43642</v>
      </c>
      <c r="B601" s="70">
        <v>125.54</v>
      </c>
      <c r="C601" s="85">
        <v>1028633</v>
      </c>
      <c r="D601" s="88">
        <v>2.8758587633808119E-3</v>
      </c>
      <c r="E601" s="87"/>
    </row>
    <row r="602" spans="1:5" ht="15" x14ac:dyDescent="0.2">
      <c r="A602" s="73">
        <v>43641</v>
      </c>
      <c r="B602" s="70">
        <v>125.18</v>
      </c>
      <c r="C602" s="85">
        <v>1068534</v>
      </c>
      <c r="D602" s="88">
        <v>1.5576829466169118E-2</v>
      </c>
      <c r="E602" s="87"/>
    </row>
    <row r="603" spans="1:5" ht="15" x14ac:dyDescent="0.2">
      <c r="A603" s="73">
        <v>43640</v>
      </c>
      <c r="B603" s="70">
        <v>123.26</v>
      </c>
      <c r="C603" s="85">
        <v>839580</v>
      </c>
      <c r="D603" s="88">
        <v>3.9094315035022031E-3</v>
      </c>
      <c r="E603" s="87"/>
    </row>
    <row r="604" spans="1:5" ht="15" x14ac:dyDescent="0.2">
      <c r="A604" s="73">
        <v>43637</v>
      </c>
      <c r="B604" s="70">
        <v>122.78</v>
      </c>
      <c r="C604" s="85">
        <v>2456772</v>
      </c>
      <c r="D604" s="88">
        <v>-5.5078567957232982E-3</v>
      </c>
      <c r="E604" s="87"/>
    </row>
    <row r="605" spans="1:5" ht="15" x14ac:dyDescent="0.2">
      <c r="A605" s="73">
        <v>43636</v>
      </c>
      <c r="B605" s="70">
        <v>123.46</v>
      </c>
      <c r="C605" s="85">
        <v>1751922</v>
      </c>
      <c r="D605" s="88">
        <v>3.739837398373913E-3</v>
      </c>
      <c r="E605" s="87"/>
    </row>
    <row r="606" spans="1:5" ht="15" x14ac:dyDescent="0.2">
      <c r="A606" s="73">
        <v>43635</v>
      </c>
      <c r="B606" s="70">
        <v>123</v>
      </c>
      <c r="C606" s="85">
        <v>1646889</v>
      </c>
      <c r="D606" s="88">
        <v>-1.9607843137254832E-2</v>
      </c>
      <c r="E606" s="87"/>
    </row>
    <row r="607" spans="1:5" ht="15" x14ac:dyDescent="0.2">
      <c r="A607" s="73">
        <v>43634</v>
      </c>
      <c r="B607" s="70">
        <v>125.46</v>
      </c>
      <c r="C607" s="85">
        <v>1679579</v>
      </c>
      <c r="D607" s="88">
        <v>3.6799999999999056E-3</v>
      </c>
      <c r="E607" s="87"/>
    </row>
    <row r="608" spans="1:5" ht="15" x14ac:dyDescent="0.2">
      <c r="A608" s="73">
        <v>43633</v>
      </c>
      <c r="B608" s="70">
        <v>125</v>
      </c>
      <c r="C608" s="85">
        <v>1368430</v>
      </c>
      <c r="D608" s="88">
        <v>2.1074987747100149E-2</v>
      </c>
      <c r="E608" s="87"/>
    </row>
    <row r="609" spans="1:5" ht="15" x14ac:dyDescent="0.2">
      <c r="A609" s="73">
        <v>43630</v>
      </c>
      <c r="B609" s="70">
        <v>122.42</v>
      </c>
      <c r="C609" s="85">
        <v>873534</v>
      </c>
      <c r="D609" s="88">
        <v>-1.9566280776128764E-3</v>
      </c>
      <c r="E609" s="87"/>
    </row>
    <row r="610" spans="1:5" ht="15" x14ac:dyDescent="0.2">
      <c r="A610" s="73">
        <v>43629</v>
      </c>
      <c r="B610" s="70">
        <v>122.66</v>
      </c>
      <c r="C610" s="85">
        <v>890365</v>
      </c>
      <c r="D610" s="88">
        <v>3.1076218514882736E-3</v>
      </c>
      <c r="E610" s="87"/>
    </row>
    <row r="611" spans="1:5" ht="15" x14ac:dyDescent="0.2">
      <c r="A611" s="73">
        <v>43628</v>
      </c>
      <c r="B611" s="70">
        <v>122.28</v>
      </c>
      <c r="C611" s="85">
        <v>924062</v>
      </c>
      <c r="D611" s="88">
        <v>-9.0761750405187192E-3</v>
      </c>
      <c r="E611" s="87"/>
    </row>
    <row r="612" spans="1:5" ht="15" x14ac:dyDescent="0.2">
      <c r="A612" s="73">
        <v>43627</v>
      </c>
      <c r="B612" s="70">
        <v>123.4</v>
      </c>
      <c r="C612" s="85">
        <v>1125280</v>
      </c>
      <c r="D612" s="88">
        <v>1.9329258219064949E-2</v>
      </c>
      <c r="E612" s="87"/>
    </row>
    <row r="613" spans="1:5" ht="15" x14ac:dyDescent="0.2">
      <c r="A613" s="73">
        <v>43626</v>
      </c>
      <c r="B613" s="70">
        <v>121.06</v>
      </c>
      <c r="C613" s="85">
        <v>507749</v>
      </c>
      <c r="D613" s="88">
        <v>1.1577902745616431E-3</v>
      </c>
      <c r="E613" s="87"/>
    </row>
    <row r="614" spans="1:5" ht="15" x14ac:dyDescent="0.2">
      <c r="A614" s="73">
        <v>43623</v>
      </c>
      <c r="B614" s="70">
        <v>120.92</v>
      </c>
      <c r="C614" s="85">
        <v>1199498</v>
      </c>
      <c r="D614" s="88">
        <v>2.5093251949813489E-2</v>
      </c>
      <c r="E614" s="87"/>
    </row>
    <row r="615" spans="1:5" ht="15" x14ac:dyDescent="0.2">
      <c r="A615" s="73">
        <v>43622</v>
      </c>
      <c r="B615" s="70">
        <v>117.96</v>
      </c>
      <c r="C615" s="85">
        <v>1025038</v>
      </c>
      <c r="D615" s="88">
        <v>-6.2342038753160356E-3</v>
      </c>
      <c r="E615" s="87"/>
    </row>
    <row r="616" spans="1:5" ht="15" x14ac:dyDescent="0.2">
      <c r="A616" s="73">
        <v>43621</v>
      </c>
      <c r="B616" s="70">
        <v>118.7</v>
      </c>
      <c r="C616" s="85">
        <v>1234756</v>
      </c>
      <c r="D616" s="88">
        <v>1.8568534773801826E-3</v>
      </c>
      <c r="E616" s="87"/>
    </row>
    <row r="617" spans="1:5" ht="15" x14ac:dyDescent="0.2">
      <c r="A617" s="73">
        <v>43620</v>
      </c>
      <c r="B617" s="70">
        <v>118.48</v>
      </c>
      <c r="C617" s="85">
        <v>1259997</v>
      </c>
      <c r="D617" s="88">
        <v>1.1266643905770035E-2</v>
      </c>
      <c r="E617" s="87"/>
    </row>
    <row r="618" spans="1:5" ht="15" x14ac:dyDescent="0.2">
      <c r="A618" s="73">
        <v>43619</v>
      </c>
      <c r="B618" s="70">
        <v>117.16</v>
      </c>
      <c r="C618" s="85">
        <v>1158939</v>
      </c>
      <c r="D618" s="88">
        <v>2.0024377503047086E-2</v>
      </c>
      <c r="E618" s="87"/>
    </row>
    <row r="619" spans="1:5" ht="15" x14ac:dyDescent="0.2">
      <c r="A619" s="73">
        <v>43616</v>
      </c>
      <c r="B619" s="70">
        <v>114.86</v>
      </c>
      <c r="C619" s="85">
        <v>1422449</v>
      </c>
      <c r="D619" s="88">
        <v>-3.2974661575840836E-3</v>
      </c>
      <c r="E619" s="87"/>
    </row>
    <row r="620" spans="1:5" ht="15" x14ac:dyDescent="0.2">
      <c r="A620" s="73">
        <v>43615</v>
      </c>
      <c r="B620" s="70">
        <v>115.24</v>
      </c>
      <c r="C620" s="85">
        <v>527329</v>
      </c>
      <c r="D620" s="88">
        <v>7.5187969924812581E-3</v>
      </c>
      <c r="E620" s="87"/>
    </row>
    <row r="621" spans="1:5" ht="15" x14ac:dyDescent="0.2">
      <c r="A621" s="73">
        <v>43614</v>
      </c>
      <c r="B621" s="70">
        <v>114.38</v>
      </c>
      <c r="C621" s="85">
        <v>1460847</v>
      </c>
      <c r="D621" s="88">
        <v>-1.6678129298486888E-2</v>
      </c>
      <c r="E621" s="87"/>
    </row>
    <row r="622" spans="1:5" ht="15" x14ac:dyDescent="0.2">
      <c r="A622" s="73">
        <v>43613</v>
      </c>
      <c r="B622" s="70">
        <v>116.32</v>
      </c>
      <c r="C622" s="85">
        <v>1121118</v>
      </c>
      <c r="D622" s="88">
        <v>-4.4505306401918521E-3</v>
      </c>
      <c r="E622" s="87"/>
    </row>
    <row r="623" spans="1:5" ht="15" x14ac:dyDescent="0.2">
      <c r="A623" s="73">
        <v>43612</v>
      </c>
      <c r="B623" s="70">
        <v>116.84</v>
      </c>
      <c r="C623" s="85">
        <v>314712</v>
      </c>
      <c r="D623" s="88">
        <v>2.5742234425947252E-3</v>
      </c>
      <c r="E623" s="87"/>
    </row>
    <row r="624" spans="1:5" ht="15" x14ac:dyDescent="0.2">
      <c r="A624" s="73">
        <v>43609</v>
      </c>
      <c r="B624" s="70">
        <v>116.54</v>
      </c>
      <c r="C624" s="85">
        <v>941761</v>
      </c>
      <c r="D624" s="88">
        <v>1.4449860724234043E-2</v>
      </c>
      <c r="E624" s="87"/>
    </row>
    <row r="625" spans="1:5" ht="15" x14ac:dyDescent="0.2">
      <c r="A625" s="73">
        <v>43608</v>
      </c>
      <c r="B625" s="70">
        <v>114.88</v>
      </c>
      <c r="C625" s="85">
        <v>1292608</v>
      </c>
      <c r="D625" s="88">
        <v>-2.8252410759600721E-2</v>
      </c>
      <c r="E625" s="87"/>
    </row>
    <row r="626" spans="1:5" ht="15" x14ac:dyDescent="0.2">
      <c r="A626" s="73">
        <v>43607</v>
      </c>
      <c r="B626" s="70">
        <v>118.22</v>
      </c>
      <c r="C626" s="85">
        <v>841620</v>
      </c>
      <c r="D626" s="88">
        <v>-3.3823778116015557E-4</v>
      </c>
      <c r="E626" s="87"/>
    </row>
    <row r="627" spans="1:5" ht="15" x14ac:dyDescent="0.2">
      <c r="A627" s="73">
        <v>43606</v>
      </c>
      <c r="B627" s="70">
        <v>118.26</v>
      </c>
      <c r="C627" s="85">
        <v>797261</v>
      </c>
      <c r="D627" s="88">
        <v>-6.8861269734631358E-3</v>
      </c>
      <c r="E627" s="87"/>
    </row>
    <row r="628" spans="1:5" ht="15" x14ac:dyDescent="0.2">
      <c r="A628" s="73">
        <v>43605</v>
      </c>
      <c r="B628" s="70">
        <v>119.08</v>
      </c>
      <c r="C628" s="85">
        <v>880698</v>
      </c>
      <c r="D628" s="88">
        <v>-1.5867768595041354E-2</v>
      </c>
      <c r="E628" s="87"/>
    </row>
    <row r="629" spans="1:5" ht="15" x14ac:dyDescent="0.2">
      <c r="A629" s="73">
        <v>43602</v>
      </c>
      <c r="B629" s="70">
        <v>121</v>
      </c>
      <c r="C629" s="85">
        <v>1346495</v>
      </c>
      <c r="D629" s="88">
        <v>-1.2244897959183709E-2</v>
      </c>
      <c r="E629" s="87"/>
    </row>
    <row r="630" spans="1:5" ht="15" x14ac:dyDescent="0.2">
      <c r="A630" s="73">
        <v>43601</v>
      </c>
      <c r="B630" s="70">
        <v>122.5</v>
      </c>
      <c r="C630" s="85">
        <v>1171146</v>
      </c>
      <c r="D630" s="88">
        <v>1.3401720714758536E-2</v>
      </c>
      <c r="E630" s="87"/>
    </row>
    <row r="631" spans="1:5" ht="15" x14ac:dyDescent="0.2">
      <c r="A631" s="73">
        <v>43600</v>
      </c>
      <c r="B631" s="70">
        <v>120.88</v>
      </c>
      <c r="C631" s="85">
        <v>1225273</v>
      </c>
      <c r="D631" s="88">
        <v>1.5798319327731125E-2</v>
      </c>
      <c r="E631" s="87"/>
    </row>
    <row r="632" spans="1:5" ht="15" x14ac:dyDescent="0.2">
      <c r="A632" s="73">
        <v>43599</v>
      </c>
      <c r="B632" s="70">
        <v>119</v>
      </c>
      <c r="C632" s="85">
        <v>1080454</v>
      </c>
      <c r="D632" s="88">
        <v>3.0124653739612262E-2</v>
      </c>
      <c r="E632" s="87"/>
    </row>
    <row r="633" spans="1:5" ht="15" x14ac:dyDescent="0.2">
      <c r="A633" s="73">
        <v>43598</v>
      </c>
      <c r="B633" s="70">
        <v>115.52</v>
      </c>
      <c r="C633" s="85">
        <v>1187754</v>
      </c>
      <c r="D633" s="88">
        <v>-1.6851063829787294E-2</v>
      </c>
      <c r="E633" s="87"/>
    </row>
    <row r="634" spans="1:5" ht="15" x14ac:dyDescent="0.2">
      <c r="A634" s="73">
        <v>43595</v>
      </c>
      <c r="B634" s="70">
        <v>117.5</v>
      </c>
      <c r="C634" s="85">
        <v>1146292</v>
      </c>
      <c r="D634" s="88">
        <v>5.9931506849315586E-3</v>
      </c>
      <c r="E634" s="87"/>
    </row>
    <row r="635" spans="1:5" ht="15" x14ac:dyDescent="0.2">
      <c r="A635" s="73">
        <v>43594</v>
      </c>
      <c r="B635" s="70">
        <v>116.8</v>
      </c>
      <c r="C635" s="85">
        <v>1071567</v>
      </c>
      <c r="D635" s="88">
        <v>-1.6835016835016869E-2</v>
      </c>
      <c r="E635" s="87"/>
    </row>
    <row r="636" spans="1:5" ht="15" x14ac:dyDescent="0.2">
      <c r="A636" s="73">
        <v>43593</v>
      </c>
      <c r="B636" s="70">
        <v>118.8</v>
      </c>
      <c r="C636" s="85">
        <v>1135884</v>
      </c>
      <c r="D636" s="88">
        <v>1.0719754977029039E-2</v>
      </c>
      <c r="E636" s="87"/>
    </row>
    <row r="637" spans="1:5" ht="15" x14ac:dyDescent="0.2">
      <c r="A637" s="73">
        <v>43592</v>
      </c>
      <c r="B637" s="70">
        <v>117.54</v>
      </c>
      <c r="C637" s="85">
        <v>1245034</v>
      </c>
      <c r="D637" s="88">
        <v>-1.8045112781954864E-2</v>
      </c>
      <c r="E637" s="87"/>
    </row>
    <row r="638" spans="1:5" ht="15" x14ac:dyDescent="0.2">
      <c r="A638" s="73">
        <v>43591</v>
      </c>
      <c r="B638" s="70">
        <v>119.7</v>
      </c>
      <c r="C638" s="85">
        <v>943587</v>
      </c>
      <c r="D638" s="88">
        <v>1.1709601873537423E-3</v>
      </c>
      <c r="E638" s="87"/>
    </row>
    <row r="639" spans="1:5" ht="15" x14ac:dyDescent="0.2">
      <c r="A639" s="73">
        <v>43588</v>
      </c>
      <c r="B639" s="70">
        <v>119.56</v>
      </c>
      <c r="C639" s="85">
        <v>919711</v>
      </c>
      <c r="D639" s="88">
        <v>-3.500583430571802E-3</v>
      </c>
      <c r="E639" s="87"/>
    </row>
    <row r="640" spans="1:5" ht="15" x14ac:dyDescent="0.2">
      <c r="A640" s="73">
        <v>43587</v>
      </c>
      <c r="B640" s="70">
        <v>119.98</v>
      </c>
      <c r="C640" s="85">
        <v>1602622</v>
      </c>
      <c r="D640" s="88">
        <v>-1.5589104036757395E-2</v>
      </c>
      <c r="E640" s="87"/>
    </row>
    <row r="641" spans="1:5" ht="15" x14ac:dyDescent="0.2">
      <c r="A641" s="73">
        <v>43585</v>
      </c>
      <c r="B641" s="70">
        <v>121.88</v>
      </c>
      <c r="C641" s="85">
        <v>1391362</v>
      </c>
      <c r="D641" s="88">
        <v>-9.2667858884734056E-3</v>
      </c>
      <c r="E641" s="87"/>
    </row>
    <row r="642" spans="1:5" ht="15" x14ac:dyDescent="0.2">
      <c r="A642" s="73">
        <v>43584</v>
      </c>
      <c r="B642" s="70">
        <v>123.02</v>
      </c>
      <c r="C642" s="85">
        <v>1069541</v>
      </c>
      <c r="D642" s="88">
        <v>9.5191203019857618E-3</v>
      </c>
      <c r="E642" s="87"/>
    </row>
    <row r="643" spans="1:5" ht="15" x14ac:dyDescent="0.2">
      <c r="A643" s="73">
        <v>43581</v>
      </c>
      <c r="B643" s="70">
        <v>121.86</v>
      </c>
      <c r="C643" s="85">
        <v>1018510</v>
      </c>
      <c r="D643" s="88">
        <v>-3.2813781788354479E-4</v>
      </c>
      <c r="E643" s="87"/>
    </row>
    <row r="644" spans="1:5" ht="15" x14ac:dyDescent="0.2">
      <c r="A644" s="73">
        <v>43580</v>
      </c>
      <c r="B644" s="70">
        <v>121.9</v>
      </c>
      <c r="C644" s="85">
        <v>891406</v>
      </c>
      <c r="D644" s="88">
        <v>-2.4549918166939522E-3</v>
      </c>
      <c r="E644" s="87"/>
    </row>
    <row r="645" spans="1:5" ht="15" x14ac:dyDescent="0.2">
      <c r="A645" s="73">
        <v>43579</v>
      </c>
      <c r="B645" s="70">
        <v>122.2</v>
      </c>
      <c r="C645" s="85">
        <v>882275</v>
      </c>
      <c r="D645" s="88">
        <v>-4.8859934853420217E-3</v>
      </c>
      <c r="E645" s="87"/>
    </row>
    <row r="646" spans="1:5" ht="15" x14ac:dyDescent="0.2">
      <c r="A646" s="73">
        <v>43578</v>
      </c>
      <c r="B646" s="70">
        <v>122.8</v>
      </c>
      <c r="C646" s="85">
        <v>1424239</v>
      </c>
      <c r="D646" s="88">
        <v>2.1290751829674104E-2</v>
      </c>
      <c r="E646" s="87"/>
    </row>
    <row r="647" spans="1:5" ht="15" x14ac:dyDescent="0.2">
      <c r="A647" s="73">
        <v>43573</v>
      </c>
      <c r="B647" s="70">
        <v>120.24</v>
      </c>
      <c r="C647" s="85">
        <v>2066169</v>
      </c>
      <c r="D647" s="88">
        <v>1.0080645161290258E-2</v>
      </c>
      <c r="E647" s="87"/>
    </row>
    <row r="648" spans="1:5" ht="15" x14ac:dyDescent="0.2">
      <c r="A648" s="73">
        <v>43572</v>
      </c>
      <c r="B648" s="70">
        <v>119.04</v>
      </c>
      <c r="C648" s="85">
        <v>1333637</v>
      </c>
      <c r="D648" s="88">
        <v>9.4979647218453866E-3</v>
      </c>
      <c r="E648" s="87"/>
    </row>
    <row r="649" spans="1:5" ht="15" x14ac:dyDescent="0.2">
      <c r="A649" s="73">
        <v>43571</v>
      </c>
      <c r="B649" s="70">
        <v>117.92</v>
      </c>
      <c r="C649" s="85">
        <v>900262</v>
      </c>
      <c r="D649" s="88">
        <v>5.8000682360970224E-3</v>
      </c>
      <c r="E649" s="87"/>
    </row>
    <row r="650" spans="1:5" ht="15" x14ac:dyDescent="0.2">
      <c r="A650" s="73">
        <v>43570</v>
      </c>
      <c r="B650" s="70">
        <v>117.24</v>
      </c>
      <c r="C650" s="85">
        <v>702766</v>
      </c>
      <c r="D650" s="88">
        <v>-1.1467116357504192E-2</v>
      </c>
      <c r="E650" s="87"/>
    </row>
    <row r="651" spans="1:5" ht="15" x14ac:dyDescent="0.2">
      <c r="A651" s="73">
        <v>43567</v>
      </c>
      <c r="B651" s="70">
        <v>118.6</v>
      </c>
      <c r="C651" s="85">
        <v>935016</v>
      </c>
      <c r="D651" s="88">
        <v>9.3617021276595214E-3</v>
      </c>
      <c r="E651" s="87"/>
    </row>
    <row r="652" spans="1:5" ht="15" x14ac:dyDescent="0.2">
      <c r="A652" s="73">
        <v>43566</v>
      </c>
      <c r="B652" s="70">
        <v>117.5</v>
      </c>
      <c r="C652" s="85">
        <v>935093</v>
      </c>
      <c r="D652" s="88">
        <v>8.5836909871244149E-3</v>
      </c>
      <c r="E652" s="87"/>
    </row>
    <row r="653" spans="1:5" ht="15" x14ac:dyDescent="0.2">
      <c r="A653" s="73">
        <v>43565</v>
      </c>
      <c r="B653" s="70">
        <v>116.5</v>
      </c>
      <c r="C653" s="85">
        <v>1420843</v>
      </c>
      <c r="D653" s="88">
        <v>-1.6877637130801704E-2</v>
      </c>
      <c r="E653" s="87"/>
    </row>
    <row r="654" spans="1:5" ht="15" x14ac:dyDescent="0.2">
      <c r="A654" s="73">
        <v>43564</v>
      </c>
      <c r="B654" s="70">
        <v>118.5</v>
      </c>
      <c r="C654" s="85">
        <v>1453576</v>
      </c>
      <c r="D654" s="88">
        <v>-1.8552261056816288E-2</v>
      </c>
      <c r="E654" s="87"/>
    </row>
    <row r="655" spans="1:5" ht="15" x14ac:dyDescent="0.2">
      <c r="A655" s="73">
        <v>43563</v>
      </c>
      <c r="B655" s="70">
        <v>120.74</v>
      </c>
      <c r="C655" s="85">
        <v>1502349</v>
      </c>
      <c r="D655" s="88">
        <v>1.7357600269632512E-2</v>
      </c>
      <c r="E655" s="87"/>
    </row>
    <row r="656" spans="1:5" ht="15" x14ac:dyDescent="0.2">
      <c r="A656" s="73">
        <v>43560</v>
      </c>
      <c r="B656" s="70">
        <v>118.68</v>
      </c>
      <c r="C656" s="85">
        <v>1614315</v>
      </c>
      <c r="D656" s="88">
        <v>7.2992700729928028E-3</v>
      </c>
      <c r="E656" s="87"/>
    </row>
    <row r="657" spans="1:5" ht="15" x14ac:dyDescent="0.2">
      <c r="A657" s="73">
        <v>43559</v>
      </c>
      <c r="B657" s="70">
        <v>117.82</v>
      </c>
      <c r="C657" s="85">
        <v>1152087</v>
      </c>
      <c r="D657" s="88">
        <v>-6.0738991057871505E-3</v>
      </c>
      <c r="E657" s="87"/>
    </row>
    <row r="658" spans="1:5" ht="15" x14ac:dyDescent="0.2">
      <c r="A658" s="73">
        <v>43558</v>
      </c>
      <c r="B658" s="70">
        <v>118.54</v>
      </c>
      <c r="C658" s="85">
        <v>1214807</v>
      </c>
      <c r="D658" s="88">
        <v>1.1260876983449908E-2</v>
      </c>
      <c r="E658" s="87"/>
    </row>
    <row r="659" spans="1:5" ht="15" x14ac:dyDescent="0.2">
      <c r="A659" s="73">
        <v>43557</v>
      </c>
      <c r="B659" s="70">
        <v>117.22</v>
      </c>
      <c r="C659" s="85">
        <v>1368037</v>
      </c>
      <c r="D659" s="88">
        <v>-4.5855978260870289E-3</v>
      </c>
      <c r="E659" s="87"/>
    </row>
    <row r="660" spans="1:5" ht="15" x14ac:dyDescent="0.2">
      <c r="A660" s="73">
        <v>43556</v>
      </c>
      <c r="B660" s="70">
        <v>117.76</v>
      </c>
      <c r="C660" s="85">
        <v>962091</v>
      </c>
      <c r="D660" s="88">
        <v>-1.1874469889736616E-3</v>
      </c>
      <c r="E660" s="87"/>
    </row>
    <row r="661" spans="1:5" ht="15" x14ac:dyDescent="0.2">
      <c r="A661" s="73">
        <v>43553</v>
      </c>
      <c r="B661" s="70">
        <v>117.9</v>
      </c>
      <c r="C661" s="85">
        <v>1220119</v>
      </c>
      <c r="D661" s="88">
        <v>1.4106313435403361E-2</v>
      </c>
      <c r="E661" s="87"/>
    </row>
    <row r="662" spans="1:5" ht="15" x14ac:dyDescent="0.2">
      <c r="A662" s="73">
        <v>43552</v>
      </c>
      <c r="B662" s="70">
        <v>116.26</v>
      </c>
      <c r="C662" s="85">
        <v>950323</v>
      </c>
      <c r="D662" s="88">
        <v>6.7544163491513043E-3</v>
      </c>
      <c r="E662" s="87"/>
    </row>
    <row r="663" spans="1:5" ht="15" x14ac:dyDescent="0.2">
      <c r="A663" s="73">
        <v>43551</v>
      </c>
      <c r="B663" s="70">
        <v>115.48</v>
      </c>
      <c r="C663" s="85">
        <v>1104628</v>
      </c>
      <c r="D663" s="88">
        <v>-7.3921265257005375E-3</v>
      </c>
      <c r="E663" s="87"/>
    </row>
    <row r="664" spans="1:5" ht="15" x14ac:dyDescent="0.2">
      <c r="A664" s="73">
        <v>43550</v>
      </c>
      <c r="B664" s="70">
        <v>116.34</v>
      </c>
      <c r="C664" s="85">
        <v>1254958</v>
      </c>
      <c r="D664" s="88">
        <v>2.0168361978253113E-2</v>
      </c>
      <c r="E664" s="87"/>
    </row>
    <row r="665" spans="1:5" ht="15" x14ac:dyDescent="0.2">
      <c r="A665" s="73">
        <v>43549</v>
      </c>
      <c r="B665" s="70">
        <v>114.04</v>
      </c>
      <c r="C665" s="85">
        <v>1607484</v>
      </c>
      <c r="D665" s="88">
        <v>-4.8865619546246686E-3</v>
      </c>
      <c r="E665" s="87"/>
    </row>
    <row r="666" spans="1:5" ht="15" x14ac:dyDescent="0.2">
      <c r="A666" s="73">
        <v>43546</v>
      </c>
      <c r="B666" s="70">
        <v>114.6</v>
      </c>
      <c r="C666" s="85">
        <v>1548212</v>
      </c>
      <c r="D666" s="88">
        <v>-3.3400809716599311E-2</v>
      </c>
      <c r="E666" s="87"/>
    </row>
    <row r="667" spans="1:5" ht="15" x14ac:dyDescent="0.2">
      <c r="A667" s="73">
        <v>43545</v>
      </c>
      <c r="B667" s="70">
        <v>118.56</v>
      </c>
      <c r="C667" s="85">
        <v>991764</v>
      </c>
      <c r="D667" s="88">
        <v>5.9392499575767754E-3</v>
      </c>
      <c r="E667" s="87"/>
    </row>
    <row r="668" spans="1:5" ht="15" x14ac:dyDescent="0.2">
      <c r="A668" s="73">
        <v>43544</v>
      </c>
      <c r="B668" s="70">
        <v>117.86</v>
      </c>
      <c r="C668" s="85">
        <v>1651569</v>
      </c>
      <c r="D668" s="88">
        <v>-9.5798319327731196E-3</v>
      </c>
      <c r="E668" s="87"/>
    </row>
    <row r="669" spans="1:5" ht="15" x14ac:dyDescent="0.2">
      <c r="A669" s="73">
        <v>43543</v>
      </c>
      <c r="B669" s="70">
        <v>119</v>
      </c>
      <c r="C669" s="85">
        <v>1217304</v>
      </c>
      <c r="D669" s="88">
        <v>8.4745762711864181E-3</v>
      </c>
      <c r="E669" s="87"/>
    </row>
    <row r="670" spans="1:5" ht="15" x14ac:dyDescent="0.2">
      <c r="A670" s="73">
        <v>43542</v>
      </c>
      <c r="B670" s="70">
        <v>118</v>
      </c>
      <c r="C670" s="85">
        <v>974655</v>
      </c>
      <c r="D670" s="88">
        <v>2.7192386131882351E-3</v>
      </c>
      <c r="E670" s="87"/>
    </row>
    <row r="671" spans="1:5" ht="15" x14ac:dyDescent="0.2">
      <c r="A671" s="73">
        <v>43539</v>
      </c>
      <c r="B671" s="70">
        <v>117.68</v>
      </c>
      <c r="C671" s="85">
        <v>3463099</v>
      </c>
      <c r="D671" s="88">
        <v>5.811965811965969E-3</v>
      </c>
      <c r="E671" s="87"/>
    </row>
    <row r="672" spans="1:5" ht="15" x14ac:dyDescent="0.2">
      <c r="A672" s="73">
        <v>43538</v>
      </c>
      <c r="B672" s="70">
        <v>117</v>
      </c>
      <c r="C672" s="85">
        <v>1698454</v>
      </c>
      <c r="D672" s="88">
        <v>1.0266940451746365E-3</v>
      </c>
      <c r="E672" s="87"/>
    </row>
    <row r="673" spans="1:5" ht="15" x14ac:dyDescent="0.2">
      <c r="A673" s="73">
        <v>43537</v>
      </c>
      <c r="B673" s="70">
        <v>116.88</v>
      </c>
      <c r="C673" s="85">
        <v>2334138</v>
      </c>
      <c r="D673" s="88">
        <v>2.0073311223599122E-2</v>
      </c>
      <c r="E673" s="87"/>
    </row>
    <row r="674" spans="1:5" ht="15" x14ac:dyDescent="0.2">
      <c r="A674" s="73">
        <v>43536</v>
      </c>
      <c r="B674" s="70">
        <v>114.58</v>
      </c>
      <c r="C674" s="85">
        <v>1614290</v>
      </c>
      <c r="D674" s="88">
        <v>1.4341359773371254E-2</v>
      </c>
      <c r="E674" s="87"/>
    </row>
    <row r="675" spans="1:5" ht="15" x14ac:dyDescent="0.2">
      <c r="A675" s="73">
        <v>43535</v>
      </c>
      <c r="B675" s="70">
        <v>112.96</v>
      </c>
      <c r="C675" s="85">
        <v>1217340</v>
      </c>
      <c r="D675" s="88">
        <v>1.2912482065997155E-2</v>
      </c>
      <c r="E675" s="87"/>
    </row>
    <row r="676" spans="1:5" ht="15" x14ac:dyDescent="0.2">
      <c r="A676" s="73">
        <v>43532</v>
      </c>
      <c r="B676" s="70">
        <v>111.52</v>
      </c>
      <c r="C676" s="85">
        <v>1678207</v>
      </c>
      <c r="D676" s="88">
        <v>-1.0821358878836285E-2</v>
      </c>
      <c r="E676" s="87"/>
    </row>
    <row r="677" spans="1:5" ht="15" x14ac:dyDescent="0.2">
      <c r="A677" s="73">
        <v>43531</v>
      </c>
      <c r="B677" s="70">
        <v>112.74</v>
      </c>
      <c r="C677" s="85">
        <v>1682374</v>
      </c>
      <c r="D677" s="88">
        <v>-8.6176574041505472E-3</v>
      </c>
      <c r="E677" s="87"/>
    </row>
    <row r="678" spans="1:5" ht="15" x14ac:dyDescent="0.2">
      <c r="A678" s="73">
        <v>43530</v>
      </c>
      <c r="B678" s="70">
        <v>113.72</v>
      </c>
      <c r="C678" s="85">
        <v>1035032</v>
      </c>
      <c r="D678" s="88">
        <v>4.2387848816674012E-3</v>
      </c>
      <c r="E678" s="87"/>
    </row>
    <row r="679" spans="1:5" ht="15" x14ac:dyDescent="0.2">
      <c r="A679" s="73">
        <v>43529</v>
      </c>
      <c r="B679" s="70">
        <v>113.24</v>
      </c>
      <c r="C679" s="85">
        <v>1510042</v>
      </c>
      <c r="D679" s="88">
        <v>-6.8409051043676339E-3</v>
      </c>
      <c r="E679" s="87"/>
    </row>
    <row r="680" spans="1:5" ht="15" x14ac:dyDescent="0.2">
      <c r="A680" s="73">
        <v>43528</v>
      </c>
      <c r="B680" s="70">
        <v>114.02</v>
      </c>
      <c r="C680" s="85">
        <v>1133867</v>
      </c>
      <c r="D680" s="88">
        <v>1.0535557506583526E-3</v>
      </c>
      <c r="E680" s="87"/>
    </row>
    <row r="681" spans="1:5" ht="15" x14ac:dyDescent="0.2">
      <c r="A681" s="73">
        <v>43525</v>
      </c>
      <c r="B681" s="70">
        <v>113.9</v>
      </c>
      <c r="C681" s="85">
        <v>1263899</v>
      </c>
      <c r="D681" s="88">
        <v>2.640845070422726E-3</v>
      </c>
      <c r="E681" s="87"/>
    </row>
    <row r="682" spans="1:5" ht="15" x14ac:dyDescent="0.2">
      <c r="A682" s="73">
        <v>43524</v>
      </c>
      <c r="B682" s="70">
        <v>113.6</v>
      </c>
      <c r="C682" s="85">
        <v>1473561</v>
      </c>
      <c r="D682" s="88">
        <v>1.2339150361360129E-3</v>
      </c>
      <c r="E682" s="87"/>
    </row>
    <row r="683" spans="1:5" ht="15" x14ac:dyDescent="0.2">
      <c r="A683" s="73">
        <v>43523</v>
      </c>
      <c r="B683" s="70">
        <v>113.46</v>
      </c>
      <c r="C683" s="85">
        <v>1255186</v>
      </c>
      <c r="D683" s="88">
        <v>3.005657708627929E-3</v>
      </c>
      <c r="E683" s="87"/>
    </row>
    <row r="684" spans="1:5" ht="15" x14ac:dyDescent="0.2">
      <c r="A684" s="73">
        <v>43522</v>
      </c>
      <c r="B684" s="70">
        <v>113.12</v>
      </c>
      <c r="C684" s="85">
        <v>1162067</v>
      </c>
      <c r="D684" s="88">
        <v>-1.9410622904535435E-3</v>
      </c>
      <c r="E684" s="87"/>
    </row>
    <row r="685" spans="1:5" ht="15" x14ac:dyDescent="0.2">
      <c r="A685" s="73">
        <v>43521</v>
      </c>
      <c r="B685" s="70">
        <v>113.34</v>
      </c>
      <c r="C685" s="85">
        <v>1312486</v>
      </c>
      <c r="D685" s="88">
        <v>-3.1662269129287823E-3</v>
      </c>
      <c r="E685" s="87"/>
    </row>
    <row r="686" spans="1:5" ht="15" x14ac:dyDescent="0.2">
      <c r="A686" s="73">
        <v>43518</v>
      </c>
      <c r="B686" s="70">
        <v>113.7</v>
      </c>
      <c r="C686" s="85">
        <v>1662516</v>
      </c>
      <c r="D686" s="88">
        <v>2.1012931034482873E-2</v>
      </c>
      <c r="E686" s="87"/>
    </row>
    <row r="687" spans="1:5" ht="15" x14ac:dyDescent="0.2">
      <c r="A687" s="73">
        <v>43517</v>
      </c>
      <c r="B687" s="70">
        <v>111.36</v>
      </c>
      <c r="C687" s="85">
        <v>1937817</v>
      </c>
      <c r="D687" s="88">
        <v>2.1598272138227959E-3</v>
      </c>
      <c r="E687" s="87"/>
    </row>
    <row r="688" spans="1:5" ht="15" x14ac:dyDescent="0.2">
      <c r="A688" s="73">
        <v>43516</v>
      </c>
      <c r="B688" s="70">
        <v>111.12</v>
      </c>
      <c r="C688" s="85">
        <v>1530872</v>
      </c>
      <c r="D688" s="88">
        <v>-1.7995321216479621E-4</v>
      </c>
      <c r="E688" s="87"/>
    </row>
    <row r="689" spans="1:5" ht="15" x14ac:dyDescent="0.2">
      <c r="A689" s="73">
        <v>43515</v>
      </c>
      <c r="B689" s="70">
        <v>111.14</v>
      </c>
      <c r="C689" s="85">
        <v>1663311</v>
      </c>
      <c r="D689" s="88">
        <v>-1.0785547366529702E-3</v>
      </c>
      <c r="E689" s="87"/>
    </row>
    <row r="690" spans="1:5" ht="15" x14ac:dyDescent="0.2">
      <c r="A690" s="73">
        <v>43514</v>
      </c>
      <c r="B690" s="70">
        <v>111.26</v>
      </c>
      <c r="C690" s="85">
        <v>1336861</v>
      </c>
      <c r="D690" s="88">
        <v>2.5229771129933187E-3</v>
      </c>
      <c r="E690" s="87"/>
    </row>
    <row r="691" spans="1:5" ht="15" x14ac:dyDescent="0.2">
      <c r="A691" s="73">
        <v>43511</v>
      </c>
      <c r="B691" s="70">
        <v>110.98</v>
      </c>
      <c r="C691" s="85">
        <v>2474676</v>
      </c>
      <c r="D691" s="88">
        <v>3.5454375816383665E-2</v>
      </c>
      <c r="E691" s="87"/>
    </row>
    <row r="692" spans="1:5" ht="15" x14ac:dyDescent="0.2">
      <c r="A692" s="73">
        <v>43510</v>
      </c>
      <c r="B692" s="70">
        <v>107.18</v>
      </c>
      <c r="C692" s="85">
        <v>3418594</v>
      </c>
      <c r="D692" s="88">
        <v>2.6825062272466171E-2</v>
      </c>
      <c r="E692" s="87"/>
    </row>
    <row r="693" spans="1:5" ht="15" x14ac:dyDescent="0.2">
      <c r="A693" s="73">
        <v>43509</v>
      </c>
      <c r="B693" s="70">
        <v>104.38</v>
      </c>
      <c r="C693" s="85">
        <v>1810340</v>
      </c>
      <c r="D693" s="88">
        <v>1.5567230978789537E-2</v>
      </c>
      <c r="E693" s="87"/>
    </row>
    <row r="694" spans="1:5" ht="15" x14ac:dyDescent="0.2">
      <c r="A694" s="73">
        <v>43508</v>
      </c>
      <c r="B694" s="70">
        <v>102.78</v>
      </c>
      <c r="C694" s="85">
        <v>1384956</v>
      </c>
      <c r="D694" s="88">
        <v>7.6470588235293402E-3</v>
      </c>
      <c r="E694" s="87"/>
    </row>
    <row r="695" spans="1:5" ht="15" x14ac:dyDescent="0.2">
      <c r="A695" s="73">
        <v>43507</v>
      </c>
      <c r="B695" s="70">
        <v>102</v>
      </c>
      <c r="C695" s="85">
        <v>1314998</v>
      </c>
      <c r="D695" s="88">
        <v>2.061236742045236E-2</v>
      </c>
      <c r="E695" s="87"/>
    </row>
    <row r="696" spans="1:5" ht="15" x14ac:dyDescent="0.2">
      <c r="A696" s="73">
        <v>43504</v>
      </c>
      <c r="B696" s="70">
        <v>99.94</v>
      </c>
      <c r="C696" s="85">
        <v>1262531</v>
      </c>
      <c r="D696" s="88">
        <v>1.1018731844134599E-3</v>
      </c>
      <c r="E696" s="87"/>
    </row>
    <row r="697" spans="1:5" ht="15" x14ac:dyDescent="0.2">
      <c r="A697" s="73">
        <v>43503</v>
      </c>
      <c r="B697" s="70">
        <v>99.83</v>
      </c>
      <c r="C697" s="85">
        <v>1491323</v>
      </c>
      <c r="D697" s="88">
        <v>-2.2041536050156685E-2</v>
      </c>
      <c r="E697" s="87"/>
    </row>
    <row r="698" spans="1:5" ht="15" x14ac:dyDescent="0.2">
      <c r="A698" s="73">
        <v>43502</v>
      </c>
      <c r="B698" s="70">
        <v>102.08</v>
      </c>
      <c r="C698" s="85">
        <v>892011</v>
      </c>
      <c r="D698" s="88">
        <v>7.8431372549014888E-4</v>
      </c>
      <c r="E698" s="87"/>
    </row>
    <row r="699" spans="1:5" ht="15" x14ac:dyDescent="0.2">
      <c r="A699" s="73">
        <v>43501</v>
      </c>
      <c r="B699" s="70">
        <v>102</v>
      </c>
      <c r="C699" s="85">
        <v>1373286</v>
      </c>
      <c r="D699" s="88">
        <v>5.9171597633136397E-3</v>
      </c>
      <c r="E699" s="87"/>
    </row>
    <row r="700" spans="1:5" ht="15" x14ac:dyDescent="0.2">
      <c r="A700" s="73">
        <v>43500</v>
      </c>
      <c r="B700" s="70">
        <v>101.4</v>
      </c>
      <c r="C700" s="85">
        <v>986555</v>
      </c>
      <c r="D700" s="88">
        <v>2.7689873417722222E-3</v>
      </c>
      <c r="E700" s="87"/>
    </row>
    <row r="701" spans="1:5" ht="15" x14ac:dyDescent="0.2">
      <c r="A701" s="73">
        <v>43497</v>
      </c>
      <c r="B701" s="70">
        <v>101.12</v>
      </c>
      <c r="C701" s="85">
        <v>1587528</v>
      </c>
      <c r="D701" s="88">
        <v>8.9802434643784235E-3</v>
      </c>
      <c r="E701" s="87"/>
    </row>
    <row r="702" spans="1:5" ht="15" x14ac:dyDescent="0.2">
      <c r="A702" s="73">
        <v>43496</v>
      </c>
      <c r="B702" s="70">
        <v>100.22</v>
      </c>
      <c r="C702" s="85">
        <v>2125869</v>
      </c>
      <c r="D702" s="88">
        <v>1.2323232323232292E-2</v>
      </c>
      <c r="E702" s="87"/>
    </row>
    <row r="703" spans="1:5" ht="15" x14ac:dyDescent="0.2">
      <c r="A703" s="73">
        <v>43495</v>
      </c>
      <c r="B703" s="70">
        <v>99</v>
      </c>
      <c r="C703" s="85">
        <v>2213713</v>
      </c>
      <c r="D703" s="88">
        <v>3.0713170223841679E-2</v>
      </c>
      <c r="E703" s="87"/>
    </row>
    <row r="704" spans="1:5" ht="15" x14ac:dyDescent="0.2">
      <c r="A704" s="73">
        <v>43494</v>
      </c>
      <c r="B704" s="70">
        <v>96.05</v>
      </c>
      <c r="C704" s="85">
        <v>919305</v>
      </c>
      <c r="D704" s="88">
        <v>6.6023894361768587E-3</v>
      </c>
      <c r="E704" s="87"/>
    </row>
    <row r="705" spans="1:7" ht="15" x14ac:dyDescent="0.2">
      <c r="A705" s="73">
        <v>43493</v>
      </c>
      <c r="B705" s="70">
        <v>95.42</v>
      </c>
      <c r="C705" s="85">
        <v>986063</v>
      </c>
      <c r="D705" s="88">
        <v>-1.1294166407626149E-2</v>
      </c>
      <c r="E705" s="87"/>
    </row>
    <row r="706" spans="1:7" ht="15" x14ac:dyDescent="0.2">
      <c r="A706" s="73">
        <v>43490</v>
      </c>
      <c r="B706" s="70">
        <v>96.51</v>
      </c>
      <c r="C706" s="85">
        <v>1575939</v>
      </c>
      <c r="D706" s="88">
        <v>6.1509591326105451E-3</v>
      </c>
      <c r="E706" s="87"/>
    </row>
    <row r="707" spans="1:7" ht="15" x14ac:dyDescent="0.2">
      <c r="A707" s="73">
        <v>43489</v>
      </c>
      <c r="B707" s="70">
        <v>95.92</v>
      </c>
      <c r="C707" s="85">
        <v>1534265</v>
      </c>
      <c r="D707" s="88">
        <v>2.2492271612834402E-2</v>
      </c>
      <c r="E707" s="87"/>
    </row>
    <row r="708" spans="1:7" ht="15" x14ac:dyDescent="0.2">
      <c r="A708" s="73">
        <v>43488</v>
      </c>
      <c r="B708" s="70">
        <v>93.81</v>
      </c>
      <c r="C708" s="85">
        <v>1313183</v>
      </c>
      <c r="D708" s="88">
        <v>-9.9208443271767699E-3</v>
      </c>
      <c r="E708" s="87"/>
    </row>
    <row r="709" spans="1:7" ht="15" x14ac:dyDescent="0.2">
      <c r="A709" s="73">
        <v>43487</v>
      </c>
      <c r="B709" s="70">
        <v>94.75</v>
      </c>
      <c r="C709" s="85">
        <v>1284328</v>
      </c>
      <c r="D709" s="88">
        <v>2.6455026455025621E-3</v>
      </c>
      <c r="E709" s="87"/>
    </row>
    <row r="710" spans="1:7" ht="15" x14ac:dyDescent="0.2">
      <c r="A710" s="73">
        <v>43486</v>
      </c>
      <c r="B710" s="70">
        <v>94.5</v>
      </c>
      <c r="C710" s="85">
        <v>735952</v>
      </c>
      <c r="D710" s="88">
        <v>8.9686098654708779E-3</v>
      </c>
      <c r="E710" s="67"/>
      <c r="F710" s="67"/>
      <c r="G710" s="67"/>
    </row>
    <row r="711" spans="1:7" ht="15" x14ac:dyDescent="0.2">
      <c r="A711" s="73">
        <v>43483</v>
      </c>
      <c r="B711" s="70">
        <v>93.66</v>
      </c>
      <c r="C711" s="85">
        <v>1498962</v>
      </c>
      <c r="D711" s="88">
        <v>2.0706190061028584E-2</v>
      </c>
      <c r="E711" s="67"/>
      <c r="F711" s="67"/>
      <c r="G711" s="67"/>
    </row>
    <row r="712" spans="1:7" ht="15" x14ac:dyDescent="0.2">
      <c r="A712" s="73">
        <v>43482</v>
      </c>
      <c r="B712" s="70">
        <v>91.76</v>
      </c>
      <c r="C712" s="85">
        <v>1196890</v>
      </c>
      <c r="D712" s="88">
        <v>-8.4287875513291421E-3</v>
      </c>
      <c r="E712" s="67"/>
      <c r="F712" s="67"/>
      <c r="G712" s="67"/>
    </row>
    <row r="713" spans="1:7" ht="15" x14ac:dyDescent="0.2">
      <c r="A713" s="73">
        <v>43481</v>
      </c>
      <c r="B713" s="70">
        <v>92.54</v>
      </c>
      <c r="C713" s="85">
        <v>1383158</v>
      </c>
      <c r="D713" s="88">
        <v>2.491604376557266E-3</v>
      </c>
      <c r="E713" s="67"/>
      <c r="F713" s="67"/>
      <c r="G713" s="67"/>
    </row>
    <row r="714" spans="1:7" ht="15" x14ac:dyDescent="0.2">
      <c r="A714" s="73">
        <v>43480</v>
      </c>
      <c r="B714" s="70">
        <v>92.31</v>
      </c>
      <c r="C714" s="85">
        <v>1870631</v>
      </c>
      <c r="D714" s="88">
        <v>2.6693360026693425E-2</v>
      </c>
      <c r="E714" s="67"/>
      <c r="F714" s="67"/>
      <c r="G714" s="67"/>
    </row>
    <row r="715" spans="1:7" ht="15" x14ac:dyDescent="0.2">
      <c r="A715" s="73">
        <v>43479</v>
      </c>
      <c r="B715" s="70">
        <v>89.91</v>
      </c>
      <c r="C715" s="85">
        <v>1339132</v>
      </c>
      <c r="D715" s="88">
        <v>1.731160896130346E-2</v>
      </c>
      <c r="E715" s="67"/>
      <c r="F715" s="67"/>
      <c r="G715" s="67"/>
    </row>
    <row r="716" spans="1:7" ht="15" x14ac:dyDescent="0.2">
      <c r="A716" s="73">
        <v>43476</v>
      </c>
      <c r="B716" s="70">
        <v>88.38</v>
      </c>
      <c r="C716" s="85">
        <v>1184652</v>
      </c>
      <c r="D716" s="88">
        <v>-1.3726146635420156E-2</v>
      </c>
      <c r="E716" s="67"/>
      <c r="F716" s="67"/>
      <c r="G716" s="67"/>
    </row>
    <row r="717" spans="1:7" ht="15" x14ac:dyDescent="0.2">
      <c r="A717" s="73">
        <v>43475</v>
      </c>
      <c r="B717" s="70">
        <v>89.61</v>
      </c>
      <c r="C717" s="85">
        <v>1321653</v>
      </c>
      <c r="D717" s="88">
        <v>-7.8055307760938053E-4</v>
      </c>
      <c r="E717" s="67"/>
      <c r="F717" s="67"/>
      <c r="G717" s="67"/>
    </row>
    <row r="718" spans="1:7" ht="15" x14ac:dyDescent="0.2">
      <c r="A718" s="73">
        <v>43474</v>
      </c>
      <c r="B718" s="70">
        <v>89.68</v>
      </c>
      <c r="C718" s="85">
        <v>2365398</v>
      </c>
      <c r="D718" s="88">
        <v>3.4968263127524546E-2</v>
      </c>
      <c r="E718" s="67"/>
      <c r="F718" s="67"/>
      <c r="G718" s="67"/>
    </row>
    <row r="719" spans="1:7" ht="15" x14ac:dyDescent="0.2">
      <c r="A719" s="73">
        <v>43473</v>
      </c>
      <c r="B719" s="70">
        <v>86.65</v>
      </c>
      <c r="C719" s="85">
        <v>2533915</v>
      </c>
      <c r="D719" s="88">
        <v>3.6979415988511288E-2</v>
      </c>
      <c r="E719" s="67"/>
      <c r="F719" s="67"/>
      <c r="G719" s="67"/>
    </row>
    <row r="720" spans="1:7" ht="15" x14ac:dyDescent="0.2">
      <c r="A720" s="73">
        <v>43472</v>
      </c>
      <c r="B720" s="70">
        <v>83.56</v>
      </c>
      <c r="C720" s="85">
        <v>1428948</v>
      </c>
      <c r="D720" s="88">
        <v>-1.8327067669172914E-2</v>
      </c>
      <c r="E720" s="67"/>
      <c r="F720" s="67"/>
      <c r="G720" s="67"/>
    </row>
    <row r="721" spans="1:7" ht="15" x14ac:dyDescent="0.2">
      <c r="A721" s="73">
        <v>43469</v>
      </c>
      <c r="B721" s="70">
        <v>85.12</v>
      </c>
      <c r="C721" s="85">
        <v>2006859</v>
      </c>
      <c r="D721" s="88">
        <v>4.8146779953207819E-2</v>
      </c>
      <c r="E721" s="67"/>
      <c r="F721" s="67"/>
      <c r="G721" s="67"/>
    </row>
    <row r="722" spans="1:7" ht="15" x14ac:dyDescent="0.2">
      <c r="A722" s="73">
        <v>43468</v>
      </c>
      <c r="B722" s="70">
        <v>81.209999999999994</v>
      </c>
      <c r="C722" s="85">
        <v>1964509</v>
      </c>
      <c r="D722" s="88">
        <v>-3.5166924082214668E-2</v>
      </c>
      <c r="E722" s="67"/>
      <c r="F722" s="67"/>
      <c r="G722" s="67"/>
    </row>
    <row r="723" spans="1:7" ht="15" x14ac:dyDescent="0.2">
      <c r="A723" s="73">
        <v>43467</v>
      </c>
      <c r="B723" s="70">
        <v>84.17</v>
      </c>
      <c r="C723" s="85">
        <v>1483033</v>
      </c>
      <c r="D723" s="88">
        <v>2.5011910433541118E-3</v>
      </c>
      <c r="E723" s="67"/>
      <c r="F723" s="67"/>
      <c r="G723" s="67"/>
    </row>
    <row r="724" spans="1:7" ht="15" x14ac:dyDescent="0.2">
      <c r="A724" s="76">
        <v>43465</v>
      </c>
      <c r="B724" s="77">
        <v>83.96</v>
      </c>
      <c r="C724" s="86">
        <v>426473</v>
      </c>
      <c r="D724" s="89">
        <v>2.3877745940781292E-3</v>
      </c>
      <c r="E724" s="79"/>
      <c r="F724" s="79"/>
      <c r="G724" s="78" t="e">
        <v>#REF!</v>
      </c>
    </row>
    <row r="725" spans="1:7" ht="15" x14ac:dyDescent="0.2">
      <c r="A725" s="73">
        <v>43462</v>
      </c>
      <c r="B725" s="70">
        <v>83.76</v>
      </c>
      <c r="C725" s="85">
        <v>1257945</v>
      </c>
      <c r="D725" s="88">
        <v>2.0219244823386218E-2</v>
      </c>
      <c r="E725" s="67"/>
      <c r="F725" s="67"/>
      <c r="G725" s="67"/>
    </row>
    <row r="726" spans="1:7" ht="15" x14ac:dyDescent="0.2">
      <c r="A726" s="73">
        <v>43461</v>
      </c>
      <c r="B726" s="70">
        <v>82.1</v>
      </c>
      <c r="C726" s="85">
        <v>1611466</v>
      </c>
      <c r="D726" s="88">
        <v>5.7576871248314898E-3</v>
      </c>
      <c r="E726" s="87"/>
    </row>
    <row r="727" spans="1:7" ht="15" x14ac:dyDescent="0.2">
      <c r="A727" s="73">
        <v>43458</v>
      </c>
      <c r="B727" s="70">
        <v>81.63</v>
      </c>
      <c r="C727" s="85">
        <v>392591</v>
      </c>
      <c r="D727" s="88">
        <v>-1.7689530685920607E-2</v>
      </c>
      <c r="E727" s="87"/>
    </row>
    <row r="728" spans="1:7" ht="15" x14ac:dyDescent="0.2">
      <c r="A728" s="73">
        <v>43455</v>
      </c>
      <c r="B728" s="70">
        <v>83.1</v>
      </c>
      <c r="C728" s="85">
        <v>3670837</v>
      </c>
      <c r="D728" s="88">
        <v>-2.7601104044162605E-3</v>
      </c>
      <c r="E728" s="87"/>
    </row>
    <row r="729" spans="1:7" ht="15" x14ac:dyDescent="0.2">
      <c r="A729" s="73">
        <v>43454</v>
      </c>
      <c r="B729" s="70">
        <v>83.33</v>
      </c>
      <c r="C729" s="85">
        <v>3558647</v>
      </c>
      <c r="D729" s="88">
        <v>-4.4380733944954232E-2</v>
      </c>
      <c r="E729" s="87"/>
    </row>
    <row r="730" spans="1:7" ht="15" x14ac:dyDescent="0.2">
      <c r="A730" s="73">
        <v>43453</v>
      </c>
      <c r="B730" s="70">
        <v>87.2</v>
      </c>
      <c r="C730" s="85">
        <v>1731218</v>
      </c>
      <c r="D730" s="88">
        <v>-1.6356457980823524E-2</v>
      </c>
      <c r="E730" s="87"/>
    </row>
    <row r="731" spans="1:7" ht="15" x14ac:dyDescent="0.2">
      <c r="A731" s="73">
        <v>43452</v>
      </c>
      <c r="B731" s="70">
        <v>88.65</v>
      </c>
      <c r="C731" s="85">
        <v>1654569</v>
      </c>
      <c r="D731" s="88">
        <v>1.1409013120365019E-2</v>
      </c>
      <c r="E731" s="87"/>
    </row>
    <row r="732" spans="1:7" ht="15" x14ac:dyDescent="0.2">
      <c r="A732" s="73">
        <v>43451</v>
      </c>
      <c r="B732" s="70">
        <v>87.65</v>
      </c>
      <c r="C732" s="85">
        <v>1316386</v>
      </c>
      <c r="D732" s="88">
        <v>-1.1503326942596148E-2</v>
      </c>
      <c r="E732" s="87"/>
    </row>
    <row r="733" spans="1:7" ht="15" x14ac:dyDescent="0.2">
      <c r="A733" s="73">
        <v>43448</v>
      </c>
      <c r="B733" s="70">
        <v>88.67</v>
      </c>
      <c r="C733" s="85">
        <v>2106031</v>
      </c>
      <c r="D733" s="88">
        <v>-1.4449260864732638E-2</v>
      </c>
      <c r="E733" s="87"/>
    </row>
    <row r="734" spans="1:7" ht="15" x14ac:dyDescent="0.2">
      <c r="A734" s="73">
        <v>43447</v>
      </c>
      <c r="B734" s="70">
        <v>89.97</v>
      </c>
      <c r="C734" s="85">
        <v>1739620</v>
      </c>
      <c r="D734" s="88">
        <v>-1.6506340183646717E-2</v>
      </c>
      <c r="E734" s="87"/>
    </row>
    <row r="735" spans="1:7" ht="15" x14ac:dyDescent="0.2">
      <c r="A735" s="73">
        <v>43446</v>
      </c>
      <c r="B735" s="70">
        <v>91.48</v>
      </c>
      <c r="C735" s="85">
        <v>2067671</v>
      </c>
      <c r="D735" s="88">
        <v>3.2505643340857926E-2</v>
      </c>
      <c r="E735" s="87"/>
    </row>
    <row r="736" spans="1:7" ht="15" x14ac:dyDescent="0.2">
      <c r="A736" s="73">
        <v>43445</v>
      </c>
      <c r="B736" s="70">
        <v>88.6</v>
      </c>
      <c r="C736" s="85">
        <v>1605717</v>
      </c>
      <c r="D736" s="88">
        <v>1.2687164247342508E-2</v>
      </c>
      <c r="E736" s="87"/>
    </row>
    <row r="737" spans="1:5" ht="15" x14ac:dyDescent="0.2">
      <c r="A737" s="73">
        <v>43444</v>
      </c>
      <c r="B737" s="70">
        <v>87.49</v>
      </c>
      <c r="C737" s="85">
        <v>1787443</v>
      </c>
      <c r="D737" s="88">
        <v>-1.7738857078702153E-2</v>
      </c>
      <c r="E737" s="87"/>
    </row>
    <row r="738" spans="1:5" ht="15" x14ac:dyDescent="0.2">
      <c r="A738" s="73">
        <v>43441</v>
      </c>
      <c r="B738" s="70">
        <v>89.07</v>
      </c>
      <c r="C738" s="85">
        <v>1517734</v>
      </c>
      <c r="D738" s="88">
        <v>4.8510830324908216E-3</v>
      </c>
      <c r="E738" s="87"/>
    </row>
    <row r="739" spans="1:5" ht="15" x14ac:dyDescent="0.2">
      <c r="A739" s="73">
        <v>43440</v>
      </c>
      <c r="B739" s="70">
        <v>88.64</v>
      </c>
      <c r="C739" s="85">
        <v>2054120</v>
      </c>
      <c r="D739" s="88">
        <v>-3.9757339399848379E-2</v>
      </c>
      <c r="E739" s="87"/>
    </row>
    <row r="740" spans="1:5" ht="15" x14ac:dyDescent="0.2">
      <c r="A740" s="73">
        <v>43439</v>
      </c>
      <c r="B740" s="70">
        <v>92.31</v>
      </c>
      <c r="C740" s="85">
        <v>1192729</v>
      </c>
      <c r="D740" s="88">
        <v>-2.0791344011880653E-2</v>
      </c>
      <c r="E740" s="87"/>
    </row>
    <row r="741" spans="1:5" ht="15" x14ac:dyDescent="0.2">
      <c r="A741" s="73">
        <v>43438</v>
      </c>
      <c r="B741" s="70">
        <v>94.27</v>
      </c>
      <c r="C741" s="85">
        <v>1354279</v>
      </c>
      <c r="D741" s="88">
        <v>-1.4942528735632288E-2</v>
      </c>
      <c r="E741" s="87"/>
    </row>
    <row r="742" spans="1:5" ht="15" x14ac:dyDescent="0.2">
      <c r="A742" s="73">
        <v>43437</v>
      </c>
      <c r="B742" s="70">
        <v>95.7</v>
      </c>
      <c r="C742" s="85">
        <v>1246570</v>
      </c>
      <c r="D742" s="88">
        <v>1.1414077362079889E-2</v>
      </c>
      <c r="E742" s="87"/>
    </row>
    <row r="743" spans="1:5" ht="15" x14ac:dyDescent="0.2">
      <c r="A743" s="73">
        <v>43434</v>
      </c>
      <c r="B743" s="70">
        <v>94.62</v>
      </c>
      <c r="C743" s="85">
        <v>1370144</v>
      </c>
      <c r="D743" s="88">
        <v>-2.5300442757747454E-3</v>
      </c>
      <c r="E743" s="87"/>
    </row>
    <row r="744" spans="1:5" ht="15" x14ac:dyDescent="0.2">
      <c r="A744" s="73">
        <v>43433</v>
      </c>
      <c r="B744" s="70">
        <v>94.86</v>
      </c>
      <c r="C744" s="85">
        <v>1819874</v>
      </c>
      <c r="D744" s="88">
        <v>1.4545454545454639E-2</v>
      </c>
      <c r="E744" s="87"/>
    </row>
    <row r="745" spans="1:5" ht="15" x14ac:dyDescent="0.2">
      <c r="A745" s="73">
        <v>43432</v>
      </c>
      <c r="B745" s="70">
        <v>93.5</v>
      </c>
      <c r="C745" s="85">
        <v>1231357</v>
      </c>
      <c r="D745" s="88">
        <v>-2.1344717182497641E-3</v>
      </c>
      <c r="E745" s="87"/>
    </row>
    <row r="746" spans="1:5" ht="15" x14ac:dyDescent="0.2">
      <c r="A746" s="73">
        <v>43431</v>
      </c>
      <c r="B746" s="70">
        <v>93.7</v>
      </c>
      <c r="C746" s="85">
        <v>1306476</v>
      </c>
      <c r="D746" s="88">
        <v>1.2823252831801746E-3</v>
      </c>
      <c r="E746" s="87"/>
    </row>
    <row r="747" spans="1:5" ht="15" x14ac:dyDescent="0.2">
      <c r="A747" s="73">
        <v>43430</v>
      </c>
      <c r="B747" s="70">
        <v>93.58</v>
      </c>
      <c r="C747" s="85">
        <v>1261680</v>
      </c>
      <c r="D747" s="88">
        <v>1.8199336259501209E-3</v>
      </c>
      <c r="E747" s="87"/>
    </row>
    <row r="748" spans="1:5" ht="15" x14ac:dyDescent="0.2">
      <c r="A748" s="73">
        <v>43427</v>
      </c>
      <c r="B748" s="70">
        <v>93.41</v>
      </c>
      <c r="C748" s="85">
        <v>901392</v>
      </c>
      <c r="D748" s="88">
        <v>1.1697173183147447E-2</v>
      </c>
      <c r="E748" s="87"/>
    </row>
    <row r="749" spans="1:5" ht="15" x14ac:dyDescent="0.2">
      <c r="A749" s="73">
        <v>43426</v>
      </c>
      <c r="B749" s="70">
        <v>92.33</v>
      </c>
      <c r="C749" s="85">
        <v>791079</v>
      </c>
      <c r="D749" s="88">
        <v>-9.0157776108189536E-3</v>
      </c>
      <c r="E749" s="87"/>
    </row>
    <row r="750" spans="1:5" ht="15" x14ac:dyDescent="0.2">
      <c r="A750" s="73">
        <v>43425</v>
      </c>
      <c r="B750" s="70">
        <v>93.17</v>
      </c>
      <c r="C750" s="85">
        <v>1473760</v>
      </c>
      <c r="D750" s="88">
        <v>2.3059185242121583E-2</v>
      </c>
      <c r="E750" s="87"/>
    </row>
    <row r="751" spans="1:5" ht="15" x14ac:dyDescent="0.2">
      <c r="A751" s="73">
        <v>43424</v>
      </c>
      <c r="B751" s="70">
        <v>91.07</v>
      </c>
      <c r="C751" s="85">
        <v>1772439</v>
      </c>
      <c r="D751" s="88">
        <v>-1.6203953764718615E-2</v>
      </c>
      <c r="E751" s="87"/>
    </row>
    <row r="752" spans="1:5" ht="15" x14ac:dyDescent="0.2">
      <c r="A752" s="73">
        <v>43423</v>
      </c>
      <c r="B752" s="70">
        <v>92.57</v>
      </c>
      <c r="C752" s="85">
        <v>1260960</v>
      </c>
      <c r="D752" s="88">
        <v>-3.4449348692001669E-3</v>
      </c>
      <c r="E752" s="87"/>
    </row>
    <row r="753" spans="1:5" ht="15" x14ac:dyDescent="0.2">
      <c r="A753" s="73">
        <v>43420</v>
      </c>
      <c r="B753" s="70">
        <v>92.89</v>
      </c>
      <c r="C753" s="85">
        <v>1497327</v>
      </c>
      <c r="D753" s="88">
        <v>-1.0334540805454928E-2</v>
      </c>
      <c r="E753" s="87"/>
    </row>
    <row r="754" spans="1:5" ht="15" x14ac:dyDescent="0.2">
      <c r="A754" s="73">
        <v>43419</v>
      </c>
      <c r="B754" s="70">
        <v>93.86</v>
      </c>
      <c r="C754" s="85">
        <v>1396280</v>
      </c>
      <c r="D754" s="88">
        <v>-1.7481419449387636E-2</v>
      </c>
      <c r="E754" s="87"/>
    </row>
    <row r="755" spans="1:5" ht="15" x14ac:dyDescent="0.2">
      <c r="A755" s="73">
        <v>43418</v>
      </c>
      <c r="B755" s="70">
        <v>95.53</v>
      </c>
      <c r="C755" s="85">
        <v>1460615</v>
      </c>
      <c r="D755" s="88">
        <v>-9.2304501140841877E-3</v>
      </c>
      <c r="E755" s="87"/>
    </row>
    <row r="756" spans="1:5" ht="15" x14ac:dyDescent="0.2">
      <c r="A756" s="73">
        <v>43417</v>
      </c>
      <c r="B756" s="70">
        <v>96.42</v>
      </c>
      <c r="C756" s="85">
        <v>1377906</v>
      </c>
      <c r="D756" s="88">
        <v>2.1506515520711922E-2</v>
      </c>
      <c r="E756" s="87"/>
    </row>
    <row r="757" spans="1:5" ht="15" x14ac:dyDescent="0.2">
      <c r="A757" s="73">
        <v>43416</v>
      </c>
      <c r="B757" s="70">
        <v>94.39</v>
      </c>
      <c r="C757" s="85">
        <v>973198</v>
      </c>
      <c r="D757" s="88">
        <v>-3.0629488804394533E-3</v>
      </c>
      <c r="E757" s="87"/>
    </row>
    <row r="758" spans="1:5" ht="15" x14ac:dyDescent="0.2">
      <c r="A758" s="73">
        <v>43413</v>
      </c>
      <c r="B758" s="70">
        <v>94.68</v>
      </c>
      <c r="C758" s="85">
        <v>1236728</v>
      </c>
      <c r="D758" s="88">
        <v>-1.0141139571353874E-2</v>
      </c>
      <c r="E758" s="87"/>
    </row>
    <row r="759" spans="1:5" ht="15" x14ac:dyDescent="0.2">
      <c r="A759" s="73">
        <v>43412</v>
      </c>
      <c r="B759" s="70">
        <v>95.65</v>
      </c>
      <c r="C759" s="85">
        <v>1182886</v>
      </c>
      <c r="D759" s="88">
        <v>-4.5790404828806031E-3</v>
      </c>
      <c r="E759" s="87"/>
    </row>
    <row r="760" spans="1:5" ht="15" x14ac:dyDescent="0.2">
      <c r="A760" s="73">
        <v>43411</v>
      </c>
      <c r="B760" s="70">
        <v>96.09</v>
      </c>
      <c r="C760" s="85">
        <v>1152082</v>
      </c>
      <c r="D760" s="88">
        <v>2.503912363067462E-3</v>
      </c>
      <c r="E760" s="87"/>
    </row>
    <row r="761" spans="1:5" ht="15" x14ac:dyDescent="0.2">
      <c r="A761" s="73">
        <v>43410</v>
      </c>
      <c r="B761" s="70">
        <v>95.85</v>
      </c>
      <c r="C761" s="85">
        <v>1340977</v>
      </c>
      <c r="D761" s="88">
        <v>4.9276577898931251E-3</v>
      </c>
      <c r="E761" s="87"/>
    </row>
    <row r="762" spans="1:5" ht="15" x14ac:dyDescent="0.2">
      <c r="A762" s="73">
        <v>43409</v>
      </c>
      <c r="B762" s="70">
        <v>95.38</v>
      </c>
      <c r="C762" s="85">
        <v>1217718</v>
      </c>
      <c r="D762" s="88">
        <v>-2.4056061081477731E-3</v>
      </c>
      <c r="E762" s="87"/>
    </row>
    <row r="763" spans="1:5" ht="15" x14ac:dyDescent="0.2">
      <c r="A763" s="73">
        <v>43406</v>
      </c>
      <c r="B763" s="70">
        <v>95.61</v>
      </c>
      <c r="C763" s="85">
        <v>1694118</v>
      </c>
      <c r="D763" s="88">
        <v>-9.2227979274611682E-3</v>
      </c>
      <c r="E763" s="87"/>
    </row>
    <row r="764" spans="1:5" ht="15" x14ac:dyDescent="0.2">
      <c r="A764" s="73">
        <v>43405</v>
      </c>
      <c r="B764" s="70">
        <v>96.5</v>
      </c>
      <c r="C764" s="85">
        <v>1878563</v>
      </c>
      <c r="D764" s="88">
        <v>-1.2383584075324916E-2</v>
      </c>
      <c r="E764" s="87"/>
    </row>
    <row r="765" spans="1:5" ht="15" x14ac:dyDescent="0.2">
      <c r="A765" s="73">
        <v>43404</v>
      </c>
      <c r="B765" s="70">
        <v>97.71</v>
      </c>
      <c r="C765" s="85">
        <v>3915169</v>
      </c>
      <c r="D765" s="88">
        <v>4.0575079872204434E-2</v>
      </c>
      <c r="E765" s="87"/>
    </row>
    <row r="766" spans="1:5" ht="15" x14ac:dyDescent="0.2">
      <c r="A766" s="73">
        <v>43403</v>
      </c>
      <c r="B766" s="70">
        <v>93.9</v>
      </c>
      <c r="C766" s="85">
        <v>2644992</v>
      </c>
      <c r="D766" s="88">
        <v>-2.0139830950641646E-2</v>
      </c>
      <c r="E766" s="87"/>
    </row>
    <row r="767" spans="1:5" ht="15" x14ac:dyDescent="0.2">
      <c r="A767" s="73">
        <v>43402</v>
      </c>
      <c r="B767" s="70">
        <v>95.83</v>
      </c>
      <c r="C767" s="85">
        <v>1467805</v>
      </c>
      <c r="D767" s="88">
        <v>-3.3281331253250945E-3</v>
      </c>
      <c r="E767" s="87"/>
    </row>
    <row r="768" spans="1:5" ht="15" x14ac:dyDescent="0.2">
      <c r="A768" s="73">
        <v>43399</v>
      </c>
      <c r="B768" s="70">
        <v>96.15</v>
      </c>
      <c r="C768" s="85">
        <v>3184210</v>
      </c>
      <c r="D768" s="88">
        <v>-1.8276495813763449E-2</v>
      </c>
      <c r="E768" s="87"/>
    </row>
    <row r="769" spans="1:5" ht="15" x14ac:dyDescent="0.2">
      <c r="A769" s="73">
        <v>43398</v>
      </c>
      <c r="B769" s="70">
        <v>97.94</v>
      </c>
      <c r="C769" s="85">
        <v>2271247</v>
      </c>
      <c r="D769" s="88">
        <v>2.7594166404364628E-2</v>
      </c>
      <c r="E769" s="87"/>
    </row>
    <row r="770" spans="1:5" ht="15" x14ac:dyDescent="0.2">
      <c r="A770" s="73">
        <v>43397</v>
      </c>
      <c r="B770" s="70">
        <v>95.31</v>
      </c>
      <c r="C770" s="85">
        <v>2651513</v>
      </c>
      <c r="D770" s="88">
        <v>1.2428298279158811E-2</v>
      </c>
      <c r="E770" s="87"/>
    </row>
    <row r="771" spans="1:5" ht="15" x14ac:dyDescent="0.2">
      <c r="A771" s="73">
        <v>43396</v>
      </c>
      <c r="B771" s="70">
        <v>94.14</v>
      </c>
      <c r="C771" s="85">
        <v>2542403</v>
      </c>
      <c r="D771" s="88">
        <v>-2.2531408991797286E-2</v>
      </c>
      <c r="E771" s="87"/>
    </row>
    <row r="772" spans="1:5" ht="15" x14ac:dyDescent="0.2">
      <c r="A772" s="73">
        <v>43395</v>
      </c>
      <c r="B772" s="70">
        <v>96.31</v>
      </c>
      <c r="C772" s="85">
        <v>1441080</v>
      </c>
      <c r="D772" s="88">
        <v>-1.674323634507402E-2</v>
      </c>
      <c r="E772" s="87"/>
    </row>
    <row r="773" spans="1:5" ht="15" x14ac:dyDescent="0.2">
      <c r="A773" s="73">
        <v>43392</v>
      </c>
      <c r="B773" s="70">
        <v>97.95</v>
      </c>
      <c r="C773" s="85">
        <v>2488856</v>
      </c>
      <c r="D773" s="88">
        <v>-1.3694491994763913E-2</v>
      </c>
      <c r="E773" s="87"/>
    </row>
    <row r="774" spans="1:5" ht="15" x14ac:dyDescent="0.2">
      <c r="A774" s="73">
        <v>43391</v>
      </c>
      <c r="B774" s="70">
        <v>99.31</v>
      </c>
      <c r="C774" s="85">
        <v>1630849</v>
      </c>
      <c r="D774" s="88">
        <v>-1.5367836605195251E-2</v>
      </c>
      <c r="E774" s="87"/>
    </row>
    <row r="775" spans="1:5" ht="15" x14ac:dyDescent="0.2">
      <c r="A775" s="73">
        <v>43390</v>
      </c>
      <c r="B775" s="70">
        <v>100.86</v>
      </c>
      <c r="C775" s="85">
        <v>1286634</v>
      </c>
      <c r="D775" s="88">
        <v>-8.4545812033032242E-3</v>
      </c>
      <c r="E775" s="87"/>
    </row>
    <row r="776" spans="1:5" ht="15" x14ac:dyDescent="0.2">
      <c r="A776" s="73">
        <v>43389</v>
      </c>
      <c r="B776" s="70">
        <v>101.72</v>
      </c>
      <c r="C776" s="85">
        <v>1877647</v>
      </c>
      <c r="D776" s="88">
        <v>3.9975462631632652E-2</v>
      </c>
      <c r="E776" s="87"/>
    </row>
    <row r="777" spans="1:5" ht="15" x14ac:dyDescent="0.2">
      <c r="A777" s="73">
        <v>43388</v>
      </c>
      <c r="B777" s="70">
        <v>97.81</v>
      </c>
      <c r="C777" s="85">
        <v>1822785</v>
      </c>
      <c r="D777" s="88">
        <v>-2.4436465190504686E-2</v>
      </c>
      <c r="E777" s="87"/>
    </row>
    <row r="778" spans="1:5" ht="15" x14ac:dyDescent="0.2">
      <c r="A778" s="73">
        <v>43385</v>
      </c>
      <c r="B778" s="70">
        <v>100.26</v>
      </c>
      <c r="C778" s="85">
        <v>2510746</v>
      </c>
      <c r="D778" s="88">
        <v>3.0103770677078145E-2</v>
      </c>
      <c r="E778" s="87"/>
    </row>
    <row r="779" spans="1:5" ht="15" x14ac:dyDescent="0.2">
      <c r="A779" s="73">
        <v>43384</v>
      </c>
      <c r="B779" s="70">
        <v>97.33</v>
      </c>
      <c r="C779" s="85">
        <v>3507915</v>
      </c>
      <c r="D779" s="88">
        <v>-1.676937064349926E-2</v>
      </c>
      <c r="E779" s="87"/>
    </row>
    <row r="780" spans="1:5" ht="15" x14ac:dyDescent="0.2">
      <c r="A780" s="73">
        <v>43383</v>
      </c>
      <c r="B780" s="70">
        <v>98.99</v>
      </c>
      <c r="C780" s="85">
        <v>1831247</v>
      </c>
      <c r="D780" s="88">
        <v>-3.4243902439024421E-2</v>
      </c>
      <c r="E780" s="87"/>
    </row>
    <row r="781" spans="1:5" ht="15" x14ac:dyDescent="0.2">
      <c r="A781" s="73">
        <v>43382</v>
      </c>
      <c r="B781" s="70">
        <v>102.5</v>
      </c>
      <c r="C781" s="85">
        <v>1306812</v>
      </c>
      <c r="D781" s="88">
        <v>-1.0808724184520391E-2</v>
      </c>
      <c r="E781" s="87"/>
    </row>
    <row r="782" spans="1:5" ht="15" x14ac:dyDescent="0.2">
      <c r="A782" s="73">
        <v>43381</v>
      </c>
      <c r="B782" s="70">
        <v>103.62</v>
      </c>
      <c r="C782" s="85">
        <v>1659963</v>
      </c>
      <c r="D782" s="88">
        <v>-3.6538461538461187E-3</v>
      </c>
      <c r="E782" s="87"/>
    </row>
    <row r="783" spans="1:5" ht="15" x14ac:dyDescent="0.2">
      <c r="A783" s="73">
        <v>43378</v>
      </c>
      <c r="B783" s="70">
        <v>104</v>
      </c>
      <c r="C783" s="85">
        <v>1067060</v>
      </c>
      <c r="D783" s="88">
        <v>-1.1970359110773376E-2</v>
      </c>
      <c r="E783" s="87"/>
    </row>
    <row r="784" spans="1:5" ht="15" x14ac:dyDescent="0.2">
      <c r="A784" s="73">
        <v>43377</v>
      </c>
      <c r="B784" s="70">
        <v>105.26</v>
      </c>
      <c r="C784" s="85">
        <v>1429096</v>
      </c>
      <c r="D784" s="88">
        <v>-1.6813002054922421E-2</v>
      </c>
      <c r="E784" s="87"/>
    </row>
    <row r="785" spans="1:5" ht="15" x14ac:dyDescent="0.2">
      <c r="A785" s="73">
        <v>43376</v>
      </c>
      <c r="B785" s="70">
        <v>107.06</v>
      </c>
      <c r="C785" s="85">
        <v>1167252</v>
      </c>
      <c r="D785" s="88">
        <v>1.3058289174867399E-2</v>
      </c>
      <c r="E785" s="87"/>
    </row>
    <row r="786" spans="1:5" ht="15" x14ac:dyDescent="0.2">
      <c r="A786" s="73">
        <v>43375</v>
      </c>
      <c r="B786" s="70">
        <v>105.68</v>
      </c>
      <c r="C786" s="85">
        <v>1403390</v>
      </c>
      <c r="D786" s="88">
        <v>-1.6014897579143428E-2</v>
      </c>
      <c r="E786" s="87"/>
    </row>
    <row r="787" spans="1:5" ht="15" x14ac:dyDescent="0.2">
      <c r="A787" s="73">
        <v>43374</v>
      </c>
      <c r="B787" s="70">
        <v>107.4</v>
      </c>
      <c r="C787" s="85">
        <v>824742</v>
      </c>
      <c r="D787" s="88">
        <v>-7.2102052135329942E-3</v>
      </c>
      <c r="E787" s="87"/>
    </row>
    <row r="788" spans="1:5" ht="15" x14ac:dyDescent="0.2">
      <c r="A788" s="73">
        <v>43371</v>
      </c>
      <c r="B788" s="70">
        <v>108.18</v>
      </c>
      <c r="C788" s="85">
        <v>1341147</v>
      </c>
      <c r="D788" s="88">
        <v>-6.6115702479339067E-3</v>
      </c>
      <c r="E788" s="87"/>
    </row>
    <row r="789" spans="1:5" ht="15" x14ac:dyDescent="0.2">
      <c r="A789" s="73">
        <v>43370</v>
      </c>
      <c r="B789" s="70">
        <v>108.9</v>
      </c>
      <c r="C789" s="85">
        <v>991492</v>
      </c>
      <c r="D789" s="88">
        <v>3.8716814159291957E-3</v>
      </c>
      <c r="E789" s="87"/>
    </row>
    <row r="790" spans="1:5" ht="15" x14ac:dyDescent="0.2">
      <c r="A790" s="73">
        <v>43369</v>
      </c>
      <c r="B790" s="70">
        <v>108.48</v>
      </c>
      <c r="C790" s="85">
        <v>1980047</v>
      </c>
      <c r="D790" s="88">
        <v>3.2356299961933788E-2</v>
      </c>
      <c r="E790" s="87"/>
    </row>
    <row r="791" spans="1:5" ht="15" x14ac:dyDescent="0.2">
      <c r="A791" s="73">
        <v>43368</v>
      </c>
      <c r="B791" s="70">
        <v>105.08</v>
      </c>
      <c r="C791" s="85">
        <v>1148229</v>
      </c>
      <c r="D791" s="88">
        <v>-8.4921683336479648E-3</v>
      </c>
      <c r="E791" s="87"/>
    </row>
    <row r="792" spans="1:5" ht="15" x14ac:dyDescent="0.2">
      <c r="A792" s="73">
        <v>43367</v>
      </c>
      <c r="B792" s="70">
        <v>105.98</v>
      </c>
      <c r="C792" s="85">
        <v>914960</v>
      </c>
      <c r="D792" s="88">
        <v>-7.6779026217227431E-3</v>
      </c>
      <c r="E792" s="87"/>
    </row>
    <row r="793" spans="1:5" ht="15" x14ac:dyDescent="0.2">
      <c r="A793" s="73">
        <v>43364</v>
      </c>
      <c r="B793" s="70">
        <v>106.8</v>
      </c>
      <c r="C793" s="85">
        <v>2857242</v>
      </c>
      <c r="D793" s="88">
        <v>3.1936877700544652E-3</v>
      </c>
      <c r="E793" s="87"/>
    </row>
    <row r="794" spans="1:5" ht="15" x14ac:dyDescent="0.2">
      <c r="A794" s="73">
        <v>43363</v>
      </c>
      <c r="B794" s="70">
        <v>106.46</v>
      </c>
      <c r="C794" s="85">
        <v>1186046</v>
      </c>
      <c r="D794" s="88">
        <v>9.4020308386610907E-4</v>
      </c>
      <c r="E794" s="87"/>
    </row>
    <row r="795" spans="1:5" ht="15" x14ac:dyDescent="0.2">
      <c r="A795" s="73">
        <v>43362</v>
      </c>
      <c r="B795" s="70">
        <v>106.36</v>
      </c>
      <c r="C795" s="85">
        <v>759543</v>
      </c>
      <c r="D795" s="88">
        <v>1.3531541833428751E-2</v>
      </c>
      <c r="E795" s="87"/>
    </row>
    <row r="796" spans="1:5" ht="15" x14ac:dyDescent="0.2">
      <c r="A796" s="73">
        <v>43361</v>
      </c>
      <c r="B796" s="70">
        <v>104.94</v>
      </c>
      <c r="C796" s="85">
        <v>1107930</v>
      </c>
      <c r="D796" s="88">
        <v>-1.279397930385695E-2</v>
      </c>
      <c r="E796" s="87"/>
    </row>
    <row r="797" spans="1:5" ht="15" x14ac:dyDescent="0.2">
      <c r="A797" s="73">
        <v>43360</v>
      </c>
      <c r="B797" s="70">
        <v>106.3</v>
      </c>
      <c r="C797" s="85">
        <v>783738</v>
      </c>
      <c r="D797" s="88">
        <v>9.416195856872811E-4</v>
      </c>
      <c r="E797" s="87"/>
    </row>
    <row r="798" spans="1:5" ht="15" x14ac:dyDescent="0.2">
      <c r="A798" s="73">
        <v>43357</v>
      </c>
      <c r="B798" s="70">
        <v>106.2</v>
      </c>
      <c r="C798" s="85">
        <v>673082</v>
      </c>
      <c r="D798" s="88">
        <v>5.3010223400227208E-3</v>
      </c>
      <c r="E798" s="87"/>
    </row>
    <row r="799" spans="1:5" ht="15" x14ac:dyDescent="0.2">
      <c r="A799" s="73">
        <v>43356</v>
      </c>
      <c r="B799" s="70">
        <v>105.64</v>
      </c>
      <c r="C799" s="85">
        <v>1415024</v>
      </c>
      <c r="D799" s="88">
        <v>-9.934395501405846E-3</v>
      </c>
      <c r="E799" s="87"/>
    </row>
    <row r="800" spans="1:5" ht="15" x14ac:dyDescent="0.2">
      <c r="A800" s="73">
        <v>43355</v>
      </c>
      <c r="B800" s="70">
        <v>106.7</v>
      </c>
      <c r="C800" s="85">
        <v>839003</v>
      </c>
      <c r="D800" s="88">
        <v>-5.6200824278762607E-4</v>
      </c>
      <c r="E800" s="87"/>
    </row>
    <row r="801" spans="1:5" ht="15" x14ac:dyDescent="0.2">
      <c r="A801" s="73">
        <v>43354</v>
      </c>
      <c r="B801" s="70">
        <v>106.76</v>
      </c>
      <c r="C801" s="85">
        <v>1071759</v>
      </c>
      <c r="D801" s="88">
        <v>1.8702290076336059E-2</v>
      </c>
      <c r="E801" s="87"/>
    </row>
    <row r="802" spans="1:5" ht="15" x14ac:dyDescent="0.2">
      <c r="A802" s="73">
        <v>43353</v>
      </c>
      <c r="B802" s="70">
        <v>104.8</v>
      </c>
      <c r="C802" s="85">
        <v>766076</v>
      </c>
      <c r="D802" s="88">
        <v>-3.8153376573835107E-4</v>
      </c>
      <c r="E802" s="87"/>
    </row>
    <row r="803" spans="1:5" ht="15" x14ac:dyDescent="0.2">
      <c r="A803" s="73">
        <v>43350</v>
      </c>
      <c r="B803" s="70">
        <v>104.84</v>
      </c>
      <c r="C803" s="85">
        <v>895199</v>
      </c>
      <c r="D803" s="88">
        <v>5.3701572688915622E-3</v>
      </c>
      <c r="E803" s="87"/>
    </row>
    <row r="804" spans="1:5" ht="15" x14ac:dyDescent="0.2">
      <c r="A804" s="73">
        <v>43349</v>
      </c>
      <c r="B804" s="70">
        <v>104.28</v>
      </c>
      <c r="C804" s="85">
        <v>1308310</v>
      </c>
      <c r="D804" s="88">
        <v>1.2427184466019536E-2</v>
      </c>
      <c r="E804" s="87"/>
    </row>
    <row r="805" spans="1:5" ht="15" x14ac:dyDescent="0.2">
      <c r="A805" s="73">
        <v>43348</v>
      </c>
      <c r="B805" s="70">
        <v>103</v>
      </c>
      <c r="C805" s="85">
        <v>1386865</v>
      </c>
      <c r="D805" s="88">
        <v>-2.0540129326740209E-2</v>
      </c>
      <c r="E805" s="87"/>
    </row>
    <row r="806" spans="1:5" ht="15" x14ac:dyDescent="0.2">
      <c r="A806" s="73">
        <v>43347</v>
      </c>
      <c r="B806" s="70">
        <v>105.16</v>
      </c>
      <c r="C806" s="85">
        <v>1204594</v>
      </c>
      <c r="D806" s="88">
        <v>-2.1767441860465198E-2</v>
      </c>
      <c r="E806" s="87"/>
    </row>
    <row r="807" spans="1:5" ht="15" x14ac:dyDescent="0.2">
      <c r="A807" s="73">
        <v>43346</v>
      </c>
      <c r="B807" s="70">
        <v>107.5</v>
      </c>
      <c r="C807" s="85">
        <v>595428</v>
      </c>
      <c r="D807" s="88">
        <v>1.1669489930359545E-2</v>
      </c>
      <c r="E807" s="87"/>
    </row>
    <row r="808" spans="1:5" ht="15" x14ac:dyDescent="0.2">
      <c r="A808" s="73">
        <v>43343</v>
      </c>
      <c r="B808" s="70">
        <v>106.26</v>
      </c>
      <c r="C808" s="85">
        <v>1479511</v>
      </c>
      <c r="D808" s="88">
        <v>-2.4958708019820142E-2</v>
      </c>
      <c r="E808" s="87"/>
    </row>
    <row r="809" spans="1:5" ht="15" x14ac:dyDescent="0.2">
      <c r="A809" s="73">
        <v>43342</v>
      </c>
      <c r="B809" s="70">
        <v>108.98</v>
      </c>
      <c r="C809" s="85">
        <v>895351</v>
      </c>
      <c r="D809" s="88">
        <v>-9.8128293658004129E-3</v>
      </c>
      <c r="E809" s="87"/>
    </row>
    <row r="810" spans="1:5" ht="15" x14ac:dyDescent="0.2">
      <c r="A810" s="73">
        <v>43341</v>
      </c>
      <c r="B810" s="70">
        <v>110.06</v>
      </c>
      <c r="C810" s="85">
        <v>1146675</v>
      </c>
      <c r="D810" s="88">
        <v>1.0095447870778429E-2</v>
      </c>
      <c r="E810" s="87"/>
    </row>
    <row r="811" spans="1:5" ht="15" x14ac:dyDescent="0.2">
      <c r="A811" s="73">
        <v>43340</v>
      </c>
      <c r="B811" s="70">
        <v>108.96</v>
      </c>
      <c r="C811" s="85">
        <v>1141016</v>
      </c>
      <c r="D811" s="88">
        <v>8.8888888888887241E-3</v>
      </c>
      <c r="E811" s="87"/>
    </row>
    <row r="812" spans="1:5" ht="15" x14ac:dyDescent="0.2">
      <c r="A812" s="73">
        <v>43339</v>
      </c>
      <c r="B812" s="70">
        <v>108</v>
      </c>
      <c r="C812" s="85">
        <v>1003751</v>
      </c>
      <c r="D812" s="88">
        <v>4.6511627906977715E-3</v>
      </c>
      <c r="E812" s="87"/>
    </row>
    <row r="813" spans="1:5" ht="15" x14ac:dyDescent="0.2">
      <c r="A813" s="73">
        <v>43336</v>
      </c>
      <c r="B813" s="70">
        <v>107.5</v>
      </c>
      <c r="C813" s="85">
        <v>929551</v>
      </c>
      <c r="D813" s="88">
        <v>-2.2275849266752967E-3</v>
      </c>
      <c r="E813" s="87"/>
    </row>
    <row r="814" spans="1:5" ht="15" x14ac:dyDescent="0.2">
      <c r="A814" s="73">
        <v>43335</v>
      </c>
      <c r="B814" s="70">
        <v>107.74</v>
      </c>
      <c r="C814" s="85">
        <v>611202</v>
      </c>
      <c r="D814" s="88">
        <v>3.9135296310099932E-3</v>
      </c>
      <c r="E814" s="87"/>
    </row>
    <row r="815" spans="1:5" ht="15" x14ac:dyDescent="0.2">
      <c r="A815" s="73">
        <v>43334</v>
      </c>
      <c r="B815" s="70">
        <v>107.32</v>
      </c>
      <c r="C815" s="85">
        <v>1008537</v>
      </c>
      <c r="D815" s="88">
        <v>-1.3028103480364761E-3</v>
      </c>
      <c r="E815" s="87"/>
    </row>
    <row r="816" spans="1:5" ht="15" x14ac:dyDescent="0.2">
      <c r="A816" s="73">
        <v>43333</v>
      </c>
      <c r="B816" s="70">
        <v>107.46</v>
      </c>
      <c r="C816" s="85">
        <v>729822</v>
      </c>
      <c r="D816" s="88">
        <v>-3.8932146829810943E-3</v>
      </c>
      <c r="E816" s="87"/>
    </row>
    <row r="817" spans="1:5" ht="15" x14ac:dyDescent="0.2">
      <c r="A817" s="73">
        <v>43332</v>
      </c>
      <c r="B817" s="70">
        <v>107.88</v>
      </c>
      <c r="C817" s="85">
        <v>628975</v>
      </c>
      <c r="D817" s="88">
        <v>1.4853323431116561E-3</v>
      </c>
      <c r="E817" s="87"/>
    </row>
    <row r="818" spans="1:5" ht="15" x14ac:dyDescent="0.2">
      <c r="A818" s="73">
        <v>43329</v>
      </c>
      <c r="B818" s="70">
        <v>107.72</v>
      </c>
      <c r="C818" s="85">
        <v>641480</v>
      </c>
      <c r="D818" s="88">
        <v>1.4875418371140814E-3</v>
      </c>
      <c r="E818" s="87"/>
    </row>
    <row r="819" spans="1:5" ht="15" x14ac:dyDescent="0.2">
      <c r="A819" s="73">
        <v>43328</v>
      </c>
      <c r="B819" s="70">
        <v>107.56</v>
      </c>
      <c r="C819" s="85">
        <v>989496</v>
      </c>
      <c r="D819" s="88">
        <v>2.2239118038395844E-2</v>
      </c>
      <c r="E819" s="87"/>
    </row>
    <row r="820" spans="1:5" ht="15" x14ac:dyDescent="0.2">
      <c r="A820" s="73">
        <v>43327</v>
      </c>
      <c r="B820" s="70">
        <v>105.22</v>
      </c>
      <c r="C820" s="85">
        <v>1494385</v>
      </c>
      <c r="D820" s="88">
        <v>-2.5740740740740731E-2</v>
      </c>
      <c r="E820" s="87"/>
    </row>
    <row r="821" spans="1:5" ht="15" x14ac:dyDescent="0.2">
      <c r="A821" s="73">
        <v>43326</v>
      </c>
      <c r="B821" s="70">
        <v>108</v>
      </c>
      <c r="C821" s="85">
        <v>667568</v>
      </c>
      <c r="D821" s="88">
        <v>-9.2506938020342488E-4</v>
      </c>
      <c r="E821" s="87"/>
    </row>
    <row r="822" spans="1:5" ht="15" x14ac:dyDescent="0.2">
      <c r="A822" s="73">
        <v>43325</v>
      </c>
      <c r="B822" s="70">
        <v>108.1</v>
      </c>
      <c r="C822" s="85">
        <v>788303</v>
      </c>
      <c r="D822" s="88">
        <v>5.3943452380951218E-3</v>
      </c>
      <c r="E822" s="87"/>
    </row>
    <row r="823" spans="1:5" ht="15" x14ac:dyDescent="0.2">
      <c r="A823" s="73">
        <v>43322</v>
      </c>
      <c r="B823" s="70">
        <v>107.52</v>
      </c>
      <c r="C823" s="85">
        <v>1240233</v>
      </c>
      <c r="D823" s="88">
        <v>-1.0491441192711171E-2</v>
      </c>
      <c r="E823" s="87"/>
    </row>
    <row r="824" spans="1:5" ht="15" x14ac:dyDescent="0.2">
      <c r="A824" s="73">
        <v>43321</v>
      </c>
      <c r="B824" s="70">
        <v>108.66</v>
      </c>
      <c r="C824" s="85">
        <v>626095</v>
      </c>
      <c r="D824" s="88">
        <v>7.0435588507877789E-3</v>
      </c>
      <c r="E824" s="87"/>
    </row>
    <row r="825" spans="1:5" ht="15" x14ac:dyDescent="0.2">
      <c r="A825" s="73">
        <v>43320</v>
      </c>
      <c r="B825" s="70">
        <v>107.9</v>
      </c>
      <c r="C825" s="85">
        <v>792973</v>
      </c>
      <c r="D825" s="88">
        <v>-1.0091743119265972E-2</v>
      </c>
      <c r="E825" s="87"/>
    </row>
    <row r="826" spans="1:5" ht="15" x14ac:dyDescent="0.2">
      <c r="A826" s="73">
        <v>43319</v>
      </c>
      <c r="B826" s="70">
        <v>109</v>
      </c>
      <c r="C826" s="85">
        <v>993504</v>
      </c>
      <c r="D826" s="88">
        <v>1.0944166202930816E-2</v>
      </c>
      <c r="E826" s="87"/>
    </row>
    <row r="827" spans="1:5" ht="15" x14ac:dyDescent="0.2">
      <c r="A827" s="73">
        <v>43318</v>
      </c>
      <c r="B827" s="70">
        <v>107.82</v>
      </c>
      <c r="C827" s="85">
        <v>913835</v>
      </c>
      <c r="D827" s="88">
        <v>5.5679287305121505E-4</v>
      </c>
      <c r="E827" s="87"/>
    </row>
    <row r="828" spans="1:5" ht="15" x14ac:dyDescent="0.2">
      <c r="A828" s="73">
        <v>43315</v>
      </c>
      <c r="B828" s="70">
        <v>107.76</v>
      </c>
      <c r="C828" s="85">
        <v>887302</v>
      </c>
      <c r="D828" s="88">
        <v>1.2021036814425345E-2</v>
      </c>
      <c r="E828" s="87"/>
    </row>
    <row r="829" spans="1:5" ht="15" x14ac:dyDescent="0.2">
      <c r="A829" s="73">
        <v>43314</v>
      </c>
      <c r="B829" s="70">
        <v>106.48</v>
      </c>
      <c r="C829" s="85">
        <v>1467538</v>
      </c>
      <c r="D829" s="88">
        <v>-1.1257035647278535E-3</v>
      </c>
      <c r="E829" s="87"/>
    </row>
    <row r="830" spans="1:5" ht="15" x14ac:dyDescent="0.2">
      <c r="A830" s="73">
        <v>43313</v>
      </c>
      <c r="B830" s="70">
        <v>106.6</v>
      </c>
      <c r="C830" s="85">
        <v>871755</v>
      </c>
      <c r="D830" s="88">
        <v>5.6603773584904538E-3</v>
      </c>
      <c r="E830" s="87"/>
    </row>
    <row r="831" spans="1:5" ht="15" x14ac:dyDescent="0.2">
      <c r="A831" s="73">
        <v>43312</v>
      </c>
      <c r="B831" s="70">
        <v>106</v>
      </c>
      <c r="C831" s="85">
        <v>1113224</v>
      </c>
      <c r="D831" s="88">
        <v>-1.0085917071348538E-2</v>
      </c>
      <c r="E831" s="87"/>
    </row>
    <row r="832" spans="1:5" ht="15" x14ac:dyDescent="0.2">
      <c r="A832" s="73">
        <v>43311</v>
      </c>
      <c r="B832" s="70">
        <v>107.08</v>
      </c>
      <c r="C832" s="85">
        <v>872564</v>
      </c>
      <c r="D832" s="88">
        <v>-1.9413919413919456E-2</v>
      </c>
      <c r="E832" s="87"/>
    </row>
    <row r="833" spans="1:5" ht="15" x14ac:dyDescent="0.2">
      <c r="A833" s="73">
        <v>43308</v>
      </c>
      <c r="B833" s="70">
        <v>109.2</v>
      </c>
      <c r="C833" s="85">
        <v>1437079</v>
      </c>
      <c r="D833" s="88">
        <v>-3.8314176245211051E-3</v>
      </c>
      <c r="E833" s="87"/>
    </row>
    <row r="834" spans="1:5" ht="15" x14ac:dyDescent="0.2">
      <c r="A834" s="73">
        <v>43307</v>
      </c>
      <c r="B834" s="70">
        <v>109.62</v>
      </c>
      <c r="C834" s="85">
        <v>2014197</v>
      </c>
      <c r="D834" s="88">
        <v>4.4995233555767289E-2</v>
      </c>
      <c r="E834" s="87"/>
    </row>
    <row r="835" spans="1:5" ht="15" x14ac:dyDescent="0.2">
      <c r="A835" s="73">
        <v>43306</v>
      </c>
      <c r="B835" s="70">
        <v>104.9</v>
      </c>
      <c r="C835" s="85">
        <v>1352553</v>
      </c>
      <c r="D835" s="88">
        <v>-1.0190602000377358E-2</v>
      </c>
      <c r="E835" s="87"/>
    </row>
    <row r="836" spans="1:5" ht="15" x14ac:dyDescent="0.2">
      <c r="A836" s="73">
        <v>43305</v>
      </c>
      <c r="B836" s="70">
        <v>105.98</v>
      </c>
      <c r="C836" s="85">
        <v>1020922</v>
      </c>
      <c r="D836" s="88">
        <v>5.312084993359889E-3</v>
      </c>
      <c r="E836" s="87"/>
    </row>
    <row r="837" spans="1:5" ht="15" x14ac:dyDescent="0.2">
      <c r="A837" s="73">
        <v>43304</v>
      </c>
      <c r="B837" s="70">
        <v>105.42</v>
      </c>
      <c r="C837" s="85">
        <v>812845</v>
      </c>
      <c r="D837" s="88">
        <v>-3.2148260211800617E-3</v>
      </c>
      <c r="E837" s="87"/>
    </row>
    <row r="838" spans="1:5" ht="15" x14ac:dyDescent="0.2">
      <c r="A838" s="73">
        <v>43301</v>
      </c>
      <c r="B838" s="70">
        <v>105.76</v>
      </c>
      <c r="C838" s="85">
        <v>1932871</v>
      </c>
      <c r="D838" s="88">
        <v>-1.2327231976092534E-2</v>
      </c>
      <c r="E838" s="87"/>
    </row>
    <row r="839" spans="1:5" ht="15" x14ac:dyDescent="0.2">
      <c r="A839" s="73">
        <v>43300</v>
      </c>
      <c r="B839" s="70">
        <v>107.08</v>
      </c>
      <c r="C839" s="85">
        <v>1202954</v>
      </c>
      <c r="D839" s="88">
        <v>-1.1194029850746245E-3</v>
      </c>
      <c r="E839" s="87"/>
    </row>
    <row r="840" spans="1:5" ht="15" x14ac:dyDescent="0.2">
      <c r="A840" s="73">
        <v>43299</v>
      </c>
      <c r="B840" s="70">
        <v>107.2</v>
      </c>
      <c r="C840" s="85">
        <v>1338633</v>
      </c>
      <c r="D840" s="88">
        <v>-4.2727103845439096E-3</v>
      </c>
      <c r="E840" s="87"/>
    </row>
    <row r="841" spans="1:5" ht="15" x14ac:dyDescent="0.2">
      <c r="A841" s="73">
        <v>43298</v>
      </c>
      <c r="B841" s="70">
        <v>107.66</v>
      </c>
      <c r="C841" s="85">
        <v>944038</v>
      </c>
      <c r="D841" s="88">
        <v>6.7327473349541034E-3</v>
      </c>
      <c r="E841" s="87"/>
    </row>
    <row r="842" spans="1:5" ht="15" x14ac:dyDescent="0.2">
      <c r="A842" s="73">
        <v>43297</v>
      </c>
      <c r="B842" s="70">
        <v>106.94</v>
      </c>
      <c r="C842" s="85">
        <v>843342</v>
      </c>
      <c r="D842" s="88">
        <v>-4.283054003724418E-3</v>
      </c>
      <c r="E842" s="87"/>
    </row>
    <row r="843" spans="1:5" ht="15" x14ac:dyDescent="0.2">
      <c r="A843" s="73">
        <v>43294</v>
      </c>
      <c r="B843" s="70">
        <v>107.4</v>
      </c>
      <c r="C843" s="85">
        <v>1710296</v>
      </c>
      <c r="D843" s="88">
        <v>2.1495149324709972E-2</v>
      </c>
      <c r="E843" s="87"/>
    </row>
    <row r="844" spans="1:5" ht="15" x14ac:dyDescent="0.2">
      <c r="A844" s="73">
        <v>43293</v>
      </c>
      <c r="B844" s="70">
        <v>105.14</v>
      </c>
      <c r="C844" s="85">
        <v>1617009</v>
      </c>
      <c r="D844" s="88">
        <v>1.9391118867558621E-2</v>
      </c>
      <c r="E844" s="87"/>
    </row>
    <row r="845" spans="1:5" ht="15" x14ac:dyDescent="0.2">
      <c r="A845" s="73">
        <v>43292</v>
      </c>
      <c r="B845" s="70">
        <v>103.14</v>
      </c>
      <c r="C845" s="85">
        <v>1448989</v>
      </c>
      <c r="D845" s="88">
        <v>-1.9353590090962491E-3</v>
      </c>
      <c r="E845" s="87"/>
    </row>
    <row r="846" spans="1:5" ht="15" x14ac:dyDescent="0.2">
      <c r="A846" s="73">
        <v>43291</v>
      </c>
      <c r="B846" s="70">
        <v>103.34</v>
      </c>
      <c r="C846" s="85">
        <v>1898106</v>
      </c>
      <c r="D846" s="88">
        <v>3.9637826961770539E-2</v>
      </c>
      <c r="E846" s="87"/>
    </row>
    <row r="847" spans="1:5" ht="15" x14ac:dyDescent="0.2">
      <c r="A847" s="73">
        <v>43290</v>
      </c>
      <c r="B847" s="70">
        <v>99.4</v>
      </c>
      <c r="C847" s="85">
        <v>976457</v>
      </c>
      <c r="D847" s="88">
        <v>9.1370558375634126E-3</v>
      </c>
      <c r="E847" s="87"/>
    </row>
    <row r="848" spans="1:5" ht="15" x14ac:dyDescent="0.2">
      <c r="A848" s="73">
        <v>43287</v>
      </c>
      <c r="B848" s="70">
        <v>98.5</v>
      </c>
      <c r="C848" s="85">
        <v>1425002</v>
      </c>
      <c r="D848" s="88">
        <v>7.7757315326376641E-3</v>
      </c>
      <c r="E848" s="87"/>
    </row>
    <row r="849" spans="1:5" ht="15" x14ac:dyDescent="0.2">
      <c r="A849" s="73">
        <v>43286</v>
      </c>
      <c r="B849" s="70">
        <v>97.74</v>
      </c>
      <c r="C849" s="85">
        <v>1337173</v>
      </c>
      <c r="D849" s="88">
        <v>-2.6530612244898277E-3</v>
      </c>
      <c r="E849" s="87"/>
    </row>
    <row r="850" spans="1:5" ht="15" x14ac:dyDescent="0.2">
      <c r="A850" s="73">
        <v>43285</v>
      </c>
      <c r="B850" s="70">
        <v>98</v>
      </c>
      <c r="C850" s="85">
        <v>790159</v>
      </c>
      <c r="D850" s="88">
        <v>2.4549918166938411E-3</v>
      </c>
      <c r="E850" s="87"/>
    </row>
    <row r="851" spans="1:5" ht="15" x14ac:dyDescent="0.2">
      <c r="A851" s="73">
        <v>43284</v>
      </c>
      <c r="B851" s="70">
        <v>97.76</v>
      </c>
      <c r="C851" s="85">
        <v>1106359</v>
      </c>
      <c r="D851" s="88">
        <v>5.1171835022012502E-4</v>
      </c>
      <c r="E851" s="87"/>
    </row>
    <row r="852" spans="1:5" ht="15" x14ac:dyDescent="0.2">
      <c r="A852" s="73">
        <v>43283</v>
      </c>
      <c r="B852" s="70">
        <v>97.71</v>
      </c>
      <c r="C852" s="85">
        <v>1658934</v>
      </c>
      <c r="D852" s="88">
        <v>-2.5433871932974417E-2</v>
      </c>
      <c r="E852" s="87"/>
    </row>
    <row r="853" spans="1:5" ht="15" x14ac:dyDescent="0.2">
      <c r="A853" s="73">
        <v>43280</v>
      </c>
      <c r="B853" s="70">
        <v>100.26</v>
      </c>
      <c r="C853" s="85">
        <v>1495038</v>
      </c>
      <c r="D853" s="88">
        <v>2.1810028536485948E-2</v>
      </c>
      <c r="E853" s="87"/>
    </row>
    <row r="854" spans="1:5" ht="15" x14ac:dyDescent="0.2">
      <c r="A854" s="73">
        <v>43279</v>
      </c>
      <c r="B854" s="70">
        <v>98.12</v>
      </c>
      <c r="C854" s="85">
        <v>1810824</v>
      </c>
      <c r="D854" s="88">
        <v>-9.8890010090816327E-3</v>
      </c>
      <c r="E854" s="87"/>
    </row>
    <row r="855" spans="1:5" ht="15" x14ac:dyDescent="0.2">
      <c r="A855" s="73">
        <v>43278</v>
      </c>
      <c r="B855" s="70">
        <v>99.1</v>
      </c>
      <c r="C855" s="85">
        <v>1779672</v>
      </c>
      <c r="D855" s="88">
        <v>2.7155887230513986E-2</v>
      </c>
      <c r="E855" s="87"/>
    </row>
    <row r="856" spans="1:5" ht="15" x14ac:dyDescent="0.2">
      <c r="A856" s="73">
        <v>43277</v>
      </c>
      <c r="B856" s="70">
        <v>96.48</v>
      </c>
      <c r="C856" s="85">
        <v>1338259</v>
      </c>
      <c r="D856" s="88">
        <v>-3.923188106545461E-3</v>
      </c>
      <c r="E856" s="87"/>
    </row>
    <row r="857" spans="1:5" ht="15" x14ac:dyDescent="0.2">
      <c r="A857" s="73">
        <v>43276</v>
      </c>
      <c r="B857" s="70">
        <v>96.86</v>
      </c>
      <c r="C857" s="85">
        <v>1074718</v>
      </c>
      <c r="D857" s="88">
        <v>-3.7559618441971421E-2</v>
      </c>
      <c r="E857" s="87"/>
    </row>
    <row r="858" spans="1:5" ht="15" x14ac:dyDescent="0.2">
      <c r="A858" s="73">
        <v>43273</v>
      </c>
      <c r="B858" s="70">
        <v>100.64</v>
      </c>
      <c r="C858" s="85">
        <v>1430276</v>
      </c>
      <c r="D858" s="88">
        <v>2.0793183892889644E-2</v>
      </c>
      <c r="E858" s="87"/>
    </row>
    <row r="859" spans="1:5" ht="15" x14ac:dyDescent="0.2">
      <c r="A859" s="73">
        <v>43272</v>
      </c>
      <c r="B859" s="70">
        <v>98.59</v>
      </c>
      <c r="C859" s="85">
        <v>1692520</v>
      </c>
      <c r="D859" s="88">
        <v>-1.2915498598317865E-2</v>
      </c>
      <c r="E859" s="87"/>
    </row>
    <row r="860" spans="1:5" ht="15" x14ac:dyDescent="0.2">
      <c r="A860" s="73">
        <v>43271</v>
      </c>
      <c r="B860" s="70">
        <v>99.88</v>
      </c>
      <c r="C860" s="85">
        <v>1369803</v>
      </c>
      <c r="D860" s="88">
        <v>-4.5844129958143576E-3</v>
      </c>
      <c r="E860" s="87"/>
    </row>
    <row r="861" spans="1:5" ht="15" x14ac:dyDescent="0.2">
      <c r="A861" s="73">
        <v>43270</v>
      </c>
      <c r="B861" s="70">
        <v>100.34</v>
      </c>
      <c r="C861" s="85">
        <v>1695805</v>
      </c>
      <c r="D861" s="88">
        <v>-1.5309126594700739E-2</v>
      </c>
      <c r="E861" s="87"/>
    </row>
    <row r="862" spans="1:5" ht="15" x14ac:dyDescent="0.2">
      <c r="A862" s="73">
        <v>43269</v>
      </c>
      <c r="B862" s="70">
        <v>101.9</v>
      </c>
      <c r="C862" s="85">
        <v>1274617</v>
      </c>
      <c r="D862" s="88">
        <v>-1.6409266409266321E-2</v>
      </c>
      <c r="E862" s="87"/>
    </row>
    <row r="863" spans="1:5" ht="15" x14ac:dyDescent="0.2">
      <c r="A863" s="73">
        <v>43266</v>
      </c>
      <c r="B863" s="70">
        <v>103.6</v>
      </c>
      <c r="C863" s="85">
        <v>2914883</v>
      </c>
      <c r="D863" s="88">
        <v>-9.1813312930375535E-3</v>
      </c>
      <c r="E863" s="87"/>
    </row>
    <row r="864" spans="1:5" ht="15" x14ac:dyDescent="0.2">
      <c r="A864" s="73">
        <v>43265</v>
      </c>
      <c r="B864" s="70">
        <v>104.56</v>
      </c>
      <c r="C864" s="85">
        <v>2163334</v>
      </c>
      <c r="D864" s="88">
        <v>4.3721301657017264E-2</v>
      </c>
      <c r="E864" s="87"/>
    </row>
    <row r="865" spans="1:5" ht="15" x14ac:dyDescent="0.2">
      <c r="A865" s="73">
        <v>43264</v>
      </c>
      <c r="B865" s="70">
        <v>100.18</v>
      </c>
      <c r="C865" s="85">
        <v>1087974</v>
      </c>
      <c r="D865" s="88">
        <v>-2.9856687898088818E-3</v>
      </c>
      <c r="E865" s="87"/>
    </row>
    <row r="866" spans="1:5" ht="15" x14ac:dyDescent="0.2">
      <c r="A866" s="73">
        <v>43263</v>
      </c>
      <c r="B866" s="70">
        <v>100.48</v>
      </c>
      <c r="C866" s="85">
        <v>923524</v>
      </c>
      <c r="D866" s="88">
        <v>-4.1625371655104049E-3</v>
      </c>
      <c r="E866" s="87"/>
    </row>
    <row r="867" spans="1:5" ht="15" x14ac:dyDescent="0.2">
      <c r="A867" s="73">
        <v>43262</v>
      </c>
      <c r="B867" s="70">
        <v>100.9</v>
      </c>
      <c r="C867" s="85">
        <v>1117898</v>
      </c>
      <c r="D867" s="88">
        <v>0</v>
      </c>
      <c r="E867" s="87"/>
    </row>
    <row r="868" spans="1:5" ht="15" x14ac:dyDescent="0.2">
      <c r="A868" s="73">
        <v>43259</v>
      </c>
      <c r="B868" s="70">
        <v>100.9</v>
      </c>
      <c r="C868" s="85">
        <v>1391071</v>
      </c>
      <c r="D868" s="88">
        <v>1.2543903662819877E-2</v>
      </c>
      <c r="E868" s="87"/>
    </row>
    <row r="869" spans="1:5" ht="15" x14ac:dyDescent="0.2">
      <c r="A869" s="73">
        <v>43258</v>
      </c>
      <c r="B869" s="70">
        <v>99.65</v>
      </c>
      <c r="C869" s="85">
        <v>1002940</v>
      </c>
      <c r="D869" s="88">
        <v>-3.4999999999999476E-3</v>
      </c>
      <c r="E869" s="87"/>
    </row>
    <row r="870" spans="1:5" ht="15" x14ac:dyDescent="0.2">
      <c r="A870" s="73">
        <v>43257</v>
      </c>
      <c r="B870" s="70">
        <v>100</v>
      </c>
      <c r="C870" s="85">
        <v>1127330</v>
      </c>
      <c r="D870" s="88">
        <v>1.0305112143867312E-2</v>
      </c>
      <c r="E870" s="87"/>
    </row>
    <row r="871" spans="1:5" ht="15" x14ac:dyDescent="0.2">
      <c r="A871" s="73">
        <v>43256</v>
      </c>
      <c r="B871" s="70">
        <v>98.98</v>
      </c>
      <c r="C871" s="85">
        <v>1114674</v>
      </c>
      <c r="D871" s="88">
        <v>-5.8256327842506339E-3</v>
      </c>
      <c r="E871" s="87"/>
    </row>
    <row r="872" spans="1:5" ht="15" x14ac:dyDescent="0.2">
      <c r="A872" s="73">
        <v>43255</v>
      </c>
      <c r="B872" s="70">
        <v>99.56</v>
      </c>
      <c r="C872" s="85">
        <v>1061667</v>
      </c>
      <c r="D872" s="88">
        <v>1.7104336452360425E-3</v>
      </c>
      <c r="E872" s="87"/>
    </row>
    <row r="873" spans="1:5" ht="15" x14ac:dyDescent="0.2">
      <c r="A873" s="73">
        <v>43252</v>
      </c>
      <c r="B873" s="70">
        <v>99.39</v>
      </c>
      <c r="C873" s="85">
        <v>1498403</v>
      </c>
      <c r="D873" s="88">
        <v>2.137498715445485E-2</v>
      </c>
      <c r="E873" s="87"/>
    </row>
    <row r="874" spans="1:5" ht="15" x14ac:dyDescent="0.2">
      <c r="A874" s="73">
        <v>43251</v>
      </c>
      <c r="B874" s="70">
        <v>97.31</v>
      </c>
      <c r="C874" s="85">
        <v>2036282</v>
      </c>
      <c r="D874" s="88">
        <v>5.9960715393363451E-3</v>
      </c>
      <c r="E874" s="87"/>
    </row>
    <row r="875" spans="1:5" ht="15" x14ac:dyDescent="0.2">
      <c r="A875" s="73">
        <v>43250</v>
      </c>
      <c r="B875" s="70">
        <v>96.73</v>
      </c>
      <c r="C875" s="85">
        <v>1276639</v>
      </c>
      <c r="D875" s="88">
        <v>-6.0624743115493818E-3</v>
      </c>
      <c r="E875" s="87"/>
    </row>
    <row r="876" spans="1:5" ht="15" x14ac:dyDescent="0.2">
      <c r="A876" s="73">
        <v>43249</v>
      </c>
      <c r="B876" s="70">
        <v>97.32</v>
      </c>
      <c r="C876" s="85">
        <v>1540976</v>
      </c>
      <c r="D876" s="88">
        <v>1.2345679012344402E-3</v>
      </c>
      <c r="E876" s="87"/>
    </row>
    <row r="877" spans="1:5" ht="15" x14ac:dyDescent="0.2">
      <c r="A877" s="73">
        <v>43248</v>
      </c>
      <c r="B877" s="70">
        <v>97.2</v>
      </c>
      <c r="C877" s="85">
        <v>733763</v>
      </c>
      <c r="D877" s="88">
        <v>-1.028408512371437E-2</v>
      </c>
      <c r="E877" s="87"/>
    </row>
    <row r="878" spans="1:5" ht="15" x14ac:dyDescent="0.2">
      <c r="A878" s="73">
        <v>43245</v>
      </c>
      <c r="B878" s="70">
        <v>98.21</v>
      </c>
      <c r="C878" s="85">
        <v>1281193</v>
      </c>
      <c r="D878" s="88">
        <v>-1.423487544483959E-3</v>
      </c>
      <c r="E878" s="87"/>
    </row>
    <row r="879" spans="1:5" ht="15" x14ac:dyDescent="0.2">
      <c r="A879" s="73">
        <v>43244</v>
      </c>
      <c r="B879" s="70">
        <v>98.35</v>
      </c>
      <c r="C879" s="85">
        <v>930778</v>
      </c>
      <c r="D879" s="88">
        <v>-6.1641067097817359E-3</v>
      </c>
      <c r="E879" s="87"/>
    </row>
    <row r="880" spans="1:5" ht="15" x14ac:dyDescent="0.2">
      <c r="A880" s="73">
        <v>43243</v>
      </c>
      <c r="B880" s="70">
        <v>98.96</v>
      </c>
      <c r="C880" s="85">
        <v>1350053</v>
      </c>
      <c r="D880" s="88">
        <v>-1.6888535664613569E-2</v>
      </c>
      <c r="E880" s="87"/>
    </row>
    <row r="881" spans="1:5" ht="15" x14ac:dyDescent="0.2">
      <c r="A881" s="73">
        <v>43242</v>
      </c>
      <c r="B881" s="70">
        <v>100.66</v>
      </c>
      <c r="C881" s="85">
        <v>1362260</v>
      </c>
      <c r="D881" s="88">
        <v>-1.586986708986271E-3</v>
      </c>
      <c r="E881" s="87"/>
    </row>
    <row r="882" spans="1:5" ht="15" x14ac:dyDescent="0.2">
      <c r="A882" s="73">
        <v>43241</v>
      </c>
      <c r="B882" s="70">
        <v>100.82</v>
      </c>
      <c r="C882" s="85">
        <v>1330566</v>
      </c>
      <c r="D882" s="88">
        <v>3.0457890433360557E-2</v>
      </c>
      <c r="E882" s="87"/>
    </row>
    <row r="883" spans="1:5" ht="15" x14ac:dyDescent="0.2">
      <c r="A883" s="73">
        <v>43238</v>
      </c>
      <c r="B883" s="70">
        <v>97.84</v>
      </c>
      <c r="C883" s="85">
        <v>2456175</v>
      </c>
      <c r="D883" s="88">
        <v>-1.4288630332720542E-3</v>
      </c>
      <c r="E883" s="87"/>
    </row>
    <row r="884" spans="1:5" ht="15" x14ac:dyDescent="0.2">
      <c r="A884" s="73">
        <v>43237</v>
      </c>
      <c r="B884" s="70">
        <v>97.98</v>
      </c>
      <c r="C884" s="85">
        <v>1249890</v>
      </c>
      <c r="D884" s="88">
        <v>1.6495487083722393E-2</v>
      </c>
      <c r="E884" s="87"/>
    </row>
    <row r="885" spans="1:5" ht="15" x14ac:dyDescent="0.2">
      <c r="A885" s="73">
        <v>43236</v>
      </c>
      <c r="B885" s="70">
        <v>96.39</v>
      </c>
      <c r="C885" s="85">
        <v>1448715</v>
      </c>
      <c r="D885" s="88">
        <v>1.4545454545453751E-3</v>
      </c>
      <c r="E885" s="87"/>
    </row>
    <row r="886" spans="1:5" ht="15" x14ac:dyDescent="0.2">
      <c r="A886" s="73">
        <v>43235</v>
      </c>
      <c r="B886" s="70">
        <v>96.25</v>
      </c>
      <c r="C886" s="85">
        <v>2059938</v>
      </c>
      <c r="D886" s="88">
        <v>-8.5496497733827947E-3</v>
      </c>
      <c r="E886" s="87"/>
    </row>
    <row r="887" spans="1:5" ht="15" x14ac:dyDescent="0.2">
      <c r="A887" s="73">
        <v>43234</v>
      </c>
      <c r="B887" s="70">
        <v>97.08</v>
      </c>
      <c r="C887" s="85">
        <v>1726805</v>
      </c>
      <c r="D887" s="88">
        <v>-2.3831070889894446E-2</v>
      </c>
      <c r="E887" s="87"/>
    </row>
    <row r="888" spans="1:5" ht="15" x14ac:dyDescent="0.2">
      <c r="A888" s="73">
        <v>43231</v>
      </c>
      <c r="B888" s="70">
        <v>99.45</v>
      </c>
      <c r="C888" s="85">
        <v>838606</v>
      </c>
      <c r="D888" s="88">
        <v>-1.8066847335139746E-3</v>
      </c>
      <c r="E888" s="87"/>
    </row>
    <row r="889" spans="1:5" ht="15" x14ac:dyDescent="0.2">
      <c r="A889" s="73">
        <v>43230</v>
      </c>
      <c r="B889" s="70">
        <v>99.63</v>
      </c>
      <c r="C889" s="85">
        <v>789718</v>
      </c>
      <c r="D889" s="88">
        <v>4.7398144413068888E-3</v>
      </c>
      <c r="E889" s="87"/>
    </row>
    <row r="890" spans="1:5" ht="15" x14ac:dyDescent="0.2">
      <c r="A890" s="73">
        <v>43229</v>
      </c>
      <c r="B890" s="70">
        <v>99.16</v>
      </c>
      <c r="C890" s="85">
        <v>1420703</v>
      </c>
      <c r="D890" s="88">
        <v>-1.0774142059058245E-2</v>
      </c>
      <c r="E890" s="87"/>
    </row>
    <row r="891" spans="1:5" ht="15" x14ac:dyDescent="0.2">
      <c r="A891" s="73">
        <v>43228</v>
      </c>
      <c r="B891" s="70">
        <v>100.24</v>
      </c>
      <c r="C891" s="85">
        <v>1126291</v>
      </c>
      <c r="D891" s="88">
        <v>-1.7924716191993761E-3</v>
      </c>
      <c r="E891" s="87"/>
    </row>
    <row r="892" spans="1:5" ht="15" x14ac:dyDescent="0.2">
      <c r="A892" s="73">
        <v>43227</v>
      </c>
      <c r="B892" s="70">
        <v>100.42</v>
      </c>
      <c r="C892" s="85">
        <v>1173678</v>
      </c>
      <c r="D892" s="88">
        <v>1.7529638261222003E-2</v>
      </c>
      <c r="E892" s="87"/>
    </row>
    <row r="893" spans="1:5" ht="15" x14ac:dyDescent="0.2">
      <c r="A893" s="73">
        <v>43224</v>
      </c>
      <c r="B893" s="70">
        <v>98.69</v>
      </c>
      <c r="C893" s="85">
        <v>1300971</v>
      </c>
      <c r="D893" s="88">
        <v>6.4246379767489703E-3</v>
      </c>
      <c r="E893" s="87"/>
    </row>
    <row r="894" spans="1:5" ht="15" x14ac:dyDescent="0.2">
      <c r="A894" s="73">
        <v>43223</v>
      </c>
      <c r="B894" s="70">
        <v>98.06</v>
      </c>
      <c r="C894" s="85">
        <v>1373661</v>
      </c>
      <c r="D894" s="88">
        <v>-1.0196798205353019E-4</v>
      </c>
      <c r="E894" s="87"/>
    </row>
    <row r="895" spans="1:5" ht="15" x14ac:dyDescent="0.2">
      <c r="A895" s="73">
        <v>43222</v>
      </c>
      <c r="B895" s="70">
        <v>98.07</v>
      </c>
      <c r="C895" s="85">
        <v>2075219</v>
      </c>
      <c r="D895" s="88">
        <v>6.8788501026693094E-3</v>
      </c>
      <c r="E895" s="87"/>
    </row>
    <row r="896" spans="1:5" ht="15" x14ac:dyDescent="0.2">
      <c r="A896" s="73">
        <v>43220</v>
      </c>
      <c r="B896" s="70">
        <v>97.4</v>
      </c>
      <c r="C896" s="85">
        <v>2205472</v>
      </c>
      <c r="D896" s="88">
        <v>4.8488600020633044E-3</v>
      </c>
      <c r="E896" s="87"/>
    </row>
    <row r="897" spans="1:5" ht="15" x14ac:dyDescent="0.2">
      <c r="A897" s="73">
        <v>43217</v>
      </c>
      <c r="B897" s="70">
        <v>96.93</v>
      </c>
      <c r="C897" s="85">
        <v>2214905</v>
      </c>
      <c r="D897" s="88">
        <v>1.4973821989528791E-2</v>
      </c>
      <c r="E897" s="87"/>
    </row>
    <row r="898" spans="1:5" ht="15" x14ac:dyDescent="0.2">
      <c r="A898" s="73">
        <v>43216</v>
      </c>
      <c r="B898" s="70">
        <v>95.5</v>
      </c>
      <c r="C898" s="85">
        <v>1789280</v>
      </c>
      <c r="D898" s="88">
        <v>5.5807096977993353E-3</v>
      </c>
      <c r="E898" s="87"/>
    </row>
    <row r="899" spans="1:5" ht="15" x14ac:dyDescent="0.2">
      <c r="A899" s="73">
        <v>43215</v>
      </c>
      <c r="B899" s="70">
        <v>94.97</v>
      </c>
      <c r="C899" s="85">
        <v>2341877</v>
      </c>
      <c r="D899" s="88">
        <v>-1.7991934649984387E-2</v>
      </c>
      <c r="E899" s="87"/>
    </row>
    <row r="900" spans="1:5" ht="15" x14ac:dyDescent="0.2">
      <c r="A900" s="73">
        <v>43214</v>
      </c>
      <c r="B900" s="70">
        <v>96.71</v>
      </c>
      <c r="C900" s="85">
        <v>1910574</v>
      </c>
      <c r="D900" s="88">
        <v>5.71963394342756E-3</v>
      </c>
      <c r="E900" s="87"/>
    </row>
    <row r="901" spans="1:5" ht="15" x14ac:dyDescent="0.2">
      <c r="A901" s="73">
        <v>43213</v>
      </c>
      <c r="B901" s="70">
        <v>96.16</v>
      </c>
      <c r="C901" s="85">
        <v>1367855</v>
      </c>
      <c r="D901" s="88">
        <v>2.1131995327599018E-2</v>
      </c>
      <c r="E901" s="87"/>
    </row>
    <row r="902" spans="1:5" ht="15" x14ac:dyDescent="0.2">
      <c r="A902" s="73">
        <v>43210</v>
      </c>
      <c r="B902" s="70">
        <v>94.17</v>
      </c>
      <c r="C902" s="85">
        <v>2037611</v>
      </c>
      <c r="D902" s="88">
        <v>-7.4278438030550564E-4</v>
      </c>
      <c r="E902" s="87"/>
    </row>
    <row r="903" spans="1:5" ht="15" x14ac:dyDescent="0.2">
      <c r="A903" s="73">
        <v>43209</v>
      </c>
      <c r="B903" s="70">
        <v>94.24</v>
      </c>
      <c r="C903" s="85">
        <v>1129502</v>
      </c>
      <c r="D903" s="88">
        <v>-3.8054968287526414E-3</v>
      </c>
      <c r="E903" s="87"/>
    </row>
    <row r="904" spans="1:5" ht="15" x14ac:dyDescent="0.2">
      <c r="A904" s="73">
        <v>43208</v>
      </c>
      <c r="B904" s="70">
        <v>94.6</v>
      </c>
      <c r="C904" s="85">
        <v>1675107</v>
      </c>
      <c r="D904" s="88">
        <v>1.6330038676407366E-2</v>
      </c>
      <c r="E904" s="87"/>
    </row>
    <row r="905" spans="1:5" ht="15" x14ac:dyDescent="0.2">
      <c r="A905" s="73">
        <v>43207</v>
      </c>
      <c r="B905" s="70">
        <v>93.08</v>
      </c>
      <c r="C905" s="85">
        <v>1799910</v>
      </c>
      <c r="D905" s="88">
        <v>2.9873865899535224E-2</v>
      </c>
      <c r="E905" s="87"/>
    </row>
    <row r="906" spans="1:5" ht="15" x14ac:dyDescent="0.2">
      <c r="A906" s="73">
        <v>43206</v>
      </c>
      <c r="B906" s="70">
        <v>90.38</v>
      </c>
      <c r="C906" s="85">
        <v>1286645</v>
      </c>
      <c r="D906" s="88">
        <v>-1.2240437158470008E-2</v>
      </c>
      <c r="E906" s="87"/>
    </row>
    <row r="907" spans="1:5" ht="15" x14ac:dyDescent="0.2">
      <c r="A907" s="73">
        <v>43203</v>
      </c>
      <c r="B907" s="70">
        <v>91.5</v>
      </c>
      <c r="C907" s="85">
        <v>1848098</v>
      </c>
      <c r="D907" s="88">
        <v>-1.570567986230631E-2</v>
      </c>
      <c r="E907" s="87"/>
    </row>
    <row r="908" spans="1:5" ht="15" x14ac:dyDescent="0.2">
      <c r="A908" s="73">
        <v>43202</v>
      </c>
      <c r="B908" s="70">
        <v>92.96</v>
      </c>
      <c r="C908" s="85">
        <v>2055722</v>
      </c>
      <c r="D908" s="88">
        <v>5.7340690252081217E-3</v>
      </c>
      <c r="E908" s="87"/>
    </row>
    <row r="909" spans="1:5" ht="15" x14ac:dyDescent="0.2">
      <c r="A909" s="73">
        <v>43201</v>
      </c>
      <c r="B909" s="70">
        <v>92.43</v>
      </c>
      <c r="C909" s="85">
        <v>1962224</v>
      </c>
      <c r="D909" s="88">
        <v>-3.1335149863760181E-2</v>
      </c>
      <c r="E909" s="87"/>
    </row>
    <row r="910" spans="1:5" ht="15" x14ac:dyDescent="0.2">
      <c r="A910" s="73">
        <v>43200</v>
      </c>
      <c r="B910" s="70">
        <v>95.42</v>
      </c>
      <c r="C910" s="85">
        <v>1549328</v>
      </c>
      <c r="D910" s="88">
        <v>1.0805084745762583E-2</v>
      </c>
      <c r="E910" s="87"/>
    </row>
    <row r="911" spans="1:5" ht="15" x14ac:dyDescent="0.2">
      <c r="A911" s="73">
        <v>43199</v>
      </c>
      <c r="B911" s="70">
        <v>94.4</v>
      </c>
      <c r="C911" s="85">
        <v>1162527</v>
      </c>
      <c r="D911" s="88">
        <v>0</v>
      </c>
      <c r="E911" s="87"/>
    </row>
    <row r="912" spans="1:5" ht="15" x14ac:dyDescent="0.2">
      <c r="A912" s="73">
        <v>43196</v>
      </c>
      <c r="B912" s="70">
        <v>94.4</v>
      </c>
      <c r="C912" s="85">
        <v>1011322</v>
      </c>
      <c r="D912" s="88">
        <v>-4.9541477811742007E-3</v>
      </c>
      <c r="E912" s="87"/>
    </row>
    <row r="913" spans="1:5" ht="15" x14ac:dyDescent="0.2">
      <c r="A913" s="73">
        <v>43195</v>
      </c>
      <c r="B913" s="70">
        <v>94.87</v>
      </c>
      <c r="C913" s="85">
        <v>2241922</v>
      </c>
      <c r="D913" s="88">
        <v>2.2195884064217353E-2</v>
      </c>
      <c r="E913" s="87"/>
    </row>
    <row r="914" spans="1:5" ht="15" x14ac:dyDescent="0.2">
      <c r="A914" s="73">
        <v>43194</v>
      </c>
      <c r="B914" s="70">
        <v>92.81</v>
      </c>
      <c r="C914" s="85">
        <v>2566788</v>
      </c>
      <c r="D914" s="88">
        <v>-8.4401709401709102E-3</v>
      </c>
      <c r="E914" s="87"/>
    </row>
    <row r="915" spans="1:5" ht="15" x14ac:dyDescent="0.2">
      <c r="A915" s="73">
        <v>43193</v>
      </c>
      <c r="B915" s="70">
        <v>93.6</v>
      </c>
      <c r="C915" s="85">
        <v>1394820</v>
      </c>
      <c r="D915" s="88">
        <v>-2.1321961620469621E-3</v>
      </c>
      <c r="E915" s="87"/>
    </row>
    <row r="916" spans="1:5" ht="15" x14ac:dyDescent="0.2">
      <c r="A916" s="73">
        <v>43188</v>
      </c>
      <c r="B916" s="70">
        <v>93.8</v>
      </c>
      <c r="C916" s="85">
        <v>1787075</v>
      </c>
      <c r="D916" s="88">
        <v>-1.9153011278996157E-3</v>
      </c>
      <c r="E916" s="87"/>
    </row>
    <row r="917" spans="1:5" ht="15" x14ac:dyDescent="0.2">
      <c r="A917" s="73">
        <v>43187</v>
      </c>
      <c r="B917" s="70">
        <v>93.98</v>
      </c>
      <c r="C917" s="85">
        <v>2342711</v>
      </c>
      <c r="D917" s="88">
        <v>-1.1777076761303795E-2</v>
      </c>
      <c r="E917" s="87"/>
    </row>
    <row r="918" spans="1:5" ht="15" x14ac:dyDescent="0.2">
      <c r="A918" s="73">
        <v>43186</v>
      </c>
      <c r="B918" s="70">
        <v>95.1</v>
      </c>
      <c r="C918" s="85">
        <v>1603029</v>
      </c>
      <c r="D918" s="88">
        <v>2.390180878552961E-2</v>
      </c>
      <c r="E918" s="87"/>
    </row>
    <row r="919" spans="1:5" ht="15" x14ac:dyDescent="0.2">
      <c r="A919" s="73">
        <v>43185</v>
      </c>
      <c r="B919" s="70">
        <v>92.88</v>
      </c>
      <c r="C919" s="85">
        <v>2156370</v>
      </c>
      <c r="D919" s="88">
        <v>-4.3047783039185106E-4</v>
      </c>
      <c r="E919" s="87"/>
    </row>
    <row r="920" spans="1:5" ht="15" x14ac:dyDescent="0.2">
      <c r="A920" s="73">
        <v>43182</v>
      </c>
      <c r="B920" s="70">
        <v>92.92</v>
      </c>
      <c r="C920" s="85">
        <v>2232114</v>
      </c>
      <c r="D920" s="88">
        <v>-1.8070379372292056E-2</v>
      </c>
      <c r="E920" s="87"/>
    </row>
    <row r="921" spans="1:5" ht="15" x14ac:dyDescent="0.2">
      <c r="A921" s="73">
        <v>43181</v>
      </c>
      <c r="B921" s="70">
        <v>94.63</v>
      </c>
      <c r="C921" s="85">
        <v>2307587</v>
      </c>
      <c r="D921" s="88">
        <v>-9.2136949010576119E-3</v>
      </c>
      <c r="E921" s="87"/>
    </row>
    <row r="922" spans="1:5" ht="15" x14ac:dyDescent="0.2">
      <c r="A922" s="73">
        <v>43180</v>
      </c>
      <c r="B922" s="70">
        <v>95.51</v>
      </c>
      <c r="C922" s="85">
        <v>1306085</v>
      </c>
      <c r="D922" s="88">
        <v>-9.5405993985274717E-3</v>
      </c>
      <c r="E922" s="87"/>
    </row>
    <row r="923" spans="1:5" ht="15" x14ac:dyDescent="0.2">
      <c r="A923" s="73">
        <v>43179</v>
      </c>
      <c r="B923" s="70">
        <v>96.43</v>
      </c>
      <c r="C923" s="85">
        <v>1527789</v>
      </c>
      <c r="D923" s="88">
        <v>2.1179709837975125E-2</v>
      </c>
      <c r="E923" s="87"/>
    </row>
    <row r="924" spans="1:5" ht="15" x14ac:dyDescent="0.2">
      <c r="A924" s="73">
        <v>43178</v>
      </c>
      <c r="B924" s="70">
        <v>94.43</v>
      </c>
      <c r="C924" s="85">
        <v>1454271</v>
      </c>
      <c r="D924" s="88">
        <v>-1.6354166666666559E-2</v>
      </c>
      <c r="E924" s="87"/>
    </row>
    <row r="925" spans="1:5" ht="15" x14ac:dyDescent="0.2">
      <c r="A925" s="73">
        <v>43175</v>
      </c>
      <c r="B925" s="70">
        <v>96</v>
      </c>
      <c r="C925" s="85">
        <v>4240400</v>
      </c>
      <c r="D925" s="88">
        <v>-8.6741016109046498E-3</v>
      </c>
      <c r="E925" s="87"/>
    </row>
    <row r="926" spans="1:5" ht="15" x14ac:dyDescent="0.2">
      <c r="A926" s="73">
        <v>43174</v>
      </c>
      <c r="B926" s="70">
        <v>96.84</v>
      </c>
      <c r="C926" s="85">
        <v>1492138</v>
      </c>
      <c r="D926" s="88">
        <v>1.6692913385826902E-2</v>
      </c>
      <c r="E926" s="87"/>
    </row>
    <row r="927" spans="1:5" ht="15" x14ac:dyDescent="0.2">
      <c r="A927" s="73">
        <v>43173</v>
      </c>
      <c r="B927" s="70">
        <v>95.25</v>
      </c>
      <c r="C927" s="85">
        <v>1548763</v>
      </c>
      <c r="D927" s="88">
        <v>-4.2860129625758026E-3</v>
      </c>
      <c r="E927" s="87"/>
    </row>
    <row r="928" spans="1:5" ht="15" x14ac:dyDescent="0.2">
      <c r="A928" s="73">
        <v>43172</v>
      </c>
      <c r="B928" s="70">
        <v>95.66</v>
      </c>
      <c r="C928" s="85">
        <v>1460828</v>
      </c>
      <c r="D928" s="88">
        <v>-2.1904662563889676E-3</v>
      </c>
      <c r="E928" s="87"/>
    </row>
    <row r="929" spans="1:5" ht="15" x14ac:dyDescent="0.2">
      <c r="A929" s="73">
        <v>43171</v>
      </c>
      <c r="B929" s="70">
        <v>95.87</v>
      </c>
      <c r="C929" s="85">
        <v>1824223</v>
      </c>
      <c r="D929" s="88">
        <v>-2.5017797213464754E-2</v>
      </c>
      <c r="E929" s="87"/>
    </row>
    <row r="930" spans="1:5" ht="15" x14ac:dyDescent="0.2">
      <c r="A930" s="73">
        <v>43168</v>
      </c>
      <c r="B930" s="70">
        <v>98.33</v>
      </c>
      <c r="C930" s="85">
        <v>1667528</v>
      </c>
      <c r="D930" s="88">
        <v>1.2771655165310536E-2</v>
      </c>
      <c r="E930" s="87"/>
    </row>
    <row r="931" spans="1:5" ht="15" x14ac:dyDescent="0.2">
      <c r="A931" s="73">
        <v>43167</v>
      </c>
      <c r="B931" s="70">
        <v>97.09</v>
      </c>
      <c r="C931" s="85">
        <v>1708289</v>
      </c>
      <c r="D931" s="88">
        <v>1.4312578353531169E-2</v>
      </c>
      <c r="E931" s="87"/>
    </row>
    <row r="932" spans="1:5" ht="15" x14ac:dyDescent="0.2">
      <c r="A932" s="73">
        <v>43166</v>
      </c>
      <c r="B932" s="70">
        <v>95.72</v>
      </c>
      <c r="C932" s="85">
        <v>1496982</v>
      </c>
      <c r="D932" s="88">
        <v>-4.1614648356221862E-3</v>
      </c>
      <c r="E932" s="87"/>
    </row>
    <row r="933" spans="1:5" ht="15" x14ac:dyDescent="0.2">
      <c r="A933" s="73">
        <v>43165</v>
      </c>
      <c r="B933" s="70">
        <v>96.12</v>
      </c>
      <c r="C933" s="85">
        <v>2005926</v>
      </c>
      <c r="D933" s="88">
        <v>3.8642297650131052E-3</v>
      </c>
      <c r="E933" s="87"/>
    </row>
    <row r="934" spans="1:5" ht="15" x14ac:dyDescent="0.2">
      <c r="A934" s="73">
        <v>43164</v>
      </c>
      <c r="B934" s="70">
        <v>95.75</v>
      </c>
      <c r="C934" s="85">
        <v>1883059</v>
      </c>
      <c r="D934" s="88">
        <v>1.915912719531665E-2</v>
      </c>
      <c r="E934" s="87"/>
    </row>
    <row r="935" spans="1:5" ht="15" x14ac:dyDescent="0.2">
      <c r="A935" s="73">
        <v>43161</v>
      </c>
      <c r="B935" s="70">
        <v>93.95</v>
      </c>
      <c r="C935" s="85">
        <v>2660441</v>
      </c>
      <c r="D935" s="88">
        <v>-3.2440782698249127E-2</v>
      </c>
      <c r="E935" s="87"/>
    </row>
    <row r="936" spans="1:5" ht="15" x14ac:dyDescent="0.2">
      <c r="A936" s="73">
        <v>43160</v>
      </c>
      <c r="B936" s="70">
        <v>97.1</v>
      </c>
      <c r="C936" s="85">
        <v>1760776</v>
      </c>
      <c r="D936" s="88">
        <v>-1.2609314622737511E-2</v>
      </c>
      <c r="E936" s="87"/>
    </row>
    <row r="937" spans="1:5" ht="15" x14ac:dyDescent="0.2">
      <c r="A937" s="73">
        <v>43159</v>
      </c>
      <c r="B937" s="70">
        <v>98.34</v>
      </c>
      <c r="C937" s="85">
        <v>1718890</v>
      </c>
      <c r="D937" s="88">
        <v>-3.74835376354965E-3</v>
      </c>
      <c r="E937" s="87"/>
    </row>
    <row r="938" spans="1:5" ht="15" x14ac:dyDescent="0.2">
      <c r="A938" s="73">
        <v>43158</v>
      </c>
      <c r="B938" s="70">
        <v>98.71</v>
      </c>
      <c r="C938" s="85">
        <v>2326711</v>
      </c>
      <c r="D938" s="88">
        <v>-2.3246411966848513E-3</v>
      </c>
      <c r="E938" s="87"/>
    </row>
    <row r="939" spans="1:5" ht="15" x14ac:dyDescent="0.2">
      <c r="A939" s="73">
        <v>43157</v>
      </c>
      <c r="B939" s="70">
        <v>98.94</v>
      </c>
      <c r="C939" s="85">
        <v>1886721</v>
      </c>
      <c r="D939" s="88">
        <v>6.5106815869786505E-3</v>
      </c>
      <c r="E939" s="87"/>
    </row>
    <row r="940" spans="1:5" ht="15" x14ac:dyDescent="0.2">
      <c r="A940" s="73">
        <v>43154</v>
      </c>
      <c r="B940" s="70">
        <v>98.3</v>
      </c>
      <c r="C940" s="85">
        <v>1401492</v>
      </c>
      <c r="D940" s="88">
        <v>6.1412487205732003E-3</v>
      </c>
      <c r="E940" s="87"/>
    </row>
    <row r="941" spans="1:5" ht="15" x14ac:dyDescent="0.2">
      <c r="A941" s="73">
        <v>43153</v>
      </c>
      <c r="B941" s="70">
        <v>97.7</v>
      </c>
      <c r="C941" s="85">
        <v>1946425</v>
      </c>
      <c r="D941" s="88">
        <v>4.0958427196402525E-4</v>
      </c>
      <c r="E941" s="87"/>
    </row>
    <row r="942" spans="1:5" ht="15" x14ac:dyDescent="0.2">
      <c r="A942" s="73">
        <v>43152</v>
      </c>
      <c r="B942" s="70">
        <v>97.66</v>
      </c>
      <c r="C942" s="85">
        <v>2045573</v>
      </c>
      <c r="D942" s="88">
        <v>6.9079286524384997E-3</v>
      </c>
      <c r="E942" s="87"/>
    </row>
    <row r="943" spans="1:5" ht="15" x14ac:dyDescent="0.2">
      <c r="A943" s="73">
        <v>43151</v>
      </c>
      <c r="B943" s="70">
        <v>96.99</v>
      </c>
      <c r="C943" s="85">
        <v>2250827</v>
      </c>
      <c r="D943" s="88">
        <v>2.2130888397091208E-2</v>
      </c>
      <c r="E943" s="87"/>
    </row>
    <row r="944" spans="1:5" ht="15" x14ac:dyDescent="0.2">
      <c r="A944" s="73">
        <v>43150</v>
      </c>
      <c r="B944" s="70">
        <v>94.89</v>
      </c>
      <c r="C944" s="85">
        <v>1575164</v>
      </c>
      <c r="D944" s="88">
        <v>-6.6994661362922425E-3</v>
      </c>
      <c r="E944" s="87"/>
    </row>
    <row r="945" spans="1:5" ht="15" x14ac:dyDescent="0.2">
      <c r="A945" s="73">
        <v>43147</v>
      </c>
      <c r="B945" s="70">
        <v>95.53</v>
      </c>
      <c r="C945" s="85">
        <v>3480413</v>
      </c>
      <c r="D945" s="88">
        <v>2.9196293902176373E-2</v>
      </c>
      <c r="E945" s="87"/>
    </row>
    <row r="946" spans="1:5" ht="15" x14ac:dyDescent="0.2">
      <c r="A946" s="73">
        <v>43146</v>
      </c>
      <c r="B946" s="70">
        <v>92.82</v>
      </c>
      <c r="C946" s="85">
        <v>5873239</v>
      </c>
      <c r="D946" s="88">
        <v>0.10276820719971469</v>
      </c>
      <c r="E946" s="87"/>
    </row>
    <row r="947" spans="1:5" ht="15" x14ac:dyDescent="0.2">
      <c r="A947" s="73">
        <v>43145</v>
      </c>
      <c r="B947" s="70">
        <v>84.17</v>
      </c>
      <c r="C947" s="85">
        <v>2325684</v>
      </c>
      <c r="D947" s="88">
        <v>1.2266987372218763E-2</v>
      </c>
      <c r="E947" s="87"/>
    </row>
    <row r="948" spans="1:5" ht="15" x14ac:dyDescent="0.2">
      <c r="A948" s="73">
        <v>43144</v>
      </c>
      <c r="B948" s="70">
        <v>83.15</v>
      </c>
      <c r="C948" s="85">
        <v>2150253</v>
      </c>
      <c r="D948" s="88">
        <v>7.6345128453709776E-3</v>
      </c>
      <c r="E948" s="87"/>
    </row>
    <row r="949" spans="1:5" ht="15" x14ac:dyDescent="0.2">
      <c r="A949" s="73">
        <v>43143</v>
      </c>
      <c r="B949" s="70">
        <v>82.52</v>
      </c>
      <c r="C949" s="85">
        <v>2890116</v>
      </c>
      <c r="D949" s="88">
        <v>-1.2209719894661353E-2</v>
      </c>
      <c r="E949" s="87"/>
    </row>
    <row r="950" spans="1:5" ht="15" x14ac:dyDescent="0.2">
      <c r="A950" s="73">
        <v>43140</v>
      </c>
      <c r="B950" s="70">
        <v>83.54</v>
      </c>
      <c r="C950" s="85">
        <v>3554261</v>
      </c>
      <c r="D950" s="88">
        <v>-2.3038241141386973E-2</v>
      </c>
      <c r="E950" s="87"/>
    </row>
    <row r="951" spans="1:5" ht="15" x14ac:dyDescent="0.2">
      <c r="A951" s="73">
        <v>43139</v>
      </c>
      <c r="B951" s="70">
        <v>85.51</v>
      </c>
      <c r="C951" s="85">
        <v>2627891</v>
      </c>
      <c r="D951" s="88">
        <v>-3.2692307692307687E-2</v>
      </c>
      <c r="E951" s="87"/>
    </row>
    <row r="952" spans="1:5" ht="15" x14ac:dyDescent="0.2">
      <c r="A952" s="73">
        <v>43138</v>
      </c>
      <c r="B952" s="70">
        <v>88.4</v>
      </c>
      <c r="C952" s="85">
        <v>2662190</v>
      </c>
      <c r="D952" s="88">
        <v>3.9877661451593882E-2</v>
      </c>
      <c r="E952" s="87"/>
    </row>
    <row r="953" spans="1:5" ht="15" x14ac:dyDescent="0.2">
      <c r="A953" s="73">
        <v>43137</v>
      </c>
      <c r="B953" s="70">
        <v>85.01</v>
      </c>
      <c r="C953" s="85">
        <v>4166870</v>
      </c>
      <c r="D953" s="88">
        <v>-1.836027713625854E-2</v>
      </c>
      <c r="E953" s="87"/>
    </row>
    <row r="954" spans="1:5" ht="15" x14ac:dyDescent="0.2">
      <c r="A954" s="73">
        <v>43136</v>
      </c>
      <c r="B954" s="70">
        <v>86.6</v>
      </c>
      <c r="C954" s="85">
        <v>2275453</v>
      </c>
      <c r="D954" s="88">
        <v>-1.557349096282834E-2</v>
      </c>
      <c r="E954" s="87"/>
    </row>
    <row r="955" spans="1:5" ht="15" x14ac:dyDescent="0.2">
      <c r="A955" s="73">
        <v>43133</v>
      </c>
      <c r="B955" s="70">
        <v>87.97</v>
      </c>
      <c r="C955" s="85">
        <v>2700960</v>
      </c>
      <c r="D955" s="88">
        <v>-3.5099265109136857E-2</v>
      </c>
      <c r="E955" s="87"/>
    </row>
    <row r="956" spans="1:5" ht="15" x14ac:dyDescent="0.2">
      <c r="A956" s="73">
        <v>43132</v>
      </c>
      <c r="B956" s="70">
        <v>91.17</v>
      </c>
      <c r="C956" s="85">
        <v>1963564</v>
      </c>
      <c r="D956" s="88">
        <v>-1.4378378378378409E-2</v>
      </c>
      <c r="E956" s="87"/>
    </row>
    <row r="957" spans="1:5" ht="15" x14ac:dyDescent="0.2">
      <c r="A957" s="73">
        <v>43131</v>
      </c>
      <c r="B957" s="70">
        <v>92.5</v>
      </c>
      <c r="C957" s="85">
        <v>2051737</v>
      </c>
      <c r="D957" s="88">
        <v>3.0066815144766279E-2</v>
      </c>
      <c r="E957" s="87"/>
    </row>
    <row r="958" spans="1:5" ht="15" x14ac:dyDescent="0.2">
      <c r="A958" s="73">
        <v>43130</v>
      </c>
      <c r="B958" s="70">
        <v>89.8</v>
      </c>
      <c r="C958" s="85">
        <v>1353425</v>
      </c>
      <c r="D958" s="88">
        <v>-6.8568900685689327E-3</v>
      </c>
      <c r="E958" s="87"/>
    </row>
    <row r="959" spans="1:5" ht="15" x14ac:dyDescent="0.2">
      <c r="A959" s="73">
        <v>43129</v>
      </c>
      <c r="B959" s="70">
        <v>90.42</v>
      </c>
      <c r="C959" s="85">
        <v>1589726</v>
      </c>
      <c r="D959" s="88">
        <v>9.6025011165699059E-3</v>
      </c>
      <c r="E959" s="87"/>
    </row>
    <row r="960" spans="1:5" ht="15" x14ac:dyDescent="0.2">
      <c r="A960" s="73">
        <v>43126</v>
      </c>
      <c r="B960" s="70">
        <v>89.56</v>
      </c>
      <c r="C960" s="85">
        <v>1688553</v>
      </c>
      <c r="D960" s="88">
        <v>1.7727272727272814E-2</v>
      </c>
      <c r="E960" s="87"/>
    </row>
    <row r="961" spans="1:7" ht="15" x14ac:dyDescent="0.2">
      <c r="A961" s="73">
        <v>43125</v>
      </c>
      <c r="B961" s="70">
        <v>88</v>
      </c>
      <c r="C961" s="85">
        <v>2766900</v>
      </c>
      <c r="D961" s="88">
        <v>-2.7624309392265234E-2</v>
      </c>
      <c r="E961" s="87"/>
    </row>
    <row r="962" spans="1:7" ht="15" x14ac:dyDescent="0.2">
      <c r="A962" s="73">
        <v>43124</v>
      </c>
      <c r="B962" s="70">
        <v>90.5</v>
      </c>
      <c r="C962" s="85">
        <v>1770657</v>
      </c>
      <c r="D962" s="88">
        <v>-1.7372421281215966E-2</v>
      </c>
      <c r="E962" s="87"/>
    </row>
    <row r="963" spans="1:7" ht="15" x14ac:dyDescent="0.2">
      <c r="A963" s="73">
        <v>43123</v>
      </c>
      <c r="B963" s="70">
        <v>92.1</v>
      </c>
      <c r="C963" s="85">
        <v>1848638</v>
      </c>
      <c r="D963" s="88">
        <v>-1.2332439678284235E-2</v>
      </c>
      <c r="E963" s="87"/>
    </row>
    <row r="964" spans="1:7" ht="15" x14ac:dyDescent="0.2">
      <c r="A964" s="73">
        <v>43122</v>
      </c>
      <c r="B964" s="70">
        <v>93.25</v>
      </c>
      <c r="C964" s="85">
        <v>1866217</v>
      </c>
      <c r="D964" s="88">
        <v>4.9574307576247811E-3</v>
      </c>
      <c r="E964" s="87"/>
    </row>
    <row r="965" spans="1:7" ht="15" x14ac:dyDescent="0.2">
      <c r="A965" s="73">
        <v>43119</v>
      </c>
      <c r="B965" s="70">
        <v>92.79</v>
      </c>
      <c r="C965" s="85">
        <v>2523329</v>
      </c>
      <c r="D965" s="88">
        <v>2.6438053097345149E-2</v>
      </c>
      <c r="E965" s="87"/>
    </row>
    <row r="966" spans="1:7" ht="15" x14ac:dyDescent="0.2">
      <c r="A966" s="73">
        <v>43118</v>
      </c>
      <c r="B966" s="70">
        <v>90.4</v>
      </c>
      <c r="C966" s="85">
        <v>2656032</v>
      </c>
      <c r="D966" s="88">
        <v>7.3545798974816723E-3</v>
      </c>
      <c r="E966" s="67"/>
      <c r="F966" s="67"/>
      <c r="G966" s="67"/>
    </row>
    <row r="967" spans="1:7" ht="15" x14ac:dyDescent="0.2">
      <c r="A967" s="73">
        <v>43117</v>
      </c>
      <c r="B967" s="70">
        <v>89.74</v>
      </c>
      <c r="C967" s="85">
        <v>1287333</v>
      </c>
      <c r="D967" s="88">
        <v>-2.5564076914527112E-3</v>
      </c>
      <c r="E967" s="67"/>
      <c r="F967" s="67"/>
      <c r="G967" s="67"/>
    </row>
    <row r="968" spans="1:7" ht="15" x14ac:dyDescent="0.2">
      <c r="A968" s="73">
        <v>43116</v>
      </c>
      <c r="B968" s="70">
        <v>89.97</v>
      </c>
      <c r="C968" s="85">
        <v>1621132</v>
      </c>
      <c r="D968" s="88">
        <v>-3.3333333333329662E-4</v>
      </c>
      <c r="E968" s="67"/>
      <c r="F968" s="67"/>
      <c r="G968" s="67"/>
    </row>
    <row r="969" spans="1:7" ht="15" x14ac:dyDescent="0.2">
      <c r="A969" s="73">
        <v>43115</v>
      </c>
      <c r="B969" s="70">
        <v>90</v>
      </c>
      <c r="C969" s="85">
        <v>1374298</v>
      </c>
      <c r="D969" s="88">
        <v>-4.4247787610620648E-3</v>
      </c>
      <c r="E969" s="67"/>
      <c r="F969" s="67"/>
      <c r="G969" s="67"/>
    </row>
    <row r="970" spans="1:7" ht="15" x14ac:dyDescent="0.2">
      <c r="A970" s="73">
        <v>43112</v>
      </c>
      <c r="B970" s="70">
        <v>90.4</v>
      </c>
      <c r="C970" s="85">
        <v>1301019</v>
      </c>
      <c r="D970" s="88">
        <v>4.2212841590758554E-3</v>
      </c>
      <c r="E970" s="67"/>
      <c r="F970" s="67"/>
      <c r="G970" s="67"/>
    </row>
    <row r="971" spans="1:7" ht="15" x14ac:dyDescent="0.2">
      <c r="A971" s="73">
        <v>43111</v>
      </c>
      <c r="B971" s="70">
        <v>90.02</v>
      </c>
      <c r="C971" s="85">
        <v>2816239</v>
      </c>
      <c r="D971" s="88">
        <v>-2.76946936966882E-3</v>
      </c>
      <c r="E971" s="67"/>
      <c r="F971" s="67"/>
      <c r="G971" s="67"/>
    </row>
    <row r="972" spans="1:7" ht="15" x14ac:dyDescent="0.2">
      <c r="A972" s="73">
        <v>43110</v>
      </c>
      <c r="B972" s="70">
        <v>90.27</v>
      </c>
      <c r="C972" s="85">
        <v>2630181</v>
      </c>
      <c r="D972" s="88">
        <v>3.9019337016574562E-2</v>
      </c>
      <c r="E972" s="67"/>
      <c r="F972" s="67"/>
      <c r="G972" s="67"/>
    </row>
    <row r="973" spans="1:7" ht="15" x14ac:dyDescent="0.2">
      <c r="A973" s="73">
        <v>43109</v>
      </c>
      <c r="B973" s="70">
        <v>86.88</v>
      </c>
      <c r="C973" s="85">
        <v>1117093</v>
      </c>
      <c r="D973" s="88">
        <v>3.0016162549064695E-3</v>
      </c>
      <c r="E973" s="67"/>
      <c r="F973" s="67"/>
      <c r="G973" s="67"/>
    </row>
    <row r="974" spans="1:7" ht="15" x14ac:dyDescent="0.2">
      <c r="A974" s="73">
        <v>43108</v>
      </c>
      <c r="B974" s="70">
        <v>86.62</v>
      </c>
      <c r="C974" s="85">
        <v>1330866</v>
      </c>
      <c r="D974" s="88">
        <v>1.1915887850467488E-2</v>
      </c>
      <c r="E974" s="67"/>
      <c r="F974" s="67"/>
      <c r="G974" s="67"/>
    </row>
    <row r="975" spans="1:7" ht="15" x14ac:dyDescent="0.2">
      <c r="A975" s="73">
        <v>43105</v>
      </c>
      <c r="B975" s="70">
        <v>85.6</v>
      </c>
      <c r="C975" s="85">
        <v>1689901</v>
      </c>
      <c r="D975" s="88">
        <v>-2.5635050104870771E-3</v>
      </c>
      <c r="E975" s="67"/>
      <c r="F975" s="67"/>
      <c r="G975" s="67"/>
    </row>
    <row r="976" spans="1:7" ht="15" x14ac:dyDescent="0.2">
      <c r="A976" s="73">
        <v>43104</v>
      </c>
      <c r="B976" s="70">
        <v>85.82</v>
      </c>
      <c r="C976" s="85">
        <v>1796349</v>
      </c>
      <c r="D976" s="88">
        <v>2.020922491678534E-2</v>
      </c>
      <c r="E976" s="67"/>
      <c r="F976" s="67"/>
      <c r="G976" s="67"/>
    </row>
    <row r="977" spans="1:7" ht="15" x14ac:dyDescent="0.2">
      <c r="A977" s="73">
        <v>43103</v>
      </c>
      <c r="B977" s="70">
        <v>84.12</v>
      </c>
      <c r="C977" s="85">
        <v>1623702</v>
      </c>
      <c r="D977" s="88">
        <v>1.6555891238670739E-2</v>
      </c>
      <c r="E977" s="67"/>
      <c r="F977" s="67"/>
      <c r="G977" s="67"/>
    </row>
    <row r="978" spans="1:7" ht="15" x14ac:dyDescent="0.2">
      <c r="A978" s="73">
        <v>43102</v>
      </c>
      <c r="B978" s="70">
        <v>82.75</v>
      </c>
      <c r="C978" s="85">
        <v>1372454</v>
      </c>
      <c r="D978" s="88">
        <v>-3.0120481927711218E-3</v>
      </c>
      <c r="E978" s="67"/>
      <c r="F978" s="67"/>
      <c r="G978" s="67"/>
    </row>
    <row r="979" spans="1:7" ht="15" x14ac:dyDescent="0.2">
      <c r="A979" s="76">
        <v>43098</v>
      </c>
      <c r="B979" s="77">
        <v>83</v>
      </c>
      <c r="C979" s="86">
        <v>1578785</v>
      </c>
      <c r="D979" s="89">
        <v>-1.0727056019070424E-2</v>
      </c>
      <c r="E979" s="79"/>
      <c r="F979" s="79"/>
      <c r="G979" s="78" t="e">
        <v>#REF!</v>
      </c>
    </row>
    <row r="980" spans="1:7" ht="15" x14ac:dyDescent="0.2">
      <c r="A980" s="73">
        <v>43097</v>
      </c>
      <c r="B980" s="70">
        <v>83.9</v>
      </c>
      <c r="C980" s="85">
        <v>1024248</v>
      </c>
      <c r="D980" s="88">
        <v>-1.572031909901439E-2</v>
      </c>
      <c r="E980" s="67"/>
      <c r="F980" s="67"/>
      <c r="G980" s="67"/>
    </row>
    <row r="981" spans="1:7" ht="15" x14ac:dyDescent="0.2">
      <c r="A981" s="73">
        <v>43096</v>
      </c>
      <c r="B981" s="70">
        <v>85.24</v>
      </c>
      <c r="C981" s="85">
        <v>932890</v>
      </c>
      <c r="D981" s="88">
        <v>8.1608515671200976E-3</v>
      </c>
      <c r="E981" s="67"/>
      <c r="F981" s="67"/>
      <c r="G981" s="67"/>
    </row>
    <row r="982" spans="1:7" ht="15" x14ac:dyDescent="0.2">
      <c r="A982" s="73">
        <v>43091</v>
      </c>
      <c r="B982" s="70">
        <v>84.55</v>
      </c>
      <c r="C982" s="85">
        <v>873485</v>
      </c>
      <c r="D982" s="88">
        <v>-4.3570419218088574E-3</v>
      </c>
      <c r="E982" s="87"/>
    </row>
    <row r="983" spans="1:7" ht="15" x14ac:dyDescent="0.2">
      <c r="A983" s="73">
        <v>43090</v>
      </c>
      <c r="B983" s="70">
        <v>84.92</v>
      </c>
      <c r="C983" s="85">
        <v>1356310</v>
      </c>
      <c r="D983" s="88">
        <v>1.4150943396227245E-3</v>
      </c>
      <c r="E983" s="87"/>
    </row>
    <row r="984" spans="1:7" ht="15" x14ac:dyDescent="0.2">
      <c r="A984" s="73">
        <v>43089</v>
      </c>
      <c r="B984" s="70">
        <v>84.8</v>
      </c>
      <c r="C984" s="85">
        <v>1500312</v>
      </c>
      <c r="D984" s="88">
        <v>-1.0155246877553425E-2</v>
      </c>
      <c r="E984" s="87"/>
    </row>
    <row r="985" spans="1:7" ht="15" x14ac:dyDescent="0.2">
      <c r="A985" s="73">
        <v>43088</v>
      </c>
      <c r="B985" s="70">
        <v>85.67</v>
      </c>
      <c r="C985" s="85">
        <v>1155519</v>
      </c>
      <c r="D985" s="88">
        <v>-9.9387495666243275E-3</v>
      </c>
      <c r="E985" s="87"/>
    </row>
    <row r="986" spans="1:7" ht="15" x14ac:dyDescent="0.2">
      <c r="A986" s="73">
        <v>43087</v>
      </c>
      <c r="B986" s="70">
        <v>86.53</v>
      </c>
      <c r="C986" s="85">
        <v>1339134</v>
      </c>
      <c r="D986" s="88">
        <v>1.5014662756598351E-2</v>
      </c>
      <c r="E986" s="87"/>
    </row>
    <row r="987" spans="1:7" ht="15" x14ac:dyDescent="0.2">
      <c r="A987" s="73">
        <v>43084</v>
      </c>
      <c r="B987" s="70">
        <v>85.25</v>
      </c>
      <c r="C987" s="85">
        <v>5085521</v>
      </c>
      <c r="D987" s="88">
        <v>-1.0546051089759256E-3</v>
      </c>
      <c r="E987" s="87"/>
    </row>
    <row r="988" spans="1:7" ht="15" x14ac:dyDescent="0.2">
      <c r="A988" s="73">
        <v>43083</v>
      </c>
      <c r="B988" s="70">
        <v>85.34</v>
      </c>
      <c r="C988" s="85">
        <v>1902549</v>
      </c>
      <c r="D988" s="88">
        <v>-1.0550724637681141E-2</v>
      </c>
      <c r="E988" s="87"/>
    </row>
    <row r="989" spans="1:7" ht="15" x14ac:dyDescent="0.2">
      <c r="A989" s="73">
        <v>43082</v>
      </c>
      <c r="B989" s="70">
        <v>86.25</v>
      </c>
      <c r="C989" s="85">
        <v>1390206</v>
      </c>
      <c r="D989" s="88">
        <v>-1.1234666972371965E-2</v>
      </c>
      <c r="E989" s="87"/>
    </row>
    <row r="990" spans="1:7" ht="15" x14ac:dyDescent="0.2">
      <c r="A990" s="73">
        <v>43081</v>
      </c>
      <c r="B990" s="70">
        <v>87.23</v>
      </c>
      <c r="C990" s="85">
        <v>1186451</v>
      </c>
      <c r="D990" s="88">
        <v>1.5128593040847127E-2</v>
      </c>
      <c r="E990" s="87"/>
    </row>
    <row r="991" spans="1:7" ht="15" x14ac:dyDescent="0.2">
      <c r="A991" s="73">
        <v>43080</v>
      </c>
      <c r="B991" s="70">
        <v>85.93</v>
      </c>
      <c r="C991" s="85">
        <v>1591753</v>
      </c>
      <c r="D991" s="88">
        <v>-2.0963882875697726E-2</v>
      </c>
      <c r="E991" s="87"/>
    </row>
    <row r="992" spans="1:7" ht="15" x14ac:dyDescent="0.2">
      <c r="A992" s="73">
        <v>43077</v>
      </c>
      <c r="B992" s="70">
        <v>87.77</v>
      </c>
      <c r="C992" s="85">
        <v>1264048</v>
      </c>
      <c r="D992" s="88">
        <v>-2.8402635764599449E-3</v>
      </c>
      <c r="E992" s="87"/>
    </row>
    <row r="993" spans="1:5" ht="15" x14ac:dyDescent="0.2">
      <c r="A993" s="73">
        <v>43076</v>
      </c>
      <c r="B993" s="70">
        <v>88.02</v>
      </c>
      <c r="C993" s="85">
        <v>1462679</v>
      </c>
      <c r="D993" s="88">
        <v>-9.4530722484807983E-3</v>
      </c>
      <c r="E993" s="87"/>
    </row>
    <row r="994" spans="1:5" ht="15" x14ac:dyDescent="0.2">
      <c r="A994" s="73">
        <v>43075</v>
      </c>
      <c r="B994" s="70">
        <v>88.86</v>
      </c>
      <c r="C994" s="85">
        <v>1315476</v>
      </c>
      <c r="D994" s="88">
        <v>3.2742463588122384E-3</v>
      </c>
      <c r="E994" s="87"/>
    </row>
    <row r="995" spans="1:5" ht="15" x14ac:dyDescent="0.2">
      <c r="A995" s="73">
        <v>43074</v>
      </c>
      <c r="B995" s="70">
        <v>88.57</v>
      </c>
      <c r="C995" s="85">
        <v>1385214</v>
      </c>
      <c r="D995" s="88">
        <v>7.9663138727663618E-3</v>
      </c>
      <c r="E995" s="87"/>
    </row>
    <row r="996" spans="1:5" ht="15" x14ac:dyDescent="0.2">
      <c r="A996" s="73">
        <v>43073</v>
      </c>
      <c r="B996" s="70">
        <v>87.87</v>
      </c>
      <c r="C996" s="85">
        <v>1741336</v>
      </c>
      <c r="D996" s="88">
        <v>3.000820536865545E-2</v>
      </c>
      <c r="E996" s="87"/>
    </row>
    <row r="997" spans="1:5" ht="15" x14ac:dyDescent="0.2">
      <c r="A997" s="73">
        <v>43070</v>
      </c>
      <c r="B997" s="70">
        <v>85.31</v>
      </c>
      <c r="C997" s="85">
        <v>2055769</v>
      </c>
      <c r="D997" s="88">
        <v>-2.2683010654141467E-2</v>
      </c>
      <c r="E997" s="87"/>
    </row>
    <row r="998" spans="1:5" ht="15" x14ac:dyDescent="0.2">
      <c r="A998" s="73">
        <v>43069</v>
      </c>
      <c r="B998" s="70">
        <v>87.29</v>
      </c>
      <c r="C998" s="85">
        <v>2161119</v>
      </c>
      <c r="D998" s="88">
        <v>0</v>
      </c>
      <c r="E998" s="87"/>
    </row>
    <row r="999" spans="1:5" ht="15" x14ac:dyDescent="0.2">
      <c r="A999" s="73">
        <v>43068</v>
      </c>
      <c r="B999" s="70">
        <v>87.29</v>
      </c>
      <c r="C999" s="85">
        <v>1485386</v>
      </c>
      <c r="D999" s="88">
        <v>5.2977081653806657E-3</v>
      </c>
      <c r="E999" s="87"/>
    </row>
    <row r="1000" spans="1:5" ht="15" x14ac:dyDescent="0.2">
      <c r="A1000" s="73">
        <v>43067</v>
      </c>
      <c r="B1000" s="70">
        <v>86.83</v>
      </c>
      <c r="C1000" s="85">
        <v>1222274</v>
      </c>
      <c r="D1000" s="88">
        <v>1.330376940133049E-2</v>
      </c>
      <c r="E1000" s="87"/>
    </row>
    <row r="1001" spans="1:5" ht="15" x14ac:dyDescent="0.2">
      <c r="A1001" s="73">
        <v>43066</v>
      </c>
      <c r="B1001" s="70">
        <v>85.69</v>
      </c>
      <c r="C1001" s="85">
        <v>1011712</v>
      </c>
      <c r="D1001" s="88">
        <v>-1.2820512820512775E-3</v>
      </c>
      <c r="E1001" s="87"/>
    </row>
    <row r="1002" spans="1:5" ht="15" x14ac:dyDescent="0.2">
      <c r="A1002" s="73">
        <v>43063</v>
      </c>
      <c r="B1002" s="70">
        <v>85.8</v>
      </c>
      <c r="C1002" s="85">
        <v>951963</v>
      </c>
      <c r="D1002" s="88">
        <v>-1.0478519035976852E-3</v>
      </c>
      <c r="E1002" s="87"/>
    </row>
    <row r="1003" spans="1:5" ht="15" x14ac:dyDescent="0.2">
      <c r="A1003" s="73">
        <v>43062</v>
      </c>
      <c r="B1003" s="70">
        <v>85.89</v>
      </c>
      <c r="C1003" s="85">
        <v>917728</v>
      </c>
      <c r="D1003" s="88">
        <v>6.5627563576702297E-3</v>
      </c>
      <c r="E1003" s="87"/>
    </row>
    <row r="1004" spans="1:5" ht="15" x14ac:dyDescent="0.2">
      <c r="A1004" s="73">
        <v>43061</v>
      </c>
      <c r="B1004" s="70">
        <v>85.33</v>
      </c>
      <c r="C1004" s="85">
        <v>1315358</v>
      </c>
      <c r="D1004" s="88">
        <v>-8.0213903743314718E-3</v>
      </c>
      <c r="E1004" s="87"/>
    </row>
    <row r="1005" spans="1:5" ht="15" x14ac:dyDescent="0.2">
      <c r="A1005" s="73">
        <v>43060</v>
      </c>
      <c r="B1005" s="70">
        <v>86.02</v>
      </c>
      <c r="C1005" s="85">
        <v>1400629</v>
      </c>
      <c r="D1005" s="88">
        <v>9.6244131455398563E-3</v>
      </c>
      <c r="E1005" s="87"/>
    </row>
    <row r="1006" spans="1:5" ht="15" x14ac:dyDescent="0.2">
      <c r="A1006" s="73">
        <v>43059</v>
      </c>
      <c r="B1006" s="70">
        <v>85.2</v>
      </c>
      <c r="C1006" s="85">
        <v>1115602</v>
      </c>
      <c r="D1006" s="88">
        <v>3.7700282752122227E-3</v>
      </c>
      <c r="E1006" s="87"/>
    </row>
    <row r="1007" spans="1:5" ht="15" x14ac:dyDescent="0.2">
      <c r="A1007" s="73">
        <v>43056</v>
      </c>
      <c r="B1007" s="70">
        <v>84.88</v>
      </c>
      <c r="C1007" s="85">
        <v>1303346</v>
      </c>
      <c r="D1007" s="88">
        <v>-7.1353374663702951E-3</v>
      </c>
      <c r="E1007" s="87"/>
    </row>
    <row r="1008" spans="1:5" ht="15" x14ac:dyDescent="0.2">
      <c r="A1008" s="73">
        <v>43055</v>
      </c>
      <c r="B1008" s="70">
        <v>85.49</v>
      </c>
      <c r="C1008" s="85">
        <v>1517840</v>
      </c>
      <c r="D1008" s="88">
        <v>-1.1695906432751535E-4</v>
      </c>
      <c r="E1008" s="87"/>
    </row>
    <row r="1009" spans="1:5" ht="15" x14ac:dyDescent="0.2">
      <c r="A1009" s="73">
        <v>43054</v>
      </c>
      <c r="B1009" s="70">
        <v>85.5</v>
      </c>
      <c r="C1009" s="85">
        <v>3015548</v>
      </c>
      <c r="D1009" s="88">
        <v>2.3461814699545114E-2</v>
      </c>
      <c r="E1009" s="87"/>
    </row>
    <row r="1010" spans="1:5" ht="15" x14ac:dyDescent="0.2">
      <c r="A1010" s="73">
        <v>43053</v>
      </c>
      <c r="B1010" s="70">
        <v>83.54</v>
      </c>
      <c r="C1010" s="85">
        <v>1522192</v>
      </c>
      <c r="D1010" s="88">
        <v>3.4834834834835959E-3</v>
      </c>
      <c r="E1010" s="87"/>
    </row>
    <row r="1011" spans="1:5" ht="15" x14ac:dyDescent="0.2">
      <c r="A1011" s="73">
        <v>43052</v>
      </c>
      <c r="B1011" s="70">
        <v>83.25</v>
      </c>
      <c r="C1011" s="85">
        <v>1611483</v>
      </c>
      <c r="D1011" s="88">
        <v>-5.6139512661251834E-3</v>
      </c>
      <c r="E1011" s="87"/>
    </row>
    <row r="1012" spans="1:5" ht="15" x14ac:dyDescent="0.2">
      <c r="A1012" s="73">
        <v>43049</v>
      </c>
      <c r="B1012" s="70">
        <v>83.72</v>
      </c>
      <c r="C1012" s="85">
        <v>1564466</v>
      </c>
      <c r="D1012" s="88">
        <v>-4.1631973355535923E-3</v>
      </c>
      <c r="E1012" s="87"/>
    </row>
    <row r="1013" spans="1:5" ht="15" x14ac:dyDescent="0.2">
      <c r="A1013" s="73">
        <v>43048</v>
      </c>
      <c r="B1013" s="70">
        <v>84.07</v>
      </c>
      <c r="C1013" s="85">
        <v>1963728</v>
      </c>
      <c r="D1013" s="88">
        <v>-1.6264919260472799E-2</v>
      </c>
      <c r="E1013" s="87"/>
    </row>
    <row r="1014" spans="1:5" ht="15" x14ac:dyDescent="0.2">
      <c r="A1014" s="73">
        <v>43047</v>
      </c>
      <c r="B1014" s="70">
        <v>85.46</v>
      </c>
      <c r="C1014" s="85">
        <v>1554544</v>
      </c>
      <c r="D1014" s="88">
        <v>-1.0879629629629739E-2</v>
      </c>
      <c r="E1014" s="87"/>
    </row>
    <row r="1015" spans="1:5" ht="15" x14ac:dyDescent="0.2">
      <c r="A1015" s="73">
        <v>43046</v>
      </c>
      <c r="B1015" s="70">
        <v>86.4</v>
      </c>
      <c r="C1015" s="85">
        <v>1243787</v>
      </c>
      <c r="D1015" s="88">
        <v>-2.5398291387670469E-3</v>
      </c>
      <c r="E1015" s="87"/>
    </row>
    <row r="1016" spans="1:5" ht="15" x14ac:dyDescent="0.2">
      <c r="A1016" s="73">
        <v>43045</v>
      </c>
      <c r="B1016" s="70">
        <v>86.62</v>
      </c>
      <c r="C1016" s="85">
        <v>1130253</v>
      </c>
      <c r="D1016" s="88">
        <v>-6.3095101525754149E-3</v>
      </c>
      <c r="E1016" s="87"/>
    </row>
    <row r="1017" spans="1:5" ht="15" x14ac:dyDescent="0.2">
      <c r="A1017" s="73">
        <v>43042</v>
      </c>
      <c r="B1017" s="70">
        <v>87.17</v>
      </c>
      <c r="C1017" s="85">
        <v>1498114</v>
      </c>
      <c r="D1017" s="88">
        <v>8.7952783242681853E-3</v>
      </c>
      <c r="E1017" s="87"/>
    </row>
    <row r="1018" spans="1:5" ht="15" x14ac:dyDescent="0.2">
      <c r="A1018" s="73">
        <v>43041</v>
      </c>
      <c r="B1018" s="70">
        <v>86.41</v>
      </c>
      <c r="C1018" s="85">
        <v>1704866</v>
      </c>
      <c r="D1018" s="88">
        <v>-1.1100938429846607E-2</v>
      </c>
      <c r="E1018" s="87"/>
    </row>
    <row r="1019" spans="1:5" ht="15" x14ac:dyDescent="0.2">
      <c r="A1019" s="73">
        <v>43040</v>
      </c>
      <c r="B1019" s="70">
        <v>87.38</v>
      </c>
      <c r="C1019" s="85">
        <v>1663464</v>
      </c>
      <c r="D1019" s="88">
        <v>-4.2165242165242978E-3</v>
      </c>
      <c r="E1019" s="87"/>
    </row>
    <row r="1020" spans="1:5" ht="15" x14ac:dyDescent="0.2">
      <c r="A1020" s="73">
        <v>43039</v>
      </c>
      <c r="B1020" s="70">
        <v>87.75</v>
      </c>
      <c r="C1020" s="85">
        <v>3186345</v>
      </c>
      <c r="D1020" s="88">
        <v>3.5887144374926239E-2</v>
      </c>
      <c r="E1020" s="87"/>
    </row>
    <row r="1021" spans="1:5" ht="15" x14ac:dyDescent="0.2">
      <c r="A1021" s="73">
        <v>43038</v>
      </c>
      <c r="B1021" s="70">
        <v>84.71</v>
      </c>
      <c r="C1021" s="85">
        <v>2219520</v>
      </c>
      <c r="D1021" s="88">
        <v>-2.1372458410351292E-2</v>
      </c>
      <c r="E1021" s="87"/>
    </row>
    <row r="1022" spans="1:5" ht="15" x14ac:dyDescent="0.2">
      <c r="A1022" s="73">
        <v>43035</v>
      </c>
      <c r="B1022" s="70">
        <v>86.56</v>
      </c>
      <c r="C1022" s="85">
        <v>3112118</v>
      </c>
      <c r="D1022" s="88">
        <v>8.7402400652605294E-3</v>
      </c>
      <c r="E1022" s="87"/>
    </row>
    <row r="1023" spans="1:5" ht="15" x14ac:dyDescent="0.2">
      <c r="A1023" s="73">
        <v>43034</v>
      </c>
      <c r="B1023" s="70">
        <v>85.81</v>
      </c>
      <c r="C1023" s="85">
        <v>2146664</v>
      </c>
      <c r="D1023" s="88">
        <v>2.8034024200311425E-2</v>
      </c>
      <c r="E1023" s="87"/>
    </row>
    <row r="1024" spans="1:5" ht="15" x14ac:dyDescent="0.2">
      <c r="A1024" s="73">
        <v>43033</v>
      </c>
      <c r="B1024" s="70">
        <v>83.47</v>
      </c>
      <c r="C1024" s="85">
        <v>2036221</v>
      </c>
      <c r="D1024" s="88">
        <v>2.6426426426426897E-3</v>
      </c>
      <c r="E1024" s="87"/>
    </row>
    <row r="1025" spans="1:5" ht="15" x14ac:dyDescent="0.2">
      <c r="A1025" s="73">
        <v>43032</v>
      </c>
      <c r="B1025" s="70">
        <v>83.25</v>
      </c>
      <c r="C1025" s="85">
        <v>2887232</v>
      </c>
      <c r="D1025" s="88">
        <v>2.4111206790503159E-2</v>
      </c>
      <c r="E1025" s="87"/>
    </row>
    <row r="1026" spans="1:5" ht="15" x14ac:dyDescent="0.2">
      <c r="A1026" s="73">
        <v>43031</v>
      </c>
      <c r="B1026" s="70">
        <v>81.290000000000006</v>
      </c>
      <c r="C1026" s="85">
        <v>944252</v>
      </c>
      <c r="D1026" s="88">
        <v>7.0614469772052324E-3</v>
      </c>
      <c r="E1026" s="87"/>
    </row>
    <row r="1027" spans="1:5" ht="15" x14ac:dyDescent="0.2">
      <c r="A1027" s="73">
        <v>43028</v>
      </c>
      <c r="B1027" s="70">
        <v>80.72</v>
      </c>
      <c r="C1027" s="85">
        <v>1511806</v>
      </c>
      <c r="D1027" s="88">
        <v>0</v>
      </c>
      <c r="E1027" s="87"/>
    </row>
    <row r="1028" spans="1:5" ht="15" x14ac:dyDescent="0.2">
      <c r="A1028" s="73">
        <v>43027</v>
      </c>
      <c r="B1028" s="70">
        <v>80.72</v>
      </c>
      <c r="C1028" s="85">
        <v>2118635</v>
      </c>
      <c r="D1028" s="88">
        <v>-5.1762385999507554E-3</v>
      </c>
      <c r="E1028" s="87"/>
    </row>
    <row r="1029" spans="1:5" ht="15" x14ac:dyDescent="0.2">
      <c r="A1029" s="73">
        <v>43026</v>
      </c>
      <c r="B1029" s="70">
        <v>81.14</v>
      </c>
      <c r="C1029" s="85">
        <v>1707224</v>
      </c>
      <c r="D1029" s="88">
        <v>4.3322193340760151E-3</v>
      </c>
      <c r="E1029" s="87"/>
    </row>
    <row r="1030" spans="1:5" ht="15" x14ac:dyDescent="0.2">
      <c r="A1030" s="73">
        <v>43025</v>
      </c>
      <c r="B1030" s="70">
        <v>80.790000000000006</v>
      </c>
      <c r="C1030" s="85">
        <v>3367017</v>
      </c>
      <c r="D1030" s="88">
        <v>4.8267808485792374E-2</v>
      </c>
      <c r="E1030" s="87"/>
    </row>
    <row r="1031" spans="1:5" ht="15" x14ac:dyDescent="0.2">
      <c r="A1031" s="73">
        <v>43024</v>
      </c>
      <c r="B1031" s="70">
        <v>77.069999999999993</v>
      </c>
      <c r="C1031" s="85">
        <v>1634343</v>
      </c>
      <c r="D1031" s="88">
        <v>-1.6839378238343583E-3</v>
      </c>
      <c r="E1031" s="87"/>
    </row>
    <row r="1032" spans="1:5" ht="15" x14ac:dyDescent="0.2">
      <c r="A1032" s="73">
        <v>43021</v>
      </c>
      <c r="B1032" s="70">
        <v>77.2</v>
      </c>
      <c r="C1032" s="85">
        <v>1700450</v>
      </c>
      <c r="D1032" s="88">
        <v>-1.2282497441146289E-2</v>
      </c>
      <c r="E1032" s="87"/>
    </row>
    <row r="1033" spans="1:5" ht="15" x14ac:dyDescent="0.2">
      <c r="A1033" s="73">
        <v>43020</v>
      </c>
      <c r="B1033" s="70">
        <v>78.16</v>
      </c>
      <c r="C1033" s="85">
        <v>1544613</v>
      </c>
      <c r="D1033" s="88">
        <v>2.1797666367482371E-3</v>
      </c>
      <c r="E1033" s="87"/>
    </row>
    <row r="1034" spans="1:5" ht="15" x14ac:dyDescent="0.2">
      <c r="A1034" s="73">
        <v>43019</v>
      </c>
      <c r="B1034" s="70">
        <v>77.989999999999995</v>
      </c>
      <c r="C1034" s="85">
        <v>2461122</v>
      </c>
      <c r="D1034" s="88">
        <v>-1.0781329274480056E-2</v>
      </c>
      <c r="E1034" s="87"/>
    </row>
    <row r="1035" spans="1:5" ht="15" x14ac:dyDescent="0.2">
      <c r="A1035" s="73">
        <v>43018</v>
      </c>
      <c r="B1035" s="70">
        <v>78.84</v>
      </c>
      <c r="C1035" s="85">
        <v>2020919</v>
      </c>
      <c r="D1035" s="88">
        <v>-7.5528700906343227E-3</v>
      </c>
      <c r="E1035" s="87"/>
    </row>
    <row r="1036" spans="1:5" ht="15" x14ac:dyDescent="0.2">
      <c r="A1036" s="73">
        <v>43017</v>
      </c>
      <c r="B1036" s="70">
        <v>79.44</v>
      </c>
      <c r="C1036" s="85">
        <v>3248461</v>
      </c>
      <c r="D1036" s="88">
        <v>-2.2517534145441109E-2</v>
      </c>
      <c r="E1036" s="87"/>
    </row>
    <row r="1037" spans="1:5" ht="15" x14ac:dyDescent="0.2">
      <c r="A1037" s="73">
        <v>43014</v>
      </c>
      <c r="B1037" s="70">
        <v>81.27</v>
      </c>
      <c r="C1037" s="85">
        <v>1912323</v>
      </c>
      <c r="D1037" s="88">
        <v>-6.4792176039120131E-3</v>
      </c>
      <c r="E1037" s="87"/>
    </row>
    <row r="1038" spans="1:5" ht="15" x14ac:dyDescent="0.2">
      <c r="A1038" s="73">
        <v>43013</v>
      </c>
      <c r="B1038" s="70">
        <v>81.8</v>
      </c>
      <c r="C1038" s="85">
        <v>1802178</v>
      </c>
      <c r="D1038" s="88">
        <v>-4.1392744095447576E-3</v>
      </c>
      <c r="E1038" s="87"/>
    </row>
    <row r="1039" spans="1:5" ht="15" x14ac:dyDescent="0.2">
      <c r="A1039" s="73">
        <v>43012</v>
      </c>
      <c r="B1039" s="70">
        <v>82.14</v>
      </c>
      <c r="C1039" s="85">
        <v>1593589</v>
      </c>
      <c r="D1039" s="88">
        <v>6.12444879960794E-3</v>
      </c>
      <c r="E1039" s="87"/>
    </row>
    <row r="1040" spans="1:5" ht="15" x14ac:dyDescent="0.2">
      <c r="A1040" s="73">
        <v>43011</v>
      </c>
      <c r="B1040" s="70">
        <v>81.64</v>
      </c>
      <c r="C1040" s="85">
        <v>1227678</v>
      </c>
      <c r="D1040" s="88">
        <v>1.2903225806451646E-2</v>
      </c>
      <c r="E1040" s="87"/>
    </row>
    <row r="1041" spans="1:5" ht="15" x14ac:dyDescent="0.2">
      <c r="A1041" s="73">
        <v>43010</v>
      </c>
      <c r="B1041" s="70">
        <v>80.599999999999994</v>
      </c>
      <c r="C1041" s="85">
        <v>1355099</v>
      </c>
      <c r="D1041" s="88">
        <v>2.3628901877874586E-3</v>
      </c>
      <c r="E1041" s="87"/>
    </row>
    <row r="1042" spans="1:5" ht="15" x14ac:dyDescent="0.2">
      <c r="A1042" s="73">
        <v>43007</v>
      </c>
      <c r="B1042" s="70">
        <v>80.41</v>
      </c>
      <c r="C1042" s="85">
        <v>2099116</v>
      </c>
      <c r="D1042" s="88">
        <v>5.1250000000000462E-3</v>
      </c>
      <c r="E1042" s="87"/>
    </row>
    <row r="1043" spans="1:5" ht="15" x14ac:dyDescent="0.2">
      <c r="A1043" s="73">
        <v>43006</v>
      </c>
      <c r="B1043" s="70">
        <v>80</v>
      </c>
      <c r="C1043" s="85">
        <v>1722169</v>
      </c>
      <c r="D1043" s="88">
        <v>-4.6037078511883545E-3</v>
      </c>
      <c r="E1043" s="87"/>
    </row>
    <row r="1044" spans="1:5" ht="15" x14ac:dyDescent="0.2">
      <c r="A1044" s="73">
        <v>43005</v>
      </c>
      <c r="B1044" s="70">
        <v>80.37</v>
      </c>
      <c r="C1044" s="85">
        <v>2242300</v>
      </c>
      <c r="D1044" s="88">
        <v>2.0182787509520184E-2</v>
      </c>
      <c r="E1044" s="87"/>
    </row>
    <row r="1045" spans="1:5" ht="15" x14ac:dyDescent="0.2">
      <c r="A1045" s="73">
        <v>43004</v>
      </c>
      <c r="B1045" s="70">
        <v>78.78</v>
      </c>
      <c r="C1045" s="85">
        <v>1960532</v>
      </c>
      <c r="D1045" s="88">
        <v>1.2076053442959811E-2</v>
      </c>
      <c r="E1045" s="87"/>
    </row>
    <row r="1046" spans="1:5" ht="15" x14ac:dyDescent="0.2">
      <c r="A1046" s="73">
        <v>43003</v>
      </c>
      <c r="B1046" s="70">
        <v>77.84</v>
      </c>
      <c r="C1046" s="85">
        <v>1800310</v>
      </c>
      <c r="D1046" s="88">
        <v>6.4649599172486027E-3</v>
      </c>
      <c r="E1046" s="87"/>
    </row>
    <row r="1047" spans="1:5" ht="15" x14ac:dyDescent="0.2">
      <c r="A1047" s="73">
        <v>43000</v>
      </c>
      <c r="B1047" s="70">
        <v>77.34</v>
      </c>
      <c r="C1047" s="85">
        <v>2421931</v>
      </c>
      <c r="D1047" s="88">
        <v>-2.8365136668385693E-3</v>
      </c>
      <c r="E1047" s="87"/>
    </row>
    <row r="1048" spans="1:5" ht="15" x14ac:dyDescent="0.2">
      <c r="A1048" s="73">
        <v>42999</v>
      </c>
      <c r="B1048" s="70">
        <v>77.56</v>
      </c>
      <c r="C1048" s="85">
        <v>2946892</v>
      </c>
      <c r="D1048" s="88">
        <v>3.9817669928944976E-2</v>
      </c>
      <c r="E1048" s="87"/>
    </row>
    <row r="1049" spans="1:5" ht="15" x14ac:dyDescent="0.2">
      <c r="A1049" s="73">
        <v>42998</v>
      </c>
      <c r="B1049" s="70">
        <v>74.59</v>
      </c>
      <c r="C1049" s="85">
        <v>1528932</v>
      </c>
      <c r="D1049" s="88">
        <v>7.972972972972947E-3</v>
      </c>
      <c r="E1049" s="87"/>
    </row>
    <row r="1050" spans="1:5" ht="15" x14ac:dyDescent="0.2">
      <c r="A1050" s="73">
        <v>42997</v>
      </c>
      <c r="B1050" s="70">
        <v>74</v>
      </c>
      <c r="C1050" s="85">
        <v>1900806</v>
      </c>
      <c r="D1050" s="88">
        <v>5.4347826086957873E-3</v>
      </c>
      <c r="E1050" s="87"/>
    </row>
    <row r="1051" spans="1:5" ht="15" x14ac:dyDescent="0.2">
      <c r="A1051" s="73">
        <v>42996</v>
      </c>
      <c r="B1051" s="70">
        <v>73.599999999999994</v>
      </c>
      <c r="C1051" s="85">
        <v>1712269</v>
      </c>
      <c r="D1051" s="88">
        <v>2.2222222222222143E-2</v>
      </c>
      <c r="E1051" s="87"/>
    </row>
    <row r="1052" spans="1:5" ht="15" x14ac:dyDescent="0.2">
      <c r="A1052" s="73">
        <v>42993</v>
      </c>
      <c r="B1052" s="70">
        <v>72</v>
      </c>
      <c r="C1052" s="85">
        <v>5985680</v>
      </c>
      <c r="D1052" s="88">
        <v>1.294316263365225E-2</v>
      </c>
      <c r="E1052" s="87"/>
    </row>
    <row r="1053" spans="1:5" ht="15" x14ac:dyDescent="0.2">
      <c r="A1053" s="73">
        <v>42992</v>
      </c>
      <c r="B1053" s="70">
        <v>71.08</v>
      </c>
      <c r="C1053" s="85">
        <v>1753735</v>
      </c>
      <c r="D1053" s="88">
        <v>1.8322762508808932E-3</v>
      </c>
      <c r="E1053" s="87"/>
    </row>
    <row r="1054" spans="1:5" ht="15" x14ac:dyDescent="0.2">
      <c r="A1054" s="73">
        <v>42991</v>
      </c>
      <c r="B1054" s="70">
        <v>70.95</v>
      </c>
      <c r="C1054" s="85">
        <v>1670190</v>
      </c>
      <c r="D1054" s="88">
        <v>3.9620772605066801E-3</v>
      </c>
      <c r="E1054" s="87"/>
    </row>
    <row r="1055" spans="1:5" ht="15" x14ac:dyDescent="0.2">
      <c r="A1055" s="73">
        <v>42990</v>
      </c>
      <c r="B1055" s="70">
        <v>70.67</v>
      </c>
      <c r="C1055" s="85">
        <v>2558609</v>
      </c>
      <c r="D1055" s="88">
        <v>-2.1180457497880223E-3</v>
      </c>
      <c r="E1055" s="87"/>
    </row>
    <row r="1056" spans="1:5" ht="15" x14ac:dyDescent="0.2">
      <c r="A1056" s="73">
        <v>42989</v>
      </c>
      <c r="B1056" s="70">
        <v>70.819999999999993</v>
      </c>
      <c r="C1056" s="85">
        <v>1315227</v>
      </c>
      <c r="D1056" s="88">
        <v>4.5390070921984549E-3</v>
      </c>
      <c r="E1056" s="87"/>
    </row>
    <row r="1057" spans="1:5" ht="15" x14ac:dyDescent="0.2">
      <c r="A1057" s="73">
        <v>42986</v>
      </c>
      <c r="B1057" s="70">
        <v>70.5</v>
      </c>
      <c r="C1057" s="85">
        <v>1252913</v>
      </c>
      <c r="D1057" s="88">
        <v>9.9389464716725939E-4</v>
      </c>
      <c r="E1057" s="87"/>
    </row>
    <row r="1058" spans="1:5" ht="15" x14ac:dyDescent="0.2">
      <c r="A1058" s="73">
        <v>42985</v>
      </c>
      <c r="B1058" s="70">
        <v>70.430000000000007</v>
      </c>
      <c r="C1058" s="85">
        <v>1968192</v>
      </c>
      <c r="D1058" s="88">
        <v>-1.3723568127713026E-2</v>
      </c>
      <c r="E1058" s="87"/>
    </row>
    <row r="1059" spans="1:5" ht="15" x14ac:dyDescent="0.2">
      <c r="A1059" s="73">
        <v>42984</v>
      </c>
      <c r="B1059" s="70">
        <v>71.41</v>
      </c>
      <c r="C1059" s="85">
        <v>1181595</v>
      </c>
      <c r="D1059" s="88">
        <v>2.3862998315553607E-3</v>
      </c>
      <c r="E1059" s="87"/>
    </row>
    <row r="1060" spans="1:5" ht="15" x14ac:dyDescent="0.2">
      <c r="A1060" s="73">
        <v>42983</v>
      </c>
      <c r="B1060" s="70">
        <v>71.239999999999995</v>
      </c>
      <c r="C1060" s="85">
        <v>845190</v>
      </c>
      <c r="D1060" s="88">
        <v>2.1100014066675055E-3</v>
      </c>
      <c r="E1060" s="87"/>
    </row>
    <row r="1061" spans="1:5" ht="15" x14ac:dyDescent="0.2">
      <c r="A1061" s="73">
        <v>42982</v>
      </c>
      <c r="B1061" s="70">
        <v>71.09</v>
      </c>
      <c r="C1061" s="85">
        <v>532563</v>
      </c>
      <c r="D1061" s="88">
        <v>-2.9453015427769458E-3</v>
      </c>
      <c r="E1061" s="87"/>
    </row>
    <row r="1062" spans="1:5" ht="15" x14ac:dyDescent="0.2">
      <c r="A1062" s="73">
        <v>42979</v>
      </c>
      <c r="B1062" s="70">
        <v>71.3</v>
      </c>
      <c r="C1062" s="85">
        <v>1721058</v>
      </c>
      <c r="D1062" s="88">
        <v>9.7719869706840434E-3</v>
      </c>
      <c r="E1062" s="87"/>
    </row>
    <row r="1063" spans="1:5" ht="15" x14ac:dyDescent="0.2">
      <c r="A1063" s="73">
        <v>42978</v>
      </c>
      <c r="B1063" s="70">
        <v>70.61</v>
      </c>
      <c r="C1063" s="85">
        <v>1604178</v>
      </c>
      <c r="D1063" s="88">
        <v>1.1459676264145457E-2</v>
      </c>
      <c r="E1063" s="87"/>
    </row>
    <row r="1064" spans="1:5" ht="15" x14ac:dyDescent="0.2">
      <c r="A1064" s="73">
        <v>42977</v>
      </c>
      <c r="B1064" s="70">
        <v>69.81</v>
      </c>
      <c r="C1064" s="85">
        <v>1060053</v>
      </c>
      <c r="D1064" s="88">
        <v>1.5861466821885939E-2</v>
      </c>
      <c r="E1064" s="87"/>
    </row>
    <row r="1065" spans="1:5" ht="15" x14ac:dyDescent="0.2">
      <c r="A1065" s="73">
        <v>42976</v>
      </c>
      <c r="B1065" s="70">
        <v>68.72</v>
      </c>
      <c r="C1065" s="85">
        <v>1811805</v>
      </c>
      <c r="D1065" s="88">
        <v>-2.0664101467863794E-2</v>
      </c>
      <c r="E1065" s="87"/>
    </row>
    <row r="1066" spans="1:5" ht="15" x14ac:dyDescent="0.2">
      <c r="A1066" s="73">
        <v>42975</v>
      </c>
      <c r="B1066" s="70">
        <v>70.17</v>
      </c>
      <c r="C1066" s="85">
        <v>635646</v>
      </c>
      <c r="D1066" s="88">
        <v>-9.7375105842506526E-3</v>
      </c>
      <c r="E1066" s="87"/>
    </row>
    <row r="1067" spans="1:5" ht="15" x14ac:dyDescent="0.2">
      <c r="A1067" s="73">
        <v>42972</v>
      </c>
      <c r="B1067" s="70">
        <v>70.86</v>
      </c>
      <c r="C1067" s="85">
        <v>1122032</v>
      </c>
      <c r="D1067" s="88">
        <v>6.9631945431289921E-3</v>
      </c>
      <c r="E1067" s="87"/>
    </row>
    <row r="1068" spans="1:5" ht="15" x14ac:dyDescent="0.2">
      <c r="A1068" s="73">
        <v>42971</v>
      </c>
      <c r="B1068" s="70">
        <v>70.37</v>
      </c>
      <c r="C1068" s="85">
        <v>1189469</v>
      </c>
      <c r="D1068" s="88">
        <v>-6.2138116085298511E-3</v>
      </c>
      <c r="E1068" s="87"/>
    </row>
    <row r="1069" spans="1:5" ht="15" x14ac:dyDescent="0.2">
      <c r="A1069" s="73">
        <v>42970</v>
      </c>
      <c r="B1069" s="70">
        <v>70.81</v>
      </c>
      <c r="C1069" s="85">
        <v>856121</v>
      </c>
      <c r="D1069" s="88">
        <v>-6.1754385964911673E-3</v>
      </c>
      <c r="E1069" s="87"/>
    </row>
    <row r="1070" spans="1:5" ht="15" x14ac:dyDescent="0.2">
      <c r="A1070" s="73">
        <v>42969</v>
      </c>
      <c r="B1070" s="70">
        <v>71.25</v>
      </c>
      <c r="C1070" s="85">
        <v>1071112</v>
      </c>
      <c r="D1070" s="88">
        <v>5.7876905702991532E-3</v>
      </c>
      <c r="E1070" s="87"/>
    </row>
    <row r="1071" spans="1:5" ht="15" x14ac:dyDescent="0.2">
      <c r="A1071" s="73">
        <v>42968</v>
      </c>
      <c r="B1071" s="70">
        <v>70.84</v>
      </c>
      <c r="C1071" s="85">
        <v>1230288</v>
      </c>
      <c r="D1071" s="88">
        <v>-9.2307692307691536E-3</v>
      </c>
      <c r="E1071" s="87"/>
    </row>
    <row r="1072" spans="1:5" ht="15" x14ac:dyDescent="0.2">
      <c r="A1072" s="73">
        <v>42965</v>
      </c>
      <c r="B1072" s="70">
        <v>71.5</v>
      </c>
      <c r="C1072" s="85">
        <v>1858123</v>
      </c>
      <c r="D1072" s="88">
        <v>-9.5581105416262524E-3</v>
      </c>
      <c r="E1072" s="87"/>
    </row>
    <row r="1073" spans="1:5" ht="15" x14ac:dyDescent="0.2">
      <c r="A1073" s="73">
        <v>42964</v>
      </c>
      <c r="B1073" s="70">
        <v>72.19</v>
      </c>
      <c r="C1073" s="85">
        <v>1850067</v>
      </c>
      <c r="D1073" s="88">
        <v>-9.4676180021953105E-3</v>
      </c>
      <c r="E1073" s="87"/>
    </row>
    <row r="1074" spans="1:5" ht="15" x14ac:dyDescent="0.2">
      <c r="A1074" s="73">
        <v>42963</v>
      </c>
      <c r="B1074" s="70">
        <v>72.88</v>
      </c>
      <c r="C1074" s="85">
        <v>1481599</v>
      </c>
      <c r="D1074" s="88">
        <v>7.4647497926456641E-3</v>
      </c>
      <c r="E1074" s="87"/>
    </row>
    <row r="1075" spans="1:5" ht="15" x14ac:dyDescent="0.2">
      <c r="A1075" s="73">
        <v>42962</v>
      </c>
      <c r="B1075" s="70">
        <v>72.34</v>
      </c>
      <c r="C1075" s="85">
        <v>985503</v>
      </c>
      <c r="D1075" s="88">
        <v>8.6447295036253813E-3</v>
      </c>
      <c r="E1075" s="87"/>
    </row>
    <row r="1076" spans="1:5" ht="15" x14ac:dyDescent="0.2">
      <c r="A1076" s="73">
        <v>42961</v>
      </c>
      <c r="B1076" s="70">
        <v>71.72</v>
      </c>
      <c r="C1076" s="85">
        <v>931951</v>
      </c>
      <c r="D1076" s="88">
        <v>1.3710247349823401E-2</v>
      </c>
      <c r="E1076" s="87"/>
    </row>
    <row r="1077" spans="1:5" ht="15" x14ac:dyDescent="0.2">
      <c r="A1077" s="73">
        <v>42958</v>
      </c>
      <c r="B1077" s="70">
        <v>70.75</v>
      </c>
      <c r="C1077" s="85">
        <v>1701738</v>
      </c>
      <c r="D1077" s="88">
        <v>-3.5211267605633756E-3</v>
      </c>
      <c r="E1077" s="87"/>
    </row>
    <row r="1078" spans="1:5" ht="15" x14ac:dyDescent="0.2">
      <c r="A1078" s="73">
        <v>42957</v>
      </c>
      <c r="B1078" s="70">
        <v>71</v>
      </c>
      <c r="C1078" s="85">
        <v>1252798</v>
      </c>
      <c r="D1078" s="88">
        <v>-6.8541054692963232E-3</v>
      </c>
      <c r="E1078" s="87"/>
    </row>
    <row r="1079" spans="1:5" ht="15" x14ac:dyDescent="0.2">
      <c r="A1079" s="73">
        <v>42956</v>
      </c>
      <c r="B1079" s="70">
        <v>71.489999999999995</v>
      </c>
      <c r="C1079" s="85">
        <v>1606046</v>
      </c>
      <c r="D1079" s="88">
        <v>-8.597975315490336E-3</v>
      </c>
      <c r="E1079" s="87"/>
    </row>
    <row r="1080" spans="1:5" ht="15" x14ac:dyDescent="0.2">
      <c r="A1080" s="73">
        <v>42955</v>
      </c>
      <c r="B1080" s="70">
        <v>72.11</v>
      </c>
      <c r="C1080" s="85">
        <v>1250049</v>
      </c>
      <c r="D1080" s="88">
        <v>-4.4180588154081324E-3</v>
      </c>
      <c r="E1080" s="87"/>
    </row>
    <row r="1081" spans="1:5" ht="15" x14ac:dyDescent="0.2">
      <c r="A1081" s="73">
        <v>42954</v>
      </c>
      <c r="B1081" s="70">
        <v>72.430000000000007</v>
      </c>
      <c r="C1081" s="85">
        <v>1207571</v>
      </c>
      <c r="D1081" s="88">
        <v>-1.2138570649208758E-2</v>
      </c>
      <c r="E1081" s="87"/>
    </row>
    <row r="1082" spans="1:5" ht="15" x14ac:dyDescent="0.2">
      <c r="A1082" s="73">
        <v>42951</v>
      </c>
      <c r="B1082" s="70">
        <v>73.319999999999993</v>
      </c>
      <c r="C1082" s="85">
        <v>1756136</v>
      </c>
      <c r="D1082" s="88">
        <v>2.8619528619528545E-2</v>
      </c>
      <c r="E1082" s="87"/>
    </row>
    <row r="1083" spans="1:5" ht="15" x14ac:dyDescent="0.2">
      <c r="A1083" s="73">
        <v>42950</v>
      </c>
      <c r="B1083" s="70">
        <v>71.28</v>
      </c>
      <c r="C1083" s="85">
        <v>1428208</v>
      </c>
      <c r="D1083" s="88">
        <v>3.8022813688212143E-3</v>
      </c>
      <c r="E1083" s="87"/>
    </row>
    <row r="1084" spans="1:5" ht="15" x14ac:dyDescent="0.2">
      <c r="A1084" s="73">
        <v>42949</v>
      </c>
      <c r="B1084" s="70">
        <v>71.010000000000005</v>
      </c>
      <c r="C1084" s="85">
        <v>1526417</v>
      </c>
      <c r="D1084" s="88">
        <v>-1.4160766347355191E-2</v>
      </c>
      <c r="E1084" s="87"/>
    </row>
    <row r="1085" spans="1:5" ht="15" x14ac:dyDescent="0.2">
      <c r="A1085" s="73">
        <v>42948</v>
      </c>
      <c r="B1085" s="70">
        <v>72.03</v>
      </c>
      <c r="C1085" s="85">
        <v>1619840</v>
      </c>
      <c r="D1085" s="88">
        <v>2.0254957507082283E-2</v>
      </c>
      <c r="E1085" s="87"/>
    </row>
    <row r="1086" spans="1:5" ht="15" x14ac:dyDescent="0.2">
      <c r="A1086" s="73">
        <v>42947</v>
      </c>
      <c r="B1086" s="70">
        <v>70.599999999999994</v>
      </c>
      <c r="C1086" s="85">
        <v>2298622</v>
      </c>
      <c r="D1086" s="88">
        <v>-2.4592428847748038E-2</v>
      </c>
      <c r="E1086" s="87"/>
    </row>
    <row r="1087" spans="1:5" ht="15" x14ac:dyDescent="0.2">
      <c r="A1087" s="73">
        <v>42944</v>
      </c>
      <c r="B1087" s="70">
        <v>72.38</v>
      </c>
      <c r="C1087" s="85">
        <v>2280881</v>
      </c>
      <c r="D1087" s="88">
        <v>1.5220700152207556E-3</v>
      </c>
      <c r="E1087" s="87"/>
    </row>
    <row r="1088" spans="1:5" ht="15" x14ac:dyDescent="0.2">
      <c r="A1088" s="73">
        <v>42943</v>
      </c>
      <c r="B1088" s="70">
        <v>72.27</v>
      </c>
      <c r="C1088" s="85">
        <v>3596345</v>
      </c>
      <c r="D1088" s="88">
        <v>-3.1882116543871519E-2</v>
      </c>
      <c r="E1088" s="87"/>
    </row>
    <row r="1089" spans="1:5" ht="15" x14ac:dyDescent="0.2">
      <c r="A1089" s="73">
        <v>42942</v>
      </c>
      <c r="B1089" s="70">
        <v>74.650000000000006</v>
      </c>
      <c r="C1089" s="85">
        <v>2222491</v>
      </c>
      <c r="D1089" s="88">
        <v>2.7812198815916345E-2</v>
      </c>
      <c r="E1089" s="87"/>
    </row>
    <row r="1090" spans="1:5" ht="15" x14ac:dyDescent="0.2">
      <c r="A1090" s="73">
        <v>42941</v>
      </c>
      <c r="B1090" s="70">
        <v>72.63</v>
      </c>
      <c r="C1090" s="85">
        <v>1647862</v>
      </c>
      <c r="D1090" s="88">
        <v>1.396063102052203E-2</v>
      </c>
      <c r="E1090" s="87"/>
    </row>
    <row r="1091" spans="1:5" ht="15" x14ac:dyDescent="0.2">
      <c r="A1091" s="73">
        <v>42940</v>
      </c>
      <c r="B1091" s="70">
        <v>71.63</v>
      </c>
      <c r="C1091" s="85">
        <v>1346583</v>
      </c>
      <c r="D1091" s="88">
        <v>3.6429872495444826E-3</v>
      </c>
      <c r="E1091" s="87"/>
    </row>
    <row r="1092" spans="1:5" ht="15" x14ac:dyDescent="0.2">
      <c r="A1092" s="73">
        <v>42937</v>
      </c>
      <c r="B1092" s="70">
        <v>71.37</v>
      </c>
      <c r="C1092" s="85">
        <v>2615668</v>
      </c>
      <c r="D1092" s="88">
        <v>-1.3681592039800905E-2</v>
      </c>
      <c r="E1092" s="87"/>
    </row>
    <row r="1093" spans="1:5" ht="15" x14ac:dyDescent="0.2">
      <c r="A1093" s="73">
        <v>42936</v>
      </c>
      <c r="B1093" s="70">
        <v>72.36</v>
      </c>
      <c r="C1093" s="85">
        <v>1974974</v>
      </c>
      <c r="D1093" s="88">
        <v>-1.8048581897136651E-2</v>
      </c>
      <c r="E1093" s="87"/>
    </row>
    <row r="1094" spans="1:5" ht="15" x14ac:dyDescent="0.2">
      <c r="A1094" s="73">
        <v>42935</v>
      </c>
      <c r="B1094" s="70">
        <v>73.69</v>
      </c>
      <c r="C1094" s="85">
        <v>1678068</v>
      </c>
      <c r="D1094" s="88">
        <v>1.697488269390024E-2</v>
      </c>
      <c r="E1094" s="87"/>
    </row>
    <row r="1095" spans="1:5" ht="15" x14ac:dyDescent="0.2">
      <c r="A1095" s="73">
        <v>42934</v>
      </c>
      <c r="B1095" s="70">
        <v>72.459999999999994</v>
      </c>
      <c r="C1095" s="85">
        <v>1872482</v>
      </c>
      <c r="D1095" s="88">
        <v>-1.6023900054318418E-2</v>
      </c>
      <c r="E1095" s="87"/>
    </row>
    <row r="1096" spans="1:5" ht="15" x14ac:dyDescent="0.2">
      <c r="A1096" s="73">
        <v>42933</v>
      </c>
      <c r="B1096" s="70">
        <v>73.64</v>
      </c>
      <c r="C1096" s="85">
        <v>1365925</v>
      </c>
      <c r="D1096" s="88">
        <v>-1.2339055793991416E-2</v>
      </c>
      <c r="E1096" s="87"/>
    </row>
    <row r="1097" spans="1:5" ht="15" x14ac:dyDescent="0.2">
      <c r="A1097" s="73">
        <v>42930</v>
      </c>
      <c r="B1097" s="70">
        <v>74.56</v>
      </c>
      <c r="C1097" s="85">
        <v>1282579</v>
      </c>
      <c r="D1097" s="88">
        <v>-5.8666666666666867E-3</v>
      </c>
      <c r="E1097" s="87"/>
    </row>
    <row r="1098" spans="1:5" ht="15" x14ac:dyDescent="0.2">
      <c r="A1098" s="73">
        <v>42929</v>
      </c>
      <c r="B1098" s="70">
        <v>75</v>
      </c>
      <c r="C1098" s="85">
        <v>1193906</v>
      </c>
      <c r="D1098" s="88">
        <v>4.8231511254019921E-3</v>
      </c>
      <c r="E1098" s="87"/>
    </row>
    <row r="1099" spans="1:5" ht="15" x14ac:dyDescent="0.2">
      <c r="A1099" s="73">
        <v>42928</v>
      </c>
      <c r="B1099" s="70">
        <v>74.64</v>
      </c>
      <c r="C1099" s="85">
        <v>1783606</v>
      </c>
      <c r="D1099" s="88">
        <v>2.6867275658248868E-3</v>
      </c>
      <c r="E1099" s="87"/>
    </row>
    <row r="1100" spans="1:5" ht="15" x14ac:dyDescent="0.2">
      <c r="A1100" s="73">
        <v>42927</v>
      </c>
      <c r="B1100" s="70">
        <v>74.44</v>
      </c>
      <c r="C1100" s="85">
        <v>1121368</v>
      </c>
      <c r="D1100" s="88">
        <v>1.0758472296934496E-3</v>
      </c>
      <c r="E1100" s="87"/>
    </row>
    <row r="1101" spans="1:5" ht="15" x14ac:dyDescent="0.2">
      <c r="A1101" s="73">
        <v>42926</v>
      </c>
      <c r="B1101" s="70">
        <v>74.36</v>
      </c>
      <c r="C1101" s="85">
        <v>918705</v>
      </c>
      <c r="D1101" s="88">
        <v>3.5087719298245723E-3</v>
      </c>
      <c r="E1101" s="87"/>
    </row>
    <row r="1102" spans="1:5" ht="15" x14ac:dyDescent="0.2">
      <c r="A1102" s="73">
        <v>42923</v>
      </c>
      <c r="B1102" s="70">
        <v>74.099999999999994</v>
      </c>
      <c r="C1102" s="85">
        <v>1455702</v>
      </c>
      <c r="D1102" s="88">
        <v>-4.0469445568602769E-4</v>
      </c>
      <c r="E1102" s="87"/>
    </row>
    <row r="1103" spans="1:5" ht="15" x14ac:dyDescent="0.2">
      <c r="A1103" s="73">
        <v>42922</v>
      </c>
      <c r="B1103" s="70">
        <v>74.13</v>
      </c>
      <c r="C1103" s="85">
        <v>2021366</v>
      </c>
      <c r="D1103" s="88">
        <v>2.9765931538356938E-3</v>
      </c>
      <c r="E1103" s="87"/>
    </row>
    <row r="1104" spans="1:5" ht="15" x14ac:dyDescent="0.2">
      <c r="A1104" s="73">
        <v>42921</v>
      </c>
      <c r="B1104" s="70">
        <v>73.91</v>
      </c>
      <c r="C1104" s="85">
        <v>1634111</v>
      </c>
      <c r="D1104" s="88">
        <v>1.1080711354309214E-2</v>
      </c>
      <c r="E1104" s="87"/>
    </row>
    <row r="1105" spans="1:5" ht="15" x14ac:dyDescent="0.2">
      <c r="A1105" s="73">
        <v>42920</v>
      </c>
      <c r="B1105" s="70">
        <v>73.099999999999994</v>
      </c>
      <c r="C1105" s="85">
        <v>928386</v>
      </c>
      <c r="D1105" s="88">
        <v>0</v>
      </c>
      <c r="E1105" s="87"/>
    </row>
    <row r="1106" spans="1:5" ht="15" x14ac:dyDescent="0.2">
      <c r="A1106" s="73">
        <v>42919</v>
      </c>
      <c r="B1106" s="70">
        <v>73.099999999999994</v>
      </c>
      <c r="C1106" s="85">
        <v>1203565</v>
      </c>
      <c r="D1106" s="88">
        <v>1.5277777777777724E-2</v>
      </c>
      <c r="E1106" s="87"/>
    </row>
    <row r="1107" spans="1:5" ht="15" x14ac:dyDescent="0.2">
      <c r="A1107" s="73">
        <v>42916</v>
      </c>
      <c r="B1107" s="70">
        <v>72</v>
      </c>
      <c r="C1107" s="85">
        <v>2020251</v>
      </c>
      <c r="D1107" s="88">
        <v>-3.0462475768484598E-3</v>
      </c>
      <c r="E1107" s="87"/>
    </row>
    <row r="1108" spans="1:5" ht="15" x14ac:dyDescent="0.2">
      <c r="A1108" s="73">
        <v>42915</v>
      </c>
      <c r="B1108" s="70">
        <v>72.22</v>
      </c>
      <c r="C1108" s="85">
        <v>2917366</v>
      </c>
      <c r="D1108" s="88">
        <v>-2.1409214092140916E-2</v>
      </c>
      <c r="E1108" s="87"/>
    </row>
    <row r="1109" spans="1:5" ht="15" x14ac:dyDescent="0.2">
      <c r="A1109" s="73">
        <v>42914</v>
      </c>
      <c r="B1109" s="70">
        <v>73.8</v>
      </c>
      <c r="C1109" s="85">
        <v>2237554</v>
      </c>
      <c r="D1109" s="88">
        <v>-9.129967776584369E-3</v>
      </c>
      <c r="E1109" s="87"/>
    </row>
    <row r="1110" spans="1:5" ht="15" x14ac:dyDescent="0.2">
      <c r="A1110" s="73">
        <v>42913</v>
      </c>
      <c r="B1110" s="70">
        <v>74.48</v>
      </c>
      <c r="C1110" s="85">
        <v>1823710</v>
      </c>
      <c r="D1110" s="88">
        <v>-1.9354838709677358E-2</v>
      </c>
      <c r="E1110" s="87"/>
    </row>
    <row r="1111" spans="1:5" ht="15" x14ac:dyDescent="0.2">
      <c r="A1111" s="73">
        <v>42912</v>
      </c>
      <c r="B1111" s="70">
        <v>75.95</v>
      </c>
      <c r="C1111" s="85">
        <v>1341540</v>
      </c>
      <c r="D1111" s="88">
        <v>3.3025099075296716E-3</v>
      </c>
      <c r="E1111" s="87"/>
    </row>
    <row r="1112" spans="1:5" ht="15" x14ac:dyDescent="0.2">
      <c r="A1112" s="73">
        <v>42909</v>
      </c>
      <c r="B1112" s="70">
        <v>75.7</v>
      </c>
      <c r="C1112" s="85">
        <v>1390598</v>
      </c>
      <c r="D1112" s="88">
        <v>8.7953091684433993E-3</v>
      </c>
      <c r="E1112" s="87"/>
    </row>
    <row r="1113" spans="1:5" ht="15" x14ac:dyDescent="0.2">
      <c r="A1113" s="73">
        <v>42908</v>
      </c>
      <c r="B1113" s="70">
        <v>75.040000000000006</v>
      </c>
      <c r="C1113" s="85">
        <v>1168764</v>
      </c>
      <c r="D1113" s="88">
        <v>-2.7906976744185297E-3</v>
      </c>
      <c r="E1113" s="87"/>
    </row>
    <row r="1114" spans="1:5" ht="15" x14ac:dyDescent="0.2">
      <c r="A1114" s="73">
        <v>42907</v>
      </c>
      <c r="B1114" s="70">
        <v>75.25</v>
      </c>
      <c r="C1114" s="85">
        <v>1616636</v>
      </c>
      <c r="D1114" s="88">
        <v>-9.2165898617512232E-3</v>
      </c>
      <c r="E1114" s="87"/>
    </row>
    <row r="1115" spans="1:5" ht="15" x14ac:dyDescent="0.2">
      <c r="A1115" s="73">
        <v>42906</v>
      </c>
      <c r="B1115" s="70">
        <v>75.95</v>
      </c>
      <c r="C1115" s="85">
        <v>1901702</v>
      </c>
      <c r="D1115" s="88">
        <v>-5.8900523560210249E-3</v>
      </c>
      <c r="E1115" s="87"/>
    </row>
    <row r="1116" spans="1:5" ht="15" x14ac:dyDescent="0.2">
      <c r="A1116" s="73">
        <v>42905</v>
      </c>
      <c r="B1116" s="70">
        <v>76.400000000000006</v>
      </c>
      <c r="C1116" s="85">
        <v>1754422</v>
      </c>
      <c r="D1116" s="88">
        <v>1.9618310423061613E-2</v>
      </c>
      <c r="E1116" s="87"/>
    </row>
    <row r="1117" spans="1:5" ht="15" x14ac:dyDescent="0.2">
      <c r="A1117" s="73">
        <v>42902</v>
      </c>
      <c r="B1117" s="70">
        <v>74.930000000000007</v>
      </c>
      <c r="C1117" s="85">
        <v>2946719</v>
      </c>
      <c r="D1117" s="88">
        <v>2.2516375545851508E-2</v>
      </c>
      <c r="E1117" s="87"/>
    </row>
    <row r="1118" spans="1:5" ht="15" x14ac:dyDescent="0.2">
      <c r="A1118" s="73">
        <v>42901</v>
      </c>
      <c r="B1118" s="70">
        <v>73.28</v>
      </c>
      <c r="C1118" s="85">
        <v>2453122</v>
      </c>
      <c r="D1118" s="88">
        <v>-2.4623985092506295E-2</v>
      </c>
      <c r="E1118" s="87"/>
    </row>
    <row r="1119" spans="1:5" ht="15" x14ac:dyDescent="0.2">
      <c r="A1119" s="73">
        <v>42900</v>
      </c>
      <c r="B1119" s="70">
        <v>75.13</v>
      </c>
      <c r="C1119" s="85">
        <v>1554647</v>
      </c>
      <c r="D1119" s="88">
        <v>7.1045576407506861E-3</v>
      </c>
      <c r="E1119" s="87"/>
    </row>
    <row r="1120" spans="1:5" ht="15" x14ac:dyDescent="0.2">
      <c r="A1120" s="73">
        <v>42899</v>
      </c>
      <c r="B1120" s="70">
        <v>74.599999999999994</v>
      </c>
      <c r="C1120" s="85">
        <v>950069</v>
      </c>
      <c r="D1120" s="88">
        <v>4.4432476100713103E-3</v>
      </c>
      <c r="E1120" s="87"/>
    </row>
    <row r="1121" spans="1:5" ht="15" x14ac:dyDescent="0.2">
      <c r="A1121" s="73">
        <v>42898</v>
      </c>
      <c r="B1121" s="70">
        <v>74.27</v>
      </c>
      <c r="C1121" s="85">
        <v>1453664</v>
      </c>
      <c r="D1121" s="88">
        <v>-1.5117358440525086E-2</v>
      </c>
      <c r="E1121" s="87"/>
    </row>
    <row r="1122" spans="1:5" ht="15" x14ac:dyDescent="0.2">
      <c r="A1122" s="73">
        <v>42895</v>
      </c>
      <c r="B1122" s="70">
        <v>75.41</v>
      </c>
      <c r="C1122" s="85">
        <v>1696443</v>
      </c>
      <c r="D1122" s="88">
        <v>2.2508474576271142E-2</v>
      </c>
      <c r="E1122" s="87"/>
    </row>
    <row r="1123" spans="1:5" ht="15" x14ac:dyDescent="0.2">
      <c r="A1123" s="73">
        <v>42894</v>
      </c>
      <c r="B1123" s="70">
        <v>73.75</v>
      </c>
      <c r="C1123" s="85">
        <v>2064322</v>
      </c>
      <c r="D1123" s="88">
        <v>3.8110793521164421E-3</v>
      </c>
      <c r="E1123" s="87"/>
    </row>
    <row r="1124" spans="1:5" ht="15" x14ac:dyDescent="0.2">
      <c r="A1124" s="73">
        <v>42893</v>
      </c>
      <c r="B1124" s="70">
        <v>73.47</v>
      </c>
      <c r="C1124" s="85">
        <v>2075635</v>
      </c>
      <c r="D1124" s="88">
        <v>-1.6465863453815288E-2</v>
      </c>
      <c r="E1124" s="87"/>
    </row>
    <row r="1125" spans="1:5" ht="15" x14ac:dyDescent="0.2">
      <c r="A1125" s="73">
        <v>42892</v>
      </c>
      <c r="B1125" s="70">
        <v>74.7</v>
      </c>
      <c r="C1125" s="85">
        <v>1778237</v>
      </c>
      <c r="D1125" s="88">
        <v>-8.0256821829860492E-4</v>
      </c>
      <c r="E1125" s="87"/>
    </row>
    <row r="1126" spans="1:5" ht="15" x14ac:dyDescent="0.2">
      <c r="A1126" s="73">
        <v>42891</v>
      </c>
      <c r="B1126" s="70">
        <v>74.760000000000005</v>
      </c>
      <c r="C1126" s="85">
        <v>1393976</v>
      </c>
      <c r="D1126" s="88">
        <v>-1.1111111111110961E-2</v>
      </c>
      <c r="E1126" s="87"/>
    </row>
    <row r="1127" spans="1:5" ht="15" x14ac:dyDescent="0.2">
      <c r="A1127" s="73">
        <v>42888</v>
      </c>
      <c r="B1127" s="70">
        <v>75.599999999999994</v>
      </c>
      <c r="C1127" s="85">
        <v>1548696</v>
      </c>
      <c r="D1127" s="88">
        <v>4.9182506978597829E-3</v>
      </c>
      <c r="E1127" s="87"/>
    </row>
    <row r="1128" spans="1:5" ht="15" x14ac:dyDescent="0.2">
      <c r="A1128" s="73">
        <v>42887</v>
      </c>
      <c r="B1128" s="70">
        <v>75.23</v>
      </c>
      <c r="C1128" s="85">
        <v>1903343</v>
      </c>
      <c r="D1128" s="88">
        <v>2.9560695223758149E-2</v>
      </c>
      <c r="E1128" s="87"/>
    </row>
    <row r="1129" spans="1:5" ht="15" x14ac:dyDescent="0.2">
      <c r="A1129" s="73">
        <v>42886</v>
      </c>
      <c r="B1129" s="70">
        <v>73.069999999999993</v>
      </c>
      <c r="C1129" s="85">
        <v>2291693</v>
      </c>
      <c r="D1129" s="88">
        <v>-2.729630135116734E-3</v>
      </c>
      <c r="E1129" s="87"/>
    </row>
    <row r="1130" spans="1:5" ht="15" x14ac:dyDescent="0.2">
      <c r="A1130" s="73">
        <v>42885</v>
      </c>
      <c r="B1130" s="70">
        <v>73.27</v>
      </c>
      <c r="C1130" s="85">
        <v>1022310</v>
      </c>
      <c r="D1130" s="88">
        <v>-6.1041779706999533E-3</v>
      </c>
      <c r="E1130" s="87"/>
    </row>
    <row r="1131" spans="1:5" ht="15" x14ac:dyDescent="0.2">
      <c r="A1131" s="73">
        <v>42884</v>
      </c>
      <c r="B1131" s="70">
        <v>73.72</v>
      </c>
      <c r="C1131" s="85">
        <v>496934</v>
      </c>
      <c r="D1131" s="88">
        <v>-2.4357239512856621E-3</v>
      </c>
      <c r="E1131" s="87"/>
    </row>
    <row r="1132" spans="1:5" ht="15" x14ac:dyDescent="0.2">
      <c r="A1132" s="73">
        <v>42881</v>
      </c>
      <c r="B1132" s="70">
        <v>73.900000000000006</v>
      </c>
      <c r="C1132" s="85">
        <v>1287651</v>
      </c>
      <c r="D1132" s="88">
        <v>1.0943912448700521E-2</v>
      </c>
      <c r="E1132" s="87"/>
    </row>
    <row r="1133" spans="1:5" ht="15" x14ac:dyDescent="0.2">
      <c r="A1133" s="73">
        <v>42880</v>
      </c>
      <c r="B1133" s="70">
        <v>73.099999999999994</v>
      </c>
      <c r="C1133" s="85">
        <v>1188382</v>
      </c>
      <c r="D1133" s="88">
        <v>9.3896713615022609E-3</v>
      </c>
      <c r="E1133" s="87"/>
    </row>
    <row r="1134" spans="1:5" ht="15" x14ac:dyDescent="0.2">
      <c r="A1134" s="73">
        <v>42879</v>
      </c>
      <c r="B1134" s="70">
        <v>72.42</v>
      </c>
      <c r="C1134" s="85">
        <v>1453146</v>
      </c>
      <c r="D1134" s="88">
        <v>1.3810247203438486E-4</v>
      </c>
      <c r="E1134" s="87"/>
    </row>
    <row r="1135" spans="1:5" ht="15" x14ac:dyDescent="0.2">
      <c r="A1135" s="73">
        <v>42878</v>
      </c>
      <c r="B1135" s="70">
        <v>72.41</v>
      </c>
      <c r="C1135" s="85">
        <v>1472739</v>
      </c>
      <c r="D1135" s="88">
        <v>-3.0290513561889165E-3</v>
      </c>
      <c r="E1135" s="87"/>
    </row>
    <row r="1136" spans="1:5" ht="15" x14ac:dyDescent="0.2">
      <c r="A1136" s="73">
        <v>42877</v>
      </c>
      <c r="B1136" s="70">
        <v>72.63</v>
      </c>
      <c r="C1136" s="85">
        <v>1346452</v>
      </c>
      <c r="D1136" s="88">
        <v>-1.5319956616052233E-2</v>
      </c>
      <c r="E1136" s="87"/>
    </row>
    <row r="1137" spans="1:5" ht="15" x14ac:dyDescent="0.2">
      <c r="A1137" s="73">
        <v>42874</v>
      </c>
      <c r="B1137" s="70">
        <v>73.760000000000005</v>
      </c>
      <c r="C1137" s="85">
        <v>1879911</v>
      </c>
      <c r="D1137" s="88">
        <v>7.3750341436766842E-3</v>
      </c>
      <c r="E1137" s="87"/>
    </row>
    <row r="1138" spans="1:5" ht="15" x14ac:dyDescent="0.2">
      <c r="A1138" s="73">
        <v>42873</v>
      </c>
      <c r="B1138" s="70">
        <v>73.22</v>
      </c>
      <c r="C1138" s="85">
        <v>2246008</v>
      </c>
      <c r="D1138" s="88">
        <v>6.7372473532241184E-3</v>
      </c>
      <c r="E1138" s="87"/>
    </row>
    <row r="1139" spans="1:5" ht="15" x14ac:dyDescent="0.2">
      <c r="A1139" s="73">
        <v>42872</v>
      </c>
      <c r="B1139" s="70">
        <v>72.73</v>
      </c>
      <c r="C1139" s="85">
        <v>2506050</v>
      </c>
      <c r="D1139" s="88">
        <v>-1.9679202048793587E-2</v>
      </c>
      <c r="E1139" s="87"/>
    </row>
    <row r="1140" spans="1:5" ht="15" x14ac:dyDescent="0.2">
      <c r="A1140" s="73">
        <v>42871</v>
      </c>
      <c r="B1140" s="70">
        <v>74.19</v>
      </c>
      <c r="C1140" s="85">
        <v>1916654</v>
      </c>
      <c r="D1140" s="88">
        <v>-1.0771509357748732E-3</v>
      </c>
      <c r="E1140" s="87"/>
    </row>
    <row r="1141" spans="1:5" ht="15" x14ac:dyDescent="0.2">
      <c r="A1141" s="73">
        <v>42870</v>
      </c>
      <c r="B1141" s="70">
        <v>74.27</v>
      </c>
      <c r="C1141" s="85">
        <v>1451526</v>
      </c>
      <c r="D1141" s="88">
        <v>-2.5517056137522864E-3</v>
      </c>
      <c r="E1141" s="87"/>
    </row>
    <row r="1142" spans="1:5" ht="15" x14ac:dyDescent="0.2">
      <c r="A1142" s="73">
        <v>42867</v>
      </c>
      <c r="B1142" s="70">
        <v>74.459999999999994</v>
      </c>
      <c r="C1142" s="85">
        <v>1549001</v>
      </c>
      <c r="D1142" s="88">
        <v>6.2162162162160417E-3</v>
      </c>
      <c r="E1142" s="87"/>
    </row>
    <row r="1143" spans="1:5" ht="15" x14ac:dyDescent="0.2">
      <c r="A1143" s="73">
        <v>42866</v>
      </c>
      <c r="B1143" s="70">
        <v>74</v>
      </c>
      <c r="C1143" s="85">
        <v>2034389</v>
      </c>
      <c r="D1143" s="88">
        <v>-1.6480595427963762E-2</v>
      </c>
      <c r="E1143" s="87"/>
    </row>
    <row r="1144" spans="1:5" ht="15" x14ac:dyDescent="0.2">
      <c r="A1144" s="73">
        <v>42865</v>
      </c>
      <c r="B1144" s="70">
        <v>75.239999999999995</v>
      </c>
      <c r="C1144" s="85">
        <v>1626911</v>
      </c>
      <c r="D1144" s="88">
        <v>-3.4437086092715674E-3</v>
      </c>
      <c r="E1144" s="87"/>
    </row>
    <row r="1145" spans="1:5" ht="15" x14ac:dyDescent="0.2">
      <c r="A1145" s="73">
        <v>42864</v>
      </c>
      <c r="B1145" s="70">
        <v>75.5</v>
      </c>
      <c r="C1145" s="85">
        <v>1843290</v>
      </c>
      <c r="D1145" s="88">
        <v>1.193475666357191E-3</v>
      </c>
      <c r="E1145" s="87"/>
    </row>
    <row r="1146" spans="1:5" ht="15" x14ac:dyDescent="0.2">
      <c r="A1146" s="73">
        <v>42863</v>
      </c>
      <c r="B1146" s="70">
        <v>75.41</v>
      </c>
      <c r="C1146" s="85">
        <v>1865781</v>
      </c>
      <c r="D1146" s="88">
        <v>-6.1939905113336247E-3</v>
      </c>
      <c r="E1146" s="87"/>
    </row>
    <row r="1147" spans="1:5" ht="15" x14ac:dyDescent="0.2">
      <c r="A1147" s="73">
        <v>42860</v>
      </c>
      <c r="B1147" s="70">
        <v>75.88</v>
      </c>
      <c r="C1147" s="85">
        <v>2373314</v>
      </c>
      <c r="D1147" s="88">
        <v>1.1328801812608313E-2</v>
      </c>
      <c r="E1147" s="87"/>
    </row>
    <row r="1148" spans="1:5" ht="15" x14ac:dyDescent="0.2">
      <c r="A1148" s="73">
        <v>42859</v>
      </c>
      <c r="B1148" s="70">
        <v>75.03</v>
      </c>
      <c r="C1148" s="85">
        <v>3074091</v>
      </c>
      <c r="D1148" s="88">
        <v>1.5016233766233844E-2</v>
      </c>
      <c r="E1148" s="87"/>
    </row>
    <row r="1149" spans="1:5" ht="15" x14ac:dyDescent="0.2">
      <c r="A1149" s="73">
        <v>42858</v>
      </c>
      <c r="B1149" s="70">
        <v>73.92</v>
      </c>
      <c r="C1149" s="85">
        <v>1892839</v>
      </c>
      <c r="D1149" s="88">
        <v>-9.7789685197589016E-3</v>
      </c>
      <c r="E1149" s="87"/>
    </row>
    <row r="1150" spans="1:5" ht="15" x14ac:dyDescent="0.2">
      <c r="A1150" s="73">
        <v>42857</v>
      </c>
      <c r="B1150" s="70">
        <v>74.650000000000006</v>
      </c>
      <c r="C1150" s="85">
        <v>1514930</v>
      </c>
      <c r="D1150" s="88">
        <v>5.6580897211371273E-3</v>
      </c>
      <c r="E1150" s="87"/>
    </row>
    <row r="1151" spans="1:5" ht="15" x14ac:dyDescent="0.2">
      <c r="A1151" s="73">
        <v>42853</v>
      </c>
      <c r="B1151" s="70">
        <v>74.23</v>
      </c>
      <c r="C1151" s="85">
        <v>2041707</v>
      </c>
      <c r="D1151" s="88">
        <v>-1.0266666666666646E-2</v>
      </c>
      <c r="E1151" s="87"/>
    </row>
    <row r="1152" spans="1:5" ht="15" x14ac:dyDescent="0.2">
      <c r="A1152" s="73">
        <v>42852</v>
      </c>
      <c r="B1152" s="70">
        <v>75</v>
      </c>
      <c r="C1152" s="85">
        <v>2791834</v>
      </c>
      <c r="D1152" s="88">
        <v>1.2282359292752121E-2</v>
      </c>
      <c r="E1152" s="87"/>
    </row>
    <row r="1153" spans="1:5" ht="15" x14ac:dyDescent="0.2">
      <c r="A1153" s="73">
        <v>42851</v>
      </c>
      <c r="B1153" s="70">
        <v>74.09</v>
      </c>
      <c r="C1153" s="85">
        <v>2711216</v>
      </c>
      <c r="D1153" s="88">
        <v>-1.3495276653163746E-4</v>
      </c>
      <c r="E1153" s="87"/>
    </row>
    <row r="1154" spans="1:5" ht="15" x14ac:dyDescent="0.2">
      <c r="A1154" s="73">
        <v>42850</v>
      </c>
      <c r="B1154" s="70">
        <v>74.099999999999994</v>
      </c>
      <c r="C1154" s="85">
        <v>2035966</v>
      </c>
      <c r="D1154" s="88">
        <v>1.8929150892375013E-3</v>
      </c>
      <c r="E1154" s="87"/>
    </row>
    <row r="1155" spans="1:5" ht="15" x14ac:dyDescent="0.2">
      <c r="A1155" s="73">
        <v>42849</v>
      </c>
      <c r="B1155" s="70">
        <v>73.959999999999994</v>
      </c>
      <c r="C1155" s="85">
        <v>3392539</v>
      </c>
      <c r="D1155" s="88">
        <v>3.3393880117367658E-2</v>
      </c>
      <c r="E1155" s="87"/>
    </row>
    <row r="1156" spans="1:5" ht="15" x14ac:dyDescent="0.2">
      <c r="A1156" s="73">
        <v>42846</v>
      </c>
      <c r="B1156" s="70">
        <v>71.569999999999993</v>
      </c>
      <c r="C1156" s="85">
        <v>2834463</v>
      </c>
      <c r="D1156" s="88">
        <v>-9.6859000968589903E-3</v>
      </c>
      <c r="E1156" s="87"/>
    </row>
    <row r="1157" spans="1:5" ht="15" x14ac:dyDescent="0.2">
      <c r="A1157" s="73">
        <v>42845</v>
      </c>
      <c r="B1157" s="70">
        <v>72.27</v>
      </c>
      <c r="C1157" s="85">
        <v>2341444</v>
      </c>
      <c r="D1157" s="88">
        <v>3.3314269373748928E-2</v>
      </c>
      <c r="E1157" s="87"/>
    </row>
    <row r="1158" spans="1:5" ht="15" x14ac:dyDescent="0.2">
      <c r="A1158" s="73">
        <v>42844</v>
      </c>
      <c r="B1158" s="70">
        <v>69.94</v>
      </c>
      <c r="C1158" s="85">
        <v>1324250</v>
      </c>
      <c r="D1158" s="88">
        <v>5.8967352222061287E-3</v>
      </c>
      <c r="E1158" s="87"/>
    </row>
    <row r="1159" spans="1:5" ht="15" x14ac:dyDescent="0.2">
      <c r="A1159" s="73">
        <v>42843</v>
      </c>
      <c r="B1159" s="70">
        <v>69.53</v>
      </c>
      <c r="C1159" s="85">
        <v>2099125</v>
      </c>
      <c r="D1159" s="88">
        <v>-2.5234824057198901E-2</v>
      </c>
      <c r="E1159" s="87"/>
    </row>
    <row r="1160" spans="1:5" ht="15" x14ac:dyDescent="0.2">
      <c r="A1160" s="73">
        <v>42838</v>
      </c>
      <c r="B1160" s="70">
        <v>71.33</v>
      </c>
      <c r="C1160" s="85">
        <v>1754341</v>
      </c>
      <c r="D1160" s="88">
        <v>-8.3414430696511221E-3</v>
      </c>
      <c r="E1160" s="87"/>
    </row>
    <row r="1161" spans="1:5" ht="15" x14ac:dyDescent="0.2">
      <c r="A1161" s="73">
        <v>42837</v>
      </c>
      <c r="B1161" s="70">
        <v>71.930000000000007</v>
      </c>
      <c r="C1161" s="85">
        <v>1625849</v>
      </c>
      <c r="D1161" s="88">
        <v>8.8359046283310594E-3</v>
      </c>
      <c r="E1161" s="87"/>
    </row>
    <row r="1162" spans="1:5" ht="15" x14ac:dyDescent="0.2">
      <c r="A1162" s="73">
        <v>42836</v>
      </c>
      <c r="B1162" s="70">
        <v>71.3</v>
      </c>
      <c r="C1162" s="85">
        <v>1967151</v>
      </c>
      <c r="D1162" s="88">
        <v>2.9540019693345965E-3</v>
      </c>
      <c r="E1162" s="87"/>
    </row>
    <row r="1163" spans="1:5" ht="15" x14ac:dyDescent="0.2">
      <c r="A1163" s="73">
        <v>42835</v>
      </c>
      <c r="B1163" s="70">
        <v>71.09</v>
      </c>
      <c r="C1163" s="85">
        <v>1920441</v>
      </c>
      <c r="D1163" s="88">
        <v>-1.9448275862068876E-2</v>
      </c>
      <c r="E1163" s="87"/>
    </row>
    <row r="1164" spans="1:5" ht="15" x14ac:dyDescent="0.2">
      <c r="A1164" s="73">
        <v>42832</v>
      </c>
      <c r="B1164" s="70">
        <v>72.5</v>
      </c>
      <c r="C1164" s="85">
        <v>1424663</v>
      </c>
      <c r="D1164" s="88">
        <v>-2.7578599007160864E-4</v>
      </c>
      <c r="E1164" s="87"/>
    </row>
    <row r="1165" spans="1:5" ht="15" x14ac:dyDescent="0.2">
      <c r="A1165" s="73">
        <v>42831</v>
      </c>
      <c r="B1165" s="70">
        <v>72.52</v>
      </c>
      <c r="C1165" s="85">
        <v>1382952</v>
      </c>
      <c r="D1165" s="88">
        <v>1.3273718038284255E-2</v>
      </c>
      <c r="E1165" s="87"/>
    </row>
    <row r="1166" spans="1:5" ht="15" x14ac:dyDescent="0.2">
      <c r="A1166" s="73">
        <v>42830</v>
      </c>
      <c r="B1166" s="70">
        <v>71.569999999999993</v>
      </c>
      <c r="C1166" s="85">
        <v>1311847</v>
      </c>
      <c r="D1166" s="88">
        <v>-3.4809245335560846E-3</v>
      </c>
      <c r="E1166" s="87"/>
    </row>
    <row r="1167" spans="1:5" ht="15" x14ac:dyDescent="0.2">
      <c r="A1167" s="73">
        <v>42829</v>
      </c>
      <c r="B1167" s="70">
        <v>71.819999999999993</v>
      </c>
      <c r="C1167" s="85">
        <v>1165031</v>
      </c>
      <c r="D1167" s="88">
        <v>6.4461883408071241E-3</v>
      </c>
      <c r="E1167" s="87"/>
    </row>
    <row r="1168" spans="1:5" ht="15" x14ac:dyDescent="0.2">
      <c r="A1168" s="73">
        <v>42828</v>
      </c>
      <c r="B1168" s="70">
        <v>71.36</v>
      </c>
      <c r="C1168" s="85">
        <v>1272288</v>
      </c>
      <c r="D1168" s="88">
        <v>4.2058040095338534E-4</v>
      </c>
      <c r="E1168" s="87"/>
    </row>
    <row r="1169" spans="1:5" ht="15" x14ac:dyDescent="0.2">
      <c r="A1169" s="73">
        <v>42825</v>
      </c>
      <c r="B1169" s="70">
        <v>71.33</v>
      </c>
      <c r="C1169" s="85">
        <v>2074757</v>
      </c>
      <c r="D1169" s="88">
        <v>-4.3271915131212202E-3</v>
      </c>
      <c r="E1169" s="87"/>
    </row>
    <row r="1170" spans="1:5" ht="15" x14ac:dyDescent="0.2">
      <c r="A1170" s="73">
        <v>42824</v>
      </c>
      <c r="B1170" s="70">
        <v>71.64</v>
      </c>
      <c r="C1170" s="85">
        <v>1117112</v>
      </c>
      <c r="D1170" s="88">
        <v>2.7925160569663987E-4</v>
      </c>
      <c r="E1170" s="87"/>
    </row>
    <row r="1171" spans="1:5" ht="15" x14ac:dyDescent="0.2">
      <c r="A1171" s="73">
        <v>42823</v>
      </c>
      <c r="B1171" s="70">
        <v>71.62</v>
      </c>
      <c r="C1171" s="85">
        <v>1341066</v>
      </c>
      <c r="D1171" s="88">
        <v>1.115346604546108E-2</v>
      </c>
      <c r="E1171" s="87"/>
    </row>
    <row r="1172" spans="1:5" ht="15" x14ac:dyDescent="0.2">
      <c r="A1172" s="73">
        <v>42822</v>
      </c>
      <c r="B1172" s="70">
        <v>70.83</v>
      </c>
      <c r="C1172" s="85">
        <v>1089990</v>
      </c>
      <c r="D1172" s="88">
        <v>2.1635655560363398E-2</v>
      </c>
      <c r="E1172" s="87"/>
    </row>
    <row r="1173" spans="1:5" ht="15" x14ac:dyDescent="0.2">
      <c r="A1173" s="73">
        <v>42821</v>
      </c>
      <c r="B1173" s="70">
        <v>69.33</v>
      </c>
      <c r="C1173" s="85">
        <v>1342929</v>
      </c>
      <c r="D1173" s="88">
        <v>-9.8543273350470972E-3</v>
      </c>
      <c r="E1173" s="87"/>
    </row>
    <row r="1174" spans="1:5" ht="15" x14ac:dyDescent="0.2">
      <c r="A1174" s="73">
        <v>42818</v>
      </c>
      <c r="B1174" s="70">
        <v>70.02</v>
      </c>
      <c r="C1174" s="85">
        <v>1138325</v>
      </c>
      <c r="D1174" s="88">
        <v>2.4337866857551127E-3</v>
      </c>
      <c r="E1174" s="87"/>
    </row>
    <row r="1175" spans="1:5" ht="15" x14ac:dyDescent="0.2">
      <c r="A1175" s="73">
        <v>42817</v>
      </c>
      <c r="B1175" s="70">
        <v>69.849999999999994</v>
      </c>
      <c r="C1175" s="85">
        <v>1459948</v>
      </c>
      <c r="D1175" s="88">
        <v>1.3788098693758855E-2</v>
      </c>
      <c r="E1175" s="87"/>
    </row>
    <row r="1176" spans="1:5" ht="15" x14ac:dyDescent="0.2">
      <c r="A1176" s="73">
        <v>42816</v>
      </c>
      <c r="B1176" s="70">
        <v>68.900000000000006</v>
      </c>
      <c r="C1176" s="85">
        <v>1942474</v>
      </c>
      <c r="D1176" s="88">
        <v>-1.019968395345483E-2</v>
      </c>
      <c r="E1176" s="87"/>
    </row>
    <row r="1177" spans="1:5" ht="15" x14ac:dyDescent="0.2">
      <c r="A1177" s="73">
        <v>42815</v>
      </c>
      <c r="B1177" s="70">
        <v>69.61</v>
      </c>
      <c r="C1177" s="85">
        <v>1691796</v>
      </c>
      <c r="D1177" s="88">
        <v>-1.4022662889518367E-2</v>
      </c>
      <c r="E1177" s="87"/>
    </row>
    <row r="1178" spans="1:5" ht="15" x14ac:dyDescent="0.2">
      <c r="A1178" s="73">
        <v>42814</v>
      </c>
      <c r="B1178" s="70">
        <v>70.599999999999994</v>
      </c>
      <c r="C1178" s="85">
        <v>1052748</v>
      </c>
      <c r="D1178" s="88">
        <v>8.4273675189256991E-3</v>
      </c>
      <c r="E1178" s="87"/>
    </row>
    <row r="1179" spans="1:5" ht="15" x14ac:dyDescent="0.2">
      <c r="A1179" s="73">
        <v>42811</v>
      </c>
      <c r="B1179" s="70">
        <v>70.010000000000005</v>
      </c>
      <c r="C1179" s="85">
        <v>2785113</v>
      </c>
      <c r="D1179" s="88">
        <v>-4.9744172825467725E-3</v>
      </c>
      <c r="E1179" s="87"/>
    </row>
    <row r="1180" spans="1:5" ht="15" x14ac:dyDescent="0.2">
      <c r="A1180" s="73">
        <v>42810</v>
      </c>
      <c r="B1180" s="70">
        <v>70.36</v>
      </c>
      <c r="C1180" s="85">
        <v>1547533</v>
      </c>
      <c r="D1180" s="88">
        <v>-9.9389464716748144E-4</v>
      </c>
      <c r="E1180" s="87"/>
    </row>
    <row r="1181" spans="1:5" ht="15" x14ac:dyDescent="0.2">
      <c r="A1181" s="73">
        <v>42809</v>
      </c>
      <c r="B1181" s="70">
        <v>70.430000000000007</v>
      </c>
      <c r="C1181" s="85">
        <v>1397171</v>
      </c>
      <c r="D1181" s="88">
        <v>3.2763532763533387E-3</v>
      </c>
      <c r="E1181" s="87"/>
    </row>
    <row r="1182" spans="1:5" ht="15" x14ac:dyDescent="0.2">
      <c r="A1182" s="73">
        <v>42808</v>
      </c>
      <c r="B1182" s="70">
        <v>70.2</v>
      </c>
      <c r="C1182" s="85">
        <v>1031487</v>
      </c>
      <c r="D1182" s="88">
        <v>3.5739814152966343E-3</v>
      </c>
      <c r="E1182" s="87"/>
    </row>
    <row r="1183" spans="1:5" ht="15" x14ac:dyDescent="0.2">
      <c r="A1183" s="73">
        <v>42807</v>
      </c>
      <c r="B1183" s="70">
        <v>69.95</v>
      </c>
      <c r="C1183" s="85">
        <v>942671</v>
      </c>
      <c r="D1183" s="88">
        <v>-1.5700827861833133E-3</v>
      </c>
      <c r="E1183" s="87"/>
    </row>
    <row r="1184" spans="1:5" ht="15" x14ac:dyDescent="0.2">
      <c r="A1184" s="73">
        <v>42804</v>
      </c>
      <c r="B1184" s="70">
        <v>70.06</v>
      </c>
      <c r="C1184" s="85">
        <v>1299185</v>
      </c>
      <c r="D1184" s="88">
        <v>0</v>
      </c>
      <c r="E1184" s="87"/>
    </row>
    <row r="1185" spans="1:5" ht="15" x14ac:dyDescent="0.2">
      <c r="A1185" s="73">
        <v>42803</v>
      </c>
      <c r="B1185" s="70">
        <v>70.06</v>
      </c>
      <c r="C1185" s="85">
        <v>1559193</v>
      </c>
      <c r="D1185" s="88">
        <v>-5.8180786150133779E-3</v>
      </c>
      <c r="E1185" s="87"/>
    </row>
    <row r="1186" spans="1:5" ht="15" x14ac:dyDescent="0.2">
      <c r="A1186" s="73">
        <v>42802</v>
      </c>
      <c r="B1186" s="70">
        <v>70.47</v>
      </c>
      <c r="C1186" s="85">
        <v>1262311</v>
      </c>
      <c r="D1186" s="88">
        <v>3.9891722467588764E-3</v>
      </c>
      <c r="E1186" s="87"/>
    </row>
    <row r="1187" spans="1:5" ht="15" x14ac:dyDescent="0.2">
      <c r="A1187" s="73">
        <v>42801</v>
      </c>
      <c r="B1187" s="70">
        <v>70.19</v>
      </c>
      <c r="C1187" s="85">
        <v>1942419</v>
      </c>
      <c r="D1187" s="88">
        <v>-1.2104152005629865E-2</v>
      </c>
      <c r="E1187" s="87"/>
    </row>
    <row r="1188" spans="1:5" ht="15" x14ac:dyDescent="0.2">
      <c r="A1188" s="73">
        <v>42800</v>
      </c>
      <c r="B1188" s="70">
        <v>71.05</v>
      </c>
      <c r="C1188" s="85">
        <v>1926655</v>
      </c>
      <c r="D1188" s="88">
        <v>-1.6861036953773612E-3</v>
      </c>
      <c r="E1188" s="87"/>
    </row>
    <row r="1189" spans="1:5" ht="15" x14ac:dyDescent="0.2">
      <c r="A1189" s="73">
        <v>42797</v>
      </c>
      <c r="B1189" s="70">
        <v>71.17</v>
      </c>
      <c r="C1189" s="85">
        <v>1968675</v>
      </c>
      <c r="D1189" s="88">
        <v>-7.3919107391910988E-3</v>
      </c>
      <c r="E1189" s="87"/>
    </row>
    <row r="1190" spans="1:5" ht="15" x14ac:dyDescent="0.2">
      <c r="A1190" s="73">
        <v>42796</v>
      </c>
      <c r="B1190" s="70">
        <v>71.7</v>
      </c>
      <c r="C1190" s="85">
        <v>1590954</v>
      </c>
      <c r="D1190" s="88">
        <v>8.1552305961754001E-3</v>
      </c>
      <c r="E1190" s="87"/>
    </row>
    <row r="1191" spans="1:5" ht="15" x14ac:dyDescent="0.2">
      <c r="A1191" s="73">
        <v>42795</v>
      </c>
      <c r="B1191" s="70">
        <v>71.12</v>
      </c>
      <c r="C1191" s="85">
        <v>2496301</v>
      </c>
      <c r="D1191" s="88">
        <v>2.5966532025389677E-2</v>
      </c>
      <c r="E1191" s="87"/>
    </row>
    <row r="1192" spans="1:5" ht="15" x14ac:dyDescent="0.2">
      <c r="A1192" s="73">
        <v>42794</v>
      </c>
      <c r="B1192" s="70">
        <v>69.319999999999993</v>
      </c>
      <c r="C1192" s="85">
        <v>2297393</v>
      </c>
      <c r="D1192" s="88">
        <v>1.4191660570592513E-2</v>
      </c>
      <c r="E1192" s="87"/>
    </row>
    <row r="1193" spans="1:5" ht="15" x14ac:dyDescent="0.2">
      <c r="A1193" s="73">
        <v>42793</v>
      </c>
      <c r="B1193" s="70">
        <v>68.349999999999994</v>
      </c>
      <c r="C1193" s="85">
        <v>1563780</v>
      </c>
      <c r="D1193" s="88">
        <v>0</v>
      </c>
      <c r="E1193" s="87"/>
    </row>
    <row r="1194" spans="1:5" ht="15" x14ac:dyDescent="0.2">
      <c r="A1194" s="73">
        <v>42790</v>
      </c>
      <c r="B1194" s="70">
        <v>68.349999999999994</v>
      </c>
      <c r="C1194" s="85">
        <v>2537992</v>
      </c>
      <c r="D1194" s="88">
        <v>-1.0137581462708267E-2</v>
      </c>
      <c r="E1194" s="87"/>
    </row>
    <row r="1195" spans="1:5" ht="15" x14ac:dyDescent="0.2">
      <c r="A1195" s="73">
        <v>42789</v>
      </c>
      <c r="B1195" s="70">
        <v>69.05</v>
      </c>
      <c r="C1195" s="85">
        <v>2859863</v>
      </c>
      <c r="D1195" s="88">
        <v>3.5232383808095902E-2</v>
      </c>
      <c r="E1195" s="87"/>
    </row>
    <row r="1196" spans="1:5" ht="15" x14ac:dyDescent="0.2">
      <c r="A1196" s="73">
        <v>42788</v>
      </c>
      <c r="B1196" s="70">
        <v>66.7</v>
      </c>
      <c r="C1196" s="85">
        <v>3178074</v>
      </c>
      <c r="D1196" s="88">
        <v>-8.0309339678761305E-3</v>
      </c>
      <c r="E1196" s="87"/>
    </row>
    <row r="1197" spans="1:5" ht="15" x14ac:dyDescent="0.2">
      <c r="A1197" s="73">
        <v>42787</v>
      </c>
      <c r="B1197" s="70">
        <v>67.239999999999995</v>
      </c>
      <c r="C1197" s="85">
        <v>1796213</v>
      </c>
      <c r="D1197" s="88">
        <v>1.0671877348564562E-2</v>
      </c>
      <c r="E1197" s="87"/>
    </row>
    <row r="1198" spans="1:5" ht="15" x14ac:dyDescent="0.2">
      <c r="A1198" s="73">
        <v>42786</v>
      </c>
      <c r="B1198" s="70">
        <v>66.53</v>
      </c>
      <c r="C1198" s="85">
        <v>1250908</v>
      </c>
      <c r="D1198" s="88">
        <v>1.7278287461773623E-2</v>
      </c>
      <c r="E1198" s="87"/>
    </row>
    <row r="1199" spans="1:5" ht="15" x14ac:dyDescent="0.2">
      <c r="A1199" s="73">
        <v>42783</v>
      </c>
      <c r="B1199" s="70">
        <v>65.400000000000006</v>
      </c>
      <c r="C1199" s="85">
        <v>1805130</v>
      </c>
      <c r="D1199" s="88">
        <v>-5.6256651968981108E-3</v>
      </c>
      <c r="E1199" s="87"/>
    </row>
    <row r="1200" spans="1:5" ht="15" x14ac:dyDescent="0.2">
      <c r="A1200" s="73">
        <v>42782</v>
      </c>
      <c r="B1200" s="70">
        <v>65.77</v>
      </c>
      <c r="C1200" s="85">
        <v>1689453</v>
      </c>
      <c r="D1200" s="88">
        <v>-8.2931242460795307E-3</v>
      </c>
      <c r="E1200" s="87"/>
    </row>
    <row r="1201" spans="1:5" ht="15" x14ac:dyDescent="0.2">
      <c r="A1201" s="73">
        <v>42781</v>
      </c>
      <c r="B1201" s="70">
        <v>66.319999999999993</v>
      </c>
      <c r="C1201" s="85">
        <v>1488267</v>
      </c>
      <c r="D1201" s="88">
        <v>1.6613804561245171E-3</v>
      </c>
      <c r="E1201" s="87"/>
    </row>
    <row r="1202" spans="1:5" ht="15" x14ac:dyDescent="0.2">
      <c r="A1202" s="73">
        <v>42780</v>
      </c>
      <c r="B1202" s="70">
        <v>66.209999999999994</v>
      </c>
      <c r="C1202" s="85">
        <v>1361242</v>
      </c>
      <c r="D1202" s="88">
        <v>5.4669703872436415E-3</v>
      </c>
      <c r="E1202" s="87"/>
    </row>
    <row r="1203" spans="1:5" ht="15" x14ac:dyDescent="0.2">
      <c r="A1203" s="73">
        <v>42779</v>
      </c>
      <c r="B1203" s="70">
        <v>65.849999999999994</v>
      </c>
      <c r="C1203" s="85">
        <v>1622878</v>
      </c>
      <c r="D1203" s="88">
        <v>2.2674328311849568E-2</v>
      </c>
      <c r="E1203" s="87"/>
    </row>
    <row r="1204" spans="1:5" ht="15" x14ac:dyDescent="0.2">
      <c r="A1204" s="73">
        <v>42776</v>
      </c>
      <c r="B1204" s="70">
        <v>64.39</v>
      </c>
      <c r="C1204" s="85">
        <v>1354851</v>
      </c>
      <c r="D1204" s="88">
        <v>6.0937500000000089E-3</v>
      </c>
      <c r="E1204" s="87"/>
    </row>
    <row r="1205" spans="1:5" ht="15" x14ac:dyDescent="0.2">
      <c r="A1205" s="73">
        <v>42775</v>
      </c>
      <c r="B1205" s="70">
        <v>64</v>
      </c>
      <c r="C1205" s="85">
        <v>1493430</v>
      </c>
      <c r="D1205" s="88">
        <v>1.9595348096224319E-2</v>
      </c>
      <c r="E1205" s="87"/>
    </row>
    <row r="1206" spans="1:5" ht="15" x14ac:dyDescent="0.2">
      <c r="A1206" s="73">
        <v>42774</v>
      </c>
      <c r="B1206" s="70">
        <v>62.77</v>
      </c>
      <c r="C1206" s="85">
        <v>1602170</v>
      </c>
      <c r="D1206" s="88">
        <v>-1.7493638676844281E-3</v>
      </c>
      <c r="E1206" s="87"/>
    </row>
    <row r="1207" spans="1:5" ht="15" x14ac:dyDescent="0.2">
      <c r="A1207" s="73">
        <v>42773</v>
      </c>
      <c r="B1207" s="70">
        <v>62.88</v>
      </c>
      <c r="C1207" s="85">
        <v>1594809</v>
      </c>
      <c r="D1207" s="88">
        <v>-3.6444303596894212E-3</v>
      </c>
      <c r="E1207" s="87"/>
    </row>
    <row r="1208" spans="1:5" ht="15" x14ac:dyDescent="0.2">
      <c r="A1208" s="73">
        <v>42772</v>
      </c>
      <c r="B1208" s="70">
        <v>63.11</v>
      </c>
      <c r="C1208" s="85">
        <v>1550256</v>
      </c>
      <c r="D1208" s="88">
        <v>7.9289565493168013E-4</v>
      </c>
      <c r="E1208" s="87"/>
    </row>
    <row r="1209" spans="1:5" ht="15" x14ac:dyDescent="0.2">
      <c r="A1209" s="73">
        <v>42769</v>
      </c>
      <c r="B1209" s="70">
        <v>63.06</v>
      </c>
      <c r="C1209" s="85">
        <v>1476569</v>
      </c>
      <c r="D1209" s="88">
        <v>3.5009548058562157E-3</v>
      </c>
      <c r="E1209" s="87"/>
    </row>
    <row r="1210" spans="1:5" ht="15" x14ac:dyDescent="0.2">
      <c r="A1210" s="73">
        <v>42768</v>
      </c>
      <c r="B1210" s="70">
        <v>62.84</v>
      </c>
      <c r="C1210" s="85">
        <v>1634905</v>
      </c>
      <c r="D1210" s="88">
        <v>-4.1204437400950145E-3</v>
      </c>
      <c r="E1210" s="87"/>
    </row>
    <row r="1211" spans="1:5" ht="15" x14ac:dyDescent="0.2">
      <c r="A1211" s="73">
        <v>42767</v>
      </c>
      <c r="B1211" s="70">
        <v>63.1</v>
      </c>
      <c r="C1211" s="85">
        <v>1638153</v>
      </c>
      <c r="D1211" s="88">
        <v>5.4174633524537441E-3</v>
      </c>
      <c r="E1211" s="87"/>
    </row>
    <row r="1212" spans="1:5" ht="15" x14ac:dyDescent="0.2">
      <c r="A1212" s="73">
        <v>42766</v>
      </c>
      <c r="B1212" s="70">
        <v>62.76</v>
      </c>
      <c r="C1212" s="85">
        <v>1919417</v>
      </c>
      <c r="D1212" s="88">
        <v>-8.3741507347132593E-3</v>
      </c>
      <c r="E1212" s="87"/>
    </row>
    <row r="1213" spans="1:5" ht="15" x14ac:dyDescent="0.2">
      <c r="A1213" s="73">
        <v>42765</v>
      </c>
      <c r="B1213" s="70">
        <v>63.29</v>
      </c>
      <c r="C1213" s="85">
        <v>1814170</v>
      </c>
      <c r="D1213" s="88">
        <v>-2.1339106231637595E-2</v>
      </c>
      <c r="E1213" s="87"/>
    </row>
    <row r="1214" spans="1:5" ht="15" x14ac:dyDescent="0.2">
      <c r="A1214" s="73">
        <v>42762</v>
      </c>
      <c r="B1214" s="70">
        <v>64.67</v>
      </c>
      <c r="C1214" s="85">
        <v>1136342</v>
      </c>
      <c r="D1214" s="88">
        <v>-3.6974272069018044E-3</v>
      </c>
      <c r="E1214" s="87"/>
    </row>
    <row r="1215" spans="1:5" ht="15" x14ac:dyDescent="0.2">
      <c r="A1215" s="73">
        <v>42761</v>
      </c>
      <c r="B1215" s="70">
        <v>64.91</v>
      </c>
      <c r="C1215" s="85">
        <v>1800381</v>
      </c>
      <c r="D1215" s="88">
        <v>-7.3405719528980562E-3</v>
      </c>
      <c r="E1215" s="87"/>
    </row>
    <row r="1216" spans="1:5" ht="15" x14ac:dyDescent="0.2">
      <c r="A1216" s="73">
        <v>42760</v>
      </c>
      <c r="B1216" s="70">
        <v>65.39</v>
      </c>
      <c r="C1216" s="85">
        <v>1932070</v>
      </c>
      <c r="D1216" s="88">
        <v>-2.5930445393532731E-3</v>
      </c>
      <c r="E1216" s="87"/>
    </row>
    <row r="1217" spans="1:7" ht="15" x14ac:dyDescent="0.2">
      <c r="A1217" s="73">
        <v>42759</v>
      </c>
      <c r="B1217" s="70">
        <v>65.56</v>
      </c>
      <c r="C1217" s="85">
        <v>1400523</v>
      </c>
      <c r="D1217" s="88">
        <v>1.6806722689075571E-3</v>
      </c>
      <c r="E1217" s="87"/>
    </row>
    <row r="1218" spans="1:7" ht="15" x14ac:dyDescent="0.2">
      <c r="A1218" s="73">
        <v>42758</v>
      </c>
      <c r="B1218" s="70">
        <v>65.45</v>
      </c>
      <c r="C1218" s="85">
        <v>1615128</v>
      </c>
      <c r="D1218" s="88">
        <v>1.6835016835017313E-3</v>
      </c>
      <c r="E1218" s="87"/>
    </row>
    <row r="1219" spans="1:7" ht="15" x14ac:dyDescent="0.2">
      <c r="A1219" s="73">
        <v>42755</v>
      </c>
      <c r="B1219" s="70">
        <v>65.34</v>
      </c>
      <c r="C1219" s="85">
        <v>2218246</v>
      </c>
      <c r="D1219" s="88">
        <v>-2.1380574221135928E-3</v>
      </c>
      <c r="E1219" s="87"/>
    </row>
    <row r="1220" spans="1:7" ht="15" x14ac:dyDescent="0.2">
      <c r="A1220" s="73">
        <v>42754</v>
      </c>
      <c r="B1220" s="70">
        <v>65.48</v>
      </c>
      <c r="C1220" s="85">
        <v>2143368</v>
      </c>
      <c r="D1220" s="88">
        <v>9.8704503392967879E-3</v>
      </c>
      <c r="E1220" s="87"/>
    </row>
    <row r="1221" spans="1:7" ht="15" x14ac:dyDescent="0.2">
      <c r="A1221" s="73">
        <v>42753</v>
      </c>
      <c r="B1221" s="70">
        <v>64.84</v>
      </c>
      <c r="C1221" s="85">
        <v>1697190</v>
      </c>
      <c r="D1221" s="88">
        <v>-7.8041315990817761E-3</v>
      </c>
      <c r="E1221" s="87"/>
    </row>
    <row r="1222" spans="1:7" ht="15" x14ac:dyDescent="0.2">
      <c r="A1222" s="73">
        <v>42752</v>
      </c>
      <c r="B1222" s="70">
        <v>65.349999999999994</v>
      </c>
      <c r="C1222" s="85">
        <v>1819558</v>
      </c>
      <c r="D1222" s="88">
        <v>2.6081620128872718E-3</v>
      </c>
      <c r="E1222" s="67"/>
      <c r="F1222" s="67"/>
      <c r="G1222" s="67"/>
    </row>
    <row r="1223" spans="1:7" ht="15" x14ac:dyDescent="0.2">
      <c r="A1223" s="73">
        <v>42751</v>
      </c>
      <c r="B1223" s="70">
        <v>65.180000000000007</v>
      </c>
      <c r="C1223" s="85">
        <v>997832</v>
      </c>
      <c r="D1223" s="88">
        <v>-7.0079219987810859E-3</v>
      </c>
      <c r="E1223" s="67"/>
      <c r="F1223" s="67"/>
      <c r="G1223" s="67"/>
    </row>
    <row r="1224" spans="1:7" ht="15" x14ac:dyDescent="0.2">
      <c r="A1224" s="73">
        <v>42748</v>
      </c>
      <c r="B1224" s="70">
        <v>65.64</v>
      </c>
      <c r="C1224" s="85">
        <v>1630054</v>
      </c>
      <c r="D1224" s="88">
        <v>1.4685422785592817E-2</v>
      </c>
      <c r="E1224" s="67"/>
      <c r="F1224" s="67"/>
      <c r="G1224" s="67"/>
    </row>
    <row r="1225" spans="1:7" ht="15" x14ac:dyDescent="0.2">
      <c r="A1225" s="73">
        <v>42747</v>
      </c>
      <c r="B1225" s="70">
        <v>64.69</v>
      </c>
      <c r="C1225" s="85">
        <v>1754768</v>
      </c>
      <c r="D1225" s="88">
        <v>-1.1762908646501646E-2</v>
      </c>
      <c r="E1225" s="67"/>
      <c r="F1225" s="67"/>
      <c r="G1225" s="67"/>
    </row>
    <row r="1226" spans="1:7" ht="15" x14ac:dyDescent="0.2">
      <c r="A1226" s="73">
        <v>42746</v>
      </c>
      <c r="B1226" s="70">
        <v>65.459999999999994</v>
      </c>
      <c r="C1226" s="85">
        <v>2154981</v>
      </c>
      <c r="D1226" s="88">
        <v>3.9877300613495592E-3</v>
      </c>
      <c r="E1226" s="67"/>
      <c r="F1226" s="67"/>
      <c r="G1226" s="67"/>
    </row>
    <row r="1227" spans="1:7" ht="15" x14ac:dyDescent="0.2">
      <c r="A1227" s="73">
        <v>42745</v>
      </c>
      <c r="B1227" s="70">
        <v>65.2</v>
      </c>
      <c r="C1227" s="85">
        <v>1873665</v>
      </c>
      <c r="D1227" s="88">
        <v>-1.225490196078427E-3</v>
      </c>
      <c r="E1227" s="67"/>
      <c r="F1227" s="67"/>
      <c r="G1227" s="67"/>
    </row>
    <row r="1228" spans="1:7" ht="15" x14ac:dyDescent="0.2">
      <c r="A1228" s="73">
        <v>42744</v>
      </c>
      <c r="B1228" s="70">
        <v>65.28</v>
      </c>
      <c r="C1228" s="85">
        <v>1802559</v>
      </c>
      <c r="D1228" s="88">
        <v>2.149217070924081E-3</v>
      </c>
      <c r="E1228" s="67"/>
      <c r="F1228" s="67"/>
      <c r="G1228" s="67"/>
    </row>
    <row r="1229" spans="1:7" ht="15" x14ac:dyDescent="0.2">
      <c r="A1229" s="73">
        <v>42741</v>
      </c>
      <c r="B1229" s="70">
        <v>65.14</v>
      </c>
      <c r="C1229" s="85">
        <v>1962633</v>
      </c>
      <c r="D1229" s="88">
        <v>8.3591331269350366E-3</v>
      </c>
      <c r="E1229" s="67"/>
      <c r="F1229" s="67"/>
      <c r="G1229" s="67"/>
    </row>
    <row r="1230" spans="1:7" ht="15" x14ac:dyDescent="0.2">
      <c r="A1230" s="73">
        <v>42740</v>
      </c>
      <c r="B1230" s="70">
        <v>64.599999999999994</v>
      </c>
      <c r="C1230" s="85">
        <v>2332246</v>
      </c>
      <c r="D1230" s="88">
        <v>1.8927444794952564E-2</v>
      </c>
      <c r="E1230" s="67"/>
      <c r="F1230" s="67"/>
      <c r="G1230" s="67"/>
    </row>
    <row r="1231" spans="1:7" ht="15" x14ac:dyDescent="0.2">
      <c r="A1231" s="73">
        <v>42739</v>
      </c>
      <c r="B1231" s="70">
        <v>63.4</v>
      </c>
      <c r="C1231" s="85">
        <v>1734908</v>
      </c>
      <c r="D1231" s="88">
        <v>-1.5748031496063408E-3</v>
      </c>
      <c r="E1231" s="67"/>
      <c r="F1231" s="67"/>
      <c r="G1231" s="67"/>
    </row>
    <row r="1232" spans="1:7" ht="15" x14ac:dyDescent="0.2">
      <c r="A1232" s="73">
        <v>42738</v>
      </c>
      <c r="B1232" s="70">
        <v>63.5</v>
      </c>
      <c r="C1232" s="85">
        <v>2076307</v>
      </c>
      <c r="D1232" s="88">
        <v>1.0824578159821741E-2</v>
      </c>
      <c r="E1232" s="67"/>
      <c r="F1232" s="67"/>
      <c r="G1232" s="67"/>
    </row>
    <row r="1233" spans="1:7" ht="15" x14ac:dyDescent="0.2">
      <c r="A1233" s="73">
        <v>42737</v>
      </c>
      <c r="B1233" s="70">
        <v>62.82</v>
      </c>
      <c r="C1233" s="85">
        <v>594839</v>
      </c>
      <c r="D1233" s="88">
        <v>-3.1826861871420142E-4</v>
      </c>
      <c r="E1233" s="67"/>
      <c r="F1233" s="67"/>
      <c r="G1233" s="67"/>
    </row>
    <row r="1234" spans="1:7" ht="15" x14ac:dyDescent="0.2">
      <c r="A1234" s="76">
        <v>42734</v>
      </c>
      <c r="B1234" s="77">
        <v>62.84</v>
      </c>
      <c r="C1234" s="86">
        <v>1215943</v>
      </c>
      <c r="D1234" s="89">
        <v>7.6972418216805227E-3</v>
      </c>
      <c r="E1234" s="79"/>
      <c r="F1234" s="79"/>
      <c r="G1234" s="78" t="e">
        <v>#REF!</v>
      </c>
    </row>
    <row r="1235" spans="1:7" ht="15" x14ac:dyDescent="0.2">
      <c r="A1235" s="73">
        <v>42733</v>
      </c>
      <c r="B1235" s="70">
        <v>62.36</v>
      </c>
      <c r="C1235" s="85">
        <v>803596</v>
      </c>
      <c r="D1235" s="88">
        <v>-5.7397959183673741E-3</v>
      </c>
      <c r="E1235" s="67"/>
      <c r="F1235" s="67"/>
      <c r="G1235" s="67"/>
    </row>
    <row r="1236" spans="1:7" ht="15" x14ac:dyDescent="0.2">
      <c r="A1236" s="73">
        <v>42732</v>
      </c>
      <c r="B1236" s="70">
        <v>62.72</v>
      </c>
      <c r="C1236" s="85">
        <v>881555</v>
      </c>
      <c r="D1236" s="88">
        <v>-3.1786395422759295E-3</v>
      </c>
      <c r="E1236" s="67"/>
      <c r="F1236" s="67"/>
      <c r="G1236" s="67"/>
    </row>
    <row r="1237" spans="1:7" ht="15" x14ac:dyDescent="0.2">
      <c r="A1237" s="73">
        <v>42731</v>
      </c>
      <c r="B1237" s="70">
        <v>62.92</v>
      </c>
      <c r="C1237" s="85">
        <v>500179</v>
      </c>
      <c r="D1237" s="88">
        <v>3.1796502384739966E-4</v>
      </c>
      <c r="E1237" s="67"/>
      <c r="F1237" s="67"/>
      <c r="G1237" s="67"/>
    </row>
    <row r="1238" spans="1:7" ht="15" x14ac:dyDescent="0.2">
      <c r="A1238" s="73">
        <v>42727</v>
      </c>
      <c r="B1238" s="70">
        <v>62.9</v>
      </c>
      <c r="C1238" s="85">
        <v>775843</v>
      </c>
      <c r="D1238" s="88">
        <v>2.8698979591836871E-3</v>
      </c>
      <c r="E1238" s="87"/>
    </row>
    <row r="1239" spans="1:7" ht="15" x14ac:dyDescent="0.2">
      <c r="A1239" s="73">
        <v>42726</v>
      </c>
      <c r="B1239" s="70">
        <v>62.72</v>
      </c>
      <c r="C1239" s="85">
        <v>1758530</v>
      </c>
      <c r="D1239" s="88">
        <v>-4.4444444444444731E-3</v>
      </c>
      <c r="E1239" s="87"/>
    </row>
    <row r="1240" spans="1:7" ht="15" x14ac:dyDescent="0.2">
      <c r="A1240" s="73">
        <v>42725</v>
      </c>
      <c r="B1240" s="70">
        <v>63</v>
      </c>
      <c r="C1240" s="85">
        <v>1695783</v>
      </c>
      <c r="D1240" s="88">
        <v>-1.3157894736842146E-2</v>
      </c>
      <c r="E1240" s="87"/>
    </row>
    <row r="1241" spans="1:7" ht="15" x14ac:dyDescent="0.2">
      <c r="A1241" s="73">
        <v>42724</v>
      </c>
      <c r="B1241" s="70">
        <v>63.84</v>
      </c>
      <c r="C1241" s="85">
        <v>2101962</v>
      </c>
      <c r="D1241" s="88">
        <v>9.3280632411067987E-3</v>
      </c>
      <c r="E1241" s="87"/>
    </row>
    <row r="1242" spans="1:7" ht="15" x14ac:dyDescent="0.2">
      <c r="A1242" s="73">
        <v>42723</v>
      </c>
      <c r="B1242" s="70">
        <v>63.25</v>
      </c>
      <c r="C1242" s="85">
        <v>1997858</v>
      </c>
      <c r="D1242" s="88">
        <v>-1.4490495481458532E-2</v>
      </c>
      <c r="E1242" s="87"/>
    </row>
    <row r="1243" spans="1:7" ht="15" x14ac:dyDescent="0.2">
      <c r="A1243" s="73">
        <v>42720</v>
      </c>
      <c r="B1243" s="70">
        <v>64.180000000000007</v>
      </c>
      <c r="C1243" s="85">
        <v>5086102</v>
      </c>
      <c r="D1243" s="88">
        <v>1.2480499219971186E-3</v>
      </c>
      <c r="E1243" s="87"/>
    </row>
    <row r="1244" spans="1:7" ht="15" x14ac:dyDescent="0.2">
      <c r="A1244" s="73">
        <v>42719</v>
      </c>
      <c r="B1244" s="70">
        <v>64.099999999999994</v>
      </c>
      <c r="C1244" s="85">
        <v>3983443</v>
      </c>
      <c r="D1244" s="88">
        <v>2.7243589743589647E-2</v>
      </c>
      <c r="E1244" s="87"/>
    </row>
    <row r="1245" spans="1:7" ht="15" x14ac:dyDescent="0.2">
      <c r="A1245" s="73">
        <v>42718</v>
      </c>
      <c r="B1245" s="70">
        <v>62.4</v>
      </c>
      <c r="C1245" s="85">
        <v>2022188</v>
      </c>
      <c r="D1245" s="88">
        <v>-7.1599045346062429E-3</v>
      </c>
      <c r="E1245" s="87"/>
    </row>
    <row r="1246" spans="1:7" ht="15" x14ac:dyDescent="0.2">
      <c r="A1246" s="73">
        <v>42717</v>
      </c>
      <c r="B1246" s="70">
        <v>62.85</v>
      </c>
      <c r="C1246" s="85">
        <v>3806669</v>
      </c>
      <c r="D1246" s="88">
        <v>3.9702233250620278E-2</v>
      </c>
      <c r="E1246" s="87"/>
    </row>
    <row r="1247" spans="1:7" ht="15" x14ac:dyDescent="0.2">
      <c r="A1247" s="73">
        <v>42716</v>
      </c>
      <c r="B1247" s="70">
        <v>60.45</v>
      </c>
      <c r="C1247" s="85">
        <v>2140698</v>
      </c>
      <c r="D1247" s="88">
        <v>1.460221550855989E-2</v>
      </c>
      <c r="E1247" s="87"/>
    </row>
    <row r="1248" spans="1:7" ht="15" x14ac:dyDescent="0.2">
      <c r="A1248" s="73">
        <v>42713</v>
      </c>
      <c r="B1248" s="70">
        <v>59.58</v>
      </c>
      <c r="C1248" s="85">
        <v>1926839</v>
      </c>
      <c r="D1248" s="88">
        <v>4.3830074173971667E-3</v>
      </c>
      <c r="E1248" s="87"/>
    </row>
    <row r="1249" spans="1:5" ht="15" x14ac:dyDescent="0.2">
      <c r="A1249" s="73">
        <v>42712</v>
      </c>
      <c r="B1249" s="70">
        <v>59.32</v>
      </c>
      <c r="C1249" s="85">
        <v>2617346</v>
      </c>
      <c r="D1249" s="88">
        <v>1.2632297712529938E-2</v>
      </c>
      <c r="E1249" s="87"/>
    </row>
    <row r="1250" spans="1:5" ht="15" x14ac:dyDescent="0.2">
      <c r="A1250" s="73">
        <v>42711</v>
      </c>
      <c r="B1250" s="70">
        <v>58.58</v>
      </c>
      <c r="C1250" s="85">
        <v>2950648</v>
      </c>
      <c r="D1250" s="88">
        <v>-1.380471380471382E-2</v>
      </c>
      <c r="E1250" s="87"/>
    </row>
    <row r="1251" spans="1:5" ht="15" x14ac:dyDescent="0.2">
      <c r="A1251" s="73">
        <v>42710</v>
      </c>
      <c r="B1251" s="70">
        <v>59.4</v>
      </c>
      <c r="C1251" s="85">
        <v>2151687</v>
      </c>
      <c r="D1251" s="88">
        <v>-8.0160320641283755E-3</v>
      </c>
      <c r="E1251" s="87"/>
    </row>
    <row r="1252" spans="1:5" ht="15" x14ac:dyDescent="0.2">
      <c r="A1252" s="73">
        <v>42709</v>
      </c>
      <c r="B1252" s="70">
        <v>59.88</v>
      </c>
      <c r="C1252" s="85">
        <v>1911000</v>
      </c>
      <c r="D1252" s="88">
        <v>1.5087302932700553E-2</v>
      </c>
      <c r="E1252" s="87"/>
    </row>
    <row r="1253" spans="1:5" ht="15" x14ac:dyDescent="0.2">
      <c r="A1253" s="73">
        <v>42706</v>
      </c>
      <c r="B1253" s="70">
        <v>58.99</v>
      </c>
      <c r="C1253" s="85">
        <v>2624607</v>
      </c>
      <c r="D1253" s="88">
        <v>-1.7651956702747662E-2</v>
      </c>
      <c r="E1253" s="87"/>
    </row>
    <row r="1254" spans="1:5" ht="15" x14ac:dyDescent="0.2">
      <c r="A1254" s="73">
        <v>42705</v>
      </c>
      <c r="B1254" s="70">
        <v>60.05</v>
      </c>
      <c r="C1254" s="85">
        <v>2137738</v>
      </c>
      <c r="D1254" s="88">
        <v>-3.6502405840386221E-3</v>
      </c>
      <c r="E1254" s="87"/>
    </row>
    <row r="1255" spans="1:5" ht="15" x14ac:dyDescent="0.2">
      <c r="A1255" s="73">
        <v>42704</v>
      </c>
      <c r="B1255" s="70">
        <v>60.27</v>
      </c>
      <c r="C1255" s="85">
        <v>2346424</v>
      </c>
      <c r="D1255" s="88">
        <v>-2.6476915439350712E-3</v>
      </c>
      <c r="E1255" s="87"/>
    </row>
    <row r="1256" spans="1:5" ht="15" x14ac:dyDescent="0.2">
      <c r="A1256" s="73">
        <v>42703</v>
      </c>
      <c r="B1256" s="70">
        <v>60.43</v>
      </c>
      <c r="C1256" s="85">
        <v>1806188</v>
      </c>
      <c r="D1256" s="88">
        <v>6.328059950041709E-3</v>
      </c>
      <c r="E1256" s="87"/>
    </row>
    <row r="1257" spans="1:5" ht="15" x14ac:dyDescent="0.2">
      <c r="A1257" s="73">
        <v>42702</v>
      </c>
      <c r="B1257" s="70">
        <v>60.05</v>
      </c>
      <c r="C1257" s="85">
        <v>1980670</v>
      </c>
      <c r="D1257" s="88">
        <v>-4.3110595257835893E-3</v>
      </c>
      <c r="E1257" s="87"/>
    </row>
    <row r="1258" spans="1:5" ht="15" x14ac:dyDescent="0.2">
      <c r="A1258" s="73">
        <v>42699</v>
      </c>
      <c r="B1258" s="70">
        <v>60.31</v>
      </c>
      <c r="C1258" s="85">
        <v>1367036</v>
      </c>
      <c r="D1258" s="88">
        <v>4.497001998667649E-3</v>
      </c>
      <c r="E1258" s="87"/>
    </row>
    <row r="1259" spans="1:5" ht="15" x14ac:dyDescent="0.2">
      <c r="A1259" s="73">
        <v>42698</v>
      </c>
      <c r="B1259" s="70">
        <v>60.04</v>
      </c>
      <c r="C1259" s="85">
        <v>1870516</v>
      </c>
      <c r="D1259" s="88">
        <v>4.3492806958849162E-3</v>
      </c>
      <c r="E1259" s="87"/>
    </row>
    <row r="1260" spans="1:5" ht="15" x14ac:dyDescent="0.2">
      <c r="A1260" s="73">
        <v>42697</v>
      </c>
      <c r="B1260" s="70">
        <v>59.78</v>
      </c>
      <c r="C1260" s="85">
        <v>3200839</v>
      </c>
      <c r="D1260" s="88">
        <v>2.3630136986301453E-2</v>
      </c>
      <c r="E1260" s="87"/>
    </row>
    <row r="1261" spans="1:5" ht="15" x14ac:dyDescent="0.2">
      <c r="A1261" s="73">
        <v>42696</v>
      </c>
      <c r="B1261" s="70">
        <v>58.4</v>
      </c>
      <c r="C1261" s="85">
        <v>2497154</v>
      </c>
      <c r="D1261" s="88">
        <v>1.2482662968099856E-2</v>
      </c>
      <c r="E1261" s="87"/>
    </row>
    <row r="1262" spans="1:5" ht="15" x14ac:dyDescent="0.2">
      <c r="A1262" s="73">
        <v>42695</v>
      </c>
      <c r="B1262" s="70">
        <v>57.68</v>
      </c>
      <c r="C1262" s="85">
        <v>2777491</v>
      </c>
      <c r="D1262" s="88">
        <v>4.4170890658942863E-2</v>
      </c>
      <c r="E1262" s="87"/>
    </row>
    <row r="1263" spans="1:5" ht="15" x14ac:dyDescent="0.2">
      <c r="A1263" s="73">
        <v>42692</v>
      </c>
      <c r="B1263" s="70">
        <v>55.24</v>
      </c>
      <c r="C1263" s="85">
        <v>2047907</v>
      </c>
      <c r="D1263" s="88">
        <v>-5.2224023050603252E-3</v>
      </c>
      <c r="E1263" s="87"/>
    </row>
    <row r="1264" spans="1:5" ht="15" x14ac:dyDescent="0.2">
      <c r="A1264" s="73">
        <v>42691</v>
      </c>
      <c r="B1264" s="70">
        <v>55.53</v>
      </c>
      <c r="C1264" s="85">
        <v>1680754</v>
      </c>
      <c r="D1264" s="88">
        <v>1.2951477562933356E-2</v>
      </c>
      <c r="E1264" s="87"/>
    </row>
    <row r="1265" spans="1:5" ht="15" x14ac:dyDescent="0.2">
      <c r="A1265" s="73">
        <v>42690</v>
      </c>
      <c r="B1265" s="70">
        <v>54.82</v>
      </c>
      <c r="C1265" s="85">
        <v>2289687</v>
      </c>
      <c r="D1265" s="88">
        <v>-2.9219054365149599E-2</v>
      </c>
      <c r="E1265" s="87"/>
    </row>
    <row r="1266" spans="1:5" ht="15" x14ac:dyDescent="0.2">
      <c r="A1266" s="73">
        <v>42689</v>
      </c>
      <c r="B1266" s="70">
        <v>56.47</v>
      </c>
      <c r="C1266" s="85">
        <v>2113821</v>
      </c>
      <c r="D1266" s="88">
        <v>1.7739932588256568E-3</v>
      </c>
      <c r="E1266" s="87"/>
    </row>
    <row r="1267" spans="1:5" ht="15" x14ac:dyDescent="0.2">
      <c r="A1267" s="73">
        <v>42688</v>
      </c>
      <c r="B1267" s="70">
        <v>56.37</v>
      </c>
      <c r="C1267" s="85">
        <v>2440317</v>
      </c>
      <c r="D1267" s="88">
        <v>2.9401022644265806E-2</v>
      </c>
      <c r="E1267" s="87"/>
    </row>
    <row r="1268" spans="1:5" ht="15" x14ac:dyDescent="0.2">
      <c r="A1268" s="73">
        <v>42685</v>
      </c>
      <c r="B1268" s="70">
        <v>54.76</v>
      </c>
      <c r="C1268" s="85">
        <v>1443238</v>
      </c>
      <c r="D1268" s="88">
        <v>-1.0659439927732661E-2</v>
      </c>
      <c r="E1268" s="87"/>
    </row>
    <row r="1269" spans="1:5" ht="15" x14ac:dyDescent="0.2">
      <c r="A1269" s="73">
        <v>42684</v>
      </c>
      <c r="B1269" s="70">
        <v>55.35</v>
      </c>
      <c r="C1269" s="85">
        <v>3773862</v>
      </c>
      <c r="D1269" s="88">
        <v>2.0088462956137088E-2</v>
      </c>
      <c r="E1269" s="87"/>
    </row>
    <row r="1270" spans="1:5" ht="15" x14ac:dyDescent="0.2">
      <c r="A1270" s="73">
        <v>42683</v>
      </c>
      <c r="B1270" s="70">
        <v>54.26</v>
      </c>
      <c r="C1270" s="85">
        <v>3335069</v>
      </c>
      <c r="D1270" s="88">
        <v>2.7262400605831072E-2</v>
      </c>
      <c r="E1270" s="87"/>
    </row>
    <row r="1271" spans="1:5" ht="15" x14ac:dyDescent="0.2">
      <c r="A1271" s="73">
        <v>42682</v>
      </c>
      <c r="B1271" s="70">
        <v>52.82</v>
      </c>
      <c r="C1271" s="85">
        <v>1936975</v>
      </c>
      <c r="D1271" s="88">
        <v>-6.2088428974599319E-3</v>
      </c>
      <c r="E1271" s="87"/>
    </row>
    <row r="1272" spans="1:5" ht="15" x14ac:dyDescent="0.2">
      <c r="A1272" s="73">
        <v>42681</v>
      </c>
      <c r="B1272" s="70">
        <v>53.15</v>
      </c>
      <c r="C1272" s="85">
        <v>1668234</v>
      </c>
      <c r="D1272" s="88">
        <v>2.3690292758089315E-2</v>
      </c>
      <c r="E1272" s="87"/>
    </row>
    <row r="1273" spans="1:5" ht="15" x14ac:dyDescent="0.2">
      <c r="A1273" s="73">
        <v>42678</v>
      </c>
      <c r="B1273" s="70">
        <v>51.92</v>
      </c>
      <c r="C1273" s="85">
        <v>1718126</v>
      </c>
      <c r="D1273" s="88">
        <v>-3.072196620583667E-3</v>
      </c>
      <c r="E1273" s="87"/>
    </row>
    <row r="1274" spans="1:5" ht="15" x14ac:dyDescent="0.2">
      <c r="A1274" s="73">
        <v>42677</v>
      </c>
      <c r="B1274" s="70">
        <v>52.08</v>
      </c>
      <c r="C1274" s="85">
        <v>1284607</v>
      </c>
      <c r="D1274" s="88">
        <v>-9.6976611523104106E-3</v>
      </c>
      <c r="E1274" s="87"/>
    </row>
    <row r="1275" spans="1:5" ht="15" x14ac:dyDescent="0.2">
      <c r="A1275" s="73">
        <v>42676</v>
      </c>
      <c r="B1275" s="70">
        <v>52.59</v>
      </c>
      <c r="C1275" s="85">
        <v>1672488</v>
      </c>
      <c r="D1275" s="88">
        <v>-1.369092273068262E-2</v>
      </c>
      <c r="E1275" s="87"/>
    </row>
    <row r="1276" spans="1:5" ht="15" x14ac:dyDescent="0.2">
      <c r="A1276" s="73">
        <v>42675</v>
      </c>
      <c r="B1276" s="70">
        <v>53.32</v>
      </c>
      <c r="C1276" s="85">
        <v>1471384</v>
      </c>
      <c r="D1276" s="88">
        <v>-1.532779316712829E-2</v>
      </c>
      <c r="E1276" s="87"/>
    </row>
    <row r="1277" spans="1:5" ht="15" x14ac:dyDescent="0.2">
      <c r="A1277" s="73">
        <v>42674</v>
      </c>
      <c r="B1277" s="70">
        <v>54.15</v>
      </c>
      <c r="C1277" s="85">
        <v>2045307</v>
      </c>
      <c r="D1277" s="88">
        <v>-1.5454545454545499E-2</v>
      </c>
      <c r="E1277" s="87"/>
    </row>
    <row r="1278" spans="1:5" ht="15" x14ac:dyDescent="0.2">
      <c r="A1278" s="73">
        <v>42671</v>
      </c>
      <c r="B1278" s="70">
        <v>55</v>
      </c>
      <c r="C1278" s="85">
        <v>2147076</v>
      </c>
      <c r="D1278" s="88">
        <v>-8.1154192966637062E-3</v>
      </c>
      <c r="E1278" s="87"/>
    </row>
    <row r="1279" spans="1:5" ht="15" x14ac:dyDescent="0.2">
      <c r="A1279" s="73">
        <v>42670</v>
      </c>
      <c r="B1279" s="70">
        <v>55.45</v>
      </c>
      <c r="C1279" s="85">
        <v>2509713</v>
      </c>
      <c r="D1279" s="88">
        <v>9.0252707581228719E-4</v>
      </c>
      <c r="E1279" s="87"/>
    </row>
    <row r="1280" spans="1:5" ht="15" x14ac:dyDescent="0.2">
      <c r="A1280" s="73">
        <v>42669</v>
      </c>
      <c r="B1280" s="70">
        <v>55.4</v>
      </c>
      <c r="C1280" s="85">
        <v>3933335</v>
      </c>
      <c r="D1280" s="88">
        <v>3.7647499531747508E-2</v>
      </c>
      <c r="E1280" s="87"/>
    </row>
    <row r="1281" spans="1:5" ht="15" x14ac:dyDescent="0.2">
      <c r="A1281" s="73">
        <v>42668</v>
      </c>
      <c r="B1281" s="70">
        <v>53.39</v>
      </c>
      <c r="C1281" s="85">
        <v>3265107</v>
      </c>
      <c r="D1281" s="88">
        <v>-2.6262994710924636E-2</v>
      </c>
      <c r="E1281" s="87"/>
    </row>
    <row r="1282" spans="1:5" ht="15" x14ac:dyDescent="0.2">
      <c r="A1282" s="73">
        <v>42667</v>
      </c>
      <c r="B1282" s="70">
        <v>54.83</v>
      </c>
      <c r="C1282" s="85">
        <v>1691755</v>
      </c>
      <c r="D1282" s="88">
        <v>1.0504976041282754E-2</v>
      </c>
      <c r="E1282" s="87"/>
    </row>
    <row r="1283" spans="1:5" ht="15" x14ac:dyDescent="0.2">
      <c r="A1283" s="73">
        <v>42664</v>
      </c>
      <c r="B1283" s="70">
        <v>54.26</v>
      </c>
      <c r="C1283" s="85">
        <v>2059661</v>
      </c>
      <c r="D1283" s="88">
        <v>-1.8426386585601584E-4</v>
      </c>
      <c r="E1283" s="87"/>
    </row>
    <row r="1284" spans="1:5" ht="15" x14ac:dyDescent="0.2">
      <c r="A1284" s="73">
        <v>42663</v>
      </c>
      <c r="B1284" s="70">
        <v>54.27</v>
      </c>
      <c r="C1284" s="85">
        <v>1944450</v>
      </c>
      <c r="D1284" s="88">
        <v>2.5863661555514117E-3</v>
      </c>
      <c r="E1284" s="87"/>
    </row>
    <row r="1285" spans="1:5" ht="15" x14ac:dyDescent="0.2">
      <c r="A1285" s="73">
        <v>42662</v>
      </c>
      <c r="B1285" s="70">
        <v>54.13</v>
      </c>
      <c r="C1285" s="85">
        <v>1300353</v>
      </c>
      <c r="D1285" s="88">
        <v>9.3231400335633818E-3</v>
      </c>
      <c r="E1285" s="87"/>
    </row>
    <row r="1286" spans="1:5" ht="15" x14ac:dyDescent="0.2">
      <c r="A1286" s="73">
        <v>42661</v>
      </c>
      <c r="B1286" s="70">
        <v>53.63</v>
      </c>
      <c r="C1286" s="85">
        <v>1661161</v>
      </c>
      <c r="D1286" s="88">
        <v>1.7453993549611191E-2</v>
      </c>
      <c r="E1286" s="87"/>
    </row>
    <row r="1287" spans="1:5" ht="15" x14ac:dyDescent="0.2">
      <c r="A1287" s="73">
        <v>42660</v>
      </c>
      <c r="B1287" s="70">
        <v>52.71</v>
      </c>
      <c r="C1287" s="85">
        <v>1547620</v>
      </c>
      <c r="D1287" s="88">
        <v>2.0912547528517678E-3</v>
      </c>
      <c r="E1287" s="87"/>
    </row>
    <row r="1288" spans="1:5" ht="15" x14ac:dyDescent="0.2">
      <c r="A1288" s="73">
        <v>42657</v>
      </c>
      <c r="B1288" s="70">
        <v>52.6</v>
      </c>
      <c r="C1288" s="85">
        <v>2349514</v>
      </c>
      <c r="D1288" s="88">
        <v>3.4338038916443825E-3</v>
      </c>
      <c r="E1288" s="87"/>
    </row>
    <row r="1289" spans="1:5" ht="15" x14ac:dyDescent="0.2">
      <c r="A1289" s="73">
        <v>42656</v>
      </c>
      <c r="B1289" s="70">
        <v>52.42</v>
      </c>
      <c r="C1289" s="85">
        <v>2058276</v>
      </c>
      <c r="D1289" s="88">
        <v>-1.1432926829267887E-3</v>
      </c>
      <c r="E1289" s="87"/>
    </row>
    <row r="1290" spans="1:5" ht="15" x14ac:dyDescent="0.2">
      <c r="A1290" s="73">
        <v>42655</v>
      </c>
      <c r="B1290" s="70">
        <v>52.48</v>
      </c>
      <c r="C1290" s="85">
        <v>1823512</v>
      </c>
      <c r="D1290" s="88">
        <v>-1.0371487837073423E-2</v>
      </c>
      <c r="E1290" s="87"/>
    </row>
    <row r="1291" spans="1:5" ht="15" x14ac:dyDescent="0.2">
      <c r="A1291" s="73">
        <v>42654</v>
      </c>
      <c r="B1291" s="70">
        <v>53.03</v>
      </c>
      <c r="C1291" s="85">
        <v>2883787</v>
      </c>
      <c r="D1291" s="88">
        <v>-2.3927848334253543E-2</v>
      </c>
      <c r="E1291" s="87"/>
    </row>
    <row r="1292" spans="1:5" ht="15" x14ac:dyDescent="0.2">
      <c r="A1292" s="73">
        <v>42653</v>
      </c>
      <c r="B1292" s="70">
        <v>54.33</v>
      </c>
      <c r="C1292" s="85">
        <v>1225772</v>
      </c>
      <c r="D1292" s="88">
        <v>9.2885008359651078E-3</v>
      </c>
      <c r="E1292" s="87"/>
    </row>
    <row r="1293" spans="1:5" ht="15" x14ac:dyDescent="0.2">
      <c r="A1293" s="73">
        <v>42650</v>
      </c>
      <c r="B1293" s="70">
        <v>53.83</v>
      </c>
      <c r="C1293" s="85">
        <v>1974540</v>
      </c>
      <c r="D1293" s="88">
        <v>-1.1023332720926038E-2</v>
      </c>
      <c r="E1293" s="87"/>
    </row>
    <row r="1294" spans="1:5" ht="15" x14ac:dyDescent="0.2">
      <c r="A1294" s="73">
        <v>42649</v>
      </c>
      <c r="B1294" s="70">
        <v>54.43</v>
      </c>
      <c r="C1294" s="85">
        <v>1852426</v>
      </c>
      <c r="D1294" s="88">
        <v>-1.1801016702977507E-2</v>
      </c>
      <c r="E1294" s="87"/>
    </row>
    <row r="1295" spans="1:5" ht="15" x14ac:dyDescent="0.2">
      <c r="A1295" s="73">
        <v>42648</v>
      </c>
      <c r="B1295" s="70">
        <v>55.08</v>
      </c>
      <c r="C1295" s="85">
        <v>1632242</v>
      </c>
      <c r="D1295" s="88">
        <v>4.1932543299907366E-3</v>
      </c>
      <c r="E1295" s="87"/>
    </row>
    <row r="1296" spans="1:5" ht="15" x14ac:dyDescent="0.2">
      <c r="A1296" s="73">
        <v>42647</v>
      </c>
      <c r="B1296" s="70">
        <v>54.85</v>
      </c>
      <c r="C1296" s="85">
        <v>1742148</v>
      </c>
      <c r="D1296" s="88">
        <v>2.0655005582433938E-2</v>
      </c>
      <c r="E1296" s="87"/>
    </row>
    <row r="1297" spans="1:5" ht="15" x14ac:dyDescent="0.2">
      <c r="A1297" s="73">
        <v>42646</v>
      </c>
      <c r="B1297" s="70">
        <v>53.74</v>
      </c>
      <c r="C1297" s="85">
        <v>741270</v>
      </c>
      <c r="D1297" s="88">
        <v>-1.857355126300142E-3</v>
      </c>
      <c r="E1297" s="87"/>
    </row>
    <row r="1298" spans="1:5" ht="15" x14ac:dyDescent="0.2">
      <c r="A1298" s="73">
        <v>42643</v>
      </c>
      <c r="B1298" s="70">
        <v>53.84</v>
      </c>
      <c r="C1298" s="85">
        <v>2246480</v>
      </c>
      <c r="D1298" s="88">
        <v>1.0131332082551792E-2</v>
      </c>
      <c r="E1298" s="87"/>
    </row>
    <row r="1299" spans="1:5" ht="15" x14ac:dyDescent="0.2">
      <c r="A1299" s="73">
        <v>42642</v>
      </c>
      <c r="B1299" s="70">
        <v>53.3</v>
      </c>
      <c r="C1299" s="85">
        <v>1292491</v>
      </c>
      <c r="D1299" s="88">
        <v>1.1193321950293988E-2</v>
      </c>
      <c r="E1299" s="87"/>
    </row>
    <row r="1300" spans="1:5" ht="15" x14ac:dyDescent="0.2">
      <c r="A1300" s="73">
        <v>42641</v>
      </c>
      <c r="B1300" s="70">
        <v>52.71</v>
      </c>
      <c r="C1300" s="85">
        <v>1549301</v>
      </c>
      <c r="D1300" s="88">
        <v>1.0932105868814768E-2</v>
      </c>
      <c r="E1300" s="87"/>
    </row>
    <row r="1301" spans="1:5" ht="15" x14ac:dyDescent="0.2">
      <c r="A1301" s="73">
        <v>42640</v>
      </c>
      <c r="B1301" s="70">
        <v>52.14</v>
      </c>
      <c r="C1301" s="85">
        <v>1511661</v>
      </c>
      <c r="D1301" s="88">
        <v>-6.6679367498571063E-3</v>
      </c>
      <c r="E1301" s="87"/>
    </row>
    <row r="1302" spans="1:5" ht="15" x14ac:dyDescent="0.2">
      <c r="A1302" s="73">
        <v>42639</v>
      </c>
      <c r="B1302" s="70">
        <v>52.49</v>
      </c>
      <c r="C1302" s="85">
        <v>1827168</v>
      </c>
      <c r="D1302" s="88">
        <v>-2.4530756364987916E-2</v>
      </c>
      <c r="E1302" s="87"/>
    </row>
    <row r="1303" spans="1:5" ht="15" x14ac:dyDescent="0.2">
      <c r="A1303" s="73">
        <v>42636</v>
      </c>
      <c r="B1303" s="70">
        <v>53.81</v>
      </c>
      <c r="C1303" s="85">
        <v>1439977</v>
      </c>
      <c r="D1303" s="88">
        <v>1.6753536857780915E-3</v>
      </c>
      <c r="E1303" s="87"/>
    </row>
    <row r="1304" spans="1:5" ht="15" x14ac:dyDescent="0.2">
      <c r="A1304" s="73">
        <v>42635</v>
      </c>
      <c r="B1304" s="70">
        <v>53.72</v>
      </c>
      <c r="C1304" s="85">
        <v>2086233</v>
      </c>
      <c r="D1304" s="88">
        <v>2.0322886989553757E-2</v>
      </c>
      <c r="E1304" s="87"/>
    </row>
    <row r="1305" spans="1:5" ht="15" x14ac:dyDescent="0.2">
      <c r="A1305" s="73">
        <v>42634</v>
      </c>
      <c r="B1305" s="70">
        <v>52.65</v>
      </c>
      <c r="C1305" s="85">
        <v>1193493</v>
      </c>
      <c r="D1305" s="88">
        <v>3.4305317324185847E-3</v>
      </c>
      <c r="E1305" s="87"/>
    </row>
    <row r="1306" spans="1:5" ht="15" x14ac:dyDescent="0.2">
      <c r="A1306" s="73">
        <v>42633</v>
      </c>
      <c r="B1306" s="70">
        <v>52.47</v>
      </c>
      <c r="C1306" s="85">
        <v>1118211</v>
      </c>
      <c r="D1306" s="88">
        <v>-6.6262779250284565E-3</v>
      </c>
      <c r="E1306" s="87"/>
    </row>
    <row r="1307" spans="1:5" ht="15" x14ac:dyDescent="0.2">
      <c r="A1307" s="73">
        <v>42632</v>
      </c>
      <c r="B1307" s="70">
        <v>52.82</v>
      </c>
      <c r="C1307" s="85">
        <v>1677182</v>
      </c>
      <c r="D1307" s="88">
        <v>4.564473183719997E-3</v>
      </c>
      <c r="E1307" s="87"/>
    </row>
    <row r="1308" spans="1:5" ht="15" x14ac:dyDescent="0.2">
      <c r="A1308" s="73">
        <v>42629</v>
      </c>
      <c r="B1308" s="70">
        <v>52.58</v>
      </c>
      <c r="C1308" s="85">
        <v>4023510</v>
      </c>
      <c r="D1308" s="88">
        <v>-4.3552357508048756E-3</v>
      </c>
      <c r="E1308" s="87"/>
    </row>
    <row r="1309" spans="1:5" ht="15" x14ac:dyDescent="0.2">
      <c r="A1309" s="73">
        <v>42628</v>
      </c>
      <c r="B1309" s="70">
        <v>52.81</v>
      </c>
      <c r="C1309" s="85">
        <v>2259516</v>
      </c>
      <c r="D1309" s="88">
        <v>-4.711647191858237E-3</v>
      </c>
      <c r="E1309" s="87"/>
    </row>
    <row r="1310" spans="1:5" ht="15" x14ac:dyDescent="0.2">
      <c r="A1310" s="73">
        <v>42627</v>
      </c>
      <c r="B1310" s="70">
        <v>53.06</v>
      </c>
      <c r="C1310" s="85">
        <v>2050740</v>
      </c>
      <c r="D1310" s="88">
        <v>-1.4121144555927168E-2</v>
      </c>
      <c r="E1310" s="87"/>
    </row>
    <row r="1311" spans="1:5" ht="15" x14ac:dyDescent="0.2">
      <c r="A1311" s="73">
        <v>42626</v>
      </c>
      <c r="B1311" s="70">
        <v>53.82</v>
      </c>
      <c r="C1311" s="85">
        <v>1550369</v>
      </c>
      <c r="D1311" s="88">
        <v>-1.2477064220183465E-2</v>
      </c>
      <c r="E1311" s="87"/>
    </row>
    <row r="1312" spans="1:5" ht="15" x14ac:dyDescent="0.2">
      <c r="A1312" s="73">
        <v>42625</v>
      </c>
      <c r="B1312" s="70">
        <v>54.5</v>
      </c>
      <c r="C1312" s="85">
        <v>2296790</v>
      </c>
      <c r="D1312" s="88">
        <v>-2.0312780873629421E-2</v>
      </c>
      <c r="E1312" s="87"/>
    </row>
    <row r="1313" spans="1:5" ht="15" x14ac:dyDescent="0.2">
      <c r="A1313" s="73">
        <v>42622</v>
      </c>
      <c r="B1313" s="70">
        <v>55.63</v>
      </c>
      <c r="C1313" s="85">
        <v>2329269</v>
      </c>
      <c r="D1313" s="88">
        <v>2.3423423423423184E-3</v>
      </c>
      <c r="E1313" s="87"/>
    </row>
    <row r="1314" spans="1:5" ht="15" x14ac:dyDescent="0.2">
      <c r="A1314" s="73">
        <v>42621</v>
      </c>
      <c r="B1314" s="70">
        <v>55.5</v>
      </c>
      <c r="C1314" s="85">
        <v>2850333</v>
      </c>
      <c r="D1314" s="88">
        <v>1.3698630136986356E-2</v>
      </c>
      <c r="E1314" s="87"/>
    </row>
    <row r="1315" spans="1:5" ht="15" x14ac:dyDescent="0.2">
      <c r="A1315" s="73">
        <v>42620</v>
      </c>
      <c r="B1315" s="70">
        <v>54.75</v>
      </c>
      <c r="C1315" s="85">
        <v>1697911</v>
      </c>
      <c r="D1315" s="88">
        <v>6.4338235294116863E-3</v>
      </c>
      <c r="E1315" s="87"/>
    </row>
    <row r="1316" spans="1:5" ht="15" x14ac:dyDescent="0.2">
      <c r="A1316" s="73">
        <v>42619</v>
      </c>
      <c r="B1316" s="70">
        <v>54.4</v>
      </c>
      <c r="C1316" s="85">
        <v>2197597</v>
      </c>
      <c r="D1316" s="88">
        <v>1.0025993316004511E-2</v>
      </c>
      <c r="E1316" s="87"/>
    </row>
    <row r="1317" spans="1:5" ht="15" x14ac:dyDescent="0.2">
      <c r="A1317" s="73">
        <v>42618</v>
      </c>
      <c r="B1317" s="70">
        <v>53.86</v>
      </c>
      <c r="C1317" s="85">
        <v>1468401</v>
      </c>
      <c r="D1317" s="88">
        <v>1.2596352697875624E-2</v>
      </c>
      <c r="E1317" s="87"/>
    </row>
    <row r="1318" spans="1:5" ht="15" x14ac:dyDescent="0.2">
      <c r="A1318" s="73">
        <v>42615</v>
      </c>
      <c r="B1318" s="70">
        <v>53.19</v>
      </c>
      <c r="C1318" s="85">
        <v>1845849</v>
      </c>
      <c r="D1318" s="88">
        <v>2.5843780135004657E-2</v>
      </c>
      <c r="E1318" s="87"/>
    </row>
    <row r="1319" spans="1:5" ht="15" x14ac:dyDescent="0.2">
      <c r="A1319" s="73">
        <v>42614</v>
      </c>
      <c r="B1319" s="70">
        <v>51.85</v>
      </c>
      <c r="C1319" s="85">
        <v>1609600</v>
      </c>
      <c r="D1319" s="88">
        <v>-8.4146108242493245E-3</v>
      </c>
      <c r="E1319" s="87"/>
    </row>
    <row r="1320" spans="1:5" ht="15" x14ac:dyDescent="0.2">
      <c r="A1320" s="73">
        <v>42613</v>
      </c>
      <c r="B1320" s="70">
        <v>52.29</v>
      </c>
      <c r="C1320" s="85">
        <v>2233225</v>
      </c>
      <c r="D1320" s="88">
        <v>1.6524105754276874E-2</v>
      </c>
      <c r="E1320" s="87"/>
    </row>
    <row r="1321" spans="1:5" ht="15" x14ac:dyDescent="0.2">
      <c r="A1321" s="73">
        <v>42612</v>
      </c>
      <c r="B1321" s="70">
        <v>51.44</v>
      </c>
      <c r="C1321" s="85">
        <v>1506347</v>
      </c>
      <c r="D1321" s="88">
        <v>2.7290448343080254E-3</v>
      </c>
      <c r="E1321" s="87"/>
    </row>
    <row r="1322" spans="1:5" ht="15" x14ac:dyDescent="0.2">
      <c r="A1322" s="73">
        <v>42611</v>
      </c>
      <c r="B1322" s="70">
        <v>51.3</v>
      </c>
      <c r="C1322" s="85">
        <v>895224</v>
      </c>
      <c r="D1322" s="88">
        <v>5.0940438871474036E-3</v>
      </c>
      <c r="E1322" s="87"/>
    </row>
    <row r="1323" spans="1:5" ht="15" x14ac:dyDescent="0.2">
      <c r="A1323" s="73">
        <v>42608</v>
      </c>
      <c r="B1323" s="70">
        <v>51.04</v>
      </c>
      <c r="C1323" s="85">
        <v>1133912</v>
      </c>
      <c r="D1323" s="88">
        <v>9.6933728981207778E-3</v>
      </c>
      <c r="E1323" s="87"/>
    </row>
    <row r="1324" spans="1:5" ht="15" x14ac:dyDescent="0.2">
      <c r="A1324" s="73">
        <v>42607</v>
      </c>
      <c r="B1324" s="70">
        <v>50.55</v>
      </c>
      <c r="C1324" s="85">
        <v>1168283</v>
      </c>
      <c r="D1324" s="88">
        <v>-1.2888107791447001E-2</v>
      </c>
      <c r="E1324" s="87"/>
    </row>
    <row r="1325" spans="1:5" ht="15" x14ac:dyDescent="0.2">
      <c r="A1325" s="73">
        <v>42606</v>
      </c>
      <c r="B1325" s="70">
        <v>51.21</v>
      </c>
      <c r="C1325" s="85">
        <v>1250402</v>
      </c>
      <c r="D1325" s="88">
        <v>1.2055335968379488E-2</v>
      </c>
      <c r="E1325" s="87"/>
    </row>
    <row r="1326" spans="1:5" ht="15" x14ac:dyDescent="0.2">
      <c r="A1326" s="73">
        <v>42605</v>
      </c>
      <c r="B1326" s="70">
        <v>50.6</v>
      </c>
      <c r="C1326" s="85">
        <v>1389824</v>
      </c>
      <c r="D1326" s="88">
        <v>1.2506253126563172E-2</v>
      </c>
      <c r="E1326" s="87"/>
    </row>
    <row r="1327" spans="1:5" ht="15" x14ac:dyDescent="0.2">
      <c r="A1327" s="73">
        <v>42604</v>
      </c>
      <c r="B1327" s="70">
        <v>49.975000000000001</v>
      </c>
      <c r="C1327" s="85">
        <v>1701962</v>
      </c>
      <c r="D1327" s="88">
        <v>2.3064580826313019E-3</v>
      </c>
      <c r="E1327" s="87"/>
    </row>
    <row r="1328" spans="1:5" ht="15" x14ac:dyDescent="0.2">
      <c r="A1328" s="73">
        <v>42601</v>
      </c>
      <c r="B1328" s="70">
        <v>49.86</v>
      </c>
      <c r="C1328" s="85">
        <v>1913687</v>
      </c>
      <c r="D1328" s="88">
        <v>-2.8000000000000247E-3</v>
      </c>
      <c r="E1328" s="87"/>
    </row>
    <row r="1329" spans="1:5" ht="15" x14ac:dyDescent="0.2">
      <c r="A1329" s="73">
        <v>42600</v>
      </c>
      <c r="B1329" s="70">
        <v>50</v>
      </c>
      <c r="C1329" s="85">
        <v>2297949</v>
      </c>
      <c r="D1329" s="88">
        <v>-1.3612152298283609E-2</v>
      </c>
      <c r="E1329" s="87"/>
    </row>
    <row r="1330" spans="1:5" ht="15" x14ac:dyDescent="0.2">
      <c r="A1330" s="73">
        <v>42599</v>
      </c>
      <c r="B1330" s="70">
        <v>50.69</v>
      </c>
      <c r="C1330" s="85">
        <v>1436602</v>
      </c>
      <c r="D1330" s="88">
        <v>-1.5536997475237957E-2</v>
      </c>
      <c r="E1330" s="87"/>
    </row>
    <row r="1331" spans="1:5" ht="15" x14ac:dyDescent="0.2">
      <c r="A1331" s="73">
        <v>42598</v>
      </c>
      <c r="B1331" s="70">
        <v>51.49</v>
      </c>
      <c r="C1331" s="85">
        <v>1699009</v>
      </c>
      <c r="D1331" s="88">
        <v>-1.5110941086457497E-2</v>
      </c>
      <c r="E1331" s="87"/>
    </row>
    <row r="1332" spans="1:5" ht="15" x14ac:dyDescent="0.2">
      <c r="A1332" s="73">
        <v>42597</v>
      </c>
      <c r="B1332" s="70">
        <v>52.28</v>
      </c>
      <c r="C1332" s="85">
        <v>914110</v>
      </c>
      <c r="D1332" s="88">
        <v>4.8049202383240175E-3</v>
      </c>
      <c r="E1332" s="87"/>
    </row>
    <row r="1333" spans="1:5" ht="15" x14ac:dyDescent="0.2">
      <c r="A1333" s="73">
        <v>42594</v>
      </c>
      <c r="B1333" s="70">
        <v>52.03</v>
      </c>
      <c r="C1333" s="85">
        <v>1103502</v>
      </c>
      <c r="D1333" s="88">
        <v>3.6651234567901536E-3</v>
      </c>
      <c r="E1333" s="87"/>
    </row>
    <row r="1334" spans="1:5" ht="15" x14ac:dyDescent="0.2">
      <c r="A1334" s="73">
        <v>42593</v>
      </c>
      <c r="B1334" s="70">
        <v>51.84</v>
      </c>
      <c r="C1334" s="85">
        <v>1289892</v>
      </c>
      <c r="D1334" s="88">
        <v>1.2499999999999956E-2</v>
      </c>
      <c r="E1334" s="87"/>
    </row>
    <row r="1335" spans="1:5" ht="15" x14ac:dyDescent="0.2">
      <c r="A1335" s="73">
        <v>42592</v>
      </c>
      <c r="B1335" s="70">
        <v>51.2</v>
      </c>
      <c r="C1335" s="85">
        <v>1280319</v>
      </c>
      <c r="D1335" s="88">
        <v>1.9569471624265589E-3</v>
      </c>
      <c r="E1335" s="87"/>
    </row>
    <row r="1336" spans="1:5" ht="15" x14ac:dyDescent="0.2">
      <c r="A1336" s="73">
        <v>42591</v>
      </c>
      <c r="B1336" s="70">
        <v>51.1</v>
      </c>
      <c r="C1336" s="85">
        <v>2085484</v>
      </c>
      <c r="D1336" s="88">
        <v>1.5097338100913849E-2</v>
      </c>
      <c r="E1336" s="87"/>
    </row>
    <row r="1337" spans="1:5" ht="15" x14ac:dyDescent="0.2">
      <c r="A1337" s="73">
        <v>42590</v>
      </c>
      <c r="B1337" s="70">
        <v>50.34</v>
      </c>
      <c r="C1337" s="85">
        <v>1460112</v>
      </c>
      <c r="D1337" s="88">
        <v>-1.2941176470588123E-2</v>
      </c>
      <c r="E1337" s="87"/>
    </row>
    <row r="1338" spans="1:5" ht="15" x14ac:dyDescent="0.2">
      <c r="A1338" s="73">
        <v>42587</v>
      </c>
      <c r="B1338" s="70">
        <v>51</v>
      </c>
      <c r="C1338" s="85">
        <v>1863512</v>
      </c>
      <c r="D1338" s="88">
        <v>7.905138339920903E-3</v>
      </c>
      <c r="E1338" s="87"/>
    </row>
    <row r="1339" spans="1:5" ht="15" x14ac:dyDescent="0.2">
      <c r="A1339" s="73">
        <v>42586</v>
      </c>
      <c r="B1339" s="70">
        <v>50.6</v>
      </c>
      <c r="C1339" s="85">
        <v>1294118</v>
      </c>
      <c r="D1339" s="88">
        <v>2.7744748315496892E-3</v>
      </c>
      <c r="E1339" s="87"/>
    </row>
    <row r="1340" spans="1:5" ht="15" x14ac:dyDescent="0.2">
      <c r="A1340" s="73">
        <v>42585</v>
      </c>
      <c r="B1340" s="70">
        <v>50.46</v>
      </c>
      <c r="C1340" s="85">
        <v>2070505</v>
      </c>
      <c r="D1340" s="88">
        <v>-1.5606710885680775E-2</v>
      </c>
      <c r="E1340" s="87"/>
    </row>
    <row r="1341" spans="1:5" ht="15" x14ac:dyDescent="0.2">
      <c r="A1341" s="73">
        <v>42584</v>
      </c>
      <c r="B1341" s="70">
        <v>51.26</v>
      </c>
      <c r="C1341" s="85">
        <v>1452157</v>
      </c>
      <c r="D1341" s="88">
        <v>-1.8947368421052713E-2</v>
      </c>
      <c r="E1341" s="87"/>
    </row>
    <row r="1342" spans="1:5" ht="15" x14ac:dyDescent="0.2">
      <c r="A1342" s="73">
        <v>42583</v>
      </c>
      <c r="B1342" s="70">
        <v>52.25</v>
      </c>
      <c r="C1342" s="85">
        <v>1478246</v>
      </c>
      <c r="D1342" s="88">
        <v>-7.2202166064982976E-3</v>
      </c>
      <c r="E1342" s="87"/>
    </row>
    <row r="1343" spans="1:5" ht="15" x14ac:dyDescent="0.2">
      <c r="A1343" s="73">
        <v>42580</v>
      </c>
      <c r="B1343" s="70">
        <v>52.63</v>
      </c>
      <c r="C1343" s="85">
        <v>2116271</v>
      </c>
      <c r="D1343" s="88">
        <v>-1.7547134590255697E-2</v>
      </c>
      <c r="E1343" s="87"/>
    </row>
    <row r="1344" spans="1:5" ht="15" x14ac:dyDescent="0.2">
      <c r="A1344" s="73">
        <v>42579</v>
      </c>
      <c r="B1344" s="70">
        <v>53.57</v>
      </c>
      <c r="C1344" s="85">
        <v>2170833</v>
      </c>
      <c r="D1344" s="88">
        <v>-7.9629629629629495E-3</v>
      </c>
      <c r="E1344" s="87"/>
    </row>
    <row r="1345" spans="1:5" ht="15" x14ac:dyDescent="0.2">
      <c r="A1345" s="73">
        <v>42578</v>
      </c>
      <c r="B1345" s="70">
        <v>54</v>
      </c>
      <c r="C1345" s="85">
        <v>3331492</v>
      </c>
      <c r="D1345" s="88">
        <v>4.4487427466150864E-2</v>
      </c>
      <c r="E1345" s="87"/>
    </row>
    <row r="1346" spans="1:5" ht="15" x14ac:dyDescent="0.2">
      <c r="A1346" s="73">
        <v>42577</v>
      </c>
      <c r="B1346" s="70">
        <v>51.7</v>
      </c>
      <c r="C1346" s="85">
        <v>1786257</v>
      </c>
      <c r="D1346" s="88">
        <v>1.2137823022709604E-2</v>
      </c>
      <c r="E1346" s="87"/>
    </row>
    <row r="1347" spans="1:5" ht="15" x14ac:dyDescent="0.2">
      <c r="A1347" s="73">
        <v>42576</v>
      </c>
      <c r="B1347" s="70">
        <v>51.08</v>
      </c>
      <c r="C1347" s="85">
        <v>2164103</v>
      </c>
      <c r="D1347" s="88">
        <v>-6.225680933852118E-3</v>
      </c>
      <c r="E1347" s="87"/>
    </row>
    <row r="1348" spans="1:5" ht="15" x14ac:dyDescent="0.2">
      <c r="A1348" s="73">
        <v>42573</v>
      </c>
      <c r="B1348" s="70">
        <v>51.4</v>
      </c>
      <c r="C1348" s="85">
        <v>2067414</v>
      </c>
      <c r="D1348" s="88">
        <v>-1.1728513747356284E-2</v>
      </c>
      <c r="E1348" s="87"/>
    </row>
    <row r="1349" spans="1:5" ht="15" x14ac:dyDescent="0.2">
      <c r="A1349" s="73">
        <v>42572</v>
      </c>
      <c r="B1349" s="70">
        <v>52.01</v>
      </c>
      <c r="C1349" s="85">
        <v>1679837</v>
      </c>
      <c r="D1349" s="88">
        <v>-1.719576719576732E-2</v>
      </c>
      <c r="E1349" s="87"/>
    </row>
    <row r="1350" spans="1:5" ht="15" x14ac:dyDescent="0.2">
      <c r="A1350" s="73">
        <v>42571</v>
      </c>
      <c r="B1350" s="70">
        <v>52.92</v>
      </c>
      <c r="C1350" s="85">
        <v>1586046</v>
      </c>
      <c r="D1350" s="88">
        <v>1.243543141381287E-2</v>
      </c>
      <c r="E1350" s="87"/>
    </row>
    <row r="1351" spans="1:5" ht="15" x14ac:dyDescent="0.2">
      <c r="A1351" s="73">
        <v>42570</v>
      </c>
      <c r="B1351" s="70">
        <v>52.27</v>
      </c>
      <c r="C1351" s="85">
        <v>1426851</v>
      </c>
      <c r="D1351" s="88">
        <v>1.340996168582409E-3</v>
      </c>
      <c r="E1351" s="87"/>
    </row>
    <row r="1352" spans="1:5" ht="15" x14ac:dyDescent="0.2">
      <c r="A1352" s="73">
        <v>42569</v>
      </c>
      <c r="B1352" s="70">
        <v>52.2</v>
      </c>
      <c r="C1352" s="85">
        <v>1278447</v>
      </c>
      <c r="D1352" s="88">
        <v>-7.7931952100360746E-3</v>
      </c>
      <c r="E1352" s="87"/>
    </row>
    <row r="1353" spans="1:5" ht="15" x14ac:dyDescent="0.2">
      <c r="A1353" s="73">
        <v>42566</v>
      </c>
      <c r="B1353" s="70">
        <v>52.61</v>
      </c>
      <c r="C1353" s="85">
        <v>1678197</v>
      </c>
      <c r="D1353" s="88">
        <v>-1.4424878231547478E-2</v>
      </c>
      <c r="E1353" s="87"/>
    </row>
    <row r="1354" spans="1:5" ht="15" x14ac:dyDescent="0.2">
      <c r="A1354" s="73">
        <v>42565</v>
      </c>
      <c r="B1354" s="70">
        <v>53.38</v>
      </c>
      <c r="C1354" s="85">
        <v>2183315</v>
      </c>
      <c r="D1354" s="88">
        <v>4.8945783132530174E-3</v>
      </c>
      <c r="E1354" s="87"/>
    </row>
    <row r="1355" spans="1:5" ht="15" x14ac:dyDescent="0.2">
      <c r="A1355" s="73">
        <v>42564</v>
      </c>
      <c r="B1355" s="70">
        <v>53.12</v>
      </c>
      <c r="C1355" s="85">
        <v>3390070</v>
      </c>
      <c r="D1355" s="88">
        <v>1.7429611185596494E-2</v>
      </c>
      <c r="E1355" s="87"/>
    </row>
    <row r="1356" spans="1:5" ht="15" x14ac:dyDescent="0.2">
      <c r="A1356" s="73">
        <v>42563</v>
      </c>
      <c r="B1356" s="70">
        <v>52.21</v>
      </c>
      <c r="C1356" s="85">
        <v>2989003</v>
      </c>
      <c r="D1356" s="88">
        <v>4.0039840637450252E-2</v>
      </c>
      <c r="E1356" s="87"/>
    </row>
    <row r="1357" spans="1:5" ht="15" x14ac:dyDescent="0.2">
      <c r="A1357" s="73">
        <v>42562</v>
      </c>
      <c r="B1357" s="70">
        <v>50.2</v>
      </c>
      <c r="C1357" s="85">
        <v>2919840</v>
      </c>
      <c r="D1357" s="88">
        <v>2.3862941056496112E-2</v>
      </c>
      <c r="E1357" s="87"/>
    </row>
    <row r="1358" spans="1:5" ht="15" x14ac:dyDescent="0.2">
      <c r="A1358" s="73">
        <v>42559</v>
      </c>
      <c r="B1358" s="70">
        <v>49.03</v>
      </c>
      <c r="C1358" s="85">
        <v>2531678</v>
      </c>
      <c r="D1358" s="88">
        <v>-4.0774719673797311E-4</v>
      </c>
      <c r="E1358" s="87"/>
    </row>
    <row r="1359" spans="1:5" ht="15" x14ac:dyDescent="0.2">
      <c r="A1359" s="73">
        <v>42558</v>
      </c>
      <c r="B1359" s="70">
        <v>49.05</v>
      </c>
      <c r="C1359" s="85">
        <v>1788051</v>
      </c>
      <c r="D1359" s="88">
        <v>1.1966164637920329E-2</v>
      </c>
      <c r="E1359" s="87"/>
    </row>
    <row r="1360" spans="1:5" ht="15" x14ac:dyDescent="0.2">
      <c r="A1360" s="73">
        <v>42557</v>
      </c>
      <c r="B1360" s="70">
        <v>48.47</v>
      </c>
      <c r="C1360" s="85">
        <v>2939821</v>
      </c>
      <c r="D1360" s="88">
        <v>-2.6120152702431287E-2</v>
      </c>
      <c r="E1360" s="87"/>
    </row>
    <row r="1361" spans="1:5" ht="15" x14ac:dyDescent="0.2">
      <c r="A1361" s="73">
        <v>42556</v>
      </c>
      <c r="B1361" s="70">
        <v>49.77</v>
      </c>
      <c r="C1361" s="85">
        <v>2563251</v>
      </c>
      <c r="D1361" s="88">
        <v>-2.9635406511990592E-2</v>
      </c>
      <c r="E1361" s="87"/>
    </row>
    <row r="1362" spans="1:5" ht="15" x14ac:dyDescent="0.2">
      <c r="A1362" s="73">
        <v>42555</v>
      </c>
      <c r="B1362" s="70">
        <v>51.29</v>
      </c>
      <c r="C1362" s="85">
        <v>983116</v>
      </c>
      <c r="D1362" s="88">
        <v>-3.6907536907536675E-3</v>
      </c>
      <c r="E1362" s="87"/>
    </row>
    <row r="1363" spans="1:5" ht="15" x14ac:dyDescent="0.2">
      <c r="A1363" s="73">
        <v>42552</v>
      </c>
      <c r="B1363" s="70">
        <v>51.48</v>
      </c>
      <c r="C1363" s="85">
        <v>1833698</v>
      </c>
      <c r="D1363" s="88">
        <v>-4.8327856176300088E-3</v>
      </c>
      <c r="E1363" s="87"/>
    </row>
    <row r="1364" spans="1:5" ht="15" x14ac:dyDescent="0.2">
      <c r="A1364" s="73">
        <v>42551</v>
      </c>
      <c r="B1364" s="70">
        <v>51.73</v>
      </c>
      <c r="C1364" s="85">
        <v>2815103</v>
      </c>
      <c r="D1364" s="88">
        <v>-3.8513383400732293E-3</v>
      </c>
      <c r="E1364" s="87"/>
    </row>
    <row r="1365" spans="1:5" ht="15" x14ac:dyDescent="0.2">
      <c r="A1365" s="73">
        <v>42550</v>
      </c>
      <c r="B1365" s="70">
        <v>51.93</v>
      </c>
      <c r="C1365" s="85">
        <v>2129924</v>
      </c>
      <c r="D1365" s="88">
        <v>1.6043827039718295E-2</v>
      </c>
      <c r="E1365" s="87"/>
    </row>
    <row r="1366" spans="1:5" ht="15" x14ac:dyDescent="0.2">
      <c r="A1366" s="73">
        <v>42549</v>
      </c>
      <c r="B1366" s="70">
        <v>51.11</v>
      </c>
      <c r="C1366" s="85">
        <v>2481580</v>
      </c>
      <c r="D1366" s="88">
        <v>2.3838141025640969E-2</v>
      </c>
      <c r="E1366" s="87"/>
    </row>
    <row r="1367" spans="1:5" ht="15" x14ac:dyDescent="0.2">
      <c r="A1367" s="73">
        <v>42548</v>
      </c>
      <c r="B1367" s="70">
        <v>49.92</v>
      </c>
      <c r="C1367" s="85">
        <v>4755583</v>
      </c>
      <c r="D1367" s="88">
        <v>-4.2026482440990165E-2</v>
      </c>
      <c r="E1367" s="87"/>
    </row>
    <row r="1368" spans="1:5" ht="15" x14ac:dyDescent="0.2">
      <c r="A1368" s="73">
        <v>42545</v>
      </c>
      <c r="B1368" s="70">
        <v>52.11</v>
      </c>
      <c r="C1368" s="85">
        <v>7026939</v>
      </c>
      <c r="D1368" s="88">
        <v>-6.1588330632090793E-2</v>
      </c>
      <c r="E1368" s="87"/>
    </row>
    <row r="1369" spans="1:5" ht="15" x14ac:dyDescent="0.2">
      <c r="A1369" s="73">
        <v>42544</v>
      </c>
      <c r="B1369" s="70">
        <v>55.53</v>
      </c>
      <c r="C1369" s="85">
        <v>2358776</v>
      </c>
      <c r="D1369" s="88">
        <v>1.983471074380172E-2</v>
      </c>
      <c r="E1369" s="87"/>
    </row>
    <row r="1370" spans="1:5" ht="15" x14ac:dyDescent="0.2">
      <c r="A1370" s="73">
        <v>42543</v>
      </c>
      <c r="B1370" s="70">
        <v>54.45</v>
      </c>
      <c r="C1370" s="85">
        <v>1837873</v>
      </c>
      <c r="D1370" s="88">
        <v>1.6556291390728006E-3</v>
      </c>
      <c r="E1370" s="87"/>
    </row>
    <row r="1371" spans="1:5" ht="15" x14ac:dyDescent="0.2">
      <c r="A1371" s="73">
        <v>42542</v>
      </c>
      <c r="B1371" s="70">
        <v>54.36</v>
      </c>
      <c r="C1371" s="85">
        <v>2292739</v>
      </c>
      <c r="D1371" s="88">
        <v>1.9696117051209772E-2</v>
      </c>
      <c r="E1371" s="87"/>
    </row>
    <row r="1372" spans="1:5" ht="15" x14ac:dyDescent="0.2">
      <c r="A1372" s="73">
        <v>42541</v>
      </c>
      <c r="B1372" s="70">
        <v>53.31</v>
      </c>
      <c r="C1372" s="85">
        <v>2534731</v>
      </c>
      <c r="D1372" s="88">
        <v>4.8790084595711214E-2</v>
      </c>
      <c r="E1372" s="87"/>
    </row>
    <row r="1373" spans="1:5" ht="15" x14ac:dyDescent="0.2">
      <c r="A1373" s="73">
        <v>42538</v>
      </c>
      <c r="B1373" s="70">
        <v>50.83</v>
      </c>
      <c r="C1373" s="85">
        <v>4071643</v>
      </c>
      <c r="D1373" s="88">
        <v>6.7340067340067034E-3</v>
      </c>
      <c r="E1373" s="87"/>
    </row>
    <row r="1374" spans="1:5" ht="15" x14ac:dyDescent="0.2">
      <c r="A1374" s="73">
        <v>42537</v>
      </c>
      <c r="B1374" s="70">
        <v>50.49</v>
      </c>
      <c r="C1374" s="85">
        <v>3211773</v>
      </c>
      <c r="D1374" s="88">
        <v>-2.2837236307335029E-2</v>
      </c>
      <c r="E1374" s="87"/>
    </row>
    <row r="1375" spans="1:5" ht="15" x14ac:dyDescent="0.2">
      <c r="A1375" s="73">
        <v>42536</v>
      </c>
      <c r="B1375" s="70">
        <v>51.67</v>
      </c>
      <c r="C1375" s="85">
        <v>2586441</v>
      </c>
      <c r="D1375" s="88">
        <v>1.3534719497842351E-2</v>
      </c>
      <c r="E1375" s="87"/>
    </row>
    <row r="1376" spans="1:5" ht="15" x14ac:dyDescent="0.2">
      <c r="A1376" s="73">
        <v>42535</v>
      </c>
      <c r="B1376" s="70">
        <v>50.98</v>
      </c>
      <c r="C1376" s="85">
        <v>3260958</v>
      </c>
      <c r="D1376" s="88">
        <v>-5.6563292373709162E-3</v>
      </c>
      <c r="E1376" s="87"/>
    </row>
    <row r="1377" spans="1:5" ht="15" x14ac:dyDescent="0.2">
      <c r="A1377" s="73">
        <v>42534</v>
      </c>
      <c r="B1377" s="70">
        <v>51.27</v>
      </c>
      <c r="C1377" s="85">
        <v>2349084</v>
      </c>
      <c r="D1377" s="88">
        <v>-2.6395746296999478E-2</v>
      </c>
      <c r="E1377" s="87"/>
    </row>
    <row r="1378" spans="1:5" ht="15" x14ac:dyDescent="0.2">
      <c r="A1378" s="73">
        <v>42531</v>
      </c>
      <c r="B1378" s="70">
        <v>52.66</v>
      </c>
      <c r="C1378" s="85">
        <v>2330848</v>
      </c>
      <c r="D1378" s="88">
        <v>-1.3857677902621712E-2</v>
      </c>
      <c r="E1378" s="87"/>
    </row>
    <row r="1379" spans="1:5" ht="15" x14ac:dyDescent="0.2">
      <c r="A1379" s="73">
        <v>42530</v>
      </c>
      <c r="B1379" s="70">
        <v>53.4</v>
      </c>
      <c r="C1379" s="85">
        <v>1470865</v>
      </c>
      <c r="D1379" s="88">
        <v>-3.9171796306659568E-3</v>
      </c>
      <c r="E1379" s="87"/>
    </row>
    <row r="1380" spans="1:5" ht="15" x14ac:dyDescent="0.2">
      <c r="A1380" s="73">
        <v>42529</v>
      </c>
      <c r="B1380" s="70">
        <v>53.61</v>
      </c>
      <c r="C1380" s="85">
        <v>1777107</v>
      </c>
      <c r="D1380" s="88">
        <v>1.868809568305041E-3</v>
      </c>
      <c r="E1380" s="87"/>
    </row>
    <row r="1381" spans="1:5" ht="15" x14ac:dyDescent="0.2">
      <c r="A1381" s="73">
        <v>42528</v>
      </c>
      <c r="B1381" s="70">
        <v>53.51</v>
      </c>
      <c r="C1381" s="85">
        <v>1628597</v>
      </c>
      <c r="D1381" s="88">
        <v>9.0514802941730199E-3</v>
      </c>
      <c r="E1381" s="87"/>
    </row>
    <row r="1382" spans="1:5" ht="15" x14ac:dyDescent="0.2">
      <c r="A1382" s="73">
        <v>42527</v>
      </c>
      <c r="B1382" s="70">
        <v>53.03</v>
      </c>
      <c r="C1382" s="85">
        <v>1378597</v>
      </c>
      <c r="D1382" s="88">
        <v>-5.9981255857544102E-3</v>
      </c>
      <c r="E1382" s="87"/>
    </row>
    <row r="1383" spans="1:5" ht="15" x14ac:dyDescent="0.2">
      <c r="A1383" s="73">
        <v>42524</v>
      </c>
      <c r="B1383" s="70">
        <v>53.35</v>
      </c>
      <c r="C1383" s="85">
        <v>3892697</v>
      </c>
      <c r="D1383" s="88">
        <v>-3.5262206148282016E-2</v>
      </c>
      <c r="E1383" s="87"/>
    </row>
    <row r="1384" spans="1:5" ht="15" x14ac:dyDescent="0.2">
      <c r="A1384" s="73">
        <v>42523</v>
      </c>
      <c r="B1384" s="70">
        <v>55.3</v>
      </c>
      <c r="C1384" s="85">
        <v>1708528</v>
      </c>
      <c r="D1384" s="88">
        <v>-1.1440829460135915E-2</v>
      </c>
      <c r="E1384" s="87"/>
    </row>
    <row r="1385" spans="1:5" ht="15" x14ac:dyDescent="0.2">
      <c r="A1385" s="73">
        <v>42522</v>
      </c>
      <c r="B1385" s="70">
        <v>55.94</v>
      </c>
      <c r="C1385" s="85">
        <v>1470447</v>
      </c>
      <c r="D1385" s="88">
        <v>-1.428061406640535E-3</v>
      </c>
      <c r="E1385" s="87"/>
    </row>
    <row r="1386" spans="1:5" ht="15" x14ac:dyDescent="0.2">
      <c r="A1386" s="73">
        <v>42521</v>
      </c>
      <c r="B1386" s="70">
        <v>56.02</v>
      </c>
      <c r="C1386" s="85">
        <v>1713844</v>
      </c>
      <c r="D1386" s="88">
        <v>-4.9733570159856688E-3</v>
      </c>
      <c r="E1386" s="87"/>
    </row>
    <row r="1387" spans="1:5" ht="15" x14ac:dyDescent="0.2">
      <c r="A1387" s="73">
        <v>42520</v>
      </c>
      <c r="B1387" s="70">
        <v>56.3</v>
      </c>
      <c r="C1387" s="85">
        <v>806003</v>
      </c>
      <c r="D1387" s="88">
        <v>4.9982149232414841E-3</v>
      </c>
      <c r="E1387" s="87"/>
    </row>
    <row r="1388" spans="1:5" ht="15" x14ac:dyDescent="0.2">
      <c r="A1388" s="73">
        <v>42517</v>
      </c>
      <c r="B1388" s="70">
        <v>56.02</v>
      </c>
      <c r="C1388" s="85">
        <v>1239938</v>
      </c>
      <c r="D1388" s="88">
        <v>3.5714285714294469E-4</v>
      </c>
      <c r="E1388" s="87"/>
    </row>
    <row r="1389" spans="1:5" ht="15" x14ac:dyDescent="0.2">
      <c r="A1389" s="73">
        <v>42516</v>
      </c>
      <c r="B1389" s="70">
        <v>56</v>
      </c>
      <c r="C1389" s="85">
        <v>1435141</v>
      </c>
      <c r="D1389" s="88">
        <v>-1.2484394506866447E-3</v>
      </c>
      <c r="E1389" s="87"/>
    </row>
    <row r="1390" spans="1:5" ht="15" x14ac:dyDescent="0.2">
      <c r="A1390" s="73">
        <v>42515</v>
      </c>
      <c r="B1390" s="70">
        <v>56.07</v>
      </c>
      <c r="C1390" s="85">
        <v>1946781</v>
      </c>
      <c r="D1390" s="88">
        <v>1.2499999999999734E-3</v>
      </c>
      <c r="E1390" s="87"/>
    </row>
    <row r="1391" spans="1:5" ht="15" x14ac:dyDescent="0.2">
      <c r="A1391" s="73">
        <v>42514</v>
      </c>
      <c r="B1391" s="70">
        <v>56</v>
      </c>
      <c r="C1391" s="85">
        <v>2559628</v>
      </c>
      <c r="D1391" s="88">
        <v>2.6769343601026785E-2</v>
      </c>
      <c r="E1391" s="87"/>
    </row>
    <row r="1392" spans="1:5" ht="15" x14ac:dyDescent="0.2">
      <c r="A1392" s="73">
        <v>42513</v>
      </c>
      <c r="B1392" s="70">
        <v>54.54</v>
      </c>
      <c r="C1392" s="85">
        <v>2033661</v>
      </c>
      <c r="D1392" s="88">
        <v>2.3892666789193662E-3</v>
      </c>
      <c r="E1392" s="87"/>
    </row>
    <row r="1393" spans="1:5" ht="15" x14ac:dyDescent="0.2">
      <c r="A1393" s="73">
        <v>42510</v>
      </c>
      <c r="B1393" s="70">
        <v>54.41</v>
      </c>
      <c r="C1393" s="85">
        <v>2114660</v>
      </c>
      <c r="D1393" s="88">
        <v>2.0251265704106514E-2</v>
      </c>
      <c r="E1393" s="87"/>
    </row>
    <row r="1394" spans="1:5" ht="15" x14ac:dyDescent="0.2">
      <c r="A1394" s="73">
        <v>42509</v>
      </c>
      <c r="B1394" s="70">
        <v>53.33</v>
      </c>
      <c r="C1394" s="85">
        <v>2300482</v>
      </c>
      <c r="D1394" s="88">
        <v>2.2552151851156221E-3</v>
      </c>
      <c r="E1394" s="87"/>
    </row>
    <row r="1395" spans="1:5" ht="15" x14ac:dyDescent="0.2">
      <c r="A1395" s="73">
        <v>42508</v>
      </c>
      <c r="B1395" s="70">
        <v>53.21</v>
      </c>
      <c r="C1395" s="85">
        <v>3008699</v>
      </c>
      <c r="D1395" s="88">
        <v>-1.7903285345145736E-2</v>
      </c>
      <c r="E1395" s="87"/>
    </row>
    <row r="1396" spans="1:5" ht="15" x14ac:dyDescent="0.2">
      <c r="A1396" s="73">
        <v>42507</v>
      </c>
      <c r="B1396" s="70">
        <v>54.18</v>
      </c>
      <c r="C1396" s="85">
        <v>1854799</v>
      </c>
      <c r="D1396" s="88">
        <v>-1.2575177692728201E-2</v>
      </c>
      <c r="E1396" s="87"/>
    </row>
    <row r="1397" spans="1:5" ht="15" x14ac:dyDescent="0.2">
      <c r="A1397" s="73">
        <v>42506</v>
      </c>
      <c r="B1397" s="70">
        <v>54.87</v>
      </c>
      <c r="C1397" s="85">
        <v>1035761</v>
      </c>
      <c r="D1397" s="88">
        <v>-4.8966267682264419E-3</v>
      </c>
      <c r="E1397" s="87"/>
    </row>
    <row r="1398" spans="1:5" ht="15" x14ac:dyDescent="0.2">
      <c r="A1398" s="73">
        <v>42503</v>
      </c>
      <c r="B1398" s="70">
        <v>55.14</v>
      </c>
      <c r="C1398" s="85">
        <v>2091778</v>
      </c>
      <c r="D1398" s="88">
        <v>-1.6295491580662347E-3</v>
      </c>
      <c r="E1398" s="87"/>
    </row>
    <row r="1399" spans="1:5" ht="15" x14ac:dyDescent="0.2">
      <c r="A1399" s="73">
        <v>42502</v>
      </c>
      <c r="B1399" s="70">
        <v>55.23</v>
      </c>
      <c r="C1399" s="85">
        <v>1911652</v>
      </c>
      <c r="D1399" s="88">
        <v>-4.6855289241305442E-3</v>
      </c>
      <c r="E1399" s="87"/>
    </row>
    <row r="1400" spans="1:5" ht="15" x14ac:dyDescent="0.2">
      <c r="A1400" s="73">
        <v>42501</v>
      </c>
      <c r="B1400" s="70">
        <v>55.49</v>
      </c>
      <c r="C1400" s="85">
        <v>1775122</v>
      </c>
      <c r="D1400" s="88">
        <v>-1.0801080108009398E-3</v>
      </c>
      <c r="E1400" s="87"/>
    </row>
    <row r="1401" spans="1:5" ht="15" x14ac:dyDescent="0.2">
      <c r="A1401" s="73">
        <v>42500</v>
      </c>
      <c r="B1401" s="70">
        <v>55.55</v>
      </c>
      <c r="C1401" s="85">
        <v>2199357</v>
      </c>
      <c r="D1401" s="88">
        <v>2.1515262964324933E-2</v>
      </c>
      <c r="E1401" s="87"/>
    </row>
    <row r="1402" spans="1:5" ht="15" x14ac:dyDescent="0.2">
      <c r="A1402" s="73">
        <v>42499</v>
      </c>
      <c r="B1402" s="70">
        <v>54.38</v>
      </c>
      <c r="C1402" s="85">
        <v>1449413</v>
      </c>
      <c r="D1402" s="88">
        <v>6.4778826577827076E-3</v>
      </c>
      <c r="E1402" s="87"/>
    </row>
    <row r="1403" spans="1:5" ht="15" x14ac:dyDescent="0.2">
      <c r="A1403" s="73">
        <v>42496</v>
      </c>
      <c r="B1403" s="70">
        <v>54.03</v>
      </c>
      <c r="C1403" s="85">
        <v>1869087</v>
      </c>
      <c r="D1403" s="88">
        <v>1.8511662347275859E-4</v>
      </c>
      <c r="E1403" s="87"/>
    </row>
    <row r="1404" spans="1:5" ht="15" x14ac:dyDescent="0.2">
      <c r="A1404" s="73">
        <v>42495</v>
      </c>
      <c r="B1404" s="70">
        <v>54.02</v>
      </c>
      <c r="C1404" s="85">
        <v>1763205</v>
      </c>
      <c r="D1404" s="88">
        <v>1.4460093896713655E-2</v>
      </c>
      <c r="E1404" s="87"/>
    </row>
    <row r="1405" spans="1:5" ht="15" x14ac:dyDescent="0.2">
      <c r="A1405" s="73">
        <v>42494</v>
      </c>
      <c r="B1405" s="70">
        <v>53.25</v>
      </c>
      <c r="C1405" s="85">
        <v>1977834</v>
      </c>
      <c r="D1405" s="88">
        <v>-5.7879014189694544E-3</v>
      </c>
      <c r="E1405" s="87"/>
    </row>
    <row r="1406" spans="1:5" ht="15" x14ac:dyDescent="0.2">
      <c r="A1406" s="73">
        <v>42493</v>
      </c>
      <c r="B1406" s="70">
        <v>53.56</v>
      </c>
      <c r="C1406" s="85">
        <v>2401779</v>
      </c>
      <c r="D1406" s="88">
        <v>-1.2718894009216553E-2</v>
      </c>
      <c r="E1406" s="87"/>
    </row>
    <row r="1407" spans="1:5" ht="15" x14ac:dyDescent="0.2">
      <c r="A1407" s="73">
        <v>42492</v>
      </c>
      <c r="B1407" s="70">
        <v>54.25</v>
      </c>
      <c r="C1407" s="85">
        <v>2278229</v>
      </c>
      <c r="D1407" s="88">
        <v>-6.5921992309100341E-3</v>
      </c>
      <c r="E1407" s="87"/>
    </row>
    <row r="1408" spans="1:5" ht="15" x14ac:dyDescent="0.2">
      <c r="A1408" s="73">
        <v>42489</v>
      </c>
      <c r="B1408" s="70">
        <v>54.61</v>
      </c>
      <c r="C1408" s="85">
        <v>3477629</v>
      </c>
      <c r="D1408" s="88">
        <v>-2.0799713107405471E-2</v>
      </c>
      <c r="E1408" s="87"/>
    </row>
    <row r="1409" spans="1:5" ht="15" x14ac:dyDescent="0.2">
      <c r="A1409" s="73">
        <v>42488</v>
      </c>
      <c r="B1409" s="70">
        <v>55.77</v>
      </c>
      <c r="C1409" s="85">
        <v>5913874</v>
      </c>
      <c r="D1409" s="88">
        <v>-4.6014368799178862E-2</v>
      </c>
      <c r="E1409" s="87"/>
    </row>
    <row r="1410" spans="1:5" ht="15" x14ac:dyDescent="0.2">
      <c r="A1410" s="73">
        <v>42487</v>
      </c>
      <c r="B1410" s="70">
        <v>58.46</v>
      </c>
      <c r="C1410" s="85">
        <v>1778081</v>
      </c>
      <c r="D1410" s="88">
        <v>3.9498540271338811E-3</v>
      </c>
      <c r="E1410" s="87"/>
    </row>
    <row r="1411" spans="1:5" ht="15" x14ac:dyDescent="0.2">
      <c r="A1411" s="73">
        <v>42486</v>
      </c>
      <c r="B1411" s="70">
        <v>58.23</v>
      </c>
      <c r="C1411" s="85">
        <v>2081188</v>
      </c>
      <c r="D1411" s="88">
        <v>-6.9918144611187394E-3</v>
      </c>
      <c r="E1411" s="87"/>
    </row>
    <row r="1412" spans="1:5" ht="15" x14ac:dyDescent="0.2">
      <c r="A1412" s="73">
        <v>42485</v>
      </c>
      <c r="B1412" s="70">
        <v>58.64</v>
      </c>
      <c r="C1412" s="85">
        <v>2544514</v>
      </c>
      <c r="D1412" s="88">
        <v>8.0797662025098305E-3</v>
      </c>
      <c r="E1412" s="87"/>
    </row>
    <row r="1413" spans="1:5" ht="15" x14ac:dyDescent="0.2">
      <c r="A1413" s="73">
        <v>42482</v>
      </c>
      <c r="B1413" s="70">
        <v>58.17</v>
      </c>
      <c r="C1413" s="85">
        <v>1433411</v>
      </c>
      <c r="D1413" s="88">
        <v>-1.7188037126159017E-4</v>
      </c>
      <c r="E1413" s="87"/>
    </row>
    <row r="1414" spans="1:5" ht="15" x14ac:dyDescent="0.2">
      <c r="A1414" s="73">
        <v>42481</v>
      </c>
      <c r="B1414" s="70">
        <v>58.18</v>
      </c>
      <c r="C1414" s="85">
        <v>2481564</v>
      </c>
      <c r="D1414" s="88">
        <v>1.2530455969369969E-2</v>
      </c>
      <c r="E1414" s="87"/>
    </row>
    <row r="1415" spans="1:5" ht="15" x14ac:dyDescent="0.2">
      <c r="A1415" s="73">
        <v>42480</v>
      </c>
      <c r="B1415" s="70">
        <v>57.46</v>
      </c>
      <c r="C1415" s="85">
        <v>2243063</v>
      </c>
      <c r="D1415" s="88">
        <v>1.3942140118508028E-3</v>
      </c>
      <c r="E1415" s="87"/>
    </row>
    <row r="1416" spans="1:5" ht="15" x14ac:dyDescent="0.2">
      <c r="A1416" s="73">
        <v>42479</v>
      </c>
      <c r="B1416" s="70">
        <v>57.38</v>
      </c>
      <c r="C1416" s="85">
        <v>2554636</v>
      </c>
      <c r="D1416" s="88">
        <v>9.5003518648839602E-3</v>
      </c>
      <c r="E1416" s="87"/>
    </row>
    <row r="1417" spans="1:5" ht="15" x14ac:dyDescent="0.2">
      <c r="A1417" s="73">
        <v>42478</v>
      </c>
      <c r="B1417" s="70">
        <v>56.84</v>
      </c>
      <c r="C1417" s="85">
        <v>1532370</v>
      </c>
      <c r="D1417" s="88">
        <v>4.5952633439378943E-3</v>
      </c>
      <c r="E1417" s="87"/>
    </row>
    <row r="1418" spans="1:5" ht="15" x14ac:dyDescent="0.2">
      <c r="A1418" s="73">
        <v>42475</v>
      </c>
      <c r="B1418" s="70">
        <v>56.58</v>
      </c>
      <c r="C1418" s="85">
        <v>2261862</v>
      </c>
      <c r="D1418" s="88">
        <v>-5.0993493933532141E-3</v>
      </c>
      <c r="E1418" s="87"/>
    </row>
    <row r="1419" spans="1:5" ht="15" x14ac:dyDescent="0.2">
      <c r="A1419" s="73">
        <v>42474</v>
      </c>
      <c r="B1419" s="70">
        <v>56.87</v>
      </c>
      <c r="C1419" s="85">
        <v>2904890</v>
      </c>
      <c r="D1419" s="88">
        <v>-1.2844992188856152E-2</v>
      </c>
      <c r="E1419" s="87"/>
    </row>
    <row r="1420" spans="1:5" ht="15" x14ac:dyDescent="0.2">
      <c r="A1420" s="73">
        <v>42473</v>
      </c>
      <c r="B1420" s="70">
        <v>57.61</v>
      </c>
      <c r="C1420" s="85">
        <v>3003025</v>
      </c>
      <c r="D1420" s="88">
        <v>2.7465667915106184E-2</v>
      </c>
      <c r="E1420" s="87"/>
    </row>
    <row r="1421" spans="1:5" ht="15" x14ac:dyDescent="0.2">
      <c r="A1421" s="73">
        <v>42472</v>
      </c>
      <c r="B1421" s="70">
        <v>56.07</v>
      </c>
      <c r="C1421" s="85">
        <v>2563434</v>
      </c>
      <c r="D1421" s="88">
        <v>-4.9689440993788692E-3</v>
      </c>
      <c r="E1421" s="87"/>
    </row>
    <row r="1422" spans="1:5" ht="15" x14ac:dyDescent="0.2">
      <c r="A1422" s="73">
        <v>42471</v>
      </c>
      <c r="B1422" s="70">
        <v>56.35</v>
      </c>
      <c r="C1422" s="85">
        <v>2234395</v>
      </c>
      <c r="D1422" s="88">
        <v>-2.0170405146930914E-2</v>
      </c>
      <c r="E1422" s="87"/>
    </row>
    <row r="1423" spans="1:5" ht="15" x14ac:dyDescent="0.2">
      <c r="A1423" s="73">
        <v>42468</v>
      </c>
      <c r="B1423" s="70">
        <v>57.51</v>
      </c>
      <c r="C1423" s="85">
        <v>2028869</v>
      </c>
      <c r="D1423" s="88">
        <v>1.3570673246386944E-2</v>
      </c>
      <c r="E1423" s="87"/>
    </row>
    <row r="1424" spans="1:5" ht="15" x14ac:dyDescent="0.2">
      <c r="A1424" s="73">
        <v>42467</v>
      </c>
      <c r="B1424" s="70">
        <v>56.74</v>
      </c>
      <c r="C1424" s="85">
        <v>2758453</v>
      </c>
      <c r="D1424" s="88">
        <v>4.9592631951824728E-3</v>
      </c>
      <c r="E1424" s="87"/>
    </row>
    <row r="1425" spans="1:5" ht="15" x14ac:dyDescent="0.2">
      <c r="A1425" s="73">
        <v>42466</v>
      </c>
      <c r="B1425" s="70">
        <v>56.46</v>
      </c>
      <c r="C1425" s="85">
        <v>1618373</v>
      </c>
      <c r="D1425" s="88">
        <v>5.3163211057949411E-4</v>
      </c>
      <c r="E1425" s="87"/>
    </row>
    <row r="1426" spans="1:5" ht="15" x14ac:dyDescent="0.2">
      <c r="A1426" s="73">
        <v>42465</v>
      </c>
      <c r="B1426" s="70">
        <v>56.43</v>
      </c>
      <c r="C1426" s="85">
        <v>2152593</v>
      </c>
      <c r="D1426" s="88">
        <v>-1.5526866713189147E-2</v>
      </c>
      <c r="E1426" s="87"/>
    </row>
    <row r="1427" spans="1:5" ht="15" x14ac:dyDescent="0.2">
      <c r="A1427" s="73">
        <v>42464</v>
      </c>
      <c r="B1427" s="70">
        <v>57.32</v>
      </c>
      <c r="C1427" s="85">
        <v>1758047</v>
      </c>
      <c r="D1427" s="88">
        <v>5.967005967006056E-3</v>
      </c>
      <c r="E1427" s="87"/>
    </row>
    <row r="1428" spans="1:5" ht="15" x14ac:dyDescent="0.2">
      <c r="A1428" s="73">
        <v>42461</v>
      </c>
      <c r="B1428" s="70">
        <v>56.98</v>
      </c>
      <c r="C1428" s="85">
        <v>4244681</v>
      </c>
      <c r="D1428" s="88">
        <v>-2.3479005998286229E-2</v>
      </c>
      <c r="E1428" s="87"/>
    </row>
    <row r="1429" spans="1:5" ht="15" x14ac:dyDescent="0.2">
      <c r="A1429" s="73">
        <v>42460</v>
      </c>
      <c r="B1429" s="70">
        <v>58.35</v>
      </c>
      <c r="C1429" s="85">
        <v>3013404</v>
      </c>
      <c r="D1429" s="88">
        <v>-2.685123415610402E-2</v>
      </c>
      <c r="E1429" s="87"/>
    </row>
    <row r="1430" spans="1:5" ht="15" x14ac:dyDescent="0.2">
      <c r="A1430" s="73">
        <v>42459</v>
      </c>
      <c r="B1430" s="70">
        <v>59.96</v>
      </c>
      <c r="C1430" s="85">
        <v>2337592</v>
      </c>
      <c r="D1430" s="88">
        <v>-1.4987510407992177E-3</v>
      </c>
      <c r="E1430" s="87"/>
    </row>
    <row r="1431" spans="1:5" ht="15" x14ac:dyDescent="0.2">
      <c r="A1431" s="73">
        <v>42458</v>
      </c>
      <c r="B1431" s="70">
        <v>60.05</v>
      </c>
      <c r="C1431" s="85">
        <v>1753055</v>
      </c>
      <c r="D1431" s="88">
        <v>4.6846243935083631E-3</v>
      </c>
      <c r="E1431" s="87"/>
    </row>
    <row r="1432" spans="1:5" ht="15" x14ac:dyDescent="0.2">
      <c r="A1432" s="73">
        <v>42453</v>
      </c>
      <c r="B1432" s="70">
        <v>59.77</v>
      </c>
      <c r="C1432" s="85">
        <v>2429178</v>
      </c>
      <c r="D1432" s="88">
        <v>-2.5436165008967837E-2</v>
      </c>
      <c r="E1432" s="87"/>
    </row>
    <row r="1433" spans="1:5" ht="15" x14ac:dyDescent="0.2">
      <c r="A1433" s="73">
        <v>42452</v>
      </c>
      <c r="B1433" s="70">
        <v>61.33</v>
      </c>
      <c r="C1433" s="85">
        <v>1632864</v>
      </c>
      <c r="D1433" s="88">
        <v>1.3061224489796519E-3</v>
      </c>
      <c r="E1433" s="87"/>
    </row>
    <row r="1434" spans="1:5" ht="15" x14ac:dyDescent="0.2">
      <c r="A1434" s="73">
        <v>42451</v>
      </c>
      <c r="B1434" s="70">
        <v>61.25</v>
      </c>
      <c r="C1434" s="85">
        <v>2050333</v>
      </c>
      <c r="D1434" s="88">
        <v>6.0775295663599849E-3</v>
      </c>
      <c r="E1434" s="87"/>
    </row>
    <row r="1435" spans="1:5" ht="15" x14ac:dyDescent="0.2">
      <c r="A1435" s="73">
        <v>42450</v>
      </c>
      <c r="B1435" s="70">
        <v>60.88</v>
      </c>
      <c r="C1435" s="85">
        <v>1744813</v>
      </c>
      <c r="D1435" s="88">
        <v>4.6204620462046986E-3</v>
      </c>
      <c r="E1435" s="87"/>
    </row>
    <row r="1436" spans="1:5" ht="15" x14ac:dyDescent="0.2">
      <c r="A1436" s="73">
        <v>42447</v>
      </c>
      <c r="B1436" s="70">
        <v>60.6</v>
      </c>
      <c r="C1436" s="85">
        <v>4095864</v>
      </c>
      <c r="D1436" s="88">
        <v>1.7974130690408208E-2</v>
      </c>
      <c r="E1436" s="87"/>
    </row>
    <row r="1437" spans="1:5" ht="15" x14ac:dyDescent="0.2">
      <c r="A1437" s="73">
        <v>42446</v>
      </c>
      <c r="B1437" s="70">
        <v>59.53</v>
      </c>
      <c r="C1437" s="85">
        <v>3847697</v>
      </c>
      <c r="D1437" s="88">
        <v>-2.0565975649884827E-2</v>
      </c>
      <c r="E1437" s="87"/>
    </row>
    <row r="1438" spans="1:5" ht="15" x14ac:dyDescent="0.2">
      <c r="A1438" s="73">
        <v>42445</v>
      </c>
      <c r="B1438" s="70">
        <v>60.78</v>
      </c>
      <c r="C1438" s="85">
        <v>1560656</v>
      </c>
      <c r="D1438" s="88">
        <v>8.1273843091722586E-3</v>
      </c>
      <c r="E1438" s="87"/>
    </row>
    <row r="1439" spans="1:5" ht="15" x14ac:dyDescent="0.2">
      <c r="A1439" s="73">
        <v>42444</v>
      </c>
      <c r="B1439" s="70">
        <v>60.29</v>
      </c>
      <c r="C1439" s="85">
        <v>1652283</v>
      </c>
      <c r="D1439" s="88">
        <v>-1.9864260883959428E-3</v>
      </c>
      <c r="E1439" s="87"/>
    </row>
    <row r="1440" spans="1:5" ht="15" x14ac:dyDescent="0.2">
      <c r="A1440" s="73">
        <v>42443</v>
      </c>
      <c r="B1440" s="70">
        <v>60.41</v>
      </c>
      <c r="C1440" s="85">
        <v>1623061</v>
      </c>
      <c r="D1440" s="88">
        <v>4.6565774155993278E-3</v>
      </c>
      <c r="E1440" s="87"/>
    </row>
    <row r="1441" spans="1:5" ht="15" x14ac:dyDescent="0.2">
      <c r="A1441" s="73">
        <v>42440</v>
      </c>
      <c r="B1441" s="70">
        <v>60.13</v>
      </c>
      <c r="C1441" s="85">
        <v>2325757</v>
      </c>
      <c r="D1441" s="88">
        <v>3.2451923076923128E-2</v>
      </c>
      <c r="E1441" s="87"/>
    </row>
    <row r="1442" spans="1:5" ht="15" x14ac:dyDescent="0.2">
      <c r="A1442" s="73">
        <v>42439</v>
      </c>
      <c r="B1442" s="70">
        <v>58.24</v>
      </c>
      <c r="C1442" s="85">
        <v>4853296</v>
      </c>
      <c r="D1442" s="88">
        <v>-3.9577836411609502E-2</v>
      </c>
      <c r="E1442" s="87"/>
    </row>
    <row r="1443" spans="1:5" ht="15" x14ac:dyDescent="0.2">
      <c r="A1443" s="73">
        <v>42438</v>
      </c>
      <c r="B1443" s="70">
        <v>60.64</v>
      </c>
      <c r="C1443" s="85">
        <v>1835286</v>
      </c>
      <c r="D1443" s="88">
        <v>4.9496782709135267E-4</v>
      </c>
      <c r="E1443" s="87"/>
    </row>
    <row r="1444" spans="1:5" ht="15" x14ac:dyDescent="0.2">
      <c r="A1444" s="73">
        <v>42437</v>
      </c>
      <c r="B1444" s="70">
        <v>60.61</v>
      </c>
      <c r="C1444" s="85">
        <v>2737929</v>
      </c>
      <c r="D1444" s="88">
        <v>-1.4150943396226356E-2</v>
      </c>
      <c r="E1444" s="87"/>
    </row>
    <row r="1445" spans="1:5" ht="15" x14ac:dyDescent="0.2">
      <c r="A1445" s="73">
        <v>42436</v>
      </c>
      <c r="B1445" s="70">
        <v>61.48</v>
      </c>
      <c r="C1445" s="85">
        <v>1634442</v>
      </c>
      <c r="D1445" s="88">
        <v>-9.9838969404187905E-3</v>
      </c>
      <c r="E1445" s="87"/>
    </row>
    <row r="1446" spans="1:5" ht="15" x14ac:dyDescent="0.2">
      <c r="A1446" s="73">
        <v>42433</v>
      </c>
      <c r="B1446" s="70">
        <v>62.1</v>
      </c>
      <c r="C1446" s="85">
        <v>2665546</v>
      </c>
      <c r="D1446" s="88">
        <v>2.1885798913937826E-2</v>
      </c>
      <c r="E1446" s="87"/>
    </row>
    <row r="1447" spans="1:5" ht="15" x14ac:dyDescent="0.2">
      <c r="A1447" s="73">
        <v>42432</v>
      </c>
      <c r="B1447" s="70">
        <v>60.77</v>
      </c>
      <c r="C1447" s="85">
        <v>2167026</v>
      </c>
      <c r="D1447" s="88">
        <v>3.7991410637596701E-3</v>
      </c>
      <c r="E1447" s="87"/>
    </row>
    <row r="1448" spans="1:5" ht="15" x14ac:dyDescent="0.2">
      <c r="A1448" s="73">
        <v>42431</v>
      </c>
      <c r="B1448" s="70">
        <v>60.54</v>
      </c>
      <c r="C1448" s="85">
        <v>2026951</v>
      </c>
      <c r="D1448" s="88">
        <v>-4.2763157894736281E-3</v>
      </c>
      <c r="E1448" s="87"/>
    </row>
    <row r="1449" spans="1:5" ht="15" x14ac:dyDescent="0.2">
      <c r="A1449" s="73">
        <v>42430</v>
      </c>
      <c r="B1449" s="70">
        <v>60.8</v>
      </c>
      <c r="C1449" s="85">
        <v>2582728</v>
      </c>
      <c r="D1449" s="88">
        <v>1.7062562730010056E-2</v>
      </c>
      <c r="E1449" s="87"/>
    </row>
    <row r="1450" spans="1:5" ht="15" x14ac:dyDescent="0.2">
      <c r="A1450" s="73">
        <v>42429</v>
      </c>
      <c r="B1450" s="70">
        <v>59.78</v>
      </c>
      <c r="C1450" s="85">
        <v>2927387</v>
      </c>
      <c r="D1450" s="88">
        <v>3.9471396278908166E-2</v>
      </c>
      <c r="E1450" s="87"/>
    </row>
    <row r="1451" spans="1:5" ht="15" x14ac:dyDescent="0.2">
      <c r="A1451" s="73">
        <v>42426</v>
      </c>
      <c r="B1451" s="70">
        <v>57.51</v>
      </c>
      <c r="C1451" s="85">
        <v>2578270</v>
      </c>
      <c r="D1451" s="88">
        <v>2.440299808262214E-3</v>
      </c>
      <c r="E1451" s="87"/>
    </row>
    <row r="1452" spans="1:5" ht="15" x14ac:dyDescent="0.2">
      <c r="A1452" s="73">
        <v>42425</v>
      </c>
      <c r="B1452" s="70">
        <v>57.37</v>
      </c>
      <c r="C1452" s="85">
        <v>4211284</v>
      </c>
      <c r="D1452" s="88">
        <v>4.4040036396724158E-2</v>
      </c>
      <c r="E1452" s="87"/>
    </row>
    <row r="1453" spans="1:5" ht="15" x14ac:dyDescent="0.2">
      <c r="A1453" s="73">
        <v>42424</v>
      </c>
      <c r="B1453" s="70">
        <v>54.95</v>
      </c>
      <c r="C1453" s="85">
        <v>3991289</v>
      </c>
      <c r="D1453" s="88">
        <v>-8.3017505865365937E-3</v>
      </c>
      <c r="E1453" s="87"/>
    </row>
    <row r="1454" spans="1:5" ht="15" x14ac:dyDescent="0.2">
      <c r="A1454" s="73">
        <v>42423</v>
      </c>
      <c r="B1454" s="70">
        <v>55.41</v>
      </c>
      <c r="C1454" s="85">
        <v>2401782</v>
      </c>
      <c r="D1454" s="88">
        <v>-1.3178984861976883E-2</v>
      </c>
      <c r="E1454" s="87"/>
    </row>
    <row r="1455" spans="1:5" ht="15" x14ac:dyDescent="0.2">
      <c r="A1455" s="73">
        <v>42422</v>
      </c>
      <c r="B1455" s="70">
        <v>56.15</v>
      </c>
      <c r="C1455" s="85">
        <v>1570156</v>
      </c>
      <c r="D1455" s="88">
        <v>1.6289592760180938E-2</v>
      </c>
      <c r="E1455" s="87"/>
    </row>
    <row r="1456" spans="1:5" ht="15" x14ac:dyDescent="0.2">
      <c r="A1456" s="73">
        <v>42419</v>
      </c>
      <c r="B1456" s="70">
        <v>55.25</v>
      </c>
      <c r="C1456" s="85">
        <v>2202138</v>
      </c>
      <c r="D1456" s="88">
        <v>-1.07430617726052E-2</v>
      </c>
      <c r="E1456" s="87"/>
    </row>
    <row r="1457" spans="1:5" ht="15" x14ac:dyDescent="0.2">
      <c r="A1457" s="73">
        <v>42418</v>
      </c>
      <c r="B1457" s="70">
        <v>55.85</v>
      </c>
      <c r="C1457" s="85">
        <v>2492698</v>
      </c>
      <c r="D1457" s="88">
        <v>1.4532243415077195E-2</v>
      </c>
      <c r="E1457" s="87"/>
    </row>
    <row r="1458" spans="1:5" ht="15" x14ac:dyDescent="0.2">
      <c r="A1458" s="73">
        <v>42417</v>
      </c>
      <c r="B1458" s="70">
        <v>55.05</v>
      </c>
      <c r="C1458" s="85">
        <v>2650522</v>
      </c>
      <c r="D1458" s="88">
        <v>2.3614726664187291E-2</v>
      </c>
      <c r="E1458" s="87"/>
    </row>
    <row r="1459" spans="1:5" ht="15" x14ac:dyDescent="0.2">
      <c r="A1459" s="73">
        <v>42416</v>
      </c>
      <c r="B1459" s="70">
        <v>53.78</v>
      </c>
      <c r="C1459" s="85">
        <v>2320494</v>
      </c>
      <c r="D1459" s="88">
        <v>7.4934432371673854E-3</v>
      </c>
      <c r="E1459" s="87"/>
    </row>
    <row r="1460" spans="1:5" ht="15" x14ac:dyDescent="0.2">
      <c r="A1460" s="73">
        <v>42415</v>
      </c>
      <c r="B1460" s="70">
        <v>53.38</v>
      </c>
      <c r="C1460" s="85">
        <v>2460695</v>
      </c>
      <c r="D1460" s="88">
        <v>4.0343013057883459E-2</v>
      </c>
      <c r="E1460" s="87"/>
    </row>
    <row r="1461" spans="1:5" ht="15" x14ac:dyDescent="0.2">
      <c r="A1461" s="73">
        <v>42412</v>
      </c>
      <c r="B1461" s="70">
        <v>51.31</v>
      </c>
      <c r="C1461" s="85">
        <v>3133440</v>
      </c>
      <c r="D1461" s="88">
        <v>2.7021617293835121E-2</v>
      </c>
      <c r="E1461" s="87"/>
    </row>
    <row r="1462" spans="1:5" ht="15" x14ac:dyDescent="0.2">
      <c r="A1462" s="73">
        <v>42411</v>
      </c>
      <c r="B1462" s="70">
        <v>49.96</v>
      </c>
      <c r="C1462" s="85">
        <v>4946346</v>
      </c>
      <c r="D1462" s="88">
        <v>-4.601871300362792E-2</v>
      </c>
      <c r="E1462" s="87"/>
    </row>
    <row r="1463" spans="1:5" ht="15" x14ac:dyDescent="0.2">
      <c r="A1463" s="73">
        <v>42410</v>
      </c>
      <c r="B1463" s="70">
        <v>52.37</v>
      </c>
      <c r="C1463" s="85">
        <v>4183995</v>
      </c>
      <c r="D1463" s="88">
        <v>2.2452167122217759E-2</v>
      </c>
      <c r="E1463" s="87"/>
    </row>
    <row r="1464" spans="1:5" ht="15" x14ac:dyDescent="0.2">
      <c r="A1464" s="73">
        <v>42409</v>
      </c>
      <c r="B1464" s="70">
        <v>51.22</v>
      </c>
      <c r="C1464" s="85">
        <v>4128321</v>
      </c>
      <c r="D1464" s="88">
        <v>1.7602190494816483E-3</v>
      </c>
      <c r="E1464" s="87"/>
    </row>
    <row r="1465" spans="1:5" ht="15" x14ac:dyDescent="0.2">
      <c r="A1465" s="73">
        <v>42408</v>
      </c>
      <c r="B1465" s="70">
        <v>51.13</v>
      </c>
      <c r="C1465" s="85">
        <v>5271400</v>
      </c>
      <c r="D1465" s="88">
        <v>-5.4199038105808395E-2</v>
      </c>
      <c r="E1465" s="87"/>
    </row>
    <row r="1466" spans="1:5" ht="15" x14ac:dyDescent="0.2">
      <c r="A1466" s="73">
        <v>42405</v>
      </c>
      <c r="B1466" s="70">
        <v>54.06</v>
      </c>
      <c r="C1466" s="85">
        <v>3863611</v>
      </c>
      <c r="D1466" s="88">
        <v>4.645976584278122E-3</v>
      </c>
      <c r="E1466" s="87"/>
    </row>
    <row r="1467" spans="1:5" ht="15" x14ac:dyDescent="0.2">
      <c r="A1467" s="73">
        <v>42404</v>
      </c>
      <c r="B1467" s="70">
        <v>53.81</v>
      </c>
      <c r="C1467" s="85">
        <v>4043452</v>
      </c>
      <c r="D1467" s="88">
        <v>-1.6697588126158847E-3</v>
      </c>
      <c r="E1467" s="87"/>
    </row>
    <row r="1468" spans="1:5" ht="15" x14ac:dyDescent="0.2">
      <c r="A1468" s="73">
        <v>42403</v>
      </c>
      <c r="B1468" s="70">
        <v>53.9</v>
      </c>
      <c r="C1468" s="85">
        <v>3362369</v>
      </c>
      <c r="D1468" s="88">
        <v>-2.6196928635953132E-2</v>
      </c>
      <c r="E1468" s="87"/>
    </row>
    <row r="1469" spans="1:5" ht="15" x14ac:dyDescent="0.2">
      <c r="A1469" s="73">
        <v>42402</v>
      </c>
      <c r="B1469" s="70">
        <v>55.35</v>
      </c>
      <c r="C1469" s="85">
        <v>3272342</v>
      </c>
      <c r="D1469" s="88">
        <v>-4.3215211754537575E-2</v>
      </c>
      <c r="E1469" s="87"/>
    </row>
    <row r="1470" spans="1:5" ht="15" x14ac:dyDescent="0.2">
      <c r="A1470" s="73">
        <v>42401</v>
      </c>
      <c r="B1470" s="70">
        <v>57.85</v>
      </c>
      <c r="C1470" s="85">
        <v>2509473</v>
      </c>
      <c r="D1470" s="88">
        <v>5.1885160844000744E-4</v>
      </c>
      <c r="E1470" s="87"/>
    </row>
    <row r="1471" spans="1:5" ht="15" x14ac:dyDescent="0.2">
      <c r="A1471" s="73">
        <v>42398</v>
      </c>
      <c r="B1471" s="70">
        <v>57.82</v>
      </c>
      <c r="C1471" s="85">
        <v>3303063</v>
      </c>
      <c r="D1471" s="88">
        <v>5.0890585241730291E-2</v>
      </c>
      <c r="E1471" s="87"/>
    </row>
    <row r="1472" spans="1:5" ht="15" x14ac:dyDescent="0.2">
      <c r="A1472" s="73">
        <v>42397</v>
      </c>
      <c r="B1472" s="70">
        <v>55.02</v>
      </c>
      <c r="C1472" s="85">
        <v>3467010</v>
      </c>
      <c r="D1472" s="88">
        <v>-7.933645870897954E-3</v>
      </c>
      <c r="E1472" s="87"/>
    </row>
    <row r="1473" spans="1:7" ht="15" x14ac:dyDescent="0.2">
      <c r="A1473" s="73">
        <v>42396</v>
      </c>
      <c r="B1473" s="70">
        <v>55.46</v>
      </c>
      <c r="C1473" s="85">
        <v>4672140</v>
      </c>
      <c r="D1473" s="88">
        <v>-3.4134447927551381E-2</v>
      </c>
      <c r="E1473" s="87"/>
    </row>
    <row r="1474" spans="1:7" ht="15" x14ac:dyDescent="0.2">
      <c r="A1474" s="73">
        <v>42395</v>
      </c>
      <c r="B1474" s="70">
        <v>57.42</v>
      </c>
      <c r="C1474" s="85">
        <v>2017387</v>
      </c>
      <c r="D1474" s="88">
        <v>1.7445917655269927E-3</v>
      </c>
      <c r="E1474" s="87"/>
    </row>
    <row r="1475" spans="1:7" ht="15" x14ac:dyDescent="0.2">
      <c r="A1475" s="73">
        <v>42394</v>
      </c>
      <c r="B1475" s="70">
        <v>57.32</v>
      </c>
      <c r="C1475" s="85">
        <v>2388659</v>
      </c>
      <c r="D1475" s="88">
        <v>6.4969271290604702E-3</v>
      </c>
      <c r="E1475" s="87"/>
    </row>
    <row r="1476" spans="1:7" ht="15" x14ac:dyDescent="0.2">
      <c r="A1476" s="73">
        <v>42391</v>
      </c>
      <c r="B1476" s="70">
        <v>56.95</v>
      </c>
      <c r="C1476" s="85">
        <v>3188157</v>
      </c>
      <c r="D1476" s="88">
        <v>2.5571763010985071E-2</v>
      </c>
      <c r="E1476" s="87"/>
    </row>
    <row r="1477" spans="1:7" ht="15" x14ac:dyDescent="0.2">
      <c r="A1477" s="73">
        <v>42390</v>
      </c>
      <c r="B1477" s="70">
        <v>55.53</v>
      </c>
      <c r="C1477" s="85">
        <v>3935676</v>
      </c>
      <c r="D1477" s="88">
        <v>2.1523178807947074E-2</v>
      </c>
      <c r="E1477" s="87"/>
    </row>
    <row r="1478" spans="1:7" ht="15" x14ac:dyDescent="0.2">
      <c r="A1478" s="73">
        <v>42389</v>
      </c>
      <c r="B1478" s="70">
        <v>54.36</v>
      </c>
      <c r="C1478" s="85">
        <v>3779226</v>
      </c>
      <c r="D1478" s="88">
        <v>-4.1607898448518976E-2</v>
      </c>
      <c r="E1478" s="67"/>
      <c r="F1478" s="67"/>
      <c r="G1478" s="67"/>
    </row>
    <row r="1479" spans="1:7" ht="15" x14ac:dyDescent="0.2">
      <c r="A1479" s="73">
        <v>42388</v>
      </c>
      <c r="B1479" s="70">
        <v>56.72</v>
      </c>
      <c r="C1479" s="85">
        <v>2117953</v>
      </c>
      <c r="D1479" s="88">
        <v>1.5577439570277463E-2</v>
      </c>
      <c r="E1479" s="67"/>
      <c r="F1479" s="67"/>
      <c r="G1479" s="67"/>
    </row>
    <row r="1480" spans="1:7" ht="15" x14ac:dyDescent="0.2">
      <c r="A1480" s="73">
        <v>42387</v>
      </c>
      <c r="B1480" s="70">
        <v>55.85</v>
      </c>
      <c r="C1480" s="85">
        <v>1963450</v>
      </c>
      <c r="D1480" s="88">
        <v>-5.3428317008014092E-3</v>
      </c>
      <c r="E1480" s="67"/>
      <c r="F1480" s="67"/>
      <c r="G1480" s="67"/>
    </row>
    <row r="1481" spans="1:7" ht="15" x14ac:dyDescent="0.2">
      <c r="A1481" s="73">
        <v>42384</v>
      </c>
      <c r="B1481" s="70">
        <v>56.15</v>
      </c>
      <c r="C1481" s="85">
        <v>4890291</v>
      </c>
      <c r="D1481" s="88">
        <v>-3.20634373383899E-2</v>
      </c>
      <c r="E1481" s="67"/>
      <c r="F1481" s="67"/>
      <c r="G1481" s="67"/>
    </row>
    <row r="1482" spans="1:7" ht="15" x14ac:dyDescent="0.2">
      <c r="A1482" s="73">
        <v>42383</v>
      </c>
      <c r="B1482" s="70">
        <v>58.01</v>
      </c>
      <c r="C1482" s="85">
        <v>3691074</v>
      </c>
      <c r="D1482" s="88">
        <v>-2.4878130778282159E-2</v>
      </c>
      <c r="E1482" s="67"/>
      <c r="F1482" s="67"/>
      <c r="G1482" s="67"/>
    </row>
    <row r="1483" spans="1:7" ht="15" x14ac:dyDescent="0.2">
      <c r="A1483" s="73">
        <v>42382</v>
      </c>
      <c r="B1483" s="70">
        <v>59.49</v>
      </c>
      <c r="C1483" s="85">
        <v>3133704</v>
      </c>
      <c r="D1483" s="88">
        <v>8.3050847457626364E-3</v>
      </c>
      <c r="E1483" s="67"/>
      <c r="F1483" s="67"/>
      <c r="G1483" s="67"/>
    </row>
    <row r="1484" spans="1:7" ht="15" x14ac:dyDescent="0.2">
      <c r="A1484" s="73">
        <v>42381</v>
      </c>
      <c r="B1484" s="70">
        <v>59</v>
      </c>
      <c r="C1484" s="85">
        <v>3976466</v>
      </c>
      <c r="D1484" s="88">
        <v>1.5315780416451652E-2</v>
      </c>
      <c r="E1484" s="67"/>
      <c r="F1484" s="67"/>
      <c r="G1484" s="67"/>
    </row>
    <row r="1485" spans="1:7" ht="15" x14ac:dyDescent="0.2">
      <c r="A1485" s="73">
        <v>42380</v>
      </c>
      <c r="B1485" s="70">
        <v>58.11</v>
      </c>
      <c r="C1485" s="85">
        <v>2885702</v>
      </c>
      <c r="D1485" s="88">
        <v>-1.1061946902654829E-2</v>
      </c>
      <c r="E1485" s="67"/>
      <c r="F1485" s="67"/>
      <c r="G1485" s="67"/>
    </row>
    <row r="1486" spans="1:7" ht="15" x14ac:dyDescent="0.2">
      <c r="A1486" s="73">
        <v>42377</v>
      </c>
      <c r="B1486" s="70">
        <v>58.76</v>
      </c>
      <c r="C1486" s="85">
        <v>2906559</v>
      </c>
      <c r="D1486" s="88">
        <v>-2.131912058627583E-2</v>
      </c>
      <c r="E1486" s="67"/>
      <c r="F1486" s="67"/>
      <c r="G1486" s="67"/>
    </row>
    <row r="1487" spans="1:7" ht="15" x14ac:dyDescent="0.2">
      <c r="A1487" s="73">
        <v>42376</v>
      </c>
      <c r="B1487" s="70">
        <v>60.04</v>
      </c>
      <c r="C1487" s="85">
        <v>2581611</v>
      </c>
      <c r="D1487" s="88">
        <v>-2.007507752570592E-2</v>
      </c>
      <c r="E1487" s="67"/>
      <c r="F1487" s="67"/>
      <c r="G1487" s="67"/>
    </row>
    <row r="1488" spans="1:7" ht="15" x14ac:dyDescent="0.2">
      <c r="A1488" s="73">
        <v>42375</v>
      </c>
      <c r="B1488" s="70">
        <v>61.27</v>
      </c>
      <c r="C1488" s="85">
        <v>2196204</v>
      </c>
      <c r="D1488" s="88">
        <v>-1.3206635529070754E-2</v>
      </c>
      <c r="E1488" s="67"/>
      <c r="F1488" s="67"/>
      <c r="G1488" s="67"/>
    </row>
    <row r="1489" spans="1:7" ht="15" x14ac:dyDescent="0.2">
      <c r="A1489" s="73">
        <v>42374</v>
      </c>
      <c r="B1489" s="70">
        <v>62.09</v>
      </c>
      <c r="C1489" s="85">
        <v>3154541</v>
      </c>
      <c r="D1489" s="88">
        <v>2.02103187643774E-2</v>
      </c>
      <c r="E1489" s="67"/>
      <c r="F1489" s="67"/>
      <c r="G1489" s="67"/>
    </row>
    <row r="1490" spans="1:7" ht="15" x14ac:dyDescent="0.2">
      <c r="A1490" s="73">
        <v>42373</v>
      </c>
      <c r="B1490" s="70">
        <v>60.86</v>
      </c>
      <c r="C1490" s="85">
        <v>2885672</v>
      </c>
      <c r="D1490" s="88">
        <v>-1.838709677419359E-2</v>
      </c>
      <c r="E1490" s="67"/>
      <c r="F1490" s="67"/>
      <c r="G1490" s="67"/>
    </row>
    <row r="1491" spans="1:7" ht="15" x14ac:dyDescent="0.2">
      <c r="A1491" s="76">
        <v>42369</v>
      </c>
      <c r="B1491" s="77">
        <v>62</v>
      </c>
      <c r="C1491" s="86">
        <v>409212</v>
      </c>
      <c r="D1491" s="89">
        <v>-9.2681367849152263E-3</v>
      </c>
      <c r="E1491" s="79"/>
      <c r="F1491" s="79"/>
      <c r="G1491" s="78" t="e">
        <v>#REF!</v>
      </c>
    </row>
    <row r="1492" spans="1:7" ht="15" x14ac:dyDescent="0.2">
      <c r="A1492" s="73">
        <v>42368</v>
      </c>
      <c r="B1492" s="70">
        <v>62.58</v>
      </c>
      <c r="C1492" s="85">
        <v>1178738</v>
      </c>
      <c r="D1492" s="88">
        <v>-7.454401268834232E-3</v>
      </c>
      <c r="E1492" s="67"/>
      <c r="F1492" s="67"/>
      <c r="G1492" s="67"/>
    </row>
    <row r="1493" spans="1:7" ht="15" x14ac:dyDescent="0.2">
      <c r="A1493" s="73">
        <v>42367</v>
      </c>
      <c r="B1493" s="70">
        <v>63.05</v>
      </c>
      <c r="C1493" s="85">
        <v>1417901</v>
      </c>
      <c r="D1493" s="88">
        <v>2.1714470912331807E-2</v>
      </c>
      <c r="E1493" s="67"/>
      <c r="F1493" s="67"/>
      <c r="G1493" s="67"/>
    </row>
    <row r="1494" spans="1:7" ht="15" x14ac:dyDescent="0.2">
      <c r="A1494" s="73">
        <v>42366</v>
      </c>
      <c r="B1494" s="70">
        <v>61.71</v>
      </c>
      <c r="C1494" s="85">
        <v>781866</v>
      </c>
      <c r="D1494" s="88">
        <v>-7.0796460176990594E-3</v>
      </c>
      <c r="E1494" s="87"/>
    </row>
    <row r="1495" spans="1:7" ht="15" x14ac:dyDescent="0.2">
      <c r="A1495" s="73">
        <v>42362</v>
      </c>
      <c r="B1495" s="70">
        <v>62.15</v>
      </c>
      <c r="C1495" s="85">
        <v>322046</v>
      </c>
      <c r="D1495" s="88">
        <v>-6.8712048577820317E-3</v>
      </c>
      <c r="E1495" s="87"/>
    </row>
    <row r="1496" spans="1:7" ht="15" x14ac:dyDescent="0.2">
      <c r="A1496" s="73">
        <v>42361</v>
      </c>
      <c r="B1496" s="70">
        <v>62.58</v>
      </c>
      <c r="C1496" s="85">
        <v>1938482</v>
      </c>
      <c r="D1496" s="88">
        <v>1.0985460420032345E-2</v>
      </c>
      <c r="E1496" s="87"/>
    </row>
    <row r="1497" spans="1:7" ht="15" x14ac:dyDescent="0.2">
      <c r="A1497" s="73">
        <v>42360</v>
      </c>
      <c r="B1497" s="70">
        <v>61.9</v>
      </c>
      <c r="C1497" s="85">
        <v>2041101</v>
      </c>
      <c r="D1497" s="88">
        <v>-3.2299741602070942E-4</v>
      </c>
      <c r="E1497" s="87"/>
    </row>
    <row r="1498" spans="1:7" ht="15" x14ac:dyDescent="0.2">
      <c r="A1498" s="73">
        <v>42359</v>
      </c>
      <c r="B1498" s="70">
        <v>61.92</v>
      </c>
      <c r="C1498" s="85">
        <v>2398413</v>
      </c>
      <c r="D1498" s="88">
        <v>-2.1182421751501646E-2</v>
      </c>
      <c r="E1498" s="87"/>
    </row>
    <row r="1499" spans="1:7" ht="15" x14ac:dyDescent="0.2">
      <c r="A1499" s="73">
        <v>42356</v>
      </c>
      <c r="B1499" s="70">
        <v>63.26</v>
      </c>
      <c r="C1499" s="85">
        <v>4059339</v>
      </c>
      <c r="D1499" s="88">
        <v>-2.8711807154920943E-2</v>
      </c>
      <c r="E1499" s="87"/>
    </row>
    <row r="1500" spans="1:7" ht="15" x14ac:dyDescent="0.2">
      <c r="A1500" s="73">
        <v>42355</v>
      </c>
      <c r="B1500" s="70">
        <v>65.13</v>
      </c>
      <c r="C1500" s="85">
        <v>2735628</v>
      </c>
      <c r="D1500" s="88">
        <v>1.1492467774498971E-2</v>
      </c>
      <c r="E1500" s="87"/>
    </row>
    <row r="1501" spans="1:7" ht="15" x14ac:dyDescent="0.2">
      <c r="A1501" s="73">
        <v>42354</v>
      </c>
      <c r="B1501" s="70">
        <v>64.39</v>
      </c>
      <c r="C1501" s="85">
        <v>2426738</v>
      </c>
      <c r="D1501" s="88">
        <v>1.9797275894836819E-2</v>
      </c>
      <c r="E1501" s="87"/>
    </row>
    <row r="1502" spans="1:7" ht="15" x14ac:dyDescent="0.2">
      <c r="A1502" s="73">
        <v>42353</v>
      </c>
      <c r="B1502" s="70">
        <v>63.14</v>
      </c>
      <c r="C1502" s="85">
        <v>3433031</v>
      </c>
      <c r="D1502" s="88">
        <v>3.0016313213703238E-2</v>
      </c>
      <c r="E1502" s="87"/>
    </row>
    <row r="1503" spans="1:7" ht="15" x14ac:dyDescent="0.2">
      <c r="A1503" s="73">
        <v>42352</v>
      </c>
      <c r="B1503" s="70">
        <v>61.3</v>
      </c>
      <c r="C1503" s="85">
        <v>2705807</v>
      </c>
      <c r="D1503" s="88">
        <v>-1.5735388567758579E-2</v>
      </c>
      <c r="E1503" s="87"/>
    </row>
    <row r="1504" spans="1:7" ht="15" x14ac:dyDescent="0.2">
      <c r="A1504" s="73">
        <v>42349</v>
      </c>
      <c r="B1504" s="70">
        <v>62.28</v>
      </c>
      <c r="C1504" s="85">
        <v>2837745</v>
      </c>
      <c r="D1504" s="88">
        <v>-2.9604238080398915E-2</v>
      </c>
      <c r="E1504" s="87"/>
    </row>
    <row r="1505" spans="1:5" ht="15" x14ac:dyDescent="0.2">
      <c r="A1505" s="73">
        <v>42348</v>
      </c>
      <c r="B1505" s="70">
        <v>64.180000000000007</v>
      </c>
      <c r="C1505" s="85">
        <v>1795007</v>
      </c>
      <c r="D1505" s="88">
        <v>1.0867853205229316E-2</v>
      </c>
      <c r="E1505" s="87"/>
    </row>
    <row r="1506" spans="1:5" ht="15" x14ac:dyDescent="0.2">
      <c r="A1506" s="73">
        <v>42347</v>
      </c>
      <c r="B1506" s="70">
        <v>63.49</v>
      </c>
      <c r="C1506" s="85">
        <v>2114173</v>
      </c>
      <c r="D1506" s="88">
        <v>-1.8853345696182799E-2</v>
      </c>
      <c r="E1506" s="87"/>
    </row>
    <row r="1507" spans="1:5" ht="15" x14ac:dyDescent="0.2">
      <c r="A1507" s="73">
        <v>42346</v>
      </c>
      <c r="B1507" s="70">
        <v>64.709999999999994</v>
      </c>
      <c r="C1507" s="85">
        <v>2132119</v>
      </c>
      <c r="D1507" s="88">
        <v>-1.7908635604795942E-2</v>
      </c>
      <c r="E1507" s="87"/>
    </row>
    <row r="1508" spans="1:5" ht="15" x14ac:dyDescent="0.2">
      <c r="A1508" s="73">
        <v>42345</v>
      </c>
      <c r="B1508" s="70">
        <v>65.89</v>
      </c>
      <c r="C1508" s="85">
        <v>2051149</v>
      </c>
      <c r="D1508" s="88">
        <v>2.9370410873301056E-2</v>
      </c>
      <c r="E1508" s="87"/>
    </row>
    <row r="1509" spans="1:5" ht="15" x14ac:dyDescent="0.2">
      <c r="A1509" s="73">
        <v>42342</v>
      </c>
      <c r="B1509" s="70">
        <v>64.010000000000005</v>
      </c>
      <c r="C1509" s="85">
        <v>3097108</v>
      </c>
      <c r="D1509" s="88">
        <v>5.4979579013509916E-3</v>
      </c>
      <c r="E1509" s="87"/>
    </row>
    <row r="1510" spans="1:5" ht="15" x14ac:dyDescent="0.2">
      <c r="A1510" s="73">
        <v>42341</v>
      </c>
      <c r="B1510" s="70">
        <v>63.66</v>
      </c>
      <c r="C1510" s="85">
        <v>6203169</v>
      </c>
      <c r="D1510" s="88">
        <v>-5.2678571428571574E-2</v>
      </c>
      <c r="E1510" s="87"/>
    </row>
    <row r="1511" spans="1:5" ht="15" x14ac:dyDescent="0.2">
      <c r="A1511" s="73">
        <v>42340</v>
      </c>
      <c r="B1511" s="70">
        <v>67.2</v>
      </c>
      <c r="C1511" s="85">
        <v>1437294</v>
      </c>
      <c r="D1511" s="88">
        <v>-7.4349442379173514E-4</v>
      </c>
      <c r="E1511" s="87"/>
    </row>
    <row r="1512" spans="1:5" ht="15" x14ac:dyDescent="0.2">
      <c r="A1512" s="73">
        <v>42339</v>
      </c>
      <c r="B1512" s="70">
        <v>67.25</v>
      </c>
      <c r="C1512" s="85">
        <v>2219478</v>
      </c>
      <c r="D1512" s="88">
        <v>-1.7387492694330819E-2</v>
      </c>
      <c r="E1512" s="87"/>
    </row>
    <row r="1513" spans="1:5" ht="15" x14ac:dyDescent="0.2">
      <c r="A1513" s="73">
        <v>42338</v>
      </c>
      <c r="B1513" s="70">
        <v>68.44</v>
      </c>
      <c r="C1513" s="85">
        <v>1716185</v>
      </c>
      <c r="D1513" s="88">
        <v>7.2111846946283364E-3</v>
      </c>
      <c r="E1513" s="87"/>
    </row>
    <row r="1514" spans="1:5" ht="15" x14ac:dyDescent="0.2">
      <c r="A1514" s="73">
        <v>42335</v>
      </c>
      <c r="B1514" s="70">
        <v>67.95</v>
      </c>
      <c r="C1514" s="85">
        <v>1488540</v>
      </c>
      <c r="D1514" s="88">
        <v>-2.9347028613353476E-3</v>
      </c>
      <c r="E1514" s="87"/>
    </row>
    <row r="1515" spans="1:5" ht="15" x14ac:dyDescent="0.2">
      <c r="A1515" s="73">
        <v>42334</v>
      </c>
      <c r="B1515" s="70">
        <v>68.150000000000006</v>
      </c>
      <c r="C1515" s="85">
        <v>1647209</v>
      </c>
      <c r="D1515" s="88">
        <v>1.6405667412378921E-2</v>
      </c>
      <c r="E1515" s="87"/>
    </row>
    <row r="1516" spans="1:5" ht="15" x14ac:dyDescent="0.2">
      <c r="A1516" s="73">
        <v>42333</v>
      </c>
      <c r="B1516" s="70">
        <v>67.05</v>
      </c>
      <c r="C1516" s="85">
        <v>2614825</v>
      </c>
      <c r="D1516" s="88">
        <v>2.2259490776032731E-2</v>
      </c>
      <c r="E1516" s="87"/>
    </row>
    <row r="1517" spans="1:5" ht="15" x14ac:dyDescent="0.2">
      <c r="A1517" s="73">
        <v>42332</v>
      </c>
      <c r="B1517" s="70">
        <v>65.59</v>
      </c>
      <c r="C1517" s="85">
        <v>2531675</v>
      </c>
      <c r="D1517" s="88">
        <v>-1.4128964376972752E-2</v>
      </c>
      <c r="E1517" s="87"/>
    </row>
    <row r="1518" spans="1:5" ht="15" x14ac:dyDescent="0.2">
      <c r="A1518" s="73">
        <v>42331</v>
      </c>
      <c r="B1518" s="70">
        <v>66.53</v>
      </c>
      <c r="C1518" s="85">
        <v>1804364</v>
      </c>
      <c r="D1518" s="88">
        <v>1.6561276723878748E-3</v>
      </c>
      <c r="E1518" s="87"/>
    </row>
    <row r="1519" spans="1:5" ht="15" x14ac:dyDescent="0.2">
      <c r="A1519" s="73">
        <v>42328</v>
      </c>
      <c r="B1519" s="70">
        <v>66.42</v>
      </c>
      <c r="C1519" s="85">
        <v>2123447</v>
      </c>
      <c r="D1519" s="88">
        <v>8.3497798694398551E-3</v>
      </c>
      <c r="E1519" s="87"/>
    </row>
    <row r="1520" spans="1:5" ht="15" x14ac:dyDescent="0.2">
      <c r="A1520" s="73">
        <v>42327</v>
      </c>
      <c r="B1520" s="70">
        <v>65.87</v>
      </c>
      <c r="C1520" s="85">
        <v>2456397</v>
      </c>
      <c r="D1520" s="88">
        <v>1.3681970203709426E-3</v>
      </c>
      <c r="E1520" s="87"/>
    </row>
    <row r="1521" spans="1:5" ht="15" x14ac:dyDescent="0.2">
      <c r="A1521" s="73">
        <v>42326</v>
      </c>
      <c r="B1521" s="70">
        <v>65.78</v>
      </c>
      <c r="C1521" s="85">
        <v>2318226</v>
      </c>
      <c r="D1521" s="88">
        <v>-5.893909626719096E-3</v>
      </c>
      <c r="E1521" s="87"/>
    </row>
    <row r="1522" spans="1:5" ht="15" x14ac:dyDescent="0.2">
      <c r="A1522" s="73">
        <v>42325</v>
      </c>
      <c r="B1522" s="70">
        <v>66.17</v>
      </c>
      <c r="C1522" s="85">
        <v>2966483</v>
      </c>
      <c r="D1522" s="88">
        <v>4.2704065553104353E-2</v>
      </c>
      <c r="E1522" s="87"/>
    </row>
    <row r="1523" spans="1:5" ht="15" x14ac:dyDescent="0.2">
      <c r="A1523" s="73">
        <v>42324</v>
      </c>
      <c r="B1523" s="70">
        <v>63.46</v>
      </c>
      <c r="C1523" s="85">
        <v>1873815</v>
      </c>
      <c r="D1523" s="88">
        <v>-1.1018416496143546E-3</v>
      </c>
      <c r="E1523" s="87"/>
    </row>
    <row r="1524" spans="1:5" ht="15" x14ac:dyDescent="0.2">
      <c r="A1524" s="73">
        <v>42321</v>
      </c>
      <c r="B1524" s="70">
        <v>63.53</v>
      </c>
      <c r="C1524" s="85">
        <v>1990529</v>
      </c>
      <c r="D1524" s="88">
        <v>-8.2734935997502701E-3</v>
      </c>
      <c r="E1524" s="87"/>
    </row>
    <row r="1525" spans="1:5" ht="15" x14ac:dyDescent="0.2">
      <c r="A1525" s="73">
        <v>42320</v>
      </c>
      <c r="B1525" s="70">
        <v>64.06</v>
      </c>
      <c r="C1525" s="85">
        <v>3096343</v>
      </c>
      <c r="D1525" s="88">
        <v>-3.7415477084898452E-2</v>
      </c>
      <c r="E1525" s="87"/>
    </row>
    <row r="1526" spans="1:5" ht="15" x14ac:dyDescent="0.2">
      <c r="A1526" s="73">
        <v>42319</v>
      </c>
      <c r="B1526" s="70">
        <v>66.55</v>
      </c>
      <c r="C1526" s="85">
        <v>1407624</v>
      </c>
      <c r="D1526" s="88">
        <v>8.0278703423204423E-3</v>
      </c>
      <c r="E1526" s="87"/>
    </row>
    <row r="1527" spans="1:5" ht="15" x14ac:dyDescent="0.2">
      <c r="A1527" s="73">
        <v>42318</v>
      </c>
      <c r="B1527" s="70">
        <v>66.02</v>
      </c>
      <c r="C1527" s="85">
        <v>1731106</v>
      </c>
      <c r="D1527" s="88">
        <v>9.4801223241589572E-3</v>
      </c>
      <c r="E1527" s="87"/>
    </row>
    <row r="1528" spans="1:5" ht="15" x14ac:dyDescent="0.2">
      <c r="A1528" s="73">
        <v>42317</v>
      </c>
      <c r="B1528" s="70">
        <v>65.400000000000006</v>
      </c>
      <c r="C1528" s="85">
        <v>1621405</v>
      </c>
      <c r="D1528" s="88">
        <v>-1.0590015128592922E-2</v>
      </c>
      <c r="E1528" s="87"/>
    </row>
    <row r="1529" spans="1:5" ht="15" x14ac:dyDescent="0.2">
      <c r="A1529" s="73">
        <v>42314</v>
      </c>
      <c r="B1529" s="70">
        <v>66.099999999999994</v>
      </c>
      <c r="C1529" s="85">
        <v>3242457</v>
      </c>
      <c r="D1529" s="88">
        <v>2.3219814241486114E-2</v>
      </c>
      <c r="E1529" s="87"/>
    </row>
    <row r="1530" spans="1:5" ht="15" x14ac:dyDescent="0.2">
      <c r="A1530" s="73">
        <v>42313</v>
      </c>
      <c r="B1530" s="70">
        <v>64.599999999999994</v>
      </c>
      <c r="C1530" s="85">
        <v>1962295</v>
      </c>
      <c r="D1530" s="88">
        <v>9.2173097953442973E-3</v>
      </c>
      <c r="E1530" s="87"/>
    </row>
    <row r="1531" spans="1:5" ht="15" x14ac:dyDescent="0.2">
      <c r="A1531" s="73">
        <v>42312</v>
      </c>
      <c r="B1531" s="70">
        <v>64.010000000000005</v>
      </c>
      <c r="C1531" s="85">
        <v>2259763</v>
      </c>
      <c r="D1531" s="88">
        <v>1.233591649533472E-2</v>
      </c>
      <c r="E1531" s="87"/>
    </row>
    <row r="1532" spans="1:5" ht="15" x14ac:dyDescent="0.2">
      <c r="A1532" s="73">
        <v>42311</v>
      </c>
      <c r="B1532" s="70">
        <v>63.23</v>
      </c>
      <c r="C1532" s="85">
        <v>1892925</v>
      </c>
      <c r="D1532" s="88">
        <v>-5.6612674948892661E-3</v>
      </c>
      <c r="E1532" s="87"/>
    </row>
    <row r="1533" spans="1:5" ht="15" x14ac:dyDescent="0.2">
      <c r="A1533" s="73">
        <v>42310</v>
      </c>
      <c r="B1533" s="70">
        <v>63.59</v>
      </c>
      <c r="C1533" s="85">
        <v>1888898</v>
      </c>
      <c r="D1533" s="88">
        <v>3.6300505050506082E-3</v>
      </c>
      <c r="E1533" s="87"/>
    </row>
    <row r="1534" spans="1:5" ht="15" x14ac:dyDescent="0.2">
      <c r="A1534" s="73">
        <v>42307</v>
      </c>
      <c r="B1534" s="70">
        <v>63.36</v>
      </c>
      <c r="C1534" s="85">
        <v>4441193</v>
      </c>
      <c r="D1534" s="88">
        <v>4.3994068215521542E-2</v>
      </c>
      <c r="E1534" s="87"/>
    </row>
    <row r="1535" spans="1:5" ht="15" x14ac:dyDescent="0.2">
      <c r="A1535" s="73">
        <v>42306</v>
      </c>
      <c r="B1535" s="70">
        <v>60.69</v>
      </c>
      <c r="C1535" s="85">
        <v>2625267</v>
      </c>
      <c r="D1535" s="88">
        <v>1.7946997651794749E-2</v>
      </c>
      <c r="E1535" s="87"/>
    </row>
    <row r="1536" spans="1:5" ht="15" x14ac:dyDescent="0.2">
      <c r="A1536" s="73">
        <v>42305</v>
      </c>
      <c r="B1536" s="70">
        <v>59.62</v>
      </c>
      <c r="C1536" s="85">
        <v>2125416</v>
      </c>
      <c r="D1536" s="88">
        <v>8.4573748308525154E-3</v>
      </c>
      <c r="E1536" s="87"/>
    </row>
    <row r="1537" spans="1:5" ht="15" x14ac:dyDescent="0.2">
      <c r="A1537" s="73">
        <v>42304</v>
      </c>
      <c r="B1537" s="70">
        <v>59.12</v>
      </c>
      <c r="C1537" s="85">
        <v>1798187</v>
      </c>
      <c r="D1537" s="88">
        <v>-1.3844870725604808E-2</v>
      </c>
      <c r="E1537" s="87"/>
    </row>
    <row r="1538" spans="1:5" ht="15" x14ac:dyDescent="0.2">
      <c r="A1538" s="73">
        <v>42303</v>
      </c>
      <c r="B1538" s="70">
        <v>59.95</v>
      </c>
      <c r="C1538" s="85">
        <v>2080517</v>
      </c>
      <c r="D1538" s="88">
        <v>-3.6563071297989191E-3</v>
      </c>
      <c r="E1538" s="87"/>
    </row>
    <row r="1539" spans="1:5" ht="15" x14ac:dyDescent="0.2">
      <c r="A1539" s="73">
        <v>42300</v>
      </c>
      <c r="B1539" s="70">
        <v>60.17</v>
      </c>
      <c r="C1539" s="85">
        <v>3932694</v>
      </c>
      <c r="D1539" s="88">
        <v>4.6070931849791386E-2</v>
      </c>
      <c r="E1539" s="87"/>
    </row>
    <row r="1540" spans="1:5" ht="15" x14ac:dyDescent="0.2">
      <c r="A1540" s="73">
        <v>42299</v>
      </c>
      <c r="B1540" s="70">
        <v>57.52</v>
      </c>
      <c r="C1540" s="85">
        <v>3901564</v>
      </c>
      <c r="D1540" s="88">
        <v>2.2032693674484793E-2</v>
      </c>
      <c r="E1540" s="87"/>
    </row>
    <row r="1541" spans="1:5" ht="15" x14ac:dyDescent="0.2">
      <c r="A1541" s="73">
        <v>42298</v>
      </c>
      <c r="B1541" s="70">
        <v>56.28</v>
      </c>
      <c r="C1541" s="85">
        <v>2253659</v>
      </c>
      <c r="D1541" s="88">
        <v>2.2714882791204705E-2</v>
      </c>
      <c r="E1541" s="87"/>
    </row>
    <row r="1542" spans="1:5" ht="15" x14ac:dyDescent="0.2">
      <c r="A1542" s="73">
        <v>42297</v>
      </c>
      <c r="B1542" s="70">
        <v>55.03</v>
      </c>
      <c r="C1542" s="85">
        <v>1596520</v>
      </c>
      <c r="D1542" s="88">
        <v>-6.8579678758345919E-3</v>
      </c>
      <c r="E1542" s="87"/>
    </row>
    <row r="1543" spans="1:5" ht="15" x14ac:dyDescent="0.2">
      <c r="A1543" s="73">
        <v>42296</v>
      </c>
      <c r="B1543" s="70">
        <v>55.41</v>
      </c>
      <c r="C1543" s="85">
        <v>1627404</v>
      </c>
      <c r="D1543" s="88">
        <v>-2.160994057266441E-3</v>
      </c>
      <c r="E1543" s="87"/>
    </row>
    <row r="1544" spans="1:5" ht="15" x14ac:dyDescent="0.2">
      <c r="A1544" s="73">
        <v>42293</v>
      </c>
      <c r="B1544" s="70">
        <v>55.53</v>
      </c>
      <c r="C1544" s="85">
        <v>3213294</v>
      </c>
      <c r="D1544" s="88">
        <v>1.833852924995405E-2</v>
      </c>
      <c r="E1544" s="87"/>
    </row>
    <row r="1545" spans="1:5" ht="15" x14ac:dyDescent="0.2">
      <c r="A1545" s="73">
        <v>42292</v>
      </c>
      <c r="B1545" s="70">
        <v>54.53</v>
      </c>
      <c r="C1545" s="85">
        <v>4109791</v>
      </c>
      <c r="D1545" s="88">
        <v>-2.8332145402708453E-2</v>
      </c>
      <c r="E1545" s="87"/>
    </row>
    <row r="1546" spans="1:5" ht="15" x14ac:dyDescent="0.2">
      <c r="A1546" s="73">
        <v>42291</v>
      </c>
      <c r="B1546" s="70">
        <v>56.12</v>
      </c>
      <c r="C1546" s="85">
        <v>1884917</v>
      </c>
      <c r="D1546" s="88">
        <v>-8.3053543028804855E-3</v>
      </c>
      <c r="E1546" s="87"/>
    </row>
    <row r="1547" spans="1:5" ht="15" x14ac:dyDescent="0.2">
      <c r="A1547" s="73">
        <v>42290</v>
      </c>
      <c r="B1547" s="70">
        <v>56.59</v>
      </c>
      <c r="C1547" s="85">
        <v>2008046</v>
      </c>
      <c r="D1547" s="88">
        <v>6.9395017793594249E-3</v>
      </c>
      <c r="E1547" s="87"/>
    </row>
    <row r="1548" spans="1:5" ht="15" x14ac:dyDescent="0.2">
      <c r="A1548" s="73">
        <v>42289</v>
      </c>
      <c r="B1548" s="70">
        <v>56.2</v>
      </c>
      <c r="C1548" s="85">
        <v>2039239</v>
      </c>
      <c r="D1548" s="88">
        <v>-2.4474917549036523E-2</v>
      </c>
      <c r="E1548" s="87"/>
    </row>
    <row r="1549" spans="1:5" ht="15" x14ac:dyDescent="0.2">
      <c r="A1549" s="73">
        <v>42286</v>
      </c>
      <c r="B1549" s="70">
        <v>57.61</v>
      </c>
      <c r="C1549" s="85">
        <v>2577289</v>
      </c>
      <c r="D1549" s="88">
        <v>9.1084252933963938E-3</v>
      </c>
      <c r="E1549" s="87"/>
    </row>
    <row r="1550" spans="1:5" ht="15" x14ac:dyDescent="0.2">
      <c r="A1550" s="73">
        <v>42285</v>
      </c>
      <c r="B1550" s="70">
        <v>57.09</v>
      </c>
      <c r="C1550" s="85">
        <v>1926533</v>
      </c>
      <c r="D1550" s="88">
        <v>3.3391915641476366E-3</v>
      </c>
      <c r="E1550" s="87"/>
    </row>
    <row r="1551" spans="1:5" ht="15" x14ac:dyDescent="0.2">
      <c r="A1551" s="73">
        <v>42284</v>
      </c>
      <c r="B1551" s="70">
        <v>56.9</v>
      </c>
      <c r="C1551" s="85">
        <v>2112801</v>
      </c>
      <c r="D1551" s="88">
        <v>-1.0533707865169051E-3</v>
      </c>
      <c r="E1551" s="87"/>
    </row>
    <row r="1552" spans="1:5" ht="15" x14ac:dyDescent="0.2">
      <c r="A1552" s="73">
        <v>42283</v>
      </c>
      <c r="B1552" s="70">
        <v>56.96</v>
      </c>
      <c r="C1552" s="85">
        <v>1770373</v>
      </c>
      <c r="D1552" s="88">
        <v>6.1826532414768209E-3</v>
      </c>
      <c r="E1552" s="87"/>
    </row>
    <row r="1553" spans="1:5" ht="15" x14ac:dyDescent="0.2">
      <c r="A1553" s="73">
        <v>42282</v>
      </c>
      <c r="B1553" s="70">
        <v>56.61</v>
      </c>
      <c r="C1553" s="85">
        <v>2461246</v>
      </c>
      <c r="D1553" s="88">
        <v>3.5296269202633512E-2</v>
      </c>
      <c r="E1553" s="87"/>
    </row>
    <row r="1554" spans="1:5" ht="15" x14ac:dyDescent="0.2">
      <c r="A1554" s="73">
        <v>42279</v>
      </c>
      <c r="B1554" s="70">
        <v>54.68</v>
      </c>
      <c r="C1554" s="85">
        <v>2973563</v>
      </c>
      <c r="D1554" s="88">
        <v>2.1101774042950661E-2</v>
      </c>
      <c r="E1554" s="87"/>
    </row>
    <row r="1555" spans="1:5" ht="15" x14ac:dyDescent="0.2">
      <c r="A1555" s="73">
        <v>42278</v>
      </c>
      <c r="B1555" s="70">
        <v>53.55</v>
      </c>
      <c r="C1555" s="85">
        <v>2783191</v>
      </c>
      <c r="D1555" s="88">
        <v>1.2096012096012076E-2</v>
      </c>
      <c r="E1555" s="87"/>
    </row>
    <row r="1556" spans="1:5" ht="15" x14ac:dyDescent="0.2">
      <c r="A1556" s="73">
        <v>42277</v>
      </c>
      <c r="B1556" s="70">
        <v>52.91</v>
      </c>
      <c r="C1556" s="85">
        <v>3717706</v>
      </c>
      <c r="D1556" s="88">
        <v>1.2437810945273631E-2</v>
      </c>
      <c r="E1556" s="87"/>
    </row>
    <row r="1557" spans="1:5" ht="15" x14ac:dyDescent="0.2">
      <c r="A1557" s="73">
        <v>42276</v>
      </c>
      <c r="B1557" s="70">
        <v>52.26</v>
      </c>
      <c r="C1557" s="85">
        <v>2267480</v>
      </c>
      <c r="D1557" s="88">
        <v>-4.3817870070490539E-3</v>
      </c>
      <c r="E1557" s="87"/>
    </row>
    <row r="1558" spans="1:5" ht="15" x14ac:dyDescent="0.2">
      <c r="A1558" s="73">
        <v>42275</v>
      </c>
      <c r="B1558" s="70">
        <v>52.49</v>
      </c>
      <c r="C1558" s="85">
        <v>2614294</v>
      </c>
      <c r="D1558" s="88">
        <v>-3.0834564254061947E-2</v>
      </c>
      <c r="E1558" s="87"/>
    </row>
    <row r="1559" spans="1:5" ht="15" x14ac:dyDescent="0.2">
      <c r="A1559" s="73">
        <v>42272</v>
      </c>
      <c r="B1559" s="70">
        <v>54.16</v>
      </c>
      <c r="C1559" s="85">
        <v>3170974</v>
      </c>
      <c r="D1559" s="88">
        <v>4.4148833622517758E-2</v>
      </c>
      <c r="E1559" s="87"/>
    </row>
    <row r="1560" spans="1:5" ht="15" x14ac:dyDescent="0.2">
      <c r="A1560" s="73">
        <v>42271</v>
      </c>
      <c r="B1560" s="70">
        <v>51.87</v>
      </c>
      <c r="C1560" s="85">
        <v>4420116</v>
      </c>
      <c r="D1560" s="88">
        <v>-2.6646650403452821E-2</v>
      </c>
      <c r="E1560" s="87"/>
    </row>
    <row r="1561" spans="1:5" ht="15" x14ac:dyDescent="0.2">
      <c r="A1561" s="73">
        <v>42270</v>
      </c>
      <c r="B1561" s="70">
        <v>53.29</v>
      </c>
      <c r="C1561" s="85">
        <v>1812314</v>
      </c>
      <c r="D1561" s="88">
        <v>3.5781544256119346E-3</v>
      </c>
      <c r="E1561" s="87"/>
    </row>
    <row r="1562" spans="1:5" ht="15" x14ac:dyDescent="0.2">
      <c r="A1562" s="73">
        <v>42269</v>
      </c>
      <c r="B1562" s="70">
        <v>53.1</v>
      </c>
      <c r="C1562" s="85">
        <v>2930157</v>
      </c>
      <c r="D1562" s="88">
        <v>-3.4545454545454546E-2</v>
      </c>
      <c r="E1562" s="87"/>
    </row>
    <row r="1563" spans="1:5" ht="15" x14ac:dyDescent="0.2">
      <c r="A1563" s="73">
        <v>42268</v>
      </c>
      <c r="B1563" s="70">
        <v>55</v>
      </c>
      <c r="C1563" s="85">
        <v>2158121</v>
      </c>
      <c r="D1563" s="88">
        <v>1.065784638000733E-2</v>
      </c>
      <c r="E1563" s="87"/>
    </row>
    <row r="1564" spans="1:5" ht="15" x14ac:dyDescent="0.2">
      <c r="A1564" s="73">
        <v>42265</v>
      </c>
      <c r="B1564" s="70">
        <v>54.42</v>
      </c>
      <c r="C1564" s="85">
        <v>5417232</v>
      </c>
      <c r="D1564" s="88">
        <v>-3.3735795454545414E-2</v>
      </c>
      <c r="E1564" s="87"/>
    </row>
    <row r="1565" spans="1:5" ht="15" x14ac:dyDescent="0.2">
      <c r="A1565" s="73">
        <v>42264</v>
      </c>
      <c r="B1565" s="70">
        <v>56.32</v>
      </c>
      <c r="C1565" s="85">
        <v>1837043</v>
      </c>
      <c r="D1565" s="88">
        <v>1.131262345124795E-2</v>
      </c>
      <c r="E1565" s="87"/>
    </row>
    <row r="1566" spans="1:5" ht="15" x14ac:dyDescent="0.2">
      <c r="A1566" s="73">
        <v>42263</v>
      </c>
      <c r="B1566" s="70">
        <v>55.69</v>
      </c>
      <c r="C1566" s="85">
        <v>1949821</v>
      </c>
      <c r="D1566" s="88">
        <v>1.1442063203777719E-2</v>
      </c>
      <c r="E1566" s="87"/>
    </row>
    <row r="1567" spans="1:5" ht="15" x14ac:dyDescent="0.2">
      <c r="A1567" s="73">
        <v>42262</v>
      </c>
      <c r="B1567" s="70">
        <v>55.06</v>
      </c>
      <c r="C1567" s="85">
        <v>2096065</v>
      </c>
      <c r="D1567" s="88">
        <v>1.0089891762979253E-2</v>
      </c>
      <c r="E1567" s="87"/>
    </row>
    <row r="1568" spans="1:5" ht="15" x14ac:dyDescent="0.2">
      <c r="A1568" s="73">
        <v>42261</v>
      </c>
      <c r="B1568" s="70">
        <v>54.51</v>
      </c>
      <c r="C1568" s="85">
        <v>2651764</v>
      </c>
      <c r="D1568" s="88">
        <v>-1.9075040489472728E-2</v>
      </c>
      <c r="E1568" s="87"/>
    </row>
    <row r="1569" spans="1:5" ht="15" x14ac:dyDescent="0.2">
      <c r="A1569" s="73">
        <v>42258</v>
      </c>
      <c r="B1569" s="70">
        <v>55.57</v>
      </c>
      <c r="C1569" s="85">
        <v>2392723</v>
      </c>
      <c r="D1569" s="88">
        <v>-1.6460176991150433E-2</v>
      </c>
      <c r="E1569" s="87"/>
    </row>
    <row r="1570" spans="1:5" ht="15" x14ac:dyDescent="0.2">
      <c r="A1570" s="73">
        <v>42257</v>
      </c>
      <c r="B1570" s="70">
        <v>56.5</v>
      </c>
      <c r="C1570" s="85">
        <v>2119119</v>
      </c>
      <c r="D1570" s="88">
        <v>-1.4305652477320296E-2</v>
      </c>
      <c r="E1570" s="87"/>
    </row>
    <row r="1571" spans="1:5" ht="15" x14ac:dyDescent="0.2">
      <c r="A1571" s="73">
        <v>42256</v>
      </c>
      <c r="B1571" s="70">
        <v>57.32</v>
      </c>
      <c r="C1571" s="85">
        <v>2235448</v>
      </c>
      <c r="D1571" s="88">
        <v>2.5585972445875793E-2</v>
      </c>
      <c r="E1571" s="87"/>
    </row>
    <row r="1572" spans="1:5" ht="15" x14ac:dyDescent="0.2">
      <c r="A1572" s="73">
        <v>42255</v>
      </c>
      <c r="B1572" s="70">
        <v>55.89</v>
      </c>
      <c r="C1572" s="85">
        <v>1700051</v>
      </c>
      <c r="D1572" s="88">
        <v>1.0121091632026014E-2</v>
      </c>
      <c r="E1572" s="87"/>
    </row>
    <row r="1573" spans="1:5" ht="15" x14ac:dyDescent="0.2">
      <c r="A1573" s="73">
        <v>42254</v>
      </c>
      <c r="B1573" s="70">
        <v>55.33</v>
      </c>
      <c r="C1573" s="85">
        <v>1575189</v>
      </c>
      <c r="D1573" s="88">
        <v>1.8076644974684974E-4</v>
      </c>
      <c r="E1573" s="87"/>
    </row>
    <row r="1574" spans="1:5" ht="15" x14ac:dyDescent="0.2">
      <c r="A1574" s="73">
        <v>42251</v>
      </c>
      <c r="B1574" s="70">
        <v>55.32</v>
      </c>
      <c r="C1574" s="85">
        <v>3001644</v>
      </c>
      <c r="D1574" s="88">
        <v>-3.6908077994428967E-2</v>
      </c>
      <c r="E1574" s="87"/>
    </row>
    <row r="1575" spans="1:5" ht="15" x14ac:dyDescent="0.2">
      <c r="A1575" s="73">
        <v>42250</v>
      </c>
      <c r="B1575" s="70">
        <v>57.44</v>
      </c>
      <c r="C1575" s="85">
        <v>3139748</v>
      </c>
      <c r="D1575" s="88">
        <v>3.0129124820659881E-2</v>
      </c>
      <c r="E1575" s="87"/>
    </row>
    <row r="1576" spans="1:5" ht="15" x14ac:dyDescent="0.2">
      <c r="A1576" s="73">
        <v>42249</v>
      </c>
      <c r="B1576" s="70">
        <v>55.76</v>
      </c>
      <c r="C1576" s="85">
        <v>2587116</v>
      </c>
      <c r="D1576" s="88">
        <v>-1.3271987258892226E-2</v>
      </c>
      <c r="E1576" s="87"/>
    </row>
    <row r="1577" spans="1:5" ht="15" x14ac:dyDescent="0.2">
      <c r="A1577" s="73">
        <v>42248</v>
      </c>
      <c r="B1577" s="70">
        <v>56.51</v>
      </c>
      <c r="C1577" s="85">
        <v>3606211</v>
      </c>
      <c r="D1577" s="88">
        <v>-2.7199173695989121E-2</v>
      </c>
      <c r="E1577" s="87"/>
    </row>
    <row r="1578" spans="1:5" ht="15" x14ac:dyDescent="0.2">
      <c r="A1578" s="73">
        <v>42247</v>
      </c>
      <c r="B1578" s="70">
        <v>58.09</v>
      </c>
      <c r="C1578" s="85">
        <v>1592516</v>
      </c>
      <c r="D1578" s="88">
        <v>-3.2601235415236074E-3</v>
      </c>
      <c r="E1578" s="87"/>
    </row>
    <row r="1579" spans="1:5" ht="15" x14ac:dyDescent="0.2">
      <c r="A1579" s="73">
        <v>42244</v>
      </c>
      <c r="B1579" s="70">
        <v>58.28</v>
      </c>
      <c r="C1579" s="85">
        <v>2594392</v>
      </c>
      <c r="D1579" s="88">
        <v>6.3892246589536406E-3</v>
      </c>
      <c r="E1579" s="87"/>
    </row>
    <row r="1580" spans="1:5" ht="15" x14ac:dyDescent="0.2">
      <c r="A1580" s="73">
        <v>42243</v>
      </c>
      <c r="B1580" s="70">
        <v>57.91</v>
      </c>
      <c r="C1580" s="85">
        <v>3522336</v>
      </c>
      <c r="D1580" s="88">
        <v>3.5586552217453438E-2</v>
      </c>
      <c r="E1580" s="87"/>
    </row>
    <row r="1581" spans="1:5" ht="15" x14ac:dyDescent="0.2">
      <c r="A1581" s="73">
        <v>42242</v>
      </c>
      <c r="B1581" s="70">
        <v>55.92</v>
      </c>
      <c r="C1581" s="85">
        <v>4134979</v>
      </c>
      <c r="D1581" s="88">
        <v>-4.982206405694023E-3</v>
      </c>
      <c r="E1581" s="87"/>
    </row>
    <row r="1582" spans="1:5" ht="15" x14ac:dyDescent="0.2">
      <c r="A1582" s="73">
        <v>42241</v>
      </c>
      <c r="B1582" s="70">
        <v>56.2</v>
      </c>
      <c r="C1582" s="85">
        <v>6225807</v>
      </c>
      <c r="D1582" s="88">
        <v>2.7422303473491727E-2</v>
      </c>
      <c r="E1582" s="87"/>
    </row>
    <row r="1583" spans="1:5" ht="15" x14ac:dyDescent="0.2">
      <c r="A1583" s="73">
        <v>42240</v>
      </c>
      <c r="B1583" s="70">
        <v>54.7</v>
      </c>
      <c r="C1583" s="85">
        <v>9049547</v>
      </c>
      <c r="D1583" s="88">
        <v>-4.6872277400243911E-2</v>
      </c>
      <c r="E1583" s="87"/>
    </row>
    <row r="1584" spans="1:5" ht="15" x14ac:dyDescent="0.2">
      <c r="A1584" s="73">
        <v>42237</v>
      </c>
      <c r="B1584" s="70">
        <v>57.39</v>
      </c>
      <c r="C1584" s="85">
        <v>4347632</v>
      </c>
      <c r="D1584" s="88">
        <v>-4.5091514143094868E-2</v>
      </c>
      <c r="E1584" s="87"/>
    </row>
    <row r="1585" spans="1:5" ht="15" x14ac:dyDescent="0.2">
      <c r="A1585" s="73">
        <v>42236</v>
      </c>
      <c r="B1585" s="70">
        <v>60.1</v>
      </c>
      <c r="C1585" s="85">
        <v>3119727</v>
      </c>
      <c r="D1585" s="88">
        <v>-2.8451341739411551E-2</v>
      </c>
      <c r="E1585" s="87"/>
    </row>
    <row r="1586" spans="1:5" ht="15" x14ac:dyDescent="0.2">
      <c r="A1586" s="73">
        <v>42235</v>
      </c>
      <c r="B1586" s="70">
        <v>61.86</v>
      </c>
      <c r="C1586" s="85">
        <v>1750478</v>
      </c>
      <c r="D1586" s="88">
        <v>-1.7471410419313882E-2</v>
      </c>
      <c r="E1586" s="87"/>
    </row>
    <row r="1587" spans="1:5" ht="15" x14ac:dyDescent="0.2">
      <c r="A1587" s="73">
        <v>42234</v>
      </c>
      <c r="B1587" s="70">
        <v>62.96</v>
      </c>
      <c r="C1587" s="85">
        <v>1750900</v>
      </c>
      <c r="D1587" s="88">
        <v>-7.935248373273085E-4</v>
      </c>
      <c r="E1587" s="87"/>
    </row>
    <row r="1588" spans="1:5" ht="15" x14ac:dyDescent="0.2">
      <c r="A1588" s="73">
        <v>42233</v>
      </c>
      <c r="B1588" s="70">
        <v>63.01</v>
      </c>
      <c r="C1588" s="85">
        <v>1806220</v>
      </c>
      <c r="D1588" s="88">
        <v>9.7756410256411019E-3</v>
      </c>
      <c r="E1588" s="87"/>
    </row>
    <row r="1589" spans="1:5" ht="15" x14ac:dyDescent="0.2">
      <c r="A1589" s="73">
        <v>42230</v>
      </c>
      <c r="B1589" s="70">
        <v>62.4</v>
      </c>
      <c r="C1589" s="85">
        <v>2330199</v>
      </c>
      <c r="D1589" s="88">
        <v>-8.0064051241002243E-4</v>
      </c>
      <c r="E1589" s="87"/>
    </row>
    <row r="1590" spans="1:5" ht="15" x14ac:dyDescent="0.2">
      <c r="A1590" s="73">
        <v>42229</v>
      </c>
      <c r="B1590" s="70">
        <v>62.45</v>
      </c>
      <c r="C1590" s="85">
        <v>2369607</v>
      </c>
      <c r="D1590" s="88">
        <v>2.4610336341263306E-2</v>
      </c>
      <c r="E1590" s="87"/>
    </row>
    <row r="1591" spans="1:5" ht="15" x14ac:dyDescent="0.2">
      <c r="A1591" s="73">
        <v>42228</v>
      </c>
      <c r="B1591" s="70">
        <v>60.95</v>
      </c>
      <c r="C1591" s="85">
        <v>4916535</v>
      </c>
      <c r="D1591" s="88">
        <v>-5.1804604853764702E-2</v>
      </c>
      <c r="E1591" s="87"/>
    </row>
    <row r="1592" spans="1:5" ht="15" x14ac:dyDescent="0.2">
      <c r="A1592" s="73">
        <v>42227</v>
      </c>
      <c r="B1592" s="70">
        <v>64.28</v>
      </c>
      <c r="C1592" s="85">
        <v>2686036</v>
      </c>
      <c r="D1592" s="88">
        <v>-2.7975200362921449E-2</v>
      </c>
      <c r="E1592" s="87"/>
    </row>
    <row r="1593" spans="1:5" ht="15" x14ac:dyDescent="0.2">
      <c r="A1593" s="73">
        <v>42226</v>
      </c>
      <c r="B1593" s="70">
        <v>66.13</v>
      </c>
      <c r="C1593" s="85">
        <v>2096107</v>
      </c>
      <c r="D1593" s="88">
        <v>-5.5639097744361043E-3</v>
      </c>
      <c r="E1593" s="87"/>
    </row>
    <row r="1594" spans="1:5" ht="15" x14ac:dyDescent="0.2">
      <c r="A1594" s="73">
        <v>42223</v>
      </c>
      <c r="B1594" s="70">
        <v>66.5</v>
      </c>
      <c r="C1594" s="85">
        <v>1474812</v>
      </c>
      <c r="D1594" s="88">
        <v>-1.012206013694561E-2</v>
      </c>
      <c r="E1594" s="87"/>
    </row>
    <row r="1595" spans="1:5" ht="15" x14ac:dyDescent="0.2">
      <c r="A1595" s="73">
        <v>42222</v>
      </c>
      <c r="B1595" s="70">
        <v>67.180000000000007</v>
      </c>
      <c r="C1595" s="85">
        <v>1771972</v>
      </c>
      <c r="D1595" s="88">
        <v>6.7435935860933327E-3</v>
      </c>
      <c r="E1595" s="87"/>
    </row>
    <row r="1596" spans="1:5" ht="15" x14ac:dyDescent="0.2">
      <c r="A1596" s="73">
        <v>42221</v>
      </c>
      <c r="B1596" s="70">
        <v>66.73</v>
      </c>
      <c r="C1596" s="85">
        <v>2236967</v>
      </c>
      <c r="D1596" s="88">
        <v>2.8355678841115894E-2</v>
      </c>
      <c r="E1596" s="87"/>
    </row>
    <row r="1597" spans="1:5" ht="15" x14ac:dyDescent="0.2">
      <c r="A1597" s="73">
        <v>42220</v>
      </c>
      <c r="B1597" s="70">
        <v>64.89</v>
      </c>
      <c r="C1597" s="85">
        <v>1579576</v>
      </c>
      <c r="D1597" s="88">
        <v>-1.2779552715655007E-2</v>
      </c>
      <c r="E1597" s="87"/>
    </row>
    <row r="1598" spans="1:5" ht="15" x14ac:dyDescent="0.2">
      <c r="A1598" s="73">
        <v>42219</v>
      </c>
      <c r="B1598" s="70">
        <v>65.73</v>
      </c>
      <c r="C1598" s="85">
        <v>1744636</v>
      </c>
      <c r="D1598" s="88">
        <v>1.7492260061919618E-2</v>
      </c>
      <c r="E1598" s="87"/>
    </row>
    <row r="1599" spans="1:5" ht="15" x14ac:dyDescent="0.2">
      <c r="A1599" s="73">
        <v>42216</v>
      </c>
      <c r="B1599" s="70">
        <v>64.599999999999994</v>
      </c>
      <c r="C1599" s="85">
        <v>4138690</v>
      </c>
      <c r="D1599" s="88">
        <v>3.5090530363723671E-2</v>
      </c>
      <c r="E1599" s="87"/>
    </row>
    <row r="1600" spans="1:5" ht="15" x14ac:dyDescent="0.2">
      <c r="A1600" s="73">
        <v>42215</v>
      </c>
      <c r="B1600" s="70">
        <v>62.41</v>
      </c>
      <c r="C1600" s="85">
        <v>2340130</v>
      </c>
      <c r="D1600" s="88">
        <v>4.6683837733418887E-3</v>
      </c>
      <c r="E1600" s="87"/>
    </row>
    <row r="1601" spans="1:5" ht="15" x14ac:dyDescent="0.2">
      <c r="A1601" s="73">
        <v>42214</v>
      </c>
      <c r="B1601" s="70">
        <v>62.12</v>
      </c>
      <c r="C1601" s="85">
        <v>1849188</v>
      </c>
      <c r="D1601" s="88">
        <v>1.4535358484403016E-2</v>
      </c>
      <c r="E1601" s="87"/>
    </row>
    <row r="1602" spans="1:5" ht="15" x14ac:dyDescent="0.2">
      <c r="A1602" s="73">
        <v>42213</v>
      </c>
      <c r="B1602" s="70">
        <v>61.23</v>
      </c>
      <c r="C1602" s="85">
        <v>1911258</v>
      </c>
      <c r="D1602" s="88">
        <v>1.5422885572139222E-2</v>
      </c>
      <c r="E1602" s="87"/>
    </row>
    <row r="1603" spans="1:5" ht="15" x14ac:dyDescent="0.2">
      <c r="A1603" s="73">
        <v>42212</v>
      </c>
      <c r="B1603" s="70">
        <v>60.3</v>
      </c>
      <c r="C1603" s="85">
        <v>2975792</v>
      </c>
      <c r="D1603" s="88">
        <v>-4.3767840152236004E-2</v>
      </c>
      <c r="E1603" s="87"/>
    </row>
    <row r="1604" spans="1:5" ht="15" x14ac:dyDescent="0.2">
      <c r="A1604" s="73">
        <v>42209</v>
      </c>
      <c r="B1604" s="70">
        <v>63.06</v>
      </c>
      <c r="C1604" s="85">
        <v>1530116</v>
      </c>
      <c r="D1604" s="88">
        <v>3.1725888324873885E-4</v>
      </c>
      <c r="E1604" s="87"/>
    </row>
    <row r="1605" spans="1:5" ht="15" x14ac:dyDescent="0.2">
      <c r="A1605" s="73">
        <v>42208</v>
      </c>
      <c r="B1605" s="70">
        <v>63.04</v>
      </c>
      <c r="C1605" s="85">
        <v>1619670</v>
      </c>
      <c r="D1605" s="88">
        <v>-5.050505050505083E-3</v>
      </c>
      <c r="E1605" s="87"/>
    </row>
    <row r="1606" spans="1:5" ht="15" x14ac:dyDescent="0.2">
      <c r="A1606" s="73">
        <v>42207</v>
      </c>
      <c r="B1606" s="70">
        <v>63.36</v>
      </c>
      <c r="C1606" s="85">
        <v>1809474</v>
      </c>
      <c r="D1606" s="88">
        <v>-1.1235955056179803E-2</v>
      </c>
      <c r="E1606" s="87"/>
    </row>
    <row r="1607" spans="1:5" ht="15" x14ac:dyDescent="0.2">
      <c r="A1607" s="73">
        <v>42206</v>
      </c>
      <c r="B1607" s="70">
        <v>64.08</v>
      </c>
      <c r="C1607" s="85">
        <v>1658317</v>
      </c>
      <c r="D1607" s="88">
        <v>-1.0194624652455908E-2</v>
      </c>
      <c r="E1607" s="87"/>
    </row>
    <row r="1608" spans="1:5" ht="15" x14ac:dyDescent="0.2">
      <c r="A1608" s="73">
        <v>42205</v>
      </c>
      <c r="B1608" s="70">
        <v>64.739999999999995</v>
      </c>
      <c r="C1608" s="85">
        <v>1917334</v>
      </c>
      <c r="D1608" s="88">
        <v>1.3921113689092657E-3</v>
      </c>
      <c r="E1608" s="87"/>
    </row>
    <row r="1609" spans="1:5" ht="15" x14ac:dyDescent="0.2">
      <c r="A1609" s="73">
        <v>42202</v>
      </c>
      <c r="B1609" s="70">
        <v>64.650000000000006</v>
      </c>
      <c r="C1609" s="85">
        <v>2014852</v>
      </c>
      <c r="D1609" s="88">
        <v>-7.2174447174446765E-3</v>
      </c>
      <c r="E1609" s="87"/>
    </row>
    <row r="1610" spans="1:5" ht="15" x14ac:dyDescent="0.2">
      <c r="A1610" s="73">
        <v>42201</v>
      </c>
      <c r="B1610" s="70">
        <v>65.12</v>
      </c>
      <c r="C1610" s="85">
        <v>2346903</v>
      </c>
      <c r="D1610" s="88">
        <v>2.2452504317789446E-2</v>
      </c>
      <c r="E1610" s="87"/>
    </row>
    <row r="1611" spans="1:5" ht="15" x14ac:dyDescent="0.2">
      <c r="A1611" s="73">
        <v>42200</v>
      </c>
      <c r="B1611" s="70">
        <v>63.69</v>
      </c>
      <c r="C1611" s="85">
        <v>1635750</v>
      </c>
      <c r="D1611" s="88">
        <v>1.288167938931295E-2</v>
      </c>
      <c r="E1611" s="87"/>
    </row>
    <row r="1612" spans="1:5" ht="15" x14ac:dyDescent="0.2">
      <c r="A1612" s="73">
        <v>42199</v>
      </c>
      <c r="B1612" s="70">
        <v>62.88</v>
      </c>
      <c r="C1612" s="85">
        <v>1276987</v>
      </c>
      <c r="D1612" s="88">
        <v>9.633911368015502E-3</v>
      </c>
      <c r="E1612" s="87"/>
    </row>
    <row r="1613" spans="1:5" ht="15" x14ac:dyDescent="0.2">
      <c r="A1613" s="73">
        <v>42198</v>
      </c>
      <c r="B1613" s="70">
        <v>62.28</v>
      </c>
      <c r="C1613" s="85">
        <v>2620930</v>
      </c>
      <c r="D1613" s="88">
        <v>3.1125827814569629E-2</v>
      </c>
      <c r="E1613" s="87"/>
    </row>
    <row r="1614" spans="1:5" ht="15" x14ac:dyDescent="0.2">
      <c r="A1614" s="73">
        <v>42195</v>
      </c>
      <c r="B1614" s="70">
        <v>60.4</v>
      </c>
      <c r="C1614" s="85">
        <v>2763636</v>
      </c>
      <c r="D1614" s="88">
        <v>3.0716723549488067E-2</v>
      </c>
      <c r="E1614" s="87"/>
    </row>
    <row r="1615" spans="1:5" ht="15" x14ac:dyDescent="0.2">
      <c r="A1615" s="73">
        <v>42194</v>
      </c>
      <c r="B1615" s="70">
        <v>58.6</v>
      </c>
      <c r="C1615" s="85">
        <v>2179406</v>
      </c>
      <c r="D1615" s="88">
        <v>2.5192442267319981E-2</v>
      </c>
      <c r="E1615" s="87"/>
    </row>
    <row r="1616" spans="1:5" ht="15" x14ac:dyDescent="0.2">
      <c r="A1616" s="73">
        <v>42193</v>
      </c>
      <c r="B1616" s="70">
        <v>57.16</v>
      </c>
      <c r="C1616" s="85">
        <v>2889838</v>
      </c>
      <c r="D1616" s="88">
        <v>9.5372659837513751E-3</v>
      </c>
      <c r="E1616" s="87"/>
    </row>
    <row r="1617" spans="1:5" ht="15" x14ac:dyDescent="0.2">
      <c r="A1617" s="73">
        <v>42192</v>
      </c>
      <c r="B1617" s="70">
        <v>56.62</v>
      </c>
      <c r="C1617" s="85">
        <v>3404999</v>
      </c>
      <c r="D1617" s="88">
        <v>-3.0147310722850373E-2</v>
      </c>
      <c r="E1617" s="87"/>
    </row>
    <row r="1618" spans="1:5" ht="15" x14ac:dyDescent="0.2">
      <c r="A1618" s="73">
        <v>42191</v>
      </c>
      <c r="B1618" s="70">
        <v>58.38</v>
      </c>
      <c r="C1618" s="85">
        <v>2979146</v>
      </c>
      <c r="D1618" s="88">
        <v>-1.4017902381354475E-2</v>
      </c>
      <c r="E1618" s="87"/>
    </row>
    <row r="1619" spans="1:5" ht="15" x14ac:dyDescent="0.2">
      <c r="A1619" s="73">
        <v>42188</v>
      </c>
      <c r="B1619" s="70">
        <v>59.21</v>
      </c>
      <c r="C1619" s="85">
        <v>2062176</v>
      </c>
      <c r="D1619" s="88">
        <v>-5.2083333333333703E-3</v>
      </c>
      <c r="E1619" s="87"/>
    </row>
    <row r="1620" spans="1:5" ht="15" x14ac:dyDescent="0.2">
      <c r="A1620" s="73">
        <v>42187</v>
      </c>
      <c r="B1620" s="70">
        <v>59.52</v>
      </c>
      <c r="C1620" s="85">
        <v>1903264</v>
      </c>
      <c r="D1620" s="88">
        <v>-1.4079840980619429E-2</v>
      </c>
      <c r="E1620" s="87"/>
    </row>
    <row r="1621" spans="1:5" ht="15" x14ac:dyDescent="0.2">
      <c r="A1621" s="73">
        <v>42186</v>
      </c>
      <c r="B1621" s="70">
        <v>60.37</v>
      </c>
      <c r="C1621" s="85">
        <v>4189932</v>
      </c>
      <c r="D1621" s="88">
        <v>3.7285223367697462E-2</v>
      </c>
      <c r="E1621" s="87"/>
    </row>
    <row r="1622" spans="1:5" ht="15" x14ac:dyDescent="0.2">
      <c r="A1622" s="73">
        <v>42185</v>
      </c>
      <c r="B1622" s="70">
        <v>58.2</v>
      </c>
      <c r="C1622" s="85">
        <v>3960975</v>
      </c>
      <c r="D1622" s="88">
        <v>-1.8549747048903775E-2</v>
      </c>
      <c r="E1622" s="87"/>
    </row>
    <row r="1623" spans="1:5" ht="15" x14ac:dyDescent="0.2">
      <c r="A1623" s="73">
        <v>42184</v>
      </c>
      <c r="B1623" s="70">
        <v>59.3</v>
      </c>
      <c r="C1623" s="85">
        <v>3818093</v>
      </c>
      <c r="D1623" s="88">
        <v>-3.5929117216712769E-2</v>
      </c>
      <c r="E1623" s="87"/>
    </row>
    <row r="1624" spans="1:5" ht="15" x14ac:dyDescent="0.2">
      <c r="A1624" s="73">
        <v>42181</v>
      </c>
      <c r="B1624" s="70">
        <v>61.51</v>
      </c>
      <c r="C1624" s="85">
        <v>2427603</v>
      </c>
      <c r="D1624" s="88">
        <v>-5.1754811580139171E-3</v>
      </c>
      <c r="E1624" s="87"/>
    </row>
    <row r="1625" spans="1:5" ht="15" x14ac:dyDescent="0.2">
      <c r="A1625" s="73">
        <v>42180</v>
      </c>
      <c r="B1625" s="70">
        <v>61.83</v>
      </c>
      <c r="C1625" s="85">
        <v>3518802</v>
      </c>
      <c r="D1625" s="88">
        <v>2.2694115739989584E-3</v>
      </c>
      <c r="E1625" s="87"/>
    </row>
    <row r="1626" spans="1:5" ht="15" x14ac:dyDescent="0.2">
      <c r="A1626" s="73">
        <v>42179</v>
      </c>
      <c r="B1626" s="70">
        <v>61.69</v>
      </c>
      <c r="C1626" s="85">
        <v>2810227</v>
      </c>
      <c r="D1626" s="88">
        <v>-4.8394902403614548E-3</v>
      </c>
      <c r="E1626" s="87"/>
    </row>
    <row r="1627" spans="1:5" ht="15" x14ac:dyDescent="0.2">
      <c r="A1627" s="73">
        <v>42178</v>
      </c>
      <c r="B1627" s="70">
        <v>61.99</v>
      </c>
      <c r="C1627" s="85">
        <v>2608448</v>
      </c>
      <c r="D1627" s="88">
        <v>2.226253298153047E-2</v>
      </c>
      <c r="E1627" s="87"/>
    </row>
    <row r="1628" spans="1:5" ht="15" x14ac:dyDescent="0.2">
      <c r="A1628" s="73">
        <v>42177</v>
      </c>
      <c r="B1628" s="70">
        <v>60.64</v>
      </c>
      <c r="C1628" s="85">
        <v>3793439</v>
      </c>
      <c r="D1628" s="88">
        <v>2.8842891075670174E-2</v>
      </c>
      <c r="E1628" s="87"/>
    </row>
    <row r="1629" spans="1:5" ht="15" x14ac:dyDescent="0.2">
      <c r="A1629" s="73">
        <v>42174</v>
      </c>
      <c r="B1629" s="70">
        <v>58.94</v>
      </c>
      <c r="C1629" s="85">
        <v>4783481</v>
      </c>
      <c r="D1629" s="88">
        <v>2.1667533368001424E-2</v>
      </c>
      <c r="E1629" s="87"/>
    </row>
    <row r="1630" spans="1:5" ht="15" x14ac:dyDescent="0.2">
      <c r="A1630" s="73">
        <v>42173</v>
      </c>
      <c r="B1630" s="70">
        <v>57.69</v>
      </c>
      <c r="C1630" s="85">
        <v>4128000</v>
      </c>
      <c r="D1630" s="88">
        <v>-4.6583850931677384E-3</v>
      </c>
      <c r="E1630" s="87"/>
    </row>
    <row r="1631" spans="1:5" ht="15" x14ac:dyDescent="0.2">
      <c r="A1631" s="73">
        <v>42172</v>
      </c>
      <c r="B1631" s="70">
        <v>57.96</v>
      </c>
      <c r="C1631" s="85">
        <v>2585767</v>
      </c>
      <c r="D1631" s="88">
        <v>-2.3749368367862456E-2</v>
      </c>
      <c r="E1631" s="87"/>
    </row>
    <row r="1632" spans="1:5" ht="15" x14ac:dyDescent="0.2">
      <c r="A1632" s="73">
        <v>42171</v>
      </c>
      <c r="B1632" s="70">
        <v>59.37</v>
      </c>
      <c r="C1632" s="85">
        <v>3418757</v>
      </c>
      <c r="D1632" s="88">
        <v>1.3493000505986341E-3</v>
      </c>
      <c r="E1632" s="87"/>
    </row>
    <row r="1633" spans="1:5" ht="15" x14ac:dyDescent="0.2">
      <c r="A1633" s="73">
        <v>42170</v>
      </c>
      <c r="B1633" s="70">
        <v>59.29</v>
      </c>
      <c r="C1633" s="85">
        <v>2739965</v>
      </c>
      <c r="D1633" s="88">
        <v>-1.9027134348113761E-2</v>
      </c>
      <c r="E1633" s="87"/>
    </row>
    <row r="1634" spans="1:5" ht="15" x14ac:dyDescent="0.2">
      <c r="A1634" s="73">
        <v>42167</v>
      </c>
      <c r="B1634" s="70">
        <v>60.44</v>
      </c>
      <c r="C1634" s="85">
        <v>2785727</v>
      </c>
      <c r="D1634" s="88">
        <v>-1.6436126932465545E-2</v>
      </c>
      <c r="E1634" s="87"/>
    </row>
    <row r="1635" spans="1:5" ht="15" x14ac:dyDescent="0.2">
      <c r="A1635" s="73">
        <v>42166</v>
      </c>
      <c r="B1635" s="70">
        <v>61.45</v>
      </c>
      <c r="C1635" s="85">
        <v>2729206</v>
      </c>
      <c r="D1635" s="88">
        <v>1.5199074838922799E-2</v>
      </c>
      <c r="E1635" s="87"/>
    </row>
    <row r="1636" spans="1:5" ht="15" x14ac:dyDescent="0.2">
      <c r="A1636" s="73">
        <v>42165</v>
      </c>
      <c r="B1636" s="70">
        <v>60.53</v>
      </c>
      <c r="C1636" s="85">
        <v>2397338</v>
      </c>
      <c r="D1636" s="88">
        <v>2.6802374893977854E-2</v>
      </c>
      <c r="E1636" s="87"/>
    </row>
    <row r="1637" spans="1:5" ht="15" x14ac:dyDescent="0.2">
      <c r="A1637" s="73">
        <v>42164</v>
      </c>
      <c r="B1637" s="70">
        <v>58.95</v>
      </c>
      <c r="C1637" s="85">
        <v>2884534</v>
      </c>
      <c r="D1637" s="88">
        <v>-3.3812341504648735E-3</v>
      </c>
      <c r="E1637" s="87"/>
    </row>
    <row r="1638" spans="1:5" ht="15" x14ac:dyDescent="0.2">
      <c r="A1638" s="73">
        <v>42163</v>
      </c>
      <c r="B1638" s="70">
        <v>59.15</v>
      </c>
      <c r="C1638" s="85">
        <v>2012815</v>
      </c>
      <c r="D1638" s="88">
        <v>-8.5484411666107984E-3</v>
      </c>
      <c r="E1638" s="87"/>
    </row>
    <row r="1639" spans="1:5" ht="15" x14ac:dyDescent="0.2">
      <c r="A1639" s="73">
        <v>42160</v>
      </c>
      <c r="B1639" s="70">
        <v>59.66</v>
      </c>
      <c r="C1639" s="85">
        <v>3033031</v>
      </c>
      <c r="D1639" s="88">
        <v>-1.8265591574790352E-2</v>
      </c>
      <c r="E1639" s="87"/>
    </row>
    <row r="1640" spans="1:5" ht="15" x14ac:dyDescent="0.2">
      <c r="A1640" s="73">
        <v>42159</v>
      </c>
      <c r="B1640" s="70">
        <v>60.77</v>
      </c>
      <c r="C1640" s="85">
        <v>2650730</v>
      </c>
      <c r="D1640" s="88">
        <v>-1.0743936187530445E-2</v>
      </c>
      <c r="E1640" s="87"/>
    </row>
    <row r="1641" spans="1:5" ht="15" x14ac:dyDescent="0.2">
      <c r="A1641" s="73">
        <v>42158</v>
      </c>
      <c r="B1641" s="70">
        <v>61.43</v>
      </c>
      <c r="C1641" s="85">
        <v>2468752</v>
      </c>
      <c r="D1641" s="88">
        <v>-1.3006015282067684E-3</v>
      </c>
      <c r="E1641" s="87"/>
    </row>
    <row r="1642" spans="1:5" ht="15" x14ac:dyDescent="0.2">
      <c r="A1642" s="73">
        <v>42157</v>
      </c>
      <c r="B1642" s="70">
        <v>61.51</v>
      </c>
      <c r="C1642" s="85">
        <v>2618030</v>
      </c>
      <c r="D1642" s="88">
        <v>-5.014558395341373E-3</v>
      </c>
      <c r="E1642" s="87"/>
    </row>
    <row r="1643" spans="1:5" ht="15" x14ac:dyDescent="0.2">
      <c r="A1643" s="73">
        <v>42156</v>
      </c>
      <c r="B1643" s="70">
        <v>61.82</v>
      </c>
      <c r="C1643" s="85">
        <v>2572274</v>
      </c>
      <c r="D1643" s="88">
        <v>-2.903225806451637E-3</v>
      </c>
      <c r="E1643" s="87"/>
    </row>
    <row r="1644" spans="1:5" ht="15" x14ac:dyDescent="0.2">
      <c r="A1644" s="73">
        <v>42153</v>
      </c>
      <c r="B1644" s="70">
        <v>62</v>
      </c>
      <c r="C1644" s="85">
        <v>3487927</v>
      </c>
      <c r="D1644" s="88">
        <v>-4.0841584158415878E-2</v>
      </c>
      <c r="E1644" s="87"/>
    </row>
    <row r="1645" spans="1:5" ht="15" x14ac:dyDescent="0.2">
      <c r="A1645" s="73">
        <v>42152</v>
      </c>
      <c r="B1645" s="70">
        <v>64.64</v>
      </c>
      <c r="C1645" s="85">
        <v>1745158</v>
      </c>
      <c r="D1645" s="88">
        <v>-9.5004596996629553E-3</v>
      </c>
      <c r="E1645" s="87"/>
    </row>
    <row r="1646" spans="1:5" ht="15" x14ac:dyDescent="0.2">
      <c r="A1646" s="73">
        <v>42151</v>
      </c>
      <c r="B1646" s="70">
        <v>65.260000000000005</v>
      </c>
      <c r="C1646" s="85">
        <v>3451740</v>
      </c>
      <c r="D1646" s="88">
        <v>2.7878406048196691E-2</v>
      </c>
      <c r="E1646" s="87"/>
    </row>
    <row r="1647" spans="1:5" ht="15" x14ac:dyDescent="0.2">
      <c r="A1647" s="73">
        <v>42150</v>
      </c>
      <c r="B1647" s="70">
        <v>63.49</v>
      </c>
      <c r="C1647" s="85">
        <v>2885149</v>
      </c>
      <c r="D1647" s="88">
        <v>2.0517676767677351E-3</v>
      </c>
      <c r="E1647" s="87"/>
    </row>
    <row r="1648" spans="1:5" ht="15" x14ac:dyDescent="0.2">
      <c r="A1648" s="73">
        <v>42149</v>
      </c>
      <c r="B1648" s="70">
        <v>63.36</v>
      </c>
      <c r="C1648" s="85">
        <v>752324</v>
      </c>
      <c r="D1648" s="88">
        <v>-5.8057429781891434E-3</v>
      </c>
      <c r="E1648" s="87"/>
    </row>
    <row r="1649" spans="1:5" ht="15" x14ac:dyDescent="0.2">
      <c r="A1649" s="73">
        <v>42146</v>
      </c>
      <c r="B1649" s="70">
        <v>63.73</v>
      </c>
      <c r="C1649" s="85">
        <v>2184433</v>
      </c>
      <c r="D1649" s="88">
        <v>-3.2843290584922968E-3</v>
      </c>
      <c r="E1649" s="87"/>
    </row>
    <row r="1650" spans="1:5" ht="15" x14ac:dyDescent="0.2">
      <c r="A1650" s="73">
        <v>42145</v>
      </c>
      <c r="B1650" s="70">
        <v>63.94</v>
      </c>
      <c r="C1650" s="85">
        <v>1445504</v>
      </c>
      <c r="D1650" s="88">
        <v>9.4726870855699197E-3</v>
      </c>
      <c r="E1650" s="87"/>
    </row>
    <row r="1651" spans="1:5" ht="15" x14ac:dyDescent="0.2">
      <c r="A1651" s="73">
        <v>42144</v>
      </c>
      <c r="B1651" s="70">
        <v>63.34</v>
      </c>
      <c r="C1651" s="85">
        <v>1972699</v>
      </c>
      <c r="D1651" s="88">
        <v>8.4381467919121267E-3</v>
      </c>
      <c r="E1651" s="87"/>
    </row>
    <row r="1652" spans="1:5" ht="15" x14ac:dyDescent="0.2">
      <c r="A1652" s="73">
        <v>42143</v>
      </c>
      <c r="B1652" s="70">
        <v>62.81</v>
      </c>
      <c r="C1652" s="85">
        <v>3256897</v>
      </c>
      <c r="D1652" s="88">
        <v>2.1300813008130026E-2</v>
      </c>
      <c r="E1652" s="87"/>
    </row>
    <row r="1653" spans="1:5" ht="15" x14ac:dyDescent="0.2">
      <c r="A1653" s="73">
        <v>42142</v>
      </c>
      <c r="B1653" s="70">
        <v>61.5</v>
      </c>
      <c r="C1653" s="85">
        <v>2017404</v>
      </c>
      <c r="D1653" s="88">
        <v>1.0515938218862875E-2</v>
      </c>
      <c r="E1653" s="87"/>
    </row>
    <row r="1654" spans="1:5" ht="15" x14ac:dyDescent="0.2">
      <c r="A1654" s="73">
        <v>42139</v>
      </c>
      <c r="B1654" s="70">
        <v>60.86</v>
      </c>
      <c r="C1654" s="85">
        <v>3202079</v>
      </c>
      <c r="D1654" s="88">
        <v>-1.6428454082462185E-4</v>
      </c>
      <c r="E1654" s="87"/>
    </row>
    <row r="1655" spans="1:5" ht="15" x14ac:dyDescent="0.2">
      <c r="A1655" s="73">
        <v>42138</v>
      </c>
      <c r="B1655" s="70">
        <v>60.87</v>
      </c>
      <c r="C1655" s="85">
        <v>2359017</v>
      </c>
      <c r="D1655" s="88">
        <v>1.112956810631216E-2</v>
      </c>
      <c r="E1655" s="87"/>
    </row>
    <row r="1656" spans="1:5" ht="15" x14ac:dyDescent="0.2">
      <c r="A1656" s="73">
        <v>42137</v>
      </c>
      <c r="B1656" s="70">
        <v>60.2</v>
      </c>
      <c r="C1656" s="85">
        <v>2602835</v>
      </c>
      <c r="D1656" s="88">
        <v>-8.4005929830340831E-3</v>
      </c>
      <c r="E1656" s="87"/>
    </row>
    <row r="1657" spans="1:5" ht="15" x14ac:dyDescent="0.2">
      <c r="A1657" s="73">
        <v>42136</v>
      </c>
      <c r="B1657" s="70">
        <v>60.71</v>
      </c>
      <c r="C1657" s="85">
        <v>3248673</v>
      </c>
      <c r="D1657" s="88">
        <v>-2.2225801256240962E-2</v>
      </c>
      <c r="E1657" s="87"/>
    </row>
    <row r="1658" spans="1:5" ht="15" x14ac:dyDescent="0.2">
      <c r="A1658" s="73">
        <v>42135</v>
      </c>
      <c r="B1658" s="70">
        <v>62.09</v>
      </c>
      <c r="C1658" s="85">
        <v>3850548</v>
      </c>
      <c r="D1658" s="88">
        <v>-2.0662460567823282E-2</v>
      </c>
      <c r="E1658" s="87"/>
    </row>
    <row r="1659" spans="1:5" ht="15" x14ac:dyDescent="0.2">
      <c r="A1659" s="73">
        <v>42132</v>
      </c>
      <c r="B1659" s="70">
        <v>63.4</v>
      </c>
      <c r="C1659" s="85">
        <v>3394340</v>
      </c>
      <c r="D1659" s="88">
        <v>5.0364479787939009E-2</v>
      </c>
      <c r="E1659" s="87"/>
    </row>
    <row r="1660" spans="1:5" ht="15" x14ac:dyDescent="0.2">
      <c r="A1660" s="73">
        <v>42131</v>
      </c>
      <c r="B1660" s="70">
        <v>60.36</v>
      </c>
      <c r="C1660" s="85">
        <v>3092654</v>
      </c>
      <c r="D1660" s="88">
        <v>1.3271400132712774E-3</v>
      </c>
      <c r="E1660" s="87"/>
    </row>
    <row r="1661" spans="1:5" ht="15" x14ac:dyDescent="0.2">
      <c r="A1661" s="73">
        <v>42130</v>
      </c>
      <c r="B1661" s="70">
        <v>60.28</v>
      </c>
      <c r="C1661" s="85">
        <v>3512195</v>
      </c>
      <c r="D1661" s="88">
        <v>6.3439065108514825E-3</v>
      </c>
      <c r="E1661" s="87"/>
    </row>
    <row r="1662" spans="1:5" ht="15" x14ac:dyDescent="0.2">
      <c r="A1662" s="73">
        <v>42129</v>
      </c>
      <c r="B1662" s="70">
        <v>59.9</v>
      </c>
      <c r="C1662" s="85">
        <v>3343254</v>
      </c>
      <c r="D1662" s="88">
        <v>-2.759740259740262E-2</v>
      </c>
      <c r="E1662" s="87"/>
    </row>
    <row r="1663" spans="1:5" ht="15" x14ac:dyDescent="0.2">
      <c r="A1663" s="73">
        <v>42128</v>
      </c>
      <c r="B1663" s="70">
        <v>61.6</v>
      </c>
      <c r="C1663" s="85">
        <v>1979364</v>
      </c>
      <c r="D1663" s="88">
        <v>-6.4516129032258229E-3</v>
      </c>
      <c r="E1663" s="87"/>
    </row>
    <row r="1664" spans="1:5" ht="15" x14ac:dyDescent="0.2">
      <c r="A1664" s="73">
        <v>42124</v>
      </c>
      <c r="B1664" s="70">
        <v>62</v>
      </c>
      <c r="C1664" s="85">
        <v>4115032</v>
      </c>
      <c r="D1664" s="88">
        <v>2.3440079234070765E-2</v>
      </c>
      <c r="E1664" s="87"/>
    </row>
    <row r="1665" spans="1:5" ht="15" x14ac:dyDescent="0.2">
      <c r="A1665" s="73">
        <v>42123</v>
      </c>
      <c r="B1665" s="70">
        <v>60.58</v>
      </c>
      <c r="C1665" s="85">
        <v>3605381</v>
      </c>
      <c r="D1665" s="88">
        <v>-3.6883942766295696E-2</v>
      </c>
      <c r="E1665" s="87"/>
    </row>
    <row r="1666" spans="1:5" ht="15" x14ac:dyDescent="0.2">
      <c r="A1666" s="73">
        <v>42122</v>
      </c>
      <c r="B1666" s="70">
        <v>62.9</v>
      </c>
      <c r="C1666" s="85">
        <v>3506310</v>
      </c>
      <c r="D1666" s="88">
        <v>-4.3346007604562753E-2</v>
      </c>
      <c r="E1666" s="87"/>
    </row>
    <row r="1667" spans="1:5" ht="15" x14ac:dyDescent="0.2">
      <c r="A1667" s="73">
        <v>42121</v>
      </c>
      <c r="B1667" s="70">
        <v>65.75</v>
      </c>
      <c r="C1667" s="85">
        <v>2607996</v>
      </c>
      <c r="D1667" s="88">
        <v>9.3644458090267335E-3</v>
      </c>
      <c r="E1667" s="87"/>
    </row>
    <row r="1668" spans="1:5" ht="15" x14ac:dyDescent="0.2">
      <c r="A1668" s="73">
        <v>42118</v>
      </c>
      <c r="B1668" s="70">
        <v>65.14</v>
      </c>
      <c r="C1668" s="85">
        <v>3488833</v>
      </c>
      <c r="D1668" s="88">
        <v>-7.6173065204143686E-3</v>
      </c>
      <c r="E1668" s="87"/>
    </row>
    <row r="1669" spans="1:5" ht="15" x14ac:dyDescent="0.2">
      <c r="A1669" s="73">
        <v>42117</v>
      </c>
      <c r="B1669" s="70">
        <v>65.64</v>
      </c>
      <c r="C1669" s="85">
        <v>3841382</v>
      </c>
      <c r="D1669" s="88">
        <v>-2.4316109422491961E-3</v>
      </c>
      <c r="E1669" s="87"/>
    </row>
    <row r="1670" spans="1:5" ht="15" x14ac:dyDescent="0.2">
      <c r="A1670" s="73">
        <v>42116</v>
      </c>
      <c r="B1670" s="70">
        <v>65.8</v>
      </c>
      <c r="C1670" s="85">
        <v>3382709</v>
      </c>
      <c r="D1670" s="88">
        <v>1.9522776572667988E-2</v>
      </c>
      <c r="E1670" s="87"/>
    </row>
    <row r="1671" spans="1:5" ht="15" x14ac:dyDescent="0.2">
      <c r="A1671" s="73">
        <v>42115</v>
      </c>
      <c r="B1671" s="70">
        <v>64.540000000000006</v>
      </c>
      <c r="C1671" s="85">
        <v>2790356</v>
      </c>
      <c r="D1671" s="88">
        <v>2.2658849627634314E-2</v>
      </c>
      <c r="E1671" s="87"/>
    </row>
    <row r="1672" spans="1:5" ht="15" x14ac:dyDescent="0.2">
      <c r="A1672" s="73">
        <v>42114</v>
      </c>
      <c r="B1672" s="70">
        <v>63.11</v>
      </c>
      <c r="C1672" s="85">
        <v>1728463</v>
      </c>
      <c r="D1672" s="88">
        <v>1.4956577677709859E-2</v>
      </c>
      <c r="E1672" s="87"/>
    </row>
    <row r="1673" spans="1:5" ht="15" x14ac:dyDescent="0.2">
      <c r="A1673" s="73">
        <v>42111</v>
      </c>
      <c r="B1673" s="70">
        <v>62.18</v>
      </c>
      <c r="C1673" s="85">
        <v>3345186</v>
      </c>
      <c r="D1673" s="88">
        <v>-2.7981866499921848E-2</v>
      </c>
      <c r="E1673" s="87"/>
    </row>
    <row r="1674" spans="1:5" ht="15" x14ac:dyDescent="0.2">
      <c r="A1674" s="73">
        <v>42110</v>
      </c>
      <c r="B1674" s="70">
        <v>63.97</v>
      </c>
      <c r="C1674" s="85">
        <v>3911402</v>
      </c>
      <c r="D1674" s="88">
        <v>1.9767256496094454E-2</v>
      </c>
      <c r="E1674" s="87"/>
    </row>
    <row r="1675" spans="1:5" ht="15" x14ac:dyDescent="0.2">
      <c r="A1675" s="73">
        <v>42109</v>
      </c>
      <c r="B1675" s="70">
        <v>62.73</v>
      </c>
      <c r="C1675" s="85">
        <v>2450935</v>
      </c>
      <c r="D1675" s="88">
        <v>2.6173728120399087E-2</v>
      </c>
      <c r="E1675" s="87"/>
    </row>
    <row r="1676" spans="1:5" ht="15" x14ac:dyDescent="0.2">
      <c r="A1676" s="73">
        <v>42108</v>
      </c>
      <c r="B1676" s="70">
        <v>61.13</v>
      </c>
      <c r="C1676" s="85">
        <v>2920754</v>
      </c>
      <c r="D1676" s="88">
        <v>-2.6437330785156865E-2</v>
      </c>
      <c r="E1676" s="87"/>
    </row>
    <row r="1677" spans="1:5" ht="15" x14ac:dyDescent="0.2">
      <c r="A1677" s="73">
        <v>42107</v>
      </c>
      <c r="B1677" s="70">
        <v>62.79</v>
      </c>
      <c r="C1677" s="85">
        <v>2217918</v>
      </c>
      <c r="D1677" s="88">
        <v>1.4214181876918142E-2</v>
      </c>
      <c r="E1677" s="87"/>
    </row>
    <row r="1678" spans="1:5" ht="15" x14ac:dyDescent="0.2">
      <c r="A1678" s="73">
        <v>42104</v>
      </c>
      <c r="B1678" s="70">
        <v>61.91</v>
      </c>
      <c r="C1678" s="85">
        <v>1700265</v>
      </c>
      <c r="D1678" s="88">
        <v>1.0445568793863158E-2</v>
      </c>
      <c r="E1678" s="87"/>
    </row>
    <row r="1679" spans="1:5" ht="15" x14ac:dyDescent="0.2">
      <c r="A1679" s="73">
        <v>42103</v>
      </c>
      <c r="B1679" s="70">
        <v>61.27</v>
      </c>
      <c r="C1679" s="85">
        <v>1779222</v>
      </c>
      <c r="D1679" s="88">
        <v>2.048634243837455E-2</v>
      </c>
      <c r="E1679" s="87"/>
    </row>
    <row r="1680" spans="1:5" ht="15" x14ac:dyDescent="0.2">
      <c r="A1680" s="73">
        <v>42102</v>
      </c>
      <c r="B1680" s="70">
        <v>60.04</v>
      </c>
      <c r="C1680" s="85">
        <v>1408507</v>
      </c>
      <c r="D1680" s="88">
        <v>-5.9602649006622599E-3</v>
      </c>
      <c r="E1680" s="87"/>
    </row>
    <row r="1681" spans="1:5" ht="15" x14ac:dyDescent="0.2">
      <c r="A1681" s="73">
        <v>42101</v>
      </c>
      <c r="B1681" s="70">
        <v>60.4</v>
      </c>
      <c r="C1681" s="85">
        <v>1855001</v>
      </c>
      <c r="D1681" s="88">
        <v>-5.9249506254114293E-3</v>
      </c>
      <c r="E1681" s="87"/>
    </row>
    <row r="1682" spans="1:5" ht="15" x14ac:dyDescent="0.2">
      <c r="A1682" s="73">
        <v>42096</v>
      </c>
      <c r="B1682" s="70">
        <v>60.76</v>
      </c>
      <c r="C1682" s="85">
        <v>1137046</v>
      </c>
      <c r="D1682" s="88">
        <v>-2.4626498111968154E-3</v>
      </c>
      <c r="E1682" s="87"/>
    </row>
    <row r="1683" spans="1:5" ht="15" x14ac:dyDescent="0.2">
      <c r="A1683" s="73">
        <v>42095</v>
      </c>
      <c r="B1683" s="70">
        <v>60.91</v>
      </c>
      <c r="C1683" s="85">
        <v>1820660</v>
      </c>
      <c r="D1683" s="88">
        <v>7.7763070814029778E-3</v>
      </c>
      <c r="E1683" s="87"/>
    </row>
    <row r="1684" spans="1:5" ht="15" x14ac:dyDescent="0.2">
      <c r="A1684" s="73">
        <v>42094</v>
      </c>
      <c r="B1684" s="70">
        <v>60.44</v>
      </c>
      <c r="C1684" s="85">
        <v>2340555</v>
      </c>
      <c r="D1684" s="88">
        <v>-1.22569047229939E-2</v>
      </c>
      <c r="E1684" s="87"/>
    </row>
    <row r="1685" spans="1:5" ht="15" x14ac:dyDescent="0.2">
      <c r="A1685" s="73">
        <v>42093</v>
      </c>
      <c r="B1685" s="70">
        <v>61.19</v>
      </c>
      <c r="C1685" s="85">
        <v>2009482</v>
      </c>
      <c r="D1685" s="88">
        <v>1.2911769574573739E-2</v>
      </c>
      <c r="E1685" s="87"/>
    </row>
    <row r="1686" spans="1:5" ht="15" x14ac:dyDescent="0.2">
      <c r="A1686" s="73">
        <v>42090</v>
      </c>
      <c r="B1686" s="70">
        <v>60.41</v>
      </c>
      <c r="C1686" s="85">
        <v>2905348</v>
      </c>
      <c r="D1686" s="88">
        <v>4.4895244429663528E-3</v>
      </c>
      <c r="E1686" s="87"/>
    </row>
    <row r="1687" spans="1:5" ht="15" x14ac:dyDescent="0.2">
      <c r="A1687" s="73">
        <v>42089</v>
      </c>
      <c r="B1687" s="70">
        <v>60.14</v>
      </c>
      <c r="C1687" s="85">
        <v>3237783</v>
      </c>
      <c r="D1687" s="88">
        <v>2.1226014603498156E-2</v>
      </c>
      <c r="E1687" s="87"/>
    </row>
    <row r="1688" spans="1:5" ht="15" x14ac:dyDescent="0.2">
      <c r="A1688" s="73">
        <v>42088</v>
      </c>
      <c r="B1688" s="70">
        <v>58.89</v>
      </c>
      <c r="C1688" s="85">
        <v>3098932</v>
      </c>
      <c r="D1688" s="88">
        <v>-2.3545017410048108E-2</v>
      </c>
      <c r="E1688" s="87"/>
    </row>
    <row r="1689" spans="1:5" ht="15" x14ac:dyDescent="0.2">
      <c r="A1689" s="73">
        <v>42087</v>
      </c>
      <c r="B1689" s="70">
        <v>60.31</v>
      </c>
      <c r="C1689" s="85">
        <v>5095155</v>
      </c>
      <c r="D1689" s="88">
        <v>5.1666666666667638E-3</v>
      </c>
      <c r="E1689" s="87"/>
    </row>
    <row r="1690" spans="1:5" ht="15" x14ac:dyDescent="0.2">
      <c r="A1690" s="73">
        <v>42086</v>
      </c>
      <c r="B1690" s="70">
        <v>60</v>
      </c>
      <c r="C1690" s="85">
        <v>3139983</v>
      </c>
      <c r="D1690" s="88">
        <v>-2.2801302931596101E-2</v>
      </c>
      <c r="E1690" s="87"/>
    </row>
    <row r="1691" spans="1:5" ht="15" x14ac:dyDescent="0.2">
      <c r="A1691" s="73">
        <v>42083</v>
      </c>
      <c r="B1691" s="70">
        <v>61.4</v>
      </c>
      <c r="C1691" s="85">
        <v>3602871</v>
      </c>
      <c r="D1691" s="88">
        <v>5.2390307793057644E-3</v>
      </c>
      <c r="E1691" s="87"/>
    </row>
    <row r="1692" spans="1:5" ht="15" x14ac:dyDescent="0.2">
      <c r="A1692" s="73">
        <v>42082</v>
      </c>
      <c r="B1692" s="70">
        <v>61.08</v>
      </c>
      <c r="C1692" s="85">
        <v>2906434</v>
      </c>
      <c r="D1692" s="88">
        <v>-1.7976793593724727E-3</v>
      </c>
      <c r="E1692" s="87"/>
    </row>
    <row r="1693" spans="1:5" ht="15" x14ac:dyDescent="0.2">
      <c r="A1693" s="73">
        <v>42081</v>
      </c>
      <c r="B1693" s="70">
        <v>61.19</v>
      </c>
      <c r="C1693" s="85">
        <v>3099599</v>
      </c>
      <c r="D1693" s="88">
        <v>3.4437520498524776E-3</v>
      </c>
      <c r="E1693" s="87"/>
    </row>
    <row r="1694" spans="1:5" ht="15" x14ac:dyDescent="0.2">
      <c r="A1694" s="73">
        <v>42080</v>
      </c>
      <c r="B1694" s="70">
        <v>60.98</v>
      </c>
      <c r="C1694" s="85">
        <v>4210185</v>
      </c>
      <c r="D1694" s="88">
        <v>-4.5098653304102787E-2</v>
      </c>
      <c r="E1694" s="87"/>
    </row>
    <row r="1695" spans="1:5" ht="15" x14ac:dyDescent="0.2">
      <c r="A1695" s="73">
        <v>42079</v>
      </c>
      <c r="B1695" s="70">
        <v>63.86</v>
      </c>
      <c r="C1695" s="85">
        <v>2903861</v>
      </c>
      <c r="D1695" s="88">
        <v>4.7199496538703478E-3</v>
      </c>
      <c r="E1695" s="87"/>
    </row>
    <row r="1696" spans="1:5" ht="15" x14ac:dyDescent="0.2">
      <c r="A1696" s="73">
        <v>42076</v>
      </c>
      <c r="B1696" s="70">
        <v>63.56</v>
      </c>
      <c r="C1696" s="85">
        <v>3415498</v>
      </c>
      <c r="D1696" s="88">
        <v>2.3840206185567148E-2</v>
      </c>
      <c r="E1696" s="87"/>
    </row>
    <row r="1697" spans="1:5" ht="15" x14ac:dyDescent="0.2">
      <c r="A1697" s="73">
        <v>42075</v>
      </c>
      <c r="B1697" s="70">
        <v>62.08</v>
      </c>
      <c r="C1697" s="85">
        <v>3119244</v>
      </c>
      <c r="D1697" s="88">
        <v>1.0581149275598278E-2</v>
      </c>
      <c r="E1697" s="87"/>
    </row>
    <row r="1698" spans="1:5" ht="15" x14ac:dyDescent="0.2">
      <c r="A1698" s="73">
        <v>42074</v>
      </c>
      <c r="B1698" s="70">
        <v>61.43</v>
      </c>
      <c r="C1698" s="85">
        <v>3256951</v>
      </c>
      <c r="D1698" s="88">
        <v>4.3308423913043459E-2</v>
      </c>
      <c r="E1698" s="87"/>
    </row>
    <row r="1699" spans="1:5" ht="15" x14ac:dyDescent="0.2">
      <c r="A1699" s="73">
        <v>42073</v>
      </c>
      <c r="B1699" s="70">
        <v>58.88</v>
      </c>
      <c r="C1699" s="85">
        <v>3101036</v>
      </c>
      <c r="D1699" s="88">
        <v>0</v>
      </c>
      <c r="E1699" s="87"/>
    </row>
    <row r="1700" spans="1:5" ht="15" x14ac:dyDescent="0.2">
      <c r="A1700" s="73">
        <v>42072</v>
      </c>
      <c r="B1700" s="70">
        <v>58.88</v>
      </c>
      <c r="C1700" s="85">
        <v>1917367</v>
      </c>
      <c r="D1700" s="88">
        <v>-9.0878492090205043E-3</v>
      </c>
      <c r="E1700" s="87"/>
    </row>
    <row r="1701" spans="1:5" ht="15" x14ac:dyDescent="0.2">
      <c r="A1701" s="73">
        <v>42069</v>
      </c>
      <c r="B1701" s="70">
        <v>59.42</v>
      </c>
      <c r="C1701" s="85">
        <v>3360543</v>
      </c>
      <c r="D1701" s="88">
        <v>3.5466981928728991E-3</v>
      </c>
      <c r="E1701" s="87"/>
    </row>
    <row r="1702" spans="1:5" ht="15" x14ac:dyDescent="0.2">
      <c r="A1702" s="73">
        <v>42068</v>
      </c>
      <c r="B1702" s="70">
        <v>59.21</v>
      </c>
      <c r="C1702" s="85">
        <v>4599758</v>
      </c>
      <c r="D1702" s="88">
        <v>4.7593772116065081E-2</v>
      </c>
      <c r="E1702" s="87"/>
    </row>
    <row r="1703" spans="1:5" ht="15" x14ac:dyDescent="0.2">
      <c r="A1703" s="73">
        <v>42067</v>
      </c>
      <c r="B1703" s="70">
        <v>56.52</v>
      </c>
      <c r="C1703" s="85">
        <v>3085353</v>
      </c>
      <c r="D1703" s="88">
        <v>2.0216606498195011E-2</v>
      </c>
      <c r="E1703" s="87"/>
    </row>
    <row r="1704" spans="1:5" ht="15" x14ac:dyDescent="0.2">
      <c r="A1704" s="73">
        <v>42066</v>
      </c>
      <c r="B1704" s="70">
        <v>55.4</v>
      </c>
      <c r="C1704" s="85">
        <v>2417019</v>
      </c>
      <c r="D1704" s="88">
        <v>-1.2301658049563291E-2</v>
      </c>
      <c r="E1704" s="87"/>
    </row>
    <row r="1705" spans="1:5" ht="15" x14ac:dyDescent="0.2">
      <c r="A1705" s="73">
        <v>42065</v>
      </c>
      <c r="B1705" s="70">
        <v>56.09</v>
      </c>
      <c r="C1705" s="85">
        <v>3133916</v>
      </c>
      <c r="D1705" s="88">
        <v>1.3735767214892558E-2</v>
      </c>
      <c r="E1705" s="87"/>
    </row>
    <row r="1706" spans="1:5" ht="15" x14ac:dyDescent="0.2">
      <c r="A1706" s="73">
        <v>42062</v>
      </c>
      <c r="B1706" s="70">
        <v>55.33</v>
      </c>
      <c r="C1706" s="85">
        <v>7164236</v>
      </c>
      <c r="D1706" s="88">
        <v>7.1663761379043178E-2</v>
      </c>
      <c r="E1706" s="87"/>
    </row>
    <row r="1707" spans="1:5" ht="15" x14ac:dyDescent="0.2">
      <c r="A1707" s="73">
        <v>42061</v>
      </c>
      <c r="B1707" s="70">
        <v>51.63</v>
      </c>
      <c r="C1707" s="85">
        <v>2128171</v>
      </c>
      <c r="D1707" s="88">
        <v>4.4747081712062098E-3</v>
      </c>
      <c r="E1707" s="87"/>
    </row>
    <row r="1708" spans="1:5" ht="15" x14ac:dyDescent="0.2">
      <c r="A1708" s="73">
        <v>42060</v>
      </c>
      <c r="B1708" s="70">
        <v>51.4</v>
      </c>
      <c r="C1708" s="85">
        <v>2069140</v>
      </c>
      <c r="D1708" s="88">
        <v>-8.6788813886210514E-3</v>
      </c>
      <c r="E1708" s="87"/>
    </row>
    <row r="1709" spans="1:5" ht="15" x14ac:dyDescent="0.2">
      <c r="A1709" s="73">
        <v>42059</v>
      </c>
      <c r="B1709" s="70">
        <v>51.85</v>
      </c>
      <c r="C1709" s="85">
        <v>2488759</v>
      </c>
      <c r="D1709" s="88">
        <v>-1.8735806207418659E-2</v>
      </c>
      <c r="E1709" s="87"/>
    </row>
    <row r="1710" spans="1:5" ht="15" x14ac:dyDescent="0.2">
      <c r="A1710" s="73">
        <v>42058</v>
      </c>
      <c r="B1710" s="70">
        <v>52.84</v>
      </c>
      <c r="C1710" s="85">
        <v>1880919</v>
      </c>
      <c r="D1710" s="88">
        <v>7.2436141822340705E-3</v>
      </c>
      <c r="E1710" s="87"/>
    </row>
    <row r="1711" spans="1:5" ht="15" x14ac:dyDescent="0.2">
      <c r="A1711" s="73">
        <v>42055</v>
      </c>
      <c r="B1711" s="70">
        <v>52.46</v>
      </c>
      <c r="C1711" s="85">
        <v>2769517</v>
      </c>
      <c r="D1711" s="88">
        <v>9.0402000384688375E-3</v>
      </c>
      <c r="E1711" s="87"/>
    </row>
    <row r="1712" spans="1:5" ht="15" x14ac:dyDescent="0.2">
      <c r="A1712" s="73">
        <v>42054</v>
      </c>
      <c r="B1712" s="70">
        <v>51.99</v>
      </c>
      <c r="C1712" s="85">
        <v>1817126</v>
      </c>
      <c r="D1712" s="88">
        <v>1.1675423234092319E-2</v>
      </c>
      <c r="E1712" s="87"/>
    </row>
    <row r="1713" spans="1:5" ht="15" x14ac:dyDescent="0.2">
      <c r="A1713" s="73">
        <v>42053</v>
      </c>
      <c r="B1713" s="70">
        <v>51.39</v>
      </c>
      <c r="C1713" s="85">
        <v>1835841</v>
      </c>
      <c r="D1713" s="88">
        <v>1.4209591474245054E-2</v>
      </c>
      <c r="E1713" s="87"/>
    </row>
    <row r="1714" spans="1:5" ht="15" x14ac:dyDescent="0.2">
      <c r="A1714" s="73">
        <v>42052</v>
      </c>
      <c r="B1714" s="70">
        <v>50.67</v>
      </c>
      <c r="C1714" s="85">
        <v>1861650</v>
      </c>
      <c r="D1714" s="88">
        <v>4.3607532210108157E-3</v>
      </c>
      <c r="E1714" s="87"/>
    </row>
    <row r="1715" spans="1:5" ht="15" x14ac:dyDescent="0.2">
      <c r="A1715" s="73">
        <v>42051</v>
      </c>
      <c r="B1715" s="70">
        <v>50.45</v>
      </c>
      <c r="C1715" s="85">
        <v>1845654</v>
      </c>
      <c r="D1715" s="88">
        <v>1.407035175879412E-2</v>
      </c>
      <c r="E1715" s="87"/>
    </row>
    <row r="1716" spans="1:5" ht="15" x14ac:dyDescent="0.2">
      <c r="A1716" s="73">
        <v>42048</v>
      </c>
      <c r="B1716" s="70">
        <v>49.75</v>
      </c>
      <c r="C1716" s="85">
        <v>2540087</v>
      </c>
      <c r="D1716" s="88">
        <v>-5.0226017076837604E-4</v>
      </c>
      <c r="E1716" s="87"/>
    </row>
    <row r="1717" spans="1:5" ht="15" x14ac:dyDescent="0.2">
      <c r="A1717" s="73">
        <v>42047</v>
      </c>
      <c r="B1717" s="70">
        <v>49.774999999999999</v>
      </c>
      <c r="C1717" s="85">
        <v>1976894</v>
      </c>
      <c r="D1717" s="88">
        <v>7.1833265884255759E-3</v>
      </c>
      <c r="E1717" s="87"/>
    </row>
    <row r="1718" spans="1:5" ht="15" x14ac:dyDescent="0.2">
      <c r="A1718" s="73">
        <v>42046</v>
      </c>
      <c r="B1718" s="70">
        <v>49.42</v>
      </c>
      <c r="C1718" s="85">
        <v>1823991</v>
      </c>
      <c r="D1718" s="88">
        <v>-6.3335679099225661E-3</v>
      </c>
      <c r="E1718" s="87"/>
    </row>
    <row r="1719" spans="1:5" ht="15" x14ac:dyDescent="0.2">
      <c r="A1719" s="73">
        <v>42045</v>
      </c>
      <c r="B1719" s="70">
        <v>49.734999999999999</v>
      </c>
      <c r="C1719" s="85">
        <v>3340873</v>
      </c>
      <c r="D1719" s="88">
        <v>3.1097750596040141E-2</v>
      </c>
      <c r="E1719" s="87"/>
    </row>
    <row r="1720" spans="1:5" ht="15" x14ac:dyDescent="0.2">
      <c r="A1720" s="73">
        <v>42044</v>
      </c>
      <c r="B1720" s="70">
        <v>48.234999999999999</v>
      </c>
      <c r="C1720" s="85">
        <v>2569266</v>
      </c>
      <c r="D1720" s="88">
        <v>-2.2753128555176305E-3</v>
      </c>
      <c r="E1720" s="87"/>
    </row>
    <row r="1721" spans="1:5" ht="15" x14ac:dyDescent="0.2">
      <c r="A1721" s="73">
        <v>42041</v>
      </c>
      <c r="B1721" s="70">
        <v>48.344999999999999</v>
      </c>
      <c r="C1721" s="85">
        <v>2177587</v>
      </c>
      <c r="D1721" s="88">
        <v>-1.3426977897128545E-3</v>
      </c>
      <c r="E1721" s="87"/>
    </row>
    <row r="1722" spans="1:5" ht="15" x14ac:dyDescent="0.2">
      <c r="A1722" s="73">
        <v>42040</v>
      </c>
      <c r="B1722" s="70">
        <v>48.41</v>
      </c>
      <c r="C1722" s="85">
        <v>2708767</v>
      </c>
      <c r="D1722" s="88">
        <v>1.6269549700850261E-2</v>
      </c>
      <c r="E1722" s="87"/>
    </row>
    <row r="1723" spans="1:5" ht="15" x14ac:dyDescent="0.2">
      <c r="A1723" s="73">
        <v>42039</v>
      </c>
      <c r="B1723" s="70">
        <v>47.634999999999998</v>
      </c>
      <c r="C1723" s="85">
        <v>2689667</v>
      </c>
      <c r="D1723" s="88">
        <v>8.2548417821992626E-3</v>
      </c>
      <c r="E1723" s="87"/>
    </row>
    <row r="1724" spans="1:5" ht="15" x14ac:dyDescent="0.2">
      <c r="A1724" s="73">
        <v>42038</v>
      </c>
      <c r="B1724" s="70">
        <v>47.244999999999997</v>
      </c>
      <c r="C1724" s="85">
        <v>3064365</v>
      </c>
      <c r="D1724" s="88">
        <v>8.0008534243651841E-3</v>
      </c>
      <c r="E1724" s="87"/>
    </row>
    <row r="1725" spans="1:5" ht="15" x14ac:dyDescent="0.2">
      <c r="A1725" s="73">
        <v>42037</v>
      </c>
      <c r="B1725" s="70">
        <v>46.87</v>
      </c>
      <c r="C1725" s="85">
        <v>2830148</v>
      </c>
      <c r="D1725" s="88">
        <v>-6.9915254237289393E-3</v>
      </c>
      <c r="E1725" s="87"/>
    </row>
    <row r="1726" spans="1:5" ht="15" x14ac:dyDescent="0.2">
      <c r="A1726" s="73">
        <v>42034</v>
      </c>
      <c r="B1726" s="70">
        <v>47.2</v>
      </c>
      <c r="C1726" s="85">
        <v>6279555</v>
      </c>
      <c r="D1726" s="88">
        <v>-2.2268254790264064E-2</v>
      </c>
      <c r="E1726" s="87"/>
    </row>
    <row r="1727" spans="1:5" ht="15" x14ac:dyDescent="0.2">
      <c r="A1727" s="73">
        <v>42033</v>
      </c>
      <c r="B1727" s="70">
        <v>48.274999999999999</v>
      </c>
      <c r="C1727" s="85">
        <v>4444319</v>
      </c>
      <c r="D1727" s="88">
        <v>-1.3890307425186377E-2</v>
      </c>
      <c r="E1727" s="87"/>
    </row>
    <row r="1728" spans="1:5" ht="15" x14ac:dyDescent="0.2">
      <c r="A1728" s="73">
        <v>42032</v>
      </c>
      <c r="B1728" s="70">
        <v>48.954999999999998</v>
      </c>
      <c r="C1728" s="85">
        <v>3778406</v>
      </c>
      <c r="D1728" s="88">
        <v>-2.343590788669303E-3</v>
      </c>
      <c r="E1728" s="87"/>
    </row>
    <row r="1729" spans="1:7" ht="15" x14ac:dyDescent="0.2">
      <c r="A1729" s="73">
        <v>42031</v>
      </c>
      <c r="B1729" s="70">
        <v>49.07</v>
      </c>
      <c r="C1729" s="85">
        <v>4591955</v>
      </c>
      <c r="D1729" s="88">
        <v>-2.1340247307538918E-2</v>
      </c>
      <c r="E1729" s="87"/>
    </row>
    <row r="1730" spans="1:7" ht="15" x14ac:dyDescent="0.2">
      <c r="A1730" s="73">
        <v>42030</v>
      </c>
      <c r="B1730" s="70">
        <v>50.14</v>
      </c>
      <c r="C1730" s="85">
        <v>6342198</v>
      </c>
      <c r="D1730" s="88">
        <v>1.745129870129869E-2</v>
      </c>
      <c r="E1730" s="87"/>
    </row>
    <row r="1731" spans="1:7" ht="15" x14ac:dyDescent="0.2">
      <c r="A1731" s="73">
        <v>42027</v>
      </c>
      <c r="B1731" s="70">
        <v>49.28</v>
      </c>
      <c r="C1731" s="85">
        <v>6911057</v>
      </c>
      <c r="D1731" s="88">
        <v>4.120008451299384E-2</v>
      </c>
      <c r="E1731" s="87"/>
    </row>
    <row r="1732" spans="1:7" ht="15" x14ac:dyDescent="0.2">
      <c r="A1732" s="73">
        <v>42026</v>
      </c>
      <c r="B1732" s="70">
        <v>47.33</v>
      </c>
      <c r="C1732" s="85">
        <v>4747740</v>
      </c>
      <c r="D1732" s="88">
        <v>1.0892780862879148E-2</v>
      </c>
      <c r="E1732" s="87"/>
    </row>
    <row r="1733" spans="1:7" ht="15" x14ac:dyDescent="0.2">
      <c r="A1733" s="73">
        <v>42025</v>
      </c>
      <c r="B1733" s="70">
        <v>46.82</v>
      </c>
      <c r="C1733" s="85">
        <v>3842891</v>
      </c>
      <c r="D1733" s="88">
        <v>-5.5225148683092362E-3</v>
      </c>
      <c r="E1733" s="87"/>
    </row>
    <row r="1734" spans="1:7" ht="15" x14ac:dyDescent="0.2">
      <c r="A1734" s="73">
        <v>42024</v>
      </c>
      <c r="B1734" s="70">
        <v>47.08</v>
      </c>
      <c r="C1734" s="85">
        <v>2755590</v>
      </c>
      <c r="D1734" s="88">
        <v>9.2175777063236985E-3</v>
      </c>
      <c r="E1734" s="67"/>
      <c r="F1734" s="67"/>
      <c r="G1734" s="67"/>
    </row>
    <row r="1735" spans="1:7" ht="15" x14ac:dyDescent="0.2">
      <c r="A1735" s="73">
        <v>42023</v>
      </c>
      <c r="B1735" s="70">
        <v>46.65</v>
      </c>
      <c r="C1735" s="85">
        <v>2071579</v>
      </c>
      <c r="D1735" s="88">
        <v>5.4962819269317453E-3</v>
      </c>
      <c r="E1735" s="67"/>
      <c r="F1735" s="67"/>
      <c r="G1735" s="67"/>
    </row>
    <row r="1736" spans="1:7" ht="15" x14ac:dyDescent="0.2">
      <c r="A1736" s="73">
        <v>42020</v>
      </c>
      <c r="B1736" s="70">
        <v>46.395000000000003</v>
      </c>
      <c r="C1736" s="85">
        <v>3860675</v>
      </c>
      <c r="D1736" s="88">
        <v>2.7015344715799472E-3</v>
      </c>
      <c r="E1736" s="67"/>
      <c r="F1736" s="67"/>
      <c r="G1736" s="67"/>
    </row>
    <row r="1737" spans="1:7" ht="15" x14ac:dyDescent="0.2">
      <c r="A1737" s="73">
        <v>42019</v>
      </c>
      <c r="B1737" s="70">
        <v>46.27</v>
      </c>
      <c r="C1737" s="85">
        <v>5004208</v>
      </c>
      <c r="D1737" s="88">
        <v>2.5033229951262781E-2</v>
      </c>
      <c r="E1737" s="67"/>
      <c r="F1737" s="67"/>
      <c r="G1737" s="67"/>
    </row>
    <row r="1738" spans="1:7" ht="15" x14ac:dyDescent="0.2">
      <c r="A1738" s="73">
        <v>42018</v>
      </c>
      <c r="B1738" s="70">
        <v>45.14</v>
      </c>
      <c r="C1738" s="85">
        <v>2928718</v>
      </c>
      <c r="D1738" s="88">
        <v>-9.3273345769778748E-3</v>
      </c>
      <c r="E1738" s="67"/>
      <c r="F1738" s="67"/>
      <c r="G1738" s="67"/>
    </row>
    <row r="1739" spans="1:7" ht="15" x14ac:dyDescent="0.2">
      <c r="A1739" s="73">
        <v>42017</v>
      </c>
      <c r="B1739" s="70">
        <v>45.564999999999998</v>
      </c>
      <c r="C1739" s="85">
        <v>3761440</v>
      </c>
      <c r="D1739" s="88">
        <v>1.3681868743047776E-2</v>
      </c>
      <c r="E1739" s="67"/>
      <c r="F1739" s="67"/>
      <c r="G1739" s="67"/>
    </row>
    <row r="1740" spans="1:7" ht="15" x14ac:dyDescent="0.2">
      <c r="A1740" s="73">
        <v>42016</v>
      </c>
      <c r="B1740" s="70">
        <v>44.95</v>
      </c>
      <c r="C1740" s="85">
        <v>3308396</v>
      </c>
      <c r="D1740" s="88">
        <v>8.9786756453424932E-3</v>
      </c>
      <c r="E1740" s="67"/>
      <c r="F1740" s="67"/>
      <c r="G1740" s="67"/>
    </row>
    <row r="1741" spans="1:7" ht="15" x14ac:dyDescent="0.2">
      <c r="A1741" s="73">
        <v>42013</v>
      </c>
      <c r="B1741" s="70">
        <v>44.55</v>
      </c>
      <c r="C1741" s="85">
        <v>4179216</v>
      </c>
      <c r="D1741" s="88">
        <v>-1.4707508570164896E-2</v>
      </c>
      <c r="E1741" s="67"/>
      <c r="F1741" s="67"/>
      <c r="G1741" s="67"/>
    </row>
    <row r="1742" spans="1:7" ht="15" x14ac:dyDescent="0.2">
      <c r="A1742" s="73">
        <v>42012</v>
      </c>
      <c r="B1742" s="70">
        <v>45.215000000000003</v>
      </c>
      <c r="C1742" s="85">
        <v>4548325</v>
      </c>
      <c r="D1742" s="88">
        <v>3.4076615208690653E-2</v>
      </c>
      <c r="E1742" s="67"/>
      <c r="F1742" s="67"/>
      <c r="G1742" s="67"/>
    </row>
    <row r="1743" spans="1:7" ht="15" x14ac:dyDescent="0.2">
      <c r="A1743" s="73">
        <v>42011</v>
      </c>
      <c r="B1743" s="70">
        <v>43.725000000000001</v>
      </c>
      <c r="C1743" s="85">
        <v>4236974</v>
      </c>
      <c r="D1743" s="88">
        <v>2.6047166490672291E-2</v>
      </c>
      <c r="E1743" s="67"/>
      <c r="F1743" s="67"/>
      <c r="G1743" s="67"/>
    </row>
    <row r="1744" spans="1:7" ht="15" x14ac:dyDescent="0.2">
      <c r="A1744" s="73">
        <v>42010</v>
      </c>
      <c r="B1744" s="70">
        <v>42.615000000000002</v>
      </c>
      <c r="C1744" s="85">
        <v>4835966</v>
      </c>
      <c r="D1744" s="88">
        <v>2.3169267707082941E-2</v>
      </c>
      <c r="E1744" s="67"/>
      <c r="F1744" s="67"/>
      <c r="G1744" s="67"/>
    </row>
    <row r="1745" spans="1:7" ht="15" x14ac:dyDescent="0.2">
      <c r="A1745" s="73">
        <v>42009</v>
      </c>
      <c r="B1745" s="70">
        <v>41.65</v>
      </c>
      <c r="C1745" s="85">
        <v>4467274</v>
      </c>
      <c r="D1745" s="88">
        <v>3.0102347983143041E-3</v>
      </c>
      <c r="E1745" s="67"/>
      <c r="F1745" s="67"/>
      <c r="G1745" s="67"/>
    </row>
    <row r="1746" spans="1:7" ht="15" x14ac:dyDescent="0.2">
      <c r="A1746" s="73">
        <v>42006</v>
      </c>
      <c r="B1746" s="70">
        <v>41.524999999999999</v>
      </c>
      <c r="C1746" s="85">
        <v>1903339</v>
      </c>
      <c r="D1746" s="88">
        <v>4.232164449818443E-3</v>
      </c>
      <c r="E1746" s="67"/>
      <c r="F1746" s="67"/>
      <c r="G1746" s="67"/>
    </row>
    <row r="1747" spans="1:7" ht="15" x14ac:dyDescent="0.2">
      <c r="A1747" s="76">
        <v>42004</v>
      </c>
      <c r="B1747" s="77">
        <v>41.35</v>
      </c>
      <c r="C1747" s="86">
        <v>511732</v>
      </c>
      <c r="D1747" s="89">
        <v>1.0014655593551636E-2</v>
      </c>
      <c r="E1747" s="79"/>
      <c r="F1747" s="79"/>
      <c r="G1747" s="78" t="e">
        <v>#REF!</v>
      </c>
    </row>
    <row r="1748" spans="1:7" ht="15" x14ac:dyDescent="0.2">
      <c r="A1748" s="73">
        <v>42003</v>
      </c>
      <c r="B1748" s="70">
        <v>40.94</v>
      </c>
      <c r="C1748" s="85">
        <v>1368751</v>
      </c>
      <c r="D1748" s="88">
        <v>-1.4087898856110836E-2</v>
      </c>
      <c r="E1748" s="67"/>
      <c r="F1748" s="67"/>
      <c r="G1748" s="67"/>
    </row>
    <row r="1749" spans="1:7" ht="15" x14ac:dyDescent="0.2">
      <c r="A1749" s="73">
        <v>42002</v>
      </c>
      <c r="B1749" s="70">
        <v>41.524999999999999</v>
      </c>
      <c r="C1749" s="85">
        <v>1926527</v>
      </c>
      <c r="D1749" s="88">
        <v>-1.2039489525650371E-4</v>
      </c>
      <c r="E1749" s="67"/>
      <c r="F1749" s="67"/>
      <c r="G1749" s="67"/>
    </row>
    <row r="1750" spans="1:7" ht="15" x14ac:dyDescent="0.2">
      <c r="A1750" s="73">
        <v>41997</v>
      </c>
      <c r="B1750" s="70">
        <v>41.53</v>
      </c>
      <c r="C1750" s="85">
        <v>404444</v>
      </c>
      <c r="D1750" s="88">
        <v>-5.0311451844753385E-3</v>
      </c>
      <c r="E1750" s="87"/>
    </row>
    <row r="1751" spans="1:7" ht="15" x14ac:dyDescent="0.2">
      <c r="A1751" s="73">
        <v>41996</v>
      </c>
      <c r="B1751" s="70">
        <v>41.74</v>
      </c>
      <c r="C1751" s="85">
        <v>2215586</v>
      </c>
      <c r="D1751" s="88">
        <v>6.5107306486618111E-3</v>
      </c>
      <c r="E1751" s="87"/>
    </row>
    <row r="1752" spans="1:7" ht="15" x14ac:dyDescent="0.2">
      <c r="A1752" s="73">
        <v>41995</v>
      </c>
      <c r="B1752" s="70">
        <v>41.47</v>
      </c>
      <c r="C1752" s="85">
        <v>1820868</v>
      </c>
      <c r="D1752" s="88">
        <v>-5.2770448548812299E-3</v>
      </c>
      <c r="E1752" s="87"/>
    </row>
    <row r="1753" spans="1:7" ht="15" x14ac:dyDescent="0.2">
      <c r="A1753" s="73">
        <v>41992</v>
      </c>
      <c r="B1753" s="70">
        <v>41.69</v>
      </c>
      <c r="C1753" s="85">
        <v>4270155</v>
      </c>
      <c r="D1753" s="88">
        <v>-3.8231780167264917E-3</v>
      </c>
      <c r="E1753" s="87"/>
    </row>
    <row r="1754" spans="1:7" ht="15" x14ac:dyDescent="0.2">
      <c r="A1754" s="73">
        <v>41991</v>
      </c>
      <c r="B1754" s="70">
        <v>41.85</v>
      </c>
      <c r="C1754" s="85">
        <v>4142686</v>
      </c>
      <c r="D1754" s="88">
        <v>2.19780219780219E-2</v>
      </c>
      <c r="E1754" s="87"/>
    </row>
    <row r="1755" spans="1:7" ht="15" x14ac:dyDescent="0.2">
      <c r="A1755" s="73">
        <v>41990</v>
      </c>
      <c r="B1755" s="70">
        <v>40.950000000000003</v>
      </c>
      <c r="C1755" s="85">
        <v>3400401</v>
      </c>
      <c r="D1755" s="88">
        <v>-3.6616623947272053E-4</v>
      </c>
      <c r="E1755" s="87"/>
    </row>
    <row r="1756" spans="1:7" ht="15" x14ac:dyDescent="0.2">
      <c r="A1756" s="73">
        <v>41989</v>
      </c>
      <c r="B1756" s="70">
        <v>40.965000000000003</v>
      </c>
      <c r="C1756" s="85">
        <v>6806150</v>
      </c>
      <c r="D1756" s="88">
        <v>1.0358860525342184E-2</v>
      </c>
      <c r="E1756" s="87"/>
    </row>
    <row r="1757" spans="1:7" ht="15" x14ac:dyDescent="0.2">
      <c r="A1757" s="73">
        <v>41988</v>
      </c>
      <c r="B1757" s="70">
        <v>40.545000000000002</v>
      </c>
      <c r="C1757" s="85">
        <v>5197234</v>
      </c>
      <c r="D1757" s="88">
        <v>-4.0530582166543594E-3</v>
      </c>
      <c r="E1757" s="87"/>
    </row>
    <row r="1758" spans="1:7" ht="15" x14ac:dyDescent="0.2">
      <c r="A1758" s="73">
        <v>41985</v>
      </c>
      <c r="B1758" s="70">
        <v>40.71</v>
      </c>
      <c r="C1758" s="85">
        <v>7842102</v>
      </c>
      <c r="D1758" s="88">
        <v>-1.4762826718296207E-2</v>
      </c>
      <c r="E1758" s="87"/>
    </row>
    <row r="1759" spans="1:7" ht="15" x14ac:dyDescent="0.2">
      <c r="A1759" s="73">
        <v>41984</v>
      </c>
      <c r="B1759" s="70">
        <v>41.32</v>
      </c>
      <c r="C1759" s="85">
        <v>13448598</v>
      </c>
      <c r="D1759" s="88">
        <v>-4.2964678633468423E-2</v>
      </c>
      <c r="E1759" s="87"/>
    </row>
    <row r="1760" spans="1:7" ht="15" x14ac:dyDescent="0.2">
      <c r="A1760" s="73">
        <v>41983</v>
      </c>
      <c r="B1760" s="70">
        <v>43.174999999999997</v>
      </c>
      <c r="C1760" s="85">
        <v>12534873</v>
      </c>
      <c r="D1760" s="88">
        <v>-0.10416018259155524</v>
      </c>
      <c r="E1760" s="87"/>
    </row>
    <row r="1761" spans="1:5" ht="15" x14ac:dyDescent="0.2">
      <c r="A1761" s="73">
        <v>41982</v>
      </c>
      <c r="B1761" s="70">
        <v>48.195</v>
      </c>
      <c r="C1761" s="85">
        <v>2454925</v>
      </c>
      <c r="D1761" s="88">
        <v>-2.0128087831655983E-2</v>
      </c>
      <c r="E1761" s="87"/>
    </row>
    <row r="1762" spans="1:5" ht="15" x14ac:dyDescent="0.2">
      <c r="A1762" s="73">
        <v>41981</v>
      </c>
      <c r="B1762" s="70">
        <v>49.185000000000002</v>
      </c>
      <c r="C1762" s="85">
        <v>1684241</v>
      </c>
      <c r="D1762" s="88">
        <v>-1.294400963275133E-2</v>
      </c>
      <c r="E1762" s="87"/>
    </row>
    <row r="1763" spans="1:5" ht="15" x14ac:dyDescent="0.2">
      <c r="A1763" s="73">
        <v>41978</v>
      </c>
      <c r="B1763" s="70">
        <v>49.83</v>
      </c>
      <c r="C1763" s="85">
        <v>2901406</v>
      </c>
      <c r="D1763" s="88">
        <v>3.446128295619677E-2</v>
      </c>
      <c r="E1763" s="87"/>
    </row>
    <row r="1764" spans="1:5" ht="15" x14ac:dyDescent="0.2">
      <c r="A1764" s="73">
        <v>41977</v>
      </c>
      <c r="B1764" s="70">
        <v>48.17</v>
      </c>
      <c r="C1764" s="85">
        <v>3267887</v>
      </c>
      <c r="D1764" s="88">
        <v>-5.2658750645326879E-3</v>
      </c>
      <c r="E1764" s="87"/>
    </row>
    <row r="1765" spans="1:5" ht="15" x14ac:dyDescent="0.2">
      <c r="A1765" s="73">
        <v>41976</v>
      </c>
      <c r="B1765" s="70">
        <v>48.424999999999997</v>
      </c>
      <c r="C1765" s="85">
        <v>1796419</v>
      </c>
      <c r="D1765" s="88">
        <v>-5.0339017875489223E-3</v>
      </c>
      <c r="E1765" s="87"/>
    </row>
    <row r="1766" spans="1:5" ht="15" x14ac:dyDescent="0.2">
      <c r="A1766" s="73">
        <v>41975</v>
      </c>
      <c r="B1766" s="70">
        <v>48.67</v>
      </c>
      <c r="C1766" s="85">
        <v>1753669</v>
      </c>
      <c r="D1766" s="88">
        <v>-1.5386193455738661E-3</v>
      </c>
      <c r="E1766" s="87"/>
    </row>
    <row r="1767" spans="1:5" ht="15" x14ac:dyDescent="0.2">
      <c r="A1767" s="73">
        <v>41974</v>
      </c>
      <c r="B1767" s="70">
        <v>48.744999999999997</v>
      </c>
      <c r="C1767" s="85">
        <v>1866036</v>
      </c>
      <c r="D1767" s="88">
        <v>-5.102561485865853E-3</v>
      </c>
      <c r="E1767" s="87"/>
    </row>
    <row r="1768" spans="1:5" ht="15" x14ac:dyDescent="0.2">
      <c r="A1768" s="73">
        <v>41971</v>
      </c>
      <c r="B1768" s="70">
        <v>48.994999999999997</v>
      </c>
      <c r="C1768" s="85">
        <v>2616684</v>
      </c>
      <c r="D1768" s="88">
        <v>-1.5967061658967663E-2</v>
      </c>
      <c r="E1768" s="87"/>
    </row>
    <row r="1769" spans="1:5" ht="15" x14ac:dyDescent="0.2">
      <c r="A1769" s="73">
        <v>41970</v>
      </c>
      <c r="B1769" s="70">
        <v>49.79</v>
      </c>
      <c r="C1769" s="85">
        <v>1550766</v>
      </c>
      <c r="D1769" s="88">
        <v>8.2008707097296352E-3</v>
      </c>
      <c r="E1769" s="87"/>
    </row>
    <row r="1770" spans="1:5" ht="15" x14ac:dyDescent="0.2">
      <c r="A1770" s="73">
        <v>41969</v>
      </c>
      <c r="B1770" s="70">
        <v>49.384999999999998</v>
      </c>
      <c r="C1770" s="85">
        <v>1425215</v>
      </c>
      <c r="D1770" s="88">
        <v>-3.8325769036814394E-3</v>
      </c>
      <c r="E1770" s="87"/>
    </row>
    <row r="1771" spans="1:5" ht="15" x14ac:dyDescent="0.2">
      <c r="A1771" s="73">
        <v>41968</v>
      </c>
      <c r="B1771" s="70">
        <v>49.575000000000003</v>
      </c>
      <c r="C1771" s="85">
        <v>2087101</v>
      </c>
      <c r="D1771" s="88">
        <v>1.1631466176920791E-2</v>
      </c>
      <c r="E1771" s="87"/>
    </row>
    <row r="1772" spans="1:5" ht="15" x14ac:dyDescent="0.2">
      <c r="A1772" s="73">
        <v>41967</v>
      </c>
      <c r="B1772" s="70">
        <v>49.005000000000003</v>
      </c>
      <c r="C1772" s="85">
        <v>3126885</v>
      </c>
      <c r="D1772" s="88">
        <v>1.5121698601760825E-2</v>
      </c>
      <c r="E1772" s="87"/>
    </row>
    <row r="1773" spans="1:5" ht="15" x14ac:dyDescent="0.2">
      <c r="A1773" s="73">
        <v>41964</v>
      </c>
      <c r="B1773" s="70">
        <v>48.274999999999999</v>
      </c>
      <c r="C1773" s="85">
        <v>3664538</v>
      </c>
      <c r="D1773" s="88">
        <v>3.0196329492104157E-2</v>
      </c>
      <c r="E1773" s="87"/>
    </row>
    <row r="1774" spans="1:5" ht="15" x14ac:dyDescent="0.2">
      <c r="A1774" s="73">
        <v>41963</v>
      </c>
      <c r="B1774" s="70">
        <v>46.86</v>
      </c>
      <c r="C1774" s="85">
        <v>2409537</v>
      </c>
      <c r="D1774" s="88">
        <v>-2.9787234042553123E-3</v>
      </c>
      <c r="E1774" s="87"/>
    </row>
    <row r="1775" spans="1:5" ht="15" x14ac:dyDescent="0.2">
      <c r="A1775" s="73">
        <v>41962</v>
      </c>
      <c r="B1775" s="70">
        <v>47</v>
      </c>
      <c r="C1775" s="85">
        <v>2195197</v>
      </c>
      <c r="D1775" s="88">
        <v>5.5626872058194277E-3</v>
      </c>
      <c r="E1775" s="87"/>
    </row>
    <row r="1776" spans="1:5" ht="15" x14ac:dyDescent="0.2">
      <c r="A1776" s="73">
        <v>41961</v>
      </c>
      <c r="B1776" s="70">
        <v>46.74</v>
      </c>
      <c r="C1776" s="85">
        <v>3483413</v>
      </c>
      <c r="D1776" s="88">
        <v>-2.51329648555636E-2</v>
      </c>
      <c r="E1776" s="87"/>
    </row>
    <row r="1777" spans="1:5" ht="15" x14ac:dyDescent="0.2">
      <c r="A1777" s="73">
        <v>41960</v>
      </c>
      <c r="B1777" s="70">
        <v>47.945</v>
      </c>
      <c r="C1777" s="85">
        <v>2692168</v>
      </c>
      <c r="D1777" s="88">
        <v>-1.052522959446911E-2</v>
      </c>
      <c r="E1777" s="87"/>
    </row>
    <row r="1778" spans="1:5" ht="15" x14ac:dyDescent="0.2">
      <c r="A1778" s="73">
        <v>41957</v>
      </c>
      <c r="B1778" s="70">
        <v>48.454999999999998</v>
      </c>
      <c r="C1778" s="85">
        <v>4616390</v>
      </c>
      <c r="D1778" s="88">
        <v>1.5828092243186376E-2</v>
      </c>
      <c r="E1778" s="87"/>
    </row>
    <row r="1779" spans="1:5" ht="15" x14ac:dyDescent="0.2">
      <c r="A1779" s="73">
        <v>41956</v>
      </c>
      <c r="B1779" s="70">
        <v>47.7</v>
      </c>
      <c r="C1779" s="85">
        <v>2690626</v>
      </c>
      <c r="D1779" s="88">
        <v>-7.2840790842870762E-3</v>
      </c>
      <c r="E1779" s="87"/>
    </row>
    <row r="1780" spans="1:5" ht="15" x14ac:dyDescent="0.2">
      <c r="A1780" s="73">
        <v>41955</v>
      </c>
      <c r="B1780" s="70">
        <v>48.05</v>
      </c>
      <c r="C1780" s="85">
        <v>2136671</v>
      </c>
      <c r="D1780" s="88">
        <v>-1.2332990750256956E-2</v>
      </c>
      <c r="E1780" s="87"/>
    </row>
    <row r="1781" spans="1:5" ht="15" x14ac:dyDescent="0.2">
      <c r="A1781" s="73">
        <v>41954</v>
      </c>
      <c r="B1781" s="70">
        <v>48.65</v>
      </c>
      <c r="C1781" s="85">
        <v>1876155</v>
      </c>
      <c r="D1781" s="88">
        <v>5.6847545219638196E-3</v>
      </c>
      <c r="E1781" s="87"/>
    </row>
    <row r="1782" spans="1:5" ht="15" x14ac:dyDescent="0.2">
      <c r="A1782" s="73">
        <v>41953</v>
      </c>
      <c r="B1782" s="70">
        <v>48.375</v>
      </c>
      <c r="C1782" s="85">
        <v>1868028</v>
      </c>
      <c r="D1782" s="88">
        <v>2.7985074626866169E-3</v>
      </c>
      <c r="E1782" s="87"/>
    </row>
    <row r="1783" spans="1:5" ht="15" x14ac:dyDescent="0.2">
      <c r="A1783" s="73">
        <v>41950</v>
      </c>
      <c r="B1783" s="70">
        <v>48.24</v>
      </c>
      <c r="C1783" s="85">
        <v>2413621</v>
      </c>
      <c r="D1783" s="88">
        <v>-3.4087387666563718E-3</v>
      </c>
      <c r="E1783" s="87"/>
    </row>
    <row r="1784" spans="1:5" ht="15" x14ac:dyDescent="0.2">
      <c r="A1784" s="73">
        <v>41949</v>
      </c>
      <c r="B1784" s="70">
        <v>48.405000000000001</v>
      </c>
      <c r="C1784" s="85">
        <v>3165957</v>
      </c>
      <c r="D1784" s="88">
        <v>1.22333751568382E-2</v>
      </c>
      <c r="E1784" s="87"/>
    </row>
    <row r="1785" spans="1:5" ht="15" x14ac:dyDescent="0.2">
      <c r="A1785" s="73">
        <v>41948</v>
      </c>
      <c r="B1785" s="70">
        <v>47.82</v>
      </c>
      <c r="C1785" s="85">
        <v>2077599</v>
      </c>
      <c r="D1785" s="88">
        <v>2.0051194539249195E-2</v>
      </c>
      <c r="E1785" s="87"/>
    </row>
    <row r="1786" spans="1:5" ht="15" x14ac:dyDescent="0.2">
      <c r="A1786" s="73">
        <v>41947</v>
      </c>
      <c r="B1786" s="70">
        <v>46.88</v>
      </c>
      <c r="C1786" s="85">
        <v>2376176</v>
      </c>
      <c r="D1786" s="88">
        <v>-1.4090431125131309E-2</v>
      </c>
      <c r="E1786" s="87"/>
    </row>
    <row r="1787" spans="1:5" ht="15" x14ac:dyDescent="0.2">
      <c r="A1787" s="73">
        <v>41946</v>
      </c>
      <c r="B1787" s="70">
        <v>47.55</v>
      </c>
      <c r="C1787" s="85">
        <v>2077246</v>
      </c>
      <c r="D1787" s="88">
        <v>-1.0504201680673342E-3</v>
      </c>
      <c r="E1787" s="87"/>
    </row>
    <row r="1788" spans="1:5" ht="15" x14ac:dyDescent="0.2">
      <c r="A1788" s="73">
        <v>41943</v>
      </c>
      <c r="B1788" s="70">
        <v>47.6</v>
      </c>
      <c r="C1788" s="85">
        <v>3612634</v>
      </c>
      <c r="D1788" s="88">
        <v>3.6924082343971154E-2</v>
      </c>
      <c r="E1788" s="87"/>
    </row>
    <row r="1789" spans="1:5" ht="15" x14ac:dyDescent="0.2">
      <c r="A1789" s="73">
        <v>41942</v>
      </c>
      <c r="B1789" s="70">
        <v>45.905000000000001</v>
      </c>
      <c r="C1789" s="85">
        <v>3109545</v>
      </c>
      <c r="D1789" s="88">
        <v>2.2925764192140985E-3</v>
      </c>
      <c r="E1789" s="87"/>
    </row>
    <row r="1790" spans="1:5" ht="15" x14ac:dyDescent="0.2">
      <c r="A1790" s="73">
        <v>41941</v>
      </c>
      <c r="B1790" s="70">
        <v>45.8</v>
      </c>
      <c r="C1790" s="85">
        <v>2312120</v>
      </c>
      <c r="D1790" s="88">
        <v>8.4773753165252597E-3</v>
      </c>
      <c r="E1790" s="87"/>
    </row>
    <row r="1791" spans="1:5" ht="15" x14ac:dyDescent="0.2">
      <c r="A1791" s="73">
        <v>41940</v>
      </c>
      <c r="B1791" s="70">
        <v>45.414999999999999</v>
      </c>
      <c r="C1791" s="85">
        <v>2296543</v>
      </c>
      <c r="D1791" s="88">
        <v>1.4633601429848042E-2</v>
      </c>
      <c r="E1791" s="87"/>
    </row>
    <row r="1792" spans="1:5" ht="15" x14ac:dyDescent="0.2">
      <c r="A1792" s="73">
        <v>41939</v>
      </c>
      <c r="B1792" s="70">
        <v>44.76</v>
      </c>
      <c r="C1792" s="85">
        <v>2452021</v>
      </c>
      <c r="D1792" s="88">
        <v>-1.1702362552439838E-2</v>
      </c>
      <c r="E1792" s="87"/>
    </row>
    <row r="1793" spans="1:5" ht="15" x14ac:dyDescent="0.2">
      <c r="A1793" s="73">
        <v>41936</v>
      </c>
      <c r="B1793" s="70">
        <v>45.29</v>
      </c>
      <c r="C1793" s="85">
        <v>2085574</v>
      </c>
      <c r="D1793" s="88">
        <v>-5.3804765564949841E-3</v>
      </c>
      <c r="E1793" s="87"/>
    </row>
    <row r="1794" spans="1:5" ht="15" x14ac:dyDescent="0.2">
      <c r="A1794" s="73">
        <v>41935</v>
      </c>
      <c r="B1794" s="70">
        <v>45.534999999999997</v>
      </c>
      <c r="C1794" s="85">
        <v>2654542</v>
      </c>
      <c r="D1794" s="88">
        <v>7.1886750718865855E-3</v>
      </c>
      <c r="E1794" s="87"/>
    </row>
    <row r="1795" spans="1:5" ht="15" x14ac:dyDescent="0.2">
      <c r="A1795" s="73">
        <v>41934</v>
      </c>
      <c r="B1795" s="70">
        <v>45.21</v>
      </c>
      <c r="C1795" s="85">
        <v>3341269</v>
      </c>
      <c r="D1795" s="88">
        <v>7.6897358742895605E-3</v>
      </c>
      <c r="E1795" s="87"/>
    </row>
    <row r="1796" spans="1:5" ht="15" x14ac:dyDescent="0.2">
      <c r="A1796" s="73">
        <v>41933</v>
      </c>
      <c r="B1796" s="70">
        <v>44.865000000000002</v>
      </c>
      <c r="C1796" s="85">
        <v>3143762</v>
      </c>
      <c r="D1796" s="88">
        <v>2.7364323334096552E-2</v>
      </c>
      <c r="E1796" s="87"/>
    </row>
    <row r="1797" spans="1:5" ht="15" x14ac:dyDescent="0.2">
      <c r="A1797" s="73">
        <v>41932</v>
      </c>
      <c r="B1797" s="70">
        <v>43.67</v>
      </c>
      <c r="C1797" s="85">
        <v>2507536</v>
      </c>
      <c r="D1797" s="88">
        <v>-6.5969062784348997E-3</v>
      </c>
      <c r="E1797" s="87"/>
    </row>
    <row r="1798" spans="1:5" ht="15" x14ac:dyDescent="0.2">
      <c r="A1798" s="73">
        <v>41929</v>
      </c>
      <c r="B1798" s="70">
        <v>43.96</v>
      </c>
      <c r="C1798" s="85">
        <v>5999401</v>
      </c>
      <c r="D1798" s="88">
        <v>2.8304093567251387E-2</v>
      </c>
      <c r="E1798" s="87"/>
    </row>
    <row r="1799" spans="1:5" ht="15" x14ac:dyDescent="0.2">
      <c r="A1799" s="73">
        <v>41928</v>
      </c>
      <c r="B1799" s="70">
        <v>42.75</v>
      </c>
      <c r="C1799" s="85">
        <v>8008544</v>
      </c>
      <c r="D1799" s="88">
        <v>-2.1739130434782705E-2</v>
      </c>
      <c r="E1799" s="87"/>
    </row>
    <row r="1800" spans="1:5" ht="15" x14ac:dyDescent="0.2">
      <c r="A1800" s="73">
        <v>41927</v>
      </c>
      <c r="B1800" s="70">
        <v>43.7</v>
      </c>
      <c r="C1800" s="85">
        <v>4677802</v>
      </c>
      <c r="D1800" s="88">
        <v>-4.8033983226228094E-2</v>
      </c>
      <c r="E1800" s="87"/>
    </row>
    <row r="1801" spans="1:5" ht="15" x14ac:dyDescent="0.2">
      <c r="A1801" s="73">
        <v>41926</v>
      </c>
      <c r="B1801" s="70">
        <v>45.905000000000001</v>
      </c>
      <c r="C1801" s="85">
        <v>3034247</v>
      </c>
      <c r="D1801" s="88">
        <v>9.8999010009901411E-3</v>
      </c>
      <c r="E1801" s="87"/>
    </row>
    <row r="1802" spans="1:5" ht="15" x14ac:dyDescent="0.2">
      <c r="A1802" s="73">
        <v>41925</v>
      </c>
      <c r="B1802" s="70">
        <v>45.454999999999998</v>
      </c>
      <c r="C1802" s="85">
        <v>2882153</v>
      </c>
      <c r="D1802" s="88">
        <v>3.3010563380275748E-4</v>
      </c>
      <c r="E1802" s="87"/>
    </row>
    <row r="1803" spans="1:5" ht="15" x14ac:dyDescent="0.2">
      <c r="A1803" s="73">
        <v>41922</v>
      </c>
      <c r="B1803" s="70">
        <v>45.44</v>
      </c>
      <c r="C1803" s="85">
        <v>5102960</v>
      </c>
      <c r="D1803" s="88">
        <v>-4.6002190580504143E-3</v>
      </c>
      <c r="E1803" s="87"/>
    </row>
    <row r="1804" spans="1:5" ht="15" x14ac:dyDescent="0.2">
      <c r="A1804" s="73">
        <v>41921</v>
      </c>
      <c r="B1804" s="70">
        <v>45.65</v>
      </c>
      <c r="C1804" s="85">
        <v>4885904</v>
      </c>
      <c r="D1804" s="88">
        <v>-4.0563261874737244E-2</v>
      </c>
      <c r="E1804" s="87"/>
    </row>
    <row r="1805" spans="1:5" ht="15" x14ac:dyDescent="0.2">
      <c r="A1805" s="73">
        <v>41920</v>
      </c>
      <c r="B1805" s="70">
        <v>47.58</v>
      </c>
      <c r="C1805" s="85">
        <v>3314996</v>
      </c>
      <c r="D1805" s="88">
        <v>-2.1189055749845753E-2</v>
      </c>
      <c r="E1805" s="87"/>
    </row>
    <row r="1806" spans="1:5" ht="15" x14ac:dyDescent="0.2">
      <c r="A1806" s="73">
        <v>41919</v>
      </c>
      <c r="B1806" s="70">
        <v>48.61</v>
      </c>
      <c r="C1806" s="85">
        <v>3499897</v>
      </c>
      <c r="D1806" s="88">
        <v>-2.6339509263895833E-2</v>
      </c>
      <c r="E1806" s="87"/>
    </row>
    <row r="1807" spans="1:5" ht="15" x14ac:dyDescent="0.2">
      <c r="A1807" s="73">
        <v>41918</v>
      </c>
      <c r="B1807" s="70">
        <v>49.924999999999997</v>
      </c>
      <c r="C1807" s="85">
        <v>2368745</v>
      </c>
      <c r="D1807" s="88">
        <v>6.9584509883016121E-3</v>
      </c>
      <c r="E1807" s="87"/>
    </row>
    <row r="1808" spans="1:5" ht="15" x14ac:dyDescent="0.2">
      <c r="A1808" s="73">
        <v>41915</v>
      </c>
      <c r="B1808" s="70">
        <v>49.58</v>
      </c>
      <c r="C1808" s="85">
        <v>2972224</v>
      </c>
      <c r="D1808" s="88">
        <v>3.5721746396490506E-2</v>
      </c>
      <c r="E1808" s="87"/>
    </row>
    <row r="1809" spans="1:5" ht="15" x14ac:dyDescent="0.2">
      <c r="A1809" s="73">
        <v>41914</v>
      </c>
      <c r="B1809" s="70">
        <v>47.87</v>
      </c>
      <c r="C1809" s="85">
        <v>3597859</v>
      </c>
      <c r="D1809" s="88">
        <v>-2.48523120798535E-2</v>
      </c>
      <c r="E1809" s="87"/>
    </row>
    <row r="1810" spans="1:5" ht="15" x14ac:dyDescent="0.2">
      <c r="A1810" s="73">
        <v>41913</v>
      </c>
      <c r="B1810" s="70">
        <v>49.09</v>
      </c>
      <c r="C1810" s="85">
        <v>2499382</v>
      </c>
      <c r="D1810" s="88">
        <v>-1.4652749899638606E-2</v>
      </c>
      <c r="E1810" s="87"/>
    </row>
    <row r="1811" spans="1:5" ht="15" x14ac:dyDescent="0.2">
      <c r="A1811" s="73">
        <v>41912</v>
      </c>
      <c r="B1811" s="70">
        <v>49.82</v>
      </c>
      <c r="C1811" s="85">
        <v>3535123</v>
      </c>
      <c r="D1811" s="88">
        <v>2.6052929667387481E-2</v>
      </c>
      <c r="E1811" s="87"/>
    </row>
    <row r="1812" spans="1:5" ht="15" x14ac:dyDescent="0.2">
      <c r="A1812" s="73">
        <v>41911</v>
      </c>
      <c r="B1812" s="70">
        <v>48.555</v>
      </c>
      <c r="C1812" s="85">
        <v>2181374</v>
      </c>
      <c r="D1812" s="88">
        <v>-1.5910012160518905E-2</v>
      </c>
      <c r="E1812" s="87"/>
    </row>
    <row r="1813" spans="1:5" ht="15" x14ac:dyDescent="0.2">
      <c r="A1813" s="73">
        <v>41908</v>
      </c>
      <c r="B1813" s="70">
        <v>49.34</v>
      </c>
      <c r="C1813" s="85">
        <v>2442716</v>
      </c>
      <c r="D1813" s="88">
        <v>1.5644298065047524E-2</v>
      </c>
      <c r="E1813" s="87"/>
    </row>
    <row r="1814" spans="1:5" ht="15" x14ac:dyDescent="0.2">
      <c r="A1814" s="73">
        <v>41907</v>
      </c>
      <c r="B1814" s="70">
        <v>48.58</v>
      </c>
      <c r="C1814" s="85">
        <v>4296960</v>
      </c>
      <c r="D1814" s="88">
        <v>2.1876314682372611E-2</v>
      </c>
      <c r="E1814" s="87"/>
    </row>
    <row r="1815" spans="1:5" ht="15" x14ac:dyDescent="0.2">
      <c r="A1815" s="73">
        <v>41906</v>
      </c>
      <c r="B1815" s="70">
        <v>47.54</v>
      </c>
      <c r="C1815" s="85">
        <v>2714549</v>
      </c>
      <c r="D1815" s="88">
        <v>8.4210526315797729E-4</v>
      </c>
      <c r="E1815" s="87"/>
    </row>
    <row r="1816" spans="1:5" ht="15" x14ac:dyDescent="0.2">
      <c r="A1816" s="73">
        <v>41905</v>
      </c>
      <c r="B1816" s="70">
        <v>47.5</v>
      </c>
      <c r="C1816" s="85">
        <v>3100667</v>
      </c>
      <c r="D1816" s="88">
        <v>-3.3865554764568317E-2</v>
      </c>
      <c r="E1816" s="87"/>
    </row>
    <row r="1817" spans="1:5" ht="15" x14ac:dyDescent="0.2">
      <c r="A1817" s="73">
        <v>41904</v>
      </c>
      <c r="B1817" s="70">
        <v>49.164999999999999</v>
      </c>
      <c r="C1817" s="85">
        <v>1612406</v>
      </c>
      <c r="D1817" s="88">
        <v>-4.3539894694208936E-3</v>
      </c>
      <c r="E1817" s="87"/>
    </row>
    <row r="1818" spans="1:5" ht="15" x14ac:dyDescent="0.2">
      <c r="A1818" s="73">
        <v>41901</v>
      </c>
      <c r="B1818" s="70">
        <v>49.38</v>
      </c>
      <c r="C1818" s="85">
        <v>3278037</v>
      </c>
      <c r="D1818" s="88">
        <v>-3.4308779011098522E-3</v>
      </c>
      <c r="E1818" s="87"/>
    </row>
    <row r="1819" spans="1:5" ht="15" x14ac:dyDescent="0.2">
      <c r="A1819" s="73">
        <v>41900</v>
      </c>
      <c r="B1819" s="70">
        <v>49.55</v>
      </c>
      <c r="C1819" s="85">
        <v>1968423</v>
      </c>
      <c r="D1819" s="88">
        <v>1.5368852459016313E-2</v>
      </c>
      <c r="E1819" s="87"/>
    </row>
    <row r="1820" spans="1:5" ht="15" x14ac:dyDescent="0.2">
      <c r="A1820" s="73">
        <v>41899</v>
      </c>
      <c r="B1820" s="70">
        <v>48.8</v>
      </c>
      <c r="C1820" s="85">
        <v>1709545</v>
      </c>
      <c r="D1820" s="88">
        <v>-5.5023435907887164E-3</v>
      </c>
      <c r="E1820" s="87"/>
    </row>
    <row r="1821" spans="1:5" ht="15" x14ac:dyDescent="0.2">
      <c r="A1821" s="73">
        <v>41898</v>
      </c>
      <c r="B1821" s="70">
        <v>49.07</v>
      </c>
      <c r="C1821" s="85">
        <v>2145634</v>
      </c>
      <c r="D1821" s="88">
        <v>3.066230580539564E-3</v>
      </c>
      <c r="E1821" s="87"/>
    </row>
    <row r="1822" spans="1:5" ht="15" x14ac:dyDescent="0.2">
      <c r="A1822" s="73">
        <v>41897</v>
      </c>
      <c r="B1822" s="70">
        <v>48.92</v>
      </c>
      <c r="C1822" s="85">
        <v>1450698</v>
      </c>
      <c r="D1822" s="88">
        <v>8.6597938144330477E-3</v>
      </c>
      <c r="E1822" s="87"/>
    </row>
    <row r="1823" spans="1:5" ht="15" x14ac:dyDescent="0.2">
      <c r="A1823" s="73">
        <v>41894</v>
      </c>
      <c r="B1823" s="70">
        <v>48.5</v>
      </c>
      <c r="C1823" s="85">
        <v>2341948</v>
      </c>
      <c r="D1823" s="88">
        <v>6.1196971268540068E-3</v>
      </c>
      <c r="E1823" s="87"/>
    </row>
    <row r="1824" spans="1:5" ht="15" x14ac:dyDescent="0.2">
      <c r="A1824" s="73">
        <v>41893</v>
      </c>
      <c r="B1824" s="70">
        <v>48.204999999999998</v>
      </c>
      <c r="C1824" s="85">
        <v>1816204</v>
      </c>
      <c r="D1824" s="88">
        <v>-4.0289256198347001E-3</v>
      </c>
      <c r="E1824" s="87"/>
    </row>
    <row r="1825" spans="1:5" ht="15" x14ac:dyDescent="0.2">
      <c r="A1825" s="73">
        <v>41892</v>
      </c>
      <c r="B1825" s="70">
        <v>48.4</v>
      </c>
      <c r="C1825" s="85">
        <v>1680707</v>
      </c>
      <c r="D1825" s="88">
        <v>-3.9102696027990547E-3</v>
      </c>
      <c r="E1825" s="87"/>
    </row>
    <row r="1826" spans="1:5" ht="15" x14ac:dyDescent="0.2">
      <c r="A1826" s="73">
        <v>41891</v>
      </c>
      <c r="B1826" s="70">
        <v>48.59</v>
      </c>
      <c r="C1826" s="85">
        <v>1871914</v>
      </c>
      <c r="D1826" s="88">
        <v>-6.1362241767232151E-3</v>
      </c>
      <c r="E1826" s="87"/>
    </row>
    <row r="1827" spans="1:5" ht="15" x14ac:dyDescent="0.2">
      <c r="A1827" s="73">
        <v>41890</v>
      </c>
      <c r="B1827" s="70">
        <v>48.89</v>
      </c>
      <c r="C1827" s="85">
        <v>2039253</v>
      </c>
      <c r="D1827" s="88">
        <v>-6.0988005692212965E-3</v>
      </c>
      <c r="E1827" s="87"/>
    </row>
    <row r="1828" spans="1:5" ht="15" x14ac:dyDescent="0.2">
      <c r="A1828" s="73">
        <v>41887</v>
      </c>
      <c r="B1828" s="70">
        <v>49.19</v>
      </c>
      <c r="C1828" s="85">
        <v>3328196</v>
      </c>
      <c r="D1828" s="88">
        <v>6.4450127877238028E-3</v>
      </c>
      <c r="E1828" s="87"/>
    </row>
    <row r="1829" spans="1:5" ht="15" x14ac:dyDescent="0.2">
      <c r="A1829" s="73">
        <v>41886</v>
      </c>
      <c r="B1829" s="70">
        <v>48.875</v>
      </c>
      <c r="C1829" s="85">
        <v>4091483</v>
      </c>
      <c r="D1829" s="88">
        <v>3.2534065701911974E-2</v>
      </c>
      <c r="E1829" s="87"/>
    </row>
    <row r="1830" spans="1:5" ht="15" x14ac:dyDescent="0.2">
      <c r="A1830" s="73">
        <v>41885</v>
      </c>
      <c r="B1830" s="70">
        <v>47.335000000000001</v>
      </c>
      <c r="C1830" s="85">
        <v>2293339</v>
      </c>
      <c r="D1830" s="88">
        <v>7.1276595744680371E-3</v>
      </c>
      <c r="E1830" s="87"/>
    </row>
    <row r="1831" spans="1:5" ht="15" x14ac:dyDescent="0.2">
      <c r="A1831" s="73">
        <v>41884</v>
      </c>
      <c r="B1831" s="70">
        <v>47</v>
      </c>
      <c r="C1831" s="85">
        <v>1608293</v>
      </c>
      <c r="D1831" s="88">
        <v>4.2735042735042583E-3</v>
      </c>
      <c r="E1831" s="87"/>
    </row>
    <row r="1832" spans="1:5" ht="15" x14ac:dyDescent="0.2">
      <c r="A1832" s="73">
        <v>41883</v>
      </c>
      <c r="B1832" s="70">
        <v>46.8</v>
      </c>
      <c r="C1832" s="85">
        <v>1443266</v>
      </c>
      <c r="D1832" s="88">
        <v>-1.0682619378277192E-4</v>
      </c>
      <c r="E1832" s="87"/>
    </row>
    <row r="1833" spans="1:5" ht="15" x14ac:dyDescent="0.2">
      <c r="A1833" s="73">
        <v>41880</v>
      </c>
      <c r="B1833" s="70">
        <v>46.805</v>
      </c>
      <c r="C1833" s="85">
        <v>1729514</v>
      </c>
      <c r="D1833" s="88">
        <v>4.399141630901271E-3</v>
      </c>
      <c r="E1833" s="87"/>
    </row>
    <row r="1834" spans="1:5" ht="15" x14ac:dyDescent="0.2">
      <c r="A1834" s="73">
        <v>41879</v>
      </c>
      <c r="B1834" s="70">
        <v>46.6</v>
      </c>
      <c r="C1834" s="85">
        <v>1859206</v>
      </c>
      <c r="D1834" s="88">
        <v>-3.528279696354053E-3</v>
      </c>
      <c r="E1834" s="87"/>
    </row>
    <row r="1835" spans="1:5" ht="15" x14ac:dyDescent="0.2">
      <c r="A1835" s="73">
        <v>41878</v>
      </c>
      <c r="B1835" s="70">
        <v>46.765000000000001</v>
      </c>
      <c r="C1835" s="85">
        <v>2014430</v>
      </c>
      <c r="D1835" s="88">
        <v>4.7266086582875566E-3</v>
      </c>
      <c r="E1835" s="87"/>
    </row>
    <row r="1836" spans="1:5" ht="15" x14ac:dyDescent="0.2">
      <c r="A1836" s="73">
        <v>41877</v>
      </c>
      <c r="B1836" s="70">
        <v>46.545000000000002</v>
      </c>
      <c r="C1836" s="85">
        <v>2442912</v>
      </c>
      <c r="D1836" s="88">
        <v>1.3059092393078675E-2</v>
      </c>
      <c r="E1836" s="87"/>
    </row>
    <row r="1837" spans="1:5" ht="15" x14ac:dyDescent="0.2">
      <c r="A1837" s="73">
        <v>41876</v>
      </c>
      <c r="B1837" s="70">
        <v>45.945</v>
      </c>
      <c r="C1837" s="85">
        <v>1871039</v>
      </c>
      <c r="D1837" s="88">
        <v>2.7162977867203342E-2</v>
      </c>
      <c r="E1837" s="87"/>
    </row>
    <row r="1838" spans="1:5" ht="15" x14ac:dyDescent="0.2">
      <c r="A1838" s="73">
        <v>41873</v>
      </c>
      <c r="B1838" s="70">
        <v>44.73</v>
      </c>
      <c r="C1838" s="85">
        <v>1920865</v>
      </c>
      <c r="D1838" s="88">
        <v>1.0070493454177321E-3</v>
      </c>
      <c r="E1838" s="87"/>
    </row>
    <row r="1839" spans="1:5" ht="15" x14ac:dyDescent="0.2">
      <c r="A1839" s="73">
        <v>41872</v>
      </c>
      <c r="B1839" s="70">
        <v>44.685000000000002</v>
      </c>
      <c r="C1839" s="85">
        <v>2075823</v>
      </c>
      <c r="D1839" s="88">
        <v>4.1573033707864582E-3</v>
      </c>
      <c r="E1839" s="87"/>
    </row>
    <row r="1840" spans="1:5" ht="15" x14ac:dyDescent="0.2">
      <c r="A1840" s="73">
        <v>41871</v>
      </c>
      <c r="B1840" s="70">
        <v>44.5</v>
      </c>
      <c r="C1840" s="85">
        <v>2128099</v>
      </c>
      <c r="D1840" s="88">
        <v>-3.4710558728026086E-3</v>
      </c>
      <c r="E1840" s="87"/>
    </row>
    <row r="1841" spans="1:5" ht="15" x14ac:dyDescent="0.2">
      <c r="A1841" s="73">
        <v>41870</v>
      </c>
      <c r="B1841" s="70">
        <v>44.655000000000001</v>
      </c>
      <c r="C1841" s="85">
        <v>1909543</v>
      </c>
      <c r="D1841" s="88">
        <v>1.1896668932698917E-2</v>
      </c>
      <c r="E1841" s="87"/>
    </row>
    <row r="1842" spans="1:5" ht="15" x14ac:dyDescent="0.2">
      <c r="A1842" s="73">
        <v>41869</v>
      </c>
      <c r="B1842" s="70">
        <v>44.13</v>
      </c>
      <c r="C1842" s="85">
        <v>1623400</v>
      </c>
      <c r="D1842" s="88">
        <v>1.5182884748102143E-2</v>
      </c>
      <c r="E1842" s="87"/>
    </row>
    <row r="1843" spans="1:5" ht="15" x14ac:dyDescent="0.2">
      <c r="A1843" s="73">
        <v>41866</v>
      </c>
      <c r="B1843" s="70">
        <v>43.47</v>
      </c>
      <c r="C1843" s="85">
        <v>2749705</v>
      </c>
      <c r="D1843" s="88">
        <v>-3.0959752321980671E-3</v>
      </c>
      <c r="E1843" s="87"/>
    </row>
    <row r="1844" spans="1:5" ht="15" x14ac:dyDescent="0.2">
      <c r="A1844" s="73">
        <v>41865</v>
      </c>
      <c r="B1844" s="70">
        <v>43.604999999999997</v>
      </c>
      <c r="C1844" s="85">
        <v>1767026</v>
      </c>
      <c r="D1844" s="88">
        <v>1.1834319526627279E-2</v>
      </c>
      <c r="E1844" s="87"/>
    </row>
    <row r="1845" spans="1:5" ht="15" x14ac:dyDescent="0.2">
      <c r="A1845" s="73">
        <v>41864</v>
      </c>
      <c r="B1845" s="70">
        <v>43.094999999999999</v>
      </c>
      <c r="C1845" s="85">
        <v>1683542</v>
      </c>
      <c r="D1845" s="88">
        <v>9.2904424573214683E-4</v>
      </c>
      <c r="E1845" s="87"/>
    </row>
    <row r="1846" spans="1:5" ht="15" x14ac:dyDescent="0.2">
      <c r="A1846" s="73">
        <v>41863</v>
      </c>
      <c r="B1846" s="70">
        <v>43.055</v>
      </c>
      <c r="C1846" s="85">
        <v>2315527</v>
      </c>
      <c r="D1846" s="88">
        <v>-6.6905064021224314E-3</v>
      </c>
      <c r="E1846" s="87"/>
    </row>
    <row r="1847" spans="1:5" ht="15" x14ac:dyDescent="0.2">
      <c r="A1847" s="73">
        <v>41862</v>
      </c>
      <c r="B1847" s="70">
        <v>43.344999999999999</v>
      </c>
      <c r="C1847" s="85">
        <v>2209816</v>
      </c>
      <c r="D1847" s="88">
        <v>2.6767736586521318E-2</v>
      </c>
      <c r="E1847" s="87"/>
    </row>
    <row r="1848" spans="1:5" ht="15" x14ac:dyDescent="0.2">
      <c r="A1848" s="73">
        <v>41859</v>
      </c>
      <c r="B1848" s="70">
        <v>42.215000000000003</v>
      </c>
      <c r="C1848" s="85">
        <v>2157772</v>
      </c>
      <c r="D1848" s="88">
        <v>-8.1062030075187419E-3</v>
      </c>
      <c r="E1848" s="87"/>
    </row>
    <row r="1849" spans="1:5" ht="15" x14ac:dyDescent="0.2">
      <c r="A1849" s="73">
        <v>41858</v>
      </c>
      <c r="B1849" s="70">
        <v>42.56</v>
      </c>
      <c r="C1849" s="85">
        <v>2747244</v>
      </c>
      <c r="D1849" s="88">
        <v>-9.8871699430033155E-3</v>
      </c>
      <c r="E1849" s="87"/>
    </row>
    <row r="1850" spans="1:5" ht="15" x14ac:dyDescent="0.2">
      <c r="A1850" s="73">
        <v>41857</v>
      </c>
      <c r="B1850" s="70">
        <v>42.984999999999999</v>
      </c>
      <c r="C1850" s="85">
        <v>3926549</v>
      </c>
      <c r="D1850" s="88">
        <v>1.2603062426383982E-2</v>
      </c>
      <c r="E1850" s="87"/>
    </row>
    <row r="1851" spans="1:5" ht="15" x14ac:dyDescent="0.2">
      <c r="A1851" s="73">
        <v>41856</v>
      </c>
      <c r="B1851" s="70">
        <v>42.45</v>
      </c>
      <c r="C1851" s="85">
        <v>3425125</v>
      </c>
      <c r="D1851" s="88">
        <v>-3.2871566095327154E-3</v>
      </c>
      <c r="E1851" s="87"/>
    </row>
    <row r="1852" spans="1:5" ht="15" x14ac:dyDescent="0.2">
      <c r="A1852" s="73">
        <v>41855</v>
      </c>
      <c r="B1852" s="70">
        <v>42.59</v>
      </c>
      <c r="C1852" s="85">
        <v>2443497</v>
      </c>
      <c r="D1852" s="88">
        <v>-1.9917984768598185E-3</v>
      </c>
      <c r="E1852" s="87"/>
    </row>
    <row r="1853" spans="1:5" ht="15" x14ac:dyDescent="0.2">
      <c r="A1853" s="73">
        <v>41852</v>
      </c>
      <c r="B1853" s="70">
        <v>42.674999999999997</v>
      </c>
      <c r="C1853" s="85">
        <v>4678199</v>
      </c>
      <c r="D1853" s="88">
        <v>-1.5797970479704881E-2</v>
      </c>
      <c r="E1853" s="87"/>
    </row>
    <row r="1854" spans="1:5" ht="15" x14ac:dyDescent="0.2">
      <c r="A1854" s="73">
        <v>41851</v>
      </c>
      <c r="B1854" s="70">
        <v>43.36</v>
      </c>
      <c r="C1854" s="85">
        <v>4806448</v>
      </c>
      <c r="D1854" s="88">
        <v>-3.6444444444444501E-2</v>
      </c>
      <c r="E1854" s="87"/>
    </row>
    <row r="1855" spans="1:5" ht="15" x14ac:dyDescent="0.2">
      <c r="A1855" s="73">
        <v>41850</v>
      </c>
      <c r="B1855" s="70">
        <v>45</v>
      </c>
      <c r="C1855" s="85">
        <v>4859575</v>
      </c>
      <c r="D1855" s="88">
        <v>3.0101865628934465E-2</v>
      </c>
      <c r="E1855" s="87"/>
    </row>
    <row r="1856" spans="1:5" ht="15" x14ac:dyDescent="0.2">
      <c r="A1856" s="73">
        <v>41849</v>
      </c>
      <c r="B1856" s="70">
        <v>43.685000000000002</v>
      </c>
      <c r="C1856" s="85">
        <v>3767017</v>
      </c>
      <c r="D1856" s="88">
        <v>-7.6101771921853745E-3</v>
      </c>
      <c r="E1856" s="87"/>
    </row>
    <row r="1857" spans="1:5" ht="15" x14ac:dyDescent="0.2">
      <c r="A1857" s="73">
        <v>41848</v>
      </c>
      <c r="B1857" s="70">
        <v>44.02</v>
      </c>
      <c r="C1857" s="85">
        <v>2921934</v>
      </c>
      <c r="D1857" s="88">
        <v>-1.0786516853932504E-2</v>
      </c>
      <c r="E1857" s="87"/>
    </row>
    <row r="1858" spans="1:5" ht="15" x14ac:dyDescent="0.2">
      <c r="A1858" s="73">
        <v>41845</v>
      </c>
      <c r="B1858" s="70">
        <v>44.5</v>
      </c>
      <c r="C1858" s="85">
        <v>2639624</v>
      </c>
      <c r="D1858" s="88">
        <v>-1.895943562610225E-2</v>
      </c>
      <c r="E1858" s="87"/>
    </row>
    <row r="1859" spans="1:5" ht="15" x14ac:dyDescent="0.2">
      <c r="A1859" s="73">
        <v>41844</v>
      </c>
      <c r="B1859" s="70">
        <v>45.36</v>
      </c>
      <c r="C1859" s="85">
        <v>2579869</v>
      </c>
      <c r="D1859" s="88">
        <v>9.6828046744574792E-3</v>
      </c>
      <c r="E1859" s="87"/>
    </row>
    <row r="1860" spans="1:5" ht="15" x14ac:dyDescent="0.2">
      <c r="A1860" s="73">
        <v>41843</v>
      </c>
      <c r="B1860" s="70">
        <v>44.924999999999997</v>
      </c>
      <c r="C1860" s="85">
        <v>3960185</v>
      </c>
      <c r="D1860" s="88">
        <v>1.1710392973764083E-2</v>
      </c>
      <c r="E1860" s="87"/>
    </row>
    <row r="1861" spans="1:5" ht="15" x14ac:dyDescent="0.2">
      <c r="A1861" s="73">
        <v>41842</v>
      </c>
      <c r="B1861" s="70">
        <v>44.405000000000001</v>
      </c>
      <c r="C1861" s="85">
        <v>3959439</v>
      </c>
      <c r="D1861" s="88">
        <v>2.5756525756525761E-2</v>
      </c>
      <c r="E1861" s="87"/>
    </row>
    <row r="1862" spans="1:5" ht="15" x14ac:dyDescent="0.2">
      <c r="A1862" s="73">
        <v>41841</v>
      </c>
      <c r="B1862" s="70">
        <v>43.29</v>
      </c>
      <c r="C1862" s="85">
        <v>3488965</v>
      </c>
      <c r="D1862" s="88">
        <v>-2.6753597122302075E-2</v>
      </c>
      <c r="E1862" s="87"/>
    </row>
    <row r="1863" spans="1:5" ht="15" x14ac:dyDescent="0.2">
      <c r="A1863" s="73">
        <v>41838</v>
      </c>
      <c r="B1863" s="70">
        <v>44.48</v>
      </c>
      <c r="C1863" s="85">
        <v>3335312</v>
      </c>
      <c r="D1863" s="88">
        <v>-1.111605157847928E-2</v>
      </c>
      <c r="E1863" s="87"/>
    </row>
    <row r="1864" spans="1:5" ht="15" x14ac:dyDescent="0.2">
      <c r="A1864" s="73">
        <v>41837</v>
      </c>
      <c r="B1864" s="70">
        <v>44.98</v>
      </c>
      <c r="C1864" s="85">
        <v>3151815</v>
      </c>
      <c r="D1864" s="88">
        <v>-8.3774250440917797E-3</v>
      </c>
      <c r="E1864" s="87"/>
    </row>
    <row r="1865" spans="1:5" ht="15" x14ac:dyDescent="0.2">
      <c r="A1865" s="73">
        <v>41836</v>
      </c>
      <c r="B1865" s="70">
        <v>45.36</v>
      </c>
      <c r="C1865" s="85">
        <v>6809033</v>
      </c>
      <c r="D1865" s="88">
        <v>-2.4621008493710406E-2</v>
      </c>
      <c r="E1865" s="87"/>
    </row>
    <row r="1866" spans="1:5" ht="15" x14ac:dyDescent="0.2">
      <c r="A1866" s="73">
        <v>41835</v>
      </c>
      <c r="B1866" s="70">
        <v>46.505000000000003</v>
      </c>
      <c r="C1866" s="85">
        <v>3111367</v>
      </c>
      <c r="D1866" s="88">
        <v>-1.3365864007637507E-2</v>
      </c>
      <c r="E1866" s="87"/>
    </row>
    <row r="1867" spans="1:5" ht="15" x14ac:dyDescent="0.2">
      <c r="A1867" s="73">
        <v>41834</v>
      </c>
      <c r="B1867" s="70">
        <v>47.134999999999998</v>
      </c>
      <c r="C1867" s="85">
        <v>3010768</v>
      </c>
      <c r="D1867" s="88">
        <v>5.30672893228612E-4</v>
      </c>
      <c r="E1867" s="87"/>
    </row>
    <row r="1868" spans="1:5" ht="15" x14ac:dyDescent="0.2">
      <c r="A1868" s="73">
        <v>41831</v>
      </c>
      <c r="B1868" s="70">
        <v>47.11</v>
      </c>
      <c r="C1868" s="85">
        <v>3465348</v>
      </c>
      <c r="D1868" s="88">
        <v>6.301399124212459E-3</v>
      </c>
      <c r="E1868" s="87"/>
    </row>
    <row r="1869" spans="1:5" ht="15" x14ac:dyDescent="0.2">
      <c r="A1869" s="73">
        <v>41830</v>
      </c>
      <c r="B1869" s="70">
        <v>46.814999999999998</v>
      </c>
      <c r="C1869" s="85">
        <v>3314275</v>
      </c>
      <c r="D1869" s="88">
        <v>-4.0421231783853706E-3</v>
      </c>
      <c r="E1869" s="87"/>
    </row>
    <row r="1870" spans="1:5" ht="15" x14ac:dyDescent="0.2">
      <c r="A1870" s="73">
        <v>41829</v>
      </c>
      <c r="B1870" s="70">
        <v>47.005000000000003</v>
      </c>
      <c r="C1870" s="85">
        <v>3099722</v>
      </c>
      <c r="D1870" s="88">
        <v>3.2013659161242991E-3</v>
      </c>
      <c r="E1870" s="87"/>
    </row>
    <row r="1871" spans="1:5" ht="15" x14ac:dyDescent="0.2">
      <c r="A1871" s="73">
        <v>41828</v>
      </c>
      <c r="B1871" s="70">
        <v>46.854999999999997</v>
      </c>
      <c r="C1871" s="85">
        <v>3338014</v>
      </c>
      <c r="D1871" s="88">
        <v>-8.4647127288118851E-3</v>
      </c>
      <c r="E1871" s="87"/>
    </row>
    <row r="1872" spans="1:5" ht="15" x14ac:dyDescent="0.2">
      <c r="A1872" s="73">
        <v>41827</v>
      </c>
      <c r="B1872" s="70">
        <v>47.255000000000003</v>
      </c>
      <c r="C1872" s="85">
        <v>1837572</v>
      </c>
      <c r="D1872" s="88">
        <v>-1.5007816571130816E-2</v>
      </c>
      <c r="E1872" s="87"/>
    </row>
    <row r="1873" spans="1:5" ht="15" x14ac:dyDescent="0.2">
      <c r="A1873" s="73">
        <v>41824</v>
      </c>
      <c r="B1873" s="70">
        <v>47.975000000000001</v>
      </c>
      <c r="C1873" s="85">
        <v>2418687</v>
      </c>
      <c r="D1873" s="88">
        <v>4.3965246519417356E-3</v>
      </c>
      <c r="E1873" s="87"/>
    </row>
    <row r="1874" spans="1:5" ht="15" x14ac:dyDescent="0.2">
      <c r="A1874" s="73">
        <v>41823</v>
      </c>
      <c r="B1874" s="70">
        <v>47.765000000000001</v>
      </c>
      <c r="C1874" s="85">
        <v>3319367</v>
      </c>
      <c r="D1874" s="88">
        <v>1.004440685134278E-2</v>
      </c>
      <c r="E1874" s="87"/>
    </row>
    <row r="1875" spans="1:5" ht="15" x14ac:dyDescent="0.2">
      <c r="A1875" s="73">
        <v>41822</v>
      </c>
      <c r="B1875" s="70">
        <v>47.29</v>
      </c>
      <c r="C1875" s="85">
        <v>3762844</v>
      </c>
      <c r="D1875" s="88">
        <v>-1.3661487120659066E-2</v>
      </c>
      <c r="E1875" s="87"/>
    </row>
    <row r="1876" spans="1:5" ht="15" x14ac:dyDescent="0.2">
      <c r="A1876" s="73">
        <v>41821</v>
      </c>
      <c r="B1876" s="70">
        <v>47.945</v>
      </c>
      <c r="C1876" s="85">
        <v>3791864</v>
      </c>
      <c r="D1876" s="88">
        <v>-2.0331017572537746E-2</v>
      </c>
      <c r="E1876" s="87"/>
    </row>
    <row r="1877" spans="1:5" ht="15" x14ac:dyDescent="0.2">
      <c r="A1877" s="73">
        <v>41820</v>
      </c>
      <c r="B1877" s="70">
        <v>48.94</v>
      </c>
      <c r="C1877" s="85">
        <v>2483550</v>
      </c>
      <c r="D1877" s="88">
        <v>-7.1008318117264935E-3</v>
      </c>
      <c r="E1877" s="87"/>
    </row>
    <row r="1878" spans="1:5" ht="15" x14ac:dyDescent="0.2">
      <c r="A1878" s="73">
        <v>41817</v>
      </c>
      <c r="B1878" s="70">
        <v>49.29</v>
      </c>
      <c r="C1878" s="85">
        <v>1779301</v>
      </c>
      <c r="D1878" s="88">
        <v>1.5555784485423052E-2</v>
      </c>
      <c r="E1878" s="87"/>
    </row>
    <row r="1879" spans="1:5" ht="15" x14ac:dyDescent="0.2">
      <c r="A1879" s="73">
        <v>41816</v>
      </c>
      <c r="B1879" s="70">
        <v>48.534999999999997</v>
      </c>
      <c r="C1879" s="85">
        <v>2534982</v>
      </c>
      <c r="D1879" s="88">
        <v>-1.0499490316004056E-2</v>
      </c>
      <c r="E1879" s="87"/>
    </row>
    <row r="1880" spans="1:5" ht="15" x14ac:dyDescent="0.2">
      <c r="A1880" s="73">
        <v>41815</v>
      </c>
      <c r="B1880" s="70">
        <v>49.05</v>
      </c>
      <c r="C1880" s="85">
        <v>2662707</v>
      </c>
      <c r="D1880" s="88">
        <v>1.0204081632652073E-3</v>
      </c>
      <c r="E1880" s="87"/>
    </row>
    <row r="1881" spans="1:5" ht="15" x14ac:dyDescent="0.2">
      <c r="A1881" s="73">
        <v>41814</v>
      </c>
      <c r="B1881" s="70">
        <v>49</v>
      </c>
      <c r="C1881" s="85">
        <v>2018382</v>
      </c>
      <c r="D1881" s="88">
        <v>-7.1927869516765774E-3</v>
      </c>
      <c r="E1881" s="87"/>
    </row>
    <row r="1882" spans="1:5" ht="15" x14ac:dyDescent="0.2">
      <c r="A1882" s="73">
        <v>41813</v>
      </c>
      <c r="B1882" s="70">
        <v>49.354999999999997</v>
      </c>
      <c r="C1882" s="85">
        <v>2817163</v>
      </c>
      <c r="D1882" s="88">
        <v>-1.6636780235106619E-2</v>
      </c>
      <c r="E1882" s="87"/>
    </row>
    <row r="1883" spans="1:5" ht="15" x14ac:dyDescent="0.2">
      <c r="A1883" s="73">
        <v>41810</v>
      </c>
      <c r="B1883" s="70">
        <v>50.19</v>
      </c>
      <c r="C1883" s="85">
        <v>3209837</v>
      </c>
      <c r="D1883" s="88">
        <v>-8.1027667984190366E-3</v>
      </c>
      <c r="E1883" s="87"/>
    </row>
    <row r="1884" spans="1:5" ht="15" x14ac:dyDescent="0.2">
      <c r="A1884" s="73">
        <v>41809</v>
      </c>
      <c r="B1884" s="70">
        <v>50.6</v>
      </c>
      <c r="C1884" s="85">
        <v>2476200</v>
      </c>
      <c r="D1884" s="88">
        <v>9.5770151636074274E-3</v>
      </c>
      <c r="E1884" s="87"/>
    </row>
    <row r="1885" spans="1:5" ht="15" x14ac:dyDescent="0.2">
      <c r="A1885" s="73">
        <v>41808</v>
      </c>
      <c r="B1885" s="70">
        <v>50.12</v>
      </c>
      <c r="C1885" s="85">
        <v>1938650</v>
      </c>
      <c r="D1885" s="88">
        <v>-1.2219156484036375E-2</v>
      </c>
      <c r="E1885" s="87"/>
    </row>
    <row r="1886" spans="1:5" ht="15" x14ac:dyDescent="0.2">
      <c r="A1886" s="73">
        <v>41807</v>
      </c>
      <c r="B1886" s="70">
        <v>50.74</v>
      </c>
      <c r="C1886" s="85">
        <v>2142459</v>
      </c>
      <c r="D1886" s="88">
        <v>3.9572615749901008E-3</v>
      </c>
      <c r="E1886" s="87"/>
    </row>
    <row r="1887" spans="1:5" ht="15" x14ac:dyDescent="0.2">
      <c r="A1887" s="73">
        <v>41806</v>
      </c>
      <c r="B1887" s="70">
        <v>50.54</v>
      </c>
      <c r="C1887" s="85">
        <v>1969334</v>
      </c>
      <c r="D1887" s="88">
        <v>-1.4430577223088936E-2</v>
      </c>
      <c r="E1887" s="87"/>
    </row>
    <row r="1888" spans="1:5" ht="15" x14ac:dyDescent="0.2">
      <c r="A1888" s="73">
        <v>41803</v>
      </c>
      <c r="B1888" s="70">
        <v>51.28</v>
      </c>
      <c r="C1888" s="85">
        <v>1941607</v>
      </c>
      <c r="D1888" s="88">
        <v>-1.0802469135802517E-2</v>
      </c>
      <c r="E1888" s="87"/>
    </row>
    <row r="1889" spans="1:5" ht="15" x14ac:dyDescent="0.2">
      <c r="A1889" s="73">
        <v>41802</v>
      </c>
      <c r="B1889" s="70">
        <v>51.84</v>
      </c>
      <c r="C1889" s="85">
        <v>1945227</v>
      </c>
      <c r="D1889" s="88">
        <v>-7.0867649875502314E-3</v>
      </c>
      <c r="E1889" s="87"/>
    </row>
    <row r="1890" spans="1:5" ht="15" x14ac:dyDescent="0.2">
      <c r="A1890" s="73">
        <v>41801</v>
      </c>
      <c r="B1890" s="70">
        <v>52.21</v>
      </c>
      <c r="C1890" s="85">
        <v>5042034</v>
      </c>
      <c r="D1890" s="88">
        <v>-3.0814924819008715E-2</v>
      </c>
      <c r="E1890" s="87"/>
    </row>
    <row r="1891" spans="1:5" ht="15" x14ac:dyDescent="0.2">
      <c r="A1891" s="73">
        <v>41800</v>
      </c>
      <c r="B1891" s="70">
        <v>53.87</v>
      </c>
      <c r="C1891" s="85">
        <v>1703527</v>
      </c>
      <c r="D1891" s="88">
        <v>1.2213453588876266E-2</v>
      </c>
      <c r="E1891" s="87"/>
    </row>
    <row r="1892" spans="1:5" ht="15" x14ac:dyDescent="0.2">
      <c r="A1892" s="73">
        <v>41799</v>
      </c>
      <c r="B1892" s="70">
        <v>53.22</v>
      </c>
      <c r="C1892" s="85">
        <v>1002275</v>
      </c>
      <c r="D1892" s="88">
        <v>-8.7539579065002426E-3</v>
      </c>
      <c r="E1892" s="87"/>
    </row>
    <row r="1893" spans="1:5" ht="15" x14ac:dyDescent="0.2">
      <c r="A1893" s="73">
        <v>41796</v>
      </c>
      <c r="B1893" s="70">
        <v>53.69</v>
      </c>
      <c r="C1893" s="85">
        <v>2090559</v>
      </c>
      <c r="D1893" s="88">
        <v>3.9267015706805353E-3</v>
      </c>
      <c r="E1893" s="87"/>
    </row>
    <row r="1894" spans="1:5" ht="15" x14ac:dyDescent="0.2">
      <c r="A1894" s="73">
        <v>41795</v>
      </c>
      <c r="B1894" s="70">
        <v>53.48</v>
      </c>
      <c r="C1894" s="85">
        <v>2800867</v>
      </c>
      <c r="D1894" s="88">
        <v>1.7697431018077969E-2</v>
      </c>
      <c r="E1894" s="87"/>
    </row>
    <row r="1895" spans="1:5" ht="15" x14ac:dyDescent="0.2">
      <c r="A1895" s="73">
        <v>41794</v>
      </c>
      <c r="B1895" s="70">
        <v>52.55</v>
      </c>
      <c r="C1895" s="85">
        <v>1233307</v>
      </c>
      <c r="D1895" s="88">
        <v>-2.4677296886864708E-3</v>
      </c>
      <c r="E1895" s="87"/>
    </row>
    <row r="1896" spans="1:5" ht="15" x14ac:dyDescent="0.2">
      <c r="A1896" s="73">
        <v>41793</v>
      </c>
      <c r="B1896" s="70">
        <v>52.68</v>
      </c>
      <c r="C1896" s="85">
        <v>1271265</v>
      </c>
      <c r="D1896" s="88">
        <v>-1.1446800525426903E-2</v>
      </c>
      <c r="E1896" s="87"/>
    </row>
    <row r="1897" spans="1:5" ht="15" x14ac:dyDescent="0.2">
      <c r="A1897" s="73">
        <v>41792</v>
      </c>
      <c r="B1897" s="70">
        <v>53.29</v>
      </c>
      <c r="C1897" s="85">
        <v>2625524</v>
      </c>
      <c r="D1897" s="88">
        <v>1.2925299372742893E-2</v>
      </c>
      <c r="E1897" s="87"/>
    </row>
    <row r="1898" spans="1:5" ht="15" x14ac:dyDescent="0.2">
      <c r="A1898" s="73">
        <v>41789</v>
      </c>
      <c r="B1898" s="70">
        <v>52.61</v>
      </c>
      <c r="C1898" s="85">
        <v>1733650</v>
      </c>
      <c r="D1898" s="88">
        <v>-7.5973409306739903E-4</v>
      </c>
      <c r="E1898" s="87"/>
    </row>
    <row r="1899" spans="1:5" ht="15" x14ac:dyDescent="0.2">
      <c r="A1899" s="73">
        <v>41788</v>
      </c>
      <c r="B1899" s="70">
        <v>52.65</v>
      </c>
      <c r="C1899" s="85">
        <v>1276512</v>
      </c>
      <c r="D1899" s="88">
        <v>-8.847891566265087E-3</v>
      </c>
      <c r="E1899" s="87"/>
    </row>
    <row r="1900" spans="1:5" ht="15" x14ac:dyDescent="0.2">
      <c r="A1900" s="73">
        <v>41787</v>
      </c>
      <c r="B1900" s="70">
        <v>53.12</v>
      </c>
      <c r="C1900" s="85">
        <v>2165997</v>
      </c>
      <c r="D1900" s="88">
        <v>7.2051573758058485E-3</v>
      </c>
      <c r="E1900" s="87"/>
    </row>
    <row r="1901" spans="1:5" ht="15" x14ac:dyDescent="0.2">
      <c r="A1901" s="73">
        <v>41786</v>
      </c>
      <c r="B1901" s="70">
        <v>52.74</v>
      </c>
      <c r="C1901" s="85">
        <v>2601200</v>
      </c>
      <c r="D1901" s="88">
        <v>1.9130434782608674E-2</v>
      </c>
      <c r="E1901" s="87"/>
    </row>
    <row r="1902" spans="1:5" ht="15" x14ac:dyDescent="0.2">
      <c r="A1902" s="73">
        <v>41785</v>
      </c>
      <c r="B1902" s="70">
        <v>51.75</v>
      </c>
      <c r="C1902" s="85">
        <v>971686</v>
      </c>
      <c r="D1902" s="88">
        <v>3.1013762357046115E-3</v>
      </c>
      <c r="E1902" s="87"/>
    </row>
    <row r="1903" spans="1:5" ht="15" x14ac:dyDescent="0.2">
      <c r="A1903" s="73">
        <v>41782</v>
      </c>
      <c r="B1903" s="70">
        <v>51.59</v>
      </c>
      <c r="C1903" s="85">
        <v>1833373</v>
      </c>
      <c r="D1903" s="88">
        <v>1.0577864838393847E-2</v>
      </c>
      <c r="E1903" s="87"/>
    </row>
    <row r="1904" spans="1:5" ht="15" x14ac:dyDescent="0.2">
      <c r="A1904" s="73">
        <v>41781</v>
      </c>
      <c r="B1904" s="70">
        <v>51.05</v>
      </c>
      <c r="C1904" s="85">
        <v>2173196</v>
      </c>
      <c r="D1904" s="88">
        <v>1.3298928146089573E-2</v>
      </c>
      <c r="E1904" s="87"/>
    </row>
    <row r="1905" spans="1:5" ht="15" x14ac:dyDescent="0.2">
      <c r="A1905" s="73">
        <v>41780</v>
      </c>
      <c r="B1905" s="70">
        <v>50.38</v>
      </c>
      <c r="C1905" s="85">
        <v>1932679</v>
      </c>
      <c r="D1905" s="88">
        <v>-4.3478260869564966E-3</v>
      </c>
      <c r="E1905" s="87"/>
    </row>
    <row r="1906" spans="1:5" ht="15" x14ac:dyDescent="0.2">
      <c r="A1906" s="73">
        <v>41779</v>
      </c>
      <c r="B1906" s="70">
        <v>50.6</v>
      </c>
      <c r="C1906" s="85">
        <v>2433338</v>
      </c>
      <c r="D1906" s="88">
        <v>-1.4029618082618822E-2</v>
      </c>
      <c r="E1906" s="87"/>
    </row>
    <row r="1907" spans="1:5" ht="15" x14ac:dyDescent="0.2">
      <c r="A1907" s="73">
        <v>41778</v>
      </c>
      <c r="B1907" s="70">
        <v>51.32</v>
      </c>
      <c r="C1907" s="85">
        <v>2669821</v>
      </c>
      <c r="D1907" s="88">
        <v>1.8860432797300097E-2</v>
      </c>
      <c r="E1907" s="87"/>
    </row>
    <row r="1908" spans="1:5" ht="15" x14ac:dyDescent="0.2">
      <c r="A1908" s="73">
        <v>41775</v>
      </c>
      <c r="B1908" s="70">
        <v>50.37</v>
      </c>
      <c r="C1908" s="85">
        <v>2904581</v>
      </c>
      <c r="D1908" s="88">
        <v>-9.439528023598931E-3</v>
      </c>
      <c r="E1908" s="87"/>
    </row>
    <row r="1909" spans="1:5" ht="15" x14ac:dyDescent="0.2">
      <c r="A1909" s="73">
        <v>41774</v>
      </c>
      <c r="B1909" s="70">
        <v>50.85</v>
      </c>
      <c r="C1909" s="85">
        <v>2743758</v>
      </c>
      <c r="D1909" s="88">
        <v>-2.1550894746969362E-2</v>
      </c>
      <c r="E1909" s="87"/>
    </row>
    <row r="1910" spans="1:5" ht="15" x14ac:dyDescent="0.2">
      <c r="A1910" s="73">
        <v>41773</v>
      </c>
      <c r="B1910" s="70">
        <v>51.97</v>
      </c>
      <c r="C1910" s="85">
        <v>2203411</v>
      </c>
      <c r="D1910" s="88">
        <v>-1.084887704606019E-2</v>
      </c>
      <c r="E1910" s="87"/>
    </row>
    <row r="1911" spans="1:5" ht="15" x14ac:dyDescent="0.2">
      <c r="A1911" s="73">
        <v>41772</v>
      </c>
      <c r="B1911" s="70">
        <v>52.54</v>
      </c>
      <c r="C1911" s="85">
        <v>5405943</v>
      </c>
      <c r="D1911" s="88">
        <v>6.1628611840775838E-2</v>
      </c>
      <c r="E1911" s="87"/>
    </row>
    <row r="1912" spans="1:5" ht="15" x14ac:dyDescent="0.2">
      <c r="A1912" s="73">
        <v>41771</v>
      </c>
      <c r="B1912" s="70">
        <v>49.49</v>
      </c>
      <c r="C1912" s="85">
        <v>2757696</v>
      </c>
      <c r="D1912" s="88">
        <v>1.7057131113851431E-2</v>
      </c>
      <c r="E1912" s="87"/>
    </row>
    <row r="1913" spans="1:5" ht="15" x14ac:dyDescent="0.2">
      <c r="A1913" s="73">
        <v>41768</v>
      </c>
      <c r="B1913" s="70">
        <v>48.66</v>
      </c>
      <c r="C1913" s="85">
        <v>2219115</v>
      </c>
      <c r="D1913" s="88">
        <v>1.3375861714166604E-3</v>
      </c>
      <c r="E1913" s="87"/>
    </row>
    <row r="1914" spans="1:5" ht="15" x14ac:dyDescent="0.2">
      <c r="A1914" s="73">
        <v>41767</v>
      </c>
      <c r="B1914" s="70">
        <v>48.594999999999999</v>
      </c>
      <c r="C1914" s="85">
        <v>2776321</v>
      </c>
      <c r="D1914" s="88">
        <v>8.2380805272364022E-4</v>
      </c>
      <c r="E1914" s="87"/>
    </row>
    <row r="1915" spans="1:5" ht="15" x14ac:dyDescent="0.2">
      <c r="A1915" s="73">
        <v>41766</v>
      </c>
      <c r="B1915" s="70">
        <v>48.555</v>
      </c>
      <c r="C1915" s="85">
        <v>2303893</v>
      </c>
      <c r="D1915" s="88">
        <v>-5.9371481216091704E-3</v>
      </c>
      <c r="E1915" s="87"/>
    </row>
    <row r="1916" spans="1:5" ht="15" x14ac:dyDescent="0.2">
      <c r="A1916" s="73">
        <v>41765</v>
      </c>
      <c r="B1916" s="70">
        <v>48.844999999999999</v>
      </c>
      <c r="C1916" s="85">
        <v>1742446</v>
      </c>
      <c r="D1916" s="88">
        <v>-5.9021064414368496E-3</v>
      </c>
      <c r="E1916" s="87"/>
    </row>
    <row r="1917" spans="1:5" ht="15" x14ac:dyDescent="0.2">
      <c r="A1917" s="73">
        <v>41764</v>
      </c>
      <c r="B1917" s="70">
        <v>49.134999999999998</v>
      </c>
      <c r="C1917" s="85">
        <v>2154924</v>
      </c>
      <c r="D1917" s="88">
        <v>-2.3350253807107313E-3</v>
      </c>
      <c r="E1917" s="87"/>
    </row>
    <row r="1918" spans="1:5" ht="15" x14ac:dyDescent="0.2">
      <c r="A1918" s="73">
        <v>41761</v>
      </c>
      <c r="B1918" s="70">
        <v>49.25</v>
      </c>
      <c r="C1918" s="85">
        <v>2189419</v>
      </c>
      <c r="D1918" s="88">
        <v>-4.8494645382906043E-3</v>
      </c>
      <c r="E1918" s="87"/>
    </row>
    <row r="1919" spans="1:5" ht="15" x14ac:dyDescent="0.2">
      <c r="A1919" s="73">
        <v>41759</v>
      </c>
      <c r="B1919" s="70">
        <v>49.49</v>
      </c>
      <c r="C1919" s="85">
        <v>3058674</v>
      </c>
      <c r="D1919" s="88">
        <v>-1.1978438810141823E-2</v>
      </c>
      <c r="E1919" s="87"/>
    </row>
    <row r="1920" spans="1:5" ht="15" x14ac:dyDescent="0.2">
      <c r="A1920" s="73">
        <v>41758</v>
      </c>
      <c r="B1920" s="70">
        <v>50.09</v>
      </c>
      <c r="C1920" s="85">
        <v>1343224</v>
      </c>
      <c r="D1920" s="88">
        <v>-6.1507936507935179E-3</v>
      </c>
      <c r="E1920" s="87"/>
    </row>
    <row r="1921" spans="1:5" ht="15" x14ac:dyDescent="0.2">
      <c r="A1921" s="73">
        <v>41757</v>
      </c>
      <c r="B1921" s="70">
        <v>50.4</v>
      </c>
      <c r="C1921" s="85">
        <v>1386296</v>
      </c>
      <c r="D1921" s="88">
        <v>0</v>
      </c>
      <c r="E1921" s="87"/>
    </row>
    <row r="1922" spans="1:5" ht="15" x14ac:dyDescent="0.2">
      <c r="A1922" s="73">
        <v>41754</v>
      </c>
      <c r="B1922" s="70">
        <v>50.4</v>
      </c>
      <c r="C1922" s="85">
        <v>1142789</v>
      </c>
      <c r="D1922" s="88">
        <v>-9.4339622641510523E-3</v>
      </c>
      <c r="E1922" s="87"/>
    </row>
    <row r="1923" spans="1:5" ht="15" x14ac:dyDescent="0.2">
      <c r="A1923" s="73">
        <v>41753</v>
      </c>
      <c r="B1923" s="70">
        <v>50.88</v>
      </c>
      <c r="C1923" s="85">
        <v>1692272</v>
      </c>
      <c r="D1923" s="88">
        <v>-1.1778563015311105E-3</v>
      </c>
      <c r="E1923" s="87"/>
    </row>
    <row r="1924" spans="1:5" ht="15" x14ac:dyDescent="0.2">
      <c r="A1924" s="73">
        <v>41752</v>
      </c>
      <c r="B1924" s="70">
        <v>50.94</v>
      </c>
      <c r="C1924" s="85">
        <v>2173992</v>
      </c>
      <c r="D1924" s="88">
        <v>-8.3706443449483858E-3</v>
      </c>
      <c r="E1924" s="87"/>
    </row>
    <row r="1925" spans="1:5" ht="15" x14ac:dyDescent="0.2">
      <c r="A1925" s="73">
        <v>41751</v>
      </c>
      <c r="B1925" s="70">
        <v>51.37</v>
      </c>
      <c r="C1925" s="85">
        <v>2406706</v>
      </c>
      <c r="D1925" s="88">
        <v>7.7927138125843953E-4</v>
      </c>
      <c r="E1925" s="87"/>
    </row>
    <row r="1926" spans="1:5" ht="15" x14ac:dyDescent="0.2">
      <c r="A1926" s="73">
        <v>41746</v>
      </c>
      <c r="B1926" s="70">
        <v>51.33</v>
      </c>
      <c r="C1926" s="85">
        <v>1812538</v>
      </c>
      <c r="D1926" s="88">
        <v>1.4627396718718932E-2</v>
      </c>
      <c r="E1926" s="87"/>
    </row>
    <row r="1927" spans="1:5" ht="15" x14ac:dyDescent="0.2">
      <c r="A1927" s="73">
        <v>41745</v>
      </c>
      <c r="B1927" s="70">
        <v>50.59</v>
      </c>
      <c r="C1927" s="85">
        <v>2576014</v>
      </c>
      <c r="D1927" s="88">
        <v>3.1186302486750916E-2</v>
      </c>
      <c r="E1927" s="87"/>
    </row>
    <row r="1928" spans="1:5" ht="15" x14ac:dyDescent="0.2">
      <c r="A1928" s="73">
        <v>41744</v>
      </c>
      <c r="B1928" s="70">
        <v>49.06</v>
      </c>
      <c r="C1928" s="85">
        <v>2615645</v>
      </c>
      <c r="D1928" s="88">
        <v>1.1223344556676729E-3</v>
      </c>
      <c r="E1928" s="87"/>
    </row>
    <row r="1929" spans="1:5" ht="15" x14ac:dyDescent="0.2">
      <c r="A1929" s="73">
        <v>41743</v>
      </c>
      <c r="B1929" s="70">
        <v>49.005000000000003</v>
      </c>
      <c r="C1929" s="85">
        <v>4137397</v>
      </c>
      <c r="D1929" s="88">
        <v>-1.6260162601625883E-2</v>
      </c>
      <c r="E1929" s="87"/>
    </row>
    <row r="1930" spans="1:5" ht="15" x14ac:dyDescent="0.2">
      <c r="A1930" s="73">
        <v>41740</v>
      </c>
      <c r="B1930" s="70">
        <v>49.814999999999998</v>
      </c>
      <c r="C1930" s="85">
        <v>3378770</v>
      </c>
      <c r="D1930" s="88">
        <v>-5.0928699820251833E-3</v>
      </c>
      <c r="E1930" s="87"/>
    </row>
    <row r="1931" spans="1:5" ht="15" x14ac:dyDescent="0.2">
      <c r="A1931" s="73">
        <v>41739</v>
      </c>
      <c r="B1931" s="70">
        <v>50.07</v>
      </c>
      <c r="C1931" s="85">
        <v>2654407</v>
      </c>
      <c r="D1931" s="88">
        <v>-1.8620148961191796E-2</v>
      </c>
      <c r="E1931" s="87"/>
    </row>
    <row r="1932" spans="1:5" ht="15" x14ac:dyDescent="0.2">
      <c r="A1932" s="73">
        <v>41738</v>
      </c>
      <c r="B1932" s="70">
        <v>51.02</v>
      </c>
      <c r="C1932" s="85">
        <v>1936047</v>
      </c>
      <c r="D1932" s="88">
        <v>-6.4264849074975317E-3</v>
      </c>
      <c r="E1932" s="87"/>
    </row>
    <row r="1933" spans="1:5" ht="15" x14ac:dyDescent="0.2">
      <c r="A1933" s="73">
        <v>41737</v>
      </c>
      <c r="B1933" s="70">
        <v>51.35</v>
      </c>
      <c r="C1933" s="85">
        <v>4467679</v>
      </c>
      <c r="D1933" s="88">
        <v>-3.6946736684171033E-2</v>
      </c>
      <c r="E1933" s="87"/>
    </row>
    <row r="1934" spans="1:5" ht="15" x14ac:dyDescent="0.2">
      <c r="A1934" s="73">
        <v>41736</v>
      </c>
      <c r="B1934" s="70">
        <v>53.32</v>
      </c>
      <c r="C1934" s="85">
        <v>2069307</v>
      </c>
      <c r="D1934" s="88">
        <v>-1.25925925925926E-2</v>
      </c>
      <c r="E1934" s="87"/>
    </row>
    <row r="1935" spans="1:5" ht="15" x14ac:dyDescent="0.2">
      <c r="A1935" s="73">
        <v>41733</v>
      </c>
      <c r="B1935" s="70">
        <v>54</v>
      </c>
      <c r="C1935" s="85">
        <v>2240449</v>
      </c>
      <c r="D1935" s="88">
        <v>1.6566265060240948E-2</v>
      </c>
      <c r="E1935" s="87"/>
    </row>
    <row r="1936" spans="1:5" ht="15" x14ac:dyDescent="0.2">
      <c r="A1936" s="73">
        <v>41732</v>
      </c>
      <c r="B1936" s="70">
        <v>53.12</v>
      </c>
      <c r="C1936" s="85">
        <v>2598749</v>
      </c>
      <c r="D1936" s="88">
        <v>1.2002286149742636E-2</v>
      </c>
      <c r="E1936" s="87"/>
    </row>
    <row r="1937" spans="1:5" ht="15" x14ac:dyDescent="0.2">
      <c r="A1937" s="73">
        <v>41731</v>
      </c>
      <c r="B1937" s="70">
        <v>52.49</v>
      </c>
      <c r="C1937" s="85">
        <v>1239399</v>
      </c>
      <c r="D1937" s="88">
        <v>-7.1874408927556921E-3</v>
      </c>
      <c r="E1937" s="87"/>
    </row>
    <row r="1938" spans="1:5" ht="15" x14ac:dyDescent="0.2">
      <c r="A1938" s="73">
        <v>41730</v>
      </c>
      <c r="B1938" s="70">
        <v>52.87</v>
      </c>
      <c r="C1938" s="85">
        <v>1998970</v>
      </c>
      <c r="D1938" s="88">
        <v>1.6926331986920395E-2</v>
      </c>
      <c r="E1938" s="87"/>
    </row>
    <row r="1939" spans="1:5" ht="15" x14ac:dyDescent="0.2">
      <c r="A1939" s="73">
        <v>41729</v>
      </c>
      <c r="B1939" s="70">
        <v>51.99</v>
      </c>
      <c r="C1939" s="85">
        <v>1800277</v>
      </c>
      <c r="D1939" s="88">
        <v>-1.1596958174904914E-2</v>
      </c>
      <c r="E1939" s="87"/>
    </row>
    <row r="1940" spans="1:5" ht="15" x14ac:dyDescent="0.2">
      <c r="A1940" s="73">
        <v>41726</v>
      </c>
      <c r="B1940" s="70">
        <v>52.6</v>
      </c>
      <c r="C1940" s="85">
        <v>1694701</v>
      </c>
      <c r="D1940" s="88">
        <v>7.6628352490422103E-3</v>
      </c>
      <c r="E1940" s="87"/>
    </row>
    <row r="1941" spans="1:5" ht="15" x14ac:dyDescent="0.2">
      <c r="A1941" s="73">
        <v>41725</v>
      </c>
      <c r="B1941" s="70">
        <v>52.2</v>
      </c>
      <c r="C1941" s="85">
        <v>2237425</v>
      </c>
      <c r="D1941" s="88">
        <v>-1.2485811577752526E-2</v>
      </c>
      <c r="E1941" s="87"/>
    </row>
    <row r="1942" spans="1:5" ht="15" x14ac:dyDescent="0.2">
      <c r="A1942" s="73">
        <v>41724</v>
      </c>
      <c r="B1942" s="70">
        <v>52.86</v>
      </c>
      <c r="C1942" s="85">
        <v>2091304</v>
      </c>
      <c r="D1942" s="88">
        <v>1.6343010959430915E-2</v>
      </c>
      <c r="E1942" s="87"/>
    </row>
    <row r="1943" spans="1:5" ht="15" x14ac:dyDescent="0.2">
      <c r="A1943" s="73">
        <v>41723</v>
      </c>
      <c r="B1943" s="70">
        <v>52.01</v>
      </c>
      <c r="C1943" s="85">
        <v>1930280</v>
      </c>
      <c r="D1943" s="88">
        <v>1.6217272372020197E-2</v>
      </c>
      <c r="E1943" s="87"/>
    </row>
    <row r="1944" spans="1:5" ht="15" x14ac:dyDescent="0.2">
      <c r="A1944" s="73">
        <v>41722</v>
      </c>
      <c r="B1944" s="70">
        <v>51.18</v>
      </c>
      <c r="C1944" s="85">
        <v>1912844</v>
      </c>
      <c r="D1944" s="88">
        <v>-1.387283236994219E-2</v>
      </c>
      <c r="E1944" s="87"/>
    </row>
    <row r="1945" spans="1:5" ht="15" x14ac:dyDescent="0.2">
      <c r="A1945" s="73">
        <v>41719</v>
      </c>
      <c r="B1945" s="70">
        <v>51.9</v>
      </c>
      <c r="C1945" s="85">
        <v>4349839</v>
      </c>
      <c r="D1945" s="88">
        <v>-1.1428571428571455E-2</v>
      </c>
      <c r="E1945" s="87"/>
    </row>
    <row r="1946" spans="1:5" ht="15" x14ac:dyDescent="0.2">
      <c r="A1946" s="73">
        <v>41718</v>
      </c>
      <c r="B1946" s="70">
        <v>52.5</v>
      </c>
      <c r="C1946" s="85">
        <v>2585363</v>
      </c>
      <c r="D1946" s="88">
        <v>2.2793687901811799E-2</v>
      </c>
      <c r="E1946" s="87"/>
    </row>
    <row r="1947" spans="1:5" ht="15" x14ac:dyDescent="0.2">
      <c r="A1947" s="73">
        <v>41717</v>
      </c>
      <c r="B1947" s="70">
        <v>51.33</v>
      </c>
      <c r="C1947" s="85">
        <v>3408191</v>
      </c>
      <c r="D1947" s="88">
        <v>1.543026706231454E-2</v>
      </c>
      <c r="E1947" s="87"/>
    </row>
    <row r="1948" spans="1:5" ht="15" x14ac:dyDescent="0.2">
      <c r="A1948" s="73">
        <v>41716</v>
      </c>
      <c r="B1948" s="70">
        <v>50.55</v>
      </c>
      <c r="C1948" s="85">
        <v>2497590</v>
      </c>
      <c r="D1948" s="88">
        <v>3.7728355837967076E-3</v>
      </c>
      <c r="E1948" s="87"/>
    </row>
    <row r="1949" spans="1:5" ht="15" x14ac:dyDescent="0.2">
      <c r="A1949" s="73">
        <v>41715</v>
      </c>
      <c r="B1949" s="70">
        <v>50.36</v>
      </c>
      <c r="C1949" s="85">
        <v>2288878</v>
      </c>
      <c r="D1949" s="88">
        <v>8.0064051240993361E-3</v>
      </c>
      <c r="E1949" s="87"/>
    </row>
    <row r="1950" spans="1:5" ht="15" x14ac:dyDescent="0.2">
      <c r="A1950" s="73">
        <v>41712</v>
      </c>
      <c r="B1950" s="70">
        <v>49.96</v>
      </c>
      <c r="C1950" s="85">
        <v>4347338</v>
      </c>
      <c r="D1950" s="88">
        <v>-2.9934144881260671E-3</v>
      </c>
      <c r="E1950" s="87"/>
    </row>
    <row r="1951" spans="1:5" ht="15" x14ac:dyDescent="0.2">
      <c r="A1951" s="73">
        <v>41711</v>
      </c>
      <c r="B1951" s="70">
        <v>50.11</v>
      </c>
      <c r="C1951" s="85">
        <v>3319068</v>
      </c>
      <c r="D1951" s="88">
        <v>1.9960079840308786E-4</v>
      </c>
      <c r="E1951" s="87"/>
    </row>
    <row r="1952" spans="1:5" ht="15" x14ac:dyDescent="0.2">
      <c r="A1952" s="73">
        <v>41710</v>
      </c>
      <c r="B1952" s="70">
        <v>50.1</v>
      </c>
      <c r="C1952" s="85">
        <v>3214766</v>
      </c>
      <c r="D1952" s="88">
        <v>-5.1628276409848572E-3</v>
      </c>
      <c r="E1952" s="87"/>
    </row>
    <row r="1953" spans="1:5" ht="15" x14ac:dyDescent="0.2">
      <c r="A1953" s="73">
        <v>41709</v>
      </c>
      <c r="B1953" s="70">
        <v>50.36</v>
      </c>
      <c r="C1953" s="85">
        <v>1929159</v>
      </c>
      <c r="D1953" s="88">
        <v>-2.574767280649648E-3</v>
      </c>
      <c r="E1953" s="87"/>
    </row>
    <row r="1954" spans="1:5" ht="15" x14ac:dyDescent="0.2">
      <c r="A1954" s="73">
        <v>41708</v>
      </c>
      <c r="B1954" s="70">
        <v>50.49</v>
      </c>
      <c r="C1954" s="85">
        <v>3676565</v>
      </c>
      <c r="D1954" s="88">
        <v>-1.598129019684269E-2</v>
      </c>
      <c r="E1954" s="87"/>
    </row>
    <row r="1955" spans="1:5" ht="15" x14ac:dyDescent="0.2">
      <c r="A1955" s="73">
        <v>41705</v>
      </c>
      <c r="B1955" s="70">
        <v>51.31</v>
      </c>
      <c r="C1955" s="85">
        <v>3579832</v>
      </c>
      <c r="D1955" s="88">
        <v>-3.1155589123867067E-2</v>
      </c>
      <c r="E1955" s="87"/>
    </row>
    <row r="1956" spans="1:5" ht="15" x14ac:dyDescent="0.2">
      <c r="A1956" s="73">
        <v>41704</v>
      </c>
      <c r="B1956" s="70">
        <v>52.96</v>
      </c>
      <c r="C1956" s="85">
        <v>1972086</v>
      </c>
      <c r="D1956" s="88">
        <v>3.9810426540285437E-3</v>
      </c>
      <c r="E1956" s="87"/>
    </row>
    <row r="1957" spans="1:5" ht="15" x14ac:dyDescent="0.2">
      <c r="A1957" s="73">
        <v>41703</v>
      </c>
      <c r="B1957" s="70">
        <v>52.75</v>
      </c>
      <c r="C1957" s="85">
        <v>2306782</v>
      </c>
      <c r="D1957" s="88">
        <v>-1.1431784107945986E-2</v>
      </c>
      <c r="E1957" s="87"/>
    </row>
    <row r="1958" spans="1:5" ht="15" x14ac:dyDescent="0.2">
      <c r="A1958" s="73">
        <v>41702</v>
      </c>
      <c r="B1958" s="70">
        <v>53.36</v>
      </c>
      <c r="C1958" s="85">
        <v>2573847</v>
      </c>
      <c r="D1958" s="88">
        <v>3.2108317214700088E-2</v>
      </c>
      <c r="E1958" s="87"/>
    </row>
    <row r="1959" spans="1:5" ht="15" x14ac:dyDescent="0.2">
      <c r="A1959" s="73">
        <v>41701</v>
      </c>
      <c r="B1959" s="70">
        <v>51.7</v>
      </c>
      <c r="C1959" s="85">
        <v>3185980</v>
      </c>
      <c r="D1959" s="88">
        <v>-3.1653867765499166E-2</v>
      </c>
      <c r="E1959" s="87"/>
    </row>
    <row r="1960" spans="1:5" ht="15" x14ac:dyDescent="0.2">
      <c r="A1960" s="73">
        <v>41698</v>
      </c>
      <c r="B1960" s="70">
        <v>53.39</v>
      </c>
      <c r="C1960" s="85">
        <v>2835805</v>
      </c>
      <c r="D1960" s="88">
        <v>-7.2517664559316186E-3</v>
      </c>
      <c r="E1960" s="87"/>
    </row>
    <row r="1961" spans="1:5" ht="15" x14ac:dyDescent="0.2">
      <c r="A1961" s="73">
        <v>41697</v>
      </c>
      <c r="B1961" s="70">
        <v>53.78</v>
      </c>
      <c r="C1961" s="85">
        <v>2659975</v>
      </c>
      <c r="D1961" s="88">
        <v>-3.5204743375949477E-3</v>
      </c>
      <c r="E1961" s="87"/>
    </row>
    <row r="1962" spans="1:5" ht="15" x14ac:dyDescent="0.2">
      <c r="A1962" s="73">
        <v>41696</v>
      </c>
      <c r="B1962" s="70">
        <v>53.97</v>
      </c>
      <c r="C1962" s="85">
        <v>5671497</v>
      </c>
      <c r="D1962" s="88">
        <v>1.6192807380907448E-2</v>
      </c>
      <c r="E1962" s="87"/>
    </row>
    <row r="1963" spans="1:5" ht="15" x14ac:dyDescent="0.2">
      <c r="A1963" s="73">
        <v>41695</v>
      </c>
      <c r="B1963" s="70">
        <v>53.11</v>
      </c>
      <c r="C1963" s="85">
        <v>2551572</v>
      </c>
      <c r="D1963" s="88">
        <v>7.5372149990582393E-4</v>
      </c>
      <c r="E1963" s="87"/>
    </row>
    <row r="1964" spans="1:5" ht="15" x14ac:dyDescent="0.2">
      <c r="A1964" s="73">
        <v>41694</v>
      </c>
      <c r="B1964" s="70">
        <v>53.07</v>
      </c>
      <c r="C1964" s="85">
        <v>1688500</v>
      </c>
      <c r="D1964" s="88">
        <v>1.3172966781214157E-2</v>
      </c>
      <c r="E1964" s="87"/>
    </row>
    <row r="1965" spans="1:5" ht="15" x14ac:dyDescent="0.2">
      <c r="A1965" s="73">
        <v>41691</v>
      </c>
      <c r="B1965" s="70">
        <v>52.38</v>
      </c>
      <c r="C1965" s="85">
        <v>2027528</v>
      </c>
      <c r="D1965" s="88">
        <v>-3.6142286475175922E-3</v>
      </c>
      <c r="E1965" s="87"/>
    </row>
    <row r="1966" spans="1:5" ht="15" x14ac:dyDescent="0.2">
      <c r="A1966" s="73">
        <v>41690</v>
      </c>
      <c r="B1966" s="70">
        <v>52.57</v>
      </c>
      <c r="C1966" s="85">
        <v>2398654</v>
      </c>
      <c r="D1966" s="88">
        <v>-5.1097653292960787E-3</v>
      </c>
      <c r="E1966" s="87"/>
    </row>
    <row r="1967" spans="1:5" ht="15" x14ac:dyDescent="0.2">
      <c r="A1967" s="73">
        <v>41689</v>
      </c>
      <c r="B1967" s="70">
        <v>52.84</v>
      </c>
      <c r="C1967" s="85">
        <v>2075277</v>
      </c>
      <c r="D1967" s="88">
        <v>-2.6425066062664149E-3</v>
      </c>
      <c r="E1967" s="87"/>
    </row>
    <row r="1968" spans="1:5" ht="15" x14ac:dyDescent="0.2">
      <c r="A1968" s="73">
        <v>41688</v>
      </c>
      <c r="B1968" s="70">
        <v>52.98</v>
      </c>
      <c r="C1968" s="85">
        <v>1875071</v>
      </c>
      <c r="D1968" s="88">
        <v>5.3130929791269654E-3</v>
      </c>
      <c r="E1968" s="87"/>
    </row>
    <row r="1969" spans="1:5" ht="15" x14ac:dyDescent="0.2">
      <c r="A1969" s="73">
        <v>41687</v>
      </c>
      <c r="B1969" s="70">
        <v>52.7</v>
      </c>
      <c r="C1969" s="85">
        <v>1080275</v>
      </c>
      <c r="D1969" s="88">
        <v>-9.3984962406015171E-3</v>
      </c>
      <c r="E1969" s="87"/>
    </row>
    <row r="1970" spans="1:5" ht="15" x14ac:dyDescent="0.2">
      <c r="A1970" s="73">
        <v>41684</v>
      </c>
      <c r="B1970" s="70">
        <v>53.2</v>
      </c>
      <c r="C1970" s="85">
        <v>2344846</v>
      </c>
      <c r="D1970" s="88">
        <v>2.0525609054287353E-2</v>
      </c>
      <c r="E1970" s="87"/>
    </row>
    <row r="1971" spans="1:5" ht="15" x14ac:dyDescent="0.2">
      <c r="A1971" s="73">
        <v>41683</v>
      </c>
      <c r="B1971" s="70">
        <v>52.13</v>
      </c>
      <c r="C1971" s="85">
        <v>3610104</v>
      </c>
      <c r="D1971" s="88">
        <v>-2.0848985725018809E-2</v>
      </c>
      <c r="E1971" s="87"/>
    </row>
    <row r="1972" spans="1:5" ht="15" x14ac:dyDescent="0.2">
      <c r="A1972" s="73">
        <v>41682</v>
      </c>
      <c r="B1972" s="70">
        <v>53.24</v>
      </c>
      <c r="C1972" s="85">
        <v>2378859</v>
      </c>
      <c r="D1972" s="88">
        <v>-6.7164179104477473E-3</v>
      </c>
      <c r="E1972" s="87"/>
    </row>
    <row r="1973" spans="1:5" ht="15" x14ac:dyDescent="0.2">
      <c r="A1973" s="73">
        <v>41681</v>
      </c>
      <c r="B1973" s="70">
        <v>53.6</v>
      </c>
      <c r="C1973" s="85">
        <v>2436105</v>
      </c>
      <c r="D1973" s="88">
        <v>2.1925643469971279E-2</v>
      </c>
      <c r="E1973" s="87"/>
    </row>
    <row r="1974" spans="1:5" ht="15" x14ac:dyDescent="0.2">
      <c r="A1974" s="73">
        <v>41680</v>
      </c>
      <c r="B1974" s="70">
        <v>52.45</v>
      </c>
      <c r="C1974" s="85">
        <v>1912240</v>
      </c>
      <c r="D1974" s="88">
        <v>-1.1426394972385845E-3</v>
      </c>
      <c r="E1974" s="87"/>
    </row>
    <row r="1975" spans="1:5" ht="15" x14ac:dyDescent="0.2">
      <c r="A1975" s="73">
        <v>41677</v>
      </c>
      <c r="B1975" s="70">
        <v>52.51</v>
      </c>
      <c r="C1975" s="85">
        <v>2534569</v>
      </c>
      <c r="D1975" s="88">
        <v>5.9386973180075575E-3</v>
      </c>
      <c r="E1975" s="87"/>
    </row>
    <row r="1976" spans="1:5" ht="15" x14ac:dyDescent="0.2">
      <c r="A1976" s="73">
        <v>41676</v>
      </c>
      <c r="B1976" s="70">
        <v>52.2</v>
      </c>
      <c r="C1976" s="85">
        <v>3828370</v>
      </c>
      <c r="D1976" s="88">
        <v>2.1126760563380476E-2</v>
      </c>
      <c r="E1976" s="87"/>
    </row>
    <row r="1977" spans="1:5" ht="15" x14ac:dyDescent="0.2">
      <c r="A1977" s="73">
        <v>41675</v>
      </c>
      <c r="B1977" s="70">
        <v>51.12</v>
      </c>
      <c r="C1977" s="85">
        <v>2706276</v>
      </c>
      <c r="D1977" s="88">
        <v>-1.9938650306748462E-2</v>
      </c>
      <c r="E1977" s="87"/>
    </row>
    <row r="1978" spans="1:5" ht="15" x14ac:dyDescent="0.2">
      <c r="A1978" s="73">
        <v>41674</v>
      </c>
      <c r="B1978" s="70">
        <v>52.16</v>
      </c>
      <c r="C1978" s="85">
        <v>2928233</v>
      </c>
      <c r="D1978" s="88">
        <v>3.4628703347441281E-3</v>
      </c>
      <c r="E1978" s="87"/>
    </row>
    <row r="1979" spans="1:5" ht="15" x14ac:dyDescent="0.2">
      <c r="A1979" s="73">
        <v>41673</v>
      </c>
      <c r="B1979" s="70">
        <v>51.98</v>
      </c>
      <c r="C1979" s="85">
        <v>3076103</v>
      </c>
      <c r="D1979" s="88">
        <v>-1.1974909712982318E-2</v>
      </c>
      <c r="E1979" s="87"/>
    </row>
    <row r="1980" spans="1:5" ht="15" x14ac:dyDescent="0.2">
      <c r="A1980" s="73">
        <v>41670</v>
      </c>
      <c r="B1980" s="70">
        <v>52.61</v>
      </c>
      <c r="C1980" s="85">
        <v>2972858</v>
      </c>
      <c r="D1980" s="88">
        <v>-1.1090225563909817E-2</v>
      </c>
      <c r="E1980" s="87"/>
    </row>
    <row r="1981" spans="1:5" ht="15" x14ac:dyDescent="0.2">
      <c r="A1981" s="73">
        <v>41669</v>
      </c>
      <c r="B1981" s="70">
        <v>53.2</v>
      </c>
      <c r="C1981" s="85">
        <v>3424838</v>
      </c>
      <c r="D1981" s="88">
        <v>-6.721433905899965E-3</v>
      </c>
      <c r="E1981" s="87"/>
    </row>
    <row r="1982" spans="1:5" ht="15" x14ac:dyDescent="0.2">
      <c r="A1982" s="73">
        <v>41668</v>
      </c>
      <c r="B1982" s="70">
        <v>53.56</v>
      </c>
      <c r="C1982" s="85">
        <v>4086681</v>
      </c>
      <c r="D1982" s="88">
        <v>-2.3162502279773789E-2</v>
      </c>
      <c r="E1982" s="87"/>
    </row>
    <row r="1983" spans="1:5" ht="15" x14ac:dyDescent="0.2">
      <c r="A1983" s="73">
        <v>41667</v>
      </c>
      <c r="B1983" s="70">
        <v>54.83</v>
      </c>
      <c r="C1983" s="85">
        <v>4630335</v>
      </c>
      <c r="D1983" s="88">
        <v>3.9234268385140325E-2</v>
      </c>
      <c r="E1983" s="87"/>
    </row>
    <row r="1984" spans="1:5" ht="15" x14ac:dyDescent="0.2">
      <c r="A1984" s="73">
        <v>41666</v>
      </c>
      <c r="B1984" s="70">
        <v>52.76</v>
      </c>
      <c r="C1984" s="85">
        <v>4122234</v>
      </c>
      <c r="D1984" s="88">
        <v>-3.7893141341427405E-4</v>
      </c>
      <c r="E1984" s="87"/>
    </row>
    <row r="1985" spans="1:7" ht="15" x14ac:dyDescent="0.2">
      <c r="A1985" s="73">
        <v>41663</v>
      </c>
      <c r="B1985" s="70">
        <v>52.78</v>
      </c>
      <c r="C1985" s="85">
        <v>5389498</v>
      </c>
      <c r="D1985" s="88">
        <v>-3.8615664845172981E-2</v>
      </c>
      <c r="E1985" s="87"/>
    </row>
    <row r="1986" spans="1:7" ht="15" x14ac:dyDescent="0.2">
      <c r="A1986" s="73">
        <v>41662</v>
      </c>
      <c r="B1986" s="70">
        <v>54.9</v>
      </c>
      <c r="C1986" s="85">
        <v>3807263</v>
      </c>
      <c r="D1986" s="88">
        <v>-3.8528896672504476E-2</v>
      </c>
      <c r="E1986" s="87"/>
    </row>
    <row r="1987" spans="1:7" ht="15" x14ac:dyDescent="0.2">
      <c r="A1987" s="73">
        <v>41661</v>
      </c>
      <c r="B1987" s="70">
        <v>57.1</v>
      </c>
      <c r="C1987" s="85">
        <v>1878025</v>
      </c>
      <c r="D1987" s="88">
        <v>1.7543859649122862E-3</v>
      </c>
      <c r="E1987" s="87"/>
    </row>
    <row r="1988" spans="1:7" ht="15" x14ac:dyDescent="0.2">
      <c r="A1988" s="73">
        <v>41660</v>
      </c>
      <c r="B1988" s="70">
        <v>57</v>
      </c>
      <c r="C1988" s="85">
        <v>1401657</v>
      </c>
      <c r="D1988" s="88">
        <v>-1.7540782318892223E-4</v>
      </c>
      <c r="E1988" s="87"/>
    </row>
    <row r="1989" spans="1:7" ht="15" x14ac:dyDescent="0.2">
      <c r="A1989" s="73">
        <v>41659</v>
      </c>
      <c r="B1989" s="70">
        <v>57.01</v>
      </c>
      <c r="C1989" s="85">
        <v>1191117</v>
      </c>
      <c r="D1989" s="88">
        <v>-3.5069261792042283E-4</v>
      </c>
      <c r="E1989" s="87"/>
    </row>
    <row r="1990" spans="1:7" ht="15" x14ac:dyDescent="0.2">
      <c r="A1990" s="73">
        <v>41656</v>
      </c>
      <c r="B1990" s="70">
        <v>57.03</v>
      </c>
      <c r="C1990" s="85">
        <v>2265980</v>
      </c>
      <c r="D1990" s="88">
        <v>7.0187752237238499E-4</v>
      </c>
      <c r="E1990" s="67"/>
      <c r="F1990" s="67"/>
      <c r="G1990" s="67"/>
    </row>
    <row r="1991" spans="1:7" ht="15" x14ac:dyDescent="0.2">
      <c r="A1991" s="73">
        <v>41655</v>
      </c>
      <c r="B1991" s="70">
        <v>56.99</v>
      </c>
      <c r="C1991" s="85">
        <v>3706175</v>
      </c>
      <c r="D1991" s="88">
        <v>6.1793785310735316E-3</v>
      </c>
      <c r="E1991" s="67"/>
      <c r="F1991" s="67"/>
      <c r="G1991" s="67"/>
    </row>
    <row r="1992" spans="1:7" ht="15" x14ac:dyDescent="0.2">
      <c r="A1992" s="73">
        <v>41654</v>
      </c>
      <c r="B1992" s="70">
        <v>56.64</v>
      </c>
      <c r="C1992" s="85">
        <v>2071765</v>
      </c>
      <c r="D1992" s="88">
        <v>9.6256684491977662E-3</v>
      </c>
      <c r="E1992" s="67"/>
      <c r="F1992" s="67"/>
      <c r="G1992" s="67"/>
    </row>
    <row r="1993" spans="1:7" ht="15" x14ac:dyDescent="0.2">
      <c r="A1993" s="73">
        <v>41653</v>
      </c>
      <c r="B1993" s="70">
        <v>56.1</v>
      </c>
      <c r="C1993" s="85">
        <v>1783292</v>
      </c>
      <c r="D1993" s="88">
        <v>5.7368232341341585E-3</v>
      </c>
      <c r="E1993" s="67"/>
      <c r="F1993" s="67"/>
      <c r="G1993" s="67"/>
    </row>
    <row r="1994" spans="1:7" ht="15" x14ac:dyDescent="0.2">
      <c r="A1994" s="73">
        <v>41652</v>
      </c>
      <c r="B1994" s="70">
        <v>55.78</v>
      </c>
      <c r="C1994" s="85">
        <v>1376794</v>
      </c>
      <c r="D1994" s="88">
        <v>9.0448625180896691E-3</v>
      </c>
      <c r="E1994" s="67"/>
      <c r="F1994" s="67"/>
      <c r="G1994" s="67"/>
    </row>
    <row r="1995" spans="1:7" ht="15" x14ac:dyDescent="0.2">
      <c r="A1995" s="73">
        <v>41649</v>
      </c>
      <c r="B1995" s="70">
        <v>55.28</v>
      </c>
      <c r="C1995" s="85">
        <v>1546833</v>
      </c>
      <c r="D1995" s="88">
        <v>1.0418570645220226E-2</v>
      </c>
      <c r="E1995" s="67"/>
      <c r="F1995" s="67"/>
      <c r="G1995" s="67"/>
    </row>
    <row r="1996" spans="1:7" ht="15" x14ac:dyDescent="0.2">
      <c r="A1996" s="73">
        <v>41648</v>
      </c>
      <c r="B1996" s="70">
        <v>54.71</v>
      </c>
      <c r="C1996" s="85">
        <v>1891736</v>
      </c>
      <c r="D1996" s="88">
        <v>-1.1562782294489593E-2</v>
      </c>
      <c r="E1996" s="67"/>
      <c r="F1996" s="67"/>
      <c r="G1996" s="67"/>
    </row>
    <row r="1997" spans="1:7" ht="15" x14ac:dyDescent="0.2">
      <c r="A1997" s="73">
        <v>41647</v>
      </c>
      <c r="B1997" s="70">
        <v>55.35</v>
      </c>
      <c r="C1997" s="85">
        <v>1837218</v>
      </c>
      <c r="D1997" s="88">
        <v>-1.0016097299230808E-2</v>
      </c>
      <c r="E1997" s="67"/>
      <c r="F1997" s="67"/>
      <c r="G1997" s="67"/>
    </row>
    <row r="1998" spans="1:7" ht="15" x14ac:dyDescent="0.2">
      <c r="A1998" s="73">
        <v>41646</v>
      </c>
      <c r="B1998" s="70">
        <v>55.91</v>
      </c>
      <c r="C1998" s="85">
        <v>1950728</v>
      </c>
      <c r="D1998" s="88">
        <v>8.6595706296228592E-3</v>
      </c>
      <c r="E1998" s="67"/>
      <c r="F1998" s="67"/>
      <c r="G1998" s="67"/>
    </row>
    <row r="1999" spans="1:7" ht="15" x14ac:dyDescent="0.2">
      <c r="A1999" s="73">
        <v>41645</v>
      </c>
      <c r="B1999" s="70">
        <v>55.43</v>
      </c>
      <c r="C1999" s="85">
        <v>1664844</v>
      </c>
      <c r="D1999" s="88">
        <v>-1.7198581560283643E-2</v>
      </c>
      <c r="E1999" s="67"/>
      <c r="F1999" s="67"/>
      <c r="G1999" s="67"/>
    </row>
    <row r="2000" spans="1:7" ht="15" x14ac:dyDescent="0.2">
      <c r="A2000" s="73">
        <v>41642</v>
      </c>
      <c r="B2000" s="70">
        <v>56.4</v>
      </c>
      <c r="C2000" s="85">
        <v>1332941</v>
      </c>
      <c r="D2000" s="88">
        <v>-2.6525198938991412E-3</v>
      </c>
      <c r="E2000" s="67"/>
      <c r="F2000" s="67"/>
      <c r="G2000" s="67"/>
    </row>
    <row r="2001" spans="1:7" ht="15" x14ac:dyDescent="0.2">
      <c r="A2001" s="73">
        <v>41641</v>
      </c>
      <c r="B2001" s="70">
        <v>56.55</v>
      </c>
      <c r="C2001" s="85">
        <v>1875512</v>
      </c>
      <c r="D2001" s="88">
        <v>1.3259272531804145E-2</v>
      </c>
      <c r="E2001" s="67"/>
      <c r="F2001" s="67"/>
      <c r="G2001" s="67"/>
    </row>
    <row r="2002" spans="1:7" ht="15" x14ac:dyDescent="0.2">
      <c r="A2002" s="76">
        <v>41639</v>
      </c>
      <c r="B2002" s="77">
        <v>55.81</v>
      </c>
      <c r="C2002" s="86">
        <v>357259</v>
      </c>
      <c r="D2002" s="89">
        <v>1.4354925533823781E-3</v>
      </c>
      <c r="E2002" s="79"/>
      <c r="F2002" s="79"/>
      <c r="G2002" s="78" t="e">
        <v>#REF!</v>
      </c>
    </row>
    <row r="2003" spans="1:7" ht="15" x14ac:dyDescent="0.2">
      <c r="A2003" s="73">
        <v>41638</v>
      </c>
      <c r="B2003" s="70">
        <v>55.73</v>
      </c>
      <c r="C2003" s="85">
        <v>1068150</v>
      </c>
      <c r="D2003" s="88">
        <v>-9.0682788051209551E-3</v>
      </c>
      <c r="E2003" s="67"/>
      <c r="F2003" s="67"/>
      <c r="G2003" s="67"/>
    </row>
    <row r="2004" spans="1:7" ht="15" x14ac:dyDescent="0.2">
      <c r="A2004" s="73">
        <v>41635</v>
      </c>
      <c r="B2004" s="70">
        <v>56.24</v>
      </c>
      <c r="C2004" s="85">
        <v>1391177</v>
      </c>
      <c r="D2004" s="88">
        <v>1.6028495102404783E-3</v>
      </c>
      <c r="E2004" s="67"/>
      <c r="F2004" s="67"/>
      <c r="G2004" s="67"/>
    </row>
    <row r="2005" spans="1:7" ht="15" x14ac:dyDescent="0.2">
      <c r="A2005" s="73">
        <v>41632</v>
      </c>
      <c r="B2005" s="70">
        <v>56.15</v>
      </c>
      <c r="C2005" s="85">
        <v>263456</v>
      </c>
      <c r="D2005" s="88">
        <v>4.2926131282419178E-3</v>
      </c>
      <c r="E2005" s="67"/>
      <c r="F2005" s="67"/>
      <c r="G2005" s="67"/>
    </row>
    <row r="2006" spans="1:7" ht="15" x14ac:dyDescent="0.2">
      <c r="A2006" s="73">
        <v>41631</v>
      </c>
      <c r="B2006" s="70">
        <v>55.91</v>
      </c>
      <c r="C2006" s="85">
        <v>1038147</v>
      </c>
      <c r="D2006" s="88">
        <v>1.7889087656519642E-4</v>
      </c>
      <c r="E2006" s="87"/>
    </row>
    <row r="2007" spans="1:7" ht="15" x14ac:dyDescent="0.2">
      <c r="A2007" s="73">
        <v>41628</v>
      </c>
      <c r="B2007" s="70">
        <v>55.9</v>
      </c>
      <c r="C2007" s="85">
        <v>3188628</v>
      </c>
      <c r="D2007" s="88">
        <v>1.0744985673352137E-3</v>
      </c>
      <c r="E2007" s="87"/>
    </row>
    <row r="2008" spans="1:7" ht="15" x14ac:dyDescent="0.2">
      <c r="A2008" s="73">
        <v>41627</v>
      </c>
      <c r="B2008" s="70">
        <v>55.84</v>
      </c>
      <c r="C2008" s="85">
        <v>2189815</v>
      </c>
      <c r="D2008" s="88">
        <v>1.5272727272727327E-2</v>
      </c>
      <c r="E2008" s="87"/>
    </row>
    <row r="2009" spans="1:7" ht="15" x14ac:dyDescent="0.2">
      <c r="A2009" s="73">
        <v>41626</v>
      </c>
      <c r="B2009" s="70">
        <v>55</v>
      </c>
      <c r="C2009" s="85">
        <v>1959369</v>
      </c>
      <c r="D2009" s="88">
        <v>1.0286554004408588E-2</v>
      </c>
      <c r="E2009" s="87"/>
    </row>
    <row r="2010" spans="1:7" ht="15" x14ac:dyDescent="0.2">
      <c r="A2010" s="73">
        <v>41625</v>
      </c>
      <c r="B2010" s="70">
        <v>54.44</v>
      </c>
      <c r="C2010" s="85">
        <v>1662717</v>
      </c>
      <c r="D2010" s="88">
        <v>-1.7683146878383349E-2</v>
      </c>
      <c r="E2010" s="87"/>
    </row>
    <row r="2011" spans="1:7" ht="15" x14ac:dyDescent="0.2">
      <c r="A2011" s="73">
        <v>41624</v>
      </c>
      <c r="B2011" s="70">
        <v>55.42</v>
      </c>
      <c r="C2011" s="85">
        <v>2828929</v>
      </c>
      <c r="D2011" s="88">
        <v>2.7628407194511428E-2</v>
      </c>
      <c r="E2011" s="87"/>
    </row>
    <row r="2012" spans="1:7" ht="15" x14ac:dyDescent="0.2">
      <c r="A2012" s="73">
        <v>41621</v>
      </c>
      <c r="B2012" s="70">
        <v>53.93</v>
      </c>
      <c r="C2012" s="85">
        <v>2520940</v>
      </c>
      <c r="D2012" s="88">
        <v>7.6606875934228658E-3</v>
      </c>
      <c r="E2012" s="87"/>
    </row>
    <row r="2013" spans="1:7" ht="15" x14ac:dyDescent="0.2">
      <c r="A2013" s="73">
        <v>41620</v>
      </c>
      <c r="B2013" s="70">
        <v>53.52</v>
      </c>
      <c r="C2013" s="85">
        <v>3920211</v>
      </c>
      <c r="D2013" s="88">
        <v>1.2485811577752637E-2</v>
      </c>
      <c r="E2013" s="87"/>
    </row>
    <row r="2014" spans="1:7" ht="15" x14ac:dyDescent="0.2">
      <c r="A2014" s="73">
        <v>41619</v>
      </c>
      <c r="B2014" s="70">
        <v>52.86</v>
      </c>
      <c r="C2014" s="85">
        <v>6298555</v>
      </c>
      <c r="D2014" s="88">
        <v>7.48271655144368E-2</v>
      </c>
      <c r="E2014" s="87"/>
    </row>
    <row r="2015" spans="1:7" ht="15" x14ac:dyDescent="0.2">
      <c r="A2015" s="73">
        <v>41618</v>
      </c>
      <c r="B2015" s="70">
        <v>49.18</v>
      </c>
      <c r="C2015" s="85">
        <v>3709883</v>
      </c>
      <c r="D2015" s="88">
        <v>-2.5945731828084795E-2</v>
      </c>
      <c r="E2015" s="87"/>
    </row>
    <row r="2016" spans="1:7" ht="15" x14ac:dyDescent="0.2">
      <c r="A2016" s="73">
        <v>41617</v>
      </c>
      <c r="B2016" s="70">
        <v>50.49</v>
      </c>
      <c r="C2016" s="85">
        <v>2263147</v>
      </c>
      <c r="D2016" s="88">
        <v>8.1869009584665253E-3</v>
      </c>
      <c r="E2016" s="87"/>
    </row>
    <row r="2017" spans="1:5" ht="15" x14ac:dyDescent="0.2">
      <c r="A2017" s="73">
        <v>41614</v>
      </c>
      <c r="B2017" s="70">
        <v>50.08</v>
      </c>
      <c r="C2017" s="85">
        <v>2047433</v>
      </c>
      <c r="D2017" s="88">
        <v>3.7077863513377274E-3</v>
      </c>
      <c r="E2017" s="87"/>
    </row>
    <row r="2018" spans="1:5" ht="15" x14ac:dyDescent="0.2">
      <c r="A2018" s="73">
        <v>41613</v>
      </c>
      <c r="B2018" s="70">
        <v>49.895000000000003</v>
      </c>
      <c r="C2018" s="85">
        <v>2345572</v>
      </c>
      <c r="D2018" s="88">
        <v>-1.4711690363349073E-2</v>
      </c>
      <c r="E2018" s="87"/>
    </row>
    <row r="2019" spans="1:5" ht="15" x14ac:dyDescent="0.2">
      <c r="A2019" s="73">
        <v>41612</v>
      </c>
      <c r="B2019" s="70">
        <v>50.64</v>
      </c>
      <c r="C2019" s="85">
        <v>2708665</v>
      </c>
      <c r="D2019" s="88">
        <v>-9.5834148249560602E-3</v>
      </c>
      <c r="E2019" s="87"/>
    </row>
    <row r="2020" spans="1:5" ht="15" x14ac:dyDescent="0.2">
      <c r="A2020" s="73">
        <v>41611</v>
      </c>
      <c r="B2020" s="70">
        <v>51.13</v>
      </c>
      <c r="C2020" s="85">
        <v>2246193</v>
      </c>
      <c r="D2020" s="88">
        <v>-3.7099811676082894E-2</v>
      </c>
      <c r="E2020" s="87"/>
    </row>
    <row r="2021" spans="1:5" ht="15" x14ac:dyDescent="0.2">
      <c r="A2021" s="73">
        <v>41610</v>
      </c>
      <c r="B2021" s="70">
        <v>53.1</v>
      </c>
      <c r="C2021" s="85">
        <v>1508227</v>
      </c>
      <c r="D2021" s="88">
        <v>1.6073478760046056E-2</v>
      </c>
      <c r="E2021" s="87"/>
    </row>
    <row r="2022" spans="1:5" ht="15" x14ac:dyDescent="0.2">
      <c r="A2022" s="73">
        <v>41607</v>
      </c>
      <c r="B2022" s="70">
        <v>52.26</v>
      </c>
      <c r="C2022" s="85">
        <v>1065573</v>
      </c>
      <c r="D2022" s="88">
        <v>-7.7843174482628008E-3</v>
      </c>
      <c r="E2022" s="87"/>
    </row>
    <row r="2023" spans="1:5" ht="15" x14ac:dyDescent="0.2">
      <c r="A2023" s="73">
        <v>41606</v>
      </c>
      <c r="B2023" s="70">
        <v>52.67</v>
      </c>
      <c r="C2023" s="85">
        <v>900327</v>
      </c>
      <c r="D2023" s="88">
        <v>5.7284704983771029E-3</v>
      </c>
      <c r="E2023" s="87"/>
    </row>
    <row r="2024" spans="1:5" ht="15" x14ac:dyDescent="0.2">
      <c r="A2024" s="73">
        <v>41605</v>
      </c>
      <c r="B2024" s="70">
        <v>52.37</v>
      </c>
      <c r="C2024" s="85">
        <v>1648019</v>
      </c>
      <c r="D2024" s="88">
        <v>1.6301183776440853E-2</v>
      </c>
      <c r="E2024" s="87"/>
    </row>
    <row r="2025" spans="1:5" ht="15" x14ac:dyDescent="0.2">
      <c r="A2025" s="73">
        <v>41604</v>
      </c>
      <c r="B2025" s="70">
        <v>51.53</v>
      </c>
      <c r="C2025" s="85">
        <v>2068869</v>
      </c>
      <c r="D2025" s="88">
        <v>-1.340225923798577E-2</v>
      </c>
      <c r="E2025" s="87"/>
    </row>
    <row r="2026" spans="1:5" ht="15" x14ac:dyDescent="0.2">
      <c r="A2026" s="73">
        <v>41603</v>
      </c>
      <c r="B2026" s="70">
        <v>52.23</v>
      </c>
      <c r="C2026" s="85">
        <v>1242264</v>
      </c>
      <c r="D2026" s="88">
        <v>9.4704290684188841E-3</v>
      </c>
      <c r="E2026" s="87"/>
    </row>
    <row r="2027" spans="1:5" ht="15" x14ac:dyDescent="0.2">
      <c r="A2027" s="73">
        <v>41600</v>
      </c>
      <c r="B2027" s="70">
        <v>51.74</v>
      </c>
      <c r="C2027" s="85">
        <v>1575006</v>
      </c>
      <c r="D2027" s="88">
        <v>6.418984633340008E-3</v>
      </c>
      <c r="E2027" s="87"/>
    </row>
    <row r="2028" spans="1:5" ht="15" x14ac:dyDescent="0.2">
      <c r="A2028" s="73">
        <v>41599</v>
      </c>
      <c r="B2028" s="70">
        <v>51.41</v>
      </c>
      <c r="C2028" s="85">
        <v>1998864</v>
      </c>
      <c r="D2028" s="88">
        <v>-1.4756611728631741E-2</v>
      </c>
      <c r="E2028" s="87"/>
    </row>
    <row r="2029" spans="1:5" ht="15" x14ac:dyDescent="0.2">
      <c r="A2029" s="73">
        <v>41598</v>
      </c>
      <c r="B2029" s="70">
        <v>52.18</v>
      </c>
      <c r="C2029" s="85">
        <v>1346379</v>
      </c>
      <c r="D2029" s="88">
        <v>-3.4377387318563768E-3</v>
      </c>
      <c r="E2029" s="87"/>
    </row>
    <row r="2030" spans="1:5" ht="15" x14ac:dyDescent="0.2">
      <c r="A2030" s="73">
        <v>41597</v>
      </c>
      <c r="B2030" s="70">
        <v>52.36</v>
      </c>
      <c r="C2030" s="85">
        <v>1661002</v>
      </c>
      <c r="D2030" s="88">
        <v>-1.5974440894568676E-2</v>
      </c>
      <c r="E2030" s="87"/>
    </row>
    <row r="2031" spans="1:5" ht="15" x14ac:dyDescent="0.2">
      <c r="A2031" s="73">
        <v>41596</v>
      </c>
      <c r="B2031" s="70">
        <v>53.21</v>
      </c>
      <c r="C2031" s="85">
        <v>3006263</v>
      </c>
      <c r="D2031" s="88">
        <v>2.4254090471607315E-2</v>
      </c>
      <c r="E2031" s="87"/>
    </row>
    <row r="2032" spans="1:5" ht="15" x14ac:dyDescent="0.2">
      <c r="A2032" s="73">
        <v>41593</v>
      </c>
      <c r="B2032" s="70">
        <v>51.95</v>
      </c>
      <c r="C2032" s="85">
        <v>2479068</v>
      </c>
      <c r="D2032" s="88">
        <v>-1.4979142965491077E-2</v>
      </c>
      <c r="E2032" s="87"/>
    </row>
    <row r="2033" spans="1:5" ht="15" x14ac:dyDescent="0.2">
      <c r="A2033" s="73">
        <v>41592</v>
      </c>
      <c r="B2033" s="70">
        <v>52.74</v>
      </c>
      <c r="C2033" s="85">
        <v>5078971</v>
      </c>
      <c r="D2033" s="88">
        <v>1.893353941267395E-2</v>
      </c>
      <c r="E2033" s="87"/>
    </row>
    <row r="2034" spans="1:5" ht="15" x14ac:dyDescent="0.2">
      <c r="A2034" s="73">
        <v>41591</v>
      </c>
      <c r="B2034" s="70">
        <v>51.76</v>
      </c>
      <c r="C2034" s="85">
        <v>3134271</v>
      </c>
      <c r="D2034" s="88">
        <v>-1.1270296084049725E-2</v>
      </c>
      <c r="E2034" s="87"/>
    </row>
    <row r="2035" spans="1:5" ht="15" x14ac:dyDescent="0.2">
      <c r="A2035" s="73">
        <v>41590</v>
      </c>
      <c r="B2035" s="70">
        <v>52.35</v>
      </c>
      <c r="C2035" s="85">
        <v>2519023</v>
      </c>
      <c r="D2035" s="88">
        <v>-2.695167286245348E-2</v>
      </c>
      <c r="E2035" s="87"/>
    </row>
    <row r="2036" spans="1:5" ht="15" x14ac:dyDescent="0.2">
      <c r="A2036" s="73">
        <v>41589</v>
      </c>
      <c r="B2036" s="70">
        <v>53.8</v>
      </c>
      <c r="C2036" s="85">
        <v>1446062</v>
      </c>
      <c r="D2036" s="88">
        <v>6.7365269461077126E-3</v>
      </c>
      <c r="E2036" s="87"/>
    </row>
    <row r="2037" spans="1:5" ht="15" x14ac:dyDescent="0.2">
      <c r="A2037" s="73">
        <v>41586</v>
      </c>
      <c r="B2037" s="70">
        <v>53.44</v>
      </c>
      <c r="C2037" s="85">
        <v>2599071</v>
      </c>
      <c r="D2037" s="88">
        <v>-3.7285607755407346E-3</v>
      </c>
      <c r="E2037" s="87"/>
    </row>
    <row r="2038" spans="1:5" ht="15" x14ac:dyDescent="0.2">
      <c r="A2038" s="73">
        <v>41585</v>
      </c>
      <c r="B2038" s="70">
        <v>53.64</v>
      </c>
      <c r="C2038" s="85">
        <v>2726152</v>
      </c>
      <c r="D2038" s="88">
        <v>2.4294524387964422E-3</v>
      </c>
      <c r="E2038" s="87"/>
    </row>
    <row r="2039" spans="1:5" ht="15" x14ac:dyDescent="0.2">
      <c r="A2039" s="73">
        <v>41584</v>
      </c>
      <c r="B2039" s="70">
        <v>53.51</v>
      </c>
      <c r="C2039" s="85">
        <v>2026409</v>
      </c>
      <c r="D2039" s="88">
        <v>1.6141283706798459E-2</v>
      </c>
      <c r="E2039" s="87"/>
    </row>
    <row r="2040" spans="1:5" ht="15" x14ac:dyDescent="0.2">
      <c r="A2040" s="73">
        <v>41583</v>
      </c>
      <c r="B2040" s="70">
        <v>52.66</v>
      </c>
      <c r="C2040" s="85">
        <v>2705203</v>
      </c>
      <c r="D2040" s="88">
        <v>1.2497596616035445E-2</v>
      </c>
      <c r="E2040" s="87"/>
    </row>
    <row r="2041" spans="1:5" ht="15" x14ac:dyDescent="0.2">
      <c r="A2041" s="73">
        <v>41582</v>
      </c>
      <c r="B2041" s="70">
        <v>52.01</v>
      </c>
      <c r="C2041" s="85">
        <v>2145068</v>
      </c>
      <c r="D2041" s="88">
        <v>2.7662517289073207E-2</v>
      </c>
      <c r="E2041" s="87"/>
    </row>
    <row r="2042" spans="1:5" ht="15" x14ac:dyDescent="0.2">
      <c r="A2042" s="73">
        <v>41579</v>
      </c>
      <c r="B2042" s="70">
        <v>50.61</v>
      </c>
      <c r="C2042" s="85">
        <v>2496864</v>
      </c>
      <c r="D2042" s="88">
        <v>0</v>
      </c>
      <c r="E2042" s="87"/>
    </row>
    <row r="2043" spans="1:5" ht="15" x14ac:dyDescent="0.2">
      <c r="A2043" s="73">
        <v>41578</v>
      </c>
      <c r="B2043" s="70">
        <v>50.61</v>
      </c>
      <c r="C2043" s="85">
        <v>2794922</v>
      </c>
      <c r="D2043" s="88">
        <v>6.5632458233890745E-3</v>
      </c>
      <c r="E2043" s="87"/>
    </row>
    <row r="2044" spans="1:5" ht="15" x14ac:dyDescent="0.2">
      <c r="A2044" s="73">
        <v>41577</v>
      </c>
      <c r="B2044" s="70">
        <v>50.28</v>
      </c>
      <c r="C2044" s="85">
        <v>2497227</v>
      </c>
      <c r="D2044" s="88">
        <v>1.9258057976890397E-2</v>
      </c>
      <c r="E2044" s="87"/>
    </row>
    <row r="2045" spans="1:5" ht="15" x14ac:dyDescent="0.2">
      <c r="A2045" s="73">
        <v>41576</v>
      </c>
      <c r="B2045" s="70">
        <v>49.33</v>
      </c>
      <c r="C2045" s="85">
        <v>1768137</v>
      </c>
      <c r="D2045" s="88">
        <v>1.4185855263157743E-2</v>
      </c>
      <c r="E2045" s="87"/>
    </row>
    <row r="2046" spans="1:5" ht="15" x14ac:dyDescent="0.2">
      <c r="A2046" s="73">
        <v>41575</v>
      </c>
      <c r="B2046" s="70">
        <v>48.64</v>
      </c>
      <c r="C2046" s="85">
        <v>1485558</v>
      </c>
      <c r="D2046" s="88">
        <v>-8.1566068515497303E-3</v>
      </c>
      <c r="E2046" s="87"/>
    </row>
    <row r="2047" spans="1:5" ht="15" x14ac:dyDescent="0.2">
      <c r="A2047" s="73">
        <v>41572</v>
      </c>
      <c r="B2047" s="70">
        <v>49.04</v>
      </c>
      <c r="C2047" s="85">
        <v>1784910</v>
      </c>
      <c r="D2047" s="88">
        <v>1.3223140495867813E-2</v>
      </c>
      <c r="E2047" s="87"/>
    </row>
    <row r="2048" spans="1:5" ht="15" x14ac:dyDescent="0.2">
      <c r="A2048" s="73">
        <v>41571</v>
      </c>
      <c r="B2048" s="70">
        <v>48.4</v>
      </c>
      <c r="C2048" s="85">
        <v>2066874</v>
      </c>
      <c r="D2048" s="88">
        <v>2.3255813953488413E-2</v>
      </c>
      <c r="E2048" s="87"/>
    </row>
    <row r="2049" spans="1:5" ht="15" x14ac:dyDescent="0.2">
      <c r="A2049" s="73">
        <v>41570</v>
      </c>
      <c r="B2049" s="70">
        <v>47.3</v>
      </c>
      <c r="C2049" s="85">
        <v>2534202</v>
      </c>
      <c r="D2049" s="88">
        <v>-8.1778150555672502E-3</v>
      </c>
      <c r="E2049" s="87"/>
    </row>
    <row r="2050" spans="1:5" ht="15" x14ac:dyDescent="0.2">
      <c r="A2050" s="73">
        <v>41569</v>
      </c>
      <c r="B2050" s="70">
        <v>47.69</v>
      </c>
      <c r="C2050" s="85">
        <v>2162216</v>
      </c>
      <c r="D2050" s="88">
        <v>-6.9755335762623494E-3</v>
      </c>
      <c r="E2050" s="87"/>
    </row>
    <row r="2051" spans="1:5" ht="15" x14ac:dyDescent="0.2">
      <c r="A2051" s="73">
        <v>41568</v>
      </c>
      <c r="B2051" s="70">
        <v>48.024999999999999</v>
      </c>
      <c r="C2051" s="85">
        <v>1830926</v>
      </c>
      <c r="D2051" s="88">
        <v>-1.9097222222222321E-2</v>
      </c>
      <c r="E2051" s="87"/>
    </row>
    <row r="2052" spans="1:5" ht="15" x14ac:dyDescent="0.2">
      <c r="A2052" s="73">
        <v>41565</v>
      </c>
      <c r="B2052" s="70">
        <v>48.96</v>
      </c>
      <c r="C2052" s="85">
        <v>2052359</v>
      </c>
      <c r="D2052" s="88">
        <v>1.021355617455888E-2</v>
      </c>
      <c r="E2052" s="87"/>
    </row>
    <row r="2053" spans="1:5" ht="15" x14ac:dyDescent="0.2">
      <c r="A2053" s="73">
        <v>41564</v>
      </c>
      <c r="B2053" s="70">
        <v>48.465000000000003</v>
      </c>
      <c r="C2053" s="85">
        <v>1914856</v>
      </c>
      <c r="D2053" s="88">
        <v>3.1046258925799819E-3</v>
      </c>
      <c r="E2053" s="87"/>
    </row>
    <row r="2054" spans="1:5" ht="15" x14ac:dyDescent="0.2">
      <c r="A2054" s="73">
        <v>41563</v>
      </c>
      <c r="B2054" s="70">
        <v>48.314999999999998</v>
      </c>
      <c r="C2054" s="85">
        <v>1518694</v>
      </c>
      <c r="D2054" s="88">
        <v>-4.6353522867738084E-3</v>
      </c>
      <c r="E2054" s="87"/>
    </row>
    <row r="2055" spans="1:5" ht="15" x14ac:dyDescent="0.2">
      <c r="A2055" s="73">
        <v>41562</v>
      </c>
      <c r="B2055" s="70">
        <v>48.54</v>
      </c>
      <c r="C2055" s="85">
        <v>1848129</v>
      </c>
      <c r="D2055" s="88">
        <v>-7.7677841373672285E-3</v>
      </c>
      <c r="E2055" s="87"/>
    </row>
    <row r="2056" spans="1:5" ht="15" x14ac:dyDescent="0.2">
      <c r="A2056" s="73">
        <v>41561</v>
      </c>
      <c r="B2056" s="70">
        <v>48.92</v>
      </c>
      <c r="C2056" s="85">
        <v>1217599</v>
      </c>
      <c r="D2056" s="88">
        <v>3.0756612671725136E-3</v>
      </c>
      <c r="E2056" s="87"/>
    </row>
    <row r="2057" spans="1:5" ht="15" x14ac:dyDescent="0.2">
      <c r="A2057" s="73">
        <v>41558</v>
      </c>
      <c r="B2057" s="70">
        <v>48.77</v>
      </c>
      <c r="C2057" s="85">
        <v>1954816</v>
      </c>
      <c r="D2057" s="88">
        <v>9.7308488612837252E-3</v>
      </c>
      <c r="E2057" s="87"/>
    </row>
    <row r="2058" spans="1:5" ht="15" x14ac:dyDescent="0.2">
      <c r="A2058" s="73">
        <v>41557</v>
      </c>
      <c r="B2058" s="70">
        <v>48.3</v>
      </c>
      <c r="C2058" s="85">
        <v>2764975</v>
      </c>
      <c r="D2058" s="88">
        <v>7.6144779388753747E-3</v>
      </c>
      <c r="E2058" s="87"/>
    </row>
    <row r="2059" spans="1:5" ht="15" x14ac:dyDescent="0.2">
      <c r="A2059" s="73">
        <v>41556</v>
      </c>
      <c r="B2059" s="70">
        <v>47.935000000000002</v>
      </c>
      <c r="C2059" s="85">
        <v>2482727</v>
      </c>
      <c r="D2059" s="88">
        <v>-2.1634860700071368E-2</v>
      </c>
      <c r="E2059" s="87"/>
    </row>
    <row r="2060" spans="1:5" ht="15" x14ac:dyDescent="0.2">
      <c r="A2060" s="73">
        <v>41555</v>
      </c>
      <c r="B2060" s="70">
        <v>48.994999999999997</v>
      </c>
      <c r="C2060" s="85">
        <v>2631239</v>
      </c>
      <c r="D2060" s="88">
        <v>-2.5944333996023805E-2</v>
      </c>
      <c r="E2060" s="87"/>
    </row>
    <row r="2061" spans="1:5" ht="15" x14ac:dyDescent="0.2">
      <c r="A2061" s="73">
        <v>41554</v>
      </c>
      <c r="B2061" s="70">
        <v>50.3</v>
      </c>
      <c r="C2061" s="85">
        <v>3140692</v>
      </c>
      <c r="D2061" s="88">
        <v>2.2149969518390433E-2</v>
      </c>
      <c r="E2061" s="87"/>
    </row>
    <row r="2062" spans="1:5" ht="15" x14ac:dyDescent="0.2">
      <c r="A2062" s="73">
        <v>41551</v>
      </c>
      <c r="B2062" s="70">
        <v>49.21</v>
      </c>
      <c r="C2062" s="85">
        <v>1796721</v>
      </c>
      <c r="D2062" s="88">
        <v>1.275982712492274E-2</v>
      </c>
      <c r="E2062" s="87"/>
    </row>
    <row r="2063" spans="1:5" ht="15" x14ac:dyDescent="0.2">
      <c r="A2063" s="73">
        <v>41550</v>
      </c>
      <c r="B2063" s="70">
        <v>48.59</v>
      </c>
      <c r="C2063" s="85">
        <v>1819598</v>
      </c>
      <c r="D2063" s="88">
        <v>3.0880082346884663E-4</v>
      </c>
      <c r="E2063" s="87"/>
    </row>
    <row r="2064" spans="1:5" ht="15" x14ac:dyDescent="0.2">
      <c r="A2064" s="73">
        <v>41549</v>
      </c>
      <c r="B2064" s="70">
        <v>48.575000000000003</v>
      </c>
      <c r="C2064" s="85">
        <v>2122793</v>
      </c>
      <c r="D2064" s="88">
        <v>4.9653460225509427E-3</v>
      </c>
      <c r="E2064" s="87"/>
    </row>
    <row r="2065" spans="1:5" ht="15" x14ac:dyDescent="0.2">
      <c r="A2065" s="73">
        <v>41548</v>
      </c>
      <c r="B2065" s="70">
        <v>48.335000000000001</v>
      </c>
      <c r="C2065" s="85">
        <v>2276455</v>
      </c>
      <c r="D2065" s="88">
        <v>2.6329758997770458E-2</v>
      </c>
      <c r="E2065" s="87"/>
    </row>
    <row r="2066" spans="1:5" ht="15" x14ac:dyDescent="0.2">
      <c r="A2066" s="73">
        <v>41547</v>
      </c>
      <c r="B2066" s="70">
        <v>47.094999999999999</v>
      </c>
      <c r="C2066" s="85">
        <v>1766626</v>
      </c>
      <c r="D2066" s="88">
        <v>-7.4815595363540988E-3</v>
      </c>
      <c r="E2066" s="87"/>
    </row>
    <row r="2067" spans="1:5" ht="15" x14ac:dyDescent="0.2">
      <c r="A2067" s="73">
        <v>41544</v>
      </c>
      <c r="B2067" s="70">
        <v>47.45</v>
      </c>
      <c r="C2067" s="85">
        <v>1876019</v>
      </c>
      <c r="D2067" s="88">
        <v>9.145044661845958E-3</v>
      </c>
      <c r="E2067" s="87"/>
    </row>
    <row r="2068" spans="1:5" ht="15" x14ac:dyDescent="0.2">
      <c r="A2068" s="73">
        <v>41543</v>
      </c>
      <c r="B2068" s="70">
        <v>47.02</v>
      </c>
      <c r="C2068" s="85">
        <v>1978781</v>
      </c>
      <c r="D2068" s="88">
        <v>8.7963956232568474E-3</v>
      </c>
      <c r="E2068" s="87"/>
    </row>
    <row r="2069" spans="1:5" ht="15" x14ac:dyDescent="0.2">
      <c r="A2069" s="73">
        <v>41542</v>
      </c>
      <c r="B2069" s="70">
        <v>46.61</v>
      </c>
      <c r="C2069" s="85">
        <v>2312883</v>
      </c>
      <c r="D2069" s="88">
        <v>1.1062906724511823E-2</v>
      </c>
      <c r="E2069" s="87"/>
    </row>
    <row r="2070" spans="1:5" ht="15" x14ac:dyDescent="0.2">
      <c r="A2070" s="73">
        <v>41541</v>
      </c>
      <c r="B2070" s="70">
        <v>46.1</v>
      </c>
      <c r="C2070" s="85">
        <v>2005559</v>
      </c>
      <c r="D2070" s="88">
        <v>2.0649929355505137E-3</v>
      </c>
      <c r="E2070" s="87"/>
    </row>
    <row r="2071" spans="1:5" ht="15" x14ac:dyDescent="0.2">
      <c r="A2071" s="73">
        <v>41540</v>
      </c>
      <c r="B2071" s="70">
        <v>46.005000000000003</v>
      </c>
      <c r="C2071" s="85">
        <v>2183106</v>
      </c>
      <c r="D2071" s="88">
        <v>-2.0440753752794638E-2</v>
      </c>
      <c r="E2071" s="87"/>
    </row>
    <row r="2072" spans="1:5" ht="15" x14ac:dyDescent="0.2">
      <c r="A2072" s="73">
        <v>41537</v>
      </c>
      <c r="B2072" s="70">
        <v>46.965000000000003</v>
      </c>
      <c r="C2072" s="85">
        <v>6332698</v>
      </c>
      <c r="D2072" s="88">
        <v>-6.0317460317459437E-3</v>
      </c>
      <c r="E2072" s="87"/>
    </row>
    <row r="2073" spans="1:5" ht="15" x14ac:dyDescent="0.2">
      <c r="A2073" s="73">
        <v>41536</v>
      </c>
      <c r="B2073" s="70">
        <v>47.25</v>
      </c>
      <c r="C2073" s="85">
        <v>3242998</v>
      </c>
      <c r="D2073" s="88">
        <v>1.7332328560663246E-2</v>
      </c>
      <c r="E2073" s="87"/>
    </row>
    <row r="2074" spans="1:5" ht="15" x14ac:dyDescent="0.2">
      <c r="A2074" s="73">
        <v>41535</v>
      </c>
      <c r="B2074" s="70">
        <v>46.445</v>
      </c>
      <c r="C2074" s="85">
        <v>1980234</v>
      </c>
      <c r="D2074" s="88">
        <v>2.9822616407982228E-2</v>
      </c>
      <c r="E2074" s="87"/>
    </row>
    <row r="2075" spans="1:5" ht="15" x14ac:dyDescent="0.2">
      <c r="A2075" s="73">
        <v>41534</v>
      </c>
      <c r="B2075" s="70">
        <v>45.1</v>
      </c>
      <c r="C2075" s="85">
        <v>1442157</v>
      </c>
      <c r="D2075" s="88">
        <v>4.4365572315885338E-4</v>
      </c>
      <c r="E2075" s="87"/>
    </row>
    <row r="2076" spans="1:5" ht="15" x14ac:dyDescent="0.2">
      <c r="A2076" s="73">
        <v>41533</v>
      </c>
      <c r="B2076" s="70">
        <v>45.08</v>
      </c>
      <c r="C2076" s="85">
        <v>1762082</v>
      </c>
      <c r="D2076" s="88">
        <v>6.1377078451065881E-3</v>
      </c>
      <c r="E2076" s="87"/>
    </row>
    <row r="2077" spans="1:5" ht="15" x14ac:dyDescent="0.2">
      <c r="A2077" s="73">
        <v>41530</v>
      </c>
      <c r="B2077" s="70">
        <v>44.805</v>
      </c>
      <c r="C2077" s="85">
        <v>1764052</v>
      </c>
      <c r="D2077" s="88">
        <v>-9.8342541436464703E-3</v>
      </c>
      <c r="E2077" s="87"/>
    </row>
    <row r="2078" spans="1:5" ht="15" x14ac:dyDescent="0.2">
      <c r="A2078" s="73">
        <v>41529</v>
      </c>
      <c r="B2078" s="70">
        <v>45.25</v>
      </c>
      <c r="C2078" s="85">
        <v>2411128</v>
      </c>
      <c r="D2078" s="88">
        <v>-1.641125964569079E-2</v>
      </c>
      <c r="E2078" s="87"/>
    </row>
    <row r="2079" spans="1:5" ht="15" x14ac:dyDescent="0.2">
      <c r="A2079" s="73">
        <v>41528</v>
      </c>
      <c r="B2079" s="70">
        <v>46.005000000000003</v>
      </c>
      <c r="C2079" s="85">
        <v>2234328</v>
      </c>
      <c r="D2079" s="88">
        <v>-7.3362822310928388E-3</v>
      </c>
      <c r="E2079" s="87"/>
    </row>
    <row r="2080" spans="1:5" ht="15" x14ac:dyDescent="0.2">
      <c r="A2080" s="73">
        <v>41527</v>
      </c>
      <c r="B2080" s="70">
        <v>46.344999999999999</v>
      </c>
      <c r="C2080" s="85">
        <v>2387247</v>
      </c>
      <c r="D2080" s="88">
        <v>1.9019349164467902E-2</v>
      </c>
      <c r="E2080" s="87"/>
    </row>
    <row r="2081" spans="1:5" ht="15" x14ac:dyDescent="0.2">
      <c r="A2081" s="73">
        <v>41526</v>
      </c>
      <c r="B2081" s="70">
        <v>45.48</v>
      </c>
      <c r="C2081" s="85">
        <v>1099409</v>
      </c>
      <c r="D2081" s="88">
        <v>1.98281559814939E-3</v>
      </c>
      <c r="E2081" s="87"/>
    </row>
    <row r="2082" spans="1:5" ht="15" x14ac:dyDescent="0.2">
      <c r="A2082" s="73">
        <v>41523</v>
      </c>
      <c r="B2082" s="70">
        <v>45.39</v>
      </c>
      <c r="C2082" s="85">
        <v>1589466</v>
      </c>
      <c r="D2082" s="88">
        <v>6.6533599467730742E-3</v>
      </c>
      <c r="E2082" s="87"/>
    </row>
    <row r="2083" spans="1:5" ht="15" x14ac:dyDescent="0.2">
      <c r="A2083" s="73">
        <v>41522</v>
      </c>
      <c r="B2083" s="70">
        <v>45.09</v>
      </c>
      <c r="C2083" s="85">
        <v>1387417</v>
      </c>
      <c r="D2083" s="88">
        <v>1.0420168067226898E-2</v>
      </c>
      <c r="E2083" s="87"/>
    </row>
    <row r="2084" spans="1:5" ht="15" x14ac:dyDescent="0.2">
      <c r="A2084" s="73">
        <v>41521</v>
      </c>
      <c r="B2084" s="70">
        <v>44.625</v>
      </c>
      <c r="C2084" s="85">
        <v>1691057</v>
      </c>
      <c r="D2084" s="88">
        <v>7.1090047393365108E-3</v>
      </c>
      <c r="E2084" s="87"/>
    </row>
    <row r="2085" spans="1:5" ht="15" x14ac:dyDescent="0.2">
      <c r="A2085" s="73">
        <v>41520</v>
      </c>
      <c r="B2085" s="70">
        <v>44.31</v>
      </c>
      <c r="C2085" s="85">
        <v>1532516</v>
      </c>
      <c r="D2085" s="88">
        <v>-7.614781634938339E-3</v>
      </c>
      <c r="E2085" s="87"/>
    </row>
    <row r="2086" spans="1:5" ht="15" x14ac:dyDescent="0.2">
      <c r="A2086" s="73">
        <v>41519</v>
      </c>
      <c r="B2086" s="70">
        <v>44.65</v>
      </c>
      <c r="C2086" s="85">
        <v>1739667</v>
      </c>
      <c r="D2086" s="88">
        <v>2.3965141612200425E-2</v>
      </c>
      <c r="E2086" s="87"/>
    </row>
    <row r="2087" spans="1:5" ht="15" x14ac:dyDescent="0.2">
      <c r="A2087" s="73">
        <v>41516</v>
      </c>
      <c r="B2087" s="70">
        <v>43.604999999999997</v>
      </c>
      <c r="C2087" s="85">
        <v>2273019</v>
      </c>
      <c r="D2087" s="88">
        <v>4.6077640824788713E-3</v>
      </c>
      <c r="E2087" s="87"/>
    </row>
    <row r="2088" spans="1:5" ht="15" x14ac:dyDescent="0.2">
      <c r="A2088" s="73">
        <v>41515</v>
      </c>
      <c r="B2088" s="70">
        <v>43.405000000000001</v>
      </c>
      <c r="C2088" s="85">
        <v>1784353</v>
      </c>
      <c r="D2088" s="88">
        <v>1.6748653080346676E-2</v>
      </c>
      <c r="E2088" s="87"/>
    </row>
    <row r="2089" spans="1:5" ht="15" x14ac:dyDescent="0.2">
      <c r="A2089" s="73">
        <v>41514</v>
      </c>
      <c r="B2089" s="70">
        <v>42.69</v>
      </c>
      <c r="C2089" s="85">
        <v>2907332</v>
      </c>
      <c r="D2089" s="88">
        <v>-2.4785836664762972E-2</v>
      </c>
      <c r="E2089" s="87"/>
    </row>
    <row r="2090" spans="1:5" ht="15" x14ac:dyDescent="0.2">
      <c r="A2090" s="73">
        <v>41513</v>
      </c>
      <c r="B2090" s="70">
        <v>43.774999999999999</v>
      </c>
      <c r="C2090" s="85">
        <v>2862768</v>
      </c>
      <c r="D2090" s="88">
        <v>-1.6402651387484646E-2</v>
      </c>
      <c r="E2090" s="87"/>
    </row>
    <row r="2091" spans="1:5" ht="15" x14ac:dyDescent="0.2">
      <c r="A2091" s="73">
        <v>41512</v>
      </c>
      <c r="B2091" s="70">
        <v>44.505000000000003</v>
      </c>
      <c r="C2091" s="85">
        <v>597311</v>
      </c>
      <c r="D2091" s="88">
        <v>1.2373453318335059E-3</v>
      </c>
      <c r="E2091" s="87"/>
    </row>
    <row r="2092" spans="1:5" ht="15" x14ac:dyDescent="0.2">
      <c r="A2092" s="73">
        <v>41509</v>
      </c>
      <c r="B2092" s="70">
        <v>44.45</v>
      </c>
      <c r="C2092" s="85">
        <v>989546</v>
      </c>
      <c r="D2092" s="88">
        <v>1.0342084327764622E-2</v>
      </c>
      <c r="E2092" s="87"/>
    </row>
    <row r="2093" spans="1:5" ht="15" x14ac:dyDescent="0.2">
      <c r="A2093" s="73">
        <v>41508</v>
      </c>
      <c r="B2093" s="70">
        <v>43.994999999999997</v>
      </c>
      <c r="C2093" s="85">
        <v>2017260</v>
      </c>
      <c r="D2093" s="88">
        <v>1.2193719084320653E-2</v>
      </c>
      <c r="E2093" s="87"/>
    </row>
    <row r="2094" spans="1:5" ht="15" x14ac:dyDescent="0.2">
      <c r="A2094" s="73">
        <v>41507</v>
      </c>
      <c r="B2094" s="70">
        <v>43.465000000000003</v>
      </c>
      <c r="C2094" s="85">
        <v>1385074</v>
      </c>
      <c r="D2094" s="88">
        <v>-1.0810195721438154E-2</v>
      </c>
      <c r="E2094" s="87"/>
    </row>
    <row r="2095" spans="1:5" ht="15" x14ac:dyDescent="0.2">
      <c r="A2095" s="73">
        <v>41506</v>
      </c>
      <c r="B2095" s="70">
        <v>43.94</v>
      </c>
      <c r="C2095" s="85">
        <v>1997454</v>
      </c>
      <c r="D2095" s="88">
        <v>-2.0944741532976985E-2</v>
      </c>
      <c r="E2095" s="87"/>
    </row>
    <row r="2096" spans="1:5" ht="15" x14ac:dyDescent="0.2">
      <c r="A2096" s="73">
        <v>41505</v>
      </c>
      <c r="B2096" s="70">
        <v>44.88</v>
      </c>
      <c r="C2096" s="85">
        <v>1224341</v>
      </c>
      <c r="D2096" s="88">
        <v>-7.1894701913504111E-3</v>
      </c>
      <c r="E2096" s="87"/>
    </row>
    <row r="2097" spans="1:5" ht="15" x14ac:dyDescent="0.2">
      <c r="A2097" s="73">
        <v>41502</v>
      </c>
      <c r="B2097" s="70">
        <v>45.204999999999998</v>
      </c>
      <c r="C2097" s="85">
        <v>2234531</v>
      </c>
      <c r="D2097" s="88">
        <v>2.1059632010640428E-3</v>
      </c>
      <c r="E2097" s="87"/>
    </row>
    <row r="2098" spans="1:5" ht="15" x14ac:dyDescent="0.2">
      <c r="A2098" s="73">
        <v>41501</v>
      </c>
      <c r="B2098" s="70">
        <v>45.11</v>
      </c>
      <c r="C2098" s="85">
        <v>1939857</v>
      </c>
      <c r="D2098" s="88">
        <v>1.3318534961155315E-3</v>
      </c>
      <c r="E2098" s="87"/>
    </row>
    <row r="2099" spans="1:5" ht="15" x14ac:dyDescent="0.2">
      <c r="A2099" s="73">
        <v>41500</v>
      </c>
      <c r="B2099" s="70">
        <v>45.05</v>
      </c>
      <c r="C2099" s="85">
        <v>2131129</v>
      </c>
      <c r="D2099" s="88">
        <v>1.1336850376024055E-2</v>
      </c>
      <c r="E2099" s="87"/>
    </row>
    <row r="2100" spans="1:5" ht="15" x14ac:dyDescent="0.2">
      <c r="A2100" s="73">
        <v>41499</v>
      </c>
      <c r="B2100" s="70">
        <v>44.545000000000002</v>
      </c>
      <c r="C2100" s="85">
        <v>1780375</v>
      </c>
      <c r="D2100" s="88">
        <v>-8.789497107254074E-3</v>
      </c>
      <c r="E2100" s="87"/>
    </row>
    <row r="2101" spans="1:5" ht="15" x14ac:dyDescent="0.2">
      <c r="A2101" s="73">
        <v>41498</v>
      </c>
      <c r="B2101" s="70">
        <v>44.94</v>
      </c>
      <c r="C2101" s="85">
        <v>1684855</v>
      </c>
      <c r="D2101" s="88">
        <v>-2.2086824067022115E-2</v>
      </c>
      <c r="E2101" s="87"/>
    </row>
    <row r="2102" spans="1:5" ht="15" x14ac:dyDescent="0.2">
      <c r="A2102" s="73">
        <v>41495</v>
      </c>
      <c r="B2102" s="70">
        <v>45.954999999999998</v>
      </c>
      <c r="C2102" s="85">
        <v>1557013</v>
      </c>
      <c r="D2102" s="88">
        <v>2.7274710888065545E-3</v>
      </c>
      <c r="E2102" s="87"/>
    </row>
    <row r="2103" spans="1:5" ht="15" x14ac:dyDescent="0.2">
      <c r="A2103" s="73">
        <v>41494</v>
      </c>
      <c r="B2103" s="70">
        <v>45.83</v>
      </c>
      <c r="C2103" s="85">
        <v>1489360</v>
      </c>
      <c r="D2103" s="88">
        <v>4.6032441911443289E-3</v>
      </c>
      <c r="E2103" s="87"/>
    </row>
    <row r="2104" spans="1:5" ht="15" x14ac:dyDescent="0.2">
      <c r="A2104" s="73">
        <v>41493</v>
      </c>
      <c r="B2104" s="70">
        <v>45.62</v>
      </c>
      <c r="C2104" s="85">
        <v>2214203</v>
      </c>
      <c r="D2104" s="88">
        <v>4.7351613258450609E-3</v>
      </c>
      <c r="E2104" s="87"/>
    </row>
    <row r="2105" spans="1:5" ht="15" x14ac:dyDescent="0.2">
      <c r="A2105" s="73">
        <v>41492</v>
      </c>
      <c r="B2105" s="70">
        <v>45.405000000000001</v>
      </c>
      <c r="C2105" s="85">
        <v>2804882</v>
      </c>
      <c r="D2105" s="88">
        <v>1.3730743469524409E-2</v>
      </c>
      <c r="E2105" s="87"/>
    </row>
    <row r="2106" spans="1:5" ht="15" x14ac:dyDescent="0.2">
      <c r="A2106" s="73">
        <v>41491</v>
      </c>
      <c r="B2106" s="70">
        <v>44.79</v>
      </c>
      <c r="C2106" s="85">
        <v>2058881</v>
      </c>
      <c r="D2106" s="88">
        <v>-5.8817001442681427E-3</v>
      </c>
      <c r="E2106" s="87"/>
    </row>
    <row r="2107" spans="1:5" ht="15" x14ac:dyDescent="0.2">
      <c r="A2107" s="73">
        <v>41488</v>
      </c>
      <c r="B2107" s="70">
        <v>45.055</v>
      </c>
      <c r="C2107" s="85">
        <v>2261250</v>
      </c>
      <c r="D2107" s="88">
        <v>-4.8591938155714276E-3</v>
      </c>
      <c r="E2107" s="87"/>
    </row>
    <row r="2108" spans="1:5" ht="15" x14ac:dyDescent="0.2">
      <c r="A2108" s="73">
        <v>41487</v>
      </c>
      <c r="B2108" s="70">
        <v>45.274999999999999</v>
      </c>
      <c r="C2108" s="85">
        <v>2567179</v>
      </c>
      <c r="D2108" s="88">
        <v>8.6888715606550093E-3</v>
      </c>
      <c r="E2108" s="87"/>
    </row>
    <row r="2109" spans="1:5" ht="15" x14ac:dyDescent="0.2">
      <c r="A2109" s="73">
        <v>41486</v>
      </c>
      <c r="B2109" s="70">
        <v>44.884999999999998</v>
      </c>
      <c r="C2109" s="85">
        <v>4996391</v>
      </c>
      <c r="D2109" s="88">
        <v>1.3892026202846131E-2</v>
      </c>
      <c r="E2109" s="87"/>
    </row>
    <row r="2110" spans="1:5" ht="15" x14ac:dyDescent="0.2">
      <c r="A2110" s="73">
        <v>41485</v>
      </c>
      <c r="B2110" s="70">
        <v>44.27</v>
      </c>
      <c r="C2110" s="85">
        <v>2328383</v>
      </c>
      <c r="D2110" s="88">
        <v>-1.6912842485059532E-3</v>
      </c>
      <c r="E2110" s="87"/>
    </row>
    <row r="2111" spans="1:5" ht="15" x14ac:dyDescent="0.2">
      <c r="A2111" s="73">
        <v>41484</v>
      </c>
      <c r="B2111" s="70">
        <v>44.344999999999999</v>
      </c>
      <c r="C2111" s="85">
        <v>3242432</v>
      </c>
      <c r="D2111" s="88">
        <v>3.961965134706702E-3</v>
      </c>
      <c r="E2111" s="87"/>
    </row>
    <row r="2112" spans="1:5" ht="15" x14ac:dyDescent="0.2">
      <c r="A2112" s="73">
        <v>41481</v>
      </c>
      <c r="B2112" s="70">
        <v>44.17</v>
      </c>
      <c r="C2112" s="85">
        <v>3025523</v>
      </c>
      <c r="D2112" s="88">
        <v>1.6570771001150675E-2</v>
      </c>
      <c r="E2112" s="87"/>
    </row>
    <row r="2113" spans="1:5" ht="15" x14ac:dyDescent="0.2">
      <c r="A2113" s="73">
        <v>41480</v>
      </c>
      <c r="B2113" s="70">
        <v>43.45</v>
      </c>
      <c r="C2113" s="85">
        <v>2870016</v>
      </c>
      <c r="D2113" s="88">
        <v>2.6701323251417719E-2</v>
      </c>
      <c r="E2113" s="87"/>
    </row>
    <row r="2114" spans="1:5" ht="15" x14ac:dyDescent="0.2">
      <c r="A2114" s="73">
        <v>41479</v>
      </c>
      <c r="B2114" s="70">
        <v>42.32</v>
      </c>
      <c r="C2114" s="85">
        <v>2450219</v>
      </c>
      <c r="D2114" s="88">
        <v>2.1311863604074333E-3</v>
      </c>
      <c r="E2114" s="87"/>
    </row>
    <row r="2115" spans="1:5" ht="15" x14ac:dyDescent="0.2">
      <c r="A2115" s="73">
        <v>41478</v>
      </c>
      <c r="B2115" s="70">
        <v>42.23</v>
      </c>
      <c r="C2115" s="85">
        <v>1485092</v>
      </c>
      <c r="D2115" s="88">
        <v>-7.9868451961475628E-3</v>
      </c>
      <c r="E2115" s="87"/>
    </row>
    <row r="2116" spans="1:5" ht="15" x14ac:dyDescent="0.2">
      <c r="A2116" s="73">
        <v>41477</v>
      </c>
      <c r="B2116" s="70">
        <v>42.57</v>
      </c>
      <c r="C2116" s="85">
        <v>1081362</v>
      </c>
      <c r="D2116" s="88">
        <v>-1.6416510318949529E-3</v>
      </c>
      <c r="E2116" s="87"/>
    </row>
    <row r="2117" spans="1:5" ht="15" x14ac:dyDescent="0.2">
      <c r="A2117" s="73">
        <v>41474</v>
      </c>
      <c r="B2117" s="70">
        <v>42.64</v>
      </c>
      <c r="C2117" s="85">
        <v>2836970</v>
      </c>
      <c r="D2117" s="88">
        <v>1.0067511548027985E-2</v>
      </c>
      <c r="E2117" s="87"/>
    </row>
    <row r="2118" spans="1:5" ht="15" x14ac:dyDescent="0.2">
      <c r="A2118" s="73">
        <v>41473</v>
      </c>
      <c r="B2118" s="70">
        <v>42.215000000000003</v>
      </c>
      <c r="C2118" s="85">
        <v>2388882</v>
      </c>
      <c r="D2118" s="88">
        <v>1.3322131541046778E-2</v>
      </c>
      <c r="E2118" s="87"/>
    </row>
    <row r="2119" spans="1:5" ht="15" x14ac:dyDescent="0.2">
      <c r="A2119" s="73">
        <v>41472</v>
      </c>
      <c r="B2119" s="70">
        <v>41.66</v>
      </c>
      <c r="C2119" s="85">
        <v>2747420</v>
      </c>
      <c r="D2119" s="88">
        <v>8.4084084084068422E-4</v>
      </c>
      <c r="E2119" s="87"/>
    </row>
    <row r="2120" spans="1:5" ht="15" x14ac:dyDescent="0.2">
      <c r="A2120" s="73">
        <v>41471</v>
      </c>
      <c r="B2120" s="70">
        <v>41.625</v>
      </c>
      <c r="C2120" s="85">
        <v>1735639</v>
      </c>
      <c r="D2120" s="88">
        <v>-5.1386233269599124E-3</v>
      </c>
      <c r="E2120" s="87"/>
    </row>
    <row r="2121" spans="1:5" ht="15" x14ac:dyDescent="0.2">
      <c r="A2121" s="73">
        <v>41470</v>
      </c>
      <c r="B2121" s="70">
        <v>41.84</v>
      </c>
      <c r="C2121" s="85">
        <v>1646518</v>
      </c>
      <c r="D2121" s="88">
        <v>1.3811485340440965E-2</v>
      </c>
      <c r="E2121" s="87"/>
    </row>
    <row r="2122" spans="1:5" ht="15" x14ac:dyDescent="0.2">
      <c r="A2122" s="73">
        <v>41467</v>
      </c>
      <c r="B2122" s="70">
        <v>41.27</v>
      </c>
      <c r="C2122" s="85">
        <v>1853044</v>
      </c>
      <c r="D2122" s="88">
        <v>-2.1760154738876825E-3</v>
      </c>
      <c r="E2122" s="87"/>
    </row>
    <row r="2123" spans="1:5" ht="15" x14ac:dyDescent="0.2">
      <c r="A2123" s="73">
        <v>41466</v>
      </c>
      <c r="B2123" s="70">
        <v>41.36</v>
      </c>
      <c r="C2123" s="85">
        <v>2152178</v>
      </c>
      <c r="D2123" s="88">
        <v>-3.6135870874487441E-3</v>
      </c>
      <c r="E2123" s="87"/>
    </row>
    <row r="2124" spans="1:5" ht="15" x14ac:dyDescent="0.2">
      <c r="A2124" s="73">
        <v>41465</v>
      </c>
      <c r="B2124" s="70">
        <v>41.51</v>
      </c>
      <c r="C2124" s="85">
        <v>1634191</v>
      </c>
      <c r="D2124" s="88">
        <v>-5.1527860994607932E-3</v>
      </c>
      <c r="E2124" s="87"/>
    </row>
    <row r="2125" spans="1:5" ht="15" x14ac:dyDescent="0.2">
      <c r="A2125" s="73">
        <v>41464</v>
      </c>
      <c r="B2125" s="70">
        <v>41.725000000000001</v>
      </c>
      <c r="C2125" s="85">
        <v>1540284</v>
      </c>
      <c r="D2125" s="88">
        <v>1.5602496399425014E-3</v>
      </c>
      <c r="E2125" s="87"/>
    </row>
    <row r="2126" spans="1:5" ht="15" x14ac:dyDescent="0.2">
      <c r="A2126" s="73">
        <v>41463</v>
      </c>
      <c r="B2126" s="70">
        <v>41.66</v>
      </c>
      <c r="C2126" s="85">
        <v>2096223</v>
      </c>
      <c r="D2126" s="88">
        <v>1.116504854368916E-2</v>
      </c>
      <c r="E2126" s="87"/>
    </row>
    <row r="2127" spans="1:5" ht="15" x14ac:dyDescent="0.2">
      <c r="A2127" s="73">
        <v>41460</v>
      </c>
      <c r="B2127" s="70">
        <v>41.2</v>
      </c>
      <c r="C2127" s="85">
        <v>1684359</v>
      </c>
      <c r="D2127" s="88">
        <v>-1.1990407673860948E-2</v>
      </c>
      <c r="E2127" s="87"/>
    </row>
    <row r="2128" spans="1:5" ht="15" x14ac:dyDescent="0.2">
      <c r="A2128" s="73">
        <v>41459</v>
      </c>
      <c r="B2128" s="70">
        <v>41.7</v>
      </c>
      <c r="C2128" s="85">
        <v>2697682</v>
      </c>
      <c r="D2128" s="88">
        <v>3.6411084876351474E-2</v>
      </c>
      <c r="E2128" s="87"/>
    </row>
    <row r="2129" spans="1:5" ht="15" x14ac:dyDescent="0.2">
      <c r="A2129" s="73">
        <v>41458</v>
      </c>
      <c r="B2129" s="70">
        <v>40.234999999999999</v>
      </c>
      <c r="C2129" s="85">
        <v>2436894</v>
      </c>
      <c r="D2129" s="88">
        <v>-1.360627604805098E-2</v>
      </c>
      <c r="E2129" s="87"/>
    </row>
    <row r="2130" spans="1:5" ht="15" x14ac:dyDescent="0.2">
      <c r="A2130" s="73">
        <v>41457</v>
      </c>
      <c r="B2130" s="70">
        <v>40.79</v>
      </c>
      <c r="C2130" s="85">
        <v>1876329</v>
      </c>
      <c r="D2130" s="88">
        <v>-1.0191701043436141E-2</v>
      </c>
      <c r="E2130" s="87"/>
    </row>
    <row r="2131" spans="1:5" ht="15" x14ac:dyDescent="0.2">
      <c r="A2131" s="73">
        <v>41456</v>
      </c>
      <c r="B2131" s="70">
        <v>41.21</v>
      </c>
      <c r="C2131" s="85">
        <v>3082547</v>
      </c>
      <c r="D2131" s="88">
        <v>3.5309874589066759E-3</v>
      </c>
      <c r="E2131" s="87"/>
    </row>
    <row r="2132" spans="1:5" ht="15" x14ac:dyDescent="0.2">
      <c r="A2132" s="73">
        <v>41453</v>
      </c>
      <c r="B2132" s="70">
        <v>41.064999999999998</v>
      </c>
      <c r="C2132" s="85">
        <v>3061937</v>
      </c>
      <c r="D2132" s="88">
        <v>-1.1910490856593015E-2</v>
      </c>
      <c r="E2132" s="87"/>
    </row>
    <row r="2133" spans="1:5" ht="15" x14ac:dyDescent="0.2">
      <c r="A2133" s="73">
        <v>41452</v>
      </c>
      <c r="B2133" s="70">
        <v>41.56</v>
      </c>
      <c r="C2133" s="85">
        <v>2379185</v>
      </c>
      <c r="D2133" s="88">
        <v>4.5927000241721139E-3</v>
      </c>
      <c r="E2133" s="87"/>
    </row>
    <row r="2134" spans="1:5" ht="15" x14ac:dyDescent="0.2">
      <c r="A2134" s="73">
        <v>41451</v>
      </c>
      <c r="B2134" s="70">
        <v>41.37</v>
      </c>
      <c r="C2134" s="85">
        <v>2844191</v>
      </c>
      <c r="D2134" s="88">
        <v>1.5339305436249839E-2</v>
      </c>
      <c r="E2134" s="87"/>
    </row>
    <row r="2135" spans="1:5" ht="15" x14ac:dyDescent="0.2">
      <c r="A2135" s="73">
        <v>41450</v>
      </c>
      <c r="B2135" s="70">
        <v>40.744999999999997</v>
      </c>
      <c r="C2135" s="85">
        <v>2472854</v>
      </c>
      <c r="D2135" s="88">
        <v>2.8654380207018271E-2</v>
      </c>
      <c r="E2135" s="87"/>
    </row>
    <row r="2136" spans="1:5" ht="15" x14ac:dyDescent="0.2">
      <c r="A2136" s="73">
        <v>41449</v>
      </c>
      <c r="B2136" s="70">
        <v>39.61</v>
      </c>
      <c r="C2136" s="85">
        <v>3744579</v>
      </c>
      <c r="D2136" s="88">
        <v>-2.7975460122699358E-2</v>
      </c>
      <c r="E2136" s="87"/>
    </row>
    <row r="2137" spans="1:5" ht="15" x14ac:dyDescent="0.2">
      <c r="A2137" s="73">
        <v>41446</v>
      </c>
      <c r="B2137" s="70">
        <v>40.75</v>
      </c>
      <c r="C2137" s="85">
        <v>7470931</v>
      </c>
      <c r="D2137" s="88">
        <v>-1.2480310190233879E-2</v>
      </c>
      <c r="E2137" s="87"/>
    </row>
    <row r="2138" spans="1:5" ht="15" x14ac:dyDescent="0.2">
      <c r="A2138" s="73">
        <v>41445</v>
      </c>
      <c r="B2138" s="70">
        <v>41.265000000000001</v>
      </c>
      <c r="C2138" s="85">
        <v>3941456</v>
      </c>
      <c r="D2138" s="88">
        <v>-2.4583382578891366E-2</v>
      </c>
      <c r="E2138" s="87"/>
    </row>
    <row r="2139" spans="1:5" ht="15" x14ac:dyDescent="0.2">
      <c r="A2139" s="73">
        <v>41444</v>
      </c>
      <c r="B2139" s="70">
        <v>42.305</v>
      </c>
      <c r="C2139" s="85">
        <v>3200605</v>
      </c>
      <c r="D2139" s="88">
        <v>-1.9582850521436823E-2</v>
      </c>
      <c r="E2139" s="87"/>
    </row>
    <row r="2140" spans="1:5" ht="15" x14ac:dyDescent="0.2">
      <c r="A2140" s="73">
        <v>41443</v>
      </c>
      <c r="B2140" s="70">
        <v>43.15</v>
      </c>
      <c r="C2140" s="85">
        <v>2001250</v>
      </c>
      <c r="D2140" s="88">
        <v>3.4883720930232176E-3</v>
      </c>
      <c r="E2140" s="87"/>
    </row>
    <row r="2141" spans="1:5" ht="15" x14ac:dyDescent="0.2">
      <c r="A2141" s="73">
        <v>41442</v>
      </c>
      <c r="B2141" s="70">
        <v>43</v>
      </c>
      <c r="C2141" s="85">
        <v>2312405</v>
      </c>
      <c r="D2141" s="88">
        <v>3.7348272642390157E-3</v>
      </c>
      <c r="E2141" s="87"/>
    </row>
    <row r="2142" spans="1:5" ht="15" x14ac:dyDescent="0.2">
      <c r="A2142" s="73">
        <v>41439</v>
      </c>
      <c r="B2142" s="70">
        <v>42.84</v>
      </c>
      <c r="C2142" s="85">
        <v>2010989</v>
      </c>
      <c r="D2142" s="88">
        <v>-3.836763167073598E-3</v>
      </c>
      <c r="E2142" s="87"/>
    </row>
    <row r="2143" spans="1:5" ht="15" x14ac:dyDescent="0.2">
      <c r="A2143" s="73">
        <v>41438</v>
      </c>
      <c r="B2143" s="70">
        <v>43.005000000000003</v>
      </c>
      <c r="C2143" s="85">
        <v>2080705</v>
      </c>
      <c r="D2143" s="88">
        <v>2.3258518432389685E-4</v>
      </c>
      <c r="E2143" s="87"/>
    </row>
    <row r="2144" spans="1:5" ht="15" x14ac:dyDescent="0.2">
      <c r="A2144" s="73">
        <v>41437</v>
      </c>
      <c r="B2144" s="70">
        <v>42.994999999999997</v>
      </c>
      <c r="C2144" s="85">
        <v>2271884</v>
      </c>
      <c r="D2144" s="88">
        <v>1.5589937404039134E-2</v>
      </c>
      <c r="E2144" s="87"/>
    </row>
    <row r="2145" spans="1:5" ht="15" x14ac:dyDescent="0.2">
      <c r="A2145" s="73">
        <v>41436</v>
      </c>
      <c r="B2145" s="70">
        <v>42.335000000000001</v>
      </c>
      <c r="C2145" s="85">
        <v>2329885</v>
      </c>
      <c r="D2145" s="88">
        <v>-1.5694024645431237E-2</v>
      </c>
      <c r="E2145" s="87"/>
    </row>
    <row r="2146" spans="1:5" ht="15" x14ac:dyDescent="0.2">
      <c r="A2146" s="73">
        <v>41435</v>
      </c>
      <c r="B2146" s="70">
        <v>43.01</v>
      </c>
      <c r="C2146" s="85">
        <v>1712629</v>
      </c>
      <c r="D2146" s="88">
        <v>-9.5567069660333903E-3</v>
      </c>
      <c r="E2146" s="87"/>
    </row>
    <row r="2147" spans="1:5" ht="15" x14ac:dyDescent="0.2">
      <c r="A2147" s="73">
        <v>41432</v>
      </c>
      <c r="B2147" s="70">
        <v>43.424999999999997</v>
      </c>
      <c r="C2147" s="85">
        <v>2726368</v>
      </c>
      <c r="D2147" s="88">
        <v>3.59017175572518E-2</v>
      </c>
      <c r="E2147" s="87"/>
    </row>
    <row r="2148" spans="1:5" ht="15" x14ac:dyDescent="0.2">
      <c r="A2148" s="73">
        <v>41431</v>
      </c>
      <c r="B2148" s="70">
        <v>41.92</v>
      </c>
      <c r="C2148" s="85">
        <v>1737282</v>
      </c>
      <c r="D2148" s="88">
        <v>-1.2368948050418105E-2</v>
      </c>
      <c r="E2148" s="87"/>
    </row>
    <row r="2149" spans="1:5" ht="15" x14ac:dyDescent="0.2">
      <c r="A2149" s="73">
        <v>41430</v>
      </c>
      <c r="B2149" s="70">
        <v>42.445</v>
      </c>
      <c r="C2149" s="85">
        <v>1896826</v>
      </c>
      <c r="D2149" s="88">
        <v>-2.0311598384304741E-2</v>
      </c>
      <c r="E2149" s="87"/>
    </row>
    <row r="2150" spans="1:5" ht="15" x14ac:dyDescent="0.2">
      <c r="A2150" s="73">
        <v>41429</v>
      </c>
      <c r="B2150" s="70">
        <v>43.325000000000003</v>
      </c>
      <c r="C2150" s="85">
        <v>1547071</v>
      </c>
      <c r="D2150" s="88">
        <v>-1.3829664630631289E-3</v>
      </c>
      <c r="E2150" s="87"/>
    </row>
    <row r="2151" spans="1:5" ht="15" x14ac:dyDescent="0.2">
      <c r="A2151" s="73">
        <v>41428</v>
      </c>
      <c r="B2151" s="70">
        <v>43.384999999999998</v>
      </c>
      <c r="C2151" s="85">
        <v>2430425</v>
      </c>
      <c r="D2151" s="88">
        <v>-2.3959505061867392E-2</v>
      </c>
      <c r="E2151" s="87"/>
    </row>
    <row r="2152" spans="1:5" ht="15" x14ac:dyDescent="0.2">
      <c r="A2152" s="73">
        <v>41425</v>
      </c>
      <c r="B2152" s="70">
        <v>44.45</v>
      </c>
      <c r="C2152" s="85">
        <v>10733430</v>
      </c>
      <c r="D2152" s="88">
        <v>4.6332918973897019E-3</v>
      </c>
      <c r="E2152" s="87"/>
    </row>
    <row r="2153" spans="1:5" ht="15" x14ac:dyDescent="0.2">
      <c r="A2153" s="73">
        <v>41424</v>
      </c>
      <c r="B2153" s="70">
        <v>44.244999999999997</v>
      </c>
      <c r="C2153" s="85">
        <v>2039093</v>
      </c>
      <c r="D2153" s="88">
        <v>1.0180995475110866E-3</v>
      </c>
      <c r="E2153" s="87"/>
    </row>
    <row r="2154" spans="1:5" ht="15" x14ac:dyDescent="0.2">
      <c r="A2154" s="73">
        <v>41423</v>
      </c>
      <c r="B2154" s="70">
        <v>44.2</v>
      </c>
      <c r="C2154" s="85">
        <v>4228263</v>
      </c>
      <c r="D2154" s="88">
        <v>9.1324200913243114E-3</v>
      </c>
      <c r="E2154" s="87"/>
    </row>
    <row r="2155" spans="1:5" ht="15" x14ac:dyDescent="0.2">
      <c r="A2155" s="73">
        <v>41422</v>
      </c>
      <c r="B2155" s="70">
        <v>43.8</v>
      </c>
      <c r="C2155" s="85">
        <v>2706716</v>
      </c>
      <c r="D2155" s="88">
        <v>2.8289705364479278E-2</v>
      </c>
      <c r="E2155" s="87"/>
    </row>
    <row r="2156" spans="1:5" ht="15" x14ac:dyDescent="0.2">
      <c r="A2156" s="73">
        <v>41421</v>
      </c>
      <c r="B2156" s="70">
        <v>42.594999999999999</v>
      </c>
      <c r="C2156" s="85">
        <v>876325</v>
      </c>
      <c r="D2156" s="88">
        <v>1.6460905349793276E-3</v>
      </c>
      <c r="E2156" s="87"/>
    </row>
    <row r="2157" spans="1:5" ht="15" x14ac:dyDescent="0.2">
      <c r="A2157" s="73">
        <v>41418</v>
      </c>
      <c r="B2157" s="70">
        <v>42.524999999999999</v>
      </c>
      <c r="C2157" s="85">
        <v>1384365</v>
      </c>
      <c r="D2157" s="88">
        <v>1.2018086625416258E-2</v>
      </c>
      <c r="E2157" s="87"/>
    </row>
    <row r="2158" spans="1:5" ht="15" x14ac:dyDescent="0.2">
      <c r="A2158" s="73">
        <v>41417</v>
      </c>
      <c r="B2158" s="70">
        <v>42.02</v>
      </c>
      <c r="C2158" s="85">
        <v>2755654</v>
      </c>
      <c r="D2158" s="88">
        <v>-2.5058004640371223E-2</v>
      </c>
      <c r="E2158" s="87"/>
    </row>
    <row r="2159" spans="1:5" ht="15" x14ac:dyDescent="0.2">
      <c r="A2159" s="73">
        <v>41416</v>
      </c>
      <c r="B2159" s="70">
        <v>43.1</v>
      </c>
      <c r="C2159" s="85">
        <v>1737715</v>
      </c>
      <c r="D2159" s="88">
        <v>5.8038305281482572E-4</v>
      </c>
      <c r="E2159" s="87"/>
    </row>
    <row r="2160" spans="1:5" ht="15" x14ac:dyDescent="0.2">
      <c r="A2160" s="73">
        <v>41415</v>
      </c>
      <c r="B2160" s="70">
        <v>43.075000000000003</v>
      </c>
      <c r="C2160" s="85">
        <v>2153559</v>
      </c>
      <c r="D2160" s="88">
        <v>-2.0850225877445672E-3</v>
      </c>
      <c r="E2160" s="87"/>
    </row>
    <row r="2161" spans="1:5" ht="15" x14ac:dyDescent="0.2">
      <c r="A2161" s="73">
        <v>41414</v>
      </c>
      <c r="B2161" s="70">
        <v>43.164999999999999</v>
      </c>
      <c r="C2161" s="85">
        <v>1394240</v>
      </c>
      <c r="D2161" s="88">
        <v>-3.1177829099306997E-3</v>
      </c>
      <c r="E2161" s="87"/>
    </row>
    <row r="2162" spans="1:5" ht="15" x14ac:dyDescent="0.2">
      <c r="A2162" s="73">
        <v>41411</v>
      </c>
      <c r="B2162" s="70">
        <v>43.3</v>
      </c>
      <c r="C2162" s="85">
        <v>3449904</v>
      </c>
      <c r="D2162" s="88">
        <v>0</v>
      </c>
      <c r="E2162" s="87"/>
    </row>
    <row r="2163" spans="1:5" ht="15" x14ac:dyDescent="0.2">
      <c r="A2163" s="73">
        <v>41410</v>
      </c>
      <c r="B2163" s="70">
        <v>43.3</v>
      </c>
      <c r="C2163" s="85">
        <v>2513485</v>
      </c>
      <c r="D2163" s="88">
        <v>4.2908500521858794E-3</v>
      </c>
      <c r="E2163" s="87"/>
    </row>
    <row r="2164" spans="1:5" ht="15" x14ac:dyDescent="0.2">
      <c r="A2164" s="73">
        <v>41409</v>
      </c>
      <c r="B2164" s="70">
        <v>43.115000000000002</v>
      </c>
      <c r="C2164" s="85">
        <v>2875866</v>
      </c>
      <c r="D2164" s="88">
        <v>1.5904806786050996E-2</v>
      </c>
      <c r="E2164" s="87"/>
    </row>
    <row r="2165" spans="1:5" ht="15" x14ac:dyDescent="0.2">
      <c r="A2165" s="73">
        <v>41408</v>
      </c>
      <c r="B2165" s="70">
        <v>42.44</v>
      </c>
      <c r="C2165" s="85">
        <v>4563592</v>
      </c>
      <c r="D2165" s="88">
        <v>3.0097087378640586E-2</v>
      </c>
      <c r="E2165" s="87"/>
    </row>
    <row r="2166" spans="1:5" ht="15" x14ac:dyDescent="0.2">
      <c r="A2166" s="73">
        <v>41407</v>
      </c>
      <c r="B2166" s="70">
        <v>41.2</v>
      </c>
      <c r="C2166" s="85">
        <v>2600409</v>
      </c>
      <c r="D2166" s="88">
        <v>-7.4680799807274045E-3</v>
      </c>
      <c r="E2166" s="87"/>
    </row>
    <row r="2167" spans="1:5" ht="15" x14ac:dyDescent="0.2">
      <c r="A2167" s="73">
        <v>41404</v>
      </c>
      <c r="B2167" s="70">
        <v>41.51</v>
      </c>
      <c r="C2167" s="85">
        <v>2277938</v>
      </c>
      <c r="D2167" s="88">
        <v>4.2337002540220325E-3</v>
      </c>
      <c r="E2167" s="87"/>
    </row>
    <row r="2168" spans="1:5" ht="15" x14ac:dyDescent="0.2">
      <c r="A2168" s="73">
        <v>41403</v>
      </c>
      <c r="B2168" s="70">
        <v>41.335000000000001</v>
      </c>
      <c r="C2168" s="85">
        <v>1391174</v>
      </c>
      <c r="D2168" s="88">
        <v>2.0606060606060961E-3</v>
      </c>
      <c r="E2168" s="87"/>
    </row>
    <row r="2169" spans="1:5" ht="15" x14ac:dyDescent="0.2">
      <c r="A2169" s="73">
        <v>41402</v>
      </c>
      <c r="B2169" s="70">
        <v>41.25</v>
      </c>
      <c r="C2169" s="85">
        <v>2001279</v>
      </c>
      <c r="D2169" s="88">
        <v>1.2891344383056946E-2</v>
      </c>
      <c r="E2169" s="87"/>
    </row>
    <row r="2170" spans="1:5" ht="15" x14ac:dyDescent="0.2">
      <c r="A2170" s="73">
        <v>41401</v>
      </c>
      <c r="B2170" s="70">
        <v>40.725000000000001</v>
      </c>
      <c r="C2170" s="85">
        <v>1897659</v>
      </c>
      <c r="D2170" s="88">
        <v>0</v>
      </c>
      <c r="E2170" s="87"/>
    </row>
    <row r="2171" spans="1:5" ht="15" x14ac:dyDescent="0.2">
      <c r="A2171" s="73">
        <v>41400</v>
      </c>
      <c r="B2171" s="70">
        <v>40.725000000000001</v>
      </c>
      <c r="C2171" s="85">
        <v>733349</v>
      </c>
      <c r="D2171" s="88">
        <v>-3.0599755201958789E-3</v>
      </c>
      <c r="E2171" s="87"/>
    </row>
    <row r="2172" spans="1:5" ht="15" x14ac:dyDescent="0.2">
      <c r="A2172" s="73">
        <v>41397</v>
      </c>
      <c r="B2172" s="70">
        <v>40.85</v>
      </c>
      <c r="C2172" s="85">
        <v>2001860</v>
      </c>
      <c r="D2172" s="88">
        <v>1.2266138025027962E-2</v>
      </c>
      <c r="E2172" s="87"/>
    </row>
    <row r="2173" spans="1:5" ht="15" x14ac:dyDescent="0.2">
      <c r="A2173" s="73">
        <v>41396</v>
      </c>
      <c r="B2173" s="70">
        <v>40.354999999999997</v>
      </c>
      <c r="C2173" s="85">
        <v>2341439</v>
      </c>
      <c r="D2173" s="88">
        <v>6.2336367036528451E-3</v>
      </c>
      <c r="E2173" s="87"/>
    </row>
    <row r="2174" spans="1:5" ht="15" x14ac:dyDescent="0.2">
      <c r="A2174" s="73">
        <v>41394</v>
      </c>
      <c r="B2174" s="70">
        <v>40.104999999999997</v>
      </c>
      <c r="C2174" s="85">
        <v>2391942</v>
      </c>
      <c r="D2174" s="88">
        <v>6.0203185751912525E-3</v>
      </c>
      <c r="E2174" s="87"/>
    </row>
    <row r="2175" spans="1:5" ht="15" x14ac:dyDescent="0.2">
      <c r="A2175" s="73">
        <v>41393</v>
      </c>
      <c r="B2175" s="70">
        <v>39.865000000000002</v>
      </c>
      <c r="C2175" s="85">
        <v>2825732</v>
      </c>
      <c r="D2175" s="88">
        <v>-3.3749999999999059E-3</v>
      </c>
      <c r="E2175" s="87"/>
    </row>
    <row r="2176" spans="1:5" ht="15" x14ac:dyDescent="0.2">
      <c r="A2176" s="73">
        <v>41390</v>
      </c>
      <c r="B2176" s="70">
        <v>40</v>
      </c>
      <c r="C2176" s="85">
        <v>5110324</v>
      </c>
      <c r="D2176" s="88">
        <v>-1.5990159901599021E-2</v>
      </c>
      <c r="E2176" s="87"/>
    </row>
    <row r="2177" spans="1:5" ht="15" x14ac:dyDescent="0.2">
      <c r="A2177" s="73">
        <v>41389</v>
      </c>
      <c r="B2177" s="70">
        <v>40.65</v>
      </c>
      <c r="C2177" s="85">
        <v>2138015</v>
      </c>
      <c r="D2177" s="88">
        <v>-6.3554143241261185E-3</v>
      </c>
      <c r="E2177" s="87"/>
    </row>
    <row r="2178" spans="1:5" ht="15" x14ac:dyDescent="0.2">
      <c r="A2178" s="73">
        <v>41388</v>
      </c>
      <c r="B2178" s="70">
        <v>40.909999999999997</v>
      </c>
      <c r="C2178" s="85">
        <v>2780375</v>
      </c>
      <c r="D2178" s="88">
        <v>7.2633263572570161E-3</v>
      </c>
      <c r="E2178" s="87"/>
    </row>
    <row r="2179" spans="1:5" ht="15" x14ac:dyDescent="0.2">
      <c r="A2179" s="73">
        <v>41387</v>
      </c>
      <c r="B2179" s="70">
        <v>40.615000000000002</v>
      </c>
      <c r="C2179" s="85">
        <v>4458794</v>
      </c>
      <c r="D2179" s="88">
        <v>3.0968397004695891E-2</v>
      </c>
      <c r="E2179" s="87"/>
    </row>
    <row r="2180" spans="1:5" ht="15" x14ac:dyDescent="0.2">
      <c r="A2180" s="73">
        <v>41386</v>
      </c>
      <c r="B2180" s="70">
        <v>39.395000000000003</v>
      </c>
      <c r="C2180" s="85">
        <v>3274549</v>
      </c>
      <c r="D2180" s="88">
        <v>-1.3398447282744752E-2</v>
      </c>
      <c r="E2180" s="87"/>
    </row>
    <row r="2181" spans="1:5" ht="15" x14ac:dyDescent="0.2">
      <c r="A2181" s="73">
        <v>41383</v>
      </c>
      <c r="B2181" s="70">
        <v>39.93</v>
      </c>
      <c r="C2181" s="85">
        <v>4721286</v>
      </c>
      <c r="D2181" s="88">
        <v>2.92563474674572E-2</v>
      </c>
      <c r="E2181" s="87"/>
    </row>
    <row r="2182" spans="1:5" ht="15" x14ac:dyDescent="0.2">
      <c r="A2182" s="73">
        <v>41382</v>
      </c>
      <c r="B2182" s="70">
        <v>38.795000000000002</v>
      </c>
      <c r="C2182" s="85">
        <v>4213754</v>
      </c>
      <c r="D2182" s="88">
        <v>-5.2564102564102155E-3</v>
      </c>
      <c r="E2182" s="87"/>
    </row>
    <row r="2183" spans="1:5" ht="15" x14ac:dyDescent="0.2">
      <c r="A2183" s="73">
        <v>41381</v>
      </c>
      <c r="B2183" s="70">
        <v>39</v>
      </c>
      <c r="C2183" s="85">
        <v>13448819</v>
      </c>
      <c r="D2183" s="88">
        <v>4.85280279607474E-2</v>
      </c>
      <c r="E2183" s="87"/>
    </row>
    <row r="2184" spans="1:5" ht="15" x14ac:dyDescent="0.2">
      <c r="A2184" s="73">
        <v>41380</v>
      </c>
      <c r="B2184" s="70">
        <v>37.195</v>
      </c>
      <c r="C2184" s="85">
        <v>2100546</v>
      </c>
      <c r="D2184" s="88">
        <v>-8.2655645913878306E-3</v>
      </c>
      <c r="E2184" s="87"/>
    </row>
    <row r="2185" spans="1:5" ht="15" x14ac:dyDescent="0.2">
      <c r="A2185" s="73">
        <v>41379</v>
      </c>
      <c r="B2185" s="70">
        <v>37.505000000000003</v>
      </c>
      <c r="C2185" s="85">
        <v>1813612</v>
      </c>
      <c r="D2185" s="88">
        <v>-3.9835347231442775E-3</v>
      </c>
      <c r="E2185" s="87"/>
    </row>
    <row r="2186" spans="1:5" ht="15" x14ac:dyDescent="0.2">
      <c r="A2186" s="73">
        <v>41376</v>
      </c>
      <c r="B2186" s="70">
        <v>37.655000000000001</v>
      </c>
      <c r="C2186" s="85">
        <v>2510289</v>
      </c>
      <c r="D2186" s="88">
        <v>-1.889004689942686E-2</v>
      </c>
      <c r="E2186" s="87"/>
    </row>
    <row r="2187" spans="1:5" ht="15" x14ac:dyDescent="0.2">
      <c r="A2187" s="73">
        <v>41375</v>
      </c>
      <c r="B2187" s="70">
        <v>38.380000000000003</v>
      </c>
      <c r="C2187" s="85">
        <v>2367993</v>
      </c>
      <c r="D2187" s="88">
        <v>-2.4691358024691024E-3</v>
      </c>
      <c r="E2187" s="87"/>
    </row>
    <row r="2188" spans="1:5" ht="15" x14ac:dyDescent="0.2">
      <c r="A2188" s="73">
        <v>41374</v>
      </c>
      <c r="B2188" s="70">
        <v>38.475000000000001</v>
      </c>
      <c r="C2188" s="85">
        <v>3341475</v>
      </c>
      <c r="D2188" s="88">
        <v>2.3271276595744572E-2</v>
      </c>
      <c r="E2188" s="87"/>
    </row>
    <row r="2189" spans="1:5" ht="15" x14ac:dyDescent="0.2">
      <c r="A2189" s="73">
        <v>41373</v>
      </c>
      <c r="B2189" s="70">
        <v>37.6</v>
      </c>
      <c r="C2189" s="85">
        <v>10143905</v>
      </c>
      <c r="D2189" s="88">
        <v>-2.8674761043657959E-2</v>
      </c>
      <c r="E2189" s="87"/>
    </row>
    <row r="2190" spans="1:5" ht="15" x14ac:dyDescent="0.2">
      <c r="A2190" s="73">
        <v>41372</v>
      </c>
      <c r="B2190" s="70">
        <v>38.71</v>
      </c>
      <c r="C2190" s="85">
        <v>2451022</v>
      </c>
      <c r="D2190" s="88">
        <v>1.1233019853709392E-2</v>
      </c>
      <c r="E2190" s="87"/>
    </row>
    <row r="2191" spans="1:5" ht="15" x14ac:dyDescent="0.2">
      <c r="A2191" s="73">
        <v>41369</v>
      </c>
      <c r="B2191" s="70">
        <v>38.28</v>
      </c>
      <c r="C2191" s="85">
        <v>3755064</v>
      </c>
      <c r="D2191" s="88">
        <v>-2.4713375796178272E-2</v>
      </c>
      <c r="E2191" s="87"/>
    </row>
    <row r="2192" spans="1:5" ht="15" x14ac:dyDescent="0.2">
      <c r="A2192" s="73">
        <v>41368</v>
      </c>
      <c r="B2192" s="70">
        <v>39.25</v>
      </c>
      <c r="C2192" s="85">
        <v>3950693</v>
      </c>
      <c r="D2192" s="88">
        <v>-2.6899714887814619E-2</v>
      </c>
      <c r="E2192" s="87"/>
    </row>
    <row r="2193" spans="1:5" ht="15" x14ac:dyDescent="0.2">
      <c r="A2193" s="73">
        <v>41367</v>
      </c>
      <c r="B2193" s="70">
        <v>40.335000000000001</v>
      </c>
      <c r="C2193" s="85">
        <v>2481741</v>
      </c>
      <c r="D2193" s="88">
        <v>-1.8971178402043098E-2</v>
      </c>
      <c r="E2193" s="87"/>
    </row>
    <row r="2194" spans="1:5" ht="15" x14ac:dyDescent="0.2">
      <c r="A2194" s="73">
        <v>41366</v>
      </c>
      <c r="B2194" s="70">
        <v>41.115000000000002</v>
      </c>
      <c r="C2194" s="85">
        <v>2830362</v>
      </c>
      <c r="D2194" s="88">
        <v>3.5642317380352617E-2</v>
      </c>
      <c r="E2194" s="87"/>
    </row>
    <row r="2195" spans="1:5" ht="15" x14ac:dyDescent="0.2">
      <c r="A2195" s="73">
        <v>41361</v>
      </c>
      <c r="B2195" s="70">
        <v>39.700000000000003</v>
      </c>
      <c r="C2195" s="85">
        <v>3368033</v>
      </c>
      <c r="D2195" s="88">
        <v>8.8239001638723558E-4</v>
      </c>
      <c r="E2195" s="87"/>
    </row>
    <row r="2196" spans="1:5" ht="15" x14ac:dyDescent="0.2">
      <c r="A2196" s="73">
        <v>41360</v>
      </c>
      <c r="B2196" s="70">
        <v>39.664999999999999</v>
      </c>
      <c r="C2196" s="85">
        <v>3348435</v>
      </c>
      <c r="D2196" s="88">
        <v>-3.078802687843607E-2</v>
      </c>
      <c r="E2196" s="87"/>
    </row>
    <row r="2197" spans="1:5" ht="15" x14ac:dyDescent="0.2">
      <c r="A2197" s="73">
        <v>41359</v>
      </c>
      <c r="B2197" s="70">
        <v>40.924999999999997</v>
      </c>
      <c r="C2197" s="85">
        <v>1996213</v>
      </c>
      <c r="D2197" s="88">
        <v>-1.2784947533470037E-2</v>
      </c>
      <c r="E2197" s="87"/>
    </row>
    <row r="2198" spans="1:5" ht="15" x14ac:dyDescent="0.2">
      <c r="A2198" s="73">
        <v>41358</v>
      </c>
      <c r="B2198" s="70">
        <v>41.454999999999998</v>
      </c>
      <c r="C2198" s="85">
        <v>2238240</v>
      </c>
      <c r="D2198" s="88">
        <v>2.5392986698911102E-3</v>
      </c>
      <c r="E2198" s="87"/>
    </row>
    <row r="2199" spans="1:5" ht="15" x14ac:dyDescent="0.2">
      <c r="A2199" s="73">
        <v>41355</v>
      </c>
      <c r="B2199" s="70">
        <v>41.35</v>
      </c>
      <c r="C2199" s="85">
        <v>2224734</v>
      </c>
      <c r="D2199" s="88">
        <v>1.7470472440944906E-2</v>
      </c>
      <c r="E2199" s="87"/>
    </row>
    <row r="2200" spans="1:5" ht="15" x14ac:dyDescent="0.2">
      <c r="A2200" s="73">
        <v>41354</v>
      </c>
      <c r="B2200" s="70">
        <v>40.64</v>
      </c>
      <c r="C2200" s="85">
        <v>2222872</v>
      </c>
      <c r="D2200" s="88">
        <v>-1.7289324144601492E-2</v>
      </c>
      <c r="E2200" s="87"/>
    </row>
    <row r="2201" spans="1:5" ht="15" x14ac:dyDescent="0.2">
      <c r="A2201" s="73">
        <v>41353</v>
      </c>
      <c r="B2201" s="70">
        <v>41.354999999999997</v>
      </c>
      <c r="C2201" s="85">
        <v>2799679</v>
      </c>
      <c r="D2201" s="88">
        <v>-8.0355001199328147E-3</v>
      </c>
      <c r="E2201" s="87"/>
    </row>
    <row r="2202" spans="1:5" ht="15" x14ac:dyDescent="0.2">
      <c r="A2202" s="73">
        <v>41352</v>
      </c>
      <c r="B2202" s="70">
        <v>41.69</v>
      </c>
      <c r="C2202" s="85">
        <v>2396216</v>
      </c>
      <c r="D2202" s="88">
        <v>-8.5612366230677361E-3</v>
      </c>
      <c r="E2202" s="87"/>
    </row>
    <row r="2203" spans="1:5" ht="15" x14ac:dyDescent="0.2">
      <c r="A2203" s="73">
        <v>41351</v>
      </c>
      <c r="B2203" s="70">
        <v>42.05</v>
      </c>
      <c r="C2203" s="85">
        <v>5375988</v>
      </c>
      <c r="D2203" s="88">
        <v>-1.2563109075965806E-2</v>
      </c>
      <c r="E2203" s="87"/>
    </row>
    <row r="2204" spans="1:5" ht="15" x14ac:dyDescent="0.2">
      <c r="A2204" s="73">
        <v>41348</v>
      </c>
      <c r="B2204" s="70">
        <v>42.585000000000001</v>
      </c>
      <c r="C2204" s="85">
        <v>26899993</v>
      </c>
      <c r="D2204" s="88">
        <v>1.5258076051972935E-2</v>
      </c>
      <c r="E2204" s="87"/>
    </row>
    <row r="2205" spans="1:5" ht="15" x14ac:dyDescent="0.2">
      <c r="A2205" s="73">
        <v>41347</v>
      </c>
      <c r="B2205" s="70">
        <v>41.945</v>
      </c>
      <c r="C2205" s="85">
        <v>2633767</v>
      </c>
      <c r="D2205" s="88">
        <v>3.4688995215310658E-3</v>
      </c>
      <c r="E2205" s="87"/>
    </row>
    <row r="2206" spans="1:5" ht="15" x14ac:dyDescent="0.2">
      <c r="A2206" s="73">
        <v>41346</v>
      </c>
      <c r="B2206" s="70">
        <v>41.8</v>
      </c>
      <c r="C2206" s="85">
        <v>2620488</v>
      </c>
      <c r="D2206" s="88">
        <v>1.6660586160768487E-2</v>
      </c>
      <c r="E2206" s="87"/>
    </row>
    <row r="2207" spans="1:5" ht="15" x14ac:dyDescent="0.2">
      <c r="A2207" s="73">
        <v>41345</v>
      </c>
      <c r="B2207" s="70">
        <v>41.115000000000002</v>
      </c>
      <c r="C2207" s="85">
        <v>1910965</v>
      </c>
      <c r="D2207" s="88">
        <v>1.4684106614017756E-2</v>
      </c>
      <c r="E2207" s="87"/>
    </row>
    <row r="2208" spans="1:5" ht="15" x14ac:dyDescent="0.2">
      <c r="A2208" s="73">
        <v>41344</v>
      </c>
      <c r="B2208" s="70">
        <v>40.520000000000003</v>
      </c>
      <c r="C2208" s="85">
        <v>1930375</v>
      </c>
      <c r="D2208" s="88">
        <v>1.3000000000000123E-2</v>
      </c>
      <c r="E2208" s="87"/>
    </row>
    <row r="2209" spans="1:5" ht="15" x14ac:dyDescent="0.2">
      <c r="A2209" s="73">
        <v>41341</v>
      </c>
      <c r="B2209" s="70">
        <v>40</v>
      </c>
      <c r="C2209" s="85">
        <v>2199118</v>
      </c>
      <c r="D2209" s="88">
        <v>2.5006251562875725E-4</v>
      </c>
      <c r="E2209" s="87"/>
    </row>
    <row r="2210" spans="1:5" ht="15" x14ac:dyDescent="0.2">
      <c r="A2210" s="73">
        <v>41340</v>
      </c>
      <c r="B2210" s="70">
        <v>39.99</v>
      </c>
      <c r="C2210" s="85">
        <v>2442476</v>
      </c>
      <c r="D2210" s="88">
        <v>1.4073792316470213E-2</v>
      </c>
      <c r="E2210" s="87"/>
    </row>
    <row r="2211" spans="1:5" ht="15" x14ac:dyDescent="0.2">
      <c r="A2211" s="73">
        <v>41339</v>
      </c>
      <c r="B2211" s="70">
        <v>39.435000000000002</v>
      </c>
      <c r="C2211" s="85">
        <v>2007919</v>
      </c>
      <c r="D2211" s="88">
        <v>8.8832487309664643E-4</v>
      </c>
      <c r="E2211" s="87"/>
    </row>
    <row r="2212" spans="1:5" ht="15" x14ac:dyDescent="0.2">
      <c r="A2212" s="73">
        <v>41338</v>
      </c>
      <c r="B2212" s="70">
        <v>39.4</v>
      </c>
      <c r="C2212" s="85">
        <v>2347769</v>
      </c>
      <c r="D2212" s="88">
        <v>-1.253132832080206E-2</v>
      </c>
      <c r="E2212" s="87"/>
    </row>
    <row r="2213" spans="1:5" ht="15" x14ac:dyDescent="0.2">
      <c r="A2213" s="73">
        <v>41337</v>
      </c>
      <c r="B2213" s="70">
        <v>39.9</v>
      </c>
      <c r="C2213" s="85">
        <v>2724613</v>
      </c>
      <c r="D2213" s="88">
        <v>2.4390243902438824E-2</v>
      </c>
      <c r="E2213" s="87"/>
    </row>
    <row r="2214" spans="1:5" ht="15" x14ac:dyDescent="0.2">
      <c r="A2214" s="73">
        <v>41334</v>
      </c>
      <c r="B2214" s="70">
        <v>38.950000000000003</v>
      </c>
      <c r="C2214" s="85">
        <v>2734471</v>
      </c>
      <c r="D2214" s="88">
        <v>-5.8703420112301563E-3</v>
      </c>
      <c r="E2214" s="87"/>
    </row>
    <row r="2215" spans="1:5" ht="15" x14ac:dyDescent="0.2">
      <c r="A2215" s="73">
        <v>41333</v>
      </c>
      <c r="B2215" s="70">
        <v>39.18</v>
      </c>
      <c r="C2215" s="85">
        <v>7888501</v>
      </c>
      <c r="D2215" s="88">
        <v>5.4927302100161501E-2</v>
      </c>
      <c r="E2215" s="87"/>
    </row>
    <row r="2216" spans="1:5" ht="15" x14ac:dyDescent="0.2">
      <c r="A2216" s="73">
        <v>41332</v>
      </c>
      <c r="B2216" s="70">
        <v>37.14</v>
      </c>
      <c r="C2216" s="85">
        <v>7553622</v>
      </c>
      <c r="D2216" s="88">
        <v>6.5251685070988108E-2</v>
      </c>
      <c r="E2216" s="87"/>
    </row>
    <row r="2217" spans="1:5" ht="15" x14ac:dyDescent="0.2">
      <c r="A2217" s="73">
        <v>41331</v>
      </c>
      <c r="B2217" s="70">
        <v>34.865000000000002</v>
      </c>
      <c r="C2217" s="85">
        <v>1866903</v>
      </c>
      <c r="D2217" s="88">
        <v>-1.8992684299380946E-2</v>
      </c>
      <c r="E2217" s="87"/>
    </row>
    <row r="2218" spans="1:5" ht="15" x14ac:dyDescent="0.2">
      <c r="A2218" s="73">
        <v>41330</v>
      </c>
      <c r="B2218" s="70">
        <v>35.54</v>
      </c>
      <c r="C2218" s="85">
        <v>1311746</v>
      </c>
      <c r="D2218" s="88">
        <v>-9.7520200612984942E-3</v>
      </c>
      <c r="E2218" s="87"/>
    </row>
    <row r="2219" spans="1:5" ht="15" x14ac:dyDescent="0.2">
      <c r="A2219" s="73">
        <v>41327</v>
      </c>
      <c r="B2219" s="70">
        <v>35.89</v>
      </c>
      <c r="C2219" s="85">
        <v>1835389</v>
      </c>
      <c r="D2219" s="88">
        <v>1.6713881019830179E-2</v>
      </c>
      <c r="E2219" s="87"/>
    </row>
    <row r="2220" spans="1:5" ht="15" x14ac:dyDescent="0.2">
      <c r="A2220" s="73">
        <v>41326</v>
      </c>
      <c r="B2220" s="70">
        <v>35.299999999999997</v>
      </c>
      <c r="C2220" s="85">
        <v>1539162</v>
      </c>
      <c r="D2220" s="88">
        <v>-2.6206896551724257E-2</v>
      </c>
      <c r="E2220" s="87"/>
    </row>
    <row r="2221" spans="1:5" ht="15" x14ac:dyDescent="0.2">
      <c r="A2221" s="73">
        <v>41325</v>
      </c>
      <c r="B2221" s="70">
        <v>36.25</v>
      </c>
      <c r="C2221" s="85">
        <v>2201378</v>
      </c>
      <c r="D2221" s="88">
        <v>1.3702460850111953E-2</v>
      </c>
      <c r="E2221" s="87"/>
    </row>
    <row r="2222" spans="1:5" ht="15" x14ac:dyDescent="0.2">
      <c r="A2222" s="73">
        <v>41324</v>
      </c>
      <c r="B2222" s="70">
        <v>35.76</v>
      </c>
      <c r="C2222" s="85">
        <v>1539428</v>
      </c>
      <c r="D2222" s="88">
        <v>1.5909090909090873E-2</v>
      </c>
      <c r="E2222" s="87"/>
    </row>
    <row r="2223" spans="1:5" ht="15" x14ac:dyDescent="0.2">
      <c r="A2223" s="73">
        <v>41323</v>
      </c>
      <c r="B2223" s="70">
        <v>35.200000000000003</v>
      </c>
      <c r="C2223" s="85">
        <v>1022608</v>
      </c>
      <c r="D2223" s="88">
        <v>8.740507235993622E-3</v>
      </c>
      <c r="E2223" s="87"/>
    </row>
    <row r="2224" spans="1:5" ht="15" x14ac:dyDescent="0.2">
      <c r="A2224" s="73">
        <v>41320</v>
      </c>
      <c r="B2224" s="70">
        <v>34.895000000000003</v>
      </c>
      <c r="C2224" s="85">
        <v>1513167</v>
      </c>
      <c r="D2224" s="88">
        <v>2.8665615594114513E-4</v>
      </c>
      <c r="E2224" s="87"/>
    </row>
    <row r="2225" spans="1:5" ht="15" x14ac:dyDescent="0.2">
      <c r="A2225" s="73">
        <v>41319</v>
      </c>
      <c r="B2225" s="70">
        <v>34.884999999999998</v>
      </c>
      <c r="C2225" s="85">
        <v>1219593</v>
      </c>
      <c r="D2225" s="88">
        <v>-8.2444918265813794E-3</v>
      </c>
      <c r="E2225" s="87"/>
    </row>
    <row r="2226" spans="1:5" ht="15" x14ac:dyDescent="0.2">
      <c r="A2226" s="73">
        <v>41318</v>
      </c>
      <c r="B2226" s="70">
        <v>35.174999999999997</v>
      </c>
      <c r="C2226" s="85">
        <v>1091348</v>
      </c>
      <c r="D2226" s="88">
        <v>5.8621675722045907E-3</v>
      </c>
      <c r="E2226" s="87"/>
    </row>
    <row r="2227" spans="1:5" ht="15" x14ac:dyDescent="0.2">
      <c r="A2227" s="73">
        <v>41317</v>
      </c>
      <c r="B2227" s="70">
        <v>34.97</v>
      </c>
      <c r="C2227" s="85">
        <v>1232483</v>
      </c>
      <c r="D2227" s="88">
        <v>5.8967352222061287E-3</v>
      </c>
      <c r="E2227" s="87"/>
    </row>
    <row r="2228" spans="1:5" ht="15" x14ac:dyDescent="0.2">
      <c r="A2228" s="73">
        <v>41316</v>
      </c>
      <c r="B2228" s="70">
        <v>34.765000000000001</v>
      </c>
      <c r="C2228" s="85">
        <v>1292085</v>
      </c>
      <c r="D2228" s="88">
        <v>-7.98972749322302E-3</v>
      </c>
      <c r="E2228" s="87"/>
    </row>
    <row r="2229" spans="1:5" ht="15" x14ac:dyDescent="0.2">
      <c r="A2229" s="73">
        <v>41313</v>
      </c>
      <c r="B2229" s="70">
        <v>35.045000000000002</v>
      </c>
      <c r="C2229" s="85">
        <v>1066617</v>
      </c>
      <c r="D2229" s="88">
        <v>-7.3643959779067236E-3</v>
      </c>
      <c r="E2229" s="87"/>
    </row>
    <row r="2230" spans="1:5" ht="15" x14ac:dyDescent="0.2">
      <c r="A2230" s="73">
        <v>41312</v>
      </c>
      <c r="B2230" s="70">
        <v>35.305</v>
      </c>
      <c r="C2230" s="85">
        <v>1642660</v>
      </c>
      <c r="D2230" s="88">
        <v>1.378320172290004E-2</v>
      </c>
      <c r="E2230" s="87"/>
    </row>
    <row r="2231" spans="1:5" ht="15" x14ac:dyDescent="0.2">
      <c r="A2231" s="73">
        <v>41311</v>
      </c>
      <c r="B2231" s="70">
        <v>34.825000000000003</v>
      </c>
      <c r="C2231" s="85">
        <v>1772348</v>
      </c>
      <c r="D2231" s="88">
        <v>-3.1487047373693899E-3</v>
      </c>
      <c r="E2231" s="87"/>
    </row>
    <row r="2232" spans="1:5" ht="15" x14ac:dyDescent="0.2">
      <c r="A2232" s="73">
        <v>41310</v>
      </c>
      <c r="B2232" s="70">
        <v>34.935000000000002</v>
      </c>
      <c r="C2232" s="85">
        <v>1378391</v>
      </c>
      <c r="D2232" s="88">
        <v>3.3026995979323903E-3</v>
      </c>
      <c r="E2232" s="87"/>
    </row>
    <row r="2233" spans="1:5" ht="15" x14ac:dyDescent="0.2">
      <c r="A2233" s="73">
        <v>41309</v>
      </c>
      <c r="B2233" s="70">
        <v>34.82</v>
      </c>
      <c r="C2233" s="85">
        <v>1943529</v>
      </c>
      <c r="D2233" s="88">
        <v>-1.0514350667803263E-2</v>
      </c>
      <c r="E2233" s="87"/>
    </row>
    <row r="2234" spans="1:5" ht="15" x14ac:dyDescent="0.2">
      <c r="A2234" s="73">
        <v>41306</v>
      </c>
      <c r="B2234" s="70">
        <v>35.19</v>
      </c>
      <c r="C2234" s="85">
        <v>2579467</v>
      </c>
      <c r="D2234" s="88">
        <v>1.6905071521456483E-2</v>
      </c>
      <c r="E2234" s="87"/>
    </row>
    <row r="2235" spans="1:5" ht="15" x14ac:dyDescent="0.2">
      <c r="A2235" s="73">
        <v>41305</v>
      </c>
      <c r="B2235" s="70">
        <v>34.604999999999997</v>
      </c>
      <c r="C2235" s="85">
        <v>1742410</v>
      </c>
      <c r="D2235" s="88">
        <v>6.2518173887757822E-3</v>
      </c>
      <c r="E2235" s="87"/>
    </row>
    <row r="2236" spans="1:5" ht="15" x14ac:dyDescent="0.2">
      <c r="A2236" s="73">
        <v>41304</v>
      </c>
      <c r="B2236" s="70">
        <v>34.39</v>
      </c>
      <c r="C2236" s="85">
        <v>3019976</v>
      </c>
      <c r="D2236" s="88">
        <v>-2.5779036827195401E-2</v>
      </c>
      <c r="E2236" s="87"/>
    </row>
    <row r="2237" spans="1:5" ht="15" x14ac:dyDescent="0.2">
      <c r="A2237" s="73">
        <v>41303</v>
      </c>
      <c r="B2237" s="70">
        <v>35.299999999999997</v>
      </c>
      <c r="C2237" s="85">
        <v>1910214</v>
      </c>
      <c r="D2237" s="88">
        <v>-1.2172939694977014E-2</v>
      </c>
      <c r="E2237" s="87"/>
    </row>
    <row r="2238" spans="1:5" ht="15" x14ac:dyDescent="0.2">
      <c r="A2238" s="73">
        <v>41302</v>
      </c>
      <c r="B2238" s="70">
        <v>35.734999999999999</v>
      </c>
      <c r="C2238" s="85">
        <v>3566623</v>
      </c>
      <c r="D2238" s="88">
        <v>2.7310622394710382E-2</v>
      </c>
      <c r="E2238" s="87"/>
    </row>
    <row r="2239" spans="1:5" ht="15" x14ac:dyDescent="0.2">
      <c r="A2239" s="73">
        <v>41299</v>
      </c>
      <c r="B2239" s="70">
        <v>34.784999999999997</v>
      </c>
      <c r="C2239" s="85">
        <v>1704842</v>
      </c>
      <c r="D2239" s="88">
        <v>2.8830906732015826E-3</v>
      </c>
      <c r="E2239" s="87"/>
    </row>
    <row r="2240" spans="1:5" ht="15" x14ac:dyDescent="0.2">
      <c r="A2240" s="73">
        <v>41298</v>
      </c>
      <c r="B2240" s="70">
        <v>34.685000000000002</v>
      </c>
      <c r="C2240" s="85">
        <v>1724079</v>
      </c>
      <c r="D2240" s="88">
        <v>-2.0140986908359082E-3</v>
      </c>
      <c r="E2240" s="87"/>
    </row>
    <row r="2241" spans="1:7" ht="15" x14ac:dyDescent="0.2">
      <c r="A2241" s="73">
        <v>41297</v>
      </c>
      <c r="B2241" s="70">
        <v>34.755000000000003</v>
      </c>
      <c r="C2241" s="85">
        <v>2057351</v>
      </c>
      <c r="D2241" s="88">
        <v>-6.9999999999998952E-3</v>
      </c>
      <c r="E2241" s="87"/>
    </row>
    <row r="2242" spans="1:7" ht="15" x14ac:dyDescent="0.2">
      <c r="A2242" s="73">
        <v>41296</v>
      </c>
      <c r="B2242" s="70">
        <v>35</v>
      </c>
      <c r="C2242" s="85">
        <v>3005038</v>
      </c>
      <c r="D2242" s="88">
        <v>2.011075488195857E-2</v>
      </c>
      <c r="E2242" s="87"/>
    </row>
    <row r="2243" spans="1:7" ht="15" x14ac:dyDescent="0.2">
      <c r="A2243" s="73">
        <v>41295</v>
      </c>
      <c r="B2243" s="70">
        <v>34.31</v>
      </c>
      <c r="C2243" s="85">
        <v>2416236</v>
      </c>
      <c r="D2243" s="88">
        <v>-8.3815028901733646E-3</v>
      </c>
      <c r="E2243" s="87"/>
    </row>
    <row r="2244" spans="1:7" ht="15" x14ac:dyDescent="0.2">
      <c r="A2244" s="73">
        <v>41292</v>
      </c>
      <c r="B2244" s="70">
        <v>34.6</v>
      </c>
      <c r="C2244" s="85">
        <v>5299720</v>
      </c>
      <c r="D2244" s="88">
        <v>2.6706231454005858E-2</v>
      </c>
      <c r="E2244" s="87"/>
    </row>
    <row r="2245" spans="1:7" ht="15" x14ac:dyDescent="0.2">
      <c r="A2245" s="73">
        <v>41291</v>
      </c>
      <c r="B2245" s="70">
        <v>33.700000000000003</v>
      </c>
      <c r="C2245" s="85">
        <v>4084908</v>
      </c>
      <c r="D2245" s="88">
        <v>3.9001079081239398E-2</v>
      </c>
      <c r="E2245" s="87"/>
    </row>
    <row r="2246" spans="1:7" ht="15" x14ac:dyDescent="0.2">
      <c r="A2246" s="73">
        <v>41290</v>
      </c>
      <c r="B2246" s="70">
        <v>32.435000000000002</v>
      </c>
      <c r="C2246" s="85">
        <v>2511592</v>
      </c>
      <c r="D2246" s="88">
        <v>9.0216207808369031E-3</v>
      </c>
      <c r="E2246" s="67"/>
      <c r="F2246" s="67"/>
      <c r="G2246" s="67"/>
    </row>
    <row r="2247" spans="1:7" ht="15" x14ac:dyDescent="0.2">
      <c r="A2247" s="73">
        <v>41289</v>
      </c>
      <c r="B2247" s="70">
        <v>32.145000000000003</v>
      </c>
      <c r="C2247" s="85">
        <v>1452018</v>
      </c>
      <c r="D2247" s="88">
        <v>-1.5552099533422403E-4</v>
      </c>
      <c r="E2247" s="67"/>
      <c r="F2247" s="67"/>
      <c r="G2247" s="67"/>
    </row>
    <row r="2248" spans="1:7" ht="15" x14ac:dyDescent="0.2">
      <c r="A2248" s="73">
        <v>41288</v>
      </c>
      <c r="B2248" s="70">
        <v>32.15</v>
      </c>
      <c r="C2248" s="85">
        <v>1102963</v>
      </c>
      <c r="D2248" s="88">
        <v>-4.4898591113176067E-3</v>
      </c>
      <c r="E2248" s="67"/>
      <c r="F2248" s="67"/>
      <c r="G2248" s="67"/>
    </row>
    <row r="2249" spans="1:7" ht="15" x14ac:dyDescent="0.2">
      <c r="A2249" s="73">
        <v>41285</v>
      </c>
      <c r="B2249" s="70">
        <v>32.295000000000002</v>
      </c>
      <c r="C2249" s="85">
        <v>1641004</v>
      </c>
      <c r="D2249" s="88">
        <v>7.9588014981273325E-3</v>
      </c>
      <c r="E2249" s="67"/>
      <c r="F2249" s="67"/>
      <c r="G2249" s="67"/>
    </row>
    <row r="2250" spans="1:7" ht="15" x14ac:dyDescent="0.2">
      <c r="A2250" s="73">
        <v>41284</v>
      </c>
      <c r="B2250" s="70">
        <v>32.04</v>
      </c>
      <c r="C2250" s="85">
        <v>2723918</v>
      </c>
      <c r="D2250" s="88">
        <v>-2.6459143968872167E-3</v>
      </c>
      <c r="E2250" s="67"/>
      <c r="F2250" s="67"/>
      <c r="G2250" s="67"/>
    </row>
    <row r="2251" spans="1:7" ht="15" x14ac:dyDescent="0.2">
      <c r="A2251" s="73">
        <v>41283</v>
      </c>
      <c r="B2251" s="70">
        <v>32.125</v>
      </c>
      <c r="C2251" s="85">
        <v>3593140</v>
      </c>
      <c r="D2251" s="88">
        <v>3.8803556992724308E-2</v>
      </c>
      <c r="E2251" s="67"/>
      <c r="F2251" s="67"/>
      <c r="G2251" s="67"/>
    </row>
    <row r="2252" spans="1:7" ht="15" x14ac:dyDescent="0.2">
      <c r="A2252" s="73">
        <v>41282</v>
      </c>
      <c r="B2252" s="70">
        <v>30.925000000000001</v>
      </c>
      <c r="C2252" s="85">
        <v>1911342</v>
      </c>
      <c r="D2252" s="88">
        <v>5.6910569105690367E-3</v>
      </c>
      <c r="E2252" s="67"/>
      <c r="F2252" s="67"/>
      <c r="G2252" s="67"/>
    </row>
    <row r="2253" spans="1:7" ht="15" x14ac:dyDescent="0.2">
      <c r="A2253" s="73">
        <v>41281</v>
      </c>
      <c r="B2253" s="70">
        <v>30.75</v>
      </c>
      <c r="C2253" s="85">
        <v>1370626</v>
      </c>
      <c r="D2253" s="88">
        <v>-1.6233766233766378E-3</v>
      </c>
      <c r="E2253" s="67"/>
      <c r="F2253" s="67"/>
      <c r="G2253" s="67"/>
    </row>
    <row r="2254" spans="1:7" ht="15" x14ac:dyDescent="0.2">
      <c r="A2254" s="73">
        <v>41278</v>
      </c>
      <c r="B2254" s="70">
        <v>30.8</v>
      </c>
      <c r="C2254" s="85">
        <v>1547823</v>
      </c>
      <c r="D2254" s="88">
        <v>1.9867549668874274E-2</v>
      </c>
      <c r="E2254" s="67"/>
      <c r="F2254" s="67"/>
      <c r="G2254" s="67"/>
    </row>
    <row r="2255" spans="1:7" ht="15" x14ac:dyDescent="0.2">
      <c r="A2255" s="73">
        <v>41277</v>
      </c>
      <c r="B2255" s="70">
        <v>30.2</v>
      </c>
      <c r="C2255" s="85">
        <v>802652</v>
      </c>
      <c r="D2255" s="88">
        <v>4.4902710793279788E-3</v>
      </c>
      <c r="E2255" s="67"/>
      <c r="F2255" s="67"/>
      <c r="G2255" s="67"/>
    </row>
    <row r="2256" spans="1:7" ht="15" x14ac:dyDescent="0.2">
      <c r="A2256" s="73">
        <v>41276</v>
      </c>
      <c r="B2256" s="70">
        <v>30.065000000000001</v>
      </c>
      <c r="C2256" s="85">
        <v>1526764</v>
      </c>
      <c r="D2256" s="88">
        <v>1.9152542372881332E-2</v>
      </c>
      <c r="E2256" s="67"/>
      <c r="F2256" s="67"/>
      <c r="G2256" s="67"/>
    </row>
    <row r="2257" spans="1:7" ht="15" x14ac:dyDescent="0.2">
      <c r="A2257" s="76">
        <v>41274</v>
      </c>
      <c r="B2257" s="77">
        <v>29.5</v>
      </c>
      <c r="C2257" s="86">
        <v>474607</v>
      </c>
      <c r="D2257" s="89">
        <v>3.572036060554451E-3</v>
      </c>
      <c r="E2257" s="79"/>
      <c r="F2257" s="79"/>
      <c r="G2257" s="78" t="e">
        <v>#REF!</v>
      </c>
    </row>
    <row r="2258" spans="1:7" ht="15" x14ac:dyDescent="0.2">
      <c r="A2258" s="73">
        <v>41271</v>
      </c>
      <c r="B2258" s="70">
        <v>29.395</v>
      </c>
      <c r="C2258" s="85">
        <v>836694</v>
      </c>
      <c r="D2258" s="88">
        <v>-8.098532141049497E-3</v>
      </c>
      <c r="E2258" s="67"/>
      <c r="F2258" s="67"/>
      <c r="G2258" s="67"/>
    </row>
    <row r="2259" spans="1:7" ht="15" x14ac:dyDescent="0.2">
      <c r="A2259" s="73">
        <v>41270</v>
      </c>
      <c r="B2259" s="70">
        <v>29.635000000000002</v>
      </c>
      <c r="C2259" s="85">
        <v>836124</v>
      </c>
      <c r="D2259" s="88">
        <v>-4.2002688172042557E-3</v>
      </c>
      <c r="E2259" s="67"/>
      <c r="F2259" s="67"/>
      <c r="G2259" s="67"/>
    </row>
    <row r="2260" spans="1:7" ht="15" x14ac:dyDescent="0.2">
      <c r="A2260" s="73">
        <v>41267</v>
      </c>
      <c r="B2260" s="70">
        <v>29.76</v>
      </c>
      <c r="C2260" s="85">
        <v>708557</v>
      </c>
      <c r="D2260" s="88">
        <v>-7.8346391065177157E-3</v>
      </c>
      <c r="E2260" s="67"/>
      <c r="F2260" s="67"/>
      <c r="G2260" s="67"/>
    </row>
    <row r="2261" spans="1:7" ht="15" x14ac:dyDescent="0.2">
      <c r="A2261" s="73">
        <v>41264</v>
      </c>
      <c r="B2261" s="70">
        <v>29.995000000000001</v>
      </c>
      <c r="C2261" s="85">
        <v>2355747</v>
      </c>
      <c r="D2261" s="88">
        <v>4.1848008034817141E-3</v>
      </c>
      <c r="E2261" s="67"/>
      <c r="F2261" s="67"/>
      <c r="G2261" s="67"/>
    </row>
    <row r="2262" spans="1:7" ht="15" x14ac:dyDescent="0.2">
      <c r="A2262" s="73">
        <v>41263</v>
      </c>
      <c r="B2262" s="70">
        <v>29.87</v>
      </c>
      <c r="C2262" s="85">
        <v>1385987</v>
      </c>
      <c r="D2262" s="88">
        <v>-4.3333333333333002E-3</v>
      </c>
      <c r="E2262" s="87"/>
    </row>
    <row r="2263" spans="1:7" ht="15" x14ac:dyDescent="0.2">
      <c r="A2263" s="73">
        <v>41262</v>
      </c>
      <c r="B2263" s="70">
        <v>30</v>
      </c>
      <c r="C2263" s="85">
        <v>1544053</v>
      </c>
      <c r="D2263" s="88">
        <v>4.5203415369161615E-3</v>
      </c>
      <c r="E2263" s="87"/>
    </row>
    <row r="2264" spans="1:7" ht="15" x14ac:dyDescent="0.2">
      <c r="A2264" s="73">
        <v>41261</v>
      </c>
      <c r="B2264" s="70">
        <v>29.864999999999998</v>
      </c>
      <c r="C2264" s="85">
        <v>2409190</v>
      </c>
      <c r="D2264" s="88">
        <v>2.5936104431466767E-2</v>
      </c>
      <c r="E2264" s="87"/>
    </row>
    <row r="2265" spans="1:7" ht="15" x14ac:dyDescent="0.2">
      <c r="A2265" s="73">
        <v>41260</v>
      </c>
      <c r="B2265" s="70">
        <v>29.11</v>
      </c>
      <c r="C2265" s="85">
        <v>1485552</v>
      </c>
      <c r="D2265" s="88">
        <v>6.5698478561548868E-3</v>
      </c>
      <c r="E2265" s="87"/>
    </row>
    <row r="2266" spans="1:7" ht="15" x14ac:dyDescent="0.2">
      <c r="A2266" s="73">
        <v>41257</v>
      </c>
      <c r="B2266" s="70">
        <v>28.92</v>
      </c>
      <c r="C2266" s="85">
        <v>1941252</v>
      </c>
      <c r="D2266" s="88">
        <v>-1.0943912448700299E-2</v>
      </c>
      <c r="E2266" s="87"/>
    </row>
    <row r="2267" spans="1:7" ht="15" x14ac:dyDescent="0.2">
      <c r="A2267" s="73">
        <v>41256</v>
      </c>
      <c r="B2267" s="70">
        <v>29.24</v>
      </c>
      <c r="C2267" s="85">
        <v>1582285</v>
      </c>
      <c r="D2267" s="88">
        <v>-5.7803468208093012E-3</v>
      </c>
      <c r="E2267" s="87"/>
    </row>
    <row r="2268" spans="1:7" ht="15" x14ac:dyDescent="0.2">
      <c r="A2268" s="73">
        <v>41255</v>
      </c>
      <c r="B2268" s="70">
        <v>29.41</v>
      </c>
      <c r="C2268" s="85">
        <v>1434592</v>
      </c>
      <c r="D2268" s="88">
        <v>1.5324365741529178E-3</v>
      </c>
      <c r="E2268" s="87"/>
    </row>
    <row r="2269" spans="1:7" ht="15" x14ac:dyDescent="0.2">
      <c r="A2269" s="73">
        <v>41254</v>
      </c>
      <c r="B2269" s="70">
        <v>29.364999999999998</v>
      </c>
      <c r="C2269" s="85">
        <v>1484050</v>
      </c>
      <c r="D2269" s="88">
        <v>-9.946055293324374E-3</v>
      </c>
      <c r="E2269" s="87"/>
    </row>
    <row r="2270" spans="1:7" ht="15" x14ac:dyDescent="0.2">
      <c r="A2270" s="73">
        <v>41253</v>
      </c>
      <c r="B2270" s="70">
        <v>29.66</v>
      </c>
      <c r="C2270" s="85">
        <v>1920581</v>
      </c>
      <c r="D2270" s="88">
        <v>-4.530961570733405E-3</v>
      </c>
      <c r="E2270" s="87"/>
    </row>
    <row r="2271" spans="1:7" ht="15" x14ac:dyDescent="0.2">
      <c r="A2271" s="73">
        <v>41250</v>
      </c>
      <c r="B2271" s="70">
        <v>29.795000000000002</v>
      </c>
      <c r="C2271" s="85">
        <v>2356640</v>
      </c>
      <c r="D2271" s="88">
        <v>1.3435374149660007E-2</v>
      </c>
      <c r="E2271" s="87"/>
    </row>
    <row r="2272" spans="1:7" ht="15" x14ac:dyDescent="0.2">
      <c r="A2272" s="73">
        <v>41249</v>
      </c>
      <c r="B2272" s="70">
        <v>29.4</v>
      </c>
      <c r="C2272" s="85">
        <v>10615604</v>
      </c>
      <c r="D2272" s="88">
        <v>7.9691516709511578E-2</v>
      </c>
      <c r="E2272" s="87"/>
    </row>
    <row r="2273" spans="1:5" ht="15" x14ac:dyDescent="0.2">
      <c r="A2273" s="73">
        <v>41248</v>
      </c>
      <c r="B2273" s="70">
        <v>27.23</v>
      </c>
      <c r="C2273" s="85">
        <v>2963112</v>
      </c>
      <c r="D2273" s="88">
        <v>2.4647224835371739E-2</v>
      </c>
      <c r="E2273" s="87"/>
    </row>
    <row r="2274" spans="1:5" ht="15" x14ac:dyDescent="0.2">
      <c r="A2274" s="73">
        <v>41247</v>
      </c>
      <c r="B2274" s="70">
        <v>26.574999999999999</v>
      </c>
      <c r="C2274" s="85">
        <v>6876889</v>
      </c>
      <c r="D2274" s="88">
        <v>4.9158631121195562E-3</v>
      </c>
      <c r="E2274" s="87"/>
    </row>
    <row r="2275" spans="1:5" ht="15" x14ac:dyDescent="0.2">
      <c r="A2275" s="73">
        <v>41246</v>
      </c>
      <c r="B2275" s="70">
        <v>26.445</v>
      </c>
      <c r="C2275" s="85">
        <v>3592691</v>
      </c>
      <c r="D2275" s="88">
        <v>2.1436848203939762E-2</v>
      </c>
      <c r="E2275" s="87"/>
    </row>
    <row r="2276" spans="1:5" ht="15" x14ac:dyDescent="0.2">
      <c r="A2276" s="73">
        <v>41243</v>
      </c>
      <c r="B2276" s="70">
        <v>25.89</v>
      </c>
      <c r="C2276" s="85">
        <v>2891120</v>
      </c>
      <c r="D2276" s="88">
        <v>2.3522435263886088E-2</v>
      </c>
      <c r="E2276" s="87"/>
    </row>
    <row r="2277" spans="1:5" ht="15" x14ac:dyDescent="0.2">
      <c r="A2277" s="73">
        <v>41242</v>
      </c>
      <c r="B2277" s="70">
        <v>25.295000000000002</v>
      </c>
      <c r="C2277" s="85">
        <v>1738984</v>
      </c>
      <c r="D2277" s="88">
        <v>1.9754081838339044E-2</v>
      </c>
      <c r="E2277" s="87"/>
    </row>
    <row r="2278" spans="1:5" ht="15" x14ac:dyDescent="0.2">
      <c r="A2278" s="73">
        <v>41241</v>
      </c>
      <c r="B2278" s="70">
        <v>24.805</v>
      </c>
      <c r="C2278" s="85">
        <v>2029714</v>
      </c>
      <c r="D2278" s="88">
        <v>1.7223703096165499E-2</v>
      </c>
      <c r="E2278" s="87"/>
    </row>
    <row r="2279" spans="1:5" ht="15" x14ac:dyDescent="0.2">
      <c r="A2279" s="73">
        <v>41240</v>
      </c>
      <c r="B2279" s="70">
        <v>24.385000000000002</v>
      </c>
      <c r="C2279" s="85">
        <v>1813388</v>
      </c>
      <c r="D2279" s="88">
        <v>-7.3274984734378323E-3</v>
      </c>
      <c r="E2279" s="87"/>
    </row>
    <row r="2280" spans="1:5" ht="15" x14ac:dyDescent="0.2">
      <c r="A2280" s="73">
        <v>41239</v>
      </c>
      <c r="B2280" s="70">
        <v>24.565000000000001</v>
      </c>
      <c r="C2280" s="85">
        <v>2143606</v>
      </c>
      <c r="D2280" s="88">
        <v>-1.3255673830086301E-2</v>
      </c>
      <c r="E2280" s="87"/>
    </row>
    <row r="2281" spans="1:5" ht="15" x14ac:dyDescent="0.2">
      <c r="A2281" s="73">
        <v>41236</v>
      </c>
      <c r="B2281" s="70">
        <v>24.895</v>
      </c>
      <c r="C2281" s="85">
        <v>3054774</v>
      </c>
      <c r="D2281" s="88">
        <v>-1.3668779714738455E-2</v>
      </c>
      <c r="E2281" s="87"/>
    </row>
    <row r="2282" spans="1:5" ht="15" x14ac:dyDescent="0.2">
      <c r="A2282" s="73">
        <v>41235</v>
      </c>
      <c r="B2282" s="70">
        <v>25.24</v>
      </c>
      <c r="C2282" s="85">
        <v>1501963</v>
      </c>
      <c r="D2282" s="88">
        <v>-6.4947844912419672E-3</v>
      </c>
      <c r="E2282" s="87"/>
    </row>
    <row r="2283" spans="1:5" ht="15" x14ac:dyDescent="0.2">
      <c r="A2283" s="73">
        <v>41234</v>
      </c>
      <c r="B2283" s="70">
        <v>25.405000000000001</v>
      </c>
      <c r="C2283" s="85">
        <v>1537850</v>
      </c>
      <c r="D2283" s="88">
        <v>-3.1391014322149635E-3</v>
      </c>
      <c r="E2283" s="87"/>
    </row>
    <row r="2284" spans="1:5" ht="15" x14ac:dyDescent="0.2">
      <c r="A2284" s="73">
        <v>41233</v>
      </c>
      <c r="B2284" s="70">
        <v>25.484999999999999</v>
      </c>
      <c r="C2284" s="85">
        <v>1606858</v>
      </c>
      <c r="D2284" s="88">
        <v>-3.7138389366692115E-3</v>
      </c>
      <c r="E2284" s="87"/>
    </row>
    <row r="2285" spans="1:5" ht="15" x14ac:dyDescent="0.2">
      <c r="A2285" s="73">
        <v>41232</v>
      </c>
      <c r="B2285" s="70">
        <v>25.58</v>
      </c>
      <c r="C2285" s="85">
        <v>1620611</v>
      </c>
      <c r="D2285" s="88">
        <v>1.6289233214143772E-2</v>
      </c>
      <c r="E2285" s="87"/>
    </row>
    <row r="2286" spans="1:5" ht="15" x14ac:dyDescent="0.2">
      <c r="A2286" s="73">
        <v>41229</v>
      </c>
      <c r="B2286" s="70">
        <v>25.17</v>
      </c>
      <c r="C2286" s="85">
        <v>2666296</v>
      </c>
      <c r="D2286" s="88">
        <v>3.1885213232363263E-3</v>
      </c>
      <c r="E2286" s="87"/>
    </row>
    <row r="2287" spans="1:5" ht="15" x14ac:dyDescent="0.2">
      <c r="A2287" s="73">
        <v>41228</v>
      </c>
      <c r="B2287" s="70">
        <v>25.09</v>
      </c>
      <c r="C2287" s="85">
        <v>3594302</v>
      </c>
      <c r="D2287" s="88">
        <v>-2.940038684719537E-2</v>
      </c>
      <c r="E2287" s="87"/>
    </row>
    <row r="2288" spans="1:5" ht="15" x14ac:dyDescent="0.2">
      <c r="A2288" s="73">
        <v>41227</v>
      </c>
      <c r="B2288" s="70">
        <v>25.85</v>
      </c>
      <c r="C2288" s="85">
        <v>2484406</v>
      </c>
      <c r="D2288" s="88">
        <v>-1.2793584113041767E-2</v>
      </c>
      <c r="E2288" s="87"/>
    </row>
    <row r="2289" spans="1:5" ht="15" x14ac:dyDescent="0.2">
      <c r="A2289" s="73">
        <v>41226</v>
      </c>
      <c r="B2289" s="70">
        <v>26.184999999999999</v>
      </c>
      <c r="C2289" s="85">
        <v>1688301</v>
      </c>
      <c r="D2289" s="88">
        <v>2.6804518475971317E-3</v>
      </c>
      <c r="E2289" s="87"/>
    </row>
    <row r="2290" spans="1:5" ht="15" x14ac:dyDescent="0.2">
      <c r="A2290" s="73">
        <v>41225</v>
      </c>
      <c r="B2290" s="70">
        <v>26.114999999999998</v>
      </c>
      <c r="C2290" s="85">
        <v>1884789</v>
      </c>
      <c r="D2290" s="88">
        <v>-7.7887537993921452E-3</v>
      </c>
      <c r="E2290" s="87"/>
    </row>
    <row r="2291" spans="1:5" ht="15" x14ac:dyDescent="0.2">
      <c r="A2291" s="73">
        <v>41222</v>
      </c>
      <c r="B2291" s="70">
        <v>26.32</v>
      </c>
      <c r="C2291" s="85">
        <v>1819978</v>
      </c>
      <c r="D2291" s="88">
        <v>8.4291187739462536E-3</v>
      </c>
      <c r="E2291" s="87"/>
    </row>
    <row r="2292" spans="1:5" ht="15" x14ac:dyDescent="0.2">
      <c r="A2292" s="73">
        <v>41221</v>
      </c>
      <c r="B2292" s="70">
        <v>26.1</v>
      </c>
      <c r="C2292" s="85">
        <v>4514272</v>
      </c>
      <c r="D2292" s="88">
        <v>-4.1498347410943826E-2</v>
      </c>
      <c r="E2292" s="87"/>
    </row>
    <row r="2293" spans="1:5" ht="15" x14ac:dyDescent="0.2">
      <c r="A2293" s="73">
        <v>41220</v>
      </c>
      <c r="B2293" s="70">
        <v>27.23</v>
      </c>
      <c r="C2293" s="85">
        <v>1680263</v>
      </c>
      <c r="D2293" s="88">
        <v>-7.4722070348094416E-3</v>
      </c>
      <c r="E2293" s="87"/>
    </row>
    <row r="2294" spans="1:5" ht="15" x14ac:dyDescent="0.2">
      <c r="A2294" s="73">
        <v>41219</v>
      </c>
      <c r="B2294" s="70">
        <v>27.434999999999999</v>
      </c>
      <c r="C2294" s="85">
        <v>1214056</v>
      </c>
      <c r="D2294" s="88">
        <v>7.8986039676707254E-3</v>
      </c>
      <c r="E2294" s="87"/>
    </row>
    <row r="2295" spans="1:5" ht="15" x14ac:dyDescent="0.2">
      <c r="A2295" s="73">
        <v>41218</v>
      </c>
      <c r="B2295" s="70">
        <v>27.22</v>
      </c>
      <c r="C2295" s="85">
        <v>1413378</v>
      </c>
      <c r="D2295" s="88">
        <v>-8.3788706739527097E-3</v>
      </c>
      <c r="E2295" s="87"/>
    </row>
    <row r="2296" spans="1:5" ht="15" x14ac:dyDescent="0.2">
      <c r="A2296" s="73">
        <v>41215</v>
      </c>
      <c r="B2296" s="70">
        <v>27.45</v>
      </c>
      <c r="C2296" s="85">
        <v>1595770</v>
      </c>
      <c r="D2296" s="88">
        <v>-1.8181818181818299E-3</v>
      </c>
      <c r="E2296" s="87"/>
    </row>
    <row r="2297" spans="1:5" ht="15" x14ac:dyDescent="0.2">
      <c r="A2297" s="73">
        <v>41214</v>
      </c>
      <c r="B2297" s="70">
        <v>27.5</v>
      </c>
      <c r="C2297" s="85">
        <v>1079283</v>
      </c>
      <c r="D2297" s="88">
        <v>3.2834731849689103E-3</v>
      </c>
      <c r="E2297" s="87"/>
    </row>
    <row r="2298" spans="1:5" ht="15" x14ac:dyDescent="0.2">
      <c r="A2298" s="73">
        <v>41213</v>
      </c>
      <c r="B2298" s="70">
        <v>27.41</v>
      </c>
      <c r="C2298" s="85">
        <v>1410552</v>
      </c>
      <c r="D2298" s="88">
        <v>1.8244845831039136E-4</v>
      </c>
      <c r="E2298" s="87"/>
    </row>
    <row r="2299" spans="1:5" ht="15" x14ac:dyDescent="0.2">
      <c r="A2299" s="73">
        <v>41212</v>
      </c>
      <c r="B2299" s="70">
        <v>27.405000000000001</v>
      </c>
      <c r="C2299" s="85">
        <v>1072198</v>
      </c>
      <c r="D2299" s="88">
        <v>1.0322580645161228E-2</v>
      </c>
      <c r="E2299" s="87"/>
    </row>
    <row r="2300" spans="1:5" ht="15" x14ac:dyDescent="0.2">
      <c r="A2300" s="73">
        <v>41211</v>
      </c>
      <c r="B2300" s="70">
        <v>27.125</v>
      </c>
      <c r="C2300" s="85">
        <v>1012611</v>
      </c>
      <c r="D2300" s="88">
        <v>1.8436578171088236E-4</v>
      </c>
      <c r="E2300" s="87"/>
    </row>
    <row r="2301" spans="1:5" ht="15" x14ac:dyDescent="0.2">
      <c r="A2301" s="73">
        <v>41208</v>
      </c>
      <c r="B2301" s="70">
        <v>27.12</v>
      </c>
      <c r="C2301" s="85">
        <v>1878758</v>
      </c>
      <c r="D2301" s="88">
        <v>1.4021312394840058E-2</v>
      </c>
      <c r="E2301" s="87"/>
    </row>
    <row r="2302" spans="1:5" ht="15" x14ac:dyDescent="0.2">
      <c r="A2302" s="73">
        <v>41207</v>
      </c>
      <c r="B2302" s="70">
        <v>26.745000000000001</v>
      </c>
      <c r="C2302" s="85">
        <v>2344427</v>
      </c>
      <c r="D2302" s="88">
        <v>5.4511278195488178E-3</v>
      </c>
      <c r="E2302" s="87"/>
    </row>
    <row r="2303" spans="1:5" ht="15" x14ac:dyDescent="0.2">
      <c r="A2303" s="73">
        <v>41206</v>
      </c>
      <c r="B2303" s="70">
        <v>26.6</v>
      </c>
      <c r="C2303" s="85">
        <v>2440673</v>
      </c>
      <c r="D2303" s="88">
        <v>2.8218013142636167E-2</v>
      </c>
      <c r="E2303" s="87"/>
    </row>
    <row r="2304" spans="1:5" ht="15" x14ac:dyDescent="0.2">
      <c r="A2304" s="73">
        <v>41205</v>
      </c>
      <c r="B2304" s="70">
        <v>25.87</v>
      </c>
      <c r="C2304" s="85">
        <v>2878980</v>
      </c>
      <c r="D2304" s="88">
        <v>-2.5795518734701539E-2</v>
      </c>
      <c r="E2304" s="87"/>
    </row>
    <row r="2305" spans="1:5" ht="15" x14ac:dyDescent="0.2">
      <c r="A2305" s="73">
        <v>41204</v>
      </c>
      <c r="B2305" s="70">
        <v>26.555</v>
      </c>
      <c r="C2305" s="85">
        <v>1925549</v>
      </c>
      <c r="D2305" s="88">
        <v>-8.9568949430864908E-3</v>
      </c>
      <c r="E2305" s="87"/>
    </row>
    <row r="2306" spans="1:5" ht="15" x14ac:dyDescent="0.2">
      <c r="A2306" s="73">
        <v>41201</v>
      </c>
      <c r="B2306" s="70">
        <v>26.795000000000002</v>
      </c>
      <c r="C2306" s="85">
        <v>4419862</v>
      </c>
      <c r="D2306" s="88">
        <v>-7.4087794035931909E-3</v>
      </c>
      <c r="E2306" s="87"/>
    </row>
    <row r="2307" spans="1:5" ht="15" x14ac:dyDescent="0.2">
      <c r="A2307" s="73">
        <v>41200</v>
      </c>
      <c r="B2307" s="70">
        <v>26.995000000000001</v>
      </c>
      <c r="C2307" s="85">
        <v>2010898</v>
      </c>
      <c r="D2307" s="88">
        <v>-1.8518518518517713E-4</v>
      </c>
      <c r="E2307" s="87"/>
    </row>
    <row r="2308" spans="1:5" ht="15" x14ac:dyDescent="0.2">
      <c r="A2308" s="73">
        <v>41199</v>
      </c>
      <c r="B2308" s="70">
        <v>27</v>
      </c>
      <c r="C2308" s="85">
        <v>1843135</v>
      </c>
      <c r="D2308" s="88">
        <v>1.3133208255159623E-2</v>
      </c>
      <c r="E2308" s="87"/>
    </row>
    <row r="2309" spans="1:5" ht="15" x14ac:dyDescent="0.2">
      <c r="A2309" s="73">
        <v>41198</v>
      </c>
      <c r="B2309" s="70">
        <v>26.65</v>
      </c>
      <c r="C2309" s="85">
        <v>1791519</v>
      </c>
      <c r="D2309" s="88">
        <v>5.6316876290574136E-4</v>
      </c>
      <c r="E2309" s="87"/>
    </row>
    <row r="2310" spans="1:5" ht="15" x14ac:dyDescent="0.2">
      <c r="A2310" s="73">
        <v>41197</v>
      </c>
      <c r="B2310" s="70">
        <v>26.635000000000002</v>
      </c>
      <c r="C2310" s="85">
        <v>2203563</v>
      </c>
      <c r="D2310" s="88">
        <v>1.1199696279422966E-2</v>
      </c>
      <c r="E2310" s="87"/>
    </row>
    <row r="2311" spans="1:5" ht="15" x14ac:dyDescent="0.2">
      <c r="A2311" s="73">
        <v>41194</v>
      </c>
      <c r="B2311" s="70">
        <v>26.34</v>
      </c>
      <c r="C2311" s="85">
        <v>2764228</v>
      </c>
      <c r="D2311" s="88">
        <v>-3.0726770929162872E-2</v>
      </c>
      <c r="E2311" s="87"/>
    </row>
    <row r="2312" spans="1:5" ht="15" x14ac:dyDescent="0.2">
      <c r="A2312" s="73">
        <v>41193</v>
      </c>
      <c r="B2312" s="70">
        <v>27.175000000000001</v>
      </c>
      <c r="C2312" s="85">
        <v>5326473</v>
      </c>
      <c r="D2312" s="88">
        <v>-1.1098981077147019E-2</v>
      </c>
      <c r="E2312" s="87"/>
    </row>
    <row r="2313" spans="1:5" ht="15" x14ac:dyDescent="0.2">
      <c r="A2313" s="73">
        <v>41192</v>
      </c>
      <c r="B2313" s="70">
        <v>27.48</v>
      </c>
      <c r="C2313" s="85">
        <v>19152430</v>
      </c>
      <c r="D2313" s="88">
        <v>5.2873563218390762E-2</v>
      </c>
      <c r="E2313" s="87"/>
    </row>
    <row r="2314" spans="1:5" ht="15" x14ac:dyDescent="0.2">
      <c r="A2314" s="73">
        <v>41191</v>
      </c>
      <c r="B2314" s="70">
        <v>26.1</v>
      </c>
      <c r="C2314" s="85">
        <v>4158458</v>
      </c>
      <c r="D2314" s="88">
        <v>-5.7142857142856718E-3</v>
      </c>
      <c r="E2314" s="87"/>
    </row>
    <row r="2315" spans="1:5" ht="15" x14ac:dyDescent="0.2">
      <c r="A2315" s="73">
        <v>41190</v>
      </c>
      <c r="B2315" s="70">
        <v>26.25</v>
      </c>
      <c r="C2315" s="85">
        <v>2992636</v>
      </c>
      <c r="D2315" s="88">
        <v>-8.6858006042296321E-3</v>
      </c>
      <c r="E2315" s="87"/>
    </row>
    <row r="2316" spans="1:5" ht="15" x14ac:dyDescent="0.2">
      <c r="A2316" s="73">
        <v>41187</v>
      </c>
      <c r="B2316" s="70">
        <v>26.48</v>
      </c>
      <c r="C2316" s="85">
        <v>6541314</v>
      </c>
      <c r="D2316" s="88">
        <v>2.2393822393822482E-2</v>
      </c>
      <c r="E2316" s="87"/>
    </row>
    <row r="2317" spans="1:5" ht="15" x14ac:dyDescent="0.2">
      <c r="A2317" s="73">
        <v>41186</v>
      </c>
      <c r="B2317" s="70">
        <v>25.9</v>
      </c>
      <c r="C2317" s="85">
        <v>2376598</v>
      </c>
      <c r="D2317" s="88">
        <v>1.0534529847834539E-2</v>
      </c>
      <c r="E2317" s="87"/>
    </row>
    <row r="2318" spans="1:5" ht="15" x14ac:dyDescent="0.2">
      <c r="A2318" s="73">
        <v>41185</v>
      </c>
      <c r="B2318" s="70">
        <v>25.63</v>
      </c>
      <c r="C2318" s="85">
        <v>1924271</v>
      </c>
      <c r="D2318" s="88">
        <v>2.5425386270290229E-3</v>
      </c>
      <c r="E2318" s="87"/>
    </row>
    <row r="2319" spans="1:5" ht="15" x14ac:dyDescent="0.2">
      <c r="A2319" s="73">
        <v>41184</v>
      </c>
      <c r="B2319" s="70">
        <v>25.565000000000001</v>
      </c>
      <c r="C2319" s="85">
        <v>3360149</v>
      </c>
      <c r="D2319" s="88">
        <v>2.6088701585390339E-2</v>
      </c>
      <c r="E2319" s="87"/>
    </row>
    <row r="2320" spans="1:5" ht="15" x14ac:dyDescent="0.2">
      <c r="A2320" s="73">
        <v>41183</v>
      </c>
      <c r="B2320" s="70">
        <v>24.914999999999999</v>
      </c>
      <c r="C2320" s="85">
        <v>2849674</v>
      </c>
      <c r="D2320" s="88">
        <v>1.0135819987836969E-2</v>
      </c>
      <c r="E2320" s="87"/>
    </row>
    <row r="2321" spans="1:5" ht="15" x14ac:dyDescent="0.2">
      <c r="A2321" s="73">
        <v>41180</v>
      </c>
      <c r="B2321" s="70">
        <v>24.664999999999999</v>
      </c>
      <c r="C2321" s="85">
        <v>1990271</v>
      </c>
      <c r="D2321" s="88">
        <v>-7.4446680080483274E-3</v>
      </c>
      <c r="E2321" s="87"/>
    </row>
    <row r="2322" spans="1:5" ht="15" x14ac:dyDescent="0.2">
      <c r="A2322" s="73">
        <v>41179</v>
      </c>
      <c r="B2322" s="70">
        <v>24.85</v>
      </c>
      <c r="C2322" s="85">
        <v>1703364</v>
      </c>
      <c r="D2322" s="88">
        <v>1.6359918200409052E-2</v>
      </c>
      <c r="E2322" s="87"/>
    </row>
    <row r="2323" spans="1:5" ht="15" x14ac:dyDescent="0.2">
      <c r="A2323" s="73">
        <v>41178</v>
      </c>
      <c r="B2323" s="70">
        <v>24.45</v>
      </c>
      <c r="C2323" s="85">
        <v>4327970</v>
      </c>
      <c r="D2323" s="88">
        <v>-2.956935899980162E-2</v>
      </c>
      <c r="E2323" s="87"/>
    </row>
    <row r="2324" spans="1:5" ht="15" x14ac:dyDescent="0.2">
      <c r="A2324" s="73">
        <v>41177</v>
      </c>
      <c r="B2324" s="70">
        <v>25.195</v>
      </c>
      <c r="C2324" s="85">
        <v>3487438</v>
      </c>
      <c r="D2324" s="88">
        <v>7.8000000000000291E-3</v>
      </c>
      <c r="E2324" s="87"/>
    </row>
    <row r="2325" spans="1:5" ht="15" x14ac:dyDescent="0.2">
      <c r="A2325" s="73">
        <v>41176</v>
      </c>
      <c r="B2325" s="70">
        <v>25</v>
      </c>
      <c r="C2325" s="85">
        <v>4519115</v>
      </c>
      <c r="D2325" s="88">
        <v>-2.7237354085603127E-2</v>
      </c>
      <c r="E2325" s="87"/>
    </row>
    <row r="2326" spans="1:5" ht="15" x14ac:dyDescent="0.2">
      <c r="A2326" s="73">
        <v>41173</v>
      </c>
      <c r="B2326" s="70">
        <v>25.7</v>
      </c>
      <c r="C2326" s="85">
        <v>3285721</v>
      </c>
      <c r="D2326" s="88">
        <v>-9.0611143242721459E-3</v>
      </c>
      <c r="E2326" s="87"/>
    </row>
    <row r="2327" spans="1:5" ht="15" x14ac:dyDescent="0.2">
      <c r="A2327" s="73">
        <v>41172</v>
      </c>
      <c r="B2327" s="70">
        <v>25.934999999999999</v>
      </c>
      <c r="C2327" s="85">
        <v>3317559</v>
      </c>
      <c r="D2327" s="88">
        <v>1.1702750146284302E-2</v>
      </c>
      <c r="E2327" s="87"/>
    </row>
    <row r="2328" spans="1:5" ht="15" x14ac:dyDescent="0.2">
      <c r="A2328" s="73">
        <v>41171</v>
      </c>
      <c r="B2328" s="70">
        <v>25.635000000000002</v>
      </c>
      <c r="C2328" s="85">
        <v>2293483</v>
      </c>
      <c r="D2328" s="88">
        <v>-4.0792540792539134E-3</v>
      </c>
      <c r="E2328" s="87"/>
    </row>
    <row r="2329" spans="1:5" ht="15" x14ac:dyDescent="0.2">
      <c r="A2329" s="73">
        <v>41170</v>
      </c>
      <c r="B2329" s="70">
        <v>25.74</v>
      </c>
      <c r="C2329" s="85">
        <v>3073697</v>
      </c>
      <c r="D2329" s="88">
        <v>1.5564202334630295E-3</v>
      </c>
      <c r="E2329" s="87"/>
    </row>
    <row r="2330" spans="1:5" ht="15" x14ac:dyDescent="0.2">
      <c r="A2330" s="73">
        <v>41169</v>
      </c>
      <c r="B2330" s="70">
        <v>25.7</v>
      </c>
      <c r="C2330" s="85">
        <v>4093406</v>
      </c>
      <c r="D2330" s="88">
        <v>1.5609563327405596E-2</v>
      </c>
      <c r="E2330" s="87"/>
    </row>
    <row r="2331" spans="1:5" ht="15" x14ac:dyDescent="0.2">
      <c r="A2331" s="73">
        <v>41166</v>
      </c>
      <c r="B2331" s="70">
        <v>25.305</v>
      </c>
      <c r="C2331" s="85">
        <v>11979139</v>
      </c>
      <c r="D2331" s="88">
        <v>6.3630940544840975E-3</v>
      </c>
      <c r="E2331" s="87"/>
    </row>
    <row r="2332" spans="1:5" ht="15" x14ac:dyDescent="0.2">
      <c r="A2332" s="73">
        <v>41165</v>
      </c>
      <c r="B2332" s="70">
        <v>25.145</v>
      </c>
      <c r="C2332" s="85">
        <v>23354746</v>
      </c>
      <c r="D2332" s="88">
        <v>-0.10196428571428573</v>
      </c>
      <c r="E2332" s="87"/>
    </row>
    <row r="2333" spans="1:5" ht="15" x14ac:dyDescent="0.2">
      <c r="A2333" s="73">
        <v>41164</v>
      </c>
      <c r="B2333" s="70">
        <v>28</v>
      </c>
      <c r="C2333" s="85">
        <v>6219668</v>
      </c>
      <c r="D2333" s="88">
        <v>-5.6285810583080575E-2</v>
      </c>
      <c r="E2333" s="87"/>
    </row>
    <row r="2334" spans="1:5" ht="15" x14ac:dyDescent="0.2">
      <c r="A2334" s="73">
        <v>41163</v>
      </c>
      <c r="B2334" s="70">
        <v>29.67</v>
      </c>
      <c r="C2334" s="85">
        <v>1698203</v>
      </c>
      <c r="D2334" s="88">
        <v>3.72124492557524E-3</v>
      </c>
      <c r="E2334" s="87"/>
    </row>
    <row r="2335" spans="1:5" ht="15" x14ac:dyDescent="0.2">
      <c r="A2335" s="73">
        <v>41162</v>
      </c>
      <c r="B2335" s="70">
        <v>29.56</v>
      </c>
      <c r="C2335" s="85">
        <v>1675847</v>
      </c>
      <c r="D2335" s="88">
        <v>-2.2809917355371967E-2</v>
      </c>
      <c r="E2335" s="87"/>
    </row>
    <row r="2336" spans="1:5" ht="15" x14ac:dyDescent="0.2">
      <c r="A2336" s="73">
        <v>41159</v>
      </c>
      <c r="B2336" s="70">
        <v>30.25</v>
      </c>
      <c r="C2336" s="85">
        <v>1311653</v>
      </c>
      <c r="D2336" s="88">
        <v>-8.3592853630551911E-3</v>
      </c>
      <c r="E2336" s="87"/>
    </row>
    <row r="2337" spans="1:5" ht="15" x14ac:dyDescent="0.2">
      <c r="A2337" s="73">
        <v>41158</v>
      </c>
      <c r="B2337" s="70">
        <v>30.504999999999999</v>
      </c>
      <c r="C2337" s="85">
        <v>1672012</v>
      </c>
      <c r="D2337" s="88">
        <v>1.904125605478546E-2</v>
      </c>
      <c r="E2337" s="87"/>
    </row>
    <row r="2338" spans="1:5" ht="15" x14ac:dyDescent="0.2">
      <c r="A2338" s="73">
        <v>41157</v>
      </c>
      <c r="B2338" s="70">
        <v>29.934999999999999</v>
      </c>
      <c r="C2338" s="85">
        <v>1368343</v>
      </c>
      <c r="D2338" s="88">
        <v>-1.667500416875134E-3</v>
      </c>
      <c r="E2338" s="87"/>
    </row>
    <row r="2339" spans="1:5" ht="15" x14ac:dyDescent="0.2">
      <c r="A2339" s="73">
        <v>41156</v>
      </c>
      <c r="B2339" s="70">
        <v>29.984999999999999</v>
      </c>
      <c r="C2339" s="85">
        <v>1240531</v>
      </c>
      <c r="D2339" s="88">
        <v>-2.677702044790653E-2</v>
      </c>
      <c r="E2339" s="87"/>
    </row>
    <row r="2340" spans="1:5" ht="15" x14ac:dyDescent="0.2">
      <c r="A2340" s="73">
        <v>41155</v>
      </c>
      <c r="B2340" s="70">
        <v>30.81</v>
      </c>
      <c r="C2340" s="85">
        <v>898408</v>
      </c>
      <c r="D2340" s="88">
        <v>1.6160949868073926E-2</v>
      </c>
      <c r="E2340" s="87"/>
    </row>
    <row r="2341" spans="1:5" ht="15" x14ac:dyDescent="0.2">
      <c r="A2341" s="73">
        <v>41152</v>
      </c>
      <c r="B2341" s="70">
        <v>30.32</v>
      </c>
      <c r="C2341" s="85">
        <v>1233065</v>
      </c>
      <c r="D2341" s="88">
        <v>4.6388336646785433E-3</v>
      </c>
      <c r="E2341" s="87"/>
    </row>
    <row r="2342" spans="1:5" ht="15" x14ac:dyDescent="0.2">
      <c r="A2342" s="73">
        <v>41151</v>
      </c>
      <c r="B2342" s="70">
        <v>30.18</v>
      </c>
      <c r="C2342" s="85">
        <v>985160</v>
      </c>
      <c r="D2342" s="88">
        <v>-5.4374691052891944E-3</v>
      </c>
      <c r="E2342" s="87"/>
    </row>
    <row r="2343" spans="1:5" ht="15" x14ac:dyDescent="0.2">
      <c r="A2343" s="73">
        <v>41150</v>
      </c>
      <c r="B2343" s="70">
        <v>30.344999999999999</v>
      </c>
      <c r="C2343" s="85">
        <v>1240852</v>
      </c>
      <c r="D2343" s="88">
        <v>1.9143576826196496E-2</v>
      </c>
      <c r="E2343" s="87"/>
    </row>
    <row r="2344" spans="1:5" ht="15" x14ac:dyDescent="0.2">
      <c r="A2344" s="73">
        <v>41149</v>
      </c>
      <c r="B2344" s="70">
        <v>29.774999999999999</v>
      </c>
      <c r="C2344" s="85">
        <v>940900</v>
      </c>
      <c r="D2344" s="88">
        <v>4.8936888288895197E-3</v>
      </c>
      <c r="E2344" s="87"/>
    </row>
    <row r="2345" spans="1:5" ht="15" x14ac:dyDescent="0.2">
      <c r="A2345" s="73">
        <v>41148</v>
      </c>
      <c r="B2345" s="70">
        <v>29.63</v>
      </c>
      <c r="C2345" s="85">
        <v>766254</v>
      </c>
      <c r="D2345" s="88">
        <v>1.0135135135134199E-3</v>
      </c>
      <c r="E2345" s="87"/>
    </row>
    <row r="2346" spans="1:5" ht="15" x14ac:dyDescent="0.2">
      <c r="A2346" s="73">
        <v>41145</v>
      </c>
      <c r="B2346" s="70">
        <v>29.6</v>
      </c>
      <c r="C2346" s="85">
        <v>1302501</v>
      </c>
      <c r="D2346" s="88">
        <v>-1.0695187165775444E-2</v>
      </c>
      <c r="E2346" s="87"/>
    </row>
    <row r="2347" spans="1:5" ht="15" x14ac:dyDescent="0.2">
      <c r="A2347" s="73">
        <v>41144</v>
      </c>
      <c r="B2347" s="70">
        <v>29.92</v>
      </c>
      <c r="C2347" s="85">
        <v>1535981</v>
      </c>
      <c r="D2347" s="88">
        <v>-2.3498694516971286E-2</v>
      </c>
      <c r="E2347" s="87"/>
    </row>
    <row r="2348" spans="1:5" ht="15" x14ac:dyDescent="0.2">
      <c r="A2348" s="73">
        <v>41143</v>
      </c>
      <c r="B2348" s="70">
        <v>30.64</v>
      </c>
      <c r="C2348" s="85">
        <v>913533</v>
      </c>
      <c r="D2348" s="88">
        <v>-2.4418036789841668E-3</v>
      </c>
      <c r="E2348" s="87"/>
    </row>
    <row r="2349" spans="1:5" ht="15" x14ac:dyDescent="0.2">
      <c r="A2349" s="73">
        <v>41142</v>
      </c>
      <c r="B2349" s="70">
        <v>30.715</v>
      </c>
      <c r="C2349" s="85">
        <v>1137337</v>
      </c>
      <c r="D2349" s="88">
        <v>1.3027704485488067E-2</v>
      </c>
      <c r="E2349" s="87"/>
    </row>
    <row r="2350" spans="1:5" ht="15" x14ac:dyDescent="0.2">
      <c r="A2350" s="73">
        <v>41141</v>
      </c>
      <c r="B2350" s="70">
        <v>30.32</v>
      </c>
      <c r="C2350" s="85">
        <v>945435</v>
      </c>
      <c r="D2350" s="88">
        <v>2.314049586776834E-3</v>
      </c>
      <c r="E2350" s="87"/>
    </row>
    <row r="2351" spans="1:5" ht="15" x14ac:dyDescent="0.2">
      <c r="A2351" s="73">
        <v>41138</v>
      </c>
      <c r="B2351" s="70">
        <v>30.25</v>
      </c>
      <c r="C2351" s="85">
        <v>1057488</v>
      </c>
      <c r="D2351" s="88">
        <v>4.6496180670874132E-3</v>
      </c>
      <c r="E2351" s="87"/>
    </row>
    <row r="2352" spans="1:5" ht="15" x14ac:dyDescent="0.2">
      <c r="A2352" s="73">
        <v>41137</v>
      </c>
      <c r="B2352" s="70">
        <v>30.11</v>
      </c>
      <c r="C2352" s="85">
        <v>877222</v>
      </c>
      <c r="D2352" s="88">
        <v>-9.7023515869101296E-3</v>
      </c>
      <c r="E2352" s="87"/>
    </row>
    <row r="2353" spans="1:5" ht="15" x14ac:dyDescent="0.2">
      <c r="A2353" s="73">
        <v>41136</v>
      </c>
      <c r="B2353" s="70">
        <v>30.405000000000001</v>
      </c>
      <c r="C2353" s="85">
        <v>585319</v>
      </c>
      <c r="D2353" s="88">
        <v>4.4598612487611877E-3</v>
      </c>
      <c r="E2353" s="87"/>
    </row>
    <row r="2354" spans="1:5" ht="15" x14ac:dyDescent="0.2">
      <c r="A2354" s="73">
        <v>41135</v>
      </c>
      <c r="B2354" s="70">
        <v>30.27</v>
      </c>
      <c r="C2354" s="85">
        <v>1127365</v>
      </c>
      <c r="D2354" s="88">
        <v>-3.1286020088917565E-3</v>
      </c>
      <c r="E2354" s="87"/>
    </row>
    <row r="2355" spans="1:5" ht="15" x14ac:dyDescent="0.2">
      <c r="A2355" s="73">
        <v>41134</v>
      </c>
      <c r="B2355" s="70">
        <v>30.364999999999998</v>
      </c>
      <c r="C2355" s="85">
        <v>1010662</v>
      </c>
      <c r="D2355" s="88">
        <v>-1.0750936634631114E-2</v>
      </c>
      <c r="E2355" s="87"/>
    </row>
    <row r="2356" spans="1:5" ht="15" x14ac:dyDescent="0.2">
      <c r="A2356" s="73">
        <v>41131</v>
      </c>
      <c r="B2356" s="70">
        <v>30.695</v>
      </c>
      <c r="C2356" s="85">
        <v>845768</v>
      </c>
      <c r="D2356" s="88">
        <v>2.6130981544993936E-3</v>
      </c>
      <c r="E2356" s="87"/>
    </row>
    <row r="2357" spans="1:5" ht="15" x14ac:dyDescent="0.2">
      <c r="A2357" s="73">
        <v>41130</v>
      </c>
      <c r="B2357" s="70">
        <v>30.614999999999998</v>
      </c>
      <c r="C2357" s="85">
        <v>951000</v>
      </c>
      <c r="D2357" s="88">
        <v>1.2066115702479285E-2</v>
      </c>
      <c r="E2357" s="87"/>
    </row>
    <row r="2358" spans="1:5" ht="15" x14ac:dyDescent="0.2">
      <c r="A2358" s="73">
        <v>41129</v>
      </c>
      <c r="B2358" s="70">
        <v>30.25</v>
      </c>
      <c r="C2358" s="85">
        <v>1134696</v>
      </c>
      <c r="D2358" s="88">
        <v>-1.4657980456026065E-2</v>
      </c>
      <c r="E2358" s="87"/>
    </row>
    <row r="2359" spans="1:5" ht="15" x14ac:dyDescent="0.2">
      <c r="A2359" s="73">
        <v>41128</v>
      </c>
      <c r="B2359" s="70">
        <v>30.7</v>
      </c>
      <c r="C2359" s="85">
        <v>1063911</v>
      </c>
      <c r="D2359" s="88">
        <v>-3.2467532467532756E-3</v>
      </c>
      <c r="E2359" s="87"/>
    </row>
    <row r="2360" spans="1:5" ht="15" x14ac:dyDescent="0.2">
      <c r="A2360" s="73">
        <v>41127</v>
      </c>
      <c r="B2360" s="70">
        <v>30.8</v>
      </c>
      <c r="C2360" s="85">
        <v>1232425</v>
      </c>
      <c r="D2360" s="88">
        <v>-1.2820512820512775E-2</v>
      </c>
      <c r="E2360" s="87"/>
    </row>
    <row r="2361" spans="1:5" ht="15" x14ac:dyDescent="0.2">
      <c r="A2361" s="73">
        <v>41124</v>
      </c>
      <c r="B2361" s="70">
        <v>31.2</v>
      </c>
      <c r="C2361" s="85">
        <v>1500546</v>
      </c>
      <c r="D2361" s="88">
        <v>3.0383091149273289E-2</v>
      </c>
      <c r="E2361" s="87"/>
    </row>
    <row r="2362" spans="1:5" ht="15" x14ac:dyDescent="0.2">
      <c r="A2362" s="73">
        <v>41123</v>
      </c>
      <c r="B2362" s="70">
        <v>30.28</v>
      </c>
      <c r="C2362" s="85">
        <v>2543368</v>
      </c>
      <c r="D2362" s="88">
        <v>-2.3383325270117661E-2</v>
      </c>
      <c r="E2362" s="87"/>
    </row>
    <row r="2363" spans="1:5" ht="15" x14ac:dyDescent="0.2">
      <c r="A2363" s="73">
        <v>41122</v>
      </c>
      <c r="B2363" s="70">
        <v>31.004999999999999</v>
      </c>
      <c r="C2363" s="85">
        <v>2433155</v>
      </c>
      <c r="D2363" s="88">
        <v>5.9637730690362156E-2</v>
      </c>
      <c r="E2363" s="87"/>
    </row>
    <row r="2364" spans="1:5" ht="15" x14ac:dyDescent="0.2">
      <c r="A2364" s="73">
        <v>41121</v>
      </c>
      <c r="B2364" s="70">
        <v>29.26</v>
      </c>
      <c r="C2364" s="85">
        <v>1580094</v>
      </c>
      <c r="D2364" s="88">
        <v>-1.5312131919905769E-2</v>
      </c>
      <c r="E2364" s="87"/>
    </row>
    <row r="2365" spans="1:5" ht="15" x14ac:dyDescent="0.2">
      <c r="A2365" s="73">
        <v>41120</v>
      </c>
      <c r="B2365" s="70">
        <v>29.715</v>
      </c>
      <c r="C2365" s="85">
        <v>1663282</v>
      </c>
      <c r="D2365" s="88">
        <v>-3.0196275792652161E-3</v>
      </c>
      <c r="E2365" s="87"/>
    </row>
    <row r="2366" spans="1:5" ht="15" x14ac:dyDescent="0.2">
      <c r="A2366" s="73">
        <v>41117</v>
      </c>
      <c r="B2366" s="70">
        <v>29.805</v>
      </c>
      <c r="C2366" s="85">
        <v>5228486</v>
      </c>
      <c r="D2366" s="88">
        <v>5.6540233959588848E-2</v>
      </c>
      <c r="E2366" s="87"/>
    </row>
    <row r="2367" spans="1:5" ht="15" x14ac:dyDescent="0.2">
      <c r="A2367" s="73">
        <v>41116</v>
      </c>
      <c r="B2367" s="70">
        <v>28.21</v>
      </c>
      <c r="C2367" s="85">
        <v>2304452</v>
      </c>
      <c r="D2367" s="88">
        <v>1.129234629861986E-2</v>
      </c>
      <c r="E2367" s="87"/>
    </row>
    <row r="2368" spans="1:5" ht="15" x14ac:dyDescent="0.2">
      <c r="A2368" s="73">
        <v>41115</v>
      </c>
      <c r="B2368" s="70">
        <v>27.895</v>
      </c>
      <c r="C2368" s="85">
        <v>1524512</v>
      </c>
      <c r="D2368" s="88">
        <v>-1.9335559852346695E-2</v>
      </c>
      <c r="E2368" s="87"/>
    </row>
    <row r="2369" spans="1:5" ht="15" x14ac:dyDescent="0.2">
      <c r="A2369" s="73">
        <v>41114</v>
      </c>
      <c r="B2369" s="70">
        <v>28.445</v>
      </c>
      <c r="C2369" s="85">
        <v>1498888</v>
      </c>
      <c r="D2369" s="88">
        <v>1.8438954529180096E-2</v>
      </c>
      <c r="E2369" s="87"/>
    </row>
    <row r="2370" spans="1:5" ht="15" x14ac:dyDescent="0.2">
      <c r="A2370" s="73">
        <v>41113</v>
      </c>
      <c r="B2370" s="70">
        <v>27.93</v>
      </c>
      <c r="C2370" s="85">
        <v>2490302</v>
      </c>
      <c r="D2370" s="88">
        <v>-2.7168234064785857E-2</v>
      </c>
      <c r="E2370" s="87"/>
    </row>
    <row r="2371" spans="1:5" ht="15" x14ac:dyDescent="0.2">
      <c r="A2371" s="73">
        <v>41110</v>
      </c>
      <c r="B2371" s="70">
        <v>28.71</v>
      </c>
      <c r="C2371" s="85">
        <v>3803644</v>
      </c>
      <c r="D2371" s="88">
        <v>3.8712011577423988E-2</v>
      </c>
      <c r="E2371" s="87"/>
    </row>
    <row r="2372" spans="1:5" ht="15" x14ac:dyDescent="0.2">
      <c r="A2372" s="73">
        <v>41109</v>
      </c>
      <c r="B2372" s="70">
        <v>27.64</v>
      </c>
      <c r="C2372" s="85">
        <v>1021175</v>
      </c>
      <c r="D2372" s="88">
        <v>9.8648154914140473E-3</v>
      </c>
      <c r="E2372" s="87"/>
    </row>
    <row r="2373" spans="1:5" ht="15" x14ac:dyDescent="0.2">
      <c r="A2373" s="73">
        <v>41108</v>
      </c>
      <c r="B2373" s="70">
        <v>27.37</v>
      </c>
      <c r="C2373" s="85">
        <v>1047370</v>
      </c>
      <c r="D2373" s="88">
        <v>1.1456023651145619E-2</v>
      </c>
      <c r="E2373" s="87"/>
    </row>
    <row r="2374" spans="1:5" ht="15" x14ac:dyDescent="0.2">
      <c r="A2374" s="73">
        <v>41107</v>
      </c>
      <c r="B2374" s="70">
        <v>27.06</v>
      </c>
      <c r="C2374" s="85">
        <v>1092515</v>
      </c>
      <c r="D2374" s="88">
        <v>-1.707228478023981E-2</v>
      </c>
      <c r="E2374" s="87"/>
    </row>
    <row r="2375" spans="1:5" ht="15" x14ac:dyDescent="0.2">
      <c r="A2375" s="73">
        <v>41106</v>
      </c>
      <c r="B2375" s="70">
        <v>27.53</v>
      </c>
      <c r="C2375" s="85">
        <v>1513944</v>
      </c>
      <c r="D2375" s="88">
        <v>1.1574499356972412E-2</v>
      </c>
      <c r="E2375" s="87"/>
    </row>
    <row r="2376" spans="1:5" ht="15" x14ac:dyDescent="0.2">
      <c r="A2376" s="73">
        <v>41103</v>
      </c>
      <c r="B2376" s="70">
        <v>27.215</v>
      </c>
      <c r="C2376" s="85">
        <v>1298679</v>
      </c>
      <c r="D2376" s="88">
        <v>1.5864128406121614E-2</v>
      </c>
      <c r="E2376" s="87"/>
    </row>
    <row r="2377" spans="1:5" ht="15" x14ac:dyDescent="0.2">
      <c r="A2377" s="73">
        <v>41102</v>
      </c>
      <c r="B2377" s="70">
        <v>26.79</v>
      </c>
      <c r="C2377" s="85">
        <v>2290700</v>
      </c>
      <c r="D2377" s="88">
        <v>-4.8291233283804802E-3</v>
      </c>
      <c r="E2377" s="87"/>
    </row>
    <row r="2378" spans="1:5" ht="15" x14ac:dyDescent="0.2">
      <c r="A2378" s="73">
        <v>41101</v>
      </c>
      <c r="B2378" s="70">
        <v>26.92</v>
      </c>
      <c r="C2378" s="85">
        <v>3690363</v>
      </c>
      <c r="D2378" s="88">
        <v>-4.6573401806268788E-2</v>
      </c>
      <c r="E2378" s="87"/>
    </row>
    <row r="2379" spans="1:5" ht="15" x14ac:dyDescent="0.2">
      <c r="A2379" s="73">
        <v>41100</v>
      </c>
      <c r="B2379" s="70">
        <v>28.234999999999999</v>
      </c>
      <c r="C2379" s="85">
        <v>1713525</v>
      </c>
      <c r="D2379" s="88">
        <v>-9.8193933017710622E-3</v>
      </c>
      <c r="E2379" s="87"/>
    </row>
    <row r="2380" spans="1:5" ht="15" x14ac:dyDescent="0.2">
      <c r="A2380" s="73">
        <v>41099</v>
      </c>
      <c r="B2380" s="70">
        <v>28.515000000000001</v>
      </c>
      <c r="C2380" s="85">
        <v>1332240</v>
      </c>
      <c r="D2380" s="88">
        <v>1.5853224082650552E-2</v>
      </c>
      <c r="E2380" s="87"/>
    </row>
    <row r="2381" spans="1:5" ht="15" x14ac:dyDescent="0.2">
      <c r="A2381" s="73">
        <v>41096</v>
      </c>
      <c r="B2381" s="70">
        <v>28.07</v>
      </c>
      <c r="C2381" s="85">
        <v>1265222</v>
      </c>
      <c r="D2381" s="88">
        <v>-1.5087719298245594E-2</v>
      </c>
      <c r="E2381" s="87"/>
    </row>
    <row r="2382" spans="1:5" ht="15" x14ac:dyDescent="0.2">
      <c r="A2382" s="73">
        <v>41095</v>
      </c>
      <c r="B2382" s="70">
        <v>28.5</v>
      </c>
      <c r="C2382" s="85">
        <v>2489135</v>
      </c>
      <c r="D2382" s="88">
        <v>-1.7241379310344862E-2</v>
      </c>
      <c r="E2382" s="87"/>
    </row>
    <row r="2383" spans="1:5" ht="15" x14ac:dyDescent="0.2">
      <c r="A2383" s="73">
        <v>41094</v>
      </c>
      <c r="B2383" s="70">
        <v>29</v>
      </c>
      <c r="C2383" s="85">
        <v>1262557</v>
      </c>
      <c r="D2383" s="88">
        <v>2.0228671943711474E-2</v>
      </c>
      <c r="E2383" s="87"/>
    </row>
    <row r="2384" spans="1:5" ht="15" x14ac:dyDescent="0.2">
      <c r="A2384" s="73">
        <v>41093</v>
      </c>
      <c r="B2384" s="70">
        <v>28.425000000000001</v>
      </c>
      <c r="C2384" s="85">
        <v>1491818</v>
      </c>
      <c r="D2384" s="88">
        <v>-2.4565713283032364E-3</v>
      </c>
      <c r="E2384" s="87"/>
    </row>
    <row r="2385" spans="1:5" ht="15" x14ac:dyDescent="0.2">
      <c r="A2385" s="73">
        <v>41092</v>
      </c>
      <c r="B2385" s="70">
        <v>28.495000000000001</v>
      </c>
      <c r="C2385" s="85">
        <v>1820657</v>
      </c>
      <c r="D2385" s="88">
        <v>1.9863994273443097E-2</v>
      </c>
      <c r="E2385" s="87"/>
    </row>
    <row r="2386" spans="1:5" ht="15" x14ac:dyDescent="0.2">
      <c r="A2386" s="73">
        <v>41089</v>
      </c>
      <c r="B2386" s="70">
        <v>27.94</v>
      </c>
      <c r="C2386" s="85">
        <v>2394821</v>
      </c>
      <c r="D2386" s="88">
        <v>4.4485981308411304E-2</v>
      </c>
      <c r="E2386" s="87"/>
    </row>
    <row r="2387" spans="1:5" ht="15" x14ac:dyDescent="0.2">
      <c r="A2387" s="73">
        <v>41088</v>
      </c>
      <c r="B2387" s="70">
        <v>26.75</v>
      </c>
      <c r="C2387" s="85">
        <v>1733040</v>
      </c>
      <c r="D2387" s="88">
        <v>4.6948356807512415E-3</v>
      </c>
      <c r="E2387" s="87"/>
    </row>
    <row r="2388" spans="1:5" ht="15" x14ac:dyDescent="0.2">
      <c r="A2388" s="73">
        <v>41087</v>
      </c>
      <c r="B2388" s="70">
        <v>26.625</v>
      </c>
      <c r="C2388" s="85">
        <v>1709995</v>
      </c>
      <c r="D2388" s="88">
        <v>2.5616332819722532E-2</v>
      </c>
      <c r="E2388" s="87"/>
    </row>
    <row r="2389" spans="1:5" ht="15" x14ac:dyDescent="0.2">
      <c r="A2389" s="73">
        <v>41086</v>
      </c>
      <c r="B2389" s="70">
        <v>25.96</v>
      </c>
      <c r="C2389" s="85">
        <v>1368382</v>
      </c>
      <c r="D2389" s="88">
        <v>-1.1424219345011477E-2</v>
      </c>
      <c r="E2389" s="87"/>
    </row>
    <row r="2390" spans="1:5" ht="15" x14ac:dyDescent="0.2">
      <c r="A2390" s="73">
        <v>41085</v>
      </c>
      <c r="B2390" s="70">
        <v>26.26</v>
      </c>
      <c r="C2390" s="85">
        <v>1994622</v>
      </c>
      <c r="D2390" s="88">
        <v>2.0202020202020332E-2</v>
      </c>
      <c r="E2390" s="87"/>
    </row>
    <row r="2391" spans="1:5" ht="15" x14ac:dyDescent="0.2">
      <c r="A2391" s="73">
        <v>41082</v>
      </c>
      <c r="B2391" s="70">
        <v>25.74</v>
      </c>
      <c r="C2391" s="85">
        <v>2355680</v>
      </c>
      <c r="D2391" s="88">
        <v>-4.3122676579925634E-2</v>
      </c>
      <c r="E2391" s="87"/>
    </row>
    <row r="2392" spans="1:5" ht="15" x14ac:dyDescent="0.2">
      <c r="A2392" s="73">
        <v>41081</v>
      </c>
      <c r="B2392" s="70">
        <v>26.9</v>
      </c>
      <c r="C2392" s="85">
        <v>1602147</v>
      </c>
      <c r="D2392" s="88">
        <v>1.1848786909911535E-2</v>
      </c>
      <c r="E2392" s="87"/>
    </row>
    <row r="2393" spans="1:5" ht="15" x14ac:dyDescent="0.2">
      <c r="A2393" s="73">
        <v>41080</v>
      </c>
      <c r="B2393" s="70">
        <v>26.585000000000001</v>
      </c>
      <c r="C2393" s="85">
        <v>1278137</v>
      </c>
      <c r="D2393" s="88">
        <v>-8.9468779123951236E-3</v>
      </c>
      <c r="E2393" s="87"/>
    </row>
    <row r="2394" spans="1:5" ht="15" x14ac:dyDescent="0.2">
      <c r="A2394" s="73">
        <v>41079</v>
      </c>
      <c r="B2394" s="70">
        <v>26.824999999999999</v>
      </c>
      <c r="C2394" s="85">
        <v>1346210</v>
      </c>
      <c r="D2394" s="88">
        <v>1.6803584764748525E-3</v>
      </c>
      <c r="E2394" s="87"/>
    </row>
    <row r="2395" spans="1:5" ht="15" x14ac:dyDescent="0.2">
      <c r="A2395" s="73">
        <v>41078</v>
      </c>
      <c r="B2395" s="70">
        <v>26.78</v>
      </c>
      <c r="C2395" s="85">
        <v>1922407</v>
      </c>
      <c r="D2395" s="88">
        <v>2.881290818286586E-2</v>
      </c>
      <c r="E2395" s="87"/>
    </row>
    <row r="2396" spans="1:5" ht="15" x14ac:dyDescent="0.2">
      <c r="A2396" s="73">
        <v>41075</v>
      </c>
      <c r="B2396" s="70">
        <v>26.03</v>
      </c>
      <c r="C2396" s="85">
        <v>2304042</v>
      </c>
      <c r="D2396" s="88">
        <v>-4.3985465672211621E-3</v>
      </c>
      <c r="E2396" s="87"/>
    </row>
    <row r="2397" spans="1:5" ht="15" x14ac:dyDescent="0.2">
      <c r="A2397" s="73">
        <v>41074</v>
      </c>
      <c r="B2397" s="70">
        <v>26.145</v>
      </c>
      <c r="C2397" s="85">
        <v>1603764</v>
      </c>
      <c r="D2397" s="88">
        <v>-1.673561489281683E-2</v>
      </c>
      <c r="E2397" s="87"/>
    </row>
    <row r="2398" spans="1:5" ht="15" x14ac:dyDescent="0.2">
      <c r="A2398" s="73">
        <v>41073</v>
      </c>
      <c r="B2398" s="70">
        <v>26.59</v>
      </c>
      <c r="C2398" s="85">
        <v>2105886</v>
      </c>
      <c r="D2398" s="88">
        <v>-7.0948469006721915E-3</v>
      </c>
      <c r="E2398" s="87"/>
    </row>
    <row r="2399" spans="1:5" ht="15" x14ac:dyDescent="0.2">
      <c r="A2399" s="73">
        <v>41072</v>
      </c>
      <c r="B2399" s="70">
        <v>26.78</v>
      </c>
      <c r="C2399" s="85">
        <v>1958643</v>
      </c>
      <c r="D2399" s="88">
        <v>-5.598059339428918E-4</v>
      </c>
      <c r="E2399" s="87"/>
    </row>
    <row r="2400" spans="1:5" ht="15" x14ac:dyDescent="0.2">
      <c r="A2400" s="73">
        <v>41071</v>
      </c>
      <c r="B2400" s="70">
        <v>26.795000000000002</v>
      </c>
      <c r="C2400" s="85">
        <v>1601970</v>
      </c>
      <c r="D2400" s="88">
        <v>-3.1622023809523281E-3</v>
      </c>
      <c r="E2400" s="87"/>
    </row>
    <row r="2401" spans="1:5" ht="15" x14ac:dyDescent="0.2">
      <c r="A2401" s="73">
        <v>41068</v>
      </c>
      <c r="B2401" s="70">
        <v>26.88</v>
      </c>
      <c r="C2401" s="85">
        <v>2597105</v>
      </c>
      <c r="D2401" s="88">
        <v>-1.6465422612513714E-2</v>
      </c>
      <c r="E2401" s="87"/>
    </row>
    <row r="2402" spans="1:5" ht="15" x14ac:dyDescent="0.2">
      <c r="A2402" s="73">
        <v>41067</v>
      </c>
      <c r="B2402" s="70">
        <v>27.33</v>
      </c>
      <c r="C2402" s="85">
        <v>2633590</v>
      </c>
      <c r="D2402" s="88">
        <v>3.6405005688282088E-2</v>
      </c>
      <c r="E2402" s="87"/>
    </row>
    <row r="2403" spans="1:5" ht="15" x14ac:dyDescent="0.2">
      <c r="A2403" s="73">
        <v>41066</v>
      </c>
      <c r="B2403" s="70">
        <v>26.37</v>
      </c>
      <c r="C2403" s="85">
        <v>2594169</v>
      </c>
      <c r="D2403" s="88">
        <v>2.3680124223602439E-2</v>
      </c>
      <c r="E2403" s="87"/>
    </row>
    <row r="2404" spans="1:5" ht="15" x14ac:dyDescent="0.2">
      <c r="A2404" s="73">
        <v>41065</v>
      </c>
      <c r="B2404" s="70">
        <v>25.76</v>
      </c>
      <c r="C2404" s="85">
        <v>1238769</v>
      </c>
      <c r="D2404" s="88">
        <v>6.0535051747705459E-3</v>
      </c>
      <c r="E2404" s="87"/>
    </row>
    <row r="2405" spans="1:5" ht="15" x14ac:dyDescent="0.2">
      <c r="A2405" s="73">
        <v>41064</v>
      </c>
      <c r="B2405" s="70">
        <v>25.605</v>
      </c>
      <c r="C2405" s="85">
        <v>2379043</v>
      </c>
      <c r="D2405" s="88">
        <v>-2.0841300191204559E-2</v>
      </c>
      <c r="E2405" s="87"/>
    </row>
    <row r="2406" spans="1:5" ht="15" x14ac:dyDescent="0.2">
      <c r="A2406" s="73">
        <v>41061</v>
      </c>
      <c r="B2406" s="70">
        <v>26.15</v>
      </c>
      <c r="C2406" s="85">
        <v>4336953</v>
      </c>
      <c r="D2406" s="88">
        <v>-3.3985962319911356E-2</v>
      </c>
      <c r="E2406" s="87"/>
    </row>
    <row r="2407" spans="1:5" ht="15" x14ac:dyDescent="0.2">
      <c r="A2407" s="73">
        <v>41060</v>
      </c>
      <c r="B2407" s="70">
        <v>27.07</v>
      </c>
      <c r="C2407" s="85">
        <v>2738300</v>
      </c>
      <c r="D2407" s="88">
        <v>0</v>
      </c>
      <c r="E2407" s="87"/>
    </row>
    <row r="2408" spans="1:5" ht="15" x14ac:dyDescent="0.2">
      <c r="A2408" s="73">
        <v>41059</v>
      </c>
      <c r="B2408" s="70">
        <v>27.07</v>
      </c>
      <c r="C2408" s="85">
        <v>2651257</v>
      </c>
      <c r="D2408" s="88">
        <v>-2.7133872416891247E-2</v>
      </c>
      <c r="E2408" s="87"/>
    </row>
    <row r="2409" spans="1:5" ht="15" x14ac:dyDescent="0.2">
      <c r="A2409" s="73">
        <v>41058</v>
      </c>
      <c r="B2409" s="70">
        <v>27.824999999999999</v>
      </c>
      <c r="C2409" s="85">
        <v>2850598</v>
      </c>
      <c r="D2409" s="88">
        <v>7.4221578566255886E-3</v>
      </c>
      <c r="E2409" s="87"/>
    </row>
    <row r="2410" spans="1:5" ht="15" x14ac:dyDescent="0.2">
      <c r="A2410" s="73">
        <v>41057</v>
      </c>
      <c r="B2410" s="70">
        <v>27.62</v>
      </c>
      <c r="C2410" s="85">
        <v>1939772</v>
      </c>
      <c r="D2410" s="88">
        <v>1.2463343108504388E-2</v>
      </c>
      <c r="E2410" s="87"/>
    </row>
    <row r="2411" spans="1:5" ht="15" x14ac:dyDescent="0.2">
      <c r="A2411" s="73">
        <v>41054</v>
      </c>
      <c r="B2411" s="70">
        <v>27.28</v>
      </c>
      <c r="C2411" s="85">
        <v>2718732</v>
      </c>
      <c r="D2411" s="88">
        <v>-2.5192067178845701E-2</v>
      </c>
      <c r="E2411" s="87"/>
    </row>
    <row r="2412" spans="1:5" ht="15" x14ac:dyDescent="0.2">
      <c r="A2412" s="73">
        <v>41053</v>
      </c>
      <c r="B2412" s="70">
        <v>27.984999999999999</v>
      </c>
      <c r="C2412" s="85">
        <v>1871392</v>
      </c>
      <c r="D2412" s="88">
        <v>2.3280802292262592E-3</v>
      </c>
      <c r="E2412" s="87"/>
    </row>
    <row r="2413" spans="1:5" ht="15" x14ac:dyDescent="0.2">
      <c r="A2413" s="73">
        <v>41052</v>
      </c>
      <c r="B2413" s="70">
        <v>27.92</v>
      </c>
      <c r="C2413" s="85">
        <v>1302641</v>
      </c>
      <c r="D2413" s="88">
        <v>-2.0522715313102902E-2</v>
      </c>
      <c r="E2413" s="87"/>
    </row>
    <row r="2414" spans="1:5" ht="15" x14ac:dyDescent="0.2">
      <c r="A2414" s="73">
        <v>41051</v>
      </c>
      <c r="B2414" s="70">
        <v>28.504999999999999</v>
      </c>
      <c r="C2414" s="85">
        <v>2039736</v>
      </c>
      <c r="D2414" s="88">
        <v>2.022190408017166E-2</v>
      </c>
      <c r="E2414" s="87"/>
    </row>
    <row r="2415" spans="1:5" ht="15" x14ac:dyDescent="0.2">
      <c r="A2415" s="73">
        <v>41050</v>
      </c>
      <c r="B2415" s="70">
        <v>27.94</v>
      </c>
      <c r="C2415" s="85">
        <v>1438728</v>
      </c>
      <c r="D2415" s="88">
        <v>4.6745774901115755E-3</v>
      </c>
      <c r="E2415" s="87"/>
    </row>
    <row r="2416" spans="1:5" ht="15" x14ac:dyDescent="0.2">
      <c r="A2416" s="73">
        <v>41047</v>
      </c>
      <c r="B2416" s="70">
        <v>27.81</v>
      </c>
      <c r="C2416" s="85">
        <v>1930195</v>
      </c>
      <c r="D2416" s="88">
        <v>-3.2863849765258246E-2</v>
      </c>
      <c r="E2416" s="87"/>
    </row>
    <row r="2417" spans="1:5" ht="15" x14ac:dyDescent="0.2">
      <c r="A2417" s="73">
        <v>41046</v>
      </c>
      <c r="B2417" s="70">
        <v>28.754999999999999</v>
      </c>
      <c r="C2417" s="85">
        <v>1056196</v>
      </c>
      <c r="D2417" s="88">
        <v>-2.1272974812797774E-2</v>
      </c>
      <c r="E2417" s="87"/>
    </row>
    <row r="2418" spans="1:5" ht="15" x14ac:dyDescent="0.2">
      <c r="A2418" s="73">
        <v>41045</v>
      </c>
      <c r="B2418" s="70">
        <v>29.38</v>
      </c>
      <c r="C2418" s="85">
        <v>2628544</v>
      </c>
      <c r="D2418" s="88">
        <v>1.2056493282810887E-2</v>
      </c>
      <c r="E2418" s="87"/>
    </row>
    <row r="2419" spans="1:5" ht="15" x14ac:dyDescent="0.2">
      <c r="A2419" s="73">
        <v>41044</v>
      </c>
      <c r="B2419" s="70">
        <v>29.03</v>
      </c>
      <c r="C2419" s="85">
        <v>1726972</v>
      </c>
      <c r="D2419" s="88">
        <v>1.0617928633594342E-2</v>
      </c>
      <c r="E2419" s="87"/>
    </row>
    <row r="2420" spans="1:5" ht="15" x14ac:dyDescent="0.2">
      <c r="A2420" s="73">
        <v>41043</v>
      </c>
      <c r="B2420" s="70">
        <v>28.725000000000001</v>
      </c>
      <c r="C2420" s="85">
        <v>1488224</v>
      </c>
      <c r="D2420" s="88">
        <v>4.3706293706293753E-3</v>
      </c>
      <c r="E2420" s="87"/>
    </row>
    <row r="2421" spans="1:5" ht="15" x14ac:dyDescent="0.2">
      <c r="A2421" s="73">
        <v>41040</v>
      </c>
      <c r="B2421" s="70">
        <v>28.6</v>
      </c>
      <c r="C2421" s="85">
        <v>1544731</v>
      </c>
      <c r="D2421" s="88">
        <v>-8.3217753120665705E-3</v>
      </c>
      <c r="E2421" s="87"/>
    </row>
    <row r="2422" spans="1:5" ht="15" x14ac:dyDescent="0.2">
      <c r="A2422" s="73">
        <v>41039</v>
      </c>
      <c r="B2422" s="70">
        <v>28.84</v>
      </c>
      <c r="C2422" s="85">
        <v>1426792</v>
      </c>
      <c r="D2422" s="88">
        <v>-8.5940185630800636E-3</v>
      </c>
      <c r="E2422" s="87"/>
    </row>
    <row r="2423" spans="1:5" ht="15" x14ac:dyDescent="0.2">
      <c r="A2423" s="73">
        <v>41038</v>
      </c>
      <c r="B2423" s="70">
        <v>29.09</v>
      </c>
      <c r="C2423" s="85">
        <v>1132859</v>
      </c>
      <c r="D2423" s="88">
        <v>1.2178148921363929E-2</v>
      </c>
      <c r="E2423" s="87"/>
    </row>
    <row r="2424" spans="1:5" ht="15" x14ac:dyDescent="0.2">
      <c r="A2424" s="73">
        <v>41037</v>
      </c>
      <c r="B2424" s="70">
        <v>28.74</v>
      </c>
      <c r="C2424" s="85">
        <v>1836711</v>
      </c>
      <c r="D2424" s="88">
        <v>-3.2648939750925643E-2</v>
      </c>
      <c r="E2424" s="87"/>
    </row>
    <row r="2425" spans="1:5" ht="15" x14ac:dyDescent="0.2">
      <c r="A2425" s="73">
        <v>41036</v>
      </c>
      <c r="B2425" s="70">
        <v>29.71</v>
      </c>
      <c r="C2425" s="85">
        <v>1471774</v>
      </c>
      <c r="D2425" s="88">
        <v>6.0954961056551848E-3</v>
      </c>
      <c r="E2425" s="87"/>
    </row>
    <row r="2426" spans="1:5" ht="15" x14ac:dyDescent="0.2">
      <c r="A2426" s="73">
        <v>41033</v>
      </c>
      <c r="B2426" s="70">
        <v>29.53</v>
      </c>
      <c r="C2426" s="85">
        <v>1555048</v>
      </c>
      <c r="D2426" s="88">
        <v>-3.3387888707037683E-2</v>
      </c>
      <c r="E2426" s="87"/>
    </row>
    <row r="2427" spans="1:5" ht="15" x14ac:dyDescent="0.2">
      <c r="A2427" s="73">
        <v>41032</v>
      </c>
      <c r="B2427" s="70">
        <v>30.55</v>
      </c>
      <c r="C2427" s="85">
        <v>1650143</v>
      </c>
      <c r="D2427" s="88">
        <v>1.2931034482758674E-2</v>
      </c>
      <c r="E2427" s="87"/>
    </row>
    <row r="2428" spans="1:5" ht="15" x14ac:dyDescent="0.2">
      <c r="A2428" s="73">
        <v>41031</v>
      </c>
      <c r="B2428" s="70">
        <v>30.16</v>
      </c>
      <c r="C2428" s="85">
        <v>1448555</v>
      </c>
      <c r="D2428" s="88">
        <v>1.123218776194479E-2</v>
      </c>
      <c r="E2428" s="87"/>
    </row>
    <row r="2429" spans="1:5" ht="15" x14ac:dyDescent="0.2">
      <c r="A2429" s="73">
        <v>41029</v>
      </c>
      <c r="B2429" s="70">
        <v>29.824999999999999</v>
      </c>
      <c r="C2429" s="85">
        <v>1245825</v>
      </c>
      <c r="D2429" s="88">
        <v>-2.0686258414053471E-2</v>
      </c>
      <c r="E2429" s="87"/>
    </row>
    <row r="2430" spans="1:5" ht="15" x14ac:dyDescent="0.2">
      <c r="A2430" s="73">
        <v>41026</v>
      </c>
      <c r="B2430" s="70">
        <v>30.454999999999998</v>
      </c>
      <c r="C2430" s="85">
        <v>1059168</v>
      </c>
      <c r="D2430" s="88">
        <v>5.6133399372626513E-3</v>
      </c>
      <c r="E2430" s="87"/>
    </row>
    <row r="2431" spans="1:5" ht="15" x14ac:dyDescent="0.2">
      <c r="A2431" s="73">
        <v>41025</v>
      </c>
      <c r="B2431" s="70">
        <v>30.285</v>
      </c>
      <c r="C2431" s="85">
        <v>1437416</v>
      </c>
      <c r="D2431" s="88">
        <v>-5.0919842312746599E-3</v>
      </c>
      <c r="E2431" s="87"/>
    </row>
    <row r="2432" spans="1:5" ht="15" x14ac:dyDescent="0.2">
      <c r="A2432" s="73">
        <v>41024</v>
      </c>
      <c r="B2432" s="70">
        <v>30.44</v>
      </c>
      <c r="C2432" s="85">
        <v>1580650</v>
      </c>
      <c r="D2432" s="88">
        <v>2.3365271474197424E-2</v>
      </c>
      <c r="E2432" s="87"/>
    </row>
    <row r="2433" spans="1:5" ht="15" x14ac:dyDescent="0.2">
      <c r="A2433" s="73">
        <v>41023</v>
      </c>
      <c r="B2433" s="70">
        <v>29.745000000000001</v>
      </c>
      <c r="C2433" s="85">
        <v>1427562</v>
      </c>
      <c r="D2433" s="88">
        <v>1.6923076923077041E-2</v>
      </c>
      <c r="E2433" s="87"/>
    </row>
    <row r="2434" spans="1:5" ht="15" x14ac:dyDescent="0.2">
      <c r="A2434" s="73">
        <v>41022</v>
      </c>
      <c r="B2434" s="70">
        <v>29.25</v>
      </c>
      <c r="C2434" s="85">
        <v>2118328</v>
      </c>
      <c r="D2434" s="88">
        <v>-4.3648847474252128E-2</v>
      </c>
      <c r="E2434" s="87"/>
    </row>
    <row r="2435" spans="1:5" ht="15" x14ac:dyDescent="0.2">
      <c r="A2435" s="73">
        <v>41019</v>
      </c>
      <c r="B2435" s="70">
        <v>30.585000000000001</v>
      </c>
      <c r="C2435" s="85">
        <v>1695334</v>
      </c>
      <c r="D2435" s="88">
        <v>-8.5899513776337422E-3</v>
      </c>
      <c r="E2435" s="87"/>
    </row>
    <row r="2436" spans="1:5" ht="15" x14ac:dyDescent="0.2">
      <c r="A2436" s="73">
        <v>41018</v>
      </c>
      <c r="B2436" s="70">
        <v>30.85</v>
      </c>
      <c r="C2436" s="85">
        <v>2874880</v>
      </c>
      <c r="D2436" s="88">
        <v>6.8537859007833379E-3</v>
      </c>
      <c r="E2436" s="87"/>
    </row>
    <row r="2437" spans="1:5" ht="15" x14ac:dyDescent="0.2">
      <c r="A2437" s="73">
        <v>41017</v>
      </c>
      <c r="B2437" s="70">
        <v>30.64</v>
      </c>
      <c r="C2437" s="85">
        <v>994504</v>
      </c>
      <c r="D2437" s="88">
        <v>-1.049572097529472E-2</v>
      </c>
      <c r="E2437" s="87"/>
    </row>
    <row r="2438" spans="1:5" ht="15" x14ac:dyDescent="0.2">
      <c r="A2438" s="73">
        <v>41016</v>
      </c>
      <c r="B2438" s="70">
        <v>30.965</v>
      </c>
      <c r="C2438" s="85">
        <v>1355322</v>
      </c>
      <c r="D2438" s="88">
        <v>9.6185197261167144E-3</v>
      </c>
      <c r="E2438" s="87"/>
    </row>
    <row r="2439" spans="1:5" ht="15" x14ac:dyDescent="0.2">
      <c r="A2439" s="73">
        <v>41015</v>
      </c>
      <c r="B2439" s="70">
        <v>30.67</v>
      </c>
      <c r="C2439" s="85">
        <v>1530324</v>
      </c>
      <c r="D2439" s="88">
        <v>1.4890800794176151E-2</v>
      </c>
      <c r="E2439" s="87"/>
    </row>
    <row r="2440" spans="1:5" ht="15" x14ac:dyDescent="0.2">
      <c r="A2440" s="73">
        <v>41012</v>
      </c>
      <c r="B2440" s="70">
        <v>30.22</v>
      </c>
      <c r="C2440" s="85">
        <v>1765586</v>
      </c>
      <c r="D2440" s="88">
        <v>-2.2006472491909346E-2</v>
      </c>
      <c r="E2440" s="87"/>
    </row>
    <row r="2441" spans="1:5" ht="15" x14ac:dyDescent="0.2">
      <c r="A2441" s="73">
        <v>41011</v>
      </c>
      <c r="B2441" s="70">
        <v>30.9</v>
      </c>
      <c r="C2441" s="85">
        <v>2590006</v>
      </c>
      <c r="D2441" s="88">
        <v>2.8799733644081948E-2</v>
      </c>
      <c r="E2441" s="87"/>
    </row>
    <row r="2442" spans="1:5" ht="15" x14ac:dyDescent="0.2">
      <c r="A2442" s="73">
        <v>41010</v>
      </c>
      <c r="B2442" s="70">
        <v>30.035</v>
      </c>
      <c r="C2442" s="85">
        <v>3365594</v>
      </c>
      <c r="D2442" s="88">
        <v>1.0428931875525516E-2</v>
      </c>
      <c r="E2442" s="87"/>
    </row>
    <row r="2443" spans="1:5" ht="15" x14ac:dyDescent="0.2">
      <c r="A2443" s="73">
        <v>41009</v>
      </c>
      <c r="B2443" s="70">
        <v>29.725000000000001</v>
      </c>
      <c r="C2443" s="85">
        <v>2296381</v>
      </c>
      <c r="D2443" s="88">
        <v>-3.1285644451686356E-2</v>
      </c>
      <c r="E2443" s="87"/>
    </row>
    <row r="2444" spans="1:5" ht="15" x14ac:dyDescent="0.2">
      <c r="A2444" s="73">
        <v>41004</v>
      </c>
      <c r="B2444" s="70">
        <v>30.684999999999999</v>
      </c>
      <c r="C2444" s="85">
        <v>1929668</v>
      </c>
      <c r="D2444" s="88">
        <v>1.037207770826476E-2</v>
      </c>
      <c r="E2444" s="87"/>
    </row>
    <row r="2445" spans="1:5" ht="15" x14ac:dyDescent="0.2">
      <c r="A2445" s="73">
        <v>41003</v>
      </c>
      <c r="B2445" s="70">
        <v>30.37</v>
      </c>
      <c r="C2445" s="85">
        <v>2309611</v>
      </c>
      <c r="D2445" s="88">
        <v>-2.5665704202759043E-2</v>
      </c>
      <c r="E2445" s="87"/>
    </row>
    <row r="2446" spans="1:5" ht="15" x14ac:dyDescent="0.2">
      <c r="A2446" s="73">
        <v>41002</v>
      </c>
      <c r="B2446" s="70">
        <v>31.17</v>
      </c>
      <c r="C2446" s="85">
        <v>1903572</v>
      </c>
      <c r="D2446" s="88">
        <v>7.1082390953149943E-3</v>
      </c>
      <c r="E2446" s="87"/>
    </row>
    <row r="2447" spans="1:5" ht="15" x14ac:dyDescent="0.2">
      <c r="A2447" s="73">
        <v>41001</v>
      </c>
      <c r="B2447" s="70">
        <v>30.95</v>
      </c>
      <c r="C2447" s="85">
        <v>1960924</v>
      </c>
      <c r="D2447" s="88">
        <v>7.9791564891711353E-3</v>
      </c>
      <c r="E2447" s="87"/>
    </row>
    <row r="2448" spans="1:5" ht="15" x14ac:dyDescent="0.2">
      <c r="A2448" s="73">
        <v>40998</v>
      </c>
      <c r="B2448" s="70">
        <v>30.704999999999998</v>
      </c>
      <c r="C2448" s="85">
        <v>1848093</v>
      </c>
      <c r="D2448" s="88">
        <v>1.2530915086562233E-2</v>
      </c>
      <c r="E2448" s="87"/>
    </row>
    <row r="2449" spans="1:5" ht="15" x14ac:dyDescent="0.2">
      <c r="A2449" s="73">
        <v>40997</v>
      </c>
      <c r="B2449" s="70">
        <v>30.324999999999999</v>
      </c>
      <c r="C2449" s="85">
        <v>2327566</v>
      </c>
      <c r="D2449" s="88">
        <v>-1.2054080469131812E-2</v>
      </c>
      <c r="E2449" s="87"/>
    </row>
    <row r="2450" spans="1:5" ht="15" x14ac:dyDescent="0.2">
      <c r="A2450" s="73">
        <v>40996</v>
      </c>
      <c r="B2450" s="70">
        <v>30.695</v>
      </c>
      <c r="C2450" s="85">
        <v>1518241</v>
      </c>
      <c r="D2450" s="88">
        <v>-3.4090909090909172E-3</v>
      </c>
      <c r="E2450" s="87"/>
    </row>
    <row r="2451" spans="1:5" ht="15" x14ac:dyDescent="0.2">
      <c r="A2451" s="73">
        <v>40995</v>
      </c>
      <c r="B2451" s="70">
        <v>30.8</v>
      </c>
      <c r="C2451" s="85">
        <v>1444299</v>
      </c>
      <c r="D2451" s="88">
        <v>-1.7825311942959443E-3</v>
      </c>
      <c r="E2451" s="87"/>
    </row>
    <row r="2452" spans="1:5" ht="15" x14ac:dyDescent="0.2">
      <c r="A2452" s="73">
        <v>40994</v>
      </c>
      <c r="B2452" s="70">
        <v>30.855</v>
      </c>
      <c r="C2452" s="85">
        <v>1102621</v>
      </c>
      <c r="D2452" s="88">
        <v>1.2967826657912074E-2</v>
      </c>
      <c r="E2452" s="87"/>
    </row>
    <row r="2453" spans="1:5" ht="15" x14ac:dyDescent="0.2">
      <c r="A2453" s="73">
        <v>40991</v>
      </c>
      <c r="B2453" s="70">
        <v>30.46</v>
      </c>
      <c r="C2453" s="85">
        <v>1359640</v>
      </c>
      <c r="D2453" s="88">
        <v>7.2751322751323233E-3</v>
      </c>
      <c r="E2453" s="87"/>
    </row>
    <row r="2454" spans="1:5" ht="15" x14ac:dyDescent="0.2">
      <c r="A2454" s="73">
        <v>40990</v>
      </c>
      <c r="B2454" s="70">
        <v>30.24</v>
      </c>
      <c r="C2454" s="85">
        <v>1723545</v>
      </c>
      <c r="D2454" s="88">
        <v>-1.6745244675662518E-2</v>
      </c>
      <c r="E2454" s="87"/>
    </row>
    <row r="2455" spans="1:5" ht="15" x14ac:dyDescent="0.2">
      <c r="A2455" s="73">
        <v>40989</v>
      </c>
      <c r="B2455" s="70">
        <v>30.754999999999999</v>
      </c>
      <c r="C2455" s="85">
        <v>1225208</v>
      </c>
      <c r="D2455" s="88">
        <v>1.0348226018396689E-2</v>
      </c>
      <c r="E2455" s="87"/>
    </row>
    <row r="2456" spans="1:5" ht="15" x14ac:dyDescent="0.2">
      <c r="A2456" s="73">
        <v>40988</v>
      </c>
      <c r="B2456" s="70">
        <v>30.44</v>
      </c>
      <c r="C2456" s="85">
        <v>1390500</v>
      </c>
      <c r="D2456" s="88">
        <v>3.7922506183019067E-3</v>
      </c>
      <c r="E2456" s="87"/>
    </row>
    <row r="2457" spans="1:5" ht="15" x14ac:dyDescent="0.2">
      <c r="A2457" s="73">
        <v>40987</v>
      </c>
      <c r="B2457" s="70">
        <v>30.324999999999999</v>
      </c>
      <c r="C2457" s="85">
        <v>2372745</v>
      </c>
      <c r="D2457" s="88">
        <v>-2.4919614147909996E-2</v>
      </c>
      <c r="E2457" s="87"/>
    </row>
    <row r="2458" spans="1:5" ht="15" x14ac:dyDescent="0.2">
      <c r="A2458" s="73">
        <v>40984</v>
      </c>
      <c r="B2458" s="70">
        <v>31.1</v>
      </c>
      <c r="C2458" s="85">
        <v>3011455</v>
      </c>
      <c r="D2458" s="88">
        <v>9.248742495537865E-3</v>
      </c>
      <c r="E2458" s="87"/>
    </row>
    <row r="2459" spans="1:5" ht="15" x14ac:dyDescent="0.2">
      <c r="A2459" s="73">
        <v>40983</v>
      </c>
      <c r="B2459" s="70">
        <v>30.815000000000001</v>
      </c>
      <c r="C2459" s="85">
        <v>1994916</v>
      </c>
      <c r="D2459" s="88">
        <v>8.5092456226476543E-3</v>
      </c>
      <c r="E2459" s="87"/>
    </row>
    <row r="2460" spans="1:5" ht="15" x14ac:dyDescent="0.2">
      <c r="A2460" s="73">
        <v>40982</v>
      </c>
      <c r="B2460" s="70">
        <v>30.555</v>
      </c>
      <c r="C2460" s="85">
        <v>2073541</v>
      </c>
      <c r="D2460" s="88">
        <v>1.0082644628099269E-2</v>
      </c>
      <c r="E2460" s="87"/>
    </row>
    <row r="2461" spans="1:5" ht="15" x14ac:dyDescent="0.2">
      <c r="A2461" s="73">
        <v>40981</v>
      </c>
      <c r="B2461" s="70">
        <v>30.25</v>
      </c>
      <c r="C2461" s="85">
        <v>1978684</v>
      </c>
      <c r="D2461" s="88">
        <v>1.8518518518518601E-2</v>
      </c>
      <c r="E2461" s="87"/>
    </row>
    <row r="2462" spans="1:5" ht="15" x14ac:dyDescent="0.2">
      <c r="A2462" s="73">
        <v>40980</v>
      </c>
      <c r="B2462" s="70">
        <v>29.7</v>
      </c>
      <c r="C2462" s="85">
        <v>2527761</v>
      </c>
      <c r="D2462" s="88">
        <v>-1.19760479041916E-2</v>
      </c>
      <c r="E2462" s="87"/>
    </row>
    <row r="2463" spans="1:5" ht="15" x14ac:dyDescent="0.2">
      <c r="A2463" s="73">
        <v>40977</v>
      </c>
      <c r="B2463" s="70">
        <v>30.06</v>
      </c>
      <c r="C2463" s="85">
        <v>3404542</v>
      </c>
      <c r="D2463" s="88">
        <v>1.0759919300605159E-2</v>
      </c>
      <c r="E2463" s="87"/>
    </row>
    <row r="2464" spans="1:5" ht="15" x14ac:dyDescent="0.2">
      <c r="A2464" s="73">
        <v>40976</v>
      </c>
      <c r="B2464" s="70">
        <v>29.74</v>
      </c>
      <c r="C2464" s="85">
        <v>6425704</v>
      </c>
      <c r="D2464" s="88">
        <v>0.10784131123114182</v>
      </c>
      <c r="E2464" s="87"/>
    </row>
    <row r="2465" spans="1:5" ht="15" x14ac:dyDescent="0.2">
      <c r="A2465" s="73">
        <v>40975</v>
      </c>
      <c r="B2465" s="70">
        <v>26.844999999999999</v>
      </c>
      <c r="C2465" s="85">
        <v>1444173</v>
      </c>
      <c r="D2465" s="88">
        <v>1.4933837429111474E-2</v>
      </c>
      <c r="E2465" s="87"/>
    </row>
    <row r="2466" spans="1:5" ht="15" x14ac:dyDescent="0.2">
      <c r="A2466" s="73">
        <v>40974</v>
      </c>
      <c r="B2466" s="70">
        <v>26.45</v>
      </c>
      <c r="C2466" s="85">
        <v>1419276</v>
      </c>
      <c r="D2466" s="88">
        <v>-3.7131416090280256E-2</v>
      </c>
      <c r="E2466" s="87"/>
    </row>
    <row r="2467" spans="1:5" ht="15" x14ac:dyDescent="0.2">
      <c r="A2467" s="73">
        <v>40973</v>
      </c>
      <c r="B2467" s="70">
        <v>27.47</v>
      </c>
      <c r="C2467" s="85">
        <v>898614</v>
      </c>
      <c r="D2467" s="88">
        <v>-6.5099457504520508E-3</v>
      </c>
      <c r="E2467" s="87"/>
    </row>
    <row r="2468" spans="1:5" ht="15" x14ac:dyDescent="0.2">
      <c r="A2468" s="73">
        <v>40970</v>
      </c>
      <c r="B2468" s="70">
        <v>27.65</v>
      </c>
      <c r="C2468" s="85">
        <v>1214152</v>
      </c>
      <c r="D2468" s="88">
        <v>-1.4260249554367332E-2</v>
      </c>
      <c r="E2468" s="87"/>
    </row>
    <row r="2469" spans="1:5" ht="15" x14ac:dyDescent="0.2">
      <c r="A2469" s="73">
        <v>40969</v>
      </c>
      <c r="B2469" s="70">
        <v>28.05</v>
      </c>
      <c r="C2469" s="85">
        <v>1323632</v>
      </c>
      <c r="D2469" s="88">
        <v>2.8791490922428054E-2</v>
      </c>
      <c r="E2469" s="87"/>
    </row>
    <row r="2470" spans="1:5" ht="15" x14ac:dyDescent="0.2">
      <c r="A2470" s="73">
        <v>40968</v>
      </c>
      <c r="B2470" s="70">
        <v>27.265000000000001</v>
      </c>
      <c r="C2470" s="85">
        <v>1148823</v>
      </c>
      <c r="D2470" s="88">
        <v>2.7583670467083987E-3</v>
      </c>
      <c r="E2470" s="87"/>
    </row>
    <row r="2471" spans="1:5" ht="15" x14ac:dyDescent="0.2">
      <c r="A2471" s="73">
        <v>40967</v>
      </c>
      <c r="B2471" s="70">
        <v>27.19</v>
      </c>
      <c r="C2471" s="85">
        <v>890411</v>
      </c>
      <c r="D2471" s="88">
        <v>9.2030185900981998E-4</v>
      </c>
      <c r="E2471" s="87"/>
    </row>
    <row r="2472" spans="1:5" ht="15" x14ac:dyDescent="0.2">
      <c r="A2472" s="73">
        <v>40966</v>
      </c>
      <c r="B2472" s="70">
        <v>27.164999999999999</v>
      </c>
      <c r="C2472" s="85">
        <v>667975</v>
      </c>
      <c r="D2472" s="88">
        <v>3.8802660753880502E-3</v>
      </c>
      <c r="E2472" s="87"/>
    </row>
    <row r="2473" spans="1:5" ht="15" x14ac:dyDescent="0.2">
      <c r="A2473" s="73">
        <v>40963</v>
      </c>
      <c r="B2473" s="70">
        <v>27.06</v>
      </c>
      <c r="C2473" s="85">
        <v>950634</v>
      </c>
      <c r="D2473" s="88">
        <v>-8.6096354643708795E-3</v>
      </c>
      <c r="E2473" s="87"/>
    </row>
    <row r="2474" spans="1:5" ht="15" x14ac:dyDescent="0.2">
      <c r="A2474" s="73">
        <v>40962</v>
      </c>
      <c r="B2474" s="70">
        <v>27.295000000000002</v>
      </c>
      <c r="C2474" s="85">
        <v>1112549</v>
      </c>
      <c r="D2474" s="88">
        <v>4.7855696668508418E-3</v>
      </c>
      <c r="E2474" s="87"/>
    </row>
    <row r="2475" spans="1:5" ht="15" x14ac:dyDescent="0.2">
      <c r="A2475" s="73">
        <v>40961</v>
      </c>
      <c r="B2475" s="70">
        <v>27.164999999999999</v>
      </c>
      <c r="C2475" s="85">
        <v>934879</v>
      </c>
      <c r="D2475" s="88">
        <v>6.1111111111111782E-3</v>
      </c>
      <c r="E2475" s="87"/>
    </row>
    <row r="2476" spans="1:5" ht="15" x14ac:dyDescent="0.2">
      <c r="A2476" s="73">
        <v>40960</v>
      </c>
      <c r="B2476" s="70">
        <v>27</v>
      </c>
      <c r="C2476" s="85">
        <v>1119109</v>
      </c>
      <c r="D2476" s="88">
        <v>-2.5858884373846092E-3</v>
      </c>
      <c r="E2476" s="87"/>
    </row>
    <row r="2477" spans="1:5" ht="15" x14ac:dyDescent="0.2">
      <c r="A2477" s="73">
        <v>40959</v>
      </c>
      <c r="B2477" s="70">
        <v>27.07</v>
      </c>
      <c r="C2477" s="85">
        <v>894991</v>
      </c>
      <c r="D2477" s="88">
        <v>-1.8436578171091567E-3</v>
      </c>
      <c r="E2477" s="87"/>
    </row>
    <row r="2478" spans="1:5" ht="15" x14ac:dyDescent="0.2">
      <c r="A2478" s="73">
        <v>40956</v>
      </c>
      <c r="B2478" s="70">
        <v>27.12</v>
      </c>
      <c r="C2478" s="85">
        <v>1011000</v>
      </c>
      <c r="D2478" s="88">
        <v>8.5533655634064676E-3</v>
      </c>
      <c r="E2478" s="87"/>
    </row>
    <row r="2479" spans="1:5" ht="15" x14ac:dyDescent="0.2">
      <c r="A2479" s="73">
        <v>40955</v>
      </c>
      <c r="B2479" s="70">
        <v>26.89</v>
      </c>
      <c r="C2479" s="85">
        <v>1040933</v>
      </c>
      <c r="D2479" s="88">
        <v>-5.3634177917514236E-3</v>
      </c>
      <c r="E2479" s="87"/>
    </row>
    <row r="2480" spans="1:5" ht="15" x14ac:dyDescent="0.2">
      <c r="A2480" s="73">
        <v>40954</v>
      </c>
      <c r="B2480" s="70">
        <v>27.035</v>
      </c>
      <c r="C2480" s="85">
        <v>833145</v>
      </c>
      <c r="D2480" s="88">
        <v>1.667284179325712E-3</v>
      </c>
      <c r="E2480" s="87"/>
    </row>
    <row r="2481" spans="1:5" ht="15" x14ac:dyDescent="0.2">
      <c r="A2481" s="73">
        <v>40953</v>
      </c>
      <c r="B2481" s="70">
        <v>26.99</v>
      </c>
      <c r="C2481" s="85">
        <v>749507</v>
      </c>
      <c r="D2481" s="88">
        <v>-2.2181146025879173E-3</v>
      </c>
      <c r="E2481" s="87"/>
    </row>
    <row r="2482" spans="1:5" ht="15" x14ac:dyDescent="0.2">
      <c r="A2482" s="73">
        <v>40952</v>
      </c>
      <c r="B2482" s="70">
        <v>27.05</v>
      </c>
      <c r="C2482" s="85">
        <v>774750</v>
      </c>
      <c r="D2482" s="88">
        <v>1.1214953271028172E-2</v>
      </c>
      <c r="E2482" s="87"/>
    </row>
    <row r="2483" spans="1:5" ht="15" x14ac:dyDescent="0.2">
      <c r="A2483" s="73">
        <v>40949</v>
      </c>
      <c r="B2483" s="70">
        <v>26.75</v>
      </c>
      <c r="C2483" s="85">
        <v>756600</v>
      </c>
      <c r="D2483" s="88">
        <v>-2.9817368617218731E-3</v>
      </c>
      <c r="E2483" s="87"/>
    </row>
    <row r="2484" spans="1:5" ht="15" x14ac:dyDescent="0.2">
      <c r="A2484" s="73">
        <v>40948</v>
      </c>
      <c r="B2484" s="70">
        <v>26.83</v>
      </c>
      <c r="C2484" s="85">
        <v>1784527</v>
      </c>
      <c r="D2484" s="88">
        <v>1.41750141750141E-2</v>
      </c>
      <c r="E2484" s="87"/>
    </row>
    <row r="2485" spans="1:5" ht="15" x14ac:dyDescent="0.2">
      <c r="A2485" s="73">
        <v>40947</v>
      </c>
      <c r="B2485" s="70">
        <v>26.454999999999998</v>
      </c>
      <c r="C2485" s="85">
        <v>1477695</v>
      </c>
      <c r="D2485" s="88">
        <v>-1.8549434242255636E-2</v>
      </c>
      <c r="E2485" s="87"/>
    </row>
    <row r="2486" spans="1:5" ht="15" x14ac:dyDescent="0.2">
      <c r="A2486" s="73">
        <v>40946</v>
      </c>
      <c r="B2486" s="70">
        <v>26.954999999999998</v>
      </c>
      <c r="C2486" s="85">
        <v>775466</v>
      </c>
      <c r="D2486" s="88">
        <v>-1.0099155343371358E-2</v>
      </c>
      <c r="E2486" s="87"/>
    </row>
    <row r="2487" spans="1:5" ht="15" x14ac:dyDescent="0.2">
      <c r="A2487" s="73">
        <v>40945</v>
      </c>
      <c r="B2487" s="70">
        <v>27.23</v>
      </c>
      <c r="C2487" s="85">
        <v>1469732</v>
      </c>
      <c r="D2487" s="88">
        <v>-1.125635439360928E-2</v>
      </c>
      <c r="E2487" s="87"/>
    </row>
    <row r="2488" spans="1:5" ht="15" x14ac:dyDescent="0.2">
      <c r="A2488" s="73">
        <v>40942</v>
      </c>
      <c r="B2488" s="70">
        <v>27.54</v>
      </c>
      <c r="C2488" s="85">
        <v>2894178</v>
      </c>
      <c r="D2488" s="88">
        <v>6.0862865947611589E-2</v>
      </c>
      <c r="E2488" s="87"/>
    </row>
    <row r="2489" spans="1:5" ht="15" x14ac:dyDescent="0.2">
      <c r="A2489" s="73">
        <v>40941</v>
      </c>
      <c r="B2489" s="70">
        <v>25.96</v>
      </c>
      <c r="C2489" s="85">
        <v>1255122</v>
      </c>
      <c r="D2489" s="88">
        <v>1.9264110961292324E-4</v>
      </c>
      <c r="E2489" s="87"/>
    </row>
    <row r="2490" spans="1:5" ht="15" x14ac:dyDescent="0.2">
      <c r="A2490" s="73">
        <v>40940</v>
      </c>
      <c r="B2490" s="70">
        <v>25.954999999999998</v>
      </c>
      <c r="C2490" s="85">
        <v>1543984</v>
      </c>
      <c r="D2490" s="88">
        <v>1.0708722741432863E-2</v>
      </c>
      <c r="E2490" s="87"/>
    </row>
    <row r="2491" spans="1:5" ht="15" x14ac:dyDescent="0.2">
      <c r="A2491" s="73">
        <v>40939</v>
      </c>
      <c r="B2491" s="70">
        <v>25.68</v>
      </c>
      <c r="C2491" s="85">
        <v>1957311</v>
      </c>
      <c r="D2491" s="88">
        <v>1.1820330969267268E-2</v>
      </c>
      <c r="E2491" s="87"/>
    </row>
    <row r="2492" spans="1:5" ht="15" x14ac:dyDescent="0.2">
      <c r="A2492" s="73">
        <v>40938</v>
      </c>
      <c r="B2492" s="70">
        <v>25.38</v>
      </c>
      <c r="C2492" s="85">
        <v>1557321</v>
      </c>
      <c r="D2492" s="88">
        <v>-8.9808668488872145E-3</v>
      </c>
      <c r="E2492" s="87"/>
    </row>
    <row r="2493" spans="1:5" ht="15" x14ac:dyDescent="0.2">
      <c r="A2493" s="73">
        <v>40935</v>
      </c>
      <c r="B2493" s="70">
        <v>25.61</v>
      </c>
      <c r="C2493" s="85">
        <v>1837179</v>
      </c>
      <c r="D2493" s="88">
        <v>6.4845745726076487E-3</v>
      </c>
      <c r="E2493" s="87"/>
    </row>
    <row r="2494" spans="1:5" ht="15" x14ac:dyDescent="0.2">
      <c r="A2494" s="73">
        <v>40934</v>
      </c>
      <c r="B2494" s="70">
        <v>25.445</v>
      </c>
      <c r="C2494" s="85">
        <v>1823406</v>
      </c>
      <c r="D2494" s="88">
        <v>-1.4141805501743487E-2</v>
      </c>
      <c r="E2494" s="87"/>
    </row>
    <row r="2495" spans="1:5" ht="15" x14ac:dyDescent="0.2">
      <c r="A2495" s="73">
        <v>40933</v>
      </c>
      <c r="B2495" s="70">
        <v>25.81</v>
      </c>
      <c r="C2495" s="85">
        <v>1738042</v>
      </c>
      <c r="D2495" s="88">
        <v>-6.160954948016939E-3</v>
      </c>
      <c r="E2495" s="87"/>
    </row>
    <row r="2496" spans="1:5" ht="15" x14ac:dyDescent="0.2">
      <c r="A2496" s="73">
        <v>40932</v>
      </c>
      <c r="B2496" s="70">
        <v>25.97</v>
      </c>
      <c r="C2496" s="85">
        <v>1193026</v>
      </c>
      <c r="D2496" s="88">
        <v>1.2673035679469757E-2</v>
      </c>
      <c r="E2496" s="87"/>
    </row>
    <row r="2497" spans="1:5" ht="15" x14ac:dyDescent="0.2">
      <c r="A2497" s="73">
        <v>40931</v>
      </c>
      <c r="B2497" s="70">
        <v>25.645</v>
      </c>
      <c r="C2497" s="85">
        <v>1234162</v>
      </c>
      <c r="D2497" s="88">
        <v>-1.9493177387908123E-4</v>
      </c>
      <c r="E2497" s="87"/>
    </row>
    <row r="2498" spans="1:5" ht="15" x14ac:dyDescent="0.2">
      <c r="A2498" s="73">
        <v>40928</v>
      </c>
      <c r="B2498" s="70">
        <v>25.65</v>
      </c>
      <c r="C2498" s="85">
        <v>1947437</v>
      </c>
      <c r="D2498" s="88">
        <v>4.8971596474045587E-3</v>
      </c>
      <c r="E2498" s="87"/>
    </row>
    <row r="2499" spans="1:5" ht="15" x14ac:dyDescent="0.2">
      <c r="A2499" s="73">
        <v>40927</v>
      </c>
      <c r="B2499" s="70">
        <v>25.524999999999999</v>
      </c>
      <c r="C2499" s="85">
        <v>2559988</v>
      </c>
      <c r="D2499" s="88">
        <v>-1.3145176879953646E-2</v>
      </c>
      <c r="E2499" s="87"/>
    </row>
    <row r="2500" spans="1:5" ht="15" x14ac:dyDescent="0.2">
      <c r="A2500" s="73">
        <v>40926</v>
      </c>
      <c r="B2500" s="70">
        <v>25.864999999999998</v>
      </c>
      <c r="C2500" s="85">
        <v>1835223</v>
      </c>
      <c r="D2500" s="88">
        <v>2.9081039162466293E-3</v>
      </c>
      <c r="E2500" s="87"/>
    </row>
    <row r="2501" spans="1:5" ht="15" x14ac:dyDescent="0.2">
      <c r="A2501" s="73">
        <v>40925</v>
      </c>
      <c r="B2501" s="70">
        <v>25.79</v>
      </c>
      <c r="C2501" s="85">
        <v>1867802</v>
      </c>
      <c r="D2501" s="88">
        <v>4.4790652385588992E-3</v>
      </c>
      <c r="E2501" s="87"/>
    </row>
    <row r="2502" spans="1:5" ht="15" x14ac:dyDescent="0.2">
      <c r="A2502" s="73">
        <v>40924</v>
      </c>
      <c r="B2502" s="70">
        <v>25.675000000000001</v>
      </c>
      <c r="C2502" s="85">
        <v>1185409</v>
      </c>
      <c r="D2502" s="88">
        <v>2.0874751491053667E-2</v>
      </c>
      <c r="E2502" s="87"/>
    </row>
    <row r="2503" spans="1:5" ht="15" x14ac:dyDescent="0.2">
      <c r="A2503" s="73">
        <v>40921</v>
      </c>
      <c r="B2503" s="70">
        <v>25.15</v>
      </c>
      <c r="C2503" s="85">
        <v>2141930</v>
      </c>
      <c r="D2503" s="88">
        <v>4.5935690033951371E-3</v>
      </c>
      <c r="E2503" s="87"/>
    </row>
    <row r="2504" spans="1:5" ht="15" x14ac:dyDescent="0.2">
      <c r="A2504" s="73">
        <v>40920</v>
      </c>
      <c r="B2504" s="70">
        <v>25.035</v>
      </c>
      <c r="C2504" s="85">
        <v>1402965</v>
      </c>
      <c r="D2504" s="88">
        <v>-5.3635280095352122E-3</v>
      </c>
      <c r="E2504" s="87"/>
    </row>
    <row r="2505" spans="1:5" ht="15" x14ac:dyDescent="0.2">
      <c r="A2505" s="73">
        <v>40919</v>
      </c>
      <c r="B2505" s="70">
        <v>25.17</v>
      </c>
      <c r="C2505" s="85">
        <v>1541233</v>
      </c>
      <c r="D2505" s="88">
        <v>5.5932880543347885E-3</v>
      </c>
      <c r="E2505" s="87"/>
    </row>
    <row r="2506" spans="1:5" ht="15" x14ac:dyDescent="0.2">
      <c r="A2506" s="73">
        <v>40918</v>
      </c>
      <c r="B2506" s="70">
        <v>25.03</v>
      </c>
      <c r="C2506" s="85">
        <v>1199185</v>
      </c>
      <c r="D2506" s="88">
        <v>6.6358335009049085E-3</v>
      </c>
      <c r="E2506" s="87"/>
    </row>
    <row r="2507" spans="1:5" ht="15" x14ac:dyDescent="0.2">
      <c r="A2507" s="73">
        <v>40917</v>
      </c>
      <c r="B2507" s="70">
        <v>24.864999999999998</v>
      </c>
      <c r="C2507" s="85">
        <v>1067315</v>
      </c>
      <c r="D2507" s="88">
        <v>4.0379567938622074E-3</v>
      </c>
      <c r="E2507" s="87"/>
    </row>
    <row r="2508" spans="1:5" ht="15" x14ac:dyDescent="0.2">
      <c r="A2508" s="73">
        <v>40914</v>
      </c>
      <c r="B2508" s="70">
        <v>24.765000000000001</v>
      </c>
      <c r="C2508" s="85">
        <v>1561995</v>
      </c>
      <c r="D2508" s="88">
        <v>-5.0220972278023357E-3</v>
      </c>
      <c r="E2508" s="87"/>
    </row>
    <row r="2509" spans="1:5" ht="15" x14ac:dyDescent="0.2">
      <c r="A2509" s="73">
        <v>40913</v>
      </c>
      <c r="B2509" s="70">
        <v>24.89</v>
      </c>
      <c r="C2509" s="85">
        <v>2412476</v>
      </c>
      <c r="D2509" s="88">
        <v>1.3230205577040577E-2</v>
      </c>
      <c r="E2509" s="87"/>
    </row>
    <row r="2510" spans="1:5" ht="15" x14ac:dyDescent="0.2">
      <c r="A2510" s="73">
        <v>40912</v>
      </c>
      <c r="B2510" s="70">
        <v>24.565000000000001</v>
      </c>
      <c r="C2510" s="85">
        <v>1580817</v>
      </c>
      <c r="D2510" s="88">
        <v>2.6530612244899388E-3</v>
      </c>
      <c r="E2510" s="87"/>
    </row>
    <row r="2511" spans="1:5" ht="15" x14ac:dyDescent="0.2">
      <c r="A2511" s="73">
        <v>40911</v>
      </c>
      <c r="B2511" s="70">
        <v>24.5</v>
      </c>
      <c r="C2511" s="85">
        <v>1417588</v>
      </c>
      <c r="D2511" s="88">
        <v>0</v>
      </c>
      <c r="E2511" s="87"/>
    </row>
    <row r="2512" spans="1:5" ht="15" x14ac:dyDescent="0.2">
      <c r="A2512" s="73">
        <v>40910</v>
      </c>
      <c r="B2512" s="70">
        <v>24.5</v>
      </c>
      <c r="C2512" s="85">
        <v>632206</v>
      </c>
      <c r="D2512" s="88">
        <v>1.449275362318847E-2</v>
      </c>
      <c r="E2512" s="87"/>
    </row>
    <row r="2513" spans="1:5" ht="15" x14ac:dyDescent="0.2">
      <c r="A2513" s="73">
        <v>40907</v>
      </c>
      <c r="B2513" s="70">
        <v>24.15</v>
      </c>
      <c r="C2513" s="85">
        <v>685247</v>
      </c>
      <c r="D2513" s="88">
        <v>2.9069767441860517E-3</v>
      </c>
      <c r="E2513" s="87"/>
    </row>
    <row r="2514" spans="1:5" ht="15" x14ac:dyDescent="0.2">
      <c r="A2514" s="73">
        <v>40906</v>
      </c>
      <c r="B2514" s="70">
        <v>24.08</v>
      </c>
      <c r="C2514" s="85">
        <v>751412</v>
      </c>
      <c r="D2514" s="88">
        <v>2.0338983050847359E-2</v>
      </c>
      <c r="E2514" s="87"/>
    </row>
    <row r="2515" spans="1:5" ht="15" x14ac:dyDescent="0.2">
      <c r="A2515" s="73">
        <v>40905</v>
      </c>
      <c r="B2515" s="70">
        <v>23.6</v>
      </c>
      <c r="C2515" s="85">
        <v>680795</v>
      </c>
      <c r="D2515" s="88">
        <v>4.2390843577799764E-4</v>
      </c>
      <c r="E2515" s="87"/>
    </row>
    <row r="2516" spans="1:5" ht="15" x14ac:dyDescent="0.2">
      <c r="A2516" s="73">
        <v>40904</v>
      </c>
      <c r="B2516" s="70">
        <v>23.59</v>
      </c>
      <c r="C2516" s="85">
        <v>423522</v>
      </c>
      <c r="D2516" s="88">
        <v>-4.2372881355934311E-4</v>
      </c>
      <c r="E2516" s="87"/>
    </row>
    <row r="2517" spans="1:5" ht="15" x14ac:dyDescent="0.2">
      <c r="A2517" s="73">
        <v>40900</v>
      </c>
      <c r="B2517" s="70">
        <v>23.6</v>
      </c>
      <c r="C2517" s="85">
        <v>614732</v>
      </c>
      <c r="D2517" s="88">
        <v>-1.9031507718333396E-3</v>
      </c>
      <c r="E2517" s="87"/>
    </row>
    <row r="2518" spans="1:5" ht="15" x14ac:dyDescent="0.2">
      <c r="A2518" s="73">
        <v>40899</v>
      </c>
      <c r="B2518" s="70">
        <v>23.645</v>
      </c>
      <c r="C2518" s="85">
        <v>1024682</v>
      </c>
      <c r="D2518" s="88">
        <v>-1.6888325944690585E-3</v>
      </c>
      <c r="E2518" s="87"/>
    </row>
    <row r="2519" spans="1:5" ht="15" x14ac:dyDescent="0.2">
      <c r="A2519" s="73">
        <v>40898</v>
      </c>
      <c r="B2519" s="70">
        <v>23.684999999999999</v>
      </c>
      <c r="C2519" s="85">
        <v>2542205</v>
      </c>
      <c r="D2519" s="88">
        <v>3.6016949152541944E-3</v>
      </c>
      <c r="E2519" s="87"/>
    </row>
    <row r="2520" spans="1:5" ht="15" x14ac:dyDescent="0.2">
      <c r="A2520" s="73">
        <v>40897</v>
      </c>
      <c r="B2520" s="70">
        <v>23.6</v>
      </c>
      <c r="C2520" s="85">
        <v>2108747</v>
      </c>
      <c r="D2520" s="88">
        <v>3.5087719298245723E-2</v>
      </c>
      <c r="E2520" s="87"/>
    </row>
    <row r="2521" spans="1:5" ht="15" x14ac:dyDescent="0.2">
      <c r="A2521" s="73">
        <v>40896</v>
      </c>
      <c r="B2521" s="70">
        <v>22.8</v>
      </c>
      <c r="C2521" s="85">
        <v>1067347</v>
      </c>
      <c r="D2521" s="88">
        <v>6.6225165562914245E-3</v>
      </c>
      <c r="E2521" s="87"/>
    </row>
    <row r="2522" spans="1:5" ht="15" x14ac:dyDescent="0.2">
      <c r="A2522" s="73">
        <v>40893</v>
      </c>
      <c r="B2522" s="70">
        <v>22.65</v>
      </c>
      <c r="C2522" s="85">
        <v>2367268</v>
      </c>
      <c r="D2522" s="88">
        <v>-4.833040421792778E-3</v>
      </c>
      <c r="E2522" s="87"/>
    </row>
    <row r="2523" spans="1:5" ht="15" x14ac:dyDescent="0.2">
      <c r="A2523" s="73">
        <v>40892</v>
      </c>
      <c r="B2523" s="70">
        <v>22.76</v>
      </c>
      <c r="C2523" s="85">
        <v>1710287</v>
      </c>
      <c r="D2523" s="88">
        <v>2.7539503386004638E-2</v>
      </c>
      <c r="E2523" s="87"/>
    </row>
    <row r="2524" spans="1:5" ht="15" x14ac:dyDescent="0.2">
      <c r="A2524" s="73">
        <v>40891</v>
      </c>
      <c r="B2524" s="70">
        <v>22.15</v>
      </c>
      <c r="C2524" s="85">
        <v>1657011</v>
      </c>
      <c r="D2524" s="88">
        <v>-2.0994475138121582E-2</v>
      </c>
      <c r="E2524" s="87"/>
    </row>
    <row r="2525" spans="1:5" ht="15" x14ac:dyDescent="0.2">
      <c r="A2525" s="73">
        <v>40890</v>
      </c>
      <c r="B2525" s="70">
        <v>22.625</v>
      </c>
      <c r="C2525" s="85">
        <v>1668223</v>
      </c>
      <c r="D2525" s="88">
        <v>2.677558429770821E-2</v>
      </c>
      <c r="E2525" s="87"/>
    </row>
    <row r="2526" spans="1:5" ht="15" x14ac:dyDescent="0.2">
      <c r="A2526" s="73">
        <v>40889</v>
      </c>
      <c r="B2526" s="70">
        <v>22.035</v>
      </c>
      <c r="C2526" s="85">
        <v>990905</v>
      </c>
      <c r="D2526" s="88">
        <v>-1.6514170943985773E-2</v>
      </c>
      <c r="E2526" s="87"/>
    </row>
    <row r="2527" spans="1:5" ht="15" x14ac:dyDescent="0.2">
      <c r="A2527" s="73">
        <v>40886</v>
      </c>
      <c r="B2527" s="70">
        <v>22.405000000000001</v>
      </c>
      <c r="C2527" s="85">
        <v>1478529</v>
      </c>
      <c r="D2527" s="88">
        <v>2.6810265811182399E-2</v>
      </c>
      <c r="E2527" s="87"/>
    </row>
    <row r="2528" spans="1:5" ht="15" x14ac:dyDescent="0.2">
      <c r="A2528" s="73">
        <v>40885</v>
      </c>
      <c r="B2528" s="70">
        <v>21.82</v>
      </c>
      <c r="C2528" s="85">
        <v>1705044</v>
      </c>
      <c r="D2528" s="88">
        <v>0</v>
      </c>
      <c r="E2528" s="87"/>
    </row>
    <row r="2529" spans="1:5" ht="15" x14ac:dyDescent="0.2">
      <c r="A2529" s="73">
        <v>40884</v>
      </c>
      <c r="B2529" s="70">
        <v>21.82</v>
      </c>
      <c r="C2529" s="85">
        <v>1566971</v>
      </c>
      <c r="D2529" s="88">
        <v>-4.78905359179016E-3</v>
      </c>
      <c r="E2529" s="87"/>
    </row>
    <row r="2530" spans="1:5" ht="15" x14ac:dyDescent="0.2">
      <c r="A2530" s="73">
        <v>40883</v>
      </c>
      <c r="B2530" s="70">
        <v>21.925000000000001</v>
      </c>
      <c r="C2530" s="85">
        <v>1230357</v>
      </c>
      <c r="D2530" s="88">
        <v>-5.8943550215370122E-3</v>
      </c>
      <c r="E2530" s="87"/>
    </row>
    <row r="2531" spans="1:5" ht="15" x14ac:dyDescent="0.2">
      <c r="A2531" s="73">
        <v>40882</v>
      </c>
      <c r="B2531" s="70">
        <v>22.055</v>
      </c>
      <c r="C2531" s="85">
        <v>1364279</v>
      </c>
      <c r="D2531" s="88">
        <v>5.6999544003648595E-3</v>
      </c>
      <c r="E2531" s="87"/>
    </row>
    <row r="2532" spans="1:5" ht="15" x14ac:dyDescent="0.2">
      <c r="A2532" s="73">
        <v>40879</v>
      </c>
      <c r="B2532" s="70">
        <v>21.93</v>
      </c>
      <c r="C2532" s="85">
        <v>1722158</v>
      </c>
      <c r="D2532" s="88">
        <v>7.3495636196601044E-3</v>
      </c>
      <c r="E2532" s="87"/>
    </row>
    <row r="2533" spans="1:5" ht="15" x14ac:dyDescent="0.2">
      <c r="A2533" s="73">
        <v>40878</v>
      </c>
      <c r="B2533" s="70">
        <v>21.77</v>
      </c>
      <c r="C2533" s="85">
        <v>1374129</v>
      </c>
      <c r="D2533" s="88">
        <v>-1.9148456859653051E-2</v>
      </c>
      <c r="E2533" s="87"/>
    </row>
    <row r="2534" spans="1:5" ht="15" x14ac:dyDescent="0.2">
      <c r="A2534" s="73">
        <v>40877</v>
      </c>
      <c r="B2534" s="70">
        <v>22.195</v>
      </c>
      <c r="C2534" s="85">
        <v>2716230</v>
      </c>
      <c r="D2534" s="88">
        <v>3.7149532710280431E-2</v>
      </c>
      <c r="E2534" s="87"/>
    </row>
    <row r="2535" spans="1:5" ht="15" x14ac:dyDescent="0.2">
      <c r="A2535" s="73">
        <v>40876</v>
      </c>
      <c r="B2535" s="70">
        <v>21.4</v>
      </c>
      <c r="C2535" s="85">
        <v>2836752</v>
      </c>
      <c r="D2535" s="88">
        <v>1.6381933068101429E-3</v>
      </c>
      <c r="E2535" s="87"/>
    </row>
    <row r="2536" spans="1:5" ht="15" x14ac:dyDescent="0.2">
      <c r="A2536" s="73">
        <v>40875</v>
      </c>
      <c r="B2536" s="70">
        <v>21.364999999999998</v>
      </c>
      <c r="C2536" s="85">
        <v>1216415</v>
      </c>
      <c r="D2536" s="88">
        <v>2.9886719691491814E-2</v>
      </c>
      <c r="E2536" s="87"/>
    </row>
    <row r="2537" spans="1:5" ht="15" x14ac:dyDescent="0.2">
      <c r="A2537" s="73">
        <v>40872</v>
      </c>
      <c r="B2537" s="70">
        <v>20.745000000000001</v>
      </c>
      <c r="C2537" s="85">
        <v>1458056</v>
      </c>
      <c r="D2537" s="88">
        <v>2.4108003857303828E-4</v>
      </c>
      <c r="E2537" s="87"/>
    </row>
    <row r="2538" spans="1:5" ht="15" x14ac:dyDescent="0.2">
      <c r="A2538" s="73">
        <v>40871</v>
      </c>
      <c r="B2538" s="70">
        <v>20.74</v>
      </c>
      <c r="C2538" s="85">
        <v>1948141</v>
      </c>
      <c r="D2538" s="88">
        <v>2.7241208519068749E-2</v>
      </c>
      <c r="E2538" s="87"/>
    </row>
    <row r="2539" spans="1:5" ht="15" x14ac:dyDescent="0.2">
      <c r="A2539" s="73">
        <v>40870</v>
      </c>
      <c r="B2539" s="70">
        <v>20.190000000000001</v>
      </c>
      <c r="C2539" s="85">
        <v>1857417</v>
      </c>
      <c r="D2539" s="88">
        <v>-1.8712029161603749E-2</v>
      </c>
      <c r="E2539" s="87"/>
    </row>
    <row r="2540" spans="1:5" ht="15" x14ac:dyDescent="0.2">
      <c r="A2540" s="73">
        <v>40869</v>
      </c>
      <c r="B2540" s="70">
        <v>20.574999999999999</v>
      </c>
      <c r="C2540" s="85">
        <v>1917973</v>
      </c>
      <c r="D2540" s="88">
        <v>-1.0817307692307709E-2</v>
      </c>
      <c r="E2540" s="87"/>
    </row>
    <row r="2541" spans="1:5" ht="15" x14ac:dyDescent="0.2">
      <c r="A2541" s="73">
        <v>40868</v>
      </c>
      <c r="B2541" s="70">
        <v>20.8</v>
      </c>
      <c r="C2541" s="85">
        <v>1319771</v>
      </c>
      <c r="D2541" s="88">
        <v>-2.3703356019713628E-2</v>
      </c>
      <c r="E2541" s="87"/>
    </row>
    <row r="2542" spans="1:5" ht="15" x14ac:dyDescent="0.2">
      <c r="A2542" s="73">
        <v>40865</v>
      </c>
      <c r="B2542" s="70">
        <v>21.305</v>
      </c>
      <c r="C2542" s="85">
        <v>1751617</v>
      </c>
      <c r="D2542" s="88">
        <v>4.7158688988446773E-3</v>
      </c>
      <c r="E2542" s="87"/>
    </row>
    <row r="2543" spans="1:5" ht="15" x14ac:dyDescent="0.2">
      <c r="A2543" s="73">
        <v>40864</v>
      </c>
      <c r="B2543" s="70">
        <v>21.204999999999998</v>
      </c>
      <c r="C2543" s="85">
        <v>2222874</v>
      </c>
      <c r="D2543" s="88">
        <v>-3.6136363636363744E-2</v>
      </c>
      <c r="E2543" s="87"/>
    </row>
    <row r="2544" spans="1:5" ht="15" x14ac:dyDescent="0.2">
      <c r="A2544" s="73">
        <v>40863</v>
      </c>
      <c r="B2544" s="70">
        <v>22</v>
      </c>
      <c r="C2544" s="85">
        <v>1965741</v>
      </c>
      <c r="D2544" s="88">
        <v>4.5475216007284658E-4</v>
      </c>
      <c r="E2544" s="87"/>
    </row>
    <row r="2545" spans="1:5" ht="15" x14ac:dyDescent="0.2">
      <c r="A2545" s="73">
        <v>40862</v>
      </c>
      <c r="B2545" s="70">
        <v>21.99</v>
      </c>
      <c r="C2545" s="85">
        <v>2009821</v>
      </c>
      <c r="D2545" s="88">
        <v>-2.7210884353742193E-3</v>
      </c>
      <c r="E2545" s="87"/>
    </row>
    <row r="2546" spans="1:5" ht="15" x14ac:dyDescent="0.2">
      <c r="A2546" s="73">
        <v>40861</v>
      </c>
      <c r="B2546" s="70">
        <v>22.05</v>
      </c>
      <c r="C2546" s="85">
        <v>1767002</v>
      </c>
      <c r="D2546" s="88">
        <v>-9.6564114080395225E-3</v>
      </c>
      <c r="E2546" s="87"/>
    </row>
    <row r="2547" spans="1:5" ht="15" x14ac:dyDescent="0.2">
      <c r="A2547" s="73">
        <v>40858</v>
      </c>
      <c r="B2547" s="70">
        <v>22.265000000000001</v>
      </c>
      <c r="C2547" s="85">
        <v>3250147</v>
      </c>
      <c r="D2547" s="88">
        <v>6.1754887935145497E-2</v>
      </c>
      <c r="E2547" s="87"/>
    </row>
    <row r="2548" spans="1:5" ht="15" x14ac:dyDescent="0.2">
      <c r="A2548" s="73">
        <v>40857</v>
      </c>
      <c r="B2548" s="70">
        <v>20.97</v>
      </c>
      <c r="C2548" s="85">
        <v>5867574</v>
      </c>
      <c r="D2548" s="88">
        <v>5.0338091660405704E-2</v>
      </c>
      <c r="E2548" s="87"/>
    </row>
    <row r="2549" spans="1:5" ht="15" x14ac:dyDescent="0.2">
      <c r="A2549" s="73">
        <v>40856</v>
      </c>
      <c r="B2549" s="70">
        <v>19.965</v>
      </c>
      <c r="C2549" s="85">
        <v>3652109</v>
      </c>
      <c r="D2549" s="88">
        <v>-4.3363679923335008E-2</v>
      </c>
      <c r="E2549" s="87"/>
    </row>
    <row r="2550" spans="1:5" ht="15" x14ac:dyDescent="0.2">
      <c r="A2550" s="73">
        <v>40855</v>
      </c>
      <c r="B2550" s="70">
        <v>20.87</v>
      </c>
      <c r="C2550" s="85">
        <v>1806284</v>
      </c>
      <c r="D2550" s="88">
        <v>-1.6262078717888206E-2</v>
      </c>
      <c r="E2550" s="87"/>
    </row>
    <row r="2551" spans="1:5" ht="15" x14ac:dyDescent="0.2">
      <c r="A2551" s="73">
        <v>40854</v>
      </c>
      <c r="B2551" s="70">
        <v>21.215</v>
      </c>
      <c r="C2551" s="85">
        <v>1147295</v>
      </c>
      <c r="D2551" s="88">
        <v>-5.3914674167837573E-3</v>
      </c>
      <c r="E2551" s="87"/>
    </row>
    <row r="2552" spans="1:5" ht="15" x14ac:dyDescent="0.2">
      <c r="A2552" s="73">
        <v>40851</v>
      </c>
      <c r="B2552" s="70">
        <v>21.33</v>
      </c>
      <c r="C2552" s="85">
        <v>1299237</v>
      </c>
      <c r="D2552" s="88">
        <v>-1.4553014553014609E-2</v>
      </c>
      <c r="E2552" s="87"/>
    </row>
    <row r="2553" spans="1:5" ht="15" x14ac:dyDescent="0.2">
      <c r="A2553" s="73">
        <v>40850</v>
      </c>
      <c r="B2553" s="70">
        <v>21.645</v>
      </c>
      <c r="C2553" s="85">
        <v>2154708</v>
      </c>
      <c r="D2553" s="88">
        <v>1.6913319238900604E-2</v>
      </c>
      <c r="E2553" s="87"/>
    </row>
    <row r="2554" spans="1:5" ht="15" x14ac:dyDescent="0.2">
      <c r="A2554" s="73">
        <v>40849</v>
      </c>
      <c r="B2554" s="70">
        <v>21.285</v>
      </c>
      <c r="C2554" s="85">
        <v>1393042</v>
      </c>
      <c r="D2554" s="88">
        <v>9.2460881934566252E-3</v>
      </c>
      <c r="E2554" s="87"/>
    </row>
    <row r="2555" spans="1:5" ht="15" x14ac:dyDescent="0.2">
      <c r="A2555" s="73">
        <v>40848</v>
      </c>
      <c r="B2555" s="70">
        <v>21.09</v>
      </c>
      <c r="C2555" s="85">
        <v>3989542</v>
      </c>
      <c r="D2555" s="88">
        <v>-1.310248011230708E-2</v>
      </c>
      <c r="E2555" s="87"/>
    </row>
    <row r="2556" spans="1:5" ht="15" x14ac:dyDescent="0.2">
      <c r="A2556" s="73">
        <v>40847</v>
      </c>
      <c r="B2556" s="70">
        <v>21.37</v>
      </c>
      <c r="C2556" s="85">
        <v>1783703</v>
      </c>
      <c r="D2556" s="88">
        <v>9.3676814988286061E-4</v>
      </c>
      <c r="E2556" s="87"/>
    </row>
    <row r="2557" spans="1:5" ht="15" x14ac:dyDescent="0.2">
      <c r="A2557" s="73">
        <v>40844</v>
      </c>
      <c r="B2557" s="70">
        <v>21.35</v>
      </c>
      <c r="C2557" s="85">
        <v>1663624</v>
      </c>
      <c r="D2557" s="88">
        <v>-1.0199350950394037E-2</v>
      </c>
      <c r="E2557" s="87"/>
    </row>
    <row r="2558" spans="1:5" ht="15" x14ac:dyDescent="0.2">
      <c r="A2558" s="73">
        <v>40843</v>
      </c>
      <c r="B2558" s="70">
        <v>21.57</v>
      </c>
      <c r="C2558" s="85">
        <v>3060617</v>
      </c>
      <c r="D2558" s="88">
        <v>6.2038404726735719E-2</v>
      </c>
      <c r="E2558" s="87"/>
    </row>
    <row r="2559" spans="1:5" ht="15" x14ac:dyDescent="0.2">
      <c r="A2559" s="73">
        <v>40842</v>
      </c>
      <c r="B2559" s="70">
        <v>20.309999999999999</v>
      </c>
      <c r="C2559" s="85">
        <v>1904659</v>
      </c>
      <c r="D2559" s="88">
        <v>-3.2857142857142918E-2</v>
      </c>
      <c r="E2559" s="87"/>
    </row>
    <row r="2560" spans="1:5" ht="15" x14ac:dyDescent="0.2">
      <c r="A2560" s="73">
        <v>40841</v>
      </c>
      <c r="B2560" s="70">
        <v>21</v>
      </c>
      <c r="C2560" s="85">
        <v>1955070</v>
      </c>
      <c r="D2560" s="88">
        <v>2.1897810218977964E-2</v>
      </c>
      <c r="E2560" s="87"/>
    </row>
    <row r="2561" spans="1:5" ht="15" x14ac:dyDescent="0.2">
      <c r="A2561" s="73">
        <v>40840</v>
      </c>
      <c r="B2561" s="70">
        <v>20.55</v>
      </c>
      <c r="C2561" s="85">
        <v>1351696</v>
      </c>
      <c r="D2561" s="88">
        <v>9.8280098280096873E-3</v>
      </c>
      <c r="E2561" s="87"/>
    </row>
    <row r="2562" spans="1:5" ht="15" x14ac:dyDescent="0.2">
      <c r="A2562" s="73">
        <v>40837</v>
      </c>
      <c r="B2562" s="70">
        <v>20.350000000000001</v>
      </c>
      <c r="C2562" s="85">
        <v>3396529</v>
      </c>
      <c r="D2562" s="88">
        <v>1.3698630136986356E-2</v>
      </c>
      <c r="E2562" s="87"/>
    </row>
    <row r="2563" spans="1:5" ht="15" x14ac:dyDescent="0.2">
      <c r="A2563" s="73">
        <v>40836</v>
      </c>
      <c r="B2563" s="70">
        <v>20.074999999999999</v>
      </c>
      <c r="C2563" s="85">
        <v>3917117</v>
      </c>
      <c r="D2563" s="88">
        <v>-6.3666044776119479E-2</v>
      </c>
      <c r="E2563" s="87"/>
    </row>
    <row r="2564" spans="1:5" ht="15" x14ac:dyDescent="0.2">
      <c r="A2564" s="73">
        <v>40835</v>
      </c>
      <c r="B2564" s="70">
        <v>21.44</v>
      </c>
      <c r="C2564" s="85">
        <v>2367822</v>
      </c>
      <c r="D2564" s="88">
        <v>-4.2857142857142705E-2</v>
      </c>
      <c r="E2564" s="87"/>
    </row>
    <row r="2565" spans="1:5" ht="15" x14ac:dyDescent="0.2">
      <c r="A2565" s="73">
        <v>40834</v>
      </c>
      <c r="B2565" s="70">
        <v>22.4</v>
      </c>
      <c r="C2565" s="85">
        <v>1452576</v>
      </c>
      <c r="D2565" s="88">
        <v>1.8413275744487256E-2</v>
      </c>
      <c r="E2565" s="87"/>
    </row>
    <row r="2566" spans="1:5" ht="15" x14ac:dyDescent="0.2">
      <c r="A2566" s="73">
        <v>40833</v>
      </c>
      <c r="B2566" s="70">
        <v>21.995000000000001</v>
      </c>
      <c r="C2566" s="85">
        <v>1549853</v>
      </c>
      <c r="D2566" s="88">
        <v>-4.2655059847660493E-2</v>
      </c>
      <c r="E2566" s="87"/>
    </row>
    <row r="2567" spans="1:5" ht="15" x14ac:dyDescent="0.2">
      <c r="A2567" s="73">
        <v>40830</v>
      </c>
      <c r="B2567" s="70">
        <v>22.975000000000001</v>
      </c>
      <c r="C2567" s="85">
        <v>1615521</v>
      </c>
      <c r="D2567" s="88">
        <v>1.6817880061960722E-2</v>
      </c>
      <c r="E2567" s="87"/>
    </row>
    <row r="2568" spans="1:5" ht="15" x14ac:dyDescent="0.2">
      <c r="A2568" s="73">
        <v>40829</v>
      </c>
      <c r="B2568" s="70">
        <v>22.594999999999999</v>
      </c>
      <c r="C2568" s="85">
        <v>1624008</v>
      </c>
      <c r="D2568" s="88">
        <v>1.0961968680089473E-2</v>
      </c>
      <c r="E2568" s="87"/>
    </row>
    <row r="2569" spans="1:5" ht="15" x14ac:dyDescent="0.2">
      <c r="A2569" s="73">
        <v>40828</v>
      </c>
      <c r="B2569" s="70">
        <v>22.35</v>
      </c>
      <c r="C2569" s="85">
        <v>1874535</v>
      </c>
      <c r="D2569" s="88">
        <v>-2.4548091943762396E-3</v>
      </c>
      <c r="E2569" s="87"/>
    </row>
    <row r="2570" spans="1:5" ht="15" x14ac:dyDescent="0.2">
      <c r="A2570" s="73">
        <v>40827</v>
      </c>
      <c r="B2570" s="70">
        <v>22.405000000000001</v>
      </c>
      <c r="C2570" s="85">
        <v>1646679</v>
      </c>
      <c r="D2570" s="88">
        <v>2.7752293577981701E-2</v>
      </c>
      <c r="E2570" s="87"/>
    </row>
    <row r="2571" spans="1:5" ht="15" x14ac:dyDescent="0.2">
      <c r="A2571" s="73">
        <v>40826</v>
      </c>
      <c r="B2571" s="70">
        <v>21.8</v>
      </c>
      <c r="C2571" s="85">
        <v>1379310</v>
      </c>
      <c r="D2571" s="88">
        <v>3.8837264712890285E-2</v>
      </c>
      <c r="E2571" s="87"/>
    </row>
    <row r="2572" spans="1:5" ht="15" x14ac:dyDescent="0.2">
      <c r="A2572" s="73">
        <v>40823</v>
      </c>
      <c r="B2572" s="70">
        <v>20.984999999999999</v>
      </c>
      <c r="C2572" s="85">
        <v>1782955</v>
      </c>
      <c r="D2572" s="88">
        <v>-3.3172080165860374E-2</v>
      </c>
      <c r="E2572" s="87"/>
    </row>
    <row r="2573" spans="1:5" ht="15" x14ac:dyDescent="0.2">
      <c r="A2573" s="73">
        <v>40822</v>
      </c>
      <c r="B2573" s="70">
        <v>21.704999999999998</v>
      </c>
      <c r="C2573" s="85">
        <v>1893286</v>
      </c>
      <c r="D2573" s="88">
        <v>3.5543893129770909E-2</v>
      </c>
      <c r="E2573" s="87"/>
    </row>
    <row r="2574" spans="1:5" ht="15" x14ac:dyDescent="0.2">
      <c r="A2574" s="73">
        <v>40821</v>
      </c>
      <c r="B2574" s="70">
        <v>20.96</v>
      </c>
      <c r="C2574" s="85">
        <v>2402134</v>
      </c>
      <c r="D2574" s="88">
        <v>5.6984367120524571E-2</v>
      </c>
      <c r="E2574" s="87"/>
    </row>
    <row r="2575" spans="1:5" ht="15" x14ac:dyDescent="0.2">
      <c r="A2575" s="73">
        <v>40820</v>
      </c>
      <c r="B2575" s="70">
        <v>19.829999999999998</v>
      </c>
      <c r="C2575" s="85">
        <v>3793112</v>
      </c>
      <c r="D2575" s="88">
        <v>-5.2103250478011676E-2</v>
      </c>
      <c r="E2575" s="87"/>
    </row>
    <row r="2576" spans="1:5" ht="15" x14ac:dyDescent="0.2">
      <c r="A2576" s="73">
        <v>40819</v>
      </c>
      <c r="B2576" s="70">
        <v>20.92</v>
      </c>
      <c r="C2576" s="85">
        <v>1409265</v>
      </c>
      <c r="D2576" s="88">
        <v>-1.3440226361706942E-2</v>
      </c>
      <c r="E2576" s="87"/>
    </row>
    <row r="2577" spans="1:5" ht="15" x14ac:dyDescent="0.2">
      <c r="A2577" s="73">
        <v>40816</v>
      </c>
      <c r="B2577" s="70">
        <v>21.204999999999998</v>
      </c>
      <c r="C2577" s="85">
        <v>1560727</v>
      </c>
      <c r="D2577" s="88">
        <v>-1.7832329782306644E-2</v>
      </c>
      <c r="E2577" s="87"/>
    </row>
    <row r="2578" spans="1:5" ht="15" x14ac:dyDescent="0.2">
      <c r="A2578" s="73">
        <v>40815</v>
      </c>
      <c r="B2578" s="70">
        <v>21.59</v>
      </c>
      <c r="C2578" s="85">
        <v>1229512</v>
      </c>
      <c r="D2578" s="88">
        <v>1.5044663845792172E-2</v>
      </c>
      <c r="E2578" s="87"/>
    </row>
    <row r="2579" spans="1:5" ht="15" x14ac:dyDescent="0.2">
      <c r="A2579" s="73">
        <v>40814</v>
      </c>
      <c r="B2579" s="70">
        <v>21.27</v>
      </c>
      <c r="C2579" s="85">
        <v>1555215</v>
      </c>
      <c r="D2579" s="88">
        <v>9.4117647058822307E-4</v>
      </c>
      <c r="E2579" s="87"/>
    </row>
    <row r="2580" spans="1:5" ht="15" x14ac:dyDescent="0.2">
      <c r="A2580" s="73">
        <v>40813</v>
      </c>
      <c r="B2580" s="70">
        <v>21.25</v>
      </c>
      <c r="C2580" s="85">
        <v>2167333</v>
      </c>
      <c r="D2580" s="88">
        <v>4.4226044226044259E-2</v>
      </c>
      <c r="E2580" s="87"/>
    </row>
    <row r="2581" spans="1:5" ht="15" x14ac:dyDescent="0.2">
      <c r="A2581" s="73">
        <v>40812</v>
      </c>
      <c r="B2581" s="70">
        <v>20.350000000000001</v>
      </c>
      <c r="C2581" s="85">
        <v>2641844</v>
      </c>
      <c r="D2581" s="88">
        <v>-1.5957446808510523E-2</v>
      </c>
      <c r="E2581" s="87"/>
    </row>
    <row r="2582" spans="1:5" ht="15" x14ac:dyDescent="0.2">
      <c r="A2582" s="73">
        <v>40809</v>
      </c>
      <c r="B2582" s="70">
        <v>20.68</v>
      </c>
      <c r="C2582" s="85">
        <v>2788552</v>
      </c>
      <c r="D2582" s="88">
        <v>-1.0052656773575919E-2</v>
      </c>
      <c r="E2582" s="87"/>
    </row>
    <row r="2583" spans="1:5" ht="15" x14ac:dyDescent="0.2">
      <c r="A2583" s="73">
        <v>40808</v>
      </c>
      <c r="B2583" s="70">
        <v>20.89</v>
      </c>
      <c r="C2583" s="85">
        <v>4563747</v>
      </c>
      <c r="D2583" s="88">
        <v>-7.9127176548379863E-2</v>
      </c>
      <c r="E2583" s="87"/>
    </row>
    <row r="2584" spans="1:5" ht="15" x14ac:dyDescent="0.2">
      <c r="A2584" s="73">
        <v>40807</v>
      </c>
      <c r="B2584" s="70">
        <v>22.684999999999999</v>
      </c>
      <c r="C2584" s="85">
        <v>1922547</v>
      </c>
      <c r="D2584" s="88">
        <v>-9.1723083642717418E-3</v>
      </c>
      <c r="E2584" s="87"/>
    </row>
    <row r="2585" spans="1:5" ht="15" x14ac:dyDescent="0.2">
      <c r="A2585" s="73">
        <v>40806</v>
      </c>
      <c r="B2585" s="70">
        <v>22.895</v>
      </c>
      <c r="C2585" s="85">
        <v>2003710</v>
      </c>
      <c r="D2585" s="88">
        <v>3.1074082413870885E-2</v>
      </c>
      <c r="E2585" s="87"/>
    </row>
    <row r="2586" spans="1:5" ht="15" x14ac:dyDescent="0.2">
      <c r="A2586" s="73">
        <v>40805</v>
      </c>
      <c r="B2586" s="70">
        <v>22.204999999999998</v>
      </c>
      <c r="C2586" s="85">
        <v>1801701</v>
      </c>
      <c r="D2586" s="88">
        <v>4.7511312217192181E-3</v>
      </c>
      <c r="E2586" s="87"/>
    </row>
    <row r="2587" spans="1:5" ht="15" x14ac:dyDescent="0.2">
      <c r="A2587" s="73">
        <v>40802</v>
      </c>
      <c r="B2587" s="70">
        <v>22.1</v>
      </c>
      <c r="C2587" s="85">
        <v>3516660</v>
      </c>
      <c r="D2587" s="88">
        <v>-7.1877807726864473E-3</v>
      </c>
      <c r="E2587" s="87"/>
    </row>
    <row r="2588" spans="1:5" ht="15" x14ac:dyDescent="0.2">
      <c r="A2588" s="73">
        <v>40801</v>
      </c>
      <c r="B2588" s="70">
        <v>22.26</v>
      </c>
      <c r="C2588" s="85">
        <v>2481482</v>
      </c>
      <c r="D2588" s="88">
        <v>2.3683605426534804E-2</v>
      </c>
      <c r="E2588" s="87"/>
    </row>
    <row r="2589" spans="1:5" ht="15" x14ac:dyDescent="0.2">
      <c r="A2589" s="73">
        <v>40800</v>
      </c>
      <c r="B2589" s="70">
        <v>21.745000000000001</v>
      </c>
      <c r="C2589" s="85">
        <v>1948210</v>
      </c>
      <c r="D2589" s="88">
        <v>2.5707547169811384E-2</v>
      </c>
      <c r="E2589" s="87"/>
    </row>
    <row r="2590" spans="1:5" ht="15" x14ac:dyDescent="0.2">
      <c r="A2590" s="73">
        <v>40799</v>
      </c>
      <c r="B2590" s="70">
        <v>21.2</v>
      </c>
      <c r="C2590" s="85">
        <v>3124876</v>
      </c>
      <c r="D2590" s="88">
        <v>-1.0270774976657404E-2</v>
      </c>
      <c r="E2590" s="87"/>
    </row>
    <row r="2591" spans="1:5" ht="15" x14ac:dyDescent="0.2">
      <c r="A2591" s="73">
        <v>40798</v>
      </c>
      <c r="B2591" s="70">
        <v>21.42</v>
      </c>
      <c r="C2591" s="85">
        <v>2432999</v>
      </c>
      <c r="D2591" s="88">
        <v>3.2786885245901232E-3</v>
      </c>
      <c r="E2591" s="87"/>
    </row>
    <row r="2592" spans="1:5" ht="15" x14ac:dyDescent="0.2">
      <c r="A2592" s="73">
        <v>40795</v>
      </c>
      <c r="B2592" s="70">
        <v>21.35</v>
      </c>
      <c r="C2592" s="85">
        <v>2294737</v>
      </c>
      <c r="D2592" s="88">
        <v>-1.3401109057301297E-2</v>
      </c>
      <c r="E2592" s="87"/>
    </row>
    <row r="2593" spans="1:5" ht="15" x14ac:dyDescent="0.2">
      <c r="A2593" s="73">
        <v>40794</v>
      </c>
      <c r="B2593" s="70">
        <v>21.64</v>
      </c>
      <c r="C2593" s="85">
        <v>1269052</v>
      </c>
      <c r="D2593" s="88">
        <v>-1.0742857142857165E-2</v>
      </c>
      <c r="E2593" s="87"/>
    </row>
    <row r="2594" spans="1:5" ht="15" x14ac:dyDescent="0.2">
      <c r="A2594" s="73">
        <v>40793</v>
      </c>
      <c r="B2594" s="70">
        <v>21.875</v>
      </c>
      <c r="C2594" s="85">
        <v>2787021</v>
      </c>
      <c r="D2594" s="88">
        <v>7.0729319627998111E-2</v>
      </c>
      <c r="E2594" s="87"/>
    </row>
    <row r="2595" spans="1:5" ht="15" x14ac:dyDescent="0.2">
      <c r="A2595" s="73">
        <v>40792</v>
      </c>
      <c r="B2595" s="70">
        <v>20.43</v>
      </c>
      <c r="C2595" s="85">
        <v>2195084</v>
      </c>
      <c r="D2595" s="88">
        <v>2.6993865030675579E-3</v>
      </c>
      <c r="E2595" s="87"/>
    </row>
    <row r="2596" spans="1:5" ht="15" x14ac:dyDescent="0.2">
      <c r="A2596" s="73">
        <v>40791</v>
      </c>
      <c r="B2596" s="70">
        <v>20.375</v>
      </c>
      <c r="C2596" s="85">
        <v>1803422</v>
      </c>
      <c r="D2596" s="88">
        <v>-4.3202629725287656E-2</v>
      </c>
      <c r="E2596" s="87"/>
    </row>
    <row r="2597" spans="1:5" ht="15" x14ac:dyDescent="0.2">
      <c r="A2597" s="73">
        <v>40788</v>
      </c>
      <c r="B2597" s="70">
        <v>21.295000000000002</v>
      </c>
      <c r="C2597" s="85">
        <v>1540472</v>
      </c>
      <c r="D2597" s="88">
        <v>-3.7731586082241142E-2</v>
      </c>
      <c r="E2597" s="87"/>
    </row>
    <row r="2598" spans="1:5" ht="15" x14ac:dyDescent="0.2">
      <c r="A2598" s="73">
        <v>40787</v>
      </c>
      <c r="B2598" s="70">
        <v>22.13</v>
      </c>
      <c r="C2598" s="85">
        <v>1251059</v>
      </c>
      <c r="D2598" s="88">
        <v>2.0375820692777324E-3</v>
      </c>
      <c r="E2598" s="87"/>
    </row>
    <row r="2599" spans="1:5" ht="15" x14ac:dyDescent="0.2">
      <c r="A2599" s="73">
        <v>40786</v>
      </c>
      <c r="B2599" s="70">
        <v>22.085000000000001</v>
      </c>
      <c r="C2599" s="85">
        <v>2355938</v>
      </c>
      <c r="D2599" s="88">
        <v>3.9294117647058924E-2</v>
      </c>
      <c r="E2599" s="87"/>
    </row>
    <row r="2600" spans="1:5" ht="15" x14ac:dyDescent="0.2">
      <c r="A2600" s="73">
        <v>40785</v>
      </c>
      <c r="B2600" s="70">
        <v>21.25</v>
      </c>
      <c r="C2600" s="85">
        <v>1623675</v>
      </c>
      <c r="D2600" s="88">
        <v>-3.2833020637899057E-3</v>
      </c>
      <c r="E2600" s="87"/>
    </row>
    <row r="2601" spans="1:5" ht="15" x14ac:dyDescent="0.2">
      <c r="A2601" s="73">
        <v>40784</v>
      </c>
      <c r="B2601" s="70">
        <v>21.32</v>
      </c>
      <c r="C2601" s="85">
        <v>725069</v>
      </c>
      <c r="D2601" s="88">
        <v>1.4513442778967489E-2</v>
      </c>
      <c r="E2601" s="87"/>
    </row>
    <row r="2602" spans="1:5" ht="15" x14ac:dyDescent="0.2">
      <c r="A2602" s="73">
        <v>40781</v>
      </c>
      <c r="B2602" s="70">
        <v>21.015000000000001</v>
      </c>
      <c r="C2602" s="85">
        <v>2077917</v>
      </c>
      <c r="D2602" s="88">
        <v>-1.7531556802244053E-2</v>
      </c>
      <c r="E2602" s="87"/>
    </row>
    <row r="2603" spans="1:5" ht="15" x14ac:dyDescent="0.2">
      <c r="A2603" s="73">
        <v>40780</v>
      </c>
      <c r="B2603" s="70">
        <v>21.39</v>
      </c>
      <c r="C2603" s="85">
        <v>1582959</v>
      </c>
      <c r="D2603" s="88">
        <v>-1.6777752240864086E-2</v>
      </c>
      <c r="E2603" s="87"/>
    </row>
    <row r="2604" spans="1:5" ht="15" x14ac:dyDescent="0.2">
      <c r="A2604" s="73">
        <v>40779</v>
      </c>
      <c r="B2604" s="70">
        <v>21.754999999999999</v>
      </c>
      <c r="C2604" s="85">
        <v>1661494</v>
      </c>
      <c r="D2604" s="88">
        <v>2.2321428571428381E-2</v>
      </c>
      <c r="E2604" s="87"/>
    </row>
    <row r="2605" spans="1:5" ht="15" x14ac:dyDescent="0.2">
      <c r="A2605" s="73">
        <v>40778</v>
      </c>
      <c r="B2605" s="70">
        <v>21.28</v>
      </c>
      <c r="C2605" s="85">
        <v>1593896</v>
      </c>
      <c r="D2605" s="88">
        <v>9.2482807683187396E-3</v>
      </c>
      <c r="E2605" s="87"/>
    </row>
    <row r="2606" spans="1:5" ht="15" x14ac:dyDescent="0.2">
      <c r="A2606" s="73">
        <v>40777</v>
      </c>
      <c r="B2606" s="70">
        <v>21.085000000000001</v>
      </c>
      <c r="C2606" s="85">
        <v>1466072</v>
      </c>
      <c r="D2606" s="88">
        <v>1.5166104959075666E-2</v>
      </c>
      <c r="E2606" s="87"/>
    </row>
    <row r="2607" spans="1:5" ht="15" x14ac:dyDescent="0.2">
      <c r="A2607" s="73">
        <v>40774</v>
      </c>
      <c r="B2607" s="70">
        <v>20.77</v>
      </c>
      <c r="C2607" s="85">
        <v>2521210</v>
      </c>
      <c r="D2607" s="88">
        <v>-6.2200956937799035E-3</v>
      </c>
      <c r="E2607" s="87"/>
    </row>
    <row r="2608" spans="1:5" ht="15" x14ac:dyDescent="0.2">
      <c r="A2608" s="73">
        <v>40773</v>
      </c>
      <c r="B2608" s="70">
        <v>20.9</v>
      </c>
      <c r="C2608" s="85">
        <v>3041564</v>
      </c>
      <c r="D2608" s="88">
        <v>-7.5221238938053214E-2</v>
      </c>
      <c r="E2608" s="87"/>
    </row>
    <row r="2609" spans="1:5" ht="15" x14ac:dyDescent="0.2">
      <c r="A2609" s="73">
        <v>40772</v>
      </c>
      <c r="B2609" s="70">
        <v>22.6</v>
      </c>
      <c r="C2609" s="85">
        <v>2208873</v>
      </c>
      <c r="D2609" s="88">
        <v>3.669724770642202E-2</v>
      </c>
      <c r="E2609" s="87"/>
    </row>
    <row r="2610" spans="1:5" ht="15" x14ac:dyDescent="0.2">
      <c r="A2610" s="73">
        <v>40771</v>
      </c>
      <c r="B2610" s="70">
        <v>21.8</v>
      </c>
      <c r="C2610" s="85">
        <v>2072165</v>
      </c>
      <c r="D2610" s="88">
        <v>-9.5411176737846271E-3</v>
      </c>
      <c r="E2610" s="87"/>
    </row>
    <row r="2611" spans="1:5" ht="15" x14ac:dyDescent="0.2">
      <c r="A2611" s="73">
        <v>40770</v>
      </c>
      <c r="B2611" s="70">
        <v>22.01</v>
      </c>
      <c r="C2611" s="85">
        <v>1755689</v>
      </c>
      <c r="D2611" s="88">
        <v>3.0913348946135732E-2</v>
      </c>
      <c r="E2611" s="87"/>
    </row>
    <row r="2612" spans="1:5" ht="15" x14ac:dyDescent="0.2">
      <c r="A2612" s="73">
        <v>40767</v>
      </c>
      <c r="B2612" s="70">
        <v>21.35</v>
      </c>
      <c r="C2612" s="85">
        <v>2218980</v>
      </c>
      <c r="D2612" s="88">
        <v>3.3147834502782692E-2</v>
      </c>
      <c r="E2612" s="87"/>
    </row>
    <row r="2613" spans="1:5" ht="15" x14ac:dyDescent="0.2">
      <c r="A2613" s="73">
        <v>40766</v>
      </c>
      <c r="B2613" s="70">
        <v>20.664999999999999</v>
      </c>
      <c r="C2613" s="85">
        <v>4028729</v>
      </c>
      <c r="D2613" s="88">
        <v>3.7920642893018552E-2</v>
      </c>
      <c r="E2613" s="87"/>
    </row>
    <row r="2614" spans="1:5" ht="15" x14ac:dyDescent="0.2">
      <c r="A2614" s="73">
        <v>40765</v>
      </c>
      <c r="B2614" s="70">
        <v>19.91</v>
      </c>
      <c r="C2614" s="85">
        <v>4311701</v>
      </c>
      <c r="D2614" s="88">
        <v>-2.8543547206635766E-2</v>
      </c>
      <c r="E2614" s="87"/>
    </row>
    <row r="2615" spans="1:5" ht="15" x14ac:dyDescent="0.2">
      <c r="A2615" s="73">
        <v>40764</v>
      </c>
      <c r="B2615" s="70">
        <v>20.495000000000001</v>
      </c>
      <c r="C2615" s="85">
        <v>6224431</v>
      </c>
      <c r="D2615" s="88">
        <v>3.4578495709237878E-2</v>
      </c>
      <c r="E2615" s="87"/>
    </row>
    <row r="2616" spans="1:5" ht="15" x14ac:dyDescent="0.2">
      <c r="A2616" s="73">
        <v>40763</v>
      </c>
      <c r="B2616" s="70">
        <v>19.809999999999999</v>
      </c>
      <c r="C2616" s="85">
        <v>5113272</v>
      </c>
      <c r="D2616" s="88">
        <v>-8.6254612546125542E-2</v>
      </c>
      <c r="E2616" s="87"/>
    </row>
    <row r="2617" spans="1:5" ht="15" x14ac:dyDescent="0.2">
      <c r="A2617" s="73">
        <v>40760</v>
      </c>
      <c r="B2617" s="70">
        <v>21.68</v>
      </c>
      <c r="C2617" s="85">
        <v>6116622</v>
      </c>
      <c r="D2617" s="88">
        <v>1.5218918286115546E-2</v>
      </c>
      <c r="E2617" s="87"/>
    </row>
    <row r="2618" spans="1:5" ht="15" x14ac:dyDescent="0.2">
      <c r="A2618" s="73">
        <v>40759</v>
      </c>
      <c r="B2618" s="70">
        <v>21.355</v>
      </c>
      <c r="C2618" s="85">
        <v>4079032</v>
      </c>
      <c r="D2618" s="88">
        <v>-6.0492740871095463E-2</v>
      </c>
      <c r="E2618" s="87"/>
    </row>
    <row r="2619" spans="1:5" ht="15" x14ac:dyDescent="0.2">
      <c r="A2619" s="73">
        <v>40758</v>
      </c>
      <c r="B2619" s="70">
        <v>22.73</v>
      </c>
      <c r="C2619" s="85">
        <v>3129395</v>
      </c>
      <c r="D2619" s="88">
        <v>-3.4204376460590602E-2</v>
      </c>
      <c r="E2619" s="87"/>
    </row>
    <row r="2620" spans="1:5" ht="15" x14ac:dyDescent="0.2">
      <c r="A2620" s="73">
        <v>40757</v>
      </c>
      <c r="B2620" s="70">
        <v>23.535</v>
      </c>
      <c r="C2620" s="85">
        <v>2397229</v>
      </c>
      <c r="D2620" s="88">
        <v>-1.7532874139010612E-2</v>
      </c>
      <c r="E2620" s="87"/>
    </row>
    <row r="2621" spans="1:5" ht="15" x14ac:dyDescent="0.2">
      <c r="A2621" s="73">
        <v>40756</v>
      </c>
      <c r="B2621" s="70">
        <v>23.954999999999998</v>
      </c>
      <c r="C2621" s="85">
        <v>1879955</v>
      </c>
      <c r="D2621" s="88">
        <v>-1.0123966942148788E-2</v>
      </c>
      <c r="E2621" s="87"/>
    </row>
    <row r="2622" spans="1:5" ht="15" x14ac:dyDescent="0.2">
      <c r="A2622" s="73">
        <v>40753</v>
      </c>
      <c r="B2622" s="70">
        <v>24.2</v>
      </c>
      <c r="C2622" s="85">
        <v>2336289</v>
      </c>
      <c r="D2622" s="88">
        <v>-4.115226337448652E-3</v>
      </c>
      <c r="E2622" s="87"/>
    </row>
    <row r="2623" spans="1:5" ht="15" x14ac:dyDescent="0.2">
      <c r="A2623" s="73">
        <v>40752</v>
      </c>
      <c r="B2623" s="70">
        <v>24.3</v>
      </c>
      <c r="C2623" s="85">
        <v>1954247</v>
      </c>
      <c r="D2623" s="88">
        <v>-1.2330456226878894E-3</v>
      </c>
      <c r="E2623" s="87"/>
    </row>
    <row r="2624" spans="1:5" ht="15" x14ac:dyDescent="0.2">
      <c r="A2624" s="73">
        <v>40751</v>
      </c>
      <c r="B2624" s="70">
        <v>24.33</v>
      </c>
      <c r="C2624" s="85">
        <v>1822057</v>
      </c>
      <c r="D2624" s="88">
        <v>-6.1274509803922461E-3</v>
      </c>
      <c r="E2624" s="87"/>
    </row>
    <row r="2625" spans="1:5" ht="15" x14ac:dyDescent="0.2">
      <c r="A2625" s="73">
        <v>40750</v>
      </c>
      <c r="B2625" s="70">
        <v>24.48</v>
      </c>
      <c r="C2625" s="85">
        <v>2382372</v>
      </c>
      <c r="D2625" s="88">
        <v>-2.2364217252396124E-2</v>
      </c>
      <c r="E2625" s="87"/>
    </row>
    <row r="2626" spans="1:5" ht="15" x14ac:dyDescent="0.2">
      <c r="A2626" s="73">
        <v>40749</v>
      </c>
      <c r="B2626" s="70">
        <v>25.04</v>
      </c>
      <c r="C2626" s="85">
        <v>1454358</v>
      </c>
      <c r="D2626" s="88">
        <v>8.2544795651298131E-3</v>
      </c>
      <c r="E2626" s="87"/>
    </row>
    <row r="2627" spans="1:5" ht="15" x14ac:dyDescent="0.2">
      <c r="A2627" s="73">
        <v>40746</v>
      </c>
      <c r="B2627" s="70">
        <v>24.835000000000001</v>
      </c>
      <c r="C2627" s="85">
        <v>1590706</v>
      </c>
      <c r="D2627" s="88">
        <v>-1.4073180538801688E-3</v>
      </c>
      <c r="E2627" s="87"/>
    </row>
    <row r="2628" spans="1:5" ht="15" x14ac:dyDescent="0.2">
      <c r="A2628" s="73">
        <v>40745</v>
      </c>
      <c r="B2628" s="70">
        <v>24.87</v>
      </c>
      <c r="C2628" s="85">
        <v>2737461</v>
      </c>
      <c r="D2628" s="88">
        <v>3.2271077047196783E-3</v>
      </c>
      <c r="E2628" s="87"/>
    </row>
    <row r="2629" spans="1:5" ht="15" x14ac:dyDescent="0.2">
      <c r="A2629" s="73">
        <v>40744</v>
      </c>
      <c r="B2629" s="70">
        <v>24.79</v>
      </c>
      <c r="C2629" s="85">
        <v>4007421</v>
      </c>
      <c r="D2629" s="88">
        <v>3.5938152946092705E-2</v>
      </c>
      <c r="E2629" s="87"/>
    </row>
    <row r="2630" spans="1:5" ht="15" x14ac:dyDescent="0.2">
      <c r="A2630" s="73">
        <v>40743</v>
      </c>
      <c r="B2630" s="70">
        <v>23.93</v>
      </c>
      <c r="C2630" s="85">
        <v>1663875</v>
      </c>
      <c r="D2630" s="88">
        <v>7.1548821548821362E-3</v>
      </c>
      <c r="E2630" s="87"/>
    </row>
    <row r="2631" spans="1:5" ht="15" x14ac:dyDescent="0.2">
      <c r="A2631" s="73">
        <v>40742</v>
      </c>
      <c r="B2631" s="70">
        <v>23.76</v>
      </c>
      <c r="C2631" s="85">
        <v>2053102</v>
      </c>
      <c r="D2631" s="88">
        <v>2.1088148460566281E-3</v>
      </c>
      <c r="E2631" s="87"/>
    </row>
    <row r="2632" spans="1:5" ht="15" x14ac:dyDescent="0.2">
      <c r="A2632" s="73">
        <v>40739</v>
      </c>
      <c r="B2632" s="70">
        <v>23.71</v>
      </c>
      <c r="C2632" s="85">
        <v>2260077</v>
      </c>
      <c r="D2632" s="88">
        <v>-3.3627574611180266E-3</v>
      </c>
      <c r="E2632" s="87"/>
    </row>
    <row r="2633" spans="1:5" ht="15" x14ac:dyDescent="0.2">
      <c r="A2633" s="73">
        <v>40738</v>
      </c>
      <c r="B2633" s="70">
        <v>23.79</v>
      </c>
      <c r="C2633" s="85">
        <v>1778416</v>
      </c>
      <c r="D2633" s="88">
        <v>-1.2658227848101222E-2</v>
      </c>
      <c r="E2633" s="87"/>
    </row>
    <row r="2634" spans="1:5" ht="15" x14ac:dyDescent="0.2">
      <c r="A2634" s="73">
        <v>40737</v>
      </c>
      <c r="B2634" s="70">
        <v>24.094999999999999</v>
      </c>
      <c r="C2634" s="85">
        <v>2650233</v>
      </c>
      <c r="D2634" s="88">
        <v>3.8801465833153692E-2</v>
      </c>
      <c r="E2634" s="87"/>
    </row>
    <row r="2635" spans="1:5" ht="15" x14ac:dyDescent="0.2">
      <c r="A2635" s="73">
        <v>40736</v>
      </c>
      <c r="B2635" s="70">
        <v>23.195</v>
      </c>
      <c r="C2635" s="85">
        <v>3926644</v>
      </c>
      <c r="D2635" s="88">
        <v>6.5090041223692108E-3</v>
      </c>
      <c r="E2635" s="87"/>
    </row>
    <row r="2636" spans="1:5" ht="15" x14ac:dyDescent="0.2">
      <c r="A2636" s="73">
        <v>40735</v>
      </c>
      <c r="B2636" s="70">
        <v>23.045000000000002</v>
      </c>
      <c r="C2636" s="85">
        <v>2367462</v>
      </c>
      <c r="D2636" s="88">
        <v>-3.4594594594593575E-3</v>
      </c>
      <c r="E2636" s="87"/>
    </row>
    <row r="2637" spans="1:5" ht="15" x14ac:dyDescent="0.2">
      <c r="A2637" s="73">
        <v>40732</v>
      </c>
      <c r="B2637" s="70">
        <v>23.125</v>
      </c>
      <c r="C2637" s="85">
        <v>1904702</v>
      </c>
      <c r="D2637" s="88">
        <v>-1.1118238186871965E-2</v>
      </c>
      <c r="E2637" s="87"/>
    </row>
    <row r="2638" spans="1:5" ht="15" x14ac:dyDescent="0.2">
      <c r="A2638" s="73">
        <v>40731</v>
      </c>
      <c r="B2638" s="70">
        <v>23.385000000000002</v>
      </c>
      <c r="C2638" s="85">
        <v>1409184</v>
      </c>
      <c r="D2638" s="88">
        <v>-2.1376656690885731E-4</v>
      </c>
      <c r="E2638" s="87"/>
    </row>
    <row r="2639" spans="1:5" ht="15" x14ac:dyDescent="0.2">
      <c r="A2639" s="73">
        <v>40730</v>
      </c>
      <c r="B2639" s="70">
        <v>23.39</v>
      </c>
      <c r="C2639" s="85">
        <v>1619935</v>
      </c>
      <c r="D2639" s="88">
        <v>-6.7940552016985123E-3</v>
      </c>
      <c r="E2639" s="87"/>
    </row>
    <row r="2640" spans="1:5" ht="15" x14ac:dyDescent="0.2">
      <c r="A2640" s="73">
        <v>40729</v>
      </c>
      <c r="B2640" s="70">
        <v>23.55</v>
      </c>
      <c r="C2640" s="85">
        <v>1489125</v>
      </c>
      <c r="D2640" s="88">
        <v>5.3361792956243548E-3</v>
      </c>
      <c r="E2640" s="87"/>
    </row>
    <row r="2641" spans="1:5" ht="15" x14ac:dyDescent="0.2">
      <c r="A2641" s="73">
        <v>40728</v>
      </c>
      <c r="B2641" s="70">
        <v>23.425000000000001</v>
      </c>
      <c r="C2641" s="85">
        <v>2162287</v>
      </c>
      <c r="D2641" s="88">
        <v>1.8035636679704536E-2</v>
      </c>
      <c r="E2641" s="87"/>
    </row>
    <row r="2642" spans="1:5" ht="15" x14ac:dyDescent="0.2">
      <c r="A2642" s="73">
        <v>40725</v>
      </c>
      <c r="B2642" s="70">
        <v>23.01</v>
      </c>
      <c r="C2642" s="85">
        <v>1679599</v>
      </c>
      <c r="D2642" s="88">
        <v>-3.032928942807489E-3</v>
      </c>
      <c r="E2642" s="87"/>
    </row>
    <row r="2643" spans="1:5" ht="15" x14ac:dyDescent="0.2">
      <c r="A2643" s="73">
        <v>40724</v>
      </c>
      <c r="B2643" s="70">
        <v>23.08</v>
      </c>
      <c r="C2643" s="85">
        <v>2148136</v>
      </c>
      <c r="D2643" s="88">
        <v>1.1171960569550832E-2</v>
      </c>
      <c r="E2643" s="87"/>
    </row>
    <row r="2644" spans="1:5" ht="15" x14ac:dyDescent="0.2">
      <c r="A2644" s="73">
        <v>40723</v>
      </c>
      <c r="B2644" s="70">
        <v>22.824999999999999</v>
      </c>
      <c r="C2644" s="85">
        <v>2232112</v>
      </c>
      <c r="D2644" s="88">
        <v>1.2644188110026544E-2</v>
      </c>
      <c r="E2644" s="87"/>
    </row>
    <row r="2645" spans="1:5" ht="15" x14ac:dyDescent="0.2">
      <c r="A2645" s="73">
        <v>40722</v>
      </c>
      <c r="B2645" s="70">
        <v>22.54</v>
      </c>
      <c r="C2645" s="85">
        <v>2103596</v>
      </c>
      <c r="D2645" s="88">
        <v>2.2222222222222143E-2</v>
      </c>
      <c r="E2645" s="87"/>
    </row>
    <row r="2646" spans="1:5" ht="15" x14ac:dyDescent="0.2">
      <c r="A2646" s="73">
        <v>40721</v>
      </c>
      <c r="B2646" s="70">
        <v>22.05</v>
      </c>
      <c r="C2646" s="85">
        <v>1659028</v>
      </c>
      <c r="D2646" s="88">
        <v>-1.5624999999999889E-2</v>
      </c>
      <c r="E2646" s="87"/>
    </row>
    <row r="2647" spans="1:5" ht="15" x14ac:dyDescent="0.2">
      <c r="A2647" s="73">
        <v>40718</v>
      </c>
      <c r="B2647" s="70">
        <v>22.4</v>
      </c>
      <c r="C2647" s="85">
        <v>2839676</v>
      </c>
      <c r="D2647" s="88">
        <v>1.72570390554041E-2</v>
      </c>
      <c r="E2647" s="87"/>
    </row>
    <row r="2648" spans="1:5" ht="15" x14ac:dyDescent="0.2">
      <c r="A2648" s="73">
        <v>40717</v>
      </c>
      <c r="B2648" s="70">
        <v>22.02</v>
      </c>
      <c r="C2648" s="85">
        <v>3829411</v>
      </c>
      <c r="D2648" s="88">
        <v>7.7803203661326314E-3</v>
      </c>
      <c r="E2648" s="87"/>
    </row>
    <row r="2649" spans="1:5" ht="15" x14ac:dyDescent="0.2">
      <c r="A2649" s="73">
        <v>40716</v>
      </c>
      <c r="B2649" s="70">
        <v>21.85</v>
      </c>
      <c r="C2649" s="85">
        <v>1524596</v>
      </c>
      <c r="D2649" s="88">
        <v>4.366812227074357E-3</v>
      </c>
      <c r="E2649" s="87"/>
    </row>
    <row r="2650" spans="1:5" ht="15" x14ac:dyDescent="0.2">
      <c r="A2650" s="73">
        <v>40715</v>
      </c>
      <c r="B2650" s="70">
        <v>21.754999999999999</v>
      </c>
      <c r="C2650" s="85">
        <v>2124470</v>
      </c>
      <c r="D2650" s="88">
        <v>2.3283160865474883E-2</v>
      </c>
      <c r="E2650" s="87"/>
    </row>
    <row r="2651" spans="1:5" ht="15" x14ac:dyDescent="0.2">
      <c r="A2651" s="73">
        <v>40714</v>
      </c>
      <c r="B2651" s="70">
        <v>21.26</v>
      </c>
      <c r="C2651" s="85">
        <v>2009111</v>
      </c>
      <c r="D2651" s="88">
        <v>-8.3955223880597396E-3</v>
      </c>
      <c r="E2651" s="87"/>
    </row>
    <row r="2652" spans="1:5" ht="15" x14ac:dyDescent="0.2">
      <c r="A2652" s="73">
        <v>40711</v>
      </c>
      <c r="B2652" s="70">
        <v>21.44</v>
      </c>
      <c r="C2652" s="85">
        <v>3265387</v>
      </c>
      <c r="D2652" s="88">
        <v>-8.7840961627367875E-3</v>
      </c>
      <c r="E2652" s="87"/>
    </row>
    <row r="2653" spans="1:5" ht="15" x14ac:dyDescent="0.2">
      <c r="A2653" s="73">
        <v>40710</v>
      </c>
      <c r="B2653" s="70">
        <v>21.63</v>
      </c>
      <c r="C2653" s="85">
        <v>2965295</v>
      </c>
      <c r="D2653" s="88">
        <v>-2.0761245674740803E-3</v>
      </c>
      <c r="E2653" s="87"/>
    </row>
    <row r="2654" spans="1:5" ht="15" x14ac:dyDescent="0.2">
      <c r="A2654" s="73">
        <v>40709</v>
      </c>
      <c r="B2654" s="70">
        <v>21.675000000000001</v>
      </c>
      <c r="C2654" s="85">
        <v>2011357</v>
      </c>
      <c r="D2654" s="88">
        <v>1.261387526278912E-2</v>
      </c>
      <c r="E2654" s="87"/>
    </row>
    <row r="2655" spans="1:5" ht="15" x14ac:dyDescent="0.2">
      <c r="A2655" s="73">
        <v>40708</v>
      </c>
      <c r="B2655" s="70">
        <v>21.405000000000001</v>
      </c>
      <c r="C2655" s="85">
        <v>1086439</v>
      </c>
      <c r="D2655" s="88">
        <v>6.3469675599436837E-3</v>
      </c>
      <c r="E2655" s="87"/>
    </row>
    <row r="2656" spans="1:5" ht="15" x14ac:dyDescent="0.2">
      <c r="A2656" s="73">
        <v>40707</v>
      </c>
      <c r="B2656" s="70">
        <v>21.27</v>
      </c>
      <c r="C2656" s="85">
        <v>808888</v>
      </c>
      <c r="D2656" s="88">
        <v>7.3407530191806902E-3</v>
      </c>
      <c r="E2656" s="87"/>
    </row>
    <row r="2657" spans="1:5" ht="15" x14ac:dyDescent="0.2">
      <c r="A2657" s="73">
        <v>40704</v>
      </c>
      <c r="B2657" s="70">
        <v>21.114999999999998</v>
      </c>
      <c r="C2657" s="85">
        <v>2170426</v>
      </c>
      <c r="D2657" s="88">
        <v>-2.1320973348783356E-2</v>
      </c>
      <c r="E2657" s="87"/>
    </row>
    <row r="2658" spans="1:5" ht="15" x14ac:dyDescent="0.2">
      <c r="A2658" s="73">
        <v>40703</v>
      </c>
      <c r="B2658" s="70">
        <v>21.574999999999999</v>
      </c>
      <c r="C2658" s="85">
        <v>1560580</v>
      </c>
      <c r="D2658" s="88">
        <v>1.7208863743517044E-2</v>
      </c>
      <c r="E2658" s="87"/>
    </row>
    <row r="2659" spans="1:5" ht="15" x14ac:dyDescent="0.2">
      <c r="A2659" s="73">
        <v>40702</v>
      </c>
      <c r="B2659" s="70">
        <v>21.21</v>
      </c>
      <c r="C2659" s="85">
        <v>1578956</v>
      </c>
      <c r="D2659" s="88">
        <v>-6.0918462980318333E-3</v>
      </c>
      <c r="E2659" s="87"/>
    </row>
    <row r="2660" spans="1:5" ht="15" x14ac:dyDescent="0.2">
      <c r="A2660" s="73">
        <v>40701</v>
      </c>
      <c r="B2660" s="70">
        <v>21.34</v>
      </c>
      <c r="C2660" s="85">
        <v>1263571</v>
      </c>
      <c r="D2660" s="88">
        <v>-5.8234334963894741E-3</v>
      </c>
      <c r="E2660" s="87"/>
    </row>
    <row r="2661" spans="1:5" ht="15" x14ac:dyDescent="0.2">
      <c r="A2661" s="73">
        <v>40700</v>
      </c>
      <c r="B2661" s="70">
        <v>21.465</v>
      </c>
      <c r="C2661" s="85">
        <v>940306</v>
      </c>
      <c r="D2661" s="88">
        <v>-2.5557620817843185E-3</v>
      </c>
      <c r="E2661" s="87"/>
    </row>
    <row r="2662" spans="1:5" ht="15" x14ac:dyDescent="0.2">
      <c r="A2662" s="73">
        <v>40697</v>
      </c>
      <c r="B2662" s="70">
        <v>21.52</v>
      </c>
      <c r="C2662" s="85">
        <v>1284798</v>
      </c>
      <c r="D2662" s="88">
        <v>6.077606358111165E-3</v>
      </c>
      <c r="E2662" s="87"/>
    </row>
    <row r="2663" spans="1:5" ht="15" x14ac:dyDescent="0.2">
      <c r="A2663" s="73">
        <v>40696</v>
      </c>
      <c r="B2663" s="70">
        <v>21.39</v>
      </c>
      <c r="C2663" s="85">
        <v>1880175</v>
      </c>
      <c r="D2663" s="88">
        <v>-3.3438770899231751E-2</v>
      </c>
      <c r="E2663" s="87"/>
    </row>
    <row r="2664" spans="1:5" ht="15" x14ac:dyDescent="0.2">
      <c r="A2664" s="73">
        <v>40695</v>
      </c>
      <c r="B2664" s="70">
        <v>22.13</v>
      </c>
      <c r="C2664" s="85">
        <v>1922593</v>
      </c>
      <c r="D2664" s="88">
        <v>-3.2779720279720315E-2</v>
      </c>
      <c r="E2664" s="87"/>
    </row>
    <row r="2665" spans="1:5" ht="15" x14ac:dyDescent="0.2">
      <c r="A2665" s="73">
        <v>40694</v>
      </c>
      <c r="B2665" s="70">
        <v>22.88</v>
      </c>
      <c r="C2665" s="85">
        <v>1847573</v>
      </c>
      <c r="D2665" s="88">
        <v>2.0289855072463725E-2</v>
      </c>
      <c r="E2665" s="87"/>
    </row>
    <row r="2666" spans="1:5" ht="15" x14ac:dyDescent="0.2">
      <c r="A2666" s="73">
        <v>40693</v>
      </c>
      <c r="B2666" s="70">
        <v>22.425000000000001</v>
      </c>
      <c r="C2666" s="85">
        <v>595123</v>
      </c>
      <c r="D2666" s="88">
        <v>2.2301516503109298E-4</v>
      </c>
      <c r="E2666" s="87"/>
    </row>
    <row r="2667" spans="1:5" ht="15" x14ac:dyDescent="0.2">
      <c r="A2667" s="73">
        <v>40690</v>
      </c>
      <c r="B2667" s="70">
        <v>22.42</v>
      </c>
      <c r="C2667" s="85">
        <v>2329645</v>
      </c>
      <c r="D2667" s="88">
        <v>-3.7769384581203269E-3</v>
      </c>
      <c r="E2667" s="87"/>
    </row>
    <row r="2668" spans="1:5" ht="15" x14ac:dyDescent="0.2">
      <c r="A2668" s="73">
        <v>40689</v>
      </c>
      <c r="B2668" s="70">
        <v>22.504999999999999</v>
      </c>
      <c r="C2668" s="85">
        <v>1461846</v>
      </c>
      <c r="D2668" s="88">
        <v>7.160438576862882E-3</v>
      </c>
      <c r="E2668" s="87"/>
    </row>
    <row r="2669" spans="1:5" ht="15" x14ac:dyDescent="0.2">
      <c r="A2669" s="73">
        <v>40688</v>
      </c>
      <c r="B2669" s="70">
        <v>22.344999999999999</v>
      </c>
      <c r="C2669" s="85">
        <v>1437102</v>
      </c>
      <c r="D2669" s="88">
        <v>-9.7496122313318612E-3</v>
      </c>
      <c r="E2669" s="87"/>
    </row>
    <row r="2670" spans="1:5" ht="15" x14ac:dyDescent="0.2">
      <c r="A2670" s="73">
        <v>40687</v>
      </c>
      <c r="B2670" s="70">
        <v>22.565000000000001</v>
      </c>
      <c r="C2670" s="85">
        <v>994593</v>
      </c>
      <c r="D2670" s="88">
        <v>7.3660714285714857E-3</v>
      </c>
      <c r="E2670" s="87"/>
    </row>
    <row r="2671" spans="1:5" ht="15" x14ac:dyDescent="0.2">
      <c r="A2671" s="73">
        <v>40686</v>
      </c>
      <c r="B2671" s="70">
        <v>22.4</v>
      </c>
      <c r="C2671" s="85">
        <v>1628305</v>
      </c>
      <c r="D2671" s="88">
        <v>-1.3867488443759735E-2</v>
      </c>
      <c r="E2671" s="87"/>
    </row>
    <row r="2672" spans="1:5" ht="15" x14ac:dyDescent="0.2">
      <c r="A2672" s="73">
        <v>40683</v>
      </c>
      <c r="B2672" s="70">
        <v>22.715</v>
      </c>
      <c r="C2672" s="85">
        <v>1528698</v>
      </c>
      <c r="D2672" s="88">
        <v>-1.3463626492942415E-2</v>
      </c>
      <c r="E2672" s="87"/>
    </row>
    <row r="2673" spans="1:5" ht="15" x14ac:dyDescent="0.2">
      <c r="A2673" s="73">
        <v>40682</v>
      </c>
      <c r="B2673" s="70">
        <v>23.024999999999999</v>
      </c>
      <c r="C2673" s="85">
        <v>2542269</v>
      </c>
      <c r="D2673" s="88">
        <v>3.3902110462505464E-2</v>
      </c>
      <c r="E2673" s="87"/>
    </row>
    <row r="2674" spans="1:5" ht="15" x14ac:dyDescent="0.2">
      <c r="A2674" s="73">
        <v>40681</v>
      </c>
      <c r="B2674" s="70">
        <v>22.27</v>
      </c>
      <c r="C2674" s="85">
        <v>1486792</v>
      </c>
      <c r="D2674" s="88">
        <v>9.977324263038545E-3</v>
      </c>
      <c r="E2674" s="87"/>
    </row>
    <row r="2675" spans="1:5" ht="15" x14ac:dyDescent="0.2">
      <c r="A2675" s="73">
        <v>40680</v>
      </c>
      <c r="B2675" s="70">
        <v>22.05</v>
      </c>
      <c r="C2675" s="85">
        <v>2388965</v>
      </c>
      <c r="D2675" s="88">
        <v>-2.433628318584069E-2</v>
      </c>
      <c r="E2675" s="87"/>
    </row>
    <row r="2676" spans="1:5" ht="15" x14ac:dyDescent="0.2">
      <c r="A2676" s="73">
        <v>40679</v>
      </c>
      <c r="B2676" s="70">
        <v>22.6</v>
      </c>
      <c r="C2676" s="85">
        <v>2553185</v>
      </c>
      <c r="D2676" s="88">
        <v>-2.1221307925508803E-2</v>
      </c>
      <c r="E2676" s="87"/>
    </row>
    <row r="2677" spans="1:5" ht="15" x14ac:dyDescent="0.2">
      <c r="A2677" s="73">
        <v>40676</v>
      </c>
      <c r="B2677" s="70">
        <v>23.09</v>
      </c>
      <c r="C2677" s="85">
        <v>5313672</v>
      </c>
      <c r="D2677" s="88">
        <v>5.8446023378409206E-2</v>
      </c>
      <c r="E2677" s="87"/>
    </row>
    <row r="2678" spans="1:5" ht="15" x14ac:dyDescent="0.2">
      <c r="A2678" s="73">
        <v>40675</v>
      </c>
      <c r="B2678" s="70">
        <v>21.815000000000001</v>
      </c>
      <c r="C2678" s="85">
        <v>1815233</v>
      </c>
      <c r="D2678" s="88">
        <v>2.5275735294116863E-3</v>
      </c>
      <c r="E2678" s="87"/>
    </row>
    <row r="2679" spans="1:5" ht="15" x14ac:dyDescent="0.2">
      <c r="A2679" s="73">
        <v>40674</v>
      </c>
      <c r="B2679" s="70">
        <v>21.76</v>
      </c>
      <c r="C2679" s="85">
        <v>1798194</v>
      </c>
      <c r="D2679" s="88">
        <v>1.1387404136648849E-2</v>
      </c>
      <c r="E2679" s="87"/>
    </row>
    <row r="2680" spans="1:5" ht="15" x14ac:dyDescent="0.2">
      <c r="A2680" s="73">
        <v>40673</v>
      </c>
      <c r="B2680" s="70">
        <v>21.515000000000001</v>
      </c>
      <c r="C2680" s="85">
        <v>3013737</v>
      </c>
      <c r="D2680" s="88">
        <v>2.5989508822126917E-2</v>
      </c>
      <c r="E2680" s="87"/>
    </row>
    <row r="2681" spans="1:5" ht="15" x14ac:dyDescent="0.2">
      <c r="A2681" s="73">
        <v>40672</v>
      </c>
      <c r="B2681" s="70">
        <v>20.97</v>
      </c>
      <c r="C2681" s="85">
        <v>1913377</v>
      </c>
      <c r="D2681" s="88">
        <v>9.5465393794746944E-4</v>
      </c>
      <c r="E2681" s="87"/>
    </row>
    <row r="2682" spans="1:5" ht="15" x14ac:dyDescent="0.2">
      <c r="A2682" s="73">
        <v>40669</v>
      </c>
      <c r="B2682" s="70">
        <v>20.95</v>
      </c>
      <c r="C2682" s="85">
        <v>2703085</v>
      </c>
      <c r="D2682" s="88">
        <v>2.6960784313725616E-2</v>
      </c>
      <c r="E2682" s="87"/>
    </row>
    <row r="2683" spans="1:5" ht="15" x14ac:dyDescent="0.2">
      <c r="A2683" s="73">
        <v>40668</v>
      </c>
      <c r="B2683" s="70">
        <v>20.399999999999999</v>
      </c>
      <c r="C2683" s="85">
        <v>2446763</v>
      </c>
      <c r="D2683" s="88">
        <v>-3.4196384953590897E-3</v>
      </c>
      <c r="E2683" s="87"/>
    </row>
    <row r="2684" spans="1:5" ht="15" x14ac:dyDescent="0.2">
      <c r="A2684" s="73">
        <v>40667</v>
      </c>
      <c r="B2684" s="70">
        <v>20.47</v>
      </c>
      <c r="C2684" s="85">
        <v>2894203</v>
      </c>
      <c r="D2684" s="88">
        <v>-1.3493975903614563E-2</v>
      </c>
      <c r="E2684" s="87"/>
    </row>
    <row r="2685" spans="1:5" ht="15" x14ac:dyDescent="0.2">
      <c r="A2685" s="73">
        <v>40666</v>
      </c>
      <c r="B2685" s="70">
        <v>20.75</v>
      </c>
      <c r="C2685" s="85">
        <v>2611019</v>
      </c>
      <c r="D2685" s="88">
        <v>-9.6292729898894702E-4</v>
      </c>
      <c r="E2685" s="87"/>
    </row>
    <row r="2686" spans="1:5" ht="15" x14ac:dyDescent="0.2">
      <c r="A2686" s="73">
        <v>40665</v>
      </c>
      <c r="B2686" s="70">
        <v>20.77</v>
      </c>
      <c r="C2686" s="85">
        <v>1169185</v>
      </c>
      <c r="D2686" s="88">
        <v>-5.7443752991862551E-3</v>
      </c>
      <c r="E2686" s="87"/>
    </row>
    <row r="2687" spans="1:5" ht="15" x14ac:dyDescent="0.2">
      <c r="A2687" s="73">
        <v>40662</v>
      </c>
      <c r="B2687" s="70">
        <v>20.89</v>
      </c>
      <c r="C2687" s="85">
        <v>1627549</v>
      </c>
      <c r="D2687" s="88">
        <v>-1.1124260355029558E-2</v>
      </c>
      <c r="E2687" s="87"/>
    </row>
    <row r="2688" spans="1:5" ht="15" x14ac:dyDescent="0.2">
      <c r="A2688" s="73">
        <v>40661</v>
      </c>
      <c r="B2688" s="70">
        <v>21.125</v>
      </c>
      <c r="C2688" s="85">
        <v>2090734</v>
      </c>
      <c r="D2688" s="88">
        <v>-6.817113305124578E-3</v>
      </c>
      <c r="E2688" s="87"/>
    </row>
    <row r="2689" spans="1:5" ht="15" x14ac:dyDescent="0.2">
      <c r="A2689" s="73">
        <v>40660</v>
      </c>
      <c r="B2689" s="70">
        <v>21.27</v>
      </c>
      <c r="C2689" s="85">
        <v>1502696</v>
      </c>
      <c r="D2689" s="88">
        <v>-7.4661689220718586E-3</v>
      </c>
      <c r="E2689" s="87"/>
    </row>
    <row r="2690" spans="1:5" ht="15" x14ac:dyDescent="0.2">
      <c r="A2690" s="73">
        <v>40659</v>
      </c>
      <c r="B2690" s="70">
        <v>21.43</v>
      </c>
      <c r="C2690" s="85">
        <v>1609797</v>
      </c>
      <c r="D2690" s="88">
        <v>9.182952672474709E-3</v>
      </c>
      <c r="E2690" s="87"/>
    </row>
    <row r="2691" spans="1:5" ht="15" x14ac:dyDescent="0.2">
      <c r="A2691" s="73">
        <v>40654</v>
      </c>
      <c r="B2691" s="70">
        <v>21.234999999999999</v>
      </c>
      <c r="C2691" s="85">
        <v>796402</v>
      </c>
      <c r="D2691" s="88">
        <v>-1.1759172154280906E-3</v>
      </c>
      <c r="E2691" s="87"/>
    </row>
    <row r="2692" spans="1:5" ht="15" x14ac:dyDescent="0.2">
      <c r="A2692" s="73">
        <v>40653</v>
      </c>
      <c r="B2692" s="70">
        <v>21.26</v>
      </c>
      <c r="C2692" s="85">
        <v>2017651</v>
      </c>
      <c r="D2692" s="88">
        <v>3.103782735208549E-2</v>
      </c>
      <c r="E2692" s="87"/>
    </row>
    <row r="2693" spans="1:5" ht="15" x14ac:dyDescent="0.2">
      <c r="A2693" s="73">
        <v>40652</v>
      </c>
      <c r="B2693" s="70">
        <v>20.62</v>
      </c>
      <c r="C2693" s="85">
        <v>1247137</v>
      </c>
      <c r="D2693" s="88">
        <v>3.6505232416645939E-3</v>
      </c>
      <c r="E2693" s="87"/>
    </row>
    <row r="2694" spans="1:5" ht="15" x14ac:dyDescent="0.2">
      <c r="A2694" s="73">
        <v>40651</v>
      </c>
      <c r="B2694" s="70">
        <v>20.545000000000002</v>
      </c>
      <c r="C2694" s="85">
        <v>1768026</v>
      </c>
      <c r="D2694" s="88">
        <v>-2.4453941120607614E-2</v>
      </c>
      <c r="E2694" s="87"/>
    </row>
    <row r="2695" spans="1:5" ht="15" x14ac:dyDescent="0.2">
      <c r="A2695" s="73">
        <v>40648</v>
      </c>
      <c r="B2695" s="70">
        <v>21.06</v>
      </c>
      <c r="C2695" s="85">
        <v>1929147</v>
      </c>
      <c r="D2695" s="88">
        <v>8.8622754491016753E-3</v>
      </c>
      <c r="E2695" s="87"/>
    </row>
    <row r="2696" spans="1:5" ht="15" x14ac:dyDescent="0.2">
      <c r="A2696" s="73">
        <v>40647</v>
      </c>
      <c r="B2696" s="70">
        <v>20.875</v>
      </c>
      <c r="C2696" s="85">
        <v>1397701</v>
      </c>
      <c r="D2696" s="88">
        <v>-1.9125029882858247E-3</v>
      </c>
      <c r="E2696" s="87"/>
    </row>
    <row r="2697" spans="1:5" ht="15" x14ac:dyDescent="0.2">
      <c r="A2697" s="73">
        <v>40646</v>
      </c>
      <c r="B2697" s="70">
        <v>20.914999999999999</v>
      </c>
      <c r="C2697" s="85">
        <v>1510799</v>
      </c>
      <c r="D2697" s="88">
        <v>1.2587751149842452E-2</v>
      </c>
      <c r="E2697" s="87"/>
    </row>
    <row r="2698" spans="1:5" ht="15" x14ac:dyDescent="0.2">
      <c r="A2698" s="73">
        <v>40645</v>
      </c>
      <c r="B2698" s="70">
        <v>20.655000000000001</v>
      </c>
      <c r="C2698" s="85">
        <v>2672950</v>
      </c>
      <c r="D2698" s="88">
        <v>-1.0538922155688524E-2</v>
      </c>
      <c r="E2698" s="87"/>
    </row>
    <row r="2699" spans="1:5" ht="15" x14ac:dyDescent="0.2">
      <c r="A2699" s="73">
        <v>40644</v>
      </c>
      <c r="B2699" s="70">
        <v>20.875</v>
      </c>
      <c r="C2699" s="85">
        <v>1713702</v>
      </c>
      <c r="D2699" s="88">
        <v>-1.6738402678144748E-3</v>
      </c>
      <c r="E2699" s="87"/>
    </row>
    <row r="2700" spans="1:5" ht="15" x14ac:dyDescent="0.2">
      <c r="A2700" s="73">
        <v>40641</v>
      </c>
      <c r="B2700" s="70">
        <v>20.91</v>
      </c>
      <c r="C2700" s="85">
        <v>1676048</v>
      </c>
      <c r="D2700" s="88">
        <v>-5.9424768243403481E-3</v>
      </c>
      <c r="E2700" s="87"/>
    </row>
    <row r="2701" spans="1:5" ht="15" x14ac:dyDescent="0.2">
      <c r="A2701" s="73">
        <v>40640</v>
      </c>
      <c r="B2701" s="70">
        <v>21.035</v>
      </c>
      <c r="C2701" s="85">
        <v>2160111</v>
      </c>
      <c r="D2701" s="88">
        <v>8.8729016786570636E-3</v>
      </c>
      <c r="E2701" s="87"/>
    </row>
    <row r="2702" spans="1:5" ht="15" x14ac:dyDescent="0.2">
      <c r="A2702" s="73">
        <v>40639</v>
      </c>
      <c r="B2702" s="70">
        <v>20.85</v>
      </c>
      <c r="C2702" s="85">
        <v>1524142</v>
      </c>
      <c r="D2702" s="88">
        <v>-7.6154212279866407E-3</v>
      </c>
      <c r="E2702" s="87"/>
    </row>
    <row r="2703" spans="1:5" ht="15" x14ac:dyDescent="0.2">
      <c r="A2703" s="73">
        <v>40638</v>
      </c>
      <c r="B2703" s="70">
        <v>21.01</v>
      </c>
      <c r="C2703" s="85">
        <v>1165039</v>
      </c>
      <c r="D2703" s="88">
        <v>-1.1884953648679808E-3</v>
      </c>
      <c r="E2703" s="87"/>
    </row>
    <row r="2704" spans="1:5" ht="15" x14ac:dyDescent="0.2">
      <c r="A2704" s="73">
        <v>40637</v>
      </c>
      <c r="B2704" s="70">
        <v>21.035</v>
      </c>
      <c r="C2704" s="85">
        <v>1101543</v>
      </c>
      <c r="D2704" s="88">
        <v>-5.9073724007561168E-3</v>
      </c>
      <c r="E2704" s="87"/>
    </row>
    <row r="2705" spans="1:5" ht="15" x14ac:dyDescent="0.2">
      <c r="A2705" s="73">
        <v>40634</v>
      </c>
      <c r="B2705" s="70">
        <v>21.16</v>
      </c>
      <c r="C2705" s="85">
        <v>2074142</v>
      </c>
      <c r="D2705" s="88">
        <v>3.0185004868549248E-2</v>
      </c>
      <c r="E2705" s="87"/>
    </row>
    <row r="2706" spans="1:5" ht="15" x14ac:dyDescent="0.2">
      <c r="A2706" s="73">
        <v>40633</v>
      </c>
      <c r="B2706" s="70">
        <v>20.54</v>
      </c>
      <c r="C2706" s="85">
        <v>1856359</v>
      </c>
      <c r="D2706" s="88">
        <v>-1.0597302504817052E-2</v>
      </c>
      <c r="E2706" s="87"/>
    </row>
    <row r="2707" spans="1:5" ht="15" x14ac:dyDescent="0.2">
      <c r="A2707" s="73">
        <v>40632</v>
      </c>
      <c r="B2707" s="70">
        <v>20.76</v>
      </c>
      <c r="C2707" s="85">
        <v>1801944</v>
      </c>
      <c r="D2707" s="88">
        <v>2.3416317475967618E-2</v>
      </c>
      <c r="E2707" s="87"/>
    </row>
    <row r="2708" spans="1:5" ht="15" x14ac:dyDescent="0.2">
      <c r="A2708" s="73">
        <v>40631</v>
      </c>
      <c r="B2708" s="70">
        <v>20.285</v>
      </c>
      <c r="C2708" s="85">
        <v>1202807</v>
      </c>
      <c r="D2708" s="88">
        <v>2.9666254635352107E-3</v>
      </c>
      <c r="E2708" s="87"/>
    </row>
    <row r="2709" spans="1:5" ht="15" x14ac:dyDescent="0.2">
      <c r="A2709" s="73">
        <v>40630</v>
      </c>
      <c r="B2709" s="70">
        <v>20.225000000000001</v>
      </c>
      <c r="C2709" s="85">
        <v>856926</v>
      </c>
      <c r="D2709" s="88">
        <v>1.9816695566015063E-3</v>
      </c>
      <c r="E2709" s="87"/>
    </row>
    <row r="2710" spans="1:5" ht="15" x14ac:dyDescent="0.2">
      <c r="A2710" s="73">
        <v>40627</v>
      </c>
      <c r="B2710" s="70">
        <v>20.184999999999999</v>
      </c>
      <c r="C2710" s="85">
        <v>872834</v>
      </c>
      <c r="D2710" s="88">
        <v>2.4777006937548585E-4</v>
      </c>
      <c r="E2710" s="87"/>
    </row>
    <row r="2711" spans="1:5" ht="15" x14ac:dyDescent="0.2">
      <c r="A2711" s="73">
        <v>40626</v>
      </c>
      <c r="B2711" s="70">
        <v>20.18</v>
      </c>
      <c r="C2711" s="85">
        <v>1848869</v>
      </c>
      <c r="D2711" s="88">
        <v>1.7137096774193505E-2</v>
      </c>
      <c r="E2711" s="87"/>
    </row>
    <row r="2712" spans="1:5" ht="15" x14ac:dyDescent="0.2">
      <c r="A2712" s="73">
        <v>40625</v>
      </c>
      <c r="B2712" s="70">
        <v>19.84</v>
      </c>
      <c r="C2712" s="85">
        <v>1879196</v>
      </c>
      <c r="D2712" s="88">
        <v>1.9265348060621523E-2</v>
      </c>
      <c r="E2712" s="87"/>
    </row>
    <row r="2713" spans="1:5" ht="15" x14ac:dyDescent="0.2">
      <c r="A2713" s="73">
        <v>40624</v>
      </c>
      <c r="B2713" s="70">
        <v>19.465</v>
      </c>
      <c r="C2713" s="85">
        <v>1378173</v>
      </c>
      <c r="D2713" s="88">
        <v>-5.1111679018656098E-3</v>
      </c>
      <c r="E2713" s="87"/>
    </row>
    <row r="2714" spans="1:5" ht="15" x14ac:dyDescent="0.2">
      <c r="A2714" s="73">
        <v>40623</v>
      </c>
      <c r="B2714" s="70">
        <v>19.565000000000001</v>
      </c>
      <c r="C2714" s="85">
        <v>1932640</v>
      </c>
      <c r="D2714" s="88">
        <v>1.6891891891892108E-2</v>
      </c>
      <c r="E2714" s="87"/>
    </row>
    <row r="2715" spans="1:5" ht="15" x14ac:dyDescent="0.2">
      <c r="A2715" s="73">
        <v>40620</v>
      </c>
      <c r="B2715" s="70">
        <v>19.239999999999998</v>
      </c>
      <c r="C2715" s="85">
        <v>2672458</v>
      </c>
      <c r="D2715" s="88">
        <v>9.1791240493048765E-3</v>
      </c>
      <c r="E2715" s="87"/>
    </row>
    <row r="2716" spans="1:5" ht="15" x14ac:dyDescent="0.2">
      <c r="A2716" s="73">
        <v>40619</v>
      </c>
      <c r="B2716" s="70">
        <v>19.065000000000001</v>
      </c>
      <c r="C2716" s="85">
        <v>2442605</v>
      </c>
      <c r="D2716" s="88">
        <v>1.5175718849840258E-2</v>
      </c>
      <c r="E2716" s="87"/>
    </row>
    <row r="2717" spans="1:5" ht="15" x14ac:dyDescent="0.2">
      <c r="A2717" s="73">
        <v>40618</v>
      </c>
      <c r="B2717" s="70">
        <v>18.78</v>
      </c>
      <c r="C2717" s="85">
        <v>3371585</v>
      </c>
      <c r="D2717" s="88">
        <v>-2.6616981634275394E-4</v>
      </c>
      <c r="E2717" s="87"/>
    </row>
    <row r="2718" spans="1:5" ht="15" x14ac:dyDescent="0.2">
      <c r="A2718" s="73">
        <v>40617</v>
      </c>
      <c r="B2718" s="70">
        <v>18.785</v>
      </c>
      <c r="C2718" s="85">
        <v>3987868</v>
      </c>
      <c r="D2718" s="88">
        <v>-2.8445823635893541E-2</v>
      </c>
      <c r="E2718" s="87"/>
    </row>
    <row r="2719" spans="1:5" ht="15" x14ac:dyDescent="0.2">
      <c r="A2719" s="73">
        <v>40616</v>
      </c>
      <c r="B2719" s="70">
        <v>19.335000000000001</v>
      </c>
      <c r="C2719" s="85">
        <v>1765965</v>
      </c>
      <c r="D2719" s="88">
        <v>-1.628084456881207E-2</v>
      </c>
      <c r="E2719" s="87"/>
    </row>
    <row r="2720" spans="1:5" ht="15" x14ac:dyDescent="0.2">
      <c r="A2720" s="73">
        <v>40613</v>
      </c>
      <c r="B2720" s="70">
        <v>19.655000000000001</v>
      </c>
      <c r="C2720" s="85">
        <v>1490737</v>
      </c>
      <c r="D2720" s="88">
        <v>-6.5706343189284588E-3</v>
      </c>
      <c r="E2720" s="87"/>
    </row>
    <row r="2721" spans="1:5" ht="15" x14ac:dyDescent="0.2">
      <c r="A2721" s="73">
        <v>40612</v>
      </c>
      <c r="B2721" s="70">
        <v>19.785</v>
      </c>
      <c r="C2721" s="85">
        <v>1903531</v>
      </c>
      <c r="D2721" s="88">
        <v>-1.3708873379860376E-2</v>
      </c>
      <c r="E2721" s="87"/>
    </row>
    <row r="2722" spans="1:5" ht="15" x14ac:dyDescent="0.2">
      <c r="A2722" s="73">
        <v>40611</v>
      </c>
      <c r="B2722" s="70">
        <v>20.059999999999999</v>
      </c>
      <c r="C2722" s="85">
        <v>3837820</v>
      </c>
      <c r="D2722" s="88">
        <v>1.1088709677419262E-2</v>
      </c>
      <c r="E2722" s="87"/>
    </row>
    <row r="2723" spans="1:5" ht="15" x14ac:dyDescent="0.2">
      <c r="A2723" s="73">
        <v>40610</v>
      </c>
      <c r="B2723" s="70">
        <v>19.84</v>
      </c>
      <c r="C2723" s="85">
        <v>2975139</v>
      </c>
      <c r="D2723" s="88">
        <v>2.797927461139893E-2</v>
      </c>
      <c r="E2723" s="87"/>
    </row>
    <row r="2724" spans="1:5" ht="15" x14ac:dyDescent="0.2">
      <c r="A2724" s="73">
        <v>40609</v>
      </c>
      <c r="B2724" s="70">
        <v>19.3</v>
      </c>
      <c r="C2724" s="85">
        <v>2979293</v>
      </c>
      <c r="D2724" s="88">
        <v>-2.0055851739020025E-2</v>
      </c>
      <c r="E2724" s="87"/>
    </row>
    <row r="2725" spans="1:5" ht="15" x14ac:dyDescent="0.2">
      <c r="A2725" s="73">
        <v>40606</v>
      </c>
      <c r="B2725" s="70">
        <v>19.695</v>
      </c>
      <c r="C2725" s="85">
        <v>2269556</v>
      </c>
      <c r="D2725" s="88">
        <v>-4.2972699696663952E-3</v>
      </c>
      <c r="E2725" s="87"/>
    </row>
    <row r="2726" spans="1:5" ht="15" x14ac:dyDescent="0.2">
      <c r="A2726" s="73">
        <v>40605</v>
      </c>
      <c r="B2726" s="70">
        <v>19.78</v>
      </c>
      <c r="C2726" s="85">
        <v>4090157</v>
      </c>
      <c r="D2726" s="88">
        <v>-2.6574803149606252E-2</v>
      </c>
      <c r="E2726" s="87"/>
    </row>
    <row r="2727" spans="1:5" ht="15" x14ac:dyDescent="0.2">
      <c r="A2727" s="73">
        <v>40604</v>
      </c>
      <c r="B2727" s="70">
        <v>20.32</v>
      </c>
      <c r="C2727" s="85">
        <v>1735019</v>
      </c>
      <c r="D2727" s="88">
        <v>-1.5980629539951496E-2</v>
      </c>
      <c r="E2727" s="87"/>
    </row>
    <row r="2728" spans="1:5" ht="15" x14ac:dyDescent="0.2">
      <c r="A2728" s="73">
        <v>40603</v>
      </c>
      <c r="B2728" s="70">
        <v>20.65</v>
      </c>
      <c r="C2728" s="85">
        <v>1505727</v>
      </c>
      <c r="D2728" s="88">
        <v>-1.4790076335877922E-2</v>
      </c>
      <c r="E2728" s="87"/>
    </row>
    <row r="2729" spans="1:5" ht="15" x14ac:dyDescent="0.2">
      <c r="A2729" s="73">
        <v>40602</v>
      </c>
      <c r="B2729" s="70">
        <v>20.96</v>
      </c>
      <c r="C2729" s="85">
        <v>1789567</v>
      </c>
      <c r="D2729" s="88">
        <v>1.4520813165537216E-2</v>
      </c>
      <c r="E2729" s="87"/>
    </row>
    <row r="2730" spans="1:5" ht="15" x14ac:dyDescent="0.2">
      <c r="A2730" s="73">
        <v>40599</v>
      </c>
      <c r="B2730" s="70">
        <v>20.66</v>
      </c>
      <c r="C2730" s="85">
        <v>3115426</v>
      </c>
      <c r="D2730" s="88">
        <v>-5.2961001444390421E-3</v>
      </c>
      <c r="E2730" s="87"/>
    </row>
    <row r="2731" spans="1:5" ht="15" x14ac:dyDescent="0.2">
      <c r="A2731" s="73">
        <v>40598</v>
      </c>
      <c r="B2731" s="70">
        <v>20.77</v>
      </c>
      <c r="C2731" s="85">
        <v>3330566</v>
      </c>
      <c r="D2731" s="88">
        <v>-3.836930455635601E-3</v>
      </c>
      <c r="E2731" s="87"/>
    </row>
    <row r="2732" spans="1:5" ht="15" x14ac:dyDescent="0.2">
      <c r="A2732" s="73">
        <v>40597</v>
      </c>
      <c r="B2732" s="70">
        <v>20.85</v>
      </c>
      <c r="C2732" s="85">
        <v>2729865</v>
      </c>
      <c r="D2732" s="88">
        <v>-9.5011876484559776E-3</v>
      </c>
      <c r="E2732" s="87"/>
    </row>
    <row r="2733" spans="1:5" ht="15" x14ac:dyDescent="0.2">
      <c r="A2733" s="73">
        <v>40596</v>
      </c>
      <c r="B2733" s="70">
        <v>21.05</v>
      </c>
      <c r="C2733" s="85">
        <v>3025965</v>
      </c>
      <c r="D2733" s="88">
        <v>-5.6683986773736761E-3</v>
      </c>
      <c r="E2733" s="87"/>
    </row>
    <row r="2734" spans="1:5" ht="15" x14ac:dyDescent="0.2">
      <c r="A2734" s="73">
        <v>40595</v>
      </c>
      <c r="B2734" s="70">
        <v>21.17</v>
      </c>
      <c r="C2734" s="85">
        <v>1853406</v>
      </c>
      <c r="D2734" s="88">
        <v>-2.2170900692840556E-2</v>
      </c>
      <c r="E2734" s="87"/>
    </row>
    <row r="2735" spans="1:5" ht="15" x14ac:dyDescent="0.2">
      <c r="A2735" s="73">
        <v>40592</v>
      </c>
      <c r="B2735" s="70">
        <v>21.65</v>
      </c>
      <c r="C2735" s="85">
        <v>1893128</v>
      </c>
      <c r="D2735" s="88">
        <v>-5.5121727147451338E-3</v>
      </c>
      <c r="E2735" s="87"/>
    </row>
    <row r="2736" spans="1:5" ht="15" x14ac:dyDescent="0.2">
      <c r="A2736" s="73">
        <v>40591</v>
      </c>
      <c r="B2736" s="70">
        <v>21.77</v>
      </c>
      <c r="C2736" s="85">
        <v>2104671</v>
      </c>
      <c r="D2736" s="88">
        <v>-2.113309352517978E-2</v>
      </c>
      <c r="E2736" s="87"/>
    </row>
    <row r="2737" spans="1:5" ht="15" x14ac:dyDescent="0.2">
      <c r="A2737" s="73">
        <v>40590</v>
      </c>
      <c r="B2737" s="70">
        <v>22.24</v>
      </c>
      <c r="C2737" s="85">
        <v>2595665</v>
      </c>
      <c r="D2737" s="88">
        <v>1.831501831501825E-2</v>
      </c>
      <c r="E2737" s="87"/>
    </row>
    <row r="2738" spans="1:5" ht="15" x14ac:dyDescent="0.2">
      <c r="A2738" s="73">
        <v>40589</v>
      </c>
      <c r="B2738" s="70">
        <v>21.84</v>
      </c>
      <c r="C2738" s="85">
        <v>1671053</v>
      </c>
      <c r="D2738" s="88">
        <v>5.062126092959085E-3</v>
      </c>
      <c r="E2738" s="87"/>
    </row>
    <row r="2739" spans="1:5" ht="15" x14ac:dyDescent="0.2">
      <c r="A2739" s="73">
        <v>40588</v>
      </c>
      <c r="B2739" s="70">
        <v>21.73</v>
      </c>
      <c r="C2739" s="85">
        <v>1821133</v>
      </c>
      <c r="D2739" s="88">
        <v>-1.6080863772111043E-3</v>
      </c>
      <c r="E2739" s="87"/>
    </row>
    <row r="2740" spans="1:5" ht="15" x14ac:dyDescent="0.2">
      <c r="A2740" s="73">
        <v>40585</v>
      </c>
      <c r="B2740" s="70">
        <v>21.765000000000001</v>
      </c>
      <c r="C2740" s="85">
        <v>2748417</v>
      </c>
      <c r="D2740" s="88">
        <v>3.7416587225929554E-2</v>
      </c>
      <c r="E2740" s="87"/>
    </row>
    <row r="2741" spans="1:5" ht="15" x14ac:dyDescent="0.2">
      <c r="A2741" s="73">
        <v>40584</v>
      </c>
      <c r="B2741" s="70">
        <v>20.98</v>
      </c>
      <c r="C2741" s="85">
        <v>1386481</v>
      </c>
      <c r="D2741" s="88">
        <v>4.3082814743895526E-3</v>
      </c>
      <c r="E2741" s="87"/>
    </row>
    <row r="2742" spans="1:5" ht="15" x14ac:dyDescent="0.2">
      <c r="A2742" s="73">
        <v>40583</v>
      </c>
      <c r="B2742" s="70">
        <v>20.89</v>
      </c>
      <c r="C2742" s="85">
        <v>1647463</v>
      </c>
      <c r="D2742" s="88">
        <v>-1.2993149066855558E-2</v>
      </c>
      <c r="E2742" s="87"/>
    </row>
    <row r="2743" spans="1:5" ht="15" x14ac:dyDescent="0.2">
      <c r="A2743" s="73">
        <v>40582</v>
      </c>
      <c r="B2743" s="70">
        <v>21.164999999999999</v>
      </c>
      <c r="C2743" s="85">
        <v>2096693</v>
      </c>
      <c r="D2743" s="88">
        <v>1.510791366906461E-2</v>
      </c>
      <c r="E2743" s="87"/>
    </row>
    <row r="2744" spans="1:5" ht="15" x14ac:dyDescent="0.2">
      <c r="A2744" s="73">
        <v>40581</v>
      </c>
      <c r="B2744" s="70">
        <v>20.85</v>
      </c>
      <c r="C2744" s="85">
        <v>2008218</v>
      </c>
      <c r="D2744" s="88">
        <v>2.5325792967789473E-2</v>
      </c>
      <c r="E2744" s="87"/>
    </row>
    <row r="2745" spans="1:5" ht="15" x14ac:dyDescent="0.2">
      <c r="A2745" s="73">
        <v>40578</v>
      </c>
      <c r="B2745" s="70">
        <v>20.335000000000001</v>
      </c>
      <c r="C2745" s="85">
        <v>3964044</v>
      </c>
      <c r="D2745" s="88">
        <v>-2.0472061657032747E-2</v>
      </c>
      <c r="E2745" s="87"/>
    </row>
    <row r="2746" spans="1:5" ht="15" x14ac:dyDescent="0.2">
      <c r="A2746" s="73">
        <v>40577</v>
      </c>
      <c r="B2746" s="70">
        <v>20.76</v>
      </c>
      <c r="C2746" s="85">
        <v>2328333</v>
      </c>
      <c r="D2746" s="88">
        <v>-3.8387715930900956E-3</v>
      </c>
      <c r="E2746" s="87"/>
    </row>
    <row r="2747" spans="1:5" ht="15" x14ac:dyDescent="0.2">
      <c r="A2747" s="73">
        <v>40576</v>
      </c>
      <c r="B2747" s="70">
        <v>20.84</v>
      </c>
      <c r="C2747" s="85">
        <v>2730514</v>
      </c>
      <c r="D2747" s="88">
        <v>-6.4362336114422991E-3</v>
      </c>
      <c r="E2747" s="87"/>
    </row>
    <row r="2748" spans="1:5" ht="15" x14ac:dyDescent="0.2">
      <c r="A2748" s="73">
        <v>40575</v>
      </c>
      <c r="B2748" s="70">
        <v>20.975000000000001</v>
      </c>
      <c r="C2748" s="85">
        <v>2951076</v>
      </c>
      <c r="D2748" s="88">
        <v>-3.5629453681710332E-3</v>
      </c>
      <c r="E2748" s="87"/>
    </row>
    <row r="2749" spans="1:5" ht="15" x14ac:dyDescent="0.2">
      <c r="A2749" s="73">
        <v>40574</v>
      </c>
      <c r="B2749" s="70">
        <v>21.05</v>
      </c>
      <c r="C2749" s="85">
        <v>2917355</v>
      </c>
      <c r="D2749" s="88">
        <v>-2.7938120526437293E-2</v>
      </c>
      <c r="E2749" s="87"/>
    </row>
    <row r="2750" spans="1:5" ht="15" x14ac:dyDescent="0.2">
      <c r="A2750" s="73">
        <v>40571</v>
      </c>
      <c r="B2750" s="70">
        <v>21.655000000000001</v>
      </c>
      <c r="C2750" s="85">
        <v>3742670</v>
      </c>
      <c r="D2750" s="88">
        <v>3.2429928190873536E-3</v>
      </c>
      <c r="E2750" s="87"/>
    </row>
    <row r="2751" spans="1:5" ht="15" x14ac:dyDescent="0.2">
      <c r="A2751" s="73">
        <v>40570</v>
      </c>
      <c r="B2751" s="70">
        <v>21.585000000000001</v>
      </c>
      <c r="C2751" s="85">
        <v>4021297</v>
      </c>
      <c r="D2751" s="88">
        <v>4.0240963855421752E-2</v>
      </c>
      <c r="E2751" s="87"/>
    </row>
    <row r="2752" spans="1:5" ht="15" x14ac:dyDescent="0.2">
      <c r="A2752" s="73">
        <v>40569</v>
      </c>
      <c r="B2752" s="70">
        <v>20.75</v>
      </c>
      <c r="C2752" s="85">
        <v>4109520</v>
      </c>
      <c r="D2752" s="88">
        <v>4.8216007714563247E-4</v>
      </c>
      <c r="E2752" s="87"/>
    </row>
    <row r="2753" spans="1:7" ht="15" x14ac:dyDescent="0.2">
      <c r="A2753" s="73">
        <v>40568</v>
      </c>
      <c r="B2753" s="70">
        <v>20.74</v>
      </c>
      <c r="C2753" s="85">
        <v>2535503</v>
      </c>
      <c r="D2753" s="88">
        <v>9.7370983446931625E-3</v>
      </c>
      <c r="E2753" s="87"/>
    </row>
    <row r="2754" spans="1:7" ht="15" x14ac:dyDescent="0.2">
      <c r="A2754" s="73">
        <v>40567</v>
      </c>
      <c r="B2754" s="70">
        <v>20.54</v>
      </c>
      <c r="C2754" s="85">
        <v>2976602</v>
      </c>
      <c r="D2754" s="88">
        <v>7.356547327121099E-3</v>
      </c>
      <c r="E2754" s="87"/>
    </row>
    <row r="2755" spans="1:7" ht="15" x14ac:dyDescent="0.2">
      <c r="A2755" s="73">
        <v>40564</v>
      </c>
      <c r="B2755" s="70">
        <v>20.39</v>
      </c>
      <c r="C2755" s="85">
        <v>3238998</v>
      </c>
      <c r="D2755" s="88">
        <v>-8.2684824902722331E-3</v>
      </c>
      <c r="E2755" s="87"/>
    </row>
    <row r="2756" spans="1:7" ht="15" x14ac:dyDescent="0.2">
      <c r="A2756" s="73">
        <v>40563</v>
      </c>
      <c r="B2756" s="70">
        <v>20.56</v>
      </c>
      <c r="C2756" s="85">
        <v>3547542</v>
      </c>
      <c r="D2756" s="88">
        <v>-1.8615751789976209E-2</v>
      </c>
      <c r="E2756" s="87"/>
    </row>
    <row r="2757" spans="1:7" ht="15" x14ac:dyDescent="0.2">
      <c r="A2757" s="73">
        <v>40562</v>
      </c>
      <c r="B2757" s="70">
        <v>20.95</v>
      </c>
      <c r="C2757" s="85">
        <v>3174553</v>
      </c>
      <c r="D2757" s="88">
        <v>-2.3310023310023298E-2</v>
      </c>
      <c r="E2757" s="87"/>
    </row>
    <row r="2758" spans="1:7" ht="15" x14ac:dyDescent="0.2">
      <c r="A2758" s="73">
        <v>40561</v>
      </c>
      <c r="B2758" s="70">
        <v>21.45</v>
      </c>
      <c r="C2758" s="85">
        <v>3344963</v>
      </c>
      <c r="D2758" s="88">
        <v>3.125E-2</v>
      </c>
      <c r="E2758" s="67"/>
      <c r="F2758" s="67"/>
      <c r="G2758" s="67"/>
    </row>
    <row r="2759" spans="1:7" ht="15" x14ac:dyDescent="0.2">
      <c r="A2759" s="73">
        <v>40560</v>
      </c>
      <c r="B2759" s="70">
        <v>20.8</v>
      </c>
      <c r="C2759" s="85">
        <v>2356885</v>
      </c>
      <c r="D2759" s="88">
        <v>2.4096385542169418E-3</v>
      </c>
      <c r="E2759" s="67"/>
      <c r="F2759" s="67"/>
      <c r="G2759" s="67"/>
    </row>
    <row r="2760" spans="1:7" ht="15" x14ac:dyDescent="0.2">
      <c r="A2760" s="73">
        <v>40557</v>
      </c>
      <c r="B2760" s="70">
        <v>20.75</v>
      </c>
      <c r="C2760" s="85">
        <v>2544518</v>
      </c>
      <c r="D2760" s="88">
        <v>2.2167487684729092E-2</v>
      </c>
      <c r="E2760" s="67"/>
      <c r="F2760" s="67"/>
      <c r="G2760" s="67"/>
    </row>
    <row r="2761" spans="1:7" ht="15" x14ac:dyDescent="0.2">
      <c r="A2761" s="73">
        <v>40556</v>
      </c>
      <c r="B2761" s="70">
        <v>20.3</v>
      </c>
      <c r="C2761" s="85">
        <v>2971221</v>
      </c>
      <c r="D2761" s="88">
        <v>-9.5145157355452925E-3</v>
      </c>
      <c r="E2761" s="67"/>
      <c r="F2761" s="67"/>
      <c r="G2761" s="67"/>
    </row>
    <row r="2762" spans="1:7" ht="15" x14ac:dyDescent="0.2">
      <c r="A2762" s="73">
        <v>40555</v>
      </c>
      <c r="B2762" s="70">
        <v>20.495000000000001</v>
      </c>
      <c r="C2762" s="85">
        <v>7033006</v>
      </c>
      <c r="D2762" s="88">
        <v>2.1175884404583956E-2</v>
      </c>
      <c r="E2762" s="67"/>
      <c r="F2762" s="67"/>
      <c r="G2762" s="67"/>
    </row>
    <row r="2763" spans="1:7" ht="15" x14ac:dyDescent="0.2">
      <c r="A2763" s="73">
        <v>40554</v>
      </c>
      <c r="B2763" s="70">
        <v>20.07</v>
      </c>
      <c r="C2763" s="85">
        <v>4110495</v>
      </c>
      <c r="D2763" s="88">
        <v>4.749478079331948E-2</v>
      </c>
      <c r="E2763" s="67"/>
      <c r="F2763" s="67"/>
      <c r="G2763" s="67"/>
    </row>
    <row r="2764" spans="1:7" ht="15" x14ac:dyDescent="0.2">
      <c r="A2764" s="73">
        <v>40553</v>
      </c>
      <c r="B2764" s="70">
        <v>19.16</v>
      </c>
      <c r="C2764" s="85">
        <v>1700662</v>
      </c>
      <c r="D2764" s="88">
        <v>5.2219321148827547E-4</v>
      </c>
      <c r="E2764" s="67"/>
      <c r="F2764" s="67"/>
      <c r="G2764" s="67"/>
    </row>
    <row r="2765" spans="1:7" ht="15" x14ac:dyDescent="0.2">
      <c r="A2765" s="73">
        <v>40550</v>
      </c>
      <c r="B2765" s="70">
        <v>19.149999999999999</v>
      </c>
      <c r="C2765" s="85">
        <v>2170179</v>
      </c>
      <c r="D2765" s="88">
        <v>3.6687631027254586E-3</v>
      </c>
      <c r="E2765" s="67"/>
      <c r="F2765" s="67"/>
      <c r="G2765" s="67"/>
    </row>
    <row r="2766" spans="1:7" ht="15" x14ac:dyDescent="0.2">
      <c r="A2766" s="73">
        <v>40549</v>
      </c>
      <c r="B2766" s="70">
        <v>19.079999999999998</v>
      </c>
      <c r="C2766" s="85">
        <v>3589667</v>
      </c>
      <c r="D2766" s="88">
        <v>3.7520391517128715E-2</v>
      </c>
      <c r="E2766" s="67"/>
      <c r="F2766" s="67"/>
      <c r="G2766" s="67"/>
    </row>
    <row r="2767" spans="1:7" ht="15" x14ac:dyDescent="0.2">
      <c r="A2767" s="73">
        <v>40548</v>
      </c>
      <c r="B2767" s="70">
        <v>18.39</v>
      </c>
      <c r="C2767" s="85">
        <v>2654696</v>
      </c>
      <c r="D2767" s="88">
        <v>2.5655326268823275E-2</v>
      </c>
      <c r="E2767" s="67"/>
      <c r="F2767" s="67"/>
      <c r="G2767" s="67"/>
    </row>
    <row r="2768" spans="1:7" ht="15" x14ac:dyDescent="0.2">
      <c r="A2768" s="73">
        <v>40547</v>
      </c>
      <c r="B2768" s="70">
        <v>17.93</v>
      </c>
      <c r="C2768" s="85">
        <v>1330858</v>
      </c>
      <c r="D2768" s="88">
        <v>8.1529378689906284E-3</v>
      </c>
      <c r="E2768" s="67"/>
      <c r="F2768" s="67"/>
      <c r="G2768" s="67"/>
    </row>
    <row r="2769" spans="1:7" ht="15" x14ac:dyDescent="0.2">
      <c r="A2769" s="73">
        <v>40546</v>
      </c>
      <c r="B2769" s="70">
        <v>17.785</v>
      </c>
      <c r="C2769" s="85">
        <v>973880</v>
      </c>
      <c r="D2769" s="88">
        <v>1.9782110091743021E-2</v>
      </c>
      <c r="E2769" s="67"/>
      <c r="F2769" s="67"/>
      <c r="G2769" s="67"/>
    </row>
    <row r="2770" spans="1:7" ht="15" x14ac:dyDescent="0.2">
      <c r="A2770" s="76">
        <v>40543</v>
      </c>
      <c r="B2770" s="77">
        <v>17.440000000000001</v>
      </c>
      <c r="C2770" s="86">
        <v>452496</v>
      </c>
      <c r="D2770" s="89">
        <v>-1.8294399099352598E-2</v>
      </c>
      <c r="E2770" s="79"/>
      <c r="F2770" s="79"/>
      <c r="G2770" s="78" t="e">
        <v>#REF!</v>
      </c>
    </row>
    <row r="2771" spans="1:7" ht="15" x14ac:dyDescent="0.2">
      <c r="A2771" s="73">
        <v>40542</v>
      </c>
      <c r="B2771" s="70">
        <v>17.765000000000001</v>
      </c>
      <c r="C2771" s="85">
        <v>574952</v>
      </c>
      <c r="D2771" s="88">
        <v>-7.8190449595085809E-3</v>
      </c>
      <c r="E2771" s="67"/>
      <c r="F2771" s="67"/>
      <c r="G2771" s="67"/>
    </row>
    <row r="2772" spans="1:7" ht="15" x14ac:dyDescent="0.2">
      <c r="A2772" s="73">
        <v>40541</v>
      </c>
      <c r="B2772" s="70">
        <v>17.905000000000001</v>
      </c>
      <c r="C2772" s="85">
        <v>698881</v>
      </c>
      <c r="D2772" s="88">
        <v>1.6783216783218258E-3</v>
      </c>
      <c r="E2772" s="67"/>
      <c r="F2772" s="67"/>
      <c r="G2772" s="67"/>
    </row>
    <row r="2773" spans="1:7" ht="15" x14ac:dyDescent="0.2">
      <c r="A2773" s="73">
        <v>40540</v>
      </c>
      <c r="B2773" s="70">
        <v>17.875</v>
      </c>
      <c r="C2773" s="85">
        <v>576507</v>
      </c>
      <c r="D2773" s="88">
        <v>-8.3217753120664595E-3</v>
      </c>
      <c r="E2773" s="67"/>
      <c r="F2773" s="67"/>
      <c r="G2773" s="67"/>
    </row>
    <row r="2774" spans="1:7" ht="15" x14ac:dyDescent="0.2">
      <c r="A2774" s="73">
        <v>40539</v>
      </c>
      <c r="B2774" s="70">
        <v>18.024999999999999</v>
      </c>
      <c r="C2774" s="85">
        <v>733149</v>
      </c>
      <c r="D2774" s="88">
        <v>1.388888888888884E-3</v>
      </c>
      <c r="E2774" s="87"/>
    </row>
    <row r="2775" spans="1:7" ht="15" x14ac:dyDescent="0.2">
      <c r="A2775" s="73">
        <v>40536</v>
      </c>
      <c r="B2775" s="70">
        <v>18</v>
      </c>
      <c r="C2775" s="85">
        <v>137816</v>
      </c>
      <c r="D2775" s="88">
        <v>2.5062656641605674E-3</v>
      </c>
      <c r="E2775" s="87"/>
    </row>
    <row r="2776" spans="1:7" ht="15" x14ac:dyDescent="0.2">
      <c r="A2776" s="73">
        <v>40535</v>
      </c>
      <c r="B2776" s="70">
        <v>17.954999999999998</v>
      </c>
      <c r="C2776" s="85">
        <v>739720</v>
      </c>
      <c r="D2776" s="88">
        <v>-3.8834951456311328E-3</v>
      </c>
      <c r="E2776" s="87"/>
    </row>
    <row r="2777" spans="1:7" ht="15" x14ac:dyDescent="0.2">
      <c r="A2777" s="73">
        <v>40534</v>
      </c>
      <c r="B2777" s="70">
        <v>18.024999999999999</v>
      </c>
      <c r="C2777" s="85">
        <v>1254401</v>
      </c>
      <c r="D2777" s="88">
        <v>-1.9379844961240345E-3</v>
      </c>
      <c r="E2777" s="87"/>
    </row>
    <row r="2778" spans="1:7" ht="15" x14ac:dyDescent="0.2">
      <c r="A2778" s="73">
        <v>40533</v>
      </c>
      <c r="B2778" s="70">
        <v>18.059999999999999</v>
      </c>
      <c r="C2778" s="85">
        <v>2595142</v>
      </c>
      <c r="D2778" s="88">
        <v>9.5025153717158695E-3</v>
      </c>
      <c r="E2778" s="87"/>
    </row>
    <row r="2779" spans="1:7" ht="15" x14ac:dyDescent="0.2">
      <c r="A2779" s="73">
        <v>40532</v>
      </c>
      <c r="B2779" s="70">
        <v>17.89</v>
      </c>
      <c r="C2779" s="85">
        <v>1144334</v>
      </c>
      <c r="D2779" s="88">
        <v>1.3310676862078763E-2</v>
      </c>
      <c r="E2779" s="87"/>
    </row>
    <row r="2780" spans="1:7" ht="15" x14ac:dyDescent="0.2">
      <c r="A2780" s="73">
        <v>40529</v>
      </c>
      <c r="B2780" s="70">
        <v>17.655000000000001</v>
      </c>
      <c r="C2780" s="85">
        <v>3052696</v>
      </c>
      <c r="D2780" s="88">
        <v>-9.5371669004206128E-3</v>
      </c>
      <c r="E2780" s="87"/>
    </row>
    <row r="2781" spans="1:7" ht="15" x14ac:dyDescent="0.2">
      <c r="A2781" s="73">
        <v>40528</v>
      </c>
      <c r="B2781" s="70">
        <v>17.824999999999999</v>
      </c>
      <c r="C2781" s="85">
        <v>1516234</v>
      </c>
      <c r="D2781" s="88">
        <v>1.0201190138849459E-2</v>
      </c>
      <c r="E2781" s="87"/>
    </row>
    <row r="2782" spans="1:7" ht="15" x14ac:dyDescent="0.2">
      <c r="A2782" s="73">
        <v>40527</v>
      </c>
      <c r="B2782" s="70">
        <v>17.645</v>
      </c>
      <c r="C2782" s="85">
        <v>1605308</v>
      </c>
      <c r="D2782" s="88">
        <v>-1.0098176718092544E-2</v>
      </c>
      <c r="E2782" s="87"/>
    </row>
    <row r="2783" spans="1:7" ht="15" x14ac:dyDescent="0.2">
      <c r="A2783" s="73">
        <v>40526</v>
      </c>
      <c r="B2783" s="70">
        <v>17.824999999999999</v>
      </c>
      <c r="C2783" s="85">
        <v>1367598</v>
      </c>
      <c r="D2783" s="88">
        <v>-5.0237231370360291E-3</v>
      </c>
      <c r="E2783" s="87"/>
    </row>
    <row r="2784" spans="1:7" ht="15" x14ac:dyDescent="0.2">
      <c r="A2784" s="73">
        <v>40525</v>
      </c>
      <c r="B2784" s="70">
        <v>17.914999999999999</v>
      </c>
      <c r="C2784" s="85">
        <v>1455407</v>
      </c>
      <c r="D2784" s="88">
        <v>-3.337969401947305E-3</v>
      </c>
      <c r="E2784" s="87"/>
    </row>
    <row r="2785" spans="1:5" ht="15" x14ac:dyDescent="0.2">
      <c r="A2785" s="73">
        <v>40522</v>
      </c>
      <c r="B2785" s="70">
        <v>17.975000000000001</v>
      </c>
      <c r="C2785" s="85">
        <v>1349428</v>
      </c>
      <c r="D2785" s="88">
        <v>3.3491487580241674E-3</v>
      </c>
      <c r="E2785" s="87"/>
    </row>
    <row r="2786" spans="1:5" ht="15" x14ac:dyDescent="0.2">
      <c r="A2786" s="73">
        <v>40521</v>
      </c>
      <c r="B2786" s="70">
        <v>17.914999999999999</v>
      </c>
      <c r="C2786" s="85">
        <v>2609786</v>
      </c>
      <c r="D2786" s="88">
        <v>-3.0835812821206399E-2</v>
      </c>
      <c r="E2786" s="87"/>
    </row>
    <row r="2787" spans="1:5" ht="15" x14ac:dyDescent="0.2">
      <c r="A2787" s="73">
        <v>40520</v>
      </c>
      <c r="B2787" s="70">
        <v>18.484999999999999</v>
      </c>
      <c r="C2787" s="85">
        <v>3765605</v>
      </c>
      <c r="D2787" s="88">
        <v>3.1241283124128216E-2</v>
      </c>
      <c r="E2787" s="87"/>
    </row>
    <row r="2788" spans="1:5" ht="15" x14ac:dyDescent="0.2">
      <c r="A2788" s="73">
        <v>40519</v>
      </c>
      <c r="B2788" s="70">
        <v>17.925000000000001</v>
      </c>
      <c r="C2788" s="85">
        <v>2618619</v>
      </c>
      <c r="D2788" s="88">
        <v>3.1357882623705535E-2</v>
      </c>
      <c r="E2788" s="87"/>
    </row>
    <row r="2789" spans="1:5" ht="15" x14ac:dyDescent="0.2">
      <c r="A2789" s="73">
        <v>40518</v>
      </c>
      <c r="B2789" s="70">
        <v>17.38</v>
      </c>
      <c r="C2789" s="85">
        <v>1652875</v>
      </c>
      <c r="D2789" s="88">
        <v>-6.857142857142895E-3</v>
      </c>
      <c r="E2789" s="87"/>
    </row>
    <row r="2790" spans="1:5" ht="15" x14ac:dyDescent="0.2">
      <c r="A2790" s="73">
        <v>40515</v>
      </c>
      <c r="B2790" s="70">
        <v>17.5</v>
      </c>
      <c r="C2790" s="85">
        <v>1829017</v>
      </c>
      <c r="D2790" s="88">
        <v>-4.55062571103515E-3</v>
      </c>
      <c r="E2790" s="87"/>
    </row>
    <row r="2791" spans="1:5" ht="15" x14ac:dyDescent="0.2">
      <c r="A2791" s="73">
        <v>40514</v>
      </c>
      <c r="B2791" s="70">
        <v>17.579999999999998</v>
      </c>
      <c r="C2791" s="85">
        <v>2553541</v>
      </c>
      <c r="D2791" s="88">
        <v>5.7208237986268173E-3</v>
      </c>
      <c r="E2791" s="87"/>
    </row>
    <row r="2792" spans="1:5" ht="15" x14ac:dyDescent="0.2">
      <c r="A2792" s="73">
        <v>40513</v>
      </c>
      <c r="B2792" s="70">
        <v>17.48</v>
      </c>
      <c r="C2792" s="85">
        <v>2488697</v>
      </c>
      <c r="D2792" s="88">
        <v>1.2746234067207318E-2</v>
      </c>
      <c r="E2792" s="87"/>
    </row>
    <row r="2793" spans="1:5" ht="15" x14ac:dyDescent="0.2">
      <c r="A2793" s="73">
        <v>40512</v>
      </c>
      <c r="B2793" s="70">
        <v>17.260000000000002</v>
      </c>
      <c r="C2793" s="85">
        <v>2361408</v>
      </c>
      <c r="D2793" s="88">
        <v>2.6139994191114457E-3</v>
      </c>
      <c r="E2793" s="87"/>
    </row>
    <row r="2794" spans="1:5" ht="15" x14ac:dyDescent="0.2">
      <c r="A2794" s="73">
        <v>40511</v>
      </c>
      <c r="B2794" s="70">
        <v>17.215</v>
      </c>
      <c r="C2794" s="85">
        <v>2612065</v>
      </c>
      <c r="D2794" s="88">
        <v>-1.4032073310423887E-2</v>
      </c>
      <c r="E2794" s="87"/>
    </row>
    <row r="2795" spans="1:5" ht="15" x14ac:dyDescent="0.2">
      <c r="A2795" s="73">
        <v>40508</v>
      </c>
      <c r="B2795" s="70">
        <v>17.46</v>
      </c>
      <c r="C2795" s="85">
        <v>1417137</v>
      </c>
      <c r="D2795" s="88">
        <v>-2.2857142857142243E-3</v>
      </c>
      <c r="E2795" s="87"/>
    </row>
    <row r="2796" spans="1:5" ht="15" x14ac:dyDescent="0.2">
      <c r="A2796" s="73">
        <v>40507</v>
      </c>
      <c r="B2796" s="70">
        <v>17.5</v>
      </c>
      <c r="C2796" s="85">
        <v>1233050</v>
      </c>
      <c r="D2796" s="88">
        <v>-5.711022272987254E-4</v>
      </c>
      <c r="E2796" s="87"/>
    </row>
    <row r="2797" spans="1:5" ht="15" x14ac:dyDescent="0.2">
      <c r="A2797" s="73">
        <v>40506</v>
      </c>
      <c r="B2797" s="70">
        <v>17.510000000000002</v>
      </c>
      <c r="C2797" s="85">
        <v>4014164</v>
      </c>
      <c r="D2797" s="88">
        <v>5.0074962518740662E-2</v>
      </c>
      <c r="E2797" s="87"/>
    </row>
    <row r="2798" spans="1:5" ht="15" x14ac:dyDescent="0.2">
      <c r="A2798" s="73">
        <v>40505</v>
      </c>
      <c r="B2798" s="70">
        <v>16.675000000000001</v>
      </c>
      <c r="C2798" s="85">
        <v>2499816</v>
      </c>
      <c r="D2798" s="88">
        <v>-1.7383618149675817E-2</v>
      </c>
      <c r="E2798" s="87"/>
    </row>
    <row r="2799" spans="1:5" ht="15" x14ac:dyDescent="0.2">
      <c r="A2799" s="73">
        <v>40504</v>
      </c>
      <c r="B2799" s="70">
        <v>16.97</v>
      </c>
      <c r="C2799" s="85">
        <v>2967990</v>
      </c>
      <c r="D2799" s="88">
        <v>-2.0207852193995457E-2</v>
      </c>
      <c r="E2799" s="87"/>
    </row>
    <row r="2800" spans="1:5" ht="15" x14ac:dyDescent="0.2">
      <c r="A2800" s="73">
        <v>40501</v>
      </c>
      <c r="B2800" s="70">
        <v>17.32</v>
      </c>
      <c r="C2800" s="85">
        <v>2326639</v>
      </c>
      <c r="D2800" s="88">
        <v>0</v>
      </c>
      <c r="E2800" s="87"/>
    </row>
    <row r="2801" spans="1:5" ht="15" x14ac:dyDescent="0.2">
      <c r="A2801" s="73">
        <v>40500</v>
      </c>
      <c r="B2801" s="70">
        <v>17.32</v>
      </c>
      <c r="C2801" s="85">
        <v>3133538</v>
      </c>
      <c r="D2801" s="88">
        <v>0</v>
      </c>
      <c r="E2801" s="87"/>
    </row>
    <row r="2802" spans="1:5" ht="15" x14ac:dyDescent="0.2">
      <c r="A2802" s="73">
        <v>40499</v>
      </c>
      <c r="B2802" s="70">
        <v>17.32</v>
      </c>
      <c r="C2802" s="85">
        <v>3237535</v>
      </c>
      <c r="D2802" s="88">
        <v>7.5625363583478045E-3</v>
      </c>
      <c r="E2802" s="87"/>
    </row>
    <row r="2803" spans="1:5" ht="15" x14ac:dyDescent="0.2">
      <c r="A2803" s="73">
        <v>40498</v>
      </c>
      <c r="B2803" s="70">
        <v>17.190000000000001</v>
      </c>
      <c r="C2803" s="85">
        <v>4823891</v>
      </c>
      <c r="D2803" s="88">
        <v>-4.6589018302828578E-2</v>
      </c>
      <c r="E2803" s="87"/>
    </row>
    <row r="2804" spans="1:5" ht="15" x14ac:dyDescent="0.2">
      <c r="A2804" s="73">
        <v>40497</v>
      </c>
      <c r="B2804" s="70">
        <v>18.03</v>
      </c>
      <c r="C2804" s="85">
        <v>2624391</v>
      </c>
      <c r="D2804" s="88">
        <v>-7.1585903083699609E-3</v>
      </c>
      <c r="E2804" s="87"/>
    </row>
    <row r="2805" spans="1:5" ht="15" x14ac:dyDescent="0.2">
      <c r="A2805" s="73">
        <v>40494</v>
      </c>
      <c r="B2805" s="70">
        <v>18.16</v>
      </c>
      <c r="C2805" s="85">
        <v>6089305</v>
      </c>
      <c r="D2805" s="88">
        <v>-4.446198368850296E-2</v>
      </c>
      <c r="E2805" s="87"/>
    </row>
    <row r="2806" spans="1:5" ht="15" x14ac:dyDescent="0.2">
      <c r="A2806" s="73">
        <v>40493</v>
      </c>
      <c r="B2806" s="70">
        <v>19.004999999999999</v>
      </c>
      <c r="C2806" s="85">
        <v>2002629</v>
      </c>
      <c r="D2806" s="88">
        <v>-4.7132757266300507E-3</v>
      </c>
      <c r="E2806" s="87"/>
    </row>
    <row r="2807" spans="1:5" ht="15" x14ac:dyDescent="0.2">
      <c r="A2807" s="73">
        <v>40492</v>
      </c>
      <c r="B2807" s="70">
        <v>19.094999999999999</v>
      </c>
      <c r="C2807" s="85">
        <v>3952131</v>
      </c>
      <c r="D2807" s="88">
        <v>2.9102667744543176E-2</v>
      </c>
      <c r="E2807" s="87"/>
    </row>
    <row r="2808" spans="1:5" ht="15" x14ac:dyDescent="0.2">
      <c r="A2808" s="73">
        <v>40491</v>
      </c>
      <c r="B2808" s="70">
        <v>18.555</v>
      </c>
      <c r="C2808" s="85">
        <v>1945358</v>
      </c>
      <c r="D2808" s="88">
        <v>1.8898488120950852E-3</v>
      </c>
      <c r="E2808" s="87"/>
    </row>
    <row r="2809" spans="1:5" ht="15" x14ac:dyDescent="0.2">
      <c r="A2809" s="73">
        <v>40490</v>
      </c>
      <c r="B2809" s="70">
        <v>18.52</v>
      </c>
      <c r="C2809" s="85">
        <v>2131563</v>
      </c>
      <c r="D2809" s="88">
        <v>6.521739130434856E-3</v>
      </c>
      <c r="E2809" s="87"/>
    </row>
    <row r="2810" spans="1:5" ht="15" x14ac:dyDescent="0.2">
      <c r="A2810" s="73">
        <v>40487</v>
      </c>
      <c r="B2810" s="70">
        <v>18.399999999999999</v>
      </c>
      <c r="C2810" s="85">
        <v>3940217</v>
      </c>
      <c r="D2810" s="88">
        <v>7.9430293070390512E-3</v>
      </c>
      <c r="E2810" s="87"/>
    </row>
    <row r="2811" spans="1:5" ht="15" x14ac:dyDescent="0.2">
      <c r="A2811" s="73">
        <v>40486</v>
      </c>
      <c r="B2811" s="70">
        <v>18.254999999999999</v>
      </c>
      <c r="C2811" s="85">
        <v>6612637</v>
      </c>
      <c r="D2811" s="88">
        <v>-4.0473061760840978E-2</v>
      </c>
      <c r="E2811" s="87"/>
    </row>
    <row r="2812" spans="1:5" ht="15" x14ac:dyDescent="0.2">
      <c r="A2812" s="73">
        <v>40485</v>
      </c>
      <c r="B2812" s="70">
        <v>19.024999999999999</v>
      </c>
      <c r="C2812" s="85">
        <v>1587438</v>
      </c>
      <c r="D2812" s="88">
        <v>-1.3226141078838349E-2</v>
      </c>
      <c r="E2812" s="87"/>
    </row>
    <row r="2813" spans="1:5" ht="15" x14ac:dyDescent="0.2">
      <c r="A2813" s="73">
        <v>40484</v>
      </c>
      <c r="B2813" s="70">
        <v>19.28</v>
      </c>
      <c r="C2813" s="85">
        <v>1889118</v>
      </c>
      <c r="D2813" s="88">
        <v>8.1045751633987972E-3</v>
      </c>
      <c r="E2813" s="87"/>
    </row>
    <row r="2814" spans="1:5" ht="15" x14ac:dyDescent="0.2">
      <c r="A2814" s="73">
        <v>40483</v>
      </c>
      <c r="B2814" s="70">
        <v>19.125</v>
      </c>
      <c r="C2814" s="85">
        <v>1336037</v>
      </c>
      <c r="D2814" s="88">
        <v>1.2708498808578161E-2</v>
      </c>
      <c r="E2814" s="87"/>
    </row>
    <row r="2815" spans="1:5" ht="15" x14ac:dyDescent="0.2">
      <c r="A2815" s="73">
        <v>40480</v>
      </c>
      <c r="B2815" s="70">
        <v>18.885000000000002</v>
      </c>
      <c r="C2815" s="85">
        <v>1992771</v>
      </c>
      <c r="D2815" s="88">
        <v>1.4777001612036544E-2</v>
      </c>
      <c r="E2815" s="87"/>
    </row>
    <row r="2816" spans="1:5" ht="15" x14ac:dyDescent="0.2">
      <c r="A2816" s="73">
        <v>40479</v>
      </c>
      <c r="B2816" s="70">
        <v>18.61</v>
      </c>
      <c r="C2816" s="85">
        <v>1761408</v>
      </c>
      <c r="D2816" s="88">
        <v>1.2238237693771969E-2</v>
      </c>
      <c r="E2816" s="87"/>
    </row>
    <row r="2817" spans="1:5" ht="15" x14ac:dyDescent="0.2">
      <c r="A2817" s="73">
        <v>40478</v>
      </c>
      <c r="B2817" s="70">
        <v>18.385000000000002</v>
      </c>
      <c r="C2817" s="85">
        <v>2361521</v>
      </c>
      <c r="D2817" s="88">
        <v>7.1213366201041683E-3</v>
      </c>
      <c r="E2817" s="87"/>
    </row>
    <row r="2818" spans="1:5" ht="15" x14ac:dyDescent="0.2">
      <c r="A2818" s="73">
        <v>40477</v>
      </c>
      <c r="B2818" s="70">
        <v>18.254999999999999</v>
      </c>
      <c r="C2818" s="85">
        <v>1731165</v>
      </c>
      <c r="D2818" s="88">
        <v>9.121061359867344E-3</v>
      </c>
      <c r="E2818" s="87"/>
    </row>
    <row r="2819" spans="1:5" ht="15" x14ac:dyDescent="0.2">
      <c r="A2819" s="73">
        <v>40476</v>
      </c>
      <c r="B2819" s="70">
        <v>18.09</v>
      </c>
      <c r="C2819" s="85">
        <v>1983507</v>
      </c>
      <c r="D2819" s="88">
        <v>-1.8448182311448735E-2</v>
      </c>
      <c r="E2819" s="87"/>
    </row>
    <row r="2820" spans="1:5" ht="15" x14ac:dyDescent="0.2">
      <c r="A2820" s="73">
        <v>40473</v>
      </c>
      <c r="B2820" s="70">
        <v>18.43</v>
      </c>
      <c r="C2820" s="85">
        <v>1005117</v>
      </c>
      <c r="D2820" s="88">
        <v>-1.0840108401083404E-3</v>
      </c>
      <c r="E2820" s="87"/>
    </row>
    <row r="2821" spans="1:5" ht="15" x14ac:dyDescent="0.2">
      <c r="A2821" s="73">
        <v>40472</v>
      </c>
      <c r="B2821" s="70">
        <v>18.45</v>
      </c>
      <c r="C2821" s="85">
        <v>1950496</v>
      </c>
      <c r="D2821" s="88">
        <v>1.3736263736263687E-2</v>
      </c>
      <c r="E2821" s="87"/>
    </row>
    <row r="2822" spans="1:5" ht="15" x14ac:dyDescent="0.2">
      <c r="A2822" s="73">
        <v>40471</v>
      </c>
      <c r="B2822" s="70">
        <v>18.2</v>
      </c>
      <c r="C2822" s="85">
        <v>1940705</v>
      </c>
      <c r="D2822" s="88">
        <v>0</v>
      </c>
      <c r="E2822" s="87"/>
    </row>
    <row r="2823" spans="1:5" ht="15" x14ac:dyDescent="0.2">
      <c r="A2823" s="73">
        <v>40470</v>
      </c>
      <c r="B2823" s="70">
        <v>18.2</v>
      </c>
      <c r="C2823" s="85">
        <v>2595792</v>
      </c>
      <c r="D2823" s="88">
        <v>1.5058561070830923E-2</v>
      </c>
      <c r="E2823" s="87"/>
    </row>
    <row r="2824" spans="1:5" ht="15" x14ac:dyDescent="0.2">
      <c r="A2824" s="73">
        <v>40469</v>
      </c>
      <c r="B2824" s="70">
        <v>17.93</v>
      </c>
      <c r="C2824" s="85">
        <v>2021237</v>
      </c>
      <c r="D2824" s="88">
        <v>1.5576323987538832E-2</v>
      </c>
      <c r="E2824" s="87"/>
    </row>
    <row r="2825" spans="1:5" ht="15" x14ac:dyDescent="0.2">
      <c r="A2825" s="73">
        <v>40466</v>
      </c>
      <c r="B2825" s="70">
        <v>17.655000000000001</v>
      </c>
      <c r="C2825" s="85">
        <v>3261407</v>
      </c>
      <c r="D2825" s="88">
        <v>-2.7004684486084285E-2</v>
      </c>
      <c r="E2825" s="87"/>
    </row>
    <row r="2826" spans="1:5" ht="15" x14ac:dyDescent="0.2">
      <c r="A2826" s="73">
        <v>40465</v>
      </c>
      <c r="B2826" s="70">
        <v>18.145</v>
      </c>
      <c r="C2826" s="85">
        <v>2519939</v>
      </c>
      <c r="D2826" s="88">
        <v>-1.7861975642760597E-2</v>
      </c>
      <c r="E2826" s="87"/>
    </row>
    <row r="2827" spans="1:5" ht="15" x14ac:dyDescent="0.2">
      <c r="A2827" s="73">
        <v>40464</v>
      </c>
      <c r="B2827" s="70">
        <v>18.475000000000001</v>
      </c>
      <c r="C2827" s="85">
        <v>1773294</v>
      </c>
      <c r="D2827" s="88">
        <v>9.0114691425451365E-3</v>
      </c>
      <c r="E2827" s="87"/>
    </row>
    <row r="2828" spans="1:5" ht="15" x14ac:dyDescent="0.2">
      <c r="A2828" s="73">
        <v>40463</v>
      </c>
      <c r="B2828" s="70">
        <v>18.309999999999999</v>
      </c>
      <c r="C2828" s="85">
        <v>3676389</v>
      </c>
      <c r="D2828" s="88">
        <v>1.6657412548583883E-2</v>
      </c>
      <c r="E2828" s="87"/>
    </row>
    <row r="2829" spans="1:5" ht="15" x14ac:dyDescent="0.2">
      <c r="A2829" s="73">
        <v>40462</v>
      </c>
      <c r="B2829" s="70">
        <v>18.010000000000002</v>
      </c>
      <c r="C2829" s="85">
        <v>3825556</v>
      </c>
      <c r="D2829" s="88">
        <v>1.9471488178024465E-3</v>
      </c>
      <c r="E2829" s="87"/>
    </row>
    <row r="2830" spans="1:5" ht="15" x14ac:dyDescent="0.2">
      <c r="A2830" s="73">
        <v>40459</v>
      </c>
      <c r="B2830" s="70">
        <v>17.975000000000001</v>
      </c>
      <c r="C2830" s="85">
        <v>2349861</v>
      </c>
      <c r="D2830" s="88">
        <v>5.8757694459989906E-3</v>
      </c>
      <c r="E2830" s="87"/>
    </row>
    <row r="2831" spans="1:5" ht="15" x14ac:dyDescent="0.2">
      <c r="A2831" s="73">
        <v>40458</v>
      </c>
      <c r="B2831" s="70">
        <v>17.87</v>
      </c>
      <c r="C2831" s="85">
        <v>2507547</v>
      </c>
      <c r="D2831" s="88">
        <v>-1.1068068622025362E-2</v>
      </c>
      <c r="E2831" s="87"/>
    </row>
    <row r="2832" spans="1:5" ht="15" x14ac:dyDescent="0.2">
      <c r="A2832" s="73">
        <v>40457</v>
      </c>
      <c r="B2832" s="70">
        <v>18.07</v>
      </c>
      <c r="C2832" s="85">
        <v>3770149</v>
      </c>
      <c r="D2832" s="88">
        <v>-2.8494623655914042E-2</v>
      </c>
      <c r="E2832" s="87"/>
    </row>
    <row r="2833" spans="1:5" ht="15" x14ac:dyDescent="0.2">
      <c r="A2833" s="73">
        <v>40456</v>
      </c>
      <c r="B2833" s="70">
        <v>18.600000000000001</v>
      </c>
      <c r="C2833" s="85">
        <v>1944389</v>
      </c>
      <c r="D2833" s="88">
        <v>2.3102310231023271E-2</v>
      </c>
      <c r="E2833" s="87"/>
    </row>
    <row r="2834" spans="1:5" ht="15" x14ac:dyDescent="0.2">
      <c r="A2834" s="73">
        <v>40455</v>
      </c>
      <c r="B2834" s="70">
        <v>18.18</v>
      </c>
      <c r="C2834" s="85">
        <v>1934624</v>
      </c>
      <c r="D2834" s="88">
        <v>5.530973451327581E-3</v>
      </c>
      <c r="E2834" s="87"/>
    </row>
    <row r="2835" spans="1:5" ht="15" x14ac:dyDescent="0.2">
      <c r="A2835" s="73">
        <v>40452</v>
      </c>
      <c r="B2835" s="70">
        <v>18.079999999999998</v>
      </c>
      <c r="C2835" s="85">
        <v>2997897</v>
      </c>
      <c r="D2835" s="88">
        <v>-1.1751844766329733E-2</v>
      </c>
      <c r="E2835" s="87"/>
    </row>
    <row r="2836" spans="1:5" ht="15" x14ac:dyDescent="0.2">
      <c r="A2836" s="73">
        <v>40451</v>
      </c>
      <c r="B2836" s="70">
        <v>18.295000000000002</v>
      </c>
      <c r="C2836" s="85">
        <v>2466255</v>
      </c>
      <c r="D2836" s="88">
        <v>-2.4006401707121872E-2</v>
      </c>
      <c r="E2836" s="87"/>
    </row>
    <row r="2837" spans="1:5" ht="15" x14ac:dyDescent="0.2">
      <c r="A2837" s="73">
        <v>40450</v>
      </c>
      <c r="B2837" s="70">
        <v>18.745000000000001</v>
      </c>
      <c r="C2837" s="85">
        <v>2807534</v>
      </c>
      <c r="D2837" s="88">
        <v>-1.5493697478991542E-2</v>
      </c>
      <c r="E2837" s="87"/>
    </row>
    <row r="2838" spans="1:5" ht="15" x14ac:dyDescent="0.2">
      <c r="A2838" s="73">
        <v>40449</v>
      </c>
      <c r="B2838" s="70">
        <v>19.04</v>
      </c>
      <c r="C2838" s="85">
        <v>2862441</v>
      </c>
      <c r="D2838" s="88">
        <v>-1.1422637590862039E-2</v>
      </c>
      <c r="E2838" s="87"/>
    </row>
    <row r="2839" spans="1:5" ht="15" x14ac:dyDescent="0.2">
      <c r="A2839" s="73">
        <v>40448</v>
      </c>
      <c r="B2839" s="70">
        <v>19.260000000000002</v>
      </c>
      <c r="C2839" s="85">
        <v>1299480</v>
      </c>
      <c r="D2839" s="88">
        <v>5.1948051948058627E-4</v>
      </c>
      <c r="E2839" s="87"/>
    </row>
    <row r="2840" spans="1:5" ht="15" x14ac:dyDescent="0.2">
      <c r="A2840" s="73">
        <v>40445</v>
      </c>
      <c r="B2840" s="70">
        <v>19.25</v>
      </c>
      <c r="C2840" s="85">
        <v>4486680</v>
      </c>
      <c r="D2840" s="88">
        <v>3.801563763817728E-2</v>
      </c>
      <c r="E2840" s="87"/>
    </row>
    <row r="2841" spans="1:5" ht="15" x14ac:dyDescent="0.2">
      <c r="A2841" s="73">
        <v>40444</v>
      </c>
      <c r="B2841" s="70">
        <v>18.545000000000002</v>
      </c>
      <c r="C2841" s="85">
        <v>2315066</v>
      </c>
      <c r="D2841" s="88">
        <v>-2.0338087691494922E-2</v>
      </c>
      <c r="E2841" s="87"/>
    </row>
    <row r="2842" spans="1:5" ht="15" x14ac:dyDescent="0.2">
      <c r="A2842" s="73">
        <v>40443</v>
      </c>
      <c r="B2842" s="70">
        <v>18.93</v>
      </c>
      <c r="C2842" s="85">
        <v>3544446</v>
      </c>
      <c r="D2842" s="88">
        <v>-3.3937228884919568E-2</v>
      </c>
      <c r="E2842" s="87"/>
    </row>
    <row r="2843" spans="1:5" ht="15" x14ac:dyDescent="0.2">
      <c r="A2843" s="73">
        <v>40442</v>
      </c>
      <c r="B2843" s="70">
        <v>19.594999999999999</v>
      </c>
      <c r="C2843" s="85">
        <v>2314886</v>
      </c>
      <c r="D2843" s="88">
        <v>1.4233954451345676E-2</v>
      </c>
      <c r="E2843" s="87"/>
    </row>
    <row r="2844" spans="1:5" ht="15" x14ac:dyDescent="0.2">
      <c r="A2844" s="73">
        <v>40441</v>
      </c>
      <c r="B2844" s="70">
        <v>19.32</v>
      </c>
      <c r="C2844" s="85">
        <v>2190885</v>
      </c>
      <c r="D2844" s="88">
        <v>2.0871862615587933E-2</v>
      </c>
      <c r="E2844" s="87"/>
    </row>
    <row r="2845" spans="1:5" ht="15" x14ac:dyDescent="0.2">
      <c r="A2845" s="73">
        <v>40438</v>
      </c>
      <c r="B2845" s="70">
        <v>18.925000000000001</v>
      </c>
      <c r="C2845" s="85">
        <v>3933755</v>
      </c>
      <c r="D2845" s="88">
        <v>1.4745308310992078E-2</v>
      </c>
      <c r="E2845" s="87"/>
    </row>
    <row r="2846" spans="1:5" ht="15" x14ac:dyDescent="0.2">
      <c r="A2846" s="73">
        <v>40437</v>
      </c>
      <c r="B2846" s="70">
        <v>18.649999999999999</v>
      </c>
      <c r="C2846" s="85">
        <v>2224341</v>
      </c>
      <c r="D2846" s="88">
        <v>-1.7904160084254883E-2</v>
      </c>
      <c r="E2846" s="87"/>
    </row>
    <row r="2847" spans="1:5" ht="15" x14ac:dyDescent="0.2">
      <c r="A2847" s="73">
        <v>40436</v>
      </c>
      <c r="B2847" s="70">
        <v>18.989999999999998</v>
      </c>
      <c r="C2847" s="85">
        <v>1216221</v>
      </c>
      <c r="D2847" s="88">
        <v>-9.9061522419187087E-3</v>
      </c>
      <c r="E2847" s="87"/>
    </row>
    <row r="2848" spans="1:5" ht="15" x14ac:dyDescent="0.2">
      <c r="A2848" s="73">
        <v>40435</v>
      </c>
      <c r="B2848" s="70">
        <v>19.18</v>
      </c>
      <c r="C2848" s="85">
        <v>1594113</v>
      </c>
      <c r="D2848" s="88">
        <v>-1.561686621551317E-3</v>
      </c>
      <c r="E2848" s="87"/>
    </row>
    <row r="2849" spans="1:5" ht="15" x14ac:dyDescent="0.2">
      <c r="A2849" s="73">
        <v>40434</v>
      </c>
      <c r="B2849" s="70">
        <v>19.21</v>
      </c>
      <c r="C2849" s="85">
        <v>2180905</v>
      </c>
      <c r="D2849" s="88">
        <v>1.1318768096867604E-2</v>
      </c>
      <c r="E2849" s="87"/>
    </row>
    <row r="2850" spans="1:5" ht="15" x14ac:dyDescent="0.2">
      <c r="A2850" s="73">
        <v>40431</v>
      </c>
      <c r="B2850" s="70">
        <v>18.995000000000001</v>
      </c>
      <c r="C2850" s="85">
        <v>2938943</v>
      </c>
      <c r="D2850" s="88">
        <v>1.9592055823939969E-2</v>
      </c>
      <c r="E2850" s="87"/>
    </row>
    <row r="2851" spans="1:5" ht="15" x14ac:dyDescent="0.2">
      <c r="A2851" s="73">
        <v>40430</v>
      </c>
      <c r="B2851" s="70">
        <v>18.63</v>
      </c>
      <c r="C2851" s="85">
        <v>2706389</v>
      </c>
      <c r="D2851" s="88">
        <v>3.4138218151540389E-2</v>
      </c>
      <c r="E2851" s="87"/>
    </row>
    <row r="2852" spans="1:5" ht="15" x14ac:dyDescent="0.2">
      <c r="A2852" s="73">
        <v>40429</v>
      </c>
      <c r="B2852" s="70">
        <v>18.015000000000001</v>
      </c>
      <c r="C2852" s="85">
        <v>2011418</v>
      </c>
      <c r="D2852" s="88">
        <v>-8.5305448541552753E-3</v>
      </c>
      <c r="E2852" s="87"/>
    </row>
    <row r="2853" spans="1:5" ht="15" x14ac:dyDescent="0.2">
      <c r="A2853" s="73">
        <v>40428</v>
      </c>
      <c r="B2853" s="70">
        <v>18.170000000000002</v>
      </c>
      <c r="C2853" s="85">
        <v>1279467</v>
      </c>
      <c r="D2853" s="88">
        <v>6.0908084163899812E-3</v>
      </c>
      <c r="E2853" s="87"/>
    </row>
    <row r="2854" spans="1:5" ht="15" x14ac:dyDescent="0.2">
      <c r="A2854" s="73">
        <v>40427</v>
      </c>
      <c r="B2854" s="70">
        <v>18.059999999999999</v>
      </c>
      <c r="C2854" s="85">
        <v>1670365</v>
      </c>
      <c r="D2854" s="88">
        <v>-4.6844860843208158E-3</v>
      </c>
      <c r="E2854" s="87"/>
    </row>
    <row r="2855" spans="1:5" ht="15" x14ac:dyDescent="0.2">
      <c r="A2855" s="73">
        <v>40424</v>
      </c>
      <c r="B2855" s="70">
        <v>18.145</v>
      </c>
      <c r="C2855" s="85">
        <v>1794181</v>
      </c>
      <c r="D2855" s="88">
        <v>-1.1710239651416154E-2</v>
      </c>
      <c r="E2855" s="87"/>
    </row>
    <row r="2856" spans="1:5" ht="15" x14ac:dyDescent="0.2">
      <c r="A2856" s="73">
        <v>40423</v>
      </c>
      <c r="B2856" s="70">
        <v>18.36</v>
      </c>
      <c r="C2856" s="85">
        <v>2071691</v>
      </c>
      <c r="D2856" s="88">
        <v>2.7995520716685318E-2</v>
      </c>
      <c r="E2856" s="87"/>
    </row>
    <row r="2857" spans="1:5" ht="15" x14ac:dyDescent="0.2">
      <c r="A2857" s="73">
        <v>40422</v>
      </c>
      <c r="B2857" s="70">
        <v>17.86</v>
      </c>
      <c r="C2857" s="85">
        <v>2273016</v>
      </c>
      <c r="D2857" s="88">
        <v>2.8505614742297736E-2</v>
      </c>
      <c r="E2857" s="87"/>
    </row>
    <row r="2858" spans="1:5" ht="15" x14ac:dyDescent="0.2">
      <c r="A2858" s="73">
        <v>40421</v>
      </c>
      <c r="B2858" s="70">
        <v>17.364999999999998</v>
      </c>
      <c r="C2858" s="85">
        <v>1710408</v>
      </c>
      <c r="D2858" s="88">
        <v>2.8876696505917288E-3</v>
      </c>
      <c r="E2858" s="87"/>
    </row>
    <row r="2859" spans="1:5" ht="15" x14ac:dyDescent="0.2">
      <c r="A2859" s="73">
        <v>40420</v>
      </c>
      <c r="B2859" s="70">
        <v>17.315000000000001</v>
      </c>
      <c r="C2859" s="85">
        <v>820406</v>
      </c>
      <c r="D2859" s="88">
        <v>-4.0264595916019719E-3</v>
      </c>
      <c r="E2859" s="87"/>
    </row>
    <row r="2860" spans="1:5" ht="15" x14ac:dyDescent="0.2">
      <c r="A2860" s="73">
        <v>40417</v>
      </c>
      <c r="B2860" s="70">
        <v>17.385000000000002</v>
      </c>
      <c r="C2860" s="85">
        <v>4532746</v>
      </c>
      <c r="D2860" s="88">
        <v>-3.1476323119776994E-2</v>
      </c>
      <c r="E2860" s="87"/>
    </row>
    <row r="2861" spans="1:5" ht="15" x14ac:dyDescent="0.2">
      <c r="A2861" s="73">
        <v>40416</v>
      </c>
      <c r="B2861" s="70">
        <v>17.95</v>
      </c>
      <c r="C2861" s="85">
        <v>1622685</v>
      </c>
      <c r="D2861" s="88">
        <v>1.3947001394698511E-3</v>
      </c>
      <c r="E2861" s="87"/>
    </row>
    <row r="2862" spans="1:5" ht="15" x14ac:dyDescent="0.2">
      <c r="A2862" s="73">
        <v>40415</v>
      </c>
      <c r="B2862" s="70">
        <v>17.925000000000001</v>
      </c>
      <c r="C2862" s="85">
        <v>2584710</v>
      </c>
      <c r="D2862" s="88">
        <v>-2.4489795918367308E-2</v>
      </c>
      <c r="E2862" s="87"/>
    </row>
    <row r="2863" spans="1:5" ht="15" x14ac:dyDescent="0.2">
      <c r="A2863" s="73">
        <v>40414</v>
      </c>
      <c r="B2863" s="70">
        <v>18.375</v>
      </c>
      <c r="C2863" s="85">
        <v>2808123</v>
      </c>
      <c r="D2863" s="88">
        <v>-8.0971659919027994E-3</v>
      </c>
      <c r="E2863" s="87"/>
    </row>
    <row r="2864" spans="1:5" ht="15" x14ac:dyDescent="0.2">
      <c r="A2864" s="73">
        <v>40413</v>
      </c>
      <c r="B2864" s="70">
        <v>18.524999999999999</v>
      </c>
      <c r="C2864" s="85">
        <v>2942471</v>
      </c>
      <c r="D2864" s="88">
        <v>3.5205364626990754E-2</v>
      </c>
      <c r="E2864" s="87"/>
    </row>
    <row r="2865" spans="1:5" ht="15" x14ac:dyDescent="0.2">
      <c r="A2865" s="73">
        <v>40410</v>
      </c>
      <c r="B2865" s="70">
        <v>17.895</v>
      </c>
      <c r="C2865" s="85">
        <v>3362179</v>
      </c>
      <c r="D2865" s="88">
        <v>-1.7567938512215275E-2</v>
      </c>
      <c r="E2865" s="87"/>
    </row>
    <row r="2866" spans="1:5" ht="15" x14ac:dyDescent="0.2">
      <c r="A2866" s="73">
        <v>40409</v>
      </c>
      <c r="B2866" s="70">
        <v>18.215</v>
      </c>
      <c r="C2866" s="85">
        <v>1968168</v>
      </c>
      <c r="D2866" s="88">
        <v>-1.4339826839826819E-2</v>
      </c>
      <c r="E2866" s="87"/>
    </row>
    <row r="2867" spans="1:5" ht="15" x14ac:dyDescent="0.2">
      <c r="A2867" s="73">
        <v>40408</v>
      </c>
      <c r="B2867" s="70">
        <v>18.48</v>
      </c>
      <c r="C2867" s="85">
        <v>1369957</v>
      </c>
      <c r="D2867" s="88">
        <v>2.4410089503661414E-3</v>
      </c>
      <c r="E2867" s="87"/>
    </row>
    <row r="2868" spans="1:5" ht="15" x14ac:dyDescent="0.2">
      <c r="A2868" s="73">
        <v>40407</v>
      </c>
      <c r="B2868" s="70">
        <v>18.434999999999999</v>
      </c>
      <c r="C2868" s="85">
        <v>1662316</v>
      </c>
      <c r="D2868" s="88">
        <v>1.7945886250690268E-2</v>
      </c>
      <c r="E2868" s="87"/>
    </row>
    <row r="2869" spans="1:5" ht="15" x14ac:dyDescent="0.2">
      <c r="A2869" s="73">
        <v>40406</v>
      </c>
      <c r="B2869" s="70">
        <v>18.11</v>
      </c>
      <c r="C2869" s="85">
        <v>1625665</v>
      </c>
      <c r="D2869" s="88">
        <v>4.7156726768378121E-3</v>
      </c>
      <c r="E2869" s="87"/>
    </row>
    <row r="2870" spans="1:5" ht="15" x14ac:dyDescent="0.2">
      <c r="A2870" s="73">
        <v>40403</v>
      </c>
      <c r="B2870" s="70">
        <v>18.024999999999999</v>
      </c>
      <c r="C2870" s="85">
        <v>1252061</v>
      </c>
      <c r="D2870" s="88">
        <v>-7.7071290944124016E-3</v>
      </c>
      <c r="E2870" s="87"/>
    </row>
    <row r="2871" spans="1:5" ht="15" x14ac:dyDescent="0.2">
      <c r="A2871" s="73">
        <v>40402</v>
      </c>
      <c r="B2871" s="70">
        <v>18.164999999999999</v>
      </c>
      <c r="C2871" s="85">
        <v>2278313</v>
      </c>
      <c r="D2871" s="88">
        <v>1.7362083450013888E-2</v>
      </c>
      <c r="E2871" s="87"/>
    </row>
    <row r="2872" spans="1:5" ht="15" x14ac:dyDescent="0.2">
      <c r="A2872" s="73">
        <v>40401</v>
      </c>
      <c r="B2872" s="70">
        <v>17.855</v>
      </c>
      <c r="C2872" s="85">
        <v>2018369</v>
      </c>
      <c r="D2872" s="88">
        <v>-2.4050286963651302E-2</v>
      </c>
      <c r="E2872" s="87"/>
    </row>
    <row r="2873" spans="1:5" ht="15" x14ac:dyDescent="0.2">
      <c r="A2873" s="73">
        <v>40400</v>
      </c>
      <c r="B2873" s="70">
        <v>18.295000000000002</v>
      </c>
      <c r="C2873" s="85">
        <v>1810696</v>
      </c>
      <c r="D2873" s="88">
        <v>-3.8115981486521733E-3</v>
      </c>
      <c r="E2873" s="87"/>
    </row>
    <row r="2874" spans="1:5" ht="15" x14ac:dyDescent="0.2">
      <c r="A2874" s="73">
        <v>40399</v>
      </c>
      <c r="B2874" s="70">
        <v>18.364999999999998</v>
      </c>
      <c r="C2874" s="85">
        <v>2041517</v>
      </c>
      <c r="D2874" s="88">
        <v>-9.4390507011866687E-3</v>
      </c>
      <c r="E2874" s="87"/>
    </row>
    <row r="2875" spans="1:5" ht="15" x14ac:dyDescent="0.2">
      <c r="A2875" s="73">
        <v>40396</v>
      </c>
      <c r="B2875" s="70">
        <v>18.54</v>
      </c>
      <c r="C2875" s="85">
        <v>2700672</v>
      </c>
      <c r="D2875" s="88">
        <v>-7.2289156626507145E-3</v>
      </c>
      <c r="E2875" s="87"/>
    </row>
    <row r="2876" spans="1:5" ht="15" x14ac:dyDescent="0.2">
      <c r="A2876" s="73">
        <v>40395</v>
      </c>
      <c r="B2876" s="70">
        <v>18.675000000000001</v>
      </c>
      <c r="C2876" s="85">
        <v>4052385</v>
      </c>
      <c r="D2876" s="88">
        <v>2.9492833517089423E-2</v>
      </c>
      <c r="E2876" s="87"/>
    </row>
    <row r="2877" spans="1:5" ht="15" x14ac:dyDescent="0.2">
      <c r="A2877" s="73">
        <v>40394</v>
      </c>
      <c r="B2877" s="70">
        <v>18.14</v>
      </c>
      <c r="C2877" s="85">
        <v>2041822</v>
      </c>
      <c r="D2877" s="88">
        <v>7.2182121043864456E-3</v>
      </c>
      <c r="E2877" s="87"/>
    </row>
    <row r="2878" spans="1:5" ht="15" x14ac:dyDescent="0.2">
      <c r="A2878" s="73">
        <v>40393</v>
      </c>
      <c r="B2878" s="70">
        <v>18.010000000000002</v>
      </c>
      <c r="C2878" s="85">
        <v>2026502</v>
      </c>
      <c r="D2878" s="88">
        <v>-3.5961272475794059E-3</v>
      </c>
      <c r="E2878" s="87"/>
    </row>
    <row r="2879" spans="1:5" ht="15" x14ac:dyDescent="0.2">
      <c r="A2879" s="73">
        <v>40392</v>
      </c>
      <c r="B2879" s="70">
        <v>18.074999999999999</v>
      </c>
      <c r="C2879" s="85">
        <v>2353222</v>
      </c>
      <c r="D2879" s="88">
        <v>-5.7755775577558177E-3</v>
      </c>
      <c r="E2879" s="87"/>
    </row>
    <row r="2880" spans="1:5" ht="15" x14ac:dyDescent="0.2">
      <c r="A2880" s="73">
        <v>40389</v>
      </c>
      <c r="B2880" s="70">
        <v>18.18</v>
      </c>
      <c r="C2880" s="85">
        <v>3849612</v>
      </c>
      <c r="D2880" s="88">
        <v>3.3835655388114727E-2</v>
      </c>
      <c r="E2880" s="87"/>
    </row>
    <row r="2881" spans="1:5" ht="15" x14ac:dyDescent="0.2">
      <c r="A2881" s="73">
        <v>40388</v>
      </c>
      <c r="B2881" s="70">
        <v>17.585000000000001</v>
      </c>
      <c r="C2881" s="85">
        <v>2470497</v>
      </c>
      <c r="D2881" s="88">
        <v>7.1592210767468245E-3</v>
      </c>
      <c r="E2881" s="87"/>
    </row>
    <row r="2882" spans="1:5" ht="15" x14ac:dyDescent="0.2">
      <c r="A2882" s="73">
        <v>40387</v>
      </c>
      <c r="B2882" s="70">
        <v>17.46</v>
      </c>
      <c r="C2882" s="85">
        <v>4034433</v>
      </c>
      <c r="D2882" s="88">
        <v>-2.0005715918833822E-3</v>
      </c>
      <c r="E2882" s="87"/>
    </row>
    <row r="2883" spans="1:5" ht="15" x14ac:dyDescent="0.2">
      <c r="A2883" s="73">
        <v>40386</v>
      </c>
      <c r="B2883" s="70">
        <v>17.495000000000001</v>
      </c>
      <c r="C2883" s="85">
        <v>2426765</v>
      </c>
      <c r="D2883" s="88">
        <v>-2.5348189415041689E-2</v>
      </c>
      <c r="E2883" s="87"/>
    </row>
    <row r="2884" spans="1:5" ht="15" x14ac:dyDescent="0.2">
      <c r="A2884" s="73">
        <v>40385</v>
      </c>
      <c r="B2884" s="70">
        <v>17.95</v>
      </c>
      <c r="C2884" s="85">
        <v>2103290</v>
      </c>
      <c r="D2884" s="88">
        <v>-3.6081043574799354E-3</v>
      </c>
      <c r="E2884" s="87"/>
    </row>
    <row r="2885" spans="1:5" ht="15" x14ac:dyDescent="0.2">
      <c r="A2885" s="73">
        <v>40382</v>
      </c>
      <c r="B2885" s="70">
        <v>18.015000000000001</v>
      </c>
      <c r="C2885" s="85">
        <v>3032022</v>
      </c>
      <c r="D2885" s="88">
        <v>3.8328530259365889E-2</v>
      </c>
      <c r="E2885" s="87"/>
    </row>
    <row r="2886" spans="1:5" ht="15" x14ac:dyDescent="0.2">
      <c r="A2886" s="73">
        <v>40381</v>
      </c>
      <c r="B2886" s="70">
        <v>17.350000000000001</v>
      </c>
      <c r="C2886" s="85">
        <v>5119879</v>
      </c>
      <c r="D2886" s="88">
        <v>5.8895331095514258E-2</v>
      </c>
      <c r="E2886" s="87"/>
    </row>
    <row r="2887" spans="1:5" ht="15" x14ac:dyDescent="0.2">
      <c r="A2887" s="73">
        <v>40380</v>
      </c>
      <c r="B2887" s="70">
        <v>16.385000000000002</v>
      </c>
      <c r="C2887" s="85">
        <v>2114626</v>
      </c>
      <c r="D2887" s="88">
        <v>1.8967661691542403E-2</v>
      </c>
      <c r="E2887" s="87"/>
    </row>
    <row r="2888" spans="1:5" ht="15" x14ac:dyDescent="0.2">
      <c r="A2888" s="73">
        <v>40379</v>
      </c>
      <c r="B2888" s="70">
        <v>16.079999999999998</v>
      </c>
      <c r="C2888" s="85">
        <v>2627645</v>
      </c>
      <c r="D2888" s="88">
        <v>-2.8692237994563663E-2</v>
      </c>
      <c r="E2888" s="87"/>
    </row>
    <row r="2889" spans="1:5" ht="15" x14ac:dyDescent="0.2">
      <c r="A2889" s="73">
        <v>40378</v>
      </c>
      <c r="B2889" s="70">
        <v>16.555</v>
      </c>
      <c r="C2889" s="85">
        <v>1952096</v>
      </c>
      <c r="D2889" s="88">
        <v>8.221680876979276E-3</v>
      </c>
      <c r="E2889" s="87"/>
    </row>
    <row r="2890" spans="1:5" ht="15" x14ac:dyDescent="0.2">
      <c r="A2890" s="73">
        <v>40375</v>
      </c>
      <c r="B2890" s="70">
        <v>16.420000000000002</v>
      </c>
      <c r="C2890" s="85">
        <v>3127061</v>
      </c>
      <c r="D2890" s="88">
        <v>-7.8549848942597311E-3</v>
      </c>
      <c r="E2890" s="87"/>
    </row>
    <row r="2891" spans="1:5" ht="15" x14ac:dyDescent="0.2">
      <c r="A2891" s="73">
        <v>40374</v>
      </c>
      <c r="B2891" s="70">
        <v>16.55</v>
      </c>
      <c r="C2891" s="85">
        <v>3767216</v>
      </c>
      <c r="D2891" s="88">
        <v>-4.857717734981315E-2</v>
      </c>
      <c r="E2891" s="87"/>
    </row>
    <row r="2892" spans="1:5" ht="15" x14ac:dyDescent="0.2">
      <c r="A2892" s="73">
        <v>40373</v>
      </c>
      <c r="B2892" s="70">
        <v>17.395</v>
      </c>
      <c r="C2892" s="85">
        <v>1269166</v>
      </c>
      <c r="D2892" s="88">
        <v>-1.4726706315491445E-2</v>
      </c>
      <c r="E2892" s="87"/>
    </row>
    <row r="2893" spans="1:5" ht="15" x14ac:dyDescent="0.2">
      <c r="A2893" s="73">
        <v>40372</v>
      </c>
      <c r="B2893" s="70">
        <v>17.655000000000001</v>
      </c>
      <c r="C2893" s="85">
        <v>2604702</v>
      </c>
      <c r="D2893" s="88">
        <v>2.9446064139941885E-2</v>
      </c>
      <c r="E2893" s="87"/>
    </row>
    <row r="2894" spans="1:5" ht="15" x14ac:dyDescent="0.2">
      <c r="A2894" s="73">
        <v>40371</v>
      </c>
      <c r="B2894" s="70">
        <v>17.149999999999999</v>
      </c>
      <c r="C2894" s="85">
        <v>1400886</v>
      </c>
      <c r="D2894" s="88">
        <v>8.2304526748968598E-3</v>
      </c>
      <c r="E2894" s="87"/>
    </row>
    <row r="2895" spans="1:5" ht="15" x14ac:dyDescent="0.2">
      <c r="A2895" s="73">
        <v>40368</v>
      </c>
      <c r="B2895" s="70">
        <v>17.010000000000002</v>
      </c>
      <c r="C2895" s="85">
        <v>1204614</v>
      </c>
      <c r="D2895" s="88">
        <v>5.3191489361701372E-3</v>
      </c>
      <c r="E2895" s="87"/>
    </row>
    <row r="2896" spans="1:5" ht="15" x14ac:dyDescent="0.2">
      <c r="A2896" s="73">
        <v>40367</v>
      </c>
      <c r="B2896" s="70">
        <v>16.920000000000002</v>
      </c>
      <c r="C2896" s="85">
        <v>1447929</v>
      </c>
      <c r="D2896" s="88">
        <v>9.8478066248881557E-3</v>
      </c>
      <c r="E2896" s="87"/>
    </row>
    <row r="2897" spans="1:5" ht="15" x14ac:dyDescent="0.2">
      <c r="A2897" s="73">
        <v>40366</v>
      </c>
      <c r="B2897" s="70">
        <v>16.754999999999999</v>
      </c>
      <c r="C2897" s="85">
        <v>1836992</v>
      </c>
      <c r="D2897" s="88">
        <v>2.3831347387717638E-2</v>
      </c>
      <c r="E2897" s="87"/>
    </row>
    <row r="2898" spans="1:5" ht="15" x14ac:dyDescent="0.2">
      <c r="A2898" s="73">
        <v>40365</v>
      </c>
      <c r="B2898" s="70">
        <v>16.364999999999998</v>
      </c>
      <c r="C2898" s="85">
        <v>1615965</v>
      </c>
      <c r="D2898" s="88">
        <v>1.1746522411128169E-2</v>
      </c>
      <c r="E2898" s="87"/>
    </row>
    <row r="2899" spans="1:5" ht="15" x14ac:dyDescent="0.2">
      <c r="A2899" s="73">
        <v>40364</v>
      </c>
      <c r="B2899" s="70">
        <v>16.175000000000001</v>
      </c>
      <c r="C2899" s="85">
        <v>1746277</v>
      </c>
      <c r="D2899" s="88">
        <v>2.3734177215189778E-2</v>
      </c>
      <c r="E2899" s="87"/>
    </row>
    <row r="2900" spans="1:5" ht="15" x14ac:dyDescent="0.2">
      <c r="A2900" s="73">
        <v>40361</v>
      </c>
      <c r="B2900" s="70">
        <v>15.8</v>
      </c>
      <c r="C2900" s="85">
        <v>3452634</v>
      </c>
      <c r="D2900" s="88">
        <v>-3.5703387244430895E-2</v>
      </c>
      <c r="E2900" s="87"/>
    </row>
    <row r="2901" spans="1:5" ht="15" x14ac:dyDescent="0.2">
      <c r="A2901" s="73">
        <v>40360</v>
      </c>
      <c r="B2901" s="70">
        <v>16.385000000000002</v>
      </c>
      <c r="C2901" s="85">
        <v>3097236</v>
      </c>
      <c r="D2901" s="88">
        <v>-2.874925903971548E-2</v>
      </c>
      <c r="E2901" s="87"/>
    </row>
    <row r="2902" spans="1:5" ht="15" x14ac:dyDescent="0.2">
      <c r="A2902" s="73">
        <v>40359</v>
      </c>
      <c r="B2902" s="70">
        <v>16.87</v>
      </c>
      <c r="C2902" s="85">
        <v>2255990</v>
      </c>
      <c r="D2902" s="88">
        <v>-7.938841517200701E-3</v>
      </c>
      <c r="E2902" s="87"/>
    </row>
    <row r="2903" spans="1:5" ht="15" x14ac:dyDescent="0.2">
      <c r="A2903" s="73">
        <v>40358</v>
      </c>
      <c r="B2903" s="70">
        <v>17.004999999999999</v>
      </c>
      <c r="C2903" s="85">
        <v>2418779</v>
      </c>
      <c r="D2903" s="88">
        <v>-3.3806818181818299E-2</v>
      </c>
      <c r="E2903" s="87"/>
    </row>
    <row r="2904" spans="1:5" ht="15" x14ac:dyDescent="0.2">
      <c r="A2904" s="73">
        <v>40357</v>
      </c>
      <c r="B2904" s="70">
        <v>17.600000000000001</v>
      </c>
      <c r="C2904" s="85">
        <v>1374775</v>
      </c>
      <c r="D2904" s="88">
        <v>6.0017147756501465E-3</v>
      </c>
      <c r="E2904" s="87"/>
    </row>
    <row r="2905" spans="1:5" ht="15" x14ac:dyDescent="0.2">
      <c r="A2905" s="73">
        <v>40354</v>
      </c>
      <c r="B2905" s="70">
        <v>17.495000000000001</v>
      </c>
      <c r="C2905" s="85">
        <v>1862389</v>
      </c>
      <c r="D2905" s="88">
        <v>-5.4007959067651212E-3</v>
      </c>
      <c r="E2905" s="87"/>
    </row>
    <row r="2906" spans="1:5" ht="15" x14ac:dyDescent="0.2">
      <c r="A2906" s="73">
        <v>40353</v>
      </c>
      <c r="B2906" s="70">
        <v>17.59</v>
      </c>
      <c r="C2906" s="85">
        <v>2669425</v>
      </c>
      <c r="D2906" s="88">
        <v>-2.032859927596764E-2</v>
      </c>
      <c r="E2906" s="87"/>
    </row>
    <row r="2907" spans="1:5" ht="15" x14ac:dyDescent="0.2">
      <c r="A2907" s="73">
        <v>40352</v>
      </c>
      <c r="B2907" s="70">
        <v>17.954999999999998</v>
      </c>
      <c r="C2907" s="85">
        <v>2255743</v>
      </c>
      <c r="D2907" s="88">
        <v>-5.5663790704152394E-4</v>
      </c>
      <c r="E2907" s="87"/>
    </row>
    <row r="2908" spans="1:5" ht="15" x14ac:dyDescent="0.2">
      <c r="A2908" s="73">
        <v>40351</v>
      </c>
      <c r="B2908" s="70">
        <v>17.965</v>
      </c>
      <c r="C2908" s="85">
        <v>2516181</v>
      </c>
      <c r="D2908" s="88">
        <v>5.0349650349650332E-3</v>
      </c>
      <c r="E2908" s="87"/>
    </row>
    <row r="2909" spans="1:5" ht="15" x14ac:dyDescent="0.2">
      <c r="A2909" s="73">
        <v>40350</v>
      </c>
      <c r="B2909" s="70">
        <v>17.875</v>
      </c>
      <c r="C2909" s="85">
        <v>1943683</v>
      </c>
      <c r="D2909" s="88">
        <v>-3.0674846625766694E-3</v>
      </c>
      <c r="E2909" s="87"/>
    </row>
    <row r="2910" spans="1:5" ht="15" x14ac:dyDescent="0.2">
      <c r="A2910" s="73">
        <v>40347</v>
      </c>
      <c r="B2910" s="70">
        <v>17.93</v>
      </c>
      <c r="C2910" s="85">
        <v>6415404</v>
      </c>
      <c r="D2910" s="88">
        <v>-3.0581039755351869E-3</v>
      </c>
      <c r="E2910" s="87"/>
    </row>
    <row r="2911" spans="1:5" ht="15" x14ac:dyDescent="0.2">
      <c r="A2911" s="73">
        <v>40346</v>
      </c>
      <c r="B2911" s="70">
        <v>17.984999999999999</v>
      </c>
      <c r="C2911" s="85">
        <v>2507735</v>
      </c>
      <c r="D2911" s="88">
        <v>-3.6011080332410961E-3</v>
      </c>
      <c r="E2911" s="87"/>
    </row>
    <row r="2912" spans="1:5" ht="15" x14ac:dyDescent="0.2">
      <c r="A2912" s="73">
        <v>40345</v>
      </c>
      <c r="B2912" s="70">
        <v>18.05</v>
      </c>
      <c r="C2912" s="85">
        <v>4125761</v>
      </c>
      <c r="D2912" s="88">
        <v>-1.741970604246057E-2</v>
      </c>
      <c r="E2912" s="87"/>
    </row>
    <row r="2913" spans="1:5" ht="15" x14ac:dyDescent="0.2">
      <c r="A2913" s="73">
        <v>40344</v>
      </c>
      <c r="B2913" s="70">
        <v>18.37</v>
      </c>
      <c r="C2913" s="85">
        <v>2572391</v>
      </c>
      <c r="D2913" s="88">
        <v>2.7292576419213344E-3</v>
      </c>
      <c r="E2913" s="87"/>
    </row>
    <row r="2914" spans="1:5" ht="15" x14ac:dyDescent="0.2">
      <c r="A2914" s="73">
        <v>40343</v>
      </c>
      <c r="B2914" s="70">
        <v>18.32</v>
      </c>
      <c r="C2914" s="85">
        <v>3056312</v>
      </c>
      <c r="D2914" s="88">
        <v>3.8254463020685803E-2</v>
      </c>
      <c r="E2914" s="87"/>
    </row>
    <row r="2915" spans="1:5" ht="15" x14ac:dyDescent="0.2">
      <c r="A2915" s="73">
        <v>40340</v>
      </c>
      <c r="B2915" s="70">
        <v>17.645</v>
      </c>
      <c r="C2915" s="85">
        <v>4170833</v>
      </c>
      <c r="D2915" s="88">
        <v>-1.8904642757853751E-2</v>
      </c>
      <c r="E2915" s="87"/>
    </row>
    <row r="2916" spans="1:5" ht="15" x14ac:dyDescent="0.2">
      <c r="A2916" s="73">
        <v>40339</v>
      </c>
      <c r="B2916" s="70">
        <v>17.984999999999999</v>
      </c>
      <c r="C2916" s="85">
        <v>4769140</v>
      </c>
      <c r="D2916" s="88">
        <v>4.4425087108014072E-2</v>
      </c>
      <c r="E2916" s="87"/>
    </row>
    <row r="2917" spans="1:5" ht="15" x14ac:dyDescent="0.2">
      <c r="A2917" s="73">
        <v>40338</v>
      </c>
      <c r="B2917" s="70">
        <v>17.22</v>
      </c>
      <c r="C2917" s="85">
        <v>7280784</v>
      </c>
      <c r="D2917" s="88">
        <v>6.1325115562403498E-2</v>
      </c>
      <c r="E2917" s="87"/>
    </row>
    <row r="2918" spans="1:5" ht="15" x14ac:dyDescent="0.2">
      <c r="A2918" s="73">
        <v>40337</v>
      </c>
      <c r="B2918" s="70">
        <v>16.225000000000001</v>
      </c>
      <c r="C2918" s="85">
        <v>2860213</v>
      </c>
      <c r="D2918" s="88">
        <v>5.8896466212028376E-3</v>
      </c>
      <c r="E2918" s="87"/>
    </row>
    <row r="2919" spans="1:5" ht="15" x14ac:dyDescent="0.2">
      <c r="A2919" s="73">
        <v>40336</v>
      </c>
      <c r="B2919" s="70">
        <v>16.13</v>
      </c>
      <c r="C2919" s="85">
        <v>2934158</v>
      </c>
      <c r="D2919" s="88">
        <v>2.4860161591049312E-3</v>
      </c>
      <c r="E2919" s="87"/>
    </row>
    <row r="2920" spans="1:5" ht="15" x14ac:dyDescent="0.2">
      <c r="A2920" s="73">
        <v>40333</v>
      </c>
      <c r="B2920" s="70">
        <v>16.09</v>
      </c>
      <c r="C2920" s="85">
        <v>2297729</v>
      </c>
      <c r="D2920" s="88">
        <v>-1.2580546179809859E-2</v>
      </c>
      <c r="E2920" s="87"/>
    </row>
    <row r="2921" spans="1:5" ht="15" x14ac:dyDescent="0.2">
      <c r="A2921" s="73">
        <v>40332</v>
      </c>
      <c r="B2921" s="70">
        <v>16.295000000000002</v>
      </c>
      <c r="C2921" s="85">
        <v>1843918</v>
      </c>
      <c r="D2921" s="88">
        <v>1.5264797507788197E-2</v>
      </c>
      <c r="E2921" s="87"/>
    </row>
    <row r="2922" spans="1:5" ht="15" x14ac:dyDescent="0.2">
      <c r="A2922" s="73">
        <v>40331</v>
      </c>
      <c r="B2922" s="70">
        <v>16.05</v>
      </c>
      <c r="C2922" s="85">
        <v>1932914</v>
      </c>
      <c r="D2922" s="88">
        <v>-3.1142946122697523E-4</v>
      </c>
      <c r="E2922" s="87"/>
    </row>
    <row r="2923" spans="1:5" ht="15" x14ac:dyDescent="0.2">
      <c r="A2923" s="73">
        <v>40330</v>
      </c>
      <c r="B2923" s="70">
        <v>16.055</v>
      </c>
      <c r="C2923" s="85">
        <v>2697922</v>
      </c>
      <c r="D2923" s="88">
        <v>-1.4426028238182953E-2</v>
      </c>
      <c r="E2923" s="87"/>
    </row>
    <row r="2924" spans="1:5" ht="15" x14ac:dyDescent="0.2">
      <c r="A2924" s="73">
        <v>40329</v>
      </c>
      <c r="B2924" s="70">
        <v>16.29</v>
      </c>
      <c r="C2924" s="85">
        <v>1051717</v>
      </c>
      <c r="D2924" s="88">
        <v>1.2744793285669687E-2</v>
      </c>
      <c r="E2924" s="87"/>
    </row>
    <row r="2925" spans="1:5" ht="15" x14ac:dyDescent="0.2">
      <c r="A2925" s="73">
        <v>40326</v>
      </c>
      <c r="B2925" s="70">
        <v>16.085000000000001</v>
      </c>
      <c r="C2925" s="85">
        <v>2897010</v>
      </c>
      <c r="D2925" s="88">
        <v>3.4310667498440584E-3</v>
      </c>
      <c r="E2925" s="87"/>
    </row>
    <row r="2926" spans="1:5" ht="15" x14ac:dyDescent="0.2">
      <c r="A2926" s="73">
        <v>40325</v>
      </c>
      <c r="B2926" s="70">
        <v>16.03</v>
      </c>
      <c r="C2926" s="85">
        <v>3190672</v>
      </c>
      <c r="D2926" s="88">
        <v>1.6809387884554328E-2</v>
      </c>
      <c r="E2926" s="87"/>
    </row>
    <row r="2927" spans="1:5" ht="15" x14ac:dyDescent="0.2">
      <c r="A2927" s="73">
        <v>40324</v>
      </c>
      <c r="B2927" s="70">
        <v>15.765000000000001</v>
      </c>
      <c r="C2927" s="85">
        <v>3050474</v>
      </c>
      <c r="D2927" s="88">
        <v>3.3093053735255618E-2</v>
      </c>
      <c r="E2927" s="87"/>
    </row>
    <row r="2928" spans="1:5" ht="15" x14ac:dyDescent="0.2">
      <c r="A2928" s="73">
        <v>40323</v>
      </c>
      <c r="B2928" s="70">
        <v>15.26</v>
      </c>
      <c r="C2928" s="85">
        <v>4066673</v>
      </c>
      <c r="D2928" s="88">
        <v>-2.6785714285714302E-2</v>
      </c>
      <c r="E2928" s="87"/>
    </row>
    <row r="2929" spans="1:5" ht="15" x14ac:dyDescent="0.2">
      <c r="A2929" s="73">
        <v>40322</v>
      </c>
      <c r="B2929" s="70">
        <v>15.68</v>
      </c>
      <c r="C2929" s="85">
        <v>2572953</v>
      </c>
      <c r="D2929" s="88">
        <v>-1.0725552050473208E-2</v>
      </c>
      <c r="E2929" s="87"/>
    </row>
    <row r="2930" spans="1:5" ht="15" x14ac:dyDescent="0.2">
      <c r="A2930" s="73">
        <v>40319</v>
      </c>
      <c r="B2930" s="70">
        <v>15.85</v>
      </c>
      <c r="C2930" s="85">
        <v>5259844</v>
      </c>
      <c r="D2930" s="88">
        <v>-1.1537262238852541E-2</v>
      </c>
      <c r="E2930" s="87"/>
    </row>
    <row r="2931" spans="1:5" ht="15" x14ac:dyDescent="0.2">
      <c r="A2931" s="73">
        <v>40318</v>
      </c>
      <c r="B2931" s="70">
        <v>16.035</v>
      </c>
      <c r="C2931" s="85">
        <v>6888881</v>
      </c>
      <c r="D2931" s="88">
        <v>-1.9865525672371542E-2</v>
      </c>
      <c r="E2931" s="87"/>
    </row>
    <row r="2932" spans="1:5" ht="15" x14ac:dyDescent="0.2">
      <c r="A2932" s="73">
        <v>40317</v>
      </c>
      <c r="B2932" s="70">
        <v>16.36</v>
      </c>
      <c r="C2932" s="85">
        <v>5948266</v>
      </c>
      <c r="D2932" s="88">
        <v>-3.6513545347467646E-2</v>
      </c>
      <c r="E2932" s="87"/>
    </row>
    <row r="2933" spans="1:5" ht="15" x14ac:dyDescent="0.2">
      <c r="A2933" s="73">
        <v>40316</v>
      </c>
      <c r="B2933" s="70">
        <v>16.98</v>
      </c>
      <c r="C2933" s="85">
        <v>8549961</v>
      </c>
      <c r="D2933" s="88">
        <v>6.1581744295092333E-2</v>
      </c>
      <c r="E2933" s="87"/>
    </row>
    <row r="2934" spans="1:5" ht="15" x14ac:dyDescent="0.2">
      <c r="A2934" s="73">
        <v>40315</v>
      </c>
      <c r="B2934" s="70">
        <v>15.994999999999999</v>
      </c>
      <c r="C2934" s="85">
        <v>8937798</v>
      </c>
      <c r="D2934" s="88">
        <v>-1.9613852283175137E-2</v>
      </c>
      <c r="E2934" s="87"/>
    </row>
    <row r="2935" spans="1:5" ht="15" x14ac:dyDescent="0.2">
      <c r="A2935" s="73">
        <v>40312</v>
      </c>
      <c r="B2935" s="70">
        <v>16.315000000000001</v>
      </c>
      <c r="C2935" s="85">
        <v>10494524</v>
      </c>
      <c r="D2935" s="88">
        <v>5.0547327752736848E-2</v>
      </c>
      <c r="E2935" s="87"/>
    </row>
    <row r="2936" spans="1:5" ht="15" x14ac:dyDescent="0.2">
      <c r="A2936" s="73">
        <v>40311</v>
      </c>
      <c r="B2936" s="70">
        <v>15.53</v>
      </c>
      <c r="C2936" s="85">
        <v>3608774</v>
      </c>
      <c r="D2936" s="88">
        <v>8.7690808704123935E-3</v>
      </c>
      <c r="E2936" s="87"/>
    </row>
    <row r="2937" spans="1:5" ht="15" x14ac:dyDescent="0.2">
      <c r="A2937" s="73">
        <v>40310</v>
      </c>
      <c r="B2937" s="70">
        <v>15.395</v>
      </c>
      <c r="C2937" s="85">
        <v>6574246</v>
      </c>
      <c r="D2937" s="88">
        <v>5.0853242320819003E-2</v>
      </c>
      <c r="E2937" s="87"/>
    </row>
    <row r="2938" spans="1:5" ht="15" x14ac:dyDescent="0.2">
      <c r="A2938" s="73">
        <v>40309</v>
      </c>
      <c r="B2938" s="70">
        <v>14.65</v>
      </c>
      <c r="C2938" s="85">
        <v>6142705</v>
      </c>
      <c r="D2938" s="88">
        <v>3.4969975273754894E-2</v>
      </c>
      <c r="E2938" s="87"/>
    </row>
    <row r="2939" spans="1:5" ht="15" x14ac:dyDescent="0.2">
      <c r="A2939" s="73">
        <v>40308</v>
      </c>
      <c r="B2939" s="70">
        <v>14.154999999999999</v>
      </c>
      <c r="C2939" s="85">
        <v>5008909</v>
      </c>
      <c r="D2939" s="88">
        <v>4.4264109184802614E-2</v>
      </c>
      <c r="E2939" s="87"/>
    </row>
    <row r="2940" spans="1:5" ht="15" x14ac:dyDescent="0.2">
      <c r="A2940" s="73">
        <v>40305</v>
      </c>
      <c r="B2940" s="70">
        <v>13.555</v>
      </c>
      <c r="C2940" s="85">
        <v>6141556</v>
      </c>
      <c r="D2940" s="88">
        <v>-2.8315412186379896E-2</v>
      </c>
      <c r="E2940" s="87"/>
    </row>
    <row r="2941" spans="1:5" ht="15" x14ac:dyDescent="0.2">
      <c r="A2941" s="73">
        <v>40304</v>
      </c>
      <c r="B2941" s="70">
        <v>13.95</v>
      </c>
      <c r="C2941" s="85">
        <v>5300977</v>
      </c>
      <c r="D2941" s="88">
        <v>1.0503440782325235E-2</v>
      </c>
      <c r="E2941" s="87"/>
    </row>
    <row r="2942" spans="1:5" ht="15" x14ac:dyDescent="0.2">
      <c r="A2942" s="73">
        <v>40303</v>
      </c>
      <c r="B2942" s="70">
        <v>13.805</v>
      </c>
      <c r="C2942" s="85">
        <v>5598980</v>
      </c>
      <c r="D2942" s="88">
        <v>1.0984987184181616E-2</v>
      </c>
      <c r="E2942" s="87"/>
    </row>
    <row r="2943" spans="1:5" ht="15" x14ac:dyDescent="0.2">
      <c r="A2943" s="73">
        <v>40302</v>
      </c>
      <c r="B2943" s="70">
        <v>13.654999999999999</v>
      </c>
      <c r="C2943" s="85">
        <v>3592352</v>
      </c>
      <c r="D2943" s="88">
        <v>-1.4079422382671458E-2</v>
      </c>
      <c r="E2943" s="87"/>
    </row>
    <row r="2944" spans="1:5" ht="15" x14ac:dyDescent="0.2">
      <c r="A2944" s="73">
        <v>40301</v>
      </c>
      <c r="B2944" s="70">
        <v>13.85</v>
      </c>
      <c r="C2944" s="85">
        <v>2402160</v>
      </c>
      <c r="D2944" s="88">
        <v>-1.282965074839626E-2</v>
      </c>
      <c r="E2944" s="87"/>
    </row>
    <row r="2945" spans="1:5" ht="15" x14ac:dyDescent="0.2">
      <c r="A2945" s="73">
        <v>40298</v>
      </c>
      <c r="B2945" s="70">
        <v>14.03</v>
      </c>
      <c r="C2945" s="85">
        <v>2194558</v>
      </c>
      <c r="D2945" s="88">
        <v>-1.3014421385860064E-2</v>
      </c>
      <c r="E2945" s="87"/>
    </row>
    <row r="2946" spans="1:5" ht="15" x14ac:dyDescent="0.2">
      <c r="A2946" s="73">
        <v>40297</v>
      </c>
      <c r="B2946" s="70">
        <v>14.215</v>
      </c>
      <c r="C2946" s="85">
        <v>3600854</v>
      </c>
      <c r="D2946" s="88">
        <v>1.9727403156384549E-2</v>
      </c>
      <c r="E2946" s="87"/>
    </row>
    <row r="2947" spans="1:5" ht="15" x14ac:dyDescent="0.2">
      <c r="A2947" s="73">
        <v>40296</v>
      </c>
      <c r="B2947" s="70">
        <v>13.94</v>
      </c>
      <c r="C2947" s="85">
        <v>3653830</v>
      </c>
      <c r="D2947" s="88">
        <v>-6.768792304951976E-3</v>
      </c>
      <c r="E2947" s="87"/>
    </row>
    <row r="2948" spans="1:5" ht="15" x14ac:dyDescent="0.2">
      <c r="A2948" s="73">
        <v>40295</v>
      </c>
      <c r="B2948" s="70">
        <v>14.035</v>
      </c>
      <c r="C2948" s="85">
        <v>2478897</v>
      </c>
      <c r="D2948" s="88">
        <v>-3.7709976002742618E-2</v>
      </c>
      <c r="E2948" s="87"/>
    </row>
    <row r="2949" spans="1:5" ht="15" x14ac:dyDescent="0.2">
      <c r="A2949" s="73">
        <v>40294</v>
      </c>
      <c r="B2949" s="70">
        <v>14.585000000000001</v>
      </c>
      <c r="C2949" s="85">
        <v>1380980</v>
      </c>
      <c r="D2949" s="88">
        <v>4.8225973131243993E-3</v>
      </c>
      <c r="E2949" s="87"/>
    </row>
    <row r="2950" spans="1:5" ht="15" x14ac:dyDescent="0.2">
      <c r="A2950" s="73">
        <v>40291</v>
      </c>
      <c r="B2950" s="70">
        <v>14.515000000000001</v>
      </c>
      <c r="C2950" s="85">
        <v>1825225</v>
      </c>
      <c r="D2950" s="88">
        <v>1.0442046641141678E-2</v>
      </c>
      <c r="E2950" s="87"/>
    </row>
    <row r="2951" spans="1:5" ht="15" x14ac:dyDescent="0.2">
      <c r="A2951" s="73">
        <v>40290</v>
      </c>
      <c r="B2951" s="70">
        <v>14.365</v>
      </c>
      <c r="C2951" s="85">
        <v>2988639</v>
      </c>
      <c r="D2951" s="88">
        <v>-1.4746227709190651E-2</v>
      </c>
      <c r="E2951" s="87"/>
    </row>
    <row r="2952" spans="1:5" ht="15" x14ac:dyDescent="0.2">
      <c r="A2952" s="73">
        <v>40289</v>
      </c>
      <c r="B2952" s="70">
        <v>14.58</v>
      </c>
      <c r="C2952" s="85">
        <v>2124287</v>
      </c>
      <c r="D2952" s="88">
        <v>-3.7581141100102577E-3</v>
      </c>
      <c r="E2952" s="87"/>
    </row>
    <row r="2953" spans="1:5" ht="15" x14ac:dyDescent="0.2">
      <c r="A2953" s="73">
        <v>40288</v>
      </c>
      <c r="B2953" s="70">
        <v>14.635</v>
      </c>
      <c r="C2953" s="85">
        <v>1438662</v>
      </c>
      <c r="D2953" s="88">
        <v>1.5261879986125715E-2</v>
      </c>
      <c r="E2953" s="87"/>
    </row>
    <row r="2954" spans="1:5" ht="15" x14ac:dyDescent="0.2">
      <c r="A2954" s="73">
        <v>40287</v>
      </c>
      <c r="B2954" s="70">
        <v>14.414999999999999</v>
      </c>
      <c r="C2954" s="85">
        <v>2147005</v>
      </c>
      <c r="D2954" s="88">
        <v>-1.3347022587269053E-2</v>
      </c>
      <c r="E2954" s="87"/>
    </row>
    <row r="2955" spans="1:5" ht="15" x14ac:dyDescent="0.2">
      <c r="A2955" s="73">
        <v>40284</v>
      </c>
      <c r="B2955" s="70">
        <v>14.61</v>
      </c>
      <c r="C2955" s="85">
        <v>2385064</v>
      </c>
      <c r="D2955" s="88">
        <v>-1.0497798848628559E-2</v>
      </c>
      <c r="E2955" s="87"/>
    </row>
    <row r="2956" spans="1:5" ht="15" x14ac:dyDescent="0.2">
      <c r="A2956" s="73">
        <v>40283</v>
      </c>
      <c r="B2956" s="70">
        <v>14.765000000000001</v>
      </c>
      <c r="C2956" s="85">
        <v>1962999</v>
      </c>
      <c r="D2956" s="88">
        <v>4.4217687074830092E-3</v>
      </c>
      <c r="E2956" s="87"/>
    </row>
    <row r="2957" spans="1:5" ht="15" x14ac:dyDescent="0.2">
      <c r="A2957" s="73">
        <v>40282</v>
      </c>
      <c r="B2957" s="70">
        <v>14.7</v>
      </c>
      <c r="C2957" s="85">
        <v>2896487</v>
      </c>
      <c r="D2957" s="88">
        <v>1.2745435756114309E-2</v>
      </c>
      <c r="E2957" s="87"/>
    </row>
    <row r="2958" spans="1:5" ht="15" x14ac:dyDescent="0.2">
      <c r="A2958" s="73">
        <v>40281</v>
      </c>
      <c r="B2958" s="70">
        <v>14.515000000000001</v>
      </c>
      <c r="C2958" s="85">
        <v>2732230</v>
      </c>
      <c r="D2958" s="88">
        <v>-1.7597292724196301E-2</v>
      </c>
      <c r="E2958" s="87"/>
    </row>
    <row r="2959" spans="1:5" ht="15" x14ac:dyDescent="0.2">
      <c r="A2959" s="73">
        <v>40280</v>
      </c>
      <c r="B2959" s="70">
        <v>14.775</v>
      </c>
      <c r="C2959" s="85">
        <v>1270263</v>
      </c>
      <c r="D2959" s="88">
        <v>-8.3892617449664586E-3</v>
      </c>
      <c r="E2959" s="87"/>
    </row>
    <row r="2960" spans="1:5" ht="15" x14ac:dyDescent="0.2">
      <c r="A2960" s="73">
        <v>40277</v>
      </c>
      <c r="B2960" s="70">
        <v>14.9</v>
      </c>
      <c r="C2960" s="85">
        <v>2442427</v>
      </c>
      <c r="D2960" s="88">
        <v>2.4759284731774578E-2</v>
      </c>
      <c r="E2960" s="87"/>
    </row>
    <row r="2961" spans="1:5" ht="15" x14ac:dyDescent="0.2">
      <c r="A2961" s="73">
        <v>40276</v>
      </c>
      <c r="B2961" s="70">
        <v>14.54</v>
      </c>
      <c r="C2961" s="85">
        <v>4213155</v>
      </c>
      <c r="D2961" s="88">
        <v>-3.0020013342228258E-2</v>
      </c>
      <c r="E2961" s="87"/>
    </row>
    <row r="2962" spans="1:5" ht="15" x14ac:dyDescent="0.2">
      <c r="A2962" s="73">
        <v>40275</v>
      </c>
      <c r="B2962" s="70">
        <v>14.99</v>
      </c>
      <c r="C2962" s="85">
        <v>2323951</v>
      </c>
      <c r="D2962" s="88">
        <v>-1.0234400792340614E-2</v>
      </c>
      <c r="E2962" s="87"/>
    </row>
    <row r="2963" spans="1:5" ht="15" x14ac:dyDescent="0.2">
      <c r="A2963" s="73">
        <v>40274</v>
      </c>
      <c r="B2963" s="70">
        <v>15.145</v>
      </c>
      <c r="C2963" s="85">
        <v>1803174</v>
      </c>
      <c r="D2963" s="88">
        <v>-6.5595277140045871E-3</v>
      </c>
      <c r="E2963" s="87"/>
    </row>
    <row r="2964" spans="1:5" ht="15" x14ac:dyDescent="0.2">
      <c r="A2964" s="73">
        <v>40269</v>
      </c>
      <c r="B2964" s="70">
        <v>15.244999999999999</v>
      </c>
      <c r="C2964" s="85">
        <v>1678336</v>
      </c>
      <c r="D2964" s="88">
        <v>2.3497818059751596E-2</v>
      </c>
      <c r="E2964" s="87"/>
    </row>
    <row r="2965" spans="1:5" ht="15" x14ac:dyDescent="0.2">
      <c r="A2965" s="73">
        <v>40268</v>
      </c>
      <c r="B2965" s="70">
        <v>14.895</v>
      </c>
      <c r="C2965" s="85">
        <v>1510262</v>
      </c>
      <c r="D2965" s="88">
        <v>1.0080645161290036E-3</v>
      </c>
      <c r="E2965" s="87"/>
    </row>
    <row r="2966" spans="1:5" ht="15" x14ac:dyDescent="0.2">
      <c r="A2966" s="73">
        <v>40267</v>
      </c>
      <c r="B2966" s="70">
        <v>14.88</v>
      </c>
      <c r="C2966" s="85">
        <v>2453158</v>
      </c>
      <c r="D2966" s="88">
        <v>-2.7768703038222764E-2</v>
      </c>
      <c r="E2966" s="87"/>
    </row>
    <row r="2967" spans="1:5" ht="15" x14ac:dyDescent="0.2">
      <c r="A2967" s="73">
        <v>40266</v>
      </c>
      <c r="B2967" s="70">
        <v>15.305</v>
      </c>
      <c r="C2967" s="85">
        <v>1176440</v>
      </c>
      <c r="D2967" s="88">
        <v>-1.3050570962479524E-3</v>
      </c>
      <c r="E2967" s="87"/>
    </row>
    <row r="2968" spans="1:5" ht="15" x14ac:dyDescent="0.2">
      <c r="A2968" s="73">
        <v>40263</v>
      </c>
      <c r="B2968" s="70">
        <v>15.324999999999999</v>
      </c>
      <c r="C2968" s="85">
        <v>1511485</v>
      </c>
      <c r="D2968" s="88">
        <v>3.9305601048149619E-3</v>
      </c>
      <c r="E2968" s="87"/>
    </row>
    <row r="2969" spans="1:5" ht="15" x14ac:dyDescent="0.2">
      <c r="A2969" s="73">
        <v>40262</v>
      </c>
      <c r="B2969" s="70">
        <v>15.265000000000001</v>
      </c>
      <c r="C2969" s="85">
        <v>3346628</v>
      </c>
      <c r="D2969" s="88">
        <v>6.926121372031746E-3</v>
      </c>
      <c r="E2969" s="87"/>
    </row>
    <row r="2970" spans="1:5" ht="15" x14ac:dyDescent="0.2">
      <c r="A2970" s="73">
        <v>40261</v>
      </c>
      <c r="B2970" s="70">
        <v>15.16</v>
      </c>
      <c r="C2970" s="85">
        <v>5387828</v>
      </c>
      <c r="D2970" s="88">
        <v>3.1994554118447871E-2</v>
      </c>
      <c r="E2970" s="87"/>
    </row>
    <row r="2971" spans="1:5" ht="15" x14ac:dyDescent="0.2">
      <c r="A2971" s="73">
        <v>40260</v>
      </c>
      <c r="B2971" s="70">
        <v>14.69</v>
      </c>
      <c r="C2971" s="85">
        <v>4016853</v>
      </c>
      <c r="D2971" s="88">
        <v>-2.0666666666666722E-2</v>
      </c>
      <c r="E2971" s="87"/>
    </row>
    <row r="2972" spans="1:5" ht="15" x14ac:dyDescent="0.2">
      <c r="A2972" s="73">
        <v>40259</v>
      </c>
      <c r="B2972" s="70">
        <v>15</v>
      </c>
      <c r="C2972" s="85">
        <v>2817656</v>
      </c>
      <c r="D2972" s="88">
        <v>1.1463250168577188E-2</v>
      </c>
      <c r="E2972" s="87"/>
    </row>
    <row r="2973" spans="1:5" ht="15" x14ac:dyDescent="0.2">
      <c r="A2973" s="73">
        <v>40256</v>
      </c>
      <c r="B2973" s="70">
        <v>14.83</v>
      </c>
      <c r="C2973" s="85">
        <v>4974669</v>
      </c>
      <c r="D2973" s="88">
        <v>1.021798365122617E-2</v>
      </c>
      <c r="E2973" s="87"/>
    </row>
    <row r="2974" spans="1:5" ht="15" x14ac:dyDescent="0.2">
      <c r="A2974" s="73">
        <v>40255</v>
      </c>
      <c r="B2974" s="70">
        <v>14.68</v>
      </c>
      <c r="C2974" s="85">
        <v>6033569</v>
      </c>
      <c r="D2974" s="88">
        <v>1.3812154696132506E-2</v>
      </c>
      <c r="E2974" s="87"/>
    </row>
    <row r="2975" spans="1:5" ht="15" x14ac:dyDescent="0.2">
      <c r="A2975" s="73">
        <v>40254</v>
      </c>
      <c r="B2975" s="70">
        <v>14.48</v>
      </c>
      <c r="C2975" s="85">
        <v>3653641</v>
      </c>
      <c r="D2975" s="88">
        <v>-1.0928961748633892E-2</v>
      </c>
      <c r="E2975" s="87"/>
    </row>
    <row r="2976" spans="1:5" ht="15" x14ac:dyDescent="0.2">
      <c r="A2976" s="73">
        <v>40253</v>
      </c>
      <c r="B2976" s="70">
        <v>14.64</v>
      </c>
      <c r="C2976" s="85">
        <v>2197552</v>
      </c>
      <c r="D2976" s="88">
        <v>-1.0235414534287557E-3</v>
      </c>
      <c r="E2976" s="87"/>
    </row>
    <row r="2977" spans="1:5" ht="15" x14ac:dyDescent="0.2">
      <c r="A2977" s="73">
        <v>40252</v>
      </c>
      <c r="B2977" s="70">
        <v>14.654999999999999</v>
      </c>
      <c r="C2977" s="85">
        <v>1629309</v>
      </c>
      <c r="D2977" s="88">
        <v>-1.3628620102215105E-3</v>
      </c>
      <c r="E2977" s="87"/>
    </row>
    <row r="2978" spans="1:5" ht="15" x14ac:dyDescent="0.2">
      <c r="A2978" s="73">
        <v>40249</v>
      </c>
      <c r="B2978" s="70">
        <v>14.675000000000001</v>
      </c>
      <c r="C2978" s="85">
        <v>2938718</v>
      </c>
      <c r="D2978" s="88">
        <v>-1.1784511784511675E-2</v>
      </c>
      <c r="E2978" s="87"/>
    </row>
    <row r="2979" spans="1:5" ht="15" x14ac:dyDescent="0.2">
      <c r="A2979" s="73">
        <v>40248</v>
      </c>
      <c r="B2979" s="70">
        <v>14.85</v>
      </c>
      <c r="C2979" s="85">
        <v>5307266</v>
      </c>
      <c r="D2979" s="88">
        <v>-2.7823240589198051E-2</v>
      </c>
      <c r="E2979" s="87"/>
    </row>
    <row r="2980" spans="1:5" ht="15" x14ac:dyDescent="0.2">
      <c r="A2980" s="73">
        <v>40247</v>
      </c>
      <c r="B2980" s="70">
        <v>15.275</v>
      </c>
      <c r="C2980" s="85">
        <v>3765845</v>
      </c>
      <c r="D2980" s="88">
        <v>-1.0366051182377767E-2</v>
      </c>
      <c r="E2980" s="87"/>
    </row>
    <row r="2981" spans="1:5" ht="15" x14ac:dyDescent="0.2">
      <c r="A2981" s="73">
        <v>40246</v>
      </c>
      <c r="B2981" s="70">
        <v>15.435</v>
      </c>
      <c r="C2981" s="85">
        <v>8225292</v>
      </c>
      <c r="D2981" s="88">
        <v>-2.8022670025188878E-2</v>
      </c>
      <c r="E2981" s="87"/>
    </row>
    <row r="2982" spans="1:5" ht="15" x14ac:dyDescent="0.2">
      <c r="A2982" s="73">
        <v>40245</v>
      </c>
      <c r="B2982" s="70">
        <v>15.88</v>
      </c>
      <c r="C2982" s="85">
        <v>3641597</v>
      </c>
      <c r="D2982" s="88">
        <v>-4.7007207771857518E-3</v>
      </c>
      <c r="E2982" s="87"/>
    </row>
    <row r="2983" spans="1:5" ht="15" x14ac:dyDescent="0.2">
      <c r="A2983" s="73">
        <v>40242</v>
      </c>
      <c r="B2983" s="70">
        <v>15.955</v>
      </c>
      <c r="C2983" s="85">
        <v>2202256</v>
      </c>
      <c r="D2983" s="88">
        <v>1.9814637264301771E-2</v>
      </c>
      <c r="E2983" s="87"/>
    </row>
    <row r="2984" spans="1:5" ht="15" x14ac:dyDescent="0.2">
      <c r="A2984" s="73">
        <v>40241</v>
      </c>
      <c r="B2984" s="70">
        <v>15.645</v>
      </c>
      <c r="C2984" s="85">
        <v>2614279</v>
      </c>
      <c r="D2984" s="88">
        <v>1.0332579916047857E-2</v>
      </c>
      <c r="E2984" s="87"/>
    </row>
    <row r="2985" spans="1:5" ht="15" x14ac:dyDescent="0.2">
      <c r="A2985" s="73">
        <v>40240</v>
      </c>
      <c r="B2985" s="70">
        <v>15.484999999999999</v>
      </c>
      <c r="C2985" s="85">
        <v>1620058</v>
      </c>
      <c r="D2985" s="88">
        <v>2.5898348980251118E-3</v>
      </c>
      <c r="E2985" s="87"/>
    </row>
    <row r="2986" spans="1:5" ht="15" x14ac:dyDescent="0.2">
      <c r="A2986" s="73">
        <v>40239</v>
      </c>
      <c r="B2986" s="70">
        <v>15.445</v>
      </c>
      <c r="C2986" s="85">
        <v>1447372</v>
      </c>
      <c r="D2986" s="88">
        <v>5.2066384640416796E-3</v>
      </c>
      <c r="E2986" s="87"/>
    </row>
    <row r="2987" spans="1:5" ht="15" x14ac:dyDescent="0.2">
      <c r="A2987" s="73">
        <v>40238</v>
      </c>
      <c r="B2987" s="70">
        <v>15.365</v>
      </c>
      <c r="C2987" s="85">
        <v>1744188</v>
      </c>
      <c r="D2987" s="88">
        <v>1.3856812933025431E-2</v>
      </c>
      <c r="E2987" s="87"/>
    </row>
    <row r="2988" spans="1:5" ht="15" x14ac:dyDescent="0.2">
      <c r="A2988" s="73">
        <v>40235</v>
      </c>
      <c r="B2988" s="70">
        <v>15.154999999999999</v>
      </c>
      <c r="C2988" s="85">
        <v>2724588</v>
      </c>
      <c r="D2988" s="88">
        <v>4.3014452856159568E-2</v>
      </c>
      <c r="E2988" s="87"/>
    </row>
    <row r="2989" spans="1:5" ht="15" x14ac:dyDescent="0.2">
      <c r="A2989" s="73">
        <v>40234</v>
      </c>
      <c r="B2989" s="70">
        <v>14.53</v>
      </c>
      <c r="C2989" s="85">
        <v>2412131</v>
      </c>
      <c r="D2989" s="88">
        <v>-1.3912453342382114E-2</v>
      </c>
      <c r="E2989" s="87"/>
    </row>
    <row r="2990" spans="1:5" ht="15" x14ac:dyDescent="0.2">
      <c r="A2990" s="73">
        <v>40233</v>
      </c>
      <c r="B2990" s="70">
        <v>14.734999999999999</v>
      </c>
      <c r="C2990" s="85">
        <v>4127928</v>
      </c>
      <c r="D2990" s="88">
        <v>-2.0604852110335692E-2</v>
      </c>
      <c r="E2990" s="87"/>
    </row>
    <row r="2991" spans="1:5" ht="15" x14ac:dyDescent="0.2">
      <c r="A2991" s="73">
        <v>40232</v>
      </c>
      <c r="B2991" s="70">
        <v>15.045</v>
      </c>
      <c r="C2991" s="85">
        <v>3089515</v>
      </c>
      <c r="D2991" s="88">
        <v>1.1768661735036989E-2</v>
      </c>
      <c r="E2991" s="87"/>
    </row>
    <row r="2992" spans="1:5" ht="15" x14ac:dyDescent="0.2">
      <c r="A2992" s="73">
        <v>40231</v>
      </c>
      <c r="B2992" s="70">
        <v>14.87</v>
      </c>
      <c r="C2992" s="85">
        <v>2762829</v>
      </c>
      <c r="D2992" s="88">
        <v>3.3636057854002921E-4</v>
      </c>
      <c r="E2992" s="87"/>
    </row>
    <row r="2993" spans="1:5" ht="15" x14ac:dyDescent="0.2">
      <c r="A2993" s="73">
        <v>40228</v>
      </c>
      <c r="B2993" s="70">
        <v>14.865</v>
      </c>
      <c r="C2993" s="85">
        <v>2347070</v>
      </c>
      <c r="D2993" s="88">
        <v>1.3983628922237479E-2</v>
      </c>
      <c r="E2993" s="87"/>
    </row>
    <row r="2994" spans="1:5" ht="15" x14ac:dyDescent="0.2">
      <c r="A2994" s="73">
        <v>40227</v>
      </c>
      <c r="B2994" s="70">
        <v>14.66</v>
      </c>
      <c r="C2994" s="85">
        <v>2158668</v>
      </c>
      <c r="D2994" s="88">
        <v>1.2430939226519389E-2</v>
      </c>
      <c r="E2994" s="87"/>
    </row>
    <row r="2995" spans="1:5" ht="15" x14ac:dyDescent="0.2">
      <c r="A2995" s="73">
        <v>40226</v>
      </c>
      <c r="B2995" s="70">
        <v>14.48</v>
      </c>
      <c r="C2995" s="85">
        <v>4296443</v>
      </c>
      <c r="D2995" s="88">
        <v>4.9655672345052526E-2</v>
      </c>
      <c r="E2995" s="87"/>
    </row>
    <row r="2996" spans="1:5" ht="15" x14ac:dyDescent="0.2">
      <c r="A2996" s="73">
        <v>40225</v>
      </c>
      <c r="B2996" s="70">
        <v>13.795</v>
      </c>
      <c r="C2996" s="85">
        <v>1869954</v>
      </c>
      <c r="D2996" s="88">
        <v>1.8081180811807984E-2</v>
      </c>
      <c r="E2996" s="87"/>
    </row>
    <row r="2997" spans="1:5" ht="15" x14ac:dyDescent="0.2">
      <c r="A2997" s="73">
        <v>40224</v>
      </c>
      <c r="B2997" s="70">
        <v>13.55</v>
      </c>
      <c r="C2997" s="85">
        <v>1692329</v>
      </c>
      <c r="D2997" s="88">
        <v>-1.4545454545454528E-2</v>
      </c>
      <c r="E2997" s="87"/>
    </row>
    <row r="2998" spans="1:5" ht="15" x14ac:dyDescent="0.2">
      <c r="A2998" s="73">
        <v>40221</v>
      </c>
      <c r="B2998" s="70">
        <v>13.75</v>
      </c>
      <c r="C2998" s="85">
        <v>2290937</v>
      </c>
      <c r="D2998" s="88">
        <v>1.4566642388929019E-3</v>
      </c>
      <c r="E2998" s="87"/>
    </row>
    <row r="2999" spans="1:5" ht="15" x14ac:dyDescent="0.2">
      <c r="A2999" s="73">
        <v>40220</v>
      </c>
      <c r="B2999" s="70">
        <v>13.73</v>
      </c>
      <c r="C2999" s="85">
        <v>2007180</v>
      </c>
      <c r="D2999" s="88">
        <v>-4.7118521203334263E-3</v>
      </c>
      <c r="E2999" s="87"/>
    </row>
    <row r="3000" spans="1:5" ht="15" x14ac:dyDescent="0.2">
      <c r="A3000" s="73">
        <v>40219</v>
      </c>
      <c r="B3000" s="70">
        <v>13.795</v>
      </c>
      <c r="C3000" s="85">
        <v>2177198</v>
      </c>
      <c r="D3000" s="88">
        <v>-7.243752263672576E-4</v>
      </c>
      <c r="E3000" s="87"/>
    </row>
    <row r="3001" spans="1:5" ht="15" x14ac:dyDescent="0.2">
      <c r="A3001" s="73">
        <v>40218</v>
      </c>
      <c r="B3001" s="70">
        <v>13.805</v>
      </c>
      <c r="C3001" s="85">
        <v>3168176</v>
      </c>
      <c r="D3001" s="88">
        <v>-1.4632405424696682E-2</v>
      </c>
      <c r="E3001" s="87"/>
    </row>
    <row r="3002" spans="1:5" ht="15" x14ac:dyDescent="0.2">
      <c r="A3002" s="73">
        <v>40217</v>
      </c>
      <c r="B3002" s="70">
        <v>14.01</v>
      </c>
      <c r="C3002" s="85">
        <v>3001302</v>
      </c>
      <c r="D3002" s="88">
        <v>-6.382978723404209E-3</v>
      </c>
      <c r="E3002" s="87"/>
    </row>
    <row r="3003" spans="1:5" ht="15" x14ac:dyDescent="0.2">
      <c r="A3003" s="73">
        <v>40214</v>
      </c>
      <c r="B3003" s="70">
        <v>14.1</v>
      </c>
      <c r="C3003" s="85">
        <v>4673569</v>
      </c>
      <c r="D3003" s="88">
        <v>-1.0526315789473717E-2</v>
      </c>
      <c r="E3003" s="87"/>
    </row>
    <row r="3004" spans="1:5" ht="15" x14ac:dyDescent="0.2">
      <c r="A3004" s="73">
        <v>40213</v>
      </c>
      <c r="B3004" s="70">
        <v>14.25</v>
      </c>
      <c r="C3004" s="85">
        <v>2732458</v>
      </c>
      <c r="D3004" s="88">
        <v>-2.5641025641025661E-2</v>
      </c>
      <c r="E3004" s="87"/>
    </row>
    <row r="3005" spans="1:5" ht="15" x14ac:dyDescent="0.2">
      <c r="A3005" s="73">
        <v>40212</v>
      </c>
      <c r="B3005" s="70">
        <v>14.625</v>
      </c>
      <c r="C3005" s="85">
        <v>2468129</v>
      </c>
      <c r="D3005" s="88">
        <v>1.0266940451746365E-3</v>
      </c>
      <c r="E3005" s="87"/>
    </row>
    <row r="3006" spans="1:5" ht="15" x14ac:dyDescent="0.2">
      <c r="A3006" s="73">
        <v>40211</v>
      </c>
      <c r="B3006" s="70">
        <v>14.61</v>
      </c>
      <c r="C3006" s="85">
        <v>1948105</v>
      </c>
      <c r="D3006" s="88">
        <v>2.3467600700525226E-2</v>
      </c>
      <c r="E3006" s="87"/>
    </row>
    <row r="3007" spans="1:5" ht="15" x14ac:dyDescent="0.2">
      <c r="A3007" s="73">
        <v>40210</v>
      </c>
      <c r="B3007" s="70">
        <v>14.275</v>
      </c>
      <c r="C3007" s="85">
        <v>2068752</v>
      </c>
      <c r="D3007" s="88">
        <v>5.2816901408452299E-3</v>
      </c>
      <c r="E3007" s="87"/>
    </row>
    <row r="3008" spans="1:5" ht="15" x14ac:dyDescent="0.2">
      <c r="A3008" s="73">
        <v>40207</v>
      </c>
      <c r="B3008" s="70">
        <v>14.2</v>
      </c>
      <c r="C3008" s="85">
        <v>2306668</v>
      </c>
      <c r="D3008" s="88">
        <v>3.085299455535373E-2</v>
      </c>
      <c r="E3008" s="87"/>
    </row>
    <row r="3009" spans="1:5" ht="15" x14ac:dyDescent="0.2">
      <c r="A3009" s="73">
        <v>40206</v>
      </c>
      <c r="B3009" s="70">
        <v>13.775</v>
      </c>
      <c r="C3009" s="85">
        <v>3249197</v>
      </c>
      <c r="D3009" s="88">
        <v>-1.4498006524102935E-3</v>
      </c>
      <c r="E3009" s="87"/>
    </row>
    <row r="3010" spans="1:5" ht="15" x14ac:dyDescent="0.2">
      <c r="A3010" s="73">
        <v>40205</v>
      </c>
      <c r="B3010" s="70">
        <v>13.795</v>
      </c>
      <c r="C3010" s="85">
        <v>2691939</v>
      </c>
      <c r="D3010" s="88">
        <v>-1.5346181299072059E-2</v>
      </c>
      <c r="E3010" s="87"/>
    </row>
    <row r="3011" spans="1:5" ht="15" x14ac:dyDescent="0.2">
      <c r="A3011" s="73">
        <v>40204</v>
      </c>
      <c r="B3011" s="70">
        <v>14.01</v>
      </c>
      <c r="C3011" s="85">
        <v>1860926</v>
      </c>
      <c r="D3011" s="88">
        <v>3.9412396990325949E-3</v>
      </c>
      <c r="E3011" s="87"/>
    </row>
    <row r="3012" spans="1:5" ht="15" x14ac:dyDescent="0.2">
      <c r="A3012" s="73">
        <v>40203</v>
      </c>
      <c r="B3012" s="70">
        <v>13.955</v>
      </c>
      <c r="C3012" s="85">
        <v>1961429</v>
      </c>
      <c r="D3012" s="88">
        <v>-1.6214310891787154E-2</v>
      </c>
      <c r="E3012" s="87"/>
    </row>
    <row r="3013" spans="1:5" ht="15" x14ac:dyDescent="0.2">
      <c r="A3013" s="73">
        <v>40200</v>
      </c>
      <c r="B3013" s="70">
        <v>14.185</v>
      </c>
      <c r="C3013" s="85">
        <v>2789368</v>
      </c>
      <c r="D3013" s="88">
        <v>-1.4930555555555558E-2</v>
      </c>
      <c r="E3013" s="87"/>
    </row>
    <row r="3014" spans="1:5" ht="15" x14ac:dyDescent="0.2">
      <c r="A3014" s="73">
        <v>40199</v>
      </c>
      <c r="B3014" s="70">
        <v>14.4</v>
      </c>
      <c r="C3014" s="85">
        <v>2262964</v>
      </c>
      <c r="D3014" s="88">
        <v>-2.8012149848126833E-2</v>
      </c>
      <c r="E3014" s="87"/>
    </row>
    <row r="3015" spans="1:5" ht="15" x14ac:dyDescent="0.2">
      <c r="A3015" s="73">
        <v>40198</v>
      </c>
      <c r="B3015" s="70">
        <v>14.815</v>
      </c>
      <c r="C3015" s="85">
        <v>2604593</v>
      </c>
      <c r="D3015" s="88">
        <v>6.7544748395809151E-4</v>
      </c>
      <c r="E3015" s="87"/>
    </row>
    <row r="3016" spans="1:5" ht="15" x14ac:dyDescent="0.2">
      <c r="A3016" s="73">
        <v>40197</v>
      </c>
      <c r="B3016" s="70">
        <v>14.805</v>
      </c>
      <c r="C3016" s="85">
        <v>2073048</v>
      </c>
      <c r="D3016" s="88">
        <v>6.4581917063222249E-3</v>
      </c>
      <c r="E3016" s="87"/>
    </row>
    <row r="3017" spans="1:5" ht="15" x14ac:dyDescent="0.2">
      <c r="A3017" s="73">
        <v>40196</v>
      </c>
      <c r="B3017" s="70">
        <v>14.71</v>
      </c>
      <c r="C3017" s="85">
        <v>2318878</v>
      </c>
      <c r="D3017" s="88">
        <v>1.9404019404019479E-2</v>
      </c>
      <c r="E3017" s="87"/>
    </row>
    <row r="3018" spans="1:5" ht="15" x14ac:dyDescent="0.2">
      <c r="A3018" s="73">
        <v>40193</v>
      </c>
      <c r="B3018" s="70">
        <v>14.43</v>
      </c>
      <c r="C3018" s="85">
        <v>3583970</v>
      </c>
      <c r="D3018" s="88">
        <v>1.4054813773717534E-2</v>
      </c>
      <c r="E3018" s="87"/>
    </row>
    <row r="3019" spans="1:5" ht="15" x14ac:dyDescent="0.2">
      <c r="A3019" s="73">
        <v>40192</v>
      </c>
      <c r="B3019" s="70">
        <v>14.23</v>
      </c>
      <c r="C3019" s="85">
        <v>5990022</v>
      </c>
      <c r="D3019" s="88">
        <v>8.862105636299189E-3</v>
      </c>
      <c r="E3019" s="87"/>
    </row>
    <row r="3020" spans="1:5" ht="15" x14ac:dyDescent="0.2">
      <c r="A3020" s="73">
        <v>40191</v>
      </c>
      <c r="B3020" s="70">
        <v>14.105</v>
      </c>
      <c r="C3020" s="85">
        <v>2468904</v>
      </c>
      <c r="D3020" s="88">
        <v>3.5460992907809796E-4</v>
      </c>
      <c r="E3020" s="87"/>
    </row>
    <row r="3021" spans="1:5" ht="15" x14ac:dyDescent="0.2">
      <c r="A3021" s="73">
        <v>40190</v>
      </c>
      <c r="B3021" s="70">
        <v>14.1</v>
      </c>
      <c r="C3021" s="85">
        <v>5160997</v>
      </c>
      <c r="D3021" s="88">
        <v>-2.6243093922652005E-2</v>
      </c>
      <c r="E3021" s="87"/>
    </row>
    <row r="3022" spans="1:5" ht="15" x14ac:dyDescent="0.2">
      <c r="A3022" s="73">
        <v>40189</v>
      </c>
      <c r="B3022" s="70">
        <v>14.48</v>
      </c>
      <c r="C3022" s="85">
        <v>2884240</v>
      </c>
      <c r="D3022" s="88">
        <v>9.0592334494774551E-3</v>
      </c>
      <c r="E3022" s="87"/>
    </row>
    <row r="3023" spans="1:5" ht="15" x14ac:dyDescent="0.2">
      <c r="A3023" s="73">
        <v>40186</v>
      </c>
      <c r="B3023" s="70">
        <v>14.35</v>
      </c>
      <c r="C3023" s="85">
        <v>2289556</v>
      </c>
      <c r="D3023" s="88">
        <v>9.8522167487684609E-3</v>
      </c>
      <c r="E3023" s="87"/>
    </row>
    <row r="3024" spans="1:5" ht="15" x14ac:dyDescent="0.2">
      <c r="A3024" s="73">
        <v>40185</v>
      </c>
      <c r="B3024" s="70">
        <v>14.21</v>
      </c>
      <c r="C3024" s="85">
        <v>2316557</v>
      </c>
      <c r="D3024" s="88">
        <v>9.9502487562188602E-3</v>
      </c>
      <c r="E3024" s="87"/>
    </row>
    <row r="3025" spans="1:5" ht="15" x14ac:dyDescent="0.2">
      <c r="A3025" s="73">
        <v>40184</v>
      </c>
      <c r="B3025" s="70">
        <v>14.07</v>
      </c>
      <c r="C3025" s="85">
        <v>1996970</v>
      </c>
      <c r="D3025" s="88">
        <v>8.9637863033344978E-3</v>
      </c>
      <c r="E3025" s="87"/>
    </row>
    <row r="3026" spans="1:5" ht="15" x14ac:dyDescent="0.2">
      <c r="A3026" s="73">
        <v>40183</v>
      </c>
      <c r="B3026" s="70">
        <v>13.945</v>
      </c>
      <c r="C3026" s="85">
        <v>2700340</v>
      </c>
      <c r="D3026" s="88">
        <v>-3.2165832737669486E-3</v>
      </c>
      <c r="E3026" s="87"/>
    </row>
    <row r="3027" spans="1:5" ht="15" x14ac:dyDescent="0.2">
      <c r="A3027" s="73">
        <v>40182</v>
      </c>
      <c r="B3027" s="70">
        <v>13.99</v>
      </c>
      <c r="C3027" s="85">
        <v>2496013</v>
      </c>
      <c r="D3027" s="88">
        <v>-6.7447639332623988E-3</v>
      </c>
      <c r="E3027" s="87"/>
    </row>
    <row r="3028" spans="1:5" ht="15" x14ac:dyDescent="0.2">
      <c r="A3028" s="73">
        <v>40178</v>
      </c>
      <c r="B3028" s="70">
        <v>14.085000000000001</v>
      </c>
      <c r="C3028" s="85">
        <v>566403</v>
      </c>
      <c r="D3028" s="88">
        <v>2.810218978102208E-2</v>
      </c>
      <c r="E3028" s="87"/>
    </row>
    <row r="3029" spans="1:5" ht="15" x14ac:dyDescent="0.2">
      <c r="A3029" s="73">
        <v>40177</v>
      </c>
      <c r="B3029" s="70">
        <v>13.7</v>
      </c>
      <c r="C3029" s="85">
        <v>802294</v>
      </c>
      <c r="D3029" s="88">
        <v>-2.1849963583394638E-3</v>
      </c>
      <c r="E3029" s="87"/>
    </row>
    <row r="3030" spans="1:5" ht="15" x14ac:dyDescent="0.2">
      <c r="A3030" s="73">
        <v>40176</v>
      </c>
      <c r="B3030" s="70">
        <v>13.73</v>
      </c>
      <c r="C3030" s="85">
        <v>917082</v>
      </c>
      <c r="D3030" s="88">
        <v>7.3367571533382581E-3</v>
      </c>
      <c r="E3030" s="87"/>
    </row>
    <row r="3031" spans="1:5" ht="15" x14ac:dyDescent="0.2">
      <c r="A3031" s="73">
        <v>40175</v>
      </c>
      <c r="B3031" s="70">
        <v>13.63</v>
      </c>
      <c r="C3031" s="85">
        <v>694189</v>
      </c>
      <c r="D3031" s="88">
        <v>7.3421439060217253E-4</v>
      </c>
      <c r="E3031" s="87"/>
    </row>
    <row r="3032" spans="1:5" ht="15" x14ac:dyDescent="0.2">
      <c r="A3032" s="73">
        <v>40171</v>
      </c>
      <c r="B3032" s="70">
        <v>13.62</v>
      </c>
      <c r="C3032" s="85">
        <v>309822</v>
      </c>
      <c r="D3032" s="88">
        <v>8.1421169504070079E-3</v>
      </c>
      <c r="E3032" s="87"/>
    </row>
    <row r="3033" spans="1:5" ht="15" x14ac:dyDescent="0.2">
      <c r="A3033" s="73">
        <v>40170</v>
      </c>
      <c r="B3033" s="70">
        <v>13.51</v>
      </c>
      <c r="C3033" s="85">
        <v>1341669</v>
      </c>
      <c r="D3033" s="88">
        <v>1.8539117538005634E-3</v>
      </c>
      <c r="E3033" s="87"/>
    </row>
    <row r="3034" spans="1:5" ht="15" x14ac:dyDescent="0.2">
      <c r="A3034" s="73">
        <v>40169</v>
      </c>
      <c r="B3034" s="70">
        <v>13.484999999999999</v>
      </c>
      <c r="C3034" s="85">
        <v>1742571</v>
      </c>
      <c r="D3034" s="88">
        <v>9.3562874251496009E-3</v>
      </c>
      <c r="E3034" s="87"/>
    </row>
    <row r="3035" spans="1:5" ht="15" x14ac:dyDescent="0.2">
      <c r="A3035" s="73">
        <v>40168</v>
      </c>
      <c r="B3035" s="70">
        <v>13.36</v>
      </c>
      <c r="C3035" s="85">
        <v>1860650</v>
      </c>
      <c r="D3035" s="88">
        <v>2.6902382782475032E-2</v>
      </c>
      <c r="E3035" s="87"/>
    </row>
    <row r="3036" spans="1:5" ht="15" x14ac:dyDescent="0.2">
      <c r="A3036" s="73">
        <v>40165</v>
      </c>
      <c r="B3036" s="70">
        <v>13.01</v>
      </c>
      <c r="C3036" s="85">
        <v>4487964</v>
      </c>
      <c r="D3036" s="88">
        <v>5.0212437234453677E-3</v>
      </c>
      <c r="E3036" s="87"/>
    </row>
    <row r="3037" spans="1:5" ht="15" x14ac:dyDescent="0.2">
      <c r="A3037" s="73">
        <v>40164</v>
      </c>
      <c r="B3037" s="70">
        <v>12.945</v>
      </c>
      <c r="C3037" s="85">
        <v>3608049</v>
      </c>
      <c r="D3037" s="88">
        <v>2.3724792408066575E-2</v>
      </c>
      <c r="E3037" s="87"/>
    </row>
    <row r="3038" spans="1:5" ht="15" x14ac:dyDescent="0.2">
      <c r="A3038" s="73">
        <v>40163</v>
      </c>
      <c r="B3038" s="70">
        <v>12.645</v>
      </c>
      <c r="C3038" s="85">
        <v>2373342</v>
      </c>
      <c r="D3038" s="88">
        <v>1.0791366906474753E-2</v>
      </c>
      <c r="E3038" s="87"/>
    </row>
    <row r="3039" spans="1:5" ht="15" x14ac:dyDescent="0.2">
      <c r="A3039" s="73">
        <v>40162</v>
      </c>
      <c r="B3039" s="70">
        <v>12.51</v>
      </c>
      <c r="C3039" s="85">
        <v>1923311</v>
      </c>
      <c r="D3039" s="88">
        <v>5.222981116914438E-3</v>
      </c>
      <c r="E3039" s="87"/>
    </row>
    <row r="3040" spans="1:5" ht="15" x14ac:dyDescent="0.2">
      <c r="A3040" s="73">
        <v>40161</v>
      </c>
      <c r="B3040" s="70">
        <v>12.445</v>
      </c>
      <c r="C3040" s="85">
        <v>1819066</v>
      </c>
      <c r="D3040" s="88">
        <v>6.4698746461786527E-3</v>
      </c>
      <c r="E3040" s="87"/>
    </row>
    <row r="3041" spans="1:5" ht="15" x14ac:dyDescent="0.2">
      <c r="A3041" s="73">
        <v>40158</v>
      </c>
      <c r="B3041" s="70">
        <v>12.365</v>
      </c>
      <c r="C3041" s="85">
        <v>2276500</v>
      </c>
      <c r="D3041" s="88">
        <v>1.9793814432989665E-2</v>
      </c>
      <c r="E3041" s="87"/>
    </row>
    <row r="3042" spans="1:5" ht="15" x14ac:dyDescent="0.2">
      <c r="A3042" s="73">
        <v>40157</v>
      </c>
      <c r="B3042" s="70">
        <v>12.125</v>
      </c>
      <c r="C3042" s="85">
        <v>2095718</v>
      </c>
      <c r="D3042" s="88">
        <v>-2.46812011517894E-3</v>
      </c>
      <c r="E3042" s="87"/>
    </row>
    <row r="3043" spans="1:5" ht="15" x14ac:dyDescent="0.2">
      <c r="A3043" s="73">
        <v>40156</v>
      </c>
      <c r="B3043" s="70">
        <v>12.154999999999999</v>
      </c>
      <c r="C3043" s="85">
        <v>2669490</v>
      </c>
      <c r="D3043" s="88">
        <v>-1.017915309446249E-2</v>
      </c>
      <c r="E3043" s="87"/>
    </row>
    <row r="3044" spans="1:5" ht="15" x14ac:dyDescent="0.2">
      <c r="A3044" s="73">
        <v>40155</v>
      </c>
      <c r="B3044" s="70">
        <v>12.28</v>
      </c>
      <c r="C3044" s="85">
        <v>2370899</v>
      </c>
      <c r="D3044" s="88">
        <v>-1.4050582095543995E-2</v>
      </c>
      <c r="E3044" s="87"/>
    </row>
    <row r="3045" spans="1:5" ht="15" x14ac:dyDescent="0.2">
      <c r="A3045" s="73">
        <v>40154</v>
      </c>
      <c r="B3045" s="70">
        <v>12.455</v>
      </c>
      <c r="C3045" s="85">
        <v>2805657</v>
      </c>
      <c r="D3045" s="88">
        <v>6.0581583198706657E-3</v>
      </c>
      <c r="E3045" s="87"/>
    </row>
    <row r="3046" spans="1:5" ht="15" x14ac:dyDescent="0.2">
      <c r="A3046" s="73">
        <v>40151</v>
      </c>
      <c r="B3046" s="70">
        <v>12.38</v>
      </c>
      <c r="C3046" s="85">
        <v>4170811</v>
      </c>
      <c r="D3046" s="88">
        <v>3.8590604026845776E-2</v>
      </c>
      <c r="E3046" s="87"/>
    </row>
    <row r="3047" spans="1:5" ht="15" x14ac:dyDescent="0.2">
      <c r="A3047" s="73">
        <v>40150</v>
      </c>
      <c r="B3047" s="70">
        <v>11.92</v>
      </c>
      <c r="C3047" s="85">
        <v>2823037</v>
      </c>
      <c r="D3047" s="88">
        <v>2.2298456260720467E-2</v>
      </c>
      <c r="E3047" s="87"/>
    </row>
    <row r="3048" spans="1:5" ht="15" x14ac:dyDescent="0.2">
      <c r="A3048" s="73">
        <v>40149</v>
      </c>
      <c r="B3048" s="70">
        <v>11.66</v>
      </c>
      <c r="C3048" s="85">
        <v>2599401</v>
      </c>
      <c r="D3048" s="88">
        <v>8.5836909871250811E-4</v>
      </c>
      <c r="E3048" s="87"/>
    </row>
    <row r="3049" spans="1:5" ht="15" x14ac:dyDescent="0.2">
      <c r="A3049" s="73">
        <v>40148</v>
      </c>
      <c r="B3049" s="70">
        <v>11.65</v>
      </c>
      <c r="C3049" s="85">
        <v>3548319</v>
      </c>
      <c r="D3049" s="88">
        <v>-2.2240872849349502E-2</v>
      </c>
      <c r="E3049" s="87"/>
    </row>
    <row r="3050" spans="1:5" ht="15" x14ac:dyDescent="0.2">
      <c r="A3050" s="73">
        <v>40147</v>
      </c>
      <c r="B3050" s="70">
        <v>11.914999999999999</v>
      </c>
      <c r="C3050" s="85">
        <v>1602314</v>
      </c>
      <c r="D3050" s="88">
        <v>-5.4257095158598556E-3</v>
      </c>
      <c r="E3050" s="87"/>
    </row>
    <row r="3051" spans="1:5" ht="15" x14ac:dyDescent="0.2">
      <c r="A3051" s="73">
        <v>40144</v>
      </c>
      <c r="B3051" s="70">
        <v>11.98</v>
      </c>
      <c r="C3051" s="85">
        <v>2079352</v>
      </c>
      <c r="D3051" s="88">
        <v>2.0442930153321992E-2</v>
      </c>
      <c r="E3051" s="87"/>
    </row>
    <row r="3052" spans="1:5" ht="15" x14ac:dyDescent="0.2">
      <c r="A3052" s="73">
        <v>40143</v>
      </c>
      <c r="B3052" s="70">
        <v>11.74</v>
      </c>
      <c r="C3052" s="85">
        <v>2954178</v>
      </c>
      <c r="D3052" s="88">
        <v>-4.2804728903383604E-2</v>
      </c>
      <c r="E3052" s="87"/>
    </row>
    <row r="3053" spans="1:5" ht="15" x14ac:dyDescent="0.2">
      <c r="A3053" s="73">
        <v>40142</v>
      </c>
      <c r="B3053" s="70">
        <v>12.265000000000001</v>
      </c>
      <c r="C3053" s="85">
        <v>4060797</v>
      </c>
      <c r="D3053" s="88">
        <v>-3.8039215686274441E-2</v>
      </c>
      <c r="E3053" s="87"/>
    </row>
    <row r="3054" spans="1:5" ht="15" x14ac:dyDescent="0.2">
      <c r="A3054" s="73">
        <v>40141</v>
      </c>
      <c r="B3054" s="70">
        <v>12.75</v>
      </c>
      <c r="C3054" s="85">
        <v>1570319</v>
      </c>
      <c r="D3054" s="88">
        <v>-1.9984627209838624E-2</v>
      </c>
      <c r="E3054" s="87"/>
    </row>
    <row r="3055" spans="1:5" ht="15" x14ac:dyDescent="0.2">
      <c r="A3055" s="73">
        <v>40140</v>
      </c>
      <c r="B3055" s="70">
        <v>13.01</v>
      </c>
      <c r="C3055" s="85">
        <v>1715473</v>
      </c>
      <c r="D3055" s="88">
        <v>2.2798742138364636E-2</v>
      </c>
      <c r="E3055" s="87"/>
    </row>
    <row r="3056" spans="1:5" ht="15" x14ac:dyDescent="0.2">
      <c r="A3056" s="73">
        <v>40137</v>
      </c>
      <c r="B3056" s="70">
        <v>12.72</v>
      </c>
      <c r="C3056" s="85">
        <v>2740169</v>
      </c>
      <c r="D3056" s="88">
        <v>-2.5660666411336575E-2</v>
      </c>
      <c r="E3056" s="87"/>
    </row>
    <row r="3057" spans="1:5" ht="15" x14ac:dyDescent="0.2">
      <c r="A3057" s="73">
        <v>40136</v>
      </c>
      <c r="B3057" s="70">
        <v>13.055</v>
      </c>
      <c r="C3057" s="85">
        <v>2064752</v>
      </c>
      <c r="D3057" s="88">
        <v>-3.3320992225101875E-2</v>
      </c>
      <c r="E3057" s="87"/>
    </row>
    <row r="3058" spans="1:5" ht="15" x14ac:dyDescent="0.2">
      <c r="A3058" s="73">
        <v>40135</v>
      </c>
      <c r="B3058" s="70">
        <v>13.505000000000001</v>
      </c>
      <c r="C3058" s="85">
        <v>1542033</v>
      </c>
      <c r="D3058" s="88">
        <v>-2.9531192321888833E-3</v>
      </c>
      <c r="E3058" s="87"/>
    </row>
    <row r="3059" spans="1:5" ht="15" x14ac:dyDescent="0.2">
      <c r="A3059" s="73">
        <v>40134</v>
      </c>
      <c r="B3059" s="70">
        <v>13.545</v>
      </c>
      <c r="C3059" s="85">
        <v>2394387</v>
      </c>
      <c r="D3059" s="88">
        <v>-1.4909090909090872E-2</v>
      </c>
      <c r="E3059" s="87"/>
    </row>
    <row r="3060" spans="1:5" ht="15" x14ac:dyDescent="0.2">
      <c r="A3060" s="73">
        <v>40133</v>
      </c>
      <c r="B3060" s="70">
        <v>13.75</v>
      </c>
      <c r="C3060" s="85">
        <v>3382904</v>
      </c>
      <c r="D3060" s="88">
        <v>4.5229950589129597E-2</v>
      </c>
      <c r="E3060" s="87"/>
    </row>
    <row r="3061" spans="1:5" ht="15" x14ac:dyDescent="0.2">
      <c r="A3061" s="73">
        <v>40130</v>
      </c>
      <c r="B3061" s="70">
        <v>13.154999999999999</v>
      </c>
      <c r="C3061" s="85">
        <v>1635937</v>
      </c>
      <c r="D3061" s="88">
        <v>-1.0158013544018019E-2</v>
      </c>
      <c r="E3061" s="87"/>
    </row>
    <row r="3062" spans="1:5" ht="15" x14ac:dyDescent="0.2">
      <c r="A3062" s="73">
        <v>40129</v>
      </c>
      <c r="B3062" s="70">
        <v>13.29</v>
      </c>
      <c r="C3062" s="85">
        <v>2079352</v>
      </c>
      <c r="D3062" s="88">
        <v>2.6254826254826336E-2</v>
      </c>
      <c r="E3062" s="87"/>
    </row>
    <row r="3063" spans="1:5" ht="15" x14ac:dyDescent="0.2">
      <c r="A3063" s="73">
        <v>40128</v>
      </c>
      <c r="B3063" s="70">
        <v>12.95</v>
      </c>
      <c r="C3063" s="85">
        <v>2306577</v>
      </c>
      <c r="D3063" s="88">
        <v>-2.1533811862485819E-2</v>
      </c>
      <c r="E3063" s="87"/>
    </row>
    <row r="3064" spans="1:5" ht="15" x14ac:dyDescent="0.2">
      <c r="A3064" s="73">
        <v>40127</v>
      </c>
      <c r="B3064" s="70">
        <v>13.234999999999999</v>
      </c>
      <c r="C3064" s="85">
        <v>1784408</v>
      </c>
      <c r="D3064" s="88">
        <v>-6.3813813813814457E-3</v>
      </c>
      <c r="E3064" s="87"/>
    </row>
    <row r="3065" spans="1:5" ht="15" x14ac:dyDescent="0.2">
      <c r="A3065" s="73">
        <v>40126</v>
      </c>
      <c r="B3065" s="70">
        <v>13.32</v>
      </c>
      <c r="C3065" s="85">
        <v>2125352</v>
      </c>
      <c r="D3065" s="88">
        <v>-1.4992503748125774E-3</v>
      </c>
      <c r="E3065" s="87"/>
    </row>
    <row r="3066" spans="1:5" ht="15" x14ac:dyDescent="0.2">
      <c r="A3066" s="73">
        <v>40123</v>
      </c>
      <c r="B3066" s="70">
        <v>13.34</v>
      </c>
      <c r="C3066" s="85">
        <v>2271648</v>
      </c>
      <c r="D3066" s="88">
        <v>5.6539766302299288E-3</v>
      </c>
      <c r="E3066" s="87"/>
    </row>
    <row r="3067" spans="1:5" ht="15" x14ac:dyDescent="0.2">
      <c r="A3067" s="73">
        <v>40122</v>
      </c>
      <c r="B3067" s="70">
        <v>13.265000000000001</v>
      </c>
      <c r="C3067" s="85">
        <v>1844654</v>
      </c>
      <c r="D3067" s="88">
        <v>4.5437334343052527E-3</v>
      </c>
      <c r="E3067" s="87"/>
    </row>
    <row r="3068" spans="1:5" ht="15" x14ac:dyDescent="0.2">
      <c r="A3068" s="73">
        <v>40121</v>
      </c>
      <c r="B3068" s="70">
        <v>13.205</v>
      </c>
      <c r="C3068" s="85">
        <v>2115977</v>
      </c>
      <c r="D3068" s="88">
        <v>1.772639691714839E-2</v>
      </c>
      <c r="E3068" s="87"/>
    </row>
    <row r="3069" spans="1:5" ht="15" x14ac:dyDescent="0.2">
      <c r="A3069" s="73">
        <v>40120</v>
      </c>
      <c r="B3069" s="70">
        <v>12.975</v>
      </c>
      <c r="C3069" s="85">
        <v>2774677</v>
      </c>
      <c r="D3069" s="88">
        <v>7.3757763975155211E-3</v>
      </c>
      <c r="E3069" s="87"/>
    </row>
    <row r="3070" spans="1:5" ht="15" x14ac:dyDescent="0.2">
      <c r="A3070" s="73">
        <v>40119</v>
      </c>
      <c r="B3070" s="70">
        <v>12.88</v>
      </c>
      <c r="C3070" s="85">
        <v>1516805</v>
      </c>
      <c r="D3070" s="88">
        <v>7.4305827141181169E-3</v>
      </c>
      <c r="E3070" s="87"/>
    </row>
    <row r="3071" spans="1:5" ht="15" x14ac:dyDescent="0.2">
      <c r="A3071" s="73">
        <v>40116</v>
      </c>
      <c r="B3071" s="70">
        <v>12.785</v>
      </c>
      <c r="C3071" s="85">
        <v>3107095</v>
      </c>
      <c r="D3071" s="88">
        <v>-6.6045066045065104E-3</v>
      </c>
      <c r="E3071" s="87"/>
    </row>
    <row r="3072" spans="1:5" ht="15" x14ac:dyDescent="0.2">
      <c r="A3072" s="73">
        <v>40115</v>
      </c>
      <c r="B3072" s="70">
        <v>12.87</v>
      </c>
      <c r="C3072" s="85">
        <v>3069110</v>
      </c>
      <c r="D3072" s="88">
        <v>8.6206896551723755E-3</v>
      </c>
      <c r="E3072" s="87"/>
    </row>
    <row r="3073" spans="1:5" ht="15" x14ac:dyDescent="0.2">
      <c r="A3073" s="73">
        <v>40114</v>
      </c>
      <c r="B3073" s="70">
        <v>12.76</v>
      </c>
      <c r="C3073" s="85">
        <v>4177866</v>
      </c>
      <c r="D3073" s="88">
        <v>-4.2760690172543137E-2</v>
      </c>
      <c r="E3073" s="87"/>
    </row>
    <row r="3074" spans="1:5" ht="15" x14ac:dyDescent="0.2">
      <c r="A3074" s="73">
        <v>40113</v>
      </c>
      <c r="B3074" s="70">
        <v>13.33</v>
      </c>
      <c r="C3074" s="85">
        <v>2270500</v>
      </c>
      <c r="D3074" s="88">
        <v>-7.8154075176777305E-3</v>
      </c>
      <c r="E3074" s="87"/>
    </row>
    <row r="3075" spans="1:5" ht="15" x14ac:dyDescent="0.2">
      <c r="A3075" s="73">
        <v>40112</v>
      </c>
      <c r="B3075" s="70">
        <v>13.435</v>
      </c>
      <c r="C3075" s="85">
        <v>2401899</v>
      </c>
      <c r="D3075" s="88">
        <v>-3.6917562724014252E-2</v>
      </c>
      <c r="E3075" s="87"/>
    </row>
    <row r="3076" spans="1:5" ht="15" x14ac:dyDescent="0.2">
      <c r="A3076" s="73">
        <v>40109</v>
      </c>
      <c r="B3076" s="70">
        <v>13.95</v>
      </c>
      <c r="C3076" s="85">
        <v>2665673</v>
      </c>
      <c r="D3076" s="88">
        <v>1.2336719883889735E-2</v>
      </c>
      <c r="E3076" s="87"/>
    </row>
    <row r="3077" spans="1:5" ht="15" x14ac:dyDescent="0.2">
      <c r="A3077" s="73">
        <v>40108</v>
      </c>
      <c r="B3077" s="70">
        <v>13.78</v>
      </c>
      <c r="C3077" s="85">
        <v>2533323</v>
      </c>
      <c r="D3077" s="88">
        <v>0</v>
      </c>
      <c r="E3077" s="87"/>
    </row>
    <row r="3078" spans="1:5" ht="15" x14ac:dyDescent="0.2">
      <c r="A3078" s="73">
        <v>40107</v>
      </c>
      <c r="B3078" s="70">
        <v>13.78</v>
      </c>
      <c r="C3078" s="85">
        <v>3182575</v>
      </c>
      <c r="D3078" s="88">
        <v>-1.0873504893077479E-3</v>
      </c>
      <c r="E3078" s="87"/>
    </row>
    <row r="3079" spans="1:5" ht="15" x14ac:dyDescent="0.2">
      <c r="A3079" s="73">
        <v>40106</v>
      </c>
      <c r="B3079" s="70">
        <v>13.795</v>
      </c>
      <c r="C3079" s="85">
        <v>1991176</v>
      </c>
      <c r="D3079" s="88">
        <v>-2.3708421797593804E-2</v>
      </c>
      <c r="E3079" s="87"/>
    </row>
    <row r="3080" spans="1:5" ht="15" x14ac:dyDescent="0.2">
      <c r="A3080" s="73">
        <v>40105</v>
      </c>
      <c r="B3080" s="70">
        <v>14.13</v>
      </c>
      <c r="C3080" s="85">
        <v>1333099</v>
      </c>
      <c r="D3080" s="88">
        <v>-1.4134275618373771E-3</v>
      </c>
      <c r="E3080" s="87"/>
    </row>
    <row r="3081" spans="1:5" ht="15" x14ac:dyDescent="0.2">
      <c r="A3081" s="73">
        <v>40102</v>
      </c>
      <c r="B3081" s="70">
        <v>14.15</v>
      </c>
      <c r="C3081" s="85">
        <v>2146364</v>
      </c>
      <c r="D3081" s="88">
        <v>-1.8043025676613422E-2</v>
      </c>
      <c r="E3081" s="87"/>
    </row>
    <row r="3082" spans="1:5" ht="15" x14ac:dyDescent="0.2">
      <c r="A3082" s="73">
        <v>40101</v>
      </c>
      <c r="B3082" s="70">
        <v>14.41</v>
      </c>
      <c r="C3082" s="85">
        <v>1995565</v>
      </c>
      <c r="D3082" s="88">
        <v>-3.1131096506399336E-3</v>
      </c>
      <c r="E3082" s="87"/>
    </row>
    <row r="3083" spans="1:5" ht="15" x14ac:dyDescent="0.2">
      <c r="A3083" s="73">
        <v>40100</v>
      </c>
      <c r="B3083" s="70">
        <v>14.455</v>
      </c>
      <c r="C3083" s="85">
        <v>2962170</v>
      </c>
      <c r="D3083" s="88">
        <v>-1.7001020061203631E-2</v>
      </c>
      <c r="E3083" s="87"/>
    </row>
    <row r="3084" spans="1:5" ht="15" x14ac:dyDescent="0.2">
      <c r="A3084" s="73">
        <v>40099</v>
      </c>
      <c r="B3084" s="70">
        <v>14.705</v>
      </c>
      <c r="C3084" s="85">
        <v>2447309</v>
      </c>
      <c r="D3084" s="88">
        <v>-3.7945698397121363E-2</v>
      </c>
      <c r="E3084" s="87"/>
    </row>
    <row r="3085" spans="1:5" ht="15" x14ac:dyDescent="0.2">
      <c r="A3085" s="73">
        <v>40098</v>
      </c>
      <c r="B3085" s="70">
        <v>15.285</v>
      </c>
      <c r="C3085" s="85">
        <v>1107482</v>
      </c>
      <c r="D3085" s="88">
        <v>1.1581733951025797E-2</v>
      </c>
      <c r="E3085" s="87"/>
    </row>
    <row r="3086" spans="1:5" ht="15" x14ac:dyDescent="0.2">
      <c r="A3086" s="73">
        <v>40095</v>
      </c>
      <c r="B3086" s="70">
        <v>15.11</v>
      </c>
      <c r="C3086" s="85">
        <v>1882336</v>
      </c>
      <c r="D3086" s="88">
        <v>4.65425531914887E-3</v>
      </c>
      <c r="E3086" s="87"/>
    </row>
    <row r="3087" spans="1:5" ht="15" x14ac:dyDescent="0.2">
      <c r="A3087" s="73">
        <v>40094</v>
      </c>
      <c r="B3087" s="70">
        <v>15.04</v>
      </c>
      <c r="C3087" s="85">
        <v>2493861</v>
      </c>
      <c r="D3087" s="88">
        <v>1.143241425689312E-2</v>
      </c>
      <c r="E3087" s="87"/>
    </row>
    <row r="3088" spans="1:5" ht="15" x14ac:dyDescent="0.2">
      <c r="A3088" s="73">
        <v>40093</v>
      </c>
      <c r="B3088" s="70">
        <v>14.87</v>
      </c>
      <c r="C3088" s="85">
        <v>2427452</v>
      </c>
      <c r="D3088" s="88">
        <v>2.3047815617474932E-2</v>
      </c>
      <c r="E3088" s="87"/>
    </row>
    <row r="3089" spans="1:7" ht="15" x14ac:dyDescent="0.2">
      <c r="A3089" s="73">
        <v>40092</v>
      </c>
      <c r="B3089" s="70">
        <v>14.535</v>
      </c>
      <c r="C3089" s="85">
        <v>3187837</v>
      </c>
      <c r="D3089" s="88">
        <v>1.7229496898691909E-3</v>
      </c>
      <c r="E3089" s="87"/>
    </row>
    <row r="3090" spans="1:7" ht="15" x14ac:dyDescent="0.2">
      <c r="A3090" s="73">
        <v>40091</v>
      </c>
      <c r="B3090" s="70">
        <v>14.51</v>
      </c>
      <c r="C3090" s="85">
        <v>2014791</v>
      </c>
      <c r="D3090" s="88">
        <v>2.0718232044198981E-3</v>
      </c>
      <c r="E3090" s="87"/>
    </row>
    <row r="3091" spans="1:7" ht="15" x14ac:dyDescent="0.2">
      <c r="A3091" s="73">
        <v>40088</v>
      </c>
      <c r="B3091" s="70">
        <v>14.48</v>
      </c>
      <c r="C3091" s="85">
        <v>2547148</v>
      </c>
      <c r="D3091" s="88">
        <v>-4.1059602649006544E-2</v>
      </c>
      <c r="E3091" s="87"/>
    </row>
    <row r="3092" spans="1:7" ht="15" x14ac:dyDescent="0.2">
      <c r="A3092" s="73">
        <v>40087</v>
      </c>
      <c r="B3092" s="70">
        <v>15.1</v>
      </c>
      <c r="C3092" s="85">
        <v>1977898</v>
      </c>
      <c r="D3092" s="88">
        <v>-1.5966112740306349E-2</v>
      </c>
      <c r="E3092" s="87"/>
    </row>
    <row r="3093" spans="1:7" ht="15" x14ac:dyDescent="0.2">
      <c r="A3093" s="73">
        <v>40086</v>
      </c>
      <c r="B3093" s="70">
        <v>15.345000000000001</v>
      </c>
      <c r="C3093" s="85">
        <v>3900689</v>
      </c>
      <c r="D3093" s="88">
        <v>2.5050100200400882E-2</v>
      </c>
      <c r="E3093" s="87"/>
    </row>
    <row r="3094" spans="1:7" ht="15" x14ac:dyDescent="0.2">
      <c r="A3094" s="73">
        <v>40085</v>
      </c>
      <c r="B3094" s="70">
        <v>14.97</v>
      </c>
      <c r="C3094" s="85">
        <v>2485589</v>
      </c>
      <c r="D3094" s="88">
        <v>-1.1228533685601061E-2</v>
      </c>
      <c r="E3094" s="67"/>
      <c r="F3094" s="67"/>
      <c r="G3094" s="67"/>
    </row>
    <row r="3095" spans="1:7" ht="15" x14ac:dyDescent="0.2">
      <c r="A3095" s="73">
        <v>40084</v>
      </c>
      <c r="B3095" s="70">
        <v>15.14</v>
      </c>
      <c r="C3095" s="85">
        <v>2315673</v>
      </c>
      <c r="D3095" s="88">
        <v>2.7137042062415295E-2</v>
      </c>
      <c r="E3095" s="67"/>
      <c r="F3095" s="67"/>
      <c r="G3095" s="67"/>
    </row>
    <row r="3096" spans="1:7" ht="15" x14ac:dyDescent="0.2">
      <c r="A3096" s="73">
        <v>40081</v>
      </c>
      <c r="B3096" s="70">
        <v>14.74</v>
      </c>
      <c r="C3096" s="85">
        <v>1893327</v>
      </c>
      <c r="D3096" s="88">
        <v>-1.8641810918774926E-2</v>
      </c>
      <c r="E3096" s="67"/>
      <c r="F3096" s="67"/>
      <c r="G3096" s="67"/>
    </row>
    <row r="3097" spans="1:7" ht="15" x14ac:dyDescent="0.2">
      <c r="A3097" s="73">
        <v>40080</v>
      </c>
      <c r="B3097" s="70">
        <v>15.02</v>
      </c>
      <c r="C3097" s="85">
        <v>2104231</v>
      </c>
      <c r="D3097" s="88">
        <v>-2.4675324675324739E-2</v>
      </c>
      <c r="E3097" s="67"/>
      <c r="F3097" s="67"/>
      <c r="G3097" s="67"/>
    </row>
    <row r="3098" spans="1:7" ht="15" x14ac:dyDescent="0.2">
      <c r="A3098" s="73">
        <v>40079</v>
      </c>
      <c r="B3098" s="70">
        <v>15.4</v>
      </c>
      <c r="C3098" s="85">
        <v>2523447</v>
      </c>
      <c r="D3098" s="88">
        <v>-1.7857142857142794E-2</v>
      </c>
      <c r="E3098" s="67"/>
      <c r="F3098" s="67"/>
      <c r="G3098" s="67"/>
    </row>
    <row r="3099" spans="1:7" ht="15" x14ac:dyDescent="0.2">
      <c r="A3099" s="73">
        <v>40078</v>
      </c>
      <c r="B3099" s="70">
        <v>15.68</v>
      </c>
      <c r="C3099" s="85">
        <v>2076269</v>
      </c>
      <c r="D3099" s="88">
        <v>6.741573033707926E-3</v>
      </c>
      <c r="E3099" s="67"/>
      <c r="F3099" s="67"/>
      <c r="G3099" s="67"/>
    </row>
    <row r="3100" spans="1:7" ht="15" x14ac:dyDescent="0.2">
      <c r="A3100" s="73">
        <v>40077</v>
      </c>
      <c r="B3100" s="70">
        <v>15.574999999999999</v>
      </c>
      <c r="C3100" s="85">
        <v>3463633</v>
      </c>
      <c r="D3100" s="88">
        <v>-5.0304878048780477E-2</v>
      </c>
      <c r="E3100" s="67"/>
      <c r="F3100" s="67"/>
      <c r="G3100" s="67"/>
    </row>
    <row r="3101" spans="1:7" ht="15" x14ac:dyDescent="0.2">
      <c r="A3101" s="73">
        <v>40074</v>
      </c>
      <c r="B3101" s="70">
        <v>16.399999999999999</v>
      </c>
      <c r="C3101" s="85">
        <v>6185934</v>
      </c>
      <c r="D3101" s="88">
        <v>1.1721159777914769E-2</v>
      </c>
      <c r="E3101" s="67"/>
      <c r="F3101" s="67"/>
      <c r="G3101" s="67"/>
    </row>
    <row r="3102" spans="1:7" ht="15" x14ac:dyDescent="0.2">
      <c r="A3102" s="73">
        <v>40073</v>
      </c>
      <c r="B3102" s="70">
        <v>16.21</v>
      </c>
      <c r="C3102" s="85">
        <v>5152047</v>
      </c>
      <c r="D3102" s="88">
        <v>6.2602425434283848E-2</v>
      </c>
      <c r="E3102" s="67"/>
      <c r="F3102" s="67"/>
      <c r="G3102" s="67"/>
    </row>
    <row r="3103" spans="1:7" ht="15" x14ac:dyDescent="0.2">
      <c r="A3103" s="73">
        <v>40072</v>
      </c>
      <c r="B3103" s="70">
        <v>15.255000000000001</v>
      </c>
      <c r="C3103" s="85">
        <v>2133583</v>
      </c>
      <c r="D3103" s="88" t="e">
        <v>#DIV/0!</v>
      </c>
      <c r="E3103" s="67"/>
      <c r="F3103" s="67"/>
      <c r="G3103" s="67"/>
    </row>
    <row r="3105" spans="1:7" ht="15" x14ac:dyDescent="0.15">
      <c r="A3105" s="67"/>
      <c r="B3105" s="67"/>
      <c r="C3105" s="67"/>
      <c r="D3105" s="67"/>
      <c r="E3105" s="67"/>
      <c r="F3105" s="67"/>
      <c r="G3105" s="75"/>
    </row>
  </sheetData>
  <mergeCells count="2">
    <mergeCell ref="A4:F4"/>
    <mergeCell ref="H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177800</xdr:colOff>
                    <xdr:row>1</xdr:row>
                    <xdr:rowOff>0</xdr:rowOff>
                  </from>
                  <to>
                    <xdr:col>2</xdr:col>
                    <xdr:colOff>25400</xdr:colOff>
                    <xdr:row>2</xdr:row>
                    <xdr:rowOff>25400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482600</xdr:colOff>
                    <xdr:row>1</xdr:row>
                    <xdr:rowOff>12700</xdr:rowOff>
                  </from>
                  <to>
                    <xdr:col>4</xdr:col>
                    <xdr:colOff>292100</xdr:colOff>
                    <xdr:row>2</xdr:row>
                    <xdr:rowOff>63500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F5018"/>
  <sheetViews>
    <sheetView zoomScale="81" zoomScaleNormal="81" workbookViewId="0">
      <selection activeCell="D3" sqref="D3"/>
    </sheetView>
  </sheetViews>
  <sheetFormatPr baseColWidth="10" defaultRowHeight="14" x14ac:dyDescent="0.15"/>
  <cols>
    <col min="1" max="1" width="9.83203125" bestFit="1" customWidth="1"/>
    <col min="2" max="2" width="13.33203125" customWidth="1"/>
    <col min="3" max="3" width="13.33203125" style="118" bestFit="1" customWidth="1"/>
    <col min="4" max="4" width="9.83203125" bestFit="1" customWidth="1"/>
    <col min="5" max="5" width="16.6640625" bestFit="1" customWidth="1"/>
  </cols>
  <sheetData>
    <row r="1" spans="1:6" x14ac:dyDescent="0.15">
      <c r="A1" s="129" t="s">
        <v>67</v>
      </c>
      <c r="B1" s="129" t="s">
        <v>69</v>
      </c>
      <c r="C1" s="122"/>
      <c r="E1" s="127" t="s">
        <v>72</v>
      </c>
      <c r="F1" s="128">
        <f>_xlfn.STDEV.S(yf_data[Pct Change])*SQRT(252)</f>
        <v>0.35122009154259359</v>
      </c>
    </row>
    <row r="2" spans="1:6" s="118" customFormat="1" x14ac:dyDescent="0.15">
      <c r="A2" s="130"/>
      <c r="B2" s="130"/>
      <c r="C2" s="122"/>
      <c r="E2" s="131"/>
      <c r="F2" s="132"/>
    </row>
    <row r="4" spans="1:6" x14ac:dyDescent="0.15">
      <c r="A4" t="s">
        <v>68</v>
      </c>
      <c r="B4" t="s">
        <v>70</v>
      </c>
      <c r="C4" s="122" t="s">
        <v>71</v>
      </c>
    </row>
    <row r="5" spans="1:6" x14ac:dyDescent="0.15">
      <c r="A5" s="124">
        <v>40840</v>
      </c>
      <c r="B5" s="126">
        <v>17.036848068237305</v>
      </c>
      <c r="C5" s="125">
        <f>IFERROR(yf_data[[#This Row],[Close Price]]/B4-1,0)</f>
        <v>0</v>
      </c>
    </row>
    <row r="6" spans="1:6" x14ac:dyDescent="0.15">
      <c r="A6" s="124">
        <v>40841</v>
      </c>
      <c r="B6" s="126">
        <v>17.409919738769531</v>
      </c>
      <c r="C6" s="125">
        <f>IFERROR(yf_data[[#This Row],[Close Price]]/B5-1,0)</f>
        <v>2.1897927893585134E-2</v>
      </c>
    </row>
    <row r="7" spans="1:6" x14ac:dyDescent="0.15">
      <c r="A7" s="124">
        <v>40842</v>
      </c>
      <c r="B7" s="126">
        <v>16.837879180908203</v>
      </c>
      <c r="C7" s="125">
        <f>IFERROR(yf_data[[#This Row],[Close Price]]/B6-1,0)</f>
        <v>-3.2857162264078199E-2</v>
      </c>
    </row>
    <row r="8" spans="1:6" x14ac:dyDescent="0.15">
      <c r="A8" s="124">
        <v>40843</v>
      </c>
      <c r="B8" s="126">
        <v>17.882472991943359</v>
      </c>
      <c r="C8" s="125">
        <f>IFERROR(yf_data[[#This Row],[Close Price]]/B7-1,0)</f>
        <v>6.2038324411994861E-2</v>
      </c>
    </row>
    <row r="9" spans="1:6" x14ac:dyDescent="0.15">
      <c r="A9" s="124">
        <v>40844</v>
      </c>
      <c r="B9" s="126">
        <v>17.700088500976562</v>
      </c>
      <c r="C9" s="125">
        <f>IFERROR(yf_data[[#This Row],[Close Price]]/B8-1,0)</f>
        <v>-1.0199064248494483E-2</v>
      </c>
    </row>
    <row r="10" spans="1:6" x14ac:dyDescent="0.15">
      <c r="A10" s="124">
        <v>40847</v>
      </c>
      <c r="B10" s="126">
        <v>17.716667175292969</v>
      </c>
      <c r="C10" s="125">
        <f>IFERROR(yf_data[[#This Row],[Close Price]]/B9-1,0)</f>
        <v>9.3664358319411889E-4</v>
      </c>
    </row>
    <row r="11" spans="1:6" x14ac:dyDescent="0.15">
      <c r="A11" s="124">
        <v>40848</v>
      </c>
      <c r="B11" s="126">
        <v>17.484533309936523</v>
      </c>
      <c r="C11" s="125">
        <f>IFERROR(yf_data[[#This Row],[Close Price]]/B10-1,0)</f>
        <v>-1.3102569634551253E-2</v>
      </c>
    </row>
    <row r="12" spans="1:6" x14ac:dyDescent="0.15">
      <c r="A12" s="124">
        <v>40849</v>
      </c>
      <c r="B12" s="126">
        <v>17.646196365356445</v>
      </c>
      <c r="C12" s="125">
        <f>IFERROR(yf_data[[#This Row],[Close Price]]/B11-1,0)</f>
        <v>9.2460606499602527E-3</v>
      </c>
    </row>
    <row r="13" spans="1:6" x14ac:dyDescent="0.15">
      <c r="A13" s="124">
        <v>40850</v>
      </c>
      <c r="B13" s="126">
        <v>17.944652557373047</v>
      </c>
      <c r="C13" s="125">
        <f>IFERROR(yf_data[[#This Row],[Close Price]]/B12-1,0)</f>
        <v>1.6913344147214682E-2</v>
      </c>
    </row>
    <row r="14" spans="1:6" x14ac:dyDescent="0.15">
      <c r="A14" s="124">
        <v>40851</v>
      </c>
      <c r="B14" s="126">
        <v>17.683507919311523</v>
      </c>
      <c r="C14" s="125">
        <f>IFERROR(yf_data[[#This Row],[Close Price]]/B13-1,0)</f>
        <v>-1.4552783188561902E-2</v>
      </c>
    </row>
    <row r="15" spans="1:6" x14ac:dyDescent="0.15">
      <c r="A15" s="124">
        <v>40854</v>
      </c>
      <c r="B15" s="126">
        <v>17.588163375854492</v>
      </c>
      <c r="C15" s="125">
        <f>IFERROR(yf_data[[#This Row],[Close Price]]/B14-1,0)</f>
        <v>-5.3917211388193609E-3</v>
      </c>
    </row>
    <row r="16" spans="1:6" x14ac:dyDescent="0.15">
      <c r="A16" s="124">
        <v>40855</v>
      </c>
      <c r="B16" s="126">
        <v>17.302143096923828</v>
      </c>
      <c r="C16" s="125">
        <f>IFERROR(yf_data[[#This Row],[Close Price]]/B15-1,0)</f>
        <v>-1.6262089043550754E-2</v>
      </c>
    </row>
    <row r="17" spans="1:3" x14ac:dyDescent="0.15">
      <c r="A17" s="124">
        <v>40856</v>
      </c>
      <c r="B17" s="126">
        <v>16.551860809326172</v>
      </c>
      <c r="C17" s="125">
        <f>IFERROR(yf_data[[#This Row],[Close Price]]/B16-1,0)</f>
        <v>-4.3363546549967547E-2</v>
      </c>
    </row>
    <row r="18" spans="1:3" x14ac:dyDescent="0.15">
      <c r="A18" s="124">
        <v>40857</v>
      </c>
      <c r="B18" s="126">
        <v>17.385049819946289</v>
      </c>
      <c r="C18" s="125">
        <f>IFERROR(yf_data[[#This Row],[Close Price]]/B17-1,0)</f>
        <v>5.0338087071796433E-2</v>
      </c>
    </row>
    <row r="19" spans="1:3" x14ac:dyDescent="0.15">
      <c r="A19" s="124">
        <v>40858</v>
      </c>
      <c r="B19" s="126">
        <v>18.458658218383789</v>
      </c>
      <c r="C19" s="125">
        <f>IFERROR(yf_data[[#This Row],[Close Price]]/B18-1,0)</f>
        <v>6.1754692080647544E-2</v>
      </c>
    </row>
    <row r="20" spans="1:3" x14ac:dyDescent="0.15">
      <c r="A20" s="124">
        <v>40861</v>
      </c>
      <c r="B20" s="126">
        <v>18.280416488647461</v>
      </c>
      <c r="C20" s="125">
        <f>IFERROR(yf_data[[#This Row],[Close Price]]/B19-1,0)</f>
        <v>-9.6562668655303385E-3</v>
      </c>
    </row>
    <row r="21" spans="1:3" x14ac:dyDescent="0.15">
      <c r="A21" s="124">
        <v>40862</v>
      </c>
      <c r="B21" s="126">
        <v>18.230674743652344</v>
      </c>
      <c r="C21" s="125">
        <f>IFERROR(yf_data[[#This Row],[Close Price]]/B20-1,0)</f>
        <v>-2.7210400280545111E-3</v>
      </c>
    </row>
    <row r="22" spans="1:3" x14ac:dyDescent="0.15">
      <c r="A22" s="124">
        <v>40863</v>
      </c>
      <c r="B22" s="126">
        <v>18.23896598815918</v>
      </c>
      <c r="C22" s="125">
        <f>IFERROR(yf_data[[#This Row],[Close Price]]/B21-1,0)</f>
        <v>4.5479635962042408E-4</v>
      </c>
    </row>
    <row r="23" spans="1:3" x14ac:dyDescent="0.15">
      <c r="A23" s="124">
        <v>40864</v>
      </c>
      <c r="B23" s="126">
        <v>17.579872131347656</v>
      </c>
      <c r="C23" s="125">
        <f>IFERROR(yf_data[[#This Row],[Close Price]]/B22-1,0)</f>
        <v>-3.6136580178909861E-2</v>
      </c>
    </row>
    <row r="24" spans="1:3" x14ac:dyDescent="0.15">
      <c r="A24" s="124">
        <v>40865</v>
      </c>
      <c r="B24" s="126">
        <v>17.66278076171875</v>
      </c>
      <c r="C24" s="125">
        <f>IFERROR(yf_data[[#This Row],[Close Price]]/B23-1,0)</f>
        <v>4.7161111156921454E-3</v>
      </c>
    </row>
    <row r="25" spans="1:3" x14ac:dyDescent="0.15">
      <c r="A25" s="124">
        <v>40868</v>
      </c>
      <c r="B25" s="126">
        <v>17.244112014770508</v>
      </c>
      <c r="C25" s="125">
        <f>IFERROR(yf_data[[#This Row],[Close Price]]/B24-1,0)</f>
        <v>-2.3703444695165943E-2</v>
      </c>
    </row>
    <row r="26" spans="1:3" x14ac:dyDescent="0.15">
      <c r="A26" s="124">
        <v>40869</v>
      </c>
      <c r="B26" s="126">
        <v>17.057575225830078</v>
      </c>
      <c r="C26" s="125">
        <f>IFERROR(yf_data[[#This Row],[Close Price]]/B25-1,0)</f>
        <v>-1.0817419231599179E-2</v>
      </c>
    </row>
    <row r="27" spans="1:3" x14ac:dyDescent="0.15">
      <c r="A27" s="124">
        <v>40870</v>
      </c>
      <c r="B27" s="126">
        <v>16.738393783569336</v>
      </c>
      <c r="C27" s="125">
        <f>IFERROR(yf_data[[#This Row],[Close Price]]/B26-1,0)</f>
        <v>-1.8712005547975474E-2</v>
      </c>
    </row>
    <row r="28" spans="1:3" x14ac:dyDescent="0.15">
      <c r="A28" s="124">
        <v>40871</v>
      </c>
      <c r="B28" s="126">
        <v>17.194372177124023</v>
      </c>
      <c r="C28" s="125">
        <f>IFERROR(yf_data[[#This Row],[Close Price]]/B27-1,0)</f>
        <v>2.7241466502137213E-2</v>
      </c>
    </row>
    <row r="29" spans="1:3" x14ac:dyDescent="0.15">
      <c r="A29" s="124">
        <v>40872</v>
      </c>
      <c r="B29" s="126">
        <v>17.198513031005859</v>
      </c>
      <c r="C29" s="125">
        <f>IFERROR(yf_data[[#This Row],[Close Price]]/B28-1,0)</f>
        <v>2.4082611677700427E-4</v>
      </c>
    </row>
    <row r="30" spans="1:3" x14ac:dyDescent="0.15">
      <c r="A30" s="124">
        <v>40875</v>
      </c>
      <c r="B30" s="126">
        <v>17.7125244140625</v>
      </c>
      <c r="C30" s="125">
        <f>IFERROR(yf_data[[#This Row],[Close Price]]/B29-1,0)</f>
        <v>2.9886966514486968E-2</v>
      </c>
    </row>
    <row r="31" spans="1:3" x14ac:dyDescent="0.15">
      <c r="A31" s="124">
        <v>40876</v>
      </c>
      <c r="B31" s="126">
        <v>17.741539001464844</v>
      </c>
      <c r="C31" s="125">
        <f>IFERROR(yf_data[[#This Row],[Close Price]]/B30-1,0)</f>
        <v>1.6380831283038244E-3</v>
      </c>
    </row>
    <row r="32" spans="1:3" x14ac:dyDescent="0.15">
      <c r="A32" s="124">
        <v>40877</v>
      </c>
      <c r="B32" s="126">
        <v>18.400627136230469</v>
      </c>
      <c r="C32" s="125">
        <f>IFERROR(yf_data[[#This Row],[Close Price]]/B31-1,0)</f>
        <v>3.7149434144986282E-2</v>
      </c>
    </row>
    <row r="33" spans="1:3" x14ac:dyDescent="0.15">
      <c r="A33" s="124">
        <v>40878</v>
      </c>
      <c r="B33" s="126">
        <v>18.048288345336911</v>
      </c>
      <c r="C33" s="125">
        <f>IFERROR(yf_data[[#This Row],[Close Price]]/B32-1,0)</f>
        <v>-1.9148194693854204E-2</v>
      </c>
    </row>
    <row r="34" spans="1:3" x14ac:dyDescent="0.15">
      <c r="A34" s="124">
        <v>40879</v>
      </c>
      <c r="B34" s="126">
        <v>18.180929183959961</v>
      </c>
      <c r="C34" s="125">
        <f>IFERROR(yf_data[[#This Row],[Close Price]]/B33-1,0)</f>
        <v>7.3492198309941248E-3</v>
      </c>
    </row>
    <row r="35" spans="1:3" x14ac:dyDescent="0.15">
      <c r="A35" s="124">
        <v>40882</v>
      </c>
      <c r="B35" s="126">
        <v>18.284563064575195</v>
      </c>
      <c r="C35" s="125">
        <f>IFERROR(yf_data[[#This Row],[Close Price]]/B34-1,0)</f>
        <v>5.7001421416165154E-3</v>
      </c>
    </row>
    <row r="36" spans="1:3" x14ac:dyDescent="0.15">
      <c r="A36" s="124">
        <v>40883</v>
      </c>
      <c r="B36" s="126">
        <v>18.176786422729492</v>
      </c>
      <c r="C36" s="125">
        <f>IFERROR(yf_data[[#This Row],[Close Price]]/B35-1,0)</f>
        <v>-5.8944061974612882E-3</v>
      </c>
    </row>
    <row r="37" spans="1:3" x14ac:dyDescent="0.15">
      <c r="A37" s="124">
        <v>40884</v>
      </c>
      <c r="B37" s="126">
        <v>18.089738845825195</v>
      </c>
      <c r="C37" s="125">
        <f>IFERROR(yf_data[[#This Row],[Close Price]]/B36-1,0)</f>
        <v>-4.7889420538851368E-3</v>
      </c>
    </row>
    <row r="38" spans="1:3" x14ac:dyDescent="0.15">
      <c r="A38" s="124">
        <v>40885</v>
      </c>
      <c r="B38" s="126">
        <v>18.089738845825195</v>
      </c>
      <c r="C38" s="125">
        <f>IFERROR(yf_data[[#This Row],[Close Price]]/B37-1,0)</f>
        <v>0</v>
      </c>
    </row>
    <row r="39" spans="1:3" x14ac:dyDescent="0.15">
      <c r="A39" s="124">
        <v>40886</v>
      </c>
      <c r="B39" s="126">
        <v>18.574728012084961</v>
      </c>
      <c r="C39" s="125">
        <f>IFERROR(yf_data[[#This Row],[Close Price]]/B38-1,0)</f>
        <v>2.681018064402263E-2</v>
      </c>
    </row>
    <row r="40" spans="1:3" x14ac:dyDescent="0.15">
      <c r="A40" s="124">
        <v>40889</v>
      </c>
      <c r="B40" s="126">
        <v>18.267978668212891</v>
      </c>
      <c r="C40" s="125">
        <f>IFERROR(yf_data[[#This Row],[Close Price]]/B39-1,0)</f>
        <v>-1.6514338388831096E-2</v>
      </c>
    </row>
    <row r="41" spans="1:3" x14ac:dyDescent="0.15">
      <c r="A41" s="124">
        <v>40890</v>
      </c>
      <c r="B41" s="126">
        <v>18.757116317749023</v>
      </c>
      <c r="C41" s="125">
        <f>IFERROR(yf_data[[#This Row],[Close Price]]/B40-1,0)</f>
        <v>2.6775685390264536E-2</v>
      </c>
    </row>
    <row r="42" spans="1:3" x14ac:dyDescent="0.15">
      <c r="A42" s="124">
        <v>40891</v>
      </c>
      <c r="B42" s="126">
        <v>18.363321304321289</v>
      </c>
      <c r="C42" s="125">
        <f>IFERROR(yf_data[[#This Row],[Close Price]]/B41-1,0)</f>
        <v>-2.0994432553318676E-2</v>
      </c>
    </row>
    <row r="43" spans="1:3" x14ac:dyDescent="0.15">
      <c r="A43" s="124">
        <v>40892</v>
      </c>
      <c r="B43" s="126">
        <v>18.869039535522461</v>
      </c>
      <c r="C43" s="125">
        <f>IFERROR(yf_data[[#This Row],[Close Price]]/B42-1,0)</f>
        <v>2.7539584088318803E-2</v>
      </c>
    </row>
    <row r="44" spans="1:3" x14ac:dyDescent="0.15">
      <c r="A44" s="124">
        <v>40893</v>
      </c>
      <c r="B44" s="126">
        <v>18.777843475341797</v>
      </c>
      <c r="C44" s="125">
        <f>IFERROR(yf_data[[#This Row],[Close Price]]/B43-1,0)</f>
        <v>-4.8331055753516594E-3</v>
      </c>
    </row>
    <row r="45" spans="1:3" x14ac:dyDescent="0.15">
      <c r="A45" s="124">
        <v>40896</v>
      </c>
      <c r="B45" s="126">
        <v>18.902202606201172</v>
      </c>
      <c r="C45" s="125">
        <f>IFERROR(yf_data[[#This Row],[Close Price]]/B44-1,0)</f>
        <v>6.6226524373087514E-3</v>
      </c>
    </row>
    <row r="46" spans="1:3" x14ac:dyDescent="0.15">
      <c r="A46" s="124">
        <v>40897</v>
      </c>
      <c r="B46" s="126">
        <v>19.565435409545898</v>
      </c>
      <c r="C46" s="125">
        <f>IFERROR(yf_data[[#This Row],[Close Price]]/B45-1,0)</f>
        <v>3.5087593608119638E-2</v>
      </c>
    </row>
    <row r="47" spans="1:3" x14ac:dyDescent="0.15">
      <c r="A47" s="124">
        <v>40898</v>
      </c>
      <c r="B47" s="126">
        <v>19.635900497436523</v>
      </c>
      <c r="C47" s="125">
        <f>IFERROR(yf_data[[#This Row],[Close Price]]/B46-1,0)</f>
        <v>3.6015088044627497E-3</v>
      </c>
    </row>
    <row r="48" spans="1:3" x14ac:dyDescent="0.15">
      <c r="A48" s="124">
        <v>40899</v>
      </c>
      <c r="B48" s="126">
        <v>19.602741241455082</v>
      </c>
      <c r="C48" s="125">
        <f>IFERROR(yf_data[[#This Row],[Close Price]]/B47-1,0)</f>
        <v>-1.6887056433072534E-3</v>
      </c>
    </row>
    <row r="49" spans="1:3" x14ac:dyDescent="0.15">
      <c r="A49" s="124">
        <v>40900</v>
      </c>
      <c r="B49" s="126">
        <v>19.565435409545898</v>
      </c>
      <c r="C49" s="125">
        <f>IFERROR(yf_data[[#This Row],[Close Price]]/B48-1,0)</f>
        <v>-1.9030926057571618E-3</v>
      </c>
    </row>
    <row r="50" spans="1:3" x14ac:dyDescent="0.15">
      <c r="A50" s="124">
        <v>40904</v>
      </c>
      <c r="B50" s="126">
        <v>19.557144165039062</v>
      </c>
      <c r="C50" s="125">
        <f>IFERROR(yf_data[[#This Row],[Close Price]]/B49-1,0)</f>
        <v>-4.2376999710369567E-4</v>
      </c>
    </row>
    <row r="51" spans="1:3" x14ac:dyDescent="0.15">
      <c r="A51" s="124">
        <v>40905</v>
      </c>
      <c r="B51" s="126">
        <v>19.565435409545898</v>
      </c>
      <c r="C51" s="125">
        <f>IFERROR(yf_data[[#This Row],[Close Price]]/B50-1,0)</f>
        <v>4.2394965424752407E-4</v>
      </c>
    </row>
    <row r="52" spans="1:3" x14ac:dyDescent="0.15">
      <c r="A52" s="124">
        <v>40906</v>
      </c>
      <c r="B52" s="126">
        <v>19.963375091552734</v>
      </c>
      <c r="C52" s="125">
        <f>IFERROR(yf_data[[#This Row],[Close Price]]/B51-1,0)</f>
        <v>2.0338912662924091E-2</v>
      </c>
    </row>
    <row r="53" spans="1:3" x14ac:dyDescent="0.15">
      <c r="A53" s="124">
        <v>40907</v>
      </c>
      <c r="B53" s="126">
        <v>20.02140998840332</v>
      </c>
      <c r="C53" s="125">
        <f>IFERROR(yf_data[[#This Row],[Close Price]]/B52-1,0)</f>
        <v>2.9070683982259649E-3</v>
      </c>
    </row>
    <row r="54" spans="1:3" x14ac:dyDescent="0.15">
      <c r="A54" s="124">
        <v>40910</v>
      </c>
      <c r="B54" s="126">
        <v>20.311573028564453</v>
      </c>
      <c r="C54" s="125">
        <f>IFERROR(yf_data[[#This Row],[Close Price]]/B53-1,0)</f>
        <v>1.449263764785802E-2</v>
      </c>
    </row>
    <row r="55" spans="1:3" x14ac:dyDescent="0.15">
      <c r="A55" s="124">
        <v>40911</v>
      </c>
      <c r="B55" s="126">
        <v>20.311573028564453</v>
      </c>
      <c r="C55" s="125">
        <f>IFERROR(yf_data[[#This Row],[Close Price]]/B54-1,0)</f>
        <v>0</v>
      </c>
    </row>
    <row r="56" spans="1:3" x14ac:dyDescent="0.15">
      <c r="A56" s="124">
        <v>40912</v>
      </c>
      <c r="B56" s="126">
        <v>20.365461349487305</v>
      </c>
      <c r="C56" s="125">
        <f>IFERROR(yf_data[[#This Row],[Close Price]]/B55-1,0)</f>
        <v>2.6530845664718417E-3</v>
      </c>
    </row>
    <row r="57" spans="1:3" x14ac:dyDescent="0.15">
      <c r="A57" s="124">
        <v>40913</v>
      </c>
      <c r="B57" s="126">
        <v>20.634899139404297</v>
      </c>
      <c r="C57" s="125">
        <f>IFERROR(yf_data[[#This Row],[Close Price]]/B56-1,0)</f>
        <v>1.3230134358030332E-2</v>
      </c>
    </row>
    <row r="58" spans="1:3" x14ac:dyDescent="0.15">
      <c r="A58" s="124">
        <v>40914</v>
      </c>
      <c r="B58" s="126">
        <v>20.531269073486328</v>
      </c>
      <c r="C58" s="125">
        <f>IFERROR(yf_data[[#This Row],[Close Price]]/B57-1,0)</f>
        <v>-5.022077656782753E-3</v>
      </c>
    </row>
    <row r="59" spans="1:3" x14ac:dyDescent="0.15">
      <c r="A59" s="124">
        <v>40917</v>
      </c>
      <c r="B59" s="126">
        <v>20.614171981811523</v>
      </c>
      <c r="C59" s="125">
        <f>IFERROR(yf_data[[#This Row],[Close Price]]/B58-1,0)</f>
        <v>4.037885238777239E-3</v>
      </c>
    </row>
    <row r="60" spans="1:3" x14ac:dyDescent="0.15">
      <c r="A60" s="124">
        <v>40918</v>
      </c>
      <c r="B60" s="126">
        <v>20.750968933105469</v>
      </c>
      <c r="C60" s="125">
        <f>IFERROR(yf_data[[#This Row],[Close Price]]/B59-1,0)</f>
        <v>6.63606335557132E-3</v>
      </c>
    </row>
    <row r="61" spans="1:3" x14ac:dyDescent="0.15">
      <c r="A61" s="124">
        <v>40919</v>
      </c>
      <c r="B61" s="126">
        <v>20.867031097412109</v>
      </c>
      <c r="C61" s="125">
        <f>IFERROR(yf_data[[#This Row],[Close Price]]/B60-1,0)</f>
        <v>5.5930961431627235E-3</v>
      </c>
    </row>
    <row r="62" spans="1:3" x14ac:dyDescent="0.15">
      <c r="A62" s="124">
        <v>40920</v>
      </c>
      <c r="B62" s="126">
        <v>20.755109786987305</v>
      </c>
      <c r="C62" s="125">
        <f>IFERROR(yf_data[[#This Row],[Close Price]]/B61-1,0)</f>
        <v>-5.3635474017520446E-3</v>
      </c>
    </row>
    <row r="63" spans="1:3" x14ac:dyDescent="0.15">
      <c r="A63" s="124">
        <v>40921</v>
      </c>
      <c r="B63" s="126">
        <v>20.85045051574707</v>
      </c>
      <c r="C63" s="125">
        <f>IFERROR(yf_data[[#This Row],[Close Price]]/B62-1,0)</f>
        <v>4.5936027194393159E-3</v>
      </c>
    </row>
    <row r="64" spans="1:3" x14ac:dyDescent="0.15">
      <c r="A64" s="124">
        <v>40924</v>
      </c>
      <c r="B64" s="126">
        <v>21.285699844360352</v>
      </c>
      <c r="C64" s="125">
        <f>IFERROR(yf_data[[#This Row],[Close Price]]/B63-1,0)</f>
        <v>2.0874816507421068E-2</v>
      </c>
    </row>
    <row r="65" spans="1:3" x14ac:dyDescent="0.15">
      <c r="A65" s="124">
        <v>40925</v>
      </c>
      <c r="B65" s="126">
        <v>21.38104248046875</v>
      </c>
      <c r="C65" s="125">
        <f>IFERROR(yf_data[[#This Row],[Close Price]]/B64-1,0)</f>
        <v>4.4791872856206894E-3</v>
      </c>
    </row>
    <row r="66" spans="1:3" x14ac:dyDescent="0.15">
      <c r="A66" s="124">
        <v>40926</v>
      </c>
      <c r="B66" s="126">
        <v>21.443216323852539</v>
      </c>
      <c r="C66" s="125">
        <f>IFERROR(yf_data[[#This Row],[Close Price]]/B65-1,0)</f>
        <v>2.907895788551107E-3</v>
      </c>
    </row>
    <row r="67" spans="1:3" x14ac:dyDescent="0.15">
      <c r="A67" s="124">
        <v>40927</v>
      </c>
      <c r="B67" s="126">
        <v>21.161346435546875</v>
      </c>
      <c r="C67" s="125">
        <f>IFERROR(yf_data[[#This Row],[Close Price]]/B66-1,0)</f>
        <v>-1.3144944491938149E-2</v>
      </c>
    </row>
    <row r="68" spans="1:3" x14ac:dyDescent="0.15">
      <c r="A68" s="124">
        <v>40928</v>
      </c>
      <c r="B68" s="126">
        <v>21.264974594116211</v>
      </c>
      <c r="C68" s="125">
        <f>IFERROR(yf_data[[#This Row],[Close Price]]/B67-1,0)</f>
        <v>4.8970493860098774E-3</v>
      </c>
    </row>
    <row r="69" spans="1:3" x14ac:dyDescent="0.15">
      <c r="A69" s="124">
        <v>40931</v>
      </c>
      <c r="B69" s="126">
        <v>21.260829925537109</v>
      </c>
      <c r="C69" s="125">
        <f>IFERROR(yf_data[[#This Row],[Close Price]]/B68-1,0)</f>
        <v>-1.9490587965476092E-4</v>
      </c>
    </row>
    <row r="70" spans="1:3" x14ac:dyDescent="0.15">
      <c r="A70" s="124">
        <v>40932</v>
      </c>
      <c r="B70" s="126">
        <v>21.530263900756836</v>
      </c>
      <c r="C70" s="125">
        <f>IFERROR(yf_data[[#This Row],[Close Price]]/B69-1,0)</f>
        <v>1.2672787288331655E-2</v>
      </c>
    </row>
    <row r="71" spans="1:3" x14ac:dyDescent="0.15">
      <c r="A71" s="124">
        <v>40933</v>
      </c>
      <c r="B71" s="126">
        <v>21.397623062133789</v>
      </c>
      <c r="C71" s="125">
        <f>IFERROR(yf_data[[#This Row],[Close Price]]/B70-1,0)</f>
        <v>-6.1606694295273101E-3</v>
      </c>
    </row>
    <row r="72" spans="1:3" x14ac:dyDescent="0.15">
      <c r="A72" s="124">
        <v>40934</v>
      </c>
      <c r="B72" s="126">
        <v>21.095020294189453</v>
      </c>
      <c r="C72" s="125">
        <f>IFERROR(yf_data[[#This Row],[Close Price]]/B71-1,0)</f>
        <v>-1.4141887024818001E-2</v>
      </c>
    </row>
    <row r="73" spans="1:3" x14ac:dyDescent="0.15">
      <c r="A73" s="124">
        <v>40935</v>
      </c>
      <c r="B73" s="126">
        <v>21.231813430786133</v>
      </c>
      <c r="C73" s="125">
        <f>IFERROR(yf_data[[#This Row],[Close Price]]/B72-1,0)</f>
        <v>6.4846174447321658E-3</v>
      </c>
    </row>
    <row r="74" spans="1:3" x14ac:dyDescent="0.15">
      <c r="A74" s="124">
        <v>40938</v>
      </c>
      <c r="B74" s="126">
        <v>21.041130065917969</v>
      </c>
      <c r="C74" s="125">
        <f>IFERROR(yf_data[[#This Row],[Close Price]]/B73-1,0)</f>
        <v>-8.9810211214306213E-3</v>
      </c>
    </row>
    <row r="75" spans="1:3" x14ac:dyDescent="0.15">
      <c r="A75" s="124">
        <v>40939</v>
      </c>
      <c r="B75" s="126">
        <v>21.289844512939453</v>
      </c>
      <c r="C75" s="125">
        <f>IFERROR(yf_data[[#This Row],[Close Price]]/B74-1,0)</f>
        <v>1.1820393973247079E-2</v>
      </c>
    </row>
    <row r="76" spans="1:3" x14ac:dyDescent="0.15">
      <c r="A76" s="124">
        <v>40940</v>
      </c>
      <c r="B76" s="126">
        <v>21.517831802368164</v>
      </c>
      <c r="C76" s="125">
        <f>IFERROR(yf_data[[#This Row],[Close Price]]/B75-1,0)</f>
        <v>1.0708734358775951E-2</v>
      </c>
    </row>
    <row r="77" spans="1:3" x14ac:dyDescent="0.15">
      <c r="A77" s="124">
        <v>40941</v>
      </c>
      <c r="B77" s="126">
        <v>21.521980285644531</v>
      </c>
      <c r="C77" s="125">
        <f>IFERROR(yf_data[[#This Row],[Close Price]]/B76-1,0)</f>
        <v>1.9279281084028099E-4</v>
      </c>
    </row>
    <row r="78" spans="1:3" x14ac:dyDescent="0.15">
      <c r="A78" s="124">
        <v>40942</v>
      </c>
      <c r="B78" s="126">
        <v>22.831863403320312</v>
      </c>
      <c r="C78" s="125">
        <f>IFERROR(yf_data[[#This Row],[Close Price]]/B77-1,0)</f>
        <v>6.0862573996013358E-2</v>
      </c>
    </row>
    <row r="79" spans="1:3" x14ac:dyDescent="0.15">
      <c r="A79" s="124">
        <v>40945</v>
      </c>
      <c r="B79" s="126">
        <v>22.574863433837891</v>
      </c>
      <c r="C79" s="125">
        <f>IFERROR(yf_data[[#This Row],[Close Price]]/B78-1,0)</f>
        <v>-1.1256197750598274E-2</v>
      </c>
    </row>
    <row r="80" spans="1:3" x14ac:dyDescent="0.15">
      <c r="A80" s="124">
        <v>40946</v>
      </c>
      <c r="B80" s="126">
        <v>22.346878051757812</v>
      </c>
      <c r="C80" s="125">
        <f>IFERROR(yf_data[[#This Row],[Close Price]]/B79-1,0)</f>
        <v>-1.0099081340990357E-2</v>
      </c>
    </row>
    <row r="81" spans="1:3" x14ac:dyDescent="0.15">
      <c r="A81" s="124">
        <v>40947</v>
      </c>
      <c r="B81" s="126">
        <v>21.932355880737305</v>
      </c>
      <c r="C81" s="125">
        <f>IFERROR(yf_data[[#This Row],[Close Price]]/B80-1,0)</f>
        <v>-1.854944435909256E-2</v>
      </c>
    </row>
    <row r="82" spans="1:3" x14ac:dyDescent="0.15">
      <c r="A82" s="124">
        <v>40948</v>
      </c>
      <c r="B82" s="126">
        <v>22.243246078491211</v>
      </c>
      <c r="C82" s="125">
        <f>IFERROR(yf_data[[#This Row],[Close Price]]/B81-1,0)</f>
        <v>1.4174956828370444E-2</v>
      </c>
    </row>
    <row r="83" spans="1:3" x14ac:dyDescent="0.15">
      <c r="A83" s="124">
        <v>40949</v>
      </c>
      <c r="B83" s="126">
        <v>22.176919937133789</v>
      </c>
      <c r="C83" s="125">
        <f>IFERROR(yf_data[[#This Row],[Close Price]]/B82-1,0)</f>
        <v>-2.9818553067016973E-3</v>
      </c>
    </row>
    <row r="84" spans="1:3" x14ac:dyDescent="0.15">
      <c r="A84" s="124">
        <v>40952</v>
      </c>
      <c r="B84" s="126">
        <v>22.425632476806641</v>
      </c>
      <c r="C84" s="125">
        <f>IFERROR(yf_data[[#This Row],[Close Price]]/B83-1,0)</f>
        <v>1.121492706732452E-2</v>
      </c>
    </row>
    <row r="85" spans="1:3" x14ac:dyDescent="0.15">
      <c r="A85" s="124">
        <v>40953</v>
      </c>
      <c r="B85" s="126">
        <v>22.375896453857425</v>
      </c>
      <c r="C85" s="125">
        <f>IFERROR(yf_data[[#This Row],[Close Price]]/B84-1,0)</f>
        <v>-2.217820300080886E-3</v>
      </c>
    </row>
    <row r="86" spans="1:3" x14ac:dyDescent="0.15">
      <c r="A86" s="124">
        <v>40954</v>
      </c>
      <c r="B86" s="126">
        <v>22.413198471069336</v>
      </c>
      <c r="C86" s="125">
        <f>IFERROR(yf_data[[#This Row],[Close Price]]/B85-1,0)</f>
        <v>1.6670624700481085E-3</v>
      </c>
    </row>
    <row r="87" spans="1:3" x14ac:dyDescent="0.15">
      <c r="A87" s="124">
        <v>40955</v>
      </c>
      <c r="B87" s="126">
        <v>22.292987823486328</v>
      </c>
      <c r="C87" s="125">
        <f>IFERROR(yf_data[[#This Row],[Close Price]]/B86-1,0)</f>
        <v>-5.3633865660973612E-3</v>
      </c>
    </row>
    <row r="88" spans="1:3" x14ac:dyDescent="0.15">
      <c r="A88" s="124">
        <v>40956</v>
      </c>
      <c r="B88" s="126">
        <v>22.483667373657227</v>
      </c>
      <c r="C88" s="125">
        <f>IFERROR(yf_data[[#This Row],[Close Price]]/B87-1,0)</f>
        <v>8.5533420500061297E-3</v>
      </c>
    </row>
    <row r="89" spans="1:3" x14ac:dyDescent="0.15">
      <c r="A89" s="124">
        <v>40959</v>
      </c>
      <c r="B89" s="126">
        <v>22.442214965820312</v>
      </c>
      <c r="C89" s="125">
        <f>IFERROR(yf_data[[#This Row],[Close Price]]/B88-1,0)</f>
        <v>-1.8436675453347151E-3</v>
      </c>
    </row>
    <row r="90" spans="1:3" x14ac:dyDescent="0.15">
      <c r="A90" s="124">
        <v>40960</v>
      </c>
      <c r="B90" s="126">
        <v>22.384180068969727</v>
      </c>
      <c r="C90" s="125">
        <f>IFERROR(yf_data[[#This Row],[Close Price]]/B89-1,0)</f>
        <v>-2.58597009871675E-3</v>
      </c>
    </row>
    <row r="91" spans="1:3" x14ac:dyDescent="0.15">
      <c r="A91" s="124">
        <v>40961</v>
      </c>
      <c r="B91" s="126">
        <v>22.520977020263672</v>
      </c>
      <c r="C91" s="125">
        <f>IFERROR(yf_data[[#This Row],[Close Price]]/B90-1,0)</f>
        <v>6.1113228571449962E-3</v>
      </c>
    </row>
    <row r="92" spans="1:3" x14ac:dyDescent="0.15">
      <c r="A92" s="124">
        <v>40962</v>
      </c>
      <c r="B92" s="126">
        <v>22.628751754760746</v>
      </c>
      <c r="C92" s="125">
        <f>IFERROR(yf_data[[#This Row],[Close Price]]/B91-1,0)</f>
        <v>4.7855265959422244E-3</v>
      </c>
    </row>
    <row r="93" spans="1:3" x14ac:dyDescent="0.15">
      <c r="A93" s="124">
        <v>40963</v>
      </c>
      <c r="B93" s="126">
        <v>22.433927536010746</v>
      </c>
      <c r="C93" s="125">
        <f>IFERROR(yf_data[[#This Row],[Close Price]]/B92-1,0)</f>
        <v>-8.6095875221668949E-3</v>
      </c>
    </row>
    <row r="94" spans="1:3" x14ac:dyDescent="0.15">
      <c r="A94" s="124">
        <v>40966</v>
      </c>
      <c r="B94" s="126">
        <v>22.520977020263672</v>
      </c>
      <c r="C94" s="125">
        <f>IFERROR(yf_data[[#This Row],[Close Price]]/B93-1,0)</f>
        <v>3.8802605612946461E-3</v>
      </c>
    </row>
    <row r="95" spans="1:3" x14ac:dyDescent="0.15">
      <c r="A95" s="124">
        <v>40967</v>
      </c>
      <c r="B95" s="126">
        <v>22.54170036315918</v>
      </c>
      <c r="C95" s="125">
        <f>IFERROR(yf_data[[#This Row],[Close Price]]/B94-1,0)</f>
        <v>9.2017956755885422E-4</v>
      </c>
    </row>
    <row r="96" spans="1:3" x14ac:dyDescent="0.15">
      <c r="A96" s="124">
        <v>40968</v>
      </c>
      <c r="B96" s="126">
        <v>22.603878021240231</v>
      </c>
      <c r="C96" s="125">
        <f>IFERROR(yf_data[[#This Row],[Close Price]]/B95-1,0)</f>
        <v>2.7583393035721659E-3</v>
      </c>
    </row>
    <row r="97" spans="1:3" x14ac:dyDescent="0.15">
      <c r="A97" s="124">
        <v>40969</v>
      </c>
      <c r="B97" s="126">
        <v>23.254680633544918</v>
      </c>
      <c r="C97" s="125">
        <f>IFERROR(yf_data[[#This Row],[Close Price]]/B96-1,0)</f>
        <v>2.8791635297852336E-2</v>
      </c>
    </row>
    <row r="98" spans="1:3" x14ac:dyDescent="0.15">
      <c r="A98" s="124">
        <v>40970</v>
      </c>
      <c r="B98" s="126">
        <v>22.923061370849609</v>
      </c>
      <c r="C98" s="125">
        <f>IFERROR(yf_data[[#This Row],[Close Price]]/B97-1,0)</f>
        <v>-1.4260323240773642E-2</v>
      </c>
    </row>
    <row r="99" spans="1:3" x14ac:dyDescent="0.15">
      <c r="A99" s="124">
        <v>40973</v>
      </c>
      <c r="B99" s="126">
        <v>22.773832321166992</v>
      </c>
      <c r="C99" s="125">
        <f>IFERROR(yf_data[[#This Row],[Close Price]]/B98-1,0)</f>
        <v>-6.5099965169742591E-3</v>
      </c>
    </row>
    <row r="100" spans="1:3" x14ac:dyDescent="0.15">
      <c r="A100" s="124">
        <v>40974</v>
      </c>
      <c r="B100" s="126">
        <v>21.928211212158203</v>
      </c>
      <c r="C100" s="125">
        <f>IFERROR(yf_data[[#This Row],[Close Price]]/B99-1,0)</f>
        <v>-3.7131260873596195E-2</v>
      </c>
    </row>
    <row r="101" spans="1:3" x14ac:dyDescent="0.15">
      <c r="A101" s="124">
        <v>40975</v>
      </c>
      <c r="B101" s="126">
        <v>22.255681991577148</v>
      </c>
      <c r="C101" s="125">
        <f>IFERROR(yf_data[[#This Row],[Close Price]]/B100-1,0)</f>
        <v>1.4933766199651366E-2</v>
      </c>
    </row>
    <row r="102" spans="1:3" x14ac:dyDescent="0.15">
      <c r="A102" s="124">
        <v>40976</v>
      </c>
      <c r="B102" s="126">
        <v>24.65576171875</v>
      </c>
      <c r="C102" s="125">
        <f>IFERROR(yf_data[[#This Row],[Close Price]]/B101-1,0)</f>
        <v>0.10784121232866206</v>
      </c>
    </row>
    <row r="103" spans="1:3" x14ac:dyDescent="0.15">
      <c r="A103" s="124">
        <v>40977</v>
      </c>
      <c r="B103" s="126">
        <v>24.921056747436523</v>
      </c>
      <c r="C103" s="125">
        <f>IFERROR(yf_data[[#This Row],[Close Price]]/B102-1,0)</f>
        <v>1.0759960763441878E-2</v>
      </c>
    </row>
    <row r="104" spans="1:3" x14ac:dyDescent="0.15">
      <c r="A104" s="124">
        <v>40980</v>
      </c>
      <c r="B104" s="126">
        <v>24.622602462768555</v>
      </c>
      <c r="C104" s="125">
        <f>IFERROR(yf_data[[#This Row],[Close Price]]/B103-1,0)</f>
        <v>-1.1975988325562015E-2</v>
      </c>
    </row>
    <row r="105" spans="1:3" x14ac:dyDescent="0.15">
      <c r="A105" s="124">
        <v>40981</v>
      </c>
      <c r="B105" s="126">
        <v>25.078573226928711</v>
      </c>
      <c r="C105" s="125">
        <f>IFERROR(yf_data[[#This Row],[Close Price]]/B104-1,0)</f>
        <v>1.8518382240448439E-2</v>
      </c>
    </row>
    <row r="106" spans="1:3" x14ac:dyDescent="0.15">
      <c r="A106" s="124">
        <v>40982</v>
      </c>
      <c r="B106" s="126">
        <v>25.33143424987793</v>
      </c>
      <c r="C106" s="125">
        <f>IFERROR(yf_data[[#This Row],[Close Price]]/B105-1,0)</f>
        <v>1.0082751544960411E-2</v>
      </c>
    </row>
    <row r="107" spans="1:3" x14ac:dyDescent="0.15">
      <c r="A107" s="124">
        <v>40983</v>
      </c>
      <c r="B107" s="126">
        <v>25.546987533569336</v>
      </c>
      <c r="C107" s="125">
        <f>IFERROR(yf_data[[#This Row],[Close Price]]/B106-1,0)</f>
        <v>8.5093201421251319E-3</v>
      </c>
    </row>
    <row r="108" spans="1:3" x14ac:dyDescent="0.15">
      <c r="A108" s="124">
        <v>40984</v>
      </c>
      <c r="B108" s="126">
        <v>25.78326416015625</v>
      </c>
      <c r="C108" s="125">
        <f>IFERROR(yf_data[[#This Row],[Close Price]]/B107-1,0)</f>
        <v>9.2487079455627619E-3</v>
      </c>
    </row>
    <row r="109" spans="1:3" x14ac:dyDescent="0.15">
      <c r="A109" s="124">
        <v>40987</v>
      </c>
      <c r="B109" s="126">
        <v>25.140756607055664</v>
      </c>
      <c r="C109" s="125">
        <f>IFERROR(yf_data[[#This Row],[Close Price]]/B108-1,0)</f>
        <v>-2.4919558249473894E-2</v>
      </c>
    </row>
    <row r="110" spans="1:3" x14ac:dyDescent="0.15">
      <c r="A110" s="124">
        <v>40988</v>
      </c>
      <c r="B110" s="126">
        <v>25.236095428466797</v>
      </c>
      <c r="C110" s="125">
        <f>IFERROR(yf_data[[#This Row],[Close Price]]/B109-1,0)</f>
        <v>3.7922017583342793E-3</v>
      </c>
    </row>
    <row r="111" spans="1:3" x14ac:dyDescent="0.15">
      <c r="A111" s="124">
        <v>40989</v>
      </c>
      <c r="B111" s="126">
        <v>25.497243881225582</v>
      </c>
      <c r="C111" s="125">
        <f>IFERROR(yf_data[[#This Row],[Close Price]]/B110-1,0)</f>
        <v>1.0348211493296455E-2</v>
      </c>
    </row>
    <row r="112" spans="1:3" x14ac:dyDescent="0.15">
      <c r="A112" s="124">
        <v>40990</v>
      </c>
      <c r="B112" s="126">
        <v>25.070285797119141</v>
      </c>
      <c r="C112" s="125">
        <f>IFERROR(yf_data[[#This Row],[Close Price]]/B111-1,0)</f>
        <v>-1.6745264158563589E-2</v>
      </c>
    </row>
    <row r="113" spans="1:3" x14ac:dyDescent="0.15">
      <c r="A113" s="124">
        <v>40991</v>
      </c>
      <c r="B113" s="126">
        <v>25.252674102783203</v>
      </c>
      <c r="C113" s="125">
        <f>IFERROR(yf_data[[#This Row],[Close Price]]/B112-1,0)</f>
        <v>7.2750788379531972E-3</v>
      </c>
    </row>
    <row r="114" spans="1:3" x14ac:dyDescent="0.15">
      <c r="A114" s="124">
        <v>40994</v>
      </c>
      <c r="B114" s="126">
        <v>25.580146789550781</v>
      </c>
      <c r="C114" s="125">
        <f>IFERROR(yf_data[[#This Row],[Close Price]]/B113-1,0)</f>
        <v>1.2967841957437942E-2</v>
      </c>
    </row>
    <row r="115" spans="1:3" x14ac:dyDescent="0.15">
      <c r="A115" s="124">
        <v>40995</v>
      </c>
      <c r="B115" s="126">
        <v>25.534549713134769</v>
      </c>
      <c r="C115" s="125">
        <f>IFERROR(yf_data[[#This Row],[Close Price]]/B114-1,0)</f>
        <v>-1.7825181689199443E-3</v>
      </c>
    </row>
    <row r="116" spans="1:3" x14ac:dyDescent="0.15">
      <c r="A116" s="124">
        <v>40996</v>
      </c>
      <c r="B116" s="126">
        <v>25.447500228881836</v>
      </c>
      <c r="C116" s="125">
        <f>IFERROR(yf_data[[#This Row],[Close Price]]/B115-1,0)</f>
        <v>-3.4090863254250259E-3</v>
      </c>
    </row>
    <row r="117" spans="1:3" x14ac:dyDescent="0.15">
      <c r="A117" s="124">
        <v>40997</v>
      </c>
      <c r="B117" s="126">
        <v>25.140756607055664</v>
      </c>
      <c r="C117" s="125">
        <f>IFERROR(yf_data[[#This Row],[Close Price]]/B116-1,0)</f>
        <v>-1.2053978546703426E-2</v>
      </c>
    </row>
    <row r="118" spans="1:3" x14ac:dyDescent="0.15">
      <c r="A118" s="124">
        <v>40998</v>
      </c>
      <c r="B118" s="126">
        <v>25.455791473388672</v>
      </c>
      <c r="C118" s="125">
        <f>IFERROR(yf_data[[#This Row],[Close Price]]/B117-1,0)</f>
        <v>1.2530842697255684E-2</v>
      </c>
    </row>
    <row r="119" spans="1:3" x14ac:dyDescent="0.15">
      <c r="A119" s="124">
        <v>41001</v>
      </c>
      <c r="B119" s="126">
        <v>25.658910751342773</v>
      </c>
      <c r="C119" s="125">
        <f>IFERROR(yf_data[[#This Row],[Close Price]]/B118-1,0)</f>
        <v>7.9792953272124212E-3</v>
      </c>
    </row>
    <row r="120" spans="1:3" x14ac:dyDescent="0.15">
      <c r="A120" s="124">
        <v>41002</v>
      </c>
      <c r="B120" s="126">
        <v>25.841297149658203</v>
      </c>
      <c r="C120" s="125">
        <f>IFERROR(yf_data[[#This Row],[Close Price]]/B119-1,0)</f>
        <v>7.1081114893345454E-3</v>
      </c>
    </row>
    <row r="121" spans="1:3" x14ac:dyDescent="0.15">
      <c r="A121" s="124">
        <v>41003</v>
      </c>
      <c r="B121" s="126">
        <v>25.178062438964844</v>
      </c>
      <c r="C121" s="125">
        <f>IFERROR(yf_data[[#This Row],[Close Price]]/B120-1,0)</f>
        <v>-2.5665689568611039E-2</v>
      </c>
    </row>
    <row r="122" spans="1:3" x14ac:dyDescent="0.15">
      <c r="A122" s="124">
        <v>41004</v>
      </c>
      <c r="B122" s="126">
        <v>25.439207077026367</v>
      </c>
      <c r="C122" s="125">
        <f>IFERROR(yf_data[[#This Row],[Close Price]]/B121-1,0)</f>
        <v>1.0371911607359507E-2</v>
      </c>
    </row>
    <row r="123" spans="1:3" x14ac:dyDescent="0.15">
      <c r="A123" s="124">
        <v>41009</v>
      </c>
      <c r="B123" s="126">
        <v>24.643329620361328</v>
      </c>
      <c r="C123" s="125">
        <f>IFERROR(yf_data[[#This Row],[Close Price]]/B122-1,0)</f>
        <v>-3.1285466337658718E-2</v>
      </c>
    </row>
    <row r="124" spans="1:3" x14ac:dyDescent="0.15">
      <c r="A124" s="124">
        <v>41010</v>
      </c>
      <c r="B124" s="126">
        <v>24.900333404541016</v>
      </c>
      <c r="C124" s="125">
        <f>IFERROR(yf_data[[#This Row],[Close Price]]/B123-1,0)</f>
        <v>1.0428939114109914E-2</v>
      </c>
    </row>
    <row r="125" spans="1:3" x14ac:dyDescent="0.15">
      <c r="A125" s="124">
        <v>41011</v>
      </c>
      <c r="B125" s="126">
        <v>25.617454528808594</v>
      </c>
      <c r="C125" s="125">
        <f>IFERROR(yf_data[[#This Row],[Close Price]]/B124-1,0)</f>
        <v>2.8799659531337785E-2</v>
      </c>
    </row>
    <row r="126" spans="1:3" x14ac:dyDescent="0.15">
      <c r="A126" s="124">
        <v>41012</v>
      </c>
      <c r="B126" s="126">
        <v>25.053703308105469</v>
      </c>
      <c r="C126" s="125">
        <f>IFERROR(yf_data[[#This Row],[Close Price]]/B125-1,0)</f>
        <v>-2.200652762237354E-2</v>
      </c>
    </row>
    <row r="127" spans="1:3" x14ac:dyDescent="0.15">
      <c r="A127" s="124">
        <v>41015</v>
      </c>
      <c r="B127" s="126">
        <v>25.426773071289062</v>
      </c>
      <c r="C127" s="125">
        <f>IFERROR(yf_data[[#This Row],[Close Price]]/B126-1,0)</f>
        <v>1.4890803111845541E-2</v>
      </c>
    </row>
    <row r="128" spans="1:3" x14ac:dyDescent="0.15">
      <c r="A128" s="124">
        <v>41016</v>
      </c>
      <c r="B128" s="126">
        <v>25.671344757080082</v>
      </c>
      <c r="C128" s="125">
        <f>IFERROR(yf_data[[#This Row],[Close Price]]/B127-1,0)</f>
        <v>9.6186678940859416E-3</v>
      </c>
    </row>
    <row r="129" spans="1:3" x14ac:dyDescent="0.15">
      <c r="A129" s="124">
        <v>41017</v>
      </c>
      <c r="B129" s="126">
        <v>25.40190315246582</v>
      </c>
      <c r="C129" s="125">
        <f>IFERROR(yf_data[[#This Row],[Close Price]]/B128-1,0)</f>
        <v>-1.0495811854186132E-2</v>
      </c>
    </row>
    <row r="130" spans="1:3" x14ac:dyDescent="0.15">
      <c r="A130" s="124">
        <v>41018</v>
      </c>
      <c r="B130" s="126">
        <v>25.57600212097168</v>
      </c>
      <c r="C130" s="125">
        <f>IFERROR(yf_data[[#This Row],[Close Price]]/B129-1,0)</f>
        <v>6.8537765639407056E-3</v>
      </c>
    </row>
    <row r="131" spans="1:3" x14ac:dyDescent="0.15">
      <c r="A131" s="124">
        <v>41019</v>
      </c>
      <c r="B131" s="126">
        <v>25.356306076049805</v>
      </c>
      <c r="C131" s="125">
        <f>IFERROR(yf_data[[#This Row],[Close Price]]/B130-1,0)</f>
        <v>-8.5899291016139356E-3</v>
      </c>
    </row>
    <row r="132" spans="1:3" x14ac:dyDescent="0.15">
      <c r="A132" s="124">
        <v>41022</v>
      </c>
      <c r="B132" s="126">
        <v>24.249532699584961</v>
      </c>
      <c r="C132" s="125">
        <f>IFERROR(yf_data[[#This Row],[Close Price]]/B131-1,0)</f>
        <v>-4.3648841165797481E-2</v>
      </c>
    </row>
    <row r="133" spans="1:3" x14ac:dyDescent="0.15">
      <c r="A133" s="124">
        <v>41023</v>
      </c>
      <c r="B133" s="126">
        <v>24.659912109375</v>
      </c>
      <c r="C133" s="125">
        <f>IFERROR(yf_data[[#This Row],[Close Price]]/B132-1,0)</f>
        <v>1.6923188371257281E-2</v>
      </c>
    </row>
    <row r="134" spans="1:3" x14ac:dyDescent="0.15">
      <c r="A134" s="124">
        <v>41024</v>
      </c>
      <c r="B134" s="126">
        <v>25.236095428466797</v>
      </c>
      <c r="C134" s="125">
        <f>IFERROR(yf_data[[#This Row],[Close Price]]/B133-1,0)</f>
        <v>2.3365181373568245E-2</v>
      </c>
    </row>
    <row r="135" spans="1:3" x14ac:dyDescent="0.15">
      <c r="A135" s="124">
        <v>41025</v>
      </c>
      <c r="B135" s="126">
        <v>25.107593536376953</v>
      </c>
      <c r="C135" s="125">
        <f>IFERROR(yf_data[[#This Row],[Close Price]]/B134-1,0)</f>
        <v>-5.0919878811716002E-3</v>
      </c>
    </row>
    <row r="136" spans="1:3" x14ac:dyDescent="0.15">
      <c r="A136" s="124">
        <v>41026</v>
      </c>
      <c r="B136" s="126">
        <v>25.248529434204102</v>
      </c>
      <c r="C136" s="125">
        <f>IFERROR(yf_data[[#This Row],[Close Price]]/B135-1,0)</f>
        <v>5.613277816647555E-3</v>
      </c>
    </row>
    <row r="137" spans="1:3" x14ac:dyDescent="0.15">
      <c r="A137" s="124">
        <v>41029</v>
      </c>
      <c r="B137" s="126">
        <v>24.726234436035156</v>
      </c>
      <c r="C137" s="125">
        <f>IFERROR(yf_data[[#This Row],[Close Price]]/B136-1,0)</f>
        <v>-2.0686155188958999E-2</v>
      </c>
    </row>
    <row r="138" spans="1:3" x14ac:dyDescent="0.15">
      <c r="A138" s="124">
        <v>41031</v>
      </c>
      <c r="B138" s="126">
        <v>25.003961563110352</v>
      </c>
      <c r="C138" s="125">
        <f>IFERROR(yf_data[[#This Row],[Close Price]]/B137-1,0)</f>
        <v>1.1232083388744707E-2</v>
      </c>
    </row>
    <row r="139" spans="1:3" x14ac:dyDescent="0.15">
      <c r="A139" s="124">
        <v>41032</v>
      </c>
      <c r="B139" s="126">
        <v>25.327285766601559</v>
      </c>
      <c r="C139" s="125">
        <f>IFERROR(yf_data[[#This Row],[Close Price]]/B138-1,0)</f>
        <v>1.2930919073568914E-2</v>
      </c>
    </row>
    <row r="140" spans="1:3" x14ac:dyDescent="0.15">
      <c r="A140" s="124">
        <v>41033</v>
      </c>
      <c r="B140" s="126">
        <v>24.481666564941406</v>
      </c>
      <c r="C140" s="125">
        <f>IFERROR(yf_data[[#This Row],[Close Price]]/B139-1,0)</f>
        <v>-3.338767562591527E-2</v>
      </c>
    </row>
    <row r="141" spans="1:3" x14ac:dyDescent="0.15">
      <c r="A141" s="124">
        <v>41036</v>
      </c>
      <c r="B141" s="126">
        <v>24.630889892578125</v>
      </c>
      <c r="C141" s="125">
        <f>IFERROR(yf_data[[#This Row],[Close Price]]/B140-1,0)</f>
        <v>6.095309207846622E-3</v>
      </c>
    </row>
    <row r="142" spans="1:3" x14ac:dyDescent="0.15">
      <c r="A142" s="124">
        <v>41037</v>
      </c>
      <c r="B142" s="126">
        <v>23.826717376708984</v>
      </c>
      <c r="C142" s="125">
        <f>IFERROR(yf_data[[#This Row],[Close Price]]/B141-1,0)</f>
        <v>-3.2648942826521976E-2</v>
      </c>
    </row>
    <row r="143" spans="1:3" x14ac:dyDescent="0.15">
      <c r="A143" s="124">
        <v>41038</v>
      </c>
      <c r="B143" s="126">
        <v>24.116886138916016</v>
      </c>
      <c r="C143" s="125">
        <f>IFERROR(yf_data[[#This Row],[Close Price]]/B142-1,0)</f>
        <v>1.2178293703633658E-2</v>
      </c>
    </row>
    <row r="144" spans="1:3" x14ac:dyDescent="0.15">
      <c r="A144" s="124">
        <v>41039</v>
      </c>
      <c r="B144" s="126">
        <v>23.909624099731445</v>
      </c>
      <c r="C144" s="125">
        <f>IFERROR(yf_data[[#This Row],[Close Price]]/B143-1,0)</f>
        <v>-8.5940630142182783E-3</v>
      </c>
    </row>
    <row r="145" spans="1:3" x14ac:dyDescent="0.15">
      <c r="A145" s="124">
        <v>41040</v>
      </c>
      <c r="B145" s="126">
        <v>23.710651397705082</v>
      </c>
      <c r="C145" s="125">
        <f>IFERROR(yf_data[[#This Row],[Close Price]]/B144-1,0)</f>
        <v>-8.3218665921476198E-3</v>
      </c>
    </row>
    <row r="146" spans="1:3" x14ac:dyDescent="0.15">
      <c r="A146" s="124">
        <v>41043</v>
      </c>
      <c r="B146" s="126">
        <v>23.81428337097168</v>
      </c>
      <c r="C146" s="125">
        <f>IFERROR(yf_data[[#This Row],[Close Price]]/B145-1,0)</f>
        <v>4.3706927965980746E-3</v>
      </c>
    </row>
    <row r="147" spans="1:3" x14ac:dyDescent="0.15">
      <c r="A147" s="124">
        <v>41044</v>
      </c>
      <c r="B147" s="126">
        <v>24.067140579223633</v>
      </c>
      <c r="C147" s="125">
        <f>IFERROR(yf_data[[#This Row],[Close Price]]/B146-1,0)</f>
        <v>1.0617880215542108E-2</v>
      </c>
    </row>
    <row r="148" spans="1:3" x14ac:dyDescent="0.15">
      <c r="A148" s="124">
        <v>41045</v>
      </c>
      <c r="B148" s="126">
        <v>24.357309341430664</v>
      </c>
      <c r="C148" s="125">
        <f>IFERROR(yf_data[[#This Row],[Close Price]]/B147-1,0)</f>
        <v>1.2056636360761708E-2</v>
      </c>
    </row>
    <row r="149" spans="1:3" x14ac:dyDescent="0.15">
      <c r="A149" s="124">
        <v>41046</v>
      </c>
      <c r="B149" s="126">
        <v>23.839155197143555</v>
      </c>
      <c r="C149" s="125">
        <f>IFERROR(yf_data[[#This Row],[Close Price]]/B148-1,0)</f>
        <v>-2.1273045270470581E-2</v>
      </c>
    </row>
    <row r="150" spans="1:3" x14ac:dyDescent="0.15">
      <c r="A150" s="124">
        <v>41047</v>
      </c>
      <c r="B150" s="126">
        <v>23.055706024169918</v>
      </c>
      <c r="C150" s="125">
        <f>IFERROR(yf_data[[#This Row],[Close Price]]/B149-1,0)</f>
        <v>-3.2863965459124622E-2</v>
      </c>
    </row>
    <row r="151" spans="1:3" x14ac:dyDescent="0.15">
      <c r="A151" s="124">
        <v>41050</v>
      </c>
      <c r="B151" s="126">
        <v>23.163488388061523</v>
      </c>
      <c r="C151" s="125">
        <f>IFERROR(yf_data[[#This Row],[Close Price]]/B150-1,0)</f>
        <v>4.6748672011438508E-3</v>
      </c>
    </row>
    <row r="152" spans="1:3" x14ac:dyDescent="0.15">
      <c r="A152" s="124">
        <v>41051</v>
      </c>
      <c r="B152" s="126">
        <v>23.631891250610352</v>
      </c>
      <c r="C152" s="125">
        <f>IFERROR(yf_data[[#This Row],[Close Price]]/B151-1,0)</f>
        <v>2.022160283898522E-2</v>
      </c>
    </row>
    <row r="153" spans="1:3" x14ac:dyDescent="0.15">
      <c r="A153" s="124">
        <v>41052</v>
      </c>
      <c r="B153" s="126">
        <v>23.146903991699219</v>
      </c>
      <c r="C153" s="125">
        <f>IFERROR(yf_data[[#This Row],[Close Price]]/B152-1,0)</f>
        <v>-2.0522574929275117E-2</v>
      </c>
    </row>
    <row r="154" spans="1:3" x14ac:dyDescent="0.15">
      <c r="A154" s="124">
        <v>41053</v>
      </c>
      <c r="B154" s="126">
        <v>23.20079231262207</v>
      </c>
      <c r="C154" s="125">
        <f>IFERROR(yf_data[[#This Row],[Close Price]]/B153-1,0)</f>
        <v>2.3281005935902321E-3</v>
      </c>
    </row>
    <row r="155" spans="1:3" x14ac:dyDescent="0.15">
      <c r="A155" s="124">
        <v>41054</v>
      </c>
      <c r="B155" s="126">
        <v>22.616317749023441</v>
      </c>
      <c r="C155" s="125">
        <f>IFERROR(yf_data[[#This Row],[Close Price]]/B154-1,0)</f>
        <v>-2.5192008778107677E-2</v>
      </c>
    </row>
    <row r="156" spans="1:3" x14ac:dyDescent="0.15">
      <c r="A156" s="124">
        <v>41057</v>
      </c>
      <c r="B156" s="126">
        <v>22.898193359375</v>
      </c>
      <c r="C156" s="125">
        <f>IFERROR(yf_data[[#This Row],[Close Price]]/B155-1,0)</f>
        <v>1.2463373281166978E-2</v>
      </c>
    </row>
    <row r="157" spans="1:3" x14ac:dyDescent="0.15">
      <c r="A157" s="124">
        <v>41058</v>
      </c>
      <c r="B157" s="126">
        <v>23.068143844604492</v>
      </c>
      <c r="C157" s="125">
        <f>IFERROR(yf_data[[#This Row],[Close Price]]/B156-1,0)</f>
        <v>7.4220041102024403E-3</v>
      </c>
    </row>
    <row r="158" spans="1:3" x14ac:dyDescent="0.15">
      <c r="A158" s="124">
        <v>41059</v>
      </c>
      <c r="B158" s="126">
        <v>22.442214965820312</v>
      </c>
      <c r="C158" s="125">
        <f>IFERROR(yf_data[[#This Row],[Close Price]]/B157-1,0)</f>
        <v>-2.7133907391971634E-2</v>
      </c>
    </row>
    <row r="159" spans="1:3" x14ac:dyDescent="0.15">
      <c r="A159" s="124">
        <v>41060</v>
      </c>
      <c r="B159" s="126">
        <v>22.442214965820312</v>
      </c>
      <c r="C159" s="125">
        <f>IFERROR(yf_data[[#This Row],[Close Price]]/B158-1,0)</f>
        <v>0</v>
      </c>
    </row>
    <row r="160" spans="1:3" x14ac:dyDescent="0.15">
      <c r="A160" s="124">
        <v>41061</v>
      </c>
      <c r="B160" s="126">
        <v>22.045978546142575</v>
      </c>
      <c r="C160" s="125">
        <f>IFERROR(yf_data[[#This Row],[Close Price]]/B159-1,0)</f>
        <v>-1.765585171879025E-2</v>
      </c>
    </row>
    <row r="161" spans="1:3" x14ac:dyDescent="0.15">
      <c r="A161" s="124">
        <v>41064</v>
      </c>
      <c r="B161" s="126">
        <v>21.964485168457031</v>
      </c>
      <c r="C161" s="125">
        <f>IFERROR(yf_data[[#This Row],[Close Price]]/B160-1,0)</f>
        <v>-3.6965189599080794E-3</v>
      </c>
    </row>
    <row r="162" spans="1:3" x14ac:dyDescent="0.15">
      <c r="A162" s="124">
        <v>41065</v>
      </c>
      <c r="B162" s="126">
        <v>22.097448348999023</v>
      </c>
      <c r="C162" s="125">
        <f>IFERROR(yf_data[[#This Row],[Close Price]]/B161-1,0)</f>
        <v>6.0535532484475851E-3</v>
      </c>
    </row>
    <row r="163" spans="1:3" x14ac:dyDescent="0.15">
      <c r="A163" s="124">
        <v>41066</v>
      </c>
      <c r="B163" s="126">
        <v>22.620718002319336</v>
      </c>
      <c r="C163" s="125">
        <f>IFERROR(yf_data[[#This Row],[Close Price]]/B162-1,0)</f>
        <v>2.3680093966325089E-2</v>
      </c>
    </row>
    <row r="164" spans="1:3" x14ac:dyDescent="0.15">
      <c r="A164" s="124">
        <v>41067</v>
      </c>
      <c r="B164" s="126">
        <v>23.44422721862793</v>
      </c>
      <c r="C164" s="125">
        <f>IFERROR(yf_data[[#This Row],[Close Price]]/B163-1,0)</f>
        <v>3.6405087416949256E-2</v>
      </c>
    </row>
    <row r="165" spans="1:3" x14ac:dyDescent="0.15">
      <c r="A165" s="124">
        <v>41068</v>
      </c>
      <c r="B165" s="126">
        <v>23.058204650878903</v>
      </c>
      <c r="C165" s="125">
        <f>IFERROR(yf_data[[#This Row],[Close Price]]/B164-1,0)</f>
        <v>-1.6465570144376884E-2</v>
      </c>
    </row>
    <row r="166" spans="1:3" x14ac:dyDescent="0.15">
      <c r="A166" s="124">
        <v>41071</v>
      </c>
      <c r="B166" s="126">
        <v>22.98529052734375</v>
      </c>
      <c r="C166" s="125">
        <f>IFERROR(yf_data[[#This Row],[Close Price]]/B165-1,0)</f>
        <v>-3.1621769621328344E-3</v>
      </c>
    </row>
    <row r="167" spans="1:3" x14ac:dyDescent="0.15">
      <c r="A167" s="124">
        <v>41072</v>
      </c>
      <c r="B167" s="126">
        <v>22.972423553466797</v>
      </c>
      <c r="C167" s="125">
        <f>IFERROR(yf_data[[#This Row],[Close Price]]/B166-1,0)</f>
        <v>-5.5979165726216529E-4</v>
      </c>
    </row>
    <row r="168" spans="1:3" x14ac:dyDescent="0.15">
      <c r="A168" s="124">
        <v>41073</v>
      </c>
      <c r="B168" s="126">
        <v>22.809438705444336</v>
      </c>
      <c r="C168" s="125">
        <f>IFERROR(yf_data[[#This Row],[Close Price]]/B167-1,0)</f>
        <v>-7.0948042396625777E-3</v>
      </c>
    </row>
    <row r="169" spans="1:3" x14ac:dyDescent="0.15">
      <c r="A169" s="124">
        <v>41074</v>
      </c>
      <c r="B169" s="126">
        <v>22.427711486816406</v>
      </c>
      <c r="C169" s="125">
        <f>IFERROR(yf_data[[#This Row],[Close Price]]/B168-1,0)</f>
        <v>-1.6735493738248675E-2</v>
      </c>
    </row>
    <row r="170" spans="1:3" x14ac:dyDescent="0.15">
      <c r="A170" s="124">
        <v>41075</v>
      </c>
      <c r="B170" s="126">
        <v>22.329061508178711</v>
      </c>
      <c r="C170" s="125">
        <f>IFERROR(yf_data[[#This Row],[Close Price]]/B169-1,0)</f>
        <v>-4.3985753381785564E-3</v>
      </c>
    </row>
    <row r="171" spans="1:3" x14ac:dyDescent="0.15">
      <c r="A171" s="124">
        <v>41078</v>
      </c>
      <c r="B171" s="126">
        <v>22.972423553466797</v>
      </c>
      <c r="C171" s="125">
        <f>IFERROR(yf_data[[#This Row],[Close Price]]/B170-1,0)</f>
        <v>2.8812766942866608E-2</v>
      </c>
    </row>
    <row r="172" spans="1:3" x14ac:dyDescent="0.15">
      <c r="A172" s="124">
        <v>41079</v>
      </c>
      <c r="B172" s="126">
        <v>23.011024475097656</v>
      </c>
      <c r="C172" s="125">
        <f>IFERROR(yf_data[[#This Row],[Close Price]]/B171-1,0)</f>
        <v>1.680315598439952E-3</v>
      </c>
    </row>
    <row r="173" spans="1:3" x14ac:dyDescent="0.15">
      <c r="A173" s="124">
        <v>41080</v>
      </c>
      <c r="B173" s="126">
        <v>22.805152893066406</v>
      </c>
      <c r="C173" s="125">
        <f>IFERROR(yf_data[[#This Row],[Close Price]]/B172-1,0)</f>
        <v>-8.946649996137368E-3</v>
      </c>
    </row>
    <row r="174" spans="1:3" x14ac:dyDescent="0.15">
      <c r="A174" s="124">
        <v>41081</v>
      </c>
      <c r="B174" s="126">
        <v>23.075359344482425</v>
      </c>
      <c r="C174" s="125">
        <f>IFERROR(yf_data[[#This Row],[Close Price]]/B173-1,0)</f>
        <v>1.1848482344451794E-2</v>
      </c>
    </row>
    <row r="175" spans="1:3" x14ac:dyDescent="0.15">
      <c r="A175" s="124">
        <v>41082</v>
      </c>
      <c r="B175" s="126">
        <v>22.080289840698239</v>
      </c>
      <c r="C175" s="125">
        <f>IFERROR(yf_data[[#This Row],[Close Price]]/B174-1,0)</f>
        <v>-4.3122600559722946E-2</v>
      </c>
    </row>
    <row r="176" spans="1:3" x14ac:dyDescent="0.15">
      <c r="A176" s="124">
        <v>41085</v>
      </c>
      <c r="B176" s="126">
        <v>22.526357650756836</v>
      </c>
      <c r="C176" s="125">
        <f>IFERROR(yf_data[[#This Row],[Close Price]]/B175-1,0)</f>
        <v>2.0202081280491502E-2</v>
      </c>
    </row>
    <row r="177" spans="1:3" x14ac:dyDescent="0.15">
      <c r="A177" s="124">
        <v>41086</v>
      </c>
      <c r="B177" s="126">
        <v>22.269014358520508</v>
      </c>
      <c r="C177" s="125">
        <f>IFERROR(yf_data[[#This Row],[Close Price]]/B176-1,0)</f>
        <v>-1.1424096883575929E-2</v>
      </c>
    </row>
    <row r="178" spans="1:3" x14ac:dyDescent="0.15">
      <c r="A178" s="124">
        <v>41087</v>
      </c>
      <c r="B178" s="126">
        <v>22.83946418762207</v>
      </c>
      <c r="C178" s="125">
        <f>IFERROR(yf_data[[#This Row],[Close Price]]/B177-1,0)</f>
        <v>2.5616303439280896E-2</v>
      </c>
    </row>
    <row r="179" spans="1:3" x14ac:dyDescent="0.15">
      <c r="A179" s="124">
        <v>41088</v>
      </c>
      <c r="B179" s="126">
        <v>22.946687698364254</v>
      </c>
      <c r="C179" s="125">
        <f>IFERROR(yf_data[[#This Row],[Close Price]]/B178-1,0)</f>
        <v>4.6946596409338515E-3</v>
      </c>
    </row>
    <row r="180" spans="1:3" x14ac:dyDescent="0.15">
      <c r="A180" s="124">
        <v>41089</v>
      </c>
      <c r="B180" s="126">
        <v>23.967498779296875</v>
      </c>
      <c r="C180" s="125">
        <f>IFERROR(yf_data[[#This Row],[Close Price]]/B179-1,0)</f>
        <v>4.4486206216393764E-2</v>
      </c>
    </row>
    <row r="181" spans="1:3" x14ac:dyDescent="0.15">
      <c r="A181" s="124">
        <v>41092</v>
      </c>
      <c r="B181" s="126">
        <v>24.443588256835938</v>
      </c>
      <c r="C181" s="125">
        <f>IFERROR(yf_data[[#This Row],[Close Price]]/B180-1,0)</f>
        <v>1.9863961689248422E-2</v>
      </c>
    </row>
    <row r="182" spans="1:3" x14ac:dyDescent="0.15">
      <c r="A182" s="124">
        <v>41093</v>
      </c>
      <c r="B182" s="126">
        <v>24.383537292480469</v>
      </c>
      <c r="C182" s="125">
        <f>IFERROR(yf_data[[#This Row],[Close Price]]/B181-1,0)</f>
        <v>-2.4567164085933513E-3</v>
      </c>
    </row>
    <row r="183" spans="1:3" x14ac:dyDescent="0.15">
      <c r="A183" s="124">
        <v>41094</v>
      </c>
      <c r="B183" s="126">
        <v>24.876787185668945</v>
      </c>
      <c r="C183" s="125">
        <f>IFERROR(yf_data[[#This Row],[Close Price]]/B182-1,0)</f>
        <v>2.0228807956448103E-2</v>
      </c>
    </row>
    <row r="184" spans="1:3" x14ac:dyDescent="0.15">
      <c r="A184" s="124">
        <v>41095</v>
      </c>
      <c r="B184" s="126">
        <v>24.4478759765625</v>
      </c>
      <c r="C184" s="125">
        <f>IFERROR(yf_data[[#This Row],[Close Price]]/B183-1,0)</f>
        <v>-1.7241422933968464E-2</v>
      </c>
    </row>
    <row r="185" spans="1:3" x14ac:dyDescent="0.15">
      <c r="A185" s="124">
        <v>41096</v>
      </c>
      <c r="B185" s="126">
        <v>24.079013824462891</v>
      </c>
      <c r="C185" s="125">
        <f>IFERROR(yf_data[[#This Row],[Close Price]]/B184-1,0)</f>
        <v>-1.5087697289254409E-2</v>
      </c>
    </row>
    <row r="186" spans="1:3" x14ac:dyDescent="0.15">
      <c r="A186" s="124">
        <v>41099</v>
      </c>
      <c r="B186" s="126">
        <v>24.460742950439453</v>
      </c>
      <c r="C186" s="125">
        <f>IFERROR(yf_data[[#This Row],[Close Price]]/B185-1,0)</f>
        <v>1.5853187707743466E-2</v>
      </c>
    </row>
    <row r="187" spans="1:3" x14ac:dyDescent="0.15">
      <c r="A187" s="124">
        <v>41100</v>
      </c>
      <c r="B187" s="126">
        <v>24.220550537109375</v>
      </c>
      <c r="C187" s="125">
        <f>IFERROR(yf_data[[#This Row],[Close Price]]/B186-1,0)</f>
        <v>-9.8195060475774198E-3</v>
      </c>
    </row>
    <row r="188" spans="1:3" x14ac:dyDescent="0.15">
      <c r="A188" s="124">
        <v>41101</v>
      </c>
      <c r="B188" s="126">
        <v>23.092517852783203</v>
      </c>
      <c r="C188" s="125">
        <f>IFERROR(yf_data[[#This Row],[Close Price]]/B187-1,0)</f>
        <v>-4.6573370931344615E-2</v>
      </c>
    </row>
    <row r="189" spans="1:3" x14ac:dyDescent="0.15">
      <c r="A189" s="124">
        <v>41102</v>
      </c>
      <c r="B189" s="126">
        <v>22.981002807617188</v>
      </c>
      <c r="C189" s="125">
        <f>IFERROR(yf_data[[#This Row],[Close Price]]/B188-1,0)</f>
        <v>-4.829055275692884E-3</v>
      </c>
    </row>
    <row r="190" spans="1:3" x14ac:dyDescent="0.15">
      <c r="A190" s="124">
        <v>41103</v>
      </c>
      <c r="B190" s="126">
        <v>23.345577239990231</v>
      </c>
      <c r="C190" s="125">
        <f>IFERROR(yf_data[[#This Row],[Close Price]]/B189-1,0)</f>
        <v>1.5864165520758089E-2</v>
      </c>
    </row>
    <row r="191" spans="1:3" x14ac:dyDescent="0.15">
      <c r="A191" s="124">
        <v>41106</v>
      </c>
      <c r="B191" s="126">
        <v>23.615789413452148</v>
      </c>
      <c r="C191" s="125">
        <f>IFERROR(yf_data[[#This Row],[Close Price]]/B190-1,0)</f>
        <v>1.1574448157103401E-2</v>
      </c>
    </row>
    <row r="192" spans="1:3" x14ac:dyDescent="0.15">
      <c r="A192" s="124">
        <v>41107</v>
      </c>
      <c r="B192" s="126">
        <v>23.212614059448239</v>
      </c>
      <c r="C192" s="125">
        <f>IFERROR(yf_data[[#This Row],[Close Price]]/B191-1,0)</f>
        <v>-1.7072279352823627E-2</v>
      </c>
    </row>
    <row r="193" spans="1:3" x14ac:dyDescent="0.15">
      <c r="A193" s="124">
        <v>41108</v>
      </c>
      <c r="B193" s="126">
        <v>23.478538513183594</v>
      </c>
      <c r="C193" s="125">
        <f>IFERROR(yf_data[[#This Row],[Close Price]]/B192-1,0)</f>
        <v>1.1456032183808196E-2</v>
      </c>
    </row>
    <row r="194" spans="1:3" x14ac:dyDescent="0.15">
      <c r="A194" s="124">
        <v>41109</v>
      </c>
      <c r="B194" s="126">
        <v>23.710149765014648</v>
      </c>
      <c r="C194" s="125">
        <f>IFERROR(yf_data[[#This Row],[Close Price]]/B193-1,0)</f>
        <v>9.864807032218037E-3</v>
      </c>
    </row>
    <row r="195" spans="1:3" x14ac:dyDescent="0.15">
      <c r="A195" s="124">
        <v>41110</v>
      </c>
      <c r="B195" s="126">
        <v>24.628013610839844</v>
      </c>
      <c r="C195" s="125">
        <f>IFERROR(yf_data[[#This Row],[Close Price]]/B194-1,0)</f>
        <v>3.8711853569965315E-2</v>
      </c>
    </row>
    <row r="196" spans="1:3" x14ac:dyDescent="0.15">
      <c r="A196" s="124">
        <v>41113</v>
      </c>
      <c r="B196" s="126">
        <v>23.958915710449219</v>
      </c>
      <c r="C196" s="125">
        <f>IFERROR(yf_data[[#This Row],[Close Price]]/B195-1,0)</f>
        <v>-2.7168163497202524E-2</v>
      </c>
    </row>
    <row r="197" spans="1:3" x14ac:dyDescent="0.15">
      <c r="A197" s="124">
        <v>41114</v>
      </c>
      <c r="B197" s="126">
        <v>24.400693893432617</v>
      </c>
      <c r="C197" s="125">
        <f>IFERROR(yf_data[[#This Row],[Close Price]]/B196-1,0)</f>
        <v>1.8438988989419203E-2</v>
      </c>
    </row>
    <row r="198" spans="1:3" x14ac:dyDescent="0.15">
      <c r="A198" s="124">
        <v>41115</v>
      </c>
      <c r="B198" s="126">
        <v>23.928892135620117</v>
      </c>
      <c r="C198" s="125">
        <f>IFERROR(yf_data[[#This Row],[Close Price]]/B197-1,0)</f>
        <v>-1.9335587744883087E-2</v>
      </c>
    </row>
    <row r="199" spans="1:3" x14ac:dyDescent="0.15">
      <c r="A199" s="124">
        <v>41116</v>
      </c>
      <c r="B199" s="126">
        <v>24.199106216430664</v>
      </c>
      <c r="C199" s="125">
        <f>IFERROR(yf_data[[#This Row],[Close Price]]/B198-1,0)</f>
        <v>1.1292377402140952E-2</v>
      </c>
    </row>
    <row r="200" spans="1:3" x14ac:dyDescent="0.15">
      <c r="A200" s="124">
        <v>41117</v>
      </c>
      <c r="B200" s="126">
        <v>25.567329406738281</v>
      </c>
      <c r="C200" s="125">
        <f>IFERROR(yf_data[[#This Row],[Close Price]]/B199-1,0)</f>
        <v>5.654023657198648E-2</v>
      </c>
    </row>
    <row r="201" spans="1:3" x14ac:dyDescent="0.15">
      <c r="A201" s="124">
        <v>41120</v>
      </c>
      <c r="B201" s="126">
        <v>25.490127563476559</v>
      </c>
      <c r="C201" s="125">
        <f>IFERROR(yf_data[[#This Row],[Close Price]]/B200-1,0)</f>
        <v>-3.0195505378585175E-3</v>
      </c>
    </row>
    <row r="202" spans="1:3" x14ac:dyDescent="0.15">
      <c r="A202" s="124">
        <v>41121</v>
      </c>
      <c r="B202" s="126">
        <v>25.099821090698239</v>
      </c>
      <c r="C202" s="125">
        <f>IFERROR(yf_data[[#This Row],[Close Price]]/B201-1,0)</f>
        <v>-1.5312064320053498E-2</v>
      </c>
    </row>
    <row r="203" spans="1:3" x14ac:dyDescent="0.15">
      <c r="A203" s="124">
        <v>41122</v>
      </c>
      <c r="B203" s="126">
        <v>26.596714019775391</v>
      </c>
      <c r="C203" s="125">
        <f>IFERROR(yf_data[[#This Row],[Close Price]]/B202-1,0)</f>
        <v>5.9637593577584802E-2</v>
      </c>
    </row>
    <row r="204" spans="1:3" x14ac:dyDescent="0.15">
      <c r="A204" s="124">
        <v>41123</v>
      </c>
      <c r="B204" s="126">
        <v>25.974794387817383</v>
      </c>
      <c r="C204" s="125">
        <f>IFERROR(yf_data[[#This Row],[Close Price]]/B203-1,0)</f>
        <v>-2.3383325906184971E-2</v>
      </c>
    </row>
    <row r="205" spans="1:3" x14ac:dyDescent="0.15">
      <c r="A205" s="124">
        <v>41124</v>
      </c>
      <c r="B205" s="126">
        <v>26.76399040222168</v>
      </c>
      <c r="C205" s="125">
        <f>IFERROR(yf_data[[#This Row],[Close Price]]/B204-1,0)</f>
        <v>3.0383147701621205E-2</v>
      </c>
    </row>
    <row r="206" spans="1:3" x14ac:dyDescent="0.15">
      <c r="A206" s="124">
        <v>41127</v>
      </c>
      <c r="B206" s="126">
        <v>26.420862197875977</v>
      </c>
      <c r="C206" s="125">
        <f>IFERROR(yf_data[[#This Row],[Close Price]]/B205-1,0)</f>
        <v>-1.2820517388812847E-2</v>
      </c>
    </row>
    <row r="207" spans="1:3" x14ac:dyDescent="0.15">
      <c r="A207" s="124">
        <v>41128</v>
      </c>
      <c r="B207" s="126">
        <v>26.335079193115231</v>
      </c>
      <c r="C207" s="125">
        <f>IFERROR(yf_data[[#This Row],[Close Price]]/B206-1,0)</f>
        <v>-3.2467905141885245E-3</v>
      </c>
    </row>
    <row r="208" spans="1:3" x14ac:dyDescent="0.15">
      <c r="A208" s="124">
        <v>41129</v>
      </c>
      <c r="B208" s="126">
        <v>25.949058532714844</v>
      </c>
      <c r="C208" s="125">
        <f>IFERROR(yf_data[[#This Row],[Close Price]]/B207-1,0)</f>
        <v>-1.4658040614561885E-2</v>
      </c>
    </row>
    <row r="209" spans="1:3" x14ac:dyDescent="0.15">
      <c r="A209" s="124">
        <v>41130</v>
      </c>
      <c r="B209" s="126">
        <v>26.262165069580082</v>
      </c>
      <c r="C209" s="125">
        <f>IFERROR(yf_data[[#This Row],[Close Price]]/B208-1,0)</f>
        <v>1.206620026196692E-2</v>
      </c>
    </row>
    <row r="210" spans="1:3" x14ac:dyDescent="0.15">
      <c r="A210" s="124">
        <v>41131</v>
      </c>
      <c r="B210" s="126">
        <v>26.330789566040039</v>
      </c>
      <c r="C210" s="125">
        <f>IFERROR(yf_data[[#This Row],[Close Price]]/B209-1,0)</f>
        <v>2.6130555602761341E-3</v>
      </c>
    </row>
    <row r="211" spans="1:3" x14ac:dyDescent="0.15">
      <c r="A211" s="124">
        <v>41134</v>
      </c>
      <c r="B211" s="126">
        <v>26.047708511352539</v>
      </c>
      <c r="C211" s="125">
        <f>IFERROR(yf_data[[#This Row],[Close Price]]/B210-1,0)</f>
        <v>-1.0750951997755553E-2</v>
      </c>
    </row>
    <row r="212" spans="1:3" x14ac:dyDescent="0.15">
      <c r="A212" s="124">
        <v>41135</v>
      </c>
      <c r="B212" s="126">
        <v>25.966217041015625</v>
      </c>
      <c r="C212" s="125">
        <f>IFERROR(yf_data[[#This Row],[Close Price]]/B211-1,0)</f>
        <v>-3.1285466167358944E-3</v>
      </c>
    </row>
    <row r="213" spans="1:3" x14ac:dyDescent="0.15">
      <c r="A213" s="124">
        <v>41136</v>
      </c>
      <c r="B213" s="126">
        <v>26.082021713256836</v>
      </c>
      <c r="C213" s="125">
        <f>IFERROR(yf_data[[#This Row],[Close Price]]/B212-1,0)</f>
        <v>4.4598206992680911E-3</v>
      </c>
    </row>
    <row r="214" spans="1:3" x14ac:dyDescent="0.15">
      <c r="A214" s="124">
        <v>41137</v>
      </c>
      <c r="B214" s="126">
        <v>25.82896614074707</v>
      </c>
      <c r="C214" s="125">
        <f>IFERROR(yf_data[[#This Row],[Close Price]]/B213-1,0)</f>
        <v>-9.7022989740531695E-3</v>
      </c>
    </row>
    <row r="215" spans="1:3" x14ac:dyDescent="0.15">
      <c r="A215" s="124">
        <v>41138</v>
      </c>
      <c r="B215" s="126">
        <v>25.949058532714844</v>
      </c>
      <c r="C215" s="125">
        <f>IFERROR(yf_data[[#This Row],[Close Price]]/B214-1,0)</f>
        <v>4.6495237677484091E-3</v>
      </c>
    </row>
    <row r="216" spans="1:3" x14ac:dyDescent="0.15">
      <c r="A216" s="124">
        <v>41141</v>
      </c>
      <c r="B216" s="126">
        <v>26.00910758972168</v>
      </c>
      <c r="C216" s="125">
        <f>IFERROR(yf_data[[#This Row],[Close Price]]/B215-1,0)</f>
        <v>2.3141131278858751E-3</v>
      </c>
    </row>
    <row r="217" spans="1:3" x14ac:dyDescent="0.15">
      <c r="A217" s="124">
        <v>41142</v>
      </c>
      <c r="B217" s="126">
        <v>26.347946166992188</v>
      </c>
      <c r="C217" s="125">
        <f>IFERROR(yf_data[[#This Row],[Close Price]]/B216-1,0)</f>
        <v>1.3027689477681736E-2</v>
      </c>
    </row>
    <row r="218" spans="1:3" x14ac:dyDescent="0.15">
      <c r="A218" s="124">
        <v>41143</v>
      </c>
      <c r="B218" s="126">
        <v>26.283611297607425</v>
      </c>
      <c r="C218" s="125">
        <f>IFERROR(yf_data[[#This Row],[Close Price]]/B217-1,0)</f>
        <v>-2.4417413401792709E-3</v>
      </c>
    </row>
    <row r="219" spans="1:3" x14ac:dyDescent="0.15">
      <c r="A219" s="124">
        <v>41144</v>
      </c>
      <c r="B219" s="126">
        <v>25.665981292724609</v>
      </c>
      <c r="C219" s="125">
        <f>IFERROR(yf_data[[#This Row],[Close Price]]/B218-1,0)</f>
        <v>-2.3498673674992254E-2</v>
      </c>
    </row>
    <row r="220" spans="1:3" x14ac:dyDescent="0.15">
      <c r="A220" s="124">
        <v>41145</v>
      </c>
      <c r="B220" s="126">
        <v>25.391475677490231</v>
      </c>
      <c r="C220" s="125">
        <f>IFERROR(yf_data[[#This Row],[Close Price]]/B219-1,0)</f>
        <v>-1.0695309565747713E-2</v>
      </c>
    </row>
    <row r="221" spans="1:3" x14ac:dyDescent="0.15">
      <c r="A221" s="124">
        <v>41148</v>
      </c>
      <c r="B221" s="126">
        <v>25.417211532592773</v>
      </c>
      <c r="C221" s="125">
        <f>IFERROR(yf_data[[#This Row],[Close Price]]/B220-1,0)</f>
        <v>1.0135627967995386E-3</v>
      </c>
    </row>
    <row r="222" spans="1:3" x14ac:dyDescent="0.15">
      <c r="A222" s="124">
        <v>41149</v>
      </c>
      <c r="B222" s="126">
        <v>25.541593551635746</v>
      </c>
      <c r="C222" s="125">
        <f>IFERROR(yf_data[[#This Row],[Close Price]]/B221-1,0)</f>
        <v>4.8936138759154701E-3</v>
      </c>
    </row>
    <row r="223" spans="1:3" x14ac:dyDescent="0.15">
      <c r="A223" s="124">
        <v>41150</v>
      </c>
      <c r="B223" s="126">
        <v>26.030553817749023</v>
      </c>
      <c r="C223" s="125">
        <f>IFERROR(yf_data[[#This Row],[Close Price]]/B222-1,0)</f>
        <v>1.9143686752542743E-2</v>
      </c>
    </row>
    <row r="224" spans="1:3" x14ac:dyDescent="0.15">
      <c r="A224" s="124">
        <v>41151</v>
      </c>
      <c r="B224" s="126">
        <v>25.889011383056641</v>
      </c>
      <c r="C224" s="125">
        <f>IFERROR(yf_data[[#This Row],[Close Price]]/B223-1,0)</f>
        <v>-5.4375498763253871E-3</v>
      </c>
    </row>
    <row r="225" spans="1:3" x14ac:dyDescent="0.15">
      <c r="A225" s="124">
        <v>41152</v>
      </c>
      <c r="B225" s="126">
        <v>26.00910758972168</v>
      </c>
      <c r="C225" s="125">
        <f>IFERROR(yf_data[[#This Row],[Close Price]]/B224-1,0)</f>
        <v>4.6388873212686033E-3</v>
      </c>
    </row>
    <row r="226" spans="1:3" x14ac:dyDescent="0.15">
      <c r="A226" s="124">
        <v>41155</v>
      </c>
      <c r="B226" s="126">
        <v>26.429437637329102</v>
      </c>
      <c r="C226" s="125">
        <f>IFERROR(yf_data[[#This Row],[Close Price]]/B225-1,0)</f>
        <v>1.616087926728893E-2</v>
      </c>
    </row>
    <row r="227" spans="1:3" x14ac:dyDescent="0.15">
      <c r="A227" s="124">
        <v>41156</v>
      </c>
      <c r="B227" s="126">
        <v>25.721736907958984</v>
      </c>
      <c r="C227" s="125">
        <f>IFERROR(yf_data[[#This Row],[Close Price]]/B226-1,0)</f>
        <v>-2.6776987807359043E-2</v>
      </c>
    </row>
    <row r="228" spans="1:3" x14ac:dyDescent="0.15">
      <c r="A228" s="124">
        <v>41157</v>
      </c>
      <c r="B228" s="126">
        <v>25.67884635925293</v>
      </c>
      <c r="C228" s="125">
        <f>IFERROR(yf_data[[#This Row],[Close Price]]/B227-1,0)</f>
        <v>-1.6674825988436393E-3</v>
      </c>
    </row>
    <row r="229" spans="1:3" x14ac:dyDescent="0.15">
      <c r="A229" s="124">
        <v>41158</v>
      </c>
      <c r="B229" s="126">
        <v>26.167804718017575</v>
      </c>
      <c r="C229" s="125">
        <f>IFERROR(yf_data[[#This Row],[Close Price]]/B228-1,0)</f>
        <v>1.9041289936627459E-2</v>
      </c>
    </row>
    <row r="230" spans="1:3" x14ac:dyDescent="0.15">
      <c r="A230" s="124">
        <v>41159</v>
      </c>
      <c r="B230" s="126">
        <v>25.949058532714844</v>
      </c>
      <c r="C230" s="125">
        <f>IFERROR(yf_data[[#This Row],[Close Price]]/B229-1,0)</f>
        <v>-8.359363258015895E-3</v>
      </c>
    </row>
    <row r="231" spans="1:3" x14ac:dyDescent="0.15">
      <c r="A231" s="124">
        <v>41162</v>
      </c>
      <c r="B231" s="126">
        <v>25.35716438293457</v>
      </c>
      <c r="C231" s="125">
        <f>IFERROR(yf_data[[#This Row],[Close Price]]/B230-1,0)</f>
        <v>-2.2809850655431396E-2</v>
      </c>
    </row>
    <row r="232" spans="1:3" x14ac:dyDescent="0.15">
      <c r="A232" s="124">
        <v>41163</v>
      </c>
      <c r="B232" s="126">
        <v>25.45152473449707</v>
      </c>
      <c r="C232" s="125">
        <f>IFERROR(yf_data[[#This Row],[Close Price]]/B231-1,0)</f>
        <v>3.7212501420704758E-3</v>
      </c>
    </row>
    <row r="233" spans="1:3" x14ac:dyDescent="0.15">
      <c r="A233" s="124">
        <v>41164</v>
      </c>
      <c r="B233" s="126">
        <v>24.018962860107425</v>
      </c>
      <c r="C233" s="125">
        <f>IFERROR(yf_data[[#This Row],[Close Price]]/B232-1,0)</f>
        <v>-5.628589600559164E-2</v>
      </c>
    </row>
    <row r="234" spans="1:3" x14ac:dyDescent="0.15">
      <c r="A234" s="124">
        <v>41165</v>
      </c>
      <c r="B234" s="126">
        <v>21.569887161254883</v>
      </c>
      <c r="C234" s="125">
        <f>IFERROR(yf_data[[#This Row],[Close Price]]/B233-1,0)</f>
        <v>-0.10196425687139721</v>
      </c>
    </row>
    <row r="235" spans="1:3" x14ac:dyDescent="0.15">
      <c r="A235" s="124">
        <v>41166</v>
      </c>
      <c r="B235" s="126">
        <v>21.70713996887207</v>
      </c>
      <c r="C235" s="125">
        <f>IFERROR(yf_data[[#This Row],[Close Price]]/B234-1,0)</f>
        <v>6.363167623042898E-3</v>
      </c>
    </row>
    <row r="236" spans="1:3" x14ac:dyDescent="0.15">
      <c r="A236" s="124">
        <v>41169</v>
      </c>
      <c r="B236" s="126">
        <v>22.045976638793945</v>
      </c>
      <c r="C236" s="125">
        <f>IFERROR(yf_data[[#This Row],[Close Price]]/B235-1,0)</f>
        <v>1.5609457091434686E-2</v>
      </c>
    </row>
    <row r="237" spans="1:3" x14ac:dyDescent="0.15">
      <c r="A237" s="124">
        <v>41170</v>
      </c>
      <c r="B237" s="126">
        <v>22.080289840698239</v>
      </c>
      <c r="C237" s="125">
        <f>IFERROR(yf_data[[#This Row],[Close Price]]/B236-1,0)</f>
        <v>1.5564382774457819E-3</v>
      </c>
    </row>
    <row r="238" spans="1:3" x14ac:dyDescent="0.15">
      <c r="A238" s="124">
        <v>41171</v>
      </c>
      <c r="B238" s="126">
        <v>21.99022102355957</v>
      </c>
      <c r="C238" s="125">
        <f>IFERROR(yf_data[[#This Row],[Close Price]]/B237-1,0)</f>
        <v>-4.0791501283943266E-3</v>
      </c>
    </row>
    <row r="239" spans="1:3" x14ac:dyDescent="0.15">
      <c r="A239" s="124">
        <v>41172</v>
      </c>
      <c r="B239" s="126">
        <v>22.247566223144531</v>
      </c>
      <c r="C239" s="125">
        <f>IFERROR(yf_data[[#This Row],[Close Price]]/B238-1,0)</f>
        <v>1.1702710914512915E-2</v>
      </c>
    </row>
    <row r="240" spans="1:3" x14ac:dyDescent="0.15">
      <c r="A240" s="124">
        <v>41173</v>
      </c>
      <c r="B240" s="126">
        <v>22.045976638793945</v>
      </c>
      <c r="C240" s="125">
        <f>IFERROR(yf_data[[#This Row],[Close Price]]/B239-1,0)</f>
        <v>-9.0611971812389891E-3</v>
      </c>
    </row>
    <row r="241" spans="1:3" x14ac:dyDescent="0.15">
      <c r="A241" s="124">
        <v>41176</v>
      </c>
      <c r="B241" s="126">
        <v>21.445503234863281</v>
      </c>
      <c r="C241" s="125">
        <f>IFERROR(yf_data[[#This Row],[Close Price]]/B240-1,0)</f>
        <v>-2.7237323787870693E-2</v>
      </c>
    </row>
    <row r="242" spans="1:3" x14ac:dyDescent="0.15">
      <c r="A242" s="124">
        <v>41177</v>
      </c>
      <c r="B242" s="126">
        <v>21.61277961730957</v>
      </c>
      <c r="C242" s="125">
        <f>IFERROR(yf_data[[#This Row],[Close Price]]/B241-1,0)</f>
        <v>7.8000679496461611E-3</v>
      </c>
    </row>
    <row r="243" spans="1:3" x14ac:dyDescent="0.15">
      <c r="A243" s="124">
        <v>41178</v>
      </c>
      <c r="B243" s="126">
        <v>20.973703384399418</v>
      </c>
      <c r="C243" s="125">
        <f>IFERROR(yf_data[[#This Row],[Close Price]]/B242-1,0)</f>
        <v>-2.9569367949244252E-2</v>
      </c>
    </row>
    <row r="244" spans="1:3" x14ac:dyDescent="0.15">
      <c r="A244" s="124">
        <v>41179</v>
      </c>
      <c r="B244" s="126">
        <v>21.31683349609375</v>
      </c>
      <c r="C244" s="125">
        <f>IFERROR(yf_data[[#This Row],[Close Price]]/B243-1,0)</f>
        <v>1.6360015463437794E-2</v>
      </c>
    </row>
    <row r="245" spans="1:3" x14ac:dyDescent="0.15">
      <c r="A245" s="124">
        <v>41180</v>
      </c>
      <c r="B245" s="126">
        <v>21.158134460449219</v>
      </c>
      <c r="C245" s="125">
        <f>IFERROR(yf_data[[#This Row],[Close Price]]/B244-1,0)</f>
        <v>-7.4447753074401435E-3</v>
      </c>
    </row>
    <row r="246" spans="1:3" x14ac:dyDescent="0.15">
      <c r="A246" s="124">
        <v>41183</v>
      </c>
      <c r="B246" s="126">
        <v>21.372591018676761</v>
      </c>
      <c r="C246" s="125">
        <f>IFERROR(yf_data[[#This Row],[Close Price]]/B245-1,0)</f>
        <v>1.0135891641506634E-2</v>
      </c>
    </row>
    <row r="247" spans="1:3" x14ac:dyDescent="0.15">
      <c r="A247" s="124">
        <v>41184</v>
      </c>
      <c r="B247" s="126">
        <v>21.930170059204102</v>
      </c>
      <c r="C247" s="125">
        <f>IFERROR(yf_data[[#This Row],[Close Price]]/B246-1,0)</f>
        <v>2.6088509345455257E-2</v>
      </c>
    </row>
    <row r="248" spans="1:3" x14ac:dyDescent="0.15">
      <c r="A248" s="124">
        <v>41185</v>
      </c>
      <c r="B248" s="126">
        <v>21.985929489135746</v>
      </c>
      <c r="C248" s="125">
        <f>IFERROR(yf_data[[#This Row],[Close Price]]/B247-1,0)</f>
        <v>2.5425899471418489E-3</v>
      </c>
    </row>
    <row r="249" spans="1:3" x14ac:dyDescent="0.15">
      <c r="A249" s="124">
        <v>41186</v>
      </c>
      <c r="B249" s="126">
        <v>22.217540740966797</v>
      </c>
      <c r="C249" s="125">
        <f>IFERROR(yf_data[[#This Row],[Close Price]]/B248-1,0)</f>
        <v>1.0534521724246515E-2</v>
      </c>
    </row>
    <row r="250" spans="1:3" x14ac:dyDescent="0.15">
      <c r="A250" s="124">
        <v>41187</v>
      </c>
      <c r="B250" s="126">
        <v>22.715076446533203</v>
      </c>
      <c r="C250" s="125">
        <f>IFERROR(yf_data[[#This Row],[Close Price]]/B249-1,0)</f>
        <v>2.2393824382597183E-2</v>
      </c>
    </row>
    <row r="251" spans="1:3" x14ac:dyDescent="0.15">
      <c r="A251" s="124">
        <v>41190</v>
      </c>
      <c r="B251" s="126">
        <v>22.517782211303711</v>
      </c>
      <c r="C251" s="125">
        <f>IFERROR(yf_data[[#This Row],[Close Price]]/B250-1,0)</f>
        <v>-8.6856073627523678E-3</v>
      </c>
    </row>
    <row r="252" spans="1:3" x14ac:dyDescent="0.15">
      <c r="A252" s="124">
        <v>41191</v>
      </c>
      <c r="B252" s="126">
        <v>22.389106750488281</v>
      </c>
      <c r="C252" s="125">
        <f>IFERROR(yf_data[[#This Row],[Close Price]]/B251-1,0)</f>
        <v>-5.7143931674956683E-3</v>
      </c>
    </row>
    <row r="253" spans="1:3" x14ac:dyDescent="0.15">
      <c r="A253" s="124">
        <v>41192</v>
      </c>
      <c r="B253" s="126">
        <v>23.572900772094727</v>
      </c>
      <c r="C253" s="125">
        <f>IFERROR(yf_data[[#This Row],[Close Price]]/B252-1,0)</f>
        <v>5.2873660159784119E-2</v>
      </c>
    </row>
    <row r="254" spans="1:3" x14ac:dyDescent="0.15">
      <c r="A254" s="124">
        <v>41193</v>
      </c>
      <c r="B254" s="126">
        <v>23.31126594543457</v>
      </c>
      <c r="C254" s="125">
        <f>IFERROR(yf_data[[#This Row],[Close Price]]/B253-1,0)</f>
        <v>-1.1098966104751806E-2</v>
      </c>
    </row>
    <row r="255" spans="1:3" x14ac:dyDescent="0.15">
      <c r="A255" s="124">
        <v>41194</v>
      </c>
      <c r="B255" s="126">
        <v>22.59498405456543</v>
      </c>
      <c r="C255" s="125">
        <f>IFERROR(yf_data[[#This Row],[Close Price]]/B254-1,0)</f>
        <v>-3.0726855098550443E-2</v>
      </c>
    </row>
    <row r="256" spans="1:3" x14ac:dyDescent="0.15">
      <c r="A256" s="124">
        <v>41197</v>
      </c>
      <c r="B256" s="126">
        <v>22.848041534423828</v>
      </c>
      <c r="C256" s="125">
        <f>IFERROR(yf_data[[#This Row],[Close Price]]/B255-1,0)</f>
        <v>1.1199719338030212E-2</v>
      </c>
    </row>
    <row r="257" spans="1:3" x14ac:dyDescent="0.15">
      <c r="A257" s="124">
        <v>41198</v>
      </c>
      <c r="B257" s="126">
        <v>22.860906600952148</v>
      </c>
      <c r="C257" s="125">
        <f>IFERROR(yf_data[[#This Row],[Close Price]]/B256-1,0)</f>
        <v>5.6307086578688548E-4</v>
      </c>
    </row>
    <row r="258" spans="1:3" x14ac:dyDescent="0.15">
      <c r="A258" s="124">
        <v>41199</v>
      </c>
      <c r="B258" s="126">
        <v>23.161142349243164</v>
      </c>
      <c r="C258" s="125">
        <f>IFERROR(yf_data[[#This Row],[Close Price]]/B257-1,0)</f>
        <v>1.3133151433220469E-2</v>
      </c>
    </row>
    <row r="259" spans="1:3" x14ac:dyDescent="0.15">
      <c r="A259" s="124">
        <v>41200</v>
      </c>
      <c r="B259" s="126">
        <v>23.156858444213867</v>
      </c>
      <c r="C259" s="125">
        <f>IFERROR(yf_data[[#This Row],[Close Price]]/B258-1,0)</f>
        <v>-1.8496086957631164E-4</v>
      </c>
    </row>
    <row r="260" spans="1:3" x14ac:dyDescent="0.15">
      <c r="A260" s="124">
        <v>41201</v>
      </c>
      <c r="B260" s="126">
        <v>22.98529052734375</v>
      </c>
      <c r="C260" s="125">
        <f>IFERROR(yf_data[[#This Row],[Close Price]]/B259-1,0)</f>
        <v>-7.4089461350482777E-3</v>
      </c>
    </row>
    <row r="261" spans="1:3" x14ac:dyDescent="0.15">
      <c r="A261" s="124">
        <v>41204</v>
      </c>
      <c r="B261" s="126">
        <v>22.779415130615231</v>
      </c>
      <c r="C261" s="125">
        <f>IFERROR(yf_data[[#This Row],[Close Price]]/B260-1,0)</f>
        <v>-8.9568324787370202E-3</v>
      </c>
    </row>
    <row r="262" spans="1:3" x14ac:dyDescent="0.15">
      <c r="A262" s="124">
        <v>41205</v>
      </c>
      <c r="B262" s="126">
        <v>22.191806793212891</v>
      </c>
      <c r="C262" s="125">
        <f>IFERROR(yf_data[[#This Row],[Close Price]]/B261-1,0)</f>
        <v>-2.5795584918798076E-2</v>
      </c>
    </row>
    <row r="263" spans="1:3" x14ac:dyDescent="0.15">
      <c r="A263" s="124">
        <v>41206</v>
      </c>
      <c r="B263" s="126">
        <v>22.818017959594727</v>
      </c>
      <c r="C263" s="125">
        <f>IFERROR(yf_data[[#This Row],[Close Price]]/B262-1,0)</f>
        <v>2.8218124473459172E-2</v>
      </c>
    </row>
    <row r="264" spans="1:3" x14ac:dyDescent="0.15">
      <c r="A264" s="124">
        <v>41207</v>
      </c>
      <c r="B264" s="126">
        <v>22.942401885986328</v>
      </c>
      <c r="C264" s="125">
        <f>IFERROR(yf_data[[#This Row],[Close Price]]/B263-1,0)</f>
        <v>5.4511275524393721E-3</v>
      </c>
    </row>
    <row r="265" spans="1:3" x14ac:dyDescent="0.15">
      <c r="A265" s="124">
        <v>41208</v>
      </c>
      <c r="B265" s="126">
        <v>23.264081954956055</v>
      </c>
      <c r="C265" s="125">
        <f>IFERROR(yf_data[[#This Row],[Close Price]]/B264-1,0)</f>
        <v>1.4021202774161745E-2</v>
      </c>
    </row>
    <row r="266" spans="1:3" x14ac:dyDescent="0.15">
      <c r="A266" s="124">
        <v>41211</v>
      </c>
      <c r="B266" s="126">
        <v>23.268373489379883</v>
      </c>
      <c r="C266" s="125">
        <f>IFERROR(yf_data[[#This Row],[Close Price]]/B265-1,0)</f>
        <v>1.8447039655966613E-4</v>
      </c>
    </row>
    <row r="267" spans="1:3" x14ac:dyDescent="0.15">
      <c r="A267" s="124">
        <v>41212</v>
      </c>
      <c r="B267" s="126">
        <v>23.508560180664062</v>
      </c>
      <c r="C267" s="125">
        <f>IFERROR(yf_data[[#This Row],[Close Price]]/B266-1,0)</f>
        <v>1.0322452980815688E-2</v>
      </c>
    </row>
    <row r="268" spans="1:3" x14ac:dyDescent="0.15">
      <c r="A268" s="124">
        <v>41213</v>
      </c>
      <c r="B268" s="126">
        <v>23.512851715087891</v>
      </c>
      <c r="C268" s="125">
        <f>IFERROR(yf_data[[#This Row],[Close Price]]/B267-1,0)</f>
        <v>1.8255198918382121E-4</v>
      </c>
    </row>
    <row r="269" spans="1:3" x14ac:dyDescent="0.15">
      <c r="A269" s="124">
        <v>41214</v>
      </c>
      <c r="B269" s="126">
        <v>23.590055465698239</v>
      </c>
      <c r="C269" s="125">
        <f>IFERROR(yf_data[[#This Row],[Close Price]]/B268-1,0)</f>
        <v>3.2834703142710087E-3</v>
      </c>
    </row>
    <row r="270" spans="1:3" x14ac:dyDescent="0.15">
      <c r="A270" s="124">
        <v>41215</v>
      </c>
      <c r="B270" s="126">
        <v>23.547164916992188</v>
      </c>
      <c r="C270" s="125">
        <f>IFERROR(yf_data[[#This Row],[Close Price]]/B269-1,0)</f>
        <v>-1.818162266231993E-3</v>
      </c>
    </row>
    <row r="271" spans="1:3" x14ac:dyDescent="0.15">
      <c r="A271" s="124">
        <v>41218</v>
      </c>
      <c r="B271" s="126">
        <v>23.349863052368164</v>
      </c>
      <c r="C271" s="125">
        <f>IFERROR(yf_data[[#This Row],[Close Price]]/B270-1,0)</f>
        <v>-8.3790072104028557E-3</v>
      </c>
    </row>
    <row r="272" spans="1:3" x14ac:dyDescent="0.15">
      <c r="A272" s="124">
        <v>41219</v>
      </c>
      <c r="B272" s="126">
        <v>23.534297943115231</v>
      </c>
      <c r="C272" s="125">
        <f>IFERROR(yf_data[[#This Row],[Close Price]]/B271-1,0)</f>
        <v>7.8987568506685424E-3</v>
      </c>
    </row>
    <row r="273" spans="1:3" x14ac:dyDescent="0.15">
      <c r="A273" s="124">
        <v>41220</v>
      </c>
      <c r="B273" s="126">
        <v>23.358442306518555</v>
      </c>
      <c r="C273" s="125">
        <f>IFERROR(yf_data[[#This Row],[Close Price]]/B272-1,0)</f>
        <v>-7.4723128355788093E-3</v>
      </c>
    </row>
    <row r="274" spans="1:3" x14ac:dyDescent="0.15">
      <c r="A274" s="124">
        <v>41221</v>
      </c>
      <c r="B274" s="126">
        <v>22.389106750488281</v>
      </c>
      <c r="C274" s="125">
        <f>IFERROR(yf_data[[#This Row],[Close Price]]/B273-1,0)</f>
        <v>-4.1498296132519319E-2</v>
      </c>
    </row>
    <row r="275" spans="1:3" x14ac:dyDescent="0.15">
      <c r="A275" s="124">
        <v>41222</v>
      </c>
      <c r="B275" s="126">
        <v>22.577827453613281</v>
      </c>
      <c r="C275" s="125">
        <f>IFERROR(yf_data[[#This Row],[Close Price]]/B274-1,0)</f>
        <v>8.4291305244181824E-3</v>
      </c>
    </row>
    <row r="276" spans="1:3" x14ac:dyDescent="0.15">
      <c r="A276" s="124">
        <v>41225</v>
      </c>
      <c r="B276" s="126">
        <v>22.401975631713867</v>
      </c>
      <c r="C276" s="125">
        <f>IFERROR(yf_data[[#This Row],[Close Price]]/B275-1,0)</f>
        <v>-7.7886954473678216E-3</v>
      </c>
    </row>
    <row r="277" spans="1:3" x14ac:dyDescent="0.15">
      <c r="A277" s="124">
        <v>41226</v>
      </c>
      <c r="B277" s="126">
        <v>22.462020874023441</v>
      </c>
      <c r="C277" s="125">
        <f>IFERROR(yf_data[[#This Row],[Close Price]]/B276-1,0)</f>
        <v>2.6803547730214206E-3</v>
      </c>
    </row>
    <row r="278" spans="1:3" x14ac:dyDescent="0.15">
      <c r="A278" s="124">
        <v>41227</v>
      </c>
      <c r="B278" s="126">
        <v>22.174650192260746</v>
      </c>
      <c r="C278" s="125">
        <f>IFERROR(yf_data[[#This Row],[Close Price]]/B277-1,0)</f>
        <v>-1.2793625443337953E-2</v>
      </c>
    </row>
    <row r="279" spans="1:3" x14ac:dyDescent="0.15">
      <c r="A279" s="124">
        <v>41228</v>
      </c>
      <c r="B279" s="126">
        <v>21.522708892822266</v>
      </c>
      <c r="C279" s="125">
        <f>IFERROR(yf_data[[#This Row],[Close Price]]/B278-1,0)</f>
        <v>-2.940029690596957E-2</v>
      </c>
    </row>
    <row r="280" spans="1:3" x14ac:dyDescent="0.15">
      <c r="A280" s="124">
        <v>41229</v>
      </c>
      <c r="B280" s="126">
        <v>21.591331481933594</v>
      </c>
      <c r="C280" s="125">
        <f>IFERROR(yf_data[[#This Row],[Close Price]]/B279-1,0)</f>
        <v>3.188380675176683E-3</v>
      </c>
    </row>
    <row r="281" spans="1:3" x14ac:dyDescent="0.15">
      <c r="A281" s="124">
        <v>41232</v>
      </c>
      <c r="B281" s="126">
        <v>21.94304084777832</v>
      </c>
      <c r="C281" s="125">
        <f>IFERROR(yf_data[[#This Row],[Close Price]]/B280-1,0)</f>
        <v>1.6289378269191745E-2</v>
      </c>
    </row>
    <row r="282" spans="1:3" x14ac:dyDescent="0.15">
      <c r="A282" s="124">
        <v>41233</v>
      </c>
      <c r="B282" s="126">
        <v>21.861549377441406</v>
      </c>
      <c r="C282" s="125">
        <f>IFERROR(yf_data[[#This Row],[Close Price]]/B281-1,0)</f>
        <v>-3.7137728951165405E-3</v>
      </c>
    </row>
    <row r="283" spans="1:3" x14ac:dyDescent="0.15">
      <c r="A283" s="124">
        <v>41234</v>
      </c>
      <c r="B283" s="126">
        <v>21.792922973632812</v>
      </c>
      <c r="C283" s="125">
        <f>IFERROR(yf_data[[#This Row],[Close Price]]/B282-1,0)</f>
        <v>-3.1391372415446872E-3</v>
      </c>
    </row>
    <row r="284" spans="1:3" x14ac:dyDescent="0.15">
      <c r="A284" s="124">
        <v>41235</v>
      </c>
      <c r="B284" s="126">
        <v>21.651382446289062</v>
      </c>
      <c r="C284" s="125">
        <f>IFERROR(yf_data[[#This Row],[Close Price]]/B283-1,0)</f>
        <v>-6.4947931727652453E-3</v>
      </c>
    </row>
    <row r="285" spans="1:3" x14ac:dyDescent="0.15">
      <c r="A285" s="124">
        <v>41236</v>
      </c>
      <c r="B285" s="126">
        <v>21.355436325073239</v>
      </c>
      <c r="C285" s="125">
        <f>IFERROR(yf_data[[#This Row],[Close Price]]/B284-1,0)</f>
        <v>-1.3668693994482006E-2</v>
      </c>
    </row>
    <row r="286" spans="1:3" x14ac:dyDescent="0.15">
      <c r="A286" s="124">
        <v>41239</v>
      </c>
      <c r="B286" s="126">
        <v>21.072353363037109</v>
      </c>
      <c r="C286" s="125">
        <f>IFERROR(yf_data[[#This Row],[Close Price]]/B285-1,0)</f>
        <v>-1.3255779827067493E-2</v>
      </c>
    </row>
    <row r="287" spans="1:3" x14ac:dyDescent="0.15">
      <c r="A287" s="124">
        <v>41240</v>
      </c>
      <c r="B287" s="126">
        <v>20.917942047119141</v>
      </c>
      <c r="C287" s="125">
        <f>IFERROR(yf_data[[#This Row],[Close Price]]/B286-1,0)</f>
        <v>-7.3276730537757961E-3</v>
      </c>
    </row>
    <row r="288" spans="1:3" x14ac:dyDescent="0.15">
      <c r="A288" s="124">
        <v>41241</v>
      </c>
      <c r="B288" s="126">
        <v>21.278226852416992</v>
      </c>
      <c r="C288" s="125">
        <f>IFERROR(yf_data[[#This Row],[Close Price]]/B287-1,0)</f>
        <v>1.7223721362564559E-2</v>
      </c>
    </row>
    <row r="289" spans="1:3" x14ac:dyDescent="0.15">
      <c r="A289" s="124">
        <v>41242</v>
      </c>
      <c r="B289" s="126">
        <v>21.69856071472168</v>
      </c>
      <c r="C289" s="125">
        <f>IFERROR(yf_data[[#This Row],[Close Price]]/B288-1,0)</f>
        <v>1.9754177132336626E-2</v>
      </c>
    </row>
    <row r="290" spans="1:3" x14ac:dyDescent="0.15">
      <c r="A290" s="124">
        <v>41243</v>
      </c>
      <c r="B290" s="126">
        <v>22.208963394165039</v>
      </c>
      <c r="C290" s="125">
        <f>IFERROR(yf_data[[#This Row],[Close Price]]/B289-1,0)</f>
        <v>2.352242096394308E-2</v>
      </c>
    </row>
    <row r="291" spans="1:3" x14ac:dyDescent="0.15">
      <c r="A291" s="124">
        <v>41246</v>
      </c>
      <c r="B291" s="126">
        <v>22.685050964355469</v>
      </c>
      <c r="C291" s="125">
        <f>IFERROR(yf_data[[#This Row],[Close Price]]/B290-1,0)</f>
        <v>2.1436730825334704E-2</v>
      </c>
    </row>
    <row r="292" spans="1:3" x14ac:dyDescent="0.15">
      <c r="A292" s="124">
        <v>41247</v>
      </c>
      <c r="B292" s="126">
        <v>22.796573638916016</v>
      </c>
      <c r="C292" s="125">
        <f>IFERROR(yf_data[[#This Row],[Close Price]]/B291-1,0)</f>
        <v>4.9161306596039456E-3</v>
      </c>
    </row>
    <row r="293" spans="1:3" x14ac:dyDescent="0.15">
      <c r="A293" s="124">
        <v>41248</v>
      </c>
      <c r="B293" s="126">
        <v>23.358442306518555</v>
      </c>
      <c r="C293" s="125">
        <f>IFERROR(yf_data[[#This Row],[Close Price]]/B292-1,0)</f>
        <v>2.4647066550535168E-2</v>
      </c>
    </row>
    <row r="294" spans="1:3" x14ac:dyDescent="0.15">
      <c r="A294" s="124">
        <v>41249</v>
      </c>
      <c r="B294" s="126">
        <v>25.219911575317383</v>
      </c>
      <c r="C294" s="125">
        <f>IFERROR(yf_data[[#This Row],[Close Price]]/B293-1,0)</f>
        <v>7.9691498447195475E-2</v>
      </c>
    </row>
    <row r="295" spans="1:3" x14ac:dyDescent="0.15">
      <c r="A295" s="124">
        <v>41250</v>
      </c>
      <c r="B295" s="126">
        <v>25.558750152587891</v>
      </c>
      <c r="C295" s="125">
        <f>IFERROR(yf_data[[#This Row],[Close Price]]/B294-1,0)</f>
        <v>1.3435359448370487E-2</v>
      </c>
    </row>
    <row r="296" spans="1:3" x14ac:dyDescent="0.15">
      <c r="A296" s="124">
        <v>41253</v>
      </c>
      <c r="B296" s="126">
        <v>25.44294548034668</v>
      </c>
      <c r="C296" s="125">
        <f>IFERROR(yf_data[[#This Row],[Close Price]]/B295-1,0)</f>
        <v>-4.5309207825049436E-3</v>
      </c>
    </row>
    <row r="297" spans="1:3" x14ac:dyDescent="0.15">
      <c r="A297" s="124">
        <v>41254</v>
      </c>
      <c r="B297" s="126">
        <v>25.189889907836911</v>
      </c>
      <c r="C297" s="125">
        <f>IFERROR(yf_data[[#This Row],[Close Price]]/B296-1,0)</f>
        <v>-9.9460014448893297E-3</v>
      </c>
    </row>
    <row r="298" spans="1:3" x14ac:dyDescent="0.15">
      <c r="A298" s="124">
        <v>41255</v>
      </c>
      <c r="B298" s="126">
        <v>25.228492736816406</v>
      </c>
      <c r="C298" s="125">
        <f>IFERROR(yf_data[[#This Row],[Close Price]]/B297-1,0)</f>
        <v>1.532473112059396E-3</v>
      </c>
    </row>
    <row r="299" spans="1:3" x14ac:dyDescent="0.15">
      <c r="A299" s="124">
        <v>41256</v>
      </c>
      <c r="B299" s="126">
        <v>25.082662582397461</v>
      </c>
      <c r="C299" s="125">
        <f>IFERROR(yf_data[[#This Row],[Close Price]]/B298-1,0)</f>
        <v>-5.7803752265442876E-3</v>
      </c>
    </row>
    <row r="300" spans="1:3" x14ac:dyDescent="0.15">
      <c r="A300" s="124">
        <v>41257</v>
      </c>
      <c r="B300" s="126">
        <v>24.808158874511719</v>
      </c>
      <c r="C300" s="125">
        <f>IFERROR(yf_data[[#This Row],[Close Price]]/B299-1,0)</f>
        <v>-1.0943962068779123E-2</v>
      </c>
    </row>
    <row r="301" spans="1:3" x14ac:dyDescent="0.15">
      <c r="A301" s="124">
        <v>41260</v>
      </c>
      <c r="B301" s="126">
        <v>24.97114372253418</v>
      </c>
      <c r="C301" s="125">
        <f>IFERROR(yf_data[[#This Row],[Close Price]]/B300-1,0)</f>
        <v>6.5698082976206607E-3</v>
      </c>
    </row>
    <row r="302" spans="1:3" x14ac:dyDescent="0.15">
      <c r="A302" s="124">
        <v>41261</v>
      </c>
      <c r="B302" s="126">
        <v>25.618801116943359</v>
      </c>
      <c r="C302" s="125">
        <f>IFERROR(yf_data[[#This Row],[Close Price]]/B301-1,0)</f>
        <v>2.5936232701457174E-2</v>
      </c>
    </row>
    <row r="303" spans="1:3" x14ac:dyDescent="0.15">
      <c r="A303" s="124">
        <v>41262</v>
      </c>
      <c r="B303" s="126">
        <v>25.734607696533203</v>
      </c>
      <c r="C303" s="125">
        <f>IFERROR(yf_data[[#This Row],[Close Price]]/B302-1,0)</f>
        <v>4.5203746678548207E-3</v>
      </c>
    </row>
    <row r="304" spans="1:3" x14ac:dyDescent="0.15">
      <c r="A304" s="124">
        <v>41263</v>
      </c>
      <c r="B304" s="126">
        <v>25.623088836669918</v>
      </c>
      <c r="C304" s="125">
        <f>IFERROR(yf_data[[#This Row],[Close Price]]/B303-1,0)</f>
        <v>-4.3334198515219136E-3</v>
      </c>
    </row>
    <row r="305" spans="1:3" x14ac:dyDescent="0.15">
      <c r="A305" s="124">
        <v>41264</v>
      </c>
      <c r="B305" s="126">
        <v>25.730316162109375</v>
      </c>
      <c r="C305" s="125">
        <f>IFERROR(yf_data[[#This Row],[Close Price]]/B304-1,0)</f>
        <v>4.1847931029299623E-3</v>
      </c>
    </row>
    <row r="306" spans="1:3" x14ac:dyDescent="0.15">
      <c r="A306" s="124">
        <v>41270</v>
      </c>
      <c r="B306" s="126">
        <v>25.421501159667969</v>
      </c>
      <c r="C306" s="125">
        <f>IFERROR(yf_data[[#This Row],[Close Price]]/B305-1,0)</f>
        <v>-1.2001990200811052E-2</v>
      </c>
    </row>
    <row r="307" spans="1:3" x14ac:dyDescent="0.15">
      <c r="A307" s="124">
        <v>41271</v>
      </c>
      <c r="B307" s="126">
        <v>25.215625762939453</v>
      </c>
      <c r="C307" s="125">
        <f>IFERROR(yf_data[[#This Row],[Close Price]]/B306-1,0)</f>
        <v>-8.0984752015802464E-3</v>
      </c>
    </row>
    <row r="308" spans="1:3" x14ac:dyDescent="0.15">
      <c r="A308" s="124">
        <v>41276</v>
      </c>
      <c r="B308" s="126">
        <v>25.790361404418945</v>
      </c>
      <c r="C308" s="125">
        <f>IFERROR(yf_data[[#This Row],[Close Price]]/B307-1,0)</f>
        <v>2.2792836746657663E-2</v>
      </c>
    </row>
    <row r="309" spans="1:3" x14ac:dyDescent="0.15">
      <c r="A309" s="124">
        <v>41277</v>
      </c>
      <c r="B309" s="126">
        <v>25.906167984008789</v>
      </c>
      <c r="C309" s="125">
        <f>IFERROR(yf_data[[#This Row],[Close Price]]/B308-1,0)</f>
        <v>4.4903046441993055E-3</v>
      </c>
    </row>
    <row r="310" spans="1:3" x14ac:dyDescent="0.15">
      <c r="A310" s="124">
        <v>41278</v>
      </c>
      <c r="B310" s="126">
        <v>26.420862197875977</v>
      </c>
      <c r="C310" s="125">
        <f>IFERROR(yf_data[[#This Row],[Close Price]]/B309-1,0)</f>
        <v>1.9867632070667218E-2</v>
      </c>
    </row>
    <row r="311" spans="1:3" x14ac:dyDescent="0.15">
      <c r="A311" s="124">
        <v>41281</v>
      </c>
      <c r="B311" s="126">
        <v>26.377969741821289</v>
      </c>
      <c r="C311" s="125">
        <f>IFERROR(yf_data[[#This Row],[Close Price]]/B310-1,0)</f>
        <v>-1.6234313525974597E-3</v>
      </c>
    </row>
    <row r="312" spans="1:3" x14ac:dyDescent="0.15">
      <c r="A312" s="124">
        <v>41282</v>
      </c>
      <c r="B312" s="126">
        <v>26.528091430664062</v>
      </c>
      <c r="C312" s="125">
        <f>IFERROR(yf_data[[#This Row],[Close Price]]/B311-1,0)</f>
        <v>5.6911767778988764E-3</v>
      </c>
    </row>
    <row r="313" spans="1:3" x14ac:dyDescent="0.15">
      <c r="A313" s="124">
        <v>41283</v>
      </c>
      <c r="B313" s="126">
        <v>27.557472229003903</v>
      </c>
      <c r="C313" s="125">
        <f>IFERROR(yf_data[[#This Row],[Close Price]]/B312-1,0)</f>
        <v>3.8803424702840372E-2</v>
      </c>
    </row>
    <row r="314" spans="1:3" x14ac:dyDescent="0.15">
      <c r="A314" s="124">
        <v>41284</v>
      </c>
      <c r="B314" s="126">
        <v>27.48455810546875</v>
      </c>
      <c r="C314" s="125">
        <f>IFERROR(yf_data[[#This Row],[Close Price]]/B313-1,0)</f>
        <v>-2.645893024194379E-3</v>
      </c>
    </row>
    <row r="315" spans="1:3" x14ac:dyDescent="0.15">
      <c r="A315" s="124">
        <v>41285</v>
      </c>
      <c r="B315" s="126">
        <v>27.703302383422852</v>
      </c>
      <c r="C315" s="125">
        <f>IFERROR(yf_data[[#This Row],[Close Price]]/B314-1,0)</f>
        <v>7.9588064364977118E-3</v>
      </c>
    </row>
    <row r="316" spans="1:3" x14ac:dyDescent="0.15">
      <c r="A316" s="124">
        <v>41288</v>
      </c>
      <c r="B316" s="126">
        <v>27.57891845703125</v>
      </c>
      <c r="C316" s="125">
        <f>IFERROR(yf_data[[#This Row],[Close Price]]/B315-1,0)</f>
        <v>-4.4898591752740025E-3</v>
      </c>
    </row>
    <row r="317" spans="1:3" x14ac:dyDescent="0.15">
      <c r="A317" s="124">
        <v>41289</v>
      </c>
      <c r="B317" s="126">
        <v>27.57463264465332</v>
      </c>
      <c r="C317" s="125">
        <f>IFERROR(yf_data[[#This Row],[Close Price]]/B316-1,0)</f>
        <v>-1.5540175676598267E-4</v>
      </c>
    </row>
    <row r="318" spans="1:3" x14ac:dyDescent="0.15">
      <c r="A318" s="124">
        <v>41290</v>
      </c>
      <c r="B318" s="126">
        <v>27.823398590087891</v>
      </c>
      <c r="C318" s="125">
        <f>IFERROR(yf_data[[#This Row],[Close Price]]/B317-1,0)</f>
        <v>9.0215506636244225E-3</v>
      </c>
    </row>
    <row r="319" spans="1:3" x14ac:dyDescent="0.15">
      <c r="A319" s="124">
        <v>41291</v>
      </c>
      <c r="B319" s="126">
        <v>28.908542633056641</v>
      </c>
      <c r="C319" s="125">
        <f>IFERROR(yf_data[[#This Row],[Close Price]]/B318-1,0)</f>
        <v>3.9001132067141953E-2</v>
      </c>
    </row>
    <row r="320" spans="1:3" x14ac:dyDescent="0.15">
      <c r="A320" s="124">
        <v>41292</v>
      </c>
      <c r="B320" s="126">
        <v>29.680576324462891</v>
      </c>
      <c r="C320" s="125">
        <f>IFERROR(yf_data[[#This Row],[Close Price]]/B319-1,0)</f>
        <v>2.6706074436399829E-2</v>
      </c>
    </row>
    <row r="321" spans="1:3" x14ac:dyDescent="0.15">
      <c r="A321" s="124">
        <v>41295</v>
      </c>
      <c r="B321" s="126">
        <v>29.431812286376953</v>
      </c>
      <c r="C321" s="125">
        <f>IFERROR(yf_data[[#This Row],[Close Price]]/B320-1,0)</f>
        <v>-8.3813749223227152E-3</v>
      </c>
    </row>
    <row r="322" spans="1:3" x14ac:dyDescent="0.15">
      <c r="A322" s="124">
        <v>41296</v>
      </c>
      <c r="B322" s="126">
        <v>30.023702621459961</v>
      </c>
      <c r="C322" s="125">
        <f>IFERROR(yf_data[[#This Row],[Close Price]]/B321-1,0)</f>
        <v>2.0110563675923343E-2</v>
      </c>
    </row>
    <row r="323" spans="1:3" x14ac:dyDescent="0.15">
      <c r="A323" s="124">
        <v>41297</v>
      </c>
      <c r="B323" s="126">
        <v>29.81353759765625</v>
      </c>
      <c r="C323" s="125">
        <f>IFERROR(yf_data[[#This Row],[Close Price]]/B322-1,0)</f>
        <v>-6.9999702053233914E-3</v>
      </c>
    </row>
    <row r="324" spans="1:3" x14ac:dyDescent="0.15">
      <c r="A324" s="124">
        <v>41298</v>
      </c>
      <c r="B324" s="126">
        <v>29.75349235534668</v>
      </c>
      <c r="C324" s="125">
        <f>IFERROR(yf_data[[#This Row],[Close Price]]/B323-1,0)</f>
        <v>-2.0140260817049782E-3</v>
      </c>
    </row>
    <row r="325" spans="1:3" x14ac:dyDescent="0.15">
      <c r="A325" s="124">
        <v>41299</v>
      </c>
      <c r="B325" s="126">
        <v>29.839277267456055</v>
      </c>
      <c r="C325" s="125">
        <f>IFERROR(yf_data[[#This Row],[Close Price]]/B324-1,0)</f>
        <v>2.8831879997428533E-3</v>
      </c>
    </row>
    <row r="326" spans="1:3" x14ac:dyDescent="0.15">
      <c r="A326" s="124">
        <v>41302</v>
      </c>
      <c r="B326" s="126">
        <v>30.654207229614254</v>
      </c>
      <c r="C326" s="125">
        <f>IFERROR(yf_data[[#This Row],[Close Price]]/B325-1,0)</f>
        <v>2.7310646797970461E-2</v>
      </c>
    </row>
    <row r="327" spans="1:3" x14ac:dyDescent="0.15">
      <c r="A327" s="124">
        <v>41303</v>
      </c>
      <c r="B327" s="126">
        <v>30.28105354309082</v>
      </c>
      <c r="C327" s="125">
        <f>IFERROR(yf_data[[#This Row],[Close Price]]/B326-1,0)</f>
        <v>-1.2173000714986393E-2</v>
      </c>
    </row>
    <row r="328" spans="1:3" x14ac:dyDescent="0.15">
      <c r="A328" s="124">
        <v>41304</v>
      </c>
      <c r="B328" s="126">
        <v>29.500436782836911</v>
      </c>
      <c r="C328" s="125">
        <f>IFERROR(yf_data[[#This Row],[Close Price]]/B327-1,0)</f>
        <v>-2.5779048907366153E-2</v>
      </c>
    </row>
    <row r="329" spans="1:3" x14ac:dyDescent="0.15">
      <c r="A329" s="124">
        <v>41305</v>
      </c>
      <c r="B329" s="126">
        <v>29.684867858886719</v>
      </c>
      <c r="C329" s="125">
        <f>IFERROR(yf_data[[#This Row],[Close Price]]/B328-1,0)</f>
        <v>6.2518083175333583E-3</v>
      </c>
    </row>
    <row r="330" spans="1:3" x14ac:dyDescent="0.15">
      <c r="A330" s="124">
        <v>41306</v>
      </c>
      <c r="B330" s="126">
        <v>30.18669319152832</v>
      </c>
      <c r="C330" s="125">
        <f>IFERROR(yf_data[[#This Row],[Close Price]]/B329-1,0)</f>
        <v>1.6905088984297878E-2</v>
      </c>
    </row>
    <row r="331" spans="1:3" x14ac:dyDescent="0.15">
      <c r="A331" s="124">
        <v>41309</v>
      </c>
      <c r="B331" s="126">
        <v>29.869295120239254</v>
      </c>
      <c r="C331" s="125">
        <f>IFERROR(yf_data[[#This Row],[Close Price]]/B330-1,0)</f>
        <v>-1.0514502839885198E-2</v>
      </c>
    </row>
    <row r="332" spans="1:3" x14ac:dyDescent="0.15">
      <c r="A332" s="124">
        <v>41310</v>
      </c>
      <c r="B332" s="126">
        <v>29.967950820922852</v>
      </c>
      <c r="C332" s="125">
        <f>IFERROR(yf_data[[#This Row],[Close Price]]/B331-1,0)</f>
        <v>3.3029135868944959E-3</v>
      </c>
    </row>
    <row r="333" spans="1:3" x14ac:dyDescent="0.15">
      <c r="A333" s="124">
        <v>41311</v>
      </c>
      <c r="B333" s="126">
        <v>29.873586654663089</v>
      </c>
      <c r="C333" s="125">
        <f>IFERROR(yf_data[[#This Row],[Close Price]]/B332-1,0)</f>
        <v>-3.148836129091559E-3</v>
      </c>
    </row>
    <row r="334" spans="1:3" x14ac:dyDescent="0.15">
      <c r="A334" s="124">
        <v>41312</v>
      </c>
      <c r="B334" s="126">
        <v>30.285335540771484</v>
      </c>
      <c r="C334" s="125">
        <f>IFERROR(yf_data[[#This Row],[Close Price]]/B333-1,0)</f>
        <v>1.3783041549988218E-2</v>
      </c>
    </row>
    <row r="335" spans="1:3" x14ac:dyDescent="0.15">
      <c r="A335" s="124">
        <v>41313</v>
      </c>
      <c r="B335" s="126">
        <v>30.06230354309082</v>
      </c>
      <c r="C335" s="125">
        <f>IFERROR(yf_data[[#This Row],[Close Price]]/B334-1,0)</f>
        <v>-7.3643561710058369E-3</v>
      </c>
    </row>
    <row r="336" spans="1:3" x14ac:dyDescent="0.15">
      <c r="A336" s="124">
        <v>41316</v>
      </c>
      <c r="B336" s="126">
        <v>29.822114944458008</v>
      </c>
      <c r="C336" s="125">
        <f>IFERROR(yf_data[[#This Row],[Close Price]]/B335-1,0)</f>
        <v>-7.9896937468059148E-3</v>
      </c>
    </row>
    <row r="337" spans="1:3" x14ac:dyDescent="0.15">
      <c r="A337" s="124">
        <v>41317</v>
      </c>
      <c r="B337" s="126">
        <v>29.99797248840332</v>
      </c>
      <c r="C337" s="125">
        <f>IFERROR(yf_data[[#This Row],[Close Price]]/B336-1,0)</f>
        <v>5.8968837144124375E-3</v>
      </c>
    </row>
    <row r="338" spans="1:3" x14ac:dyDescent="0.15">
      <c r="A338" s="124">
        <v>41318</v>
      </c>
      <c r="B338" s="126">
        <v>30.173824310302734</v>
      </c>
      <c r="C338" s="125">
        <f>IFERROR(yf_data[[#This Row],[Close Price]]/B337-1,0)</f>
        <v>5.8621235807652106E-3</v>
      </c>
    </row>
    <row r="339" spans="1:3" x14ac:dyDescent="0.15">
      <c r="A339" s="124">
        <v>41319</v>
      </c>
      <c r="B339" s="126">
        <v>29.925058364868164</v>
      </c>
      <c r="C339" s="125">
        <f>IFERROR(yf_data[[#This Row],[Close Price]]/B338-1,0)</f>
        <v>-8.244428776289725E-3</v>
      </c>
    </row>
    <row r="340" spans="1:3" x14ac:dyDescent="0.15">
      <c r="A340" s="124">
        <v>41320</v>
      </c>
      <c r="B340" s="126">
        <v>29.933635711669918</v>
      </c>
      <c r="C340" s="125">
        <f>IFERROR(yf_data[[#This Row],[Close Price]]/B339-1,0)</f>
        <v>2.8662757135422545E-4</v>
      </c>
    </row>
    <row r="341" spans="1:3" x14ac:dyDescent="0.15">
      <c r="A341" s="124">
        <v>41323</v>
      </c>
      <c r="B341" s="126">
        <v>30.195270538330082</v>
      </c>
      <c r="C341" s="125">
        <f>IFERROR(yf_data[[#This Row],[Close Price]]/B340-1,0)</f>
        <v>8.7404961154839977E-3</v>
      </c>
    </row>
    <row r="342" spans="1:3" x14ac:dyDescent="0.15">
      <c r="A342" s="124">
        <v>41324</v>
      </c>
      <c r="B342" s="126">
        <v>30.675649642944336</v>
      </c>
      <c r="C342" s="125">
        <f>IFERROR(yf_data[[#This Row],[Close Price]]/B341-1,0)</f>
        <v>1.5909084305254284E-2</v>
      </c>
    </row>
    <row r="343" spans="1:3" x14ac:dyDescent="0.15">
      <c r="A343" s="124">
        <v>41325</v>
      </c>
      <c r="B343" s="126">
        <v>31.095979690551761</v>
      </c>
      <c r="C343" s="125">
        <f>IFERROR(yf_data[[#This Row],[Close Price]]/B342-1,0)</f>
        <v>1.3702400845620133E-2</v>
      </c>
    </row>
    <row r="344" spans="1:3" x14ac:dyDescent="0.15">
      <c r="A344" s="124">
        <v>41326</v>
      </c>
      <c r="B344" s="126">
        <v>30.28105354309082</v>
      </c>
      <c r="C344" s="125">
        <f>IFERROR(yf_data[[#This Row],[Close Price]]/B343-1,0)</f>
        <v>-2.6206800865275492E-2</v>
      </c>
    </row>
    <row r="345" spans="1:3" x14ac:dyDescent="0.15">
      <c r="A345" s="124">
        <v>41327</v>
      </c>
      <c r="B345" s="126">
        <v>30.787164688110352</v>
      </c>
      <c r="C345" s="125">
        <f>IFERROR(yf_data[[#This Row],[Close Price]]/B344-1,0)</f>
        <v>1.6713789178415484E-2</v>
      </c>
    </row>
    <row r="346" spans="1:3" x14ac:dyDescent="0.15">
      <c r="A346" s="124">
        <v>41330</v>
      </c>
      <c r="B346" s="126">
        <v>30.486928939819336</v>
      </c>
      <c r="C346" s="125">
        <f>IFERROR(yf_data[[#This Row],[Close Price]]/B345-1,0)</f>
        <v>-9.751977856114924E-3</v>
      </c>
    </row>
    <row r="347" spans="1:3" x14ac:dyDescent="0.15">
      <c r="A347" s="124">
        <v>41331</v>
      </c>
      <c r="B347" s="126">
        <v>29.907901763916016</v>
      </c>
      <c r="C347" s="125">
        <f>IFERROR(yf_data[[#This Row],[Close Price]]/B346-1,0)</f>
        <v>-1.8992637042790084E-2</v>
      </c>
    </row>
    <row r="348" spans="1:3" x14ac:dyDescent="0.15">
      <c r="A348" s="124">
        <v>41332</v>
      </c>
      <c r="B348" s="126">
        <v>31.859443664550781</v>
      </c>
      <c r="C348" s="125">
        <f>IFERROR(yf_data[[#This Row],[Close Price]]/B347-1,0)</f>
        <v>6.5251715618155126E-2</v>
      </c>
    </row>
    <row r="349" spans="1:3" x14ac:dyDescent="0.15">
      <c r="A349" s="124">
        <v>41333</v>
      </c>
      <c r="B349" s="126">
        <v>33.609397888183594</v>
      </c>
      <c r="C349" s="125">
        <f>IFERROR(yf_data[[#This Row],[Close Price]]/B348-1,0)</f>
        <v>5.4927331502023113E-2</v>
      </c>
    </row>
    <row r="350" spans="1:3" x14ac:dyDescent="0.15">
      <c r="A350" s="124">
        <v>41334</v>
      </c>
      <c r="B350" s="126">
        <v>33.412094116210938</v>
      </c>
      <c r="C350" s="125">
        <f>IFERROR(yf_data[[#This Row],[Close Price]]/B349-1,0)</f>
        <v>-5.8704940989741106E-3</v>
      </c>
    </row>
    <row r="351" spans="1:3" x14ac:dyDescent="0.15">
      <c r="A351" s="124">
        <v>41337</v>
      </c>
      <c r="B351" s="126">
        <v>34.227020263671875</v>
      </c>
      <c r="C351" s="125">
        <f>IFERROR(yf_data[[#This Row],[Close Price]]/B350-1,0)</f>
        <v>2.4390154793247465E-2</v>
      </c>
    </row>
    <row r="352" spans="1:3" x14ac:dyDescent="0.15">
      <c r="A352" s="124">
        <v>41338</v>
      </c>
      <c r="B352" s="126">
        <v>33.798114776611328</v>
      </c>
      <c r="C352" s="125">
        <f>IFERROR(yf_data[[#This Row],[Close Price]]/B351-1,0)</f>
        <v>-1.2531195638896486E-2</v>
      </c>
    </row>
    <row r="353" spans="1:3" x14ac:dyDescent="0.15">
      <c r="A353" s="124">
        <v>41339</v>
      </c>
      <c r="B353" s="126">
        <v>33.828144073486328</v>
      </c>
      <c r="C353" s="125">
        <f>IFERROR(yf_data[[#This Row],[Close Price]]/B352-1,0)</f>
        <v>8.8849029223903031E-4</v>
      </c>
    </row>
    <row r="354" spans="1:3" x14ac:dyDescent="0.15">
      <c r="A354" s="124">
        <v>41340</v>
      </c>
      <c r="B354" s="126">
        <v>34.304233551025391</v>
      </c>
      <c r="C354" s="125">
        <f>IFERROR(yf_data[[#This Row],[Close Price]]/B353-1,0)</f>
        <v>1.4073768767947525E-2</v>
      </c>
    </row>
    <row r="355" spans="1:3" x14ac:dyDescent="0.15">
      <c r="A355" s="124">
        <v>41341</v>
      </c>
      <c r="B355" s="126">
        <v>34.31280517578125</v>
      </c>
      <c r="C355" s="125">
        <f>IFERROR(yf_data[[#This Row],[Close Price]]/B354-1,0)</f>
        <v>2.4987075554716576E-4</v>
      </c>
    </row>
    <row r="356" spans="1:3" x14ac:dyDescent="0.15">
      <c r="A356" s="124">
        <v>41344</v>
      </c>
      <c r="B356" s="126">
        <v>34.758876800537109</v>
      </c>
      <c r="C356" s="125">
        <f>IFERROR(yf_data[[#This Row],[Close Price]]/B355-1,0)</f>
        <v>1.3000150307463265E-2</v>
      </c>
    </row>
    <row r="357" spans="1:3" x14ac:dyDescent="0.15">
      <c r="A357" s="124">
        <v>41345</v>
      </c>
      <c r="B357" s="126">
        <v>35.269279479980469</v>
      </c>
      <c r="C357" s="125">
        <f>IFERROR(yf_data[[#This Row],[Close Price]]/B356-1,0)</f>
        <v>1.4684095874912595E-2</v>
      </c>
    </row>
    <row r="358" spans="1:3" x14ac:dyDescent="0.15">
      <c r="A358" s="124">
        <v>41346</v>
      </c>
      <c r="B358" s="126">
        <v>35.856880187988281</v>
      </c>
      <c r="C358" s="125">
        <f>IFERROR(yf_data[[#This Row],[Close Price]]/B357-1,0)</f>
        <v>1.6660411459251456E-2</v>
      </c>
    </row>
    <row r="359" spans="1:3" x14ac:dyDescent="0.15">
      <c r="A359" s="124">
        <v>41347</v>
      </c>
      <c r="B359" s="126">
        <v>35.981266021728516</v>
      </c>
      <c r="C359" s="125">
        <f>IFERROR(yf_data[[#This Row],[Close Price]]/B358-1,0)</f>
        <v>3.4689530457785445E-3</v>
      </c>
    </row>
    <row r="360" spans="1:3" x14ac:dyDescent="0.15">
      <c r="A360" s="124">
        <v>41348</v>
      </c>
      <c r="B360" s="126">
        <v>36.530269622802734</v>
      </c>
      <c r="C360" s="125">
        <f>IFERROR(yf_data[[#This Row],[Close Price]]/B359-1,0)</f>
        <v>1.5258040135182727E-2</v>
      </c>
    </row>
    <row r="361" spans="1:3" x14ac:dyDescent="0.15">
      <c r="A361" s="124">
        <v>41351</v>
      </c>
      <c r="B361" s="126">
        <v>36.071342468261719</v>
      </c>
      <c r="C361" s="125">
        <f>IFERROR(yf_data[[#This Row],[Close Price]]/B360-1,0)</f>
        <v>-1.2562928203917356E-2</v>
      </c>
    </row>
    <row r="362" spans="1:3" x14ac:dyDescent="0.15">
      <c r="A362" s="124">
        <v>41352</v>
      </c>
      <c r="B362" s="126">
        <v>35.76251220703125</v>
      </c>
      <c r="C362" s="125">
        <f>IFERROR(yf_data[[#This Row],[Close Price]]/B361-1,0)</f>
        <v>-8.5616514412293343E-3</v>
      </c>
    </row>
    <row r="363" spans="1:3" x14ac:dyDescent="0.15">
      <c r="A363" s="124">
        <v>41353</v>
      </c>
      <c r="B363" s="126">
        <v>35.475151062011719</v>
      </c>
      <c r="C363" s="125">
        <f>IFERROR(yf_data[[#This Row],[Close Price]]/B362-1,0)</f>
        <v>-8.0352617108099267E-3</v>
      </c>
    </row>
    <row r="364" spans="1:3" x14ac:dyDescent="0.15">
      <c r="A364" s="124">
        <v>41354</v>
      </c>
      <c r="B364" s="126">
        <v>34.861812591552734</v>
      </c>
      <c r="C364" s="125">
        <f>IFERROR(yf_data[[#This Row],[Close Price]]/B363-1,0)</f>
        <v>-1.7289241965082747E-2</v>
      </c>
    </row>
    <row r="365" spans="1:3" x14ac:dyDescent="0.15">
      <c r="A365" s="124">
        <v>41355</v>
      </c>
      <c r="B365" s="126">
        <v>35.470859527587891</v>
      </c>
      <c r="C365" s="125">
        <f>IFERROR(yf_data[[#This Row],[Close Price]]/B364-1,0)</f>
        <v>1.7470317541169234E-2</v>
      </c>
    </row>
    <row r="366" spans="1:3" x14ac:dyDescent="0.15">
      <c r="A366" s="124">
        <v>41358</v>
      </c>
      <c r="B366" s="126">
        <v>35.560935974121094</v>
      </c>
      <c r="C366" s="125">
        <f>IFERROR(yf_data[[#This Row],[Close Price]]/B365-1,0)</f>
        <v>2.539449219242762E-3</v>
      </c>
    </row>
    <row r="367" spans="1:3" x14ac:dyDescent="0.15">
      <c r="A367" s="124">
        <v>41359</v>
      </c>
      <c r="B367" s="126">
        <v>35.106292724609375</v>
      </c>
      <c r="C367" s="125">
        <f>IFERROR(yf_data[[#This Row],[Close Price]]/B366-1,0)</f>
        <v>-1.2784906725812228E-2</v>
      </c>
    </row>
    <row r="368" spans="1:3" x14ac:dyDescent="0.15">
      <c r="A368" s="124">
        <v>41360</v>
      </c>
      <c r="B368" s="126">
        <v>34.025436401367188</v>
      </c>
      <c r="C368" s="125">
        <f>IFERROR(yf_data[[#This Row],[Close Price]]/B367-1,0)</f>
        <v>-3.0788107753813354E-2</v>
      </c>
    </row>
    <row r="369" spans="1:3" x14ac:dyDescent="0.15">
      <c r="A369" s="124">
        <v>41361</v>
      </c>
      <c r="B369" s="126">
        <v>34.055461883544922</v>
      </c>
      <c r="C369" s="125">
        <f>IFERROR(yf_data[[#This Row],[Close Price]]/B368-1,0)</f>
        <v>8.8244223596589677E-4</v>
      </c>
    </row>
    <row r="370" spans="1:3" x14ac:dyDescent="0.15">
      <c r="A370" s="124">
        <v>41366</v>
      </c>
      <c r="B370" s="126">
        <v>35.269279479980469</v>
      </c>
      <c r="C370" s="125">
        <f>IFERROR(yf_data[[#This Row],[Close Price]]/B369-1,0)</f>
        <v>3.5642376561688671E-2</v>
      </c>
    </row>
    <row r="371" spans="1:3" x14ac:dyDescent="0.15">
      <c r="A371" s="124">
        <v>41367</v>
      </c>
      <c r="B371" s="126">
        <v>34.600173950195312</v>
      </c>
      <c r="C371" s="125">
        <f>IFERROR(yf_data[[#This Row],[Close Price]]/B370-1,0)</f>
        <v>-1.8971341055179614E-2</v>
      </c>
    </row>
    <row r="372" spans="1:3" x14ac:dyDescent="0.15">
      <c r="A372" s="124">
        <v>41368</v>
      </c>
      <c r="B372" s="126">
        <v>33.669437408447266</v>
      </c>
      <c r="C372" s="125">
        <f>IFERROR(yf_data[[#This Row],[Close Price]]/B371-1,0)</f>
        <v>-2.6899764812968296E-2</v>
      </c>
    </row>
    <row r="373" spans="1:3" x14ac:dyDescent="0.15">
      <c r="A373" s="124">
        <v>41369</v>
      </c>
      <c r="B373" s="126">
        <v>32.837356567382812</v>
      </c>
      <c r="C373" s="125">
        <f>IFERROR(yf_data[[#This Row],[Close Price]]/B372-1,0)</f>
        <v>-2.4713238625593825E-2</v>
      </c>
    </row>
    <row r="374" spans="1:3" x14ac:dyDescent="0.15">
      <c r="A374" s="124">
        <v>41372</v>
      </c>
      <c r="B374" s="126">
        <v>33.206214904785156</v>
      </c>
      <c r="C374" s="125">
        <f>IFERROR(yf_data[[#This Row],[Close Price]]/B373-1,0)</f>
        <v>1.123288766090047E-2</v>
      </c>
    </row>
    <row r="375" spans="1:3" x14ac:dyDescent="0.15">
      <c r="A375" s="124">
        <v>41373</v>
      </c>
      <c r="B375" s="126">
        <v>32.254039764404297</v>
      </c>
      <c r="C375" s="125">
        <f>IFERROR(yf_data[[#This Row],[Close Price]]/B374-1,0)</f>
        <v>-2.867460633833474E-2</v>
      </c>
    </row>
    <row r="376" spans="1:3" x14ac:dyDescent="0.15">
      <c r="A376" s="124">
        <v>41374</v>
      </c>
      <c r="B376" s="126">
        <v>33.004627227783203</v>
      </c>
      <c r="C376" s="125">
        <f>IFERROR(yf_data[[#This Row],[Close Price]]/B375-1,0)</f>
        <v>2.3271114838993245E-2</v>
      </c>
    </row>
    <row r="377" spans="1:3" x14ac:dyDescent="0.15">
      <c r="A377" s="124">
        <v>41375</v>
      </c>
      <c r="B377" s="126">
        <v>32.923133850097656</v>
      </c>
      <c r="C377" s="125">
        <f>IFERROR(yf_data[[#This Row],[Close Price]]/B376-1,0)</f>
        <v>-2.4691500716889081E-3</v>
      </c>
    </row>
    <row r="378" spans="1:3" x14ac:dyDescent="0.15">
      <c r="A378" s="124">
        <v>41376</v>
      </c>
      <c r="B378" s="126">
        <v>32.301219940185547</v>
      </c>
      <c r="C378" s="125">
        <f>IFERROR(yf_data[[#This Row],[Close Price]]/B377-1,0)</f>
        <v>-1.8889875816310409E-2</v>
      </c>
    </row>
    <row r="379" spans="1:3" x14ac:dyDescent="0.15">
      <c r="A379" s="124">
        <v>41379</v>
      </c>
      <c r="B379" s="126">
        <v>32.172550201416016</v>
      </c>
      <c r="C379" s="125">
        <f>IFERROR(yf_data[[#This Row],[Close Price]]/B378-1,0)</f>
        <v>-3.9834327931823621E-3</v>
      </c>
    </row>
    <row r="380" spans="1:3" x14ac:dyDescent="0.15">
      <c r="A380" s="124">
        <v>41380</v>
      </c>
      <c r="B380" s="126">
        <v>31.9066162109375</v>
      </c>
      <c r="C380" s="125">
        <f>IFERROR(yf_data[[#This Row],[Close Price]]/B379-1,0)</f>
        <v>-8.2658660508302395E-3</v>
      </c>
    </row>
    <row r="381" spans="1:3" x14ac:dyDescent="0.15">
      <c r="A381" s="124">
        <v>41381</v>
      </c>
      <c r="B381" s="126">
        <v>33.454986572265625</v>
      </c>
      <c r="C381" s="125">
        <f>IFERROR(yf_data[[#This Row],[Close Price]]/B380-1,0)</f>
        <v>4.8528190864606469E-2</v>
      </c>
    </row>
    <row r="382" spans="1:3" x14ac:dyDescent="0.15">
      <c r="A382" s="124">
        <v>41382</v>
      </c>
      <c r="B382" s="126">
        <v>33.279136657714844</v>
      </c>
      <c r="C382" s="125">
        <f>IFERROR(yf_data[[#This Row],[Close Price]]/B381-1,0)</f>
        <v>-5.2563140078065729E-3</v>
      </c>
    </row>
    <row r="383" spans="1:3" x14ac:dyDescent="0.15">
      <c r="A383" s="124">
        <v>41383</v>
      </c>
      <c r="B383" s="126">
        <v>34.252761840820312</v>
      </c>
      <c r="C383" s="125">
        <f>IFERROR(yf_data[[#This Row],[Close Price]]/B382-1,0)</f>
        <v>2.9256323357167435E-2</v>
      </c>
    </row>
    <row r="384" spans="1:3" x14ac:dyDescent="0.15">
      <c r="A384" s="124">
        <v>41386</v>
      </c>
      <c r="B384" s="126">
        <v>33.7938232421875</v>
      </c>
      <c r="C384" s="125">
        <f>IFERROR(yf_data[[#This Row],[Close Price]]/B383-1,0)</f>
        <v>-1.3398586682311753E-2</v>
      </c>
    </row>
    <row r="385" spans="1:3" x14ac:dyDescent="0.15">
      <c r="A385" s="124">
        <v>41387</v>
      </c>
      <c r="B385" s="126">
        <v>34.840370178222656</v>
      </c>
      <c r="C385" s="125">
        <f>IFERROR(yf_data[[#This Row],[Close Price]]/B384-1,0)</f>
        <v>3.0968586434714673E-2</v>
      </c>
    </row>
    <row r="386" spans="1:3" x14ac:dyDescent="0.15">
      <c r="A386" s="124">
        <v>41388</v>
      </c>
      <c r="B386" s="126">
        <v>35.093429565429688</v>
      </c>
      <c r="C386" s="125">
        <f>IFERROR(yf_data[[#This Row],[Close Price]]/B385-1,0)</f>
        <v>7.2633954780769727E-3</v>
      </c>
    </row>
    <row r="387" spans="1:3" x14ac:dyDescent="0.15">
      <c r="A387" s="124">
        <v>41389</v>
      </c>
      <c r="B387" s="126">
        <v>34.870391845703125</v>
      </c>
      <c r="C387" s="125">
        <f>IFERROR(yf_data[[#This Row],[Close Price]]/B386-1,0)</f>
        <v>-6.355540694896189E-3</v>
      </c>
    </row>
    <row r="388" spans="1:3" x14ac:dyDescent="0.15">
      <c r="A388" s="124">
        <v>41390</v>
      </c>
      <c r="B388" s="126">
        <v>34.31280517578125</v>
      </c>
      <c r="C388" s="125">
        <f>IFERROR(yf_data[[#This Row],[Close Price]]/B387-1,0)</f>
        <v>-1.599026108995627E-2</v>
      </c>
    </row>
    <row r="389" spans="1:3" x14ac:dyDescent="0.15">
      <c r="A389" s="124">
        <v>41393</v>
      </c>
      <c r="B389" s="126">
        <v>34.196998596191406</v>
      </c>
      <c r="C389" s="125">
        <f>IFERROR(yf_data[[#This Row],[Close Price]]/B388-1,0)</f>
        <v>-3.3750251253600316E-3</v>
      </c>
    </row>
    <row r="390" spans="1:3" x14ac:dyDescent="0.15">
      <c r="A390" s="124">
        <v>41394</v>
      </c>
      <c r="B390" s="126">
        <v>34.402870178222656</v>
      </c>
      <c r="C390" s="125">
        <f>IFERROR(yf_data[[#This Row],[Close Price]]/B389-1,0)</f>
        <v>6.0201652332780853E-3</v>
      </c>
    </row>
    <row r="391" spans="1:3" x14ac:dyDescent="0.15">
      <c r="A391" s="124">
        <v>41396</v>
      </c>
      <c r="B391" s="126">
        <v>34.617332458496094</v>
      </c>
      <c r="C391" s="125">
        <f>IFERROR(yf_data[[#This Row],[Close Price]]/B390-1,0)</f>
        <v>6.2338484888739831E-3</v>
      </c>
    </row>
    <row r="392" spans="1:3" x14ac:dyDescent="0.15">
      <c r="A392" s="124">
        <v>41397</v>
      </c>
      <c r="B392" s="126">
        <v>35.041950225830078</v>
      </c>
      <c r="C392" s="125">
        <f>IFERROR(yf_data[[#This Row],[Close Price]]/B391-1,0)</f>
        <v>1.226604527784092E-2</v>
      </c>
    </row>
    <row r="393" spans="1:3" x14ac:dyDescent="0.15">
      <c r="A393" s="124">
        <v>41400</v>
      </c>
      <c r="B393" s="126">
        <v>34.934722900390625</v>
      </c>
      <c r="C393" s="125">
        <f>IFERROR(yf_data[[#This Row],[Close Price]]/B392-1,0)</f>
        <v>-3.0599702570325293E-3</v>
      </c>
    </row>
    <row r="394" spans="1:3" x14ac:dyDescent="0.15">
      <c r="A394" s="124">
        <v>41401</v>
      </c>
      <c r="B394" s="126">
        <v>34.934722900390625</v>
      </c>
      <c r="C394" s="125">
        <f>IFERROR(yf_data[[#This Row],[Close Price]]/B393-1,0)</f>
        <v>0</v>
      </c>
    </row>
    <row r="395" spans="1:3" x14ac:dyDescent="0.15">
      <c r="A395" s="124">
        <v>41402</v>
      </c>
      <c r="B395" s="126">
        <v>35.385078430175781</v>
      </c>
      <c r="C395" s="125">
        <f>IFERROR(yf_data[[#This Row],[Close Price]]/B394-1,0)</f>
        <v>1.2891343980865555E-2</v>
      </c>
    </row>
    <row r="396" spans="1:3" x14ac:dyDescent="0.15">
      <c r="A396" s="124">
        <v>41403</v>
      </c>
      <c r="B396" s="126">
        <v>35.457996368408203</v>
      </c>
      <c r="C396" s="125">
        <f>IFERROR(yf_data[[#This Row],[Close Price]]/B395-1,0)</f>
        <v>2.0606973749206503E-3</v>
      </c>
    </row>
    <row r="397" spans="1:3" x14ac:dyDescent="0.15">
      <c r="A397" s="124">
        <v>41404</v>
      </c>
      <c r="B397" s="126">
        <v>35.608119964599609</v>
      </c>
      <c r="C397" s="125">
        <f>IFERROR(yf_data[[#This Row],[Close Price]]/B396-1,0)</f>
        <v>4.2338431825539313E-3</v>
      </c>
    </row>
    <row r="398" spans="1:3" x14ac:dyDescent="0.15">
      <c r="A398" s="124">
        <v>41407</v>
      </c>
      <c r="B398" s="126">
        <v>35.342185974121094</v>
      </c>
      <c r="C398" s="125">
        <f>IFERROR(yf_data[[#This Row],[Close Price]]/B397-1,0)</f>
        <v>-7.4683524640699606E-3</v>
      </c>
    </row>
    <row r="399" spans="1:3" x14ac:dyDescent="0.15">
      <c r="A399" s="124">
        <v>41408</v>
      </c>
      <c r="B399" s="126">
        <v>36.405887603759766</v>
      </c>
      <c r="C399" s="125">
        <f>IFERROR(yf_data[[#This Row],[Close Price]]/B398-1,0)</f>
        <v>3.009722235114598E-2</v>
      </c>
    </row>
    <row r="400" spans="1:3" x14ac:dyDescent="0.15">
      <c r="A400" s="124">
        <v>41409</v>
      </c>
      <c r="B400" s="126">
        <v>36.984916687011719</v>
      </c>
      <c r="C400" s="125">
        <f>IFERROR(yf_data[[#This Row],[Close Price]]/B399-1,0)</f>
        <v>1.5904819834475115E-2</v>
      </c>
    </row>
    <row r="401" spans="1:3" x14ac:dyDescent="0.15">
      <c r="A401" s="124">
        <v>41410</v>
      </c>
      <c r="B401" s="126">
        <v>37.143619537353523</v>
      </c>
      <c r="C401" s="125">
        <f>IFERROR(yf_data[[#This Row],[Close Price]]/B400-1,0)</f>
        <v>4.2910154884177043E-3</v>
      </c>
    </row>
    <row r="402" spans="1:3" x14ac:dyDescent="0.15">
      <c r="A402" s="124">
        <v>41411</v>
      </c>
      <c r="B402" s="126">
        <v>37.143619537353523</v>
      </c>
      <c r="C402" s="125">
        <f>IFERROR(yf_data[[#This Row],[Close Price]]/B401-1,0)</f>
        <v>0</v>
      </c>
    </row>
    <row r="403" spans="1:3" x14ac:dyDescent="0.15">
      <c r="A403" s="124">
        <v>41414</v>
      </c>
      <c r="B403" s="126">
        <v>37.027809143066406</v>
      </c>
      <c r="C403" s="125">
        <f>IFERROR(yf_data[[#This Row],[Close Price]]/B402-1,0)</f>
        <v>-3.1179081556834687E-3</v>
      </c>
    </row>
    <row r="404" spans="1:3" x14ac:dyDescent="0.15">
      <c r="A404" s="124">
        <v>41415</v>
      </c>
      <c r="B404" s="126">
        <v>36.950599670410163</v>
      </c>
      <c r="C404" s="125">
        <f>IFERROR(yf_data[[#This Row],[Close Price]]/B403-1,0)</f>
        <v>-2.0851752896836606E-3</v>
      </c>
    </row>
    <row r="405" spans="1:3" x14ac:dyDescent="0.15">
      <c r="A405" s="124">
        <v>41416</v>
      </c>
      <c r="B405" s="126">
        <v>36.9720458984375</v>
      </c>
      <c r="C405" s="125">
        <f>IFERROR(yf_data[[#This Row],[Close Price]]/B404-1,0)</f>
        <v>5.8040270573767039E-4</v>
      </c>
    </row>
    <row r="406" spans="1:3" x14ac:dyDescent="0.15">
      <c r="A406" s="124">
        <v>41417</v>
      </c>
      <c r="B406" s="126">
        <v>36.045608520507812</v>
      </c>
      <c r="C406" s="125">
        <f>IFERROR(yf_data[[#This Row],[Close Price]]/B405-1,0)</f>
        <v>-2.5057779612051134E-2</v>
      </c>
    </row>
    <row r="407" spans="1:3" x14ac:dyDescent="0.15">
      <c r="A407" s="124">
        <v>41418</v>
      </c>
      <c r="B407" s="126">
        <v>36.478805541992188</v>
      </c>
      <c r="C407" s="125">
        <f>IFERROR(yf_data[[#This Row],[Close Price]]/B406-1,0)</f>
        <v>1.2018024920786408E-2</v>
      </c>
    </row>
    <row r="408" spans="1:3" x14ac:dyDescent="0.15">
      <c r="A408" s="124">
        <v>41421</v>
      </c>
      <c r="B408" s="126">
        <v>36.538852691650391</v>
      </c>
      <c r="C408" s="125">
        <f>IFERROR(yf_data[[#This Row],[Close Price]]/B407-1,0)</f>
        <v>1.6460832191744768E-3</v>
      </c>
    </row>
    <row r="409" spans="1:3" x14ac:dyDescent="0.15">
      <c r="A409" s="124">
        <v>41422</v>
      </c>
      <c r="B409" s="126">
        <v>37.572521209716797</v>
      </c>
      <c r="C409" s="125">
        <f>IFERROR(yf_data[[#This Row],[Close Price]]/B408-1,0)</f>
        <v>2.8289572384482931E-2</v>
      </c>
    </row>
    <row r="410" spans="1:3" x14ac:dyDescent="0.15">
      <c r="A410" s="124">
        <v>41423</v>
      </c>
      <c r="B410" s="126">
        <v>37.915653228759766</v>
      </c>
      <c r="C410" s="125">
        <f>IFERROR(yf_data[[#This Row],[Close Price]]/B409-1,0)</f>
        <v>9.1325257926591075E-3</v>
      </c>
    </row>
    <row r="411" spans="1:3" x14ac:dyDescent="0.15">
      <c r="A411" s="124">
        <v>41424</v>
      </c>
      <c r="B411" s="126">
        <v>37.954254150390625</v>
      </c>
      <c r="C411" s="125">
        <f>IFERROR(yf_data[[#This Row],[Close Price]]/B410-1,0)</f>
        <v>1.0180734958715743E-3</v>
      </c>
    </row>
    <row r="412" spans="1:3" x14ac:dyDescent="0.15">
      <c r="A412" s="124">
        <v>41425</v>
      </c>
      <c r="B412" s="126">
        <v>38.654296875</v>
      </c>
      <c r="C412" s="125">
        <f>IFERROR(yf_data[[#This Row],[Close Price]]/B411-1,0)</f>
        <v>1.8444381012877153E-2</v>
      </c>
    </row>
    <row r="413" spans="1:3" x14ac:dyDescent="0.15">
      <c r="A413" s="124">
        <v>41428</v>
      </c>
      <c r="B413" s="126">
        <v>37.728153228759766</v>
      </c>
      <c r="C413" s="125">
        <f>IFERROR(yf_data[[#This Row],[Close Price]]/B412-1,0)</f>
        <v>-2.3959655746298769E-2</v>
      </c>
    </row>
    <row r="414" spans="1:3" x14ac:dyDescent="0.15">
      <c r="A414" s="124">
        <v>41429</v>
      </c>
      <c r="B414" s="126">
        <v>37.675975799560547</v>
      </c>
      <c r="C414" s="125">
        <f>IFERROR(yf_data[[#This Row],[Close Price]]/B413-1,0)</f>
        <v>-1.3829839187422532E-3</v>
      </c>
    </row>
    <row r="415" spans="1:3" x14ac:dyDescent="0.15">
      <c r="A415" s="124">
        <v>41430</v>
      </c>
      <c r="B415" s="126">
        <v>36.910720825195312</v>
      </c>
      <c r="C415" s="125">
        <f>IFERROR(yf_data[[#This Row],[Close Price]]/B414-1,0)</f>
        <v>-2.0311483860071977E-2</v>
      </c>
    </row>
    <row r="416" spans="1:3" x14ac:dyDescent="0.15">
      <c r="A416" s="124">
        <v>41431</v>
      </c>
      <c r="B416" s="126">
        <v>36.454166412353523</v>
      </c>
      <c r="C416" s="125">
        <f>IFERROR(yf_data[[#This Row],[Close Price]]/B415-1,0)</f>
        <v>-1.2369154615104239E-2</v>
      </c>
    </row>
    <row r="417" spans="1:3" x14ac:dyDescent="0.15">
      <c r="A417" s="124">
        <v>41432</v>
      </c>
      <c r="B417" s="126">
        <v>37.762935638427734</v>
      </c>
      <c r="C417" s="125">
        <f>IFERROR(yf_data[[#This Row],[Close Price]]/B416-1,0)</f>
        <v>3.5901773511153312E-2</v>
      </c>
    </row>
    <row r="418" spans="1:3" x14ac:dyDescent="0.15">
      <c r="A418" s="124">
        <v>41435</v>
      </c>
      <c r="B418" s="126">
        <v>37.402046203613281</v>
      </c>
      <c r="C418" s="125">
        <f>IFERROR(yf_data[[#This Row],[Close Price]]/B417-1,0)</f>
        <v>-9.5567102692940553E-3</v>
      </c>
    </row>
    <row r="419" spans="1:3" x14ac:dyDescent="0.15">
      <c r="A419" s="124">
        <v>41436</v>
      </c>
      <c r="B419" s="126">
        <v>36.815059661865234</v>
      </c>
      <c r="C419" s="125">
        <f>IFERROR(yf_data[[#This Row],[Close Price]]/B418-1,0)</f>
        <v>-1.5693968681620984E-2</v>
      </c>
    </row>
    <row r="420" spans="1:3" x14ac:dyDescent="0.15">
      <c r="A420" s="124">
        <v>41437</v>
      </c>
      <c r="B420" s="126">
        <v>37.389003753662109</v>
      </c>
      <c r="C420" s="125">
        <f>IFERROR(yf_data[[#This Row],[Close Price]]/B419-1,0)</f>
        <v>1.5589926977393809E-2</v>
      </c>
    </row>
    <row r="421" spans="1:3" x14ac:dyDescent="0.15">
      <c r="A421" s="124">
        <v>41438</v>
      </c>
      <c r="B421" s="126">
        <v>37.397697448730469</v>
      </c>
      <c r="C421" s="125">
        <f>IFERROR(yf_data[[#This Row],[Close Price]]/B420-1,0)</f>
        <v>2.3252010472485374E-4</v>
      </c>
    </row>
    <row r="422" spans="1:3" x14ac:dyDescent="0.15">
      <c r="A422" s="124">
        <v>41439</v>
      </c>
      <c r="B422" s="126">
        <v>37.254215240478509</v>
      </c>
      <c r="C422" s="125">
        <f>IFERROR(yf_data[[#This Row],[Close Price]]/B421-1,0)</f>
        <v>-3.8366588865174078E-3</v>
      </c>
    </row>
    <row r="423" spans="1:3" x14ac:dyDescent="0.15">
      <c r="A423" s="124">
        <v>41442</v>
      </c>
      <c r="B423" s="126">
        <v>37.393356323242188</v>
      </c>
      <c r="C423" s="125">
        <f>IFERROR(yf_data[[#This Row],[Close Price]]/B422-1,0)</f>
        <v>3.7349084356095297E-3</v>
      </c>
    </row>
    <row r="424" spans="1:3" x14ac:dyDescent="0.15">
      <c r="A424" s="124">
        <v>41443</v>
      </c>
      <c r="B424" s="126">
        <v>37.523796081542969</v>
      </c>
      <c r="C424" s="125">
        <f>IFERROR(yf_data[[#This Row],[Close Price]]/B423-1,0)</f>
        <v>3.488313730738879E-3</v>
      </c>
    </row>
    <row r="425" spans="1:3" x14ac:dyDescent="0.15">
      <c r="A425" s="124">
        <v>41444</v>
      </c>
      <c r="B425" s="126">
        <v>36.788970947265625</v>
      </c>
      <c r="C425" s="125">
        <f>IFERROR(yf_data[[#This Row],[Close Price]]/B424-1,0)</f>
        <v>-1.9582910339894566E-2</v>
      </c>
    </row>
    <row r="426" spans="1:3" x14ac:dyDescent="0.15">
      <c r="A426" s="124">
        <v>41445</v>
      </c>
      <c r="B426" s="126">
        <v>35.884574890136719</v>
      </c>
      <c r="C426" s="125">
        <f>IFERROR(yf_data[[#This Row],[Close Price]]/B425-1,0)</f>
        <v>-2.4583347504481545E-2</v>
      </c>
    </row>
    <row r="427" spans="1:3" x14ac:dyDescent="0.15">
      <c r="A427" s="124">
        <v>41446</v>
      </c>
      <c r="B427" s="126">
        <v>35.436721801757812</v>
      </c>
      <c r="C427" s="125">
        <f>IFERROR(yf_data[[#This Row],[Close Price]]/B426-1,0)</f>
        <v>-1.2480378818755411E-2</v>
      </c>
    </row>
    <row r="428" spans="1:3" x14ac:dyDescent="0.15">
      <c r="A428" s="124">
        <v>41449</v>
      </c>
      <c r="B428" s="126">
        <v>34.445365905761719</v>
      </c>
      <c r="C428" s="125">
        <f>IFERROR(yf_data[[#This Row],[Close Price]]/B427-1,0)</f>
        <v>-2.7975383884039751E-2</v>
      </c>
    </row>
    <row r="429" spans="1:3" x14ac:dyDescent="0.15">
      <c r="A429" s="124">
        <v>41450</v>
      </c>
      <c r="B429" s="126">
        <v>35.432373046875</v>
      </c>
      <c r="C429" s="125">
        <f>IFERROR(yf_data[[#This Row],[Close Price]]/B428-1,0)</f>
        <v>2.8654279470092137E-2</v>
      </c>
    </row>
    <row r="430" spans="1:3" x14ac:dyDescent="0.15">
      <c r="A430" s="124">
        <v>41451</v>
      </c>
      <c r="B430" s="126">
        <v>35.975883483886719</v>
      </c>
      <c r="C430" s="125">
        <f>IFERROR(yf_data[[#This Row],[Close Price]]/B429-1,0)</f>
        <v>1.5339374427241648E-2</v>
      </c>
    </row>
    <row r="431" spans="1:3" x14ac:dyDescent="0.15">
      <c r="A431" s="124">
        <v>41452</v>
      </c>
      <c r="B431" s="126">
        <v>36.141109466552734</v>
      </c>
      <c r="C431" s="125">
        <f>IFERROR(yf_data[[#This Row],[Close Price]]/B430-1,0)</f>
        <v>4.5926872856372203E-3</v>
      </c>
    </row>
    <row r="432" spans="1:3" x14ac:dyDescent="0.15">
      <c r="A432" s="124">
        <v>41453</v>
      </c>
      <c r="B432" s="126">
        <v>35.710647583007812</v>
      </c>
      <c r="C432" s="125">
        <f>IFERROR(yf_data[[#This Row],[Close Price]]/B431-1,0)</f>
        <v>-1.1910588520900212E-2</v>
      </c>
    </row>
    <row r="433" spans="1:3" x14ac:dyDescent="0.15">
      <c r="A433" s="124">
        <v>41456</v>
      </c>
      <c r="B433" s="126">
        <v>35.836746215820312</v>
      </c>
      <c r="C433" s="125">
        <f>IFERROR(yf_data[[#This Row],[Close Price]]/B432-1,0)</f>
        <v>3.5311214258826329E-3</v>
      </c>
    </row>
    <row r="434" spans="1:3" x14ac:dyDescent="0.15">
      <c r="A434" s="124">
        <v>41457</v>
      </c>
      <c r="B434" s="126">
        <v>35.471511840820312</v>
      </c>
      <c r="C434" s="125">
        <f>IFERROR(yf_data[[#This Row],[Close Price]]/B433-1,0)</f>
        <v>-1.0191616526803005E-2</v>
      </c>
    </row>
    <row r="435" spans="1:3" x14ac:dyDescent="0.15">
      <c r="A435" s="124">
        <v>41458</v>
      </c>
      <c r="B435" s="126">
        <v>34.988876342773438</v>
      </c>
      <c r="C435" s="125">
        <f>IFERROR(yf_data[[#This Row],[Close Price]]/B434-1,0)</f>
        <v>-1.3606284959398418E-2</v>
      </c>
    </row>
    <row r="436" spans="1:3" x14ac:dyDescent="0.15">
      <c r="A436" s="124">
        <v>41459</v>
      </c>
      <c r="B436" s="126">
        <v>36.262855529785149</v>
      </c>
      <c r="C436" s="125">
        <f>IFERROR(yf_data[[#This Row],[Close Price]]/B435-1,0)</f>
        <v>3.6410977435542558E-2</v>
      </c>
    </row>
    <row r="437" spans="1:3" x14ac:dyDescent="0.15">
      <c r="A437" s="124">
        <v>41460</v>
      </c>
      <c r="B437" s="126">
        <v>35.828048706054688</v>
      </c>
      <c r="C437" s="125">
        <f>IFERROR(yf_data[[#This Row],[Close Price]]/B436-1,0)</f>
        <v>-1.1990418773649147E-2</v>
      </c>
    </row>
    <row r="438" spans="1:3" x14ac:dyDescent="0.15">
      <c r="A438" s="124">
        <v>41463</v>
      </c>
      <c r="B438" s="126">
        <v>36.228069305419922</v>
      </c>
      <c r="C438" s="125">
        <f>IFERROR(yf_data[[#This Row],[Close Price]]/B437-1,0)</f>
        <v>1.1165012157015264E-2</v>
      </c>
    </row>
    <row r="439" spans="1:3" x14ac:dyDescent="0.15">
      <c r="A439" s="124">
        <v>41464</v>
      </c>
      <c r="B439" s="126">
        <v>36.284595489501953</v>
      </c>
      <c r="C439" s="125">
        <f>IFERROR(yf_data[[#This Row],[Close Price]]/B438-1,0)</f>
        <v>1.5602869588628998E-3</v>
      </c>
    </row>
    <row r="440" spans="1:3" x14ac:dyDescent="0.15">
      <c r="A440" s="124">
        <v>41465</v>
      </c>
      <c r="B440" s="126">
        <v>36.097629547119141</v>
      </c>
      <c r="C440" s="125">
        <f>IFERROR(yf_data[[#This Row],[Close Price]]/B439-1,0)</f>
        <v>-5.1527635863243271E-3</v>
      </c>
    </row>
    <row r="441" spans="1:3" x14ac:dyDescent="0.15">
      <c r="A441" s="124">
        <v>41466</v>
      </c>
      <c r="B441" s="126">
        <v>35.967185974121094</v>
      </c>
      <c r="C441" s="125">
        <f>IFERROR(yf_data[[#This Row],[Close Price]]/B440-1,0)</f>
        <v>-3.613632657728294E-3</v>
      </c>
    </row>
    <row r="442" spans="1:3" x14ac:dyDescent="0.15">
      <c r="A442" s="124">
        <v>41467</v>
      </c>
      <c r="B442" s="126">
        <v>35.888923645019531</v>
      </c>
      <c r="C442" s="125">
        <f>IFERROR(yf_data[[#This Row],[Close Price]]/B441-1,0)</f>
        <v>-2.1759369542525553E-3</v>
      </c>
    </row>
    <row r="443" spans="1:3" x14ac:dyDescent="0.15">
      <c r="A443" s="124">
        <v>41470</v>
      </c>
      <c r="B443" s="126">
        <v>36.384601593017578</v>
      </c>
      <c r="C443" s="125">
        <f>IFERROR(yf_data[[#This Row],[Close Price]]/B442-1,0)</f>
        <v>1.3811446475821887E-2</v>
      </c>
    </row>
    <row r="444" spans="1:3" x14ac:dyDescent="0.15">
      <c r="A444" s="124">
        <v>41471</v>
      </c>
      <c r="B444" s="126">
        <v>36.1976318359375</v>
      </c>
      <c r="C444" s="125">
        <f>IFERROR(yf_data[[#This Row],[Close Price]]/B443-1,0)</f>
        <v>-5.1387056307896639E-3</v>
      </c>
    </row>
    <row r="445" spans="1:3" x14ac:dyDescent="0.15">
      <c r="A445" s="124">
        <v>41472</v>
      </c>
      <c r="B445" s="126">
        <v>36.228069305419922</v>
      </c>
      <c r="C445" s="125">
        <f>IFERROR(yf_data[[#This Row],[Close Price]]/B444-1,0)</f>
        <v>8.4086908282765549E-4</v>
      </c>
    </row>
    <row r="446" spans="1:3" x14ac:dyDescent="0.15">
      <c r="A446" s="124">
        <v>41473</v>
      </c>
      <c r="B446" s="126">
        <v>36.710708618164062</v>
      </c>
      <c r="C446" s="125">
        <f>IFERROR(yf_data[[#This Row],[Close Price]]/B445-1,0)</f>
        <v>1.3322247693501543E-2</v>
      </c>
    </row>
    <row r="447" spans="1:3" x14ac:dyDescent="0.15">
      <c r="A447" s="124">
        <v>41474</v>
      </c>
      <c r="B447" s="126">
        <v>37.080291748046875</v>
      </c>
      <c r="C447" s="125">
        <f>IFERROR(yf_data[[#This Row],[Close Price]]/B446-1,0)</f>
        <v>1.0067447450468059E-2</v>
      </c>
    </row>
    <row r="448" spans="1:3" x14ac:dyDescent="0.15">
      <c r="A448" s="124">
        <v>41477</v>
      </c>
      <c r="B448" s="126">
        <v>37.019412994384766</v>
      </c>
      <c r="C448" s="125">
        <f>IFERROR(yf_data[[#This Row],[Close Price]]/B447-1,0)</f>
        <v>-1.6418089176797324E-3</v>
      </c>
    </row>
    <row r="449" spans="1:3" x14ac:dyDescent="0.15">
      <c r="A449" s="124">
        <v>41478</v>
      </c>
      <c r="B449" s="126">
        <v>36.723751068115234</v>
      </c>
      <c r="C449" s="125">
        <f>IFERROR(yf_data[[#This Row],[Close Price]]/B448-1,0)</f>
        <v>-7.9866724605919259E-3</v>
      </c>
    </row>
    <row r="450" spans="1:3" x14ac:dyDescent="0.15">
      <c r="A450" s="124">
        <v>41479</v>
      </c>
      <c r="B450" s="126">
        <v>36.802017211914062</v>
      </c>
      <c r="C450" s="125">
        <f>IFERROR(yf_data[[#This Row],[Close Price]]/B449-1,0)</f>
        <v>2.131213220938788E-3</v>
      </c>
    </row>
    <row r="451" spans="1:3" x14ac:dyDescent="0.15">
      <c r="A451" s="124">
        <v>41480</v>
      </c>
      <c r="B451" s="126">
        <v>37.784679412841797</v>
      </c>
      <c r="C451" s="125">
        <f>IFERROR(yf_data[[#This Row],[Close Price]]/B450-1,0)</f>
        <v>2.6701313552171646E-2</v>
      </c>
    </row>
    <row r="452" spans="1:3" x14ac:dyDescent="0.15">
      <c r="A452" s="124">
        <v>41481</v>
      </c>
      <c r="B452" s="126">
        <v>38.410793304443359</v>
      </c>
      <c r="C452" s="125">
        <f>IFERROR(yf_data[[#This Row],[Close Price]]/B451-1,0)</f>
        <v>1.6570575728869885E-2</v>
      </c>
    </row>
    <row r="453" spans="1:3" x14ac:dyDescent="0.15">
      <c r="A453" s="124">
        <v>41484</v>
      </c>
      <c r="B453" s="126">
        <v>38.562980651855469</v>
      </c>
      <c r="C453" s="125">
        <f>IFERROR(yf_data[[#This Row],[Close Price]]/B452-1,0)</f>
        <v>3.9620985228259187E-3</v>
      </c>
    </row>
    <row r="454" spans="1:3" x14ac:dyDescent="0.15">
      <c r="A454" s="124">
        <v>41485</v>
      </c>
      <c r="B454" s="126">
        <v>38.497760772705078</v>
      </c>
      <c r="C454" s="125">
        <f>IFERROR(yf_data[[#This Row],[Close Price]]/B453-1,0)</f>
        <v>-1.6912561749101718E-3</v>
      </c>
    </row>
    <row r="455" spans="1:3" x14ac:dyDescent="0.15">
      <c r="A455" s="124">
        <v>41486</v>
      </c>
      <c r="B455" s="126">
        <v>39.032569885253906</v>
      </c>
      <c r="C455" s="125">
        <f>IFERROR(yf_data[[#This Row],[Close Price]]/B454-1,0)</f>
        <v>1.3891953760801767E-2</v>
      </c>
    </row>
    <row r="456" spans="1:3" x14ac:dyDescent="0.15">
      <c r="A456" s="124">
        <v>41487</v>
      </c>
      <c r="B456" s="126">
        <v>39.371719360351562</v>
      </c>
      <c r="C456" s="125">
        <f>IFERROR(yf_data[[#This Row],[Close Price]]/B455-1,0)</f>
        <v>8.6888840805172673E-3</v>
      </c>
    </row>
    <row r="457" spans="1:3" x14ac:dyDescent="0.15">
      <c r="A457" s="124">
        <v>41488</v>
      </c>
      <c r="B457" s="126">
        <v>39.180404663085938</v>
      </c>
      <c r="C457" s="125">
        <f>IFERROR(yf_data[[#This Row],[Close Price]]/B456-1,0)</f>
        <v>-4.8591908195475542E-3</v>
      </c>
    </row>
    <row r="458" spans="1:3" x14ac:dyDescent="0.15">
      <c r="A458" s="124">
        <v>41491</v>
      </c>
      <c r="B458" s="126">
        <v>38.949962615966797</v>
      </c>
      <c r="C458" s="125">
        <f>IFERROR(yf_data[[#This Row],[Close Price]]/B457-1,0)</f>
        <v>-5.881563733216133E-3</v>
      </c>
    </row>
    <row r="459" spans="1:3" x14ac:dyDescent="0.15">
      <c r="A459" s="124">
        <v>41492</v>
      </c>
      <c r="B459" s="126">
        <v>39.484767913818359</v>
      </c>
      <c r="C459" s="125">
        <f>IFERROR(yf_data[[#This Row],[Close Price]]/B458-1,0)</f>
        <v>1.3730572815295217E-2</v>
      </c>
    </row>
    <row r="460" spans="1:3" x14ac:dyDescent="0.15">
      <c r="A460" s="124">
        <v>41493</v>
      </c>
      <c r="B460" s="126">
        <v>39.671741485595703</v>
      </c>
      <c r="C460" s="125">
        <f>IFERROR(yf_data[[#This Row],[Close Price]]/B459-1,0)</f>
        <v>4.7353341973654928E-3</v>
      </c>
    </row>
    <row r="461" spans="1:3" x14ac:dyDescent="0.15">
      <c r="A461" s="124">
        <v>41494</v>
      </c>
      <c r="B461" s="126">
        <v>39.854354858398438</v>
      </c>
      <c r="C461" s="125">
        <f>IFERROR(yf_data[[#This Row],[Close Price]]/B460-1,0)</f>
        <v>4.6031095677774303E-3</v>
      </c>
    </row>
    <row r="462" spans="1:3" x14ac:dyDescent="0.15">
      <c r="A462" s="124">
        <v>41495</v>
      </c>
      <c r="B462" s="126">
        <v>39.963062286376953</v>
      </c>
      <c r="C462" s="125">
        <f>IFERROR(yf_data[[#This Row],[Close Price]]/B461-1,0)</f>
        <v>2.7276173046772989E-3</v>
      </c>
    </row>
    <row r="463" spans="1:3" x14ac:dyDescent="0.15">
      <c r="A463" s="124">
        <v>41498</v>
      </c>
      <c r="B463" s="126">
        <v>39.080398559570312</v>
      </c>
      <c r="C463" s="125">
        <f>IFERROR(yf_data[[#This Row],[Close Price]]/B462-1,0)</f>
        <v>-2.2086989242251609E-2</v>
      </c>
    </row>
    <row r="464" spans="1:3" x14ac:dyDescent="0.15">
      <c r="A464" s="124">
        <v>41499</v>
      </c>
      <c r="B464" s="126">
        <v>38.736900329589837</v>
      </c>
      <c r="C464" s="125">
        <f>IFERROR(yf_data[[#This Row],[Close Price]]/B463-1,0)</f>
        <v>-8.7895272986246997E-3</v>
      </c>
    </row>
    <row r="465" spans="1:3" x14ac:dyDescent="0.15">
      <c r="A465" s="124">
        <v>41500</v>
      </c>
      <c r="B465" s="126">
        <v>39.176059722900391</v>
      </c>
      <c r="C465" s="125">
        <f>IFERROR(yf_data[[#This Row],[Close Price]]/B464-1,0)</f>
        <v>1.1336978167432177E-2</v>
      </c>
    </row>
    <row r="466" spans="1:3" x14ac:dyDescent="0.15">
      <c r="A466" s="124">
        <v>41501</v>
      </c>
      <c r="B466" s="126">
        <v>39.228237152099609</v>
      </c>
      <c r="C466" s="125">
        <f>IFERROR(yf_data[[#This Row],[Close Price]]/B465-1,0)</f>
        <v>1.3318702689417705E-3</v>
      </c>
    </row>
    <row r="467" spans="1:3" x14ac:dyDescent="0.15">
      <c r="A467" s="124">
        <v>41502</v>
      </c>
      <c r="B467" s="126">
        <v>39.310844421386719</v>
      </c>
      <c r="C467" s="125">
        <f>IFERROR(yf_data[[#This Row],[Close Price]]/B466-1,0)</f>
        <v>2.1058114074006262E-3</v>
      </c>
    </row>
    <row r="468" spans="1:3" x14ac:dyDescent="0.15">
      <c r="A468" s="124">
        <v>41505</v>
      </c>
      <c r="B468" s="126">
        <v>39.028224945068359</v>
      </c>
      <c r="C468" s="125">
        <f>IFERROR(yf_data[[#This Row],[Close Price]]/B467-1,0)</f>
        <v>-7.1893514494082433E-3</v>
      </c>
    </row>
    <row r="469" spans="1:3" x14ac:dyDescent="0.15">
      <c r="A469" s="124">
        <v>41506</v>
      </c>
      <c r="B469" s="126">
        <v>38.210788726806641</v>
      </c>
      <c r="C469" s="125">
        <f>IFERROR(yf_data[[#This Row],[Close Price]]/B468-1,0)</f>
        <v>-2.0944744973983465E-2</v>
      </c>
    </row>
    <row r="470" spans="1:3" x14ac:dyDescent="0.15">
      <c r="A470" s="124">
        <v>41507</v>
      </c>
      <c r="B470" s="126">
        <v>37.797718048095703</v>
      </c>
      <c r="C470" s="125">
        <f>IFERROR(yf_data[[#This Row],[Close Price]]/B469-1,0)</f>
        <v>-1.0810315423328332E-2</v>
      </c>
    </row>
    <row r="471" spans="1:3" x14ac:dyDescent="0.15">
      <c r="A471" s="124">
        <v>41508</v>
      </c>
      <c r="B471" s="126">
        <v>38.258617401123047</v>
      </c>
      <c r="C471" s="125">
        <f>IFERROR(yf_data[[#This Row],[Close Price]]/B470-1,0)</f>
        <v>1.2193840708607739E-2</v>
      </c>
    </row>
    <row r="472" spans="1:3" x14ac:dyDescent="0.15">
      <c r="A472" s="124">
        <v>41509</v>
      </c>
      <c r="B472" s="126">
        <v>38.654296875</v>
      </c>
      <c r="C472" s="125">
        <f>IFERROR(yf_data[[#This Row],[Close Price]]/B471-1,0)</f>
        <v>1.0342231391386791E-2</v>
      </c>
    </row>
    <row r="473" spans="1:3" x14ac:dyDescent="0.15">
      <c r="A473" s="124">
        <v>41512</v>
      </c>
      <c r="B473" s="126">
        <v>38.702125549316406</v>
      </c>
      <c r="C473" s="125">
        <f>IFERROR(yf_data[[#This Row],[Close Price]]/B472-1,0)</f>
        <v>1.2373443105451187E-3</v>
      </c>
    </row>
    <row r="474" spans="1:3" x14ac:dyDescent="0.15">
      <c r="A474" s="124">
        <v>41513</v>
      </c>
      <c r="B474" s="126">
        <v>38.067306518554688</v>
      </c>
      <c r="C474" s="125">
        <f>IFERROR(yf_data[[#This Row],[Close Price]]/B473-1,0)</f>
        <v>-1.6402691628727095E-2</v>
      </c>
    </row>
    <row r="475" spans="1:3" x14ac:dyDescent="0.15">
      <c r="A475" s="124">
        <v>41514</v>
      </c>
      <c r="B475" s="126">
        <v>37.123775482177734</v>
      </c>
      <c r="C475" s="125">
        <f>IFERROR(yf_data[[#This Row],[Close Price]]/B474-1,0)</f>
        <v>-2.4785862795862923E-2</v>
      </c>
    </row>
    <row r="476" spans="1:3" x14ac:dyDescent="0.15">
      <c r="A476" s="124">
        <v>41515</v>
      </c>
      <c r="B476" s="126">
        <v>37.74554443359375</v>
      </c>
      <c r="C476" s="125">
        <f>IFERROR(yf_data[[#This Row],[Close Price]]/B475-1,0)</f>
        <v>1.674853765114781E-2</v>
      </c>
    </row>
    <row r="477" spans="1:3" x14ac:dyDescent="0.15">
      <c r="A477" s="124">
        <v>41516</v>
      </c>
      <c r="B477" s="126">
        <v>37.919467926025391</v>
      </c>
      <c r="C477" s="125">
        <f>IFERROR(yf_data[[#This Row],[Close Price]]/B476-1,0)</f>
        <v>4.6077886818569613E-3</v>
      </c>
    </row>
    <row r="478" spans="1:3" x14ac:dyDescent="0.15">
      <c r="A478" s="124">
        <v>41519</v>
      </c>
      <c r="B478" s="126">
        <v>38.828212738037109</v>
      </c>
      <c r="C478" s="125">
        <f>IFERROR(yf_data[[#This Row],[Close Price]]/B477-1,0)</f>
        <v>2.3965125612641192E-2</v>
      </c>
    </row>
    <row r="479" spans="1:3" x14ac:dyDescent="0.15">
      <c r="A479" s="124">
        <v>41520</v>
      </c>
      <c r="B479" s="126">
        <v>38.532546997070312</v>
      </c>
      <c r="C479" s="125">
        <f>IFERROR(yf_data[[#This Row],[Close Price]]/B478-1,0)</f>
        <v>-7.6147141502899141E-3</v>
      </c>
    </row>
    <row r="480" spans="1:3" x14ac:dyDescent="0.15">
      <c r="A480" s="124">
        <v>41521</v>
      </c>
      <c r="B480" s="126">
        <v>38.806472778320312</v>
      </c>
      <c r="C480" s="125">
        <f>IFERROR(yf_data[[#This Row],[Close Price]]/B479-1,0)</f>
        <v>7.1089456212387603E-3</v>
      </c>
    </row>
    <row r="481" spans="1:3" x14ac:dyDescent="0.15">
      <c r="A481" s="124">
        <v>41522</v>
      </c>
      <c r="B481" s="126">
        <v>39.210842132568359</v>
      </c>
      <c r="C481" s="125">
        <f>IFERROR(yf_data[[#This Row],[Close Price]]/B480-1,0)</f>
        <v>1.0420152240013802E-2</v>
      </c>
    </row>
    <row r="482" spans="1:3" x14ac:dyDescent="0.15">
      <c r="A482" s="124">
        <v>41523</v>
      </c>
      <c r="B482" s="126">
        <v>39.471725463867188</v>
      </c>
      <c r="C482" s="125">
        <f>IFERROR(yf_data[[#This Row],[Close Price]]/B481-1,0)</f>
        <v>6.653346806906324E-3</v>
      </c>
    </row>
    <row r="483" spans="1:3" x14ac:dyDescent="0.15">
      <c r="A483" s="124">
        <v>41526</v>
      </c>
      <c r="B483" s="126">
        <v>39.549991607666016</v>
      </c>
      <c r="C483" s="125">
        <f>IFERROR(yf_data[[#This Row],[Close Price]]/B482-1,0)</f>
        <v>1.9828407012627558E-3</v>
      </c>
    </row>
    <row r="484" spans="1:3" x14ac:dyDescent="0.15">
      <c r="A484" s="124">
        <v>41527</v>
      </c>
      <c r="B484" s="126">
        <v>40.302207946777344</v>
      </c>
      <c r="C484" s="125">
        <f>IFERROR(yf_data[[#This Row],[Close Price]]/B483-1,0)</f>
        <v>1.9019380498819682E-2</v>
      </c>
    </row>
    <row r="485" spans="1:3" x14ac:dyDescent="0.15">
      <c r="A485" s="124">
        <v>41528</v>
      </c>
      <c r="B485" s="126">
        <v>40.006542205810547</v>
      </c>
      <c r="C485" s="125">
        <f>IFERROR(yf_data[[#This Row],[Close Price]]/B484-1,0)</f>
        <v>-7.3362169476484107E-3</v>
      </c>
    </row>
    <row r="486" spans="1:3" x14ac:dyDescent="0.15">
      <c r="A486" s="124">
        <v>41529</v>
      </c>
      <c r="B486" s="126">
        <v>39.349983215332031</v>
      </c>
      <c r="C486" s="125">
        <f>IFERROR(yf_data[[#This Row],[Close Price]]/B485-1,0)</f>
        <v>-1.6411290610943041E-2</v>
      </c>
    </row>
    <row r="487" spans="1:3" x14ac:dyDescent="0.15">
      <c r="A487" s="124">
        <v>41530</v>
      </c>
      <c r="B487" s="126">
        <v>38.963008880615234</v>
      </c>
      <c r="C487" s="125">
        <f>IFERROR(yf_data[[#This Row],[Close Price]]/B486-1,0)</f>
        <v>-9.8341677199501598E-3</v>
      </c>
    </row>
    <row r="488" spans="1:3" x14ac:dyDescent="0.15">
      <c r="A488" s="124">
        <v>41533</v>
      </c>
      <c r="B488" s="126">
        <v>39.202152252197266</v>
      </c>
      <c r="C488" s="125">
        <f>IFERROR(yf_data[[#This Row],[Close Price]]/B487-1,0)</f>
        <v>6.1377028738920369E-3</v>
      </c>
    </row>
    <row r="489" spans="1:3" x14ac:dyDescent="0.15">
      <c r="A489" s="124">
        <v>41534</v>
      </c>
      <c r="B489" s="126">
        <v>39.219539642333984</v>
      </c>
      <c r="C489" s="125">
        <f>IFERROR(yf_data[[#This Row],[Close Price]]/B488-1,0)</f>
        <v>4.4353151900589083E-4</v>
      </c>
    </row>
    <row r="490" spans="1:3" x14ac:dyDescent="0.15">
      <c r="A490" s="124">
        <v>41535</v>
      </c>
      <c r="B490" s="126">
        <v>40.389167785644531</v>
      </c>
      <c r="C490" s="125">
        <f>IFERROR(yf_data[[#This Row],[Close Price]]/B489-1,0)</f>
        <v>2.9822587260765143E-2</v>
      </c>
    </row>
    <row r="491" spans="1:3" x14ac:dyDescent="0.15">
      <c r="A491" s="124">
        <v>41536</v>
      </c>
      <c r="B491" s="126">
        <v>41.089202880859375</v>
      </c>
      <c r="C491" s="125">
        <f>IFERROR(yf_data[[#This Row],[Close Price]]/B490-1,0)</f>
        <v>1.7332248560557373E-2</v>
      </c>
    </row>
    <row r="492" spans="1:3" x14ac:dyDescent="0.15">
      <c r="A492" s="124">
        <v>41537</v>
      </c>
      <c r="B492" s="126">
        <v>40.841365814208984</v>
      </c>
      <c r="C492" s="125">
        <f>IFERROR(yf_data[[#This Row],[Close Price]]/B491-1,0)</f>
        <v>-6.0316834904052818E-3</v>
      </c>
    </row>
    <row r="493" spans="1:3" x14ac:dyDescent="0.15">
      <c r="A493" s="124">
        <v>41540</v>
      </c>
      <c r="B493" s="126">
        <v>40.006542205810547</v>
      </c>
      <c r="C493" s="125">
        <f>IFERROR(yf_data[[#This Row],[Close Price]]/B492-1,0)</f>
        <v>-2.0440638841416892E-2</v>
      </c>
    </row>
    <row r="494" spans="1:3" x14ac:dyDescent="0.15">
      <c r="A494" s="124">
        <v>41541</v>
      </c>
      <c r="B494" s="126">
        <v>40.089149475097656</v>
      </c>
      <c r="C494" s="125">
        <f>IFERROR(yf_data[[#This Row],[Close Price]]/B493-1,0)</f>
        <v>2.064844016314682E-3</v>
      </c>
    </row>
    <row r="495" spans="1:3" x14ac:dyDescent="0.15">
      <c r="A495" s="124">
        <v>41542</v>
      </c>
      <c r="B495" s="126">
        <v>40.532657623291016</v>
      </c>
      <c r="C495" s="125">
        <f>IFERROR(yf_data[[#This Row],[Close Price]]/B494-1,0)</f>
        <v>1.1063047083821331E-2</v>
      </c>
    </row>
    <row r="496" spans="1:3" x14ac:dyDescent="0.15">
      <c r="A496" s="124">
        <v>41543</v>
      </c>
      <c r="B496" s="126">
        <v>40.889194488525391</v>
      </c>
      <c r="C496" s="125">
        <f>IFERROR(yf_data[[#This Row],[Close Price]]/B495-1,0)</f>
        <v>8.7962864055946E-3</v>
      </c>
    </row>
    <row r="497" spans="1:3" x14ac:dyDescent="0.15">
      <c r="A497" s="124">
        <v>41544</v>
      </c>
      <c r="B497" s="126">
        <v>41.263134002685547</v>
      </c>
      <c r="C497" s="125">
        <f>IFERROR(yf_data[[#This Row],[Close Price]]/B496-1,0)</f>
        <v>9.145191506892969E-3</v>
      </c>
    </row>
    <row r="498" spans="1:3" x14ac:dyDescent="0.15">
      <c r="A498" s="124">
        <v>41547</v>
      </c>
      <c r="B498" s="126">
        <v>40.954421997070312</v>
      </c>
      <c r="C498" s="125">
        <f>IFERROR(yf_data[[#This Row],[Close Price]]/B497-1,0)</f>
        <v>-7.4815452843485231E-3</v>
      </c>
    </row>
    <row r="499" spans="1:3" x14ac:dyDescent="0.15">
      <c r="A499" s="124">
        <v>41548</v>
      </c>
      <c r="B499" s="126">
        <v>42.032737731933594</v>
      </c>
      <c r="C499" s="125">
        <f>IFERROR(yf_data[[#This Row],[Close Price]]/B498-1,0)</f>
        <v>2.6329653362960892E-2</v>
      </c>
    </row>
    <row r="500" spans="1:3" x14ac:dyDescent="0.15">
      <c r="A500" s="124">
        <v>41549</v>
      </c>
      <c r="B500" s="126">
        <v>42.241447448730469</v>
      </c>
      <c r="C500" s="125">
        <f>IFERROR(yf_data[[#This Row],[Close Price]]/B499-1,0)</f>
        <v>4.9654085852779417E-3</v>
      </c>
    </row>
    <row r="501" spans="1:3" x14ac:dyDescent="0.15">
      <c r="A501" s="124">
        <v>41550</v>
      </c>
      <c r="B501" s="126">
        <v>42.254486083984375</v>
      </c>
      <c r="C501" s="125">
        <f>IFERROR(yf_data[[#This Row],[Close Price]]/B500-1,0)</f>
        <v>3.0866923463568341E-4</v>
      </c>
    </row>
    <row r="502" spans="1:3" x14ac:dyDescent="0.15">
      <c r="A502" s="124">
        <v>41551</v>
      </c>
      <c r="B502" s="126">
        <v>42.793647766113281</v>
      </c>
      <c r="C502" s="125">
        <f>IFERROR(yf_data[[#This Row],[Close Price]]/B501-1,0)</f>
        <v>1.2759868409173869E-2</v>
      </c>
    </row>
    <row r="503" spans="1:3" x14ac:dyDescent="0.15">
      <c r="A503" s="124">
        <v>41554</v>
      </c>
      <c r="B503" s="126">
        <v>43.741519927978509</v>
      </c>
      <c r="C503" s="125">
        <f>IFERROR(yf_data[[#This Row],[Close Price]]/B502-1,0)</f>
        <v>2.2149833242676165E-2</v>
      </c>
    </row>
    <row r="504" spans="1:3" x14ac:dyDescent="0.15">
      <c r="A504" s="124">
        <v>41555</v>
      </c>
      <c r="B504" s="126">
        <v>42.606685638427734</v>
      </c>
      <c r="C504" s="125">
        <f>IFERROR(yf_data[[#This Row],[Close Price]]/B503-1,0)</f>
        <v>-2.5944098225651691E-2</v>
      </c>
    </row>
    <row r="505" spans="1:3" x14ac:dyDescent="0.15">
      <c r="A505" s="124">
        <v>41556</v>
      </c>
      <c r="B505" s="126">
        <v>41.684894561767578</v>
      </c>
      <c r="C505" s="125">
        <f>IFERROR(yf_data[[#This Row],[Close Price]]/B504-1,0)</f>
        <v>-2.1634892807263495E-2</v>
      </c>
    </row>
    <row r="506" spans="1:3" x14ac:dyDescent="0.15">
      <c r="A506" s="124">
        <v>41557</v>
      </c>
      <c r="B506" s="126">
        <v>42.002304077148438</v>
      </c>
      <c r="C506" s="125">
        <f>IFERROR(yf_data[[#This Row],[Close Price]]/B505-1,0)</f>
        <v>7.6144972589657911E-3</v>
      </c>
    </row>
    <row r="507" spans="1:3" x14ac:dyDescent="0.15">
      <c r="A507" s="124">
        <v>41558</v>
      </c>
      <c r="B507" s="126">
        <v>42.411018371582031</v>
      </c>
      <c r="C507" s="125">
        <f>IFERROR(yf_data[[#This Row],[Close Price]]/B506-1,0)</f>
        <v>9.7307589051038867E-3</v>
      </c>
    </row>
    <row r="508" spans="1:3" x14ac:dyDescent="0.15">
      <c r="A508" s="124">
        <v>41561</v>
      </c>
      <c r="B508" s="126">
        <v>42.541458129882812</v>
      </c>
      <c r="C508" s="125">
        <f>IFERROR(yf_data[[#This Row],[Close Price]]/B507-1,0)</f>
        <v>3.0756101435229777E-3</v>
      </c>
    </row>
    <row r="509" spans="1:3" x14ac:dyDescent="0.15">
      <c r="A509" s="124">
        <v>41562</v>
      </c>
      <c r="B509" s="126">
        <v>42.211006164550781</v>
      </c>
      <c r="C509" s="125">
        <f>IFERROR(yf_data[[#This Row],[Close Price]]/B508-1,0)</f>
        <v>-7.7677630212658055E-3</v>
      </c>
    </row>
    <row r="510" spans="1:3" x14ac:dyDescent="0.15">
      <c r="A510" s="124">
        <v>41563</v>
      </c>
      <c r="B510" s="126">
        <v>42.015346527099609</v>
      </c>
      <c r="C510" s="125">
        <f>IFERROR(yf_data[[#This Row],[Close Price]]/B509-1,0)</f>
        <v>-4.6352753755367626E-3</v>
      </c>
    </row>
    <row r="511" spans="1:3" x14ac:dyDescent="0.15">
      <c r="A511" s="124">
        <v>41564</v>
      </c>
      <c r="B511" s="126">
        <v>42.145790100097656</v>
      </c>
      <c r="C511" s="125">
        <f>IFERROR(yf_data[[#This Row],[Close Price]]/B510-1,0)</f>
        <v>3.1046649327028941E-3</v>
      </c>
    </row>
    <row r="512" spans="1:3" x14ac:dyDescent="0.15">
      <c r="A512" s="124">
        <v>41565</v>
      </c>
      <c r="B512" s="126">
        <v>42.576244354248047</v>
      </c>
      <c r="C512" s="125">
        <f>IFERROR(yf_data[[#This Row],[Close Price]]/B511-1,0)</f>
        <v>1.0213457930864367E-2</v>
      </c>
    </row>
    <row r="513" spans="1:3" x14ac:dyDescent="0.15">
      <c r="A513" s="124">
        <v>41568</v>
      </c>
      <c r="B513" s="126">
        <v>41.763156890869141</v>
      </c>
      <c r="C513" s="125">
        <f>IFERROR(yf_data[[#This Row],[Close Price]]/B512-1,0)</f>
        <v>-1.909720962266559E-2</v>
      </c>
    </row>
    <row r="514" spans="1:3" x14ac:dyDescent="0.15">
      <c r="A514" s="124">
        <v>41569</v>
      </c>
      <c r="B514" s="126">
        <v>41.471839904785149</v>
      </c>
      <c r="C514" s="125">
        <f>IFERROR(yf_data[[#This Row],[Close Price]]/B513-1,0)</f>
        <v>-6.9754541507776047E-3</v>
      </c>
    </row>
    <row r="515" spans="1:3" x14ac:dyDescent="0.15">
      <c r="A515" s="124">
        <v>41570</v>
      </c>
      <c r="B515" s="126">
        <v>41.132686614990234</v>
      </c>
      <c r="C515" s="125">
        <f>IFERROR(yf_data[[#This Row],[Close Price]]/B514-1,0)</f>
        <v>-8.1779176080341021E-3</v>
      </c>
    </row>
    <row r="516" spans="1:3" x14ac:dyDescent="0.15">
      <c r="A516" s="124">
        <v>41571</v>
      </c>
      <c r="B516" s="126">
        <v>42.089263916015625</v>
      </c>
      <c r="C516" s="125">
        <f>IFERROR(yf_data[[#This Row],[Close Price]]/B515-1,0)</f>
        <v>2.3255891597335543E-2</v>
      </c>
    </row>
    <row r="517" spans="1:3" x14ac:dyDescent="0.15">
      <c r="A517" s="124">
        <v>41572</v>
      </c>
      <c r="B517" s="126">
        <v>42.645816802978509</v>
      </c>
      <c r="C517" s="125">
        <f>IFERROR(yf_data[[#This Row],[Close Price]]/B516-1,0)</f>
        <v>1.3223155626418626E-2</v>
      </c>
    </row>
    <row r="518" spans="1:3" x14ac:dyDescent="0.15">
      <c r="A518" s="124">
        <v>41575</v>
      </c>
      <c r="B518" s="126">
        <v>42.297969818115234</v>
      </c>
      <c r="C518" s="125">
        <f>IFERROR(yf_data[[#This Row],[Close Price]]/B517-1,0)</f>
        <v>-8.1566496069311878E-3</v>
      </c>
    </row>
    <row r="519" spans="1:3" x14ac:dyDescent="0.15">
      <c r="A519" s="124">
        <v>41576</v>
      </c>
      <c r="B519" s="126">
        <v>42.898002624511719</v>
      </c>
      <c r="C519" s="125">
        <f>IFERROR(yf_data[[#This Row],[Close Price]]/B518-1,0)</f>
        <v>1.4185853575873208E-2</v>
      </c>
    </row>
    <row r="520" spans="1:3" x14ac:dyDescent="0.15">
      <c r="A520" s="124">
        <v>41577</v>
      </c>
      <c r="B520" s="126">
        <v>43.724136352539062</v>
      </c>
      <c r="C520" s="125">
        <f>IFERROR(yf_data[[#This Row],[Close Price]]/B519-1,0)</f>
        <v>1.9258093092550999E-2</v>
      </c>
    </row>
    <row r="521" spans="1:3" x14ac:dyDescent="0.15">
      <c r="A521" s="124">
        <v>41578</v>
      </c>
      <c r="B521" s="126">
        <v>44.0111083984375</v>
      </c>
      <c r="C521" s="125">
        <f>IFERROR(yf_data[[#This Row],[Close Price]]/B520-1,0)</f>
        <v>6.5632410343028358E-3</v>
      </c>
    </row>
    <row r="522" spans="1:3" x14ac:dyDescent="0.15">
      <c r="A522" s="124">
        <v>41579</v>
      </c>
      <c r="B522" s="126">
        <v>44.0111083984375</v>
      </c>
      <c r="C522" s="125">
        <f>IFERROR(yf_data[[#This Row],[Close Price]]/B521-1,0)</f>
        <v>0</v>
      </c>
    </row>
    <row r="523" spans="1:3" x14ac:dyDescent="0.15">
      <c r="A523" s="124">
        <v>41582</v>
      </c>
      <c r="B523" s="126">
        <v>45.228561401367188</v>
      </c>
      <c r="C523" s="125">
        <f>IFERROR(yf_data[[#This Row],[Close Price]]/B522-1,0)</f>
        <v>2.7662402680431297E-2</v>
      </c>
    </row>
    <row r="524" spans="1:3" x14ac:dyDescent="0.15">
      <c r="A524" s="124">
        <v>41583</v>
      </c>
      <c r="B524" s="126">
        <v>45.793807983398438</v>
      </c>
      <c r="C524" s="125">
        <f>IFERROR(yf_data[[#This Row],[Close Price]]/B523-1,0)</f>
        <v>1.2497558279936039E-2</v>
      </c>
    </row>
    <row r="525" spans="1:3" x14ac:dyDescent="0.15">
      <c r="A525" s="124">
        <v>41584</v>
      </c>
      <c r="B525" s="126">
        <v>46.532981872558594</v>
      </c>
      <c r="C525" s="125">
        <f>IFERROR(yf_data[[#This Row],[Close Price]]/B524-1,0)</f>
        <v>1.614135014559448E-2</v>
      </c>
    </row>
    <row r="526" spans="1:3" x14ac:dyDescent="0.15">
      <c r="A526" s="124">
        <v>41585</v>
      </c>
      <c r="B526" s="126">
        <v>46.646030426025391</v>
      </c>
      <c r="C526" s="125">
        <f>IFERROR(yf_data[[#This Row],[Close Price]]/B525-1,0)</f>
        <v>2.4294285239747637E-3</v>
      </c>
    </row>
    <row r="527" spans="1:3" x14ac:dyDescent="0.15">
      <c r="A527" s="124">
        <v>41586</v>
      </c>
      <c r="B527" s="126">
        <v>46.472110748291016</v>
      </c>
      <c r="C527" s="125">
        <f>IFERROR(yf_data[[#This Row],[Close Price]]/B526-1,0)</f>
        <v>-3.7284989986487993E-3</v>
      </c>
    </row>
    <row r="528" spans="1:3" x14ac:dyDescent="0.15">
      <c r="A528" s="124">
        <v>41589</v>
      </c>
      <c r="B528" s="126">
        <v>46.785167694091797</v>
      </c>
      <c r="C528" s="125">
        <f>IFERROR(yf_data[[#This Row],[Close Price]]/B527-1,0)</f>
        <v>6.7364477481215435E-3</v>
      </c>
    </row>
    <row r="529" spans="1:3" x14ac:dyDescent="0.15">
      <c r="A529" s="124">
        <v>41590</v>
      </c>
      <c r="B529" s="126">
        <v>45.524227142333984</v>
      </c>
      <c r="C529" s="125">
        <f>IFERROR(yf_data[[#This Row],[Close Price]]/B528-1,0)</f>
        <v>-2.6951715979785851E-2</v>
      </c>
    </row>
    <row r="530" spans="1:3" x14ac:dyDescent="0.15">
      <c r="A530" s="124">
        <v>41591</v>
      </c>
      <c r="B530" s="126">
        <v>45.011161804199219</v>
      </c>
      <c r="C530" s="125">
        <f>IFERROR(yf_data[[#This Row],[Close Price]]/B529-1,0)</f>
        <v>-1.1270160315531297E-2</v>
      </c>
    </row>
    <row r="531" spans="1:3" x14ac:dyDescent="0.15">
      <c r="A531" s="124">
        <v>41592</v>
      </c>
      <c r="B531" s="126">
        <v>45.863380432128906</v>
      </c>
      <c r="C531" s="125">
        <f>IFERROR(yf_data[[#This Row],[Close Price]]/B530-1,0)</f>
        <v>1.8933495465788708E-2</v>
      </c>
    </row>
    <row r="532" spans="1:3" x14ac:dyDescent="0.15">
      <c r="A532" s="124">
        <v>41593</v>
      </c>
      <c r="B532" s="126">
        <v>45.176387786865234</v>
      </c>
      <c r="C532" s="125">
        <f>IFERROR(yf_data[[#This Row],[Close Price]]/B531-1,0)</f>
        <v>-1.497911054071388E-2</v>
      </c>
    </row>
    <row r="533" spans="1:3" x14ac:dyDescent="0.15">
      <c r="A533" s="124">
        <v>41596</v>
      </c>
      <c r="B533" s="126">
        <v>46.272102355957031</v>
      </c>
      <c r="C533" s="125">
        <f>IFERROR(yf_data[[#This Row],[Close Price]]/B532-1,0)</f>
        <v>2.4254142988616056E-2</v>
      </c>
    </row>
    <row r="534" spans="1:3" x14ac:dyDescent="0.15">
      <c r="A534" s="124">
        <v>41597</v>
      </c>
      <c r="B534" s="126">
        <v>45.532928466796875</v>
      </c>
      <c r="C534" s="125">
        <f>IFERROR(yf_data[[#This Row],[Close Price]]/B533-1,0)</f>
        <v>-1.5974504107764909E-2</v>
      </c>
    </row>
    <row r="535" spans="1:3" x14ac:dyDescent="0.15">
      <c r="A535" s="124">
        <v>41598</v>
      </c>
      <c r="B535" s="126">
        <v>45.376399993896477</v>
      </c>
      <c r="C535" s="125">
        <f>IFERROR(yf_data[[#This Row],[Close Price]]/B534-1,0)</f>
        <v>-3.4376983464733391E-3</v>
      </c>
    </row>
    <row r="536" spans="1:3" x14ac:dyDescent="0.15">
      <c r="A536" s="124">
        <v>41599</v>
      </c>
      <c r="B536" s="126">
        <v>44.706798553466797</v>
      </c>
      <c r="C536" s="125">
        <f>IFERROR(yf_data[[#This Row],[Close Price]]/B535-1,0)</f>
        <v>-1.4756601240286771E-2</v>
      </c>
    </row>
    <row r="537" spans="1:3" x14ac:dyDescent="0.15">
      <c r="A537" s="124">
        <v>41600</v>
      </c>
      <c r="B537" s="126">
        <v>44.993766784667969</v>
      </c>
      <c r="C537" s="125">
        <f>IFERROR(yf_data[[#This Row],[Close Price]]/B536-1,0)</f>
        <v>6.4188946756715826E-3</v>
      </c>
    </row>
    <row r="538" spans="1:3" x14ac:dyDescent="0.15">
      <c r="A538" s="124">
        <v>41603</v>
      </c>
      <c r="B538" s="126">
        <v>45.419879913330078</v>
      </c>
      <c r="C538" s="125">
        <f>IFERROR(yf_data[[#This Row],[Close Price]]/B537-1,0)</f>
        <v>9.4704924506856525E-3</v>
      </c>
    </row>
    <row r="539" spans="1:3" x14ac:dyDescent="0.15">
      <c r="A539" s="124">
        <v>41604</v>
      </c>
      <c r="B539" s="126">
        <v>44.811149597167969</v>
      </c>
      <c r="C539" s="125">
        <f>IFERROR(yf_data[[#This Row],[Close Price]]/B538-1,0)</f>
        <v>-1.3402288102119297E-2</v>
      </c>
    </row>
    <row r="540" spans="1:3" x14ac:dyDescent="0.15">
      <c r="A540" s="124">
        <v>41605</v>
      </c>
      <c r="B540" s="126">
        <v>45.5416259765625</v>
      </c>
      <c r="C540" s="125">
        <f>IFERROR(yf_data[[#This Row],[Close Price]]/B539-1,0)</f>
        <v>1.630121936083273E-2</v>
      </c>
    </row>
    <row r="541" spans="1:3" x14ac:dyDescent="0.15">
      <c r="A541" s="124">
        <v>41606</v>
      </c>
      <c r="B541" s="126">
        <v>45.802509307861328</v>
      </c>
      <c r="C541" s="125">
        <f>IFERROR(yf_data[[#This Row],[Close Price]]/B540-1,0)</f>
        <v>5.7284588704209494E-3</v>
      </c>
    </row>
    <row r="542" spans="1:3" x14ac:dyDescent="0.15">
      <c r="A542" s="124">
        <v>41607</v>
      </c>
      <c r="B542" s="126">
        <v>45.445968627929688</v>
      </c>
      <c r="C542" s="125">
        <f>IFERROR(yf_data[[#This Row],[Close Price]]/B541-1,0)</f>
        <v>-7.7843045134308175E-3</v>
      </c>
    </row>
    <row r="543" spans="1:3" x14ac:dyDescent="0.15">
      <c r="A543" s="124">
        <v>41610</v>
      </c>
      <c r="B543" s="126">
        <v>46.176445007324219</v>
      </c>
      <c r="C543" s="125">
        <f>IFERROR(yf_data[[#This Row],[Close Price]]/B542-1,0)</f>
        <v>1.6073513260879357E-2</v>
      </c>
    </row>
    <row r="544" spans="1:3" x14ac:dyDescent="0.15">
      <c r="A544" s="124">
        <v>41611</v>
      </c>
      <c r="B544" s="126">
        <v>44.463302612304688</v>
      </c>
      <c r="C544" s="125">
        <f>IFERROR(yf_data[[#This Row],[Close Price]]/B543-1,0)</f>
        <v>-3.7099919553092553E-2</v>
      </c>
    </row>
    <row r="545" spans="1:3" x14ac:dyDescent="0.15">
      <c r="A545" s="124">
        <v>41612</v>
      </c>
      <c r="B545" s="126">
        <v>44.037193298339837</v>
      </c>
      <c r="C545" s="125">
        <f>IFERROR(yf_data[[#This Row],[Close Price]]/B544-1,0)</f>
        <v>-9.5833932463426086E-3</v>
      </c>
    </row>
    <row r="546" spans="1:3" x14ac:dyDescent="0.15">
      <c r="A546" s="124">
        <v>41613</v>
      </c>
      <c r="B546" s="126">
        <v>43.389331817626953</v>
      </c>
      <c r="C546" s="125">
        <f>IFERROR(yf_data[[#This Row],[Close Price]]/B545-1,0)</f>
        <v>-1.4711688738285433E-2</v>
      </c>
    </row>
    <row r="547" spans="1:3" x14ac:dyDescent="0.15">
      <c r="A547" s="124">
        <v>41614</v>
      </c>
      <c r="B547" s="126">
        <v>43.550216674804688</v>
      </c>
      <c r="C547" s="125">
        <f>IFERROR(yf_data[[#This Row],[Close Price]]/B546-1,0)</f>
        <v>3.7079358090592596E-3</v>
      </c>
    </row>
    <row r="548" spans="1:3" x14ac:dyDescent="0.15">
      <c r="A548" s="124">
        <v>41617</v>
      </c>
      <c r="B548" s="126">
        <v>43.906753540039062</v>
      </c>
      <c r="C548" s="125">
        <f>IFERROR(yf_data[[#This Row],[Close Price]]/B547-1,0)</f>
        <v>8.1867988831532124E-3</v>
      </c>
    </row>
    <row r="549" spans="1:3" x14ac:dyDescent="0.15">
      <c r="A549" s="124">
        <v>41618</v>
      </c>
      <c r="B549" s="126">
        <v>42.767562866210938</v>
      </c>
      <c r="C549" s="125">
        <f>IFERROR(yf_data[[#This Row],[Close Price]]/B548-1,0)</f>
        <v>-2.5945682201014564E-2</v>
      </c>
    </row>
    <row r="550" spans="1:3" x14ac:dyDescent="0.15">
      <c r="A550" s="124">
        <v>41619</v>
      </c>
      <c r="B550" s="126">
        <v>45.967739105224609</v>
      </c>
      <c r="C550" s="125">
        <f>IFERROR(yf_data[[#This Row],[Close Price]]/B549-1,0)</f>
        <v>7.4827182671706849E-2</v>
      </c>
    </row>
    <row r="551" spans="1:3" x14ac:dyDescent="0.15">
      <c r="A551" s="124">
        <v>41620</v>
      </c>
      <c r="B551" s="126">
        <v>46.541683197021491</v>
      </c>
      <c r="C551" s="125">
        <f>IFERROR(yf_data[[#This Row],[Close Price]]/B550-1,0)</f>
        <v>1.2485802063988194E-2</v>
      </c>
    </row>
    <row r="552" spans="1:3" x14ac:dyDescent="0.15">
      <c r="A552" s="124">
        <v>41621</v>
      </c>
      <c r="B552" s="126">
        <v>46.898220062255859</v>
      </c>
      <c r="C552" s="125">
        <f>IFERROR(yf_data[[#This Row],[Close Price]]/B551-1,0)</f>
        <v>7.6605924140100701E-3</v>
      </c>
    </row>
    <row r="553" spans="1:3" x14ac:dyDescent="0.15">
      <c r="A553" s="124">
        <v>41624</v>
      </c>
      <c r="B553" s="126">
        <v>48.193939208984375</v>
      </c>
      <c r="C553" s="125">
        <f>IFERROR(yf_data[[#This Row],[Close Price]]/B552-1,0)</f>
        <v>2.7628322461033417E-2</v>
      </c>
    </row>
    <row r="554" spans="1:3" x14ac:dyDescent="0.15">
      <c r="A554" s="124">
        <v>41625</v>
      </c>
      <c r="B554" s="126">
        <v>47.341716766357422</v>
      </c>
      <c r="C554" s="125">
        <f>IFERROR(yf_data[[#This Row],[Close Price]]/B553-1,0)</f>
        <v>-1.7683187069051254E-2</v>
      </c>
    </row>
    <row r="555" spans="1:3" x14ac:dyDescent="0.15">
      <c r="A555" s="124">
        <v>41626</v>
      </c>
      <c r="B555" s="126">
        <v>47.828704833984375</v>
      </c>
      <c r="C555" s="125">
        <f>IFERROR(yf_data[[#This Row],[Close Price]]/B554-1,0)</f>
        <v>1.0286658382718805E-2</v>
      </c>
    </row>
    <row r="556" spans="1:3" x14ac:dyDescent="0.15">
      <c r="A556" s="124">
        <v>41627</v>
      </c>
      <c r="B556" s="126">
        <v>48.559185028076172</v>
      </c>
      <c r="C556" s="125">
        <f>IFERROR(yf_data[[#This Row],[Close Price]]/B555-1,0)</f>
        <v>1.5272840789382069E-2</v>
      </c>
    </row>
    <row r="557" spans="1:3" x14ac:dyDescent="0.15">
      <c r="A557" s="124">
        <v>41628</v>
      </c>
      <c r="B557" s="126">
        <v>48.611358642578125</v>
      </c>
      <c r="C557" s="125">
        <f>IFERROR(yf_data[[#This Row],[Close Price]]/B556-1,0)</f>
        <v>1.0744334871308769E-3</v>
      </c>
    </row>
    <row r="558" spans="1:3" x14ac:dyDescent="0.15">
      <c r="A558" s="124">
        <v>41631</v>
      </c>
      <c r="B558" s="126">
        <v>48.620052337646477</v>
      </c>
      <c r="C558" s="125">
        <f>IFERROR(yf_data[[#This Row],[Close Price]]/B557-1,0)</f>
        <v>1.78840816449366E-4</v>
      </c>
    </row>
    <row r="559" spans="1:3" x14ac:dyDescent="0.15">
      <c r="A559" s="124">
        <v>41632</v>
      </c>
      <c r="B559" s="126">
        <v>48.828765869140625</v>
      </c>
      <c r="C559" s="125">
        <f>IFERROR(yf_data[[#This Row],[Close Price]]/B558-1,0)</f>
        <v>4.2927459239392451E-3</v>
      </c>
    </row>
    <row r="560" spans="1:3" x14ac:dyDescent="0.15">
      <c r="A560" s="124">
        <v>41635</v>
      </c>
      <c r="B560" s="126">
        <v>48.907024383544922</v>
      </c>
      <c r="C560" s="125">
        <f>IFERROR(yf_data[[#This Row],[Close Price]]/B559-1,0)</f>
        <v>1.6027133393874404E-3</v>
      </c>
    </row>
    <row r="561" spans="1:3" x14ac:dyDescent="0.15">
      <c r="A561" s="124">
        <v>41638</v>
      </c>
      <c r="B561" s="126">
        <v>48.463520050048828</v>
      </c>
      <c r="C561" s="125">
        <f>IFERROR(yf_data[[#This Row],[Close Price]]/B560-1,0)</f>
        <v>-9.0683156271783583E-3</v>
      </c>
    </row>
    <row r="562" spans="1:3" x14ac:dyDescent="0.15">
      <c r="A562" s="124">
        <v>41639</v>
      </c>
      <c r="B562" s="126">
        <v>48.533092498779297</v>
      </c>
      <c r="C562" s="125">
        <f>IFERROR(yf_data[[#This Row],[Close Price]]/B561-1,0)</f>
        <v>1.4355632578610944E-3</v>
      </c>
    </row>
    <row r="563" spans="1:3" x14ac:dyDescent="0.15">
      <c r="A563" s="124">
        <v>41641</v>
      </c>
      <c r="B563" s="126">
        <v>49.176605224609375</v>
      </c>
      <c r="C563" s="125">
        <f>IFERROR(yf_data[[#This Row],[Close Price]]/B562-1,0)</f>
        <v>1.3259256575217426E-2</v>
      </c>
    </row>
    <row r="564" spans="1:3" x14ac:dyDescent="0.15">
      <c r="A564" s="124">
        <v>41642</v>
      </c>
      <c r="B564" s="126">
        <v>49.046165466308594</v>
      </c>
      <c r="C564" s="125">
        <f>IFERROR(yf_data[[#This Row],[Close Price]]/B563-1,0)</f>
        <v>-2.6524758613371002E-3</v>
      </c>
    </row>
    <row r="565" spans="1:3" x14ac:dyDescent="0.15">
      <c r="A565" s="124">
        <v>41645</v>
      </c>
      <c r="B565" s="126">
        <v>48.202640533447266</v>
      </c>
      <c r="C565" s="125">
        <f>IFERROR(yf_data[[#This Row],[Close Price]]/B564-1,0)</f>
        <v>-1.7198590854992979E-2</v>
      </c>
    </row>
    <row r="566" spans="1:3" x14ac:dyDescent="0.15">
      <c r="A566" s="124">
        <v>41646</v>
      </c>
      <c r="B566" s="126">
        <v>48.620052337646477</v>
      </c>
      <c r="C566" s="125">
        <f>IFERROR(yf_data[[#This Row],[Close Price]]/B565-1,0)</f>
        <v>8.6595215444591478E-3</v>
      </c>
    </row>
    <row r="567" spans="1:3" x14ac:dyDescent="0.15">
      <c r="A567" s="124">
        <v>41647</v>
      </c>
      <c r="B567" s="126">
        <v>48.133064270019531</v>
      </c>
      <c r="C567" s="125">
        <f>IFERROR(yf_data[[#This Row],[Close Price]]/B566-1,0)</f>
        <v>-1.0016197930948545E-2</v>
      </c>
    </row>
    <row r="568" spans="1:3" x14ac:dyDescent="0.15">
      <c r="A568" s="124">
        <v>41648</v>
      </c>
      <c r="B568" s="126">
        <v>47.576515197753906</v>
      </c>
      <c r="C568" s="125">
        <f>IFERROR(yf_data[[#This Row],[Close Price]]/B567-1,0)</f>
        <v>-1.1562718491045287E-2</v>
      </c>
    </row>
    <row r="569" spans="1:3" x14ac:dyDescent="0.15">
      <c r="A569" s="124">
        <v>41649</v>
      </c>
      <c r="B569" s="126">
        <v>48.072200775146477</v>
      </c>
      <c r="C569" s="125">
        <f>IFERROR(yf_data[[#This Row],[Close Price]]/B568-1,0)</f>
        <v>1.0418702911136446E-2</v>
      </c>
    </row>
    <row r="570" spans="1:3" x14ac:dyDescent="0.15">
      <c r="A570" s="124">
        <v>41652</v>
      </c>
      <c r="B570" s="126">
        <v>48.507003784179688</v>
      </c>
      <c r="C570" s="125">
        <f>IFERROR(yf_data[[#This Row],[Close Price]]/B569-1,0)</f>
        <v>9.0447910023292444E-3</v>
      </c>
    </row>
    <row r="571" spans="1:3" x14ac:dyDescent="0.15">
      <c r="A571" s="124">
        <v>41653</v>
      </c>
      <c r="B571" s="126">
        <v>48.785282135009766</v>
      </c>
      <c r="C571" s="125">
        <f>IFERROR(yf_data[[#This Row],[Close Price]]/B570-1,0)</f>
        <v>5.7368695058597208E-3</v>
      </c>
    </row>
    <row r="572" spans="1:3" x14ac:dyDescent="0.15">
      <c r="A572" s="124">
        <v>41654</v>
      </c>
      <c r="B572" s="126">
        <v>49.254867553710938</v>
      </c>
      <c r="C572" s="125">
        <f>IFERROR(yf_data[[#This Row],[Close Price]]/B571-1,0)</f>
        <v>9.6255550475576879E-3</v>
      </c>
    </row>
    <row r="573" spans="1:3" x14ac:dyDescent="0.15">
      <c r="A573" s="124">
        <v>41655</v>
      </c>
      <c r="B573" s="126">
        <v>49.559238433837891</v>
      </c>
      <c r="C573" s="125">
        <f>IFERROR(yf_data[[#This Row],[Close Price]]/B572-1,0)</f>
        <v>6.1795086504912167E-3</v>
      </c>
    </row>
    <row r="574" spans="1:3" x14ac:dyDescent="0.15">
      <c r="A574" s="124">
        <v>41656</v>
      </c>
      <c r="B574" s="126">
        <v>49.594020843505859</v>
      </c>
      <c r="C574" s="125">
        <f>IFERROR(yf_data[[#This Row],[Close Price]]/B573-1,0)</f>
        <v>7.018350315128874E-4</v>
      </c>
    </row>
    <row r="575" spans="1:3" x14ac:dyDescent="0.15">
      <c r="A575" s="124">
        <v>41659</v>
      </c>
      <c r="B575" s="126">
        <v>49.576629638671875</v>
      </c>
      <c r="C575" s="125">
        <f>IFERROR(yf_data[[#This Row],[Close Price]]/B574-1,0)</f>
        <v>-3.5067140228173255E-4</v>
      </c>
    </row>
    <row r="576" spans="1:3" x14ac:dyDescent="0.15">
      <c r="A576" s="124">
        <v>41660</v>
      </c>
      <c r="B576" s="126">
        <v>49.56793212890625</v>
      </c>
      <c r="C576" s="125">
        <f>IFERROR(yf_data[[#This Row],[Close Price]]/B575-1,0)</f>
        <v>-1.7543568066269444E-4</v>
      </c>
    </row>
    <row r="577" spans="1:3" x14ac:dyDescent="0.15">
      <c r="A577" s="124">
        <v>41661</v>
      </c>
      <c r="B577" s="126">
        <v>49.654891967773438</v>
      </c>
      <c r="C577" s="125">
        <f>IFERROR(yf_data[[#This Row],[Close Price]]/B576-1,0)</f>
        <v>1.7543568015110367E-3</v>
      </c>
    </row>
    <row r="578" spans="1:3" x14ac:dyDescent="0.15">
      <c r="A578" s="124">
        <v>41662</v>
      </c>
      <c r="B578" s="126">
        <v>47.741744995117188</v>
      </c>
      <c r="C578" s="125">
        <f>IFERROR(yf_data[[#This Row],[Close Price]]/B577-1,0)</f>
        <v>-3.8528871916545526E-2</v>
      </c>
    </row>
    <row r="579" spans="1:3" x14ac:dyDescent="0.15">
      <c r="A579" s="124">
        <v>41663</v>
      </c>
      <c r="B579" s="126">
        <v>45.898162841796875</v>
      </c>
      <c r="C579" s="125">
        <f>IFERROR(yf_data[[#This Row],[Close Price]]/B578-1,0)</f>
        <v>-3.8615726205836531E-2</v>
      </c>
    </row>
    <row r="580" spans="1:3" x14ac:dyDescent="0.15">
      <c r="A580" s="124">
        <v>41666</v>
      </c>
      <c r="B580" s="126">
        <v>45.880771636962891</v>
      </c>
      <c r="C580" s="125">
        <f>IFERROR(yf_data[[#This Row],[Close Price]]/B579-1,0)</f>
        <v>-3.789085174047413E-4</v>
      </c>
    </row>
    <row r="581" spans="1:3" x14ac:dyDescent="0.15">
      <c r="A581" s="124">
        <v>41667</v>
      </c>
      <c r="B581" s="126">
        <v>47.680870056152344</v>
      </c>
      <c r="C581" s="125">
        <f>IFERROR(yf_data[[#This Row],[Close Price]]/B580-1,0)</f>
        <v>3.9234266446801502E-2</v>
      </c>
    </row>
    <row r="582" spans="1:3" x14ac:dyDescent="0.15">
      <c r="A582" s="124">
        <v>41668</v>
      </c>
      <c r="B582" s="126">
        <v>46.576461791992188</v>
      </c>
      <c r="C582" s="125">
        <f>IFERROR(yf_data[[#This Row],[Close Price]]/B581-1,0)</f>
        <v>-2.3162502338139546E-2</v>
      </c>
    </row>
    <row r="583" spans="1:3" x14ac:dyDescent="0.15">
      <c r="A583" s="124">
        <v>41669</v>
      </c>
      <c r="B583" s="126">
        <v>46.263404846191406</v>
      </c>
      <c r="C583" s="125">
        <f>IFERROR(yf_data[[#This Row],[Close Price]]/B582-1,0)</f>
        <v>-6.7213552458939008E-3</v>
      </c>
    </row>
    <row r="584" spans="1:3" x14ac:dyDescent="0.15">
      <c r="A584" s="124">
        <v>41670</v>
      </c>
      <c r="B584" s="126">
        <v>45.750328063964851</v>
      </c>
      <c r="C584" s="125">
        <f>IFERROR(yf_data[[#This Row],[Close Price]]/B583-1,0)</f>
        <v>-1.1090337685528029E-2</v>
      </c>
    </row>
    <row r="585" spans="1:3" x14ac:dyDescent="0.15">
      <c r="A585" s="124">
        <v>41673</v>
      </c>
      <c r="B585" s="126">
        <v>45.202476501464851</v>
      </c>
      <c r="C585" s="125">
        <f>IFERROR(yf_data[[#This Row],[Close Price]]/B584-1,0)</f>
        <v>-1.1974811672039398E-2</v>
      </c>
    </row>
    <row r="586" spans="1:3" x14ac:dyDescent="0.15">
      <c r="A586" s="124">
        <v>41674</v>
      </c>
      <c r="B586" s="126">
        <v>45.359004974365234</v>
      </c>
      <c r="C586" s="125">
        <f>IFERROR(yf_data[[#This Row],[Close Price]]/B585-1,0)</f>
        <v>3.4628295840231083E-3</v>
      </c>
    </row>
    <row r="587" spans="1:3" x14ac:dyDescent="0.15">
      <c r="A587" s="124">
        <v>41675</v>
      </c>
      <c r="B587" s="126">
        <v>44.454608917236328</v>
      </c>
      <c r="C587" s="125">
        <f>IFERROR(yf_data[[#This Row],[Close Price]]/B586-1,0)</f>
        <v>-1.9938622058398914E-2</v>
      </c>
    </row>
    <row r="588" spans="1:3" x14ac:dyDescent="0.15">
      <c r="A588" s="124">
        <v>41676</v>
      </c>
      <c r="B588" s="126">
        <v>45.393791198730469</v>
      </c>
      <c r="C588" s="125">
        <f>IFERROR(yf_data[[#This Row],[Close Price]]/B587-1,0)</f>
        <v>2.1126769627929143E-2</v>
      </c>
    </row>
    <row r="589" spans="1:3" x14ac:dyDescent="0.15">
      <c r="A589" s="124">
        <v>41677</v>
      </c>
      <c r="B589" s="126">
        <v>45.663364410400391</v>
      </c>
      <c r="C589" s="125">
        <f>IFERROR(yf_data[[#This Row],[Close Price]]/B588-1,0)</f>
        <v>5.9385480822642389E-3</v>
      </c>
    </row>
    <row r="590" spans="1:3" x14ac:dyDescent="0.15">
      <c r="A590" s="124">
        <v>41680</v>
      </c>
      <c r="B590" s="126">
        <v>45.611194610595703</v>
      </c>
      <c r="C590" s="125">
        <f>IFERROR(yf_data[[#This Row],[Close Price]]/B589-1,0)</f>
        <v>-1.1424869910112712E-3</v>
      </c>
    </row>
    <row r="591" spans="1:3" x14ac:dyDescent="0.15">
      <c r="A591" s="124">
        <v>41681</v>
      </c>
      <c r="B591" s="126">
        <v>46.611244201660163</v>
      </c>
      <c r="C591" s="125">
        <f>IFERROR(yf_data[[#This Row],[Close Price]]/B590-1,0)</f>
        <v>2.1925529458334925E-2</v>
      </c>
    </row>
    <row r="592" spans="1:3" x14ac:dyDescent="0.15">
      <c r="A592" s="124">
        <v>41682</v>
      </c>
      <c r="B592" s="126">
        <v>46.298187255859375</v>
      </c>
      <c r="C592" s="125">
        <f>IFERROR(yf_data[[#This Row],[Close Price]]/B591-1,0)</f>
        <v>-6.7163396120980545E-3</v>
      </c>
    </row>
    <row r="593" spans="1:3" x14ac:dyDescent="0.15">
      <c r="A593" s="124">
        <v>41683</v>
      </c>
      <c r="B593" s="126">
        <v>45.332916259765625</v>
      </c>
      <c r="C593" s="125">
        <f>IFERROR(yf_data[[#This Row],[Close Price]]/B592-1,0)</f>
        <v>-2.0849001943841539E-2</v>
      </c>
    </row>
    <row r="594" spans="1:3" x14ac:dyDescent="0.15">
      <c r="A594" s="124">
        <v>41684</v>
      </c>
      <c r="B594" s="126">
        <v>46.263404846191406</v>
      </c>
      <c r="C594" s="125">
        <f>IFERROR(yf_data[[#This Row],[Close Price]]/B593-1,0)</f>
        <v>2.0525672363408409E-2</v>
      </c>
    </row>
    <row r="595" spans="1:3" x14ac:dyDescent="0.15">
      <c r="A595" s="124">
        <v>41687</v>
      </c>
      <c r="B595" s="126">
        <v>45.828598022460938</v>
      </c>
      <c r="C595" s="125">
        <f>IFERROR(yf_data[[#This Row],[Close Price]]/B594-1,0)</f>
        <v>-9.3985046101997538E-3</v>
      </c>
    </row>
    <row r="596" spans="1:3" x14ac:dyDescent="0.15">
      <c r="A596" s="124">
        <v>41688</v>
      </c>
      <c r="B596" s="126">
        <v>46.072090148925781</v>
      </c>
      <c r="C596" s="125">
        <f>IFERROR(yf_data[[#This Row],[Close Price]]/B595-1,0)</f>
        <v>5.3131044145295903E-3</v>
      </c>
    </row>
    <row r="597" spans="1:3" x14ac:dyDescent="0.15">
      <c r="A597" s="124">
        <v>41689</v>
      </c>
      <c r="B597" s="126">
        <v>45.950344085693359</v>
      </c>
      <c r="C597" s="125">
        <f>IFERROR(yf_data[[#This Row],[Close Price]]/B596-1,0)</f>
        <v>-2.6425122636911658E-3</v>
      </c>
    </row>
    <row r="598" spans="1:3" x14ac:dyDescent="0.15">
      <c r="A598" s="124">
        <v>41690</v>
      </c>
      <c r="B598" s="126">
        <v>45.715549468994141</v>
      </c>
      <c r="C598" s="125">
        <f>IFERROR(yf_data[[#This Row],[Close Price]]/B597-1,0)</f>
        <v>-5.1097466487159959E-3</v>
      </c>
    </row>
    <row r="599" spans="1:3" x14ac:dyDescent="0.15">
      <c r="A599" s="124">
        <v>41691</v>
      </c>
      <c r="B599" s="126">
        <v>45.550319671630859</v>
      </c>
      <c r="C599" s="125">
        <f>IFERROR(yf_data[[#This Row],[Close Price]]/B598-1,0)</f>
        <v>-3.614301901267658E-3</v>
      </c>
    </row>
    <row r="600" spans="1:3" x14ac:dyDescent="0.15">
      <c r="A600" s="124">
        <v>41694</v>
      </c>
      <c r="B600" s="126">
        <v>46.150348663330078</v>
      </c>
      <c r="C600" s="125">
        <f>IFERROR(yf_data[[#This Row],[Close Price]]/B599-1,0)</f>
        <v>1.3172882122996832E-2</v>
      </c>
    </row>
    <row r="601" spans="1:3" x14ac:dyDescent="0.15">
      <c r="A601" s="124">
        <v>41695</v>
      </c>
      <c r="B601" s="126">
        <v>46.185142517089837</v>
      </c>
      <c r="C601" s="125">
        <f>IFERROR(yf_data[[#This Row],[Close Price]]/B600-1,0)</f>
        <v>7.53923963036085E-4</v>
      </c>
    </row>
    <row r="602" spans="1:3" x14ac:dyDescent="0.15">
      <c r="A602" s="124">
        <v>41696</v>
      </c>
      <c r="B602" s="126">
        <v>46.933006286621094</v>
      </c>
      <c r="C602" s="125">
        <f>IFERROR(yf_data[[#This Row],[Close Price]]/B601-1,0)</f>
        <v>1.6192734909381779E-2</v>
      </c>
    </row>
    <row r="603" spans="1:3" x14ac:dyDescent="0.15">
      <c r="A603" s="124">
        <v>41697</v>
      </c>
      <c r="B603" s="126">
        <v>46.767776489257812</v>
      </c>
      <c r="C603" s="125">
        <f>IFERROR(yf_data[[#This Row],[Close Price]]/B602-1,0)</f>
        <v>-3.5205457829446951E-3</v>
      </c>
    </row>
    <row r="604" spans="1:3" x14ac:dyDescent="0.15">
      <c r="A604" s="124">
        <v>41698</v>
      </c>
      <c r="B604" s="126">
        <v>46.428627014160163</v>
      </c>
      <c r="C604" s="125">
        <f>IFERROR(yf_data[[#This Row],[Close Price]]/B603-1,0)</f>
        <v>-7.2517767693220936E-3</v>
      </c>
    </row>
    <row r="605" spans="1:3" x14ac:dyDescent="0.15">
      <c r="A605" s="124">
        <v>41701</v>
      </c>
      <c r="B605" s="126">
        <v>44.958988189697266</v>
      </c>
      <c r="C605" s="125">
        <f>IFERROR(yf_data[[#This Row],[Close Price]]/B604-1,0)</f>
        <v>-3.165372139940037E-2</v>
      </c>
    </row>
    <row r="606" spans="1:3" x14ac:dyDescent="0.15">
      <c r="A606" s="124">
        <v>41702</v>
      </c>
      <c r="B606" s="126">
        <v>46.402542114257812</v>
      </c>
      <c r="C606" s="125">
        <f>IFERROR(yf_data[[#This Row],[Close Price]]/B605-1,0)</f>
        <v>3.2108238701229252E-2</v>
      </c>
    </row>
    <row r="607" spans="1:3" x14ac:dyDescent="0.15">
      <c r="A607" s="124">
        <v>41703</v>
      </c>
      <c r="B607" s="126">
        <v>45.872077941894531</v>
      </c>
      <c r="C607" s="125">
        <f>IFERROR(yf_data[[#This Row],[Close Price]]/B606-1,0)</f>
        <v>-1.1431791194911445E-2</v>
      </c>
    </row>
    <row r="608" spans="1:3" x14ac:dyDescent="0.15">
      <c r="A608" s="124">
        <v>41704</v>
      </c>
      <c r="B608" s="126">
        <v>46.054695129394531</v>
      </c>
      <c r="C608" s="125">
        <f>IFERROR(yf_data[[#This Row],[Close Price]]/B607-1,0)</f>
        <v>3.9810097055406057E-3</v>
      </c>
    </row>
    <row r="609" spans="1:3" x14ac:dyDescent="0.15">
      <c r="A609" s="124">
        <v>41705</v>
      </c>
      <c r="B609" s="126">
        <v>44.619838714599609</v>
      </c>
      <c r="C609" s="125">
        <f>IFERROR(yf_data[[#This Row],[Close Price]]/B608-1,0)</f>
        <v>-3.1155486118485287E-2</v>
      </c>
    </row>
    <row r="610" spans="1:3" x14ac:dyDescent="0.15">
      <c r="A610" s="124">
        <v>41708</v>
      </c>
      <c r="B610" s="126">
        <v>43.906753540039062</v>
      </c>
      <c r="C610" s="125">
        <f>IFERROR(yf_data[[#This Row],[Close Price]]/B609-1,0)</f>
        <v>-1.5981348097684256E-2</v>
      </c>
    </row>
    <row r="611" spans="1:3" x14ac:dyDescent="0.15">
      <c r="A611" s="124">
        <v>41709</v>
      </c>
      <c r="B611" s="126">
        <v>43.793701171875</v>
      </c>
      <c r="C611" s="125">
        <f>IFERROR(yf_data[[#This Row],[Close Price]]/B610-1,0)</f>
        <v>-2.5748286778016771E-3</v>
      </c>
    </row>
    <row r="612" spans="1:3" x14ac:dyDescent="0.15">
      <c r="A612" s="124">
        <v>41710</v>
      </c>
      <c r="B612" s="126">
        <v>43.567604064941406</v>
      </c>
      <c r="C612" s="125">
        <f>IFERROR(yf_data[[#This Row],[Close Price]]/B611-1,0)</f>
        <v>-5.1627768579376454E-3</v>
      </c>
    </row>
    <row r="613" spans="1:3" x14ac:dyDescent="0.15">
      <c r="A613" s="124">
        <v>41711</v>
      </c>
      <c r="B613" s="126">
        <v>43.576301574707031</v>
      </c>
      <c r="C613" s="125">
        <f>IFERROR(yf_data[[#This Row],[Close Price]]/B612-1,0)</f>
        <v>1.9963250108179231E-4</v>
      </c>
    </row>
    <row r="614" spans="1:3" x14ac:dyDescent="0.15">
      <c r="A614" s="124">
        <v>41712</v>
      </c>
      <c r="B614" s="126">
        <v>43.445858001708984</v>
      </c>
      <c r="C614" s="125">
        <f>IFERROR(yf_data[[#This Row],[Close Price]]/B613-1,0)</f>
        <v>-2.9934521353175425E-3</v>
      </c>
    </row>
    <row r="615" spans="1:3" x14ac:dyDescent="0.15">
      <c r="A615" s="124">
        <v>41715</v>
      </c>
      <c r="B615" s="126">
        <v>43.793701171875</v>
      </c>
      <c r="C615" s="125">
        <f>IFERROR(yf_data[[#This Row],[Close Price]]/B614-1,0)</f>
        <v>8.0063597812323195E-3</v>
      </c>
    </row>
    <row r="616" spans="1:3" x14ac:dyDescent="0.15">
      <c r="A616" s="124">
        <v>41716</v>
      </c>
      <c r="B616" s="126">
        <v>43.958927154541016</v>
      </c>
      <c r="C616" s="125">
        <f>IFERROR(yf_data[[#This Row],[Close Price]]/B615-1,0)</f>
        <v>3.7728252749764657E-3</v>
      </c>
    </row>
    <row r="617" spans="1:3" x14ac:dyDescent="0.15">
      <c r="A617" s="124">
        <v>41717</v>
      </c>
      <c r="B617" s="126">
        <v>44.637226104736328</v>
      </c>
      <c r="C617" s="125">
        <f>IFERROR(yf_data[[#This Row],[Close Price]]/B616-1,0)</f>
        <v>1.5430289001610475E-2</v>
      </c>
    </row>
    <row r="618" spans="1:3" x14ac:dyDescent="0.15">
      <c r="A618" s="124">
        <v>41718</v>
      </c>
      <c r="B618" s="126">
        <v>45.654678344726562</v>
      </c>
      <c r="C618" s="125">
        <f>IFERROR(yf_data[[#This Row],[Close Price]]/B617-1,0)</f>
        <v>2.2793805278197521E-2</v>
      </c>
    </row>
    <row r="619" spans="1:3" x14ac:dyDescent="0.15">
      <c r="A619" s="124">
        <v>41719</v>
      </c>
      <c r="B619" s="126">
        <v>45.132904052734375</v>
      </c>
      <c r="C619" s="125">
        <f>IFERROR(yf_data[[#This Row],[Close Price]]/B618-1,0)</f>
        <v>-1.1428714666488426E-2</v>
      </c>
    </row>
    <row r="620" spans="1:3" x14ac:dyDescent="0.15">
      <c r="A620" s="124">
        <v>41722</v>
      </c>
      <c r="B620" s="126">
        <v>44.506782531738281</v>
      </c>
      <c r="C620" s="125">
        <f>IFERROR(yf_data[[#This Row],[Close Price]]/B619-1,0)</f>
        <v>-1.3872839209826071E-2</v>
      </c>
    </row>
    <row r="621" spans="1:3" x14ac:dyDescent="0.15">
      <c r="A621" s="124">
        <v>41723</v>
      </c>
      <c r="B621" s="126">
        <v>45.228561401367188</v>
      </c>
      <c r="C621" s="125">
        <f>IFERROR(yf_data[[#This Row],[Close Price]]/B620-1,0)</f>
        <v>1.6217278099449173E-2</v>
      </c>
    </row>
    <row r="622" spans="1:3" x14ac:dyDescent="0.15">
      <c r="A622" s="124">
        <v>41724</v>
      </c>
      <c r="B622" s="126">
        <v>45.967739105224609</v>
      </c>
      <c r="C622" s="125">
        <f>IFERROR(yf_data[[#This Row],[Close Price]]/B621-1,0)</f>
        <v>1.6343161952417917E-2</v>
      </c>
    </row>
    <row r="623" spans="1:3" x14ac:dyDescent="0.15">
      <c r="A623" s="124">
        <v>41725</v>
      </c>
      <c r="B623" s="126">
        <v>45.393791198730469</v>
      </c>
      <c r="C623" s="125">
        <f>IFERROR(yf_data[[#This Row],[Close Price]]/B622-1,0)</f>
        <v>-1.2485885050389722E-2</v>
      </c>
    </row>
    <row r="624" spans="1:3" x14ac:dyDescent="0.15">
      <c r="A624" s="124">
        <v>41726</v>
      </c>
      <c r="B624" s="126">
        <v>45.74163818359375</v>
      </c>
      <c r="C624" s="125">
        <f>IFERROR(yf_data[[#This Row],[Close Price]]/B623-1,0)</f>
        <v>7.6628758179821954E-3</v>
      </c>
    </row>
    <row r="625" spans="1:3" x14ac:dyDescent="0.15">
      <c r="A625" s="124">
        <v>41729</v>
      </c>
      <c r="B625" s="126">
        <v>45.211174011230469</v>
      </c>
      <c r="C625" s="125">
        <f>IFERROR(yf_data[[#This Row],[Close Price]]/B624-1,0)</f>
        <v>-1.1596964897368833E-2</v>
      </c>
    </row>
    <row r="626" spans="1:3" x14ac:dyDescent="0.15">
      <c r="A626" s="124">
        <v>41730</v>
      </c>
      <c r="B626" s="126">
        <v>45.976432800292969</v>
      </c>
      <c r="C626" s="125">
        <f>IFERROR(yf_data[[#This Row],[Close Price]]/B625-1,0)</f>
        <v>1.6926319782636146E-2</v>
      </c>
    </row>
    <row r="627" spans="1:3" x14ac:dyDescent="0.15">
      <c r="A627" s="124">
        <v>41731</v>
      </c>
      <c r="B627" s="126">
        <v>45.645984649658203</v>
      </c>
      <c r="C627" s="125">
        <f>IFERROR(yf_data[[#This Row],[Close Price]]/B626-1,0)</f>
        <v>-7.187337740405586E-3</v>
      </c>
    </row>
    <row r="628" spans="1:3" x14ac:dyDescent="0.15">
      <c r="A628" s="124">
        <v>41732</v>
      </c>
      <c r="B628" s="126">
        <v>46.193828582763672</v>
      </c>
      <c r="C628" s="125">
        <f>IFERROR(yf_data[[#This Row],[Close Price]]/B627-1,0)</f>
        <v>1.2002018081333388E-2</v>
      </c>
    </row>
    <row r="629" spans="1:3" x14ac:dyDescent="0.15">
      <c r="A629" s="124">
        <v>41733</v>
      </c>
      <c r="B629" s="126">
        <v>46.959091186523438</v>
      </c>
      <c r="C629" s="125">
        <f>IFERROR(yf_data[[#This Row],[Close Price]]/B628-1,0)</f>
        <v>1.6566338561625704E-2</v>
      </c>
    </row>
    <row r="630" spans="1:3" x14ac:dyDescent="0.15">
      <c r="A630" s="124">
        <v>41736</v>
      </c>
      <c r="B630" s="126">
        <v>46.367755889892578</v>
      </c>
      <c r="C630" s="125">
        <f>IFERROR(yf_data[[#This Row],[Close Price]]/B629-1,0)</f>
        <v>-1.2592562626096204E-2</v>
      </c>
    </row>
    <row r="631" spans="1:3" x14ac:dyDescent="0.15">
      <c r="A631" s="124">
        <v>41737</v>
      </c>
      <c r="B631" s="126">
        <v>44.654621124267578</v>
      </c>
      <c r="C631" s="125">
        <f>IFERROR(yf_data[[#This Row],[Close Price]]/B630-1,0)</f>
        <v>-3.6946682726960223E-2</v>
      </c>
    </row>
    <row r="632" spans="1:3" x14ac:dyDescent="0.15">
      <c r="A632" s="124">
        <v>41738</v>
      </c>
      <c r="B632" s="126">
        <v>44.367645263671875</v>
      </c>
      <c r="C632" s="125">
        <f>IFERROR(yf_data[[#This Row],[Close Price]]/B631-1,0)</f>
        <v>-6.4265657925322017E-3</v>
      </c>
    </row>
    <row r="633" spans="1:3" x14ac:dyDescent="0.15">
      <c r="A633" s="124">
        <v>41739</v>
      </c>
      <c r="B633" s="126">
        <v>43.541511535644531</v>
      </c>
      <c r="C633" s="125">
        <f>IFERROR(yf_data[[#This Row],[Close Price]]/B632-1,0)</f>
        <v>-1.8620184215721314E-2</v>
      </c>
    </row>
    <row r="634" spans="1:3" x14ac:dyDescent="0.15">
      <c r="A634" s="124">
        <v>41740</v>
      </c>
      <c r="B634" s="126">
        <v>43.31976318359375</v>
      </c>
      <c r="C634" s="125">
        <f>IFERROR(yf_data[[#This Row],[Close Price]]/B633-1,0)</f>
        <v>-5.0928032635993992E-3</v>
      </c>
    </row>
    <row r="635" spans="1:3" x14ac:dyDescent="0.15">
      <c r="A635" s="124">
        <v>41743</v>
      </c>
      <c r="B635" s="126">
        <v>42.615375518798828</v>
      </c>
      <c r="C635" s="125">
        <f>IFERROR(yf_data[[#This Row],[Close Price]]/B634-1,0)</f>
        <v>-1.6260191954643233E-2</v>
      </c>
    </row>
    <row r="636" spans="1:3" x14ac:dyDescent="0.15">
      <c r="A636" s="124">
        <v>41744</v>
      </c>
      <c r="B636" s="126">
        <v>42.6632080078125</v>
      </c>
      <c r="C636" s="125">
        <f>IFERROR(yf_data[[#This Row],[Close Price]]/B635-1,0)</f>
        <v>1.1224232669866385E-3</v>
      </c>
    </row>
    <row r="637" spans="1:3" x14ac:dyDescent="0.15">
      <c r="A637" s="124">
        <v>41745</v>
      </c>
      <c r="B637" s="126">
        <v>43.99371337890625</v>
      </c>
      <c r="C637" s="125">
        <f>IFERROR(yf_data[[#This Row],[Close Price]]/B636-1,0)</f>
        <v>3.1186247664500621E-2</v>
      </c>
    </row>
    <row r="638" spans="1:3" x14ac:dyDescent="0.15">
      <c r="A638" s="124">
        <v>41746</v>
      </c>
      <c r="B638" s="126">
        <v>44.637226104736328</v>
      </c>
      <c r="C638" s="125">
        <f>IFERROR(yf_data[[#This Row],[Close Price]]/B637-1,0)</f>
        <v>1.4627379150463415E-2</v>
      </c>
    </row>
    <row r="639" spans="1:3" x14ac:dyDescent="0.15">
      <c r="A639" s="124">
        <v>41751</v>
      </c>
      <c r="B639" s="126">
        <v>44.672008514404297</v>
      </c>
      <c r="C639" s="125">
        <f>IFERROR(yf_data[[#This Row],[Close Price]]/B638-1,0)</f>
        <v>7.7922426421284108E-4</v>
      </c>
    </row>
    <row r="640" spans="1:3" x14ac:dyDescent="0.15">
      <c r="A640" s="124">
        <v>41752</v>
      </c>
      <c r="B640" s="126">
        <v>44.298080444335938</v>
      </c>
      <c r="C640" s="125">
        <f>IFERROR(yf_data[[#This Row],[Close Price]]/B639-1,0)</f>
        <v>-8.3705228957365874E-3</v>
      </c>
    </row>
    <row r="641" spans="1:3" x14ac:dyDescent="0.15">
      <c r="A641" s="124">
        <v>41753</v>
      </c>
      <c r="B641" s="126">
        <v>44.245903015136719</v>
      </c>
      <c r="C641" s="125">
        <f>IFERROR(yf_data[[#This Row],[Close Price]]/B640-1,0)</f>
        <v>-1.1778711103471728E-3</v>
      </c>
    </row>
    <row r="642" spans="1:3" x14ac:dyDescent="0.15">
      <c r="A642" s="124">
        <v>41754</v>
      </c>
      <c r="B642" s="126">
        <v>43.8284912109375</v>
      </c>
      <c r="C642" s="125">
        <f>IFERROR(yf_data[[#This Row],[Close Price]]/B641-1,0)</f>
        <v>-9.4339085825961844E-3</v>
      </c>
    </row>
    <row r="643" spans="1:3" x14ac:dyDescent="0.15">
      <c r="A643" s="124">
        <v>41757</v>
      </c>
      <c r="B643" s="126">
        <v>43.8284912109375</v>
      </c>
      <c r="C643" s="125">
        <f>IFERROR(yf_data[[#This Row],[Close Price]]/B642-1,0)</f>
        <v>0</v>
      </c>
    </row>
    <row r="644" spans="1:3" x14ac:dyDescent="0.15">
      <c r="A644" s="124">
        <v>41758</v>
      </c>
      <c r="B644" s="126">
        <v>43.558906555175781</v>
      </c>
      <c r="C644" s="125">
        <f>IFERROR(yf_data[[#This Row],[Close Price]]/B643-1,0)</f>
        <v>-6.150899752954353E-3</v>
      </c>
    </row>
    <row r="645" spans="1:3" x14ac:dyDescent="0.15">
      <c r="A645" s="124">
        <v>41759</v>
      </c>
      <c r="B645" s="126">
        <v>43.037139892578125</v>
      </c>
      <c r="C645" s="125">
        <f>IFERROR(yf_data[[#This Row],[Close Price]]/B644-1,0)</f>
        <v>-1.1978415067346537E-2</v>
      </c>
    </row>
    <row r="646" spans="1:3" x14ac:dyDescent="0.15">
      <c r="A646" s="124">
        <v>41760</v>
      </c>
      <c r="B646" s="126">
        <v>43.037139892578125</v>
      </c>
      <c r="C646" s="125">
        <f>IFERROR(yf_data[[#This Row],[Close Price]]/B645-1,0)</f>
        <v>0</v>
      </c>
    </row>
    <row r="647" spans="1:3" x14ac:dyDescent="0.15">
      <c r="A647" s="124">
        <v>41761</v>
      </c>
      <c r="B647" s="126">
        <v>42.828437805175781</v>
      </c>
      <c r="C647" s="125">
        <f>IFERROR(yf_data[[#This Row],[Close Price]]/B646-1,0)</f>
        <v>-4.8493484446984203E-3</v>
      </c>
    </row>
    <row r="648" spans="1:3" x14ac:dyDescent="0.15">
      <c r="A648" s="124">
        <v>41764</v>
      </c>
      <c r="B648" s="126">
        <v>42.728420257568359</v>
      </c>
      <c r="C648" s="125">
        <f>IFERROR(yf_data[[#This Row],[Close Price]]/B647-1,0)</f>
        <v>-2.335306929998171E-3</v>
      </c>
    </row>
    <row r="649" spans="1:3" x14ac:dyDescent="0.15">
      <c r="A649" s="124">
        <v>41765</v>
      </c>
      <c r="B649" s="126">
        <v>42.476242065429688</v>
      </c>
      <c r="C649" s="125">
        <f>IFERROR(yf_data[[#This Row],[Close Price]]/B648-1,0)</f>
        <v>-5.9018842872854416E-3</v>
      </c>
    </row>
    <row r="650" spans="1:3" x14ac:dyDescent="0.15">
      <c r="A650" s="124">
        <v>41766</v>
      </c>
      <c r="B650" s="126">
        <v>42.224048614501953</v>
      </c>
      <c r="C650" s="125">
        <f>IFERROR(yf_data[[#This Row],[Close Price]]/B649-1,0)</f>
        <v>-5.9372825528977158E-3</v>
      </c>
    </row>
    <row r="651" spans="1:3" x14ac:dyDescent="0.15">
      <c r="A651" s="124">
        <v>41767</v>
      </c>
      <c r="B651" s="126">
        <v>42.258834838867188</v>
      </c>
      <c r="C651" s="125">
        <f>IFERROR(yf_data[[#This Row],[Close Price]]/B650-1,0)</f>
        <v>8.2384862434259354E-4</v>
      </c>
    </row>
    <row r="652" spans="1:3" x14ac:dyDescent="0.15">
      <c r="A652" s="124">
        <v>41768</v>
      </c>
      <c r="B652" s="126">
        <v>42.315361022949219</v>
      </c>
      <c r="C652" s="125">
        <f>IFERROR(yf_data[[#This Row],[Close Price]]/B651-1,0)</f>
        <v>1.3376181406223875E-3</v>
      </c>
    </row>
    <row r="653" spans="1:3" x14ac:dyDescent="0.15">
      <c r="A653" s="124">
        <v>41771</v>
      </c>
      <c r="B653" s="126">
        <v>43.037139892578125</v>
      </c>
      <c r="C653" s="125">
        <f>IFERROR(yf_data[[#This Row],[Close Price]]/B652-1,0)</f>
        <v>1.7057136041860987E-2</v>
      </c>
    </row>
    <row r="654" spans="1:3" x14ac:dyDescent="0.15">
      <c r="A654" s="124">
        <v>41772</v>
      </c>
      <c r="B654" s="126">
        <v>45.689464569091797</v>
      </c>
      <c r="C654" s="125">
        <f>IFERROR(yf_data[[#This Row],[Close Price]]/B653-1,0)</f>
        <v>6.1628739343133621E-2</v>
      </c>
    </row>
    <row r="655" spans="1:3" x14ac:dyDescent="0.15">
      <c r="A655" s="124">
        <v>41773</v>
      </c>
      <c r="B655" s="126">
        <v>45.193778991699219</v>
      </c>
      <c r="C655" s="125">
        <f>IFERROR(yf_data[[#This Row],[Close Price]]/B654-1,0)</f>
        <v>-1.0849012613028064E-2</v>
      </c>
    </row>
    <row r="656" spans="1:3" x14ac:dyDescent="0.15">
      <c r="A656" s="124">
        <v>41774</v>
      </c>
      <c r="B656" s="126">
        <v>44.219814300537109</v>
      </c>
      <c r="C656" s="125">
        <f>IFERROR(yf_data[[#This Row],[Close Price]]/B655-1,0)</f>
        <v>-2.1550857504989751E-2</v>
      </c>
    </row>
    <row r="657" spans="1:3" x14ac:dyDescent="0.15">
      <c r="A657" s="124">
        <v>41775</v>
      </c>
      <c r="B657" s="126">
        <v>43.802398681640625</v>
      </c>
      <c r="C657" s="125">
        <f>IFERROR(yf_data[[#This Row],[Close Price]]/B656-1,0)</f>
        <v>-9.4395606471693316E-3</v>
      </c>
    </row>
    <row r="658" spans="1:3" x14ac:dyDescent="0.15">
      <c r="A658" s="124">
        <v>41778</v>
      </c>
      <c r="B658" s="126">
        <v>44.628532409667969</v>
      </c>
      <c r="C658" s="125">
        <f>IFERROR(yf_data[[#This Row],[Close Price]]/B657-1,0)</f>
        <v>1.8860467757296773E-2</v>
      </c>
    </row>
    <row r="659" spans="1:3" x14ac:dyDescent="0.15">
      <c r="A659" s="124">
        <v>41779</v>
      </c>
      <c r="B659" s="126">
        <v>44.002407073974609</v>
      </c>
      <c r="C659" s="125">
        <f>IFERROR(yf_data[[#This Row],[Close Price]]/B658-1,0)</f>
        <v>-1.4029709288798431E-2</v>
      </c>
    </row>
    <row r="660" spans="1:3" x14ac:dyDescent="0.15">
      <c r="A660" s="124">
        <v>41780</v>
      </c>
      <c r="B660" s="126">
        <v>43.811100006103523</v>
      </c>
      <c r="C660" s="125">
        <f>IFERROR(yf_data[[#This Row],[Close Price]]/B659-1,0)</f>
        <v>-4.3476500626311587E-3</v>
      </c>
    </row>
    <row r="661" spans="1:3" x14ac:dyDescent="0.15">
      <c r="A661" s="124">
        <v>41781</v>
      </c>
      <c r="B661" s="126">
        <v>44.39373779296875</v>
      </c>
      <c r="C661" s="125">
        <f>IFERROR(yf_data[[#This Row],[Close Price]]/B660-1,0)</f>
        <v>1.3298862315350712E-2</v>
      </c>
    </row>
    <row r="662" spans="1:3" x14ac:dyDescent="0.15">
      <c r="A662" s="124">
        <v>41782</v>
      </c>
      <c r="B662" s="126">
        <v>44.863327026367188</v>
      </c>
      <c r="C662" s="125">
        <f>IFERROR(yf_data[[#This Row],[Close Price]]/B661-1,0)</f>
        <v>1.0577825989520839E-2</v>
      </c>
    </row>
    <row r="663" spans="1:3" x14ac:dyDescent="0.15">
      <c r="A663" s="124">
        <v>41785</v>
      </c>
      <c r="B663" s="126">
        <v>45.002464294433594</v>
      </c>
      <c r="C663" s="125">
        <f>IFERROR(yf_data[[#This Row],[Close Price]]/B662-1,0)</f>
        <v>3.1013586661692294E-3</v>
      </c>
    </row>
    <row r="664" spans="1:3" x14ac:dyDescent="0.15">
      <c r="A664" s="124">
        <v>41786</v>
      </c>
      <c r="B664" s="126">
        <v>45.863380432128906</v>
      </c>
      <c r="C664" s="125">
        <f>IFERROR(yf_data[[#This Row],[Close Price]]/B663-1,0)</f>
        <v>1.9130422104502331E-2</v>
      </c>
    </row>
    <row r="665" spans="1:3" x14ac:dyDescent="0.15">
      <c r="A665" s="124">
        <v>41787</v>
      </c>
      <c r="B665" s="126">
        <v>46.193828582763672</v>
      </c>
      <c r="C665" s="125">
        <f>IFERROR(yf_data[[#This Row],[Close Price]]/B664-1,0)</f>
        <v>7.2050543924424559E-3</v>
      </c>
    </row>
    <row r="666" spans="1:3" x14ac:dyDescent="0.15">
      <c r="A666" s="124">
        <v>41788</v>
      </c>
      <c r="B666" s="126">
        <v>46.440814971923828</v>
      </c>
      <c r="C666" s="125">
        <f>IFERROR(yf_data[[#This Row],[Close Price]]/B665-1,0)</f>
        <v>5.3467399593787324E-3</v>
      </c>
    </row>
    <row r="667" spans="1:3" x14ac:dyDescent="0.15">
      <c r="A667" s="124">
        <v>41789</v>
      </c>
      <c r="B667" s="126">
        <v>46.405529022216797</v>
      </c>
      <c r="C667" s="125">
        <f>IFERROR(yf_data[[#This Row],[Close Price]]/B666-1,0)</f>
        <v>-7.5980470472714057E-4</v>
      </c>
    </row>
    <row r="668" spans="1:3" x14ac:dyDescent="0.15">
      <c r="A668" s="124">
        <v>41792</v>
      </c>
      <c r="B668" s="126">
        <v>47.005336761474609</v>
      </c>
      <c r="C668" s="125">
        <f>IFERROR(yf_data[[#This Row],[Close Price]]/B667-1,0)</f>
        <v>1.2925350747982067E-2</v>
      </c>
    </row>
    <row r="669" spans="1:3" x14ac:dyDescent="0.15">
      <c r="A669" s="124">
        <v>41793</v>
      </c>
      <c r="B669" s="126">
        <v>46.467277526855469</v>
      </c>
      <c r="C669" s="125">
        <f>IFERROR(yf_data[[#This Row],[Close Price]]/B668-1,0)</f>
        <v>-1.144676906261699E-2</v>
      </c>
    </row>
    <row r="670" spans="1:3" x14ac:dyDescent="0.15">
      <c r="A670" s="124">
        <v>41794</v>
      </c>
      <c r="B670" s="126">
        <v>46.352603912353523</v>
      </c>
      <c r="C670" s="125">
        <f>IFERROR(yf_data[[#This Row],[Close Price]]/B669-1,0)</f>
        <v>-2.4678358751633045E-3</v>
      </c>
    </row>
    <row r="671" spans="1:3" x14ac:dyDescent="0.15">
      <c r="A671" s="124">
        <v>41795</v>
      </c>
      <c r="B671" s="126">
        <v>47.172931671142578</v>
      </c>
      <c r="C671" s="125">
        <f>IFERROR(yf_data[[#This Row],[Close Price]]/B670-1,0)</f>
        <v>1.7697555035746992E-2</v>
      </c>
    </row>
    <row r="672" spans="1:3" x14ac:dyDescent="0.15">
      <c r="A672" s="124">
        <v>41796</v>
      </c>
      <c r="B672" s="126">
        <v>47.358158111572266</v>
      </c>
      <c r="C672" s="125">
        <f>IFERROR(yf_data[[#This Row],[Close Price]]/B671-1,0)</f>
        <v>3.9265407908279926E-3</v>
      </c>
    </row>
    <row r="673" spans="1:3" x14ac:dyDescent="0.15">
      <c r="A673" s="124">
        <v>41799</v>
      </c>
      <c r="B673" s="126">
        <v>46.943592071533203</v>
      </c>
      <c r="C673" s="125">
        <f>IFERROR(yf_data[[#This Row],[Close Price]]/B672-1,0)</f>
        <v>-8.7538463607975681E-3</v>
      </c>
    </row>
    <row r="674" spans="1:3" x14ac:dyDescent="0.15">
      <c r="A674" s="124">
        <v>41800</v>
      </c>
      <c r="B674" s="126">
        <v>47.516933441162109</v>
      </c>
      <c r="C674" s="125">
        <f>IFERROR(yf_data[[#This Row],[Close Price]]/B673-1,0)</f>
        <v>1.2213410698423743E-2</v>
      </c>
    </row>
    <row r="675" spans="1:3" x14ac:dyDescent="0.15">
      <c r="A675" s="124">
        <v>41801</v>
      </c>
      <c r="B675" s="126">
        <v>46.052703857421875</v>
      </c>
      <c r="C675" s="125">
        <f>IFERROR(yf_data[[#This Row],[Close Price]]/B674-1,0)</f>
        <v>-3.0814900661746525E-2</v>
      </c>
    </row>
    <row r="676" spans="1:3" x14ac:dyDescent="0.15">
      <c r="A676" s="124">
        <v>41802</v>
      </c>
      <c r="B676" s="126">
        <v>45.726337432861328</v>
      </c>
      <c r="C676" s="125">
        <f>IFERROR(yf_data[[#This Row],[Close Price]]/B675-1,0)</f>
        <v>-7.0868026678948537E-3</v>
      </c>
    </row>
    <row r="677" spans="1:3" x14ac:dyDescent="0.15">
      <c r="A677" s="124">
        <v>41803</v>
      </c>
      <c r="B677" s="126">
        <v>45.232379913330078</v>
      </c>
      <c r="C677" s="125">
        <f>IFERROR(yf_data[[#This Row],[Close Price]]/B676-1,0)</f>
        <v>-1.0802472869306801E-2</v>
      </c>
    </row>
    <row r="678" spans="1:3" x14ac:dyDescent="0.15">
      <c r="A678" s="124">
        <v>41806</v>
      </c>
      <c r="B678" s="126">
        <v>44.579654693603523</v>
      </c>
      <c r="C678" s="125">
        <f>IFERROR(yf_data[[#This Row],[Close Price]]/B677-1,0)</f>
        <v>-1.44304858815133E-2</v>
      </c>
    </row>
    <row r="679" spans="1:3" x14ac:dyDescent="0.15">
      <c r="A679" s="124">
        <v>41807</v>
      </c>
      <c r="B679" s="126">
        <v>44.756065368652344</v>
      </c>
      <c r="C679" s="125">
        <f>IFERROR(yf_data[[#This Row],[Close Price]]/B678-1,0)</f>
        <v>3.9572014691744428E-3</v>
      </c>
    </row>
    <row r="680" spans="1:3" x14ac:dyDescent="0.15">
      <c r="A680" s="124">
        <v>41808</v>
      </c>
      <c r="B680" s="126">
        <v>44.209186553955078</v>
      </c>
      <c r="C680" s="125">
        <f>IFERROR(yf_data[[#This Row],[Close Price]]/B679-1,0)</f>
        <v>-1.2219099471606043E-2</v>
      </c>
    </row>
    <row r="681" spans="1:3" x14ac:dyDescent="0.15">
      <c r="A681" s="124">
        <v>41809</v>
      </c>
      <c r="B681" s="126">
        <v>44.632572174072266</v>
      </c>
      <c r="C681" s="125">
        <f>IFERROR(yf_data[[#This Row],[Close Price]]/B680-1,0)</f>
        <v>9.5768697214202447E-3</v>
      </c>
    </row>
    <row r="682" spans="1:3" x14ac:dyDescent="0.15">
      <c r="A682" s="124">
        <v>41810</v>
      </c>
      <c r="B682" s="126">
        <v>44.270927429199219</v>
      </c>
      <c r="C682" s="125">
        <f>IFERROR(yf_data[[#This Row],[Close Price]]/B681-1,0)</f>
        <v>-8.1027090140041169E-3</v>
      </c>
    </row>
    <row r="683" spans="1:3" x14ac:dyDescent="0.15">
      <c r="A683" s="124">
        <v>41813</v>
      </c>
      <c r="B683" s="126">
        <v>43.534400939941406</v>
      </c>
      <c r="C683" s="125">
        <f>IFERROR(yf_data[[#This Row],[Close Price]]/B682-1,0)</f>
        <v>-1.6636798278863996E-2</v>
      </c>
    </row>
    <row r="684" spans="1:3" x14ac:dyDescent="0.15">
      <c r="A684" s="124">
        <v>41814</v>
      </c>
      <c r="B684" s="126">
        <v>43.221271514892578</v>
      </c>
      <c r="C684" s="125">
        <f>IFERROR(yf_data[[#This Row],[Close Price]]/B683-1,0)</f>
        <v>-7.1926894200475822E-3</v>
      </c>
    </row>
    <row r="685" spans="1:3" x14ac:dyDescent="0.15">
      <c r="A685" s="124">
        <v>41815</v>
      </c>
      <c r="B685" s="126">
        <v>43.265373229980469</v>
      </c>
      <c r="C685" s="125">
        <f>IFERROR(yf_data[[#This Row],[Close Price]]/B684-1,0)</f>
        <v>1.0203706078544261E-3</v>
      </c>
    </row>
    <row r="686" spans="1:3" x14ac:dyDescent="0.15">
      <c r="A686" s="124">
        <v>41816</v>
      </c>
      <c r="B686" s="126">
        <v>42.811111450195312</v>
      </c>
      <c r="C686" s="125">
        <f>IFERROR(yf_data[[#This Row],[Close Price]]/B685-1,0)</f>
        <v>-1.049943051156621E-2</v>
      </c>
    </row>
    <row r="687" spans="1:3" x14ac:dyDescent="0.15">
      <c r="A687" s="124">
        <v>41817</v>
      </c>
      <c r="B687" s="126">
        <v>43.477069854736328</v>
      </c>
      <c r="C687" s="125">
        <f>IFERROR(yf_data[[#This Row],[Close Price]]/B686-1,0)</f>
        <v>1.5555737330383623E-2</v>
      </c>
    </row>
    <row r="688" spans="1:3" x14ac:dyDescent="0.15">
      <c r="A688" s="124">
        <v>41820</v>
      </c>
      <c r="B688" s="126">
        <v>43.168350219726562</v>
      </c>
      <c r="C688" s="125">
        <f>IFERROR(yf_data[[#This Row],[Close Price]]/B687-1,0)</f>
        <v>-7.1007461183848486E-3</v>
      </c>
    </row>
    <row r="689" spans="1:3" x14ac:dyDescent="0.15">
      <c r="A689" s="124">
        <v>41821</v>
      </c>
      <c r="B689" s="126">
        <v>42.290687561035149</v>
      </c>
      <c r="C689" s="125">
        <f>IFERROR(yf_data[[#This Row],[Close Price]]/B688-1,0)</f>
        <v>-2.0331160542946813E-2</v>
      </c>
    </row>
    <row r="690" spans="1:3" x14ac:dyDescent="0.15">
      <c r="A690" s="124">
        <v>41822</v>
      </c>
      <c r="B690" s="126">
        <v>41.712936401367188</v>
      </c>
      <c r="C690" s="125">
        <f>IFERROR(yf_data[[#This Row],[Close Price]]/B689-1,0)</f>
        <v>-1.3661427443905527E-2</v>
      </c>
    </row>
    <row r="691" spans="1:3" x14ac:dyDescent="0.15">
      <c r="A691" s="124">
        <v>41823</v>
      </c>
      <c r="B691" s="126">
        <v>42.131916046142578</v>
      </c>
      <c r="C691" s="125">
        <f>IFERROR(yf_data[[#This Row],[Close Price]]/B690-1,0)</f>
        <v>1.0044357480468724E-2</v>
      </c>
    </row>
    <row r="692" spans="1:3" x14ac:dyDescent="0.15">
      <c r="A692" s="124">
        <v>41824</v>
      </c>
      <c r="B692" s="126">
        <v>42.317146301269531</v>
      </c>
      <c r="C692" s="125">
        <f>IFERROR(yf_data[[#This Row],[Close Price]]/B691-1,0)</f>
        <v>4.3964355887373685E-3</v>
      </c>
    </row>
    <row r="693" spans="1:3" x14ac:dyDescent="0.15">
      <c r="A693" s="124">
        <v>41827</v>
      </c>
      <c r="B693" s="126">
        <v>41.682064056396477</v>
      </c>
      <c r="C693" s="125">
        <f>IFERROR(yf_data[[#This Row],[Close Price]]/B692-1,0)</f>
        <v>-1.5007681291921204E-2</v>
      </c>
    </row>
    <row r="694" spans="1:3" x14ac:dyDescent="0.15">
      <c r="A694" s="124">
        <v>41828</v>
      </c>
      <c r="B694" s="126">
        <v>41.329231262207031</v>
      </c>
      <c r="C694" s="125">
        <f>IFERROR(yf_data[[#This Row],[Close Price]]/B693-1,0)</f>
        <v>-8.4648589789617645E-3</v>
      </c>
    </row>
    <row r="695" spans="1:3" x14ac:dyDescent="0.15">
      <c r="A695" s="124">
        <v>41829</v>
      </c>
      <c r="B695" s="126">
        <v>41.4615478515625</v>
      </c>
      <c r="C695" s="125">
        <f>IFERROR(yf_data[[#This Row],[Close Price]]/B694-1,0)</f>
        <v>3.2015255380872798E-3</v>
      </c>
    </row>
    <row r="696" spans="1:3" x14ac:dyDescent="0.15">
      <c r="A696" s="124">
        <v>41830</v>
      </c>
      <c r="B696" s="126">
        <v>41.293952941894531</v>
      </c>
      <c r="C696" s="125">
        <f>IFERROR(yf_data[[#This Row],[Close Price]]/B695-1,0)</f>
        <v>-4.0421768687454174E-3</v>
      </c>
    </row>
    <row r="697" spans="1:3" x14ac:dyDescent="0.15">
      <c r="A697" s="124">
        <v>41831</v>
      </c>
      <c r="B697" s="126">
        <v>41.554161071777344</v>
      </c>
      <c r="C697" s="125">
        <f>IFERROR(yf_data[[#This Row],[Close Price]]/B696-1,0)</f>
        <v>6.3013616121700977E-3</v>
      </c>
    </row>
    <row r="698" spans="1:3" x14ac:dyDescent="0.15">
      <c r="A698" s="124">
        <v>41834</v>
      </c>
      <c r="B698" s="126">
        <v>41.576213836669922</v>
      </c>
      <c r="C698" s="125">
        <f>IFERROR(yf_data[[#This Row],[Close Price]]/B697-1,0)</f>
        <v>5.3069931683813465E-4</v>
      </c>
    </row>
    <row r="699" spans="1:3" x14ac:dyDescent="0.15">
      <c r="A699" s="124">
        <v>41835</v>
      </c>
      <c r="B699" s="126">
        <v>41.020511627197266</v>
      </c>
      <c r="C699" s="125">
        <f>IFERROR(yf_data[[#This Row],[Close Price]]/B698-1,0)</f>
        <v>-1.3365868562628225E-2</v>
      </c>
    </row>
    <row r="700" spans="1:3" x14ac:dyDescent="0.15">
      <c r="A700" s="124">
        <v>41836</v>
      </c>
      <c r="B700" s="126">
        <v>40.010547637939453</v>
      </c>
      <c r="C700" s="125">
        <f>IFERROR(yf_data[[#This Row],[Close Price]]/B699-1,0)</f>
        <v>-2.4620950573132072E-2</v>
      </c>
    </row>
    <row r="701" spans="1:3" x14ac:dyDescent="0.15">
      <c r="A701" s="124">
        <v>41837</v>
      </c>
      <c r="B701" s="126">
        <v>39.675361633300781</v>
      </c>
      <c r="C701" s="125">
        <f>IFERROR(yf_data[[#This Row],[Close Price]]/B700-1,0)</f>
        <v>-8.377441060587687E-3</v>
      </c>
    </row>
    <row r="702" spans="1:3" x14ac:dyDescent="0.15">
      <c r="A702" s="124">
        <v>41838</v>
      </c>
      <c r="B702" s="126">
        <v>39.234329223632812</v>
      </c>
      <c r="C702" s="125">
        <f>IFERROR(yf_data[[#This Row],[Close Price]]/B701-1,0)</f>
        <v>-1.1116027466723688E-2</v>
      </c>
    </row>
    <row r="703" spans="1:3" x14ac:dyDescent="0.15">
      <c r="A703" s="124">
        <v>41841</v>
      </c>
      <c r="B703" s="126">
        <v>38.184665679931641</v>
      </c>
      <c r="C703" s="125">
        <f>IFERROR(yf_data[[#This Row],[Close Price]]/B702-1,0)</f>
        <v>-2.6753701782899486E-2</v>
      </c>
    </row>
    <row r="704" spans="1:3" x14ac:dyDescent="0.15">
      <c r="A704" s="124">
        <v>41842</v>
      </c>
      <c r="B704" s="126">
        <v>39.168170928955078</v>
      </c>
      <c r="C704" s="125">
        <f>IFERROR(yf_data[[#This Row],[Close Price]]/B703-1,0)</f>
        <v>2.5756549952991481E-2</v>
      </c>
    </row>
    <row r="705" spans="1:3" x14ac:dyDescent="0.15">
      <c r="A705" s="124">
        <v>41843</v>
      </c>
      <c r="B705" s="126">
        <v>39.626846313476562</v>
      </c>
      <c r="C705" s="125">
        <f>IFERROR(yf_data[[#This Row],[Close Price]]/B704-1,0)</f>
        <v>1.1710411123191156E-2</v>
      </c>
    </row>
    <row r="706" spans="1:3" x14ac:dyDescent="0.15">
      <c r="A706" s="124">
        <v>41844</v>
      </c>
      <c r="B706" s="126">
        <v>40.010547637939453</v>
      </c>
      <c r="C706" s="125">
        <f>IFERROR(yf_data[[#This Row],[Close Price]]/B705-1,0)</f>
        <v>9.682863012300702E-3</v>
      </c>
    </row>
    <row r="707" spans="1:3" x14ac:dyDescent="0.15">
      <c r="A707" s="124">
        <v>41845</v>
      </c>
      <c r="B707" s="126">
        <v>39.251964569091797</v>
      </c>
      <c r="C707" s="125">
        <f>IFERROR(yf_data[[#This Row],[Close Price]]/B706-1,0)</f>
        <v>-1.8959577252282811E-2</v>
      </c>
    </row>
    <row r="708" spans="1:3" x14ac:dyDescent="0.15">
      <c r="A708" s="124">
        <v>41848</v>
      </c>
      <c r="B708" s="126">
        <v>38.828578948974609</v>
      </c>
      <c r="C708" s="125">
        <f>IFERROR(yf_data[[#This Row],[Close Price]]/B707-1,0)</f>
        <v>-1.0786354893700612E-2</v>
      </c>
    </row>
    <row r="709" spans="1:3" x14ac:dyDescent="0.15">
      <c r="A709" s="124">
        <v>41849</v>
      </c>
      <c r="B709" s="126">
        <v>38.533084869384766</v>
      </c>
      <c r="C709" s="125">
        <f>IFERROR(yf_data[[#This Row],[Close Price]]/B708-1,0)</f>
        <v>-7.6102213263626872E-3</v>
      </c>
    </row>
    <row r="710" spans="1:3" x14ac:dyDescent="0.15">
      <c r="A710" s="124">
        <v>41850</v>
      </c>
      <c r="B710" s="126">
        <v>39.693000793457031</v>
      </c>
      <c r="C710" s="125">
        <f>IFERROR(yf_data[[#This Row],[Close Price]]/B709-1,0)</f>
        <v>3.0101818424453253E-2</v>
      </c>
    </row>
    <row r="711" spans="1:3" x14ac:dyDescent="0.15">
      <c r="A711" s="124">
        <v>41851</v>
      </c>
      <c r="B711" s="126">
        <v>38.246406555175781</v>
      </c>
      <c r="C711" s="125">
        <f>IFERROR(yf_data[[#This Row],[Close Price]]/B710-1,0)</f>
        <v>-3.6444567288037022E-2</v>
      </c>
    </row>
    <row r="712" spans="1:3" x14ac:dyDescent="0.15">
      <c r="A712" s="124">
        <v>41852</v>
      </c>
      <c r="B712" s="126">
        <v>37.642196655273438</v>
      </c>
      <c r="C712" s="125">
        <f>IFERROR(yf_data[[#This Row],[Close Price]]/B711-1,0)</f>
        <v>-1.5797821398742085E-2</v>
      </c>
    </row>
    <row r="713" spans="1:3" x14ac:dyDescent="0.15">
      <c r="A713" s="124">
        <v>41855</v>
      </c>
      <c r="B713" s="126">
        <v>37.567218780517578</v>
      </c>
      <c r="C713" s="125">
        <f>IFERROR(yf_data[[#This Row],[Close Price]]/B712-1,0)</f>
        <v>-1.9918570492181153E-3</v>
      </c>
    </row>
    <row r="714" spans="1:3" x14ac:dyDescent="0.15">
      <c r="A714" s="124">
        <v>41856</v>
      </c>
      <c r="B714" s="126">
        <v>37.443729400634766</v>
      </c>
      <c r="C714" s="125">
        <f>IFERROR(yf_data[[#This Row],[Close Price]]/B713-1,0)</f>
        <v>-3.2871578970028459E-3</v>
      </c>
    </row>
    <row r="715" spans="1:3" x14ac:dyDescent="0.15">
      <c r="A715" s="124">
        <v>41857</v>
      </c>
      <c r="B715" s="126">
        <v>37.915637969970703</v>
      </c>
      <c r="C715" s="125">
        <f>IFERROR(yf_data[[#This Row],[Close Price]]/B714-1,0)</f>
        <v>1.2603140148960135E-2</v>
      </c>
    </row>
    <row r="716" spans="1:3" x14ac:dyDescent="0.15">
      <c r="A716" s="124">
        <v>41858</v>
      </c>
      <c r="B716" s="126">
        <v>37.540760040283203</v>
      </c>
      <c r="C716" s="125">
        <f>IFERROR(yf_data[[#This Row],[Close Price]]/B715-1,0)</f>
        <v>-9.8871586964830449E-3</v>
      </c>
    </row>
    <row r="717" spans="1:3" x14ac:dyDescent="0.15">
      <c r="A717" s="124">
        <v>41859</v>
      </c>
      <c r="B717" s="126">
        <v>37.236446380615234</v>
      </c>
      <c r="C717" s="125">
        <f>IFERROR(yf_data[[#This Row],[Close Price]]/B716-1,0)</f>
        <v>-8.1062199950513447E-3</v>
      </c>
    </row>
    <row r="718" spans="1:3" x14ac:dyDescent="0.15">
      <c r="A718" s="124">
        <v>41862</v>
      </c>
      <c r="B718" s="126">
        <v>38.233180999755859</v>
      </c>
      <c r="C718" s="125">
        <f>IFERROR(yf_data[[#This Row],[Close Price]]/B717-1,0)</f>
        <v>2.6767715934878034E-2</v>
      </c>
    </row>
    <row r="719" spans="1:3" x14ac:dyDescent="0.15">
      <c r="A719" s="124">
        <v>41863</v>
      </c>
      <c r="B719" s="126">
        <v>37.977382659912109</v>
      </c>
      <c r="C719" s="125">
        <f>IFERROR(yf_data[[#This Row],[Close Price]]/B718-1,0)</f>
        <v>-6.6904801838325589E-3</v>
      </c>
    </row>
    <row r="720" spans="1:3" x14ac:dyDescent="0.15">
      <c r="A720" s="124">
        <v>41864</v>
      </c>
      <c r="B720" s="126">
        <v>38.012664794921875</v>
      </c>
      <c r="C720" s="125">
        <f>IFERROR(yf_data[[#This Row],[Close Price]]/B719-1,0)</f>
        <v>9.2903018951351335E-4</v>
      </c>
    </row>
    <row r="721" spans="1:3" x14ac:dyDescent="0.15">
      <c r="A721" s="124">
        <v>41865</v>
      </c>
      <c r="B721" s="126">
        <v>38.462516784667969</v>
      </c>
      <c r="C721" s="125">
        <f>IFERROR(yf_data[[#This Row],[Close Price]]/B720-1,0)</f>
        <v>1.1834266084028711E-2</v>
      </c>
    </row>
    <row r="722" spans="1:3" x14ac:dyDescent="0.15">
      <c r="A722" s="124">
        <v>41866</v>
      </c>
      <c r="B722" s="126">
        <v>38.343441009521491</v>
      </c>
      <c r="C722" s="125">
        <f>IFERROR(yf_data[[#This Row],[Close Price]]/B721-1,0)</f>
        <v>-3.0958914054720621E-3</v>
      </c>
    </row>
    <row r="723" spans="1:3" x14ac:dyDescent="0.15">
      <c r="A723" s="124">
        <v>41869</v>
      </c>
      <c r="B723" s="126">
        <v>38.925601959228509</v>
      </c>
      <c r="C723" s="125">
        <f>IFERROR(yf_data[[#This Row],[Close Price]]/B722-1,0)</f>
        <v>1.5182804004534978E-2</v>
      </c>
    </row>
    <row r="724" spans="1:3" x14ac:dyDescent="0.15">
      <c r="A724" s="124">
        <v>41870</v>
      </c>
      <c r="B724" s="126">
        <v>39.388687133789062</v>
      </c>
      <c r="C724" s="125">
        <f>IFERROR(yf_data[[#This Row],[Close Price]]/B723-1,0)</f>
        <v>1.189667342962597E-2</v>
      </c>
    </row>
    <row r="725" spans="1:3" x14ac:dyDescent="0.15">
      <c r="A725" s="124">
        <v>41871</v>
      </c>
      <c r="B725" s="126">
        <v>39.251964569091797</v>
      </c>
      <c r="C725" s="125">
        <f>IFERROR(yf_data[[#This Row],[Close Price]]/B724-1,0)</f>
        <v>-3.4711125108808361E-3</v>
      </c>
    </row>
    <row r="726" spans="1:3" x14ac:dyDescent="0.15">
      <c r="A726" s="124">
        <v>41872</v>
      </c>
      <c r="B726" s="126">
        <v>39.415149688720703</v>
      </c>
      <c r="C726" s="125">
        <f>IFERROR(yf_data[[#This Row],[Close Price]]/B725-1,0)</f>
        <v>4.1573745778167304E-3</v>
      </c>
    </row>
    <row r="727" spans="1:3" x14ac:dyDescent="0.15">
      <c r="A727" s="124">
        <v>41873</v>
      </c>
      <c r="B727" s="126">
        <v>39.454845428466797</v>
      </c>
      <c r="C727" s="125">
        <f>IFERROR(yf_data[[#This Row],[Close Price]]/B726-1,0)</f>
        <v>1.0071188377969165E-3</v>
      </c>
    </row>
    <row r="728" spans="1:3" x14ac:dyDescent="0.15">
      <c r="A728" s="124">
        <v>41876</v>
      </c>
      <c r="B728" s="126">
        <v>40.526554107666016</v>
      </c>
      <c r="C728" s="125">
        <f>IFERROR(yf_data[[#This Row],[Close Price]]/B727-1,0)</f>
        <v>2.716291668515769E-2</v>
      </c>
    </row>
    <row r="729" spans="1:3" x14ac:dyDescent="0.15">
      <c r="A729" s="124">
        <v>41877</v>
      </c>
      <c r="B729" s="126">
        <v>41.055789947509766</v>
      </c>
      <c r="C729" s="125">
        <f>IFERROR(yf_data[[#This Row],[Close Price]]/B728-1,0)</f>
        <v>1.3058989383546882E-2</v>
      </c>
    </row>
    <row r="730" spans="1:3" x14ac:dyDescent="0.15">
      <c r="A730" s="124">
        <v>41878</v>
      </c>
      <c r="B730" s="126">
        <v>41.249847412109375</v>
      </c>
      <c r="C730" s="125">
        <f>IFERROR(yf_data[[#This Row],[Close Price]]/B729-1,0)</f>
        <v>4.7266771592437973E-3</v>
      </c>
    </row>
    <row r="731" spans="1:3" x14ac:dyDescent="0.15">
      <c r="A731" s="124">
        <v>41879</v>
      </c>
      <c r="B731" s="126">
        <v>41.10430908203125</v>
      </c>
      <c r="C731" s="125">
        <f>IFERROR(yf_data[[#This Row],[Close Price]]/B730-1,0)</f>
        <v>-3.5282149925093265E-3</v>
      </c>
    </row>
    <row r="732" spans="1:3" x14ac:dyDescent="0.15">
      <c r="A732" s="124">
        <v>41880</v>
      </c>
      <c r="B732" s="126">
        <v>41.285129547119141</v>
      </c>
      <c r="C732" s="125">
        <f>IFERROR(yf_data[[#This Row],[Close Price]]/B731-1,0)</f>
        <v>4.3990634832720144E-3</v>
      </c>
    </row>
    <row r="733" spans="1:3" x14ac:dyDescent="0.15">
      <c r="A733" s="124">
        <v>41883</v>
      </c>
      <c r="B733" s="126">
        <v>41.280723571777344</v>
      </c>
      <c r="C733" s="125">
        <f>IFERROR(yf_data[[#This Row],[Close Price]]/B732-1,0)</f>
        <v>-1.0672063743355498E-4</v>
      </c>
    </row>
    <row r="734" spans="1:3" x14ac:dyDescent="0.15">
      <c r="A734" s="124">
        <v>41884</v>
      </c>
      <c r="B734" s="126">
        <v>41.457138061523438</v>
      </c>
      <c r="C734" s="125">
        <f>IFERROR(yf_data[[#This Row],[Close Price]]/B733-1,0)</f>
        <v>4.2735319171272046E-3</v>
      </c>
    </row>
    <row r="735" spans="1:3" x14ac:dyDescent="0.15">
      <c r="A735" s="124">
        <v>41885</v>
      </c>
      <c r="B735" s="126">
        <v>41.752628326416016</v>
      </c>
      <c r="C735" s="125">
        <f>IFERROR(yf_data[[#This Row],[Close Price]]/B734-1,0)</f>
        <v>7.12760886808117E-3</v>
      </c>
    </row>
    <row r="736" spans="1:3" x14ac:dyDescent="0.15">
      <c r="A736" s="124">
        <v>41886</v>
      </c>
      <c r="B736" s="126">
        <v>43.111011505126953</v>
      </c>
      <c r="C736" s="125">
        <f>IFERROR(yf_data[[#This Row],[Close Price]]/B735-1,0)</f>
        <v>3.2534075893170034E-2</v>
      </c>
    </row>
    <row r="737" spans="1:3" x14ac:dyDescent="0.15">
      <c r="A737" s="124">
        <v>41887</v>
      </c>
      <c r="B737" s="126">
        <v>43.388858795166016</v>
      </c>
      <c r="C737" s="125">
        <f>IFERROR(yf_data[[#This Row],[Close Price]]/B736-1,0)</f>
        <v>6.4449262575529964E-3</v>
      </c>
    </row>
    <row r="738" spans="1:3" x14ac:dyDescent="0.15">
      <c r="A738" s="124">
        <v>41890</v>
      </c>
      <c r="B738" s="126">
        <v>43.124237060546875</v>
      </c>
      <c r="C738" s="125">
        <f>IFERROR(yf_data[[#This Row],[Close Price]]/B737-1,0)</f>
        <v>-6.0988406233127845E-3</v>
      </c>
    </row>
    <row r="739" spans="1:3" x14ac:dyDescent="0.15">
      <c r="A739" s="124">
        <v>41891</v>
      </c>
      <c r="B739" s="126">
        <v>42.859619140625</v>
      </c>
      <c r="C739" s="125">
        <f>IFERROR(yf_data[[#This Row],[Close Price]]/B738-1,0)</f>
        <v>-6.1361762655730567E-3</v>
      </c>
    </row>
    <row r="740" spans="1:3" x14ac:dyDescent="0.15">
      <c r="A740" s="124">
        <v>41892</v>
      </c>
      <c r="B740" s="126">
        <v>42.692024230957031</v>
      </c>
      <c r="C740" s="125">
        <f>IFERROR(yf_data[[#This Row],[Close Price]]/B739-1,0)</f>
        <v>-3.9103219540537193E-3</v>
      </c>
    </row>
    <row r="741" spans="1:3" x14ac:dyDescent="0.15">
      <c r="A741" s="124">
        <v>41893</v>
      </c>
      <c r="B741" s="126">
        <v>42.520027160644531</v>
      </c>
      <c r="C741" s="125">
        <f>IFERROR(yf_data[[#This Row],[Close Price]]/B740-1,0)</f>
        <v>-4.0287869551938194E-3</v>
      </c>
    </row>
    <row r="742" spans="1:3" x14ac:dyDescent="0.15">
      <c r="A742" s="124">
        <v>41894</v>
      </c>
      <c r="B742" s="126">
        <v>42.780235290527344</v>
      </c>
      <c r="C742" s="125">
        <f>IFERROR(yf_data[[#This Row],[Close Price]]/B741-1,0)</f>
        <v>6.1196604813944511E-3</v>
      </c>
    </row>
    <row r="743" spans="1:3" x14ac:dyDescent="0.15">
      <c r="A743" s="124">
        <v>41897</v>
      </c>
      <c r="B743" s="126">
        <v>43.150699615478509</v>
      </c>
      <c r="C743" s="125">
        <f>IFERROR(yf_data[[#This Row],[Close Price]]/B742-1,0)</f>
        <v>8.6597075129504208E-3</v>
      </c>
    </row>
    <row r="744" spans="1:3" x14ac:dyDescent="0.15">
      <c r="A744" s="124">
        <v>41898</v>
      </c>
      <c r="B744" s="126">
        <v>43.283012390136719</v>
      </c>
      <c r="C744" s="125">
        <f>IFERROR(yf_data[[#This Row],[Close Price]]/B743-1,0)</f>
        <v>3.0662950041890902E-3</v>
      </c>
    </row>
    <row r="745" spans="1:3" x14ac:dyDescent="0.15">
      <c r="A745" s="124">
        <v>41899</v>
      </c>
      <c r="B745" s="126">
        <v>43.044853210449219</v>
      </c>
      <c r="C745" s="125">
        <f>IFERROR(yf_data[[#This Row],[Close Price]]/B744-1,0)</f>
        <v>-5.502370711650606E-3</v>
      </c>
    </row>
    <row r="746" spans="1:3" x14ac:dyDescent="0.15">
      <c r="A746" s="124">
        <v>41900</v>
      </c>
      <c r="B746" s="126">
        <v>43.706409454345703</v>
      </c>
      <c r="C746" s="125">
        <f>IFERROR(yf_data[[#This Row],[Close Price]]/B745-1,0)</f>
        <v>1.5368997558478981E-2</v>
      </c>
    </row>
    <row r="747" spans="1:3" x14ac:dyDescent="0.15">
      <c r="A747" s="124">
        <v>41901</v>
      </c>
      <c r="B747" s="126">
        <v>43.55645751953125</v>
      </c>
      <c r="C747" s="125">
        <f>IFERROR(yf_data[[#This Row],[Close Price]]/B746-1,0)</f>
        <v>-3.4308911824726396E-3</v>
      </c>
    </row>
    <row r="748" spans="1:3" x14ac:dyDescent="0.15">
      <c r="A748" s="124">
        <v>41904</v>
      </c>
      <c r="B748" s="126">
        <v>43.366809844970703</v>
      </c>
      <c r="C748" s="125">
        <f>IFERROR(yf_data[[#This Row],[Close Price]]/B747-1,0)</f>
        <v>-4.354065627938275E-3</v>
      </c>
    </row>
    <row r="749" spans="1:3" x14ac:dyDescent="0.15">
      <c r="A749" s="124">
        <v>41905</v>
      </c>
      <c r="B749" s="126">
        <v>41.898166656494141</v>
      </c>
      <c r="C749" s="125">
        <f>IFERROR(yf_data[[#This Row],[Close Price]]/B748-1,0)</f>
        <v>-3.3865603527829746E-2</v>
      </c>
    </row>
    <row r="750" spans="1:3" x14ac:dyDescent="0.15">
      <c r="A750" s="124">
        <v>41906</v>
      </c>
      <c r="B750" s="126">
        <v>41.933448791503906</v>
      </c>
      <c r="C750" s="125">
        <f>IFERROR(yf_data[[#This Row],[Close Price]]/B749-1,0)</f>
        <v>8.420925740981744E-4</v>
      </c>
    </row>
    <row r="751" spans="1:3" x14ac:dyDescent="0.15">
      <c r="A751" s="124">
        <v>41907</v>
      </c>
      <c r="B751" s="126">
        <v>42.850799560546875</v>
      </c>
      <c r="C751" s="125">
        <f>IFERROR(yf_data[[#This Row],[Close Price]]/B750-1,0)</f>
        <v>2.1876349202854861E-2</v>
      </c>
    </row>
    <row r="752" spans="1:3" x14ac:dyDescent="0.15">
      <c r="A752" s="124">
        <v>41908</v>
      </c>
      <c r="B752" s="126">
        <v>43.521175384521491</v>
      </c>
      <c r="C752" s="125">
        <f>IFERROR(yf_data[[#This Row],[Close Price]]/B751-1,0)</f>
        <v>1.5644418093701873E-2</v>
      </c>
    </row>
    <row r="753" spans="1:3" x14ac:dyDescent="0.15">
      <c r="A753" s="124">
        <v>41911</v>
      </c>
      <c r="B753" s="126">
        <v>42.828746795654297</v>
      </c>
      <c r="C753" s="125">
        <f>IFERROR(yf_data[[#This Row],[Close Price]]/B752-1,0)</f>
        <v>-1.5910153683796446E-2</v>
      </c>
    </row>
    <row r="754" spans="1:3" x14ac:dyDescent="0.15">
      <c r="A754" s="124">
        <v>41912</v>
      </c>
      <c r="B754" s="126">
        <v>43.944561004638672</v>
      </c>
      <c r="C754" s="125">
        <f>IFERROR(yf_data[[#This Row],[Close Price]]/B753-1,0)</f>
        <v>2.6052926888292527E-2</v>
      </c>
    </row>
    <row r="755" spans="1:3" x14ac:dyDescent="0.15">
      <c r="A755" s="124">
        <v>41913</v>
      </c>
      <c r="B755" s="126">
        <v>43.300655364990234</v>
      </c>
      <c r="C755" s="125">
        <f>IFERROR(yf_data[[#This Row],[Close Price]]/B754-1,0)</f>
        <v>-1.4652681126578249E-2</v>
      </c>
    </row>
    <row r="756" spans="1:3" x14ac:dyDescent="0.15">
      <c r="A756" s="124">
        <v>41914</v>
      </c>
      <c r="B756" s="126">
        <v>42.224536895751953</v>
      </c>
      <c r="C756" s="125">
        <f>IFERROR(yf_data[[#This Row],[Close Price]]/B755-1,0)</f>
        <v>-2.4852244386775579E-2</v>
      </c>
    </row>
    <row r="757" spans="1:3" x14ac:dyDescent="0.15">
      <c r="A757" s="124">
        <v>41915</v>
      </c>
      <c r="B757" s="126">
        <v>43.732868194580078</v>
      </c>
      <c r="C757" s="125">
        <f>IFERROR(yf_data[[#This Row],[Close Price]]/B756-1,0)</f>
        <v>3.5721677719095846E-2</v>
      </c>
    </row>
    <row r="758" spans="1:3" x14ac:dyDescent="0.15">
      <c r="A758" s="124">
        <v>41918</v>
      </c>
      <c r="B758" s="126">
        <v>44.037178039550781</v>
      </c>
      <c r="C758" s="125">
        <f>IFERROR(yf_data[[#This Row],[Close Price]]/B757-1,0)</f>
        <v>6.9583783898357066E-3</v>
      </c>
    </row>
    <row r="759" spans="1:3" x14ac:dyDescent="0.15">
      <c r="A759" s="124">
        <v>41919</v>
      </c>
      <c r="B759" s="126">
        <v>42.877262115478509</v>
      </c>
      <c r="C759" s="125">
        <f>IFERROR(yf_data[[#This Row],[Close Price]]/B758-1,0)</f>
        <v>-2.6339469868630672E-2</v>
      </c>
    </row>
    <row r="760" spans="1:3" x14ac:dyDescent="0.15">
      <c r="A760" s="124">
        <v>41920</v>
      </c>
      <c r="B760" s="126">
        <v>41.968734741210938</v>
      </c>
      <c r="C760" s="125">
        <f>IFERROR(yf_data[[#This Row],[Close Price]]/B759-1,0)</f>
        <v>-2.1189024892043995E-2</v>
      </c>
    </row>
    <row r="761" spans="1:3" x14ac:dyDescent="0.15">
      <c r="A761" s="124">
        <v>41921</v>
      </c>
      <c r="B761" s="126">
        <v>40.266345977783203</v>
      </c>
      <c r="C761" s="125">
        <f>IFERROR(yf_data[[#This Row],[Close Price]]/B760-1,0)</f>
        <v>-4.0563261530876749E-2</v>
      </c>
    </row>
    <row r="762" spans="1:3" x14ac:dyDescent="0.15">
      <c r="A762" s="124">
        <v>41922</v>
      </c>
      <c r="B762" s="126">
        <v>40.081111907958984</v>
      </c>
      <c r="C762" s="125">
        <f>IFERROR(yf_data[[#This Row],[Close Price]]/B761-1,0)</f>
        <v>-4.6002204899948662E-3</v>
      </c>
    </row>
    <row r="763" spans="1:3" x14ac:dyDescent="0.15">
      <c r="A763" s="124">
        <v>41925</v>
      </c>
      <c r="B763" s="126">
        <v>40.094348907470703</v>
      </c>
      <c r="C763" s="125">
        <f>IFERROR(yf_data[[#This Row],[Close Price]]/B762-1,0)</f>
        <v>3.3025529686181443E-4</v>
      </c>
    </row>
    <row r="764" spans="1:3" x14ac:dyDescent="0.15">
      <c r="A764" s="124">
        <v>41926</v>
      </c>
      <c r="B764" s="126">
        <v>40.49127197265625</v>
      </c>
      <c r="C764" s="125">
        <f>IFERROR(yf_data[[#This Row],[Close Price]]/B763-1,0)</f>
        <v>9.8997259215147793E-3</v>
      </c>
    </row>
    <row r="765" spans="1:3" x14ac:dyDescent="0.15">
      <c r="A765" s="124">
        <v>41927</v>
      </c>
      <c r="B765" s="126">
        <v>38.546310424804688</v>
      </c>
      <c r="C765" s="125">
        <f>IFERROR(yf_data[[#This Row],[Close Price]]/B764-1,0)</f>
        <v>-4.803409359836841E-2</v>
      </c>
    </row>
    <row r="766" spans="1:3" x14ac:dyDescent="0.15">
      <c r="A766" s="124">
        <v>41928</v>
      </c>
      <c r="B766" s="126">
        <v>37.708351135253906</v>
      </c>
      <c r="C766" s="125">
        <f>IFERROR(yf_data[[#This Row],[Close Price]]/B765-1,0)</f>
        <v>-2.1739027167994585E-2</v>
      </c>
    </row>
    <row r="767" spans="1:3" x14ac:dyDescent="0.15">
      <c r="A767" s="124">
        <v>41929</v>
      </c>
      <c r="B767" s="126">
        <v>38.775650024414062</v>
      </c>
      <c r="C767" s="125">
        <f>IFERROR(yf_data[[#This Row],[Close Price]]/B766-1,0)</f>
        <v>2.8304045576851733E-2</v>
      </c>
    </row>
    <row r="768" spans="1:3" x14ac:dyDescent="0.15">
      <c r="A768" s="124">
        <v>41932</v>
      </c>
      <c r="B768" s="126">
        <v>38.519847869873047</v>
      </c>
      <c r="C768" s="125">
        <f>IFERROR(yf_data[[#This Row],[Close Price]]/B767-1,0)</f>
        <v>-6.5969791449004278E-3</v>
      </c>
    </row>
    <row r="769" spans="1:3" x14ac:dyDescent="0.15">
      <c r="A769" s="124">
        <v>41933</v>
      </c>
      <c r="B769" s="126">
        <v>39.573921203613281</v>
      </c>
      <c r="C769" s="125">
        <f>IFERROR(yf_data[[#This Row],[Close Price]]/B768-1,0)</f>
        <v>2.7364420994108851E-2</v>
      </c>
    </row>
    <row r="770" spans="1:3" x14ac:dyDescent="0.15">
      <c r="A770" s="124">
        <v>41934</v>
      </c>
      <c r="B770" s="126">
        <v>39.878238677978509</v>
      </c>
      <c r="C770" s="125">
        <f>IFERROR(yf_data[[#This Row],[Close Price]]/B769-1,0)</f>
        <v>7.6898488982042323E-3</v>
      </c>
    </row>
    <row r="771" spans="1:3" x14ac:dyDescent="0.15">
      <c r="A771" s="124">
        <v>41935</v>
      </c>
      <c r="B771" s="126">
        <v>40.164909362792969</v>
      </c>
      <c r="C771" s="125">
        <f>IFERROR(yf_data[[#This Row],[Close Price]]/B770-1,0)</f>
        <v>7.188649607354991E-3</v>
      </c>
    </row>
    <row r="772" spans="1:3" x14ac:dyDescent="0.15">
      <c r="A772" s="124">
        <v>41936</v>
      </c>
      <c r="B772" s="126">
        <v>39.948802947998047</v>
      </c>
      <c r="C772" s="125">
        <f>IFERROR(yf_data[[#This Row],[Close Price]]/B771-1,0)</f>
        <v>-5.3804780895413407E-3</v>
      </c>
    </row>
    <row r="773" spans="1:3" x14ac:dyDescent="0.15">
      <c r="A773" s="124">
        <v>41939</v>
      </c>
      <c r="B773" s="126">
        <v>39.481304168701172</v>
      </c>
      <c r="C773" s="125">
        <f>IFERROR(yf_data[[#This Row],[Close Price]]/B772-1,0)</f>
        <v>-1.170244775307594E-2</v>
      </c>
    </row>
    <row r="774" spans="1:3" x14ac:dyDescent="0.15">
      <c r="A774" s="124">
        <v>41940</v>
      </c>
      <c r="B774" s="126">
        <v>40.059062957763672</v>
      </c>
      <c r="C774" s="125">
        <f>IFERROR(yf_data[[#This Row],[Close Price]]/B773-1,0)</f>
        <v>1.4633731109635395E-2</v>
      </c>
    </row>
    <row r="775" spans="1:3" x14ac:dyDescent="0.15">
      <c r="A775" s="124">
        <v>41941</v>
      </c>
      <c r="B775" s="126">
        <v>40.398654937744141</v>
      </c>
      <c r="C775" s="125">
        <f>IFERROR(yf_data[[#This Row],[Close Price]]/B774-1,0)</f>
        <v>8.4772821655494379E-3</v>
      </c>
    </row>
    <row r="776" spans="1:3" x14ac:dyDescent="0.15">
      <c r="A776" s="124">
        <v>41942</v>
      </c>
      <c r="B776" s="126">
        <v>40.49127197265625</v>
      </c>
      <c r="C776" s="125">
        <f>IFERROR(yf_data[[#This Row],[Close Price]]/B775-1,0)</f>
        <v>2.2925771923554272E-3</v>
      </c>
    </row>
    <row r="777" spans="1:3" x14ac:dyDescent="0.15">
      <c r="A777" s="124">
        <v>41943</v>
      </c>
      <c r="B777" s="126">
        <v>41.986373901367188</v>
      </c>
      <c r="C777" s="125">
        <f>IFERROR(yf_data[[#This Row],[Close Price]]/B776-1,0)</f>
        <v>3.6924054391785477E-2</v>
      </c>
    </row>
    <row r="778" spans="1:3" x14ac:dyDescent="0.15">
      <c r="A778" s="124">
        <v>41946</v>
      </c>
      <c r="B778" s="126">
        <v>41.942276000976562</v>
      </c>
      <c r="C778" s="125">
        <f>IFERROR(yf_data[[#This Row],[Close Price]]/B777-1,0)</f>
        <v>-1.050290756096639E-3</v>
      </c>
    </row>
    <row r="779" spans="1:3" x14ac:dyDescent="0.15">
      <c r="A779" s="124">
        <v>41947</v>
      </c>
      <c r="B779" s="126">
        <v>41.351291656494141</v>
      </c>
      <c r="C779" s="125">
        <f>IFERROR(yf_data[[#This Row],[Close Price]]/B778-1,0)</f>
        <v>-1.4090421427503386E-2</v>
      </c>
    </row>
    <row r="780" spans="1:3" x14ac:dyDescent="0.15">
      <c r="A780" s="124">
        <v>41948</v>
      </c>
      <c r="B780" s="126">
        <v>42.180427551269531</v>
      </c>
      <c r="C780" s="125">
        <f>IFERROR(yf_data[[#This Row],[Close Price]]/B779-1,0)</f>
        <v>2.0051027708228197E-2</v>
      </c>
    </row>
    <row r="781" spans="1:3" x14ac:dyDescent="0.15">
      <c r="A781" s="124">
        <v>41949</v>
      </c>
      <c r="B781" s="126">
        <v>42.696437835693359</v>
      </c>
      <c r="C781" s="125">
        <f>IFERROR(yf_data[[#This Row],[Close Price]]/B780-1,0)</f>
        <v>1.223340573768783E-2</v>
      </c>
    </row>
    <row r="782" spans="1:3" x14ac:dyDescent="0.15">
      <c r="A782" s="124">
        <v>41950</v>
      </c>
      <c r="B782" s="126">
        <v>42.550899505615234</v>
      </c>
      <c r="C782" s="125">
        <f>IFERROR(yf_data[[#This Row],[Close Price]]/B781-1,0)</f>
        <v>-3.4086761672763588E-3</v>
      </c>
    </row>
    <row r="783" spans="1:3" x14ac:dyDescent="0.15">
      <c r="A783" s="124">
        <v>41953</v>
      </c>
      <c r="B783" s="126">
        <v>42.669975280761719</v>
      </c>
      <c r="C783" s="125">
        <f>IFERROR(yf_data[[#This Row],[Close Price]]/B782-1,0)</f>
        <v>2.7984314439879476E-3</v>
      </c>
    </row>
    <row r="784" spans="1:3" x14ac:dyDescent="0.15">
      <c r="A784" s="124">
        <v>41954</v>
      </c>
      <c r="B784" s="126">
        <v>42.912548065185547</v>
      </c>
      <c r="C784" s="125">
        <f>IFERROR(yf_data[[#This Row],[Close Price]]/B783-1,0)</f>
        <v>5.6848587989033472E-3</v>
      </c>
    </row>
    <row r="785" spans="1:3" x14ac:dyDescent="0.15">
      <c r="A785" s="124">
        <v>41955</v>
      </c>
      <c r="B785" s="126">
        <v>42.383304595947266</v>
      </c>
      <c r="C785" s="125">
        <f>IFERROR(yf_data[[#This Row],[Close Price]]/B784-1,0)</f>
        <v>-1.2333070234709531E-2</v>
      </c>
    </row>
    <row r="786" spans="1:3" x14ac:dyDescent="0.15">
      <c r="A786" s="124">
        <v>41956</v>
      </c>
      <c r="B786" s="126">
        <v>42.0745849609375</v>
      </c>
      <c r="C786" s="125">
        <f>IFERROR(yf_data[[#This Row],[Close Price]]/B785-1,0)</f>
        <v>-7.2839916083203837E-3</v>
      </c>
    </row>
    <row r="787" spans="1:3" x14ac:dyDescent="0.15">
      <c r="A787" s="124">
        <v>41957</v>
      </c>
      <c r="B787" s="126">
        <v>42.740543365478509</v>
      </c>
      <c r="C787" s="125">
        <f>IFERROR(yf_data[[#This Row],[Close Price]]/B786-1,0)</f>
        <v>1.5828044534706542E-2</v>
      </c>
    </row>
    <row r="788" spans="1:3" x14ac:dyDescent="0.15">
      <c r="A788" s="124">
        <v>41960</v>
      </c>
      <c r="B788" s="126">
        <v>42.290687561035149</v>
      </c>
      <c r="C788" s="125">
        <f>IFERROR(yf_data[[#This Row],[Close Price]]/B787-1,0)</f>
        <v>-1.052527106631751E-2</v>
      </c>
    </row>
    <row r="789" spans="1:3" x14ac:dyDescent="0.15">
      <c r="A789" s="124">
        <v>41961</v>
      </c>
      <c r="B789" s="126">
        <v>41.227802276611328</v>
      </c>
      <c r="C789" s="125">
        <f>IFERROR(yf_data[[#This Row],[Close Price]]/B788-1,0)</f>
        <v>-2.5132844740105797E-2</v>
      </c>
    </row>
    <row r="790" spans="1:3" x14ac:dyDescent="0.15">
      <c r="A790" s="124">
        <v>41962</v>
      </c>
      <c r="B790" s="126">
        <v>41.457138061523438</v>
      </c>
      <c r="C790" s="125">
        <f>IFERROR(yf_data[[#This Row],[Close Price]]/B789-1,0)</f>
        <v>5.5626488012485709E-3</v>
      </c>
    </row>
    <row r="791" spans="1:3" x14ac:dyDescent="0.15">
      <c r="A791" s="124">
        <v>41963</v>
      </c>
      <c r="B791" s="126">
        <v>41.333648681640625</v>
      </c>
      <c r="C791" s="125">
        <f>IFERROR(yf_data[[#This Row],[Close Price]]/B790-1,0)</f>
        <v>-2.9787241873655557E-3</v>
      </c>
    </row>
    <row r="792" spans="1:3" x14ac:dyDescent="0.15">
      <c r="A792" s="124">
        <v>41964</v>
      </c>
      <c r="B792" s="126">
        <v>42.581771850585938</v>
      </c>
      <c r="C792" s="125">
        <f>IFERROR(yf_data[[#This Row],[Close Price]]/B791-1,0)</f>
        <v>3.0196297901464941E-2</v>
      </c>
    </row>
    <row r="793" spans="1:3" x14ac:dyDescent="0.15">
      <c r="A793" s="124">
        <v>41967</v>
      </c>
      <c r="B793" s="126">
        <v>43.225681304931641</v>
      </c>
      <c r="C793" s="125">
        <f>IFERROR(yf_data[[#This Row],[Close Price]]/B792-1,0)</f>
        <v>1.5121715850742401E-2</v>
      </c>
    </row>
    <row r="794" spans="1:3" x14ac:dyDescent="0.15">
      <c r="A794" s="124">
        <v>41968</v>
      </c>
      <c r="B794" s="126">
        <v>43.728458404541016</v>
      </c>
      <c r="C794" s="125">
        <f>IFERROR(yf_data[[#This Row],[Close Price]]/B793-1,0)</f>
        <v>1.163144418852724E-2</v>
      </c>
    </row>
    <row r="795" spans="1:3" x14ac:dyDescent="0.15">
      <c r="A795" s="124">
        <v>41969</v>
      </c>
      <c r="B795" s="126">
        <v>43.560863494873047</v>
      </c>
      <c r="C795" s="125">
        <f>IFERROR(yf_data[[#This Row],[Close Price]]/B794-1,0)</f>
        <v>-3.8326278991478446E-3</v>
      </c>
    </row>
    <row r="796" spans="1:3" x14ac:dyDescent="0.15">
      <c r="A796" s="124">
        <v>41970</v>
      </c>
      <c r="B796" s="126">
        <v>43.918102264404297</v>
      </c>
      <c r="C796" s="125">
        <f>IFERROR(yf_data[[#This Row],[Close Price]]/B795-1,0)</f>
        <v>8.2009111130980639E-3</v>
      </c>
    </row>
    <row r="797" spans="1:3" x14ac:dyDescent="0.15">
      <c r="A797" s="124">
        <v>41971</v>
      </c>
      <c r="B797" s="126">
        <v>43.216861724853523</v>
      </c>
      <c r="C797" s="125">
        <f>IFERROR(yf_data[[#This Row],[Close Price]]/B796-1,0)</f>
        <v>-1.5967004569756416E-2</v>
      </c>
    </row>
    <row r="798" spans="1:3" x14ac:dyDescent="0.15">
      <c r="A798" s="124">
        <v>41974</v>
      </c>
      <c r="B798" s="126">
        <v>42.996345520019531</v>
      </c>
      <c r="C798" s="125">
        <f>IFERROR(yf_data[[#This Row],[Close Price]]/B797-1,0)</f>
        <v>-5.1025501628957359E-3</v>
      </c>
    </row>
    <row r="799" spans="1:3" x14ac:dyDescent="0.15">
      <c r="A799" s="124">
        <v>41975</v>
      </c>
      <c r="B799" s="126">
        <v>42.930183410644531</v>
      </c>
      <c r="C799" s="125">
        <f>IFERROR(yf_data[[#This Row],[Close Price]]/B798-1,0)</f>
        <v>-1.5387844844673149E-3</v>
      </c>
    </row>
    <row r="800" spans="1:3" x14ac:dyDescent="0.15">
      <c r="A800" s="124">
        <v>41976</v>
      </c>
      <c r="B800" s="126">
        <v>42.714080810546875</v>
      </c>
      <c r="C800" s="125">
        <f>IFERROR(yf_data[[#This Row],[Close Price]]/B799-1,0)</f>
        <v>-5.0338149742000793E-3</v>
      </c>
    </row>
    <row r="801" spans="1:3" x14ac:dyDescent="0.15">
      <c r="A801" s="124">
        <v>41977</v>
      </c>
      <c r="B801" s="126">
        <v>42.489151000976562</v>
      </c>
      <c r="C801" s="125">
        <f>IFERROR(yf_data[[#This Row],[Close Price]]/B800-1,0)</f>
        <v>-5.2659405353462363E-3</v>
      </c>
    </row>
    <row r="802" spans="1:3" x14ac:dyDescent="0.15">
      <c r="A802" s="124">
        <v>41978</v>
      </c>
      <c r="B802" s="126">
        <v>43.953388214111328</v>
      </c>
      <c r="C802" s="125">
        <f>IFERROR(yf_data[[#This Row],[Close Price]]/B801-1,0)</f>
        <v>3.4461437299632358E-2</v>
      </c>
    </row>
    <row r="803" spans="1:3" x14ac:dyDescent="0.15">
      <c r="A803" s="124">
        <v>41981</v>
      </c>
      <c r="B803" s="126">
        <v>43.384456634521491</v>
      </c>
      <c r="C803" s="125">
        <f>IFERROR(yf_data[[#This Row],[Close Price]]/B802-1,0)</f>
        <v>-1.29439754864491E-2</v>
      </c>
    </row>
    <row r="804" spans="1:3" x14ac:dyDescent="0.15">
      <c r="A804" s="124">
        <v>41982</v>
      </c>
      <c r="B804" s="126">
        <v>42.511211395263672</v>
      </c>
      <c r="C804" s="125">
        <f>IFERROR(yf_data[[#This Row],[Close Price]]/B803-1,0)</f>
        <v>-2.0128066754741103E-2</v>
      </c>
    </row>
    <row r="805" spans="1:3" x14ac:dyDescent="0.15">
      <c r="A805" s="124">
        <v>41983</v>
      </c>
      <c r="B805" s="126">
        <v>38.083229064941406</v>
      </c>
      <c r="C805" s="125">
        <f>IFERROR(yf_data[[#This Row],[Close Price]]/B804-1,0)</f>
        <v>-0.10416034229538806</v>
      </c>
    </row>
    <row r="806" spans="1:3" x14ac:dyDescent="0.15">
      <c r="A806" s="124">
        <v>41984</v>
      </c>
      <c r="B806" s="126">
        <v>36.446998596191406</v>
      </c>
      <c r="C806" s="125">
        <f>IFERROR(yf_data[[#This Row],[Close Price]]/B805-1,0)</f>
        <v>-4.2964593836300469E-2</v>
      </c>
    </row>
    <row r="807" spans="1:3" x14ac:dyDescent="0.15">
      <c r="A807" s="124">
        <v>41985</v>
      </c>
      <c r="B807" s="126">
        <v>35.908939361572266</v>
      </c>
      <c r="C807" s="125">
        <f>IFERROR(yf_data[[#This Row],[Close Price]]/B806-1,0)</f>
        <v>-1.4762785835412129E-2</v>
      </c>
    </row>
    <row r="808" spans="1:3" x14ac:dyDescent="0.15">
      <c r="A808" s="124">
        <v>41988</v>
      </c>
      <c r="B808" s="126">
        <v>35.763397216796875</v>
      </c>
      <c r="C808" s="125">
        <f>IFERROR(yf_data[[#This Row],[Close Price]]/B807-1,0)</f>
        <v>-4.0530894914468929E-3</v>
      </c>
    </row>
    <row r="809" spans="1:3" x14ac:dyDescent="0.15">
      <c r="A809" s="124">
        <v>41989</v>
      </c>
      <c r="B809" s="126">
        <v>36.133861541748047</v>
      </c>
      <c r="C809" s="125">
        <f>IFERROR(yf_data[[#This Row],[Close Price]]/B808-1,0)</f>
        <v>1.0358756543888292E-2</v>
      </c>
    </row>
    <row r="810" spans="1:3" x14ac:dyDescent="0.15">
      <c r="A810" s="124">
        <v>41990</v>
      </c>
      <c r="B810" s="126">
        <v>36.120632171630859</v>
      </c>
      <c r="C810" s="125">
        <f>IFERROR(yf_data[[#This Row],[Close Price]]/B809-1,0)</f>
        <v>-3.6612112718437118E-4</v>
      </c>
    </row>
    <row r="811" spans="1:3" x14ac:dyDescent="0.15">
      <c r="A811" s="124">
        <v>41991</v>
      </c>
      <c r="B811" s="126">
        <v>36.91448974609375</v>
      </c>
      <c r="C811" s="125">
        <f>IFERROR(yf_data[[#This Row],[Close Price]]/B810-1,0)</f>
        <v>2.1977953505652792E-2</v>
      </c>
    </row>
    <row r="812" spans="1:3" x14ac:dyDescent="0.15">
      <c r="A812" s="124">
        <v>41992</v>
      </c>
      <c r="B812" s="126">
        <v>36.773361206054688</v>
      </c>
      <c r="C812" s="125">
        <f>IFERROR(yf_data[[#This Row],[Close Price]]/B811-1,0)</f>
        <v>-3.8231204334605584E-3</v>
      </c>
    </row>
    <row r="813" spans="1:3" x14ac:dyDescent="0.15">
      <c r="A813" s="124">
        <v>41995</v>
      </c>
      <c r="B813" s="126">
        <v>36.579311370849609</v>
      </c>
      <c r="C813" s="125">
        <f>IFERROR(yf_data[[#This Row],[Close Price]]/B812-1,0)</f>
        <v>-5.2769132013184006E-3</v>
      </c>
    </row>
    <row r="814" spans="1:3" x14ac:dyDescent="0.15">
      <c r="A814" s="124">
        <v>41996</v>
      </c>
      <c r="B814" s="126">
        <v>36.817470550537109</v>
      </c>
      <c r="C814" s="125">
        <f>IFERROR(yf_data[[#This Row],[Close Price]]/B813-1,0)</f>
        <v>6.5107617055166767E-3</v>
      </c>
    </row>
    <row r="815" spans="1:3" x14ac:dyDescent="0.15">
      <c r="A815" s="124">
        <v>41997</v>
      </c>
      <c r="B815" s="126">
        <v>36.632228851318359</v>
      </c>
      <c r="C815" s="125">
        <f>IFERROR(yf_data[[#This Row],[Close Price]]/B814-1,0)</f>
        <v>-5.0313532257595384E-3</v>
      </c>
    </row>
    <row r="816" spans="1:3" x14ac:dyDescent="0.15">
      <c r="A816" s="124">
        <v>42002</v>
      </c>
      <c r="B816" s="126">
        <v>36.627822875976562</v>
      </c>
      <c r="C816" s="125">
        <f>IFERROR(yf_data[[#This Row],[Close Price]]/B815-1,0)</f>
        <v>-1.202759286004218E-4</v>
      </c>
    </row>
    <row r="817" spans="1:3" x14ac:dyDescent="0.15">
      <c r="A817" s="124">
        <v>42003</v>
      </c>
      <c r="B817" s="126">
        <v>36.111812591552734</v>
      </c>
      <c r="C817" s="125">
        <f>IFERROR(yf_data[[#This Row],[Close Price]]/B816-1,0)</f>
        <v>-1.408793217579607E-2</v>
      </c>
    </row>
    <row r="818" spans="1:3" x14ac:dyDescent="0.15">
      <c r="A818" s="124">
        <v>42004</v>
      </c>
      <c r="B818" s="126">
        <v>36.473457336425781</v>
      </c>
      <c r="C818" s="125">
        <f>IFERROR(yf_data[[#This Row],[Close Price]]/B817-1,0)</f>
        <v>1.0014583010924394E-2</v>
      </c>
    </row>
    <row r="819" spans="1:3" x14ac:dyDescent="0.15">
      <c r="A819" s="124">
        <v>42006</v>
      </c>
      <c r="B819" s="126">
        <v>36.627822875976562</v>
      </c>
      <c r="C819" s="125">
        <f>IFERROR(yf_data[[#This Row],[Close Price]]/B818-1,0)</f>
        <v>4.2322705557342744E-3</v>
      </c>
    </row>
    <row r="820" spans="1:3" x14ac:dyDescent="0.15">
      <c r="A820" s="124">
        <v>42009</v>
      </c>
      <c r="B820" s="126">
        <v>36.738079071044922</v>
      </c>
      <c r="C820" s="125">
        <f>IFERROR(yf_data[[#This Row],[Close Price]]/B819-1,0)</f>
        <v>3.0101760468179695E-3</v>
      </c>
    </row>
    <row r="821" spans="1:3" x14ac:dyDescent="0.15">
      <c r="A821" s="124">
        <v>42010</v>
      </c>
      <c r="B821" s="126">
        <v>37.589271545410163</v>
      </c>
      <c r="C821" s="125">
        <f>IFERROR(yf_data[[#This Row],[Close Price]]/B820-1,0)</f>
        <v>2.3169215590156167E-2</v>
      </c>
    </row>
    <row r="822" spans="1:3" x14ac:dyDescent="0.15">
      <c r="A822" s="124">
        <v>42011</v>
      </c>
      <c r="B822" s="126">
        <v>38.568367004394531</v>
      </c>
      <c r="C822" s="125">
        <f>IFERROR(yf_data[[#This Row],[Close Price]]/B821-1,0)</f>
        <v>2.604720492658541E-2</v>
      </c>
    </row>
    <row r="823" spans="1:3" x14ac:dyDescent="0.15">
      <c r="A823" s="124">
        <v>42012</v>
      </c>
      <c r="B823" s="126">
        <v>39.882644653320312</v>
      </c>
      <c r="C823" s="125">
        <f>IFERROR(yf_data[[#This Row],[Close Price]]/B822-1,0)</f>
        <v>3.4076569764440068E-2</v>
      </c>
    </row>
    <row r="824" spans="1:3" x14ac:dyDescent="0.15">
      <c r="A824" s="124">
        <v>42013</v>
      </c>
      <c r="B824" s="126">
        <v>39.296070098876953</v>
      </c>
      <c r="C824" s="125">
        <f>IFERROR(yf_data[[#This Row],[Close Price]]/B823-1,0)</f>
        <v>-1.4707513996179422E-2</v>
      </c>
    </row>
    <row r="825" spans="1:3" x14ac:dyDescent="0.15">
      <c r="A825" s="124">
        <v>42016</v>
      </c>
      <c r="B825" s="126">
        <v>39.648899078369141</v>
      </c>
      <c r="C825" s="125">
        <f>IFERROR(yf_data[[#This Row],[Close Price]]/B824-1,0)</f>
        <v>8.9787344791578683E-3</v>
      </c>
    </row>
    <row r="826" spans="1:3" x14ac:dyDescent="0.15">
      <c r="A826" s="124">
        <v>42017</v>
      </c>
      <c r="B826" s="126">
        <v>40.191368103027344</v>
      </c>
      <c r="C826" s="125">
        <f>IFERROR(yf_data[[#This Row],[Close Price]]/B825-1,0)</f>
        <v>1.3681818089979592E-2</v>
      </c>
    </row>
    <row r="827" spans="1:3" x14ac:dyDescent="0.15">
      <c r="A827" s="124">
        <v>42018</v>
      </c>
      <c r="B827" s="126">
        <v>39.816490173339837</v>
      </c>
      <c r="C827" s="125">
        <f>IFERROR(yf_data[[#This Row],[Close Price]]/B826-1,0)</f>
        <v>-9.3273244326129712E-3</v>
      </c>
    </row>
    <row r="828" spans="1:3" x14ac:dyDescent="0.15">
      <c r="A828" s="124">
        <v>42019</v>
      </c>
      <c r="B828" s="126">
        <v>40.813228607177734</v>
      </c>
      <c r="C828" s="125">
        <f>IFERROR(yf_data[[#This Row],[Close Price]]/B827-1,0)</f>
        <v>2.503330729299913E-2</v>
      </c>
    </row>
    <row r="829" spans="1:3" x14ac:dyDescent="0.15">
      <c r="A829" s="124">
        <v>42020</v>
      </c>
      <c r="B829" s="126">
        <v>40.923480987548828</v>
      </c>
      <c r="C829" s="125">
        <f>IFERROR(yf_data[[#This Row],[Close Price]]/B828-1,0)</f>
        <v>2.7013883521016524E-3</v>
      </c>
    </row>
    <row r="830" spans="1:3" x14ac:dyDescent="0.15">
      <c r="A830" s="124">
        <v>42023</v>
      </c>
      <c r="B830" s="126">
        <v>41.148414611816406</v>
      </c>
      <c r="C830" s="125">
        <f>IFERROR(yf_data[[#This Row],[Close Price]]/B829-1,0)</f>
        <v>5.4964440668185954E-3</v>
      </c>
    </row>
    <row r="831" spans="1:3" x14ac:dyDescent="0.15">
      <c r="A831" s="124">
        <v>42024</v>
      </c>
      <c r="B831" s="126">
        <v>41.527702331542969</v>
      </c>
      <c r="C831" s="125">
        <f>IFERROR(yf_data[[#This Row],[Close Price]]/B830-1,0)</f>
        <v>9.2175536604426345E-3</v>
      </c>
    </row>
    <row r="832" spans="1:3" x14ac:dyDescent="0.15">
      <c r="A832" s="124">
        <v>42025</v>
      </c>
      <c r="B832" s="126">
        <v>41.298362731933594</v>
      </c>
      <c r="C832" s="125">
        <f>IFERROR(yf_data[[#This Row],[Close Price]]/B831-1,0)</f>
        <v>-5.5225689535723932E-3</v>
      </c>
    </row>
    <row r="833" spans="1:3" x14ac:dyDescent="0.15">
      <c r="A833" s="124">
        <v>42026</v>
      </c>
      <c r="B833" s="126">
        <v>41.748218536376953</v>
      </c>
      <c r="C833" s="125">
        <f>IFERROR(yf_data[[#This Row],[Close Price]]/B832-1,0)</f>
        <v>1.0892824186841565E-2</v>
      </c>
    </row>
    <row r="834" spans="1:3" x14ac:dyDescent="0.15">
      <c r="A834" s="124">
        <v>42027</v>
      </c>
      <c r="B834" s="126">
        <v>43.468250274658203</v>
      </c>
      <c r="C834" s="125">
        <f>IFERROR(yf_data[[#This Row],[Close Price]]/B833-1,0)</f>
        <v>4.1200122989260457E-2</v>
      </c>
    </row>
    <row r="835" spans="1:3" x14ac:dyDescent="0.15">
      <c r="A835" s="124">
        <v>42030</v>
      </c>
      <c r="B835" s="126">
        <v>44.226821899414062</v>
      </c>
      <c r="C835" s="125">
        <f>IFERROR(yf_data[[#This Row],[Close Price]]/B834-1,0)</f>
        <v>1.7451165389974266E-2</v>
      </c>
    </row>
    <row r="836" spans="1:3" x14ac:dyDescent="0.15">
      <c r="A836" s="124">
        <v>42031</v>
      </c>
      <c r="B836" s="126">
        <v>43.283012390136719</v>
      </c>
      <c r="C836" s="125">
        <f>IFERROR(yf_data[[#This Row],[Close Price]]/B835-1,0)</f>
        <v>-2.1340206434544817E-2</v>
      </c>
    </row>
    <row r="837" spans="1:3" x14ac:dyDescent="0.15">
      <c r="A837" s="124">
        <v>42032</v>
      </c>
      <c r="B837" s="126">
        <v>43.18157958984375</v>
      </c>
      <c r="C837" s="125">
        <f>IFERROR(yf_data[[#This Row],[Close Price]]/B836-1,0)</f>
        <v>-2.3434782999549597E-3</v>
      </c>
    </row>
    <row r="838" spans="1:3" x14ac:dyDescent="0.15">
      <c r="A838" s="124">
        <v>42033</v>
      </c>
      <c r="B838" s="126">
        <v>42.581771850585938</v>
      </c>
      <c r="C838" s="125">
        <f>IFERROR(yf_data[[#This Row],[Close Price]]/B837-1,0)</f>
        <v>-1.3890361236319482E-2</v>
      </c>
    </row>
    <row r="839" spans="1:3" x14ac:dyDescent="0.15">
      <c r="A839" s="124">
        <v>42034</v>
      </c>
      <c r="B839" s="126">
        <v>41.633548736572266</v>
      </c>
      <c r="C839" s="125">
        <f>IFERROR(yf_data[[#This Row],[Close Price]]/B838-1,0)</f>
        <v>-2.2268286940732906E-2</v>
      </c>
    </row>
    <row r="840" spans="1:3" x14ac:dyDescent="0.15">
      <c r="A840" s="124">
        <v>42037</v>
      </c>
      <c r="B840" s="126">
        <v>41.34246826171875</v>
      </c>
      <c r="C840" s="125">
        <f>IFERROR(yf_data[[#This Row],[Close Price]]/B839-1,0)</f>
        <v>-6.9914884434970626E-3</v>
      </c>
    </row>
    <row r="841" spans="1:3" x14ac:dyDescent="0.15">
      <c r="A841" s="124">
        <v>42038</v>
      </c>
      <c r="B841" s="126">
        <v>41.673244476318359</v>
      </c>
      <c r="C841" s="125">
        <f>IFERROR(yf_data[[#This Row],[Close Price]]/B840-1,0)</f>
        <v>8.0008821076098524E-3</v>
      </c>
    </row>
    <row r="842" spans="1:3" x14ac:dyDescent="0.15">
      <c r="A842" s="124">
        <v>42039</v>
      </c>
      <c r="B842" s="126">
        <v>42.017242431640625</v>
      </c>
      <c r="C842" s="125">
        <f>IFERROR(yf_data[[#This Row],[Close Price]]/B841-1,0)</f>
        <v>8.254647787689029E-3</v>
      </c>
    </row>
    <row r="843" spans="1:3" x14ac:dyDescent="0.15">
      <c r="A843" s="124">
        <v>42040</v>
      </c>
      <c r="B843" s="126">
        <v>42.700847625732422</v>
      </c>
      <c r="C843" s="125">
        <f>IFERROR(yf_data[[#This Row],[Close Price]]/B842-1,0)</f>
        <v>1.6269634905336172E-2</v>
      </c>
    </row>
    <row r="844" spans="1:3" x14ac:dyDescent="0.15">
      <c r="A844" s="124">
        <v>42041</v>
      </c>
      <c r="B844" s="126">
        <v>42.643516540527344</v>
      </c>
      <c r="C844" s="125">
        <f>IFERROR(yf_data[[#This Row],[Close Price]]/B843-1,0)</f>
        <v>-1.3426217134511198E-3</v>
      </c>
    </row>
    <row r="845" spans="1:3" x14ac:dyDescent="0.15">
      <c r="A845" s="124">
        <v>42044</v>
      </c>
      <c r="B845" s="126">
        <v>42.546489715576172</v>
      </c>
      <c r="C845" s="125">
        <f>IFERROR(yf_data[[#This Row],[Close Price]]/B844-1,0)</f>
        <v>-2.275300744931763E-3</v>
      </c>
    </row>
    <row r="846" spans="1:3" x14ac:dyDescent="0.15">
      <c r="A846" s="124">
        <v>42045</v>
      </c>
      <c r="B846" s="126">
        <v>43.869586944580078</v>
      </c>
      <c r="C846" s="125">
        <f>IFERROR(yf_data[[#This Row],[Close Price]]/B845-1,0)</f>
        <v>3.1097682507977176E-2</v>
      </c>
    </row>
    <row r="847" spans="1:3" x14ac:dyDescent="0.15">
      <c r="A847" s="124">
        <v>42046</v>
      </c>
      <c r="B847" s="126">
        <v>43.59173583984375</v>
      </c>
      <c r="C847" s="125">
        <f>IFERROR(yf_data[[#This Row],[Close Price]]/B846-1,0)</f>
        <v>-6.333570112874165E-3</v>
      </c>
    </row>
    <row r="848" spans="1:3" x14ac:dyDescent="0.15">
      <c r="A848" s="124">
        <v>42047</v>
      </c>
      <c r="B848" s="126">
        <v>43.904872894287109</v>
      </c>
      <c r="C848" s="125">
        <f>IFERROR(yf_data[[#This Row],[Close Price]]/B847-1,0)</f>
        <v>7.1834041111329405E-3</v>
      </c>
    </row>
    <row r="849" spans="1:3" x14ac:dyDescent="0.15">
      <c r="A849" s="124">
        <v>42048</v>
      </c>
      <c r="B849" s="126">
        <v>43.882816314697266</v>
      </c>
      <c r="C849" s="125">
        <f>IFERROR(yf_data[[#This Row],[Close Price]]/B848-1,0)</f>
        <v>-5.0237201786118568E-4</v>
      </c>
    </row>
    <row r="850" spans="1:3" x14ac:dyDescent="0.15">
      <c r="A850" s="124">
        <v>42051</v>
      </c>
      <c r="B850" s="126">
        <v>44.500263214111328</v>
      </c>
      <c r="C850" s="125">
        <f>IFERROR(yf_data[[#This Row],[Close Price]]/B849-1,0)</f>
        <v>1.4070357175486548E-2</v>
      </c>
    </row>
    <row r="851" spans="1:3" x14ac:dyDescent="0.15">
      <c r="A851" s="124">
        <v>42052</v>
      </c>
      <c r="B851" s="126">
        <v>44.694316864013672</v>
      </c>
      <c r="C851" s="125">
        <f>IFERROR(yf_data[[#This Row],[Close Price]]/B850-1,0)</f>
        <v>4.3607303841926015E-3</v>
      </c>
    </row>
    <row r="852" spans="1:3" x14ac:dyDescent="0.15">
      <c r="A852" s="124">
        <v>42053</v>
      </c>
      <c r="B852" s="126">
        <v>45.329410552978509</v>
      </c>
      <c r="C852" s="125">
        <f>IFERROR(yf_data[[#This Row],[Close Price]]/B851-1,0)</f>
        <v>1.4209719121497377E-2</v>
      </c>
    </row>
    <row r="853" spans="1:3" x14ac:dyDescent="0.15">
      <c r="A853" s="124">
        <v>42054</v>
      </c>
      <c r="B853" s="126">
        <v>45.858654022216797</v>
      </c>
      <c r="C853" s="125">
        <f>IFERROR(yf_data[[#This Row],[Close Price]]/B852-1,0)</f>
        <v>1.1675498595326683E-2</v>
      </c>
    </row>
    <row r="854" spans="1:3" x14ac:dyDescent="0.15">
      <c r="A854" s="124">
        <v>42055</v>
      </c>
      <c r="B854" s="126">
        <v>46.273220062255859</v>
      </c>
      <c r="C854" s="125">
        <f>IFERROR(yf_data[[#This Row],[Close Price]]/B853-1,0)</f>
        <v>9.0400830307453273E-3</v>
      </c>
    </row>
    <row r="855" spans="1:3" x14ac:dyDescent="0.15">
      <c r="A855" s="124">
        <v>42058</v>
      </c>
      <c r="B855" s="126">
        <v>46.608402252197266</v>
      </c>
      <c r="C855" s="125">
        <f>IFERROR(yf_data[[#This Row],[Close Price]]/B854-1,0)</f>
        <v>7.2435458239226147E-3</v>
      </c>
    </row>
    <row r="856" spans="1:3" x14ac:dyDescent="0.15">
      <c r="A856" s="124">
        <v>42059</v>
      </c>
      <c r="B856" s="126">
        <v>45.735160827636719</v>
      </c>
      <c r="C856" s="125">
        <f>IFERROR(yf_data[[#This Row],[Close Price]]/B855-1,0)</f>
        <v>-1.8735708206332635E-2</v>
      </c>
    </row>
    <row r="857" spans="1:3" x14ac:dyDescent="0.15">
      <c r="A857" s="124">
        <v>42060</v>
      </c>
      <c r="B857" s="126">
        <v>45.338230133056641</v>
      </c>
      <c r="C857" s="125">
        <f>IFERROR(yf_data[[#This Row],[Close Price]]/B856-1,0)</f>
        <v>-8.6788957860234328E-3</v>
      </c>
    </row>
    <row r="858" spans="1:3" x14ac:dyDescent="0.15">
      <c r="A858" s="124">
        <v>42061</v>
      </c>
      <c r="B858" s="126">
        <v>45.541103363037109</v>
      </c>
      <c r="C858" s="125">
        <f>IFERROR(yf_data[[#This Row],[Close Price]]/B857-1,0)</f>
        <v>4.4746614366084625E-3</v>
      </c>
    </row>
    <row r="859" spans="1:3" x14ac:dyDescent="0.15">
      <c r="A859" s="124">
        <v>42062</v>
      </c>
      <c r="B859" s="126">
        <v>48.804756164550781</v>
      </c>
      <c r="C859" s="125">
        <f>IFERROR(yf_data[[#This Row],[Close Price]]/B858-1,0)</f>
        <v>7.1663893944268642E-2</v>
      </c>
    </row>
    <row r="860" spans="1:3" x14ac:dyDescent="0.15">
      <c r="A860" s="124">
        <v>42065</v>
      </c>
      <c r="B860" s="126">
        <v>49.475120544433594</v>
      </c>
      <c r="C860" s="125">
        <f>IFERROR(yf_data[[#This Row],[Close Price]]/B859-1,0)</f>
        <v>1.3735636289680553E-2</v>
      </c>
    </row>
    <row r="861" spans="1:3" x14ac:dyDescent="0.15">
      <c r="A861" s="124">
        <v>42066</v>
      </c>
      <c r="B861" s="126">
        <v>48.866497039794922</v>
      </c>
      <c r="C861" s="125">
        <f>IFERROR(yf_data[[#This Row],[Close Price]]/B860-1,0)</f>
        <v>-1.2301607311741014E-2</v>
      </c>
    </row>
    <row r="862" spans="1:3" x14ac:dyDescent="0.15">
      <c r="A862" s="124">
        <v>42067</v>
      </c>
      <c r="B862" s="126">
        <v>49.854408264160163</v>
      </c>
      <c r="C862" s="125">
        <f>IFERROR(yf_data[[#This Row],[Close Price]]/B861-1,0)</f>
        <v>2.0216534521816154E-2</v>
      </c>
    </row>
    <row r="863" spans="1:3" x14ac:dyDescent="0.15">
      <c r="A863" s="124">
        <v>42068</v>
      </c>
      <c r="B863" s="126">
        <v>52.2271728515625</v>
      </c>
      <c r="C863" s="125">
        <f>IFERROR(yf_data[[#This Row],[Close Price]]/B862-1,0)</f>
        <v>4.7593877252136485E-2</v>
      </c>
    </row>
    <row r="864" spans="1:3" x14ac:dyDescent="0.15">
      <c r="A864" s="124">
        <v>42069</v>
      </c>
      <c r="B864" s="126">
        <v>52.412406921386719</v>
      </c>
      <c r="C864" s="125">
        <f>IFERROR(yf_data[[#This Row],[Close Price]]/B863-1,0)</f>
        <v>3.5466991550678895E-3</v>
      </c>
    </row>
    <row r="865" spans="1:3" x14ac:dyDescent="0.15">
      <c r="A865" s="124">
        <v>42072</v>
      </c>
      <c r="B865" s="126">
        <v>51.936084747314453</v>
      </c>
      <c r="C865" s="125">
        <f>IFERROR(yf_data[[#This Row],[Close Price]]/B864-1,0)</f>
        <v>-9.0879660380165372E-3</v>
      </c>
    </row>
    <row r="866" spans="1:3" x14ac:dyDescent="0.15">
      <c r="A866" s="124">
        <v>42073</v>
      </c>
      <c r="B866" s="126">
        <v>51.936084747314453</v>
      </c>
      <c r="C866" s="125">
        <f>IFERROR(yf_data[[#This Row],[Close Price]]/B865-1,0)</f>
        <v>0</v>
      </c>
    </row>
    <row r="867" spans="1:3" x14ac:dyDescent="0.15">
      <c r="A867" s="124">
        <v>42074</v>
      </c>
      <c r="B867" s="126">
        <v>54.185359954833984</v>
      </c>
      <c r="C867" s="125">
        <f>IFERROR(yf_data[[#This Row],[Close Price]]/B866-1,0)</f>
        <v>4.3308524669561921E-2</v>
      </c>
    </row>
    <row r="868" spans="1:3" x14ac:dyDescent="0.15">
      <c r="A868" s="124">
        <v>42075</v>
      </c>
      <c r="B868" s="126">
        <v>54.758701324462891</v>
      </c>
      <c r="C868" s="125">
        <f>IFERROR(yf_data[[#This Row],[Close Price]]/B867-1,0)</f>
        <v>1.0581112132628023E-2</v>
      </c>
    </row>
    <row r="869" spans="1:3" x14ac:dyDescent="0.15">
      <c r="A869" s="124">
        <v>42076</v>
      </c>
      <c r="B869" s="126">
        <v>56.064159393310547</v>
      </c>
      <c r="C869" s="125">
        <f>IFERROR(yf_data[[#This Row],[Close Price]]/B868-1,0)</f>
        <v>2.3840194111113044E-2</v>
      </c>
    </row>
    <row r="870" spans="1:3" x14ac:dyDescent="0.15">
      <c r="A870" s="124">
        <v>42079</v>
      </c>
      <c r="B870" s="126">
        <v>56.328781127929688</v>
      </c>
      <c r="C870" s="125">
        <f>IFERROR(yf_data[[#This Row],[Close Price]]/B869-1,0)</f>
        <v>4.7199804203381657E-3</v>
      </c>
    </row>
    <row r="871" spans="1:3" x14ac:dyDescent="0.15">
      <c r="A871" s="124">
        <v>42080</v>
      </c>
      <c r="B871" s="126">
        <v>53.788429260253906</v>
      </c>
      <c r="C871" s="125">
        <f>IFERROR(yf_data[[#This Row],[Close Price]]/B870-1,0)</f>
        <v>-4.5098647916885115E-2</v>
      </c>
    </row>
    <row r="872" spans="1:3" x14ac:dyDescent="0.15">
      <c r="A872" s="124">
        <v>42081</v>
      </c>
      <c r="B872" s="126">
        <v>53.973659515380859</v>
      </c>
      <c r="C872" s="125">
        <f>IFERROR(yf_data[[#This Row],[Close Price]]/B871-1,0)</f>
        <v>3.4436821761558711E-3</v>
      </c>
    </row>
    <row r="873" spans="1:3" x14ac:dyDescent="0.15">
      <c r="A873" s="124">
        <v>42082</v>
      </c>
      <c r="B873" s="126">
        <v>53.876636505126953</v>
      </c>
      <c r="C873" s="125">
        <f>IFERROR(yf_data[[#This Row],[Close Price]]/B872-1,0)</f>
        <v>-1.7975992572127897E-3</v>
      </c>
    </row>
    <row r="874" spans="1:3" x14ac:dyDescent="0.15">
      <c r="A874" s="124">
        <v>42083</v>
      </c>
      <c r="B874" s="126">
        <v>54.158897399902344</v>
      </c>
      <c r="C874" s="125">
        <f>IFERROR(yf_data[[#This Row],[Close Price]]/B873-1,0)</f>
        <v>5.2390222011824417E-3</v>
      </c>
    </row>
    <row r="875" spans="1:3" x14ac:dyDescent="0.15">
      <c r="A875" s="124">
        <v>42086</v>
      </c>
      <c r="B875" s="126">
        <v>52.924003601074219</v>
      </c>
      <c r="C875" s="125">
        <f>IFERROR(yf_data[[#This Row],[Close Price]]/B874-1,0)</f>
        <v>-2.2801309814522774E-2</v>
      </c>
    </row>
    <row r="876" spans="1:3" x14ac:dyDescent="0.15">
      <c r="A876" s="124">
        <v>42087</v>
      </c>
      <c r="B876" s="126">
        <v>53.197444915771491</v>
      </c>
      <c r="C876" s="125">
        <f>IFERROR(yf_data[[#This Row],[Close Price]]/B875-1,0)</f>
        <v>5.1666785596644615E-3</v>
      </c>
    </row>
    <row r="877" spans="1:3" x14ac:dyDescent="0.15">
      <c r="A877" s="124">
        <v>42088</v>
      </c>
      <c r="B877" s="126">
        <v>51.944908142089837</v>
      </c>
      <c r="C877" s="125">
        <f>IFERROR(yf_data[[#This Row],[Close Price]]/B876-1,0)</f>
        <v>-2.354505513685512E-2</v>
      </c>
    </row>
    <row r="878" spans="1:3" x14ac:dyDescent="0.15">
      <c r="A878" s="124">
        <v>42089</v>
      </c>
      <c r="B878" s="126">
        <v>53.047489166259766</v>
      </c>
      <c r="C878" s="125">
        <f>IFERROR(yf_data[[#This Row],[Close Price]]/B877-1,0)</f>
        <v>2.1225969274099699E-2</v>
      </c>
    </row>
    <row r="879" spans="1:3" x14ac:dyDescent="0.15">
      <c r="A879" s="124">
        <v>42090</v>
      </c>
      <c r="B879" s="126">
        <v>53.285652160644531</v>
      </c>
      <c r="C879" s="125">
        <f>IFERROR(yf_data[[#This Row],[Close Price]]/B878-1,0)</f>
        <v>4.4896186064211641E-3</v>
      </c>
    </row>
    <row r="880" spans="1:3" x14ac:dyDescent="0.15">
      <c r="A880" s="124">
        <v>42093</v>
      </c>
      <c r="B880" s="126">
        <v>53.973659515380859</v>
      </c>
      <c r="C880" s="125">
        <f>IFERROR(yf_data[[#This Row],[Close Price]]/B879-1,0)</f>
        <v>1.2911681228225058E-2</v>
      </c>
    </row>
    <row r="881" spans="1:3" x14ac:dyDescent="0.15">
      <c r="A881" s="124">
        <v>42094</v>
      </c>
      <c r="B881" s="126">
        <v>53.312110900878906</v>
      </c>
      <c r="C881" s="125">
        <f>IFERROR(yf_data[[#This Row],[Close Price]]/B880-1,0)</f>
        <v>-1.225687901175998E-2</v>
      </c>
    </row>
    <row r="882" spans="1:3" x14ac:dyDescent="0.15">
      <c r="A882" s="124">
        <v>42095</v>
      </c>
      <c r="B882" s="126">
        <v>53.7266845703125</v>
      </c>
      <c r="C882" s="125">
        <f>IFERROR(yf_data[[#This Row],[Close Price]]/B881-1,0)</f>
        <v>7.776350672071386E-3</v>
      </c>
    </row>
    <row r="883" spans="1:3" x14ac:dyDescent="0.15">
      <c r="A883" s="124">
        <v>42096</v>
      </c>
      <c r="B883" s="126">
        <v>53.594371795654297</v>
      </c>
      <c r="C883" s="125">
        <f>IFERROR(yf_data[[#This Row],[Close Price]]/B882-1,0)</f>
        <v>-2.4627012762167277E-3</v>
      </c>
    </row>
    <row r="884" spans="1:3" x14ac:dyDescent="0.15">
      <c r="A884" s="124">
        <v>42101</v>
      </c>
      <c r="B884" s="126">
        <v>53.276828765869141</v>
      </c>
      <c r="C884" s="125">
        <f>IFERROR(yf_data[[#This Row],[Close Price]]/B883-1,0)</f>
        <v>-5.9249323976758861E-3</v>
      </c>
    </row>
    <row r="885" spans="1:3" x14ac:dyDescent="0.15">
      <c r="A885" s="124">
        <v>42102</v>
      </c>
      <c r="B885" s="126">
        <v>52.959281921386719</v>
      </c>
      <c r="C885" s="125">
        <f>IFERROR(yf_data[[#This Row],[Close Price]]/B884-1,0)</f>
        <v>-5.9603180564278269E-3</v>
      </c>
    </row>
    <row r="886" spans="1:3" x14ac:dyDescent="0.15">
      <c r="A886" s="124">
        <v>42103</v>
      </c>
      <c r="B886" s="126">
        <v>54.044227600097656</v>
      </c>
      <c r="C886" s="125">
        <f>IFERROR(yf_data[[#This Row],[Close Price]]/B885-1,0)</f>
        <v>2.0486412189678838E-2</v>
      </c>
    </row>
    <row r="887" spans="1:3" x14ac:dyDescent="0.15">
      <c r="A887" s="124">
        <v>42104</v>
      </c>
      <c r="B887" s="126">
        <v>54.608749389648438</v>
      </c>
      <c r="C887" s="125">
        <f>IFERROR(yf_data[[#This Row],[Close Price]]/B886-1,0)</f>
        <v>1.0445551997300795E-2</v>
      </c>
    </row>
    <row r="888" spans="1:3" x14ac:dyDescent="0.15">
      <c r="A888" s="124">
        <v>42107</v>
      </c>
      <c r="B888" s="126">
        <v>55.384967803955078</v>
      </c>
      <c r="C888" s="125">
        <f>IFERROR(yf_data[[#This Row],[Close Price]]/B887-1,0)</f>
        <v>1.421417672043912E-2</v>
      </c>
    </row>
    <row r="889" spans="1:3" x14ac:dyDescent="0.15">
      <c r="A889" s="124">
        <v>42108</v>
      </c>
      <c r="B889" s="126">
        <v>53.920738220214851</v>
      </c>
      <c r="C889" s="125">
        <f>IFERROR(yf_data[[#This Row],[Close Price]]/B888-1,0)</f>
        <v>-2.6437310371347111E-2</v>
      </c>
    </row>
    <row r="890" spans="1:3" x14ac:dyDescent="0.15">
      <c r="A890" s="124">
        <v>42109</v>
      </c>
      <c r="B890" s="126">
        <v>55.332046508789062</v>
      </c>
      <c r="C890" s="125">
        <f>IFERROR(yf_data[[#This Row],[Close Price]]/B889-1,0)</f>
        <v>2.6173756798550496E-2</v>
      </c>
    </row>
    <row r="891" spans="1:3" x14ac:dyDescent="0.15">
      <c r="A891" s="124">
        <v>42110</v>
      </c>
      <c r="B891" s="126">
        <v>56.425811767578125</v>
      </c>
      <c r="C891" s="125">
        <f>IFERROR(yf_data[[#This Row],[Close Price]]/B890-1,0)</f>
        <v>1.9767301732013909E-2</v>
      </c>
    </row>
    <row r="892" spans="1:3" x14ac:dyDescent="0.15">
      <c r="A892" s="124">
        <v>42111</v>
      </c>
      <c r="B892" s="126">
        <v>54.846912384033203</v>
      </c>
      <c r="C892" s="125">
        <f>IFERROR(yf_data[[#This Row],[Close Price]]/B891-1,0)</f>
        <v>-2.7981863868410395E-2</v>
      </c>
    </row>
    <row r="893" spans="1:3" x14ac:dyDescent="0.15">
      <c r="A893" s="124">
        <v>42114</v>
      </c>
      <c r="B893" s="126">
        <v>55.667232513427734</v>
      </c>
      <c r="C893" s="125">
        <f>IFERROR(yf_data[[#This Row],[Close Price]]/B892-1,0)</f>
        <v>1.4956541649067123E-2</v>
      </c>
    </row>
    <row r="894" spans="1:3" x14ac:dyDescent="0.15">
      <c r="A894" s="124">
        <v>42115</v>
      </c>
      <c r="B894" s="126">
        <v>56.928585052490234</v>
      </c>
      <c r="C894" s="125">
        <f>IFERROR(yf_data[[#This Row],[Close Price]]/B893-1,0)</f>
        <v>2.2658797323151347E-2</v>
      </c>
    </row>
    <row r="895" spans="1:3" x14ac:dyDescent="0.15">
      <c r="A895" s="124">
        <v>42116</v>
      </c>
      <c r="B895" s="126">
        <v>58.039997100830078</v>
      </c>
      <c r="C895" s="125">
        <f>IFERROR(yf_data[[#This Row],[Close Price]]/B894-1,0)</f>
        <v>1.9522917130560646E-2</v>
      </c>
    </row>
    <row r="896" spans="1:3" x14ac:dyDescent="0.15">
      <c r="A896" s="124">
        <v>42117</v>
      </c>
      <c r="B896" s="126">
        <v>57.89886474609375</v>
      </c>
      <c r="C896" s="125">
        <f>IFERROR(yf_data[[#This Row],[Close Price]]/B895-1,0)</f>
        <v>-2.4316395896978316E-3</v>
      </c>
    </row>
    <row r="897" spans="1:3" x14ac:dyDescent="0.15">
      <c r="A897" s="124">
        <v>42118</v>
      </c>
      <c r="B897" s="126">
        <v>57.45782470703125</v>
      </c>
      <c r="C897" s="125">
        <f>IFERROR(yf_data[[#This Row],[Close Price]]/B896-1,0)</f>
        <v>-7.6174211877315656E-3</v>
      </c>
    </row>
    <row r="898" spans="1:3" x14ac:dyDescent="0.15">
      <c r="A898" s="124">
        <v>42121</v>
      </c>
      <c r="B898" s="126">
        <v>57.995883941650391</v>
      </c>
      <c r="C898" s="125">
        <f>IFERROR(yf_data[[#This Row],[Close Price]]/B897-1,0)</f>
        <v>9.3644205530338809E-3</v>
      </c>
    </row>
    <row r="899" spans="1:3" x14ac:dyDescent="0.15">
      <c r="A899" s="124">
        <v>42122</v>
      </c>
      <c r="B899" s="126">
        <v>55.481998443603523</v>
      </c>
      <c r="C899" s="125">
        <f>IFERROR(yf_data[[#This Row],[Close Price]]/B898-1,0)</f>
        <v>-4.3345929524517435E-2</v>
      </c>
    </row>
    <row r="900" spans="1:3" x14ac:dyDescent="0.15">
      <c r="A900" s="124">
        <v>42123</v>
      </c>
      <c r="B900" s="126">
        <v>53.435600280761719</v>
      </c>
      <c r="C900" s="125">
        <f>IFERROR(yf_data[[#This Row],[Close Price]]/B899-1,0)</f>
        <v>-3.6884002383618775E-2</v>
      </c>
    </row>
    <row r="901" spans="1:3" x14ac:dyDescent="0.15">
      <c r="A901" s="124">
        <v>42124</v>
      </c>
      <c r="B901" s="126">
        <v>54.688137054443359</v>
      </c>
      <c r="C901" s="125">
        <f>IFERROR(yf_data[[#This Row],[Close Price]]/B900-1,0)</f>
        <v>2.3440117956952999E-2</v>
      </c>
    </row>
    <row r="902" spans="1:3" x14ac:dyDescent="0.15">
      <c r="A902" s="124">
        <v>42128</v>
      </c>
      <c r="B902" s="126">
        <v>54.335311889648438</v>
      </c>
      <c r="C902" s="125">
        <f>IFERROR(yf_data[[#This Row],[Close Price]]/B901-1,0)</f>
        <v>-6.4515850017651255E-3</v>
      </c>
    </row>
    <row r="903" spans="1:3" x14ac:dyDescent="0.15">
      <c r="A903" s="124">
        <v>42129</v>
      </c>
      <c r="B903" s="126">
        <v>52.835800170898438</v>
      </c>
      <c r="C903" s="125">
        <f>IFERROR(yf_data[[#This Row],[Close Price]]/B902-1,0)</f>
        <v>-2.7597370229426765E-2</v>
      </c>
    </row>
    <row r="904" spans="1:3" x14ac:dyDescent="0.15">
      <c r="A904" s="124">
        <v>42130</v>
      </c>
      <c r="B904" s="126">
        <v>53.170982360839837</v>
      </c>
      <c r="C904" s="125">
        <f>IFERROR(yf_data[[#This Row],[Close Price]]/B903-1,0)</f>
        <v>6.3438461962768145E-3</v>
      </c>
    </row>
    <row r="905" spans="1:3" x14ac:dyDescent="0.15">
      <c r="A905" s="124">
        <v>42131</v>
      </c>
      <c r="B905" s="126">
        <v>53.241546630859375</v>
      </c>
      <c r="C905" s="125">
        <f>IFERROR(yf_data[[#This Row],[Close Price]]/B904-1,0)</f>
        <v>1.3271199230562303E-3</v>
      </c>
    </row>
    <row r="906" spans="1:3" x14ac:dyDescent="0.15">
      <c r="A906" s="124">
        <v>42132</v>
      </c>
      <c r="B906" s="126">
        <v>55.923030853271491</v>
      </c>
      <c r="C906" s="125">
        <f>IFERROR(yf_data[[#This Row],[Close Price]]/B905-1,0)</f>
        <v>5.0364506519761765E-2</v>
      </c>
    </row>
    <row r="907" spans="1:3" x14ac:dyDescent="0.15">
      <c r="A907" s="124">
        <v>42135</v>
      </c>
      <c r="B907" s="126">
        <v>54.767524719238281</v>
      </c>
      <c r="C907" s="125">
        <f>IFERROR(yf_data[[#This Row],[Close Price]]/B906-1,0)</f>
        <v>-2.0662437575405757E-2</v>
      </c>
    </row>
    <row r="908" spans="1:3" x14ac:dyDescent="0.15">
      <c r="A908" s="124">
        <v>42136</v>
      </c>
      <c r="B908" s="126">
        <v>53.550270080566406</v>
      </c>
      <c r="C908" s="125">
        <f>IFERROR(yf_data[[#This Row],[Close Price]]/B907-1,0)</f>
        <v>-2.2225847250027075E-2</v>
      </c>
    </row>
    <row r="909" spans="1:3" x14ac:dyDescent="0.15">
      <c r="A909" s="124">
        <v>42137</v>
      </c>
      <c r="B909" s="126">
        <v>53.100418090820312</v>
      </c>
      <c r="C909" s="125">
        <f>IFERROR(yf_data[[#This Row],[Close Price]]/B908-1,0)</f>
        <v>-8.400555012501143E-3</v>
      </c>
    </row>
    <row r="910" spans="1:3" x14ac:dyDescent="0.15">
      <c r="A910" s="124">
        <v>42138</v>
      </c>
      <c r="B910" s="126">
        <v>53.691398620605469</v>
      </c>
      <c r="C910" s="125">
        <f>IFERROR(yf_data[[#This Row],[Close Price]]/B909-1,0)</f>
        <v>1.1129489202408305E-2</v>
      </c>
    </row>
    <row r="911" spans="1:3" x14ac:dyDescent="0.15">
      <c r="A911" s="124">
        <v>42139</v>
      </c>
      <c r="B911" s="126">
        <v>53.682582855224609</v>
      </c>
      <c r="C911" s="125">
        <f>IFERROR(yf_data[[#This Row],[Close Price]]/B910-1,0)</f>
        <v>-1.6419325268757223E-4</v>
      </c>
    </row>
    <row r="912" spans="1:3" x14ac:dyDescent="0.15">
      <c r="A912" s="124">
        <v>42142</v>
      </c>
      <c r="B912" s="126">
        <v>54.247104644775391</v>
      </c>
      <c r="C912" s="125">
        <f>IFERROR(yf_data[[#This Row],[Close Price]]/B911-1,0)</f>
        <v>1.051592079824526E-2</v>
      </c>
    </row>
    <row r="913" spans="1:3" x14ac:dyDescent="0.15">
      <c r="A913" s="124">
        <v>42143</v>
      </c>
      <c r="B913" s="126">
        <v>55.402610778808594</v>
      </c>
      <c r="C913" s="125">
        <f>IFERROR(yf_data[[#This Row],[Close Price]]/B912-1,0)</f>
        <v>2.1300789076205362E-2</v>
      </c>
    </row>
    <row r="914" spans="1:3" x14ac:dyDescent="0.15">
      <c r="A914" s="124">
        <v>42144</v>
      </c>
      <c r="B914" s="126">
        <v>55.870105743408203</v>
      </c>
      <c r="C914" s="125">
        <f>IFERROR(yf_data[[#This Row],[Close Price]]/B913-1,0)</f>
        <v>8.4381396116159912E-3</v>
      </c>
    </row>
    <row r="915" spans="1:3" x14ac:dyDescent="0.15">
      <c r="A915" s="124">
        <v>42145</v>
      </c>
      <c r="B915" s="126">
        <v>56.399345397949219</v>
      </c>
      <c r="C915" s="125">
        <f>IFERROR(yf_data[[#This Row],[Close Price]]/B914-1,0)</f>
        <v>9.4726803806606252E-3</v>
      </c>
    </row>
    <row r="916" spans="1:3" x14ac:dyDescent="0.15">
      <c r="A916" s="124">
        <v>42146</v>
      </c>
      <c r="B916" s="126">
        <v>56.214111328125</v>
      </c>
      <c r="C916" s="125">
        <f>IFERROR(yf_data[[#This Row],[Close Price]]/B915-1,0)</f>
        <v>-3.2843301374727574E-3</v>
      </c>
    </row>
    <row r="917" spans="1:3" x14ac:dyDescent="0.15">
      <c r="A917" s="124">
        <v>42149</v>
      </c>
      <c r="B917" s="126">
        <v>55.887744903564453</v>
      </c>
      <c r="C917" s="125">
        <f>IFERROR(yf_data[[#This Row],[Close Price]]/B916-1,0)</f>
        <v>-5.8057739747148229E-3</v>
      </c>
    </row>
    <row r="918" spans="1:3" x14ac:dyDescent="0.15">
      <c r="A918" s="124">
        <v>42150</v>
      </c>
      <c r="B918" s="126">
        <v>56.002414703369141</v>
      </c>
      <c r="C918" s="125">
        <f>IFERROR(yf_data[[#This Row],[Close Price]]/B917-1,0)</f>
        <v>2.0517879188461929E-3</v>
      </c>
    </row>
    <row r="919" spans="1:3" x14ac:dyDescent="0.15">
      <c r="A919" s="124">
        <v>42151</v>
      </c>
      <c r="B919" s="126">
        <v>57.563674926757812</v>
      </c>
      <c r="C919" s="125">
        <f>IFERROR(yf_data[[#This Row],[Close Price]]/B918-1,0)</f>
        <v>2.7878444735968566E-2</v>
      </c>
    </row>
    <row r="920" spans="1:3" x14ac:dyDescent="0.15">
      <c r="A920" s="124">
        <v>42152</v>
      </c>
      <c r="B920" s="126">
        <v>57.016796112060547</v>
      </c>
      <c r="C920" s="125">
        <f>IFERROR(yf_data[[#This Row],[Close Price]]/B919-1,0)</f>
        <v>-9.500415242652549E-3</v>
      </c>
    </row>
    <row r="921" spans="1:3" x14ac:dyDescent="0.15">
      <c r="A921" s="124">
        <v>42153</v>
      </c>
      <c r="B921" s="126">
        <v>54.688137054443359</v>
      </c>
      <c r="C921" s="125">
        <f>IFERROR(yf_data[[#This Row],[Close Price]]/B920-1,0)</f>
        <v>-4.084163292936438E-2</v>
      </c>
    </row>
    <row r="922" spans="1:3" x14ac:dyDescent="0.15">
      <c r="A922" s="124">
        <v>42156</v>
      </c>
      <c r="B922" s="126">
        <v>55.605602264404297</v>
      </c>
      <c r="C922" s="125">
        <f>IFERROR(yf_data[[#This Row],[Close Price]]/B921-1,0)</f>
        <v>1.6776311269253386E-2</v>
      </c>
    </row>
    <row r="923" spans="1:3" x14ac:dyDescent="0.15">
      <c r="A923" s="124">
        <v>42157</v>
      </c>
      <c r="B923" s="126">
        <v>55.326763153076172</v>
      </c>
      <c r="C923" s="125">
        <f>IFERROR(yf_data[[#This Row],[Close Price]]/B922-1,0)</f>
        <v>-5.0145866598521049E-3</v>
      </c>
    </row>
    <row r="924" spans="1:3" x14ac:dyDescent="0.15">
      <c r="A924" s="124">
        <v>42158</v>
      </c>
      <c r="B924" s="126">
        <v>55.254806518554688</v>
      </c>
      <c r="C924" s="125">
        <f>IFERROR(yf_data[[#This Row],[Close Price]]/B923-1,0)</f>
        <v>-1.3005755338044711E-3</v>
      </c>
    </row>
    <row r="925" spans="1:3" x14ac:dyDescent="0.15">
      <c r="A925" s="124">
        <v>42159</v>
      </c>
      <c r="B925" s="126">
        <v>54.661151885986328</v>
      </c>
      <c r="C925" s="125">
        <f>IFERROR(yf_data[[#This Row],[Close Price]]/B924-1,0)</f>
        <v>-1.0743945549225864E-2</v>
      </c>
    </row>
    <row r="926" spans="1:3" x14ac:dyDescent="0.15">
      <c r="A926" s="124">
        <v>42160</v>
      </c>
      <c r="B926" s="126">
        <v>53.662731170654297</v>
      </c>
      <c r="C926" s="125">
        <f>IFERROR(yf_data[[#This Row],[Close Price]]/B925-1,0)</f>
        <v>-1.8265636212982939E-2</v>
      </c>
    </row>
    <row r="927" spans="1:3" x14ac:dyDescent="0.15">
      <c r="A927" s="124">
        <v>42163</v>
      </c>
      <c r="B927" s="126">
        <v>53.204002380371094</v>
      </c>
      <c r="C927" s="125">
        <f>IFERROR(yf_data[[#This Row],[Close Price]]/B926-1,0)</f>
        <v>-8.5483683047063996E-3</v>
      </c>
    </row>
    <row r="928" spans="1:3" x14ac:dyDescent="0.15">
      <c r="A928" s="124">
        <v>42164</v>
      </c>
      <c r="B928" s="126">
        <v>53.024105072021491</v>
      </c>
      <c r="C928" s="125">
        <f>IFERROR(yf_data[[#This Row],[Close Price]]/B927-1,0)</f>
        <v>-3.3812739700194161E-3</v>
      </c>
    </row>
    <row r="929" spans="1:3" x14ac:dyDescent="0.15">
      <c r="A929" s="124">
        <v>42165</v>
      </c>
      <c r="B929" s="126">
        <v>54.445274353027344</v>
      </c>
      <c r="C929" s="125">
        <f>IFERROR(yf_data[[#This Row],[Close Price]]/B928-1,0)</f>
        <v>2.680232469884225E-2</v>
      </c>
    </row>
    <row r="930" spans="1:3" x14ac:dyDescent="0.15">
      <c r="A930" s="124">
        <v>42166</v>
      </c>
      <c r="B930" s="126">
        <v>55.272796630859375</v>
      </c>
      <c r="C930" s="125">
        <f>IFERROR(yf_data[[#This Row],[Close Price]]/B929-1,0)</f>
        <v>1.5199157092428583E-2</v>
      </c>
    </row>
    <row r="931" spans="1:3" x14ac:dyDescent="0.15">
      <c r="A931" s="124">
        <v>42167</v>
      </c>
      <c r="B931" s="126">
        <v>54.364326477050781</v>
      </c>
      <c r="C931" s="125">
        <f>IFERROR(yf_data[[#This Row],[Close Price]]/B930-1,0)</f>
        <v>-1.6436117026533581E-2</v>
      </c>
    </row>
    <row r="932" spans="1:3" x14ac:dyDescent="0.15">
      <c r="A932" s="124">
        <v>42170</v>
      </c>
      <c r="B932" s="126">
        <v>53.329929351806641</v>
      </c>
      <c r="C932" s="125">
        <f>IFERROR(yf_data[[#This Row],[Close Price]]/B931-1,0)</f>
        <v>-1.9027130331151998E-2</v>
      </c>
    </row>
    <row r="933" spans="1:3" x14ac:dyDescent="0.15">
      <c r="A933" s="124">
        <v>42171</v>
      </c>
      <c r="B933" s="126">
        <v>53.401885986328125</v>
      </c>
      <c r="C933" s="125">
        <f>IFERROR(yf_data[[#This Row],[Close Price]]/B932-1,0)</f>
        <v>1.3492730141606568E-3</v>
      </c>
    </row>
    <row r="934" spans="1:3" x14ac:dyDescent="0.15">
      <c r="A934" s="124">
        <v>42172</v>
      </c>
      <c r="B934" s="126">
        <v>52.133621215820312</v>
      </c>
      <c r="C934" s="125">
        <f>IFERROR(yf_data[[#This Row],[Close Price]]/B933-1,0)</f>
        <v>-2.3749437816344421E-2</v>
      </c>
    </row>
    <row r="935" spans="1:3" x14ac:dyDescent="0.15">
      <c r="A935" s="124">
        <v>42173</v>
      </c>
      <c r="B935" s="126">
        <v>51.890766143798828</v>
      </c>
      <c r="C935" s="125">
        <f>IFERROR(yf_data[[#This Row],[Close Price]]/B934-1,0)</f>
        <v>-4.6583196478166E-3</v>
      </c>
    </row>
    <row r="936" spans="1:3" x14ac:dyDescent="0.15">
      <c r="A936" s="124">
        <v>42174</v>
      </c>
      <c r="B936" s="126">
        <v>53.015110015869141</v>
      </c>
      <c r="C936" s="125">
        <f>IFERROR(yf_data[[#This Row],[Close Price]]/B935-1,0)</f>
        <v>2.1667513425308593E-2</v>
      </c>
    </row>
    <row r="937" spans="1:3" x14ac:dyDescent="0.15">
      <c r="A937" s="124">
        <v>42177</v>
      </c>
      <c r="B937" s="126">
        <v>54.544216156005859</v>
      </c>
      <c r="C937" s="125">
        <f>IFERROR(yf_data[[#This Row],[Close Price]]/B936-1,0)</f>
        <v>2.8842836309856068E-2</v>
      </c>
    </row>
    <row r="938" spans="1:3" x14ac:dyDescent="0.15">
      <c r="A938" s="124">
        <v>42178</v>
      </c>
      <c r="B938" s="126">
        <v>55.758514404296875</v>
      </c>
      <c r="C938" s="125">
        <f>IFERROR(yf_data[[#This Row],[Close Price]]/B937-1,0)</f>
        <v>2.2262639998674061E-2</v>
      </c>
    </row>
    <row r="939" spans="1:3" x14ac:dyDescent="0.15">
      <c r="A939" s="124">
        <v>42179</v>
      </c>
      <c r="B939" s="126">
        <v>55.488670349121094</v>
      </c>
      <c r="C939" s="125">
        <f>IFERROR(yf_data[[#This Row],[Close Price]]/B938-1,0)</f>
        <v>-4.8395129974084794E-3</v>
      </c>
    </row>
    <row r="940" spans="1:3" x14ac:dyDescent="0.15">
      <c r="A940" s="124">
        <v>42180</v>
      </c>
      <c r="B940" s="126">
        <v>55.614597320556641</v>
      </c>
      <c r="C940" s="125">
        <f>IFERROR(yf_data[[#This Row],[Close Price]]/B939-1,0)</f>
        <v>2.2694177143414151E-3</v>
      </c>
    </row>
    <row r="941" spans="1:3" x14ac:dyDescent="0.15">
      <c r="A941" s="124">
        <v>42181</v>
      </c>
      <c r="B941" s="126">
        <v>55.326763153076172</v>
      </c>
      <c r="C941" s="125">
        <f>IFERROR(yf_data[[#This Row],[Close Price]]/B940-1,0)</f>
        <v>-5.1755147272113389E-3</v>
      </c>
    </row>
    <row r="942" spans="1:3" x14ac:dyDescent="0.15">
      <c r="A942" s="124">
        <v>42184</v>
      </c>
      <c r="B942" s="126">
        <v>53.338916778564453</v>
      </c>
      <c r="C942" s="125">
        <f>IFERROR(yf_data[[#This Row],[Close Price]]/B941-1,0)</f>
        <v>-3.5929200647647042E-2</v>
      </c>
    </row>
    <row r="943" spans="1:3" x14ac:dyDescent="0.15">
      <c r="A943" s="124">
        <v>42185</v>
      </c>
      <c r="B943" s="126">
        <v>52.349498748779297</v>
      </c>
      <c r="C943" s="125">
        <f>IFERROR(yf_data[[#This Row],[Close Price]]/B942-1,0)</f>
        <v>-1.8549646103476536E-2</v>
      </c>
    </row>
    <row r="944" spans="1:3" x14ac:dyDescent="0.15">
      <c r="A944" s="124">
        <v>42186</v>
      </c>
      <c r="B944" s="126">
        <v>54.301361083984375</v>
      </c>
      <c r="C944" s="125">
        <f>IFERROR(yf_data[[#This Row],[Close Price]]/B943-1,0)</f>
        <v>3.7285215367044877E-2</v>
      </c>
    </row>
    <row r="945" spans="1:3" x14ac:dyDescent="0.15">
      <c r="A945" s="124">
        <v>42187</v>
      </c>
      <c r="B945" s="126">
        <v>53.536808013916016</v>
      </c>
      <c r="C945" s="125">
        <f>IFERROR(yf_data[[#This Row],[Close Price]]/B944-1,0)</f>
        <v>-1.4079814111581435E-2</v>
      </c>
    </row>
    <row r="946" spans="1:3" x14ac:dyDescent="0.15">
      <c r="A946" s="124">
        <v>42188</v>
      </c>
      <c r="B946" s="126">
        <v>53.257968902587891</v>
      </c>
      <c r="C946" s="125">
        <f>IFERROR(yf_data[[#This Row],[Close Price]]/B945-1,0)</f>
        <v>-5.2083626512743342E-3</v>
      </c>
    </row>
    <row r="947" spans="1:3" x14ac:dyDescent="0.15">
      <c r="A947" s="124">
        <v>42191</v>
      </c>
      <c r="B947" s="126">
        <v>52.511402130126953</v>
      </c>
      <c r="C947" s="125">
        <f>IFERROR(yf_data[[#This Row],[Close Price]]/B946-1,0)</f>
        <v>-1.4017935491052125E-2</v>
      </c>
    </row>
    <row r="948" spans="1:3" x14ac:dyDescent="0.15">
      <c r="A948" s="124">
        <v>42192</v>
      </c>
      <c r="B948" s="126">
        <v>50.928321838378906</v>
      </c>
      <c r="C948" s="125">
        <f>IFERROR(yf_data[[#This Row],[Close Price]]/B947-1,0)</f>
        <v>-3.01473628113198E-2</v>
      </c>
    </row>
    <row r="949" spans="1:3" x14ac:dyDescent="0.15">
      <c r="A949" s="124">
        <v>42193</v>
      </c>
      <c r="B949" s="126">
        <v>51.414043426513672</v>
      </c>
      <c r="C949" s="125">
        <f>IFERROR(yf_data[[#This Row],[Close Price]]/B948-1,0)</f>
        <v>9.537357026532467E-3</v>
      </c>
    </row>
    <row r="950" spans="1:3" x14ac:dyDescent="0.15">
      <c r="A950" s="124">
        <v>42194</v>
      </c>
      <c r="B950" s="126">
        <v>52.70928955078125</v>
      </c>
      <c r="C950" s="125">
        <f>IFERROR(yf_data[[#This Row],[Close Price]]/B949-1,0)</f>
        <v>2.5192457895650167E-2</v>
      </c>
    </row>
    <row r="951" spans="1:3" x14ac:dyDescent="0.15">
      <c r="A951" s="124">
        <v>42195</v>
      </c>
      <c r="B951" s="126">
        <v>54.328342437744141</v>
      </c>
      <c r="C951" s="125">
        <f>IFERROR(yf_data[[#This Row],[Close Price]]/B950-1,0)</f>
        <v>3.0716651671107487E-2</v>
      </c>
    </row>
    <row r="952" spans="1:3" x14ac:dyDescent="0.15">
      <c r="A952" s="124">
        <v>42198</v>
      </c>
      <c r="B952" s="126">
        <v>56.019363403320312</v>
      </c>
      <c r="C952" s="125">
        <f>IFERROR(yf_data[[#This Row],[Close Price]]/B951-1,0)</f>
        <v>3.1125944391068971E-2</v>
      </c>
    </row>
    <row r="953" spans="1:3" x14ac:dyDescent="0.15">
      <c r="A953" s="124">
        <v>42199</v>
      </c>
      <c r="B953" s="126">
        <v>56.559051513671875</v>
      </c>
      <c r="C953" s="125">
        <f>IFERROR(yf_data[[#This Row],[Close Price]]/B952-1,0)</f>
        <v>9.6339565029683882E-3</v>
      </c>
    </row>
    <row r="954" spans="1:3" x14ac:dyDescent="0.15">
      <c r="A954" s="124">
        <v>42200</v>
      </c>
      <c r="B954" s="126">
        <v>57.287620544433594</v>
      </c>
      <c r="C954" s="125">
        <f>IFERROR(yf_data[[#This Row],[Close Price]]/B953-1,0)</f>
        <v>1.2881563803905038E-2</v>
      </c>
    </row>
    <row r="955" spans="1:3" x14ac:dyDescent="0.15">
      <c r="A955" s="124">
        <v>42201</v>
      </c>
      <c r="B955" s="126">
        <v>58.573871612548828</v>
      </c>
      <c r="C955" s="125">
        <f>IFERROR(yf_data[[#This Row],[Close Price]]/B954-1,0)</f>
        <v>2.2452513403268037E-2</v>
      </c>
    </row>
    <row r="956" spans="1:3" x14ac:dyDescent="0.15">
      <c r="A956" s="124">
        <v>42202</v>
      </c>
      <c r="B956" s="126">
        <v>58.151119232177734</v>
      </c>
      <c r="C956" s="125">
        <f>IFERROR(yf_data[[#This Row],[Close Price]]/B955-1,0)</f>
        <v>-7.2174225253112123E-3</v>
      </c>
    </row>
    <row r="957" spans="1:3" x14ac:dyDescent="0.15">
      <c r="A957" s="124">
        <v>42205</v>
      </c>
      <c r="B957" s="126">
        <v>58.232070922851562</v>
      </c>
      <c r="C957" s="125">
        <f>IFERROR(yf_data[[#This Row],[Close Price]]/B956-1,0)</f>
        <v>1.392091704213172E-3</v>
      </c>
    </row>
    <row r="958" spans="1:3" x14ac:dyDescent="0.15">
      <c r="A958" s="124">
        <v>42206</v>
      </c>
      <c r="B958" s="126">
        <v>57.638416290283203</v>
      </c>
      <c r="C958" s="125">
        <f>IFERROR(yf_data[[#This Row],[Close Price]]/B957-1,0)</f>
        <v>-1.0194633698582645E-2</v>
      </c>
    </row>
    <row r="959" spans="1:3" x14ac:dyDescent="0.15">
      <c r="A959" s="124">
        <v>42207</v>
      </c>
      <c r="B959" s="126">
        <v>56.990791320800781</v>
      </c>
      <c r="C959" s="125">
        <f>IFERROR(yf_data[[#This Row],[Close Price]]/B958-1,0)</f>
        <v>-1.1235995212304228E-2</v>
      </c>
    </row>
    <row r="960" spans="1:3" x14ac:dyDescent="0.15">
      <c r="A960" s="124">
        <v>42208</v>
      </c>
      <c r="B960" s="126">
        <v>56.702960968017578</v>
      </c>
      <c r="C960" s="125">
        <f>IFERROR(yf_data[[#This Row],[Close Price]]/B959-1,0)</f>
        <v>-5.0504712447841937E-3</v>
      </c>
    </row>
    <row r="961" spans="1:3" x14ac:dyDescent="0.15">
      <c r="A961" s="124">
        <v>42209</v>
      </c>
      <c r="B961" s="126">
        <v>56.720954895019531</v>
      </c>
      <c r="C961" s="125">
        <f>IFERROR(yf_data[[#This Row],[Close Price]]/B960-1,0)</f>
        <v>3.1733663806554624E-4</v>
      </c>
    </row>
    <row r="962" spans="1:3" x14ac:dyDescent="0.15">
      <c r="A962" s="124">
        <v>42212</v>
      </c>
      <c r="B962" s="126">
        <v>54.238395690917969</v>
      </c>
      <c r="C962" s="125">
        <f>IFERROR(yf_data[[#This Row],[Close Price]]/B961-1,0)</f>
        <v>-4.3767937417420799E-2</v>
      </c>
    </row>
    <row r="963" spans="1:3" x14ac:dyDescent="0.15">
      <c r="A963" s="124">
        <v>42213</v>
      </c>
      <c r="B963" s="126">
        <v>55.074909210205078</v>
      </c>
      <c r="C963" s="125">
        <f>IFERROR(yf_data[[#This Row],[Close Price]]/B962-1,0)</f>
        <v>1.5422903067672689E-2</v>
      </c>
    </row>
    <row r="964" spans="1:3" x14ac:dyDescent="0.15">
      <c r="A964" s="124">
        <v>42214</v>
      </c>
      <c r="B964" s="126">
        <v>55.875438690185547</v>
      </c>
      <c r="C964" s="125">
        <f>IFERROR(yf_data[[#This Row],[Close Price]]/B963-1,0)</f>
        <v>1.4535284605283305E-2</v>
      </c>
    </row>
    <row r="965" spans="1:3" x14ac:dyDescent="0.15">
      <c r="A965" s="124">
        <v>42215</v>
      </c>
      <c r="B965" s="126">
        <v>56.136299133300781</v>
      </c>
      <c r="C965" s="125">
        <f>IFERROR(yf_data[[#This Row],[Close Price]]/B964-1,0)</f>
        <v>4.6686066226993006E-3</v>
      </c>
    </row>
    <row r="966" spans="1:3" x14ac:dyDescent="0.15">
      <c r="A966" s="124">
        <v>42216</v>
      </c>
      <c r="B966" s="126">
        <v>58.106143951416016</v>
      </c>
      <c r="C966" s="125">
        <f>IFERROR(yf_data[[#This Row],[Close Price]]/B965-1,0)</f>
        <v>3.509039335560149E-2</v>
      </c>
    </row>
    <row r="967" spans="1:3" x14ac:dyDescent="0.15">
      <c r="A967" s="124">
        <v>42219</v>
      </c>
      <c r="B967" s="126">
        <v>59.122554779052734</v>
      </c>
      <c r="C967" s="125">
        <f>IFERROR(yf_data[[#This Row],[Close Price]]/B966-1,0)</f>
        <v>1.7492312490854145E-2</v>
      </c>
    </row>
    <row r="968" spans="1:3" x14ac:dyDescent="0.15">
      <c r="A968" s="124">
        <v>42220</v>
      </c>
      <c r="B968" s="126">
        <v>58.366989135742188</v>
      </c>
      <c r="C968" s="125">
        <f>IFERROR(yf_data[[#This Row],[Close Price]]/B967-1,0)</f>
        <v>-1.2779651456777841E-2</v>
      </c>
    </row>
    <row r="969" spans="1:3" x14ac:dyDescent="0.15">
      <c r="A969" s="124">
        <v>42221</v>
      </c>
      <c r="B969" s="126">
        <v>60.02203369140625</v>
      </c>
      <c r="C969" s="125">
        <f>IFERROR(yf_data[[#This Row],[Close Price]]/B968-1,0)</f>
        <v>2.8355832297858985E-2</v>
      </c>
    </row>
    <row r="970" spans="1:3" x14ac:dyDescent="0.15">
      <c r="A970" s="124">
        <v>42222</v>
      </c>
      <c r="B970" s="126">
        <v>60.426792144775391</v>
      </c>
      <c r="C970" s="125">
        <f>IFERROR(yf_data[[#This Row],[Close Price]]/B969-1,0)</f>
        <v>6.7434978203195772E-3</v>
      </c>
    </row>
    <row r="971" spans="1:3" x14ac:dyDescent="0.15">
      <c r="A971" s="124">
        <v>42223</v>
      </c>
      <c r="B971" s="126">
        <v>59.815147399902344</v>
      </c>
      <c r="C971" s="125">
        <f>IFERROR(yf_data[[#This Row],[Close Price]]/B970-1,0)</f>
        <v>-1.0122078686679581E-2</v>
      </c>
    </row>
    <row r="972" spans="1:3" x14ac:dyDescent="0.15">
      <c r="A972" s="124">
        <v>42226</v>
      </c>
      <c r="B972" s="126">
        <v>59.482337951660163</v>
      </c>
      <c r="C972" s="125">
        <f>IFERROR(yf_data[[#This Row],[Close Price]]/B971-1,0)</f>
        <v>-5.5639660304962479E-3</v>
      </c>
    </row>
    <row r="973" spans="1:3" x14ac:dyDescent="0.15">
      <c r="A973" s="124">
        <v>42227</v>
      </c>
      <c r="B973" s="126">
        <v>57.818309783935547</v>
      </c>
      <c r="C973" s="125">
        <f>IFERROR(yf_data[[#This Row],[Close Price]]/B972-1,0)</f>
        <v>-2.7975164141613496E-2</v>
      </c>
    </row>
    <row r="974" spans="1:3" x14ac:dyDescent="0.15">
      <c r="A974" s="124">
        <v>42228</v>
      </c>
      <c r="B974" s="126">
        <v>54.823055267333984</v>
      </c>
      <c r="C974" s="125">
        <f>IFERROR(yf_data[[#This Row],[Close Price]]/B973-1,0)</f>
        <v>-5.1804601825869656E-2</v>
      </c>
    </row>
    <row r="975" spans="1:3" x14ac:dyDescent="0.15">
      <c r="A975" s="124">
        <v>42229</v>
      </c>
      <c r="B975" s="126">
        <v>56.172267913818359</v>
      </c>
      <c r="C975" s="125">
        <f>IFERROR(yf_data[[#This Row],[Close Price]]/B974-1,0)</f>
        <v>2.4610314764567542E-2</v>
      </c>
    </row>
    <row r="976" spans="1:3" x14ac:dyDescent="0.15">
      <c r="A976" s="124">
        <v>42230</v>
      </c>
      <c r="B976" s="126">
        <v>56.127296447753906</v>
      </c>
      <c r="C976" s="125">
        <f>IFERROR(yf_data[[#This Row],[Close Price]]/B975-1,0)</f>
        <v>-8.0059908091034693E-4</v>
      </c>
    </row>
    <row r="977" spans="1:3" x14ac:dyDescent="0.15">
      <c r="A977" s="124">
        <v>42233</v>
      </c>
      <c r="B977" s="126">
        <v>56.675975799560547</v>
      </c>
      <c r="C977" s="125">
        <f>IFERROR(yf_data[[#This Row],[Close Price]]/B976-1,0)</f>
        <v>9.7756240997173283E-3</v>
      </c>
    </row>
    <row r="978" spans="1:3" x14ac:dyDescent="0.15">
      <c r="A978" s="124">
        <v>42234</v>
      </c>
      <c r="B978" s="126">
        <v>56.631004333496094</v>
      </c>
      <c r="C978" s="125">
        <f>IFERROR(yf_data[[#This Row],[Close Price]]/B977-1,0)</f>
        <v>-7.9348375444820984E-4</v>
      </c>
    </row>
    <row r="979" spans="1:3" x14ac:dyDescent="0.15">
      <c r="A979" s="124">
        <v>42235</v>
      </c>
      <c r="B979" s="126">
        <v>55.641578674316406</v>
      </c>
      <c r="C979" s="125">
        <f>IFERROR(yf_data[[#This Row],[Close Price]]/B978-1,0)</f>
        <v>-1.7471448207999729E-2</v>
      </c>
    </row>
    <row r="980" spans="1:3" x14ac:dyDescent="0.15">
      <c r="A980" s="124">
        <v>42236</v>
      </c>
      <c r="B980" s="126">
        <v>54.058498382568359</v>
      </c>
      <c r="C980" s="125">
        <f>IFERROR(yf_data[[#This Row],[Close Price]]/B979-1,0)</f>
        <v>-2.8451390659028575E-2</v>
      </c>
    </row>
    <row r="981" spans="1:3" x14ac:dyDescent="0.15">
      <c r="A981" s="124">
        <v>42237</v>
      </c>
      <c r="B981" s="126">
        <v>51.620922088623047</v>
      </c>
      <c r="C981" s="125">
        <f>IFERROR(yf_data[[#This Row],[Close Price]]/B980-1,0)</f>
        <v>-4.5091454015143917E-2</v>
      </c>
    </row>
    <row r="982" spans="1:3" x14ac:dyDescent="0.15">
      <c r="A982" s="124">
        <v>42240</v>
      </c>
      <c r="B982" s="126">
        <v>49.201335906982422</v>
      </c>
      <c r="C982" s="125">
        <f>IFERROR(yf_data[[#This Row],[Close Price]]/B981-1,0)</f>
        <v>-4.6872199948049476E-2</v>
      </c>
    </row>
    <row r="983" spans="1:3" x14ac:dyDescent="0.15">
      <c r="A983" s="124">
        <v>42241</v>
      </c>
      <c r="B983" s="126">
        <v>50.550544738769531</v>
      </c>
      <c r="C983" s="125">
        <f>IFERROR(yf_data[[#This Row],[Close Price]]/B982-1,0)</f>
        <v>2.7422199152028259E-2</v>
      </c>
    </row>
    <row r="984" spans="1:3" x14ac:dyDescent="0.15">
      <c r="A984" s="124">
        <v>42242</v>
      </c>
      <c r="B984" s="126">
        <v>50.298694610595703</v>
      </c>
      <c r="C984" s="125">
        <f>IFERROR(yf_data[[#This Row],[Close Price]]/B983-1,0)</f>
        <v>-4.9821446925115698E-3</v>
      </c>
    </row>
    <row r="985" spans="1:3" x14ac:dyDescent="0.15">
      <c r="A985" s="124">
        <v>42243</v>
      </c>
      <c r="B985" s="126">
        <v>52.088649749755859</v>
      </c>
      <c r="C985" s="125">
        <f>IFERROR(yf_data[[#This Row],[Close Price]]/B984-1,0)</f>
        <v>3.5586512791588198E-2</v>
      </c>
    </row>
    <row r="986" spans="1:3" x14ac:dyDescent="0.15">
      <c r="A986" s="124">
        <v>42244</v>
      </c>
      <c r="B986" s="126">
        <v>52.421455383300781</v>
      </c>
      <c r="C986" s="125">
        <f>IFERROR(yf_data[[#This Row],[Close Price]]/B985-1,0)</f>
        <v>6.3892159835929885E-3</v>
      </c>
    </row>
    <row r="987" spans="1:3" x14ac:dyDescent="0.15">
      <c r="A987" s="124">
        <v>42247</v>
      </c>
      <c r="B987" s="126">
        <v>52.250556945800781</v>
      </c>
      <c r="C987" s="125">
        <f>IFERROR(yf_data[[#This Row],[Close Price]]/B986-1,0)</f>
        <v>-3.2600857082354384E-3</v>
      </c>
    </row>
    <row r="988" spans="1:3" x14ac:dyDescent="0.15">
      <c r="A988" s="124">
        <v>42248</v>
      </c>
      <c r="B988" s="126">
        <v>50.829387664794922</v>
      </c>
      <c r="C988" s="125">
        <f>IFERROR(yf_data[[#This Row],[Close Price]]/B987-1,0)</f>
        <v>-2.7199122154430433E-2</v>
      </c>
    </row>
    <row r="989" spans="1:3" x14ac:dyDescent="0.15">
      <c r="A989" s="124">
        <v>42249</v>
      </c>
      <c r="B989" s="126">
        <v>50.154777526855469</v>
      </c>
      <c r="C989" s="125">
        <f>IFERROR(yf_data[[#This Row],[Close Price]]/B988-1,0)</f>
        <v>-1.32720492796079E-2</v>
      </c>
    </row>
    <row r="990" spans="1:3" x14ac:dyDescent="0.15">
      <c r="A990" s="124">
        <v>42250</v>
      </c>
      <c r="B990" s="126">
        <v>51.6658935546875</v>
      </c>
      <c r="C990" s="125">
        <f>IFERROR(yf_data[[#This Row],[Close Price]]/B989-1,0)</f>
        <v>3.0129054545659173E-2</v>
      </c>
    </row>
    <row r="991" spans="1:3" x14ac:dyDescent="0.15">
      <c r="A991" s="124">
        <v>42251</v>
      </c>
      <c r="B991" s="126">
        <v>49.759010314941406</v>
      </c>
      <c r="C991" s="125">
        <f>IFERROR(yf_data[[#This Row],[Close Price]]/B990-1,0)</f>
        <v>-3.6907969814316433E-2</v>
      </c>
    </row>
    <row r="992" spans="1:3" x14ac:dyDescent="0.15">
      <c r="A992" s="124">
        <v>42254</v>
      </c>
      <c r="B992" s="126">
        <v>49.76800537109375</v>
      </c>
      <c r="C992" s="125">
        <f>IFERROR(yf_data[[#This Row],[Close Price]]/B991-1,0)</f>
        <v>1.8077240876390732E-4</v>
      </c>
    </row>
    <row r="993" spans="1:3" x14ac:dyDescent="0.15">
      <c r="A993" s="124">
        <v>42255</v>
      </c>
      <c r="B993" s="126">
        <v>50.271705627441406</v>
      </c>
      <c r="C993" s="125">
        <f>IFERROR(yf_data[[#This Row],[Close Price]]/B992-1,0)</f>
        <v>1.0120965318819453E-2</v>
      </c>
    </row>
    <row r="994" spans="1:3" x14ac:dyDescent="0.15">
      <c r="A994" s="124">
        <v>42256</v>
      </c>
      <c r="B994" s="126">
        <v>51.557960510253906</v>
      </c>
      <c r="C994" s="125">
        <f>IFERROR(yf_data[[#This Row],[Close Price]]/B993-1,0)</f>
        <v>2.5586060125845078E-2</v>
      </c>
    </row>
    <row r="995" spans="1:3" x14ac:dyDescent="0.15">
      <c r="A995" s="124">
        <v>42257</v>
      </c>
      <c r="B995" s="126">
        <v>50.820388793945312</v>
      </c>
      <c r="C995" s="125">
        <f>IFERROR(yf_data[[#This Row],[Close Price]]/B994-1,0)</f>
        <v>-1.4305680616709116E-2</v>
      </c>
    </row>
    <row r="996" spans="1:3" x14ac:dyDescent="0.15">
      <c r="A996" s="124">
        <v>42258</v>
      </c>
      <c r="B996" s="126">
        <v>49.983875274658203</v>
      </c>
      <c r="C996" s="125">
        <f>IFERROR(yf_data[[#This Row],[Close Price]]/B995-1,0)</f>
        <v>-1.6460195192107063E-2</v>
      </c>
    </row>
    <row r="997" spans="1:3" x14ac:dyDescent="0.15">
      <c r="A997" s="124">
        <v>42261</v>
      </c>
      <c r="B997" s="126">
        <v>49.030433654785149</v>
      </c>
      <c r="C997" s="125">
        <f>IFERROR(yf_data[[#This Row],[Close Price]]/B996-1,0)</f>
        <v>-1.9074983975010951E-2</v>
      </c>
    </row>
    <row r="998" spans="1:3" x14ac:dyDescent="0.15">
      <c r="A998" s="124">
        <v>42262</v>
      </c>
      <c r="B998" s="126">
        <v>49.525146484375</v>
      </c>
      <c r="C998" s="125">
        <f>IFERROR(yf_data[[#This Row],[Close Price]]/B997-1,0)</f>
        <v>1.0089913400991746E-2</v>
      </c>
    </row>
    <row r="999" spans="1:3" x14ac:dyDescent="0.15">
      <c r="A999" s="124">
        <v>42263</v>
      </c>
      <c r="B999" s="126">
        <v>50.091815948486328</v>
      </c>
      <c r="C999" s="125">
        <f>IFERROR(yf_data[[#This Row],[Close Price]]/B998-1,0)</f>
        <v>1.1442055285795227E-2</v>
      </c>
    </row>
    <row r="1000" spans="1:3" x14ac:dyDescent="0.15">
      <c r="A1000" s="124">
        <v>42264</v>
      </c>
      <c r="B1000" s="126">
        <v>50.658485412597656</v>
      </c>
      <c r="C1000" s="125">
        <f>IFERROR(yf_data[[#This Row],[Close Price]]/B999-1,0)</f>
        <v>1.1312615711398522E-2</v>
      </c>
    </row>
    <row r="1001" spans="1:3" x14ac:dyDescent="0.15">
      <c r="A1001" s="124">
        <v>42265</v>
      </c>
      <c r="B1001" s="126">
        <v>48.949478149414062</v>
      </c>
      <c r="C1001" s="125">
        <f>IFERROR(yf_data[[#This Row],[Close Price]]/B1000-1,0)</f>
        <v>-3.3735853910046076E-2</v>
      </c>
    </row>
    <row r="1002" spans="1:3" x14ac:dyDescent="0.15">
      <c r="A1002" s="124">
        <v>42268</v>
      </c>
      <c r="B1002" s="126">
        <v>49.471172332763672</v>
      </c>
      <c r="C1002" s="125">
        <f>IFERROR(yf_data[[#This Row],[Close Price]]/B1001-1,0)</f>
        <v>1.0657808889344755E-2</v>
      </c>
    </row>
    <row r="1003" spans="1:3" x14ac:dyDescent="0.15">
      <c r="A1003" s="124">
        <v>42269</v>
      </c>
      <c r="B1003" s="126">
        <v>47.762172698974609</v>
      </c>
      <c r="C1003" s="125">
        <f>IFERROR(yf_data[[#This Row],[Close Price]]/B1002-1,0)</f>
        <v>-3.4545363556246822E-2</v>
      </c>
    </row>
    <row r="1004" spans="1:3" x14ac:dyDescent="0.15">
      <c r="A1004" s="124">
        <v>42270</v>
      </c>
      <c r="B1004" s="126">
        <v>47.933071136474609</v>
      </c>
      <c r="C1004" s="125">
        <f>IFERROR(yf_data[[#This Row],[Close Price]]/B1003-1,0)</f>
        <v>3.5781127164609128E-3</v>
      </c>
    </row>
    <row r="1005" spans="1:3" x14ac:dyDescent="0.15">
      <c r="A1005" s="124">
        <v>42271</v>
      </c>
      <c r="B1005" s="126">
        <v>46.655811309814453</v>
      </c>
      <c r="C1005" s="125">
        <f>IFERROR(yf_data[[#This Row],[Close Price]]/B1004-1,0)</f>
        <v>-2.6646734631785907E-2</v>
      </c>
    </row>
    <row r="1006" spans="1:3" x14ac:dyDescent="0.15">
      <c r="A1006" s="124">
        <v>42272</v>
      </c>
      <c r="B1006" s="126">
        <v>48.715614318847656</v>
      </c>
      <c r="C1006" s="125">
        <f>IFERROR(yf_data[[#This Row],[Close Price]]/B1005-1,0)</f>
        <v>4.4148905596244736E-2</v>
      </c>
    </row>
    <row r="1007" spans="1:3" x14ac:dyDescent="0.15">
      <c r="A1007" s="124">
        <v>42275</v>
      </c>
      <c r="B1007" s="126">
        <v>47.213493347167969</v>
      </c>
      <c r="C1007" s="125">
        <f>IFERROR(yf_data[[#This Row],[Close Price]]/B1006-1,0)</f>
        <v>-3.0834486902868163E-2</v>
      </c>
    </row>
    <row r="1008" spans="1:3" x14ac:dyDescent="0.15">
      <c r="A1008" s="124">
        <v>42276</v>
      </c>
      <c r="B1008" s="126">
        <v>47.006610870361328</v>
      </c>
      <c r="C1008" s="125">
        <f>IFERROR(yf_data[[#This Row],[Close Price]]/B1007-1,0)</f>
        <v>-4.3818506562393056E-3</v>
      </c>
    </row>
    <row r="1009" spans="1:3" x14ac:dyDescent="0.15">
      <c r="A1009" s="124">
        <v>42277</v>
      </c>
      <c r="B1009" s="126">
        <v>47.591270446777344</v>
      </c>
      <c r="C1009" s="125">
        <f>IFERROR(yf_data[[#This Row],[Close Price]]/B1008-1,0)</f>
        <v>1.2437815992061951E-2</v>
      </c>
    </row>
    <row r="1010" spans="1:3" x14ac:dyDescent="0.15">
      <c r="A1010" s="124">
        <v>42278</v>
      </c>
      <c r="B1010" s="126">
        <v>48.166934967041016</v>
      </c>
      <c r="C1010" s="125">
        <f>IFERROR(yf_data[[#This Row],[Close Price]]/B1009-1,0)</f>
        <v>1.2096010778015476E-2</v>
      </c>
    </row>
    <row r="1011" spans="1:3" x14ac:dyDescent="0.15">
      <c r="A1011" s="124">
        <v>42279</v>
      </c>
      <c r="B1011" s="126">
        <v>49.183345794677734</v>
      </c>
      <c r="C1011" s="125">
        <f>IFERROR(yf_data[[#This Row],[Close Price]]/B1010-1,0)</f>
        <v>2.1101837356523045E-2</v>
      </c>
    </row>
    <row r="1012" spans="1:3" x14ac:dyDescent="0.15">
      <c r="A1012" s="124">
        <v>42282</v>
      </c>
      <c r="B1012" s="126">
        <v>50.919334411621094</v>
      </c>
      <c r="C1012" s="125">
        <f>IFERROR(yf_data[[#This Row],[Close Price]]/B1011-1,0)</f>
        <v>3.5296269273555891E-2</v>
      </c>
    </row>
    <row r="1013" spans="1:3" x14ac:dyDescent="0.15">
      <c r="A1013" s="124">
        <v>42283</v>
      </c>
      <c r="B1013" s="126">
        <v>51.234146118164062</v>
      </c>
      <c r="C1013" s="125">
        <f>IFERROR(yf_data[[#This Row],[Close Price]]/B1012-1,0)</f>
        <v>6.1825573759095587E-3</v>
      </c>
    </row>
    <row r="1014" spans="1:3" x14ac:dyDescent="0.15">
      <c r="A1014" s="124">
        <v>42284</v>
      </c>
      <c r="B1014" s="126">
        <v>51.180179595947266</v>
      </c>
      <c r="C1014" s="125">
        <f>IFERROR(yf_data[[#This Row],[Close Price]]/B1013-1,0)</f>
        <v>-1.0533311532572309E-3</v>
      </c>
    </row>
    <row r="1015" spans="1:3" x14ac:dyDescent="0.15">
      <c r="A1015" s="124">
        <v>42285</v>
      </c>
      <c r="B1015" s="126">
        <v>51.351078033447266</v>
      </c>
      <c r="C1015" s="125">
        <f>IFERROR(yf_data[[#This Row],[Close Price]]/B1014-1,0)</f>
        <v>3.3391527511077435E-3</v>
      </c>
    </row>
    <row r="1016" spans="1:3" x14ac:dyDescent="0.15">
      <c r="A1016" s="124">
        <v>42286</v>
      </c>
      <c r="B1016" s="126">
        <v>51.818805694580078</v>
      </c>
      <c r="C1016" s="125">
        <f>IFERROR(yf_data[[#This Row],[Close Price]]/B1015-1,0)</f>
        <v>9.1084292491028229E-3</v>
      </c>
    </row>
    <row r="1017" spans="1:3" x14ac:dyDescent="0.15">
      <c r="A1017" s="124">
        <v>42289</v>
      </c>
      <c r="B1017" s="126">
        <v>50.550544738769531</v>
      </c>
      <c r="C1017" s="125">
        <f>IFERROR(yf_data[[#This Row],[Close Price]]/B1016-1,0)</f>
        <v>-2.4474916756778931E-2</v>
      </c>
    </row>
    <row r="1018" spans="1:3" x14ac:dyDescent="0.15">
      <c r="A1018" s="124">
        <v>42290</v>
      </c>
      <c r="B1018" s="126">
        <v>50.901344299316406</v>
      </c>
      <c r="C1018" s="125">
        <f>IFERROR(yf_data[[#This Row],[Close Price]]/B1017-1,0)</f>
        <v>6.939580223313202E-3</v>
      </c>
    </row>
    <row r="1019" spans="1:3" x14ac:dyDescent="0.15">
      <c r="A1019" s="124">
        <v>42291</v>
      </c>
      <c r="B1019" s="126">
        <v>50.478584289550781</v>
      </c>
      <c r="C1019" s="125">
        <f>IFERROR(yf_data[[#This Row],[Close Price]]/B1018-1,0)</f>
        <v>-8.3054782852032272E-3</v>
      </c>
    </row>
    <row r="1020" spans="1:3" x14ac:dyDescent="0.15">
      <c r="A1020" s="124">
        <v>42292</v>
      </c>
      <c r="B1020" s="126">
        <v>49.048416137695312</v>
      </c>
      <c r="C1020" s="125">
        <f>IFERROR(yf_data[[#This Row],[Close Price]]/B1019-1,0)</f>
        <v>-2.8332176347336979E-2</v>
      </c>
    </row>
    <row r="1021" spans="1:3" x14ac:dyDescent="0.15">
      <c r="A1021" s="124">
        <v>42293</v>
      </c>
      <c r="B1021" s="126">
        <v>49.947895050048828</v>
      </c>
      <c r="C1021" s="125">
        <f>IFERROR(yf_data[[#This Row],[Close Price]]/B1020-1,0)</f>
        <v>1.8338592419139044E-2</v>
      </c>
    </row>
    <row r="1022" spans="1:3" x14ac:dyDescent="0.15">
      <c r="A1022" s="124">
        <v>42296</v>
      </c>
      <c r="B1022" s="126">
        <v>49.839958190917969</v>
      </c>
      <c r="C1022" s="125">
        <f>IFERROR(yf_data[[#This Row],[Close Price]]/B1021-1,0)</f>
        <v>-2.1609891472443854E-3</v>
      </c>
    </row>
    <row r="1023" spans="1:3" x14ac:dyDescent="0.15">
      <c r="A1023" s="124">
        <v>42297</v>
      </c>
      <c r="B1023" s="126">
        <v>49.498161315917969</v>
      </c>
      <c r="C1023" s="125">
        <f>IFERROR(yf_data[[#This Row],[Close Price]]/B1022-1,0)</f>
        <v>-6.85788847756863E-3</v>
      </c>
    </row>
    <row r="1024" spans="1:3" x14ac:dyDescent="0.15">
      <c r="A1024" s="124">
        <v>42298</v>
      </c>
      <c r="B1024" s="126">
        <v>50.622505187988281</v>
      </c>
      <c r="C1024" s="125">
        <f>IFERROR(yf_data[[#This Row],[Close Price]]/B1023-1,0)</f>
        <v>2.2714861364127925E-2</v>
      </c>
    </row>
    <row r="1025" spans="1:3" x14ac:dyDescent="0.15">
      <c r="A1025" s="124">
        <v>42299</v>
      </c>
      <c r="B1025" s="126">
        <v>51.737857818603523</v>
      </c>
      <c r="C1025" s="125">
        <f>IFERROR(yf_data[[#This Row],[Close Price]]/B1024-1,0)</f>
        <v>2.2032742679828798E-2</v>
      </c>
    </row>
    <row r="1026" spans="1:3" x14ac:dyDescent="0.15">
      <c r="A1026" s="124">
        <v>42300</v>
      </c>
      <c r="B1026" s="126">
        <v>54.1214599609375</v>
      </c>
      <c r="C1026" s="125">
        <f>IFERROR(yf_data[[#This Row],[Close Price]]/B1025-1,0)</f>
        <v>4.6070754430750593E-2</v>
      </c>
    </row>
    <row r="1027" spans="1:3" x14ac:dyDescent="0.15">
      <c r="A1027" s="124">
        <v>42303</v>
      </c>
      <c r="B1027" s="126">
        <v>53.923580169677734</v>
      </c>
      <c r="C1027" s="125">
        <f>IFERROR(yf_data[[#This Row],[Close Price]]/B1026-1,0)</f>
        <v>-3.6562168020335406E-3</v>
      </c>
    </row>
    <row r="1028" spans="1:3" x14ac:dyDescent="0.15">
      <c r="A1028" s="124">
        <v>42304</v>
      </c>
      <c r="B1028" s="126">
        <v>53.177017211914062</v>
      </c>
      <c r="C1028" s="125">
        <f>IFERROR(yf_data[[#This Row],[Close Price]]/B1027-1,0)</f>
        <v>-1.3844832917519811E-2</v>
      </c>
    </row>
    <row r="1029" spans="1:3" x14ac:dyDescent="0.15">
      <c r="A1029" s="124">
        <v>42305</v>
      </c>
      <c r="B1029" s="126">
        <v>53.626754760742188</v>
      </c>
      <c r="C1029" s="125">
        <f>IFERROR(yf_data[[#This Row],[Close Price]]/B1028-1,0)</f>
        <v>8.4573669680623187E-3</v>
      </c>
    </row>
    <row r="1030" spans="1:3" x14ac:dyDescent="0.15">
      <c r="A1030" s="124">
        <v>42306</v>
      </c>
      <c r="B1030" s="126">
        <v>54.589191436767578</v>
      </c>
      <c r="C1030" s="125">
        <f>IFERROR(yf_data[[#This Row],[Close Price]]/B1029-1,0)</f>
        <v>1.7946949807411183E-2</v>
      </c>
    </row>
    <row r="1031" spans="1:3" x14ac:dyDescent="0.15">
      <c r="A1031" s="124">
        <v>42307</v>
      </c>
      <c r="B1031" s="126">
        <v>56.990791320800781</v>
      </c>
      <c r="C1031" s="125">
        <f>IFERROR(yf_data[[#This Row],[Close Price]]/B1030-1,0)</f>
        <v>4.399405488200081E-2</v>
      </c>
    </row>
    <row r="1032" spans="1:3" x14ac:dyDescent="0.15">
      <c r="A1032" s="124">
        <v>42310</v>
      </c>
      <c r="B1032" s="126">
        <v>57.197677612304688</v>
      </c>
      <c r="C1032" s="125">
        <f>IFERROR(yf_data[[#This Row],[Close Price]]/B1031-1,0)</f>
        <v>3.6301705364880643E-3</v>
      </c>
    </row>
    <row r="1033" spans="1:3" x14ac:dyDescent="0.15">
      <c r="A1033" s="124">
        <v>42311</v>
      </c>
      <c r="B1033" s="126">
        <v>56.873863220214851</v>
      </c>
      <c r="C1033" s="125">
        <f>IFERROR(yf_data[[#This Row],[Close Price]]/B1032-1,0)</f>
        <v>-5.6613206271188821E-3</v>
      </c>
    </row>
    <row r="1034" spans="1:3" x14ac:dyDescent="0.15">
      <c r="A1034" s="124">
        <v>42312</v>
      </c>
      <c r="B1034" s="126">
        <v>57.575458526611328</v>
      </c>
      <c r="C1034" s="125">
        <f>IFERROR(yf_data[[#This Row],[Close Price]]/B1033-1,0)</f>
        <v>1.2335988214479343E-2</v>
      </c>
    </row>
    <row r="1035" spans="1:3" x14ac:dyDescent="0.15">
      <c r="A1035" s="124">
        <v>42313</v>
      </c>
      <c r="B1035" s="126">
        <v>58.106143951416016</v>
      </c>
      <c r="C1035" s="125">
        <f>IFERROR(yf_data[[#This Row],[Close Price]]/B1034-1,0)</f>
        <v>9.2172157788270592E-3</v>
      </c>
    </row>
    <row r="1036" spans="1:3" x14ac:dyDescent="0.15">
      <c r="A1036" s="124">
        <v>42314</v>
      </c>
      <c r="B1036" s="126">
        <v>59.455360412597656</v>
      </c>
      <c r="C1036" s="125">
        <f>IFERROR(yf_data[[#This Row],[Close Price]]/B1035-1,0)</f>
        <v>2.3219858855369147E-2</v>
      </c>
    </row>
    <row r="1037" spans="1:3" x14ac:dyDescent="0.15">
      <c r="A1037" s="124">
        <v>42317</v>
      </c>
      <c r="B1037" s="126">
        <v>58.825725555419922</v>
      </c>
      <c r="C1037" s="125">
        <f>IFERROR(yf_data[[#This Row],[Close Price]]/B1036-1,0)</f>
        <v>-1.059004356896176E-2</v>
      </c>
    </row>
    <row r="1038" spans="1:3" x14ac:dyDescent="0.15">
      <c r="A1038" s="124">
        <v>42318</v>
      </c>
      <c r="B1038" s="126">
        <v>59.383396148681641</v>
      </c>
      <c r="C1038" s="125">
        <f>IFERROR(yf_data[[#This Row],[Close Price]]/B1037-1,0)</f>
        <v>9.4800461532147384E-3</v>
      </c>
    </row>
    <row r="1039" spans="1:3" x14ac:dyDescent="0.15">
      <c r="A1039" s="124">
        <v>42319</v>
      </c>
      <c r="B1039" s="126">
        <v>59.860126495361328</v>
      </c>
      <c r="C1039" s="125">
        <f>IFERROR(yf_data[[#This Row],[Close Price]]/B1038-1,0)</f>
        <v>8.0280074498613185E-3</v>
      </c>
    </row>
    <row r="1040" spans="1:3" x14ac:dyDescent="0.15">
      <c r="A1040" s="124">
        <v>42320</v>
      </c>
      <c r="B1040" s="126">
        <v>57.620426177978509</v>
      </c>
      <c r="C1040" s="125">
        <f>IFERROR(yf_data[[#This Row],[Close Price]]/B1039-1,0)</f>
        <v>-3.7415562721144213E-2</v>
      </c>
    </row>
    <row r="1041" spans="1:3" x14ac:dyDescent="0.15">
      <c r="A1041" s="124">
        <v>42321</v>
      </c>
      <c r="B1041" s="126">
        <v>57.143703460693359</v>
      </c>
      <c r="C1041" s="125">
        <f>IFERROR(yf_data[[#This Row],[Close Price]]/B1040-1,0)</f>
        <v>-8.2735021051847379E-3</v>
      </c>
    </row>
    <row r="1042" spans="1:3" x14ac:dyDescent="0.15">
      <c r="A1042" s="124">
        <v>42324</v>
      </c>
      <c r="B1042" s="126">
        <v>57.080741882324219</v>
      </c>
      <c r="C1042" s="125">
        <f>IFERROR(yf_data[[#This Row],[Close Price]]/B1041-1,0)</f>
        <v>-1.1018113030152321E-3</v>
      </c>
    </row>
    <row r="1043" spans="1:3" x14ac:dyDescent="0.15">
      <c r="A1043" s="124">
        <v>42325</v>
      </c>
      <c r="B1043" s="126">
        <v>59.518321990966797</v>
      </c>
      <c r="C1043" s="125">
        <f>IFERROR(yf_data[[#This Row],[Close Price]]/B1042-1,0)</f>
        <v>4.2704071955963929E-2</v>
      </c>
    </row>
    <row r="1044" spans="1:3" x14ac:dyDescent="0.15">
      <c r="A1044" s="124">
        <v>42326</v>
      </c>
      <c r="B1044" s="126">
        <v>59.167522430419922</v>
      </c>
      <c r="C1044" s="125">
        <f>IFERROR(yf_data[[#This Row],[Close Price]]/B1043-1,0)</f>
        <v>-5.8939759860856533E-3</v>
      </c>
    </row>
    <row r="1045" spans="1:3" x14ac:dyDescent="0.15">
      <c r="A1045" s="124">
        <v>42327</v>
      </c>
      <c r="B1045" s="126">
        <v>59.248481750488281</v>
      </c>
      <c r="C1045" s="125">
        <f>IFERROR(yf_data[[#This Row],[Close Price]]/B1044-1,0)</f>
        <v>1.3683067457077591E-3</v>
      </c>
    </row>
    <row r="1046" spans="1:3" x14ac:dyDescent="0.15">
      <c r="A1046" s="124">
        <v>42328</v>
      </c>
      <c r="B1046" s="126">
        <v>59.743186950683594</v>
      </c>
      <c r="C1046" s="125">
        <f>IFERROR(yf_data[[#This Row],[Close Price]]/B1045-1,0)</f>
        <v>8.3496688114077511E-3</v>
      </c>
    </row>
    <row r="1047" spans="1:3" x14ac:dyDescent="0.15">
      <c r="A1047" s="124">
        <v>42331</v>
      </c>
      <c r="B1047" s="126">
        <v>59.842136383056641</v>
      </c>
      <c r="C1047" s="125">
        <f>IFERROR(yf_data[[#This Row],[Close Price]]/B1046-1,0)</f>
        <v>1.6562463005986849E-3</v>
      </c>
    </row>
    <row r="1048" spans="1:3" x14ac:dyDescent="0.15">
      <c r="A1048" s="124">
        <v>42332</v>
      </c>
      <c r="B1048" s="126">
        <v>58.996623992919922</v>
      </c>
      <c r="C1048" s="125">
        <f>IFERROR(yf_data[[#This Row],[Close Price]]/B1047-1,0)</f>
        <v>-1.4129047544768292E-2</v>
      </c>
    </row>
    <row r="1049" spans="1:3" x14ac:dyDescent="0.15">
      <c r="A1049" s="124">
        <v>42333</v>
      </c>
      <c r="B1049" s="126">
        <v>60.309860229492188</v>
      </c>
      <c r="C1049" s="125">
        <f>IFERROR(yf_data[[#This Row],[Close Price]]/B1048-1,0)</f>
        <v>2.2259514997500007E-2</v>
      </c>
    </row>
    <row r="1050" spans="1:3" x14ac:dyDescent="0.15">
      <c r="A1050" s="124">
        <v>42334</v>
      </c>
      <c r="B1050" s="126">
        <v>61.299282073974609</v>
      </c>
      <c r="C1050" s="125">
        <f>IFERROR(yf_data[[#This Row],[Close Price]]/B1049-1,0)</f>
        <v>1.6405639819383699E-2</v>
      </c>
    </row>
    <row r="1051" spans="1:3" x14ac:dyDescent="0.15">
      <c r="A1051" s="124">
        <v>42335</v>
      </c>
      <c r="B1051" s="126">
        <v>61.119380950927734</v>
      </c>
      <c r="C1051" s="125">
        <f>IFERROR(yf_data[[#This Row],[Close Price]]/B1050-1,0)</f>
        <v>-2.9347998371298534E-3</v>
      </c>
    </row>
    <row r="1052" spans="1:3" x14ac:dyDescent="0.15">
      <c r="A1052" s="124">
        <v>42338</v>
      </c>
      <c r="B1052" s="126">
        <v>61.560138702392578</v>
      </c>
      <c r="C1052" s="125">
        <f>IFERROR(yf_data[[#This Row],[Close Price]]/B1051-1,0)</f>
        <v>7.2114236860272296E-3</v>
      </c>
    </row>
    <row r="1053" spans="1:3" x14ac:dyDescent="0.15">
      <c r="A1053" s="124">
        <v>42339</v>
      </c>
      <c r="B1053" s="126">
        <v>60.489761352539062</v>
      </c>
      <c r="C1053" s="125">
        <f>IFERROR(yf_data[[#This Row],[Close Price]]/B1052-1,0)</f>
        <v>-1.7387507117684775E-2</v>
      </c>
    </row>
    <row r="1054" spans="1:3" x14ac:dyDescent="0.15">
      <c r="A1054" s="124">
        <v>42340</v>
      </c>
      <c r="B1054" s="126">
        <v>60.444782257080078</v>
      </c>
      <c r="C1054" s="125">
        <f>IFERROR(yf_data[[#This Row],[Close Price]]/B1053-1,0)</f>
        <v>-7.4358196252155562E-4</v>
      </c>
    </row>
    <row r="1055" spans="1:3" x14ac:dyDescent="0.15">
      <c r="A1055" s="124">
        <v>42341</v>
      </c>
      <c r="B1055" s="126">
        <v>57.260639190673828</v>
      </c>
      <c r="C1055" s="125">
        <f>IFERROR(yf_data[[#This Row],[Close Price]]/B1054-1,0)</f>
        <v>-5.2678543085218577E-2</v>
      </c>
    </row>
    <row r="1056" spans="1:3" x14ac:dyDescent="0.15">
      <c r="A1056" s="124">
        <v>42342</v>
      </c>
      <c r="B1056" s="126">
        <v>57.575458526611328</v>
      </c>
      <c r="C1056" s="125">
        <f>IFERROR(yf_data[[#This Row],[Close Price]]/B1055-1,0)</f>
        <v>5.4980059668767733E-3</v>
      </c>
    </row>
    <row r="1057" spans="1:3" x14ac:dyDescent="0.15">
      <c r="A1057" s="124">
        <v>42345</v>
      </c>
      <c r="B1057" s="126">
        <v>59.266471862792969</v>
      </c>
      <c r="C1057" s="125">
        <f>IFERROR(yf_data[[#This Row],[Close Price]]/B1056-1,0)</f>
        <v>2.9370384178530884E-2</v>
      </c>
    </row>
    <row r="1058" spans="1:3" x14ac:dyDescent="0.15">
      <c r="A1058" s="124">
        <v>42346</v>
      </c>
      <c r="B1058" s="126">
        <v>58.205085754394531</v>
      </c>
      <c r="C1058" s="125">
        <f>IFERROR(yf_data[[#This Row],[Close Price]]/B1057-1,0)</f>
        <v>-1.7908710861946342E-2</v>
      </c>
    </row>
    <row r="1059" spans="1:3" x14ac:dyDescent="0.15">
      <c r="A1059" s="124">
        <v>42347</v>
      </c>
      <c r="B1059" s="126">
        <v>57.107723236083984</v>
      </c>
      <c r="C1059" s="125">
        <f>IFERROR(yf_data[[#This Row],[Close Price]]/B1058-1,0)</f>
        <v>-1.8853378602362025E-2</v>
      </c>
    </row>
    <row r="1060" spans="1:3" x14ac:dyDescent="0.15">
      <c r="A1060" s="124">
        <v>42348</v>
      </c>
      <c r="B1060" s="126">
        <v>57.728366851806641</v>
      </c>
      <c r="C1060" s="125">
        <f>IFERROR(yf_data[[#This Row],[Close Price]]/B1059-1,0)</f>
        <v>1.0867945359280151E-2</v>
      </c>
    </row>
    <row r="1061" spans="1:3" x14ac:dyDescent="0.15">
      <c r="A1061" s="124">
        <v>42349</v>
      </c>
      <c r="B1061" s="126">
        <v>56.019363403320312</v>
      </c>
      <c r="C1061" s="125">
        <f>IFERROR(yf_data[[#This Row],[Close Price]]/B1060-1,0)</f>
        <v>-2.9604223048150247E-2</v>
      </c>
    </row>
    <row r="1062" spans="1:3" x14ac:dyDescent="0.15">
      <c r="A1062" s="124">
        <v>42352</v>
      </c>
      <c r="B1062" s="126">
        <v>55.137870788574219</v>
      </c>
      <c r="C1062" s="125">
        <f>IFERROR(yf_data[[#This Row],[Close Price]]/B1061-1,0)</f>
        <v>-1.5735498606073928E-2</v>
      </c>
    </row>
    <row r="1063" spans="1:3" x14ac:dyDescent="0.15">
      <c r="A1063" s="124">
        <v>42353</v>
      </c>
      <c r="B1063" s="126">
        <v>56.792911529541016</v>
      </c>
      <c r="C1063" s="125">
        <f>IFERROR(yf_data[[#This Row],[Close Price]]/B1062-1,0)</f>
        <v>3.0016406460689149E-2</v>
      </c>
    </row>
    <row r="1064" spans="1:3" x14ac:dyDescent="0.15">
      <c r="A1064" s="124">
        <v>42354</v>
      </c>
      <c r="B1064" s="126">
        <v>57.917251586914062</v>
      </c>
      <c r="C1064" s="125">
        <f>IFERROR(yf_data[[#This Row],[Close Price]]/B1063-1,0)</f>
        <v>1.9797189950161664E-2</v>
      </c>
    </row>
    <row r="1065" spans="1:3" x14ac:dyDescent="0.15">
      <c r="A1065" s="124">
        <v>42355</v>
      </c>
      <c r="B1065" s="126">
        <v>58.582862854003906</v>
      </c>
      <c r="C1065" s="125">
        <f>IFERROR(yf_data[[#This Row],[Close Price]]/B1064-1,0)</f>
        <v>1.1492452574186629E-2</v>
      </c>
    </row>
    <row r="1066" spans="1:3" x14ac:dyDescent="0.15">
      <c r="A1066" s="124">
        <v>42356</v>
      </c>
      <c r="B1066" s="126">
        <v>56.900840759277344</v>
      </c>
      <c r="C1066" s="125">
        <f>IFERROR(yf_data[[#This Row],[Close Price]]/B1065-1,0)</f>
        <v>-2.8711845286878201E-2</v>
      </c>
    </row>
    <row r="1067" spans="1:3" x14ac:dyDescent="0.15">
      <c r="A1067" s="124">
        <v>42359</v>
      </c>
      <c r="B1067" s="126">
        <v>55.695549011230469</v>
      </c>
      <c r="C1067" s="125">
        <f>IFERROR(yf_data[[#This Row],[Close Price]]/B1066-1,0)</f>
        <v>-2.1182318784109699E-2</v>
      </c>
    </row>
    <row r="1068" spans="1:3" x14ac:dyDescent="0.15">
      <c r="A1068" s="124">
        <v>42360</v>
      </c>
      <c r="B1068" s="126">
        <v>55.677558898925781</v>
      </c>
      <c r="C1068" s="125">
        <f>IFERROR(yf_data[[#This Row],[Close Price]]/B1067-1,0)</f>
        <v>-3.230080791745138E-4</v>
      </c>
    </row>
    <row r="1069" spans="1:3" x14ac:dyDescent="0.15">
      <c r="A1069" s="124">
        <v>42361</v>
      </c>
      <c r="B1069" s="126">
        <v>56.289203643798828</v>
      </c>
      <c r="C1069" s="125">
        <f>IFERROR(yf_data[[#This Row],[Close Price]]/B1068-1,0)</f>
        <v>1.0985480631135358E-2</v>
      </c>
    </row>
    <row r="1070" spans="1:3" x14ac:dyDescent="0.15">
      <c r="A1070" s="124">
        <v>42362</v>
      </c>
      <c r="B1070" s="126">
        <v>55.902431488037109</v>
      </c>
      <c r="C1070" s="125">
        <f>IFERROR(yf_data[[#This Row],[Close Price]]/B1069-1,0)</f>
        <v>-6.8711605552147503E-3</v>
      </c>
    </row>
    <row r="1071" spans="1:3" x14ac:dyDescent="0.15">
      <c r="A1071" s="124">
        <v>42366</v>
      </c>
      <c r="B1071" s="126">
        <v>55.506656646728509</v>
      </c>
      <c r="C1071" s="125">
        <f>IFERROR(yf_data[[#This Row],[Close Price]]/B1070-1,0)</f>
        <v>-7.0797428801159246E-3</v>
      </c>
    </row>
    <row r="1072" spans="1:3" x14ac:dyDescent="0.15">
      <c r="A1072" s="124">
        <v>42367</v>
      </c>
      <c r="B1072" s="126">
        <v>56.711956024169922</v>
      </c>
      <c r="C1072" s="125">
        <f>IFERROR(yf_data[[#This Row],[Close Price]]/B1071-1,0)</f>
        <v>2.1714501471643777E-2</v>
      </c>
    </row>
    <row r="1073" spans="1:3" x14ac:dyDescent="0.15">
      <c r="A1073" s="124">
        <v>42368</v>
      </c>
      <c r="B1073" s="126">
        <v>56.289203643798828</v>
      </c>
      <c r="C1073" s="125">
        <f>IFERROR(yf_data[[#This Row],[Close Price]]/B1072-1,0)</f>
        <v>-7.4543784063967333E-3</v>
      </c>
    </row>
    <row r="1074" spans="1:3" x14ac:dyDescent="0.15">
      <c r="A1074" s="124">
        <v>42373</v>
      </c>
      <c r="B1074" s="126">
        <v>54.742107391357422</v>
      </c>
      <c r="C1074" s="125">
        <f>IFERROR(yf_data[[#This Row],[Close Price]]/B1073-1,0)</f>
        <v>-2.7484777760074852E-2</v>
      </c>
    </row>
    <row r="1075" spans="1:3" x14ac:dyDescent="0.15">
      <c r="A1075" s="124">
        <v>42374</v>
      </c>
      <c r="B1075" s="126">
        <v>55.848461151123047</v>
      </c>
      <c r="C1075" s="125">
        <f>IFERROR(yf_data[[#This Row],[Close Price]]/B1074-1,0)</f>
        <v>2.0210288066847326E-2</v>
      </c>
    </row>
    <row r="1076" spans="1:3" x14ac:dyDescent="0.15">
      <c r="A1076" s="124">
        <v>42375</v>
      </c>
      <c r="B1076" s="126">
        <v>55.110893249511719</v>
      </c>
      <c r="C1076" s="125">
        <f>IFERROR(yf_data[[#This Row],[Close Price]]/B1075-1,0)</f>
        <v>-1.3206593098698094E-2</v>
      </c>
    </row>
    <row r="1077" spans="1:3" x14ac:dyDescent="0.15">
      <c r="A1077" s="124">
        <v>42376</v>
      </c>
      <c r="B1077" s="126">
        <v>54.004531860351562</v>
      </c>
      <c r="C1077" s="125">
        <f>IFERROR(yf_data[[#This Row],[Close Price]]/B1076-1,0)</f>
        <v>-2.0075185211590796E-2</v>
      </c>
    </row>
    <row r="1078" spans="1:3" x14ac:dyDescent="0.15">
      <c r="A1078" s="124">
        <v>42377</v>
      </c>
      <c r="B1078" s="126">
        <v>52.853202819824219</v>
      </c>
      <c r="C1078" s="125">
        <f>IFERROR(yf_data[[#This Row],[Close Price]]/B1077-1,0)</f>
        <v>-2.1319118986245944E-2</v>
      </c>
    </row>
    <row r="1079" spans="1:3" x14ac:dyDescent="0.15">
      <c r="A1079" s="124">
        <v>42380</v>
      </c>
      <c r="B1079" s="126">
        <v>52.268547058105469</v>
      </c>
      <c r="C1079" s="125">
        <f>IFERROR(yf_data[[#This Row],[Close Price]]/B1078-1,0)</f>
        <v>-1.1061879517724416E-2</v>
      </c>
    </row>
    <row r="1080" spans="1:3" x14ac:dyDescent="0.15">
      <c r="A1080" s="124">
        <v>42381</v>
      </c>
      <c r="B1080" s="126">
        <v>53.069084167480469</v>
      </c>
      <c r="C1080" s="125">
        <f>IFERROR(yf_data[[#This Row],[Close Price]]/B1079-1,0)</f>
        <v>1.5315847759936219E-2</v>
      </c>
    </row>
    <row r="1081" spans="1:3" x14ac:dyDescent="0.15">
      <c r="A1081" s="124">
        <v>42382</v>
      </c>
      <c r="B1081" s="126">
        <v>53.509822845458984</v>
      </c>
      <c r="C1081" s="125">
        <f>IFERROR(yf_data[[#This Row],[Close Price]]/B1080-1,0)</f>
        <v>8.3049987557273219E-3</v>
      </c>
    </row>
    <row r="1082" spans="1:3" x14ac:dyDescent="0.15">
      <c r="A1082" s="124">
        <v>42383</v>
      </c>
      <c r="B1082" s="126">
        <v>52.178596496582031</v>
      </c>
      <c r="C1082" s="125">
        <f>IFERROR(yf_data[[#This Row],[Close Price]]/B1081-1,0)</f>
        <v>-2.4878167747287239E-2</v>
      </c>
    </row>
    <row r="1083" spans="1:3" x14ac:dyDescent="0.15">
      <c r="A1083" s="124">
        <v>42384</v>
      </c>
      <c r="B1083" s="126">
        <v>50.505573272705078</v>
      </c>
      <c r="C1083" s="125">
        <f>IFERROR(yf_data[[#This Row],[Close Price]]/B1082-1,0)</f>
        <v>-3.2063400248539597E-2</v>
      </c>
    </row>
    <row r="1084" spans="1:3" x14ac:dyDescent="0.15">
      <c r="A1084" s="124">
        <v>42387</v>
      </c>
      <c r="B1084" s="126">
        <v>50.235729217529297</v>
      </c>
      <c r="C1084" s="125">
        <f>IFERROR(yf_data[[#This Row],[Close Price]]/B1083-1,0)</f>
        <v>-5.3428569896386557E-3</v>
      </c>
    </row>
    <row r="1085" spans="1:3" x14ac:dyDescent="0.15">
      <c r="A1085" s="124">
        <v>42388</v>
      </c>
      <c r="B1085" s="126">
        <v>51.018276214599609</v>
      </c>
      <c r="C1085" s="125">
        <f>IFERROR(yf_data[[#This Row],[Close Price]]/B1084-1,0)</f>
        <v>1.5577498510706445E-2</v>
      </c>
    </row>
    <row r="1086" spans="1:3" x14ac:dyDescent="0.15">
      <c r="A1086" s="124">
        <v>42389</v>
      </c>
      <c r="B1086" s="126">
        <v>48.895511627197266</v>
      </c>
      <c r="C1086" s="125">
        <f>IFERROR(yf_data[[#This Row],[Close Price]]/B1085-1,0)</f>
        <v>-4.1607924549886821E-2</v>
      </c>
    </row>
    <row r="1087" spans="1:3" x14ac:dyDescent="0.15">
      <c r="A1087" s="124">
        <v>42390</v>
      </c>
      <c r="B1087" s="126">
        <v>49.947895050048828</v>
      </c>
      <c r="C1087" s="125">
        <f>IFERROR(yf_data[[#This Row],[Close Price]]/B1086-1,0)</f>
        <v>2.1523108928186208E-2</v>
      </c>
    </row>
    <row r="1088" spans="1:3" x14ac:dyDescent="0.15">
      <c r="A1088" s="124">
        <v>42391</v>
      </c>
      <c r="B1088" s="126">
        <v>51.225151062011719</v>
      </c>
      <c r="C1088" s="125">
        <f>IFERROR(yf_data[[#This Row],[Close Price]]/B1087-1,0)</f>
        <v>2.5571768553670937E-2</v>
      </c>
    </row>
    <row r="1089" spans="1:3" x14ac:dyDescent="0.15">
      <c r="A1089" s="124">
        <v>42394</v>
      </c>
      <c r="B1089" s="126">
        <v>51.557960510253906</v>
      </c>
      <c r="C1089" s="125">
        <f>IFERROR(yf_data[[#This Row],[Close Price]]/B1088-1,0)</f>
        <v>6.4969930071909765E-3</v>
      </c>
    </row>
    <row r="1090" spans="1:3" x14ac:dyDescent="0.15">
      <c r="A1090" s="124">
        <v>42395</v>
      </c>
      <c r="B1090" s="126">
        <v>51.647907257080078</v>
      </c>
      <c r="C1090" s="125">
        <f>IFERROR(yf_data[[#This Row],[Close Price]]/B1089-1,0)</f>
        <v>1.7445753465807901E-3</v>
      </c>
    </row>
    <row r="1091" spans="1:3" x14ac:dyDescent="0.15">
      <c r="A1091" s="124">
        <v>42396</v>
      </c>
      <c r="B1091" s="126">
        <v>49.884937286376953</v>
      </c>
      <c r="C1091" s="125">
        <f>IFERROR(yf_data[[#This Row],[Close Price]]/B1090-1,0)</f>
        <v>-3.4134393130932694E-2</v>
      </c>
    </row>
    <row r="1092" spans="1:3" x14ac:dyDescent="0.15">
      <c r="A1092" s="124">
        <v>42397</v>
      </c>
      <c r="B1092" s="126">
        <v>49.489162445068359</v>
      </c>
      <c r="C1092" s="125">
        <f>IFERROR(yf_data[[#This Row],[Close Price]]/B1091-1,0)</f>
        <v>-7.9337544124100656E-3</v>
      </c>
    </row>
    <row r="1093" spans="1:3" x14ac:dyDescent="0.15">
      <c r="A1093" s="124">
        <v>42398</v>
      </c>
      <c r="B1093" s="126">
        <v>52.007698059082031</v>
      </c>
      <c r="C1093" s="125">
        <f>IFERROR(yf_data[[#This Row],[Close Price]]/B1092-1,0)</f>
        <v>5.0890649378218411E-2</v>
      </c>
    </row>
    <row r="1094" spans="1:3" x14ac:dyDescent="0.15">
      <c r="A1094" s="124">
        <v>42401</v>
      </c>
      <c r="B1094" s="126">
        <v>52.034675598144531</v>
      </c>
      <c r="C1094" s="125">
        <f>IFERROR(yf_data[[#This Row],[Close Price]]/B1093-1,0)</f>
        <v>5.1872203672331807E-4</v>
      </c>
    </row>
    <row r="1095" spans="1:3" x14ac:dyDescent="0.15">
      <c r="A1095" s="124">
        <v>42402</v>
      </c>
      <c r="B1095" s="126">
        <v>49.785987854003906</v>
      </c>
      <c r="C1095" s="125">
        <f>IFERROR(yf_data[[#This Row],[Close Price]]/B1094-1,0)</f>
        <v>-4.321517753866444E-2</v>
      </c>
    </row>
    <row r="1096" spans="1:3" x14ac:dyDescent="0.15">
      <c r="A1096" s="124">
        <v>42403</v>
      </c>
      <c r="B1096" s="126">
        <v>48.481754302978509</v>
      </c>
      <c r="C1096" s="125">
        <f>IFERROR(yf_data[[#This Row],[Close Price]]/B1095-1,0)</f>
        <v>-2.6196799686892369E-2</v>
      </c>
    </row>
    <row r="1097" spans="1:3" x14ac:dyDescent="0.15">
      <c r="A1097" s="124">
        <v>42404</v>
      </c>
      <c r="B1097" s="126">
        <v>48.400794982910163</v>
      </c>
      <c r="C1097" s="125">
        <f>IFERROR(yf_data[[#This Row],[Close Price]]/B1096-1,0)</f>
        <v>-1.6698925447788948E-3</v>
      </c>
    </row>
    <row r="1098" spans="1:3" x14ac:dyDescent="0.15">
      <c r="A1098" s="124">
        <v>42405</v>
      </c>
      <c r="B1098" s="126">
        <v>48.625667572021491</v>
      </c>
      <c r="C1098" s="125">
        <f>IFERROR(yf_data[[#This Row],[Close Price]]/B1097-1,0)</f>
        <v>4.6460515615647235E-3</v>
      </c>
    </row>
    <row r="1099" spans="1:3" x14ac:dyDescent="0.15">
      <c r="A1099" s="124">
        <v>42408</v>
      </c>
      <c r="B1099" s="126">
        <v>45.990203857421875</v>
      </c>
      <c r="C1099" s="125">
        <f>IFERROR(yf_data[[#This Row],[Close Price]]/B1098-1,0)</f>
        <v>-5.4199023811778435E-2</v>
      </c>
    </row>
    <row r="1100" spans="1:3" x14ac:dyDescent="0.15">
      <c r="A1100" s="124">
        <v>42409</v>
      </c>
      <c r="B1100" s="126">
        <v>46.071155548095703</v>
      </c>
      <c r="C1100" s="125">
        <f>IFERROR(yf_data[[#This Row],[Close Price]]/B1099-1,0)</f>
        <v>1.7601942127674075E-3</v>
      </c>
    </row>
    <row r="1101" spans="1:3" x14ac:dyDescent="0.15">
      <c r="A1101" s="124">
        <v>42410</v>
      </c>
      <c r="B1101" s="126">
        <v>47.105552673339837</v>
      </c>
      <c r="C1101" s="125">
        <f>IFERROR(yf_data[[#This Row],[Close Price]]/B1100-1,0)</f>
        <v>2.2452163678948311E-2</v>
      </c>
    </row>
    <row r="1102" spans="1:3" x14ac:dyDescent="0.15">
      <c r="A1102" s="124">
        <v>42411</v>
      </c>
      <c r="B1102" s="126">
        <v>44.937816619873047</v>
      </c>
      <c r="C1102" s="125">
        <f>IFERROR(yf_data[[#This Row],[Close Price]]/B1101-1,0)</f>
        <v>-4.6018694834115692E-2</v>
      </c>
    </row>
    <row r="1103" spans="1:3" x14ac:dyDescent="0.15">
      <c r="A1103" s="124">
        <v>42412</v>
      </c>
      <c r="B1103" s="126">
        <v>46.152107238769531</v>
      </c>
      <c r="C1103" s="125">
        <f>IFERROR(yf_data[[#This Row],[Close Price]]/B1102-1,0)</f>
        <v>2.7021575818160226E-2</v>
      </c>
    </row>
    <row r="1104" spans="1:3" x14ac:dyDescent="0.15">
      <c r="A1104" s="124">
        <v>42415</v>
      </c>
      <c r="B1104" s="126">
        <v>48.014026641845703</v>
      </c>
      <c r="C1104" s="125">
        <f>IFERROR(yf_data[[#This Row],[Close Price]]/B1103-1,0)</f>
        <v>4.0343107053454119E-2</v>
      </c>
    </row>
    <row r="1105" spans="1:3" x14ac:dyDescent="0.15">
      <c r="A1105" s="124">
        <v>42416</v>
      </c>
      <c r="B1105" s="126">
        <v>48.373813629150391</v>
      </c>
      <c r="C1105" s="125">
        <f>IFERROR(yf_data[[#This Row],[Close Price]]/B1104-1,0)</f>
        <v>7.4933725094226133E-3</v>
      </c>
    </row>
    <row r="1106" spans="1:3" x14ac:dyDescent="0.15">
      <c r="A1106" s="124">
        <v>42417</v>
      </c>
      <c r="B1106" s="126">
        <v>49.516147613525391</v>
      </c>
      <c r="C1106" s="125">
        <f>IFERROR(yf_data[[#This Row],[Close Price]]/B1105-1,0)</f>
        <v>2.3614718350149388E-2</v>
      </c>
    </row>
    <row r="1107" spans="1:3" x14ac:dyDescent="0.15">
      <c r="A1107" s="124">
        <v>42418</v>
      </c>
      <c r="B1107" s="126">
        <v>50.235729217529297</v>
      </c>
      <c r="C1107" s="125">
        <f>IFERROR(yf_data[[#This Row],[Close Price]]/B1106-1,0)</f>
        <v>1.4532261467920637E-2</v>
      </c>
    </row>
    <row r="1108" spans="1:3" x14ac:dyDescent="0.15">
      <c r="A1108" s="124">
        <v>42419</v>
      </c>
      <c r="B1108" s="126">
        <v>49.696044921875</v>
      </c>
      <c r="C1108" s="125">
        <f>IFERROR(yf_data[[#This Row],[Close Price]]/B1107-1,0)</f>
        <v>-1.0743036959160568E-2</v>
      </c>
    </row>
    <row r="1109" spans="1:3" x14ac:dyDescent="0.15">
      <c r="A1109" s="124">
        <v>42422</v>
      </c>
      <c r="B1109" s="126">
        <v>50.505573272705078</v>
      </c>
      <c r="C1109" s="125">
        <f>IFERROR(yf_data[[#This Row],[Close Price]]/B1108-1,0)</f>
        <v>1.6289593107513989E-2</v>
      </c>
    </row>
    <row r="1110" spans="1:3" x14ac:dyDescent="0.15">
      <c r="A1110" s="124">
        <v>42423</v>
      </c>
      <c r="B1110" s="126">
        <v>49.839958190917969</v>
      </c>
      <c r="C1110" s="125">
        <f>IFERROR(yf_data[[#This Row],[Close Price]]/B1109-1,0)</f>
        <v>-1.3179042205760494E-2</v>
      </c>
    </row>
    <row r="1111" spans="1:3" x14ac:dyDescent="0.15">
      <c r="A1111" s="124">
        <v>42424</v>
      </c>
      <c r="B1111" s="126">
        <v>49.426200866699219</v>
      </c>
      <c r="C1111" s="125">
        <f>IFERROR(yf_data[[#This Row],[Close Price]]/B1110-1,0)</f>
        <v>-8.3017189266852975E-3</v>
      </c>
    </row>
    <row r="1112" spans="1:3" x14ac:dyDescent="0.15">
      <c r="A1112" s="124">
        <v>42425</v>
      </c>
      <c r="B1112" s="126">
        <v>51.602931976318359</v>
      </c>
      <c r="C1112" s="125">
        <f>IFERROR(yf_data[[#This Row],[Close Price]]/B1111-1,0)</f>
        <v>4.4040024753059903E-2</v>
      </c>
    </row>
    <row r="1113" spans="1:3" x14ac:dyDescent="0.15">
      <c r="A1113" s="124">
        <v>42426</v>
      </c>
      <c r="B1113" s="126">
        <v>51.728855133056641</v>
      </c>
      <c r="C1113" s="125">
        <f>IFERROR(yf_data[[#This Row],[Close Price]]/B1112-1,0)</f>
        <v>2.4402325975598771E-3</v>
      </c>
    </row>
    <row r="1114" spans="1:3" x14ac:dyDescent="0.15">
      <c r="A1114" s="124">
        <v>42429</v>
      </c>
      <c r="B1114" s="126">
        <v>53.770671844482422</v>
      </c>
      <c r="C1114" s="125">
        <f>IFERROR(yf_data[[#This Row],[Close Price]]/B1113-1,0)</f>
        <v>3.9471523314672963E-2</v>
      </c>
    </row>
    <row r="1115" spans="1:3" x14ac:dyDescent="0.15">
      <c r="A1115" s="124">
        <v>42430</v>
      </c>
      <c r="B1115" s="126">
        <v>54.688133239746094</v>
      </c>
      <c r="C1115" s="125">
        <f>IFERROR(yf_data[[#This Row],[Close Price]]/B1114-1,0)</f>
        <v>1.7062487110393265E-2</v>
      </c>
    </row>
    <row r="1116" spans="1:3" x14ac:dyDescent="0.15">
      <c r="A1116" s="124">
        <v>42431</v>
      </c>
      <c r="B1116" s="126">
        <v>54.454269409179688</v>
      </c>
      <c r="C1116" s="125">
        <f>IFERROR(yf_data[[#This Row],[Close Price]]/B1115-1,0)</f>
        <v>-4.2763176709867956E-3</v>
      </c>
    </row>
    <row r="1117" spans="1:3" x14ac:dyDescent="0.15">
      <c r="A1117" s="124">
        <v>42432</v>
      </c>
      <c r="B1117" s="126">
        <v>54.661151885986328</v>
      </c>
      <c r="C1117" s="125">
        <f>IFERROR(yf_data[[#This Row],[Close Price]]/B1116-1,0)</f>
        <v>3.7991966295991553E-3</v>
      </c>
    </row>
    <row r="1118" spans="1:3" x14ac:dyDescent="0.15">
      <c r="A1118" s="124">
        <v>42433</v>
      </c>
      <c r="B1118" s="126">
        <v>55.857452392578125</v>
      </c>
      <c r="C1118" s="125">
        <f>IFERROR(yf_data[[#This Row],[Close Price]]/B1117-1,0)</f>
        <v>2.1885753690062515E-2</v>
      </c>
    </row>
    <row r="1119" spans="1:3" x14ac:dyDescent="0.15">
      <c r="A1119" s="124">
        <v>42436</v>
      </c>
      <c r="B1119" s="126">
        <v>55.299777984619141</v>
      </c>
      <c r="C1119" s="125">
        <f>IFERROR(yf_data[[#This Row],[Close Price]]/B1118-1,0)</f>
        <v>-9.9838854811982181E-3</v>
      </c>
    </row>
    <row r="1120" spans="1:3" x14ac:dyDescent="0.15">
      <c r="A1120" s="124">
        <v>42437</v>
      </c>
      <c r="B1120" s="126">
        <v>54.517234802246094</v>
      </c>
      <c r="C1120" s="125">
        <f>IFERROR(yf_data[[#This Row],[Close Price]]/B1119-1,0)</f>
        <v>-1.4150928103015215E-2</v>
      </c>
    </row>
    <row r="1121" spans="1:3" x14ac:dyDescent="0.15">
      <c r="A1121" s="124">
        <v>42438</v>
      </c>
      <c r="B1121" s="126">
        <v>54.544216156005859</v>
      </c>
      <c r="C1121" s="125">
        <f>IFERROR(yf_data[[#This Row],[Close Price]]/B1120-1,0)</f>
        <v>4.9491420204339498E-4</v>
      </c>
    </row>
    <row r="1122" spans="1:3" x14ac:dyDescent="0.15">
      <c r="A1122" s="124">
        <v>42439</v>
      </c>
      <c r="B1122" s="126">
        <v>52.385482788085938</v>
      </c>
      <c r="C1122" s="125">
        <f>IFERROR(yf_data[[#This Row],[Close Price]]/B1121-1,0)</f>
        <v>-3.9577676975787401E-2</v>
      </c>
    </row>
    <row r="1123" spans="1:3" x14ac:dyDescent="0.15">
      <c r="A1123" s="124">
        <v>42440</v>
      </c>
      <c r="B1123" s="126">
        <v>54.085491180419922</v>
      </c>
      <c r="C1123" s="125">
        <f>IFERROR(yf_data[[#This Row],[Close Price]]/B1122-1,0)</f>
        <v>3.2451898920374589E-2</v>
      </c>
    </row>
    <row r="1124" spans="1:3" x14ac:dyDescent="0.15">
      <c r="A1124" s="124">
        <v>42443</v>
      </c>
      <c r="B1124" s="126">
        <v>54.33734130859375</v>
      </c>
      <c r="C1124" s="125">
        <f>IFERROR(yf_data[[#This Row],[Close Price]]/B1123-1,0)</f>
        <v>4.6565192009386802E-3</v>
      </c>
    </row>
    <row r="1125" spans="1:3" x14ac:dyDescent="0.15">
      <c r="A1125" s="124">
        <v>42444</v>
      </c>
      <c r="B1125" s="126">
        <v>54.229400634765625</v>
      </c>
      <c r="C1125" s="125">
        <f>IFERROR(yf_data[[#This Row],[Close Price]]/B1124-1,0)</f>
        <v>-1.9864916322479553E-3</v>
      </c>
    </row>
    <row r="1126" spans="1:3" x14ac:dyDescent="0.15">
      <c r="A1126" s="124">
        <v>42445</v>
      </c>
      <c r="B1126" s="126">
        <v>54.670146942138672</v>
      </c>
      <c r="C1126" s="125">
        <f>IFERROR(yf_data[[#This Row],[Close Price]]/B1125-1,0)</f>
        <v>8.1274419819143962E-3</v>
      </c>
    </row>
    <row r="1127" spans="1:3" x14ac:dyDescent="0.15">
      <c r="A1127" s="124">
        <v>42446</v>
      </c>
      <c r="B1127" s="126">
        <v>53.545795440673828</v>
      </c>
      <c r="C1127" s="125">
        <f>IFERROR(yf_data[[#This Row],[Close Price]]/B1126-1,0)</f>
        <v>-2.0566096203378126E-2</v>
      </c>
    </row>
    <row r="1128" spans="1:3" x14ac:dyDescent="0.15">
      <c r="A1128" s="124">
        <v>42447</v>
      </c>
      <c r="B1128" s="126">
        <v>54.508243560791016</v>
      </c>
      <c r="C1128" s="125">
        <f>IFERROR(yf_data[[#This Row],[Close Price]]/B1127-1,0)</f>
        <v>1.7974298676420419E-2</v>
      </c>
    </row>
    <row r="1129" spans="1:3" x14ac:dyDescent="0.15">
      <c r="A1129" s="124">
        <v>42450</v>
      </c>
      <c r="B1129" s="126">
        <v>54.760093688964851</v>
      </c>
      <c r="C1129" s="125">
        <f>IFERROR(yf_data[[#This Row],[Close Price]]/B1128-1,0)</f>
        <v>4.6204043961342034E-3</v>
      </c>
    </row>
    <row r="1130" spans="1:3" x14ac:dyDescent="0.15">
      <c r="A1130" s="124">
        <v>42451</v>
      </c>
      <c r="B1130" s="126">
        <v>55.092899322509766</v>
      </c>
      <c r="C1130" s="125">
        <f>IFERROR(yf_data[[#This Row],[Close Price]]/B1129-1,0)</f>
        <v>6.0775212590986616E-3</v>
      </c>
    </row>
    <row r="1131" spans="1:3" x14ac:dyDescent="0.15">
      <c r="A1131" s="124">
        <v>42452</v>
      </c>
      <c r="B1131" s="126">
        <v>55.164863586425781</v>
      </c>
      <c r="C1131" s="125">
        <f>IFERROR(yf_data[[#This Row],[Close Price]]/B1130-1,0)</f>
        <v>1.3062348288250814E-3</v>
      </c>
    </row>
    <row r="1132" spans="1:3" x14ac:dyDescent="0.15">
      <c r="A1132" s="124">
        <v>42453</v>
      </c>
      <c r="B1132" s="126">
        <v>53.761676788330078</v>
      </c>
      <c r="C1132" s="125">
        <f>IFERROR(yf_data[[#This Row],[Close Price]]/B1131-1,0)</f>
        <v>-2.54362416014563E-2</v>
      </c>
    </row>
    <row r="1133" spans="1:3" x14ac:dyDescent="0.15">
      <c r="A1133" s="124">
        <v>42458</v>
      </c>
      <c r="B1133" s="126">
        <v>54.013526916503906</v>
      </c>
      <c r="C1133" s="125">
        <f>IFERROR(yf_data[[#This Row],[Close Price]]/B1132-1,0)</f>
        <v>4.6845660927841148E-3</v>
      </c>
    </row>
    <row r="1134" spans="1:3" x14ac:dyDescent="0.15">
      <c r="A1134" s="124">
        <v>42459</v>
      </c>
      <c r="B1134" s="126">
        <v>53.932575225830078</v>
      </c>
      <c r="C1134" s="125">
        <f>IFERROR(yf_data[[#This Row],[Close Price]]/B1133-1,0)</f>
        <v>-1.498729953312683E-3</v>
      </c>
    </row>
    <row r="1135" spans="1:3" x14ac:dyDescent="0.15">
      <c r="A1135" s="124">
        <v>42460</v>
      </c>
      <c r="B1135" s="126">
        <v>52.484416961669922</v>
      </c>
      <c r="C1135" s="125">
        <f>IFERROR(yf_data[[#This Row],[Close Price]]/B1134-1,0)</f>
        <v>-2.6851272317265251E-2</v>
      </c>
    </row>
    <row r="1136" spans="1:3" x14ac:dyDescent="0.15">
      <c r="A1136" s="124">
        <v>42461</v>
      </c>
      <c r="B1136" s="126">
        <v>51.252140045166016</v>
      </c>
      <c r="C1136" s="125">
        <f>IFERROR(yf_data[[#This Row],[Close Price]]/B1135-1,0)</f>
        <v>-2.3478910271668929E-2</v>
      </c>
    </row>
    <row r="1137" spans="1:3" x14ac:dyDescent="0.15">
      <c r="A1137" s="124">
        <v>42464</v>
      </c>
      <c r="B1137" s="126">
        <v>51.557960510253906</v>
      </c>
      <c r="C1137" s="125">
        <f>IFERROR(yf_data[[#This Row],[Close Price]]/B1136-1,0)</f>
        <v>5.9669794240471141E-3</v>
      </c>
    </row>
    <row r="1138" spans="1:3" x14ac:dyDescent="0.15">
      <c r="A1138" s="124">
        <v>42465</v>
      </c>
      <c r="B1138" s="126">
        <v>50.757427215576172</v>
      </c>
      <c r="C1138" s="125">
        <f>IFERROR(yf_data[[#This Row],[Close Price]]/B1137-1,0)</f>
        <v>-1.5526861162759253E-2</v>
      </c>
    </row>
    <row r="1139" spans="1:3" x14ac:dyDescent="0.15">
      <c r="A1139" s="124">
        <v>42466</v>
      </c>
      <c r="B1139" s="126">
        <v>50.784408569335938</v>
      </c>
      <c r="C1139" s="125">
        <f>IFERROR(yf_data[[#This Row],[Close Price]]/B1138-1,0)</f>
        <v>5.315744953968693E-4</v>
      </c>
    </row>
    <row r="1140" spans="1:3" x14ac:dyDescent="0.15">
      <c r="A1140" s="124">
        <v>42467</v>
      </c>
      <c r="B1140" s="126">
        <v>51.036266326904297</v>
      </c>
      <c r="C1140" s="125">
        <f>IFERROR(yf_data[[#This Row],[Close Price]]/B1139-1,0)</f>
        <v>4.9593519874213676E-3</v>
      </c>
    </row>
    <row r="1141" spans="1:3" x14ac:dyDescent="0.15">
      <c r="A1141" s="124">
        <v>42468</v>
      </c>
      <c r="B1141" s="126">
        <v>51.728855133056641</v>
      </c>
      <c r="C1141" s="125">
        <f>IFERROR(yf_data[[#This Row],[Close Price]]/B1140-1,0)</f>
        <v>1.3570522610648617E-2</v>
      </c>
    </row>
    <row r="1142" spans="1:3" x14ac:dyDescent="0.15">
      <c r="A1142" s="124">
        <v>42471</v>
      </c>
      <c r="B1142" s="126">
        <v>50.685470581054688</v>
      </c>
      <c r="C1142" s="125">
        <f>IFERROR(yf_data[[#This Row],[Close Price]]/B1141-1,0)</f>
        <v>-2.0170261826173541E-2</v>
      </c>
    </row>
    <row r="1143" spans="1:3" x14ac:dyDescent="0.15">
      <c r="A1143" s="124">
        <v>42472</v>
      </c>
      <c r="B1143" s="126">
        <v>50.433612823486328</v>
      </c>
      <c r="C1143" s="125">
        <f>IFERROR(yf_data[[#This Row],[Close Price]]/B1142-1,0)</f>
        <v>-4.9690326375799732E-3</v>
      </c>
    </row>
    <row r="1144" spans="1:3" x14ac:dyDescent="0.15">
      <c r="A1144" s="124">
        <v>42473</v>
      </c>
      <c r="B1144" s="126">
        <v>51.818805694580078</v>
      </c>
      <c r="C1144" s="125">
        <f>IFERROR(yf_data[[#This Row],[Close Price]]/B1143-1,0)</f>
        <v>2.7465668103965113E-2</v>
      </c>
    </row>
    <row r="1145" spans="1:3" x14ac:dyDescent="0.15">
      <c r="A1145" s="124">
        <v>42474</v>
      </c>
      <c r="B1145" s="126">
        <v>51.1531982421875</v>
      </c>
      <c r="C1145" s="125">
        <f>IFERROR(yf_data[[#This Row],[Close Price]]/B1144-1,0)</f>
        <v>-1.2844901449787671E-2</v>
      </c>
    </row>
    <row r="1146" spans="1:3" x14ac:dyDescent="0.15">
      <c r="A1146" s="124">
        <v>42475</v>
      </c>
      <c r="B1146" s="126">
        <v>50.892349243164062</v>
      </c>
      <c r="C1146" s="125">
        <f>IFERROR(yf_data[[#This Row],[Close Price]]/B1145-1,0)</f>
        <v>-5.0993683286123526E-3</v>
      </c>
    </row>
    <row r="1147" spans="1:3" x14ac:dyDescent="0.15">
      <c r="A1147" s="124">
        <v>42478</v>
      </c>
      <c r="B1147" s="126">
        <v>51.126209259033203</v>
      </c>
      <c r="C1147" s="125">
        <f>IFERROR(yf_data[[#This Row],[Close Price]]/B1146-1,0)</f>
        <v>4.5951900304652682E-3</v>
      </c>
    </row>
    <row r="1148" spans="1:3" x14ac:dyDescent="0.15">
      <c r="A1148" s="124">
        <v>42479</v>
      </c>
      <c r="B1148" s="126">
        <v>51.611927032470703</v>
      </c>
      <c r="C1148" s="125">
        <f>IFERROR(yf_data[[#This Row],[Close Price]]/B1147-1,0)</f>
        <v>9.5003674333957733E-3</v>
      </c>
    </row>
    <row r="1149" spans="1:3" x14ac:dyDescent="0.15">
      <c r="A1149" s="124">
        <v>42480</v>
      </c>
      <c r="B1149" s="126">
        <v>51.683883666992188</v>
      </c>
      <c r="C1149" s="125">
        <f>IFERROR(yf_data[[#This Row],[Close Price]]/B1148-1,0)</f>
        <v>1.3941861631365793E-3</v>
      </c>
    </row>
    <row r="1150" spans="1:3" x14ac:dyDescent="0.15">
      <c r="A1150" s="124">
        <v>42481</v>
      </c>
      <c r="B1150" s="126">
        <v>52.331512451171875</v>
      </c>
      <c r="C1150" s="125">
        <f>IFERROR(yf_data[[#This Row],[Close Price]]/B1149-1,0)</f>
        <v>1.2530575069638061E-2</v>
      </c>
    </row>
    <row r="1151" spans="1:3" x14ac:dyDescent="0.15">
      <c r="A1151" s="124">
        <v>42482</v>
      </c>
      <c r="B1151" s="126">
        <v>52.322509765625</v>
      </c>
      <c r="C1151" s="125">
        <f>IFERROR(yf_data[[#This Row],[Close Price]]/B1150-1,0)</f>
        <v>-1.7203182413794149E-4</v>
      </c>
    </row>
    <row r="1152" spans="1:3" x14ac:dyDescent="0.15">
      <c r="A1152" s="124">
        <v>42485</v>
      </c>
      <c r="B1152" s="126">
        <v>52.745265960693359</v>
      </c>
      <c r="C1152" s="125">
        <f>IFERROR(yf_data[[#This Row],[Close Price]]/B1151-1,0)</f>
        <v>8.0798149202334635E-3</v>
      </c>
    </row>
    <row r="1153" spans="1:3" x14ac:dyDescent="0.15">
      <c r="A1153" s="124">
        <v>42486</v>
      </c>
      <c r="B1153" s="126">
        <v>52.376483917236328</v>
      </c>
      <c r="C1153" s="125">
        <f>IFERROR(yf_data[[#This Row],[Close Price]]/B1152-1,0)</f>
        <v>-6.9917562598291738E-3</v>
      </c>
    </row>
    <row r="1154" spans="1:3" x14ac:dyDescent="0.15">
      <c r="A1154" s="124">
        <v>42487</v>
      </c>
      <c r="B1154" s="126">
        <v>52.583362579345703</v>
      </c>
      <c r="C1154" s="125">
        <f>IFERROR(yf_data[[#This Row],[Close Price]]/B1153-1,0)</f>
        <v>3.949838680203932E-3</v>
      </c>
    </row>
    <row r="1155" spans="1:3" x14ac:dyDescent="0.15">
      <c r="A1155" s="124">
        <v>42488</v>
      </c>
      <c r="B1155" s="126">
        <v>50.163772583007812</v>
      </c>
      <c r="C1155" s="125">
        <f>IFERROR(yf_data[[#This Row],[Close Price]]/B1154-1,0)</f>
        <v>-4.6014364195268942E-2</v>
      </c>
    </row>
    <row r="1156" spans="1:3" x14ac:dyDescent="0.15">
      <c r="A1156" s="124">
        <v>42489</v>
      </c>
      <c r="B1156" s="126">
        <v>49.120380401611328</v>
      </c>
      <c r="C1156" s="125">
        <f>IFERROR(yf_data[[#This Row],[Close Price]]/B1155-1,0)</f>
        <v>-2.0799715166357258E-2</v>
      </c>
    </row>
    <row r="1157" spans="1:3" x14ac:dyDescent="0.15">
      <c r="A1157" s="124">
        <v>42492</v>
      </c>
      <c r="B1157" s="126">
        <v>49.986499786376953</v>
      </c>
      <c r="C1157" s="125">
        <f>IFERROR(yf_data[[#This Row],[Close Price]]/B1156-1,0)</f>
        <v>1.7632587078605155E-2</v>
      </c>
    </row>
    <row r="1158" spans="1:3" x14ac:dyDescent="0.15">
      <c r="A1158" s="124">
        <v>42493</v>
      </c>
      <c r="B1158" s="126">
        <v>49.350734710693359</v>
      </c>
      <c r="C1158" s="125">
        <f>IFERROR(yf_data[[#This Row],[Close Price]]/B1157-1,0)</f>
        <v>-1.2718735626631394E-2</v>
      </c>
    </row>
    <row r="1159" spans="1:3" x14ac:dyDescent="0.15">
      <c r="A1159" s="124">
        <v>42494</v>
      </c>
      <c r="B1159" s="126">
        <v>49.065093994140625</v>
      </c>
      <c r="C1159" s="125">
        <f>IFERROR(yf_data[[#This Row],[Close Price]]/B1158-1,0)</f>
        <v>-5.7879729294251225E-3</v>
      </c>
    </row>
    <row r="1160" spans="1:3" x14ac:dyDescent="0.15">
      <c r="A1160" s="124">
        <v>42495</v>
      </c>
      <c r="B1160" s="126">
        <v>49.774581909179688</v>
      </c>
      <c r="C1160" s="125">
        <f>IFERROR(yf_data[[#This Row],[Close Price]]/B1159-1,0)</f>
        <v>1.4460135654153383E-2</v>
      </c>
    </row>
    <row r="1161" spans="1:3" x14ac:dyDescent="0.15">
      <c r="A1161" s="124">
        <v>42496</v>
      </c>
      <c r="B1161" s="126">
        <v>49.783790588378906</v>
      </c>
      <c r="C1161" s="125">
        <f>IFERROR(yf_data[[#This Row],[Close Price]]/B1160-1,0)</f>
        <v>1.8500766547924208E-4</v>
      </c>
    </row>
    <row r="1162" spans="1:3" x14ac:dyDescent="0.15">
      <c r="A1162" s="124">
        <v>42499</v>
      </c>
      <c r="B1162" s="126">
        <v>50.106288909912109</v>
      </c>
      <c r="C1162" s="125">
        <f>IFERROR(yf_data[[#This Row],[Close Price]]/B1161-1,0)</f>
        <v>6.4779784287556375E-3</v>
      </c>
    </row>
    <row r="1163" spans="1:3" x14ac:dyDescent="0.15">
      <c r="A1163" s="124">
        <v>42500</v>
      </c>
      <c r="B1163" s="126">
        <v>51.184341430664062</v>
      </c>
      <c r="C1163" s="125">
        <f>IFERROR(yf_data[[#This Row],[Close Price]]/B1162-1,0)</f>
        <v>2.1515313630395161E-2</v>
      </c>
    </row>
    <row r="1164" spans="1:3" x14ac:dyDescent="0.15">
      <c r="A1164" s="124">
        <v>42501</v>
      </c>
      <c r="B1164" s="126">
        <v>51.129051208496094</v>
      </c>
      <c r="C1164" s="125">
        <f>IFERROR(yf_data[[#This Row],[Close Price]]/B1163-1,0)</f>
        <v>-1.0802175161883643E-3</v>
      </c>
    </row>
    <row r="1165" spans="1:3" x14ac:dyDescent="0.15">
      <c r="A1165" s="124">
        <v>42502</v>
      </c>
      <c r="B1165" s="126">
        <v>50.889484405517578</v>
      </c>
      <c r="C1165" s="125">
        <f>IFERROR(yf_data[[#This Row],[Close Price]]/B1164-1,0)</f>
        <v>-4.6855319493726011E-3</v>
      </c>
    </row>
    <row r="1166" spans="1:3" x14ac:dyDescent="0.15">
      <c r="A1166" s="124">
        <v>42503</v>
      </c>
      <c r="B1166" s="126">
        <v>50.806560516357422</v>
      </c>
      <c r="C1166" s="125">
        <f>IFERROR(yf_data[[#This Row],[Close Price]]/B1165-1,0)</f>
        <v>-1.6294896701913864E-3</v>
      </c>
    </row>
    <row r="1167" spans="1:3" x14ac:dyDescent="0.15">
      <c r="A1167" s="124">
        <v>42506</v>
      </c>
      <c r="B1167" s="126">
        <v>50.557777404785149</v>
      </c>
      <c r="C1167" s="125">
        <f>IFERROR(yf_data[[#This Row],[Close Price]]/B1166-1,0)</f>
        <v>-4.89667296986529E-3</v>
      </c>
    </row>
    <row r="1168" spans="1:3" x14ac:dyDescent="0.15">
      <c r="A1168" s="124">
        <v>42507</v>
      </c>
      <c r="B1168" s="126">
        <v>49.922004699707031</v>
      </c>
      <c r="C1168" s="125">
        <f>IFERROR(yf_data[[#This Row],[Close Price]]/B1167-1,0)</f>
        <v>-1.2575171174711186E-2</v>
      </c>
    </row>
    <row r="1169" spans="1:3" x14ac:dyDescent="0.15">
      <c r="A1169" s="124">
        <v>42508</v>
      </c>
      <c r="B1169" s="126">
        <v>49.028232574462891</v>
      </c>
      <c r="C1169" s="125">
        <f>IFERROR(yf_data[[#This Row],[Close Price]]/B1168-1,0)</f>
        <v>-1.7903370079394798E-2</v>
      </c>
    </row>
    <row r="1170" spans="1:3" x14ac:dyDescent="0.15">
      <c r="A1170" s="124">
        <v>42509</v>
      </c>
      <c r="B1170" s="126">
        <v>49.138809204101562</v>
      </c>
      <c r="C1170" s="125">
        <f>IFERROR(yf_data[[#This Row],[Close Price]]/B1169-1,0)</f>
        <v>2.2553664252680239E-3</v>
      </c>
    </row>
    <row r="1171" spans="1:3" x14ac:dyDescent="0.15">
      <c r="A1171" s="124">
        <v>42510</v>
      </c>
      <c r="B1171" s="126">
        <v>50.133930206298828</v>
      </c>
      <c r="C1171" s="125">
        <f>IFERROR(yf_data[[#This Row],[Close Price]]/B1170-1,0)</f>
        <v>2.0251223387688588E-2</v>
      </c>
    </row>
    <row r="1172" spans="1:3" x14ac:dyDescent="0.15">
      <c r="A1172" s="124">
        <v>42513</v>
      </c>
      <c r="B1172" s="126">
        <v>50.253715515136719</v>
      </c>
      <c r="C1172" s="125">
        <f>IFERROR(yf_data[[#This Row],[Close Price]]/B1171-1,0)</f>
        <v>2.389306171388883E-3</v>
      </c>
    </row>
    <row r="1173" spans="1:3" x14ac:dyDescent="0.15">
      <c r="A1173" s="124">
        <v>42514</v>
      </c>
      <c r="B1173" s="126">
        <v>51.598972320556641</v>
      </c>
      <c r="C1173" s="125">
        <f>IFERROR(yf_data[[#This Row],[Close Price]]/B1172-1,0)</f>
        <v>2.6769300371725091E-2</v>
      </c>
    </row>
    <row r="1174" spans="1:3" x14ac:dyDescent="0.15">
      <c r="A1174" s="124">
        <v>42515</v>
      </c>
      <c r="B1174" s="126">
        <v>51.663471221923828</v>
      </c>
      <c r="C1174" s="125">
        <f>IFERROR(yf_data[[#This Row],[Close Price]]/B1173-1,0)</f>
        <v>1.2500036040734575E-3</v>
      </c>
    </row>
    <row r="1175" spans="1:3" x14ac:dyDescent="0.15">
      <c r="A1175" s="124">
        <v>42516</v>
      </c>
      <c r="B1175" s="126">
        <v>51.598972320556641</v>
      </c>
      <c r="C1175" s="125">
        <f>IFERROR(yf_data[[#This Row],[Close Price]]/B1174-1,0)</f>
        <v>-1.2484430457668783E-3</v>
      </c>
    </row>
    <row r="1176" spans="1:3" x14ac:dyDescent="0.15">
      <c r="A1176" s="124">
        <v>42517</v>
      </c>
      <c r="B1176" s="126">
        <v>51.617401123046875</v>
      </c>
      <c r="C1176" s="125">
        <f>IFERROR(yf_data[[#This Row],[Close Price]]/B1175-1,0)</f>
        <v>3.5715444826589504E-4</v>
      </c>
    </row>
    <row r="1177" spans="1:3" x14ac:dyDescent="0.15">
      <c r="A1177" s="124">
        <v>42520</v>
      </c>
      <c r="B1177" s="126">
        <v>51.875396728515625</v>
      </c>
      <c r="C1177" s="125">
        <f>IFERROR(yf_data[[#This Row],[Close Price]]/B1176-1,0)</f>
        <v>4.9982292764747527E-3</v>
      </c>
    </row>
    <row r="1178" spans="1:3" x14ac:dyDescent="0.15">
      <c r="A1178" s="124">
        <v>42521</v>
      </c>
      <c r="B1178" s="126">
        <v>51.617401123046875</v>
      </c>
      <c r="C1178" s="125">
        <f>IFERROR(yf_data[[#This Row],[Close Price]]/B1177-1,0)</f>
        <v>-4.9733712268060781E-3</v>
      </c>
    </row>
    <row r="1179" spans="1:3" x14ac:dyDescent="0.15">
      <c r="A1179" s="124">
        <v>42522</v>
      </c>
      <c r="B1179" s="126">
        <v>51.543685913085938</v>
      </c>
      <c r="C1179" s="125">
        <f>IFERROR(yf_data[[#This Row],[Close Price]]/B1178-1,0)</f>
        <v>-1.4281077380322582E-3</v>
      </c>
    </row>
    <row r="1180" spans="1:3" x14ac:dyDescent="0.15">
      <c r="A1180" s="124">
        <v>42523</v>
      </c>
      <c r="B1180" s="126">
        <v>50.953983306884766</v>
      </c>
      <c r="C1180" s="125">
        <f>IFERROR(yf_data[[#This Row],[Close Price]]/B1179-1,0)</f>
        <v>-1.1440831127124684E-2</v>
      </c>
    </row>
    <row r="1181" spans="1:3" x14ac:dyDescent="0.15">
      <c r="A1181" s="124">
        <v>42524</v>
      </c>
      <c r="B1181" s="126">
        <v>49.157234191894531</v>
      </c>
      <c r="C1181" s="125">
        <f>IFERROR(yf_data[[#This Row],[Close Price]]/B1180-1,0)</f>
        <v>-3.5262191459474401E-2</v>
      </c>
    </row>
    <row r="1182" spans="1:3" x14ac:dyDescent="0.15">
      <c r="A1182" s="124">
        <v>42527</v>
      </c>
      <c r="B1182" s="126">
        <v>48.862380981445312</v>
      </c>
      <c r="C1182" s="125">
        <f>IFERROR(yf_data[[#This Row],[Close Price]]/B1181-1,0)</f>
        <v>-5.9981651794770441E-3</v>
      </c>
    </row>
    <row r="1183" spans="1:3" x14ac:dyDescent="0.15">
      <c r="A1183" s="124">
        <v>42528</v>
      </c>
      <c r="B1183" s="126">
        <v>49.304660797119141</v>
      </c>
      <c r="C1183" s="125">
        <f>IFERROR(yf_data[[#This Row],[Close Price]]/B1182-1,0)</f>
        <v>9.0515404036854985E-3</v>
      </c>
    </row>
    <row r="1184" spans="1:3" x14ac:dyDescent="0.15">
      <c r="A1184" s="124">
        <v>42529</v>
      </c>
      <c r="B1184" s="126">
        <v>49.396800994873047</v>
      </c>
      <c r="C1184" s="125">
        <f>IFERROR(yf_data[[#This Row],[Close Price]]/B1183-1,0)</f>
        <v>1.8687928537435283E-3</v>
      </c>
    </row>
    <row r="1185" spans="1:3" x14ac:dyDescent="0.15">
      <c r="A1185" s="124">
        <v>42530</v>
      </c>
      <c r="B1185" s="126">
        <v>49.203304290771491</v>
      </c>
      <c r="C1185" s="125">
        <f>IFERROR(yf_data[[#This Row],[Close Price]]/B1184-1,0)</f>
        <v>-3.9171909962679718E-3</v>
      </c>
    </row>
    <row r="1186" spans="1:3" x14ac:dyDescent="0.15">
      <c r="A1186" s="124">
        <v>42531</v>
      </c>
      <c r="B1186" s="126">
        <v>48.521461486816406</v>
      </c>
      <c r="C1186" s="125">
        <f>IFERROR(yf_data[[#This Row],[Close Price]]/B1185-1,0)</f>
        <v>-1.3857662890396027E-2</v>
      </c>
    </row>
    <row r="1187" spans="1:3" x14ac:dyDescent="0.15">
      <c r="A1187" s="124">
        <v>42534</v>
      </c>
      <c r="B1187" s="126">
        <v>47.240703582763672</v>
      </c>
      <c r="C1187" s="125">
        <f>IFERROR(yf_data[[#This Row],[Close Price]]/B1186-1,0)</f>
        <v>-2.6395699239206261E-2</v>
      </c>
    </row>
    <row r="1188" spans="1:3" x14ac:dyDescent="0.15">
      <c r="A1188" s="124">
        <v>42535</v>
      </c>
      <c r="B1188" s="126">
        <v>46.973491668701172</v>
      </c>
      <c r="C1188" s="125">
        <f>IFERROR(yf_data[[#This Row],[Close Price]]/B1187-1,0)</f>
        <v>-5.6563914970986229E-3</v>
      </c>
    </row>
    <row r="1189" spans="1:3" x14ac:dyDescent="0.15">
      <c r="A1189" s="124">
        <v>42536</v>
      </c>
      <c r="B1189" s="126">
        <v>47.609264373779297</v>
      </c>
      <c r="C1189" s="125">
        <f>IFERROR(yf_data[[#This Row],[Close Price]]/B1188-1,0)</f>
        <v>1.3534712504707169E-2</v>
      </c>
    </row>
    <row r="1190" spans="1:3" x14ac:dyDescent="0.15">
      <c r="A1190" s="124">
        <v>42537</v>
      </c>
      <c r="B1190" s="126">
        <v>46.521999359130859</v>
      </c>
      <c r="C1190" s="125">
        <f>IFERROR(yf_data[[#This Row],[Close Price]]/B1189-1,0)</f>
        <v>-2.2837257179870396E-2</v>
      </c>
    </row>
    <row r="1191" spans="1:3" x14ac:dyDescent="0.15">
      <c r="A1191" s="124">
        <v>42538</v>
      </c>
      <c r="B1191" s="126">
        <v>46.835281372070312</v>
      </c>
      <c r="C1191" s="125">
        <f>IFERROR(yf_data[[#This Row],[Close Price]]/B1190-1,0)</f>
        <v>6.7340616752311622E-3</v>
      </c>
    </row>
    <row r="1192" spans="1:3" x14ac:dyDescent="0.15">
      <c r="A1192" s="124">
        <v>42541</v>
      </c>
      <c r="B1192" s="126">
        <v>49.120376586914062</v>
      </c>
      <c r="C1192" s="125">
        <f>IFERROR(yf_data[[#This Row],[Close Price]]/B1191-1,0)</f>
        <v>4.8790039216171754E-2</v>
      </c>
    </row>
    <row r="1193" spans="1:3" x14ac:dyDescent="0.15">
      <c r="A1193" s="124">
        <v>42542</v>
      </c>
      <c r="B1193" s="126">
        <v>50.087863922119141</v>
      </c>
      <c r="C1193" s="125">
        <f>IFERROR(yf_data[[#This Row],[Close Price]]/B1192-1,0)</f>
        <v>1.9696252399311165E-2</v>
      </c>
    </row>
    <row r="1194" spans="1:3" x14ac:dyDescent="0.15">
      <c r="A1194" s="124">
        <v>42543</v>
      </c>
      <c r="B1194" s="126">
        <v>50.170787811279297</v>
      </c>
      <c r="C1194" s="125">
        <f>IFERROR(yf_data[[#This Row],[Close Price]]/B1193-1,0)</f>
        <v>1.655568488388548E-3</v>
      </c>
    </row>
    <row r="1195" spans="1:3" x14ac:dyDescent="0.15">
      <c r="A1195" s="124">
        <v>42544</v>
      </c>
      <c r="B1195" s="126">
        <v>51.165908813476562</v>
      </c>
      <c r="C1195" s="125">
        <f>IFERROR(yf_data[[#This Row],[Close Price]]/B1194-1,0)</f>
        <v>1.9834669647613934E-2</v>
      </c>
    </row>
    <row r="1196" spans="1:3" x14ac:dyDescent="0.15">
      <c r="A1196" s="124">
        <v>42545</v>
      </c>
      <c r="B1196" s="126">
        <v>48.014686584472656</v>
      </c>
      <c r="C1196" s="125">
        <f>IFERROR(yf_data[[#This Row],[Close Price]]/B1195-1,0)</f>
        <v>-6.1588317340195653E-2</v>
      </c>
    </row>
    <row r="1197" spans="1:3" x14ac:dyDescent="0.15">
      <c r="A1197" s="124">
        <v>42548</v>
      </c>
      <c r="B1197" s="126">
        <v>45.996795654296875</v>
      </c>
      <c r="C1197" s="125">
        <f>IFERROR(yf_data[[#This Row],[Close Price]]/B1196-1,0)</f>
        <v>-4.2026535498168593E-2</v>
      </c>
    </row>
    <row r="1198" spans="1:3" x14ac:dyDescent="0.15">
      <c r="A1198" s="124">
        <v>42549</v>
      </c>
      <c r="B1198" s="126">
        <v>47.093276977539062</v>
      </c>
      <c r="C1198" s="125">
        <f>IFERROR(yf_data[[#This Row],[Close Price]]/B1197-1,0)</f>
        <v>2.3838211067638948E-2</v>
      </c>
    </row>
    <row r="1199" spans="1:3" x14ac:dyDescent="0.15">
      <c r="A1199" s="124">
        <v>42550</v>
      </c>
      <c r="B1199" s="126">
        <v>47.848834991455078</v>
      </c>
      <c r="C1199" s="125">
        <f>IFERROR(yf_data[[#This Row],[Close Price]]/B1198-1,0)</f>
        <v>1.6043861510770974E-2</v>
      </c>
    </row>
    <row r="1200" spans="1:3" x14ac:dyDescent="0.15">
      <c r="A1200" s="124">
        <v>42551</v>
      </c>
      <c r="B1200" s="126">
        <v>47.66455078125</v>
      </c>
      <c r="C1200" s="125">
        <f>IFERROR(yf_data[[#This Row],[Close Price]]/B1199-1,0)</f>
        <v>-3.8513834294604532E-3</v>
      </c>
    </row>
    <row r="1201" spans="1:3" x14ac:dyDescent="0.15">
      <c r="A1201" s="124">
        <v>42552</v>
      </c>
      <c r="B1201" s="126">
        <v>47.434196472167969</v>
      </c>
      <c r="C1201" s="125">
        <f>IFERROR(yf_data[[#This Row],[Close Price]]/B1200-1,0)</f>
        <v>-4.832822407982218E-3</v>
      </c>
    </row>
    <row r="1202" spans="1:3" x14ac:dyDescent="0.15">
      <c r="A1202" s="124">
        <v>42555</v>
      </c>
      <c r="B1202" s="126">
        <v>47.259132385253906</v>
      </c>
      <c r="C1202" s="125">
        <f>IFERROR(yf_data[[#This Row],[Close Price]]/B1201-1,0)</f>
        <v>-3.6906725513266014E-3</v>
      </c>
    </row>
    <row r="1203" spans="1:3" x14ac:dyDescent="0.15">
      <c r="A1203" s="124">
        <v>42556</v>
      </c>
      <c r="B1203" s="126">
        <v>45.858589172363281</v>
      </c>
      <c r="C1203" s="125">
        <f>IFERROR(yf_data[[#This Row],[Close Price]]/B1202-1,0)</f>
        <v>-2.9635398328379581E-2</v>
      </c>
    </row>
    <row r="1204" spans="1:3" x14ac:dyDescent="0.15">
      <c r="A1204" s="124">
        <v>42557</v>
      </c>
      <c r="B1204" s="126">
        <v>44.660755157470703</v>
      </c>
      <c r="C1204" s="125">
        <f>IFERROR(yf_data[[#This Row],[Close Price]]/B1203-1,0)</f>
        <v>-2.6120167159753183E-2</v>
      </c>
    </row>
    <row r="1205" spans="1:3" x14ac:dyDescent="0.15">
      <c r="A1205" s="124">
        <v>42558</v>
      </c>
      <c r="B1205" s="126">
        <v>45.195171356201172</v>
      </c>
      <c r="C1205" s="125">
        <f>IFERROR(yf_data[[#This Row],[Close Price]]/B1204-1,0)</f>
        <v>1.1966125446069009E-2</v>
      </c>
    </row>
    <row r="1206" spans="1:3" x14ac:dyDescent="0.15">
      <c r="A1206" s="124">
        <v>42559</v>
      </c>
      <c r="B1206" s="126">
        <v>45.176738739013672</v>
      </c>
      <c r="C1206" s="125">
        <f>IFERROR(yf_data[[#This Row],[Close Price]]/B1205-1,0)</f>
        <v>-4.0784483462241727E-4</v>
      </c>
    </row>
    <row r="1207" spans="1:3" x14ac:dyDescent="0.15">
      <c r="A1207" s="124">
        <v>42562</v>
      </c>
      <c r="B1207" s="126">
        <v>46.254791259765625</v>
      </c>
      <c r="C1207" s="125">
        <f>IFERROR(yf_data[[#This Row],[Close Price]]/B1206-1,0)</f>
        <v>2.3863000093474529E-2</v>
      </c>
    </row>
    <row r="1208" spans="1:3" x14ac:dyDescent="0.15">
      <c r="A1208" s="124">
        <v>42563</v>
      </c>
      <c r="B1208" s="126">
        <v>48.106826782226562</v>
      </c>
      <c r="C1208" s="125">
        <f>IFERROR(yf_data[[#This Row],[Close Price]]/B1207-1,0)</f>
        <v>4.0039863374584428E-2</v>
      </c>
    </row>
    <row r="1209" spans="1:3" x14ac:dyDescent="0.15">
      <c r="A1209" s="124">
        <v>42564</v>
      </c>
      <c r="B1209" s="126">
        <v>48.945308685302734</v>
      </c>
      <c r="C1209" s="125">
        <f>IFERROR(yf_data[[#This Row],[Close Price]]/B1208-1,0)</f>
        <v>1.7429582434773216E-2</v>
      </c>
    </row>
    <row r="1210" spans="1:3" x14ac:dyDescent="0.15">
      <c r="A1210" s="124">
        <v>42565</v>
      </c>
      <c r="B1210" s="126">
        <v>49.184879302978509</v>
      </c>
      <c r="C1210" s="125">
        <f>IFERROR(yf_data[[#This Row],[Close Price]]/B1209-1,0)</f>
        <v>4.8946594497158991E-3</v>
      </c>
    </row>
    <row r="1211" spans="1:3" x14ac:dyDescent="0.15">
      <c r="A1211" s="124">
        <v>42566</v>
      </c>
      <c r="B1211" s="126">
        <v>48.475391387939453</v>
      </c>
      <c r="C1211" s="125">
        <f>IFERROR(yf_data[[#This Row],[Close Price]]/B1210-1,0)</f>
        <v>-1.4424919306370909E-2</v>
      </c>
    </row>
    <row r="1212" spans="1:3" x14ac:dyDescent="0.15">
      <c r="A1212" s="124">
        <v>42569</v>
      </c>
      <c r="B1212" s="126">
        <v>48.097610473632812</v>
      </c>
      <c r="C1212" s="125">
        <f>IFERROR(yf_data[[#This Row],[Close Price]]/B1211-1,0)</f>
        <v>-7.7932514517176088E-3</v>
      </c>
    </row>
    <row r="1213" spans="1:3" x14ac:dyDescent="0.15">
      <c r="A1213" s="124">
        <v>42570</v>
      </c>
      <c r="B1213" s="126">
        <v>48.162113189697266</v>
      </c>
      <c r="C1213" s="125">
        <f>IFERROR(yf_data[[#This Row],[Close Price]]/B1212-1,0)</f>
        <v>1.3410794305428464E-3</v>
      </c>
    </row>
    <row r="1214" spans="1:3" x14ac:dyDescent="0.15">
      <c r="A1214" s="124">
        <v>42571</v>
      </c>
      <c r="B1214" s="126">
        <v>48.761028289794922</v>
      </c>
      <c r="C1214" s="125">
        <f>IFERROR(yf_data[[#This Row],[Close Price]]/B1213-1,0)</f>
        <v>1.2435399122515456E-2</v>
      </c>
    </row>
    <row r="1215" spans="1:3" x14ac:dyDescent="0.15">
      <c r="A1215" s="124">
        <v>42572</v>
      </c>
      <c r="B1215" s="126">
        <v>47.922542572021491</v>
      </c>
      <c r="C1215" s="125">
        <f>IFERROR(yf_data[[#This Row],[Close Price]]/B1214-1,0)</f>
        <v>-1.719581697067929E-2</v>
      </c>
    </row>
    <row r="1216" spans="1:3" x14ac:dyDescent="0.15">
      <c r="A1216" s="124">
        <v>42573</v>
      </c>
      <c r="B1216" s="126">
        <v>47.360481262207031</v>
      </c>
      <c r="C1216" s="125">
        <f>IFERROR(yf_data[[#This Row],[Close Price]]/B1215-1,0)</f>
        <v>-1.1728536919128452E-2</v>
      </c>
    </row>
    <row r="1217" spans="1:3" x14ac:dyDescent="0.15">
      <c r="A1217" s="124">
        <v>42576</v>
      </c>
      <c r="B1217" s="126">
        <v>47.065635681152344</v>
      </c>
      <c r="C1217" s="125">
        <f>IFERROR(yf_data[[#This Row],[Close Price]]/B1216-1,0)</f>
        <v>-6.2255613371473562E-3</v>
      </c>
    </row>
    <row r="1218" spans="1:3" x14ac:dyDescent="0.15">
      <c r="A1218" s="124">
        <v>42577</v>
      </c>
      <c r="B1218" s="126">
        <v>47.636909484863281</v>
      </c>
      <c r="C1218" s="125">
        <f>IFERROR(yf_data[[#This Row],[Close Price]]/B1217-1,0)</f>
        <v>1.2137811280847233E-2</v>
      </c>
    </row>
    <row r="1219" spans="1:3" x14ac:dyDescent="0.15">
      <c r="A1219" s="124">
        <v>42578</v>
      </c>
      <c r="B1219" s="126">
        <v>49.756153106689453</v>
      </c>
      <c r="C1219" s="125">
        <f>IFERROR(yf_data[[#This Row],[Close Price]]/B1218-1,0)</f>
        <v>4.4487428860169098E-2</v>
      </c>
    </row>
    <row r="1220" spans="1:3" x14ac:dyDescent="0.15">
      <c r="A1220" s="124">
        <v>42579</v>
      </c>
      <c r="B1220" s="126">
        <v>49.359947204589837</v>
      </c>
      <c r="C1220" s="125">
        <f>IFERROR(yf_data[[#This Row],[Close Price]]/B1219-1,0)</f>
        <v>-7.9629528683629047E-3</v>
      </c>
    </row>
    <row r="1221" spans="1:3" x14ac:dyDescent="0.15">
      <c r="A1221" s="124">
        <v>42580</v>
      </c>
      <c r="B1221" s="126">
        <v>48.493820190429688</v>
      </c>
      <c r="C1221" s="125">
        <f>IFERROR(yf_data[[#This Row],[Close Price]]/B1220-1,0)</f>
        <v>-1.7547162491284185E-2</v>
      </c>
    </row>
    <row r="1222" spans="1:3" x14ac:dyDescent="0.15">
      <c r="A1222" s="124">
        <v>42583</v>
      </c>
      <c r="B1222" s="126">
        <v>48.143680572509766</v>
      </c>
      <c r="C1222" s="125">
        <f>IFERROR(yf_data[[#This Row],[Close Price]]/B1221-1,0)</f>
        <v>-7.2202935661691559E-3</v>
      </c>
    </row>
    <row r="1223" spans="1:3" x14ac:dyDescent="0.15">
      <c r="A1223" s="124">
        <v>42584</v>
      </c>
      <c r="B1223" s="126">
        <v>47.231483459472656</v>
      </c>
      <c r="C1223" s="125">
        <f>IFERROR(yf_data[[#This Row],[Close Price]]/B1222-1,0)</f>
        <v>-1.8947390440231082E-2</v>
      </c>
    </row>
    <row r="1224" spans="1:3" x14ac:dyDescent="0.15">
      <c r="A1224" s="124">
        <v>42585</v>
      </c>
      <c r="B1224" s="126">
        <v>46.494358062744141</v>
      </c>
      <c r="C1224" s="125">
        <f>IFERROR(yf_data[[#This Row],[Close Price]]/B1223-1,0)</f>
        <v>-1.560665350181123E-2</v>
      </c>
    </row>
    <row r="1225" spans="1:3" x14ac:dyDescent="0.15">
      <c r="A1225" s="124">
        <v>42586</v>
      </c>
      <c r="B1225" s="126">
        <v>46.62335205078125</v>
      </c>
      <c r="C1225" s="125">
        <f>IFERROR(yf_data[[#This Row],[Close Price]]/B1224-1,0)</f>
        <v>2.7744008824259758E-3</v>
      </c>
    </row>
    <row r="1226" spans="1:3" x14ac:dyDescent="0.15">
      <c r="A1226" s="124">
        <v>42587</v>
      </c>
      <c r="B1226" s="126">
        <v>46.991920471191406</v>
      </c>
      <c r="C1226" s="125">
        <f>IFERROR(yf_data[[#This Row],[Close Price]]/B1225-1,0)</f>
        <v>7.9052321250672186E-3</v>
      </c>
    </row>
    <row r="1227" spans="1:3" x14ac:dyDescent="0.15">
      <c r="A1227" s="124">
        <v>42590</v>
      </c>
      <c r="B1227" s="126">
        <v>46.3837890625</v>
      </c>
      <c r="C1227" s="125">
        <f>IFERROR(yf_data[[#This Row],[Close Price]]/B1226-1,0)</f>
        <v>-1.2941190796069368E-2</v>
      </c>
    </row>
    <row r="1228" spans="1:3" x14ac:dyDescent="0.15">
      <c r="A1228" s="124">
        <v>42591</v>
      </c>
      <c r="B1228" s="126">
        <v>47.084060668945312</v>
      </c>
      <c r="C1228" s="125">
        <f>IFERROR(yf_data[[#This Row],[Close Price]]/B1227-1,0)</f>
        <v>1.5097335094848008E-2</v>
      </c>
    </row>
    <row r="1229" spans="1:3" x14ac:dyDescent="0.15">
      <c r="A1229" s="124">
        <v>42592</v>
      </c>
      <c r="B1229" s="126">
        <v>47.176204681396477</v>
      </c>
      <c r="C1229" s="125">
        <f>IFERROR(yf_data[[#This Row],[Close Price]]/B1228-1,0)</f>
        <v>1.9570107408330983E-3</v>
      </c>
    </row>
    <row r="1230" spans="1:3" x14ac:dyDescent="0.15">
      <c r="A1230" s="124">
        <v>42593</v>
      </c>
      <c r="B1230" s="126">
        <v>47.765903472900391</v>
      </c>
      <c r="C1230" s="125">
        <f>IFERROR(yf_data[[#This Row],[Close Price]]/B1229-1,0)</f>
        <v>1.2499920150135679E-2</v>
      </c>
    </row>
    <row r="1231" spans="1:3" x14ac:dyDescent="0.15">
      <c r="A1231" s="124">
        <v>42594</v>
      </c>
      <c r="B1231" s="126">
        <v>47.940971374511719</v>
      </c>
      <c r="C1231" s="125">
        <f>IFERROR(yf_data[[#This Row],[Close Price]]/B1230-1,0)</f>
        <v>3.6651227943516052E-3</v>
      </c>
    </row>
    <row r="1232" spans="1:3" x14ac:dyDescent="0.15">
      <c r="A1232" s="124">
        <v>42597</v>
      </c>
      <c r="B1232" s="126">
        <v>48.17132568359375</v>
      </c>
      <c r="C1232" s="125">
        <f>IFERROR(yf_data[[#This Row],[Close Price]]/B1231-1,0)</f>
        <v>4.8049570644390638E-3</v>
      </c>
    </row>
    <row r="1233" spans="1:3" x14ac:dyDescent="0.15">
      <c r="A1233" s="124">
        <v>42598</v>
      </c>
      <c r="B1233" s="126">
        <v>47.443412780761719</v>
      </c>
      <c r="C1233" s="125">
        <f>IFERROR(yf_data[[#This Row],[Close Price]]/B1232-1,0)</f>
        <v>-1.5110916971918464E-2</v>
      </c>
    </row>
    <row r="1234" spans="1:3" x14ac:dyDescent="0.15">
      <c r="A1234" s="124">
        <v>42599</v>
      </c>
      <c r="B1234" s="126">
        <v>46.706283569335938</v>
      </c>
      <c r="C1234" s="125">
        <f>IFERROR(yf_data[[#This Row],[Close Price]]/B1233-1,0)</f>
        <v>-1.5537019118588513E-2</v>
      </c>
    </row>
    <row r="1235" spans="1:3" x14ac:dyDescent="0.15">
      <c r="A1235" s="124">
        <v>42600</v>
      </c>
      <c r="B1235" s="126">
        <v>46.070510864257812</v>
      </c>
      <c r="C1235" s="125">
        <f>IFERROR(yf_data[[#This Row],[Close Price]]/B1234-1,0)</f>
        <v>-1.3612145015441279E-2</v>
      </c>
    </row>
    <row r="1236" spans="1:3" x14ac:dyDescent="0.15">
      <c r="A1236" s="124">
        <v>42601</v>
      </c>
      <c r="B1236" s="126">
        <v>45.941516876220703</v>
      </c>
      <c r="C1236" s="125">
        <f>IFERROR(yf_data[[#This Row],[Close Price]]/B1235-1,0)</f>
        <v>-2.7999252801249597E-3</v>
      </c>
    </row>
    <row r="1237" spans="1:3" x14ac:dyDescent="0.15">
      <c r="A1237" s="124">
        <v>42604</v>
      </c>
      <c r="B1237" s="126">
        <v>46.047473907470703</v>
      </c>
      <c r="C1237" s="125">
        <f>IFERROR(yf_data[[#This Row],[Close Price]]/B1236-1,0)</f>
        <v>2.3063459470760161E-3</v>
      </c>
    </row>
    <row r="1238" spans="1:3" x14ac:dyDescent="0.15">
      <c r="A1238" s="124">
        <v>42605</v>
      </c>
      <c r="B1238" s="126">
        <v>46.62335205078125</v>
      </c>
      <c r="C1238" s="125">
        <f>IFERROR(yf_data[[#This Row],[Close Price]]/B1237-1,0)</f>
        <v>1.2506183172343643E-2</v>
      </c>
    </row>
    <row r="1239" spans="1:3" x14ac:dyDescent="0.15">
      <c r="A1239" s="124">
        <v>42606</v>
      </c>
      <c r="B1239" s="126">
        <v>47.185413360595703</v>
      </c>
      <c r="C1239" s="125">
        <f>IFERROR(yf_data[[#This Row],[Close Price]]/B1238-1,0)</f>
        <v>1.205536035251753E-2</v>
      </c>
    </row>
    <row r="1240" spans="1:3" x14ac:dyDescent="0.15">
      <c r="A1240" s="124">
        <v>42607</v>
      </c>
      <c r="B1240" s="126">
        <v>46.577285766601562</v>
      </c>
      <c r="C1240" s="125">
        <f>IFERROR(yf_data[[#This Row],[Close Price]]/B1239-1,0)</f>
        <v>-1.2888042102053188E-2</v>
      </c>
    </row>
    <row r="1241" spans="1:3" x14ac:dyDescent="0.15">
      <c r="A1241" s="124">
        <v>42608</v>
      </c>
      <c r="B1241" s="126">
        <v>47.028778076171875</v>
      </c>
      <c r="C1241" s="125">
        <f>IFERROR(yf_data[[#This Row],[Close Price]]/B1240-1,0)</f>
        <v>9.6934010245408597E-3</v>
      </c>
    </row>
    <row r="1242" spans="1:3" x14ac:dyDescent="0.15">
      <c r="A1242" s="124">
        <v>42611</v>
      </c>
      <c r="B1242" s="126">
        <v>47.268341064453125</v>
      </c>
      <c r="C1242" s="125">
        <f>IFERROR(yf_data[[#This Row],[Close Price]]/B1241-1,0)</f>
        <v>5.0939658243560615E-3</v>
      </c>
    </row>
    <row r="1243" spans="1:3" x14ac:dyDescent="0.15">
      <c r="A1243" s="124">
        <v>42612</v>
      </c>
      <c r="B1243" s="126">
        <v>47.3973388671875</v>
      </c>
      <c r="C1243" s="125">
        <f>IFERROR(yf_data[[#This Row],[Close Price]]/B1242-1,0)</f>
        <v>2.7290528888770371E-3</v>
      </c>
    </row>
    <row r="1244" spans="1:3" x14ac:dyDescent="0.15">
      <c r="A1244" s="124">
        <v>42613</v>
      </c>
      <c r="B1244" s="126">
        <v>48.1805419921875</v>
      </c>
      <c r="C1244" s="125">
        <f>IFERROR(yf_data[[#This Row],[Close Price]]/B1243-1,0)</f>
        <v>1.652420038168434E-2</v>
      </c>
    </row>
    <row r="1245" spans="1:3" x14ac:dyDescent="0.15">
      <c r="A1245" s="124">
        <v>42614</v>
      </c>
      <c r="B1245" s="126">
        <v>47.775115966796875</v>
      </c>
      <c r="C1245" s="125">
        <f>IFERROR(yf_data[[#This Row],[Close Price]]/B1244-1,0)</f>
        <v>-8.4147252942144979E-3</v>
      </c>
    </row>
    <row r="1246" spans="1:3" x14ac:dyDescent="0.15">
      <c r="A1246" s="124">
        <v>42615</v>
      </c>
      <c r="B1246" s="126">
        <v>49.009803771972656</v>
      </c>
      <c r="C1246" s="125">
        <f>IFERROR(yf_data[[#This Row],[Close Price]]/B1245-1,0)</f>
        <v>2.5843742713965945E-2</v>
      </c>
    </row>
    <row r="1247" spans="1:3" x14ac:dyDescent="0.15">
      <c r="A1247" s="124">
        <v>42618</v>
      </c>
      <c r="B1247" s="126">
        <v>49.627155303955078</v>
      </c>
      <c r="C1247" s="125">
        <f>IFERROR(yf_data[[#This Row],[Close Price]]/B1246-1,0)</f>
        <v>1.2596490589000586E-2</v>
      </c>
    </row>
    <row r="1248" spans="1:3" x14ac:dyDescent="0.15">
      <c r="A1248" s="124">
        <v>42619</v>
      </c>
      <c r="B1248" s="126">
        <v>50.124713897705078</v>
      </c>
      <c r="C1248" s="125">
        <f>IFERROR(yf_data[[#This Row],[Close Price]]/B1247-1,0)</f>
        <v>1.0025934202808173E-2</v>
      </c>
    </row>
    <row r="1249" spans="1:3" x14ac:dyDescent="0.15">
      <c r="A1249" s="124">
        <v>42620</v>
      </c>
      <c r="B1249" s="126">
        <v>50.447212219238281</v>
      </c>
      <c r="C1249" s="125">
        <f>IFERROR(yf_data[[#This Row],[Close Price]]/B1248-1,0)</f>
        <v>6.4339184497164137E-3</v>
      </c>
    </row>
    <row r="1250" spans="1:3" x14ac:dyDescent="0.15">
      <c r="A1250" s="124">
        <v>42621</v>
      </c>
      <c r="B1250" s="126">
        <v>51.138271331787109</v>
      </c>
      <c r="C1250" s="125">
        <f>IFERROR(yf_data[[#This Row],[Close Price]]/B1249-1,0)</f>
        <v>1.3698658105140815E-2</v>
      </c>
    </row>
    <row r="1251" spans="1:3" x14ac:dyDescent="0.15">
      <c r="A1251" s="124">
        <v>42622</v>
      </c>
      <c r="B1251" s="126">
        <v>51.258049011230469</v>
      </c>
      <c r="C1251" s="125">
        <f>IFERROR(yf_data[[#This Row],[Close Price]]/B1250-1,0)</f>
        <v>2.3422316852721448E-3</v>
      </c>
    </row>
    <row r="1252" spans="1:3" x14ac:dyDescent="0.15">
      <c r="A1252" s="124">
        <v>42625</v>
      </c>
      <c r="B1252" s="126">
        <v>50.21685791015625</v>
      </c>
      <c r="C1252" s="125">
        <f>IFERROR(yf_data[[#This Row],[Close Price]]/B1251-1,0)</f>
        <v>-2.0312733729801136E-2</v>
      </c>
    </row>
    <row r="1253" spans="1:3" x14ac:dyDescent="0.15">
      <c r="A1253" s="124">
        <v>42626</v>
      </c>
      <c r="B1253" s="126">
        <v>49.590297698974609</v>
      </c>
      <c r="C1253" s="125">
        <f>IFERROR(yf_data[[#This Row],[Close Price]]/B1252-1,0)</f>
        <v>-1.2477089114229956E-2</v>
      </c>
    </row>
    <row r="1254" spans="1:3" x14ac:dyDescent="0.15">
      <c r="A1254" s="124">
        <v>42627</v>
      </c>
      <c r="B1254" s="126">
        <v>48.890026092529297</v>
      </c>
      <c r="C1254" s="125">
        <f>IFERROR(yf_data[[#This Row],[Close Price]]/B1253-1,0)</f>
        <v>-1.412114141149412E-2</v>
      </c>
    </row>
    <row r="1255" spans="1:3" x14ac:dyDescent="0.15">
      <c r="A1255" s="124">
        <v>42628</v>
      </c>
      <c r="B1255" s="126">
        <v>48.659671783447266</v>
      </c>
      <c r="C1255" s="125">
        <f>IFERROR(yf_data[[#This Row],[Close Price]]/B1254-1,0)</f>
        <v>-4.7116830873860094E-3</v>
      </c>
    </row>
    <row r="1256" spans="1:3" x14ac:dyDescent="0.15">
      <c r="A1256" s="124">
        <v>42629</v>
      </c>
      <c r="B1256" s="126">
        <v>48.447750091552734</v>
      </c>
      <c r="C1256" s="125">
        <f>IFERROR(yf_data[[#This Row],[Close Price]]/B1255-1,0)</f>
        <v>-4.3551812851853056E-3</v>
      </c>
    </row>
    <row r="1257" spans="1:3" x14ac:dyDescent="0.15">
      <c r="A1257" s="124">
        <v>42632</v>
      </c>
      <c r="B1257" s="126">
        <v>48.668888092041016</v>
      </c>
      <c r="C1257" s="125">
        <f>IFERROR(yf_data[[#This Row],[Close Price]]/B1256-1,0)</f>
        <v>4.5644637794406417E-3</v>
      </c>
    </row>
    <row r="1258" spans="1:3" x14ac:dyDescent="0.15">
      <c r="A1258" s="124">
        <v>42633</v>
      </c>
      <c r="B1258" s="126">
        <v>48.346397399902344</v>
      </c>
      <c r="C1258" s="125">
        <f>IFERROR(yf_data[[#This Row],[Close Price]]/B1257-1,0)</f>
        <v>-6.626218612777568E-3</v>
      </c>
    </row>
    <row r="1259" spans="1:3" x14ac:dyDescent="0.15">
      <c r="A1259" s="124">
        <v>42634</v>
      </c>
      <c r="B1259" s="126">
        <v>48.512248992919922</v>
      </c>
      <c r="C1259" s="125">
        <f>IFERROR(yf_data[[#This Row],[Close Price]]/B1258-1,0)</f>
        <v>3.4304850399859976E-3</v>
      </c>
    </row>
    <row r="1260" spans="1:3" x14ac:dyDescent="0.15">
      <c r="A1260" s="124">
        <v>42635</v>
      </c>
      <c r="B1260" s="126">
        <v>49.498157501220703</v>
      </c>
      <c r="C1260" s="125">
        <f>IFERROR(yf_data[[#This Row],[Close Price]]/B1259-1,0)</f>
        <v>2.0322877804421546E-2</v>
      </c>
    </row>
    <row r="1261" spans="1:3" x14ac:dyDescent="0.15">
      <c r="A1261" s="124">
        <v>42636</v>
      </c>
      <c r="B1261" s="126">
        <v>49.581081390380859</v>
      </c>
      <c r="C1261" s="125">
        <f>IFERROR(yf_data[[#This Row],[Close Price]]/B1260-1,0)</f>
        <v>1.6752924421097326E-3</v>
      </c>
    </row>
    <row r="1262" spans="1:3" x14ac:dyDescent="0.15">
      <c r="A1262" s="124">
        <v>42639</v>
      </c>
      <c r="B1262" s="126">
        <v>48.364822387695312</v>
      </c>
      <c r="C1262" s="125">
        <f>IFERROR(yf_data[[#This Row],[Close Price]]/B1261-1,0)</f>
        <v>-2.4530707450876821E-2</v>
      </c>
    </row>
    <row r="1263" spans="1:3" x14ac:dyDescent="0.15">
      <c r="A1263" s="124">
        <v>42640</v>
      </c>
      <c r="B1263" s="126">
        <v>48.042331695556641</v>
      </c>
      <c r="C1263" s="125">
        <f>IFERROR(yf_data[[#This Row],[Close Price]]/B1262-1,0)</f>
        <v>-6.6678771102179901E-3</v>
      </c>
    </row>
    <row r="1264" spans="1:3" x14ac:dyDescent="0.15">
      <c r="A1264" s="124">
        <v>42641</v>
      </c>
      <c r="B1264" s="126">
        <v>48.567531585693359</v>
      </c>
      <c r="C1264" s="125">
        <f>IFERROR(yf_data[[#This Row],[Close Price]]/B1263-1,0)</f>
        <v>1.093202331362475E-2</v>
      </c>
    </row>
    <row r="1265" spans="1:3" x14ac:dyDescent="0.15">
      <c r="A1265" s="124">
        <v>42642</v>
      </c>
      <c r="B1265" s="126">
        <v>49.111164093017578</v>
      </c>
      <c r="C1265" s="125">
        <f>IFERROR(yf_data[[#This Row],[Close Price]]/B1264-1,0)</f>
        <v>1.1193332038401449E-2</v>
      </c>
    </row>
    <row r="1266" spans="1:3" x14ac:dyDescent="0.15">
      <c r="A1266" s="124">
        <v>42643</v>
      </c>
      <c r="B1266" s="126">
        <v>49.608726501464851</v>
      </c>
      <c r="C1266" s="125">
        <f>IFERROR(yf_data[[#This Row],[Close Price]]/B1265-1,0)</f>
        <v>1.0131350328102195E-2</v>
      </c>
    </row>
    <row r="1267" spans="1:3" x14ac:dyDescent="0.15">
      <c r="A1267" s="124">
        <v>42646</v>
      </c>
      <c r="B1267" s="126">
        <v>49.516590118408203</v>
      </c>
      <c r="C1267" s="125">
        <f>IFERROR(yf_data[[#This Row],[Close Price]]/B1266-1,0)</f>
        <v>-1.8572616060589242E-3</v>
      </c>
    </row>
    <row r="1268" spans="1:3" x14ac:dyDescent="0.15">
      <c r="A1268" s="124">
        <v>42647</v>
      </c>
      <c r="B1268" s="126">
        <v>50.539348602294922</v>
      </c>
      <c r="C1268" s="125">
        <f>IFERROR(yf_data[[#This Row],[Close Price]]/B1267-1,0)</f>
        <v>2.0654864994560596E-2</v>
      </c>
    </row>
    <row r="1269" spans="1:3" x14ac:dyDescent="0.15">
      <c r="A1269" s="124">
        <v>42648</v>
      </c>
      <c r="B1269" s="126">
        <v>50.751274108886719</v>
      </c>
      <c r="C1269" s="125">
        <f>IFERROR(yf_data[[#This Row],[Close Price]]/B1268-1,0)</f>
        <v>4.1932773661070843E-3</v>
      </c>
    </row>
    <row r="1270" spans="1:3" x14ac:dyDescent="0.15">
      <c r="A1270" s="124">
        <v>42649</v>
      </c>
      <c r="B1270" s="126">
        <v>50.152355194091797</v>
      </c>
      <c r="C1270" s="125">
        <f>IFERROR(yf_data[[#This Row],[Close Price]]/B1269-1,0)</f>
        <v>-1.1801061654332923E-2</v>
      </c>
    </row>
    <row r="1271" spans="1:3" x14ac:dyDescent="0.15">
      <c r="A1271" s="124">
        <v>42650</v>
      </c>
      <c r="B1271" s="126">
        <v>49.599514007568359</v>
      </c>
      <c r="C1271" s="125">
        <f>IFERROR(yf_data[[#This Row],[Close Price]]/B1270-1,0)</f>
        <v>-1.1023234788952951E-2</v>
      </c>
    </row>
    <row r="1272" spans="1:3" x14ac:dyDescent="0.15">
      <c r="A1272" s="124">
        <v>42653</v>
      </c>
      <c r="B1272" s="126">
        <v>50.060218811035149</v>
      </c>
      <c r="C1272" s="125">
        <f>IFERROR(yf_data[[#This Row],[Close Price]]/B1271-1,0)</f>
        <v>9.2884943065467684E-3</v>
      </c>
    </row>
    <row r="1273" spans="1:3" x14ac:dyDescent="0.15">
      <c r="A1273" s="124">
        <v>42654</v>
      </c>
      <c r="B1273" s="126">
        <v>48.862380981445312</v>
      </c>
      <c r="C1273" s="125">
        <f>IFERROR(yf_data[[#This Row],[Close Price]]/B1272-1,0)</f>
        <v>-2.3927938351835376E-2</v>
      </c>
    </row>
    <row r="1274" spans="1:3" x14ac:dyDescent="0.15">
      <c r="A1274" s="124">
        <v>42655</v>
      </c>
      <c r="B1274" s="126">
        <v>48.355606079101562</v>
      </c>
      <c r="C1274" s="125">
        <f>IFERROR(yf_data[[#This Row],[Close Price]]/B1273-1,0)</f>
        <v>-1.0371473762938233E-2</v>
      </c>
    </row>
    <row r="1275" spans="1:3" x14ac:dyDescent="0.15">
      <c r="A1275" s="124">
        <v>42656</v>
      </c>
      <c r="B1275" s="126">
        <v>48.300323486328125</v>
      </c>
      <c r="C1275" s="125">
        <f>IFERROR(yf_data[[#This Row],[Close Price]]/B1274-1,0)</f>
        <v>-1.143250953839825E-3</v>
      </c>
    </row>
    <row r="1276" spans="1:3" x14ac:dyDescent="0.15">
      <c r="A1276" s="124">
        <v>42657</v>
      </c>
      <c r="B1276" s="126">
        <v>48.466175079345703</v>
      </c>
      <c r="C1276" s="125">
        <f>IFERROR(yf_data[[#This Row],[Close Price]]/B1275-1,0)</f>
        <v>3.4337573963563184E-3</v>
      </c>
    </row>
    <row r="1277" spans="1:3" x14ac:dyDescent="0.15">
      <c r="A1277" s="124">
        <v>42660</v>
      </c>
      <c r="B1277" s="126">
        <v>48.567531585693359</v>
      </c>
      <c r="C1277" s="125">
        <f>IFERROR(yf_data[[#This Row],[Close Price]]/B1276-1,0)</f>
        <v>2.0912833781854268E-3</v>
      </c>
    </row>
    <row r="1278" spans="1:3" x14ac:dyDescent="0.15">
      <c r="A1278" s="124">
        <v>42661</v>
      </c>
      <c r="B1278" s="126">
        <v>49.415225982666016</v>
      </c>
      <c r="C1278" s="125">
        <f>IFERROR(yf_data[[#This Row],[Close Price]]/B1277-1,0)</f>
        <v>1.7453932067289957E-2</v>
      </c>
    </row>
    <row r="1279" spans="1:3" x14ac:dyDescent="0.15">
      <c r="A1279" s="124">
        <v>42662</v>
      </c>
      <c r="B1279" s="126">
        <v>49.875934600830078</v>
      </c>
      <c r="C1279" s="125">
        <f>IFERROR(yf_data[[#This Row],[Close Price]]/B1278-1,0)</f>
        <v>9.3232118036994382E-3</v>
      </c>
    </row>
    <row r="1280" spans="1:3" x14ac:dyDescent="0.15">
      <c r="A1280" s="124">
        <v>42663</v>
      </c>
      <c r="B1280" s="126">
        <v>50.004932403564453</v>
      </c>
      <c r="C1280" s="125">
        <f>IFERROR(yf_data[[#This Row],[Close Price]]/B1279-1,0)</f>
        <v>2.5863736442590657E-3</v>
      </c>
    </row>
    <row r="1281" spans="1:3" x14ac:dyDescent="0.15">
      <c r="A1281" s="124">
        <v>42664</v>
      </c>
      <c r="B1281" s="126">
        <v>49.995716094970703</v>
      </c>
      <c r="C1281" s="125">
        <f>IFERROR(yf_data[[#This Row],[Close Price]]/B1280-1,0)</f>
        <v>-1.8430799024726774E-4</v>
      </c>
    </row>
    <row r="1282" spans="1:3" x14ac:dyDescent="0.15">
      <c r="A1282" s="124">
        <v>42667</v>
      </c>
      <c r="B1282" s="126">
        <v>50.520923614501953</v>
      </c>
      <c r="C1282" s="125">
        <f>IFERROR(yf_data[[#This Row],[Close Price]]/B1281-1,0)</f>
        <v>1.0505050443393449E-2</v>
      </c>
    </row>
    <row r="1283" spans="1:3" x14ac:dyDescent="0.15">
      <c r="A1283" s="124">
        <v>42668</v>
      </c>
      <c r="B1283" s="126">
        <v>49.194087982177734</v>
      </c>
      <c r="C1283" s="125">
        <f>IFERROR(yf_data[[#This Row],[Close Price]]/B1282-1,0)</f>
        <v>-2.626309135693139E-2</v>
      </c>
    </row>
    <row r="1284" spans="1:3" x14ac:dyDescent="0.15">
      <c r="A1284" s="124">
        <v>42669</v>
      </c>
      <c r="B1284" s="126">
        <v>51.046123504638672</v>
      </c>
      <c r="C1284" s="125">
        <f>IFERROR(yf_data[[#This Row],[Close Price]]/B1283-1,0)</f>
        <v>3.7647522261859967E-2</v>
      </c>
    </row>
    <row r="1285" spans="1:3" x14ac:dyDescent="0.15">
      <c r="A1285" s="124">
        <v>42670</v>
      </c>
      <c r="B1285" s="126">
        <v>51.092201232910163</v>
      </c>
      <c r="C1285" s="125">
        <f>IFERROR(yf_data[[#This Row],[Close Price]]/B1284-1,0)</f>
        <v>9.0266851051490349E-4</v>
      </c>
    </row>
    <row r="1286" spans="1:3" x14ac:dyDescent="0.15">
      <c r="A1286" s="124">
        <v>42671</v>
      </c>
      <c r="B1286" s="126">
        <v>50.677558898925781</v>
      </c>
      <c r="C1286" s="125">
        <f>IFERROR(yf_data[[#This Row],[Close Price]]/B1285-1,0)</f>
        <v>-8.1155699691658478E-3</v>
      </c>
    </row>
    <row r="1287" spans="1:3" x14ac:dyDescent="0.15">
      <c r="A1287" s="124">
        <v>42674</v>
      </c>
      <c r="B1287" s="126">
        <v>49.894367218017578</v>
      </c>
      <c r="C1287" s="125">
        <f>IFERROR(yf_data[[#This Row],[Close Price]]/B1286-1,0)</f>
        <v>-1.545440818233268E-2</v>
      </c>
    </row>
    <row r="1288" spans="1:3" x14ac:dyDescent="0.15">
      <c r="A1288" s="124">
        <v>42675</v>
      </c>
      <c r="B1288" s="126">
        <v>49.129592895507812</v>
      </c>
      <c r="C1288" s="125">
        <f>IFERROR(yf_data[[#This Row],[Close Price]]/B1287-1,0)</f>
        <v>-1.5327868958995294E-2</v>
      </c>
    </row>
    <row r="1289" spans="1:3" x14ac:dyDescent="0.15">
      <c r="A1289" s="124">
        <v>42676</v>
      </c>
      <c r="B1289" s="126">
        <v>48.456962585449219</v>
      </c>
      <c r="C1289" s="125">
        <f>IFERROR(yf_data[[#This Row],[Close Price]]/B1288-1,0)</f>
        <v>-1.3690940030567478E-2</v>
      </c>
    </row>
    <row r="1290" spans="1:3" x14ac:dyDescent="0.15">
      <c r="A1290" s="124">
        <v>42677</v>
      </c>
      <c r="B1290" s="126">
        <v>47.987045288085938</v>
      </c>
      <c r="C1290" s="125">
        <f>IFERROR(yf_data[[#This Row],[Close Price]]/B1289-1,0)</f>
        <v>-9.6976218130598868E-3</v>
      </c>
    </row>
    <row r="1291" spans="1:3" x14ac:dyDescent="0.15">
      <c r="A1291" s="124">
        <v>42678</v>
      </c>
      <c r="B1291" s="126">
        <v>47.839614868164062</v>
      </c>
      <c r="C1291" s="125">
        <f>IFERROR(yf_data[[#This Row],[Close Price]]/B1290-1,0)</f>
        <v>-3.0722962632266926E-3</v>
      </c>
    </row>
    <row r="1292" spans="1:3" x14ac:dyDescent="0.15">
      <c r="A1292" s="124">
        <v>42681</v>
      </c>
      <c r="B1292" s="126">
        <v>48.972957611083984</v>
      </c>
      <c r="C1292" s="125">
        <f>IFERROR(yf_data[[#This Row],[Close Price]]/B1291-1,0)</f>
        <v>2.3690465444656583E-2</v>
      </c>
    </row>
    <row r="1293" spans="1:3" x14ac:dyDescent="0.15">
      <c r="A1293" s="124">
        <v>42682</v>
      </c>
      <c r="B1293" s="126">
        <v>48.668888092041016</v>
      </c>
      <c r="C1293" s="125">
        <f>IFERROR(yf_data[[#This Row],[Close Price]]/B1292-1,0)</f>
        <v>-6.2089270053428125E-3</v>
      </c>
    </row>
    <row r="1294" spans="1:3" x14ac:dyDescent="0.15">
      <c r="A1294" s="124">
        <v>42683</v>
      </c>
      <c r="B1294" s="126">
        <v>49.995716094970703</v>
      </c>
      <c r="C1294" s="125">
        <f>IFERROR(yf_data[[#This Row],[Close Price]]/B1293-1,0)</f>
        <v>2.7262344691755258E-2</v>
      </c>
    </row>
    <row r="1295" spans="1:3" x14ac:dyDescent="0.15">
      <c r="A1295" s="124">
        <v>42684</v>
      </c>
      <c r="B1295" s="126">
        <v>51.000053405761719</v>
      </c>
      <c r="C1295" s="125">
        <f>IFERROR(yf_data[[#This Row],[Close Price]]/B1294-1,0)</f>
        <v>2.0088467357547213E-2</v>
      </c>
    </row>
    <row r="1296" spans="1:3" x14ac:dyDescent="0.15">
      <c r="A1296" s="124">
        <v>42685</v>
      </c>
      <c r="B1296" s="126">
        <v>50.4564208984375</v>
      </c>
      <c r="C1296" s="125">
        <f>IFERROR(yf_data[[#This Row],[Close Price]]/B1295-1,0)</f>
        <v>-1.0659449765650697E-2</v>
      </c>
    </row>
    <row r="1297" spans="1:3" x14ac:dyDescent="0.15">
      <c r="A1297" s="124">
        <v>42688</v>
      </c>
      <c r="B1297" s="126">
        <v>51.939895629882812</v>
      </c>
      <c r="C1297" s="125">
        <f>IFERROR(yf_data[[#This Row],[Close Price]]/B1296-1,0)</f>
        <v>2.9401109017053839E-2</v>
      </c>
    </row>
    <row r="1298" spans="1:3" x14ac:dyDescent="0.15">
      <c r="A1298" s="124">
        <v>42689</v>
      </c>
      <c r="B1298" s="126">
        <v>52.032035827636719</v>
      </c>
      <c r="C1298" s="125">
        <f>IFERROR(yf_data[[#This Row],[Close Price]]/B1297-1,0)</f>
        <v>1.7739773373917078E-3</v>
      </c>
    </row>
    <row r="1299" spans="1:3" x14ac:dyDescent="0.15">
      <c r="A1299" s="124">
        <v>42690</v>
      </c>
      <c r="B1299" s="126">
        <v>50.511707305908203</v>
      </c>
      <c r="C1299" s="125">
        <f>IFERROR(yf_data[[#This Row],[Close Price]]/B1298-1,0)</f>
        <v>-2.9219085848664728E-2</v>
      </c>
    </row>
    <row r="1300" spans="1:3" x14ac:dyDescent="0.15">
      <c r="A1300" s="124">
        <v>42691</v>
      </c>
      <c r="B1300" s="126">
        <v>51.165908813476562</v>
      </c>
      <c r="C1300" s="125">
        <f>IFERROR(yf_data[[#This Row],[Close Price]]/B1299-1,0)</f>
        <v>1.2951482784107737E-2</v>
      </c>
    </row>
    <row r="1301" spans="1:3" x14ac:dyDescent="0.15">
      <c r="A1301" s="124">
        <v>42692</v>
      </c>
      <c r="B1301" s="126">
        <v>50.898704528808594</v>
      </c>
      <c r="C1301" s="125">
        <f>IFERROR(yf_data[[#This Row],[Close Price]]/B1300-1,0)</f>
        <v>-5.2223109266377188E-3</v>
      </c>
    </row>
    <row r="1302" spans="1:3" x14ac:dyDescent="0.15">
      <c r="A1302" s="124">
        <v>42695</v>
      </c>
      <c r="B1302" s="126">
        <v>53.146942138671875</v>
      </c>
      <c r="C1302" s="125">
        <f>IFERROR(yf_data[[#This Row],[Close Price]]/B1301-1,0)</f>
        <v>4.4170821844606634E-2</v>
      </c>
    </row>
    <row r="1303" spans="1:3" x14ac:dyDescent="0.15">
      <c r="A1303" s="124">
        <v>42696</v>
      </c>
      <c r="B1303" s="126">
        <v>53.810356140136719</v>
      </c>
      <c r="C1303" s="125">
        <f>IFERROR(yf_data[[#This Row],[Close Price]]/B1302-1,0)</f>
        <v>1.2482637283888431E-2</v>
      </c>
    </row>
    <row r="1304" spans="1:3" x14ac:dyDescent="0.15">
      <c r="A1304" s="124">
        <v>42697</v>
      </c>
      <c r="B1304" s="126">
        <v>55.081901550292969</v>
      </c>
      <c r="C1304" s="125">
        <f>IFERROR(yf_data[[#This Row],[Close Price]]/B1303-1,0)</f>
        <v>2.3630124410342068E-2</v>
      </c>
    </row>
    <row r="1305" spans="1:3" x14ac:dyDescent="0.15">
      <c r="A1305" s="124">
        <v>42698</v>
      </c>
      <c r="B1305" s="126">
        <v>55.321468353271491</v>
      </c>
      <c r="C1305" s="125">
        <f>IFERROR(yf_data[[#This Row],[Close Price]]/B1304-1,0)</f>
        <v>4.3492834531100311E-3</v>
      </c>
    </row>
    <row r="1306" spans="1:3" x14ac:dyDescent="0.15">
      <c r="A1306" s="124">
        <v>42699</v>
      </c>
      <c r="B1306" s="126">
        <v>55.570247650146477</v>
      </c>
      <c r="C1306" s="125">
        <f>IFERROR(yf_data[[#This Row],[Close Price]]/B1305-1,0)</f>
        <v>4.496975663883962E-3</v>
      </c>
    </row>
    <row r="1307" spans="1:3" x14ac:dyDescent="0.15">
      <c r="A1307" s="124">
        <v>42702</v>
      </c>
      <c r="B1307" s="126">
        <v>55.330680847167969</v>
      </c>
      <c r="C1307" s="125">
        <f>IFERROR(yf_data[[#This Row],[Close Price]]/B1306-1,0)</f>
        <v>-4.3110623599654785E-3</v>
      </c>
    </row>
    <row r="1308" spans="1:3" x14ac:dyDescent="0.15">
      <c r="A1308" s="124">
        <v>42703</v>
      </c>
      <c r="B1308" s="126">
        <v>55.680816650390625</v>
      </c>
      <c r="C1308" s="125">
        <f>IFERROR(yf_data[[#This Row],[Close Price]]/B1307-1,0)</f>
        <v>6.3280588249001735E-3</v>
      </c>
    </row>
    <row r="1309" spans="1:3" x14ac:dyDescent="0.15">
      <c r="A1309" s="124">
        <v>42704</v>
      </c>
      <c r="B1309" s="126">
        <v>55.533397674560547</v>
      </c>
      <c r="C1309" s="125">
        <f>IFERROR(yf_data[[#This Row],[Close Price]]/B1308-1,0)</f>
        <v>-2.6475720849371553E-3</v>
      </c>
    </row>
    <row r="1310" spans="1:3" x14ac:dyDescent="0.15">
      <c r="A1310" s="124">
        <v>42705</v>
      </c>
      <c r="B1310" s="126">
        <v>55.330680847167969</v>
      </c>
      <c r="C1310" s="125">
        <f>IFERROR(yf_data[[#This Row],[Close Price]]/B1309-1,0)</f>
        <v>-3.6503588089558114E-3</v>
      </c>
    </row>
    <row r="1311" spans="1:3" x14ac:dyDescent="0.15">
      <c r="A1311" s="124">
        <v>42706</v>
      </c>
      <c r="B1311" s="126">
        <v>54.353984832763672</v>
      </c>
      <c r="C1311" s="125">
        <f>IFERROR(yf_data[[#This Row],[Close Price]]/B1310-1,0)</f>
        <v>-1.7651978964475123E-2</v>
      </c>
    </row>
    <row r="1312" spans="1:3" x14ac:dyDescent="0.15">
      <c r="A1312" s="124">
        <v>42709</v>
      </c>
      <c r="B1312" s="126">
        <v>55.174045562744141</v>
      </c>
      <c r="C1312" s="125">
        <f>IFERROR(yf_data[[#This Row],[Close Price]]/B1311-1,0)</f>
        <v>1.5087407712675249E-2</v>
      </c>
    </row>
    <row r="1313" spans="1:3" x14ac:dyDescent="0.15">
      <c r="A1313" s="124">
        <v>42710</v>
      </c>
      <c r="B1313" s="126">
        <v>54.731765747070312</v>
      </c>
      <c r="C1313" s="125">
        <f>IFERROR(yf_data[[#This Row],[Close Price]]/B1312-1,0)</f>
        <v>-8.0160845767756062E-3</v>
      </c>
    </row>
    <row r="1314" spans="1:3" x14ac:dyDescent="0.15">
      <c r="A1314" s="124">
        <v>42711</v>
      </c>
      <c r="B1314" s="126">
        <v>53.976211547851562</v>
      </c>
      <c r="C1314" s="125">
        <f>IFERROR(yf_data[[#This Row],[Close Price]]/B1313-1,0)</f>
        <v>-1.3804674285685659E-2</v>
      </c>
    </row>
    <row r="1315" spans="1:3" x14ac:dyDescent="0.15">
      <c r="A1315" s="124">
        <v>42712</v>
      </c>
      <c r="B1315" s="126">
        <v>54.658054351806641</v>
      </c>
      <c r="C1315" s="125">
        <f>IFERROR(yf_data[[#This Row],[Close Price]]/B1314-1,0)</f>
        <v>1.2632283452324256E-2</v>
      </c>
    </row>
    <row r="1316" spans="1:3" x14ac:dyDescent="0.15">
      <c r="A1316" s="124">
        <v>42713</v>
      </c>
      <c r="B1316" s="126">
        <v>54.897617340087891</v>
      </c>
      <c r="C1316" s="125">
        <f>IFERROR(yf_data[[#This Row],[Close Price]]/B1315-1,0)</f>
        <v>4.3829402843229559E-3</v>
      </c>
    </row>
    <row r="1317" spans="1:3" x14ac:dyDescent="0.15">
      <c r="A1317" s="124">
        <v>42716</v>
      </c>
      <c r="B1317" s="126">
        <v>55.699245452880859</v>
      </c>
      <c r="C1317" s="125">
        <f>IFERROR(yf_data[[#This Row],[Close Price]]/B1316-1,0)</f>
        <v>1.4602238706042936E-2</v>
      </c>
    </row>
    <row r="1318" spans="1:3" x14ac:dyDescent="0.15">
      <c r="A1318" s="124">
        <v>42717</v>
      </c>
      <c r="B1318" s="126">
        <v>57.910629272460938</v>
      </c>
      <c r="C1318" s="125">
        <f>IFERROR(yf_data[[#This Row],[Close Price]]/B1317-1,0)</f>
        <v>3.9702222204263338E-2</v>
      </c>
    </row>
    <row r="1319" spans="1:3" x14ac:dyDescent="0.15">
      <c r="A1319" s="124">
        <v>42718</v>
      </c>
      <c r="B1319" s="126">
        <v>57.495994567871094</v>
      </c>
      <c r="C1319" s="125">
        <f>IFERROR(yf_data[[#This Row],[Close Price]]/B1318-1,0)</f>
        <v>-7.1599067355847534E-3</v>
      </c>
    </row>
    <row r="1320" spans="1:3" x14ac:dyDescent="0.15">
      <c r="A1320" s="124">
        <v>42719</v>
      </c>
      <c r="B1320" s="126">
        <v>59.062397003173828</v>
      </c>
      <c r="C1320" s="125">
        <f>IFERROR(yf_data[[#This Row],[Close Price]]/B1319-1,0)</f>
        <v>2.7243679269756349E-2</v>
      </c>
    </row>
    <row r="1321" spans="1:3" x14ac:dyDescent="0.15">
      <c r="A1321" s="124">
        <v>42720</v>
      </c>
      <c r="B1321" s="126">
        <v>59.1361083984375</v>
      </c>
      <c r="C1321" s="125">
        <f>IFERROR(yf_data[[#This Row],[Close Price]]/B1320-1,0)</f>
        <v>1.2480257998961353E-3</v>
      </c>
    </row>
    <row r="1322" spans="1:3" x14ac:dyDescent="0.15">
      <c r="A1322" s="124">
        <v>42723</v>
      </c>
      <c r="B1322" s="126">
        <v>58.279193878173828</v>
      </c>
      <c r="C1322" s="125">
        <f>IFERROR(yf_data[[#This Row],[Close Price]]/B1321-1,0)</f>
        <v>-1.4490546359427259E-2</v>
      </c>
    </row>
    <row r="1323" spans="1:3" x14ac:dyDescent="0.15">
      <c r="A1323" s="124">
        <v>42724</v>
      </c>
      <c r="B1323" s="126">
        <v>58.822830200195312</v>
      </c>
      <c r="C1323" s="125">
        <f>IFERROR(yf_data[[#This Row],[Close Price]]/B1322-1,0)</f>
        <v>9.3281372964406639E-3</v>
      </c>
    </row>
    <row r="1324" spans="1:3" x14ac:dyDescent="0.15">
      <c r="A1324" s="124">
        <v>42725</v>
      </c>
      <c r="B1324" s="126">
        <v>58.048843383789062</v>
      </c>
      <c r="C1324" s="125">
        <f>IFERROR(yf_data[[#This Row],[Close Price]]/B1323-1,0)</f>
        <v>-1.3157932281940399E-2</v>
      </c>
    </row>
    <row r="1325" spans="1:3" x14ac:dyDescent="0.15">
      <c r="A1325" s="124">
        <v>42726</v>
      </c>
      <c r="B1325" s="126">
        <v>57.790851593017578</v>
      </c>
      <c r="C1325" s="125">
        <f>IFERROR(yf_data[[#This Row],[Close Price]]/B1324-1,0)</f>
        <v>-4.4443915801349876E-3</v>
      </c>
    </row>
    <row r="1326" spans="1:3" x14ac:dyDescent="0.15">
      <c r="A1326" s="124">
        <v>42727</v>
      </c>
      <c r="B1326" s="126">
        <v>57.956707000732422</v>
      </c>
      <c r="C1326" s="125">
        <f>IFERROR(yf_data[[#This Row],[Close Price]]/B1325-1,0)</f>
        <v>2.8699249646439995E-3</v>
      </c>
    </row>
    <row r="1327" spans="1:3" x14ac:dyDescent="0.15">
      <c r="A1327" s="124">
        <v>42731</v>
      </c>
      <c r="B1327" s="126">
        <v>57.975128173828125</v>
      </c>
      <c r="C1327" s="125">
        <f>IFERROR(yf_data[[#This Row],[Close Price]]/B1326-1,0)</f>
        <v>3.1784368106824168E-4</v>
      </c>
    </row>
    <row r="1328" spans="1:3" x14ac:dyDescent="0.15">
      <c r="A1328" s="124">
        <v>42732</v>
      </c>
      <c r="B1328" s="126">
        <v>57.790851593017578</v>
      </c>
      <c r="C1328" s="125">
        <f>IFERROR(yf_data[[#This Row],[Close Price]]/B1327-1,0)</f>
        <v>-3.1785454662217605E-3</v>
      </c>
    </row>
    <row r="1329" spans="1:3" x14ac:dyDescent="0.15">
      <c r="A1329" s="124">
        <v>42733</v>
      </c>
      <c r="B1329" s="126">
        <v>57.459144592285149</v>
      </c>
      <c r="C1329" s="125">
        <f>IFERROR(yf_data[[#This Row],[Close Price]]/B1328-1,0)</f>
        <v>-5.7397839206181356E-3</v>
      </c>
    </row>
    <row r="1330" spans="1:3" x14ac:dyDescent="0.15">
      <c r="A1330" s="124">
        <v>42734</v>
      </c>
      <c r="B1330" s="126">
        <v>57.901416778564453</v>
      </c>
      <c r="C1330" s="125">
        <f>IFERROR(yf_data[[#This Row],[Close Price]]/B1329-1,0)</f>
        <v>7.6971592497163677E-3</v>
      </c>
    </row>
    <row r="1331" spans="1:3" x14ac:dyDescent="0.15">
      <c r="A1331" s="124">
        <v>42737</v>
      </c>
      <c r="B1331" s="126">
        <v>57.882987976074219</v>
      </c>
      <c r="C1331" s="125">
        <f>IFERROR(yf_data[[#This Row],[Close Price]]/B1330-1,0)</f>
        <v>-3.1827895612146495E-4</v>
      </c>
    </row>
    <row r="1332" spans="1:3" x14ac:dyDescent="0.15">
      <c r="A1332" s="124">
        <v>42738</v>
      </c>
      <c r="B1332" s="126">
        <v>58.509552001953125</v>
      </c>
      <c r="C1332" s="125">
        <f>IFERROR(yf_data[[#This Row],[Close Price]]/B1331-1,0)</f>
        <v>1.0824666241105119E-2</v>
      </c>
    </row>
    <row r="1333" spans="1:3" x14ac:dyDescent="0.15">
      <c r="A1333" s="124">
        <v>42739</v>
      </c>
      <c r="B1333" s="126">
        <v>58.417407989501953</v>
      </c>
      <c r="C1333" s="125">
        <f>IFERROR(yf_data[[#This Row],[Close Price]]/B1332-1,0)</f>
        <v>-1.5748541784783576E-3</v>
      </c>
    </row>
    <row r="1334" spans="1:3" x14ac:dyDescent="0.15">
      <c r="A1334" s="124">
        <v>42740</v>
      </c>
      <c r="B1334" s="126">
        <v>59.523097991943359</v>
      </c>
      <c r="C1334" s="125">
        <f>IFERROR(yf_data[[#This Row],[Close Price]]/B1333-1,0)</f>
        <v>1.8927406067727359E-2</v>
      </c>
    </row>
    <row r="1335" spans="1:3" x14ac:dyDescent="0.15">
      <c r="A1335" s="124">
        <v>42741</v>
      </c>
      <c r="B1335" s="126">
        <v>60.020664215087891</v>
      </c>
      <c r="C1335" s="125">
        <f>IFERROR(yf_data[[#This Row],[Close Price]]/B1334-1,0)</f>
        <v>8.3592124726417083E-3</v>
      </c>
    </row>
    <row r="1336" spans="1:3" x14ac:dyDescent="0.15">
      <c r="A1336" s="124">
        <v>42744</v>
      </c>
      <c r="B1336" s="126">
        <v>60.149662017822266</v>
      </c>
      <c r="C1336" s="125">
        <f>IFERROR(yf_data[[#This Row],[Close Price]]/B1335-1,0)</f>
        <v>2.1492231787390015E-3</v>
      </c>
    </row>
    <row r="1337" spans="1:3" x14ac:dyDescent="0.15">
      <c r="A1337" s="124">
        <v>42745</v>
      </c>
      <c r="B1337" s="126">
        <v>60.075939178466797</v>
      </c>
      <c r="C1337" s="125">
        <f>IFERROR(yf_data[[#This Row],[Close Price]]/B1336-1,0)</f>
        <v>-1.2256567515479544E-3</v>
      </c>
    </row>
    <row r="1338" spans="1:3" x14ac:dyDescent="0.15">
      <c r="A1338" s="124">
        <v>42746</v>
      </c>
      <c r="B1338" s="126">
        <v>60.315509796142578</v>
      </c>
      <c r="C1338" s="125">
        <f>IFERROR(yf_data[[#This Row],[Close Price]]/B1337-1,0)</f>
        <v>3.9877964614767336E-3</v>
      </c>
    </row>
    <row r="1339" spans="1:3" x14ac:dyDescent="0.15">
      <c r="A1339" s="124">
        <v>42747</v>
      </c>
      <c r="B1339" s="126">
        <v>59.606033325195312</v>
      </c>
      <c r="C1339" s="125">
        <f>IFERROR(yf_data[[#This Row],[Close Price]]/B1338-1,0)</f>
        <v>-1.1762753450069274E-2</v>
      </c>
    </row>
    <row r="1340" spans="1:3" x14ac:dyDescent="0.15">
      <c r="A1340" s="124">
        <v>42748</v>
      </c>
      <c r="B1340" s="126">
        <v>60.481369018554688</v>
      </c>
      <c r="C1340" s="125">
        <f>IFERROR(yf_data[[#This Row],[Close Price]]/B1339-1,0)</f>
        <v>1.4685353889995811E-2</v>
      </c>
    </row>
    <row r="1341" spans="1:3" x14ac:dyDescent="0.15">
      <c r="A1341" s="124">
        <v>42751</v>
      </c>
      <c r="B1341" s="126">
        <v>60.057518005371094</v>
      </c>
      <c r="C1341" s="125">
        <f>IFERROR(yf_data[[#This Row],[Close Price]]/B1340-1,0)</f>
        <v>-7.007959972823441E-3</v>
      </c>
    </row>
    <row r="1342" spans="1:3" x14ac:dyDescent="0.15">
      <c r="A1342" s="124">
        <v>42752</v>
      </c>
      <c r="B1342" s="126">
        <v>60.214157104492188</v>
      </c>
      <c r="C1342" s="125">
        <f>IFERROR(yf_data[[#This Row],[Close Price]]/B1341-1,0)</f>
        <v>2.6081513909230747E-3</v>
      </c>
    </row>
    <row r="1343" spans="1:3" x14ac:dyDescent="0.15">
      <c r="A1343" s="124">
        <v>42753</v>
      </c>
      <c r="B1343" s="126">
        <v>59.744232177734375</v>
      </c>
      <c r="C1343" s="125">
        <f>IFERROR(yf_data[[#This Row],[Close Price]]/B1342-1,0)</f>
        <v>-7.804226603094877E-3</v>
      </c>
    </row>
    <row r="1344" spans="1:3" x14ac:dyDescent="0.15">
      <c r="A1344" s="124">
        <v>42754</v>
      </c>
      <c r="B1344" s="126">
        <v>60.333946228027344</v>
      </c>
      <c r="C1344" s="125">
        <f>IFERROR(yf_data[[#This Row],[Close Price]]/B1343-1,0)</f>
        <v>9.87064405713034E-3</v>
      </c>
    </row>
    <row r="1345" spans="1:3" x14ac:dyDescent="0.15">
      <c r="A1345" s="124">
        <v>42755</v>
      </c>
      <c r="B1345" s="126">
        <v>60.204940795898438</v>
      </c>
      <c r="C1345" s="125">
        <f>IFERROR(yf_data[[#This Row],[Close Price]]/B1344-1,0)</f>
        <v>-2.138189861497497E-3</v>
      </c>
    </row>
    <row r="1346" spans="1:3" x14ac:dyDescent="0.15">
      <c r="A1346" s="124">
        <v>42758</v>
      </c>
      <c r="B1346" s="126">
        <v>60.306293487548828</v>
      </c>
      <c r="C1346" s="125">
        <f>IFERROR(yf_data[[#This Row],[Close Price]]/B1345-1,0)</f>
        <v>1.6834613623155636E-3</v>
      </c>
    </row>
    <row r="1347" spans="1:3" x14ac:dyDescent="0.15">
      <c r="A1347" s="124">
        <v>42759</v>
      </c>
      <c r="B1347" s="126">
        <v>60.407649993896477</v>
      </c>
      <c r="C1347" s="125">
        <f>IFERROR(yf_data[[#This Row],[Close Price]]/B1346-1,0)</f>
        <v>1.6806953385151147E-3</v>
      </c>
    </row>
    <row r="1348" spans="1:3" x14ac:dyDescent="0.15">
      <c r="A1348" s="124">
        <v>42760</v>
      </c>
      <c r="B1348" s="126">
        <v>60.251010894775391</v>
      </c>
      <c r="C1348" s="125">
        <f>IFERROR(yf_data[[#This Row],[Close Price]]/B1347-1,0)</f>
        <v>-2.5930341461207762E-3</v>
      </c>
    </row>
    <row r="1349" spans="1:3" x14ac:dyDescent="0.15">
      <c r="A1349" s="124">
        <v>42761</v>
      </c>
      <c r="B1349" s="126">
        <v>59.808742523193359</v>
      </c>
      <c r="C1349" s="125">
        <f>IFERROR(yf_data[[#This Row],[Close Price]]/B1348-1,0)</f>
        <v>-7.3404307249620437E-3</v>
      </c>
    </row>
    <row r="1350" spans="1:3" x14ac:dyDescent="0.15">
      <c r="A1350" s="124">
        <v>42762</v>
      </c>
      <c r="B1350" s="126">
        <v>59.587596893310547</v>
      </c>
      <c r="C1350" s="125">
        <f>IFERROR(yf_data[[#This Row],[Close Price]]/B1349-1,0)</f>
        <v>-3.697546889521286E-3</v>
      </c>
    </row>
    <row r="1351" spans="1:3" x14ac:dyDescent="0.15">
      <c r="A1351" s="124">
        <v>42765</v>
      </c>
      <c r="B1351" s="126">
        <v>58.316055297851562</v>
      </c>
      <c r="C1351" s="125">
        <f>IFERROR(yf_data[[#This Row],[Close Price]]/B1350-1,0)</f>
        <v>-2.1339031304377531E-2</v>
      </c>
    </row>
    <row r="1352" spans="1:3" x14ac:dyDescent="0.15">
      <c r="A1352" s="124">
        <v>42766</v>
      </c>
      <c r="B1352" s="126">
        <v>57.827705383300781</v>
      </c>
      <c r="C1352" s="125">
        <f>IFERROR(yf_data[[#This Row],[Close Price]]/B1351-1,0)</f>
        <v>-8.3741932141416786E-3</v>
      </c>
    </row>
    <row r="1353" spans="1:3" x14ac:dyDescent="0.15">
      <c r="A1353" s="124">
        <v>42767</v>
      </c>
      <c r="B1353" s="126">
        <v>58.140983581542969</v>
      </c>
      <c r="C1353" s="125">
        <f>IFERROR(yf_data[[#This Row],[Close Price]]/B1352-1,0)</f>
        <v>5.4174412794987248E-3</v>
      </c>
    </row>
    <row r="1354" spans="1:3" x14ac:dyDescent="0.15">
      <c r="A1354" s="124">
        <v>42768</v>
      </c>
      <c r="B1354" s="126">
        <v>57.901416778564453</v>
      </c>
      <c r="C1354" s="125">
        <f>IFERROR(yf_data[[#This Row],[Close Price]]/B1353-1,0)</f>
        <v>-4.1204463395863034E-3</v>
      </c>
    </row>
    <row r="1355" spans="1:3" x14ac:dyDescent="0.15">
      <c r="A1355" s="124">
        <v>42769</v>
      </c>
      <c r="B1355" s="126">
        <v>58.104129791259766</v>
      </c>
      <c r="C1355" s="125">
        <f>IFERROR(yf_data[[#This Row],[Close Price]]/B1354-1,0)</f>
        <v>3.5010026347119805E-3</v>
      </c>
    </row>
    <row r="1356" spans="1:3" x14ac:dyDescent="0.15">
      <c r="A1356" s="124">
        <v>42772</v>
      </c>
      <c r="B1356" s="126">
        <v>58.150199890136719</v>
      </c>
      <c r="C1356" s="125">
        <f>IFERROR(yf_data[[#This Row],[Close Price]]/B1355-1,0)</f>
        <v>7.9288854410974885E-4</v>
      </c>
    </row>
    <row r="1357" spans="1:3" x14ac:dyDescent="0.15">
      <c r="A1357" s="124">
        <v>42773</v>
      </c>
      <c r="B1357" s="126">
        <v>57.938278198242188</v>
      </c>
      <c r="C1357" s="125">
        <f>IFERROR(yf_data[[#This Row],[Close Price]]/B1356-1,0)</f>
        <v>-3.6443845815649079E-3</v>
      </c>
    </row>
    <row r="1358" spans="1:3" x14ac:dyDescent="0.15">
      <c r="A1358" s="124">
        <v>42774</v>
      </c>
      <c r="B1358" s="126">
        <v>57.836917877197266</v>
      </c>
      <c r="C1358" s="125">
        <f>IFERROR(yf_data[[#This Row],[Close Price]]/B1357-1,0)</f>
        <v>-1.7494534562816355E-3</v>
      </c>
    </row>
    <row r="1359" spans="1:3" x14ac:dyDescent="0.15">
      <c r="A1359" s="124">
        <v>42775</v>
      </c>
      <c r="B1359" s="126">
        <v>58.970252990722656</v>
      </c>
      <c r="C1359" s="125">
        <f>IFERROR(yf_data[[#This Row],[Close Price]]/B1358-1,0)</f>
        <v>1.9595358036397448E-2</v>
      </c>
    </row>
    <row r="1360" spans="1:3" x14ac:dyDescent="0.15">
      <c r="A1360" s="124">
        <v>42776</v>
      </c>
      <c r="B1360" s="126">
        <v>59.329601287841797</v>
      </c>
      <c r="C1360" s="125">
        <f>IFERROR(yf_data[[#This Row],[Close Price]]/B1359-1,0)</f>
        <v>6.0937214764140712E-3</v>
      </c>
    </row>
    <row r="1361" spans="1:3" x14ac:dyDescent="0.15">
      <c r="A1361" s="124">
        <v>42779</v>
      </c>
      <c r="B1361" s="126">
        <v>60.674861907958984</v>
      </c>
      <c r="C1361" s="125">
        <f>IFERROR(yf_data[[#This Row],[Close Price]]/B1360-1,0)</f>
        <v>2.2674358008754503E-2</v>
      </c>
    </row>
    <row r="1362" spans="1:3" x14ac:dyDescent="0.15">
      <c r="A1362" s="124">
        <v>42780</v>
      </c>
      <c r="B1362" s="126">
        <v>61.006568908691406</v>
      </c>
      <c r="C1362" s="125">
        <f>IFERROR(yf_data[[#This Row],[Close Price]]/B1361-1,0)</f>
        <v>5.4669593024472274E-3</v>
      </c>
    </row>
    <row r="1363" spans="1:3" x14ac:dyDescent="0.15">
      <c r="A1363" s="124">
        <v>42781</v>
      </c>
      <c r="B1363" s="126">
        <v>61.107925415039062</v>
      </c>
      <c r="C1363" s="125">
        <f>IFERROR(yf_data[[#This Row],[Close Price]]/B1362-1,0)</f>
        <v>1.6614031597048662E-3</v>
      </c>
    </row>
    <row r="1364" spans="1:3" x14ac:dyDescent="0.15">
      <c r="A1364" s="124">
        <v>42782</v>
      </c>
      <c r="B1364" s="126">
        <v>60.601142883300781</v>
      </c>
      <c r="C1364" s="125">
        <f>IFERROR(yf_data[[#This Row],[Close Price]]/B1363-1,0)</f>
        <v>-8.2932373877244725E-3</v>
      </c>
    </row>
    <row r="1365" spans="1:3" x14ac:dyDescent="0.15">
      <c r="A1365" s="124">
        <v>42783</v>
      </c>
      <c r="B1365" s="126">
        <v>60.260227203369141</v>
      </c>
      <c r="C1365" s="125">
        <f>IFERROR(yf_data[[#This Row],[Close Price]]/B1364-1,0)</f>
        <v>-5.6255651908766469E-3</v>
      </c>
    </row>
    <row r="1366" spans="1:3" x14ac:dyDescent="0.15">
      <c r="A1366" s="124">
        <v>42786</v>
      </c>
      <c r="B1366" s="126">
        <v>61.301425933837891</v>
      </c>
      <c r="C1366" s="125">
        <f>IFERROR(yf_data[[#This Row],[Close Price]]/B1365-1,0)</f>
        <v>1.7278373792964041E-2</v>
      </c>
    </row>
    <row r="1367" spans="1:3" x14ac:dyDescent="0.15">
      <c r="A1367" s="124">
        <v>42787</v>
      </c>
      <c r="B1367" s="126">
        <v>61.955619812011719</v>
      </c>
      <c r="C1367" s="125">
        <f>IFERROR(yf_data[[#This Row],[Close Price]]/B1366-1,0)</f>
        <v>1.0671756296173118E-2</v>
      </c>
    </row>
    <row r="1368" spans="1:3" x14ac:dyDescent="0.15">
      <c r="A1368" s="124">
        <v>42788</v>
      </c>
      <c r="B1368" s="126">
        <v>61.458053588867188</v>
      </c>
      <c r="C1368" s="125">
        <f>IFERROR(yf_data[[#This Row],[Close Price]]/B1367-1,0)</f>
        <v>-8.0310103369842789E-3</v>
      </c>
    </row>
    <row r="1369" spans="1:3" x14ac:dyDescent="0.15">
      <c r="A1369" s="124">
        <v>42789</v>
      </c>
      <c r="B1369" s="126">
        <v>63.623378753662109</v>
      </c>
      <c r="C1369" s="125">
        <f>IFERROR(yf_data[[#This Row],[Close Price]]/B1368-1,0)</f>
        <v>3.5232569831778138E-2</v>
      </c>
    </row>
    <row r="1370" spans="1:3" x14ac:dyDescent="0.15">
      <c r="A1370" s="124">
        <v>42790</v>
      </c>
      <c r="B1370" s="126">
        <v>62.978389739990234</v>
      </c>
      <c r="C1370" s="125">
        <f>IFERROR(yf_data[[#This Row],[Close Price]]/B1369-1,0)</f>
        <v>-1.0137610204091096E-2</v>
      </c>
    </row>
    <row r="1371" spans="1:3" x14ac:dyDescent="0.15">
      <c r="A1371" s="124">
        <v>42793</v>
      </c>
      <c r="B1371" s="126">
        <v>62.978389739990234</v>
      </c>
      <c r="C1371" s="125">
        <f>IFERROR(yf_data[[#This Row],[Close Price]]/B1370-1,0)</f>
        <v>0</v>
      </c>
    </row>
    <row r="1372" spans="1:3" x14ac:dyDescent="0.15">
      <c r="A1372" s="124">
        <v>42794</v>
      </c>
      <c r="B1372" s="126">
        <v>63.872158050537109</v>
      </c>
      <c r="C1372" s="125">
        <f>IFERROR(yf_data[[#This Row],[Close Price]]/B1371-1,0)</f>
        <v>1.4191666605590347E-2</v>
      </c>
    </row>
    <row r="1373" spans="1:3" x14ac:dyDescent="0.15">
      <c r="A1373" s="124">
        <v>42795</v>
      </c>
      <c r="B1373" s="126">
        <v>65.530693054199219</v>
      </c>
      <c r="C1373" s="125">
        <f>IFERROR(yf_data[[#This Row],[Close Price]]/B1372-1,0)</f>
        <v>2.596647826350007E-2</v>
      </c>
    </row>
    <row r="1374" spans="1:3" x14ac:dyDescent="0.15">
      <c r="A1374" s="124">
        <v>42796</v>
      </c>
      <c r="B1374" s="126">
        <v>66.065109252929688</v>
      </c>
      <c r="C1374" s="125">
        <f>IFERROR(yf_data[[#This Row],[Close Price]]/B1373-1,0)</f>
        <v>8.1552044366213217E-3</v>
      </c>
    </row>
    <row r="1375" spans="1:3" x14ac:dyDescent="0.15">
      <c r="A1375" s="124">
        <v>42797</v>
      </c>
      <c r="B1375" s="126">
        <v>65.576759338378906</v>
      </c>
      <c r="C1375" s="125">
        <f>IFERROR(yf_data[[#This Row],[Close Price]]/B1374-1,0)</f>
        <v>-7.3919489435965158E-3</v>
      </c>
    </row>
    <row r="1376" spans="1:3" x14ac:dyDescent="0.15">
      <c r="A1376" s="124">
        <v>42800</v>
      </c>
      <c r="B1376" s="126">
        <v>65.466194152832031</v>
      </c>
      <c r="C1376" s="125">
        <f>IFERROR(yf_data[[#This Row],[Close Price]]/B1375-1,0)</f>
        <v>-1.6860422299362909E-3</v>
      </c>
    </row>
    <row r="1377" spans="1:3" x14ac:dyDescent="0.15">
      <c r="A1377" s="124">
        <v>42801</v>
      </c>
      <c r="B1377" s="126">
        <v>64.673789978027344</v>
      </c>
      <c r="C1377" s="125">
        <f>IFERROR(yf_data[[#This Row],[Close Price]]/B1376-1,0)</f>
        <v>-1.2104020785977054E-2</v>
      </c>
    </row>
    <row r="1378" spans="1:3" x14ac:dyDescent="0.15">
      <c r="A1378" s="124">
        <v>42802</v>
      </c>
      <c r="B1378" s="126">
        <v>64.931777954101562</v>
      </c>
      <c r="C1378" s="125">
        <f>IFERROR(yf_data[[#This Row],[Close Price]]/B1377-1,0)</f>
        <v>3.98906537195165E-3</v>
      </c>
    </row>
    <row r="1379" spans="1:3" x14ac:dyDescent="0.15">
      <c r="A1379" s="124">
        <v>42803</v>
      </c>
      <c r="B1379" s="126">
        <v>64.553993225097656</v>
      </c>
      <c r="C1379" s="125">
        <f>IFERROR(yf_data[[#This Row],[Close Price]]/B1378-1,0)</f>
        <v>-5.8181793400290394E-3</v>
      </c>
    </row>
    <row r="1380" spans="1:3" x14ac:dyDescent="0.15">
      <c r="A1380" s="124">
        <v>42804</v>
      </c>
      <c r="B1380" s="126">
        <v>64.553993225097656</v>
      </c>
      <c r="C1380" s="125">
        <f>IFERROR(yf_data[[#This Row],[Close Price]]/B1379-1,0)</f>
        <v>0</v>
      </c>
    </row>
    <row r="1381" spans="1:3" x14ac:dyDescent="0.15">
      <c r="A1381" s="124">
        <v>42807</v>
      </c>
      <c r="B1381" s="126">
        <v>64.45263671875</v>
      </c>
      <c r="C1381" s="125">
        <f>IFERROR(yf_data[[#This Row],[Close Price]]/B1380-1,0)</f>
        <v>-1.5701043620063304E-3</v>
      </c>
    </row>
    <row r="1382" spans="1:3" x14ac:dyDescent="0.15">
      <c r="A1382" s="124">
        <v>42808</v>
      </c>
      <c r="B1382" s="126">
        <v>64.682998657226562</v>
      </c>
      <c r="C1382" s="125">
        <f>IFERROR(yf_data[[#This Row],[Close Price]]/B1381-1,0)</f>
        <v>3.5741274555110003E-3</v>
      </c>
    </row>
    <row r="1383" spans="1:3" x14ac:dyDescent="0.15">
      <c r="A1383" s="124">
        <v>42809</v>
      </c>
      <c r="B1383" s="126">
        <v>64.894912719726562</v>
      </c>
      <c r="C1383" s="125">
        <f>IFERROR(yf_data[[#This Row],[Close Price]]/B1382-1,0)</f>
        <v>3.2761941607406531E-3</v>
      </c>
    </row>
    <row r="1384" spans="1:3" x14ac:dyDescent="0.15">
      <c r="A1384" s="124">
        <v>42810</v>
      </c>
      <c r="B1384" s="126">
        <v>64.830429077148438</v>
      </c>
      <c r="C1384" s="125">
        <f>IFERROR(yf_data[[#This Row],[Close Price]]/B1383-1,0)</f>
        <v>-9.9366252107657704E-4</v>
      </c>
    </row>
    <row r="1385" spans="1:3" x14ac:dyDescent="0.15">
      <c r="A1385" s="124">
        <v>42811</v>
      </c>
      <c r="B1385" s="126">
        <v>64.5079345703125</v>
      </c>
      <c r="C1385" s="125">
        <f>IFERROR(yf_data[[#This Row],[Close Price]]/B1384-1,0)</f>
        <v>-4.9744311649112527E-3</v>
      </c>
    </row>
    <row r="1386" spans="1:3" x14ac:dyDescent="0.15">
      <c r="A1386" s="124">
        <v>42814</v>
      </c>
      <c r="B1386" s="126">
        <v>65.051551818847656</v>
      </c>
      <c r="C1386" s="125">
        <f>IFERROR(yf_data[[#This Row],[Close Price]]/B1385-1,0)</f>
        <v>8.4271377181146523E-3</v>
      </c>
    </row>
    <row r="1387" spans="1:3" x14ac:dyDescent="0.15">
      <c r="A1387" s="124">
        <v>42815</v>
      </c>
      <c r="B1387" s="126">
        <v>64.139358520507812</v>
      </c>
      <c r="C1387" s="125">
        <f>IFERROR(yf_data[[#This Row],[Close Price]]/B1386-1,0)</f>
        <v>-1.4022621641372579E-2</v>
      </c>
    </row>
    <row r="1388" spans="1:3" x14ac:dyDescent="0.15">
      <c r="A1388" s="124">
        <v>42816</v>
      </c>
      <c r="B1388" s="126">
        <v>63.485172271728509</v>
      </c>
      <c r="C1388" s="125">
        <f>IFERROR(yf_data[[#This Row],[Close Price]]/B1387-1,0)</f>
        <v>-1.0199451068256926E-2</v>
      </c>
    </row>
    <row r="1389" spans="1:3" x14ac:dyDescent="0.15">
      <c r="A1389" s="124">
        <v>42817</v>
      </c>
      <c r="B1389" s="126">
        <v>64.360504150390625</v>
      </c>
      <c r="C1389" s="125">
        <f>IFERROR(yf_data[[#This Row],[Close Price]]/B1388-1,0)</f>
        <v>1.3787973590360991E-2</v>
      </c>
    </row>
    <row r="1390" spans="1:3" x14ac:dyDescent="0.15">
      <c r="A1390" s="124">
        <v>42818</v>
      </c>
      <c r="B1390" s="126">
        <v>64.517143249511719</v>
      </c>
      <c r="C1390" s="125">
        <f>IFERROR(yf_data[[#This Row],[Close Price]]/B1389-1,0)</f>
        <v>2.4337767577935487E-3</v>
      </c>
    </row>
    <row r="1391" spans="1:3" x14ac:dyDescent="0.15">
      <c r="A1391" s="124">
        <v>42821</v>
      </c>
      <c r="B1391" s="126">
        <v>63.881370544433594</v>
      </c>
      <c r="C1391" s="125">
        <f>IFERROR(yf_data[[#This Row],[Close Price]]/B1390-1,0)</f>
        <v>-9.8543220151480204E-3</v>
      </c>
    </row>
    <row r="1392" spans="1:3" x14ac:dyDescent="0.15">
      <c r="A1392" s="124">
        <v>42822</v>
      </c>
      <c r="B1392" s="126">
        <v>65.26348876953125</v>
      </c>
      <c r="C1392" s="125">
        <f>IFERROR(yf_data[[#This Row],[Close Price]]/B1391-1,0)</f>
        <v>2.163570088303457E-2</v>
      </c>
    </row>
    <row r="1393" spans="1:3" x14ac:dyDescent="0.15">
      <c r="A1393" s="124">
        <v>42823</v>
      </c>
      <c r="B1393" s="126">
        <v>65.991409301757812</v>
      </c>
      <c r="C1393" s="125">
        <f>IFERROR(yf_data[[#This Row],[Close Price]]/B1392-1,0)</f>
        <v>1.1153564511347414E-2</v>
      </c>
    </row>
    <row r="1394" spans="1:3" x14ac:dyDescent="0.15">
      <c r="A1394" s="124">
        <v>42824</v>
      </c>
      <c r="B1394" s="126">
        <v>66.00982666015625</v>
      </c>
      <c r="C1394" s="125">
        <f>IFERROR(yf_data[[#This Row],[Close Price]]/B1393-1,0)</f>
        <v>2.7908721140090798E-4</v>
      </c>
    </row>
    <row r="1395" spans="1:3" x14ac:dyDescent="0.15">
      <c r="A1395" s="124">
        <v>42825</v>
      </c>
      <c r="B1395" s="126">
        <v>65.724197387695312</v>
      </c>
      <c r="C1395" s="125">
        <f>IFERROR(yf_data[[#This Row],[Close Price]]/B1394-1,0)</f>
        <v>-4.3270719968931948E-3</v>
      </c>
    </row>
    <row r="1396" spans="1:3" x14ac:dyDescent="0.15">
      <c r="A1396" s="124">
        <v>42828</v>
      </c>
      <c r="B1396" s="126">
        <v>65.7518310546875</v>
      </c>
      <c r="C1396" s="125">
        <f>IFERROR(yf_data[[#This Row],[Close Price]]/B1395-1,0)</f>
        <v>4.2044890756409714E-4</v>
      </c>
    </row>
    <row r="1397" spans="1:3" x14ac:dyDescent="0.15">
      <c r="A1397" s="124">
        <v>42829</v>
      </c>
      <c r="B1397" s="126">
        <v>66.175682067871094</v>
      </c>
      <c r="C1397" s="125">
        <f>IFERROR(yf_data[[#This Row],[Close Price]]/B1396-1,0)</f>
        <v>6.4462237231244224E-3</v>
      </c>
    </row>
    <row r="1398" spans="1:3" x14ac:dyDescent="0.15">
      <c r="A1398" s="124">
        <v>42830</v>
      </c>
      <c r="B1398" s="126">
        <v>65.945327758789062</v>
      </c>
      <c r="C1398" s="125">
        <f>IFERROR(yf_data[[#This Row],[Close Price]]/B1397-1,0)</f>
        <v>-3.4809510364514074E-3</v>
      </c>
    </row>
    <row r="1399" spans="1:3" x14ac:dyDescent="0.15">
      <c r="A1399" s="124">
        <v>42831</v>
      </c>
      <c r="B1399" s="126">
        <v>66.820663452148438</v>
      </c>
      <c r="C1399" s="125">
        <f>IFERROR(yf_data[[#This Row],[Close Price]]/B1398-1,0)</f>
        <v>1.3273657484289547E-2</v>
      </c>
    </row>
    <row r="1400" spans="1:3" x14ac:dyDescent="0.15">
      <c r="A1400" s="124">
        <v>42832</v>
      </c>
      <c r="B1400" s="126">
        <v>66.802238464355469</v>
      </c>
      <c r="C1400" s="125">
        <f>IFERROR(yf_data[[#This Row],[Close Price]]/B1399-1,0)</f>
        <v>-2.7573787569712405E-4</v>
      </c>
    </row>
    <row r="1401" spans="1:3" x14ac:dyDescent="0.15">
      <c r="A1401" s="124">
        <v>42835</v>
      </c>
      <c r="B1401" s="126">
        <v>65.5030517578125</v>
      </c>
      <c r="C1401" s="125">
        <f>IFERROR(yf_data[[#This Row],[Close Price]]/B1400-1,0)</f>
        <v>-1.9448251082726742E-2</v>
      </c>
    </row>
    <row r="1402" spans="1:3" x14ac:dyDescent="0.15">
      <c r="A1402" s="124">
        <v>42836</v>
      </c>
      <c r="B1402" s="126">
        <v>65.696548461914062</v>
      </c>
      <c r="C1402" s="125">
        <f>IFERROR(yf_data[[#This Row],[Close Price]]/B1401-1,0)</f>
        <v>2.9540105217842338E-3</v>
      </c>
    </row>
    <row r="1403" spans="1:3" x14ac:dyDescent="0.15">
      <c r="A1403" s="124">
        <v>42837</v>
      </c>
      <c r="B1403" s="126">
        <v>66.277030944824219</v>
      </c>
      <c r="C1403" s="125">
        <f>IFERROR(yf_data[[#This Row],[Close Price]]/B1402-1,0)</f>
        <v>8.8358140039377364E-3</v>
      </c>
    </row>
    <row r="1404" spans="1:3" x14ac:dyDescent="0.15">
      <c r="A1404" s="124">
        <v>42838</v>
      </c>
      <c r="B1404" s="126">
        <v>65.724197387695312</v>
      </c>
      <c r="C1404" s="125">
        <f>IFERROR(yf_data[[#This Row],[Close Price]]/B1403-1,0)</f>
        <v>-8.3412541154588293E-3</v>
      </c>
    </row>
    <row r="1405" spans="1:3" x14ac:dyDescent="0.15">
      <c r="A1405" s="124">
        <v>42843</v>
      </c>
      <c r="B1405" s="126">
        <v>65.301559448242188</v>
      </c>
      <c r="C1405" s="125">
        <f>IFERROR(yf_data[[#This Row],[Close Price]]/B1404-1,0)</f>
        <v>-6.4304769970801035E-3</v>
      </c>
    </row>
    <row r="1406" spans="1:3" x14ac:dyDescent="0.15">
      <c r="A1406" s="124">
        <v>42844</v>
      </c>
      <c r="B1406" s="126">
        <v>65.686622619628906</v>
      </c>
      <c r="C1406" s="125">
        <f>IFERROR(yf_data[[#This Row],[Close Price]]/B1405-1,0)</f>
        <v>5.8966918193112949E-3</v>
      </c>
    </row>
    <row r="1407" spans="1:3" x14ac:dyDescent="0.15">
      <c r="A1407" s="124">
        <v>42845</v>
      </c>
      <c r="B1407" s="126">
        <v>67.874931335449219</v>
      </c>
      <c r="C1407" s="125">
        <f>IFERROR(yf_data[[#This Row],[Close Price]]/B1406-1,0)</f>
        <v>3.3314374046784723E-2</v>
      </c>
    </row>
    <row r="1408" spans="1:3" x14ac:dyDescent="0.15">
      <c r="A1408" s="124">
        <v>42846</v>
      </c>
      <c r="B1408" s="126">
        <v>67.217498779296875</v>
      </c>
      <c r="C1408" s="125">
        <f>IFERROR(yf_data[[#This Row],[Close Price]]/B1407-1,0)</f>
        <v>-9.6859406443183804E-3</v>
      </c>
    </row>
    <row r="1409" spans="1:3" x14ac:dyDescent="0.15">
      <c r="A1409" s="124">
        <v>42849</v>
      </c>
      <c r="B1409" s="126">
        <v>69.462150573730469</v>
      </c>
      <c r="C1409" s="125">
        <f>IFERROR(yf_data[[#This Row],[Close Price]]/B1408-1,0)</f>
        <v>3.3393860753488047E-2</v>
      </c>
    </row>
    <row r="1410" spans="1:3" x14ac:dyDescent="0.15">
      <c r="A1410" s="124">
        <v>42850</v>
      </c>
      <c r="B1410" s="126">
        <v>69.5936279296875</v>
      </c>
      <c r="C1410" s="125">
        <f>IFERROR(yf_data[[#This Row],[Close Price]]/B1409-1,0)</f>
        <v>1.8927913240676109E-3</v>
      </c>
    </row>
    <row r="1411" spans="1:3" x14ac:dyDescent="0.15">
      <c r="A1411" s="124">
        <v>42851</v>
      </c>
      <c r="B1411" s="126">
        <v>69.584243774414062</v>
      </c>
      <c r="C1411" s="125">
        <f>IFERROR(yf_data[[#This Row],[Close Price]]/B1410-1,0)</f>
        <v>-1.3484216231574031E-4</v>
      </c>
    </row>
    <row r="1412" spans="1:3" x14ac:dyDescent="0.15">
      <c r="A1412" s="124">
        <v>42852</v>
      </c>
      <c r="B1412" s="126">
        <v>70.438896179199219</v>
      </c>
      <c r="C1412" s="125">
        <f>IFERROR(yf_data[[#This Row],[Close Price]]/B1411-1,0)</f>
        <v>1.2282269065909013E-2</v>
      </c>
    </row>
    <row r="1413" spans="1:3" x14ac:dyDescent="0.15">
      <c r="A1413" s="124">
        <v>42853</v>
      </c>
      <c r="B1413" s="126">
        <v>69.715736389160156</v>
      </c>
      <c r="C1413" s="125">
        <f>IFERROR(yf_data[[#This Row],[Close Price]]/B1412-1,0)</f>
        <v>-1.0266483850049468E-2</v>
      </c>
    </row>
    <row r="1414" spans="1:3" x14ac:dyDescent="0.15">
      <c r="A1414" s="124">
        <v>42857</v>
      </c>
      <c r="B1414" s="126">
        <v>70.110191345214844</v>
      </c>
      <c r="C1414" s="125">
        <f>IFERROR(yf_data[[#This Row],[Close Price]]/B1413-1,0)</f>
        <v>5.6580476157177539E-3</v>
      </c>
    </row>
    <row r="1415" spans="1:3" x14ac:dyDescent="0.15">
      <c r="A1415" s="124">
        <v>42858</v>
      </c>
      <c r="B1415" s="126">
        <v>69.424575805664062</v>
      </c>
      <c r="C1415" s="125">
        <f>IFERROR(yf_data[[#This Row],[Close Price]]/B1414-1,0)</f>
        <v>-9.7791137978056053E-3</v>
      </c>
    </row>
    <row r="1416" spans="1:3" x14ac:dyDescent="0.15">
      <c r="A1416" s="124">
        <v>42859</v>
      </c>
      <c r="B1416" s="126">
        <v>70.467086791992188</v>
      </c>
      <c r="C1416" s="125">
        <f>IFERROR(yf_data[[#This Row],[Close Price]]/B1415-1,0)</f>
        <v>1.5016454536882717E-2</v>
      </c>
    </row>
    <row r="1417" spans="1:3" x14ac:dyDescent="0.15">
      <c r="A1417" s="124">
        <v>42860</v>
      </c>
      <c r="B1417" s="126">
        <v>71.265388488769531</v>
      </c>
      <c r="C1417" s="125">
        <f>IFERROR(yf_data[[#This Row],[Close Price]]/B1416-1,0)</f>
        <v>1.1328717180175252E-2</v>
      </c>
    </row>
    <row r="1418" spans="1:3" x14ac:dyDescent="0.15">
      <c r="A1418" s="124">
        <v>42863</v>
      </c>
      <c r="B1418" s="126">
        <v>70.823974609375</v>
      </c>
      <c r="C1418" s="125">
        <f>IFERROR(yf_data[[#This Row],[Close Price]]/B1417-1,0)</f>
        <v>-6.1939447571255357E-3</v>
      </c>
    </row>
    <row r="1419" spans="1:3" x14ac:dyDescent="0.15">
      <c r="A1419" s="124">
        <v>42864</v>
      </c>
      <c r="B1419" s="126">
        <v>70.908500671386719</v>
      </c>
      <c r="C1419" s="125">
        <f>IFERROR(yf_data[[#This Row],[Close Price]]/B1418-1,0)</f>
        <v>1.193466795360143E-3</v>
      </c>
    </row>
    <row r="1420" spans="1:3" x14ac:dyDescent="0.15">
      <c r="A1420" s="124">
        <v>42865</v>
      </c>
      <c r="B1420" s="126">
        <v>70.664314270019531</v>
      </c>
      <c r="C1420" s="125">
        <f>IFERROR(yf_data[[#This Row],[Close Price]]/B1419-1,0)</f>
        <v>-3.4436830430081278E-3</v>
      </c>
    </row>
    <row r="1421" spans="1:3" x14ac:dyDescent="0.15">
      <c r="A1421" s="124">
        <v>42866</v>
      </c>
      <c r="B1421" s="126">
        <v>69.499717712402344</v>
      </c>
      <c r="C1421" s="125">
        <f>IFERROR(yf_data[[#This Row],[Close Price]]/B1420-1,0)</f>
        <v>-1.6480688585855052E-2</v>
      </c>
    </row>
    <row r="1422" spans="1:3" x14ac:dyDescent="0.15">
      <c r="A1422" s="124">
        <v>42867</v>
      </c>
      <c r="B1422" s="126">
        <v>69.931739807128906</v>
      </c>
      <c r="C1422" s="125">
        <f>IFERROR(yf_data[[#This Row],[Close Price]]/B1421-1,0)</f>
        <v>6.2161704960344011E-3</v>
      </c>
    </row>
    <row r="1423" spans="1:3" x14ac:dyDescent="0.15">
      <c r="A1423" s="124">
        <v>42870</v>
      </c>
      <c r="B1423" s="126">
        <v>69.7532958984375</v>
      </c>
      <c r="C1423" s="125">
        <f>IFERROR(yf_data[[#This Row],[Close Price]]/B1422-1,0)</f>
        <v>-2.5516869619367499E-3</v>
      </c>
    </row>
    <row r="1424" spans="1:3" x14ac:dyDescent="0.15">
      <c r="A1424" s="124">
        <v>42871</v>
      </c>
      <c r="B1424" s="126">
        <v>69.67816162109375</v>
      </c>
      <c r="C1424" s="125">
        <f>IFERROR(yf_data[[#This Row],[Close Price]]/B1423-1,0)</f>
        <v>-1.0771430421459005E-3</v>
      </c>
    </row>
    <row r="1425" spans="1:3" x14ac:dyDescent="0.15">
      <c r="A1425" s="124">
        <v>42872</v>
      </c>
      <c r="B1425" s="126">
        <v>68.306961059570312</v>
      </c>
      <c r="C1425" s="125">
        <f>IFERROR(yf_data[[#This Row],[Close Price]]/B1424-1,0)</f>
        <v>-1.9679057679218848E-2</v>
      </c>
    </row>
    <row r="1426" spans="1:3" x14ac:dyDescent="0.15">
      <c r="A1426" s="124">
        <v>42873</v>
      </c>
      <c r="B1426" s="126">
        <v>68.767158508300781</v>
      </c>
      <c r="C1426" s="125">
        <f>IFERROR(yf_data[[#This Row],[Close Price]]/B1425-1,0)</f>
        <v>6.7371969355969341E-3</v>
      </c>
    </row>
    <row r="1427" spans="1:3" x14ac:dyDescent="0.15">
      <c r="A1427" s="124">
        <v>42874</v>
      </c>
      <c r="B1427" s="126">
        <v>69.274307250976562</v>
      </c>
      <c r="C1427" s="125">
        <f>IFERROR(yf_data[[#This Row],[Close Price]]/B1426-1,0)</f>
        <v>7.3748683772438817E-3</v>
      </c>
    </row>
    <row r="1428" spans="1:3" x14ac:dyDescent="0.15">
      <c r="A1428" s="124">
        <v>42877</v>
      </c>
      <c r="B1428" s="126">
        <v>68.213035583496094</v>
      </c>
      <c r="C1428" s="125">
        <f>IFERROR(yf_data[[#This Row],[Close Price]]/B1427-1,0)</f>
        <v>-1.5319845258582654E-2</v>
      </c>
    </row>
    <row r="1429" spans="1:3" x14ac:dyDescent="0.15">
      <c r="A1429" s="124">
        <v>42878</v>
      </c>
      <c r="B1429" s="126">
        <v>68.006416320800781</v>
      </c>
      <c r="C1429" s="125">
        <f>IFERROR(yf_data[[#This Row],[Close Price]]/B1428-1,0)</f>
        <v>-3.0290289961132366E-3</v>
      </c>
    </row>
    <row r="1430" spans="1:3" x14ac:dyDescent="0.15">
      <c r="A1430" s="124">
        <v>42879</v>
      </c>
      <c r="B1430" s="126">
        <v>68.01580810546875</v>
      </c>
      <c r="C1430" s="125">
        <f>IFERROR(yf_data[[#This Row],[Close Price]]/B1429-1,0)</f>
        <v>1.3810144948189773E-4</v>
      </c>
    </row>
    <row r="1431" spans="1:3" x14ac:dyDescent="0.15">
      <c r="A1431" s="124">
        <v>42880</v>
      </c>
      <c r="B1431" s="126">
        <v>68.654449462890625</v>
      </c>
      <c r="C1431" s="125">
        <f>IFERROR(yf_data[[#This Row],[Close Price]]/B1430-1,0)</f>
        <v>9.3896018471406606E-3</v>
      </c>
    </row>
    <row r="1432" spans="1:3" x14ac:dyDescent="0.15">
      <c r="A1432" s="124">
        <v>42881</v>
      </c>
      <c r="B1432" s="126">
        <v>69.405799865722656</v>
      </c>
      <c r="C1432" s="125">
        <f>IFERROR(yf_data[[#This Row],[Close Price]]/B1431-1,0)</f>
        <v>1.0943943308993509E-2</v>
      </c>
    </row>
    <row r="1433" spans="1:3" x14ac:dyDescent="0.15">
      <c r="A1433" s="124">
        <v>42884</v>
      </c>
      <c r="B1433" s="126">
        <v>69.236740112304688</v>
      </c>
      <c r="C1433" s="125">
        <f>IFERROR(yf_data[[#This Row],[Close Price]]/B1432-1,0)</f>
        <v>-2.435815936781105E-3</v>
      </c>
    </row>
    <row r="1434" spans="1:3" x14ac:dyDescent="0.15">
      <c r="A1434" s="124">
        <v>42885</v>
      </c>
      <c r="B1434" s="126">
        <v>68.814109802246094</v>
      </c>
      <c r="C1434" s="125">
        <f>IFERROR(yf_data[[#This Row],[Close Price]]/B1433-1,0)</f>
        <v>-6.1041335766685023E-3</v>
      </c>
    </row>
    <row r="1435" spans="1:3" x14ac:dyDescent="0.15">
      <c r="A1435" s="124">
        <v>42886</v>
      </c>
      <c r="B1435" s="126">
        <v>68.626274108886719</v>
      </c>
      <c r="C1435" s="125">
        <f>IFERROR(yf_data[[#This Row],[Close Price]]/B1434-1,0)</f>
        <v>-2.7296101613341062E-3</v>
      </c>
    </row>
    <row r="1436" spans="1:3" x14ac:dyDescent="0.15">
      <c r="A1436" s="124">
        <v>42887</v>
      </c>
      <c r="B1436" s="126">
        <v>70.654922485351562</v>
      </c>
      <c r="C1436" s="125">
        <f>IFERROR(yf_data[[#This Row],[Close Price]]/B1435-1,0)</f>
        <v>2.9560811843668766E-2</v>
      </c>
    </row>
    <row r="1437" spans="1:3" x14ac:dyDescent="0.15">
      <c r="A1437" s="124">
        <v>42888</v>
      </c>
      <c r="B1437" s="126">
        <v>71.002410888671875</v>
      </c>
      <c r="C1437" s="125">
        <f>IFERROR(yf_data[[#This Row],[Close Price]]/B1436-1,0)</f>
        <v>4.918106072402173E-3</v>
      </c>
    </row>
    <row r="1438" spans="1:3" x14ac:dyDescent="0.15">
      <c r="A1438" s="124">
        <v>42891</v>
      </c>
      <c r="B1438" s="126">
        <v>70.2135009765625</v>
      </c>
      <c r="C1438" s="125">
        <f>IFERROR(yf_data[[#This Row],[Close Price]]/B1437-1,0)</f>
        <v>-1.1111029924692928E-2</v>
      </c>
    </row>
    <row r="1439" spans="1:3" x14ac:dyDescent="0.15">
      <c r="A1439" s="124">
        <v>42892</v>
      </c>
      <c r="B1439" s="126">
        <v>70.157142639160156</v>
      </c>
      <c r="C1439" s="125">
        <f>IFERROR(yf_data[[#This Row],[Close Price]]/B1438-1,0)</f>
        <v>-8.0267094815789086E-4</v>
      </c>
    </row>
    <row r="1440" spans="1:3" x14ac:dyDescent="0.15">
      <c r="A1440" s="124">
        <v>42893</v>
      </c>
      <c r="B1440" s="126">
        <v>69.001945495605469</v>
      </c>
      <c r="C1440" s="125">
        <f>IFERROR(yf_data[[#This Row],[Close Price]]/B1439-1,0)</f>
        <v>-1.6465852229704203E-2</v>
      </c>
    </row>
    <row r="1441" spans="1:3" x14ac:dyDescent="0.15">
      <c r="A1441" s="124">
        <v>42894</v>
      </c>
      <c r="B1441" s="126">
        <v>69.264923095703125</v>
      </c>
      <c r="C1441" s="125">
        <f>IFERROR(yf_data[[#This Row],[Close Price]]/B1440-1,0)</f>
        <v>3.8111621086742709E-3</v>
      </c>
    </row>
    <row r="1442" spans="1:3" x14ac:dyDescent="0.15">
      <c r="A1442" s="124">
        <v>42895</v>
      </c>
      <c r="B1442" s="126">
        <v>70.823974609375</v>
      </c>
      <c r="C1442" s="125">
        <f>IFERROR(yf_data[[#This Row],[Close Price]]/B1441-1,0)</f>
        <v>2.2508528761632229E-2</v>
      </c>
    </row>
    <row r="1443" spans="1:3" x14ac:dyDescent="0.15">
      <c r="A1443" s="124">
        <v>42898</v>
      </c>
      <c r="B1443" s="126">
        <v>69.7532958984375</v>
      </c>
      <c r="C1443" s="125">
        <f>IFERROR(yf_data[[#This Row],[Close Price]]/B1442-1,0)</f>
        <v>-1.5117461521225839E-2</v>
      </c>
    </row>
    <row r="1444" spans="1:3" x14ac:dyDescent="0.15">
      <c r="A1444" s="124">
        <v>42899</v>
      </c>
      <c r="B1444" s="126">
        <v>70.063232421875</v>
      </c>
      <c r="C1444" s="125">
        <f>IFERROR(yf_data[[#This Row],[Close Price]]/B1443-1,0)</f>
        <v>4.4433244256840698E-3</v>
      </c>
    </row>
    <row r="1445" spans="1:3" x14ac:dyDescent="0.15">
      <c r="A1445" s="124">
        <v>42900</v>
      </c>
      <c r="B1445" s="126">
        <v>70.560997009277344</v>
      </c>
      <c r="C1445" s="125">
        <f>IFERROR(yf_data[[#This Row],[Close Price]]/B1444-1,0)</f>
        <v>7.1045050334692661E-3</v>
      </c>
    </row>
    <row r="1446" spans="1:3" x14ac:dyDescent="0.15">
      <c r="A1446" s="124">
        <v>42901</v>
      </c>
      <c r="B1446" s="126">
        <v>68.823501586914062</v>
      </c>
      <c r="C1446" s="125">
        <f>IFERROR(yf_data[[#This Row],[Close Price]]/B1445-1,0)</f>
        <v>-2.4624020294594651E-2</v>
      </c>
    </row>
    <row r="1447" spans="1:3" x14ac:dyDescent="0.15">
      <c r="A1447" s="124">
        <v>42902</v>
      </c>
      <c r="B1447" s="126">
        <v>70.373153686523438</v>
      </c>
      <c r="C1447" s="125">
        <f>IFERROR(yf_data[[#This Row],[Close Price]]/B1446-1,0)</f>
        <v>2.2516321661611327E-2</v>
      </c>
    </row>
    <row r="1448" spans="1:3" x14ac:dyDescent="0.15">
      <c r="A1448" s="124">
        <v>42905</v>
      </c>
      <c r="B1448" s="126">
        <v>71.753761291503906</v>
      </c>
      <c r="C1448" s="125">
        <f>IFERROR(yf_data[[#This Row],[Close Price]]/B1447-1,0)</f>
        <v>1.9618384748399498E-2</v>
      </c>
    </row>
    <row r="1449" spans="1:3" x14ac:dyDescent="0.15">
      <c r="A1449" s="124">
        <v>42906</v>
      </c>
      <c r="B1449" s="126">
        <v>71.331123352050781</v>
      </c>
      <c r="C1449" s="125">
        <f>IFERROR(yf_data[[#This Row],[Close Price]]/B1448-1,0)</f>
        <v>-5.8901154705484071E-3</v>
      </c>
    </row>
    <row r="1450" spans="1:3" x14ac:dyDescent="0.15">
      <c r="A1450" s="124">
        <v>42907</v>
      </c>
      <c r="B1450" s="126">
        <v>70.673690795898438</v>
      </c>
      <c r="C1450" s="125">
        <f>IFERROR(yf_data[[#This Row],[Close Price]]/B1449-1,0)</f>
        <v>-9.2166297859578306E-3</v>
      </c>
    </row>
    <row r="1451" spans="1:3" x14ac:dyDescent="0.15">
      <c r="A1451" s="124">
        <v>42908</v>
      </c>
      <c r="B1451" s="126">
        <v>70.476463317871094</v>
      </c>
      <c r="C1451" s="125">
        <f>IFERROR(yf_data[[#This Row],[Close Price]]/B1450-1,0)</f>
        <v>-2.7906774898303066E-3</v>
      </c>
    </row>
    <row r="1452" spans="1:3" x14ac:dyDescent="0.15">
      <c r="A1452" s="124">
        <v>42909</v>
      </c>
      <c r="B1452" s="126">
        <v>71.096328735351562</v>
      </c>
      <c r="C1452" s="125">
        <f>IFERROR(yf_data[[#This Row],[Close Price]]/B1451-1,0)</f>
        <v>8.7953536301144108E-3</v>
      </c>
    </row>
    <row r="1453" spans="1:3" x14ac:dyDescent="0.15">
      <c r="A1453" s="124">
        <v>42912</v>
      </c>
      <c r="B1453" s="126">
        <v>71.331123352050781</v>
      </c>
      <c r="C1453" s="125">
        <f>IFERROR(yf_data[[#This Row],[Close Price]]/B1452-1,0)</f>
        <v>3.3024858087007392E-3</v>
      </c>
    </row>
    <row r="1454" spans="1:3" x14ac:dyDescent="0.15">
      <c r="A1454" s="124">
        <v>42913</v>
      </c>
      <c r="B1454" s="126">
        <v>69.950531005859375</v>
      </c>
      <c r="C1454" s="125">
        <f>IFERROR(yf_data[[#This Row],[Close Price]]/B1453-1,0)</f>
        <v>-1.9354697939881982E-2</v>
      </c>
    </row>
    <row r="1455" spans="1:3" x14ac:dyDescent="0.15">
      <c r="A1455" s="124">
        <v>42914</v>
      </c>
      <c r="B1455" s="126">
        <v>69.3118896484375</v>
      </c>
      <c r="C1455" s="125">
        <f>IFERROR(yf_data[[#This Row],[Close Price]]/B1454-1,0)</f>
        <v>-9.1299000627798055E-3</v>
      </c>
    </row>
    <row r="1456" spans="1:3" x14ac:dyDescent="0.15">
      <c r="A1456" s="124">
        <v>42915</v>
      </c>
      <c r="B1456" s="126">
        <v>67.827964782714844</v>
      </c>
      <c r="C1456" s="125">
        <f>IFERROR(yf_data[[#This Row],[Close Price]]/B1455-1,0)</f>
        <v>-2.1409384064543513E-2</v>
      </c>
    </row>
    <row r="1457" spans="1:3" x14ac:dyDescent="0.15">
      <c r="A1457" s="124">
        <v>42916</v>
      </c>
      <c r="B1457" s="126">
        <v>67.621353149414062</v>
      </c>
      <c r="C1457" s="125">
        <f>IFERROR(yf_data[[#This Row],[Close Price]]/B1456-1,0)</f>
        <v>-3.0461128232677215E-3</v>
      </c>
    </row>
    <row r="1458" spans="1:3" x14ac:dyDescent="0.15">
      <c r="A1458" s="124">
        <v>42919</v>
      </c>
      <c r="B1458" s="126">
        <v>68.654449462890625</v>
      </c>
      <c r="C1458" s="125">
        <f>IFERROR(yf_data[[#This Row],[Close Price]]/B1457-1,0)</f>
        <v>1.5277664012340431E-2</v>
      </c>
    </row>
    <row r="1459" spans="1:3" x14ac:dyDescent="0.15">
      <c r="A1459" s="124">
        <v>42920</v>
      </c>
      <c r="B1459" s="126">
        <v>68.654449462890625</v>
      </c>
      <c r="C1459" s="125">
        <f>IFERROR(yf_data[[#This Row],[Close Price]]/B1458-1,0)</f>
        <v>0</v>
      </c>
    </row>
    <row r="1460" spans="1:3" x14ac:dyDescent="0.15">
      <c r="A1460" s="124">
        <v>42921</v>
      </c>
      <c r="B1460" s="126">
        <v>69.415199279785156</v>
      </c>
      <c r="C1460" s="125">
        <f>IFERROR(yf_data[[#This Row],[Close Price]]/B1459-1,0)</f>
        <v>1.1080852338721803E-2</v>
      </c>
    </row>
    <row r="1461" spans="1:3" x14ac:dyDescent="0.15">
      <c r="A1461" s="124">
        <v>42922</v>
      </c>
      <c r="B1461" s="126">
        <v>69.621803283691406</v>
      </c>
      <c r="C1461" s="125">
        <f>IFERROR(yf_data[[#This Row],[Close Price]]/B1460-1,0)</f>
        <v>2.9763510880882471E-3</v>
      </c>
    </row>
    <row r="1462" spans="1:3" x14ac:dyDescent="0.15">
      <c r="A1462" s="124">
        <v>42923</v>
      </c>
      <c r="B1462" s="126">
        <v>69.5936279296875</v>
      </c>
      <c r="C1462" s="125">
        <f>IFERROR(yf_data[[#This Row],[Close Price]]/B1461-1,0)</f>
        <v>-4.0469152873123804E-4</v>
      </c>
    </row>
    <row r="1463" spans="1:3" x14ac:dyDescent="0.15">
      <c r="A1463" s="124">
        <v>42926</v>
      </c>
      <c r="B1463" s="126">
        <v>69.837821960449219</v>
      </c>
      <c r="C1463" s="125">
        <f>IFERROR(yf_data[[#This Row],[Close Price]]/B1462-1,0)</f>
        <v>3.5088561701142051E-3</v>
      </c>
    </row>
    <row r="1464" spans="1:3" x14ac:dyDescent="0.15">
      <c r="A1464" s="124">
        <v>42927</v>
      </c>
      <c r="B1464" s="126">
        <v>69.9129638671875</v>
      </c>
      <c r="C1464" s="125">
        <f>IFERROR(yf_data[[#This Row],[Close Price]]/B1463-1,0)</f>
        <v>1.0759485996116869E-3</v>
      </c>
    </row>
    <row r="1465" spans="1:3" x14ac:dyDescent="0.15">
      <c r="A1465" s="124">
        <v>42928</v>
      </c>
      <c r="B1465" s="126">
        <v>70.100799560546875</v>
      </c>
      <c r="C1465" s="125">
        <f>IFERROR(yf_data[[#This Row],[Close Price]]/B1464-1,0)</f>
        <v>2.686707628591023E-3</v>
      </c>
    </row>
    <row r="1466" spans="1:3" x14ac:dyDescent="0.15">
      <c r="A1466" s="124">
        <v>42929</v>
      </c>
      <c r="B1466" s="126">
        <v>70.438896179199219</v>
      </c>
      <c r="C1466" s="125">
        <f>IFERROR(yf_data[[#This Row],[Close Price]]/B1465-1,0)</f>
        <v>4.8230065958139168E-3</v>
      </c>
    </row>
    <row r="1467" spans="1:3" x14ac:dyDescent="0.15">
      <c r="A1467" s="124">
        <v>42930</v>
      </c>
      <c r="B1467" s="126">
        <v>70.025657653808594</v>
      </c>
      <c r="C1467" s="125">
        <f>IFERROR(yf_data[[#This Row],[Close Price]]/B1466-1,0)</f>
        <v>-5.8666240927360835E-3</v>
      </c>
    </row>
    <row r="1468" spans="1:3" x14ac:dyDescent="0.15">
      <c r="A1468" s="124">
        <v>42933</v>
      </c>
      <c r="B1468" s="126">
        <v>69.161613464355469</v>
      </c>
      <c r="C1468" s="125">
        <f>IFERROR(yf_data[[#This Row],[Close Price]]/B1467-1,0)</f>
        <v>-1.2338965722032524E-2</v>
      </c>
    </row>
    <row r="1469" spans="1:3" x14ac:dyDescent="0.15">
      <c r="A1469" s="124">
        <v>42934</v>
      </c>
      <c r="B1469" s="126">
        <v>68.053367614746094</v>
      </c>
      <c r="C1469" s="125">
        <f>IFERROR(yf_data[[#This Row],[Close Price]]/B1468-1,0)</f>
        <v>-1.6024002247728708E-2</v>
      </c>
    </row>
    <row r="1470" spans="1:3" x14ac:dyDescent="0.15">
      <c r="A1470" s="124">
        <v>42935</v>
      </c>
      <c r="B1470" s="126">
        <v>69.208572387695312</v>
      </c>
      <c r="C1470" s="125">
        <f>IFERROR(yf_data[[#This Row],[Close Price]]/B1469-1,0)</f>
        <v>1.6974983214480988E-2</v>
      </c>
    </row>
    <row r="1471" spans="1:3" x14ac:dyDescent="0.15">
      <c r="A1471" s="124">
        <v>42936</v>
      </c>
      <c r="B1471" s="126">
        <v>67.959449768066406</v>
      </c>
      <c r="C1471" s="125">
        <f>IFERROR(yf_data[[#This Row],[Close Price]]/B1470-1,0)</f>
        <v>-1.8048669067056045E-2</v>
      </c>
    </row>
    <row r="1472" spans="1:3" x14ac:dyDescent="0.15">
      <c r="A1472" s="124">
        <v>42937</v>
      </c>
      <c r="B1472" s="126">
        <v>67.0296630859375</v>
      </c>
      <c r="C1472" s="125">
        <f>IFERROR(yf_data[[#This Row],[Close Price]]/B1471-1,0)</f>
        <v>-1.3681492203102108E-2</v>
      </c>
    </row>
    <row r="1473" spans="1:3" x14ac:dyDescent="0.15">
      <c r="A1473" s="124">
        <v>42940</v>
      </c>
      <c r="B1473" s="126">
        <v>67.273849487304688</v>
      </c>
      <c r="C1473" s="125">
        <f>IFERROR(yf_data[[#This Row],[Close Price]]/B1472-1,0)</f>
        <v>3.6429602973555575E-3</v>
      </c>
    </row>
    <row r="1474" spans="1:3" x14ac:dyDescent="0.15">
      <c r="A1474" s="124">
        <v>42941</v>
      </c>
      <c r="B1474" s="126">
        <v>68.213035583496094</v>
      </c>
      <c r="C1474" s="125">
        <f>IFERROR(yf_data[[#This Row],[Close Price]]/B1473-1,0)</f>
        <v>1.3960641517453798E-2</v>
      </c>
    </row>
    <row r="1475" spans="1:3" x14ac:dyDescent="0.15">
      <c r="A1475" s="124">
        <v>42942</v>
      </c>
      <c r="B1475" s="126">
        <v>70.110191345214844</v>
      </c>
      <c r="C1475" s="125">
        <f>IFERROR(yf_data[[#This Row],[Close Price]]/B1474-1,0)</f>
        <v>2.7812217202920708E-2</v>
      </c>
    </row>
    <row r="1476" spans="1:3" x14ac:dyDescent="0.15">
      <c r="A1476" s="124">
        <v>42943</v>
      </c>
      <c r="B1476" s="126">
        <v>67.874931335449219</v>
      </c>
      <c r="C1476" s="125">
        <f>IFERROR(yf_data[[#This Row],[Close Price]]/B1475-1,0)</f>
        <v>-3.1882098263852243E-2</v>
      </c>
    </row>
    <row r="1477" spans="1:3" x14ac:dyDescent="0.15">
      <c r="A1477" s="124">
        <v>42944</v>
      </c>
      <c r="B1477" s="126">
        <v>67.978233337402344</v>
      </c>
      <c r="C1477" s="125">
        <f>IFERROR(yf_data[[#This Row],[Close Price]]/B1476-1,0)</f>
        <v>1.5219463198068439E-3</v>
      </c>
    </row>
    <row r="1478" spans="1:3" x14ac:dyDescent="0.15">
      <c r="A1478" s="124">
        <v>42947</v>
      </c>
      <c r="B1478" s="126">
        <v>66.306488037109375</v>
      </c>
      <c r="C1478" s="125">
        <f>IFERROR(yf_data[[#This Row],[Close Price]]/B1477-1,0)</f>
        <v>-2.4592361675471186E-2</v>
      </c>
    </row>
    <row r="1479" spans="1:3" x14ac:dyDescent="0.15">
      <c r="A1479" s="124">
        <v>42948</v>
      </c>
      <c r="B1479" s="126">
        <v>67.649520874023438</v>
      </c>
      <c r="C1479" s="125">
        <f>IFERROR(yf_data[[#This Row],[Close Price]]/B1478-1,0)</f>
        <v>2.0254923412056147E-2</v>
      </c>
    </row>
    <row r="1480" spans="1:3" x14ac:dyDescent="0.15">
      <c r="A1480" s="124">
        <v>42949</v>
      </c>
      <c r="B1480" s="126">
        <v>66.691551208496094</v>
      </c>
      <c r="C1480" s="125">
        <f>IFERROR(yf_data[[#This Row],[Close Price]]/B1479-1,0)</f>
        <v>-1.4160775318886154E-2</v>
      </c>
    </row>
    <row r="1481" spans="1:3" x14ac:dyDescent="0.15">
      <c r="A1481" s="124">
        <v>42950</v>
      </c>
      <c r="B1481" s="126">
        <v>66.94512939453125</v>
      </c>
      <c r="C1481" s="125">
        <f>IFERROR(yf_data[[#This Row],[Close Price]]/B1480-1,0)</f>
        <v>3.8022535304720328E-3</v>
      </c>
    </row>
    <row r="1482" spans="1:3" x14ac:dyDescent="0.15">
      <c r="A1482" s="124">
        <v>42951</v>
      </c>
      <c r="B1482" s="126">
        <v>68.861076354980469</v>
      </c>
      <c r="C1482" s="125">
        <f>IFERROR(yf_data[[#This Row],[Close Price]]/B1481-1,0)</f>
        <v>2.8619661770430849E-2</v>
      </c>
    </row>
    <row r="1483" spans="1:3" x14ac:dyDescent="0.15">
      <c r="A1483" s="124">
        <v>42954</v>
      </c>
      <c r="B1483" s="126">
        <v>68.025192260742188</v>
      </c>
      <c r="C1483" s="125">
        <f>IFERROR(yf_data[[#This Row],[Close Price]]/B1482-1,0)</f>
        <v>-1.2138702130203072E-2</v>
      </c>
    </row>
    <row r="1484" spans="1:3" x14ac:dyDescent="0.15">
      <c r="A1484" s="124">
        <v>42955</v>
      </c>
      <c r="B1484" s="126">
        <v>67.724662780761719</v>
      </c>
      <c r="C1484" s="125">
        <f>IFERROR(yf_data[[#This Row],[Close Price]]/B1483-1,0)</f>
        <v>-4.4179144518773361E-3</v>
      </c>
    </row>
    <row r="1485" spans="1:3" x14ac:dyDescent="0.15">
      <c r="A1485" s="124">
        <v>42956</v>
      </c>
      <c r="B1485" s="126">
        <v>67.142356872558594</v>
      </c>
      <c r="C1485" s="125">
        <f>IFERROR(yf_data[[#This Row],[Close Price]]/B1484-1,0)</f>
        <v>-8.5981366948724158E-3</v>
      </c>
    </row>
    <row r="1486" spans="1:3" x14ac:dyDescent="0.15">
      <c r="A1486" s="124">
        <v>42957</v>
      </c>
      <c r="B1486" s="126">
        <v>66.682151794433594</v>
      </c>
      <c r="C1486" s="125">
        <f>IFERROR(yf_data[[#This Row],[Close Price]]/B1485-1,0)</f>
        <v>-6.8541692541193022E-3</v>
      </c>
    </row>
    <row r="1487" spans="1:3" x14ac:dyDescent="0.15">
      <c r="A1487" s="124">
        <v>42958</v>
      </c>
      <c r="B1487" s="126">
        <v>66.447364807128906</v>
      </c>
      <c r="C1487" s="125">
        <f>IFERROR(yf_data[[#This Row],[Close Price]]/B1486-1,0)</f>
        <v>-3.5209869655749015E-3</v>
      </c>
    </row>
    <row r="1488" spans="1:3" x14ac:dyDescent="0.15">
      <c r="A1488" s="124">
        <v>42961</v>
      </c>
      <c r="B1488" s="126">
        <v>67.358375549316406</v>
      </c>
      <c r="C1488" s="125">
        <f>IFERROR(yf_data[[#This Row],[Close Price]]/B1487-1,0)</f>
        <v>1.3710261420175396E-2</v>
      </c>
    </row>
    <row r="1489" spans="1:3" x14ac:dyDescent="0.15">
      <c r="A1489" s="124">
        <v>42962</v>
      </c>
      <c r="B1489" s="126">
        <v>67.940666198730469</v>
      </c>
      <c r="C1489" s="125">
        <f>IFERROR(yf_data[[#This Row],[Close Price]]/B1488-1,0)</f>
        <v>8.6446658587799874E-3</v>
      </c>
    </row>
    <row r="1490" spans="1:3" x14ac:dyDescent="0.15">
      <c r="A1490" s="124">
        <v>42963</v>
      </c>
      <c r="B1490" s="126">
        <v>68.447822570800781</v>
      </c>
      <c r="C1490" s="125">
        <f>IFERROR(yf_data[[#This Row],[Close Price]]/B1489-1,0)</f>
        <v>7.4646953061492383E-3</v>
      </c>
    </row>
    <row r="1491" spans="1:3" x14ac:dyDescent="0.15">
      <c r="A1491" s="124">
        <v>42964</v>
      </c>
      <c r="B1491" s="126">
        <v>67.799789428710938</v>
      </c>
      <c r="C1491" s="125">
        <f>IFERROR(yf_data[[#This Row],[Close Price]]/B1490-1,0)</f>
        <v>-9.467549408449516E-3</v>
      </c>
    </row>
    <row r="1492" spans="1:3" x14ac:dyDescent="0.15">
      <c r="A1492" s="124">
        <v>42965</v>
      </c>
      <c r="B1492" s="126">
        <v>67.151756286621094</v>
      </c>
      <c r="C1492" s="125">
        <f>IFERROR(yf_data[[#This Row],[Close Price]]/B1491-1,0)</f>
        <v>-9.5580406303654719E-3</v>
      </c>
    </row>
    <row r="1493" spans="1:3" x14ac:dyDescent="0.15">
      <c r="A1493" s="124">
        <v>42968</v>
      </c>
      <c r="B1493" s="126">
        <v>66.531883239746094</v>
      </c>
      <c r="C1493" s="125">
        <f>IFERROR(yf_data[[#This Row],[Close Price]]/B1492-1,0)</f>
        <v>-9.2309282906797296E-3</v>
      </c>
    </row>
    <row r="1494" spans="1:3" x14ac:dyDescent="0.15">
      <c r="A1494" s="124">
        <v>42969</v>
      </c>
      <c r="B1494" s="126">
        <v>66.916961669921875</v>
      </c>
      <c r="C1494" s="125">
        <f>IFERROR(yf_data[[#This Row],[Close Price]]/B1493-1,0)</f>
        <v>5.7878781033171567E-3</v>
      </c>
    </row>
    <row r="1495" spans="1:3" x14ac:dyDescent="0.15">
      <c r="A1495" s="124">
        <v>42970</v>
      </c>
      <c r="B1495" s="126">
        <v>66.503715515136719</v>
      </c>
      <c r="C1495" s="125">
        <f>IFERROR(yf_data[[#This Row],[Close Price]]/B1494-1,0)</f>
        <v>-6.1755068441923244E-3</v>
      </c>
    </row>
    <row r="1496" spans="1:3" x14ac:dyDescent="0.15">
      <c r="A1496" s="124">
        <v>42971</v>
      </c>
      <c r="B1496" s="126">
        <v>66.090476989746094</v>
      </c>
      <c r="C1496" s="125">
        <f>IFERROR(yf_data[[#This Row],[Close Price]]/B1495-1,0)</f>
        <v>-6.2137659857000038E-3</v>
      </c>
    </row>
    <row r="1497" spans="1:3" x14ac:dyDescent="0.15">
      <c r="A1497" s="124">
        <v>42972</v>
      </c>
      <c r="B1497" s="126">
        <v>66.550674438476562</v>
      </c>
      <c r="C1497" s="125">
        <f>IFERROR(yf_data[[#This Row],[Close Price]]/B1496-1,0)</f>
        <v>6.9631430985415133E-3</v>
      </c>
    </row>
    <row r="1498" spans="1:3" x14ac:dyDescent="0.15">
      <c r="A1498" s="124">
        <v>42975</v>
      </c>
      <c r="B1498" s="126">
        <v>65.902633666992188</v>
      </c>
      <c r="C1498" s="125">
        <f>IFERROR(yf_data[[#This Row],[Close Price]]/B1497-1,0)</f>
        <v>-9.7375537806677626E-3</v>
      </c>
    </row>
    <row r="1499" spans="1:3" x14ac:dyDescent="0.15">
      <c r="A1499" s="124">
        <v>42976</v>
      </c>
      <c r="B1499" s="126">
        <v>64.540817260742188</v>
      </c>
      <c r="C1499" s="125">
        <f>IFERROR(yf_data[[#This Row],[Close Price]]/B1498-1,0)</f>
        <v>-2.0664066524735514E-2</v>
      </c>
    </row>
    <row r="1500" spans="1:3" x14ac:dyDescent="0.15">
      <c r="A1500" s="124">
        <v>42977</v>
      </c>
      <c r="B1500" s="126">
        <v>65.564529418945312</v>
      </c>
      <c r="C1500" s="125">
        <f>IFERROR(yf_data[[#This Row],[Close Price]]/B1499-1,0)</f>
        <v>1.5861468782884636E-2</v>
      </c>
    </row>
    <row r="1501" spans="1:3" x14ac:dyDescent="0.15">
      <c r="A1501" s="124">
        <v>42978</v>
      </c>
      <c r="B1501" s="126">
        <v>66.315887451171875</v>
      </c>
      <c r="C1501" s="125">
        <f>IFERROR(yf_data[[#This Row],[Close Price]]/B1500-1,0)</f>
        <v>1.1459824982888556E-2</v>
      </c>
    </row>
    <row r="1502" spans="1:3" x14ac:dyDescent="0.15">
      <c r="A1502" s="124">
        <v>42979</v>
      </c>
      <c r="B1502" s="126">
        <v>66.963920593261719</v>
      </c>
      <c r="C1502" s="125">
        <f>IFERROR(yf_data[[#This Row],[Close Price]]/B1501-1,0)</f>
        <v>9.7719138957008678E-3</v>
      </c>
    </row>
    <row r="1503" spans="1:3" x14ac:dyDescent="0.15">
      <c r="A1503" s="124">
        <v>42982</v>
      </c>
      <c r="B1503" s="126">
        <v>66.766685485839844</v>
      </c>
      <c r="C1503" s="125">
        <f>IFERROR(yf_data[[#This Row],[Close Price]]/B1502-1,0)</f>
        <v>-2.9453936638489386E-3</v>
      </c>
    </row>
    <row r="1504" spans="1:3" x14ac:dyDescent="0.15">
      <c r="A1504" s="124">
        <v>42983</v>
      </c>
      <c r="B1504" s="126">
        <v>66.907569885253906</v>
      </c>
      <c r="C1504" s="125">
        <f>IFERROR(yf_data[[#This Row],[Close Price]]/B1503-1,0)</f>
        <v>2.1101002451879847E-3</v>
      </c>
    </row>
    <row r="1505" spans="1:3" x14ac:dyDescent="0.15">
      <c r="A1505" s="124">
        <v>42984</v>
      </c>
      <c r="B1505" s="126">
        <v>67.067237854003906</v>
      </c>
      <c r="C1505" s="125">
        <f>IFERROR(yf_data[[#This Row],[Close Price]]/B1504-1,0)</f>
        <v>2.3863961734649219E-3</v>
      </c>
    </row>
    <row r="1506" spans="1:3" x14ac:dyDescent="0.15">
      <c r="A1506" s="124">
        <v>42985</v>
      </c>
      <c r="B1506" s="126">
        <v>66.146827697753906</v>
      </c>
      <c r="C1506" s="125">
        <f>IFERROR(yf_data[[#This Row],[Close Price]]/B1505-1,0)</f>
        <v>-1.3723692606121718E-2</v>
      </c>
    </row>
    <row r="1507" spans="1:3" x14ac:dyDescent="0.15">
      <c r="A1507" s="124">
        <v>42986</v>
      </c>
      <c r="B1507" s="126">
        <v>66.212570190429688</v>
      </c>
      <c r="C1507" s="125">
        <f>IFERROR(yf_data[[#This Row],[Close Price]]/B1506-1,0)</f>
        <v>9.9388731045690903E-4</v>
      </c>
    </row>
    <row r="1508" spans="1:3" x14ac:dyDescent="0.15">
      <c r="A1508" s="124">
        <v>42989</v>
      </c>
      <c r="B1508" s="126">
        <v>66.513114929199219</v>
      </c>
      <c r="C1508" s="125">
        <f>IFERROR(yf_data[[#This Row],[Close Price]]/B1507-1,0)</f>
        <v>4.5390888452925271E-3</v>
      </c>
    </row>
    <row r="1509" spans="1:3" x14ac:dyDescent="0.15">
      <c r="A1509" s="124">
        <v>42990</v>
      </c>
      <c r="B1509" s="126">
        <v>66.372230529785156</v>
      </c>
      <c r="C1509" s="125">
        <f>IFERROR(yf_data[[#This Row],[Close Price]]/B1508-1,0)</f>
        <v>-2.1181446631093337E-3</v>
      </c>
    </row>
    <row r="1510" spans="1:3" x14ac:dyDescent="0.15">
      <c r="A1510" s="124">
        <v>42991</v>
      </c>
      <c r="B1510" s="126">
        <v>66.635200500488281</v>
      </c>
      <c r="C1510" s="125">
        <f>IFERROR(yf_data[[#This Row],[Close Price]]/B1509-1,0)</f>
        <v>3.9620481126532159E-3</v>
      </c>
    </row>
    <row r="1511" spans="1:3" x14ac:dyDescent="0.15">
      <c r="A1511" s="124">
        <v>42992</v>
      </c>
      <c r="B1511" s="126">
        <v>66.757301330566406</v>
      </c>
      <c r="C1511" s="125">
        <f>IFERROR(yf_data[[#This Row],[Close Price]]/B1510-1,0)</f>
        <v>1.8323773195103588E-3</v>
      </c>
    </row>
    <row r="1512" spans="1:3" x14ac:dyDescent="0.15">
      <c r="A1512" s="124">
        <v>42993</v>
      </c>
      <c r="B1512" s="126">
        <v>67.621353149414062</v>
      </c>
      <c r="C1512" s="125">
        <f>IFERROR(yf_data[[#This Row],[Close Price]]/B1511-1,0)</f>
        <v>1.2943180770131457E-2</v>
      </c>
    </row>
    <row r="1513" spans="1:3" x14ac:dyDescent="0.15">
      <c r="A1513" s="124">
        <v>42996</v>
      </c>
      <c r="B1513" s="126">
        <v>69.124038696289062</v>
      </c>
      <c r="C1513" s="125">
        <f>IFERROR(yf_data[[#This Row],[Close Price]]/B1512-1,0)</f>
        <v>2.2222056745222263E-2</v>
      </c>
    </row>
    <row r="1514" spans="1:3" x14ac:dyDescent="0.15">
      <c r="A1514" s="124">
        <v>42997</v>
      </c>
      <c r="B1514" s="126">
        <v>69.499717712402344</v>
      </c>
      <c r="C1514" s="125">
        <f>IFERROR(yf_data[[#This Row],[Close Price]]/B1513-1,0)</f>
        <v>5.4348533910744123E-3</v>
      </c>
    </row>
    <row r="1515" spans="1:3" x14ac:dyDescent="0.15">
      <c r="A1515" s="124">
        <v>42998</v>
      </c>
      <c r="B1515" s="126">
        <v>70.0538330078125</v>
      </c>
      <c r="C1515" s="125">
        <f>IFERROR(yf_data[[#This Row],[Close Price]]/B1514-1,0)</f>
        <v>7.9729143318703066E-3</v>
      </c>
    </row>
    <row r="1516" spans="1:3" x14ac:dyDescent="0.15">
      <c r="A1516" s="124">
        <v>42999</v>
      </c>
      <c r="B1516" s="126">
        <v>72.843215942382812</v>
      </c>
      <c r="C1516" s="125">
        <f>IFERROR(yf_data[[#This Row],[Close Price]]/B1515-1,0)</f>
        <v>3.9817706109803286E-2</v>
      </c>
    </row>
    <row r="1517" spans="1:3" x14ac:dyDescent="0.15">
      <c r="A1517" s="124">
        <v>43000</v>
      </c>
      <c r="B1517" s="126">
        <v>72.636589050292969</v>
      </c>
      <c r="C1517" s="125">
        <f>IFERROR(yf_data[[#This Row],[Close Price]]/B1516-1,0)</f>
        <v>-2.8365976078442712E-3</v>
      </c>
    </row>
    <row r="1518" spans="1:3" x14ac:dyDescent="0.15">
      <c r="A1518" s="124">
        <v>43003</v>
      </c>
      <c r="B1518" s="126">
        <v>73.106193542480469</v>
      </c>
      <c r="C1518" s="125">
        <f>IFERROR(yf_data[[#This Row],[Close Price]]/B1517-1,0)</f>
        <v>6.4651231332235604E-3</v>
      </c>
    </row>
    <row r="1519" spans="1:3" x14ac:dyDescent="0.15">
      <c r="A1519" s="124">
        <v>43004</v>
      </c>
      <c r="B1519" s="126">
        <v>73.989021301269531</v>
      </c>
      <c r="C1519" s="125">
        <f>IFERROR(yf_data[[#This Row],[Close Price]]/B1518-1,0)</f>
        <v>1.2075963964339964E-2</v>
      </c>
    </row>
    <row r="1520" spans="1:3" x14ac:dyDescent="0.15">
      <c r="A1520" s="124">
        <v>43005</v>
      </c>
      <c r="B1520" s="126">
        <v>75.482330322265625</v>
      </c>
      <c r="C1520" s="125">
        <f>IFERROR(yf_data[[#This Row],[Close Price]]/B1519-1,0)</f>
        <v>2.0182845978129915E-2</v>
      </c>
    </row>
    <row r="1521" spans="1:3" x14ac:dyDescent="0.15">
      <c r="A1521" s="124">
        <v>43006</v>
      </c>
      <c r="B1521" s="126">
        <v>75.134834289550781</v>
      </c>
      <c r="C1521" s="125">
        <f>IFERROR(yf_data[[#This Row],[Close Price]]/B1520-1,0)</f>
        <v>-4.603673882764836E-3</v>
      </c>
    </row>
    <row r="1522" spans="1:3" x14ac:dyDescent="0.15">
      <c r="A1522" s="124">
        <v>43007</v>
      </c>
      <c r="B1522" s="126">
        <v>75.5198974609375</v>
      </c>
      <c r="C1522" s="125">
        <f>IFERROR(yf_data[[#This Row],[Close Price]]/B1521-1,0)</f>
        <v>5.1249620103344107E-3</v>
      </c>
    </row>
    <row r="1523" spans="1:3" x14ac:dyDescent="0.15">
      <c r="A1523" s="124">
        <v>43010</v>
      </c>
      <c r="B1523" s="126">
        <v>75.698341369628906</v>
      </c>
      <c r="C1523" s="125">
        <f>IFERROR(yf_data[[#This Row],[Close Price]]/B1522-1,0)</f>
        <v>2.3628727618929535E-3</v>
      </c>
    </row>
    <row r="1524" spans="1:3" x14ac:dyDescent="0.15">
      <c r="A1524" s="124">
        <v>43011</v>
      </c>
      <c r="B1524" s="126">
        <v>76.675094604492188</v>
      </c>
      <c r="C1524" s="125">
        <f>IFERROR(yf_data[[#This Row],[Close Price]]/B1523-1,0)</f>
        <v>1.2903231658589087E-2</v>
      </c>
    </row>
    <row r="1525" spans="1:3" x14ac:dyDescent="0.15">
      <c r="A1525" s="124">
        <v>43012</v>
      </c>
      <c r="B1525" s="126">
        <v>77.144683837890625</v>
      </c>
      <c r="C1525" s="125">
        <f>IFERROR(yf_data[[#This Row],[Close Price]]/B1524-1,0)</f>
        <v>6.1244037039756005E-3</v>
      </c>
    </row>
    <row r="1526" spans="1:3" x14ac:dyDescent="0.15">
      <c r="A1526" s="124">
        <v>43013</v>
      </c>
      <c r="B1526" s="126">
        <v>76.825363159179688</v>
      </c>
      <c r="C1526" s="125">
        <f>IFERROR(yf_data[[#This Row],[Close Price]]/B1525-1,0)</f>
        <v>-4.1392441167034111E-3</v>
      </c>
    </row>
    <row r="1527" spans="1:3" x14ac:dyDescent="0.15">
      <c r="A1527" s="124">
        <v>43014</v>
      </c>
      <c r="B1527" s="126">
        <v>76.327590942382812</v>
      </c>
      <c r="C1527" s="125">
        <f>IFERROR(yf_data[[#This Row],[Close Price]]/B1526-1,0)</f>
        <v>-6.4792692976342048E-3</v>
      </c>
    </row>
    <row r="1528" spans="1:3" x14ac:dyDescent="0.15">
      <c r="A1528" s="124">
        <v>43017</v>
      </c>
      <c r="B1528" s="126">
        <v>74.608894348144531</v>
      </c>
      <c r="C1528" s="125">
        <f>IFERROR(yf_data[[#This Row],[Close Price]]/B1527-1,0)</f>
        <v>-2.2517369839900603E-2</v>
      </c>
    </row>
    <row r="1529" spans="1:3" x14ac:dyDescent="0.15">
      <c r="A1529" s="124">
        <v>43018</v>
      </c>
      <c r="B1529" s="126">
        <v>74.045372009277344</v>
      </c>
      <c r="C1529" s="125">
        <f>IFERROR(yf_data[[#This Row],[Close Price]]/B1528-1,0)</f>
        <v>-7.5530182264549328E-3</v>
      </c>
    </row>
    <row r="1530" spans="1:3" x14ac:dyDescent="0.15">
      <c r="A1530" s="124">
        <v>43019</v>
      </c>
      <c r="B1530" s="126">
        <v>73.247062683105469</v>
      </c>
      <c r="C1530" s="125">
        <f>IFERROR(yf_data[[#This Row],[Close Price]]/B1529-1,0)</f>
        <v>-1.0781353439237917E-2</v>
      </c>
    </row>
    <row r="1531" spans="1:3" x14ac:dyDescent="0.15">
      <c r="A1531" s="124">
        <v>43020</v>
      </c>
      <c r="B1531" s="126">
        <v>73.40673828125</v>
      </c>
      <c r="C1531" s="125">
        <f>IFERROR(yf_data[[#This Row],[Close Price]]/B1530-1,0)</f>
        <v>2.1799590631415011E-3</v>
      </c>
    </row>
    <row r="1532" spans="1:3" x14ac:dyDescent="0.15">
      <c r="A1532" s="124">
        <v>43021</v>
      </c>
      <c r="B1532" s="126">
        <v>72.505111694335938</v>
      </c>
      <c r="C1532" s="125">
        <f>IFERROR(yf_data[[#This Row],[Close Price]]/B1531-1,0)</f>
        <v>-1.2282613395238728E-2</v>
      </c>
    </row>
    <row r="1533" spans="1:3" x14ac:dyDescent="0.15">
      <c r="A1533" s="124">
        <v>43024</v>
      </c>
      <c r="B1533" s="126">
        <v>72.383018493652344</v>
      </c>
      <c r="C1533" s="125">
        <f>IFERROR(yf_data[[#This Row],[Close Price]]/B1532-1,0)</f>
        <v>-1.683925420297383E-3</v>
      </c>
    </row>
    <row r="1534" spans="1:3" x14ac:dyDescent="0.15">
      <c r="A1534" s="124">
        <v>43025</v>
      </c>
      <c r="B1534" s="126">
        <v>75.876785278320312</v>
      </c>
      <c r="C1534" s="125">
        <f>IFERROR(yf_data[[#This Row],[Close Price]]/B1533-1,0)</f>
        <v>4.8267768564727032E-2</v>
      </c>
    </row>
    <row r="1535" spans="1:3" x14ac:dyDescent="0.15">
      <c r="A1535" s="124">
        <v>43026</v>
      </c>
      <c r="B1535" s="126">
        <v>76.20550537109375</v>
      </c>
      <c r="C1535" s="125">
        <f>IFERROR(yf_data[[#This Row],[Close Price]]/B1534-1,0)</f>
        <v>4.3322880847900258E-3</v>
      </c>
    </row>
    <row r="1536" spans="1:3" x14ac:dyDescent="0.15">
      <c r="A1536" s="124">
        <v>43027</v>
      </c>
      <c r="B1536" s="126">
        <v>75.811042785644531</v>
      </c>
      <c r="C1536" s="125">
        <f>IFERROR(yf_data[[#This Row],[Close Price]]/B1535-1,0)</f>
        <v>-5.176300367385922E-3</v>
      </c>
    </row>
    <row r="1537" spans="1:3" x14ac:dyDescent="0.15">
      <c r="A1537" s="124">
        <v>43028</v>
      </c>
      <c r="B1537" s="126">
        <v>75.811042785644531</v>
      </c>
      <c r="C1537" s="125">
        <f>IFERROR(yf_data[[#This Row],[Close Price]]/B1536-1,0)</f>
        <v>0</v>
      </c>
    </row>
    <row r="1538" spans="1:3" x14ac:dyDescent="0.15">
      <c r="A1538" s="124">
        <v>43031</v>
      </c>
      <c r="B1538" s="126">
        <v>76.346382141113281</v>
      </c>
      <c r="C1538" s="125">
        <f>IFERROR(yf_data[[#This Row],[Close Price]]/B1537-1,0)</f>
        <v>7.0614957372689968E-3</v>
      </c>
    </row>
    <row r="1539" spans="1:3" x14ac:dyDescent="0.15">
      <c r="A1539" s="124">
        <v>43032</v>
      </c>
      <c r="B1539" s="126">
        <v>78.187179565429688</v>
      </c>
      <c r="C1539" s="125">
        <f>IFERROR(yf_data[[#This Row],[Close Price]]/B1538-1,0)</f>
        <v>2.4111128421435923E-2</v>
      </c>
    </row>
    <row r="1540" spans="1:3" x14ac:dyDescent="0.15">
      <c r="A1540" s="124">
        <v>43033</v>
      </c>
      <c r="B1540" s="126">
        <v>78.393806457519531</v>
      </c>
      <c r="C1540" s="125">
        <f>IFERROR(yf_data[[#This Row],[Close Price]]/B1539-1,0)</f>
        <v>2.6427208813297742E-3</v>
      </c>
    </row>
    <row r="1541" spans="1:3" x14ac:dyDescent="0.15">
      <c r="A1541" s="124">
        <v>43034</v>
      </c>
      <c r="B1541" s="126">
        <v>80.591499328613281</v>
      </c>
      <c r="C1541" s="125">
        <f>IFERROR(yf_data[[#This Row],[Close Price]]/B1540-1,0)</f>
        <v>2.8034011491515631E-2</v>
      </c>
    </row>
    <row r="1542" spans="1:3" x14ac:dyDescent="0.15">
      <c r="A1542" s="124">
        <v>43035</v>
      </c>
      <c r="B1542" s="126">
        <v>81.295883178710938</v>
      </c>
      <c r="C1542" s="125">
        <f>IFERROR(yf_data[[#This Row],[Close Price]]/B1541-1,0)</f>
        <v>8.7401755267701997E-3</v>
      </c>
    </row>
    <row r="1543" spans="1:3" x14ac:dyDescent="0.15">
      <c r="A1543" s="124">
        <v>43038</v>
      </c>
      <c r="B1543" s="126">
        <v>79.558387756347656</v>
      </c>
      <c r="C1543" s="125">
        <f>IFERROR(yf_data[[#This Row],[Close Price]]/B1542-1,0)</f>
        <v>-2.1372489656626081E-2</v>
      </c>
    </row>
    <row r="1544" spans="1:3" x14ac:dyDescent="0.15">
      <c r="A1544" s="124">
        <v>43039</v>
      </c>
      <c r="B1544" s="126">
        <v>82.413520812988281</v>
      </c>
      <c r="C1544" s="125">
        <f>IFERROR(yf_data[[#This Row],[Close Price]]/B1543-1,0)</f>
        <v>3.5887266410986607E-2</v>
      </c>
    </row>
    <row r="1545" spans="1:3" x14ac:dyDescent="0.15">
      <c r="A1545" s="124">
        <v>43040</v>
      </c>
      <c r="B1545" s="126">
        <v>82.066009521484375</v>
      </c>
      <c r="C1545" s="125">
        <f>IFERROR(yf_data[[#This Row],[Close Price]]/B1544-1,0)</f>
        <v>-4.2166781381962615E-3</v>
      </c>
    </row>
    <row r="1546" spans="1:3" x14ac:dyDescent="0.15">
      <c r="A1546" s="124">
        <v>43041</v>
      </c>
      <c r="B1546" s="126">
        <v>81.155006408691406</v>
      </c>
      <c r="C1546" s="125">
        <f>IFERROR(yf_data[[#This Row],[Close Price]]/B1545-1,0)</f>
        <v>-1.1100857932594743E-2</v>
      </c>
    </row>
    <row r="1547" spans="1:3" x14ac:dyDescent="0.15">
      <c r="A1547" s="124">
        <v>43042</v>
      </c>
      <c r="B1547" s="126">
        <v>81.868789672851562</v>
      </c>
      <c r="C1547" s="125">
        <f>IFERROR(yf_data[[#This Row],[Close Price]]/B1546-1,0)</f>
        <v>8.7953078404749974E-3</v>
      </c>
    </row>
    <row r="1548" spans="1:3" x14ac:dyDescent="0.15">
      <c r="A1548" s="124">
        <v>43045</v>
      </c>
      <c r="B1548" s="126">
        <v>81.35223388671875</v>
      </c>
      <c r="C1548" s="125">
        <f>IFERROR(yf_data[[#This Row],[Close Price]]/B1547-1,0)</f>
        <v>-6.3095568921560652E-3</v>
      </c>
    </row>
    <row r="1549" spans="1:3" x14ac:dyDescent="0.15">
      <c r="A1549" s="124">
        <v>43046</v>
      </c>
      <c r="B1549" s="126">
        <v>81.145622253417969</v>
      </c>
      <c r="C1549" s="125">
        <f>IFERROR(yf_data[[#This Row],[Close Price]]/B1548-1,0)</f>
        <v>-2.5397167776423091E-3</v>
      </c>
    </row>
    <row r="1550" spans="1:3" x14ac:dyDescent="0.15">
      <c r="A1550" s="124">
        <v>43047</v>
      </c>
      <c r="B1550" s="126">
        <v>80.262779235839844</v>
      </c>
      <c r="C1550" s="125">
        <f>IFERROR(yf_data[[#This Row],[Close Price]]/B1549-1,0)</f>
        <v>-1.0879736861478584E-2</v>
      </c>
    </row>
    <row r="1551" spans="1:3" x14ac:dyDescent="0.15">
      <c r="A1551" s="124">
        <v>43048</v>
      </c>
      <c r="B1551" s="126">
        <v>78.957313537597656</v>
      </c>
      <c r="C1551" s="125">
        <f>IFERROR(yf_data[[#This Row],[Close Price]]/B1550-1,0)</f>
        <v>-1.6264895268655932E-2</v>
      </c>
    </row>
    <row r="1552" spans="1:3" x14ac:dyDescent="0.15">
      <c r="A1552" s="124">
        <v>43049</v>
      </c>
      <c r="B1552" s="126">
        <v>78.62860107421875</v>
      </c>
      <c r="C1552" s="125">
        <f>IFERROR(yf_data[[#This Row],[Close Price]]/B1551-1,0)</f>
        <v>-4.1631667625365854E-3</v>
      </c>
    </row>
    <row r="1553" spans="1:3" x14ac:dyDescent="0.15">
      <c r="A1553" s="124">
        <v>43052</v>
      </c>
      <c r="B1553" s="126">
        <v>78.187179565429688</v>
      </c>
      <c r="C1553" s="125">
        <f>IFERROR(yf_data[[#This Row],[Close Price]]/B1552-1,0)</f>
        <v>-5.6140068977241775E-3</v>
      </c>
    </row>
    <row r="1554" spans="1:3" x14ac:dyDescent="0.15">
      <c r="A1554" s="124">
        <v>43053</v>
      </c>
      <c r="B1554" s="126">
        <v>78.459548950195312</v>
      </c>
      <c r="C1554" s="125">
        <f>IFERROR(yf_data[[#This Row],[Close Price]]/B1553-1,0)</f>
        <v>3.4835555685659436E-3</v>
      </c>
    </row>
    <row r="1555" spans="1:3" x14ac:dyDescent="0.15">
      <c r="A1555" s="124">
        <v>43054</v>
      </c>
      <c r="B1555" s="126">
        <v>80.300346374511719</v>
      </c>
      <c r="C1555" s="125">
        <f>IFERROR(yf_data[[#This Row],[Close Price]]/B1554-1,0)</f>
        <v>2.3461738551223466E-2</v>
      </c>
    </row>
    <row r="1556" spans="1:3" x14ac:dyDescent="0.15">
      <c r="A1556" s="124">
        <v>43055</v>
      </c>
      <c r="B1556" s="126">
        <v>80.290962219238281</v>
      </c>
      <c r="C1556" s="125">
        <f>IFERROR(yf_data[[#This Row],[Close Price]]/B1555-1,0)</f>
        <v>-1.1686319794523836E-4</v>
      </c>
    </row>
    <row r="1557" spans="1:3" x14ac:dyDescent="0.15">
      <c r="A1557" s="124">
        <v>43056</v>
      </c>
      <c r="B1557" s="126">
        <v>79.718048095703125</v>
      </c>
      <c r="C1557" s="125">
        <f>IFERROR(yf_data[[#This Row],[Close Price]]/B1556-1,0)</f>
        <v>-7.1354746250367196E-3</v>
      </c>
    </row>
    <row r="1558" spans="1:3" x14ac:dyDescent="0.15">
      <c r="A1558" s="124">
        <v>43059</v>
      </c>
      <c r="B1558" s="126">
        <v>80.018585205078125</v>
      </c>
      <c r="C1558" s="125">
        <f>IFERROR(yf_data[[#This Row],[Close Price]]/B1557-1,0)</f>
        <v>3.7700008536862839E-3</v>
      </c>
    </row>
    <row r="1559" spans="1:3" x14ac:dyDescent="0.15">
      <c r="A1559" s="124">
        <v>43060</v>
      </c>
      <c r="B1559" s="126">
        <v>80.788726806640625</v>
      </c>
      <c r="C1559" s="125">
        <f>IFERROR(yf_data[[#This Row],[Close Price]]/B1558-1,0)</f>
        <v>9.6245340952820779E-3</v>
      </c>
    </row>
    <row r="1560" spans="1:3" x14ac:dyDescent="0.15">
      <c r="A1560" s="124">
        <v>43061</v>
      </c>
      <c r="B1560" s="126">
        <v>80.14068603515625</v>
      </c>
      <c r="C1560" s="125">
        <f>IFERROR(yf_data[[#This Row],[Close Price]]/B1559-1,0)</f>
        <v>-8.0214257248464316E-3</v>
      </c>
    </row>
    <row r="1561" spans="1:3" x14ac:dyDescent="0.15">
      <c r="A1561" s="124">
        <v>43062</v>
      </c>
      <c r="B1561" s="126">
        <v>80.6666259765625</v>
      </c>
      <c r="C1561" s="125">
        <f>IFERROR(yf_data[[#This Row],[Close Price]]/B1560-1,0)</f>
        <v>6.5627082500332445E-3</v>
      </c>
    </row>
    <row r="1562" spans="1:3" x14ac:dyDescent="0.15">
      <c r="A1562" s="124">
        <v>43063</v>
      </c>
      <c r="B1562" s="126">
        <v>80.582107543945312</v>
      </c>
      <c r="C1562" s="125">
        <f>IFERROR(yf_data[[#This Row],[Close Price]]/B1561-1,0)</f>
        <v>-1.047749693184663E-3</v>
      </c>
    </row>
    <row r="1563" spans="1:3" x14ac:dyDescent="0.15">
      <c r="A1563" s="124">
        <v>43066</v>
      </c>
      <c r="B1563" s="126">
        <v>80.478797912597656</v>
      </c>
      <c r="C1563" s="125">
        <f>IFERROR(yf_data[[#This Row],[Close Price]]/B1562-1,0)</f>
        <v>-1.2820418141994416E-3</v>
      </c>
    </row>
    <row r="1564" spans="1:3" x14ac:dyDescent="0.15">
      <c r="A1564" s="124">
        <v>43067</v>
      </c>
      <c r="B1564" s="126">
        <v>81.549461364746094</v>
      </c>
      <c r="C1564" s="125">
        <f>IFERROR(yf_data[[#This Row],[Close Price]]/B1563-1,0)</f>
        <v>1.3303671027879993E-2</v>
      </c>
    </row>
    <row r="1565" spans="1:3" x14ac:dyDescent="0.15">
      <c r="A1565" s="124">
        <v>43068</v>
      </c>
      <c r="B1565" s="126">
        <v>81.981491088867188</v>
      </c>
      <c r="C1565" s="125">
        <f>IFERROR(yf_data[[#This Row],[Close Price]]/B1564-1,0)</f>
        <v>5.2977630617172533E-3</v>
      </c>
    </row>
    <row r="1566" spans="1:3" x14ac:dyDescent="0.15">
      <c r="A1566" s="124">
        <v>43069</v>
      </c>
      <c r="B1566" s="126">
        <v>81.981491088867188</v>
      </c>
      <c r="C1566" s="125">
        <f>IFERROR(yf_data[[#This Row],[Close Price]]/B1565-1,0)</f>
        <v>0</v>
      </c>
    </row>
    <row r="1567" spans="1:3" x14ac:dyDescent="0.15">
      <c r="A1567" s="124">
        <v>43070</v>
      </c>
      <c r="B1567" s="126">
        <v>80.121902465820312</v>
      </c>
      <c r="C1567" s="125">
        <f>IFERROR(yf_data[[#This Row],[Close Price]]/B1566-1,0)</f>
        <v>-2.2683030015044459E-2</v>
      </c>
    </row>
    <row r="1568" spans="1:3" x14ac:dyDescent="0.15">
      <c r="A1568" s="124">
        <v>43073</v>
      </c>
      <c r="B1568" s="126">
        <v>82.526222229003906</v>
      </c>
      <c r="C1568" s="125">
        <f>IFERROR(yf_data[[#This Row],[Close Price]]/B1567-1,0)</f>
        <v>3.0008271011902954E-2</v>
      </c>
    </row>
    <row r="1569" spans="1:3" x14ac:dyDescent="0.15">
      <c r="A1569" s="124">
        <v>43074</v>
      </c>
      <c r="B1569" s="126">
        <v>83.183647155761719</v>
      </c>
      <c r="C1569" s="125">
        <f>IFERROR(yf_data[[#This Row],[Close Price]]/B1568-1,0)</f>
        <v>7.9662549551040573E-3</v>
      </c>
    </row>
    <row r="1570" spans="1:3" x14ac:dyDescent="0.15">
      <c r="A1570" s="124">
        <v>43075</v>
      </c>
      <c r="B1570" s="126">
        <v>83.456008911132812</v>
      </c>
      <c r="C1570" s="125">
        <f>IFERROR(yf_data[[#This Row],[Close Price]]/B1569-1,0)</f>
        <v>3.2742223343620314E-3</v>
      </c>
    </row>
    <row r="1571" spans="1:3" x14ac:dyDescent="0.15">
      <c r="A1571" s="124">
        <v>43076</v>
      </c>
      <c r="B1571" s="126">
        <v>82.667091369628906</v>
      </c>
      <c r="C1571" s="125">
        <f>IFERROR(yf_data[[#This Row],[Close Price]]/B1570-1,0)</f>
        <v>-9.4530945320423498E-3</v>
      </c>
    </row>
    <row r="1572" spans="1:3" x14ac:dyDescent="0.15">
      <c r="A1572" s="124">
        <v>43077</v>
      </c>
      <c r="B1572" s="126">
        <v>82.432296752929688</v>
      </c>
      <c r="C1572" s="125">
        <f>IFERROR(yf_data[[#This Row],[Close Price]]/B1571-1,0)</f>
        <v>-2.8402428682217096E-3</v>
      </c>
    </row>
    <row r="1573" spans="1:3" x14ac:dyDescent="0.15">
      <c r="A1573" s="124">
        <v>43080</v>
      </c>
      <c r="B1573" s="126">
        <v>80.704193115234375</v>
      </c>
      <c r="C1573" s="125">
        <f>IFERROR(yf_data[[#This Row],[Close Price]]/B1572-1,0)</f>
        <v>-2.096391470050718E-2</v>
      </c>
    </row>
    <row r="1574" spans="1:3" x14ac:dyDescent="0.15">
      <c r="A1574" s="124">
        <v>43081</v>
      </c>
      <c r="B1574" s="126">
        <v>81.925148010253906</v>
      </c>
      <c r="C1574" s="125">
        <f>IFERROR(yf_data[[#This Row],[Close Price]]/B1573-1,0)</f>
        <v>1.5128766522405801E-2</v>
      </c>
    </row>
    <row r="1575" spans="1:3" x14ac:dyDescent="0.15">
      <c r="A1575" s="124">
        <v>43082</v>
      </c>
      <c r="B1575" s="126">
        <v>81.004737854003906</v>
      </c>
      <c r="C1575" s="125">
        <f>IFERROR(yf_data[[#This Row],[Close Price]]/B1574-1,0)</f>
        <v>-1.123476952565039E-2</v>
      </c>
    </row>
    <row r="1576" spans="1:3" x14ac:dyDescent="0.15">
      <c r="A1576" s="124">
        <v>43083</v>
      </c>
      <c r="B1576" s="126">
        <v>80.150070190429688</v>
      </c>
      <c r="C1576" s="125">
        <f>IFERROR(yf_data[[#This Row],[Close Price]]/B1575-1,0)</f>
        <v>-1.0550835496987876E-2</v>
      </c>
    </row>
    <row r="1577" spans="1:3" x14ac:dyDescent="0.15">
      <c r="A1577" s="124">
        <v>43084</v>
      </c>
      <c r="B1577" s="126">
        <v>80.0655517578125</v>
      </c>
      <c r="C1577" s="125">
        <f>IFERROR(yf_data[[#This Row],[Close Price]]/B1576-1,0)</f>
        <v>-1.0545022907201274E-3</v>
      </c>
    </row>
    <row r="1578" spans="1:3" x14ac:dyDescent="0.15">
      <c r="A1578" s="124">
        <v>43087</v>
      </c>
      <c r="B1578" s="126">
        <v>81.267707824707031</v>
      </c>
      <c r="C1578" s="125">
        <f>IFERROR(yf_data[[#This Row],[Close Price]]/B1577-1,0)</f>
        <v>1.5014647879163956E-2</v>
      </c>
    </row>
    <row r="1579" spans="1:3" x14ac:dyDescent="0.15">
      <c r="A1579" s="124">
        <v>43088</v>
      </c>
      <c r="B1579" s="126">
        <v>80.460006713867188</v>
      </c>
      <c r="C1579" s="125">
        <f>IFERROR(yf_data[[#This Row],[Close Price]]/B1578-1,0)</f>
        <v>-9.9387706686897559E-3</v>
      </c>
    </row>
    <row r="1580" spans="1:3" x14ac:dyDescent="0.15">
      <c r="A1580" s="124">
        <v>43089</v>
      </c>
      <c r="B1580" s="126">
        <v>79.642929077148438</v>
      </c>
      <c r="C1580" s="125">
        <f>IFERROR(yf_data[[#This Row],[Close Price]]/B1579-1,0)</f>
        <v>-1.0155077908760912E-2</v>
      </c>
    </row>
    <row r="1581" spans="1:3" x14ac:dyDescent="0.15">
      <c r="A1581" s="124">
        <v>43090</v>
      </c>
      <c r="B1581" s="126">
        <v>79.755615234375</v>
      </c>
      <c r="C1581" s="125">
        <f>IFERROR(yf_data[[#This Row],[Close Price]]/B1580-1,0)</f>
        <v>1.4148921760199773E-3</v>
      </c>
    </row>
    <row r="1582" spans="1:3" x14ac:dyDescent="0.15">
      <c r="A1582" s="124">
        <v>43091</v>
      </c>
      <c r="B1582" s="126">
        <v>79.408126831054688</v>
      </c>
      <c r="C1582" s="125">
        <f>IFERROR(yf_data[[#This Row],[Close Price]]/B1581-1,0)</f>
        <v>-4.3569145858778358E-3</v>
      </c>
    </row>
    <row r="1583" spans="1:3" x14ac:dyDescent="0.15">
      <c r="A1583" s="124">
        <v>43096</v>
      </c>
      <c r="B1583" s="126">
        <v>80.056159973144531</v>
      </c>
      <c r="C1583" s="125">
        <f>IFERROR(yf_data[[#This Row],[Close Price]]/B1582-1,0)</f>
        <v>8.1607911929288957E-3</v>
      </c>
    </row>
    <row r="1584" spans="1:3" x14ac:dyDescent="0.15">
      <c r="A1584" s="124">
        <v>43097</v>
      </c>
      <c r="B1584" s="126">
        <v>78.797660827636719</v>
      </c>
      <c r="C1584" s="125">
        <f>IFERROR(yf_data[[#This Row],[Close Price]]/B1583-1,0)</f>
        <v>-1.5720203741098615E-2</v>
      </c>
    </row>
    <row r="1585" spans="1:3" x14ac:dyDescent="0.15">
      <c r="A1585" s="124">
        <v>43098</v>
      </c>
      <c r="B1585" s="126">
        <v>77.952384948730469</v>
      </c>
      <c r="C1585" s="125">
        <f>IFERROR(yf_data[[#This Row],[Close Price]]/B1584-1,0)</f>
        <v>-1.0727169690420424E-2</v>
      </c>
    </row>
    <row r="1586" spans="1:3" x14ac:dyDescent="0.15">
      <c r="A1586" s="124">
        <v>43102</v>
      </c>
      <c r="B1586" s="126">
        <v>77.71759033203125</v>
      </c>
      <c r="C1586" s="125">
        <f>IFERROR(yf_data[[#This Row],[Close Price]]/B1585-1,0)</f>
        <v>-3.0120260830203138E-3</v>
      </c>
    </row>
    <row r="1587" spans="1:3" x14ac:dyDescent="0.15">
      <c r="A1587" s="124">
        <v>43103</v>
      </c>
      <c r="B1587" s="126">
        <v>79.0042724609375</v>
      </c>
      <c r="C1587" s="125">
        <f>IFERROR(yf_data[[#This Row],[Close Price]]/B1586-1,0)</f>
        <v>1.6555867512221933E-2</v>
      </c>
    </row>
    <row r="1588" spans="1:3" x14ac:dyDescent="0.15">
      <c r="A1588" s="124">
        <v>43104</v>
      </c>
      <c r="B1588" s="126">
        <v>80.600883483886719</v>
      </c>
      <c r="C1588" s="125">
        <f>IFERROR(yf_data[[#This Row],[Close Price]]/B1587-1,0)</f>
        <v>2.0209173165143035E-2</v>
      </c>
    </row>
    <row r="1589" spans="1:3" x14ac:dyDescent="0.15">
      <c r="A1589" s="124">
        <v>43105</v>
      </c>
      <c r="B1589" s="126">
        <v>80.394271850585938</v>
      </c>
      <c r="C1589" s="125">
        <f>IFERROR(yf_data[[#This Row],[Close Price]]/B1588-1,0)</f>
        <v>-2.5633916697958004E-3</v>
      </c>
    </row>
    <row r="1590" spans="1:3" x14ac:dyDescent="0.15">
      <c r="A1590" s="124">
        <v>43108</v>
      </c>
      <c r="B1590" s="126">
        <v>81.35223388671875</v>
      </c>
      <c r="C1590" s="125">
        <f>IFERROR(yf_data[[#This Row],[Close Price]]/B1589-1,0)</f>
        <v>1.191579964693501E-2</v>
      </c>
    </row>
    <row r="1591" spans="1:3" x14ac:dyDescent="0.15">
      <c r="A1591" s="124">
        <v>43109</v>
      </c>
      <c r="B1591" s="126">
        <v>81.596420288085938</v>
      </c>
      <c r="C1591" s="125">
        <f>IFERROR(yf_data[[#This Row],[Close Price]]/B1590-1,0)</f>
        <v>3.0015942980399224E-3</v>
      </c>
    </row>
    <row r="1592" spans="1:3" x14ac:dyDescent="0.15">
      <c r="A1592" s="124">
        <v>43110</v>
      </c>
      <c r="B1592" s="126">
        <v>84.780258178710938</v>
      </c>
      <c r="C1592" s="125">
        <f>IFERROR(yf_data[[#This Row],[Close Price]]/B1591-1,0)</f>
        <v>3.9019332948480923E-2</v>
      </c>
    </row>
    <row r="1593" spans="1:3" x14ac:dyDescent="0.15">
      <c r="A1593" s="124">
        <v>43111</v>
      </c>
      <c r="B1593" s="126">
        <v>84.545463562011719</v>
      </c>
      <c r="C1593" s="125">
        <f>IFERROR(yf_data[[#This Row],[Close Price]]/B1592-1,0)</f>
        <v>-2.7694491824298284E-3</v>
      </c>
    </row>
    <row r="1594" spans="1:3" x14ac:dyDescent="0.15">
      <c r="A1594" s="124">
        <v>43112</v>
      </c>
      <c r="B1594" s="126">
        <v>84.902359008789062</v>
      </c>
      <c r="C1594" s="125">
        <f>IFERROR(yf_data[[#This Row],[Close Price]]/B1593-1,0)</f>
        <v>4.2213435439450997E-3</v>
      </c>
    </row>
    <row r="1595" spans="1:3" x14ac:dyDescent="0.15">
      <c r="A1595" s="124">
        <v>43115</v>
      </c>
      <c r="B1595" s="126">
        <v>84.526687622070312</v>
      </c>
      <c r="C1595" s="125">
        <f>IFERROR(yf_data[[#This Row],[Close Price]]/B1594-1,0)</f>
        <v>-4.4247461566981894E-3</v>
      </c>
    </row>
    <row r="1596" spans="1:3" x14ac:dyDescent="0.15">
      <c r="A1596" s="124">
        <v>43116</v>
      </c>
      <c r="B1596" s="126">
        <v>84.498504638671875</v>
      </c>
      <c r="C1596" s="125">
        <f>IFERROR(yf_data[[#This Row],[Close Price]]/B1595-1,0)</f>
        <v>-3.3342112640744048E-4</v>
      </c>
    </row>
    <row r="1597" spans="1:3" x14ac:dyDescent="0.15">
      <c r="A1597" s="124">
        <v>43117</v>
      </c>
      <c r="B1597" s="126">
        <v>84.282501220703125</v>
      </c>
      <c r="C1597" s="125">
        <f>IFERROR(yf_data[[#This Row],[Close Price]]/B1596-1,0)</f>
        <v>-2.5562987048399766E-3</v>
      </c>
    </row>
    <row r="1598" spans="1:3" x14ac:dyDescent="0.15">
      <c r="A1598" s="124">
        <v>43118</v>
      </c>
      <c r="B1598" s="126">
        <v>84.902359008789062</v>
      </c>
      <c r="C1598" s="125">
        <f>IFERROR(yf_data[[#This Row],[Close Price]]/B1597-1,0)</f>
        <v>7.3545253060629534E-3</v>
      </c>
    </row>
    <row r="1599" spans="1:3" x14ac:dyDescent="0.15">
      <c r="A1599" s="124">
        <v>43119</v>
      </c>
      <c r="B1599" s="126">
        <v>87.147010803222656</v>
      </c>
      <c r="C1599" s="125">
        <f>IFERROR(yf_data[[#This Row],[Close Price]]/B1598-1,0)</f>
        <v>2.6438038007886577E-2</v>
      </c>
    </row>
    <row r="1600" spans="1:3" x14ac:dyDescent="0.15">
      <c r="A1600" s="124">
        <v>43122</v>
      </c>
      <c r="B1600" s="126">
        <v>87.57904052734375</v>
      </c>
      <c r="C1600" s="125">
        <f>IFERROR(yf_data[[#This Row],[Close Price]]/B1599-1,0)</f>
        <v>4.957481847502665E-3</v>
      </c>
    </row>
    <row r="1601" spans="1:3" x14ac:dyDescent="0.15">
      <c r="A1601" s="124">
        <v>43123</v>
      </c>
      <c r="B1601" s="126">
        <v>86.498970031738281</v>
      </c>
      <c r="C1601" s="125">
        <f>IFERROR(yf_data[[#This Row],[Close Price]]/B1600-1,0)</f>
        <v>-1.233252258876083E-2</v>
      </c>
    </row>
    <row r="1602" spans="1:3" x14ac:dyDescent="0.15">
      <c r="A1602" s="124">
        <v>43124</v>
      </c>
      <c r="B1602" s="126">
        <v>84.99627685546875</v>
      </c>
      <c r="C1602" s="125">
        <f>IFERROR(yf_data[[#This Row],[Close Price]]/B1601-1,0)</f>
        <v>-1.7372382303721734E-2</v>
      </c>
    </row>
    <row r="1603" spans="1:3" x14ac:dyDescent="0.15">
      <c r="A1603" s="124">
        <v>43125</v>
      </c>
      <c r="B1603" s="126">
        <v>82.6483154296875</v>
      </c>
      <c r="C1603" s="125">
        <f>IFERROR(yf_data[[#This Row],[Close Price]]/B1602-1,0)</f>
        <v>-2.7624285588106701E-2</v>
      </c>
    </row>
    <row r="1604" spans="1:3" x14ac:dyDescent="0.15">
      <c r="A1604" s="124">
        <v>43126</v>
      </c>
      <c r="B1604" s="126">
        <v>84.113441467285156</v>
      </c>
      <c r="C1604" s="125">
        <f>IFERROR(yf_data[[#This Row],[Close Price]]/B1603-1,0)</f>
        <v>1.7727234124258695E-2</v>
      </c>
    </row>
    <row r="1605" spans="1:3" x14ac:dyDescent="0.15">
      <c r="A1605" s="124">
        <v>43129</v>
      </c>
      <c r="B1605" s="126">
        <v>84.921142578125</v>
      </c>
      <c r="C1605" s="125">
        <f>IFERROR(yf_data[[#This Row],[Close Price]]/B1604-1,0)</f>
        <v>9.6025212706816188E-3</v>
      </c>
    </row>
    <row r="1606" spans="1:3" x14ac:dyDescent="0.15">
      <c r="A1606" s="124">
        <v>43130</v>
      </c>
      <c r="B1606" s="126">
        <v>84.338851928710938</v>
      </c>
      <c r="C1606" s="125">
        <f>IFERROR(yf_data[[#This Row],[Close Price]]/B1605-1,0)</f>
        <v>-6.8568395541589444E-3</v>
      </c>
    </row>
    <row r="1607" spans="1:3" x14ac:dyDescent="0.15">
      <c r="A1607" s="124">
        <v>43131</v>
      </c>
      <c r="B1607" s="126">
        <v>86.874649047851562</v>
      </c>
      <c r="C1607" s="125">
        <f>IFERROR(yf_data[[#This Row],[Close Price]]/B1606-1,0)</f>
        <v>3.0066773036987238E-2</v>
      </c>
    </row>
    <row r="1608" spans="1:3" x14ac:dyDescent="0.15">
      <c r="A1608" s="124">
        <v>43132</v>
      </c>
      <c r="B1608" s="126">
        <v>85.625526428222656</v>
      </c>
      <c r="C1608" s="125">
        <f>IFERROR(yf_data[[#This Row],[Close Price]]/B1607-1,0)</f>
        <v>-1.4378447951379658E-2</v>
      </c>
    </row>
    <row r="1609" spans="1:3" x14ac:dyDescent="0.15">
      <c r="A1609" s="124">
        <v>43133</v>
      </c>
      <c r="B1609" s="126">
        <v>82.620132446289062</v>
      </c>
      <c r="C1609" s="125">
        <f>IFERROR(yf_data[[#This Row],[Close Price]]/B1608-1,0)</f>
        <v>-3.509927596711393E-2</v>
      </c>
    </row>
    <row r="1610" spans="1:3" x14ac:dyDescent="0.15">
      <c r="A1610" s="124">
        <v>43136</v>
      </c>
      <c r="B1610" s="126">
        <v>81.333457946777344</v>
      </c>
      <c r="C1610" s="125">
        <f>IFERROR(yf_data[[#This Row],[Close Price]]/B1609-1,0)</f>
        <v>-1.5573377352646856E-2</v>
      </c>
    </row>
    <row r="1611" spans="1:3" x14ac:dyDescent="0.15">
      <c r="A1611" s="124">
        <v>43137</v>
      </c>
      <c r="B1611" s="126">
        <v>79.840156555175781</v>
      </c>
      <c r="C1611" s="125">
        <f>IFERROR(yf_data[[#This Row],[Close Price]]/B1610-1,0)</f>
        <v>-1.8360234881181881E-2</v>
      </c>
    </row>
    <row r="1612" spans="1:3" x14ac:dyDescent="0.15">
      <c r="A1612" s="124">
        <v>43138</v>
      </c>
      <c r="B1612" s="126">
        <v>83.02398681640625</v>
      </c>
      <c r="C1612" s="125">
        <f>IFERROR(yf_data[[#This Row],[Close Price]]/B1611-1,0)</f>
        <v>3.9877555338085902E-2</v>
      </c>
    </row>
    <row r="1613" spans="1:3" x14ac:dyDescent="0.15">
      <c r="A1613" s="124">
        <v>43139</v>
      </c>
      <c r="B1613" s="126">
        <v>80.309738159179688</v>
      </c>
      <c r="C1613" s="125">
        <f>IFERROR(yf_data[[#This Row],[Close Price]]/B1612-1,0)</f>
        <v>-3.269234303609958E-2</v>
      </c>
    </row>
    <row r="1614" spans="1:3" x14ac:dyDescent="0.15">
      <c r="A1614" s="124">
        <v>43140</v>
      </c>
      <c r="B1614" s="126">
        <v>78.459548950195312</v>
      </c>
      <c r="C1614" s="125">
        <f>IFERROR(yf_data[[#This Row],[Close Price]]/B1613-1,0)</f>
        <v>-2.303816761694788E-2</v>
      </c>
    </row>
    <row r="1615" spans="1:3" x14ac:dyDescent="0.15">
      <c r="A1615" s="124">
        <v>43143</v>
      </c>
      <c r="B1615" s="126">
        <v>77.501571655273438</v>
      </c>
      <c r="C1615" s="125">
        <f>IFERROR(yf_data[[#This Row],[Close Price]]/B1614-1,0)</f>
        <v>-1.2209824141736769E-2</v>
      </c>
    </row>
    <row r="1616" spans="1:3" x14ac:dyDescent="0.15">
      <c r="A1616" s="124">
        <v>43144</v>
      </c>
      <c r="B1616" s="126">
        <v>78.093269348144531</v>
      </c>
      <c r="C1616" s="125">
        <f>IFERROR(yf_data[[#This Row],[Close Price]]/B1615-1,0)</f>
        <v>7.6346541138927471E-3</v>
      </c>
    </row>
    <row r="1617" spans="1:3" x14ac:dyDescent="0.15">
      <c r="A1617" s="124">
        <v>43145</v>
      </c>
      <c r="B1617" s="126">
        <v>79.051231384277344</v>
      </c>
      <c r="C1617" s="125">
        <f>IFERROR(yf_data[[#This Row],[Close Price]]/B1616-1,0)</f>
        <v>1.2266896291179163E-2</v>
      </c>
    </row>
    <row r="1618" spans="1:3" x14ac:dyDescent="0.15">
      <c r="A1618" s="124">
        <v>43146</v>
      </c>
      <c r="B1618" s="126">
        <v>87.175186157226562</v>
      </c>
      <c r="C1618" s="125">
        <f>IFERROR(yf_data[[#This Row],[Close Price]]/B1617-1,0)</f>
        <v>0.10276822549996356</v>
      </c>
    </row>
    <row r="1619" spans="1:3" x14ac:dyDescent="0.15">
      <c r="A1619" s="124">
        <v>43147</v>
      </c>
      <c r="B1619" s="126">
        <v>89.720382690429688</v>
      </c>
      <c r="C1619" s="125">
        <f>IFERROR(yf_data[[#This Row],[Close Price]]/B1618-1,0)</f>
        <v>2.9196341819249794E-2</v>
      </c>
    </row>
    <row r="1620" spans="1:3" x14ac:dyDescent="0.15">
      <c r="A1620" s="124">
        <v>43150</v>
      </c>
      <c r="B1620" s="126">
        <v>89.119300842285156</v>
      </c>
      <c r="C1620" s="125">
        <f>IFERROR(yf_data[[#This Row],[Close Price]]/B1619-1,0)</f>
        <v>-6.6995016084415715E-3</v>
      </c>
    </row>
    <row r="1621" spans="1:3" x14ac:dyDescent="0.15">
      <c r="A1621" s="124">
        <v>43151</v>
      </c>
      <c r="B1621" s="126">
        <v>91.091583251953125</v>
      </c>
      <c r="C1621" s="125">
        <f>IFERROR(yf_data[[#This Row],[Close Price]]/B1620-1,0)</f>
        <v>2.2130811070413703E-2</v>
      </c>
    </row>
    <row r="1622" spans="1:3" x14ac:dyDescent="0.15">
      <c r="A1622" s="124">
        <v>43152</v>
      </c>
      <c r="B1622" s="126">
        <v>91.720848083496094</v>
      </c>
      <c r="C1622" s="125">
        <f>IFERROR(yf_data[[#This Row],[Close Price]]/B1621-1,0)</f>
        <v>6.9080458268298006E-3</v>
      </c>
    </row>
    <row r="1623" spans="1:3" x14ac:dyDescent="0.15">
      <c r="A1623" s="124">
        <v>43153</v>
      </c>
      <c r="B1623" s="126">
        <v>91.758415222167955</v>
      </c>
      <c r="C1623" s="125">
        <f>IFERROR(yf_data[[#This Row],[Close Price]]/B1622-1,0)</f>
        <v>4.0958123978152017E-4</v>
      </c>
    </row>
    <row r="1624" spans="1:3" x14ac:dyDescent="0.15">
      <c r="A1624" s="124">
        <v>43154</v>
      </c>
      <c r="B1624" s="126">
        <v>92.321914672851562</v>
      </c>
      <c r="C1624" s="125">
        <f>IFERROR(yf_data[[#This Row],[Close Price]]/B1623-1,0)</f>
        <v>6.141120128537958E-3</v>
      </c>
    </row>
    <row r="1625" spans="1:3" x14ac:dyDescent="0.15">
      <c r="A1625" s="124">
        <v>43157</v>
      </c>
      <c r="B1625" s="126">
        <v>92.922996520996094</v>
      </c>
      <c r="C1625" s="125">
        <f>IFERROR(yf_data[[#This Row],[Close Price]]/B1624-1,0)</f>
        <v>6.5107168788094416E-3</v>
      </c>
    </row>
    <row r="1626" spans="1:3" x14ac:dyDescent="0.15">
      <c r="A1626" s="124">
        <v>43158</v>
      </c>
      <c r="B1626" s="126">
        <v>92.706993103027344</v>
      </c>
      <c r="C1626" s="125">
        <f>IFERROR(yf_data[[#This Row],[Close Price]]/B1625-1,0)</f>
        <v>-2.3245421053543769E-3</v>
      </c>
    </row>
    <row r="1627" spans="1:3" x14ac:dyDescent="0.15">
      <c r="A1627" s="124">
        <v>43159</v>
      </c>
      <c r="B1627" s="126">
        <v>92.359481811523438</v>
      </c>
      <c r="C1627" s="125">
        <f>IFERROR(yf_data[[#This Row],[Close Price]]/B1626-1,0)</f>
        <v>-3.7484905924810574E-3</v>
      </c>
    </row>
    <row r="1628" spans="1:3" x14ac:dyDescent="0.15">
      <c r="A1628" s="124">
        <v>43160</v>
      </c>
      <c r="B1628" s="126">
        <v>91.194900512695327</v>
      </c>
      <c r="C1628" s="125">
        <f>IFERROR(yf_data[[#This Row],[Close Price]]/B1627-1,0)</f>
        <v>-1.2609222962128075E-2</v>
      </c>
    </row>
    <row r="1629" spans="1:3" x14ac:dyDescent="0.15">
      <c r="A1629" s="124">
        <v>43161</v>
      </c>
      <c r="B1629" s="126">
        <v>88.236465454101562</v>
      </c>
      <c r="C1629" s="125">
        <f>IFERROR(yf_data[[#This Row],[Close Price]]/B1628-1,0)</f>
        <v>-3.2440794846658294E-2</v>
      </c>
    </row>
    <row r="1630" spans="1:3" x14ac:dyDescent="0.15">
      <c r="A1630" s="124">
        <v>43164</v>
      </c>
      <c r="B1630" s="126">
        <v>89.927001953125</v>
      </c>
      <c r="C1630" s="125">
        <f>IFERROR(yf_data[[#This Row],[Close Price]]/B1629-1,0)</f>
        <v>1.915915931495249E-2</v>
      </c>
    </row>
    <row r="1631" spans="1:3" x14ac:dyDescent="0.15">
      <c r="A1631" s="124">
        <v>43165</v>
      </c>
      <c r="B1631" s="126">
        <v>90.274505615234375</v>
      </c>
      <c r="C1631" s="125">
        <f>IFERROR(yf_data[[#This Row],[Close Price]]/B1630-1,0)</f>
        <v>3.8642860827331482E-3</v>
      </c>
    </row>
    <row r="1632" spans="1:3" x14ac:dyDescent="0.15">
      <c r="A1632" s="124">
        <v>43166</v>
      </c>
      <c r="B1632" s="126">
        <v>89.898826599121094</v>
      </c>
      <c r="C1632" s="125">
        <f>IFERROR(yf_data[[#This Row],[Close Price]]/B1631-1,0)</f>
        <v>-4.1615183993860549E-3</v>
      </c>
    </row>
    <row r="1633" spans="1:3" x14ac:dyDescent="0.15">
      <c r="A1633" s="124">
        <v>43167</v>
      </c>
      <c r="B1633" s="126">
        <v>91.185501098632798</v>
      </c>
      <c r="C1633" s="125">
        <f>IFERROR(yf_data[[#This Row],[Close Price]]/B1632-1,0)</f>
        <v>1.4312472678306154E-2</v>
      </c>
    </row>
    <row r="1634" spans="1:3" x14ac:dyDescent="0.15">
      <c r="A1634" s="124">
        <v>43168</v>
      </c>
      <c r="B1634" s="126">
        <v>92.350105285644517</v>
      </c>
      <c r="C1634" s="125">
        <f>IFERROR(yf_data[[#This Row],[Close Price]]/B1633-1,0)</f>
        <v>1.2771813204732974E-2</v>
      </c>
    </row>
    <row r="1635" spans="1:3" x14ac:dyDescent="0.15">
      <c r="A1635" s="124">
        <v>43171</v>
      </c>
      <c r="B1635" s="126">
        <v>90.039703369140625</v>
      </c>
      <c r="C1635" s="125">
        <f>IFERROR(yf_data[[#This Row],[Close Price]]/B1634-1,0)</f>
        <v>-2.5017859041499446E-2</v>
      </c>
    </row>
    <row r="1636" spans="1:3" x14ac:dyDescent="0.15">
      <c r="A1636" s="124">
        <v>43172</v>
      </c>
      <c r="B1636" s="126">
        <v>89.84246826171875</v>
      </c>
      <c r="C1636" s="125">
        <f>IFERROR(yf_data[[#This Row],[Close Price]]/B1635-1,0)</f>
        <v>-2.1905348423156834E-3</v>
      </c>
    </row>
    <row r="1637" spans="1:3" x14ac:dyDescent="0.15">
      <c r="A1637" s="124">
        <v>43173</v>
      </c>
      <c r="B1637" s="126">
        <v>89.457405090332031</v>
      </c>
      <c r="C1637" s="125">
        <f>IFERROR(yf_data[[#This Row],[Close Price]]/B1636-1,0)</f>
        <v>-4.2859816614231327E-3</v>
      </c>
    </row>
    <row r="1638" spans="1:3" x14ac:dyDescent="0.15">
      <c r="A1638" s="124">
        <v>43174</v>
      </c>
      <c r="B1638" s="126">
        <v>90.950706481933594</v>
      </c>
      <c r="C1638" s="125">
        <f>IFERROR(yf_data[[#This Row],[Close Price]]/B1637-1,0)</f>
        <v>1.6692876236390486E-2</v>
      </c>
    </row>
    <row r="1639" spans="1:3" x14ac:dyDescent="0.15">
      <c r="A1639" s="124">
        <v>43175</v>
      </c>
      <c r="B1639" s="126">
        <v>90.161796569824219</v>
      </c>
      <c r="C1639" s="125">
        <f>IFERROR(yf_data[[#This Row],[Close Price]]/B1638-1,0)</f>
        <v>-8.6740383073998784E-3</v>
      </c>
    </row>
    <row r="1640" spans="1:3" x14ac:dyDescent="0.15">
      <c r="A1640" s="124">
        <v>43178</v>
      </c>
      <c r="B1640" s="126">
        <v>88.687271118164062</v>
      </c>
      <c r="C1640" s="125">
        <f>IFERROR(yf_data[[#This Row],[Close Price]]/B1639-1,0)</f>
        <v>-1.6354215507653924E-2</v>
      </c>
    </row>
    <row r="1641" spans="1:3" x14ac:dyDescent="0.15">
      <c r="A1641" s="124">
        <v>43179</v>
      </c>
      <c r="B1641" s="126">
        <v>90.565643310546875</v>
      </c>
      <c r="C1641" s="125">
        <f>IFERROR(yf_data[[#This Row],[Close Price]]/B1640-1,0)</f>
        <v>2.1179727019451589E-2</v>
      </c>
    </row>
    <row r="1642" spans="1:3" x14ac:dyDescent="0.15">
      <c r="A1642" s="124">
        <v>43180</v>
      </c>
      <c r="B1642" s="126">
        <v>89.70159912109375</v>
      </c>
      <c r="C1642" s="125">
        <f>IFERROR(yf_data[[#This Row],[Close Price]]/B1641-1,0)</f>
        <v>-9.5405294752928249E-3</v>
      </c>
    </row>
    <row r="1643" spans="1:3" x14ac:dyDescent="0.15">
      <c r="A1643" s="124">
        <v>43181</v>
      </c>
      <c r="B1643" s="126">
        <v>88.875114440917969</v>
      </c>
      <c r="C1643" s="125">
        <f>IFERROR(yf_data[[#This Row],[Close Price]]/B1642-1,0)</f>
        <v>-9.2137117763091414E-3</v>
      </c>
    </row>
    <row r="1644" spans="1:3" x14ac:dyDescent="0.15">
      <c r="A1644" s="124">
        <v>43182</v>
      </c>
      <c r="B1644" s="126">
        <v>87.26910400390625</v>
      </c>
      <c r="C1644" s="125">
        <f>IFERROR(yf_data[[#This Row],[Close Price]]/B1643-1,0)</f>
        <v>-1.8070417654194482E-2</v>
      </c>
    </row>
    <row r="1645" spans="1:3" x14ac:dyDescent="0.15">
      <c r="A1645" s="124">
        <v>43185</v>
      </c>
      <c r="B1645" s="126">
        <v>87.231536865234375</v>
      </c>
      <c r="C1645" s="125">
        <f>IFERROR(yf_data[[#This Row],[Close Price]]/B1644-1,0)</f>
        <v>-4.3047466913592736E-4</v>
      </c>
    </row>
    <row r="1646" spans="1:3" x14ac:dyDescent="0.15">
      <c r="A1646" s="124">
        <v>43186</v>
      </c>
      <c r="B1646" s="126">
        <v>89.3165283203125</v>
      </c>
      <c r="C1646" s="125">
        <f>IFERROR(yf_data[[#This Row],[Close Price]]/B1645-1,0)</f>
        <v>2.3901808107534173E-2</v>
      </c>
    </row>
    <row r="1647" spans="1:3" x14ac:dyDescent="0.15">
      <c r="A1647" s="124">
        <v>43187</v>
      </c>
      <c r="B1647" s="126">
        <v>88.2646484375</v>
      </c>
      <c r="C1647" s="125">
        <f>IFERROR(yf_data[[#This Row],[Close Price]]/B1646-1,0)</f>
        <v>-1.1776990245749186E-2</v>
      </c>
    </row>
    <row r="1648" spans="1:3" x14ac:dyDescent="0.15">
      <c r="A1648" s="124">
        <v>43188</v>
      </c>
      <c r="B1648" s="126">
        <v>88.095588684082031</v>
      </c>
      <c r="C1648" s="125">
        <f>IFERROR(yf_data[[#This Row],[Close Price]]/B1647-1,0)</f>
        <v>-1.9153733279488883E-3</v>
      </c>
    </row>
    <row r="1649" spans="1:3" x14ac:dyDescent="0.15">
      <c r="A1649" s="124">
        <v>43193</v>
      </c>
      <c r="B1649" s="126">
        <v>87.907752990722656</v>
      </c>
      <c r="C1649" s="125">
        <f>IFERROR(yf_data[[#This Row],[Close Price]]/B1648-1,0)</f>
        <v>-2.1321804662997046E-3</v>
      </c>
    </row>
    <row r="1650" spans="1:3" x14ac:dyDescent="0.15">
      <c r="A1650" s="124">
        <v>43194</v>
      </c>
      <c r="B1650" s="126">
        <v>87.165794372558594</v>
      </c>
      <c r="C1650" s="125">
        <f>IFERROR(yf_data[[#This Row],[Close Price]]/B1649-1,0)</f>
        <v>-8.440195465380218E-3</v>
      </c>
    </row>
    <row r="1651" spans="1:3" x14ac:dyDescent="0.15">
      <c r="A1651" s="124">
        <v>43195</v>
      </c>
      <c r="B1651" s="126">
        <v>89.100517272949219</v>
      </c>
      <c r="C1651" s="125">
        <f>IFERROR(yf_data[[#This Row],[Close Price]]/B1650-1,0)</f>
        <v>2.2195895928182052E-2</v>
      </c>
    </row>
    <row r="1652" spans="1:3" x14ac:dyDescent="0.15">
      <c r="A1652" s="124">
        <v>43196</v>
      </c>
      <c r="B1652" s="126">
        <v>88.659103393554688</v>
      </c>
      <c r="C1652" s="125">
        <f>IFERROR(yf_data[[#This Row],[Close Price]]/B1651-1,0)</f>
        <v>-4.9541112992903535E-3</v>
      </c>
    </row>
    <row r="1653" spans="1:3" x14ac:dyDescent="0.15">
      <c r="A1653" s="124">
        <v>43199</v>
      </c>
      <c r="B1653" s="126">
        <v>88.659103393554688</v>
      </c>
      <c r="C1653" s="125">
        <f>IFERROR(yf_data[[#This Row],[Close Price]]/B1652-1,0)</f>
        <v>0</v>
      </c>
    </row>
    <row r="1654" spans="1:3" x14ac:dyDescent="0.15">
      <c r="A1654" s="124">
        <v>43200</v>
      </c>
      <c r="B1654" s="126">
        <v>89.6170654296875</v>
      </c>
      <c r="C1654" s="125">
        <f>IFERROR(yf_data[[#This Row],[Close Price]]/B1653-1,0)</f>
        <v>1.0805004781973215E-2</v>
      </c>
    </row>
    <row r="1655" spans="1:3" x14ac:dyDescent="0.15">
      <c r="A1655" s="124">
        <v>43201</v>
      </c>
      <c r="B1655" s="126">
        <v>86.80889892578125</v>
      </c>
      <c r="C1655" s="125">
        <f>IFERROR(yf_data[[#This Row],[Close Price]]/B1654-1,0)</f>
        <v>-3.1335175844488083E-2</v>
      </c>
    </row>
    <row r="1656" spans="1:3" x14ac:dyDescent="0.15">
      <c r="A1656" s="124">
        <v>43202</v>
      </c>
      <c r="B1656" s="126">
        <v>87.306671142578125</v>
      </c>
      <c r="C1656" s="125">
        <f>IFERROR(yf_data[[#This Row],[Close Price]]/B1655-1,0)</f>
        <v>5.7341150844736344E-3</v>
      </c>
    </row>
    <row r="1657" spans="1:3" x14ac:dyDescent="0.15">
      <c r="A1657" s="124">
        <v>43203</v>
      </c>
      <c r="B1657" s="126">
        <v>85.935462951660156</v>
      </c>
      <c r="C1657" s="125">
        <f>IFERROR(yf_data[[#This Row],[Close Price]]/B1656-1,0)</f>
        <v>-1.5705651961906653E-2</v>
      </c>
    </row>
    <row r="1658" spans="1:3" x14ac:dyDescent="0.15">
      <c r="A1658" s="124">
        <v>43206</v>
      </c>
      <c r="B1658" s="126">
        <v>86.298301696777344</v>
      </c>
      <c r="C1658" s="125">
        <f>IFERROR(yf_data[[#This Row],[Close Price]]/B1657-1,0)</f>
        <v>4.2222236624394061E-3</v>
      </c>
    </row>
    <row r="1659" spans="1:3" x14ac:dyDescent="0.15">
      <c r="A1659" s="124">
        <v>43207</v>
      </c>
      <c r="B1659" s="126">
        <v>88.876365661621094</v>
      </c>
      <c r="C1659" s="125">
        <f>IFERROR(yf_data[[#This Row],[Close Price]]/B1658-1,0)</f>
        <v>2.9873866740763644E-2</v>
      </c>
    </row>
    <row r="1660" spans="1:3" x14ac:dyDescent="0.15">
      <c r="A1660" s="124">
        <v>43208</v>
      </c>
      <c r="B1660" s="126">
        <v>90.327713012695327</v>
      </c>
      <c r="C1660" s="125">
        <f>IFERROR(yf_data[[#This Row],[Close Price]]/B1659-1,0)</f>
        <v>1.6329958367109043E-2</v>
      </c>
    </row>
    <row r="1661" spans="1:3" x14ac:dyDescent="0.15">
      <c r="A1661" s="124">
        <v>43209</v>
      </c>
      <c r="B1661" s="126">
        <v>89.983970642089844</v>
      </c>
      <c r="C1661" s="125">
        <f>IFERROR(yf_data[[#This Row],[Close Price]]/B1660-1,0)</f>
        <v>-3.8055028644107258E-3</v>
      </c>
    </row>
    <row r="1662" spans="1:3" x14ac:dyDescent="0.15">
      <c r="A1662" s="124">
        <v>43210</v>
      </c>
      <c r="B1662" s="126">
        <v>89.917137145996094</v>
      </c>
      <c r="C1662" s="125">
        <f>IFERROR(yf_data[[#This Row],[Close Price]]/B1661-1,0)</f>
        <v>-7.4272668361763383E-4</v>
      </c>
    </row>
    <row r="1663" spans="1:3" x14ac:dyDescent="0.15">
      <c r="A1663" s="124">
        <v>43213</v>
      </c>
      <c r="B1663" s="126">
        <v>91.817268371582045</v>
      </c>
      <c r="C1663" s="125">
        <f>IFERROR(yf_data[[#This Row],[Close Price]]/B1662-1,0)</f>
        <v>2.1132025394678289E-2</v>
      </c>
    </row>
    <row r="1664" spans="1:3" x14ac:dyDescent="0.15">
      <c r="A1664" s="124">
        <v>43214</v>
      </c>
      <c r="B1664" s="126">
        <v>92.342430114746094</v>
      </c>
      <c r="C1664" s="125">
        <f>IFERROR(yf_data[[#This Row],[Close Price]]/B1663-1,0)</f>
        <v>5.7196402428214554E-3</v>
      </c>
    </row>
    <row r="1665" spans="1:3" x14ac:dyDescent="0.15">
      <c r="A1665" s="124">
        <v>43215</v>
      </c>
      <c r="B1665" s="126">
        <v>90.681007385253906</v>
      </c>
      <c r="C1665" s="125">
        <f>IFERROR(yf_data[[#This Row],[Close Price]]/B1664-1,0)</f>
        <v>-1.7991975383663594E-2</v>
      </c>
    </row>
    <row r="1666" spans="1:3" x14ac:dyDescent="0.15">
      <c r="A1666" s="124">
        <v>43216</v>
      </c>
      <c r="B1666" s="126">
        <v>91.187072753906236</v>
      </c>
      <c r="C1666" s="125">
        <f>IFERROR(yf_data[[#This Row],[Close Price]]/B1665-1,0)</f>
        <v>5.5807206298705836E-3</v>
      </c>
    </row>
    <row r="1667" spans="1:3" x14ac:dyDescent="0.15">
      <c r="A1667" s="124">
        <v>43217</v>
      </c>
      <c r="B1667" s="126">
        <v>92.552490234375</v>
      </c>
      <c r="C1667" s="125">
        <f>IFERROR(yf_data[[#This Row],[Close Price]]/B1666-1,0)</f>
        <v>1.4973805378682536E-2</v>
      </c>
    </row>
    <row r="1668" spans="1:3" x14ac:dyDescent="0.15">
      <c r="A1668" s="124">
        <v>43220</v>
      </c>
      <c r="B1668" s="126">
        <v>93.001266479492202</v>
      </c>
      <c r="C1668" s="125">
        <f>IFERROR(yf_data[[#This Row],[Close Price]]/B1667-1,0)</f>
        <v>4.8488835252378237E-3</v>
      </c>
    </row>
    <row r="1669" spans="1:3" x14ac:dyDescent="0.15">
      <c r="A1669" s="124">
        <v>43222</v>
      </c>
      <c r="B1669" s="126">
        <v>93.641006469726562</v>
      </c>
      <c r="C1669" s="125">
        <f>IFERROR(yf_data[[#This Row],[Close Price]]/B1668-1,0)</f>
        <v>6.8788309498497568E-3</v>
      </c>
    </row>
    <row r="1670" spans="1:3" x14ac:dyDescent="0.15">
      <c r="A1670" s="124">
        <v>43223</v>
      </c>
      <c r="B1670" s="126">
        <v>93.631454467773438</v>
      </c>
      <c r="C1670" s="125">
        <f>IFERROR(yf_data[[#This Row],[Close Price]]/B1669-1,0)</f>
        <v>-1.02006613483141E-4</v>
      </c>
    </row>
    <row r="1671" spans="1:3" x14ac:dyDescent="0.15">
      <c r="A1671" s="124">
        <v>43224</v>
      </c>
      <c r="B1671" s="126">
        <v>94.233009338378906</v>
      </c>
      <c r="C1671" s="125">
        <f>IFERROR(yf_data[[#This Row],[Close Price]]/B1670-1,0)</f>
        <v>6.4247092392708538E-3</v>
      </c>
    </row>
    <row r="1672" spans="1:3" x14ac:dyDescent="0.15">
      <c r="A1672" s="124">
        <v>43227</v>
      </c>
      <c r="B1672" s="126">
        <v>95.884880065917955</v>
      </c>
      <c r="C1672" s="125">
        <f>IFERROR(yf_data[[#This Row],[Close Price]]/B1671-1,0)</f>
        <v>1.7529639975811362E-2</v>
      </c>
    </row>
    <row r="1673" spans="1:3" x14ac:dyDescent="0.15">
      <c r="A1673" s="124">
        <v>43228</v>
      </c>
      <c r="B1673" s="126">
        <v>95.713005065917955</v>
      </c>
      <c r="C1673" s="125">
        <f>IFERROR(yf_data[[#This Row],[Close Price]]/B1672-1,0)</f>
        <v>-1.7925141052670401E-3</v>
      </c>
    </row>
    <row r="1674" spans="1:3" x14ac:dyDescent="0.15">
      <c r="A1674" s="124">
        <v>43229</v>
      </c>
      <c r="B1674" s="126">
        <v>94.681785583496094</v>
      </c>
      <c r="C1674" s="125">
        <f>IFERROR(yf_data[[#This Row],[Close Price]]/B1673-1,0)</f>
        <v>-1.0774079047164542E-2</v>
      </c>
    </row>
    <row r="1675" spans="1:3" x14ac:dyDescent="0.15">
      <c r="A1675" s="124">
        <v>43230</v>
      </c>
      <c r="B1675" s="126">
        <v>95.130546569824219</v>
      </c>
      <c r="C1675" s="125">
        <f>IFERROR(yf_data[[#This Row],[Close Price]]/B1674-1,0)</f>
        <v>4.7396759953621803E-3</v>
      </c>
    </row>
    <row r="1676" spans="1:3" x14ac:dyDescent="0.15">
      <c r="A1676" s="124">
        <v>43231</v>
      </c>
      <c r="B1676" s="126">
        <v>94.958679199218764</v>
      </c>
      <c r="C1676" s="125">
        <f>IFERROR(yf_data[[#This Row],[Close Price]]/B1675-1,0)</f>
        <v>-1.8066475680270644E-3</v>
      </c>
    </row>
    <row r="1677" spans="1:3" x14ac:dyDescent="0.15">
      <c r="A1677" s="124">
        <v>43234</v>
      </c>
      <c r="B1677" s="126">
        <v>92.695716857910156</v>
      </c>
      <c r="C1677" s="125">
        <f>IFERROR(yf_data[[#This Row],[Close Price]]/B1676-1,0)</f>
        <v>-2.3831021665339569E-2</v>
      </c>
    </row>
    <row r="1678" spans="1:3" x14ac:dyDescent="0.15">
      <c r="A1678" s="124">
        <v>43235</v>
      </c>
      <c r="B1678" s="126">
        <v>91.903205871582045</v>
      </c>
      <c r="C1678" s="125">
        <f>IFERROR(yf_data[[#This Row],[Close Price]]/B1677-1,0)</f>
        <v>-8.5495966069599749E-3</v>
      </c>
    </row>
    <row r="1679" spans="1:3" x14ac:dyDescent="0.15">
      <c r="A1679" s="124">
        <v>43236</v>
      </c>
      <c r="B1679" s="126">
        <v>92.036872863769517</v>
      </c>
      <c r="C1679" s="125">
        <f>IFERROR(yf_data[[#This Row],[Close Price]]/B1678-1,0)</f>
        <v>1.4544323119070057E-3</v>
      </c>
    </row>
    <row r="1680" spans="1:3" x14ac:dyDescent="0.15">
      <c r="A1680" s="124">
        <v>43237</v>
      </c>
      <c r="B1680" s="126">
        <v>93.555076599121094</v>
      </c>
      <c r="C1680" s="125">
        <f>IFERROR(yf_data[[#This Row],[Close Price]]/B1679-1,0)</f>
        <v>1.6495603208930953E-2</v>
      </c>
    </row>
    <row r="1681" spans="1:3" x14ac:dyDescent="0.15">
      <c r="A1681" s="124">
        <v>43238</v>
      </c>
      <c r="B1681" s="126">
        <v>93.42138671875</v>
      </c>
      <c r="C1681" s="125">
        <f>IFERROR(yf_data[[#This Row],[Close Price]]/B1680-1,0)</f>
        <v>-1.4289965358474932E-3</v>
      </c>
    </row>
    <row r="1682" spans="1:3" x14ac:dyDescent="0.15">
      <c r="A1682" s="124">
        <v>43241</v>
      </c>
      <c r="B1682" s="126">
        <v>96.266807556152344</v>
      </c>
      <c r="C1682" s="125">
        <f>IFERROR(yf_data[[#This Row],[Close Price]]/B1681-1,0)</f>
        <v>3.0457916943243735E-2</v>
      </c>
    </row>
    <row r="1683" spans="1:3" x14ac:dyDescent="0.15">
      <c r="A1683" s="124">
        <v>43242</v>
      </c>
      <c r="B1683" s="126">
        <v>96.114044189453125</v>
      </c>
      <c r="C1683" s="125">
        <f>IFERROR(yf_data[[#This Row],[Close Price]]/B1682-1,0)</f>
        <v>-1.586874755456158E-3</v>
      </c>
    </row>
    <row r="1684" spans="1:3" x14ac:dyDescent="0.15">
      <c r="A1684" s="124">
        <v>43243</v>
      </c>
      <c r="B1684" s="126">
        <v>94.490814208984375</v>
      </c>
      <c r="C1684" s="125">
        <f>IFERROR(yf_data[[#This Row],[Close Price]]/B1683-1,0)</f>
        <v>-1.6888582664039808E-2</v>
      </c>
    </row>
    <row r="1685" spans="1:3" x14ac:dyDescent="0.15">
      <c r="A1685" s="124">
        <v>43244</v>
      </c>
      <c r="B1685" s="126">
        <v>93.908355712890625</v>
      </c>
      <c r="C1685" s="125">
        <f>IFERROR(yf_data[[#This Row],[Close Price]]/B1684-1,0)</f>
        <v>-6.1641811531598645E-3</v>
      </c>
    </row>
    <row r="1686" spans="1:3" x14ac:dyDescent="0.15">
      <c r="A1686" s="124">
        <v>43245</v>
      </c>
      <c r="B1686" s="126">
        <v>93.774688720703125</v>
      </c>
      <c r="C1686" s="125">
        <f>IFERROR(yf_data[[#This Row],[Close Price]]/B1685-1,0)</f>
        <v>-1.4233769846441202E-3</v>
      </c>
    </row>
    <row r="1687" spans="1:3" x14ac:dyDescent="0.15">
      <c r="A1687" s="124">
        <v>43248</v>
      </c>
      <c r="B1687" s="126">
        <v>92.810295104980483</v>
      </c>
      <c r="C1687" s="125">
        <f>IFERROR(yf_data[[#This Row],[Close Price]]/B1686-1,0)</f>
        <v>-1.02841569391392E-2</v>
      </c>
    </row>
    <row r="1688" spans="1:3" x14ac:dyDescent="0.15">
      <c r="A1688" s="124">
        <v>43249</v>
      </c>
      <c r="B1688" s="126">
        <v>92.924873352050781</v>
      </c>
      <c r="C1688" s="125">
        <f>IFERROR(yf_data[[#This Row],[Close Price]]/B1687-1,0)</f>
        <v>1.2345424280861828E-3</v>
      </c>
    </row>
    <row r="1689" spans="1:3" x14ac:dyDescent="0.15">
      <c r="A1689" s="124">
        <v>43250</v>
      </c>
      <c r="B1689" s="126">
        <v>92.361526489257798</v>
      </c>
      <c r="C1689" s="125">
        <f>IFERROR(yf_data[[#This Row],[Close Price]]/B1688-1,0)</f>
        <v>-6.0623904286499775E-3</v>
      </c>
    </row>
    <row r="1690" spans="1:3" x14ac:dyDescent="0.15">
      <c r="A1690" s="124">
        <v>43251</v>
      </c>
      <c r="B1690" s="126">
        <v>92.915328979492202</v>
      </c>
      <c r="C1690" s="125">
        <f>IFERROR(yf_data[[#This Row],[Close Price]]/B1689-1,0)</f>
        <v>5.9960300710146797E-3</v>
      </c>
    </row>
    <row r="1691" spans="1:3" x14ac:dyDescent="0.15">
      <c r="A1691" s="124">
        <v>43252</v>
      </c>
      <c r="B1691" s="126">
        <v>94.901390075683594</v>
      </c>
      <c r="C1691" s="125">
        <f>IFERROR(yf_data[[#This Row],[Close Price]]/B1690-1,0)</f>
        <v>2.1374956296282832E-2</v>
      </c>
    </row>
    <row r="1692" spans="1:3" x14ac:dyDescent="0.15">
      <c r="A1692" s="124">
        <v>43255</v>
      </c>
      <c r="B1692" s="126">
        <v>95.063713073730483</v>
      </c>
      <c r="C1692" s="125">
        <f>IFERROR(yf_data[[#This Row],[Close Price]]/B1691-1,0)</f>
        <v>1.7104385712098935E-3</v>
      </c>
    </row>
    <row r="1693" spans="1:3" x14ac:dyDescent="0.15">
      <c r="A1693" s="124">
        <v>43256</v>
      </c>
      <c r="B1693" s="126">
        <v>94.509910583496094</v>
      </c>
      <c r="C1693" s="125">
        <f>IFERROR(yf_data[[#This Row],[Close Price]]/B1692-1,0)</f>
        <v>-5.825592882163888E-3</v>
      </c>
    </row>
    <row r="1694" spans="1:3" x14ac:dyDescent="0.15">
      <c r="A1694" s="124">
        <v>43257</v>
      </c>
      <c r="B1694" s="126">
        <v>95.483840942382798</v>
      </c>
      <c r="C1694" s="125">
        <f>IFERROR(yf_data[[#This Row],[Close Price]]/B1693-1,0)</f>
        <v>1.0305060631988106E-2</v>
      </c>
    </row>
    <row r="1695" spans="1:3" x14ac:dyDescent="0.15">
      <c r="A1695" s="124">
        <v>43258</v>
      </c>
      <c r="B1695" s="126">
        <v>95.149658203125</v>
      </c>
      <c r="C1695" s="125">
        <f>IFERROR(yf_data[[#This Row],[Close Price]]/B1694-1,0)</f>
        <v>-3.499887896837417E-3</v>
      </c>
    </row>
    <row r="1696" spans="1:3" x14ac:dyDescent="0.15">
      <c r="A1696" s="124">
        <v>43259</v>
      </c>
      <c r="B1696" s="126">
        <v>96.343200683593764</v>
      </c>
      <c r="C1696" s="125">
        <f>IFERROR(yf_data[[#This Row],[Close Price]]/B1695-1,0)</f>
        <v>1.2543844118922509E-2</v>
      </c>
    </row>
    <row r="1697" spans="1:3" x14ac:dyDescent="0.15">
      <c r="A1697" s="124">
        <v>43262</v>
      </c>
      <c r="B1697" s="126">
        <v>96.343200683593764</v>
      </c>
      <c r="C1697" s="125">
        <f>IFERROR(yf_data[[#This Row],[Close Price]]/B1696-1,0)</f>
        <v>0</v>
      </c>
    </row>
    <row r="1698" spans="1:3" x14ac:dyDescent="0.15">
      <c r="A1698" s="124">
        <v>43263</v>
      </c>
      <c r="B1698" s="126">
        <v>95.942169189453125</v>
      </c>
      <c r="C1698" s="125">
        <f>IFERROR(yf_data[[#This Row],[Close Price]]/B1697-1,0)</f>
        <v>-4.1625303217576182E-3</v>
      </c>
    </row>
    <row r="1699" spans="1:3" x14ac:dyDescent="0.15">
      <c r="A1699" s="124">
        <v>43264</v>
      </c>
      <c r="B1699" s="126">
        <v>95.655715942382798</v>
      </c>
      <c r="C1699" s="125">
        <f>IFERROR(yf_data[[#This Row],[Close Price]]/B1698-1,0)</f>
        <v>-2.9856865806804356E-3</v>
      </c>
    </row>
    <row r="1700" spans="1:3" x14ac:dyDescent="0.15">
      <c r="A1700" s="124">
        <v>43265</v>
      </c>
      <c r="B1700" s="126">
        <v>99.837905883789062</v>
      </c>
      <c r="C1700" s="125">
        <f>IFERROR(yf_data[[#This Row],[Close Price]]/B1699-1,0)</f>
        <v>4.3721275829720074E-2</v>
      </c>
    </row>
    <row r="1701" spans="1:3" x14ac:dyDescent="0.15">
      <c r="A1701" s="124">
        <v>43266</v>
      </c>
      <c r="B1701" s="126">
        <v>98.9212646484375</v>
      </c>
      <c r="C1701" s="125">
        <f>IFERROR(yf_data[[#This Row],[Close Price]]/B1700-1,0)</f>
        <v>-9.18129469200335E-3</v>
      </c>
    </row>
    <row r="1702" spans="1:3" x14ac:dyDescent="0.15">
      <c r="A1702" s="124">
        <v>43269</v>
      </c>
      <c r="B1702" s="126">
        <v>97.298042297363281</v>
      </c>
      <c r="C1702" s="125">
        <f>IFERROR(yf_data[[#This Row],[Close Price]]/B1701-1,0)</f>
        <v>-1.6409235737564476E-2</v>
      </c>
    </row>
    <row r="1703" spans="1:3" x14ac:dyDescent="0.15">
      <c r="A1703" s="124">
        <v>43270</v>
      </c>
      <c r="B1703" s="126">
        <v>95.808479309082045</v>
      </c>
      <c r="C1703" s="125">
        <f>IFERROR(yf_data[[#This Row],[Close Price]]/B1702-1,0)</f>
        <v>-1.5309280157239091E-2</v>
      </c>
    </row>
    <row r="1704" spans="1:3" x14ac:dyDescent="0.15">
      <c r="A1704" s="124">
        <v>43271</v>
      </c>
      <c r="B1704" s="126">
        <v>95.3692626953125</v>
      </c>
      <c r="C1704" s="125">
        <f>IFERROR(yf_data[[#This Row],[Close Price]]/B1703-1,0)</f>
        <v>-4.5843188091172493E-3</v>
      </c>
    </row>
    <row r="1705" spans="1:3" x14ac:dyDescent="0.15">
      <c r="A1705" s="124">
        <v>43272</v>
      </c>
      <c r="B1705" s="126">
        <v>94.137519836425781</v>
      </c>
      <c r="C1705" s="125">
        <f>IFERROR(yf_data[[#This Row],[Close Price]]/B1704-1,0)</f>
        <v>-1.2915512022169229E-2</v>
      </c>
    </row>
    <row r="1706" spans="1:3" x14ac:dyDescent="0.15">
      <c r="A1706" s="124">
        <v>43273</v>
      </c>
      <c r="B1706" s="126">
        <v>96.094940185546875</v>
      </c>
      <c r="C1706" s="125">
        <f>IFERROR(yf_data[[#This Row],[Close Price]]/B1705-1,0)</f>
        <v>2.0793200761209052E-2</v>
      </c>
    </row>
    <row r="1707" spans="1:3" x14ac:dyDescent="0.15">
      <c r="A1707" s="124">
        <v>43276</v>
      </c>
      <c r="B1707" s="126">
        <v>92.485649108886719</v>
      </c>
      <c r="C1707" s="125">
        <f>IFERROR(yf_data[[#This Row],[Close Price]]/B1706-1,0)</f>
        <v>-3.7559637059881412E-2</v>
      </c>
    </row>
    <row r="1708" spans="1:3" x14ac:dyDescent="0.15">
      <c r="A1708" s="124">
        <v>43277</v>
      </c>
      <c r="B1708" s="126">
        <v>92.122817993164062</v>
      </c>
      <c r="C1708" s="125">
        <f>IFERROR(yf_data[[#This Row],[Close Price]]/B1707-1,0)</f>
        <v>-3.9231071979122234E-3</v>
      </c>
    </row>
    <row r="1709" spans="1:3" x14ac:dyDescent="0.15">
      <c r="A1709" s="124">
        <v>43278</v>
      </c>
      <c r="B1709" s="126">
        <v>94.624488830566406</v>
      </c>
      <c r="C1709" s="125">
        <f>IFERROR(yf_data[[#This Row],[Close Price]]/B1708-1,0)</f>
        <v>2.7155821889729648E-2</v>
      </c>
    </row>
    <row r="1710" spans="1:3" x14ac:dyDescent="0.15">
      <c r="A1710" s="124">
        <v>43279</v>
      </c>
      <c r="B1710" s="126">
        <v>93.688751220703125</v>
      </c>
      <c r="C1710" s="125">
        <f>IFERROR(yf_data[[#This Row],[Close Price]]/B1709-1,0)</f>
        <v>-9.8889581484429279E-3</v>
      </c>
    </row>
    <row r="1711" spans="1:3" x14ac:dyDescent="0.15">
      <c r="A1711" s="124">
        <v>43280</v>
      </c>
      <c r="B1711" s="126">
        <v>95.732101440429673</v>
      </c>
      <c r="C1711" s="125">
        <f>IFERROR(yf_data[[#This Row],[Close Price]]/B1710-1,0)</f>
        <v>2.1809984583026631E-2</v>
      </c>
    </row>
    <row r="1712" spans="1:3" x14ac:dyDescent="0.15">
      <c r="A1712" s="124">
        <v>43283</v>
      </c>
      <c r="B1712" s="126">
        <v>93.297264099121094</v>
      </c>
      <c r="C1712" s="125">
        <f>IFERROR(yf_data[[#This Row],[Close Price]]/B1711-1,0)</f>
        <v>-2.5433864969773845E-2</v>
      </c>
    </row>
    <row r="1713" spans="1:3" x14ac:dyDescent="0.15">
      <c r="A1713" s="124">
        <v>43284</v>
      </c>
      <c r="B1713" s="126">
        <v>93.345008850097656</v>
      </c>
      <c r="C1713" s="125">
        <f>IFERROR(yf_data[[#This Row],[Close Price]]/B1712-1,0)</f>
        <v>5.1174867170633576E-4</v>
      </c>
    </row>
    <row r="1714" spans="1:3" x14ac:dyDescent="0.15">
      <c r="A1714" s="124">
        <v>43285</v>
      </c>
      <c r="B1714" s="126">
        <v>93.574165344238281</v>
      </c>
      <c r="C1714" s="125">
        <f>IFERROR(yf_data[[#This Row],[Close Price]]/B1713-1,0)</f>
        <v>2.4549410510916747E-3</v>
      </c>
    </row>
    <row r="1715" spans="1:3" x14ac:dyDescent="0.15">
      <c r="A1715" s="124">
        <v>43286</v>
      </c>
      <c r="B1715" s="126">
        <v>93.325912475585938</v>
      </c>
      <c r="C1715" s="125">
        <f>IFERROR(yf_data[[#This Row],[Close Price]]/B1714-1,0)</f>
        <v>-2.6530064974565892E-3</v>
      </c>
    </row>
    <row r="1716" spans="1:3" x14ac:dyDescent="0.15">
      <c r="A1716" s="124">
        <v>43287</v>
      </c>
      <c r="B1716" s="126">
        <v>94.051589965820327</v>
      </c>
      <c r="C1716" s="125">
        <f>IFERROR(yf_data[[#This Row],[Close Price]]/B1715-1,0)</f>
        <v>7.7757342091269166E-3</v>
      </c>
    </row>
    <row r="1717" spans="1:3" x14ac:dyDescent="0.15">
      <c r="A1717" s="124">
        <v>43290</v>
      </c>
      <c r="B1717" s="126">
        <v>94.910949707031236</v>
      </c>
      <c r="C1717" s="125">
        <f>IFERROR(yf_data[[#This Row],[Close Price]]/B1716-1,0)</f>
        <v>9.1371101915789232E-3</v>
      </c>
    </row>
    <row r="1718" spans="1:3" x14ac:dyDescent="0.15">
      <c r="A1718" s="124">
        <v>43291</v>
      </c>
      <c r="B1718" s="126">
        <v>98.673004150390625</v>
      </c>
      <c r="C1718" s="125">
        <f>IFERROR(yf_data[[#This Row],[Close Price]]/B1717-1,0)</f>
        <v>3.963772836508328E-2</v>
      </c>
    </row>
    <row r="1719" spans="1:3" x14ac:dyDescent="0.15">
      <c r="A1719" s="124">
        <v>43292</v>
      </c>
      <c r="B1719" s="126">
        <v>98.482040405273438</v>
      </c>
      <c r="C1719" s="125">
        <f>IFERROR(yf_data[[#This Row],[Close Price]]/B1718-1,0)</f>
        <v>-1.9353190547044541E-3</v>
      </c>
    </row>
    <row r="1720" spans="1:3" x14ac:dyDescent="0.15">
      <c r="A1720" s="124">
        <v>43293</v>
      </c>
      <c r="B1720" s="126">
        <v>100.39171600341795</v>
      </c>
      <c r="C1720" s="125">
        <f>IFERROR(yf_data[[#This Row],[Close Price]]/B1719-1,0)</f>
        <v>1.9391105122170682E-2</v>
      </c>
    </row>
    <row r="1721" spans="1:3" x14ac:dyDescent="0.15">
      <c r="A1721" s="124">
        <v>43294</v>
      </c>
      <c r="B1721" s="126">
        <v>102.54964447021484</v>
      </c>
      <c r="C1721" s="125">
        <f>IFERROR(yf_data[[#This Row],[Close Price]]/B1720-1,0)</f>
        <v>2.1495084980153401E-2</v>
      </c>
    </row>
    <row r="1722" spans="1:3" x14ac:dyDescent="0.15">
      <c r="A1722" s="124">
        <v>43297</v>
      </c>
      <c r="B1722" s="126">
        <v>102.11042022705078</v>
      </c>
      <c r="C1722" s="125">
        <f>IFERROR(yf_data[[#This Row],[Close Price]]/B1721-1,0)</f>
        <v>-4.2830401356646064E-3</v>
      </c>
    </row>
    <row r="1723" spans="1:3" x14ac:dyDescent="0.15">
      <c r="A1723" s="124">
        <v>43298</v>
      </c>
      <c r="B1723" s="126">
        <v>102.79790496826172</v>
      </c>
      <c r="C1723" s="125">
        <f>IFERROR(yf_data[[#This Row],[Close Price]]/B1722-1,0)</f>
        <v>6.7327579269800264E-3</v>
      </c>
    </row>
    <row r="1724" spans="1:3" x14ac:dyDescent="0.15">
      <c r="A1724" s="124">
        <v>43299</v>
      </c>
      <c r="B1724" s="126">
        <v>102.35868072509766</v>
      </c>
      <c r="C1724" s="125">
        <f>IFERROR(yf_data[[#This Row],[Close Price]]/B1723-1,0)</f>
        <v>-4.2726964455128691E-3</v>
      </c>
    </row>
    <row r="1725" spans="1:3" x14ac:dyDescent="0.15">
      <c r="A1725" s="124">
        <v>43300</v>
      </c>
      <c r="B1725" s="126">
        <v>102.24410247802734</v>
      </c>
      <c r="C1725" s="125">
        <f>IFERROR(yf_data[[#This Row],[Close Price]]/B1724-1,0)</f>
        <v>-1.1193798733888372E-3</v>
      </c>
    </row>
    <row r="1726" spans="1:3" x14ac:dyDescent="0.15">
      <c r="A1726" s="124">
        <v>43301</v>
      </c>
      <c r="B1726" s="126">
        <v>100.98371887207033</v>
      </c>
      <c r="C1726" s="125">
        <f>IFERROR(yf_data[[#This Row],[Close Price]]/B1725-1,0)</f>
        <v>-1.2327201035657542E-2</v>
      </c>
    </row>
    <row r="1727" spans="1:3" x14ac:dyDescent="0.15">
      <c r="A1727" s="124">
        <v>43304</v>
      </c>
      <c r="B1727" s="126">
        <v>100.65906524658205</v>
      </c>
      <c r="C1727" s="125">
        <f>IFERROR(yf_data[[#This Row],[Close Price]]/B1726-1,0)</f>
        <v>-3.2149105728573879E-3</v>
      </c>
    </row>
    <row r="1728" spans="1:3" x14ac:dyDescent="0.15">
      <c r="A1728" s="124">
        <v>43305</v>
      </c>
      <c r="B1728" s="126">
        <v>101.19377899169922</v>
      </c>
      <c r="C1728" s="125">
        <f>IFERROR(yf_data[[#This Row],[Close Price]]/B1727-1,0)</f>
        <v>5.3121270678135879E-3</v>
      </c>
    </row>
    <row r="1729" spans="1:3" x14ac:dyDescent="0.15">
      <c r="A1729" s="124">
        <v>43306</v>
      </c>
      <c r="B1729" s="126">
        <v>100.1625518798828</v>
      </c>
      <c r="C1729" s="125">
        <f>IFERROR(yf_data[[#This Row],[Close Price]]/B1728-1,0)</f>
        <v>-1.0190617665350898E-2</v>
      </c>
    </row>
    <row r="1730" spans="1:3" x14ac:dyDescent="0.15">
      <c r="A1730" s="124">
        <v>43307</v>
      </c>
      <c r="B1730" s="126">
        <v>104.6693878173828</v>
      </c>
      <c r="C1730" s="125">
        <f>IFERROR(yf_data[[#This Row],[Close Price]]/B1729-1,0)</f>
        <v>4.4995218800981673E-2</v>
      </c>
    </row>
    <row r="1731" spans="1:3" x14ac:dyDescent="0.15">
      <c r="A1731" s="124">
        <v>43308</v>
      </c>
      <c r="B1731" s="126">
        <v>104.2683563232422</v>
      </c>
      <c r="C1731" s="125">
        <f>IFERROR(yf_data[[#This Row],[Close Price]]/B1730-1,0)</f>
        <v>-3.8314114805015898E-3</v>
      </c>
    </row>
    <row r="1732" spans="1:3" x14ac:dyDescent="0.15">
      <c r="A1732" s="124">
        <v>43311</v>
      </c>
      <c r="B1732" s="126">
        <v>102.24410247802734</v>
      </c>
      <c r="C1732" s="125">
        <f>IFERROR(yf_data[[#This Row],[Close Price]]/B1731-1,0)</f>
        <v>-1.9413884677911941E-2</v>
      </c>
    </row>
    <row r="1733" spans="1:3" x14ac:dyDescent="0.15">
      <c r="A1733" s="124">
        <v>43312</v>
      </c>
      <c r="B1733" s="126">
        <v>101.21287536621094</v>
      </c>
      <c r="C1733" s="125">
        <f>IFERROR(yf_data[[#This Row],[Close Price]]/B1732-1,0)</f>
        <v>-1.0085932457943203E-2</v>
      </c>
    </row>
    <row r="1734" spans="1:3" x14ac:dyDescent="0.15">
      <c r="A1734" s="124">
        <v>43313</v>
      </c>
      <c r="B1734" s="126">
        <v>101.78577423095705</v>
      </c>
      <c r="C1734" s="125">
        <f>IFERROR(yf_data[[#This Row],[Close Price]]/B1733-1,0)</f>
        <v>5.6603358285518546E-3</v>
      </c>
    </row>
    <row r="1735" spans="1:3" x14ac:dyDescent="0.15">
      <c r="A1735" s="124">
        <v>43314</v>
      </c>
      <c r="B1735" s="126">
        <v>101.67120361328124</v>
      </c>
      <c r="C1735" s="125">
        <f>IFERROR(yf_data[[#This Row],[Close Price]]/B1734-1,0)</f>
        <v>-1.1256054054846754E-3</v>
      </c>
    </row>
    <row r="1736" spans="1:3" x14ac:dyDescent="0.15">
      <c r="A1736" s="124">
        <v>43315</v>
      </c>
      <c r="B1736" s="126">
        <v>102.89339447021484</v>
      </c>
      <c r="C1736" s="125">
        <f>IFERROR(yf_data[[#This Row],[Close Price]]/B1735-1,0)</f>
        <v>1.2021012966290323E-2</v>
      </c>
    </row>
    <row r="1737" spans="1:3" x14ac:dyDescent="0.15">
      <c r="A1737" s="124">
        <v>43318</v>
      </c>
      <c r="B1737" s="126">
        <v>102.95068359375</v>
      </c>
      <c r="C1737" s="125">
        <f>IFERROR(yf_data[[#This Row],[Close Price]]/B1736-1,0)</f>
        <v>5.5678135443115728E-4</v>
      </c>
    </row>
    <row r="1738" spans="1:3" x14ac:dyDescent="0.15">
      <c r="A1738" s="124">
        <v>43319</v>
      </c>
      <c r="B1738" s="126">
        <v>104.077392578125</v>
      </c>
      <c r="C1738" s="125">
        <f>IFERROR(yf_data[[#This Row],[Close Price]]/B1737-1,0)</f>
        <v>1.0944162243944566E-2</v>
      </c>
    </row>
    <row r="1739" spans="1:3" x14ac:dyDescent="0.15">
      <c r="A1739" s="124">
        <v>43320</v>
      </c>
      <c r="B1739" s="126">
        <v>103.02706909179688</v>
      </c>
      <c r="C1739" s="125">
        <f>IFERROR(yf_data[[#This Row],[Close Price]]/B1738-1,0)</f>
        <v>-1.0091754417653309E-2</v>
      </c>
    </row>
    <row r="1740" spans="1:3" x14ac:dyDescent="0.15">
      <c r="A1740" s="124">
        <v>43321</v>
      </c>
      <c r="B1740" s="126">
        <v>103.75274658203124</v>
      </c>
      <c r="C1740" s="125">
        <f>IFERROR(yf_data[[#This Row],[Close Price]]/B1739-1,0)</f>
        <v>7.0435614312951422E-3</v>
      </c>
    </row>
    <row r="1741" spans="1:3" x14ac:dyDescent="0.15">
      <c r="A1741" s="124">
        <v>43322</v>
      </c>
      <c r="B1741" s="126">
        <v>102.66423034667967</v>
      </c>
      <c r="C1741" s="125">
        <f>IFERROR(yf_data[[#This Row],[Close Price]]/B1740-1,0)</f>
        <v>-1.0491445009515377E-2</v>
      </c>
    </row>
    <row r="1742" spans="1:3" x14ac:dyDescent="0.15">
      <c r="A1742" s="124">
        <v>43325</v>
      </c>
      <c r="B1742" s="126">
        <v>103.21803283691406</v>
      </c>
      <c r="C1742" s="125">
        <f>IFERROR(yf_data[[#This Row],[Close Price]]/B1741-1,0)</f>
        <v>5.3943081087179934E-3</v>
      </c>
    </row>
    <row r="1743" spans="1:3" x14ac:dyDescent="0.15">
      <c r="A1743" s="124">
        <v>43326</v>
      </c>
      <c r="B1743" s="126">
        <v>103.12255096435548</v>
      </c>
      <c r="C1743" s="125">
        <f>IFERROR(yf_data[[#This Row],[Close Price]]/B1742-1,0)</f>
        <v>-9.2505030307488134E-4</v>
      </c>
    </row>
    <row r="1744" spans="1:3" x14ac:dyDescent="0.15">
      <c r="A1744" s="124">
        <v>43327</v>
      </c>
      <c r="B1744" s="126">
        <v>100.46810150146484</v>
      </c>
      <c r="C1744" s="125">
        <f>IFERROR(yf_data[[#This Row],[Close Price]]/B1743-1,0)</f>
        <v>-2.5740727300356925E-2</v>
      </c>
    </row>
    <row r="1745" spans="1:3" x14ac:dyDescent="0.15">
      <c r="A1745" s="124">
        <v>43328</v>
      </c>
      <c r="B1745" s="126">
        <v>102.70242309570312</v>
      </c>
      <c r="C1745" s="125">
        <f>IFERROR(yf_data[[#This Row],[Close Price]]/B1744-1,0)</f>
        <v>2.2239114314364761E-2</v>
      </c>
    </row>
    <row r="1746" spans="1:3" x14ac:dyDescent="0.15">
      <c r="A1746" s="124">
        <v>43329</v>
      </c>
      <c r="B1746" s="126">
        <v>102.85520172119141</v>
      </c>
      <c r="C1746" s="125">
        <f>IFERROR(yf_data[[#This Row],[Close Price]]/B1745-1,0)</f>
        <v>1.4875854033737923E-3</v>
      </c>
    </row>
    <row r="1747" spans="1:3" x14ac:dyDescent="0.15">
      <c r="A1747" s="124">
        <v>43332</v>
      </c>
      <c r="B1747" s="126">
        <v>103.00796508789062</v>
      </c>
      <c r="C1747" s="125">
        <f>IFERROR(yf_data[[#This Row],[Close Price]]/B1746-1,0)</f>
        <v>1.48522742790691E-3</v>
      </c>
    </row>
    <row r="1748" spans="1:3" x14ac:dyDescent="0.15">
      <c r="A1748" s="124">
        <v>43333</v>
      </c>
      <c r="B1748" s="126">
        <v>102.60694122314452</v>
      </c>
      <c r="C1748" s="125">
        <f>IFERROR(yf_data[[#This Row],[Close Price]]/B1747-1,0)</f>
        <v>-3.8931345202668499E-3</v>
      </c>
    </row>
    <row r="1749" spans="1:3" x14ac:dyDescent="0.15">
      <c r="A1749" s="124">
        <v>43334</v>
      </c>
      <c r="B1749" s="126">
        <v>102.47325897216795</v>
      </c>
      <c r="C1749" s="125">
        <f>IFERROR(yf_data[[#This Row],[Close Price]]/B1748-1,0)</f>
        <v>-1.3028577733921187E-3</v>
      </c>
    </row>
    <row r="1750" spans="1:3" x14ac:dyDescent="0.15">
      <c r="A1750" s="124">
        <v>43335</v>
      </c>
      <c r="B1750" s="126">
        <v>102.87429046630859</v>
      </c>
      <c r="C1750" s="125">
        <f>IFERROR(yf_data[[#This Row],[Close Price]]/B1749-1,0)</f>
        <v>3.9135233734448605E-3</v>
      </c>
    </row>
    <row r="1751" spans="1:3" x14ac:dyDescent="0.15">
      <c r="A1751" s="124">
        <v>43336</v>
      </c>
      <c r="B1751" s="126">
        <v>102.64513397216795</v>
      </c>
      <c r="C1751" s="125">
        <f>IFERROR(yf_data[[#This Row],[Close Price]]/B1750-1,0)</f>
        <v>-2.2275390002878259E-3</v>
      </c>
    </row>
    <row r="1752" spans="1:3" x14ac:dyDescent="0.15">
      <c r="A1752" s="124">
        <v>43339</v>
      </c>
      <c r="B1752" s="126">
        <v>103.12255096435548</v>
      </c>
      <c r="C1752" s="125">
        <f>IFERROR(yf_data[[#This Row],[Close Price]]/B1751-1,0)</f>
        <v>4.6511410109024709E-3</v>
      </c>
    </row>
    <row r="1753" spans="1:3" x14ac:dyDescent="0.15">
      <c r="A1753" s="124">
        <v>43340</v>
      </c>
      <c r="B1753" s="126">
        <v>104.03919982910156</v>
      </c>
      <c r="C1753" s="125">
        <f>IFERROR(yf_data[[#This Row],[Close Price]]/B1752-1,0)</f>
        <v>8.8889273604462193E-3</v>
      </c>
    </row>
    <row r="1754" spans="1:3" x14ac:dyDescent="0.15">
      <c r="A1754" s="124">
        <v>43341</v>
      </c>
      <c r="B1754" s="126">
        <v>105.08951568603516</v>
      </c>
      <c r="C1754" s="125">
        <f>IFERROR(yf_data[[#This Row],[Close Price]]/B1753-1,0)</f>
        <v>1.0095385764777864E-2</v>
      </c>
    </row>
    <row r="1755" spans="1:3" x14ac:dyDescent="0.15">
      <c r="A1755" s="124">
        <v>43342</v>
      </c>
      <c r="B1755" s="126">
        <v>104.05829620361328</v>
      </c>
      <c r="C1755" s="125">
        <f>IFERROR(yf_data[[#This Row],[Close Price]]/B1754-1,0)</f>
        <v>-9.8127722417404861E-3</v>
      </c>
    </row>
    <row r="1756" spans="1:3" x14ac:dyDescent="0.15">
      <c r="A1756" s="124">
        <v>43343</v>
      </c>
      <c r="B1756" s="126">
        <v>101.4611358642578</v>
      </c>
      <c r="C1756" s="125">
        <f>IFERROR(yf_data[[#This Row],[Close Price]]/B1755-1,0)</f>
        <v>-2.4958705207642096E-2</v>
      </c>
    </row>
    <row r="1757" spans="1:3" x14ac:dyDescent="0.15">
      <c r="A1757" s="124">
        <v>43346</v>
      </c>
      <c r="B1757" s="126">
        <v>102.64513397216795</v>
      </c>
      <c r="C1757" s="125">
        <f>IFERROR(yf_data[[#This Row],[Close Price]]/B1756-1,0)</f>
        <v>1.1669474206303043E-2</v>
      </c>
    </row>
    <row r="1758" spans="1:3" x14ac:dyDescent="0.15">
      <c r="A1758" s="124">
        <v>43347</v>
      </c>
      <c r="B1758" s="126">
        <v>100.41081237792967</v>
      </c>
      <c r="C1758" s="125">
        <f>IFERROR(yf_data[[#This Row],[Close Price]]/B1757-1,0)</f>
        <v>-2.1767438043815202E-2</v>
      </c>
    </row>
    <row r="1759" spans="1:3" x14ac:dyDescent="0.15">
      <c r="A1759" s="124">
        <v>43348</v>
      </c>
      <c r="B1759" s="126">
        <v>98.348358154296875</v>
      </c>
      <c r="C1759" s="125">
        <f>IFERROR(yf_data[[#This Row],[Close Price]]/B1758-1,0)</f>
        <v>-2.0540160713669597E-2</v>
      </c>
    </row>
    <row r="1760" spans="1:3" x14ac:dyDescent="0.15">
      <c r="A1760" s="124">
        <v>43349</v>
      </c>
      <c r="B1760" s="126">
        <v>99.570556640625</v>
      </c>
      <c r="C1760" s="125">
        <f>IFERROR(yf_data[[#This Row],[Close Price]]/B1759-1,0)</f>
        <v>1.2427238331835122E-2</v>
      </c>
    </row>
    <row r="1761" spans="1:3" x14ac:dyDescent="0.15">
      <c r="A1761" s="124">
        <v>43350</v>
      </c>
      <c r="B1761" s="126">
        <v>100.10526275634766</v>
      </c>
      <c r="C1761" s="125">
        <f>IFERROR(yf_data[[#This Row],[Close Price]]/B1760-1,0)</f>
        <v>5.3701227929512374E-3</v>
      </c>
    </row>
    <row r="1762" spans="1:3" x14ac:dyDescent="0.15">
      <c r="A1762" s="124">
        <v>43353</v>
      </c>
      <c r="B1762" s="126">
        <v>100.06707763671876</v>
      </c>
      <c r="C1762" s="125">
        <f>IFERROR(yf_data[[#This Row],[Close Price]]/B1761-1,0)</f>
        <v>-3.8144967185027578E-4</v>
      </c>
    </row>
    <row r="1763" spans="1:3" x14ac:dyDescent="0.15">
      <c r="A1763" s="124">
        <v>43354</v>
      </c>
      <c r="B1763" s="126">
        <v>101.93855285644533</v>
      </c>
      <c r="C1763" s="125">
        <f>IFERROR(yf_data[[#This Row],[Close Price]]/B1762-1,0)</f>
        <v>1.8702207198662446E-2</v>
      </c>
    </row>
    <row r="1764" spans="1:3" x14ac:dyDescent="0.15">
      <c r="A1764" s="124">
        <v>43355</v>
      </c>
      <c r="B1764" s="126">
        <v>101.88125610351562</v>
      </c>
      <c r="C1764" s="125">
        <f>IFERROR(yf_data[[#This Row],[Close Price]]/B1763-1,0)</f>
        <v>-5.6207147663156487E-4</v>
      </c>
    </row>
    <row r="1765" spans="1:3" x14ac:dyDescent="0.15">
      <c r="A1765" s="124">
        <v>43356</v>
      </c>
      <c r="B1765" s="126">
        <v>100.86913299560548</v>
      </c>
      <c r="C1765" s="125">
        <f>IFERROR(yf_data[[#This Row],[Close Price]]/B1764-1,0)</f>
        <v>-9.934340688553922E-3</v>
      </c>
    </row>
    <row r="1766" spans="1:3" x14ac:dyDescent="0.15">
      <c r="A1766" s="124">
        <v>43357</v>
      </c>
      <c r="B1766" s="126">
        <v>101.40383911132812</v>
      </c>
      <c r="C1766" s="125">
        <f>IFERROR(yf_data[[#This Row],[Close Price]]/B1765-1,0)</f>
        <v>5.3009885169323923E-3</v>
      </c>
    </row>
    <row r="1767" spans="1:3" x14ac:dyDescent="0.15">
      <c r="A1767" s="124">
        <v>43360</v>
      </c>
      <c r="B1767" s="126">
        <v>101.49932861328124</v>
      </c>
      <c r="C1767" s="125">
        <f>IFERROR(yf_data[[#This Row],[Close Price]]/B1766-1,0)</f>
        <v>9.4167541179857039E-4</v>
      </c>
    </row>
    <row r="1768" spans="1:3" x14ac:dyDescent="0.15">
      <c r="A1768" s="124">
        <v>43361</v>
      </c>
      <c r="B1768" s="126">
        <v>100.20074462890624</v>
      </c>
      <c r="C1768" s="125">
        <f>IFERROR(yf_data[[#This Row],[Close Price]]/B1767-1,0)</f>
        <v>-1.2794015508444279E-2</v>
      </c>
    </row>
    <row r="1769" spans="1:3" x14ac:dyDescent="0.15">
      <c r="A1769" s="124">
        <v>43362</v>
      </c>
      <c r="B1769" s="126">
        <v>101.55661773681641</v>
      </c>
      <c r="C1769" s="125">
        <f>IFERROR(yf_data[[#This Row],[Close Price]]/B1768-1,0)</f>
        <v>1.3531567184771331E-2</v>
      </c>
    </row>
    <row r="1770" spans="1:3" x14ac:dyDescent="0.15">
      <c r="A1770" s="124">
        <v>43363</v>
      </c>
      <c r="B1770" s="126">
        <v>101.652099609375</v>
      </c>
      <c r="C1770" s="125">
        <f>IFERROR(yf_data[[#This Row],[Close Price]]/B1769-1,0)</f>
        <v>9.4018365997605713E-4</v>
      </c>
    </row>
    <row r="1771" spans="1:3" x14ac:dyDescent="0.15">
      <c r="A1771" s="124">
        <v>43364</v>
      </c>
      <c r="B1771" s="126">
        <v>101.97675323486328</v>
      </c>
      <c r="C1771" s="125">
        <f>IFERROR(yf_data[[#This Row],[Close Price]]/B1770-1,0)</f>
        <v>3.1937719607941784E-3</v>
      </c>
    </row>
    <row r="1772" spans="1:3" x14ac:dyDescent="0.15">
      <c r="A1772" s="124">
        <v>43367</v>
      </c>
      <c r="B1772" s="126">
        <v>101.19377899169922</v>
      </c>
      <c r="C1772" s="125">
        <f>IFERROR(yf_data[[#This Row],[Close Price]]/B1771-1,0)</f>
        <v>-7.6779679517819943E-3</v>
      </c>
    </row>
    <row r="1773" spans="1:3" x14ac:dyDescent="0.15">
      <c r="A1773" s="124">
        <v>43368</v>
      </c>
      <c r="B1773" s="126">
        <v>100.3344268798828</v>
      </c>
      <c r="C1773" s="125">
        <f>IFERROR(yf_data[[#This Row],[Close Price]]/B1772-1,0)</f>
        <v>-8.492143690838061E-3</v>
      </c>
    </row>
    <row r="1774" spans="1:3" x14ac:dyDescent="0.15">
      <c r="A1774" s="124">
        <v>43369</v>
      </c>
      <c r="B1774" s="126">
        <v>103.58087921142578</v>
      </c>
      <c r="C1774" s="125">
        <f>IFERROR(yf_data[[#This Row],[Close Price]]/B1773-1,0)</f>
        <v>3.2356315100394495E-2</v>
      </c>
    </row>
    <row r="1775" spans="1:3" x14ac:dyDescent="0.15">
      <c r="A1775" s="124">
        <v>43370</v>
      </c>
      <c r="B1775" s="126">
        <v>103.98190307617188</v>
      </c>
      <c r="C1775" s="125">
        <f>IFERROR(yf_data[[#This Row],[Close Price]]/B1774-1,0)</f>
        <v>3.8716012820043666E-3</v>
      </c>
    </row>
    <row r="1776" spans="1:3" x14ac:dyDescent="0.15">
      <c r="A1776" s="124">
        <v>43371</v>
      </c>
      <c r="B1776" s="126">
        <v>103.29442596435548</v>
      </c>
      <c r="C1776" s="125">
        <f>IFERROR(yf_data[[#This Row],[Close Price]]/B1775-1,0)</f>
        <v>-6.6115073053892859E-3</v>
      </c>
    </row>
    <row r="1777" spans="1:3" x14ac:dyDescent="0.15">
      <c r="A1777" s="124">
        <v>43374</v>
      </c>
      <c r="B1777" s="126">
        <v>102.54964447021484</v>
      </c>
      <c r="C1777" s="125">
        <f>IFERROR(yf_data[[#This Row],[Close Price]]/B1776-1,0)</f>
        <v>-7.2102776813692815E-3</v>
      </c>
    </row>
    <row r="1778" spans="1:3" x14ac:dyDescent="0.15">
      <c r="A1778" s="124">
        <v>43375</v>
      </c>
      <c r="B1778" s="126">
        <v>100.90732574462891</v>
      </c>
      <c r="C1778" s="125">
        <f>IFERROR(yf_data[[#This Row],[Close Price]]/B1777-1,0)</f>
        <v>-1.601486513259387E-2</v>
      </c>
    </row>
    <row r="1779" spans="1:3" x14ac:dyDescent="0.15">
      <c r="A1779" s="124">
        <v>43376</v>
      </c>
      <c r="B1779" s="126">
        <v>102.22499847412109</v>
      </c>
      <c r="C1779" s="125">
        <f>IFERROR(yf_data[[#This Row],[Close Price]]/B1778-1,0)</f>
        <v>1.3058246462966272E-2</v>
      </c>
    </row>
    <row r="1780" spans="1:3" x14ac:dyDescent="0.15">
      <c r="A1780" s="124">
        <v>43377</v>
      </c>
      <c r="B1780" s="126">
        <v>100.5063018798828</v>
      </c>
      <c r="C1780" s="125">
        <f>IFERROR(yf_data[[#This Row],[Close Price]]/B1779-1,0)</f>
        <v>-1.6812879627221444E-2</v>
      </c>
    </row>
    <row r="1781" spans="1:3" x14ac:dyDescent="0.15">
      <c r="A1781" s="124">
        <v>43378</v>
      </c>
      <c r="B1781" s="126">
        <v>99.303192138671875</v>
      </c>
      <c r="C1781" s="125">
        <f>IFERROR(yf_data[[#This Row],[Close Price]]/B1780-1,0)</f>
        <v>-1.1970490593204652E-2</v>
      </c>
    </row>
    <row r="1782" spans="1:3" x14ac:dyDescent="0.15">
      <c r="A1782" s="124">
        <v>43381</v>
      </c>
      <c r="B1782" s="126">
        <v>98.940361022949219</v>
      </c>
      <c r="C1782" s="125">
        <f>IFERROR(yf_data[[#This Row],[Close Price]]/B1781-1,0)</f>
        <v>-3.6537709202336677E-3</v>
      </c>
    </row>
    <row r="1783" spans="1:3" x14ac:dyDescent="0.15">
      <c r="A1783" s="124">
        <v>43382</v>
      </c>
      <c r="B1783" s="126">
        <v>97.870941162109375</v>
      </c>
      <c r="C1783" s="125">
        <f>IFERROR(yf_data[[#This Row],[Close Price]]/B1782-1,0)</f>
        <v>-1.080873214715472E-2</v>
      </c>
    </row>
    <row r="1784" spans="1:3" x14ac:dyDescent="0.15">
      <c r="A1784" s="124">
        <v>43383</v>
      </c>
      <c r="B1784" s="126">
        <v>94.519454956054673</v>
      </c>
      <c r="C1784" s="125">
        <f>IFERROR(yf_data[[#This Row],[Close Price]]/B1783-1,0)</f>
        <v>-3.424393559783423E-2</v>
      </c>
    </row>
    <row r="1785" spans="1:3" x14ac:dyDescent="0.15">
      <c r="A1785" s="124">
        <v>43384</v>
      </c>
      <c r="B1785" s="126">
        <v>92.934425354003906</v>
      </c>
      <c r="C1785" s="125">
        <f>IFERROR(yf_data[[#This Row],[Close Price]]/B1784-1,0)</f>
        <v>-1.6769347673319723E-2</v>
      </c>
    </row>
    <row r="1786" spans="1:3" x14ac:dyDescent="0.15">
      <c r="A1786" s="124">
        <v>43385</v>
      </c>
      <c r="B1786" s="126">
        <v>95.732101440429673</v>
      </c>
      <c r="C1786" s="125">
        <f>IFERROR(yf_data[[#This Row],[Close Price]]/B1785-1,0)</f>
        <v>3.0103764840304414E-2</v>
      </c>
    </row>
    <row r="1787" spans="1:3" x14ac:dyDescent="0.15">
      <c r="A1787" s="124">
        <v>43388</v>
      </c>
      <c r="B1787" s="126">
        <v>93.392745971679673</v>
      </c>
      <c r="C1787" s="125">
        <f>IFERROR(yf_data[[#This Row],[Close Price]]/B1786-1,0)</f>
        <v>-2.4436478814848672E-2</v>
      </c>
    </row>
    <row r="1788" spans="1:3" x14ac:dyDescent="0.15">
      <c r="A1788" s="124">
        <v>43389</v>
      </c>
      <c r="B1788" s="126">
        <v>97.126167297363281</v>
      </c>
      <c r="C1788" s="125">
        <f>IFERROR(yf_data[[#This Row],[Close Price]]/B1787-1,0)</f>
        <v>3.9975495814372319E-2</v>
      </c>
    </row>
    <row r="1789" spans="1:3" x14ac:dyDescent="0.15">
      <c r="A1789" s="124">
        <v>43390</v>
      </c>
      <c r="B1789" s="126">
        <v>96.305007934570327</v>
      </c>
      <c r="C1789" s="125">
        <f>IFERROR(yf_data[[#This Row],[Close Price]]/B1788-1,0)</f>
        <v>-8.4545636427604265E-3</v>
      </c>
    </row>
    <row r="1790" spans="1:3" x14ac:dyDescent="0.15">
      <c r="A1790" s="124">
        <v>43391</v>
      </c>
      <c r="B1790" s="126">
        <v>94.825004577636719</v>
      </c>
      <c r="C1790" s="125">
        <f>IFERROR(yf_data[[#This Row],[Close Price]]/B1789-1,0)</f>
        <v>-1.5367875343919035E-2</v>
      </c>
    </row>
    <row r="1791" spans="1:3" x14ac:dyDescent="0.15">
      <c r="A1791" s="124">
        <v>43392</v>
      </c>
      <c r="B1791" s="126">
        <v>93.526428222656236</v>
      </c>
      <c r="C1791" s="125">
        <f>IFERROR(yf_data[[#This Row],[Close Price]]/B1790-1,0)</f>
        <v>-1.3694450749193399E-2</v>
      </c>
    </row>
    <row r="1792" spans="1:3" x14ac:dyDescent="0.15">
      <c r="A1792" s="124">
        <v>43395</v>
      </c>
      <c r="B1792" s="126">
        <v>91.960487365722656</v>
      </c>
      <c r="C1792" s="125">
        <f>IFERROR(yf_data[[#This Row],[Close Price]]/B1791-1,0)</f>
        <v>-1.6743297982101724E-2</v>
      </c>
    </row>
    <row r="1793" spans="1:3" x14ac:dyDescent="0.15">
      <c r="A1793" s="124">
        <v>43396</v>
      </c>
      <c r="B1793" s="126">
        <v>89.88848876953125</v>
      </c>
      <c r="C1793" s="125">
        <f>IFERROR(yf_data[[#This Row],[Close Price]]/B1792-1,0)</f>
        <v>-2.2531400773803667E-2</v>
      </c>
    </row>
    <row r="1794" spans="1:3" x14ac:dyDescent="0.15">
      <c r="A1794" s="124">
        <v>43397</v>
      </c>
      <c r="B1794" s="126">
        <v>91.005653381347656</v>
      </c>
      <c r="C1794" s="125">
        <f>IFERROR(yf_data[[#This Row],[Close Price]]/B1793-1,0)</f>
        <v>1.2428339013249579E-2</v>
      </c>
    </row>
    <row r="1795" spans="1:3" x14ac:dyDescent="0.15">
      <c r="A1795" s="124">
        <v>43398</v>
      </c>
      <c r="B1795" s="126">
        <v>93.516883850097656</v>
      </c>
      <c r="C1795" s="125">
        <f>IFERROR(yf_data[[#This Row],[Close Price]]/B1794-1,0)</f>
        <v>2.7594224923884747E-2</v>
      </c>
    </row>
    <row r="1796" spans="1:3" x14ac:dyDescent="0.15">
      <c r="A1796" s="124">
        <v>43399</v>
      </c>
      <c r="B1796" s="126">
        <v>91.807716369628906</v>
      </c>
      <c r="C1796" s="125">
        <f>IFERROR(yf_data[[#This Row],[Close Price]]/B1795-1,0)</f>
        <v>-1.8276565793279076E-2</v>
      </c>
    </row>
    <row r="1797" spans="1:3" x14ac:dyDescent="0.15">
      <c r="A1797" s="124">
        <v>43402</v>
      </c>
      <c r="B1797" s="126">
        <v>91.502166748046875</v>
      </c>
      <c r="C1797" s="125">
        <f>IFERROR(yf_data[[#This Row],[Close Price]]/B1796-1,0)</f>
        <v>-3.3281474985376036E-3</v>
      </c>
    </row>
    <row r="1798" spans="1:3" x14ac:dyDescent="0.15">
      <c r="A1798" s="124">
        <v>43403</v>
      </c>
      <c r="B1798" s="126">
        <v>89.659332275390625</v>
      </c>
      <c r="C1798" s="125">
        <f>IFERROR(yf_data[[#This Row],[Close Price]]/B1797-1,0)</f>
        <v>-2.0139790544310587E-2</v>
      </c>
    </row>
    <row r="1799" spans="1:3" x14ac:dyDescent="0.15">
      <c r="A1799" s="124">
        <v>43404</v>
      </c>
      <c r="B1799" s="126">
        <v>93.297264099121094</v>
      </c>
      <c r="C1799" s="125">
        <f>IFERROR(yf_data[[#This Row],[Close Price]]/B1798-1,0)</f>
        <v>4.0575049260421547E-2</v>
      </c>
    </row>
    <row r="1800" spans="1:3" x14ac:dyDescent="0.15">
      <c r="A1800" s="124">
        <v>43405</v>
      </c>
      <c r="B1800" s="126">
        <v>92.141914367675781</v>
      </c>
      <c r="C1800" s="125">
        <f>IFERROR(yf_data[[#This Row],[Close Price]]/B1799-1,0)</f>
        <v>-1.2383532814186693E-2</v>
      </c>
    </row>
    <row r="1801" spans="1:3" x14ac:dyDescent="0.15">
      <c r="A1801" s="124">
        <v>43406</v>
      </c>
      <c r="B1801" s="126">
        <v>91.292106628417955</v>
      </c>
      <c r="C1801" s="125">
        <f>IFERROR(yf_data[[#This Row],[Close Price]]/B1800-1,0)</f>
        <v>-9.2228140156370708E-3</v>
      </c>
    </row>
    <row r="1802" spans="1:3" x14ac:dyDescent="0.15">
      <c r="A1802" s="124">
        <v>43409</v>
      </c>
      <c r="B1802" s="126">
        <v>91.072486877441406</v>
      </c>
      <c r="C1802" s="125">
        <f>IFERROR(yf_data[[#This Row],[Close Price]]/B1801-1,0)</f>
        <v>-2.405681707734697E-3</v>
      </c>
    </row>
    <row r="1803" spans="1:3" x14ac:dyDescent="0.15">
      <c r="A1803" s="124">
        <v>43410</v>
      </c>
      <c r="B1803" s="126">
        <v>91.521263122558594</v>
      </c>
      <c r="C1803" s="125">
        <f>IFERROR(yf_data[[#This Row],[Close Price]]/B1802-1,0)</f>
        <v>4.9276818993766458E-3</v>
      </c>
    </row>
    <row r="1804" spans="1:3" x14ac:dyDescent="0.15">
      <c r="A1804" s="124">
        <v>43411</v>
      </c>
      <c r="B1804" s="126">
        <v>91.750419616699219</v>
      </c>
      <c r="C1804" s="125">
        <f>IFERROR(yf_data[[#This Row],[Close Price]]/B1803-1,0)</f>
        <v>2.5038607021163894E-3</v>
      </c>
    </row>
    <row r="1805" spans="1:3" x14ac:dyDescent="0.15">
      <c r="A1805" s="124">
        <v>43412</v>
      </c>
      <c r="B1805" s="126">
        <v>91.330299377441406</v>
      </c>
      <c r="C1805" s="125">
        <f>IFERROR(yf_data[[#This Row],[Close Price]]/B1804-1,0)</f>
        <v>-4.5789462436567341E-3</v>
      </c>
    </row>
    <row r="1806" spans="1:3" x14ac:dyDescent="0.15">
      <c r="A1806" s="124">
        <v>43413</v>
      </c>
      <c r="B1806" s="126">
        <v>90.404106140136719</v>
      </c>
      <c r="C1806" s="125">
        <f>IFERROR(yf_data[[#This Row],[Close Price]]/B1805-1,0)</f>
        <v>-1.0141138741667777E-2</v>
      </c>
    </row>
    <row r="1807" spans="1:3" x14ac:dyDescent="0.15">
      <c r="A1807" s="124">
        <v>43416</v>
      </c>
      <c r="B1807" s="126">
        <v>90.127197265625</v>
      </c>
      <c r="C1807" s="125">
        <f>IFERROR(yf_data[[#This Row],[Close Price]]/B1806-1,0)</f>
        <v>-3.0630121388787179E-3</v>
      </c>
    </row>
    <row r="1808" spans="1:3" x14ac:dyDescent="0.15">
      <c r="A1808" s="124">
        <v>43417</v>
      </c>
      <c r="B1808" s="126">
        <v>92.065521240234375</v>
      </c>
      <c r="C1808" s="125">
        <f>IFERROR(yf_data[[#This Row],[Close Price]]/B1807-1,0)</f>
        <v>2.1506537797871372E-2</v>
      </c>
    </row>
    <row r="1809" spans="1:3" x14ac:dyDescent="0.15">
      <c r="A1809" s="124">
        <v>43418</v>
      </c>
      <c r="B1809" s="126">
        <v>91.215721130371094</v>
      </c>
      <c r="C1809" s="125">
        <f>IFERROR(yf_data[[#This Row],[Close Price]]/B1808-1,0)</f>
        <v>-9.2303839528136145E-3</v>
      </c>
    </row>
    <row r="1810" spans="1:3" x14ac:dyDescent="0.15">
      <c r="A1810" s="124">
        <v>43419</v>
      </c>
      <c r="B1810" s="126">
        <v>89.621139526367188</v>
      </c>
      <c r="C1810" s="125">
        <f>IFERROR(yf_data[[#This Row],[Close Price]]/B1809-1,0)</f>
        <v>-1.7481433948483893E-2</v>
      </c>
    </row>
    <row r="1811" spans="1:3" x14ac:dyDescent="0.15">
      <c r="A1811" s="124">
        <v>43420</v>
      </c>
      <c r="B1811" s="126">
        <v>88.6949462890625</v>
      </c>
      <c r="C1811" s="125">
        <f>IFERROR(yf_data[[#This Row],[Close Price]]/B1810-1,0)</f>
        <v>-1.0334539844053192E-2</v>
      </c>
    </row>
    <row r="1812" spans="1:3" x14ac:dyDescent="0.15">
      <c r="A1812" s="124">
        <v>43423</v>
      </c>
      <c r="B1812" s="126">
        <v>88.389396667480469</v>
      </c>
      <c r="C1812" s="125">
        <f>IFERROR(yf_data[[#This Row],[Close Price]]/B1811-1,0)</f>
        <v>-3.4449496207622499E-3</v>
      </c>
    </row>
    <row r="1813" spans="1:3" x14ac:dyDescent="0.15">
      <c r="A1813" s="124">
        <v>43424</v>
      </c>
      <c r="B1813" s="126">
        <v>86.957130432128906</v>
      </c>
      <c r="C1813" s="125">
        <f>IFERROR(yf_data[[#This Row],[Close Price]]/B1812-1,0)</f>
        <v>-1.6204050365223432E-2</v>
      </c>
    </row>
    <row r="1814" spans="1:3" x14ac:dyDescent="0.15">
      <c r="A1814" s="124">
        <v>43425</v>
      </c>
      <c r="B1814" s="126">
        <v>88.962295532226562</v>
      </c>
      <c r="C1814" s="125">
        <f>IFERROR(yf_data[[#This Row],[Close Price]]/B1813-1,0)</f>
        <v>2.3059237237166075E-2</v>
      </c>
    </row>
    <row r="1815" spans="1:3" x14ac:dyDescent="0.15">
      <c r="A1815" s="124">
        <v>43426</v>
      </c>
      <c r="B1815" s="126">
        <v>88.160240173339844</v>
      </c>
      <c r="C1815" s="125">
        <f>IFERROR(yf_data[[#This Row],[Close Price]]/B1814-1,0)</f>
        <v>-9.0156774180379928E-3</v>
      </c>
    </row>
    <row r="1816" spans="1:3" x14ac:dyDescent="0.15">
      <c r="A1816" s="124">
        <v>43427</v>
      </c>
      <c r="B1816" s="126">
        <v>89.191459655761719</v>
      </c>
      <c r="C1816" s="125">
        <f>IFERROR(yf_data[[#This Row],[Close Price]]/B1815-1,0)</f>
        <v>1.1697103823609112E-2</v>
      </c>
    </row>
    <row r="1817" spans="1:3" x14ac:dyDescent="0.15">
      <c r="A1817" s="124">
        <v>43430</v>
      </c>
      <c r="B1817" s="126">
        <v>89.353782653808594</v>
      </c>
      <c r="C1817" s="125">
        <f>IFERROR(yf_data[[#This Row],[Close Price]]/B1816-1,0)</f>
        <v>1.8199387998960592E-3</v>
      </c>
    </row>
    <row r="1818" spans="1:3" x14ac:dyDescent="0.15">
      <c r="A1818" s="124">
        <v>43431</v>
      </c>
      <c r="B1818" s="126">
        <v>89.468360900878906</v>
      </c>
      <c r="C1818" s="125">
        <f>IFERROR(yf_data[[#This Row],[Close Price]]/B1817-1,0)</f>
        <v>1.2822987865463986E-3</v>
      </c>
    </row>
    <row r="1819" spans="1:3" x14ac:dyDescent="0.15">
      <c r="A1819" s="124">
        <v>43432</v>
      </c>
      <c r="B1819" s="126">
        <v>89.277389526367188</v>
      </c>
      <c r="C1819" s="125">
        <f>IFERROR(yf_data[[#This Row],[Close Price]]/B1818-1,0)</f>
        <v>-2.1345129450096589E-3</v>
      </c>
    </row>
    <row r="1820" spans="1:3" x14ac:dyDescent="0.15">
      <c r="A1820" s="124">
        <v>43433</v>
      </c>
      <c r="B1820" s="126">
        <v>90.575973510742202</v>
      </c>
      <c r="C1820" s="125">
        <f>IFERROR(yf_data[[#This Row],[Close Price]]/B1819-1,0)</f>
        <v>1.4545496807917946E-2</v>
      </c>
    </row>
    <row r="1821" spans="1:3" x14ac:dyDescent="0.15">
      <c r="A1821" s="124">
        <v>43434</v>
      </c>
      <c r="B1821" s="126">
        <v>90.346817016601562</v>
      </c>
      <c r="C1821" s="125">
        <f>IFERROR(yf_data[[#This Row],[Close Price]]/B1820-1,0)</f>
        <v>-2.529992063662001E-3</v>
      </c>
    </row>
    <row r="1822" spans="1:3" x14ac:dyDescent="0.15">
      <c r="A1822" s="124">
        <v>43437</v>
      </c>
      <c r="B1822" s="126">
        <v>91.378036499023438</v>
      </c>
      <c r="C1822" s="125">
        <f>IFERROR(yf_data[[#This Row],[Close Price]]/B1821-1,0)</f>
        <v>1.141401010544052E-2</v>
      </c>
    </row>
    <row r="1823" spans="1:3" x14ac:dyDescent="0.15">
      <c r="A1823" s="124">
        <v>43438</v>
      </c>
      <c r="B1823" s="126">
        <v>90.012619018554688</v>
      </c>
      <c r="C1823" s="125">
        <f>IFERROR(yf_data[[#This Row],[Close Price]]/B1822-1,0)</f>
        <v>-1.4942512804850483E-2</v>
      </c>
    </row>
    <row r="1824" spans="1:3" x14ac:dyDescent="0.15">
      <c r="A1824" s="124">
        <v>43439</v>
      </c>
      <c r="B1824" s="126">
        <v>88.141128540039062</v>
      </c>
      <c r="C1824" s="125">
        <f>IFERROR(yf_data[[#This Row],[Close Price]]/B1823-1,0)</f>
        <v>-2.0791423457302671E-2</v>
      </c>
    </row>
    <row r="1825" spans="1:3" x14ac:dyDescent="0.15">
      <c r="A1825" s="124">
        <v>43440</v>
      </c>
      <c r="B1825" s="126">
        <v>84.636878967285156</v>
      </c>
      <c r="C1825" s="125">
        <f>IFERROR(yf_data[[#This Row],[Close Price]]/B1824-1,0)</f>
        <v>-3.9757257829550752E-2</v>
      </c>
    </row>
    <row r="1826" spans="1:3" x14ac:dyDescent="0.15">
      <c r="A1826" s="124">
        <v>43441</v>
      </c>
      <c r="B1826" s="126">
        <v>85.047454833984375</v>
      </c>
      <c r="C1826" s="125">
        <f>IFERROR(yf_data[[#This Row],[Close Price]]/B1825-1,0)</f>
        <v>4.8510279645108678E-3</v>
      </c>
    </row>
    <row r="1827" spans="1:3" x14ac:dyDescent="0.15">
      <c r="A1827" s="124">
        <v>43444</v>
      </c>
      <c r="B1827" s="126">
        <v>83.538818359375</v>
      </c>
      <c r="C1827" s="125">
        <f>IFERROR(yf_data[[#This Row],[Close Price]]/B1826-1,0)</f>
        <v>-1.7738760995896774E-2</v>
      </c>
    </row>
    <row r="1828" spans="1:3" x14ac:dyDescent="0.15">
      <c r="A1828" s="124">
        <v>43445</v>
      </c>
      <c r="B1828" s="126">
        <v>84.598686218261719</v>
      </c>
      <c r="C1828" s="125">
        <f>IFERROR(yf_data[[#This Row],[Close Price]]/B1827-1,0)</f>
        <v>1.2687130123474777E-2</v>
      </c>
    </row>
    <row r="1829" spans="1:3" x14ac:dyDescent="0.15">
      <c r="A1829" s="124">
        <v>43446</v>
      </c>
      <c r="B1829" s="126">
        <v>87.348625183105469</v>
      </c>
      <c r="C1829" s="125">
        <f>IFERROR(yf_data[[#This Row],[Close Price]]/B1828-1,0)</f>
        <v>3.2505693501539756E-2</v>
      </c>
    </row>
    <row r="1830" spans="1:3" x14ac:dyDescent="0.15">
      <c r="A1830" s="124">
        <v>43447</v>
      </c>
      <c r="B1830" s="126">
        <v>85.906814575195312</v>
      </c>
      <c r="C1830" s="125">
        <f>IFERROR(yf_data[[#This Row],[Close Price]]/B1829-1,0)</f>
        <v>-1.6506391541798671E-2</v>
      </c>
    </row>
    <row r="1831" spans="1:3" x14ac:dyDescent="0.15">
      <c r="A1831" s="124">
        <v>43448</v>
      </c>
      <c r="B1831" s="126">
        <v>84.66552734375</v>
      </c>
      <c r="C1831" s="125">
        <f>IFERROR(yf_data[[#This Row],[Close Price]]/B1830-1,0)</f>
        <v>-1.4449228941655123E-2</v>
      </c>
    </row>
    <row r="1832" spans="1:3" x14ac:dyDescent="0.15">
      <c r="A1832" s="124">
        <v>43451</v>
      </c>
      <c r="B1832" s="126">
        <v>83.69158935546875</v>
      </c>
      <c r="C1832" s="125">
        <f>IFERROR(yf_data[[#This Row],[Close Price]]/B1831-1,0)</f>
        <v>-1.1503359381758393E-2</v>
      </c>
    </row>
    <row r="1833" spans="1:3" x14ac:dyDescent="0.15">
      <c r="A1833" s="124">
        <v>43452</v>
      </c>
      <c r="B1833" s="126">
        <v>84.64642333984375</v>
      </c>
      <c r="C1833" s="125">
        <f>IFERROR(yf_data[[#This Row],[Close Price]]/B1832-1,0)</f>
        <v>1.1408959869545265E-2</v>
      </c>
    </row>
    <row r="1834" spans="1:3" x14ac:dyDescent="0.15">
      <c r="A1834" s="124">
        <v>43453</v>
      </c>
      <c r="B1834" s="126">
        <v>83.261909484863281</v>
      </c>
      <c r="C1834" s="125">
        <f>IFERROR(yf_data[[#This Row],[Close Price]]/B1833-1,0)</f>
        <v>-1.6356436578800704E-2</v>
      </c>
    </row>
    <row r="1835" spans="1:3" x14ac:dyDescent="0.15">
      <c r="A1835" s="124">
        <v>43454</v>
      </c>
      <c r="B1835" s="126">
        <v>79.566688537597656</v>
      </c>
      <c r="C1835" s="125">
        <f>IFERROR(yf_data[[#This Row],[Close Price]]/B1834-1,0)</f>
        <v>-4.4380689442840682E-2</v>
      </c>
    </row>
    <row r="1836" spans="1:3" x14ac:dyDescent="0.15">
      <c r="A1836" s="124">
        <v>43455</v>
      </c>
      <c r="B1836" s="126">
        <v>79.347076416015625</v>
      </c>
      <c r="C1836" s="125">
        <f>IFERROR(yf_data[[#This Row],[Close Price]]/B1835-1,0)</f>
        <v>-2.7601013139846309E-3</v>
      </c>
    </row>
    <row r="1837" spans="1:3" x14ac:dyDescent="0.15">
      <c r="A1837" s="124">
        <v>43458</v>
      </c>
      <c r="B1837" s="126">
        <v>77.943458557128906</v>
      </c>
      <c r="C1837" s="125">
        <f>IFERROR(yf_data[[#This Row],[Close Price]]/B1836-1,0)</f>
        <v>-1.7689597680040192E-2</v>
      </c>
    </row>
    <row r="1838" spans="1:3" x14ac:dyDescent="0.15">
      <c r="A1838" s="124">
        <v>43461</v>
      </c>
      <c r="B1838" s="126">
        <v>78.392234802246094</v>
      </c>
      <c r="C1838" s="125">
        <f>IFERROR(yf_data[[#This Row],[Close Price]]/B1837-1,0)</f>
        <v>5.7577153160102146E-3</v>
      </c>
    </row>
    <row r="1839" spans="1:3" x14ac:dyDescent="0.15">
      <c r="A1839" s="124">
        <v>43462</v>
      </c>
      <c r="B1839" s="126">
        <v>79.977264404296875</v>
      </c>
      <c r="C1839" s="125">
        <f>IFERROR(yf_data[[#This Row],[Close Price]]/B1838-1,0)</f>
        <v>2.0219216942203744E-2</v>
      </c>
    </row>
    <row r="1840" spans="1:3" x14ac:dyDescent="0.15">
      <c r="A1840" s="124">
        <v>43465</v>
      </c>
      <c r="B1840" s="126">
        <v>80.168235778808594</v>
      </c>
      <c r="C1840" s="125">
        <f>IFERROR(yf_data[[#This Row],[Close Price]]/B1839-1,0)</f>
        <v>2.3878207879970414E-3</v>
      </c>
    </row>
    <row r="1841" spans="1:3" x14ac:dyDescent="0.15">
      <c r="A1841" s="124">
        <v>43467</v>
      </c>
      <c r="B1841" s="126">
        <v>80.368751525878906</v>
      </c>
      <c r="C1841" s="125">
        <f>IFERROR(yf_data[[#This Row],[Close Price]]/B1840-1,0)</f>
        <v>2.5011869741471404E-3</v>
      </c>
    </row>
    <row r="1842" spans="1:3" x14ac:dyDescent="0.15">
      <c r="A1842" s="124">
        <v>43468</v>
      </c>
      <c r="B1842" s="126">
        <v>77.542427062988281</v>
      </c>
      <c r="C1842" s="125">
        <f>IFERROR(yf_data[[#This Row],[Close Price]]/B1841-1,0)</f>
        <v>-3.5166957421013834E-2</v>
      </c>
    </row>
    <row r="1843" spans="1:3" x14ac:dyDescent="0.15">
      <c r="A1843" s="124">
        <v>43469</v>
      </c>
      <c r="B1843" s="126">
        <v>81.275848388671875</v>
      </c>
      <c r="C1843" s="125">
        <f>IFERROR(yf_data[[#This Row],[Close Price]]/B1842-1,0)</f>
        <v>4.8146820612809949E-2</v>
      </c>
    </row>
    <row r="1844" spans="1:3" x14ac:dyDescent="0.15">
      <c r="A1844" s="124">
        <v>43472</v>
      </c>
      <c r="B1844" s="126">
        <v>79.786300659179688</v>
      </c>
      <c r="C1844" s="125">
        <f>IFERROR(yf_data[[#This Row],[Close Price]]/B1843-1,0)</f>
        <v>-1.8327064669555582E-2</v>
      </c>
    </row>
    <row r="1845" spans="1:3" x14ac:dyDescent="0.15">
      <c r="A1845" s="124">
        <v>43473</v>
      </c>
      <c r="B1845" s="126">
        <v>82.736747741699219</v>
      </c>
      <c r="C1845" s="125">
        <f>IFERROR(yf_data[[#This Row],[Close Price]]/B1844-1,0)</f>
        <v>3.6979369367215797E-2</v>
      </c>
    </row>
    <row r="1846" spans="1:3" x14ac:dyDescent="0.15">
      <c r="A1846" s="124">
        <v>43474</v>
      </c>
      <c r="B1846" s="126">
        <v>85.629913330078125</v>
      </c>
      <c r="C1846" s="125">
        <f>IFERROR(yf_data[[#This Row],[Close Price]]/B1845-1,0)</f>
        <v>3.4968326255840454E-2</v>
      </c>
    </row>
    <row r="1847" spans="1:3" x14ac:dyDescent="0.15">
      <c r="A1847" s="124">
        <v>43475</v>
      </c>
      <c r="B1847" s="126">
        <v>85.563072204589844</v>
      </c>
      <c r="C1847" s="125">
        <f>IFERROR(yf_data[[#This Row],[Close Price]]/B1846-1,0)</f>
        <v>-7.8058149178117375E-4</v>
      </c>
    </row>
    <row r="1848" spans="1:3" x14ac:dyDescent="0.15">
      <c r="A1848" s="124">
        <v>43476</v>
      </c>
      <c r="B1848" s="126">
        <v>84.388618469238281</v>
      </c>
      <c r="C1848" s="125">
        <f>IFERROR(yf_data[[#This Row],[Close Price]]/B1847-1,0)</f>
        <v>-1.3726175382568373E-2</v>
      </c>
    </row>
    <row r="1849" spans="1:3" x14ac:dyDescent="0.15">
      <c r="A1849" s="124">
        <v>43479</v>
      </c>
      <c r="B1849" s="126">
        <v>85.849533081054688</v>
      </c>
      <c r="C1849" s="125">
        <f>IFERROR(yf_data[[#This Row],[Close Price]]/B1848-1,0)</f>
        <v>1.7311749360477302E-2</v>
      </c>
    </row>
    <row r="1850" spans="1:3" x14ac:dyDescent="0.15">
      <c r="A1850" s="124">
        <v>43480</v>
      </c>
      <c r="B1850" s="126">
        <v>88.141128540039062</v>
      </c>
      <c r="C1850" s="125">
        <f>IFERROR(yf_data[[#This Row],[Close Price]]/B1849-1,0)</f>
        <v>2.6693161590299663E-2</v>
      </c>
    </row>
    <row r="1851" spans="1:3" x14ac:dyDescent="0.15">
      <c r="A1851" s="124">
        <v>43481</v>
      </c>
      <c r="B1851" s="126">
        <v>88.360748291015625</v>
      </c>
      <c r="C1851" s="125">
        <f>IFERROR(yf_data[[#This Row],[Close Price]]/B1850-1,0)</f>
        <v>2.4916829931080908E-3</v>
      </c>
    </row>
    <row r="1852" spans="1:3" x14ac:dyDescent="0.15">
      <c r="A1852" s="124">
        <v>43482</v>
      </c>
      <c r="B1852" s="126">
        <v>87.615974426269531</v>
      </c>
      <c r="C1852" s="125">
        <f>IFERROR(yf_data[[#This Row],[Close Price]]/B1851-1,0)</f>
        <v>-8.4287863010529263E-3</v>
      </c>
    </row>
    <row r="1853" spans="1:3" x14ac:dyDescent="0.15">
      <c r="A1853" s="124">
        <v>43483</v>
      </c>
      <c r="B1853" s="126">
        <v>89.43017578125</v>
      </c>
      <c r="C1853" s="125">
        <f>IFERROR(yf_data[[#This Row],[Close Price]]/B1852-1,0)</f>
        <v>2.0706285204955988E-2</v>
      </c>
    </row>
    <row r="1854" spans="1:3" x14ac:dyDescent="0.15">
      <c r="A1854" s="124">
        <v>43486</v>
      </c>
      <c r="B1854" s="126">
        <v>90.232231140136719</v>
      </c>
      <c r="C1854" s="125">
        <f>IFERROR(yf_data[[#This Row],[Close Price]]/B1853-1,0)</f>
        <v>8.9685092518276832E-3</v>
      </c>
    </row>
    <row r="1855" spans="1:3" x14ac:dyDescent="0.15">
      <c r="A1855" s="124">
        <v>43487</v>
      </c>
      <c r="B1855" s="126">
        <v>90.470939636230483</v>
      </c>
      <c r="C1855" s="125">
        <f>IFERROR(yf_data[[#This Row],[Close Price]]/B1854-1,0)</f>
        <v>2.6454903428358989E-3</v>
      </c>
    </row>
    <row r="1856" spans="1:3" x14ac:dyDescent="0.15">
      <c r="A1856" s="124">
        <v>43488</v>
      </c>
      <c r="B1856" s="126">
        <v>89.573394775390625</v>
      </c>
      <c r="C1856" s="125">
        <f>IFERROR(yf_data[[#This Row],[Close Price]]/B1855-1,0)</f>
        <v>-9.9208084325059787E-3</v>
      </c>
    </row>
    <row r="1857" spans="1:3" x14ac:dyDescent="0.15">
      <c r="A1857" s="124">
        <v>43489</v>
      </c>
      <c r="B1857" s="126">
        <v>91.588096618652344</v>
      </c>
      <c r="C1857" s="125">
        <f>IFERROR(yf_data[[#This Row],[Close Price]]/B1856-1,0)</f>
        <v>2.2492190324076455E-2</v>
      </c>
    </row>
    <row r="1858" spans="1:3" x14ac:dyDescent="0.15">
      <c r="A1858" s="124">
        <v>43490</v>
      </c>
      <c r="B1858" s="126">
        <v>92.151466369628906</v>
      </c>
      <c r="C1858" s="125">
        <f>IFERROR(yf_data[[#This Row],[Close Price]]/B1857-1,0)</f>
        <v>6.1511241283054297E-3</v>
      </c>
    </row>
    <row r="1859" spans="1:3" x14ac:dyDescent="0.15">
      <c r="A1859" s="124">
        <v>43493</v>
      </c>
      <c r="B1859" s="126">
        <v>91.110679626464844</v>
      </c>
      <c r="C1859" s="125">
        <f>IFERROR(yf_data[[#This Row],[Close Price]]/B1858-1,0)</f>
        <v>-1.1294304737261118E-2</v>
      </c>
    </row>
    <row r="1860" spans="1:3" x14ac:dyDescent="0.15">
      <c r="A1860" s="124">
        <v>43494</v>
      </c>
      <c r="B1860" s="126">
        <v>91.712234497070327</v>
      </c>
      <c r="C1860" s="125">
        <f>IFERROR(yf_data[[#This Row],[Close Price]]/B1859-1,0)</f>
        <v>6.602462774635498E-3</v>
      </c>
    </row>
    <row r="1861" spans="1:3" x14ac:dyDescent="0.15">
      <c r="A1861" s="124">
        <v>43495</v>
      </c>
      <c r="B1861" s="126">
        <v>94.529006958007798</v>
      </c>
      <c r="C1861" s="125">
        <f>IFERROR(yf_data[[#This Row],[Close Price]]/B1860-1,0)</f>
        <v>3.0713159224437403E-2</v>
      </c>
    </row>
    <row r="1862" spans="1:3" x14ac:dyDescent="0.15">
      <c r="A1862" s="124">
        <v>43496</v>
      </c>
      <c r="B1862" s="126">
        <v>95.693908691406236</v>
      </c>
      <c r="C1862" s="125">
        <f>IFERROR(yf_data[[#This Row],[Close Price]]/B1861-1,0)</f>
        <v>1.2323219833631827E-2</v>
      </c>
    </row>
    <row r="1863" spans="1:3" x14ac:dyDescent="0.15">
      <c r="A1863" s="124">
        <v>43497</v>
      </c>
      <c r="B1863" s="126">
        <v>96.553268432617202</v>
      </c>
      <c r="C1863" s="125">
        <f>IFERROR(yf_data[[#This Row],[Close Price]]/B1862-1,0)</f>
        <v>8.980297209744359E-3</v>
      </c>
    </row>
    <row r="1864" spans="1:3" x14ac:dyDescent="0.15">
      <c r="A1864" s="124">
        <v>43500</v>
      </c>
      <c r="B1864" s="126">
        <v>96.820625305175781</v>
      </c>
      <c r="C1864" s="125">
        <f>IFERROR(yf_data[[#This Row],[Close Price]]/B1863-1,0)</f>
        <v>2.7690090340666274E-3</v>
      </c>
    </row>
    <row r="1865" spans="1:3" x14ac:dyDescent="0.15">
      <c r="A1865" s="124">
        <v>43501</v>
      </c>
      <c r="B1865" s="126">
        <v>97.393516540527344</v>
      </c>
      <c r="C1865" s="125">
        <f>IFERROR(yf_data[[#This Row],[Close Price]]/B1864-1,0)</f>
        <v>5.9170371348649109E-3</v>
      </c>
    </row>
    <row r="1866" spans="1:3" x14ac:dyDescent="0.15">
      <c r="A1866" s="124">
        <v>43502</v>
      </c>
      <c r="B1866" s="126">
        <v>97.469909667968764</v>
      </c>
      <c r="C1866" s="125">
        <f>IFERROR(yf_data[[#This Row],[Close Price]]/B1865-1,0)</f>
        <v>7.8437590257496304E-4</v>
      </c>
    </row>
    <row r="1867" spans="1:3" x14ac:dyDescent="0.15">
      <c r="A1867" s="124">
        <v>43503</v>
      </c>
      <c r="B1867" s="126">
        <v>95.321517944335938</v>
      </c>
      <c r="C1867" s="125">
        <f>IFERROR(yf_data[[#This Row],[Close Price]]/B1866-1,0)</f>
        <v>-2.2041589357693292E-2</v>
      </c>
    </row>
    <row r="1868" spans="1:3" x14ac:dyDescent="0.15">
      <c r="A1868" s="124">
        <v>43504</v>
      </c>
      <c r="B1868" s="126">
        <v>95.426559448242202</v>
      </c>
      <c r="C1868" s="125">
        <f>IFERROR(yf_data[[#This Row],[Close Price]]/B1867-1,0)</f>
        <v>1.1019705326933416E-3</v>
      </c>
    </row>
    <row r="1869" spans="1:3" x14ac:dyDescent="0.15">
      <c r="A1869" s="124">
        <v>43507</v>
      </c>
      <c r="B1869" s="126">
        <v>97.393516540527344</v>
      </c>
      <c r="C1869" s="125">
        <f>IFERROR(yf_data[[#This Row],[Close Price]]/B1868-1,0)</f>
        <v>2.0612260398552795E-2</v>
      </c>
    </row>
    <row r="1870" spans="1:3" x14ac:dyDescent="0.15">
      <c r="A1870" s="124">
        <v>43508</v>
      </c>
      <c r="B1870" s="126">
        <v>98.138290405273438</v>
      </c>
      <c r="C1870" s="125">
        <f>IFERROR(yf_data[[#This Row],[Close Price]]/B1869-1,0)</f>
        <v>7.6470579480121259E-3</v>
      </c>
    </row>
    <row r="1871" spans="1:3" x14ac:dyDescent="0.15">
      <c r="A1871" s="124">
        <v>43509</v>
      </c>
      <c r="B1871" s="126">
        <v>99.666030883789062</v>
      </c>
      <c r="C1871" s="125">
        <f>IFERROR(yf_data[[#This Row],[Close Price]]/B1870-1,0)</f>
        <v>1.5567221236549411E-2</v>
      </c>
    </row>
    <row r="1872" spans="1:3" x14ac:dyDescent="0.15">
      <c r="A1872" s="124">
        <v>43510</v>
      </c>
      <c r="B1872" s="126">
        <v>102.33958435058594</v>
      </c>
      <c r="C1872" s="125">
        <f>IFERROR(yf_data[[#This Row],[Close Price]]/B1871-1,0)</f>
        <v>2.6825122291809222E-2</v>
      </c>
    </row>
    <row r="1873" spans="1:3" x14ac:dyDescent="0.15">
      <c r="A1873" s="124">
        <v>43511</v>
      </c>
      <c r="B1873" s="126">
        <v>105.9679718017578</v>
      </c>
      <c r="C1873" s="125">
        <f>IFERROR(yf_data[[#This Row],[Close Price]]/B1872-1,0)</f>
        <v>3.545438917107635E-2</v>
      </c>
    </row>
    <row r="1874" spans="1:3" x14ac:dyDescent="0.15">
      <c r="A1874" s="124">
        <v>43514</v>
      </c>
      <c r="B1874" s="126">
        <v>106.23532867431641</v>
      </c>
      <c r="C1874" s="125">
        <f>IFERROR(yf_data[[#This Row],[Close Price]]/B1873-1,0)</f>
        <v>2.5229969774147598E-3</v>
      </c>
    </row>
    <row r="1875" spans="1:3" x14ac:dyDescent="0.15">
      <c r="A1875" s="124">
        <v>43515</v>
      </c>
      <c r="B1875" s="126">
        <v>106.12074279785156</v>
      </c>
      <c r="C1875" s="125">
        <f>IFERROR(yf_data[[#This Row],[Close Price]]/B1874-1,0)</f>
        <v>-1.0786042448847066E-3</v>
      </c>
    </row>
    <row r="1876" spans="1:3" x14ac:dyDescent="0.15">
      <c r="A1876" s="124">
        <v>43516</v>
      </c>
      <c r="B1876" s="126">
        <v>106.10165405273438</v>
      </c>
      <c r="C1876" s="125">
        <f>IFERROR(yf_data[[#This Row],[Close Price]]/B1875-1,0)</f>
        <v>-1.7987760558324517E-4</v>
      </c>
    </row>
    <row r="1877" spans="1:3" x14ac:dyDescent="0.15">
      <c r="A1877" s="124">
        <v>43517</v>
      </c>
      <c r="B1877" s="126">
        <v>106.330810546875</v>
      </c>
      <c r="C1877" s="125">
        <f>IFERROR(yf_data[[#This Row],[Close Price]]/B1876-1,0)</f>
        <v>2.1597824858294867E-3</v>
      </c>
    </row>
    <row r="1878" spans="1:3" x14ac:dyDescent="0.15">
      <c r="A1878" s="124">
        <v>43518</v>
      </c>
      <c r="B1878" s="126">
        <v>108.56512451171876</v>
      </c>
      <c r="C1878" s="125">
        <f>IFERROR(yf_data[[#This Row],[Close Price]]/B1877-1,0)</f>
        <v>2.1012855571704625E-2</v>
      </c>
    </row>
    <row r="1879" spans="1:3" x14ac:dyDescent="0.15">
      <c r="A1879" s="124">
        <v>43521</v>
      </c>
      <c r="B1879" s="126">
        <v>108.2213897705078</v>
      </c>
      <c r="C1879" s="125">
        <f>IFERROR(yf_data[[#This Row],[Close Price]]/B1878-1,0)</f>
        <v>-3.1661617186636848E-3</v>
      </c>
    </row>
    <row r="1880" spans="1:3" x14ac:dyDescent="0.15">
      <c r="A1880" s="124">
        <v>43522</v>
      </c>
      <c r="B1880" s="126">
        <v>108.01132965087891</v>
      </c>
      <c r="C1880" s="125">
        <f>IFERROR(yf_data[[#This Row],[Close Price]]/B1879-1,0)</f>
        <v>-1.9410221960218799E-3</v>
      </c>
    </row>
    <row r="1881" spans="1:3" x14ac:dyDescent="0.15">
      <c r="A1881" s="124">
        <v>43523</v>
      </c>
      <c r="B1881" s="126">
        <v>108.33596801757812</v>
      </c>
      <c r="C1881" s="125">
        <f>IFERROR(yf_data[[#This Row],[Close Price]]/B1880-1,0)</f>
        <v>3.0055955032544102E-3</v>
      </c>
    </row>
    <row r="1882" spans="1:3" x14ac:dyDescent="0.15">
      <c r="A1882" s="124">
        <v>43524</v>
      </c>
      <c r="B1882" s="126">
        <v>108.46965026855467</v>
      </c>
      <c r="C1882" s="125">
        <f>IFERROR(yf_data[[#This Row],[Close Price]]/B1881-1,0)</f>
        <v>1.2339599989068528E-3</v>
      </c>
    </row>
    <row r="1883" spans="1:3" x14ac:dyDescent="0.15">
      <c r="A1883" s="124">
        <v>43525</v>
      </c>
      <c r="B1883" s="126">
        <v>108.756103515625</v>
      </c>
      <c r="C1883" s="125">
        <f>IFERROR(yf_data[[#This Row],[Close Price]]/B1882-1,0)</f>
        <v>2.6408607971086795E-3</v>
      </c>
    </row>
    <row r="1884" spans="1:3" x14ac:dyDescent="0.15">
      <c r="A1884" s="124">
        <v>43528</v>
      </c>
      <c r="B1884" s="126">
        <v>108.87067413330078</v>
      </c>
      <c r="C1884" s="125">
        <f>IFERROR(yf_data[[#This Row],[Close Price]]/B1883-1,0)</f>
        <v>1.0534637962578142E-3</v>
      </c>
    </row>
    <row r="1885" spans="1:3" x14ac:dyDescent="0.15">
      <c r="A1885" s="124">
        <v>43529</v>
      </c>
      <c r="B1885" s="126">
        <v>108.12590026855467</v>
      </c>
      <c r="C1885" s="125">
        <f>IFERROR(yf_data[[#This Row],[Close Price]]/B1884-1,0)</f>
        <v>-6.8409043176697049E-3</v>
      </c>
    </row>
    <row r="1886" spans="1:3" x14ac:dyDescent="0.15">
      <c r="A1886" s="124">
        <v>43530</v>
      </c>
      <c r="B1886" s="126">
        <v>108.584228515625</v>
      </c>
      <c r="C1886" s="125">
        <f>IFERROR(yf_data[[#This Row],[Close Price]]/B1885-1,0)</f>
        <v>4.2388386679970136E-3</v>
      </c>
    </row>
    <row r="1887" spans="1:3" x14ac:dyDescent="0.15">
      <c r="A1887" s="124">
        <v>43531</v>
      </c>
      <c r="B1887" s="126">
        <v>107.6484832763672</v>
      </c>
      <c r="C1887" s="125">
        <f>IFERROR(yf_data[[#This Row],[Close Price]]/B1886-1,0)</f>
        <v>-8.6176901751725543E-3</v>
      </c>
    </row>
    <row r="1888" spans="1:3" x14ac:dyDescent="0.15">
      <c r="A1888" s="124">
        <v>43532</v>
      </c>
      <c r="B1888" s="126">
        <v>106.48358154296876</v>
      </c>
      <c r="C1888" s="125">
        <f>IFERROR(yf_data[[#This Row],[Close Price]]/B1887-1,0)</f>
        <v>-1.0821348317632817E-2</v>
      </c>
    </row>
    <row r="1889" spans="1:3" x14ac:dyDescent="0.15">
      <c r="A1889" s="124">
        <v>43535</v>
      </c>
      <c r="B1889" s="126">
        <v>107.85855102539062</v>
      </c>
      <c r="C1889" s="125">
        <f>IFERROR(yf_data[[#This Row],[Close Price]]/B1888-1,0)</f>
        <v>1.2912502213940247E-2</v>
      </c>
    </row>
    <row r="1890" spans="1:3" x14ac:dyDescent="0.15">
      <c r="A1890" s="124">
        <v>43536</v>
      </c>
      <c r="B1890" s="126">
        <v>109.4053955078125</v>
      </c>
      <c r="C1890" s="125">
        <f>IFERROR(yf_data[[#This Row],[Close Price]]/B1889-1,0)</f>
        <v>1.4341417233184828E-2</v>
      </c>
    </row>
    <row r="1891" spans="1:3" x14ac:dyDescent="0.15">
      <c r="A1891" s="124">
        <v>43537</v>
      </c>
      <c r="B1891" s="126">
        <v>111.60150909423828</v>
      </c>
      <c r="C1891" s="125">
        <f>IFERROR(yf_data[[#This Row],[Close Price]]/B1890-1,0)</f>
        <v>2.0073174419162454E-2</v>
      </c>
    </row>
    <row r="1892" spans="1:3" x14ac:dyDescent="0.15">
      <c r="A1892" s="124">
        <v>43538</v>
      </c>
      <c r="B1892" s="126">
        <v>111.71610260009766</v>
      </c>
      <c r="C1892" s="125">
        <f>IFERROR(yf_data[[#This Row],[Close Price]]/B1891-1,0)</f>
        <v>1.026809644326665E-3</v>
      </c>
    </row>
    <row r="1893" spans="1:3" x14ac:dyDescent="0.15">
      <c r="A1893" s="124">
        <v>43539</v>
      </c>
      <c r="B1893" s="126">
        <v>112.36538696289062</v>
      </c>
      <c r="C1893" s="125">
        <f>IFERROR(yf_data[[#This Row],[Close Price]]/B1892-1,0)</f>
        <v>5.8119138394683301E-3</v>
      </c>
    </row>
    <row r="1894" spans="1:3" x14ac:dyDescent="0.15">
      <c r="A1894" s="124">
        <v>43542</v>
      </c>
      <c r="B1894" s="126">
        <v>112.67093658447266</v>
      </c>
      <c r="C1894" s="125">
        <f>IFERROR(yf_data[[#This Row],[Close Price]]/B1893-1,0)</f>
        <v>2.7192503834205795E-3</v>
      </c>
    </row>
    <row r="1895" spans="1:3" x14ac:dyDescent="0.15">
      <c r="A1895" s="124">
        <v>43543</v>
      </c>
      <c r="B1895" s="126">
        <v>113.6257781982422</v>
      </c>
      <c r="C1895" s="125">
        <f>IFERROR(yf_data[[#This Row],[Close Price]]/B1894-1,0)</f>
        <v>8.4746043896926082E-3</v>
      </c>
    </row>
    <row r="1896" spans="1:3" x14ac:dyDescent="0.15">
      <c r="A1896" s="124">
        <v>43544</v>
      </c>
      <c r="B1896" s="126">
        <v>112.53725433349609</v>
      </c>
      <c r="C1896" s="125">
        <f>IFERROR(yf_data[[#This Row],[Close Price]]/B1895-1,0)</f>
        <v>-9.5799023954491469E-3</v>
      </c>
    </row>
    <row r="1897" spans="1:3" x14ac:dyDescent="0.15">
      <c r="A1897" s="124">
        <v>43545</v>
      </c>
      <c r="B1897" s="126">
        <v>113.20564270019533</v>
      </c>
      <c r="C1897" s="125">
        <f>IFERROR(yf_data[[#This Row],[Close Price]]/B1896-1,0)</f>
        <v>5.9392631414172392E-3</v>
      </c>
    </row>
    <row r="1898" spans="1:3" x14ac:dyDescent="0.15">
      <c r="A1898" s="124">
        <v>43546</v>
      </c>
      <c r="B1898" s="126">
        <v>109.42448425292967</v>
      </c>
      <c r="C1898" s="125">
        <f>IFERROR(yf_data[[#This Row],[Close Price]]/B1897-1,0)</f>
        <v>-3.3400794846237147E-2</v>
      </c>
    </row>
    <row r="1899" spans="1:3" x14ac:dyDescent="0.15">
      <c r="A1899" s="124">
        <v>43549</v>
      </c>
      <c r="B1899" s="126">
        <v>108.88977813720705</v>
      </c>
      <c r="C1899" s="125">
        <f>IFERROR(yf_data[[#This Row],[Close Price]]/B1898-1,0)</f>
        <v>-4.8865308287556752E-3</v>
      </c>
    </row>
    <row r="1900" spans="1:3" x14ac:dyDescent="0.15">
      <c r="A1900" s="124">
        <v>43550</v>
      </c>
      <c r="B1900" s="126">
        <v>111.08589935302734</v>
      </c>
      <c r="C1900" s="125">
        <f>IFERROR(yf_data[[#This Row],[Close Price]]/B1899-1,0)</f>
        <v>2.0168295439568773E-2</v>
      </c>
    </row>
    <row r="1901" spans="1:3" x14ac:dyDescent="0.15">
      <c r="A1901" s="124">
        <v>43551</v>
      </c>
      <c r="B1901" s="126">
        <v>110.26473999023438</v>
      </c>
      <c r="C1901" s="125">
        <f>IFERROR(yf_data[[#This Row],[Close Price]]/B1900-1,0)</f>
        <v>-7.3921115782963343E-3</v>
      </c>
    </row>
    <row r="1902" spans="1:3" x14ac:dyDescent="0.15">
      <c r="A1902" s="124">
        <v>43552</v>
      </c>
      <c r="B1902" s="126">
        <v>111.009521484375</v>
      </c>
      <c r="C1902" s="125">
        <f>IFERROR(yf_data[[#This Row],[Close Price]]/B1901-1,0)</f>
        <v>6.754484653993531E-3</v>
      </c>
    </row>
    <row r="1903" spans="1:3" x14ac:dyDescent="0.15">
      <c r="A1903" s="124">
        <v>43553</v>
      </c>
      <c r="B1903" s="126">
        <v>112.57545471191406</v>
      </c>
      <c r="C1903" s="125">
        <f>IFERROR(yf_data[[#This Row],[Close Price]]/B1902-1,0)</f>
        <v>1.4106296528442197E-2</v>
      </c>
    </row>
    <row r="1904" spans="1:3" x14ac:dyDescent="0.15">
      <c r="A1904" s="124">
        <v>43556</v>
      </c>
      <c r="B1904" s="126">
        <v>112.44178009033205</v>
      </c>
      <c r="C1904" s="125">
        <f>IFERROR(yf_data[[#This Row],[Close Price]]/B1903-1,0)</f>
        <v>-1.1874224441206227E-3</v>
      </c>
    </row>
    <row r="1905" spans="1:3" x14ac:dyDescent="0.15">
      <c r="A1905" s="124">
        <v>43557</v>
      </c>
      <c r="B1905" s="126">
        <v>111.92616271972656</v>
      </c>
      <c r="C1905" s="125">
        <f>IFERROR(yf_data[[#This Row],[Close Price]]/B1904-1,0)</f>
        <v>-4.5856386317546516E-3</v>
      </c>
    </row>
    <row r="1906" spans="1:3" x14ac:dyDescent="0.15">
      <c r="A1906" s="124">
        <v>43558</v>
      </c>
      <c r="B1906" s="126">
        <v>113.18654632568359</v>
      </c>
      <c r="C1906" s="125">
        <f>IFERROR(yf_data[[#This Row],[Close Price]]/B1905-1,0)</f>
        <v>1.1260848896545772E-2</v>
      </c>
    </row>
    <row r="1907" spans="1:3" x14ac:dyDescent="0.15">
      <c r="A1907" s="124">
        <v>43559</v>
      </c>
      <c r="B1907" s="126">
        <v>112.49906158447266</v>
      </c>
      <c r="C1907" s="125">
        <f>IFERROR(yf_data[[#This Row],[Close Price]]/B1906-1,0)</f>
        <v>-6.0739086360385164E-3</v>
      </c>
    </row>
    <row r="1908" spans="1:3" x14ac:dyDescent="0.15">
      <c r="A1908" s="124">
        <v>43560</v>
      </c>
      <c r="B1908" s="126">
        <v>113.32022857666016</v>
      </c>
      <c r="C1908" s="125">
        <f>IFERROR(yf_data[[#This Row],[Close Price]]/B1907-1,0)</f>
        <v>7.2993230398719078E-3</v>
      </c>
    </row>
    <row r="1909" spans="1:3" x14ac:dyDescent="0.15">
      <c r="A1909" s="124">
        <v>43563</v>
      </c>
      <c r="B1909" s="126">
        <v>115.28719329833984</v>
      </c>
      <c r="C1909" s="125">
        <f>IFERROR(yf_data[[#This Row],[Close Price]]/B1908-1,0)</f>
        <v>1.7357578133978535E-2</v>
      </c>
    </row>
    <row r="1910" spans="1:3" x14ac:dyDescent="0.15">
      <c r="A1910" s="124">
        <v>43564</v>
      </c>
      <c r="B1910" s="126">
        <v>113.14835357666016</v>
      </c>
      <c r="C1910" s="125">
        <f>IFERROR(yf_data[[#This Row],[Close Price]]/B1909-1,0)</f>
        <v>-1.8552275066188839E-2</v>
      </c>
    </row>
    <row r="1911" spans="1:3" x14ac:dyDescent="0.15">
      <c r="A1911" s="124">
        <v>43565</v>
      </c>
      <c r="B1911" s="126">
        <v>111.23867797851562</v>
      </c>
      <c r="C1911" s="125">
        <f>IFERROR(yf_data[[#This Row],[Close Price]]/B1910-1,0)</f>
        <v>-1.6877626035015081E-2</v>
      </c>
    </row>
    <row r="1912" spans="1:3" x14ac:dyDescent="0.15">
      <c r="A1912" s="124">
        <v>43566</v>
      </c>
      <c r="B1912" s="126">
        <v>112.19351959228516</v>
      </c>
      <c r="C1912" s="125">
        <f>IFERROR(yf_data[[#This Row],[Close Price]]/B1911-1,0)</f>
        <v>8.5837195400142452E-3</v>
      </c>
    </row>
    <row r="1913" spans="1:3" x14ac:dyDescent="0.15">
      <c r="A1913" s="124">
        <v>43567</v>
      </c>
      <c r="B1913" s="126">
        <v>113.24383544921876</v>
      </c>
      <c r="C1913" s="125">
        <f>IFERROR(yf_data[[#This Row],[Close Price]]/B1912-1,0)</f>
        <v>9.3616446007798171E-3</v>
      </c>
    </row>
    <row r="1914" spans="1:3" x14ac:dyDescent="0.15">
      <c r="A1914" s="124">
        <v>43570</v>
      </c>
      <c r="B1914" s="126">
        <v>113.52465057373048</v>
      </c>
      <c r="C1914" s="125">
        <f>IFERROR(yf_data[[#This Row],[Close Price]]/B1913-1,0)</f>
        <v>2.4797387283623795E-3</v>
      </c>
    </row>
    <row r="1915" spans="1:3" x14ac:dyDescent="0.15">
      <c r="A1915" s="124">
        <v>43571</v>
      </c>
      <c r="B1915" s="126">
        <v>114.18309783935548</v>
      </c>
      <c r="C1915" s="125">
        <f>IFERROR(yf_data[[#This Row],[Close Price]]/B1914-1,0)</f>
        <v>5.8000378093863159E-3</v>
      </c>
    </row>
    <row r="1916" spans="1:3" x14ac:dyDescent="0.15">
      <c r="A1916" s="124">
        <v>43572</v>
      </c>
      <c r="B1916" s="126">
        <v>115.26760864257812</v>
      </c>
      <c r="C1916" s="125">
        <f>IFERROR(yf_data[[#This Row],[Close Price]]/B1915-1,0)</f>
        <v>9.4979977224689538E-3</v>
      </c>
    </row>
    <row r="1917" spans="1:3" x14ac:dyDescent="0.15">
      <c r="A1917" s="124">
        <v>43573</v>
      </c>
      <c r="B1917" s="126">
        <v>116.42958068847656</v>
      </c>
      <c r="C1917" s="125">
        <f>IFERROR(yf_data[[#This Row],[Close Price]]/B1916-1,0)</f>
        <v>1.0080646762625989E-2</v>
      </c>
    </row>
    <row r="1918" spans="1:3" x14ac:dyDescent="0.15">
      <c r="A1918" s="124">
        <v>43578</v>
      </c>
      <c r="B1918" s="126">
        <v>118.90845489501952</v>
      </c>
      <c r="C1918" s="125">
        <f>IFERROR(yf_data[[#This Row],[Close Price]]/B1917-1,0)</f>
        <v>2.1290759546541027E-2</v>
      </c>
    </row>
    <row r="1919" spans="1:3" x14ac:dyDescent="0.15">
      <c r="A1919" s="124">
        <v>43579</v>
      </c>
      <c r="B1919" s="126">
        <v>118.32746124267578</v>
      </c>
      <c r="C1919" s="125">
        <f>IFERROR(yf_data[[#This Row],[Close Price]]/B1918-1,0)</f>
        <v>-4.8860583787475598E-3</v>
      </c>
    </row>
    <row r="1920" spans="1:3" x14ac:dyDescent="0.15">
      <c r="A1920" s="124">
        <v>43580</v>
      </c>
      <c r="B1920" s="126">
        <v>118.03697204589844</v>
      </c>
      <c r="C1920" s="125">
        <f>IFERROR(yf_data[[#This Row],[Close Price]]/B1919-1,0)</f>
        <v>-2.4549601058505566E-3</v>
      </c>
    </row>
    <row r="1921" spans="1:3" x14ac:dyDescent="0.15">
      <c r="A1921" s="124">
        <v>43581</v>
      </c>
      <c r="B1921" s="126">
        <v>117.9982452392578</v>
      </c>
      <c r="C1921" s="125">
        <f>IFERROR(yf_data[[#This Row],[Close Price]]/B1920-1,0)</f>
        <v>-3.2809047851189987E-4</v>
      </c>
    </row>
    <row r="1922" spans="1:3" x14ac:dyDescent="0.15">
      <c r="A1922" s="124">
        <v>43584</v>
      </c>
      <c r="B1922" s="126">
        <v>119.12147521972656</v>
      </c>
      <c r="C1922" s="125">
        <f>IFERROR(yf_data[[#This Row],[Close Price]]/B1921-1,0)</f>
        <v>9.5190396958129142E-3</v>
      </c>
    </row>
    <row r="1923" spans="1:3" x14ac:dyDescent="0.15">
      <c r="A1923" s="124">
        <v>43585</v>
      </c>
      <c r="B1923" s="126">
        <v>118.01760864257812</v>
      </c>
      <c r="C1923" s="125">
        <f>IFERROR(yf_data[[#This Row],[Close Price]]/B1922-1,0)</f>
        <v>-9.2667302441670207E-3</v>
      </c>
    </row>
    <row r="1924" spans="1:3" x14ac:dyDescent="0.15">
      <c r="A1924" s="124">
        <v>43587</v>
      </c>
      <c r="B1924" s="126">
        <v>116.17782592773438</v>
      </c>
      <c r="C1924" s="125">
        <f>IFERROR(yf_data[[#This Row],[Close Price]]/B1923-1,0)</f>
        <v>-1.5589052650741508E-2</v>
      </c>
    </row>
    <row r="1925" spans="1:3" x14ac:dyDescent="0.15">
      <c r="A1925" s="124">
        <v>43588</v>
      </c>
      <c r="B1925" s="126">
        <v>115.77112579345705</v>
      </c>
      <c r="C1925" s="125">
        <f>IFERROR(yf_data[[#This Row],[Close Price]]/B1924-1,0)</f>
        <v>-3.5006691770106402E-3</v>
      </c>
    </row>
    <row r="1926" spans="1:3" x14ac:dyDescent="0.15">
      <c r="A1926" s="124">
        <v>43591</v>
      </c>
      <c r="B1926" s="126">
        <v>115.9066925048828</v>
      </c>
      <c r="C1926" s="125">
        <f>IFERROR(yf_data[[#This Row],[Close Price]]/B1925-1,0)</f>
        <v>1.1709889706661425E-3</v>
      </c>
    </row>
    <row r="1927" spans="1:3" x14ac:dyDescent="0.15">
      <c r="A1927" s="124">
        <v>43592</v>
      </c>
      <c r="B1927" s="126">
        <v>113.81514739990234</v>
      </c>
      <c r="C1927" s="125">
        <f>IFERROR(yf_data[[#This Row],[Close Price]]/B1926-1,0)</f>
        <v>-1.8045076257286352E-2</v>
      </c>
    </row>
    <row r="1928" spans="1:3" x14ac:dyDescent="0.15">
      <c r="A1928" s="124">
        <v>43593</v>
      </c>
      <c r="B1928" s="126">
        <v>115.03521728515624</v>
      </c>
      <c r="C1928" s="125">
        <f>IFERROR(yf_data[[#This Row],[Close Price]]/B1927-1,0)</f>
        <v>1.0719749639009235E-2</v>
      </c>
    </row>
    <row r="1929" spans="1:3" x14ac:dyDescent="0.15">
      <c r="A1929" s="124">
        <v>43594</v>
      </c>
      <c r="B1929" s="126">
        <v>113.09859466552734</v>
      </c>
      <c r="C1929" s="125">
        <f>IFERROR(yf_data[[#This Row],[Close Price]]/B1928-1,0)</f>
        <v>-1.6835041175506049E-2</v>
      </c>
    </row>
    <row r="1930" spans="1:3" x14ac:dyDescent="0.15">
      <c r="A1930" s="124">
        <v>43595</v>
      </c>
      <c r="B1930" s="126">
        <v>113.7764129638672</v>
      </c>
      <c r="C1930" s="125">
        <f>IFERROR(yf_data[[#This Row],[Close Price]]/B1929-1,0)</f>
        <v>5.9931628712488472E-3</v>
      </c>
    </row>
    <row r="1931" spans="1:3" x14ac:dyDescent="0.15">
      <c r="A1931" s="124">
        <v>43598</v>
      </c>
      <c r="B1931" s="126">
        <v>111.85915374755859</v>
      </c>
      <c r="C1931" s="125">
        <f>IFERROR(yf_data[[#This Row],[Close Price]]/B1930-1,0)</f>
        <v>-1.6851113217266622E-2</v>
      </c>
    </row>
    <row r="1932" spans="1:3" x14ac:dyDescent="0.15">
      <c r="A1932" s="124">
        <v>43599</v>
      </c>
      <c r="B1932" s="126">
        <v>115.22887420654295</v>
      </c>
      <c r="C1932" s="125">
        <f>IFERROR(yf_data[[#This Row],[Close Price]]/B1931-1,0)</f>
        <v>3.0124673270719216E-2</v>
      </c>
    </row>
    <row r="1933" spans="1:3" x14ac:dyDescent="0.15">
      <c r="A1933" s="124">
        <v>43600</v>
      </c>
      <c r="B1933" s="126">
        <v>117.04929351806641</v>
      </c>
      <c r="C1933" s="125">
        <f>IFERROR(yf_data[[#This Row],[Close Price]]/B1932-1,0)</f>
        <v>1.5798291218747984E-2</v>
      </c>
    </row>
    <row r="1934" spans="1:3" x14ac:dyDescent="0.15">
      <c r="A1934" s="124">
        <v>43601</v>
      </c>
      <c r="B1934" s="126">
        <v>118.61795806884766</v>
      </c>
      <c r="C1934" s="125">
        <f>IFERROR(yf_data[[#This Row],[Close Price]]/B1933-1,0)</f>
        <v>1.3401743006155931E-2</v>
      </c>
    </row>
    <row r="1935" spans="1:3" x14ac:dyDescent="0.15">
      <c r="A1935" s="124">
        <v>43602</v>
      </c>
      <c r="B1935" s="126">
        <v>117.16549682617188</v>
      </c>
      <c r="C1935" s="125">
        <f>IFERROR(yf_data[[#This Row],[Close Price]]/B1934-1,0)</f>
        <v>-1.2244868031135336E-2</v>
      </c>
    </row>
    <row r="1936" spans="1:3" x14ac:dyDescent="0.15">
      <c r="A1936" s="124">
        <v>43605</v>
      </c>
      <c r="B1936" s="126">
        <v>115.30634307861328</v>
      </c>
      <c r="C1936" s="125">
        <f>IFERROR(yf_data[[#This Row],[Close Price]]/B1935-1,0)</f>
        <v>-1.5867757982683695E-2</v>
      </c>
    </row>
    <row r="1937" spans="1:3" x14ac:dyDescent="0.15">
      <c r="A1937" s="124">
        <v>43606</v>
      </c>
      <c r="B1937" s="126">
        <v>114.5123291015625</v>
      </c>
      <c r="C1937" s="125">
        <f>IFERROR(yf_data[[#This Row],[Close Price]]/B1936-1,0)</f>
        <v>-6.8861257399295273E-3</v>
      </c>
    </row>
    <row r="1938" spans="1:3" x14ac:dyDescent="0.15">
      <c r="A1938" s="124">
        <v>43607</v>
      </c>
      <c r="B1938" s="126">
        <v>114.47359466552734</v>
      </c>
      <c r="C1938" s="125">
        <f>IFERROR(yf_data[[#This Row],[Close Price]]/B1937-1,0)</f>
        <v>-3.3825559517530746E-4</v>
      </c>
    </row>
    <row r="1939" spans="1:3" x14ac:dyDescent="0.15">
      <c r="A1939" s="124">
        <v>43608</v>
      </c>
      <c r="B1939" s="126">
        <v>111.23943328857422</v>
      </c>
      <c r="C1939" s="125">
        <f>IFERROR(yf_data[[#This Row],[Close Price]]/B1938-1,0)</f>
        <v>-2.8252466312452262E-2</v>
      </c>
    </row>
    <row r="1940" spans="1:3" x14ac:dyDescent="0.15">
      <c r="A1940" s="124">
        <v>43609</v>
      </c>
      <c r="B1940" s="126">
        <v>112.84683227539062</v>
      </c>
      <c r="C1940" s="125">
        <f>IFERROR(yf_data[[#This Row],[Close Price]]/B1939-1,0)</f>
        <v>1.4449902694546601E-2</v>
      </c>
    </row>
    <row r="1941" spans="1:3" x14ac:dyDescent="0.15">
      <c r="A1941" s="124">
        <v>43612</v>
      </c>
      <c r="B1941" s="126">
        <v>113.13732147216795</v>
      </c>
      <c r="C1941" s="125">
        <f>IFERROR(yf_data[[#This Row],[Close Price]]/B1940-1,0)</f>
        <v>2.5741900850917432E-3</v>
      </c>
    </row>
    <row r="1942" spans="1:3" x14ac:dyDescent="0.15">
      <c r="A1942" s="124">
        <v>43613</v>
      </c>
      <c r="B1942" s="126">
        <v>112.63380432128906</v>
      </c>
      <c r="C1942" s="125">
        <f>IFERROR(yf_data[[#This Row],[Close Price]]/B1941-1,0)</f>
        <v>-4.450495595326287E-3</v>
      </c>
    </row>
    <row r="1943" spans="1:3" x14ac:dyDescent="0.15">
      <c r="A1943" s="124">
        <v>43614</v>
      </c>
      <c r="B1943" s="126">
        <v>110.75527954101562</v>
      </c>
      <c r="C1943" s="125">
        <f>IFERROR(yf_data[[#This Row],[Close Price]]/B1942-1,0)</f>
        <v>-1.6678161512816536E-2</v>
      </c>
    </row>
    <row r="1944" spans="1:3" x14ac:dyDescent="0.15">
      <c r="A1944" s="124">
        <v>43615</v>
      </c>
      <c r="B1944" s="126">
        <v>111.58802795410156</v>
      </c>
      <c r="C1944" s="125">
        <f>IFERROR(yf_data[[#This Row],[Close Price]]/B1943-1,0)</f>
        <v>7.5188146022198143E-3</v>
      </c>
    </row>
    <row r="1945" spans="1:3" x14ac:dyDescent="0.15">
      <c r="A1945" s="124">
        <v>43616</v>
      </c>
      <c r="B1945" s="126">
        <v>111.22006988525391</v>
      </c>
      <c r="C1945" s="125">
        <f>IFERROR(yf_data[[#This Row],[Close Price]]/B1944-1,0)</f>
        <v>-3.2974690528539963E-3</v>
      </c>
    </row>
    <row r="1946" spans="1:3" x14ac:dyDescent="0.15">
      <c r="A1946" s="124">
        <v>43619</v>
      </c>
      <c r="B1946" s="126">
        <v>113.44718933105467</v>
      </c>
      <c r="C1946" s="125">
        <f>IFERROR(yf_data[[#This Row],[Close Price]]/B1945-1,0)</f>
        <v>2.0024438467791672E-2</v>
      </c>
    </row>
    <row r="1947" spans="1:3" x14ac:dyDescent="0.15">
      <c r="A1947" s="124">
        <v>43620</v>
      </c>
      <c r="B1947" s="126">
        <v>114.72535705566406</v>
      </c>
      <c r="C1947" s="125">
        <f>IFERROR(yf_data[[#This Row],[Close Price]]/B1946-1,0)</f>
        <v>1.1266631920509917E-2</v>
      </c>
    </row>
    <row r="1948" spans="1:3" x14ac:dyDescent="0.15">
      <c r="A1948" s="124">
        <v>43621</v>
      </c>
      <c r="B1948" s="126">
        <v>114.93837738037109</v>
      </c>
      <c r="C1948" s="125">
        <f>IFERROR(yf_data[[#This Row],[Close Price]]/B1947-1,0)</f>
        <v>1.8567850227189098E-3</v>
      </c>
    </row>
    <row r="1949" spans="1:3" x14ac:dyDescent="0.15">
      <c r="A1949" s="124">
        <v>43622</v>
      </c>
      <c r="B1949" s="126">
        <v>114.22183227539062</v>
      </c>
      <c r="C1949" s="125">
        <f>IFERROR(yf_data[[#This Row],[Close Price]]/B1948-1,0)</f>
        <v>-6.2341675714558953E-3</v>
      </c>
    </row>
    <row r="1950" spans="1:3" x14ac:dyDescent="0.15">
      <c r="A1950" s="124">
        <v>43623</v>
      </c>
      <c r="B1950" s="126">
        <v>117.08802795410156</v>
      </c>
      <c r="C1950" s="125">
        <f>IFERROR(yf_data[[#This Row],[Close Price]]/B1949-1,0)</f>
        <v>2.5093238495776271E-2</v>
      </c>
    </row>
    <row r="1951" spans="1:3" x14ac:dyDescent="0.15">
      <c r="A1951" s="124">
        <v>43626</v>
      </c>
      <c r="B1951" s="126">
        <v>117.22359466552734</v>
      </c>
      <c r="C1951" s="125">
        <f>IFERROR(yf_data[[#This Row],[Close Price]]/B1950-1,0)</f>
        <v>1.1578187265988138E-3</v>
      </c>
    </row>
    <row r="1952" spans="1:3" x14ac:dyDescent="0.15">
      <c r="A1952" s="124">
        <v>43627</v>
      </c>
      <c r="B1952" s="126">
        <v>119.48944091796876</v>
      </c>
      <c r="C1952" s="125">
        <f>IFERROR(yf_data[[#This Row],[Close Price]]/B1951-1,0)</f>
        <v>1.9329267788678051E-2</v>
      </c>
    </row>
    <row r="1953" spans="1:3" x14ac:dyDescent="0.15">
      <c r="A1953" s="124">
        <v>43628</v>
      </c>
      <c r="B1953" s="126">
        <v>118.40493011474609</v>
      </c>
      <c r="C1953" s="125">
        <f>IFERROR(yf_data[[#This Row],[Close Price]]/B1952-1,0)</f>
        <v>-9.076206189358671E-3</v>
      </c>
    </row>
    <row r="1954" spans="1:3" x14ac:dyDescent="0.15">
      <c r="A1954" s="124">
        <v>43629</v>
      </c>
      <c r="B1954" s="126">
        <v>118.77289581298828</v>
      </c>
      <c r="C1954" s="125">
        <f>IFERROR(yf_data[[#This Row],[Close Price]]/B1953-1,0)</f>
        <v>3.1076889947538877E-3</v>
      </c>
    </row>
    <row r="1955" spans="1:3" x14ac:dyDescent="0.15">
      <c r="A1955" s="124">
        <v>43630</v>
      </c>
      <c r="B1955" s="126">
        <v>118.54049682617188</v>
      </c>
      <c r="C1955" s="125">
        <f>IFERROR(yf_data[[#This Row],[Close Price]]/B1954-1,0)</f>
        <v>-1.9566668407439147E-3</v>
      </c>
    </row>
    <row r="1956" spans="1:3" x14ac:dyDescent="0.15">
      <c r="A1956" s="124">
        <v>43633</v>
      </c>
      <c r="B1956" s="126">
        <v>121.03873443603516</v>
      </c>
      <c r="C1956" s="125">
        <f>IFERROR(yf_data[[#This Row],[Close Price]]/B1955-1,0)</f>
        <v>2.1074971648943785E-2</v>
      </c>
    </row>
    <row r="1957" spans="1:3" x14ac:dyDescent="0.15">
      <c r="A1957" s="124">
        <v>43634</v>
      </c>
      <c r="B1957" s="126">
        <v>121.48415374755859</v>
      </c>
      <c r="C1957" s="125">
        <f>IFERROR(yf_data[[#This Row],[Close Price]]/B1956-1,0)</f>
        <v>3.6799733044039495E-3</v>
      </c>
    </row>
    <row r="1958" spans="1:3" x14ac:dyDescent="0.15">
      <c r="A1958" s="124">
        <v>43635</v>
      </c>
      <c r="B1958" s="126">
        <v>119.10211181640624</v>
      </c>
      <c r="C1958" s="125">
        <f>IFERROR(yf_data[[#This Row],[Close Price]]/B1957-1,0)</f>
        <v>-1.9607840674448651E-2</v>
      </c>
    </row>
    <row r="1959" spans="1:3" x14ac:dyDescent="0.15">
      <c r="A1959" s="124">
        <v>43636</v>
      </c>
      <c r="B1959" s="126">
        <v>119.54753875732422</v>
      </c>
      <c r="C1959" s="125">
        <f>IFERROR(yf_data[[#This Row],[Close Price]]/B1958-1,0)</f>
        <v>3.7398744163714692E-3</v>
      </c>
    </row>
    <row r="1960" spans="1:3" x14ac:dyDescent="0.15">
      <c r="A1960" s="124">
        <v>43637</v>
      </c>
      <c r="B1960" s="126">
        <v>118.88908386230467</v>
      </c>
      <c r="C1960" s="125">
        <f>IFERROR(yf_data[[#This Row],[Close Price]]/B1959-1,0)</f>
        <v>-5.5078916878094075E-3</v>
      </c>
    </row>
    <row r="1961" spans="1:3" x14ac:dyDescent="0.15">
      <c r="A1961" s="124">
        <v>43640</v>
      </c>
      <c r="B1961" s="126">
        <v>119.35387420654295</v>
      </c>
      <c r="C1961" s="125">
        <f>IFERROR(yf_data[[#This Row],[Close Price]]/B1960-1,0)</f>
        <v>3.9094450822465543E-3</v>
      </c>
    </row>
    <row r="1962" spans="1:3" x14ac:dyDescent="0.15">
      <c r="A1962" s="124">
        <v>43641</v>
      </c>
      <c r="B1962" s="126">
        <v>121.21302795410156</v>
      </c>
      <c r="C1962" s="125">
        <f>IFERROR(yf_data[[#This Row],[Close Price]]/B1961-1,0)</f>
        <v>1.5576819436471157E-2</v>
      </c>
    </row>
    <row r="1963" spans="1:3" x14ac:dyDescent="0.15">
      <c r="A1963" s="124">
        <v>43642</v>
      </c>
      <c r="B1963" s="126">
        <v>121.56162261962891</v>
      </c>
      <c r="C1963" s="125">
        <f>IFERROR(yf_data[[#This Row],[Close Price]]/B1962-1,0)</f>
        <v>2.8758844771978875E-3</v>
      </c>
    </row>
    <row r="1964" spans="1:3" x14ac:dyDescent="0.15">
      <c r="A1964" s="124">
        <v>43643</v>
      </c>
      <c r="B1964" s="126">
        <v>119.9542236328125</v>
      </c>
      <c r="C1964" s="125">
        <f>IFERROR(yf_data[[#This Row],[Close Price]]/B1963-1,0)</f>
        <v>-1.322291486554128E-2</v>
      </c>
    </row>
    <row r="1965" spans="1:3" x14ac:dyDescent="0.15">
      <c r="A1965" s="124">
        <v>43644</v>
      </c>
      <c r="B1965" s="126">
        <v>120.72887420654295</v>
      </c>
      <c r="C1965" s="125">
        <f>IFERROR(yf_data[[#This Row],[Close Price]]/B1964-1,0)</f>
        <v>6.4578849353542633E-3</v>
      </c>
    </row>
    <row r="1966" spans="1:3" x14ac:dyDescent="0.15">
      <c r="A1966" s="124">
        <v>43647</v>
      </c>
      <c r="B1966" s="126">
        <v>120.36092376708984</v>
      </c>
      <c r="C1966" s="125">
        <f>IFERROR(yf_data[[#This Row],[Close Price]]/B1965-1,0)</f>
        <v>-3.0477418254031274E-3</v>
      </c>
    </row>
    <row r="1967" spans="1:3" x14ac:dyDescent="0.15">
      <c r="A1967" s="124">
        <v>43648</v>
      </c>
      <c r="B1967" s="126">
        <v>120.0316925048828</v>
      </c>
      <c r="C1967" s="125">
        <f>IFERROR(yf_data[[#This Row],[Close Price]]/B1966-1,0)</f>
        <v>-2.7353666946270394E-3</v>
      </c>
    </row>
    <row r="1968" spans="1:3" x14ac:dyDescent="0.15">
      <c r="A1968" s="124">
        <v>43649</v>
      </c>
      <c r="B1968" s="126">
        <v>121.65845489501952</v>
      </c>
      <c r="C1968" s="125">
        <f>IFERROR(yf_data[[#This Row],[Close Price]]/B1967-1,0)</f>
        <v>1.3552773906529314E-2</v>
      </c>
    </row>
    <row r="1969" spans="1:3" x14ac:dyDescent="0.15">
      <c r="A1969" s="124">
        <v>43650</v>
      </c>
      <c r="B1969" s="126">
        <v>121.4066925048828</v>
      </c>
      <c r="C1969" s="125">
        <f>IFERROR(yf_data[[#This Row],[Close Price]]/B1968-1,0)</f>
        <v>-2.0694195923659509E-3</v>
      </c>
    </row>
    <row r="1970" spans="1:3" x14ac:dyDescent="0.15">
      <c r="A1970" s="124">
        <v>43651</v>
      </c>
      <c r="B1970" s="126">
        <v>120.63204956054688</v>
      </c>
      <c r="C1970" s="125">
        <f>IFERROR(yf_data[[#This Row],[Close Price]]/B1969-1,0)</f>
        <v>-6.3805621284408476E-3</v>
      </c>
    </row>
    <row r="1971" spans="1:3" x14ac:dyDescent="0.15">
      <c r="A1971" s="124">
        <v>43654</v>
      </c>
      <c r="B1971" s="126">
        <v>119.99295806884766</v>
      </c>
      <c r="C1971" s="125">
        <f>IFERROR(yf_data[[#This Row],[Close Price]]/B1970-1,0)</f>
        <v>-5.2978581896551136E-3</v>
      </c>
    </row>
    <row r="1972" spans="1:3" x14ac:dyDescent="0.15">
      <c r="A1972" s="124">
        <v>43655</v>
      </c>
      <c r="B1972" s="126">
        <v>120.16725158691406</v>
      </c>
      <c r="C1972" s="125">
        <f>IFERROR(yf_data[[#This Row],[Close Price]]/B1971-1,0)</f>
        <v>1.4525312224271669E-3</v>
      </c>
    </row>
    <row r="1973" spans="1:3" x14ac:dyDescent="0.15">
      <c r="A1973" s="124">
        <v>43656</v>
      </c>
      <c r="B1973" s="126">
        <v>121.85211181640624</v>
      </c>
      <c r="C1973" s="125">
        <f>IFERROR(yf_data[[#This Row],[Close Price]]/B1972-1,0)</f>
        <v>1.4020960013998218E-2</v>
      </c>
    </row>
    <row r="1974" spans="1:3" x14ac:dyDescent="0.15">
      <c r="A1974" s="124">
        <v>43657</v>
      </c>
      <c r="B1974" s="126">
        <v>121.98767852783205</v>
      </c>
      <c r="C1974" s="125">
        <f>IFERROR(yf_data[[#This Row],[Close Price]]/B1973-1,0)</f>
        <v>1.112551185243893E-3</v>
      </c>
    </row>
    <row r="1975" spans="1:3" x14ac:dyDescent="0.15">
      <c r="A1975" s="124">
        <v>43658</v>
      </c>
      <c r="B1975" s="126">
        <v>123.63380432128906</v>
      </c>
      <c r="C1975" s="125">
        <f>IFERROR(yf_data[[#This Row],[Close Price]]/B1974-1,0)</f>
        <v>1.349419722813594E-2</v>
      </c>
    </row>
    <row r="1976" spans="1:3" x14ac:dyDescent="0.15">
      <c r="A1976" s="124">
        <v>43661</v>
      </c>
      <c r="B1976" s="126">
        <v>125.10563659667967</v>
      </c>
      <c r="C1976" s="125">
        <f>IFERROR(yf_data[[#This Row],[Close Price]]/B1975-1,0)</f>
        <v>1.1904772189697654E-2</v>
      </c>
    </row>
    <row r="1977" spans="1:3" x14ac:dyDescent="0.15">
      <c r="A1977" s="124">
        <v>43662</v>
      </c>
      <c r="B1977" s="126">
        <v>126.98415374755859</v>
      </c>
      <c r="C1977" s="125">
        <f>IFERROR(yf_data[[#This Row],[Close Price]]/B1976-1,0)</f>
        <v>1.5015447760639011E-2</v>
      </c>
    </row>
    <row r="1978" spans="1:3" x14ac:dyDescent="0.15">
      <c r="A1978" s="124">
        <v>43663</v>
      </c>
      <c r="B1978" s="126">
        <v>127.77817535400391</v>
      </c>
      <c r="C1978" s="125">
        <f>IFERROR(yf_data[[#This Row],[Close Price]]/B1977-1,0)</f>
        <v>6.2529188328790397E-3</v>
      </c>
    </row>
    <row r="1979" spans="1:3" x14ac:dyDescent="0.15">
      <c r="A1979" s="124">
        <v>43664</v>
      </c>
      <c r="B1979" s="126">
        <v>127.91374206542967</v>
      </c>
      <c r="C1979" s="125">
        <f>IFERROR(yf_data[[#This Row],[Close Price]]/B1978-1,0)</f>
        <v>1.0609535709067419E-3</v>
      </c>
    </row>
    <row r="1980" spans="1:3" x14ac:dyDescent="0.15">
      <c r="A1980" s="124">
        <v>43665</v>
      </c>
      <c r="B1980" s="126">
        <v>127.33274841308594</v>
      </c>
      <c r="C1980" s="125">
        <f>IFERROR(yf_data[[#This Row],[Close Price]]/B1979-1,0)</f>
        <v>-4.5420737675436751E-3</v>
      </c>
    </row>
    <row r="1981" spans="1:3" x14ac:dyDescent="0.15">
      <c r="A1981" s="124">
        <v>43668</v>
      </c>
      <c r="B1981" s="126">
        <v>126.61619567871094</v>
      </c>
      <c r="C1981" s="125">
        <f>IFERROR(yf_data[[#This Row],[Close Price]]/B1980-1,0)</f>
        <v>-5.6274033452132777E-3</v>
      </c>
    </row>
    <row r="1982" spans="1:3" x14ac:dyDescent="0.15">
      <c r="A1982" s="124">
        <v>43669</v>
      </c>
      <c r="B1982" s="126">
        <v>128.41725158691406</v>
      </c>
      <c r="C1982" s="125">
        <f>IFERROR(yf_data[[#This Row],[Close Price]]/B1981-1,0)</f>
        <v>1.422453027078241E-2</v>
      </c>
    </row>
    <row r="1983" spans="1:3" x14ac:dyDescent="0.15">
      <c r="A1983" s="124">
        <v>43670</v>
      </c>
      <c r="B1983" s="126">
        <v>127.77817535400391</v>
      </c>
      <c r="C1983" s="125">
        <f>IFERROR(yf_data[[#This Row],[Close Price]]/B1982-1,0)</f>
        <v>-4.9765605867808649E-3</v>
      </c>
    </row>
    <row r="1984" spans="1:3" x14ac:dyDescent="0.15">
      <c r="A1984" s="124">
        <v>43671</v>
      </c>
      <c r="B1984" s="126">
        <v>126.36444091796876</v>
      </c>
      <c r="C1984" s="125">
        <f>IFERROR(yf_data[[#This Row],[Close Price]]/B1983-1,0)</f>
        <v>-1.1063974204659432E-2</v>
      </c>
    </row>
    <row r="1985" spans="1:3" x14ac:dyDescent="0.15">
      <c r="A1985" s="124">
        <v>43672</v>
      </c>
      <c r="B1985" s="126">
        <v>126.84859466552734</v>
      </c>
      <c r="C1985" s="125">
        <f>IFERROR(yf_data[[#This Row],[Close Price]]/B1984-1,0)</f>
        <v>3.8314081401498168E-3</v>
      </c>
    </row>
    <row r="1986" spans="1:3" x14ac:dyDescent="0.15">
      <c r="A1986" s="124">
        <v>43675</v>
      </c>
      <c r="B1986" s="126">
        <v>125.95774841308594</v>
      </c>
      <c r="C1986" s="125">
        <f>IFERROR(yf_data[[#This Row],[Close Price]]/B1985-1,0)</f>
        <v>-7.0229099091746461E-3</v>
      </c>
    </row>
    <row r="1987" spans="1:3" x14ac:dyDescent="0.15">
      <c r="A1987" s="124">
        <v>43676</v>
      </c>
      <c r="B1987" s="126">
        <v>123.67253875732422</v>
      </c>
      <c r="C1987" s="125">
        <f>IFERROR(yf_data[[#This Row],[Close Price]]/B1986-1,0)</f>
        <v>-1.8142668351511348E-2</v>
      </c>
    </row>
    <row r="1988" spans="1:3" x14ac:dyDescent="0.15">
      <c r="A1988" s="124">
        <v>43677</v>
      </c>
      <c r="B1988" s="126">
        <v>124.00176239013672</v>
      </c>
      <c r="C1988" s="125">
        <f>IFERROR(yf_data[[#This Row],[Close Price]]/B1987-1,0)</f>
        <v>2.6620593069452969E-3</v>
      </c>
    </row>
    <row r="1989" spans="1:3" x14ac:dyDescent="0.15">
      <c r="A1989" s="124">
        <v>43678</v>
      </c>
      <c r="B1989" s="126">
        <v>125.31866455078124</v>
      </c>
      <c r="C1989" s="125">
        <f>IFERROR(yf_data[[#This Row],[Close Price]]/B1988-1,0)</f>
        <v>1.0620027774292939E-2</v>
      </c>
    </row>
    <row r="1990" spans="1:3" x14ac:dyDescent="0.15">
      <c r="A1990" s="124">
        <v>43679</v>
      </c>
      <c r="B1990" s="126">
        <v>119.43133544921876</v>
      </c>
      <c r="C1990" s="125">
        <f>IFERROR(yf_data[[#This Row],[Close Price]]/B1989-1,0)</f>
        <v>-4.6978868811491603E-2</v>
      </c>
    </row>
    <row r="1991" spans="1:3" x14ac:dyDescent="0.15">
      <c r="A1991" s="124">
        <v>43682</v>
      </c>
      <c r="B1991" s="126">
        <v>116.875</v>
      </c>
      <c r="C1991" s="125">
        <f>IFERROR(yf_data[[#This Row],[Close Price]]/B1990-1,0)</f>
        <v>-2.1404227287617483E-2</v>
      </c>
    </row>
    <row r="1992" spans="1:3" x14ac:dyDescent="0.15">
      <c r="A1992" s="124">
        <v>43683</v>
      </c>
      <c r="B1992" s="126">
        <v>116.11972045898438</v>
      </c>
      <c r="C1992" s="125">
        <f>IFERROR(yf_data[[#This Row],[Close Price]]/B1991-1,0)</f>
        <v>-6.4622848429144453E-3</v>
      </c>
    </row>
    <row r="1993" spans="1:3" x14ac:dyDescent="0.15">
      <c r="A1993" s="124">
        <v>43684</v>
      </c>
      <c r="B1993" s="126">
        <v>118.13380432128906</v>
      </c>
      <c r="C1993" s="125">
        <f>IFERROR(yf_data[[#This Row],[Close Price]]/B1992-1,0)</f>
        <v>1.7344890724363182E-2</v>
      </c>
    </row>
    <row r="1994" spans="1:3" x14ac:dyDescent="0.15">
      <c r="A1994" s="124">
        <v>43685</v>
      </c>
      <c r="B1994" s="126">
        <v>123.13028717041016</v>
      </c>
      <c r="C1994" s="125">
        <f>IFERROR(yf_data[[#This Row],[Close Price]]/B1993-1,0)</f>
        <v>4.2295115084350687E-2</v>
      </c>
    </row>
    <row r="1995" spans="1:3" x14ac:dyDescent="0.15">
      <c r="A1995" s="124">
        <v>43686</v>
      </c>
      <c r="B1995" s="126">
        <v>121.15493774414062</v>
      </c>
      <c r="C1995" s="125">
        <f>IFERROR(yf_data[[#This Row],[Close Price]]/B1994-1,0)</f>
        <v>-1.6042758217039488E-2</v>
      </c>
    </row>
    <row r="1996" spans="1:3" x14ac:dyDescent="0.15">
      <c r="A1996" s="124">
        <v>43689</v>
      </c>
      <c r="B1996" s="126">
        <v>121.23239135742188</v>
      </c>
      <c r="C1996" s="125">
        <f>IFERROR(yf_data[[#This Row],[Close Price]]/B1995-1,0)</f>
        <v>6.3929390517136753E-4</v>
      </c>
    </row>
    <row r="1997" spans="1:3" x14ac:dyDescent="0.15">
      <c r="A1997" s="124">
        <v>43690</v>
      </c>
      <c r="B1997" s="126">
        <v>122.56866455078124</v>
      </c>
      <c r="C1997" s="125">
        <f>IFERROR(yf_data[[#This Row],[Close Price]]/B1996-1,0)</f>
        <v>1.1022410581836173E-2</v>
      </c>
    </row>
    <row r="1998" spans="1:3" x14ac:dyDescent="0.15">
      <c r="A1998" s="124">
        <v>43691</v>
      </c>
      <c r="B1998" s="126">
        <v>117.97887420654295</v>
      </c>
      <c r="C1998" s="125">
        <f>IFERROR(yf_data[[#This Row],[Close Price]]/B1997-1,0)</f>
        <v>-3.744668640276072E-2</v>
      </c>
    </row>
    <row r="1999" spans="1:3" x14ac:dyDescent="0.15">
      <c r="A1999" s="124">
        <v>43692</v>
      </c>
      <c r="B1999" s="126">
        <v>118.52113342285156</v>
      </c>
      <c r="C1999" s="125">
        <f>IFERROR(yf_data[[#This Row],[Close Price]]/B1998-1,0)</f>
        <v>4.5962399620740335E-3</v>
      </c>
    </row>
    <row r="2000" spans="1:3" x14ac:dyDescent="0.15">
      <c r="A2000" s="124">
        <v>43693</v>
      </c>
      <c r="B2000" s="126">
        <v>119.12147521972656</v>
      </c>
      <c r="C2000" s="125">
        <f>IFERROR(yf_data[[#This Row],[Close Price]]/B1999-1,0)</f>
        <v>5.0652721547399526E-3</v>
      </c>
    </row>
    <row r="2001" spans="1:3" x14ac:dyDescent="0.15">
      <c r="A2001" s="124">
        <v>43696</v>
      </c>
      <c r="B2001" s="126">
        <v>120.82570648193359</v>
      </c>
      <c r="C2001" s="125">
        <f>IFERROR(yf_data[[#This Row],[Close Price]]/B2000-1,0)</f>
        <v>1.4306666863078021E-2</v>
      </c>
    </row>
    <row r="2002" spans="1:3" x14ac:dyDescent="0.15">
      <c r="A2002" s="124">
        <v>43697</v>
      </c>
      <c r="B2002" s="126">
        <v>122.20070648193359</v>
      </c>
      <c r="C2002" s="125">
        <f>IFERROR(yf_data[[#This Row],[Close Price]]/B2001-1,0)</f>
        <v>1.1380028638240169E-2</v>
      </c>
    </row>
    <row r="2003" spans="1:3" x14ac:dyDescent="0.15">
      <c r="A2003" s="124">
        <v>43698</v>
      </c>
      <c r="B2003" s="126">
        <v>123.94366455078124</v>
      </c>
      <c r="C2003" s="125">
        <f>IFERROR(yf_data[[#This Row],[Close Price]]/B2002-1,0)</f>
        <v>1.4263076859586832E-2</v>
      </c>
    </row>
    <row r="2004" spans="1:3" x14ac:dyDescent="0.15">
      <c r="A2004" s="124">
        <v>43699</v>
      </c>
      <c r="B2004" s="126">
        <v>120.47711181640624</v>
      </c>
      <c r="C2004" s="125">
        <f>IFERROR(yf_data[[#This Row],[Close Price]]/B2003-1,0)</f>
        <v>-2.79687771612942E-2</v>
      </c>
    </row>
    <row r="2005" spans="1:3" x14ac:dyDescent="0.15">
      <c r="A2005" s="124">
        <v>43700</v>
      </c>
      <c r="B2005" s="126">
        <v>118.73416137695312</v>
      </c>
      <c r="C2005" s="125">
        <f>IFERROR(yf_data[[#This Row],[Close Price]]/B2004-1,0)</f>
        <v>-1.4467066923957939E-2</v>
      </c>
    </row>
    <row r="2006" spans="1:3" x14ac:dyDescent="0.15">
      <c r="A2006" s="124">
        <v>43703</v>
      </c>
      <c r="B2006" s="126">
        <v>118.94718170166016</v>
      </c>
      <c r="C2006" s="125">
        <f>IFERROR(yf_data[[#This Row],[Close Price]]/B2005-1,0)</f>
        <v>1.7940946584928952E-3</v>
      </c>
    </row>
    <row r="2007" spans="1:3" x14ac:dyDescent="0.15">
      <c r="A2007" s="124">
        <v>43704</v>
      </c>
      <c r="B2007" s="126">
        <v>118.67605590820312</v>
      </c>
      <c r="C2007" s="125">
        <f>IFERROR(yf_data[[#This Row],[Close Price]]/B2006-1,0)</f>
        <v>-2.2793797177730335E-3</v>
      </c>
    </row>
    <row r="2008" spans="1:3" x14ac:dyDescent="0.15">
      <c r="A2008" s="124">
        <v>43705</v>
      </c>
      <c r="B2008" s="126">
        <v>117.74648284912109</v>
      </c>
      <c r="C2008" s="125">
        <f>IFERROR(yf_data[[#This Row],[Close Price]]/B2007-1,0)</f>
        <v>-7.8328610768887419E-3</v>
      </c>
    </row>
    <row r="2009" spans="1:3" x14ac:dyDescent="0.15">
      <c r="A2009" s="124">
        <v>43706</v>
      </c>
      <c r="B2009" s="126">
        <v>121.3098602294922</v>
      </c>
      <c r="C2009" s="125">
        <f>IFERROR(yf_data[[#This Row],[Close Price]]/B2008-1,0)</f>
        <v>3.0263132232469125E-2</v>
      </c>
    </row>
    <row r="2010" spans="1:3" x14ac:dyDescent="0.15">
      <c r="A2010" s="124">
        <v>43707</v>
      </c>
      <c r="B2010" s="126">
        <v>121.36795806884766</v>
      </c>
      <c r="C2010" s="125">
        <f>IFERROR(yf_data[[#This Row],[Close Price]]/B2009-1,0)</f>
        <v>4.7892099822344214E-4</v>
      </c>
    </row>
    <row r="2011" spans="1:3" x14ac:dyDescent="0.15">
      <c r="A2011" s="124">
        <v>43710</v>
      </c>
      <c r="B2011" s="126">
        <v>122.00704193115234</v>
      </c>
      <c r="C2011" s="125">
        <f>IFERROR(yf_data[[#This Row],[Close Price]]/B2010-1,0)</f>
        <v>5.2656720313457583E-3</v>
      </c>
    </row>
    <row r="2012" spans="1:3" x14ac:dyDescent="0.15">
      <c r="A2012" s="124">
        <v>43711</v>
      </c>
      <c r="B2012" s="126">
        <v>120.6707763671875</v>
      </c>
      <c r="C2012" s="125">
        <f>IFERROR(yf_data[[#This Row],[Close Price]]/B2011-1,0)</f>
        <v>-1.0952364247293955E-2</v>
      </c>
    </row>
    <row r="2013" spans="1:3" x14ac:dyDescent="0.15">
      <c r="A2013" s="124">
        <v>43712</v>
      </c>
      <c r="B2013" s="126">
        <v>122.20070648193359</v>
      </c>
      <c r="C2013" s="125">
        <f>IFERROR(yf_data[[#This Row],[Close Price]]/B2012-1,0)</f>
        <v>1.2678547041834687E-2</v>
      </c>
    </row>
    <row r="2014" spans="1:3" x14ac:dyDescent="0.15">
      <c r="A2014" s="124">
        <v>43713</v>
      </c>
      <c r="B2014" s="126">
        <v>123.28521728515624</v>
      </c>
      <c r="C2014" s="125">
        <f>IFERROR(yf_data[[#This Row],[Close Price]]/B2013-1,0)</f>
        <v>8.8748325148428897E-3</v>
      </c>
    </row>
    <row r="2015" spans="1:3" x14ac:dyDescent="0.15">
      <c r="A2015" s="124">
        <v>43714</v>
      </c>
      <c r="B2015" s="126">
        <v>122.58802795410156</v>
      </c>
      <c r="C2015" s="125">
        <f>IFERROR(yf_data[[#This Row],[Close Price]]/B2014-1,0)</f>
        <v>-5.6550926900026388E-3</v>
      </c>
    </row>
    <row r="2016" spans="1:3" x14ac:dyDescent="0.15">
      <c r="A2016" s="124">
        <v>43717</v>
      </c>
      <c r="B2016" s="126">
        <v>122.82041931152344</v>
      </c>
      <c r="C2016" s="125">
        <f>IFERROR(yf_data[[#This Row],[Close Price]]/B2015-1,0)</f>
        <v>1.8957100566858731E-3</v>
      </c>
    </row>
    <row r="2017" spans="1:3" x14ac:dyDescent="0.15">
      <c r="A2017" s="124">
        <v>43718</v>
      </c>
      <c r="B2017" s="126">
        <v>118.42430114746094</v>
      </c>
      <c r="C2017" s="125">
        <f>IFERROR(yf_data[[#This Row],[Close Price]]/B2016-1,0)</f>
        <v>-3.5793056144126312E-2</v>
      </c>
    </row>
    <row r="2018" spans="1:3" x14ac:dyDescent="0.15">
      <c r="A2018" s="124">
        <v>43719</v>
      </c>
      <c r="B2018" s="126">
        <v>119.58627319335938</v>
      </c>
      <c r="C2018" s="125">
        <f>IFERROR(yf_data[[#This Row],[Close Price]]/B2017-1,0)</f>
        <v>9.8119392273343653E-3</v>
      </c>
    </row>
    <row r="2019" spans="1:3" x14ac:dyDescent="0.15">
      <c r="A2019" s="124">
        <v>43720</v>
      </c>
      <c r="B2019" s="126">
        <v>120.86444091796876</v>
      </c>
      <c r="C2019" s="125">
        <f>IFERROR(yf_data[[#This Row],[Close Price]]/B2018-1,0)</f>
        <v>1.0688247827095543E-2</v>
      </c>
    </row>
    <row r="2020" spans="1:3" x14ac:dyDescent="0.15">
      <c r="A2020" s="124">
        <v>43721</v>
      </c>
      <c r="B2020" s="126">
        <v>121.52288818359376</v>
      </c>
      <c r="C2020" s="125">
        <f>IFERROR(yf_data[[#This Row],[Close Price]]/B2019-1,0)</f>
        <v>5.4478162528537322E-3</v>
      </c>
    </row>
    <row r="2021" spans="1:3" x14ac:dyDescent="0.15">
      <c r="A2021" s="124">
        <v>43724</v>
      </c>
      <c r="B2021" s="126">
        <v>117.39788818359376</v>
      </c>
      <c r="C2021" s="125">
        <f>IFERROR(yf_data[[#This Row],[Close Price]]/B2020-1,0)</f>
        <v>-3.3944222867449025E-2</v>
      </c>
    </row>
    <row r="2022" spans="1:3" x14ac:dyDescent="0.15">
      <c r="A2022" s="124">
        <v>43725</v>
      </c>
      <c r="B2022" s="126">
        <v>118.09506988525391</v>
      </c>
      <c r="C2022" s="125">
        <f>IFERROR(yf_data[[#This Row],[Close Price]]/B2021-1,0)</f>
        <v>5.9386221715491683E-3</v>
      </c>
    </row>
    <row r="2023" spans="1:3" x14ac:dyDescent="0.15">
      <c r="A2023" s="124">
        <v>43726</v>
      </c>
      <c r="B2023" s="126">
        <v>118.92781829833984</v>
      </c>
      <c r="C2023" s="125">
        <f>IFERROR(yf_data[[#This Row],[Close Price]]/B2022-1,0)</f>
        <v>7.0515087030733614E-3</v>
      </c>
    </row>
    <row r="2024" spans="1:3" x14ac:dyDescent="0.15">
      <c r="A2024" s="124">
        <v>43727</v>
      </c>
      <c r="B2024" s="126">
        <v>120.14788818359376</v>
      </c>
      <c r="C2024" s="125">
        <f>IFERROR(yf_data[[#This Row],[Close Price]]/B2023-1,0)</f>
        <v>1.0258910847866343E-2</v>
      </c>
    </row>
    <row r="2025" spans="1:3" x14ac:dyDescent="0.15">
      <c r="A2025" s="124">
        <v>43728</v>
      </c>
      <c r="B2025" s="126">
        <v>116.29401397705078</v>
      </c>
      <c r="C2025" s="125">
        <f>IFERROR(yf_data[[#This Row],[Close Price]]/B2024-1,0)</f>
        <v>-3.2076087768217909E-2</v>
      </c>
    </row>
    <row r="2026" spans="1:3" x14ac:dyDescent="0.15">
      <c r="A2026" s="124">
        <v>43731</v>
      </c>
      <c r="B2026" s="126">
        <v>116.00352478027344</v>
      </c>
      <c r="C2026" s="125">
        <f>IFERROR(yf_data[[#This Row],[Close Price]]/B2025-1,0)</f>
        <v>-2.4978860634621292E-3</v>
      </c>
    </row>
    <row r="2027" spans="1:3" x14ac:dyDescent="0.15">
      <c r="A2027" s="124">
        <v>43732</v>
      </c>
      <c r="B2027" s="126">
        <v>115.03521728515624</v>
      </c>
      <c r="C2027" s="125">
        <f>IFERROR(yf_data[[#This Row],[Close Price]]/B2026-1,0)</f>
        <v>-8.3472247671034783E-3</v>
      </c>
    </row>
    <row r="2028" spans="1:3" x14ac:dyDescent="0.15">
      <c r="A2028" s="124">
        <v>43733</v>
      </c>
      <c r="B2028" s="126">
        <v>117.12676239013672</v>
      </c>
      <c r="C2028" s="125">
        <f>IFERROR(yf_data[[#This Row],[Close Price]]/B2027-1,0)</f>
        <v>1.8181780800186065E-2</v>
      </c>
    </row>
    <row r="2029" spans="1:3" x14ac:dyDescent="0.15">
      <c r="A2029" s="124">
        <v>43734</v>
      </c>
      <c r="B2029" s="126">
        <v>115.75176239013672</v>
      </c>
      <c r="C2029" s="125">
        <f>IFERROR(yf_data[[#This Row],[Close Price]]/B2028-1,0)</f>
        <v>-1.1739417806325259E-2</v>
      </c>
    </row>
    <row r="2030" spans="1:3" x14ac:dyDescent="0.15">
      <c r="A2030" s="124">
        <v>43735</v>
      </c>
      <c r="B2030" s="126">
        <v>115.22887420654295</v>
      </c>
      <c r="C2030" s="125">
        <f>IFERROR(yf_data[[#This Row],[Close Price]]/B2029-1,0)</f>
        <v>-4.5173237348333783E-3</v>
      </c>
    </row>
    <row r="2031" spans="1:3" x14ac:dyDescent="0.15">
      <c r="A2031" s="124">
        <v>43738</v>
      </c>
      <c r="B2031" s="126">
        <v>115.42253112792967</v>
      </c>
      <c r="C2031" s="125">
        <f>IFERROR(yf_data[[#This Row],[Close Price]]/B2030-1,0)</f>
        <v>1.6806284251253967E-3</v>
      </c>
    </row>
    <row r="2032" spans="1:3" x14ac:dyDescent="0.15">
      <c r="A2032" s="124">
        <v>43739</v>
      </c>
      <c r="B2032" s="126">
        <v>113.04049682617188</v>
      </c>
      <c r="C2032" s="125">
        <f>IFERROR(yf_data[[#This Row],[Close Price]]/B2031-1,0)</f>
        <v>-2.0637515730075662E-2</v>
      </c>
    </row>
    <row r="2033" spans="1:3" x14ac:dyDescent="0.15">
      <c r="A2033" s="124">
        <v>43740</v>
      </c>
      <c r="B2033" s="126">
        <v>110.73591613769533</v>
      </c>
      <c r="C2033" s="125">
        <f>IFERROR(yf_data[[#This Row],[Close Price]]/B2032-1,0)</f>
        <v>-2.0387213018184247E-2</v>
      </c>
    </row>
    <row r="2034" spans="1:3" x14ac:dyDescent="0.15">
      <c r="A2034" s="124">
        <v>43741</v>
      </c>
      <c r="B2034" s="126">
        <v>115.44190216064452</v>
      </c>
      <c r="C2034" s="125">
        <f>IFERROR(yf_data[[#This Row],[Close Price]]/B2033-1,0)</f>
        <v>4.249737742809212E-2</v>
      </c>
    </row>
    <row r="2035" spans="1:3" x14ac:dyDescent="0.15">
      <c r="A2035" s="124">
        <v>43742</v>
      </c>
      <c r="B2035" s="126">
        <v>114.04753875732422</v>
      </c>
      <c r="C2035" s="125">
        <f>IFERROR(yf_data[[#This Row],[Close Price]]/B2034-1,0)</f>
        <v>-1.2078486036898095E-2</v>
      </c>
    </row>
    <row r="2036" spans="1:3" x14ac:dyDescent="0.15">
      <c r="A2036" s="124">
        <v>43745</v>
      </c>
      <c r="B2036" s="126">
        <v>113.50528717041016</v>
      </c>
      <c r="C2036" s="125">
        <f>IFERROR(yf_data[[#This Row],[Close Price]]/B2035-1,0)</f>
        <v>-4.7546101636432025E-3</v>
      </c>
    </row>
    <row r="2037" spans="1:3" x14ac:dyDescent="0.15">
      <c r="A2037" s="124">
        <v>43746</v>
      </c>
      <c r="B2037" s="126">
        <v>113.97006988525391</v>
      </c>
      <c r="C2037" s="125">
        <f>IFERROR(yf_data[[#This Row],[Close Price]]/B2036-1,0)</f>
        <v>4.0948111443122048E-3</v>
      </c>
    </row>
    <row r="2038" spans="1:3" x14ac:dyDescent="0.15">
      <c r="A2038" s="124">
        <v>43747</v>
      </c>
      <c r="B2038" s="126">
        <v>113.66020965576172</v>
      </c>
      <c r="C2038" s="125">
        <f>IFERROR(yf_data[[#This Row],[Close Price]]/B2037-1,0)</f>
        <v>-2.7187859918323953E-3</v>
      </c>
    </row>
    <row r="2039" spans="1:3" x14ac:dyDescent="0.15">
      <c r="A2039" s="124">
        <v>43748</v>
      </c>
      <c r="B2039" s="126">
        <v>114.18309783935548</v>
      </c>
      <c r="C2039" s="125">
        <f>IFERROR(yf_data[[#This Row],[Close Price]]/B2038-1,0)</f>
        <v>4.6004506341965623E-3</v>
      </c>
    </row>
    <row r="2040" spans="1:3" x14ac:dyDescent="0.15">
      <c r="A2040" s="124">
        <v>43749</v>
      </c>
      <c r="B2040" s="126">
        <v>115.11267852783205</v>
      </c>
      <c r="C2040" s="125">
        <f>IFERROR(yf_data[[#This Row],[Close Price]]/B2039-1,0)</f>
        <v>8.1411409049734207E-3</v>
      </c>
    </row>
    <row r="2041" spans="1:3" x14ac:dyDescent="0.15">
      <c r="A2041" s="124">
        <v>43752</v>
      </c>
      <c r="B2041" s="126">
        <v>114.55106353759766</v>
      </c>
      <c r="C2041" s="125">
        <f>IFERROR(yf_data[[#This Row],[Close Price]]/B2040-1,0)</f>
        <v>-4.878828269977209E-3</v>
      </c>
    </row>
    <row r="2042" spans="1:3" x14ac:dyDescent="0.15">
      <c r="A2042" s="124">
        <v>43753</v>
      </c>
      <c r="B2042" s="126">
        <v>115.65493774414062</v>
      </c>
      <c r="C2042" s="125">
        <f>IFERROR(yf_data[[#This Row],[Close Price]]/B2041-1,0)</f>
        <v>9.6365251657455353E-3</v>
      </c>
    </row>
    <row r="2043" spans="1:3" x14ac:dyDescent="0.15">
      <c r="A2043" s="124">
        <v>43754</v>
      </c>
      <c r="B2043" s="126">
        <v>115.53873443603516</v>
      </c>
      <c r="C2043" s="125">
        <f>IFERROR(yf_data[[#This Row],[Close Price]]/B2042-1,0)</f>
        <v>-1.0047414349272366E-3</v>
      </c>
    </row>
    <row r="2044" spans="1:3" x14ac:dyDescent="0.15">
      <c r="A2044" s="124">
        <v>43755</v>
      </c>
      <c r="B2044" s="126">
        <v>116.04225158691406</v>
      </c>
      <c r="C2044" s="125">
        <f>IFERROR(yf_data[[#This Row],[Close Price]]/B2043-1,0)</f>
        <v>4.3579943413494249E-3</v>
      </c>
    </row>
    <row r="2045" spans="1:3" x14ac:dyDescent="0.15">
      <c r="A2045" s="124">
        <v>43756</v>
      </c>
      <c r="B2045" s="126">
        <v>116.58451080322266</v>
      </c>
      <c r="C2045" s="125">
        <f>IFERROR(yf_data[[#This Row],[Close Price]]/B2044-1,0)</f>
        <v>4.6729463526691273E-3</v>
      </c>
    </row>
    <row r="2046" spans="1:3" x14ac:dyDescent="0.15">
      <c r="A2046" s="124">
        <v>43759</v>
      </c>
      <c r="B2046" s="126">
        <v>118.13380432128906</v>
      </c>
      <c r="C2046" s="125">
        <f>IFERROR(yf_data[[#This Row],[Close Price]]/B2045-1,0)</f>
        <v>1.328901676039429E-2</v>
      </c>
    </row>
    <row r="2047" spans="1:3" x14ac:dyDescent="0.15">
      <c r="A2047" s="124">
        <v>43760</v>
      </c>
      <c r="B2047" s="126">
        <v>117.9982452392578</v>
      </c>
      <c r="C2047" s="125">
        <f>IFERROR(yf_data[[#This Row],[Close Price]]/B2046-1,0)</f>
        <v>-1.1475045843997167E-3</v>
      </c>
    </row>
    <row r="2048" spans="1:3" x14ac:dyDescent="0.15">
      <c r="A2048" s="124">
        <v>43761</v>
      </c>
      <c r="B2048" s="126">
        <v>116.35211944580078</v>
      </c>
      <c r="C2048" s="125">
        <f>IFERROR(yf_data[[#This Row],[Close Price]]/B2047-1,0)</f>
        <v>-1.3950426043364161E-2</v>
      </c>
    </row>
    <row r="2049" spans="1:3" x14ac:dyDescent="0.15">
      <c r="A2049" s="124">
        <v>43762</v>
      </c>
      <c r="B2049" s="126">
        <v>118.38556671142578</v>
      </c>
      <c r="C2049" s="125">
        <f>IFERROR(yf_data[[#This Row],[Close Price]]/B2048-1,0)</f>
        <v>1.7476667166103743E-2</v>
      </c>
    </row>
    <row r="2050" spans="1:3" x14ac:dyDescent="0.15">
      <c r="A2050" s="124">
        <v>43763</v>
      </c>
      <c r="B2050" s="126">
        <v>119.60563659667967</v>
      </c>
      <c r="C2050" s="125">
        <f>IFERROR(yf_data[[#This Row],[Close Price]]/B2049-1,0)</f>
        <v>1.0305900619016484E-2</v>
      </c>
    </row>
    <row r="2051" spans="1:3" x14ac:dyDescent="0.15">
      <c r="A2051" s="124">
        <v>43766</v>
      </c>
      <c r="B2051" s="126">
        <v>120.72887420654295</v>
      </c>
      <c r="C2051" s="125">
        <f>IFERROR(yf_data[[#This Row],[Close Price]]/B2050-1,0)</f>
        <v>9.3911762173126689E-3</v>
      </c>
    </row>
    <row r="2052" spans="1:3" x14ac:dyDescent="0.15">
      <c r="A2052" s="124">
        <v>43767</v>
      </c>
      <c r="B2052" s="126">
        <v>121.77465057373048</v>
      </c>
      <c r="C2052" s="125">
        <f>IFERROR(yf_data[[#This Row],[Close Price]]/B2051-1,0)</f>
        <v>8.6621893400449235E-3</v>
      </c>
    </row>
    <row r="2053" spans="1:3" x14ac:dyDescent="0.15">
      <c r="A2053" s="124">
        <v>43768</v>
      </c>
      <c r="B2053" s="126">
        <v>125.86091613769533</v>
      </c>
      <c r="C2053" s="125">
        <f>IFERROR(yf_data[[#This Row],[Close Price]]/B2052-1,0)</f>
        <v>3.3555962137544748E-2</v>
      </c>
    </row>
    <row r="2054" spans="1:3" x14ac:dyDescent="0.15">
      <c r="A2054" s="124">
        <v>43769</v>
      </c>
      <c r="B2054" s="126">
        <v>124.35034942626952</v>
      </c>
      <c r="C2054" s="125">
        <f>IFERROR(yf_data[[#This Row],[Close Price]]/B2053-1,0)</f>
        <v>-1.2001872843299566E-2</v>
      </c>
    </row>
    <row r="2055" spans="1:3" x14ac:dyDescent="0.15">
      <c r="A2055" s="124">
        <v>43770</v>
      </c>
      <c r="B2055" s="126">
        <v>125.86091613769533</v>
      </c>
      <c r="C2055" s="125">
        <f>IFERROR(yf_data[[#This Row],[Close Price]]/B2054-1,0)</f>
        <v>1.2147667605240331E-2</v>
      </c>
    </row>
    <row r="2056" spans="1:3" x14ac:dyDescent="0.15">
      <c r="A2056" s="124">
        <v>43773</v>
      </c>
      <c r="B2056" s="126">
        <v>126.69366455078124</v>
      </c>
      <c r="C2056" s="125">
        <f>IFERROR(yf_data[[#This Row],[Close Price]]/B2055-1,0)</f>
        <v>6.6164178574297239E-3</v>
      </c>
    </row>
    <row r="2057" spans="1:3" x14ac:dyDescent="0.15">
      <c r="A2057" s="124">
        <v>43774</v>
      </c>
      <c r="B2057" s="126">
        <v>125.99647521972656</v>
      </c>
      <c r="C2057" s="125">
        <f>IFERROR(yf_data[[#This Row],[Close Price]]/B2056-1,0)</f>
        <v>-5.5029533917635431E-3</v>
      </c>
    </row>
    <row r="2058" spans="1:3" x14ac:dyDescent="0.15">
      <c r="A2058" s="124">
        <v>43775</v>
      </c>
      <c r="B2058" s="126">
        <v>126.88732147216795</v>
      </c>
      <c r="C2058" s="125">
        <f>IFERROR(yf_data[[#This Row],[Close Price]]/B2057-1,0)</f>
        <v>7.0704061434085919E-3</v>
      </c>
    </row>
    <row r="2059" spans="1:3" x14ac:dyDescent="0.15">
      <c r="A2059" s="124">
        <v>43776</v>
      </c>
      <c r="B2059" s="126">
        <v>128.08802795410156</v>
      </c>
      <c r="C2059" s="125">
        <f>IFERROR(yf_data[[#This Row],[Close Price]]/B2058-1,0)</f>
        <v>9.4627774312106006E-3</v>
      </c>
    </row>
    <row r="2060" spans="1:3" x14ac:dyDescent="0.15">
      <c r="A2060" s="124">
        <v>43777</v>
      </c>
      <c r="B2060" s="126">
        <v>128.74649047851562</v>
      </c>
      <c r="C2060" s="125">
        <f>IFERROR(yf_data[[#This Row],[Close Price]]/B2059-1,0)</f>
        <v>5.140703115907197E-3</v>
      </c>
    </row>
    <row r="2061" spans="1:3" x14ac:dyDescent="0.15">
      <c r="A2061" s="124">
        <v>43780</v>
      </c>
      <c r="B2061" s="126">
        <v>128.649658203125</v>
      </c>
      <c r="C2061" s="125">
        <f>IFERROR(yf_data[[#This Row],[Close Price]]/B2060-1,0)</f>
        <v>-7.5211584432888223E-4</v>
      </c>
    </row>
    <row r="2062" spans="1:3" x14ac:dyDescent="0.15">
      <c r="A2062" s="124">
        <v>43781</v>
      </c>
      <c r="B2062" s="126">
        <v>130.41197204589844</v>
      </c>
      <c r="C2062" s="125">
        <f>IFERROR(yf_data[[#This Row],[Close Price]]/B2061-1,0)</f>
        <v>1.3698550523864705E-2</v>
      </c>
    </row>
    <row r="2063" spans="1:3" x14ac:dyDescent="0.15">
      <c r="A2063" s="124">
        <v>43782</v>
      </c>
      <c r="B2063" s="126">
        <v>131.20599365234375</v>
      </c>
      <c r="C2063" s="125">
        <f>IFERROR(yf_data[[#This Row],[Close Price]]/B2062-1,0)</f>
        <v>6.0885637567527073E-3</v>
      </c>
    </row>
    <row r="2064" spans="1:3" x14ac:dyDescent="0.15">
      <c r="A2064" s="124">
        <v>43783</v>
      </c>
      <c r="B2064" s="126">
        <v>131.55458068847656</v>
      </c>
      <c r="C2064" s="125">
        <f>IFERROR(yf_data[[#This Row],[Close Price]]/B2063-1,0)</f>
        <v>2.656792014063436E-3</v>
      </c>
    </row>
    <row r="2065" spans="1:3" x14ac:dyDescent="0.15">
      <c r="A2065" s="124">
        <v>43784</v>
      </c>
      <c r="B2065" s="126">
        <v>132.07746887207031</v>
      </c>
      <c r="C2065" s="125">
        <f>IFERROR(yf_data[[#This Row],[Close Price]]/B2064-1,0)</f>
        <v>3.9746862546121697E-3</v>
      </c>
    </row>
    <row r="2066" spans="1:3" x14ac:dyDescent="0.15">
      <c r="A2066" s="124">
        <v>43787</v>
      </c>
      <c r="B2066" s="126">
        <v>130.14083862304688</v>
      </c>
      <c r="C2066" s="125">
        <f>IFERROR(yf_data[[#This Row],[Close Price]]/B2065-1,0)</f>
        <v>-1.4662835876263269E-2</v>
      </c>
    </row>
    <row r="2067" spans="1:3" x14ac:dyDescent="0.15">
      <c r="A2067" s="124">
        <v>43788</v>
      </c>
      <c r="B2067" s="126">
        <v>131.0123291015625</v>
      </c>
      <c r="C2067" s="125">
        <f>IFERROR(yf_data[[#This Row],[Close Price]]/B2066-1,0)</f>
        <v>6.696518077925484E-3</v>
      </c>
    </row>
    <row r="2068" spans="1:3" x14ac:dyDescent="0.15">
      <c r="A2068" s="124">
        <v>43789</v>
      </c>
      <c r="B2068" s="126">
        <v>130.81866455078125</v>
      </c>
      <c r="C2068" s="125">
        <f>IFERROR(yf_data[[#This Row],[Close Price]]/B2067-1,0)</f>
        <v>-1.4782162267424903E-3</v>
      </c>
    </row>
    <row r="2069" spans="1:3" x14ac:dyDescent="0.15">
      <c r="A2069" s="124">
        <v>43790</v>
      </c>
      <c r="B2069" s="126">
        <v>129.79225158691406</v>
      </c>
      <c r="C2069" s="125">
        <f>IFERROR(yf_data[[#This Row],[Close Price]]/B2068-1,0)</f>
        <v>-7.8460743150970957E-3</v>
      </c>
    </row>
    <row r="2070" spans="1:3" x14ac:dyDescent="0.15">
      <c r="A2070" s="124">
        <v>43791</v>
      </c>
      <c r="B2070" s="126">
        <v>129.46302795410156</v>
      </c>
      <c r="C2070" s="125">
        <f>IFERROR(yf_data[[#This Row],[Close Price]]/B2069-1,0)</f>
        <v>-2.536543043111017E-3</v>
      </c>
    </row>
    <row r="2071" spans="1:3" x14ac:dyDescent="0.15">
      <c r="A2071" s="124">
        <v>43794</v>
      </c>
      <c r="B2071" s="126">
        <v>130.31513977050781</v>
      </c>
      <c r="C2071" s="125">
        <f>IFERROR(yf_data[[#This Row],[Close Price]]/B2070-1,0)</f>
        <v>6.5818931464227681E-3</v>
      </c>
    </row>
    <row r="2072" spans="1:3" x14ac:dyDescent="0.15">
      <c r="A2072" s="124">
        <v>43795</v>
      </c>
      <c r="B2072" s="126">
        <v>131.38027954101562</v>
      </c>
      <c r="C2072" s="125">
        <f>IFERROR(yf_data[[#This Row],[Close Price]]/B2071-1,0)</f>
        <v>8.1735688760613545E-3</v>
      </c>
    </row>
    <row r="2073" spans="1:3" x14ac:dyDescent="0.15">
      <c r="A2073" s="124">
        <v>43796</v>
      </c>
      <c r="B2073" s="126">
        <v>129.6954345703125</v>
      </c>
      <c r="C2073" s="125">
        <f>IFERROR(yf_data[[#This Row],[Close Price]]/B2072-1,0)</f>
        <v>-1.2824184699478658E-2</v>
      </c>
    </row>
    <row r="2074" spans="1:3" x14ac:dyDescent="0.15">
      <c r="A2074" s="124">
        <v>43797</v>
      </c>
      <c r="B2074" s="126">
        <v>129.38555908203125</v>
      </c>
      <c r="C2074" s="125">
        <f>IFERROR(yf_data[[#This Row],[Close Price]]/B2073-1,0)</f>
        <v>-2.3892551754646218E-3</v>
      </c>
    </row>
    <row r="2075" spans="1:3" x14ac:dyDescent="0.15">
      <c r="A2075" s="124">
        <v>43798</v>
      </c>
      <c r="B2075" s="126">
        <v>129.17253112792969</v>
      </c>
      <c r="C2075" s="125">
        <f>IFERROR(yf_data[[#This Row],[Close Price]]/B2074-1,0)</f>
        <v>-1.6464585044340119E-3</v>
      </c>
    </row>
    <row r="2076" spans="1:3" x14ac:dyDescent="0.15">
      <c r="A2076" s="124">
        <v>43801</v>
      </c>
      <c r="B2076" s="126">
        <v>125.66725158691406</v>
      </c>
      <c r="C2076" s="125">
        <f>IFERROR(yf_data[[#This Row],[Close Price]]/B2075-1,0)</f>
        <v>-2.7136416004297947E-2</v>
      </c>
    </row>
    <row r="2077" spans="1:3" x14ac:dyDescent="0.15">
      <c r="A2077" s="124">
        <v>43802</v>
      </c>
      <c r="B2077" s="126">
        <v>120.12852478027344</v>
      </c>
      <c r="C2077" s="125">
        <f>IFERROR(yf_data[[#This Row],[Close Price]]/B2076-1,0)</f>
        <v>-4.4074543977831282E-2</v>
      </c>
    </row>
    <row r="2078" spans="1:3" x14ac:dyDescent="0.15">
      <c r="A2078" s="124">
        <v>43803</v>
      </c>
      <c r="B2078" s="126">
        <v>123.92430114746094</v>
      </c>
      <c r="C2078" s="125">
        <f>IFERROR(yf_data[[#This Row],[Close Price]]/B2077-1,0)</f>
        <v>3.1597627408896711E-2</v>
      </c>
    </row>
    <row r="2079" spans="1:3" x14ac:dyDescent="0.15">
      <c r="A2079" s="124">
        <v>43804</v>
      </c>
      <c r="B2079" s="126">
        <v>122.97535705566406</v>
      </c>
      <c r="C2079" s="125">
        <f>IFERROR(yf_data[[#This Row],[Close Price]]/B2078-1,0)</f>
        <v>-7.6574496124670599E-3</v>
      </c>
    </row>
    <row r="2080" spans="1:3" x14ac:dyDescent="0.15">
      <c r="A2080" s="124">
        <v>43805</v>
      </c>
      <c r="B2080" s="126">
        <v>123.01409149169922</v>
      </c>
      <c r="C2080" s="125">
        <f>IFERROR(yf_data[[#This Row],[Close Price]]/B2079-1,0)</f>
        <v>3.1497721952233881E-4</v>
      </c>
    </row>
    <row r="2081" spans="1:3" x14ac:dyDescent="0.15">
      <c r="A2081" s="124">
        <v>43808</v>
      </c>
      <c r="B2081" s="126">
        <v>120.98063659667967</v>
      </c>
      <c r="C2081" s="125">
        <f>IFERROR(yf_data[[#This Row],[Close Price]]/B2080-1,0)</f>
        <v>-1.6530259829271365E-2</v>
      </c>
    </row>
    <row r="2082" spans="1:3" x14ac:dyDescent="0.15">
      <c r="A2082" s="124">
        <v>43809</v>
      </c>
      <c r="B2082" s="126">
        <v>120.28345489501952</v>
      </c>
      <c r="C2082" s="125">
        <f>IFERROR(yf_data[[#This Row],[Close Price]]/B2081-1,0)</f>
        <v>-5.7627544479237347E-3</v>
      </c>
    </row>
    <row r="2083" spans="1:3" x14ac:dyDescent="0.15">
      <c r="A2083" s="124">
        <v>43810</v>
      </c>
      <c r="B2083" s="126">
        <v>120.07042694091795</v>
      </c>
      <c r="C2083" s="125">
        <f>IFERROR(yf_data[[#This Row],[Close Price]]/B2082-1,0)</f>
        <v>-1.7710495120670799E-3</v>
      </c>
    </row>
    <row r="2084" spans="1:3" x14ac:dyDescent="0.15">
      <c r="A2084" s="124">
        <v>43811</v>
      </c>
      <c r="B2084" s="126">
        <v>120.22535705566406</v>
      </c>
      <c r="C2084" s="125">
        <f>IFERROR(yf_data[[#This Row],[Close Price]]/B2083-1,0)</f>
        <v>1.2903270080180107E-3</v>
      </c>
    </row>
    <row r="2085" spans="1:3" x14ac:dyDescent="0.15">
      <c r="A2085" s="124">
        <v>43812</v>
      </c>
      <c r="B2085" s="126">
        <v>121.91021728515624</v>
      </c>
      <c r="C2085" s="125">
        <f>IFERROR(yf_data[[#This Row],[Close Price]]/B2084-1,0)</f>
        <v>1.4014183619451392E-2</v>
      </c>
    </row>
    <row r="2086" spans="1:3" x14ac:dyDescent="0.15">
      <c r="A2086" s="124">
        <v>43815</v>
      </c>
      <c r="B2086" s="126">
        <v>125.125</v>
      </c>
      <c r="C2086" s="125">
        <f>IFERROR(yf_data[[#This Row],[Close Price]]/B2085-1,0)</f>
        <v>2.6370084365645585E-2</v>
      </c>
    </row>
    <row r="2087" spans="1:3" x14ac:dyDescent="0.15">
      <c r="A2087" s="124">
        <v>43816</v>
      </c>
      <c r="B2087" s="126">
        <v>127.33274841308594</v>
      </c>
      <c r="C2087" s="125">
        <f>IFERROR(yf_data[[#This Row],[Close Price]]/B2086-1,0)</f>
        <v>1.7644342961725679E-2</v>
      </c>
    </row>
    <row r="2088" spans="1:3" x14ac:dyDescent="0.15">
      <c r="A2088" s="124">
        <v>43817</v>
      </c>
      <c r="B2088" s="126">
        <v>126.57746887207033</v>
      </c>
      <c r="C2088" s="125">
        <f>IFERROR(yf_data[[#This Row],[Close Price]]/B2087-1,0)</f>
        <v>-5.93154196723511E-3</v>
      </c>
    </row>
    <row r="2089" spans="1:3" x14ac:dyDescent="0.15">
      <c r="A2089" s="124">
        <v>43818</v>
      </c>
      <c r="B2089" s="126">
        <v>126.67430877685548</v>
      </c>
      <c r="C2089" s="125">
        <f>IFERROR(yf_data[[#This Row],[Close Price]]/B2088-1,0)</f>
        <v>7.6506431711820255E-4</v>
      </c>
    </row>
    <row r="2090" spans="1:3" x14ac:dyDescent="0.15">
      <c r="A2090" s="124">
        <v>43819</v>
      </c>
      <c r="B2090" s="126">
        <v>127.70071411132812</v>
      </c>
      <c r="C2090" s="125">
        <f>IFERROR(yf_data[[#This Row],[Close Price]]/B2089-1,0)</f>
        <v>8.1027111525882045E-3</v>
      </c>
    </row>
    <row r="2091" spans="1:3" x14ac:dyDescent="0.15">
      <c r="A2091" s="124">
        <v>43822</v>
      </c>
      <c r="B2091" s="126">
        <v>128.57218933105469</v>
      </c>
      <c r="C2091" s="125">
        <f>IFERROR(yf_data[[#This Row],[Close Price]]/B2090-1,0)</f>
        <v>6.8243566670020961E-3</v>
      </c>
    </row>
    <row r="2092" spans="1:3" x14ac:dyDescent="0.15">
      <c r="A2092" s="124">
        <v>43823</v>
      </c>
      <c r="B2092" s="126">
        <v>128.9207763671875</v>
      </c>
      <c r="C2092" s="125">
        <f>IFERROR(yf_data[[#This Row],[Close Price]]/B2091-1,0)</f>
        <v>2.7112164609350842E-3</v>
      </c>
    </row>
    <row r="2093" spans="1:3" x14ac:dyDescent="0.15">
      <c r="A2093" s="124">
        <v>43824</v>
      </c>
      <c r="B2093" s="126">
        <v>128.9207763671875</v>
      </c>
      <c r="C2093" s="125">
        <f>IFERROR(yf_data[[#This Row],[Close Price]]/B2092-1,0)</f>
        <v>0</v>
      </c>
    </row>
    <row r="2094" spans="1:3" x14ac:dyDescent="0.15">
      <c r="A2094" s="124">
        <v>43826</v>
      </c>
      <c r="B2094" s="126">
        <v>129.05633544921875</v>
      </c>
      <c r="C2094" s="125">
        <f>IFERROR(yf_data[[#This Row],[Close Price]]/B2093-1,0)</f>
        <v>1.0514913565611295E-3</v>
      </c>
    </row>
    <row r="2095" spans="1:3" x14ac:dyDescent="0.15">
      <c r="A2095" s="124">
        <v>43829</v>
      </c>
      <c r="B2095" s="126">
        <v>125.88028717041016</v>
      </c>
      <c r="C2095" s="125">
        <f>IFERROR(yf_data[[#This Row],[Close Price]]/B2094-1,0)</f>
        <v>-2.4609781982057877E-2</v>
      </c>
    </row>
    <row r="2096" spans="1:3" x14ac:dyDescent="0.15">
      <c r="A2096" s="124">
        <v>43830</v>
      </c>
      <c r="B2096" s="126">
        <v>126.34506988525391</v>
      </c>
      <c r="C2096" s="125">
        <f>IFERROR(yf_data[[#This Row],[Close Price]]/B2095-1,0)</f>
        <v>3.6922597278044034E-3</v>
      </c>
    </row>
    <row r="2097" spans="1:3" x14ac:dyDescent="0.15">
      <c r="A2097" s="124">
        <v>43832</v>
      </c>
      <c r="B2097" s="126">
        <v>129.28874206542969</v>
      </c>
      <c r="C2097" s="125">
        <f>IFERROR(yf_data[[#This Row],[Close Price]]/B2096-1,0)</f>
        <v>2.3298670718605807E-2</v>
      </c>
    </row>
    <row r="2098" spans="1:3" x14ac:dyDescent="0.15">
      <c r="A2098" s="124">
        <v>43833</v>
      </c>
      <c r="B2098" s="126">
        <v>129.79225158691406</v>
      </c>
      <c r="C2098" s="125">
        <f>IFERROR(yf_data[[#This Row],[Close Price]]/B2097-1,0)</f>
        <v>3.89445757952811E-3</v>
      </c>
    </row>
    <row r="2099" spans="1:3" x14ac:dyDescent="0.15">
      <c r="A2099" s="124">
        <v>43836</v>
      </c>
      <c r="B2099" s="126">
        <v>129.23063659667969</v>
      </c>
      <c r="C2099" s="125">
        <f>IFERROR(yf_data[[#This Row],[Close Price]]/B2098-1,0)</f>
        <v>-4.3270301837571301E-3</v>
      </c>
    </row>
    <row r="2100" spans="1:3" x14ac:dyDescent="0.15">
      <c r="A2100" s="124">
        <v>43837</v>
      </c>
      <c r="B2100" s="126">
        <v>127.81690216064452</v>
      </c>
      <c r="C2100" s="125">
        <f>IFERROR(yf_data[[#This Row],[Close Price]]/B2099-1,0)</f>
        <v>-1.0939622935135285E-2</v>
      </c>
    </row>
    <row r="2101" spans="1:3" x14ac:dyDescent="0.15">
      <c r="A2101" s="124">
        <v>43838</v>
      </c>
      <c r="B2101" s="126">
        <v>130.12149047851562</v>
      </c>
      <c r="C2101" s="125">
        <f>IFERROR(yf_data[[#This Row],[Close Price]]/B2100-1,0)</f>
        <v>1.8030387835363371E-2</v>
      </c>
    </row>
    <row r="2102" spans="1:3" x14ac:dyDescent="0.15">
      <c r="A2102" s="124">
        <v>43839</v>
      </c>
      <c r="B2102" s="126">
        <v>130.64436340332031</v>
      </c>
      <c r="C2102" s="125">
        <f>IFERROR(yf_data[[#This Row],[Close Price]]/B2101-1,0)</f>
        <v>4.0183441096612871E-3</v>
      </c>
    </row>
    <row r="2103" spans="1:3" x14ac:dyDescent="0.15">
      <c r="A2103" s="124">
        <v>43840</v>
      </c>
      <c r="B2103" s="126">
        <v>130.16021728515625</v>
      </c>
      <c r="C2103" s="125">
        <f>IFERROR(yf_data[[#This Row],[Close Price]]/B2102-1,0)</f>
        <v>-3.705832425922817E-3</v>
      </c>
    </row>
    <row r="2104" spans="1:3" x14ac:dyDescent="0.15">
      <c r="A2104" s="124">
        <v>43843</v>
      </c>
      <c r="B2104" s="126">
        <v>130.83802795410156</v>
      </c>
      <c r="C2104" s="125">
        <f>IFERROR(yf_data[[#This Row],[Close Price]]/B2103-1,0)</f>
        <v>5.207510275281324E-3</v>
      </c>
    </row>
    <row r="2105" spans="1:3" x14ac:dyDescent="0.15">
      <c r="A2105" s="124">
        <v>43844</v>
      </c>
      <c r="B2105" s="126">
        <v>130.81866455078125</v>
      </c>
      <c r="C2105" s="125">
        <f>IFERROR(yf_data[[#This Row],[Close Price]]/B2104-1,0)</f>
        <v>-1.479952245008187E-4</v>
      </c>
    </row>
    <row r="2106" spans="1:3" x14ac:dyDescent="0.15">
      <c r="A2106" s="124">
        <v>43845</v>
      </c>
      <c r="B2106" s="126">
        <v>130.00527954101562</v>
      </c>
      <c r="C2106" s="125">
        <f>IFERROR(yf_data[[#This Row],[Close Price]]/B2105-1,0)</f>
        <v>-6.2176525999459997E-3</v>
      </c>
    </row>
    <row r="2107" spans="1:3" x14ac:dyDescent="0.15">
      <c r="A2107" s="124">
        <v>43846</v>
      </c>
      <c r="B2107" s="126">
        <v>129.17253112792969</v>
      </c>
      <c r="C2107" s="125">
        <f>IFERROR(yf_data[[#This Row],[Close Price]]/B2106-1,0)</f>
        <v>-6.4054968846338767E-3</v>
      </c>
    </row>
    <row r="2108" spans="1:3" x14ac:dyDescent="0.15">
      <c r="A2108" s="124">
        <v>43847</v>
      </c>
      <c r="B2108" s="126">
        <v>132.44541931152344</v>
      </c>
      <c r="C2108" s="125">
        <f>IFERROR(yf_data[[#This Row],[Close Price]]/B2107-1,0)</f>
        <v>2.5337338790337283E-2</v>
      </c>
    </row>
    <row r="2109" spans="1:3" x14ac:dyDescent="0.15">
      <c r="A2109" s="124">
        <v>43850</v>
      </c>
      <c r="B2109" s="126">
        <v>133.52992248535156</v>
      </c>
      <c r="C2109" s="125">
        <f>IFERROR(yf_data[[#This Row],[Close Price]]/B2108-1,0)</f>
        <v>8.1883026190379127E-3</v>
      </c>
    </row>
    <row r="2110" spans="1:3" x14ac:dyDescent="0.15">
      <c r="A2110" s="124">
        <v>43851</v>
      </c>
      <c r="B2110" s="126">
        <v>132.07746887207031</v>
      </c>
      <c r="C2110" s="125">
        <f>IFERROR(yf_data[[#This Row],[Close Price]]/B2109-1,0)</f>
        <v>-1.0877364310913795E-2</v>
      </c>
    </row>
    <row r="2111" spans="1:3" x14ac:dyDescent="0.15">
      <c r="A2111" s="124">
        <v>43852</v>
      </c>
      <c r="B2111" s="126">
        <v>133.60739135742188</v>
      </c>
      <c r="C2111" s="125">
        <f>IFERROR(yf_data[[#This Row],[Close Price]]/B2110-1,0)</f>
        <v>1.1583523657872741E-2</v>
      </c>
    </row>
    <row r="2112" spans="1:3" x14ac:dyDescent="0.15">
      <c r="A2112" s="124">
        <v>43853</v>
      </c>
      <c r="B2112" s="126">
        <v>131.49649047851562</v>
      </c>
      <c r="C2112" s="125">
        <f>IFERROR(yf_data[[#This Row],[Close Price]]/B2111-1,0)</f>
        <v>-1.5799282191351516E-2</v>
      </c>
    </row>
    <row r="2113" spans="1:3" x14ac:dyDescent="0.15">
      <c r="A2113" s="124">
        <v>43854</v>
      </c>
      <c r="B2113" s="126">
        <v>134.59507751464844</v>
      </c>
      <c r="C2113" s="125">
        <f>IFERROR(yf_data[[#This Row],[Close Price]]/B2112-1,0)</f>
        <v>2.3564028399975179E-2</v>
      </c>
    </row>
    <row r="2114" spans="1:3" x14ac:dyDescent="0.15">
      <c r="A2114" s="124">
        <v>43857</v>
      </c>
      <c r="B2114" s="126">
        <v>128.68836975097656</v>
      </c>
      <c r="C2114" s="125">
        <f>IFERROR(yf_data[[#This Row],[Close Price]]/B2113-1,0)</f>
        <v>-4.3885020706117772E-2</v>
      </c>
    </row>
    <row r="2115" spans="1:3" x14ac:dyDescent="0.15">
      <c r="A2115" s="124">
        <v>43858</v>
      </c>
      <c r="B2115" s="126">
        <v>129.98591613769531</v>
      </c>
      <c r="C2115" s="125">
        <f>IFERROR(yf_data[[#This Row],[Close Price]]/B2114-1,0)</f>
        <v>1.0082856665521556E-2</v>
      </c>
    </row>
    <row r="2116" spans="1:3" x14ac:dyDescent="0.15">
      <c r="A2116" s="124">
        <v>43859</v>
      </c>
      <c r="B2116" s="126">
        <v>132.23239135742188</v>
      </c>
      <c r="C2116" s="125">
        <f>IFERROR(yf_data[[#This Row],[Close Price]]/B2115-1,0)</f>
        <v>1.7282450949123174E-2</v>
      </c>
    </row>
    <row r="2117" spans="1:3" x14ac:dyDescent="0.15">
      <c r="A2117" s="124">
        <v>43860</v>
      </c>
      <c r="B2117" s="126">
        <v>130.23768615722656</v>
      </c>
      <c r="C2117" s="125">
        <f>IFERROR(yf_data[[#This Row],[Close Price]]/B2116-1,0)</f>
        <v>-1.5084845548952175E-2</v>
      </c>
    </row>
    <row r="2118" spans="1:3" x14ac:dyDescent="0.15">
      <c r="A2118" s="124">
        <v>43861</v>
      </c>
      <c r="B2118" s="126">
        <v>129.01760864257812</v>
      </c>
      <c r="C2118" s="125">
        <f>IFERROR(yf_data[[#This Row],[Close Price]]/B2117-1,0)</f>
        <v>-9.3680834683712577E-3</v>
      </c>
    </row>
    <row r="2119" spans="1:3" x14ac:dyDescent="0.15">
      <c r="A2119" s="124">
        <v>43864</v>
      </c>
      <c r="B2119" s="126">
        <v>129.44366455078125</v>
      </c>
      <c r="C2119" s="125">
        <f>IFERROR(yf_data[[#This Row],[Close Price]]/B2118-1,0)</f>
        <v>3.3023082095982037E-3</v>
      </c>
    </row>
    <row r="2120" spans="1:3" x14ac:dyDescent="0.15">
      <c r="A2120" s="124">
        <v>43865</v>
      </c>
      <c r="B2120" s="126">
        <v>133.62677001953125</v>
      </c>
      <c r="C2120" s="125">
        <f>IFERROR(yf_data[[#This Row],[Close Price]]/B2119-1,0)</f>
        <v>3.2316030941081264E-2</v>
      </c>
    </row>
    <row r="2121" spans="1:3" x14ac:dyDescent="0.15">
      <c r="A2121" s="124">
        <v>43866</v>
      </c>
      <c r="B2121" s="126">
        <v>132.54226684570312</v>
      </c>
      <c r="C2121" s="125">
        <f>IFERROR(yf_data[[#This Row],[Close Price]]/B2120-1,0)</f>
        <v>-8.115912505178513E-3</v>
      </c>
    </row>
    <row r="2122" spans="1:3" x14ac:dyDescent="0.15">
      <c r="A2122" s="124">
        <v>43867</v>
      </c>
      <c r="B2122" s="126">
        <v>132.658447265625</v>
      </c>
      <c r="C2122" s="125">
        <f>IFERROR(yf_data[[#This Row],[Close Price]]/B2121-1,0)</f>
        <v>8.7655374158579491E-4</v>
      </c>
    </row>
    <row r="2123" spans="1:3" x14ac:dyDescent="0.15">
      <c r="A2123" s="124">
        <v>43868</v>
      </c>
      <c r="B2123" s="126">
        <v>132.44541931152344</v>
      </c>
      <c r="C2123" s="125">
        <f>IFERROR(yf_data[[#This Row],[Close Price]]/B2122-1,0)</f>
        <v>-1.6058378376389015E-3</v>
      </c>
    </row>
    <row r="2124" spans="1:3" x14ac:dyDescent="0.15">
      <c r="A2124" s="124">
        <v>43871</v>
      </c>
      <c r="B2124" s="126">
        <v>132.29049682617188</v>
      </c>
      <c r="C2124" s="125">
        <f>IFERROR(yf_data[[#This Row],[Close Price]]/B2123-1,0)</f>
        <v>-1.169708142092607E-3</v>
      </c>
    </row>
    <row r="2125" spans="1:3" x14ac:dyDescent="0.15">
      <c r="A2125" s="124">
        <v>43872</v>
      </c>
      <c r="B2125" s="126">
        <v>133.62677001953125</v>
      </c>
      <c r="C2125" s="125">
        <f>IFERROR(yf_data[[#This Row],[Close Price]]/B2124-1,0)</f>
        <v>1.0101052043936409E-2</v>
      </c>
    </row>
    <row r="2126" spans="1:3" x14ac:dyDescent="0.15">
      <c r="A2126" s="124">
        <v>43873</v>
      </c>
      <c r="B2126" s="126">
        <v>132.27113342285156</v>
      </c>
      <c r="C2126" s="125">
        <f>IFERROR(yf_data[[#This Row],[Close Price]]/B2125-1,0)</f>
        <v>-1.0144947726279274E-2</v>
      </c>
    </row>
    <row r="2127" spans="1:3" x14ac:dyDescent="0.15">
      <c r="A2127" s="124">
        <v>43874</v>
      </c>
      <c r="B2127" s="126">
        <v>128.591552734375</v>
      </c>
      <c r="C2127" s="125">
        <f>IFERROR(yf_data[[#This Row],[Close Price]]/B2126-1,0)</f>
        <v>-2.7818470994071531E-2</v>
      </c>
    </row>
    <row r="2128" spans="1:3" x14ac:dyDescent="0.15">
      <c r="A2128" s="124">
        <v>43875</v>
      </c>
      <c r="B2128" s="126">
        <v>125.74472045898438</v>
      </c>
      <c r="C2128" s="125">
        <f>IFERROR(yf_data[[#This Row],[Close Price]]/B2127-1,0)</f>
        <v>-2.2138563652553289E-2</v>
      </c>
    </row>
    <row r="2129" spans="1:3" x14ac:dyDescent="0.15">
      <c r="A2129" s="124">
        <v>43878</v>
      </c>
      <c r="B2129" s="126">
        <v>126.8292236328125</v>
      </c>
      <c r="C2129" s="125">
        <f>IFERROR(yf_data[[#This Row],[Close Price]]/B2128-1,0)</f>
        <v>8.6246418129489744E-3</v>
      </c>
    </row>
    <row r="2130" spans="1:3" x14ac:dyDescent="0.15">
      <c r="A2130" s="124">
        <v>43879</v>
      </c>
      <c r="B2130" s="126">
        <v>126.13204193115234</v>
      </c>
      <c r="C2130" s="125">
        <f>IFERROR(yf_data[[#This Row],[Close Price]]/B2129-1,0)</f>
        <v>-5.4970115064221226E-3</v>
      </c>
    </row>
    <row r="2131" spans="1:3" x14ac:dyDescent="0.15">
      <c r="A2131" s="124">
        <v>43880</v>
      </c>
      <c r="B2131" s="126">
        <v>127.6232452392578</v>
      </c>
      <c r="C2131" s="125">
        <f>IFERROR(yf_data[[#This Row],[Close Price]]/B2130-1,0)</f>
        <v>1.1822557418989632E-2</v>
      </c>
    </row>
    <row r="2132" spans="1:3" x14ac:dyDescent="0.15">
      <c r="A2132" s="124">
        <v>43881</v>
      </c>
      <c r="B2132" s="126">
        <v>127.60387420654295</v>
      </c>
      <c r="C2132" s="125">
        <f>IFERROR(yf_data[[#This Row],[Close Price]]/B2131-1,0)</f>
        <v>-1.517829505003343E-4</v>
      </c>
    </row>
    <row r="2133" spans="1:3" x14ac:dyDescent="0.15">
      <c r="A2133" s="124">
        <v>43882</v>
      </c>
      <c r="B2133" s="126">
        <v>126.69366455078124</v>
      </c>
      <c r="C2133" s="125">
        <f>IFERROR(yf_data[[#This Row],[Close Price]]/B2132-1,0)</f>
        <v>-7.1330879365655298E-3</v>
      </c>
    </row>
    <row r="2134" spans="1:3" x14ac:dyDescent="0.15">
      <c r="A2134" s="124">
        <v>43885</v>
      </c>
      <c r="B2134" s="126">
        <v>120.43837738037109</v>
      </c>
      <c r="C2134" s="125">
        <f>IFERROR(yf_data[[#This Row],[Close Price]]/B2133-1,0)</f>
        <v>-4.9373322593434854E-2</v>
      </c>
    </row>
    <row r="2135" spans="1:3" x14ac:dyDescent="0.15">
      <c r="A2135" s="124">
        <v>43886</v>
      </c>
      <c r="B2135" s="126">
        <v>119.625</v>
      </c>
      <c r="C2135" s="125">
        <f>IFERROR(yf_data[[#This Row],[Close Price]]/B2134-1,0)</f>
        <v>-6.7534734198739788E-3</v>
      </c>
    </row>
    <row r="2136" spans="1:3" x14ac:dyDescent="0.15">
      <c r="A2136" s="124">
        <v>43887</v>
      </c>
      <c r="B2136" s="126">
        <v>116.73943328857422</v>
      </c>
      <c r="C2136" s="125">
        <f>IFERROR(yf_data[[#This Row],[Close Price]]/B2135-1,0)</f>
        <v>-2.4121769792483039E-2</v>
      </c>
    </row>
    <row r="2137" spans="1:3" x14ac:dyDescent="0.15">
      <c r="A2137" s="124">
        <v>43888</v>
      </c>
      <c r="B2137" s="126">
        <v>111.35563659667967</v>
      </c>
      <c r="C2137" s="125">
        <f>IFERROR(yf_data[[#This Row],[Close Price]]/B2136-1,0)</f>
        <v>-4.6118064309821127E-2</v>
      </c>
    </row>
    <row r="2138" spans="1:3" x14ac:dyDescent="0.15">
      <c r="A2138" s="124">
        <v>43889</v>
      </c>
      <c r="B2138" s="126">
        <v>104.67429351806641</v>
      </c>
      <c r="C2138" s="125">
        <f>IFERROR(yf_data[[#This Row],[Close Price]]/B2137-1,0)</f>
        <v>-6.0000043848812967E-2</v>
      </c>
    </row>
    <row r="2139" spans="1:3" x14ac:dyDescent="0.15">
      <c r="A2139" s="124">
        <v>43892</v>
      </c>
      <c r="B2139" s="126">
        <v>104.20951080322266</v>
      </c>
      <c r="C2139" s="125">
        <f>IFERROR(yf_data[[#This Row],[Close Price]]/B2138-1,0)</f>
        <v>-4.4402756323693726E-3</v>
      </c>
    </row>
    <row r="2140" spans="1:3" x14ac:dyDescent="0.15">
      <c r="A2140" s="124">
        <v>43893</v>
      </c>
      <c r="B2140" s="126">
        <v>108.56690979003906</v>
      </c>
      <c r="C2140" s="125">
        <f>IFERROR(yf_data[[#This Row],[Close Price]]/B2139-1,0)</f>
        <v>4.1813832089130809E-2</v>
      </c>
    </row>
    <row r="2141" spans="1:3" x14ac:dyDescent="0.15">
      <c r="A2141" s="124">
        <v>43894</v>
      </c>
      <c r="B2141" s="126">
        <v>107.44366455078124</v>
      </c>
      <c r="C2141" s="125">
        <f>IFERROR(yf_data[[#This Row],[Close Price]]/B2140-1,0)</f>
        <v>-1.0346110444057977E-2</v>
      </c>
    </row>
    <row r="2142" spans="1:3" x14ac:dyDescent="0.15">
      <c r="A2142" s="124">
        <v>43895</v>
      </c>
      <c r="B2142" s="126">
        <v>104.30634307861328</v>
      </c>
      <c r="C2142" s="125">
        <f>IFERROR(yf_data[[#This Row],[Close Price]]/B2141-1,0)</f>
        <v>-2.9199687904214788E-2</v>
      </c>
    </row>
    <row r="2143" spans="1:3" x14ac:dyDescent="0.15">
      <c r="A2143" s="124">
        <v>43896</v>
      </c>
      <c r="B2143" s="126">
        <v>96.346832275390625</v>
      </c>
      <c r="C2143" s="125">
        <f>IFERROR(yf_data[[#This Row],[Close Price]]/B2142-1,0)</f>
        <v>-7.6308981489493499E-2</v>
      </c>
    </row>
    <row r="2144" spans="1:3" x14ac:dyDescent="0.15">
      <c r="A2144" s="124">
        <v>43899</v>
      </c>
      <c r="B2144" s="126">
        <v>87.138206481933594</v>
      </c>
      <c r="C2144" s="125">
        <f>IFERROR(yf_data[[#This Row],[Close Price]]/B2143-1,0)</f>
        <v>-9.5577878130292615E-2</v>
      </c>
    </row>
    <row r="2145" spans="1:3" x14ac:dyDescent="0.15">
      <c r="A2145" s="124">
        <v>43900</v>
      </c>
      <c r="B2145" s="126">
        <v>86.779937744140625</v>
      </c>
      <c r="C2145" s="125">
        <f>IFERROR(yf_data[[#This Row],[Close Price]]/B2144-1,0)</f>
        <v>-4.1115000211445762E-3</v>
      </c>
    </row>
    <row r="2146" spans="1:3" x14ac:dyDescent="0.15">
      <c r="A2146" s="124">
        <v>43901</v>
      </c>
      <c r="B2146" s="126">
        <v>82.984153747558594</v>
      </c>
      <c r="C2146" s="125">
        <f>IFERROR(yf_data[[#This Row],[Close Price]]/B2145-1,0)</f>
        <v>-4.3740340166795288E-2</v>
      </c>
    </row>
    <row r="2147" spans="1:3" x14ac:dyDescent="0.15">
      <c r="A2147" s="124">
        <v>43902</v>
      </c>
      <c r="B2147" s="126">
        <v>69.098594665527344</v>
      </c>
      <c r="C2147" s="125">
        <f>IFERROR(yf_data[[#This Row],[Close Price]]/B2146-1,0)</f>
        <v>-0.16732783856869504</v>
      </c>
    </row>
    <row r="2148" spans="1:3" x14ac:dyDescent="0.15">
      <c r="A2148" s="124">
        <v>43903</v>
      </c>
      <c r="B2148" s="126">
        <v>71.974472045898438</v>
      </c>
      <c r="C2148" s="125">
        <f>IFERROR(yf_data[[#This Row],[Close Price]]/B2147-1,0)</f>
        <v>4.1619911291854939E-2</v>
      </c>
    </row>
    <row r="2149" spans="1:3" x14ac:dyDescent="0.15">
      <c r="A2149" s="124">
        <v>43906</v>
      </c>
      <c r="B2149" s="126">
        <v>66.813385009765625</v>
      </c>
      <c r="C2149" s="125">
        <f>IFERROR(yf_data[[#This Row],[Close Price]]/B2148-1,0)</f>
        <v>-7.170718852708724E-2</v>
      </c>
    </row>
    <row r="2150" spans="1:3" x14ac:dyDescent="0.15">
      <c r="A2150" s="124">
        <v>43907</v>
      </c>
      <c r="B2150" s="126">
        <v>61.042255401611328</v>
      </c>
      <c r="C2150" s="125">
        <f>IFERROR(yf_data[[#This Row],[Close Price]]/B2149-1,0)</f>
        <v>-8.6376848101780368E-2</v>
      </c>
    </row>
    <row r="2151" spans="1:3" x14ac:dyDescent="0.15">
      <c r="A2151" s="124">
        <v>43908</v>
      </c>
      <c r="B2151" s="126">
        <v>47.510124206542969</v>
      </c>
      <c r="C2151" s="125">
        <f>IFERROR(yf_data[[#This Row],[Close Price]]/B2150-1,0)</f>
        <v>-0.22168465280382077</v>
      </c>
    </row>
    <row r="2152" spans="1:3" x14ac:dyDescent="0.15">
      <c r="A2152" s="124">
        <v>43909</v>
      </c>
      <c r="B2152" s="126">
        <v>52.027290344238281</v>
      </c>
      <c r="C2152" s="125">
        <f>IFERROR(yf_data[[#This Row],[Close Price]]/B2151-1,0)</f>
        <v>9.5077969446209609E-2</v>
      </c>
    </row>
    <row r="2153" spans="1:3" x14ac:dyDescent="0.15">
      <c r="A2153" s="124">
        <v>43910</v>
      </c>
      <c r="B2153" s="126">
        <v>61.758804321289062</v>
      </c>
      <c r="C2153" s="125">
        <f>IFERROR(yf_data[[#This Row],[Close Price]]/B2152-1,0)</f>
        <v>0.18704633496502066</v>
      </c>
    </row>
    <row r="2154" spans="1:3" x14ac:dyDescent="0.15">
      <c r="A2154" s="124">
        <v>43913</v>
      </c>
      <c r="B2154" s="126">
        <v>53.257041931152344</v>
      </c>
      <c r="C2154" s="125">
        <f>IFERROR(yf_data[[#This Row],[Close Price]]/B2153-1,0)</f>
        <v>-0.13766073491170316</v>
      </c>
    </row>
    <row r="2155" spans="1:3" x14ac:dyDescent="0.15">
      <c r="A2155" s="124">
        <v>43914</v>
      </c>
      <c r="B2155" s="126">
        <v>54.205986022949219</v>
      </c>
      <c r="C2155" s="125">
        <f>IFERROR(yf_data[[#This Row],[Close Price]]/B2154-1,0)</f>
        <v>1.781818999680107E-2</v>
      </c>
    </row>
    <row r="2156" spans="1:3" x14ac:dyDescent="0.15">
      <c r="A2156" s="124">
        <v>43915</v>
      </c>
      <c r="B2156" s="126">
        <v>58.108272552490234</v>
      </c>
      <c r="C2156" s="125">
        <f>IFERROR(yf_data[[#This Row],[Close Price]]/B2155-1,0)</f>
        <v>7.1989955646022175E-2</v>
      </c>
    </row>
    <row r="2157" spans="1:3" x14ac:dyDescent="0.15">
      <c r="A2157" s="124">
        <v>43916</v>
      </c>
      <c r="B2157" s="126">
        <v>69.999122619628906</v>
      </c>
      <c r="C2157" s="125">
        <f>IFERROR(yf_data[[#This Row],[Close Price]]/B2156-1,0)</f>
        <v>0.20463265460864388</v>
      </c>
    </row>
    <row r="2158" spans="1:3" x14ac:dyDescent="0.15">
      <c r="A2158" s="124">
        <v>43917</v>
      </c>
      <c r="B2158" s="126">
        <v>66.009681701660156</v>
      </c>
      <c r="C2158" s="125">
        <f>IFERROR(yf_data[[#This Row],[Close Price]]/B2157-1,0)</f>
        <v>-5.699272746098738E-2</v>
      </c>
    </row>
    <row r="2159" spans="1:3" x14ac:dyDescent="0.15">
      <c r="A2159" s="124">
        <v>43920</v>
      </c>
      <c r="B2159" s="126">
        <v>58.999122619628906</v>
      </c>
      <c r="C2159" s="125">
        <f>IFERROR(yf_data[[#This Row],[Close Price]]/B2158-1,0)</f>
        <v>-0.10620501267854066</v>
      </c>
    </row>
    <row r="2160" spans="1:3" x14ac:dyDescent="0.15">
      <c r="A2160" s="124">
        <v>43921</v>
      </c>
      <c r="B2160" s="126">
        <v>57.459506988525391</v>
      </c>
      <c r="C2160" s="125">
        <f>IFERROR(yf_data[[#This Row],[Close Price]]/B2159-1,0)</f>
        <v>-2.6095568251574108E-2</v>
      </c>
    </row>
    <row r="2161" spans="1:3" x14ac:dyDescent="0.15">
      <c r="A2161" s="124">
        <v>43922</v>
      </c>
      <c r="B2161" s="126">
        <v>50.5457763671875</v>
      </c>
      <c r="C2161" s="125">
        <f>IFERROR(yf_data[[#This Row],[Close Price]]/B2160-1,0)</f>
        <v>-0.12032352840616189</v>
      </c>
    </row>
    <row r="2162" spans="1:3" x14ac:dyDescent="0.15">
      <c r="A2162" s="124">
        <v>43923</v>
      </c>
      <c r="B2162" s="126">
        <v>48.676937103271491</v>
      </c>
      <c r="C2162" s="125">
        <f>IFERROR(yf_data[[#This Row],[Close Price]]/B2161-1,0)</f>
        <v>-3.697320326707243E-2</v>
      </c>
    </row>
    <row r="2163" spans="1:3" x14ac:dyDescent="0.15">
      <c r="A2163" s="124">
        <v>43924</v>
      </c>
      <c r="B2163" s="126">
        <v>47.936180114746094</v>
      </c>
      <c r="C2163" s="125">
        <f>IFERROR(yf_data[[#This Row],[Close Price]]/B2162-1,0)</f>
        <v>-1.5217822496798261E-2</v>
      </c>
    </row>
    <row r="2164" spans="1:3" x14ac:dyDescent="0.15">
      <c r="A2164" s="124">
        <v>43927</v>
      </c>
      <c r="B2164" s="126">
        <v>51.833625793457031</v>
      </c>
      <c r="C2164" s="125">
        <f>IFERROR(yf_data[[#This Row],[Close Price]]/B2163-1,0)</f>
        <v>8.1304886400658472E-2</v>
      </c>
    </row>
    <row r="2165" spans="1:3" x14ac:dyDescent="0.15">
      <c r="A2165" s="124">
        <v>43928</v>
      </c>
      <c r="B2165" s="126">
        <v>55.232395172119141</v>
      </c>
      <c r="C2165" s="125">
        <f>IFERROR(yf_data[[#This Row],[Close Price]]/B2164-1,0)</f>
        <v>6.5570743443750024E-2</v>
      </c>
    </row>
    <row r="2166" spans="1:3" x14ac:dyDescent="0.15">
      <c r="A2166" s="124">
        <v>43929</v>
      </c>
      <c r="B2166" s="126">
        <v>57.914615631103523</v>
      </c>
      <c r="C2166" s="125">
        <f>IFERROR(yf_data[[#This Row],[Close Price]]/B2165-1,0)</f>
        <v>4.8562450544211488E-2</v>
      </c>
    </row>
    <row r="2167" spans="1:3" x14ac:dyDescent="0.15">
      <c r="A2167" s="124">
        <v>43930</v>
      </c>
      <c r="B2167" s="126">
        <v>59.066902160644531</v>
      </c>
      <c r="C2167" s="125">
        <f>IFERROR(yf_data[[#This Row],[Close Price]]/B2166-1,0)</f>
        <v>1.989629935352899E-2</v>
      </c>
    </row>
    <row r="2168" spans="1:3" x14ac:dyDescent="0.15">
      <c r="A2168" s="124">
        <v>43935</v>
      </c>
      <c r="B2168" s="126">
        <v>58.098594665527344</v>
      </c>
      <c r="C2168" s="125">
        <f>IFERROR(yf_data[[#This Row],[Close Price]]/B2167-1,0)</f>
        <v>-1.639340239113396E-2</v>
      </c>
    </row>
    <row r="2169" spans="1:3" x14ac:dyDescent="0.15">
      <c r="A2169" s="124">
        <v>43936</v>
      </c>
      <c r="B2169" s="126">
        <v>53.063381195068359</v>
      </c>
      <c r="C2169" s="125">
        <f>IFERROR(yf_data[[#This Row],[Close Price]]/B2168-1,0)</f>
        <v>-8.6666699933907632E-2</v>
      </c>
    </row>
    <row r="2170" spans="1:3" x14ac:dyDescent="0.15">
      <c r="A2170" s="124">
        <v>43937</v>
      </c>
      <c r="B2170" s="126">
        <v>51.514087677001953</v>
      </c>
      <c r="C2170" s="125">
        <f>IFERROR(yf_data[[#This Row],[Close Price]]/B2169-1,0)</f>
        <v>-2.9197037263249181E-2</v>
      </c>
    </row>
    <row r="2171" spans="1:3" x14ac:dyDescent="0.15">
      <c r="A2171" s="124">
        <v>43938</v>
      </c>
      <c r="B2171" s="126">
        <v>55</v>
      </c>
      <c r="C2171" s="125">
        <f>IFERROR(yf_data[[#This Row],[Close Price]]/B2170-1,0)</f>
        <v>6.7669107232472658E-2</v>
      </c>
    </row>
    <row r="2172" spans="1:3" x14ac:dyDescent="0.15">
      <c r="A2172" s="124">
        <v>43941</v>
      </c>
      <c r="B2172" s="126">
        <v>55.619998931884766</v>
      </c>
      <c r="C2172" s="125">
        <f>IFERROR(yf_data[[#This Row],[Close Price]]/B2171-1,0)</f>
        <v>1.1272707852450381E-2</v>
      </c>
    </row>
    <row r="2173" spans="1:3" x14ac:dyDescent="0.15">
      <c r="A2173" s="124">
        <v>43942</v>
      </c>
      <c r="B2173" s="126">
        <v>51.959999084472656</v>
      </c>
      <c r="C2173" s="125">
        <f>IFERROR(yf_data[[#This Row],[Close Price]]/B2172-1,0)</f>
        <v>-6.5803666265695893E-2</v>
      </c>
    </row>
    <row r="2174" spans="1:3" x14ac:dyDescent="0.15">
      <c r="A2174" s="124">
        <v>43943</v>
      </c>
      <c r="B2174" s="126">
        <v>53.529998779296875</v>
      </c>
      <c r="C2174" s="125">
        <f>IFERROR(yf_data[[#This Row],[Close Price]]/B2173-1,0)</f>
        <v>3.0215545082513007E-2</v>
      </c>
    </row>
    <row r="2175" spans="1:3" x14ac:dyDescent="0.15">
      <c r="A2175" s="124">
        <v>43944</v>
      </c>
      <c r="B2175" s="126">
        <v>54.25</v>
      </c>
      <c r="C2175" s="125">
        <f>IFERROR(yf_data[[#This Row],[Close Price]]/B2174-1,0)</f>
        <v>1.3450424754756218E-2</v>
      </c>
    </row>
    <row r="2176" spans="1:3" x14ac:dyDescent="0.15">
      <c r="A2176" s="124">
        <v>43945</v>
      </c>
      <c r="B2176" s="126">
        <v>52.340000152587891</v>
      </c>
      <c r="C2176" s="125">
        <f>IFERROR(yf_data[[#This Row],[Close Price]]/B2175-1,0)</f>
        <v>-3.5207370459209408E-2</v>
      </c>
    </row>
    <row r="2177" spans="1:3" x14ac:dyDescent="0.15">
      <c r="A2177" s="124">
        <v>43948</v>
      </c>
      <c r="B2177" s="126">
        <v>51.069999694824219</v>
      </c>
      <c r="C2177" s="125">
        <f>IFERROR(yf_data[[#This Row],[Close Price]]/B2176-1,0)</f>
        <v>-2.4264433589247458E-2</v>
      </c>
    </row>
    <row r="2178" spans="1:3" x14ac:dyDescent="0.15">
      <c r="A2178" s="124">
        <v>43949</v>
      </c>
      <c r="B2178" s="126">
        <v>52.880001068115234</v>
      </c>
      <c r="C2178" s="125">
        <f>IFERROR(yf_data[[#This Row],[Close Price]]/B2177-1,0)</f>
        <v>3.5441577914762545E-2</v>
      </c>
    </row>
    <row r="2179" spans="1:3" x14ac:dyDescent="0.15">
      <c r="A2179" s="124">
        <v>43950</v>
      </c>
      <c r="B2179" s="126">
        <v>58.389999389648438</v>
      </c>
      <c r="C2179" s="125">
        <f>IFERROR(yf_data[[#This Row],[Close Price]]/B2178-1,0)</f>
        <v>0.1041981507231009</v>
      </c>
    </row>
    <row r="2180" spans="1:3" x14ac:dyDescent="0.15">
      <c r="A2180" s="124">
        <v>43951</v>
      </c>
      <c r="B2180" s="126">
        <v>57.880001068115234</v>
      </c>
      <c r="C2180" s="125">
        <f>IFERROR(yf_data[[#This Row],[Close Price]]/B2179-1,0)</f>
        <v>-8.734343669536293E-3</v>
      </c>
    </row>
    <row r="2181" spans="1:3" x14ac:dyDescent="0.15">
      <c r="A2181" s="124">
        <v>43955</v>
      </c>
      <c r="B2181" s="126">
        <v>55</v>
      </c>
      <c r="C2181" s="125">
        <f>IFERROR(yf_data[[#This Row],[Close Price]]/B2180-1,0)</f>
        <v>-4.9758137784516432E-2</v>
      </c>
    </row>
    <row r="2182" spans="1:3" x14ac:dyDescent="0.15">
      <c r="A2182" s="124">
        <v>43956</v>
      </c>
      <c r="B2182" s="126">
        <v>56.439998626708984</v>
      </c>
      <c r="C2182" s="125">
        <f>IFERROR(yf_data[[#This Row],[Close Price]]/B2181-1,0)</f>
        <v>2.6181793212890714E-2</v>
      </c>
    </row>
    <row r="2183" spans="1:3" x14ac:dyDescent="0.15">
      <c r="A2183" s="124">
        <v>43957</v>
      </c>
      <c r="B2183" s="126">
        <v>53.700000762939453</v>
      </c>
      <c r="C2183" s="125">
        <f>IFERROR(yf_data[[#This Row],[Close Price]]/B2182-1,0)</f>
        <v>-4.8547093026910293E-2</v>
      </c>
    </row>
    <row r="2184" spans="1:3" x14ac:dyDescent="0.15">
      <c r="A2184" s="124">
        <v>43958</v>
      </c>
      <c r="B2184" s="126">
        <v>55.75</v>
      </c>
      <c r="C2184" s="125">
        <f>IFERROR(yf_data[[#This Row],[Close Price]]/B2183-1,0)</f>
        <v>3.8175031805126824E-2</v>
      </c>
    </row>
    <row r="2185" spans="1:3" x14ac:dyDescent="0.15">
      <c r="A2185" s="124">
        <v>43959</v>
      </c>
      <c r="B2185" s="126">
        <v>56.069999694824219</v>
      </c>
      <c r="C2185" s="125">
        <f>IFERROR(yf_data[[#This Row],[Close Price]]/B2184-1,0)</f>
        <v>5.7399048398962815E-3</v>
      </c>
    </row>
    <row r="2186" spans="1:3" x14ac:dyDescent="0.15">
      <c r="A2186" s="124">
        <v>43962</v>
      </c>
      <c r="B2186" s="126">
        <v>54.5</v>
      </c>
      <c r="C2186" s="125">
        <f>IFERROR(yf_data[[#This Row],[Close Price]]/B2185-1,0)</f>
        <v>-2.8000708103608996E-2</v>
      </c>
    </row>
    <row r="2187" spans="1:3" x14ac:dyDescent="0.15">
      <c r="A2187" s="124">
        <v>43963</v>
      </c>
      <c r="B2187" s="126">
        <v>51.220001220703125</v>
      </c>
      <c r="C2187" s="125">
        <f>IFERROR(yf_data[[#This Row],[Close Price]]/B2186-1,0)</f>
        <v>-6.0183463840309592E-2</v>
      </c>
    </row>
    <row r="2188" spans="1:3" x14ac:dyDescent="0.15">
      <c r="A2188" s="124">
        <v>43964</v>
      </c>
      <c r="B2188" s="126">
        <v>49.599998474121094</v>
      </c>
      <c r="C2188" s="125">
        <f>IFERROR(yf_data[[#This Row],[Close Price]]/B2187-1,0)</f>
        <v>-3.1628323076400622E-2</v>
      </c>
    </row>
    <row r="2189" spans="1:3" x14ac:dyDescent="0.15">
      <c r="A2189" s="124">
        <v>43965</v>
      </c>
      <c r="B2189" s="126">
        <v>49.880001068115234</v>
      </c>
      <c r="C2189" s="125">
        <f>IFERROR(yf_data[[#This Row],[Close Price]]/B2188-1,0)</f>
        <v>5.645213762259127E-3</v>
      </c>
    </row>
    <row r="2190" spans="1:3" x14ac:dyDescent="0.15">
      <c r="A2190" s="124">
        <v>43966</v>
      </c>
      <c r="B2190" s="126">
        <v>49.310001373291016</v>
      </c>
      <c r="C2190" s="125">
        <f>IFERROR(yf_data[[#This Row],[Close Price]]/B2189-1,0)</f>
        <v>-1.1427419459070109E-2</v>
      </c>
    </row>
    <row r="2191" spans="1:3" x14ac:dyDescent="0.15">
      <c r="A2191" s="124">
        <v>43969</v>
      </c>
      <c r="B2191" s="126">
        <v>55.340000152587891</v>
      </c>
      <c r="C2191" s="125">
        <f>IFERROR(yf_data[[#This Row],[Close Price]]/B2190-1,0)</f>
        <v>0.12228754028311695</v>
      </c>
    </row>
    <row r="2192" spans="1:3" x14ac:dyDescent="0.15">
      <c r="A2192" s="124">
        <v>43970</v>
      </c>
      <c r="B2192" s="126">
        <v>54.229999542236328</v>
      </c>
      <c r="C2192" s="125">
        <f>IFERROR(yf_data[[#This Row],[Close Price]]/B2191-1,0)</f>
        <v>-2.0057835332327079E-2</v>
      </c>
    </row>
    <row r="2193" spans="1:3" x14ac:dyDescent="0.15">
      <c r="A2193" s="124">
        <v>43971</v>
      </c>
      <c r="B2193" s="126">
        <v>55.049999237060547</v>
      </c>
      <c r="C2193" s="125">
        <f>IFERROR(yf_data[[#This Row],[Close Price]]/B2192-1,0)</f>
        <v>1.5120776355263876E-2</v>
      </c>
    </row>
    <row r="2194" spans="1:3" x14ac:dyDescent="0.15">
      <c r="A2194" s="124">
        <v>43972</v>
      </c>
      <c r="B2194" s="126">
        <v>54.650001525878906</v>
      </c>
      <c r="C2194" s="125">
        <f>IFERROR(yf_data[[#This Row],[Close Price]]/B2193-1,0)</f>
        <v>-7.2660802311574901E-3</v>
      </c>
    </row>
    <row r="2195" spans="1:3" x14ac:dyDescent="0.15">
      <c r="A2195" s="124">
        <v>43973</v>
      </c>
      <c r="B2195" s="126">
        <v>54.040000915527344</v>
      </c>
      <c r="C2195" s="125">
        <f>IFERROR(yf_data[[#This Row],[Close Price]]/B2194-1,0)</f>
        <v>-1.116195047245705E-2</v>
      </c>
    </row>
    <row r="2196" spans="1:3" x14ac:dyDescent="0.15">
      <c r="A2196" s="124">
        <v>43976</v>
      </c>
      <c r="B2196" s="126">
        <v>58.639999389648438</v>
      </c>
      <c r="C2196" s="125">
        <f>IFERROR(yf_data[[#This Row],[Close Price]]/B2195-1,0)</f>
        <v>8.5122102076045092E-2</v>
      </c>
    </row>
    <row r="2197" spans="1:3" x14ac:dyDescent="0.15">
      <c r="A2197" s="124">
        <v>43977</v>
      </c>
      <c r="B2197" s="126">
        <v>62.810001373291016</v>
      </c>
      <c r="C2197" s="125">
        <f>IFERROR(yf_data[[#This Row],[Close Price]]/B2196-1,0)</f>
        <v>7.1111903599008208E-2</v>
      </c>
    </row>
    <row r="2198" spans="1:3" x14ac:dyDescent="0.15">
      <c r="A2198" s="124">
        <v>43978</v>
      </c>
      <c r="B2198" s="126">
        <v>61.130001068115234</v>
      </c>
      <c r="C2198" s="125">
        <f>IFERROR(yf_data[[#This Row],[Close Price]]/B2197-1,0)</f>
        <v>-2.6747337501097035E-2</v>
      </c>
    </row>
    <row r="2199" spans="1:3" x14ac:dyDescent="0.15">
      <c r="A2199" s="124">
        <v>43979</v>
      </c>
      <c r="B2199" s="126">
        <v>60.119998931884766</v>
      </c>
      <c r="C2199" s="125">
        <f>IFERROR(yf_data[[#This Row],[Close Price]]/B2198-1,0)</f>
        <v>-1.6522200533009235E-2</v>
      </c>
    </row>
    <row r="2200" spans="1:3" x14ac:dyDescent="0.15">
      <c r="A2200" s="124">
        <v>43980</v>
      </c>
      <c r="B2200" s="126">
        <v>56.700000762939453</v>
      </c>
      <c r="C2200" s="125">
        <f>IFERROR(yf_data[[#This Row],[Close Price]]/B2199-1,0)</f>
        <v>-5.6886198098907603E-2</v>
      </c>
    </row>
    <row r="2201" spans="1:3" x14ac:dyDescent="0.15">
      <c r="A2201" s="124">
        <v>43983</v>
      </c>
      <c r="B2201" s="126">
        <v>59.439998626708984</v>
      </c>
      <c r="C2201" s="125">
        <f>IFERROR(yf_data[[#This Row],[Close Price]]/B2200-1,0)</f>
        <v>4.8324476664918459E-2</v>
      </c>
    </row>
    <row r="2202" spans="1:3" x14ac:dyDescent="0.15">
      <c r="A2202" s="124">
        <v>43984</v>
      </c>
      <c r="B2202" s="126">
        <v>63.700000762939453</v>
      </c>
      <c r="C2202" s="125">
        <f>IFERROR(yf_data[[#This Row],[Close Price]]/B2201-1,0)</f>
        <v>7.166894742013441E-2</v>
      </c>
    </row>
    <row r="2203" spans="1:3" x14ac:dyDescent="0.15">
      <c r="A2203" s="124">
        <v>43985</v>
      </c>
      <c r="B2203" s="126">
        <v>68.410003662109375</v>
      </c>
      <c r="C2203" s="125">
        <f>IFERROR(yf_data[[#This Row],[Close Price]]/B2202-1,0)</f>
        <v>7.3940389996199007E-2</v>
      </c>
    </row>
    <row r="2204" spans="1:3" x14ac:dyDescent="0.15">
      <c r="A2204" s="124">
        <v>43986</v>
      </c>
      <c r="B2204" s="126">
        <v>71.980003356933594</v>
      </c>
      <c r="C2204" s="125">
        <f>IFERROR(yf_data[[#This Row],[Close Price]]/B2203-1,0)</f>
        <v>5.2185345764007796E-2</v>
      </c>
    </row>
    <row r="2205" spans="1:3" x14ac:dyDescent="0.15">
      <c r="A2205" s="124">
        <v>43987</v>
      </c>
      <c r="B2205" s="126">
        <v>80.980003356933594</v>
      </c>
      <c r="C2205" s="125">
        <f>IFERROR(yf_data[[#This Row],[Close Price]]/B2204-1,0)</f>
        <v>0.12503472603871524</v>
      </c>
    </row>
    <row r="2206" spans="1:3" x14ac:dyDescent="0.15">
      <c r="A2206" s="124">
        <v>43990</v>
      </c>
      <c r="B2206" s="126">
        <v>81.910003662109375</v>
      </c>
      <c r="C2206" s="125">
        <f>IFERROR(yf_data[[#This Row],[Close Price]]/B2205-1,0)</f>
        <v>1.1484320407800341E-2</v>
      </c>
    </row>
    <row r="2207" spans="1:3" x14ac:dyDescent="0.15">
      <c r="A2207" s="124">
        <v>43991</v>
      </c>
      <c r="B2207" s="126">
        <v>75.669998168945312</v>
      </c>
      <c r="C2207" s="125">
        <f>IFERROR(yf_data[[#This Row],[Close Price]]/B2206-1,0)</f>
        <v>-7.6181238117202232E-2</v>
      </c>
    </row>
    <row r="2208" spans="1:3" x14ac:dyDescent="0.15">
      <c r="A2208" s="124">
        <v>43992</v>
      </c>
      <c r="B2208" s="126">
        <v>74.959999084472656</v>
      </c>
      <c r="C2208" s="125">
        <f>IFERROR(yf_data[[#This Row],[Close Price]]/B2207-1,0)</f>
        <v>-9.3828346987331335E-3</v>
      </c>
    </row>
    <row r="2209" spans="1:3" x14ac:dyDescent="0.15">
      <c r="A2209" s="124">
        <v>43993</v>
      </c>
      <c r="B2209" s="126">
        <v>67.05999755859375</v>
      </c>
      <c r="C2209" s="125">
        <f>IFERROR(yf_data[[#This Row],[Close Price]]/B2208-1,0)</f>
        <v>-0.10538956273166933</v>
      </c>
    </row>
    <row r="2210" spans="1:3" x14ac:dyDescent="0.15">
      <c r="A2210" s="124">
        <v>43994</v>
      </c>
      <c r="B2210" s="126">
        <v>66.949996948242188</v>
      </c>
      <c r="C2210" s="125">
        <f>IFERROR(yf_data[[#This Row],[Close Price]]/B2209-1,0)</f>
        <v>-1.6403312609047926E-3</v>
      </c>
    </row>
    <row r="2211" spans="1:3" x14ac:dyDescent="0.15">
      <c r="A2211" s="124">
        <v>43997</v>
      </c>
      <c r="B2211" s="126">
        <v>68</v>
      </c>
      <c r="C2211" s="125">
        <f>IFERROR(yf_data[[#This Row],[Close Price]]/B2210-1,0)</f>
        <v>1.5683392077964653E-2</v>
      </c>
    </row>
    <row r="2212" spans="1:3" x14ac:dyDescent="0.15">
      <c r="A2212" s="124">
        <v>43998</v>
      </c>
      <c r="B2212" s="126">
        <v>69.830001831054688</v>
      </c>
      <c r="C2212" s="125">
        <f>IFERROR(yf_data[[#This Row],[Close Price]]/B2211-1,0)</f>
        <v>2.6911791633157156E-2</v>
      </c>
    </row>
    <row r="2213" spans="1:3" x14ac:dyDescent="0.15">
      <c r="A2213" s="124">
        <v>43999</v>
      </c>
      <c r="B2213" s="126">
        <v>69.75</v>
      </c>
      <c r="C2213" s="125">
        <f>IFERROR(yf_data[[#This Row],[Close Price]]/B2212-1,0)</f>
        <v>-1.1456656015597089E-3</v>
      </c>
    </row>
    <row r="2214" spans="1:3" x14ac:dyDescent="0.15">
      <c r="A2214" s="124">
        <v>44000</v>
      </c>
      <c r="B2214" s="126">
        <v>67.819999694824219</v>
      </c>
      <c r="C2214" s="125">
        <f>IFERROR(yf_data[[#This Row],[Close Price]]/B2213-1,0)</f>
        <v>-2.7670255271337374E-2</v>
      </c>
    </row>
    <row r="2215" spans="1:3" x14ac:dyDescent="0.15">
      <c r="A2215" s="124">
        <v>44001</v>
      </c>
      <c r="B2215" s="126">
        <v>68.860000610351562</v>
      </c>
      <c r="C2215" s="125">
        <f>IFERROR(yf_data[[#This Row],[Close Price]]/B2214-1,0)</f>
        <v>1.5334723093587854E-2</v>
      </c>
    </row>
    <row r="2216" spans="1:3" x14ac:dyDescent="0.15">
      <c r="A2216" s="124">
        <v>44004</v>
      </c>
      <c r="B2216" s="126">
        <v>67.260002136230469</v>
      </c>
      <c r="C2216" s="125">
        <f>IFERROR(yf_data[[#This Row],[Close Price]]/B2215-1,0)</f>
        <v>-2.3235528027000463E-2</v>
      </c>
    </row>
    <row r="2217" spans="1:3" x14ac:dyDescent="0.15">
      <c r="A2217" s="124">
        <v>44005</v>
      </c>
      <c r="B2217" s="126">
        <v>66.760002136230469</v>
      </c>
      <c r="C2217" s="125">
        <f>IFERROR(yf_data[[#This Row],[Close Price]]/B2216-1,0)</f>
        <v>-7.4338385982695154E-3</v>
      </c>
    </row>
    <row r="2218" spans="1:3" x14ac:dyDescent="0.15">
      <c r="A2218" s="124">
        <v>44006</v>
      </c>
      <c r="B2218" s="126">
        <v>62.970001220703125</v>
      </c>
      <c r="C2218" s="125">
        <f>IFERROR(yf_data[[#This Row],[Close Price]]/B2217-1,0)</f>
        <v>-5.67705331673517E-2</v>
      </c>
    </row>
    <row r="2219" spans="1:3" x14ac:dyDescent="0.15">
      <c r="A2219" s="124">
        <v>44007</v>
      </c>
      <c r="B2219" s="126">
        <v>63.919998168945312</v>
      </c>
      <c r="C2219" s="125">
        <f>IFERROR(yf_data[[#This Row],[Close Price]]/B2218-1,0)</f>
        <v>1.5086500394251967E-2</v>
      </c>
    </row>
    <row r="2220" spans="1:3" x14ac:dyDescent="0.15">
      <c r="A2220" s="124">
        <v>44008</v>
      </c>
      <c r="B2220" s="126">
        <v>61.880001068115234</v>
      </c>
      <c r="C2220" s="125">
        <f>IFERROR(yf_data[[#This Row],[Close Price]]/B2219-1,0)</f>
        <v>-3.1914849175029958E-2</v>
      </c>
    </row>
    <row r="2221" spans="1:3" x14ac:dyDescent="0.15">
      <c r="A2221" s="124">
        <v>44011</v>
      </c>
      <c r="B2221" s="126">
        <v>63.349998474121094</v>
      </c>
      <c r="C2221" s="125">
        <f>IFERROR(yf_data[[#This Row],[Close Price]]/B2220-1,0)</f>
        <v>2.3755613778799756E-2</v>
      </c>
    </row>
    <row r="2222" spans="1:3" x14ac:dyDescent="0.15">
      <c r="A2222" s="124">
        <v>44012</v>
      </c>
      <c r="B2222" s="126">
        <v>63.520000457763672</v>
      </c>
      <c r="C2222" s="125">
        <f>IFERROR(yf_data[[#This Row],[Close Price]]/B2221-1,0)</f>
        <v>2.6835357180319264E-3</v>
      </c>
    </row>
    <row r="2223" spans="1:3" x14ac:dyDescent="0.15">
      <c r="A2223" s="124">
        <v>44013</v>
      </c>
      <c r="B2223" s="126">
        <v>64.19000244140625</v>
      </c>
      <c r="C2223" s="125">
        <f>IFERROR(yf_data[[#This Row],[Close Price]]/B2222-1,0)</f>
        <v>1.0547890094680934E-2</v>
      </c>
    </row>
    <row r="2224" spans="1:3" x14ac:dyDescent="0.15">
      <c r="A2224" s="124">
        <v>44014</v>
      </c>
      <c r="B2224" s="126">
        <v>66.410003662109375</v>
      </c>
      <c r="C2224" s="125">
        <f>IFERROR(yf_data[[#This Row],[Close Price]]/B2223-1,0)</f>
        <v>3.4584843998558545E-2</v>
      </c>
    </row>
    <row r="2225" spans="1:3" x14ac:dyDescent="0.15">
      <c r="A2225" s="124">
        <v>44015</v>
      </c>
      <c r="B2225" s="126">
        <v>65.629997253417969</v>
      </c>
      <c r="C2225" s="125">
        <f>IFERROR(yf_data[[#This Row],[Close Price]]/B2224-1,0)</f>
        <v>-1.1745314947730456E-2</v>
      </c>
    </row>
    <row r="2226" spans="1:3" x14ac:dyDescent="0.15">
      <c r="A2226" s="124">
        <v>44018</v>
      </c>
      <c r="B2226" s="126">
        <v>67.720001220703125</v>
      </c>
      <c r="C2226" s="125">
        <f>IFERROR(yf_data[[#This Row],[Close Price]]/B2225-1,0)</f>
        <v>3.1845254529190292E-2</v>
      </c>
    </row>
    <row r="2227" spans="1:3" x14ac:dyDescent="0.15">
      <c r="A2227" s="124">
        <v>44019</v>
      </c>
      <c r="B2227" s="126">
        <v>67.300003051757812</v>
      </c>
      <c r="C2227" s="125">
        <f>IFERROR(yf_data[[#This Row],[Close Price]]/B2226-1,0)</f>
        <v>-6.2019811189387708E-3</v>
      </c>
    </row>
    <row r="2228" spans="1:3" x14ac:dyDescent="0.15">
      <c r="A2228" s="124">
        <v>44020</v>
      </c>
      <c r="B2228" s="126">
        <v>65.830001831054688</v>
      </c>
      <c r="C2228" s="125">
        <f>IFERROR(yf_data[[#This Row],[Close Price]]/B2227-1,0)</f>
        <v>-2.1842513433061872E-2</v>
      </c>
    </row>
    <row r="2229" spans="1:3" x14ac:dyDescent="0.15">
      <c r="A2229" s="124">
        <v>44021</v>
      </c>
      <c r="B2229" s="126">
        <v>63.220001220703125</v>
      </c>
      <c r="C2229" s="125">
        <f>IFERROR(yf_data[[#This Row],[Close Price]]/B2228-1,0)</f>
        <v>-3.9647585261349927E-2</v>
      </c>
    </row>
    <row r="2230" spans="1:3" x14ac:dyDescent="0.15">
      <c r="A2230" s="124">
        <v>44022</v>
      </c>
      <c r="B2230" s="126">
        <v>65.449996948242188</v>
      </c>
      <c r="C2230" s="125">
        <f>IFERROR(yf_data[[#This Row],[Close Price]]/B2229-1,0)</f>
        <v>3.5273579317945281E-2</v>
      </c>
    </row>
    <row r="2231" spans="1:3" x14ac:dyDescent="0.15">
      <c r="A2231" s="124">
        <v>44025</v>
      </c>
      <c r="B2231" s="126">
        <v>67.849998474121094</v>
      </c>
      <c r="C2231" s="125">
        <f>IFERROR(yf_data[[#This Row],[Close Price]]/B2230-1,0)</f>
        <v>3.6669238163247408E-2</v>
      </c>
    </row>
    <row r="2232" spans="1:3" x14ac:dyDescent="0.15">
      <c r="A2232" s="124">
        <v>44026</v>
      </c>
      <c r="B2232" s="126">
        <v>66.160003662109375</v>
      </c>
      <c r="C2232" s="125">
        <f>IFERROR(yf_data[[#This Row],[Close Price]]/B2231-1,0)</f>
        <v>-2.4907809138069559E-2</v>
      </c>
    </row>
    <row r="2233" spans="1:3" x14ac:dyDescent="0.15">
      <c r="A2233" s="124">
        <v>44027</v>
      </c>
      <c r="B2233" s="126">
        <v>69.220001220703125</v>
      </c>
      <c r="C2233" s="125">
        <f>IFERROR(yf_data[[#This Row],[Close Price]]/B2232-1,0)</f>
        <v>4.6251472025631735E-2</v>
      </c>
    </row>
    <row r="2234" spans="1:3" x14ac:dyDescent="0.15">
      <c r="A2234" s="124">
        <v>44028</v>
      </c>
      <c r="B2234" s="126">
        <v>67</v>
      </c>
      <c r="C2234" s="125">
        <f>IFERROR(yf_data[[#This Row],[Close Price]]/B2233-1,0)</f>
        <v>-3.2071672660403561E-2</v>
      </c>
    </row>
    <row r="2235" spans="1:3" x14ac:dyDescent="0.15">
      <c r="A2235" s="124">
        <v>44029</v>
      </c>
      <c r="B2235" s="126">
        <v>65.900001525878906</v>
      </c>
      <c r="C2235" s="125">
        <f>IFERROR(yf_data[[#This Row],[Close Price]]/B2234-1,0)</f>
        <v>-1.6417887673449205E-2</v>
      </c>
    </row>
    <row r="2236" spans="1:3" x14ac:dyDescent="0.15">
      <c r="A2236" s="124">
        <v>44032</v>
      </c>
      <c r="B2236" s="126">
        <v>65.709999084472656</v>
      </c>
      <c r="C2236" s="125">
        <f>IFERROR(yf_data[[#This Row],[Close Price]]/B2235-1,0)</f>
        <v>-2.8831932777974023E-3</v>
      </c>
    </row>
    <row r="2237" spans="1:3" x14ac:dyDescent="0.15">
      <c r="A2237" s="124">
        <v>44033</v>
      </c>
      <c r="B2237" s="126">
        <v>68.050003051757812</v>
      </c>
      <c r="C2237" s="125">
        <f>IFERROR(yf_data[[#This Row],[Close Price]]/B2236-1,0)</f>
        <v>3.5611078981708566E-2</v>
      </c>
    </row>
    <row r="2238" spans="1:3" x14ac:dyDescent="0.15">
      <c r="A2238" s="124">
        <v>44034</v>
      </c>
      <c r="B2238" s="126">
        <v>67.110000610351562</v>
      </c>
      <c r="C2238" s="125">
        <f>IFERROR(yf_data[[#This Row],[Close Price]]/B2237-1,0)</f>
        <v>-1.3813407777385378E-2</v>
      </c>
    </row>
    <row r="2239" spans="1:3" x14ac:dyDescent="0.15">
      <c r="A2239" s="124">
        <v>44035</v>
      </c>
      <c r="B2239" s="126">
        <v>65.279998779296875</v>
      </c>
      <c r="C2239" s="125">
        <f>IFERROR(yf_data[[#This Row],[Close Price]]/B2238-1,0)</f>
        <v>-2.7268690424842812E-2</v>
      </c>
    </row>
    <row r="2240" spans="1:3" x14ac:dyDescent="0.15">
      <c r="A2240" s="124">
        <v>44036</v>
      </c>
      <c r="B2240" s="126">
        <v>63.930000305175781</v>
      </c>
      <c r="C2240" s="125">
        <f>IFERROR(yf_data[[#This Row],[Close Price]]/B2239-1,0)</f>
        <v>-2.0680124071160932E-2</v>
      </c>
    </row>
    <row r="2241" spans="1:3" x14ac:dyDescent="0.15">
      <c r="A2241" s="124">
        <v>44039</v>
      </c>
      <c r="B2241" s="126">
        <v>61.919998168945312</v>
      </c>
      <c r="C2241" s="125">
        <f>IFERROR(yf_data[[#This Row],[Close Price]]/B2240-1,0)</f>
        <v>-3.144067146309304E-2</v>
      </c>
    </row>
    <row r="2242" spans="1:3" x14ac:dyDescent="0.15">
      <c r="A2242" s="124">
        <v>44040</v>
      </c>
      <c r="B2242" s="126">
        <v>63.849998474121094</v>
      </c>
      <c r="C2242" s="125">
        <f>IFERROR(yf_data[[#This Row],[Close Price]]/B2241-1,0)</f>
        <v>3.1169256496259568E-2</v>
      </c>
    </row>
    <row r="2243" spans="1:3" x14ac:dyDescent="0.15">
      <c r="A2243" s="124">
        <v>44041</v>
      </c>
      <c r="B2243" s="126">
        <v>62.180000305175781</v>
      </c>
      <c r="C2243" s="125">
        <f>IFERROR(yf_data[[#This Row],[Close Price]]/B2242-1,0)</f>
        <v>-2.6155022848155185E-2</v>
      </c>
    </row>
    <row r="2244" spans="1:3" x14ac:dyDescent="0.15">
      <c r="A2244" s="124">
        <v>44042</v>
      </c>
      <c r="B2244" s="126">
        <v>63.340000152587891</v>
      </c>
      <c r="C2244" s="125">
        <f>IFERROR(yf_data[[#This Row],[Close Price]]/B2243-1,0)</f>
        <v>1.8655513697634296E-2</v>
      </c>
    </row>
    <row r="2245" spans="1:3" x14ac:dyDescent="0.15">
      <c r="A2245" s="124">
        <v>44043</v>
      </c>
      <c r="B2245" s="126">
        <v>62.009998321533203</v>
      </c>
      <c r="C2245" s="125">
        <f>IFERROR(yf_data[[#This Row],[Close Price]]/B2244-1,0)</f>
        <v>-2.0997818564109205E-2</v>
      </c>
    </row>
    <row r="2246" spans="1:3" x14ac:dyDescent="0.15">
      <c r="A2246" s="124">
        <v>44046</v>
      </c>
      <c r="B2246" s="126">
        <v>63.729999542236328</v>
      </c>
      <c r="C2246" s="125">
        <f>IFERROR(yf_data[[#This Row],[Close Price]]/B2245-1,0)</f>
        <v>2.7737482136100056E-2</v>
      </c>
    </row>
    <row r="2247" spans="1:3" x14ac:dyDescent="0.15">
      <c r="A2247" s="124">
        <v>44047</v>
      </c>
      <c r="B2247" s="126">
        <v>65.680000305175781</v>
      </c>
      <c r="C2247" s="125">
        <f>IFERROR(yf_data[[#This Row],[Close Price]]/B2246-1,0)</f>
        <v>3.0597846805994644E-2</v>
      </c>
    </row>
    <row r="2248" spans="1:3" x14ac:dyDescent="0.15">
      <c r="A2248" s="124">
        <v>44048</v>
      </c>
      <c r="B2248" s="126">
        <v>67.970001220703125</v>
      </c>
      <c r="C2248" s="125">
        <f>IFERROR(yf_data[[#This Row],[Close Price]]/B2247-1,0)</f>
        <v>3.486603082958406E-2</v>
      </c>
    </row>
    <row r="2249" spans="1:3" x14ac:dyDescent="0.15">
      <c r="A2249" s="124">
        <v>44049</v>
      </c>
      <c r="B2249" s="126">
        <v>68.330001831054688</v>
      </c>
      <c r="C2249" s="125">
        <f>IFERROR(yf_data[[#This Row],[Close Price]]/B2248-1,0)</f>
        <v>5.2964632026799574E-3</v>
      </c>
    </row>
    <row r="2250" spans="1:3" x14ac:dyDescent="0.15">
      <c r="A2250" s="124">
        <v>44050</v>
      </c>
      <c r="B2250" s="126">
        <v>69.300003051757812</v>
      </c>
      <c r="C2250" s="125">
        <f>IFERROR(yf_data[[#This Row],[Close Price]]/B2249-1,0)</f>
        <v>1.4195831914382895E-2</v>
      </c>
    </row>
    <row r="2251" spans="1:3" x14ac:dyDescent="0.15">
      <c r="A2251" s="124">
        <v>44053</v>
      </c>
      <c r="B2251" s="126">
        <v>72.05999755859375</v>
      </c>
      <c r="C2251" s="125">
        <f>IFERROR(yf_data[[#This Row],[Close Price]]/B2250-1,0)</f>
        <v>3.9826758806555729E-2</v>
      </c>
    </row>
    <row r="2252" spans="1:3" x14ac:dyDescent="0.15">
      <c r="A2252" s="124">
        <v>44054</v>
      </c>
      <c r="B2252" s="126">
        <v>76.180000305175781</v>
      </c>
      <c r="C2252" s="125">
        <f>IFERROR(yf_data[[#This Row],[Close Price]]/B2251-1,0)</f>
        <v>5.7174616793900901E-2</v>
      </c>
    </row>
    <row r="2253" spans="1:3" x14ac:dyDescent="0.15">
      <c r="A2253" s="124">
        <v>44055</v>
      </c>
      <c r="B2253" s="126">
        <v>74.919998168945312</v>
      </c>
      <c r="C2253" s="125">
        <f>IFERROR(yf_data[[#This Row],[Close Price]]/B2252-1,0)</f>
        <v>-1.6539802194577624E-2</v>
      </c>
    </row>
    <row r="2254" spans="1:3" x14ac:dyDescent="0.15">
      <c r="A2254" s="124">
        <v>44056</v>
      </c>
      <c r="B2254" s="126">
        <v>73.300003051757812</v>
      </c>
      <c r="C2254" s="125">
        <f>IFERROR(yf_data[[#This Row],[Close Price]]/B2253-1,0)</f>
        <v>-2.1622999957026101E-2</v>
      </c>
    </row>
    <row r="2255" spans="1:3" x14ac:dyDescent="0.15">
      <c r="A2255" s="124">
        <v>44057</v>
      </c>
      <c r="B2255" s="126">
        <v>72.110000610351562</v>
      </c>
      <c r="C2255" s="125">
        <f>IFERROR(yf_data[[#This Row],[Close Price]]/B2254-1,0)</f>
        <v>-1.6234684745728867E-2</v>
      </c>
    </row>
    <row r="2256" spans="1:3" x14ac:dyDescent="0.15">
      <c r="A2256" s="124">
        <v>44060</v>
      </c>
      <c r="B2256" s="126">
        <v>71.44000244140625</v>
      </c>
      <c r="C2256" s="125">
        <f>IFERROR(yf_data[[#This Row],[Close Price]]/B2255-1,0)</f>
        <v>-9.2913349504136766E-3</v>
      </c>
    </row>
    <row r="2257" spans="1:3" x14ac:dyDescent="0.15">
      <c r="A2257" s="124">
        <v>44061</v>
      </c>
      <c r="B2257" s="126">
        <v>69.230003356933594</v>
      </c>
      <c r="C2257" s="125">
        <f>IFERROR(yf_data[[#This Row],[Close Price]]/B2256-1,0)</f>
        <v>-3.0935036519424197E-2</v>
      </c>
    </row>
    <row r="2258" spans="1:3" x14ac:dyDescent="0.15">
      <c r="A2258" s="124">
        <v>44062</v>
      </c>
      <c r="B2258" s="126">
        <v>70.25</v>
      </c>
      <c r="C2258" s="125">
        <f>IFERROR(yf_data[[#This Row],[Close Price]]/B2257-1,0)</f>
        <v>1.4733447834857749E-2</v>
      </c>
    </row>
    <row r="2259" spans="1:3" x14ac:dyDescent="0.15">
      <c r="A2259" s="124">
        <v>44063</v>
      </c>
      <c r="B2259" s="126">
        <v>69.169998168945312</v>
      </c>
      <c r="C2259" s="125">
        <f>IFERROR(yf_data[[#This Row],[Close Price]]/B2258-1,0)</f>
        <v>-1.5373691545262469E-2</v>
      </c>
    </row>
    <row r="2260" spans="1:3" x14ac:dyDescent="0.15">
      <c r="A2260" s="124">
        <v>44064</v>
      </c>
      <c r="B2260" s="126">
        <v>69.080001831054688</v>
      </c>
      <c r="C2260" s="125">
        <f>IFERROR(yf_data[[#This Row],[Close Price]]/B2259-1,0)</f>
        <v>-1.3010892044671429E-3</v>
      </c>
    </row>
    <row r="2261" spans="1:3" x14ac:dyDescent="0.15">
      <c r="A2261" s="124">
        <v>44067</v>
      </c>
      <c r="B2261" s="126">
        <v>72.099998474121094</v>
      </c>
      <c r="C2261" s="125">
        <f>IFERROR(yf_data[[#This Row],[Close Price]]/B2260-1,0)</f>
        <v>4.3717379314092364E-2</v>
      </c>
    </row>
    <row r="2262" spans="1:3" x14ac:dyDescent="0.15">
      <c r="A2262" s="124">
        <v>44068</v>
      </c>
      <c r="B2262" s="126">
        <v>71.55999755859375</v>
      </c>
      <c r="C2262" s="125">
        <f>IFERROR(yf_data[[#This Row],[Close Price]]/B2261-1,0)</f>
        <v>-7.4896106373867344E-3</v>
      </c>
    </row>
    <row r="2263" spans="1:3" x14ac:dyDescent="0.15">
      <c r="A2263" s="124">
        <v>44069</v>
      </c>
      <c r="B2263" s="126">
        <v>70.239997863769531</v>
      </c>
      <c r="C2263" s="125">
        <f>IFERROR(yf_data[[#This Row],[Close Price]]/B2262-1,0)</f>
        <v>-1.8446055615686574E-2</v>
      </c>
    </row>
    <row r="2264" spans="1:3" x14ac:dyDescent="0.15">
      <c r="A2264" s="124">
        <v>44070</v>
      </c>
      <c r="B2264" s="126">
        <v>72.110000610351562</v>
      </c>
      <c r="C2264" s="125">
        <f>IFERROR(yf_data[[#This Row],[Close Price]]/B2263-1,0)</f>
        <v>2.6623046746227175E-2</v>
      </c>
    </row>
    <row r="2265" spans="1:3" x14ac:dyDescent="0.15">
      <c r="A2265" s="124">
        <v>44071</v>
      </c>
      <c r="B2265" s="126">
        <v>71.44000244140625</v>
      </c>
      <c r="C2265" s="125">
        <f>IFERROR(yf_data[[#This Row],[Close Price]]/B2264-1,0)</f>
        <v>-9.2913349504136766E-3</v>
      </c>
    </row>
    <row r="2266" spans="1:3" x14ac:dyDescent="0.15">
      <c r="A2266" s="124">
        <v>44074</v>
      </c>
      <c r="B2266" s="126">
        <v>68.839996337890625</v>
      </c>
      <c r="C2266" s="125">
        <f>IFERROR(yf_data[[#This Row],[Close Price]]/B2265-1,0)</f>
        <v>-3.6394261123494531E-2</v>
      </c>
    </row>
    <row r="2267" spans="1:3" x14ac:dyDescent="0.15">
      <c r="A2267" s="124">
        <v>44075</v>
      </c>
      <c r="B2267" s="126">
        <v>69.569999694824219</v>
      </c>
      <c r="C2267" s="125">
        <f>IFERROR(yf_data[[#This Row],[Close Price]]/B2266-1,0)</f>
        <v>1.0604349154094805E-2</v>
      </c>
    </row>
    <row r="2268" spans="1:3" x14ac:dyDescent="0.15">
      <c r="A2268" s="124">
        <v>44076</v>
      </c>
      <c r="B2268" s="126">
        <v>72.080001831054688</v>
      </c>
      <c r="C2268" s="125">
        <f>IFERROR(yf_data[[#This Row],[Close Price]]/B2267-1,0)</f>
        <v>3.6078800449056203E-2</v>
      </c>
    </row>
    <row r="2269" spans="1:3" x14ac:dyDescent="0.15">
      <c r="A2269" s="124">
        <v>44077</v>
      </c>
      <c r="B2269" s="126">
        <v>71.5</v>
      </c>
      <c r="C2269" s="125">
        <f>IFERROR(yf_data[[#This Row],[Close Price]]/B2268-1,0)</f>
        <v>-8.0466400710439423E-3</v>
      </c>
    </row>
    <row r="2270" spans="1:3" x14ac:dyDescent="0.15">
      <c r="A2270" s="124">
        <v>44078</v>
      </c>
      <c r="B2270" s="126">
        <v>69.779998779296875</v>
      </c>
      <c r="C2270" s="125">
        <f>IFERROR(yf_data[[#This Row],[Close Price]]/B2269-1,0)</f>
        <v>-2.4055961128714998E-2</v>
      </c>
    </row>
    <row r="2271" spans="1:3" x14ac:dyDescent="0.15">
      <c r="A2271" s="124">
        <v>44081</v>
      </c>
      <c r="B2271" s="126">
        <v>73.769996643066406</v>
      </c>
      <c r="C2271" s="125">
        <f>IFERROR(yf_data[[#This Row],[Close Price]]/B2270-1,0)</f>
        <v>5.717967803910784E-2</v>
      </c>
    </row>
    <row r="2272" spans="1:3" x14ac:dyDescent="0.15">
      <c r="A2272" s="124">
        <v>44082</v>
      </c>
      <c r="B2272" s="126">
        <v>70.779998779296875</v>
      </c>
      <c r="C2272" s="125">
        <f>IFERROR(yf_data[[#This Row],[Close Price]]/B2271-1,0)</f>
        <v>-4.0531354206731707E-2</v>
      </c>
    </row>
    <row r="2273" spans="1:3" x14ac:dyDescent="0.15">
      <c r="A2273" s="124">
        <v>44083</v>
      </c>
      <c r="B2273" s="126">
        <v>69.389999389648438</v>
      </c>
      <c r="C2273" s="125">
        <f>IFERROR(yf_data[[#This Row],[Close Price]]/B2272-1,0)</f>
        <v>-1.9638307623918938E-2</v>
      </c>
    </row>
    <row r="2274" spans="1:3" x14ac:dyDescent="0.15">
      <c r="A2274" s="124">
        <v>44084</v>
      </c>
      <c r="B2274" s="126">
        <v>69.44000244140625</v>
      </c>
      <c r="C2274" s="125">
        <f>IFERROR(yf_data[[#This Row],[Close Price]]/B2273-1,0)</f>
        <v>7.206089090305845E-4</v>
      </c>
    </row>
    <row r="2275" spans="1:3" x14ac:dyDescent="0.15">
      <c r="A2275" s="124">
        <v>44085</v>
      </c>
      <c r="B2275" s="126">
        <v>68.819999694824219</v>
      </c>
      <c r="C2275" s="125">
        <f>IFERROR(yf_data[[#This Row],[Close Price]]/B2274-1,0)</f>
        <v>-8.9286106679675736E-3</v>
      </c>
    </row>
    <row r="2276" spans="1:3" x14ac:dyDescent="0.15">
      <c r="A2276" s="124">
        <v>44088</v>
      </c>
      <c r="B2276" s="126">
        <v>71.319999694824219</v>
      </c>
      <c r="C2276" s="125">
        <f>IFERROR(yf_data[[#This Row],[Close Price]]/B2275-1,0)</f>
        <v>3.6326649390962196E-2</v>
      </c>
    </row>
    <row r="2277" spans="1:3" x14ac:dyDescent="0.15">
      <c r="A2277" s="124">
        <v>44089</v>
      </c>
      <c r="B2277" s="126">
        <v>69.480003356933594</v>
      </c>
      <c r="C2277" s="125">
        <f>IFERROR(yf_data[[#This Row],[Close Price]]/B2276-1,0)</f>
        <v>-2.5799163569319994E-2</v>
      </c>
    </row>
    <row r="2278" spans="1:3" x14ac:dyDescent="0.15">
      <c r="A2278" s="124">
        <v>44090</v>
      </c>
      <c r="B2278" s="126">
        <v>70.790000915527344</v>
      </c>
      <c r="C2278" s="125">
        <f>IFERROR(yf_data[[#This Row],[Close Price]]/B2277-1,0)</f>
        <v>1.8854310525346696E-2</v>
      </c>
    </row>
    <row r="2279" spans="1:3" x14ac:dyDescent="0.15">
      <c r="A2279" s="124">
        <v>44091</v>
      </c>
      <c r="B2279" s="126">
        <v>71.120002746582031</v>
      </c>
      <c r="C2279" s="125">
        <f>IFERROR(yf_data[[#This Row],[Close Price]]/B2278-1,0)</f>
        <v>4.6617011835961009E-3</v>
      </c>
    </row>
    <row r="2280" spans="1:3" x14ac:dyDescent="0.15">
      <c r="A2280" s="124">
        <v>44092</v>
      </c>
      <c r="B2280" s="126">
        <v>68.599998474121094</v>
      </c>
      <c r="C2280" s="125">
        <f>IFERROR(yf_data[[#This Row],[Close Price]]/B2279-1,0)</f>
        <v>-3.5433129571723065E-2</v>
      </c>
    </row>
    <row r="2281" spans="1:3" x14ac:dyDescent="0.15">
      <c r="A2281" s="124">
        <v>44095</v>
      </c>
      <c r="B2281" s="126">
        <v>64.089996337890625</v>
      </c>
      <c r="C2281" s="125">
        <f>IFERROR(yf_data[[#This Row],[Close Price]]/B2280-1,0)</f>
        <v>-6.5743472835962824E-2</v>
      </c>
    </row>
    <row r="2282" spans="1:3" x14ac:dyDescent="0.15">
      <c r="A2282" s="124">
        <v>44096</v>
      </c>
      <c r="B2282" s="126">
        <v>62.369998931884766</v>
      </c>
      <c r="C2282" s="125">
        <f>IFERROR(yf_data[[#This Row],[Close Price]]/B2281-1,0)</f>
        <v>-2.6837221162220315E-2</v>
      </c>
    </row>
    <row r="2283" spans="1:3" x14ac:dyDescent="0.15">
      <c r="A2283" s="124">
        <v>44097</v>
      </c>
      <c r="B2283" s="126">
        <v>61.790000915527344</v>
      </c>
      <c r="C2283" s="125">
        <f>IFERROR(yf_data[[#This Row],[Close Price]]/B2282-1,0)</f>
        <v>-9.2993109874964786E-3</v>
      </c>
    </row>
    <row r="2284" spans="1:3" x14ac:dyDescent="0.15">
      <c r="A2284" s="124">
        <v>44098</v>
      </c>
      <c r="B2284" s="126">
        <v>59.650001525878906</v>
      </c>
      <c r="C2284" s="125">
        <f>IFERROR(yf_data[[#This Row],[Close Price]]/B2283-1,0)</f>
        <v>-3.4633425440048327E-2</v>
      </c>
    </row>
    <row r="2285" spans="1:3" x14ac:dyDescent="0.15">
      <c r="A2285" s="124">
        <v>44099</v>
      </c>
      <c r="B2285" s="126">
        <v>60.020000457763672</v>
      </c>
      <c r="C2285" s="125">
        <f>IFERROR(yf_data[[#This Row],[Close Price]]/B2284-1,0)</f>
        <v>6.2028318930427151E-3</v>
      </c>
    </row>
    <row r="2286" spans="1:3" x14ac:dyDescent="0.15">
      <c r="A2286" s="124">
        <v>44102</v>
      </c>
      <c r="B2286" s="126">
        <v>62.310001373291016</v>
      </c>
      <c r="C2286" s="125">
        <f>IFERROR(yf_data[[#This Row],[Close Price]]/B2285-1,0)</f>
        <v>3.8153963646481825E-2</v>
      </c>
    </row>
    <row r="2287" spans="1:3" x14ac:dyDescent="0.15">
      <c r="A2287" s="124">
        <v>44103</v>
      </c>
      <c r="B2287" s="126">
        <v>62.590000152587891</v>
      </c>
      <c r="C2287" s="125">
        <f>IFERROR(yf_data[[#This Row],[Close Price]]/B2286-1,0)</f>
        <v>4.4936410387705905E-3</v>
      </c>
    </row>
    <row r="2288" spans="1:3" x14ac:dyDescent="0.15">
      <c r="A2288" s="124">
        <v>44104</v>
      </c>
      <c r="B2288" s="126">
        <v>62.069999694824219</v>
      </c>
      <c r="C2288" s="125">
        <f>IFERROR(yf_data[[#This Row],[Close Price]]/B2287-1,0)</f>
        <v>-8.3080437209772651E-3</v>
      </c>
    </row>
    <row r="2289" spans="1:3" x14ac:dyDescent="0.15">
      <c r="A2289" s="124">
        <v>44105</v>
      </c>
      <c r="B2289" s="126">
        <v>64.900001525878906</v>
      </c>
      <c r="C2289" s="125">
        <f>IFERROR(yf_data[[#This Row],[Close Price]]/B2288-1,0)</f>
        <v>4.5593714273703734E-2</v>
      </c>
    </row>
    <row r="2290" spans="1:3" x14ac:dyDescent="0.15">
      <c r="A2290" s="124">
        <v>44106</v>
      </c>
      <c r="B2290" s="126">
        <v>64.620002746582031</v>
      </c>
      <c r="C2290" s="125">
        <f>IFERROR(yf_data[[#This Row],[Close Price]]/B2289-1,0)</f>
        <v>-4.3143108276387787E-3</v>
      </c>
    </row>
    <row r="2291" spans="1:3" x14ac:dyDescent="0.15">
      <c r="A2291" s="124">
        <v>44109</v>
      </c>
      <c r="B2291" s="126">
        <v>65.800003051757812</v>
      </c>
      <c r="C2291" s="125">
        <f>IFERROR(yf_data[[#This Row],[Close Price]]/B2290-1,0)</f>
        <v>1.8260604379782386E-2</v>
      </c>
    </row>
    <row r="2292" spans="1:3" x14ac:dyDescent="0.15">
      <c r="A2292" s="124">
        <v>44110</v>
      </c>
      <c r="B2292" s="126">
        <v>67.769996643066406</v>
      </c>
      <c r="C2292" s="125">
        <f>IFERROR(yf_data[[#This Row],[Close Price]]/B2291-1,0)</f>
        <v>2.9939110941362923E-2</v>
      </c>
    </row>
    <row r="2293" spans="1:3" x14ac:dyDescent="0.15">
      <c r="A2293" s="124">
        <v>44111</v>
      </c>
      <c r="B2293" s="126">
        <v>66.699996948242188</v>
      </c>
      <c r="C2293" s="125">
        <f>IFERROR(yf_data[[#This Row],[Close Price]]/B2292-1,0)</f>
        <v>-1.5788693342567717E-2</v>
      </c>
    </row>
    <row r="2294" spans="1:3" x14ac:dyDescent="0.15">
      <c r="A2294" s="124">
        <v>44112</v>
      </c>
      <c r="B2294" s="126">
        <v>66.919998168945312</v>
      </c>
      <c r="C2294" s="125">
        <f>IFERROR(yf_data[[#This Row],[Close Price]]/B2293-1,0)</f>
        <v>3.2983692768957518E-3</v>
      </c>
    </row>
    <row r="2295" spans="1:3" x14ac:dyDescent="0.15">
      <c r="A2295" s="124">
        <v>44113</v>
      </c>
      <c r="B2295" s="126">
        <v>66.779998779296875</v>
      </c>
      <c r="C2295" s="125">
        <f>IFERROR(yf_data[[#This Row],[Close Price]]/B2294-1,0)</f>
        <v>-2.0920411458320576E-3</v>
      </c>
    </row>
    <row r="2296" spans="1:3" x14ac:dyDescent="0.15">
      <c r="A2296" s="124">
        <v>44116</v>
      </c>
      <c r="B2296" s="126">
        <v>65.989997863769531</v>
      </c>
      <c r="C2296" s="125">
        <f>IFERROR(yf_data[[#This Row],[Close Price]]/B2295-1,0)</f>
        <v>-1.1829903114227935E-2</v>
      </c>
    </row>
    <row r="2297" spans="1:3" x14ac:dyDescent="0.15">
      <c r="A2297" s="124">
        <v>44117</v>
      </c>
      <c r="B2297" s="126">
        <v>63.680000305175781</v>
      </c>
      <c r="C2297" s="125">
        <f>IFERROR(yf_data[[#This Row],[Close Price]]/B2296-1,0)</f>
        <v>-3.5005267970496634E-2</v>
      </c>
    </row>
    <row r="2298" spans="1:3" x14ac:dyDescent="0.15">
      <c r="A2298" s="124">
        <v>44118</v>
      </c>
      <c r="B2298" s="126">
        <v>62.150001525878906</v>
      </c>
      <c r="C2298" s="125">
        <f>IFERROR(yf_data[[#This Row],[Close Price]]/B2297-1,0)</f>
        <v>-2.4026362625072406E-2</v>
      </c>
    </row>
    <row r="2299" spans="1:3" x14ac:dyDescent="0.15">
      <c r="A2299" s="124">
        <v>44119</v>
      </c>
      <c r="B2299" s="126">
        <v>61.790000915527344</v>
      </c>
      <c r="C2299" s="125">
        <f>IFERROR(yf_data[[#This Row],[Close Price]]/B2298-1,0)</f>
        <v>-5.7924473292516598E-3</v>
      </c>
    </row>
    <row r="2300" spans="1:3" x14ac:dyDescent="0.15">
      <c r="A2300" s="124">
        <v>44120</v>
      </c>
      <c r="B2300" s="126">
        <v>64.339996337890625</v>
      </c>
      <c r="C2300" s="125">
        <f>IFERROR(yf_data[[#This Row],[Close Price]]/B2299-1,0)</f>
        <v>4.1268739028655466E-2</v>
      </c>
    </row>
    <row r="2301" spans="1:3" x14ac:dyDescent="0.15">
      <c r="A2301" s="124">
        <v>44123</v>
      </c>
      <c r="B2301" s="126">
        <v>65.720001220703125</v>
      </c>
      <c r="C2301" s="125">
        <f>IFERROR(yf_data[[#This Row],[Close Price]]/B2300-1,0)</f>
        <v>2.1448631665522688E-2</v>
      </c>
    </row>
    <row r="2302" spans="1:3" x14ac:dyDescent="0.15">
      <c r="A2302" s="124">
        <v>44124</v>
      </c>
      <c r="B2302" s="126">
        <v>66.94000244140625</v>
      </c>
      <c r="C2302" s="125">
        <f>IFERROR(yf_data[[#This Row],[Close Price]]/B2301-1,0)</f>
        <v>1.856362139443779E-2</v>
      </c>
    </row>
    <row r="2303" spans="1:3" x14ac:dyDescent="0.15">
      <c r="A2303" s="124">
        <v>44125</v>
      </c>
      <c r="B2303" s="126">
        <v>64.05999755859375</v>
      </c>
      <c r="C2303" s="125">
        <f>IFERROR(yf_data[[#This Row],[Close Price]]/B2302-1,0)</f>
        <v>-4.3023674600750406E-2</v>
      </c>
    </row>
    <row r="2304" spans="1:3" x14ac:dyDescent="0.15">
      <c r="A2304" s="124">
        <v>44126</v>
      </c>
      <c r="B2304" s="126">
        <v>64.449996948242188</v>
      </c>
      <c r="C2304" s="125">
        <f>IFERROR(yf_data[[#This Row],[Close Price]]/B2303-1,0)</f>
        <v>6.0880331644053154E-3</v>
      </c>
    </row>
    <row r="2305" spans="1:3" x14ac:dyDescent="0.15">
      <c r="A2305" s="124">
        <v>44127</v>
      </c>
      <c r="B2305" s="126">
        <v>68.029998779296875</v>
      </c>
      <c r="C2305" s="125">
        <f>IFERROR(yf_data[[#This Row],[Close Price]]/B2304-1,0)</f>
        <v>5.5546966649659746E-2</v>
      </c>
    </row>
    <row r="2306" spans="1:3" x14ac:dyDescent="0.15">
      <c r="A2306" s="124">
        <v>44130</v>
      </c>
      <c r="B2306" s="126">
        <v>65.849998474121094</v>
      </c>
      <c r="C2306" s="125">
        <f>IFERROR(yf_data[[#This Row],[Close Price]]/B2305-1,0)</f>
        <v>-3.2044691228764299E-2</v>
      </c>
    </row>
    <row r="2307" spans="1:3" x14ac:dyDescent="0.15">
      <c r="A2307" s="124">
        <v>44131</v>
      </c>
      <c r="B2307" s="126">
        <v>64</v>
      </c>
      <c r="C2307" s="125">
        <f>IFERROR(yf_data[[#This Row],[Close Price]]/B2306-1,0)</f>
        <v>-2.8094130857848731E-2</v>
      </c>
    </row>
    <row r="2308" spans="1:3" x14ac:dyDescent="0.15">
      <c r="A2308" s="124">
        <v>44132</v>
      </c>
      <c r="B2308" s="126">
        <v>61.770000457763672</v>
      </c>
      <c r="C2308" s="125">
        <f>IFERROR(yf_data[[#This Row],[Close Price]]/B2307-1,0)</f>
        <v>-3.4843742847442627E-2</v>
      </c>
    </row>
    <row r="2309" spans="1:3" x14ac:dyDescent="0.15">
      <c r="A2309" s="124">
        <v>44133</v>
      </c>
      <c r="B2309" s="126">
        <v>61.5</v>
      </c>
      <c r="C2309" s="125">
        <f>IFERROR(yf_data[[#This Row],[Close Price]]/B2308-1,0)</f>
        <v>-4.3710612880485389E-3</v>
      </c>
    </row>
    <row r="2310" spans="1:3" x14ac:dyDescent="0.15">
      <c r="A2310" s="124">
        <v>44134</v>
      </c>
      <c r="B2310" s="126">
        <v>62.590000152587891</v>
      </c>
      <c r="C2310" s="125">
        <f>IFERROR(yf_data[[#This Row],[Close Price]]/B2309-1,0)</f>
        <v>1.7723579716876214E-2</v>
      </c>
    </row>
    <row r="2311" spans="1:3" x14ac:dyDescent="0.15">
      <c r="A2311" s="124">
        <v>44137</v>
      </c>
      <c r="B2311" s="126">
        <v>63.090000152587891</v>
      </c>
      <c r="C2311" s="125">
        <f>IFERROR(yf_data[[#This Row],[Close Price]]/B2310-1,0)</f>
        <v>7.9884965454712908E-3</v>
      </c>
    </row>
    <row r="2312" spans="1:3" x14ac:dyDescent="0.15">
      <c r="A2312" s="124">
        <v>44138</v>
      </c>
      <c r="B2312" s="126">
        <v>66.279998779296875</v>
      </c>
      <c r="C2312" s="125">
        <f>IFERROR(yf_data[[#This Row],[Close Price]]/B2311-1,0)</f>
        <v>5.0562666333709538E-2</v>
      </c>
    </row>
    <row r="2313" spans="1:3" x14ac:dyDescent="0.15">
      <c r="A2313" s="124">
        <v>44139</v>
      </c>
      <c r="B2313" s="126">
        <v>68.580001831054688</v>
      </c>
      <c r="C2313" s="125">
        <f>IFERROR(yf_data[[#This Row],[Close Price]]/B2312-1,0)</f>
        <v>3.4701314033159569E-2</v>
      </c>
    </row>
    <row r="2314" spans="1:3" x14ac:dyDescent="0.15">
      <c r="A2314" s="124">
        <v>44140</v>
      </c>
      <c r="B2314" s="126">
        <v>70.379997253417969</v>
      </c>
      <c r="C2314" s="125">
        <f>IFERROR(yf_data[[#This Row],[Close Price]]/B2313-1,0)</f>
        <v>2.6246651710472912E-2</v>
      </c>
    </row>
    <row r="2315" spans="1:3" x14ac:dyDescent="0.15">
      <c r="A2315" s="124">
        <v>44141</v>
      </c>
      <c r="B2315" s="126">
        <v>70</v>
      </c>
      <c r="C2315" s="125">
        <f>IFERROR(yf_data[[#This Row],[Close Price]]/B2314-1,0)</f>
        <v>-5.3992223394057071E-3</v>
      </c>
    </row>
    <row r="2316" spans="1:3" x14ac:dyDescent="0.15">
      <c r="A2316" s="124">
        <v>44144</v>
      </c>
      <c r="B2316" s="126">
        <v>83</v>
      </c>
      <c r="C2316" s="125">
        <f>IFERROR(yf_data[[#This Row],[Close Price]]/B2315-1,0)</f>
        <v>0.18571428571428572</v>
      </c>
    </row>
    <row r="2317" spans="1:3" x14ac:dyDescent="0.15">
      <c r="A2317" s="124">
        <v>44145</v>
      </c>
      <c r="B2317" s="126">
        <v>87.919998168945312</v>
      </c>
      <c r="C2317" s="125">
        <f>IFERROR(yf_data[[#This Row],[Close Price]]/B2316-1,0)</f>
        <v>5.927708637283513E-2</v>
      </c>
    </row>
    <row r="2318" spans="1:3" x14ac:dyDescent="0.15">
      <c r="A2318" s="124">
        <v>44146</v>
      </c>
      <c r="B2318" s="126">
        <v>87</v>
      </c>
      <c r="C2318" s="125">
        <f>IFERROR(yf_data[[#This Row],[Close Price]]/B2317-1,0)</f>
        <v>-1.0464037626314093E-2</v>
      </c>
    </row>
    <row r="2319" spans="1:3" x14ac:dyDescent="0.15">
      <c r="A2319" s="124">
        <v>44147</v>
      </c>
      <c r="B2319" s="126">
        <v>84.610000610351562</v>
      </c>
      <c r="C2319" s="125">
        <f>IFERROR(yf_data[[#This Row],[Close Price]]/B2318-1,0)</f>
        <v>-2.7471257352280842E-2</v>
      </c>
    </row>
    <row r="2320" spans="1:3" x14ac:dyDescent="0.15">
      <c r="A2320" s="124">
        <v>44148</v>
      </c>
      <c r="B2320" s="126">
        <v>85.55999755859375</v>
      </c>
      <c r="C2320" s="125">
        <f>IFERROR(yf_data[[#This Row],[Close Price]]/B2319-1,0)</f>
        <v>1.1227951086032251E-2</v>
      </c>
    </row>
    <row r="2321" spans="1:3" x14ac:dyDescent="0.15">
      <c r="A2321" s="124">
        <v>44151</v>
      </c>
      <c r="B2321" s="126">
        <v>90</v>
      </c>
      <c r="C2321" s="125">
        <f>IFERROR(yf_data[[#This Row],[Close Price]]/B2320-1,0)</f>
        <v>5.1893438149827276E-2</v>
      </c>
    </row>
    <row r="2322" spans="1:3" x14ac:dyDescent="0.15">
      <c r="A2322" s="124">
        <v>44152</v>
      </c>
      <c r="B2322" s="126">
        <v>90.089996337890625</v>
      </c>
      <c r="C2322" s="125">
        <f>IFERROR(yf_data[[#This Row],[Close Price]]/B2321-1,0)</f>
        <v>9.9995930989593695E-4</v>
      </c>
    </row>
    <row r="2323" spans="1:3" x14ac:dyDescent="0.15">
      <c r="A2323" s="124">
        <v>44153</v>
      </c>
      <c r="B2323" s="126">
        <v>90</v>
      </c>
      <c r="C2323" s="125">
        <f>IFERROR(yf_data[[#This Row],[Close Price]]/B2322-1,0)</f>
        <v>-9.9896039015345828E-4</v>
      </c>
    </row>
    <row r="2324" spans="1:3" x14ac:dyDescent="0.15">
      <c r="A2324" s="124">
        <v>44154</v>
      </c>
      <c r="B2324" s="126">
        <v>89.330001831054688</v>
      </c>
      <c r="C2324" s="125">
        <f>IFERROR(yf_data[[#This Row],[Close Price]]/B2323-1,0)</f>
        <v>-7.4444240993923882E-3</v>
      </c>
    </row>
    <row r="2325" spans="1:3" x14ac:dyDescent="0.15">
      <c r="A2325" s="124">
        <v>44155</v>
      </c>
      <c r="B2325" s="126">
        <v>88.639999389648438</v>
      </c>
      <c r="C2325" s="125">
        <f>IFERROR(yf_data[[#This Row],[Close Price]]/B2324-1,0)</f>
        <v>-7.7241959841355401E-3</v>
      </c>
    </row>
    <row r="2326" spans="1:3" x14ac:dyDescent="0.15">
      <c r="A2326" s="124">
        <v>44158</v>
      </c>
      <c r="B2326" s="126">
        <v>90.139999389648438</v>
      </c>
      <c r="C2326" s="125">
        <f>IFERROR(yf_data[[#This Row],[Close Price]]/B2325-1,0)</f>
        <v>1.6922382788003176E-2</v>
      </c>
    </row>
    <row r="2327" spans="1:3" x14ac:dyDescent="0.15">
      <c r="A2327" s="124">
        <v>44159</v>
      </c>
      <c r="B2327" s="126">
        <v>93.5</v>
      </c>
      <c r="C2327" s="125">
        <f>IFERROR(yf_data[[#This Row],[Close Price]]/B2326-1,0)</f>
        <v>3.7275356479949284E-2</v>
      </c>
    </row>
    <row r="2328" spans="1:3" x14ac:dyDescent="0.15">
      <c r="A2328" s="124">
        <v>44160</v>
      </c>
      <c r="B2328" s="126">
        <v>91.5</v>
      </c>
      <c r="C2328" s="125">
        <f>IFERROR(yf_data[[#This Row],[Close Price]]/B2327-1,0)</f>
        <v>-2.1390374331550777E-2</v>
      </c>
    </row>
    <row r="2329" spans="1:3" x14ac:dyDescent="0.15">
      <c r="A2329" s="124">
        <v>44161</v>
      </c>
      <c r="B2329" s="126">
        <v>89.800003051757812</v>
      </c>
      <c r="C2329" s="125">
        <f>IFERROR(yf_data[[#This Row],[Close Price]]/B2328-1,0)</f>
        <v>-1.8579201620133157E-2</v>
      </c>
    </row>
    <row r="2330" spans="1:3" x14ac:dyDescent="0.15">
      <c r="A2330" s="124">
        <v>44162</v>
      </c>
      <c r="B2330" s="126">
        <v>90</v>
      </c>
      <c r="C2330" s="125">
        <f>IFERROR(yf_data[[#This Row],[Close Price]]/B2329-1,0)</f>
        <v>2.2271374325779636E-3</v>
      </c>
    </row>
    <row r="2331" spans="1:3" x14ac:dyDescent="0.15">
      <c r="A2331" s="124">
        <v>44165</v>
      </c>
      <c r="B2331" s="126">
        <v>87.730003356933594</v>
      </c>
      <c r="C2331" s="125">
        <f>IFERROR(yf_data[[#This Row],[Close Price]]/B2330-1,0)</f>
        <v>-2.5222184922960023E-2</v>
      </c>
    </row>
    <row r="2332" spans="1:3" x14ac:dyDescent="0.15">
      <c r="A2332" s="124">
        <v>44166</v>
      </c>
      <c r="B2332" s="126">
        <v>89.400001525878906</v>
      </c>
      <c r="C2332" s="125">
        <f>IFERROR(yf_data[[#This Row],[Close Price]]/B2331-1,0)</f>
        <v>1.903565604746249E-2</v>
      </c>
    </row>
    <row r="2333" spans="1:3" x14ac:dyDescent="0.15">
      <c r="A2333" s="124">
        <v>44167</v>
      </c>
      <c r="B2333" s="126">
        <v>91.319999694824219</v>
      </c>
      <c r="C2333" s="125">
        <f>IFERROR(yf_data[[#This Row],[Close Price]]/B2332-1,0)</f>
        <v>2.1476489218957395E-2</v>
      </c>
    </row>
    <row r="2334" spans="1:3" x14ac:dyDescent="0.15">
      <c r="A2334" s="124">
        <v>44168</v>
      </c>
      <c r="B2334" s="126">
        <v>95</v>
      </c>
      <c r="C2334" s="125">
        <f>IFERROR(yf_data[[#This Row],[Close Price]]/B2333-1,0)</f>
        <v>4.0297857177767238E-2</v>
      </c>
    </row>
    <row r="2335" spans="1:3" x14ac:dyDescent="0.15">
      <c r="A2335" s="124">
        <v>44169</v>
      </c>
      <c r="B2335" s="126">
        <v>96.239997863769517</v>
      </c>
      <c r="C2335" s="125">
        <f>IFERROR(yf_data[[#This Row],[Close Price]]/B2334-1,0)</f>
        <v>1.3052609092310652E-2</v>
      </c>
    </row>
    <row r="2336" spans="1:3" x14ac:dyDescent="0.15">
      <c r="A2336" s="124">
        <v>44172</v>
      </c>
      <c r="B2336" s="126">
        <v>95.209999084472656</v>
      </c>
      <c r="C2336" s="125">
        <f>IFERROR(yf_data[[#This Row],[Close Price]]/B2335-1,0)</f>
        <v>-1.0702398193678797E-2</v>
      </c>
    </row>
    <row r="2337" spans="1:3" x14ac:dyDescent="0.15">
      <c r="A2337" s="124">
        <v>44173</v>
      </c>
      <c r="B2337" s="126">
        <v>94.730003356933594</v>
      </c>
      <c r="C2337" s="125">
        <f>IFERROR(yf_data[[#This Row],[Close Price]]/B2336-1,0)</f>
        <v>-5.0414424131356439E-3</v>
      </c>
    </row>
    <row r="2338" spans="1:3" x14ac:dyDescent="0.15">
      <c r="A2338" s="124">
        <v>44174</v>
      </c>
      <c r="B2338" s="126">
        <v>93.589996337890625</v>
      </c>
      <c r="C2338" s="125">
        <f>IFERROR(yf_data[[#This Row],[Close Price]]/B2337-1,0)</f>
        <v>-1.203427613897079E-2</v>
      </c>
    </row>
    <row r="2339" spans="1:3" x14ac:dyDescent="0.15">
      <c r="A2339" s="124">
        <v>44175</v>
      </c>
      <c r="B2339" s="126">
        <v>93.720001220703125</v>
      </c>
      <c r="C2339" s="125">
        <f>IFERROR(yf_data[[#This Row],[Close Price]]/B2338-1,0)</f>
        <v>1.3890895170369788E-3</v>
      </c>
    </row>
    <row r="2340" spans="1:3" x14ac:dyDescent="0.15">
      <c r="A2340" s="124">
        <v>44176</v>
      </c>
      <c r="B2340" s="126">
        <v>92.190002441406236</v>
      </c>
      <c r="C2340" s="125">
        <f>IFERROR(yf_data[[#This Row],[Close Price]]/B2339-1,0)</f>
        <v>-1.6325210834065906E-2</v>
      </c>
    </row>
    <row r="2341" spans="1:3" x14ac:dyDescent="0.15">
      <c r="A2341" s="124">
        <v>44179</v>
      </c>
      <c r="B2341" s="126">
        <v>92.050003051757798</v>
      </c>
      <c r="C2341" s="125">
        <f>IFERROR(yf_data[[#This Row],[Close Price]]/B2340-1,0)</f>
        <v>-1.5185962245463092E-3</v>
      </c>
    </row>
    <row r="2342" spans="1:3" x14ac:dyDescent="0.15">
      <c r="A2342" s="124">
        <v>44180</v>
      </c>
      <c r="B2342" s="126">
        <v>91.370002746582045</v>
      </c>
      <c r="C2342" s="125">
        <f>IFERROR(yf_data[[#This Row],[Close Price]]/B2341-1,0)</f>
        <v>-7.3872925869801209E-3</v>
      </c>
    </row>
    <row r="2343" spans="1:3" x14ac:dyDescent="0.15">
      <c r="A2343" s="124">
        <v>44181</v>
      </c>
      <c r="B2343" s="126">
        <v>90.709999084472656</v>
      </c>
      <c r="C2343" s="125">
        <f>IFERROR(yf_data[[#This Row],[Close Price]]/B2342-1,0)</f>
        <v>-7.223417339057514E-3</v>
      </c>
    </row>
    <row r="2344" spans="1:3" x14ac:dyDescent="0.15">
      <c r="A2344" s="124">
        <v>44182</v>
      </c>
      <c r="B2344" s="126">
        <v>90.379997253417955</v>
      </c>
      <c r="C2344" s="125">
        <f>IFERROR(yf_data[[#This Row],[Close Price]]/B2343-1,0)</f>
        <v>-3.637987370580742E-3</v>
      </c>
    </row>
    <row r="2345" spans="1:3" x14ac:dyDescent="0.15">
      <c r="A2345" s="124">
        <v>44183</v>
      </c>
      <c r="B2345" s="126">
        <v>89</v>
      </c>
      <c r="C2345" s="125">
        <f>IFERROR(yf_data[[#This Row],[Close Price]]/B2344-1,0)</f>
        <v>-1.5268834867836478E-2</v>
      </c>
    </row>
    <row r="2346" spans="1:3" x14ac:dyDescent="0.15">
      <c r="A2346" s="124">
        <v>44186</v>
      </c>
      <c r="B2346" s="126">
        <v>86.540000915527344</v>
      </c>
      <c r="C2346" s="125">
        <f>IFERROR(yf_data[[#This Row],[Close Price]]/B2345-1,0)</f>
        <v>-2.7640439151378149E-2</v>
      </c>
    </row>
    <row r="2347" spans="1:3" x14ac:dyDescent="0.15">
      <c r="A2347" s="124">
        <v>44187</v>
      </c>
      <c r="B2347" s="126">
        <v>87.94000244140625</v>
      </c>
      <c r="C2347" s="125">
        <f>IFERROR(yf_data[[#This Row],[Close Price]]/B2346-1,0)</f>
        <v>1.6177507638871713E-2</v>
      </c>
    </row>
    <row r="2348" spans="1:3" x14ac:dyDescent="0.15">
      <c r="A2348" s="124">
        <v>44188</v>
      </c>
      <c r="B2348" s="126">
        <v>91.949996948242202</v>
      </c>
      <c r="C2348" s="125">
        <f>IFERROR(yf_data[[#This Row],[Close Price]]/B2347-1,0)</f>
        <v>4.5599208500224586E-2</v>
      </c>
    </row>
    <row r="2349" spans="1:3" x14ac:dyDescent="0.15">
      <c r="A2349" s="124">
        <v>44189</v>
      </c>
      <c r="B2349" s="126">
        <v>92.040000915527344</v>
      </c>
      <c r="C2349" s="125">
        <f>IFERROR(yf_data[[#This Row],[Close Price]]/B2348-1,0)</f>
        <v>9.7883600078652044E-4</v>
      </c>
    </row>
    <row r="2350" spans="1:3" x14ac:dyDescent="0.15">
      <c r="A2350" s="124">
        <v>44193</v>
      </c>
      <c r="B2350" s="126">
        <v>91.980003356933594</v>
      </c>
      <c r="C2350" s="125">
        <f>IFERROR(yf_data[[#This Row],[Close Price]]/B2349-1,0)</f>
        <v>-6.5186395042315937E-4</v>
      </c>
    </row>
    <row r="2351" spans="1:3" x14ac:dyDescent="0.15">
      <c r="A2351" s="124">
        <v>44194</v>
      </c>
      <c r="B2351" s="126">
        <v>93.069999694824219</v>
      </c>
      <c r="C2351" s="125">
        <f>IFERROR(yf_data[[#This Row],[Close Price]]/B2350-1,0)</f>
        <v>1.1850362014674376E-2</v>
      </c>
    </row>
    <row r="2352" spans="1:3" x14ac:dyDescent="0.15">
      <c r="A2352" s="124">
        <v>44195</v>
      </c>
      <c r="B2352" s="126">
        <v>91.25</v>
      </c>
      <c r="C2352" s="125">
        <f>IFERROR(yf_data[[#This Row],[Close Price]]/B2351-1,0)</f>
        <v>-1.9555170310432857E-2</v>
      </c>
    </row>
    <row r="2353" spans="1:3" x14ac:dyDescent="0.15">
      <c r="A2353" s="124">
        <v>44196</v>
      </c>
      <c r="B2353" s="126">
        <v>89.779998779296875</v>
      </c>
      <c r="C2353" s="125">
        <f>IFERROR(yf_data[[#This Row],[Close Price]]/B2352-1,0)</f>
        <v>-1.6109602418664437E-2</v>
      </c>
    </row>
    <row r="2354" spans="1:3" x14ac:dyDescent="0.15">
      <c r="A2354" s="124">
        <v>44200</v>
      </c>
      <c r="B2354" s="126">
        <v>89.889999389648438</v>
      </c>
      <c r="C2354" s="125">
        <f>IFERROR(yf_data[[#This Row],[Close Price]]/B2353-1,0)</f>
        <v>1.2252240125552039E-3</v>
      </c>
    </row>
    <row r="2355" spans="1:3" x14ac:dyDescent="0.15">
      <c r="A2355" s="124">
        <v>44201</v>
      </c>
      <c r="B2355" s="126">
        <v>89.830001831054688</v>
      </c>
      <c r="C2355" s="125">
        <f>IFERROR(yf_data[[#This Row],[Close Price]]/B2354-1,0)</f>
        <v>-6.6745532318535084E-4</v>
      </c>
    </row>
    <row r="2356" spans="1:3" x14ac:dyDescent="0.15">
      <c r="A2356" s="124">
        <v>44202</v>
      </c>
      <c r="B2356" s="126">
        <v>90.169998168945327</v>
      </c>
      <c r="C2356" s="125">
        <f>IFERROR(yf_data[[#This Row],[Close Price]]/B2355-1,0)</f>
        <v>3.7848862402349859E-3</v>
      </c>
    </row>
    <row r="2357" spans="1:3" x14ac:dyDescent="0.15">
      <c r="A2357" s="124">
        <v>44203</v>
      </c>
      <c r="B2357" s="126">
        <v>89.620002746582031</v>
      </c>
      <c r="C2357" s="125">
        <f>IFERROR(yf_data[[#This Row],[Close Price]]/B2356-1,0)</f>
        <v>-6.0995390210921707E-3</v>
      </c>
    </row>
    <row r="2358" spans="1:3" x14ac:dyDescent="0.15">
      <c r="A2358" s="124">
        <v>44204</v>
      </c>
      <c r="B2358" s="126">
        <v>90.099998474121094</v>
      </c>
      <c r="C2358" s="125">
        <f>IFERROR(yf_data[[#This Row],[Close Price]]/B2357-1,0)</f>
        <v>5.3558994959679307E-3</v>
      </c>
    </row>
    <row r="2359" spans="1:3" x14ac:dyDescent="0.15">
      <c r="A2359" s="124">
        <v>44207</v>
      </c>
      <c r="B2359" s="126">
        <v>89.779998779296875</v>
      </c>
      <c r="C2359" s="125">
        <f>IFERROR(yf_data[[#This Row],[Close Price]]/B2358-1,0)</f>
        <v>-3.5516059960437607E-3</v>
      </c>
    </row>
    <row r="2360" spans="1:3" x14ac:dyDescent="0.15">
      <c r="A2360" s="124">
        <v>44208</v>
      </c>
      <c r="B2360" s="126">
        <v>89.959999084472656</v>
      </c>
      <c r="C2360" s="125">
        <f>IFERROR(yf_data[[#This Row],[Close Price]]/B2359-1,0)</f>
        <v>2.0049042952012819E-3</v>
      </c>
    </row>
    <row r="2361" spans="1:3" x14ac:dyDescent="0.15">
      <c r="A2361" s="124">
        <v>44209</v>
      </c>
      <c r="B2361" s="126">
        <v>89.110000610351562</v>
      </c>
      <c r="C2361" s="125">
        <f>IFERROR(yf_data[[#This Row],[Close Price]]/B2360-1,0)</f>
        <v>-9.4486269761179242E-3</v>
      </c>
    </row>
    <row r="2362" spans="1:3" x14ac:dyDescent="0.15">
      <c r="A2362" s="124">
        <v>44210</v>
      </c>
      <c r="B2362" s="126">
        <v>93.25</v>
      </c>
      <c r="C2362" s="125">
        <f>IFERROR(yf_data[[#This Row],[Close Price]]/B2361-1,0)</f>
        <v>4.6459424994858667E-2</v>
      </c>
    </row>
    <row r="2363" spans="1:3" x14ac:dyDescent="0.15">
      <c r="A2363" s="124">
        <v>44211</v>
      </c>
      <c r="B2363" s="126">
        <v>92.550003051757798</v>
      </c>
      <c r="C2363" s="125">
        <f>IFERROR(yf_data[[#This Row],[Close Price]]/B2362-1,0)</f>
        <v>-7.5066696862434723E-3</v>
      </c>
    </row>
    <row r="2364" spans="1:3" x14ac:dyDescent="0.15">
      <c r="A2364" s="124">
        <v>44214</v>
      </c>
      <c r="B2364" s="126">
        <v>91.190002441406236</v>
      </c>
      <c r="C2364" s="125">
        <f>IFERROR(yf_data[[#This Row],[Close Price]]/B2363-1,0)</f>
        <v>-1.469476569969419E-2</v>
      </c>
    </row>
    <row r="2365" spans="1:3" x14ac:dyDescent="0.15">
      <c r="A2365" s="124">
        <v>44215</v>
      </c>
      <c r="B2365" s="126">
        <v>91.300003051757798</v>
      </c>
      <c r="C2365" s="125">
        <f>IFERROR(yf_data[[#This Row],[Close Price]]/B2364-1,0)</f>
        <v>1.2062792785014764E-3</v>
      </c>
    </row>
    <row r="2366" spans="1:3" x14ac:dyDescent="0.15">
      <c r="A2366" s="124">
        <v>44216</v>
      </c>
      <c r="B2366" s="126">
        <v>92.410003662109375</v>
      </c>
      <c r="C2366" s="125">
        <f>IFERROR(yf_data[[#This Row],[Close Price]]/B2365-1,0)</f>
        <v>1.2157728075017804E-2</v>
      </c>
    </row>
    <row r="2367" spans="1:3" x14ac:dyDescent="0.15">
      <c r="A2367" s="124">
        <v>44217</v>
      </c>
      <c r="B2367" s="126">
        <v>89.360000610351562</v>
      </c>
      <c r="C2367" s="125">
        <f>IFERROR(yf_data[[#This Row],[Close Price]]/B2366-1,0)</f>
        <v>-3.3005117745800949E-2</v>
      </c>
    </row>
    <row r="2368" spans="1:3" x14ac:dyDescent="0.15">
      <c r="A2368" s="124">
        <v>44218</v>
      </c>
      <c r="B2368" s="126">
        <v>88.830001831054688</v>
      </c>
      <c r="C2368" s="125">
        <f>IFERROR(yf_data[[#This Row],[Close Price]]/B2367-1,0)</f>
        <v>-5.9310516526057677E-3</v>
      </c>
    </row>
    <row r="2369" spans="1:3" x14ac:dyDescent="0.15">
      <c r="A2369" s="124">
        <v>44221</v>
      </c>
      <c r="B2369" s="126">
        <v>84.870002746582031</v>
      </c>
      <c r="C2369" s="125">
        <f>IFERROR(yf_data[[#This Row],[Close Price]]/B2368-1,0)</f>
        <v>-4.4579522715806785E-2</v>
      </c>
    </row>
    <row r="2370" spans="1:3" x14ac:dyDescent="0.15">
      <c r="A2370" s="124">
        <v>44222</v>
      </c>
      <c r="B2370" s="126">
        <v>85.290000915527344</v>
      </c>
      <c r="C2370" s="125">
        <f>IFERROR(yf_data[[#This Row],[Close Price]]/B2369-1,0)</f>
        <v>4.9487234046570183E-3</v>
      </c>
    </row>
    <row r="2371" spans="1:3" x14ac:dyDescent="0.15">
      <c r="A2371" s="124">
        <v>44223</v>
      </c>
      <c r="B2371" s="126">
        <v>84.360000610351562</v>
      </c>
      <c r="C2371" s="125">
        <f>IFERROR(yf_data[[#This Row],[Close Price]]/B2370-1,0)</f>
        <v>-1.0903978135688774E-2</v>
      </c>
    </row>
    <row r="2372" spans="1:3" x14ac:dyDescent="0.15">
      <c r="A2372" s="124">
        <v>44224</v>
      </c>
      <c r="B2372" s="126">
        <v>85.150001525878906</v>
      </c>
      <c r="C2372" s="125">
        <f>IFERROR(yf_data[[#This Row],[Close Price]]/B2371-1,0)</f>
        <v>9.3646385705503654E-3</v>
      </c>
    </row>
    <row r="2373" spans="1:3" x14ac:dyDescent="0.15">
      <c r="A2373" s="124">
        <v>44225</v>
      </c>
      <c r="B2373" s="126">
        <v>83.199996948242188</v>
      </c>
      <c r="C2373" s="125">
        <f>IFERROR(yf_data[[#This Row],[Close Price]]/B2372-1,0)</f>
        <v>-2.2900816708078087E-2</v>
      </c>
    </row>
    <row r="2374" spans="1:3" x14ac:dyDescent="0.15">
      <c r="A2374" s="124">
        <v>44228</v>
      </c>
      <c r="B2374" s="126">
        <v>83.110000610351562</v>
      </c>
      <c r="C2374" s="125">
        <f>IFERROR(yf_data[[#This Row],[Close Price]]/B2373-1,0)</f>
        <v>-1.0816867931691121E-3</v>
      </c>
    </row>
    <row r="2375" spans="1:3" x14ac:dyDescent="0.15">
      <c r="A2375" s="124">
        <v>44229</v>
      </c>
      <c r="B2375" s="126">
        <v>88.589996337890625</v>
      </c>
      <c r="C2375" s="125">
        <f>IFERROR(yf_data[[#This Row],[Close Price]]/B2374-1,0)</f>
        <v>6.5936658492293576E-2</v>
      </c>
    </row>
    <row r="2376" spans="1:3" x14ac:dyDescent="0.15">
      <c r="A2376" s="124">
        <v>44230</v>
      </c>
      <c r="B2376" s="126">
        <v>89.80999755859375</v>
      </c>
      <c r="C2376" s="125">
        <f>IFERROR(yf_data[[#This Row],[Close Price]]/B2375-1,0)</f>
        <v>1.3771320364998285E-2</v>
      </c>
    </row>
    <row r="2377" spans="1:3" x14ac:dyDescent="0.15">
      <c r="A2377" s="124">
        <v>44231</v>
      </c>
      <c r="B2377" s="126">
        <v>93.099998474121094</v>
      </c>
      <c r="C2377" s="125">
        <f>IFERROR(yf_data[[#This Row],[Close Price]]/B2376-1,0)</f>
        <v>3.6632902850051607E-2</v>
      </c>
    </row>
    <row r="2378" spans="1:3" x14ac:dyDescent="0.15">
      <c r="A2378" s="124">
        <v>44232</v>
      </c>
      <c r="B2378" s="126">
        <v>93.419998168945327</v>
      </c>
      <c r="C2378" s="125">
        <f>IFERROR(yf_data[[#This Row],[Close Price]]/B2377-1,0)</f>
        <v>3.4371611178187766E-3</v>
      </c>
    </row>
    <row r="2379" spans="1:3" x14ac:dyDescent="0.15">
      <c r="A2379" s="124">
        <v>44235</v>
      </c>
      <c r="B2379" s="126">
        <v>93.870002746582045</v>
      </c>
      <c r="C2379" s="125">
        <f>IFERROR(yf_data[[#This Row],[Close Price]]/B2378-1,0)</f>
        <v>4.8170047790292436E-3</v>
      </c>
    </row>
    <row r="2380" spans="1:3" x14ac:dyDescent="0.15">
      <c r="A2380" s="124">
        <v>44236</v>
      </c>
      <c r="B2380" s="126">
        <v>92.470001220703125</v>
      </c>
      <c r="C2380" s="125">
        <f>IFERROR(yf_data[[#This Row],[Close Price]]/B2379-1,0)</f>
        <v>-1.4914258921015056E-2</v>
      </c>
    </row>
    <row r="2381" spans="1:3" x14ac:dyDescent="0.15">
      <c r="A2381" s="124">
        <v>44237</v>
      </c>
      <c r="B2381" s="126">
        <v>91.690002441406236</v>
      </c>
      <c r="C2381" s="125">
        <f>IFERROR(yf_data[[#This Row],[Close Price]]/B2380-1,0)</f>
        <v>-8.4351548502223928E-3</v>
      </c>
    </row>
    <row r="2382" spans="1:3" x14ac:dyDescent="0.15">
      <c r="A2382" s="124">
        <v>44238</v>
      </c>
      <c r="B2382" s="126">
        <v>91.220001220703125</v>
      </c>
      <c r="C2382" s="125">
        <f>IFERROR(yf_data[[#This Row],[Close Price]]/B2381-1,0)</f>
        <v>-5.1259811123187671E-3</v>
      </c>
    </row>
    <row r="2383" spans="1:3" x14ac:dyDescent="0.15">
      <c r="A2383" s="124">
        <v>44239</v>
      </c>
      <c r="B2383" s="126">
        <v>92.209999084472656</v>
      </c>
      <c r="C2383" s="125">
        <f>IFERROR(yf_data[[#This Row],[Close Price]]/B2382-1,0)</f>
        <v>1.0852859575985585E-2</v>
      </c>
    </row>
    <row r="2384" spans="1:3" x14ac:dyDescent="0.15">
      <c r="A2384" s="124">
        <v>44242</v>
      </c>
      <c r="B2384" s="126">
        <v>93.669998168945327</v>
      </c>
      <c r="C2384" s="125">
        <f>IFERROR(yf_data[[#This Row],[Close Price]]/B2383-1,0)</f>
        <v>1.5833413935241181E-2</v>
      </c>
    </row>
    <row r="2385" spans="1:3" x14ac:dyDescent="0.15">
      <c r="A2385" s="124">
        <v>44243</v>
      </c>
      <c r="B2385" s="126">
        <v>93.800003051757798</v>
      </c>
      <c r="C2385" s="125">
        <f>IFERROR(yf_data[[#This Row],[Close Price]]/B2384-1,0)</f>
        <v>1.3879031211039283E-3</v>
      </c>
    </row>
    <row r="2386" spans="1:3" x14ac:dyDescent="0.15">
      <c r="A2386" s="124">
        <v>44244</v>
      </c>
      <c r="B2386" s="126">
        <v>93.900001525878906</v>
      </c>
      <c r="C2386" s="125">
        <f>IFERROR(yf_data[[#This Row],[Close Price]]/B2385-1,0)</f>
        <v>1.0660817789731603E-3</v>
      </c>
    </row>
    <row r="2387" spans="1:3" x14ac:dyDescent="0.15">
      <c r="A2387" s="124">
        <v>44245</v>
      </c>
      <c r="B2387" s="126">
        <v>91.290000915527344</v>
      </c>
      <c r="C2387" s="125">
        <f>IFERROR(yf_data[[#This Row],[Close Price]]/B2386-1,0)</f>
        <v>-2.779553320488759E-2</v>
      </c>
    </row>
    <row r="2388" spans="1:3" x14ac:dyDescent="0.15">
      <c r="A2388" s="124">
        <v>44246</v>
      </c>
      <c r="B2388" s="126">
        <v>91.769996643066406</v>
      </c>
      <c r="C2388" s="125">
        <f>IFERROR(yf_data[[#This Row],[Close Price]]/B2387-1,0)</f>
        <v>5.2579222557267435E-3</v>
      </c>
    </row>
    <row r="2389" spans="1:3" x14ac:dyDescent="0.15">
      <c r="A2389" s="124">
        <v>44249</v>
      </c>
      <c r="B2389" s="126">
        <v>95.800003051757798</v>
      </c>
      <c r="C2389" s="125">
        <f>IFERROR(yf_data[[#This Row],[Close Price]]/B2388-1,0)</f>
        <v>4.3914204599634576E-2</v>
      </c>
    </row>
    <row r="2390" spans="1:3" x14ac:dyDescent="0.15">
      <c r="A2390" s="124">
        <v>44250</v>
      </c>
      <c r="B2390" s="126">
        <v>98.949996948242202</v>
      </c>
      <c r="C2390" s="125">
        <f>IFERROR(yf_data[[#This Row],[Close Price]]/B2389-1,0)</f>
        <v>3.2880937329224924E-2</v>
      </c>
    </row>
    <row r="2391" spans="1:3" x14ac:dyDescent="0.15">
      <c r="A2391" s="124">
        <v>44251</v>
      </c>
      <c r="B2391" s="126">
        <v>102.72000122070312</v>
      </c>
      <c r="C2391" s="125">
        <f>IFERROR(yf_data[[#This Row],[Close Price]]/B2390-1,0)</f>
        <v>3.8100094883609659E-2</v>
      </c>
    </row>
    <row r="2392" spans="1:3" x14ac:dyDescent="0.15">
      <c r="A2392" s="124">
        <v>44252</v>
      </c>
      <c r="B2392" s="126">
        <v>98.930000305175781</v>
      </c>
      <c r="C2392" s="125">
        <f>IFERROR(yf_data[[#This Row],[Close Price]]/B2391-1,0)</f>
        <v>-3.6896425919857534E-2</v>
      </c>
    </row>
    <row r="2393" spans="1:3" x14ac:dyDescent="0.15">
      <c r="A2393" s="124">
        <v>44253</v>
      </c>
      <c r="B2393" s="126">
        <v>95.910003662109375</v>
      </c>
      <c r="C2393" s="125">
        <f>IFERROR(yf_data[[#This Row],[Close Price]]/B2392-1,0)</f>
        <v>-3.0526600967860418E-2</v>
      </c>
    </row>
    <row r="2394" spans="1:3" x14ac:dyDescent="0.15">
      <c r="A2394" s="124">
        <v>44256</v>
      </c>
      <c r="B2394" s="126">
        <v>100.68000030517578</v>
      </c>
      <c r="C2394" s="125">
        <f>IFERROR(yf_data[[#This Row],[Close Price]]/B2393-1,0)</f>
        <v>4.9734088843027102E-2</v>
      </c>
    </row>
    <row r="2395" spans="1:3" x14ac:dyDescent="0.15">
      <c r="A2395" s="124">
        <v>44257</v>
      </c>
      <c r="B2395" s="126">
        <v>99.099998474121094</v>
      </c>
      <c r="C2395" s="125">
        <f>IFERROR(yf_data[[#This Row],[Close Price]]/B2394-1,0)</f>
        <v>-1.56933037968362E-2</v>
      </c>
    </row>
    <row r="2396" spans="1:3" x14ac:dyDescent="0.15">
      <c r="A2396" s="124">
        <v>44258</v>
      </c>
      <c r="B2396" s="126">
        <v>100.45999908447266</v>
      </c>
      <c r="C2396" s="125">
        <f>IFERROR(yf_data[[#This Row],[Close Price]]/B2395-1,0)</f>
        <v>1.3723517974692179E-2</v>
      </c>
    </row>
    <row r="2397" spans="1:3" x14ac:dyDescent="0.15">
      <c r="A2397" s="124">
        <v>44259</v>
      </c>
      <c r="B2397" s="126">
        <v>100.3000030517578</v>
      </c>
      <c r="C2397" s="125">
        <f>IFERROR(yf_data[[#This Row],[Close Price]]/B2396-1,0)</f>
        <v>-1.5926342242977842E-3</v>
      </c>
    </row>
    <row r="2398" spans="1:3" x14ac:dyDescent="0.15">
      <c r="A2398" s="124">
        <v>44260</v>
      </c>
      <c r="B2398" s="126">
        <v>95.419998168945327</v>
      </c>
      <c r="C2398" s="125">
        <f>IFERROR(yf_data[[#This Row],[Close Price]]/B2397-1,0)</f>
        <v>-4.8654085088055687E-2</v>
      </c>
    </row>
    <row r="2399" spans="1:3" x14ac:dyDescent="0.15">
      <c r="A2399" s="124">
        <v>44263</v>
      </c>
      <c r="B2399" s="126">
        <v>100.51999664306641</v>
      </c>
      <c r="C2399" s="125">
        <f>IFERROR(yf_data[[#This Row],[Close Price]]/B2398-1,0)</f>
        <v>5.3447899517785613E-2</v>
      </c>
    </row>
    <row r="2400" spans="1:3" x14ac:dyDescent="0.15">
      <c r="A2400" s="124">
        <v>44264</v>
      </c>
      <c r="B2400" s="126">
        <v>100.26000213623048</v>
      </c>
      <c r="C2400" s="125">
        <f>IFERROR(yf_data[[#This Row],[Close Price]]/B2399-1,0)</f>
        <v>-2.5864953792142931E-3</v>
      </c>
    </row>
    <row r="2401" spans="1:3" x14ac:dyDescent="0.15">
      <c r="A2401" s="124">
        <v>44265</v>
      </c>
      <c r="B2401" s="126">
        <v>98.989997863769517</v>
      </c>
      <c r="C2401" s="125">
        <f>IFERROR(yf_data[[#This Row],[Close Price]]/B2400-1,0)</f>
        <v>-1.2667107973280523E-2</v>
      </c>
    </row>
    <row r="2402" spans="1:3" x14ac:dyDescent="0.15">
      <c r="A2402" s="124">
        <v>44266</v>
      </c>
      <c r="B2402" s="126">
        <v>99.129997253417955</v>
      </c>
      <c r="C2402" s="125">
        <f>IFERROR(yf_data[[#This Row],[Close Price]]/B2401-1,0)</f>
        <v>1.4142781358688072E-3</v>
      </c>
    </row>
    <row r="2403" spans="1:3" x14ac:dyDescent="0.15">
      <c r="A2403" s="124">
        <v>44267</v>
      </c>
      <c r="B2403" s="126">
        <v>100</v>
      </c>
      <c r="C2403" s="125">
        <f>IFERROR(yf_data[[#This Row],[Close Price]]/B2402-1,0)</f>
        <v>8.7763822322919349E-3</v>
      </c>
    </row>
    <row r="2404" spans="1:3" x14ac:dyDescent="0.15">
      <c r="A2404" s="124">
        <v>44270</v>
      </c>
      <c r="B2404" s="126">
        <v>100</v>
      </c>
      <c r="C2404" s="125">
        <f>IFERROR(yf_data[[#This Row],[Close Price]]/B2403-1,0)</f>
        <v>0</v>
      </c>
    </row>
    <row r="2405" spans="1:3" x14ac:dyDescent="0.15">
      <c r="A2405" s="124">
        <v>44271</v>
      </c>
      <c r="B2405" s="126">
        <v>101.77999877929688</v>
      </c>
      <c r="C2405" s="125">
        <f>IFERROR(yf_data[[#This Row],[Close Price]]/B2404-1,0)</f>
        <v>1.7799987792968652E-2</v>
      </c>
    </row>
    <row r="2406" spans="1:3" x14ac:dyDescent="0.15">
      <c r="A2406" s="124">
        <v>44272</v>
      </c>
      <c r="B2406" s="126">
        <v>101</v>
      </c>
      <c r="C2406" s="125">
        <f>IFERROR(yf_data[[#This Row],[Close Price]]/B2405-1,0)</f>
        <v>-7.6635762296308751E-3</v>
      </c>
    </row>
    <row r="2407" spans="1:3" x14ac:dyDescent="0.15">
      <c r="A2407" s="124">
        <v>44273</v>
      </c>
      <c r="B2407" s="126">
        <v>101.09999847412109</v>
      </c>
      <c r="C2407" s="125">
        <f>IFERROR(yf_data[[#This Row],[Close Price]]/B2406-1,0)</f>
        <v>9.9008390218902065E-4</v>
      </c>
    </row>
    <row r="2408" spans="1:3" x14ac:dyDescent="0.15">
      <c r="A2408" s="124">
        <v>44274</v>
      </c>
      <c r="B2408" s="126">
        <v>97.339996337890625</v>
      </c>
      <c r="C2408" s="125">
        <f>IFERROR(yf_data[[#This Row],[Close Price]]/B2407-1,0)</f>
        <v>-3.7190921790101972E-2</v>
      </c>
    </row>
    <row r="2409" spans="1:3" x14ac:dyDescent="0.15">
      <c r="A2409" s="124">
        <v>44277</v>
      </c>
      <c r="B2409" s="126">
        <v>97.069999694824219</v>
      </c>
      <c r="C2409" s="125">
        <f>IFERROR(yf_data[[#This Row],[Close Price]]/B2408-1,0)</f>
        <v>-2.7737482353007437E-3</v>
      </c>
    </row>
    <row r="2410" spans="1:3" x14ac:dyDescent="0.15">
      <c r="A2410" s="124">
        <v>44278</v>
      </c>
      <c r="B2410" s="126">
        <v>95.209999084472656</v>
      </c>
      <c r="C2410" s="125">
        <f>IFERROR(yf_data[[#This Row],[Close Price]]/B2409-1,0)</f>
        <v>-1.9161436243939067E-2</v>
      </c>
    </row>
    <row r="2411" spans="1:3" x14ac:dyDescent="0.15">
      <c r="A2411" s="124">
        <v>44279</v>
      </c>
      <c r="B2411" s="126">
        <v>95.970001220703125</v>
      </c>
      <c r="C2411" s="125">
        <f>IFERROR(yf_data[[#This Row],[Close Price]]/B2410-1,0)</f>
        <v>7.9823773084608529E-3</v>
      </c>
    </row>
    <row r="2412" spans="1:3" x14ac:dyDescent="0.15">
      <c r="A2412" s="124">
        <v>44280</v>
      </c>
      <c r="B2412" s="126">
        <v>96.489997863769517</v>
      </c>
      <c r="C2412" s="125">
        <f>IFERROR(yf_data[[#This Row],[Close Price]]/B2411-1,0)</f>
        <v>5.4183248562282849E-3</v>
      </c>
    </row>
    <row r="2413" spans="1:3" x14ac:dyDescent="0.15">
      <c r="A2413" s="124">
        <v>44281</v>
      </c>
      <c r="B2413" s="126">
        <v>97.680000305175781</v>
      </c>
      <c r="C2413" s="125">
        <f>IFERROR(yf_data[[#This Row],[Close Price]]/B2412-1,0)</f>
        <v>1.2332909811920478E-2</v>
      </c>
    </row>
    <row r="2414" spans="1:3" x14ac:dyDescent="0.15">
      <c r="A2414" s="124">
        <v>44284</v>
      </c>
      <c r="B2414" s="126">
        <v>97.400001525878906</v>
      </c>
      <c r="C2414" s="125">
        <f>IFERROR(yf_data[[#This Row],[Close Price]]/B2413-1,0)</f>
        <v>-2.8664903605865044E-3</v>
      </c>
    </row>
    <row r="2415" spans="1:3" x14ac:dyDescent="0.15">
      <c r="A2415" s="124">
        <v>44285</v>
      </c>
      <c r="B2415" s="126">
        <v>97.699996948242202</v>
      </c>
      <c r="C2415" s="125">
        <f>IFERROR(yf_data[[#This Row],[Close Price]]/B2414-1,0)</f>
        <v>3.0800350889479411E-3</v>
      </c>
    </row>
    <row r="2416" spans="1:3" x14ac:dyDescent="0.15">
      <c r="A2416" s="124">
        <v>44286</v>
      </c>
      <c r="B2416" s="126">
        <v>96.540000915527344</v>
      </c>
      <c r="C2416" s="125">
        <f>IFERROR(yf_data[[#This Row],[Close Price]]/B2415-1,0)</f>
        <v>-1.1873040623833209E-2</v>
      </c>
    </row>
    <row r="2417" spans="1:3" x14ac:dyDescent="0.15">
      <c r="A2417" s="124">
        <v>44287</v>
      </c>
      <c r="B2417" s="126">
        <v>100.41999816894533</v>
      </c>
      <c r="C2417" s="125">
        <f>IFERROR(yf_data[[#This Row],[Close Price]]/B2416-1,0)</f>
        <v>4.0190565740857886E-2</v>
      </c>
    </row>
    <row r="2418" spans="1:3" x14ac:dyDescent="0.15">
      <c r="A2418" s="124">
        <v>44292</v>
      </c>
      <c r="B2418" s="126">
        <v>100.6999969482422</v>
      </c>
      <c r="C2418" s="125">
        <f>IFERROR(yf_data[[#This Row],[Close Price]]/B2417-1,0)</f>
        <v>2.7882770802865053E-3</v>
      </c>
    </row>
    <row r="2419" spans="1:3" x14ac:dyDescent="0.15">
      <c r="A2419" s="124">
        <v>44293</v>
      </c>
      <c r="B2419" s="126">
        <v>100.54000091552734</v>
      </c>
      <c r="C2419" s="125">
        <f>IFERROR(yf_data[[#This Row],[Close Price]]/B2418-1,0)</f>
        <v>-1.5888385060934818E-3</v>
      </c>
    </row>
    <row r="2420" spans="1:3" x14ac:dyDescent="0.15">
      <c r="A2420" s="124">
        <v>44294</v>
      </c>
      <c r="B2420" s="126">
        <v>100.8000030517578</v>
      </c>
      <c r="C2420" s="125">
        <f>IFERROR(yf_data[[#This Row],[Close Price]]/B2419-1,0)</f>
        <v>2.5860566328113066E-3</v>
      </c>
    </row>
    <row r="2421" spans="1:3" x14ac:dyDescent="0.15">
      <c r="A2421" s="124">
        <v>44295</v>
      </c>
      <c r="B2421" s="126">
        <v>101.09999847412109</v>
      </c>
      <c r="C2421" s="125">
        <f>IFERROR(yf_data[[#This Row],[Close Price]]/B2420-1,0)</f>
        <v>2.9761449730241196E-3</v>
      </c>
    </row>
    <row r="2422" spans="1:3" x14ac:dyDescent="0.15">
      <c r="A2422" s="124">
        <v>44298</v>
      </c>
      <c r="B2422" s="126">
        <v>99.900001525878906</v>
      </c>
      <c r="C2422" s="125">
        <f>IFERROR(yf_data[[#This Row],[Close Price]]/B2421-1,0)</f>
        <v>-1.1869406195385346E-2</v>
      </c>
    </row>
    <row r="2423" spans="1:3" x14ac:dyDescent="0.15">
      <c r="A2423" s="124">
        <v>44299</v>
      </c>
      <c r="B2423" s="126">
        <v>98.400001525878906</v>
      </c>
      <c r="C2423" s="125">
        <f>IFERROR(yf_data[[#This Row],[Close Price]]/B2422-1,0)</f>
        <v>-1.5015014785674685E-2</v>
      </c>
    </row>
    <row r="2424" spans="1:3" x14ac:dyDescent="0.15">
      <c r="A2424" s="124">
        <v>44300</v>
      </c>
      <c r="B2424" s="126">
        <v>100.22000122070312</v>
      </c>
      <c r="C2424" s="125">
        <f>IFERROR(yf_data[[#This Row],[Close Price]]/B2423-1,0)</f>
        <v>1.8495931571155255E-2</v>
      </c>
    </row>
    <row r="2425" spans="1:3" x14ac:dyDescent="0.15">
      <c r="A2425" s="124">
        <v>44301</v>
      </c>
      <c r="B2425" s="126">
        <v>102.83999633789062</v>
      </c>
      <c r="C2425" s="125">
        <f>IFERROR(yf_data[[#This Row],[Close Price]]/B2424-1,0)</f>
        <v>2.6142437490274784E-2</v>
      </c>
    </row>
    <row r="2426" spans="1:3" x14ac:dyDescent="0.15">
      <c r="A2426" s="124">
        <v>44302</v>
      </c>
      <c r="B2426" s="126">
        <v>103.68000030517578</v>
      </c>
      <c r="C2426" s="125">
        <f>IFERROR(yf_data[[#This Row],[Close Price]]/B2425-1,0)</f>
        <v>8.1680668727879269E-3</v>
      </c>
    </row>
    <row r="2427" spans="1:3" x14ac:dyDescent="0.15">
      <c r="A2427" s="124">
        <v>44305</v>
      </c>
      <c r="B2427" s="126">
        <v>102.6999969482422</v>
      </c>
      <c r="C2427" s="125">
        <f>IFERROR(yf_data[[#This Row],[Close Price]]/B2426-1,0)</f>
        <v>-9.4521928438368041E-3</v>
      </c>
    </row>
    <row r="2428" spans="1:3" x14ac:dyDescent="0.15">
      <c r="A2428" s="124">
        <v>44306</v>
      </c>
      <c r="B2428" s="126">
        <v>97.940002441406236</v>
      </c>
      <c r="C2428" s="125">
        <f>IFERROR(yf_data[[#This Row],[Close Price]]/B2427-1,0)</f>
        <v>-4.6348536010520691E-2</v>
      </c>
    </row>
    <row r="2429" spans="1:3" x14ac:dyDescent="0.15">
      <c r="A2429" s="124">
        <v>44307</v>
      </c>
      <c r="B2429" s="126">
        <v>97.730003356933594</v>
      </c>
      <c r="C2429" s="125">
        <f>IFERROR(yf_data[[#This Row],[Close Price]]/B2428-1,0)</f>
        <v>-2.1441604986509599E-3</v>
      </c>
    </row>
    <row r="2430" spans="1:3" x14ac:dyDescent="0.15">
      <c r="A2430" s="124">
        <v>44308</v>
      </c>
      <c r="B2430" s="126">
        <v>99.709999084472656</v>
      </c>
      <c r="C2430" s="125">
        <f>IFERROR(yf_data[[#This Row],[Close Price]]/B2429-1,0)</f>
        <v>2.0259855310836627E-2</v>
      </c>
    </row>
    <row r="2431" spans="1:3" x14ac:dyDescent="0.15">
      <c r="A2431" s="124">
        <v>44309</v>
      </c>
      <c r="B2431" s="126">
        <v>98.459999084472656</v>
      </c>
      <c r="C2431" s="125">
        <f>IFERROR(yf_data[[#This Row],[Close Price]]/B2430-1,0)</f>
        <v>-1.2536355545856748E-2</v>
      </c>
    </row>
    <row r="2432" spans="1:3" x14ac:dyDescent="0.15">
      <c r="A2432" s="124">
        <v>44312</v>
      </c>
      <c r="B2432" s="126">
        <v>101.23999786376952</v>
      </c>
      <c r="C2432" s="125">
        <f>IFERROR(yf_data[[#This Row],[Close Price]]/B2431-1,0)</f>
        <v>2.8234804033583139E-2</v>
      </c>
    </row>
    <row r="2433" spans="1:3" x14ac:dyDescent="0.15">
      <c r="A2433" s="124">
        <v>44313</v>
      </c>
      <c r="B2433" s="126">
        <v>99.790000915527344</v>
      </c>
      <c r="C2433" s="125">
        <f>IFERROR(yf_data[[#This Row],[Close Price]]/B2432-1,0)</f>
        <v>-1.4322372370980441E-2</v>
      </c>
    </row>
    <row r="2434" spans="1:3" x14ac:dyDescent="0.15">
      <c r="A2434" s="124">
        <v>44314</v>
      </c>
      <c r="B2434" s="126">
        <v>99.300003051757798</v>
      </c>
      <c r="C2434" s="125">
        <f>IFERROR(yf_data[[#This Row],[Close Price]]/B2433-1,0)</f>
        <v>-4.9102902021649353E-3</v>
      </c>
    </row>
    <row r="2435" spans="1:3" x14ac:dyDescent="0.15">
      <c r="A2435" s="124">
        <v>44315</v>
      </c>
      <c r="B2435" s="126">
        <v>100</v>
      </c>
      <c r="C2435" s="125">
        <f>IFERROR(yf_data[[#This Row],[Close Price]]/B2434-1,0)</f>
        <v>7.0493144685739306E-3</v>
      </c>
    </row>
    <row r="2436" spans="1:3" x14ac:dyDescent="0.15">
      <c r="A2436" s="124">
        <v>44316</v>
      </c>
      <c r="B2436" s="126">
        <v>99.940002441406236</v>
      </c>
      <c r="C2436" s="125">
        <f>IFERROR(yf_data[[#This Row],[Close Price]]/B2435-1,0)</f>
        <v>-5.9997558593760658E-4</v>
      </c>
    </row>
    <row r="2437" spans="1:3" x14ac:dyDescent="0.15">
      <c r="A2437" s="124">
        <v>44319</v>
      </c>
      <c r="B2437" s="126">
        <v>99.910003662109375</v>
      </c>
      <c r="C2437" s="125">
        <f>IFERROR(yf_data[[#This Row],[Close Price]]/B2436-1,0)</f>
        <v>-3.0016788637210468E-4</v>
      </c>
    </row>
    <row r="2438" spans="1:3" x14ac:dyDescent="0.15">
      <c r="A2438" s="124">
        <v>44320</v>
      </c>
      <c r="B2438" s="126">
        <v>96.730003356933594</v>
      </c>
      <c r="C2438" s="125">
        <f>IFERROR(yf_data[[#This Row],[Close Price]]/B2437-1,0)</f>
        <v>-3.1828647669060128E-2</v>
      </c>
    </row>
    <row r="2439" spans="1:3" x14ac:dyDescent="0.15">
      <c r="A2439" s="124">
        <v>44321</v>
      </c>
      <c r="B2439" s="126">
        <v>96.569999694824219</v>
      </c>
      <c r="C2439" s="125">
        <f>IFERROR(yf_data[[#This Row],[Close Price]]/B2438-1,0)</f>
        <v>-1.6541265021873253E-3</v>
      </c>
    </row>
    <row r="2440" spans="1:3" x14ac:dyDescent="0.15">
      <c r="A2440" s="124">
        <v>44322</v>
      </c>
      <c r="B2440" s="126">
        <v>96.75</v>
      </c>
      <c r="C2440" s="125">
        <f>IFERROR(yf_data[[#This Row],[Close Price]]/B2439-1,0)</f>
        <v>1.8639360644570058E-3</v>
      </c>
    </row>
    <row r="2441" spans="1:3" x14ac:dyDescent="0.15">
      <c r="A2441" s="124">
        <v>44323</v>
      </c>
      <c r="B2441" s="126">
        <v>98.370002746582045</v>
      </c>
      <c r="C2441" s="125">
        <f>IFERROR(yf_data[[#This Row],[Close Price]]/B2440-1,0)</f>
        <v>1.674421443495655E-2</v>
      </c>
    </row>
    <row r="2442" spans="1:3" x14ac:dyDescent="0.15">
      <c r="A2442" s="124">
        <v>44326</v>
      </c>
      <c r="B2442" s="126">
        <v>98.360000610351562</v>
      </c>
      <c r="C2442" s="125">
        <f>IFERROR(yf_data[[#This Row],[Close Price]]/B2441-1,0)</f>
        <v>-1.0167872269206679E-4</v>
      </c>
    </row>
    <row r="2443" spans="1:3" x14ac:dyDescent="0.15">
      <c r="A2443" s="124">
        <v>44327</v>
      </c>
      <c r="B2443" s="126">
        <v>95.900001525878906</v>
      </c>
      <c r="C2443" s="125">
        <f>IFERROR(yf_data[[#This Row],[Close Price]]/B2442-1,0)</f>
        <v>-2.5010157271326383E-2</v>
      </c>
    </row>
    <row r="2444" spans="1:3" x14ac:dyDescent="0.15">
      <c r="A2444" s="124">
        <v>44328</v>
      </c>
      <c r="B2444" s="126">
        <v>96.559997558593764</v>
      </c>
      <c r="C2444" s="125">
        <f>IFERROR(yf_data[[#This Row],[Close Price]]/B2443-1,0)</f>
        <v>6.8821274474824001E-3</v>
      </c>
    </row>
    <row r="2445" spans="1:3" x14ac:dyDescent="0.15">
      <c r="A2445" s="124">
        <v>44329</v>
      </c>
      <c r="B2445" s="126">
        <v>96</v>
      </c>
      <c r="C2445" s="125">
        <f>IFERROR(yf_data[[#This Row],[Close Price]]/B2444-1,0)</f>
        <v>-5.7994777625585137E-3</v>
      </c>
    </row>
    <row r="2446" spans="1:3" x14ac:dyDescent="0.15">
      <c r="A2446" s="124">
        <v>44330</v>
      </c>
      <c r="B2446" s="126">
        <v>99.569999694824219</v>
      </c>
      <c r="C2446" s="125">
        <f>IFERROR(yf_data[[#This Row],[Close Price]]/B2445-1,0)</f>
        <v>3.7187496821085686E-2</v>
      </c>
    </row>
    <row r="2447" spans="1:3" x14ac:dyDescent="0.15">
      <c r="A2447" s="124">
        <v>44333</v>
      </c>
      <c r="B2447" s="126">
        <v>96.900001525878906</v>
      </c>
      <c r="C2447" s="125">
        <f>IFERROR(yf_data[[#This Row],[Close Price]]/B2446-1,0)</f>
        <v>-2.6815287507569452E-2</v>
      </c>
    </row>
    <row r="2448" spans="1:3" x14ac:dyDescent="0.15">
      <c r="A2448" s="124">
        <v>44334</v>
      </c>
      <c r="B2448" s="126">
        <v>97.139999389648438</v>
      </c>
      <c r="C2448" s="125">
        <f>IFERROR(yf_data[[#This Row],[Close Price]]/B2447-1,0)</f>
        <v>2.4767581010349815E-3</v>
      </c>
    </row>
    <row r="2449" spans="1:3" x14ac:dyDescent="0.15">
      <c r="A2449" s="124">
        <v>44335</v>
      </c>
      <c r="B2449" s="126">
        <v>95.059997558593764</v>
      </c>
      <c r="C2449" s="125">
        <f>IFERROR(yf_data[[#This Row],[Close Price]]/B2448-1,0)</f>
        <v>-2.1412413466376123E-2</v>
      </c>
    </row>
    <row r="2450" spans="1:3" x14ac:dyDescent="0.15">
      <c r="A2450" s="124">
        <v>44336</v>
      </c>
      <c r="B2450" s="126">
        <v>96.510002136230483</v>
      </c>
      <c r="C2450" s="125">
        <f>IFERROR(yf_data[[#This Row],[Close Price]]/B2449-1,0)</f>
        <v>1.5253572637038637E-2</v>
      </c>
    </row>
    <row r="2451" spans="1:3" x14ac:dyDescent="0.15">
      <c r="A2451" s="124">
        <v>44337</v>
      </c>
      <c r="B2451" s="126">
        <v>97.910003662109375</v>
      </c>
      <c r="C2451" s="125">
        <f>IFERROR(yf_data[[#This Row],[Close Price]]/B2450-1,0)</f>
        <v>1.450628426992151E-2</v>
      </c>
    </row>
    <row r="2452" spans="1:3" x14ac:dyDescent="0.15">
      <c r="A2452" s="124">
        <v>44340</v>
      </c>
      <c r="B2452" s="126">
        <v>98.260002136230483</v>
      </c>
      <c r="C2452" s="125">
        <f>IFERROR(yf_data[[#This Row],[Close Price]]/B2451-1,0)</f>
        <v>3.5746957515083722E-3</v>
      </c>
    </row>
    <row r="2453" spans="1:3" x14ac:dyDescent="0.15">
      <c r="A2453" s="124">
        <v>44341</v>
      </c>
      <c r="B2453" s="126">
        <v>97.139999389648438</v>
      </c>
      <c r="C2453" s="125">
        <f>IFERROR(yf_data[[#This Row],[Close Price]]/B2452-1,0)</f>
        <v>-1.1398358663062491E-2</v>
      </c>
    </row>
    <row r="2454" spans="1:3" x14ac:dyDescent="0.15">
      <c r="A2454" s="124">
        <v>44342</v>
      </c>
      <c r="B2454" s="126">
        <v>97.669998168945327</v>
      </c>
      <c r="C2454" s="125">
        <f>IFERROR(yf_data[[#This Row],[Close Price]]/B2453-1,0)</f>
        <v>5.4560302926394133E-3</v>
      </c>
    </row>
    <row r="2455" spans="1:3" x14ac:dyDescent="0.15">
      <c r="A2455" s="124">
        <v>44343</v>
      </c>
      <c r="B2455" s="126">
        <v>106.68000030517578</v>
      </c>
      <c r="C2455" s="125">
        <f>IFERROR(yf_data[[#This Row],[Close Price]]/B2454-1,0)</f>
        <v>9.2249434884245085E-2</v>
      </c>
    </row>
    <row r="2456" spans="1:3" x14ac:dyDescent="0.15">
      <c r="A2456" s="124">
        <v>44344</v>
      </c>
      <c r="B2456" s="126">
        <v>108</v>
      </c>
      <c r="C2456" s="125">
        <f>IFERROR(yf_data[[#This Row],[Close Price]]/B2455-1,0)</f>
        <v>1.2373450422273446E-2</v>
      </c>
    </row>
    <row r="2457" spans="1:3" x14ac:dyDescent="0.15">
      <c r="A2457" s="124">
        <v>44347</v>
      </c>
      <c r="B2457" s="126">
        <v>106.66000366210938</v>
      </c>
      <c r="C2457" s="125">
        <f>IFERROR(yf_data[[#This Row],[Close Price]]/B2456-1,0)</f>
        <v>-1.240737349898724E-2</v>
      </c>
    </row>
    <row r="2458" spans="1:3" x14ac:dyDescent="0.15">
      <c r="A2458" s="124">
        <v>44348</v>
      </c>
      <c r="B2458" s="126">
        <v>108.76000213623048</v>
      </c>
      <c r="C2458" s="125">
        <f>IFERROR(yf_data[[#This Row],[Close Price]]/B2457-1,0)</f>
        <v>1.9688715563649817E-2</v>
      </c>
    </row>
    <row r="2459" spans="1:3" x14ac:dyDescent="0.15">
      <c r="A2459" s="124">
        <v>44349</v>
      </c>
      <c r="B2459" s="126">
        <v>110.6999969482422</v>
      </c>
      <c r="C2459" s="125">
        <f>IFERROR(yf_data[[#This Row],[Close Price]]/B2458-1,0)</f>
        <v>1.7837392183771117E-2</v>
      </c>
    </row>
    <row r="2460" spans="1:3" x14ac:dyDescent="0.15">
      <c r="A2460" s="124">
        <v>44350</v>
      </c>
      <c r="B2460" s="126">
        <v>109.77999877929688</v>
      </c>
      <c r="C2460" s="125">
        <f>IFERROR(yf_data[[#This Row],[Close Price]]/B2459-1,0)</f>
        <v>-8.3107334625805995E-3</v>
      </c>
    </row>
    <row r="2461" spans="1:3" x14ac:dyDescent="0.15">
      <c r="A2461" s="124">
        <v>44351</v>
      </c>
      <c r="B2461" s="126">
        <v>109.91999816894533</v>
      </c>
      <c r="C2461" s="125">
        <f>IFERROR(yf_data[[#This Row],[Close Price]]/B2460-1,0)</f>
        <v>1.2752722827944485E-3</v>
      </c>
    </row>
    <row r="2462" spans="1:3" x14ac:dyDescent="0.15">
      <c r="A2462" s="124">
        <v>44354</v>
      </c>
      <c r="B2462" s="126">
        <v>111.31999969482422</v>
      </c>
      <c r="C2462" s="125">
        <f>IFERROR(yf_data[[#This Row],[Close Price]]/B2461-1,0)</f>
        <v>1.2736549756188209E-2</v>
      </c>
    </row>
    <row r="2463" spans="1:3" x14ac:dyDescent="0.15">
      <c r="A2463" s="124">
        <v>44355</v>
      </c>
      <c r="B2463" s="126">
        <v>110.5</v>
      </c>
      <c r="C2463" s="125">
        <f>IFERROR(yf_data[[#This Row],[Close Price]]/B2462-1,0)</f>
        <v>-7.3661489136919167E-3</v>
      </c>
    </row>
    <row r="2464" spans="1:3" x14ac:dyDescent="0.15">
      <c r="A2464" s="124">
        <v>44356</v>
      </c>
      <c r="B2464" s="126">
        <v>110.59999847412109</v>
      </c>
      <c r="C2464" s="125">
        <f>IFERROR(yf_data[[#This Row],[Close Price]]/B2463-1,0)</f>
        <v>9.0496356670666245E-4</v>
      </c>
    </row>
    <row r="2465" spans="1:3" x14ac:dyDescent="0.15">
      <c r="A2465" s="124">
        <v>44357</v>
      </c>
      <c r="B2465" s="126">
        <v>110.51999664306641</v>
      </c>
      <c r="C2465" s="125">
        <f>IFERROR(yf_data[[#This Row],[Close Price]]/B2464-1,0)</f>
        <v>-7.2334387123351718E-4</v>
      </c>
    </row>
    <row r="2466" spans="1:3" x14ac:dyDescent="0.15">
      <c r="A2466" s="124">
        <v>44358</v>
      </c>
      <c r="B2466" s="126">
        <v>112.36000061035156</v>
      </c>
      <c r="C2466" s="125">
        <f>IFERROR(yf_data[[#This Row],[Close Price]]/B2465-1,0)</f>
        <v>1.6648606796719312E-2</v>
      </c>
    </row>
    <row r="2467" spans="1:3" x14ac:dyDescent="0.15">
      <c r="A2467" s="124">
        <v>44361</v>
      </c>
      <c r="B2467" s="126">
        <v>112.40000152587891</v>
      </c>
      <c r="C2467" s="125">
        <f>IFERROR(yf_data[[#This Row],[Close Price]]/B2466-1,0)</f>
        <v>3.5600672223257135E-4</v>
      </c>
    </row>
    <row r="2468" spans="1:3" x14ac:dyDescent="0.15">
      <c r="A2468" s="124">
        <v>44362</v>
      </c>
      <c r="B2468" s="126">
        <v>113.18000030517578</v>
      </c>
      <c r="C2468" s="125">
        <f>IFERROR(yf_data[[#This Row],[Close Price]]/B2467-1,0)</f>
        <v>6.9394908248048282E-3</v>
      </c>
    </row>
    <row r="2469" spans="1:3" x14ac:dyDescent="0.15">
      <c r="A2469" s="124">
        <v>44363</v>
      </c>
      <c r="B2469" s="126">
        <v>114.08000183105467</v>
      </c>
      <c r="C2469" s="125">
        <f>IFERROR(yf_data[[#This Row],[Close Price]]/B2468-1,0)</f>
        <v>7.951948431278888E-3</v>
      </c>
    </row>
    <row r="2470" spans="1:3" x14ac:dyDescent="0.15">
      <c r="A2470" s="124">
        <v>44364</v>
      </c>
      <c r="B2470" s="126">
        <v>114.59999847412109</v>
      </c>
      <c r="C2470" s="125">
        <f>IFERROR(yf_data[[#This Row],[Close Price]]/B2469-1,0)</f>
        <v>4.5581752692860356E-3</v>
      </c>
    </row>
    <row r="2471" spans="1:3" x14ac:dyDescent="0.15">
      <c r="A2471" s="124">
        <v>44365</v>
      </c>
      <c r="B2471" s="126">
        <v>112.72000122070312</v>
      </c>
      <c r="C2471" s="125">
        <f>IFERROR(yf_data[[#This Row],[Close Price]]/B2470-1,0)</f>
        <v>-1.6404862813698129E-2</v>
      </c>
    </row>
    <row r="2472" spans="1:3" x14ac:dyDescent="0.15">
      <c r="A2472" s="124">
        <v>44368</v>
      </c>
      <c r="B2472" s="126">
        <v>112.91999816894533</v>
      </c>
      <c r="C2472" s="125">
        <f>IFERROR(yf_data[[#This Row],[Close Price]]/B2471-1,0)</f>
        <v>1.7742809268659343E-3</v>
      </c>
    </row>
    <row r="2473" spans="1:3" x14ac:dyDescent="0.15">
      <c r="A2473" s="124">
        <v>44369</v>
      </c>
      <c r="B2473" s="126">
        <v>112.63999938964844</v>
      </c>
      <c r="C2473" s="125">
        <f>IFERROR(yf_data[[#This Row],[Close Price]]/B2472-1,0)</f>
        <v>-2.4796208274637799E-3</v>
      </c>
    </row>
    <row r="2474" spans="1:3" x14ac:dyDescent="0.15">
      <c r="A2474" s="124">
        <v>44370</v>
      </c>
      <c r="B2474" s="126">
        <v>111.3000030517578</v>
      </c>
      <c r="C2474" s="125">
        <f>IFERROR(yf_data[[#This Row],[Close Price]]/B2473-1,0)</f>
        <v>-1.18962743710187E-2</v>
      </c>
    </row>
    <row r="2475" spans="1:3" x14ac:dyDescent="0.15">
      <c r="A2475" s="124">
        <v>44371</v>
      </c>
      <c r="B2475" s="126">
        <v>111.91999816894533</v>
      </c>
      <c r="C2475" s="125">
        <f>IFERROR(yf_data[[#This Row],[Close Price]]/B2474-1,0)</f>
        <v>5.5704860753615915E-3</v>
      </c>
    </row>
    <row r="2476" spans="1:3" x14ac:dyDescent="0.15">
      <c r="A2476" s="124">
        <v>44372</v>
      </c>
      <c r="B2476" s="126">
        <v>110.31999969482422</v>
      </c>
      <c r="C2476" s="125">
        <f>IFERROR(yf_data[[#This Row],[Close Price]]/B2475-1,0)</f>
        <v>-1.4295912261416244E-2</v>
      </c>
    </row>
    <row r="2477" spans="1:3" x14ac:dyDescent="0.15">
      <c r="A2477" s="124">
        <v>44375</v>
      </c>
      <c r="B2477" s="126">
        <v>107.09999847412109</v>
      </c>
      <c r="C2477" s="125">
        <f>IFERROR(yf_data[[#This Row],[Close Price]]/B2476-1,0)</f>
        <v>-2.918782840473666E-2</v>
      </c>
    </row>
    <row r="2478" spans="1:3" x14ac:dyDescent="0.15">
      <c r="A2478" s="124">
        <v>44376</v>
      </c>
      <c r="B2478" s="126">
        <v>106.48000335693359</v>
      </c>
      <c r="C2478" s="125">
        <f>IFERROR(yf_data[[#This Row],[Close Price]]/B2477-1,0)</f>
        <v>-5.7889367508937584E-3</v>
      </c>
    </row>
    <row r="2479" spans="1:3" x14ac:dyDescent="0.15">
      <c r="A2479" s="124">
        <v>44377</v>
      </c>
      <c r="B2479" s="126">
        <v>108.44000244140624</v>
      </c>
      <c r="C2479" s="125">
        <f>IFERROR(yf_data[[#This Row],[Close Price]]/B2478-1,0)</f>
        <v>1.8407203443659759E-2</v>
      </c>
    </row>
    <row r="2480" spans="1:3" x14ac:dyDescent="0.15">
      <c r="A2480" s="124">
        <v>44378</v>
      </c>
      <c r="B2480" s="126">
        <v>109.90000152587891</v>
      </c>
      <c r="C2480" s="125">
        <f>IFERROR(yf_data[[#This Row],[Close Price]]/B2479-1,0)</f>
        <v>1.3463657797882833E-2</v>
      </c>
    </row>
    <row r="2481" spans="1:3" x14ac:dyDescent="0.15">
      <c r="A2481" s="124">
        <v>44379</v>
      </c>
      <c r="B2481" s="126">
        <v>112.22000122070312</v>
      </c>
      <c r="C2481" s="125">
        <f>IFERROR(yf_data[[#This Row],[Close Price]]/B2480-1,0)</f>
        <v>2.1110097021044272E-2</v>
      </c>
    </row>
    <row r="2482" spans="1:3" x14ac:dyDescent="0.15">
      <c r="A2482" s="124">
        <v>44382</v>
      </c>
      <c r="B2482" s="126">
        <v>113.08000183105467</v>
      </c>
      <c r="C2482" s="125">
        <f>IFERROR(yf_data[[#This Row],[Close Price]]/B2481-1,0)</f>
        <v>7.6635234449888845E-3</v>
      </c>
    </row>
    <row r="2483" spans="1:3" x14ac:dyDescent="0.15">
      <c r="A2483" s="124">
        <v>44383</v>
      </c>
      <c r="B2483" s="126">
        <v>110.87999725341795</v>
      </c>
      <c r="C2483" s="125">
        <f>IFERROR(yf_data[[#This Row],[Close Price]]/B2482-1,0)</f>
        <v>-1.9455293084656988E-2</v>
      </c>
    </row>
    <row r="2484" spans="1:3" x14ac:dyDescent="0.15">
      <c r="A2484" s="124">
        <v>44384</v>
      </c>
      <c r="B2484" s="126">
        <v>109.81999969482422</v>
      </c>
      <c r="C2484" s="125">
        <f>IFERROR(yf_data[[#This Row],[Close Price]]/B2483-1,0)</f>
        <v>-9.55986277823484E-3</v>
      </c>
    </row>
    <row r="2485" spans="1:3" x14ac:dyDescent="0.15">
      <c r="A2485" s="124">
        <v>44385</v>
      </c>
      <c r="B2485" s="126">
        <v>109.01999664306641</v>
      </c>
      <c r="C2485" s="125">
        <f>IFERROR(yf_data[[#This Row],[Close Price]]/B2484-1,0)</f>
        <v>-7.2846754141405734E-3</v>
      </c>
    </row>
    <row r="2486" spans="1:3" x14ac:dyDescent="0.15">
      <c r="A2486" s="124">
        <v>44386</v>
      </c>
      <c r="B2486" s="126">
        <v>112.76000213623048</v>
      </c>
      <c r="C2486" s="125">
        <f>IFERROR(yf_data[[#This Row],[Close Price]]/B2485-1,0)</f>
        <v>3.4305683437222401E-2</v>
      </c>
    </row>
    <row r="2487" spans="1:3" x14ac:dyDescent="0.15">
      <c r="A2487" s="124">
        <v>44389</v>
      </c>
      <c r="B2487" s="126">
        <v>112.1999969482422</v>
      </c>
      <c r="C2487" s="125">
        <f>IFERROR(yf_data[[#This Row],[Close Price]]/B2486-1,0)</f>
        <v>-4.9663460214528499E-3</v>
      </c>
    </row>
    <row r="2488" spans="1:3" x14ac:dyDescent="0.15">
      <c r="A2488" s="124">
        <v>44390</v>
      </c>
      <c r="B2488" s="126">
        <v>111.23999786376952</v>
      </c>
      <c r="C2488" s="125">
        <f>IFERROR(yf_data[[#This Row],[Close Price]]/B2487-1,0)</f>
        <v>-8.5561418055610794E-3</v>
      </c>
    </row>
    <row r="2489" spans="1:3" x14ac:dyDescent="0.15">
      <c r="A2489" s="124">
        <v>44391</v>
      </c>
      <c r="B2489" s="126">
        <v>110.98000335693359</v>
      </c>
      <c r="C2489" s="125">
        <f>IFERROR(yf_data[[#This Row],[Close Price]]/B2488-1,0)</f>
        <v>-2.3372394087450843E-3</v>
      </c>
    </row>
    <row r="2490" spans="1:3" x14ac:dyDescent="0.15">
      <c r="A2490" s="124">
        <v>44392</v>
      </c>
      <c r="B2490" s="126">
        <v>110.40000152587891</v>
      </c>
      <c r="C2490" s="125">
        <f>IFERROR(yf_data[[#This Row],[Close Price]]/B2489-1,0)</f>
        <v>-5.2261832177936673E-3</v>
      </c>
    </row>
    <row r="2491" spans="1:3" x14ac:dyDescent="0.15">
      <c r="A2491" s="124">
        <v>44393</v>
      </c>
      <c r="B2491" s="126">
        <v>110.63999938964844</v>
      </c>
      <c r="C2491" s="125">
        <f>IFERROR(yf_data[[#This Row],[Close Price]]/B2490-1,0)</f>
        <v>2.1738936635185002E-3</v>
      </c>
    </row>
    <row r="2492" spans="1:3" x14ac:dyDescent="0.15">
      <c r="A2492" s="124">
        <v>44396</v>
      </c>
      <c r="B2492" s="126">
        <v>103.58000183105467</v>
      </c>
      <c r="C2492" s="125">
        <f>IFERROR(yf_data[[#This Row],[Close Price]]/B2491-1,0)</f>
        <v>-6.3810535046462613E-2</v>
      </c>
    </row>
    <row r="2493" spans="1:3" x14ac:dyDescent="0.15">
      <c r="A2493" s="124">
        <v>44397</v>
      </c>
      <c r="B2493" s="126">
        <v>106</v>
      </c>
      <c r="C2493" s="125">
        <f>IFERROR(yf_data[[#This Row],[Close Price]]/B2492-1,0)</f>
        <v>2.336356561271824E-2</v>
      </c>
    </row>
    <row r="2494" spans="1:3" x14ac:dyDescent="0.15">
      <c r="A2494" s="124">
        <v>44398</v>
      </c>
      <c r="B2494" s="126">
        <v>110.63999938964844</v>
      </c>
      <c r="C2494" s="125">
        <f>IFERROR(yf_data[[#This Row],[Close Price]]/B2493-1,0)</f>
        <v>4.3773579147626807E-2</v>
      </c>
    </row>
    <row r="2495" spans="1:3" x14ac:dyDescent="0.15">
      <c r="A2495" s="124">
        <v>44399</v>
      </c>
      <c r="B2495" s="126">
        <v>109.51999664306641</v>
      </c>
      <c r="C2495" s="125">
        <f>IFERROR(yf_data[[#This Row],[Close Price]]/B2494-1,0)</f>
        <v>-1.0122946066165817E-2</v>
      </c>
    </row>
    <row r="2496" spans="1:3" x14ac:dyDescent="0.15">
      <c r="A2496" s="124">
        <v>44400</v>
      </c>
      <c r="B2496" s="126">
        <v>111.5</v>
      </c>
      <c r="C2496" s="125">
        <f>IFERROR(yf_data[[#This Row],[Close Price]]/B2495-1,0)</f>
        <v>1.8078920905983731E-2</v>
      </c>
    </row>
    <row r="2497" spans="1:3" x14ac:dyDescent="0.15">
      <c r="A2497" s="124">
        <v>44403</v>
      </c>
      <c r="B2497" s="126">
        <v>112</v>
      </c>
      <c r="C2497" s="125">
        <f>IFERROR(yf_data[[#This Row],[Close Price]]/B2496-1,0)</f>
        <v>4.484304932735439E-3</v>
      </c>
    </row>
    <row r="2498" spans="1:3" x14ac:dyDescent="0.15">
      <c r="A2498" s="124">
        <v>44404</v>
      </c>
      <c r="B2498" s="126">
        <v>112.31999969482422</v>
      </c>
      <c r="C2498" s="125">
        <f>IFERROR(yf_data[[#This Row],[Close Price]]/B2497-1,0)</f>
        <v>2.8571401323591594E-3</v>
      </c>
    </row>
    <row r="2499" spans="1:3" x14ac:dyDescent="0.15">
      <c r="A2499" s="124">
        <v>44405</v>
      </c>
      <c r="B2499" s="126">
        <v>115.3000030517578</v>
      </c>
      <c r="C2499" s="125">
        <f>IFERROR(yf_data[[#This Row],[Close Price]]/B2498-1,0)</f>
        <v>2.6531368990654558E-2</v>
      </c>
    </row>
    <row r="2500" spans="1:3" x14ac:dyDescent="0.15">
      <c r="A2500" s="124">
        <v>44406</v>
      </c>
      <c r="B2500" s="126">
        <v>116</v>
      </c>
      <c r="C2500" s="125">
        <f>IFERROR(yf_data[[#This Row],[Close Price]]/B2499-1,0)</f>
        <v>6.0710921918014638E-3</v>
      </c>
    </row>
    <row r="2501" spans="1:3" x14ac:dyDescent="0.15">
      <c r="A2501" s="124">
        <v>44407</v>
      </c>
      <c r="B2501" s="126">
        <v>115.6999969482422</v>
      </c>
      <c r="C2501" s="125">
        <f>IFERROR(yf_data[[#This Row],[Close Price]]/B2500-1,0)</f>
        <v>-2.5862332048085523E-3</v>
      </c>
    </row>
    <row r="2502" spans="1:3" x14ac:dyDescent="0.15">
      <c r="A2502" s="124">
        <v>44410</v>
      </c>
      <c r="B2502" s="126">
        <v>116.77999877929688</v>
      </c>
      <c r="C2502" s="125">
        <f>IFERROR(yf_data[[#This Row],[Close Price]]/B2501-1,0)</f>
        <v>9.3345018110744249E-3</v>
      </c>
    </row>
    <row r="2503" spans="1:3" x14ac:dyDescent="0.15">
      <c r="A2503" s="124">
        <v>44411</v>
      </c>
      <c r="B2503" s="126">
        <v>114.77999877929688</v>
      </c>
      <c r="C2503" s="125">
        <f>IFERROR(yf_data[[#This Row],[Close Price]]/B2502-1,0)</f>
        <v>-1.7126220422213012E-2</v>
      </c>
    </row>
    <row r="2504" spans="1:3" x14ac:dyDescent="0.15">
      <c r="A2504" s="124">
        <v>44412</v>
      </c>
      <c r="B2504" s="126">
        <v>114.44000244140624</v>
      </c>
      <c r="C2504" s="125">
        <f>IFERROR(yf_data[[#This Row],[Close Price]]/B2503-1,0)</f>
        <v>-2.9621566606251593E-3</v>
      </c>
    </row>
    <row r="2505" spans="1:3" x14ac:dyDescent="0.15">
      <c r="A2505" s="124">
        <v>44413</v>
      </c>
      <c r="B2505" s="126">
        <v>116.63999938964844</v>
      </c>
      <c r="C2505" s="125">
        <f>IFERROR(yf_data[[#This Row],[Close Price]]/B2504-1,0)</f>
        <v>1.9224020458830537E-2</v>
      </c>
    </row>
    <row r="2506" spans="1:3" x14ac:dyDescent="0.15">
      <c r="A2506" s="124">
        <v>44414</v>
      </c>
      <c r="B2506" s="126">
        <v>116.90000152587891</v>
      </c>
      <c r="C2506" s="125">
        <f>IFERROR(yf_data[[#This Row],[Close Price]]/B2505-1,0)</f>
        <v>2.2290992591820213E-3</v>
      </c>
    </row>
    <row r="2507" spans="1:3" x14ac:dyDescent="0.15">
      <c r="A2507" s="124">
        <v>44417</v>
      </c>
      <c r="B2507" s="126">
        <v>114.76000213623048</v>
      </c>
      <c r="C2507" s="125">
        <f>IFERROR(yf_data[[#This Row],[Close Price]]/B2506-1,0)</f>
        <v>-1.830623919345864E-2</v>
      </c>
    </row>
    <row r="2508" spans="1:3" x14ac:dyDescent="0.15">
      <c r="A2508" s="124">
        <v>44418</v>
      </c>
      <c r="B2508" s="126">
        <v>115.16000366210938</v>
      </c>
      <c r="C2508" s="125">
        <f>IFERROR(yf_data[[#This Row],[Close Price]]/B2507-1,0)</f>
        <v>3.4855482610052224E-3</v>
      </c>
    </row>
    <row r="2509" spans="1:3" x14ac:dyDescent="0.15">
      <c r="A2509" s="124">
        <v>44419</v>
      </c>
      <c r="B2509" s="126">
        <v>115.72000122070312</v>
      </c>
      <c r="C2509" s="125">
        <f>IFERROR(yf_data[[#This Row],[Close Price]]/B2508-1,0)</f>
        <v>4.8627782284276222E-3</v>
      </c>
    </row>
    <row r="2510" spans="1:3" x14ac:dyDescent="0.15">
      <c r="A2510" s="124">
        <v>44420</v>
      </c>
      <c r="B2510" s="126">
        <v>115.3000030517578</v>
      </c>
      <c r="C2510" s="125">
        <f>IFERROR(yf_data[[#This Row],[Close Price]]/B2509-1,0)</f>
        <v>-3.6294345360773361E-3</v>
      </c>
    </row>
    <row r="2511" spans="1:3" x14ac:dyDescent="0.15">
      <c r="A2511" s="124">
        <v>44421</v>
      </c>
      <c r="B2511" s="126">
        <v>115.44000244140624</v>
      </c>
      <c r="C2511" s="125">
        <f>IFERROR(yf_data[[#This Row],[Close Price]]/B2510-1,0)</f>
        <v>1.2142184383603372E-3</v>
      </c>
    </row>
    <row r="2512" spans="1:3" x14ac:dyDescent="0.15">
      <c r="A2512" s="124">
        <v>44424</v>
      </c>
      <c r="B2512" s="126">
        <v>114.62000274658205</v>
      </c>
      <c r="C2512" s="125">
        <f>IFERROR(yf_data[[#This Row],[Close Price]]/B2511-1,0)</f>
        <v>-7.1032543094443623E-3</v>
      </c>
    </row>
    <row r="2513" spans="1:3" x14ac:dyDescent="0.15">
      <c r="A2513" s="124">
        <v>44425</v>
      </c>
      <c r="B2513" s="126">
        <v>113.54000091552734</v>
      </c>
      <c r="C2513" s="125">
        <f>IFERROR(yf_data[[#This Row],[Close Price]]/B2512-1,0)</f>
        <v>-9.4224551140739132E-3</v>
      </c>
    </row>
    <row r="2514" spans="1:3" x14ac:dyDescent="0.15">
      <c r="A2514" s="124">
        <v>44426</v>
      </c>
      <c r="B2514" s="126">
        <v>113.62000274658205</v>
      </c>
      <c r="C2514" s="125">
        <f>IFERROR(yf_data[[#This Row],[Close Price]]/B2513-1,0)</f>
        <v>7.0461361995421967E-4</v>
      </c>
    </row>
    <row r="2515" spans="1:3" x14ac:dyDescent="0.15">
      <c r="A2515" s="124">
        <v>44427</v>
      </c>
      <c r="B2515" s="126">
        <v>110.04000091552734</v>
      </c>
      <c r="C2515" s="125">
        <f>IFERROR(yf_data[[#This Row],[Close Price]]/B2514-1,0)</f>
        <v>-3.1508552583294103E-2</v>
      </c>
    </row>
    <row r="2516" spans="1:3" x14ac:dyDescent="0.15">
      <c r="A2516" s="124">
        <v>44428</v>
      </c>
      <c r="B2516" s="126">
        <v>110.48000335693359</v>
      </c>
      <c r="C2516" s="125">
        <f>IFERROR(yf_data[[#This Row],[Close Price]]/B2515-1,0)</f>
        <v>3.9985681365453107E-3</v>
      </c>
    </row>
    <row r="2517" spans="1:3" x14ac:dyDescent="0.15">
      <c r="A2517" s="124">
        <v>44431</v>
      </c>
      <c r="B2517" s="126">
        <v>111.72000122070312</v>
      </c>
      <c r="C2517" s="125">
        <f>IFERROR(yf_data[[#This Row],[Close Price]]/B2516-1,0)</f>
        <v>1.1223731228206191E-2</v>
      </c>
    </row>
    <row r="2518" spans="1:3" x14ac:dyDescent="0.15">
      <c r="A2518" s="124">
        <v>44432</v>
      </c>
      <c r="B2518" s="126">
        <v>113.45999908447266</v>
      </c>
      <c r="C2518" s="125">
        <f>IFERROR(yf_data[[#This Row],[Close Price]]/B2517-1,0)</f>
        <v>1.557463162153172E-2</v>
      </c>
    </row>
    <row r="2519" spans="1:3" x14ac:dyDescent="0.15">
      <c r="A2519" s="124">
        <v>44433</v>
      </c>
      <c r="B2519" s="126">
        <v>115.91999816894533</v>
      </c>
      <c r="C2519" s="125">
        <f>IFERROR(yf_data[[#This Row],[Close Price]]/B2518-1,0)</f>
        <v>2.168164202646583E-2</v>
      </c>
    </row>
    <row r="2520" spans="1:3" x14ac:dyDescent="0.15">
      <c r="A2520" s="124">
        <v>44434</v>
      </c>
      <c r="B2520" s="126">
        <v>115</v>
      </c>
      <c r="C2520" s="125">
        <f>IFERROR(yf_data[[#This Row],[Close Price]]/B2519-1,0)</f>
        <v>-7.9364922660237758E-3</v>
      </c>
    </row>
    <row r="2521" spans="1:3" x14ac:dyDescent="0.15">
      <c r="A2521" s="124">
        <v>44435</v>
      </c>
      <c r="B2521" s="126">
        <v>115.01999664306641</v>
      </c>
      <c r="C2521" s="125">
        <f>IFERROR(yf_data[[#This Row],[Close Price]]/B2520-1,0)</f>
        <v>1.7388385275141083E-4</v>
      </c>
    </row>
    <row r="2522" spans="1:3" x14ac:dyDescent="0.15">
      <c r="A2522" s="124">
        <v>44438</v>
      </c>
      <c r="B2522" s="126">
        <v>114.86000061035156</v>
      </c>
      <c r="C2522" s="125">
        <f>IFERROR(yf_data[[#This Row],[Close Price]]/B2521-1,0)</f>
        <v>-1.3910279723912122E-3</v>
      </c>
    </row>
    <row r="2523" spans="1:3" x14ac:dyDescent="0.15">
      <c r="A2523" s="124">
        <v>44439</v>
      </c>
      <c r="B2523" s="126">
        <v>115.6999969482422</v>
      </c>
      <c r="C2523" s="125">
        <f>IFERROR(yf_data[[#This Row],[Close Price]]/B2522-1,0)</f>
        <v>7.3132189920512847E-3</v>
      </c>
    </row>
    <row r="2524" spans="1:3" x14ac:dyDescent="0.15">
      <c r="A2524" s="124">
        <v>44440</v>
      </c>
      <c r="B2524" s="126">
        <v>118</v>
      </c>
      <c r="C2524" s="125">
        <f>IFERROR(yf_data[[#This Row],[Close Price]]/B2523-1,0)</f>
        <v>1.9879024307897675E-2</v>
      </c>
    </row>
    <row r="2525" spans="1:3" x14ac:dyDescent="0.15">
      <c r="A2525" s="124">
        <v>44441</v>
      </c>
      <c r="B2525" s="126">
        <v>116.77999877929688</v>
      </c>
      <c r="C2525" s="125">
        <f>IFERROR(yf_data[[#This Row],[Close Price]]/B2524-1,0)</f>
        <v>-1.0338993395789142E-2</v>
      </c>
    </row>
    <row r="2526" spans="1:3" x14ac:dyDescent="0.15">
      <c r="A2526" s="124">
        <v>44442</v>
      </c>
      <c r="B2526" s="126">
        <v>114.48000335693359</v>
      </c>
      <c r="C2526" s="125">
        <f>IFERROR(yf_data[[#This Row],[Close Price]]/B2525-1,0)</f>
        <v>-1.9695114286737203E-2</v>
      </c>
    </row>
    <row r="2527" spans="1:3" x14ac:dyDescent="0.15">
      <c r="A2527" s="124">
        <v>44445</v>
      </c>
      <c r="B2527" s="126">
        <v>115.87999725341795</v>
      </c>
      <c r="C2527" s="125">
        <f>IFERROR(yf_data[[#This Row],[Close Price]]/B2526-1,0)</f>
        <v>1.2229156668692287E-2</v>
      </c>
    </row>
    <row r="2528" spans="1:3" x14ac:dyDescent="0.15">
      <c r="A2528" s="124">
        <v>44446</v>
      </c>
      <c r="B2528" s="126">
        <v>114.09999847412109</v>
      </c>
      <c r="C2528" s="125">
        <f>IFERROR(yf_data[[#This Row],[Close Price]]/B2527-1,0)</f>
        <v>-1.5360707813999896E-2</v>
      </c>
    </row>
    <row r="2529" spans="1:3" x14ac:dyDescent="0.15">
      <c r="A2529" s="124">
        <v>44447</v>
      </c>
      <c r="B2529" s="126">
        <v>113.72000122070312</v>
      </c>
      <c r="C2529" s="125">
        <f>IFERROR(yf_data[[#This Row],[Close Price]]/B2528-1,0)</f>
        <v>-3.3303878921975283E-3</v>
      </c>
    </row>
    <row r="2530" spans="1:3" x14ac:dyDescent="0.15">
      <c r="A2530" s="124">
        <v>44448</v>
      </c>
      <c r="B2530" s="126">
        <v>115.1999969482422</v>
      </c>
      <c r="C2530" s="125">
        <f>IFERROR(yf_data[[#This Row],[Close Price]]/B2529-1,0)</f>
        <v>1.3014383676155372E-2</v>
      </c>
    </row>
    <row r="2531" spans="1:3" x14ac:dyDescent="0.15">
      <c r="A2531" s="124">
        <v>44449</v>
      </c>
      <c r="B2531" s="126">
        <v>114.36000061035156</v>
      </c>
      <c r="C2531" s="125">
        <f>IFERROR(yf_data[[#This Row],[Close Price]]/B2530-1,0)</f>
        <v>-7.2916350706853095E-3</v>
      </c>
    </row>
    <row r="2532" spans="1:3" x14ac:dyDescent="0.15">
      <c r="A2532" s="124">
        <v>44452</v>
      </c>
      <c r="B2532" s="126">
        <v>115.08000183105467</v>
      </c>
      <c r="C2532" s="125">
        <f>IFERROR(yf_data[[#This Row],[Close Price]]/B2531-1,0)</f>
        <v>6.2959183006330299E-3</v>
      </c>
    </row>
    <row r="2533" spans="1:3" x14ac:dyDescent="0.15">
      <c r="A2533" s="124">
        <v>44453</v>
      </c>
      <c r="B2533" s="126">
        <v>112.76000213623048</v>
      </c>
      <c r="C2533" s="125">
        <f>IFERROR(yf_data[[#This Row],[Close Price]]/B2532-1,0)</f>
        <v>-2.0159885800402622E-2</v>
      </c>
    </row>
    <row r="2534" spans="1:3" x14ac:dyDescent="0.15">
      <c r="A2534" s="124">
        <v>44454</v>
      </c>
      <c r="B2534" s="126">
        <v>112.36000061035156</v>
      </c>
      <c r="C2534" s="125">
        <f>IFERROR(yf_data[[#This Row],[Close Price]]/B2533-1,0)</f>
        <v>-3.5473706837612085E-3</v>
      </c>
    </row>
    <row r="2535" spans="1:3" x14ac:dyDescent="0.15">
      <c r="A2535" s="124">
        <v>44455</v>
      </c>
      <c r="B2535" s="126">
        <v>114.87999725341795</v>
      </c>
      <c r="C2535" s="125">
        <f>IFERROR(yf_data[[#This Row],[Close Price]]/B2534-1,0)</f>
        <v>2.2427880289938695E-2</v>
      </c>
    </row>
    <row r="2536" spans="1:3" x14ac:dyDescent="0.15">
      <c r="A2536" s="124">
        <v>44456</v>
      </c>
      <c r="B2536" s="126">
        <v>113.04000091552734</v>
      </c>
      <c r="C2536" s="125">
        <f>IFERROR(yf_data[[#This Row],[Close Price]]/B2535-1,0)</f>
        <v>-1.6016681597159965E-2</v>
      </c>
    </row>
    <row r="2537" spans="1:3" x14ac:dyDescent="0.15">
      <c r="A2537" s="124">
        <v>44459</v>
      </c>
      <c r="B2537" s="126">
        <v>111.94000244140624</v>
      </c>
      <c r="C2537" s="125">
        <f>IFERROR(yf_data[[#This Row],[Close Price]]/B2536-1,0)</f>
        <v>-9.7310550708781252E-3</v>
      </c>
    </row>
    <row r="2538" spans="1:3" x14ac:dyDescent="0.15">
      <c r="A2538" s="124">
        <v>44460</v>
      </c>
      <c r="B2538" s="126">
        <v>113.27999877929688</v>
      </c>
      <c r="C2538" s="125">
        <f>IFERROR(yf_data[[#This Row],[Close Price]]/B2537-1,0)</f>
        <v>1.1970665612519138E-2</v>
      </c>
    </row>
    <row r="2539" spans="1:3" x14ac:dyDescent="0.15">
      <c r="A2539" s="124">
        <v>44461</v>
      </c>
      <c r="B2539" s="126">
        <v>115.83999633789062</v>
      </c>
      <c r="C2539" s="125">
        <f>IFERROR(yf_data[[#This Row],[Close Price]]/B2538-1,0)</f>
        <v>2.2598848748059952E-2</v>
      </c>
    </row>
    <row r="2540" spans="1:3" x14ac:dyDescent="0.15">
      <c r="A2540" s="124">
        <v>44462</v>
      </c>
      <c r="B2540" s="126">
        <v>116.68000030517578</v>
      </c>
      <c r="C2540" s="125">
        <f>IFERROR(yf_data[[#This Row],[Close Price]]/B2539-1,0)</f>
        <v>7.2514156926850593E-3</v>
      </c>
    </row>
    <row r="2541" spans="1:3" x14ac:dyDescent="0.15">
      <c r="A2541" s="124">
        <v>44463</v>
      </c>
      <c r="B2541" s="126">
        <v>115.40000152587891</v>
      </c>
      <c r="C2541" s="125">
        <f>IFERROR(yf_data[[#This Row],[Close Price]]/B2540-1,0)</f>
        <v>-1.0970164346495115E-2</v>
      </c>
    </row>
    <row r="2542" spans="1:3" x14ac:dyDescent="0.15">
      <c r="A2542" s="124">
        <v>44466</v>
      </c>
      <c r="B2542" s="126">
        <v>117.23999786376952</v>
      </c>
      <c r="C2542" s="125">
        <f>IFERROR(yf_data[[#This Row],[Close Price]]/B2541-1,0)</f>
        <v>1.5944508783026112E-2</v>
      </c>
    </row>
    <row r="2543" spans="1:3" x14ac:dyDescent="0.15">
      <c r="A2543" s="124">
        <v>44467</v>
      </c>
      <c r="B2543" s="126">
        <v>113.36000061035156</v>
      </c>
      <c r="C2543" s="125">
        <f>IFERROR(yf_data[[#This Row],[Close Price]]/B2542-1,0)</f>
        <v>-3.3094484170209881E-2</v>
      </c>
    </row>
    <row r="2544" spans="1:3" x14ac:dyDescent="0.15">
      <c r="A2544" s="124">
        <v>44468</v>
      </c>
      <c r="B2544" s="126">
        <v>117.3000030517578</v>
      </c>
      <c r="C2544" s="125">
        <f>IFERROR(yf_data[[#This Row],[Close Price]]/B2543-1,0)</f>
        <v>3.4756549225410494E-2</v>
      </c>
    </row>
    <row r="2545" spans="1:3" x14ac:dyDescent="0.15">
      <c r="A2545" s="124">
        <v>44469</v>
      </c>
      <c r="B2545" s="126">
        <v>115.09999847412109</v>
      </c>
      <c r="C2545" s="125">
        <f>IFERROR(yf_data[[#This Row],[Close Price]]/B2544-1,0)</f>
        <v>-1.8755366755327074E-2</v>
      </c>
    </row>
    <row r="2546" spans="1:3" x14ac:dyDescent="0.15">
      <c r="A2546" s="124">
        <v>44470</v>
      </c>
      <c r="B2546" s="126">
        <v>116.58000183105467</v>
      </c>
      <c r="C2546" s="125">
        <f>IFERROR(yf_data[[#This Row],[Close Price]]/B2545-1,0)</f>
        <v>1.2858413349730258E-2</v>
      </c>
    </row>
    <row r="2547" spans="1:3" x14ac:dyDescent="0.15">
      <c r="A2547" s="124">
        <v>44473</v>
      </c>
      <c r="B2547" s="126">
        <v>113.66000366210938</v>
      </c>
      <c r="C2547" s="125">
        <f>IFERROR(yf_data[[#This Row],[Close Price]]/B2546-1,0)</f>
        <v>-2.5047161803761986E-2</v>
      </c>
    </row>
    <row r="2548" spans="1:3" x14ac:dyDescent="0.15">
      <c r="A2548" s="124">
        <v>44474</v>
      </c>
      <c r="B2548" s="126">
        <v>115.08000183105467</v>
      </c>
      <c r="C2548" s="125">
        <f>IFERROR(yf_data[[#This Row],[Close Price]]/B2547-1,0)</f>
        <v>1.2493384860048806E-2</v>
      </c>
    </row>
    <row r="2549" spans="1:3" x14ac:dyDescent="0.15">
      <c r="A2549" s="124">
        <v>44475</v>
      </c>
      <c r="B2549" s="126">
        <v>113.41999816894533</v>
      </c>
      <c r="C2549" s="125">
        <f>IFERROR(yf_data[[#This Row],[Close Price]]/B2548-1,0)</f>
        <v>-1.4424779594167436E-2</v>
      </c>
    </row>
    <row r="2550" spans="1:3" x14ac:dyDescent="0.15">
      <c r="A2550" s="124">
        <v>44476</v>
      </c>
      <c r="B2550" s="126">
        <v>114.1999969482422</v>
      </c>
      <c r="C2550" s="125">
        <f>IFERROR(yf_data[[#This Row],[Close Price]]/B2549-1,0)</f>
        <v>6.8770833352953531E-3</v>
      </c>
    </row>
    <row r="2551" spans="1:3" x14ac:dyDescent="0.15">
      <c r="A2551" s="124">
        <v>44477</v>
      </c>
      <c r="B2551" s="126">
        <v>113.22000122070312</v>
      </c>
      <c r="C2551" s="125">
        <f>IFERROR(yf_data[[#This Row],[Close Price]]/B2550-1,0)</f>
        <v>-8.5813988942856634E-3</v>
      </c>
    </row>
    <row r="2552" spans="1:3" x14ac:dyDescent="0.15">
      <c r="A2552" s="124">
        <v>44480</v>
      </c>
      <c r="B2552" s="126">
        <v>113.81999969482422</v>
      </c>
      <c r="C2552" s="125">
        <f>IFERROR(yf_data[[#This Row],[Close Price]]/B2551-1,0)</f>
        <v>5.2994035298719044E-3</v>
      </c>
    </row>
    <row r="2553" spans="1:3" x14ac:dyDescent="0.15">
      <c r="A2553" s="124">
        <v>44481</v>
      </c>
      <c r="B2553" s="126">
        <v>113.23999786376952</v>
      </c>
      <c r="C2553" s="125">
        <f>IFERROR(yf_data[[#This Row],[Close Price]]/B2552-1,0)</f>
        <v>-5.0957813443138766E-3</v>
      </c>
    </row>
    <row r="2554" spans="1:3" x14ac:dyDescent="0.15">
      <c r="A2554" s="124">
        <v>44482</v>
      </c>
      <c r="B2554" s="126">
        <v>112.33999633789062</v>
      </c>
      <c r="C2554" s="125">
        <f>IFERROR(yf_data[[#This Row],[Close Price]]/B2553-1,0)</f>
        <v>-7.9477352777912458E-3</v>
      </c>
    </row>
    <row r="2555" spans="1:3" x14ac:dyDescent="0.15">
      <c r="A2555" s="124">
        <v>44483</v>
      </c>
      <c r="B2555" s="126">
        <v>113.36000061035156</v>
      </c>
      <c r="C2555" s="125">
        <f>IFERROR(yf_data[[#This Row],[Close Price]]/B2554-1,0)</f>
        <v>9.0796181743946214E-3</v>
      </c>
    </row>
    <row r="2556" spans="1:3" x14ac:dyDescent="0.15">
      <c r="A2556" s="124">
        <v>44484</v>
      </c>
      <c r="B2556" s="126">
        <v>114.90000152587891</v>
      </c>
      <c r="C2556" s="125">
        <f>IFERROR(yf_data[[#This Row],[Close Price]]/B2555-1,0)</f>
        <v>1.3585046817534252E-2</v>
      </c>
    </row>
    <row r="2557" spans="1:3" x14ac:dyDescent="0.15">
      <c r="A2557" s="124">
        <v>44487</v>
      </c>
      <c r="B2557" s="126">
        <v>113.3000030517578</v>
      </c>
      <c r="C2557" s="125">
        <f>IFERROR(yf_data[[#This Row],[Close Price]]/B2556-1,0)</f>
        <v>-1.3925138841366702E-2</v>
      </c>
    </row>
    <row r="2558" spans="1:3" x14ac:dyDescent="0.15">
      <c r="A2558" s="124">
        <v>44488</v>
      </c>
      <c r="B2558" s="126">
        <v>112.31999969482422</v>
      </c>
      <c r="C2558" s="125">
        <f>IFERROR(yf_data[[#This Row],[Close Price]]/B2557-1,0)</f>
        <v>-8.6496322200970699E-3</v>
      </c>
    </row>
    <row r="2559" spans="1:3" x14ac:dyDescent="0.15">
      <c r="A2559" s="124">
        <v>44489</v>
      </c>
      <c r="B2559" s="126">
        <v>112.16000366210938</v>
      </c>
      <c r="C2559" s="125">
        <f>IFERROR(yf_data[[#This Row],[Close Price]]/B2558-1,0)</f>
        <v>-1.4244661071007858E-3</v>
      </c>
    </row>
    <row r="2560" spans="1:3" x14ac:dyDescent="0.15">
      <c r="A2560" s="124">
        <v>44490</v>
      </c>
      <c r="B2560" s="126">
        <v>111.37999725341795</v>
      </c>
      <c r="C2560" s="125">
        <f>IFERROR(yf_data[[#This Row],[Close Price]]/B2559-1,0)</f>
        <v>-6.9544078390122444E-3</v>
      </c>
    </row>
    <row r="2561" spans="1:3" x14ac:dyDescent="0.15">
      <c r="A2561" s="124">
        <v>44491</v>
      </c>
      <c r="B2561" s="126">
        <v>109.77999877929688</v>
      </c>
      <c r="C2561" s="125">
        <f>IFERROR(yf_data[[#This Row],[Close Price]]/B2560-1,0)</f>
        <v>-1.4365222783052078E-2</v>
      </c>
    </row>
    <row r="2562" spans="1:3" x14ac:dyDescent="0.15">
      <c r="C2562"/>
    </row>
    <row r="2563" spans="1:3" x14ac:dyDescent="0.15">
      <c r="C2563"/>
    </row>
    <row r="2564" spans="1:3" x14ac:dyDescent="0.15">
      <c r="C2564"/>
    </row>
    <row r="2565" spans="1:3" x14ac:dyDescent="0.15">
      <c r="C2565"/>
    </row>
    <row r="2566" spans="1:3" x14ac:dyDescent="0.15">
      <c r="C2566"/>
    </row>
    <row r="2567" spans="1:3" x14ac:dyDescent="0.15">
      <c r="C2567"/>
    </row>
    <row r="2568" spans="1:3" x14ac:dyDescent="0.15">
      <c r="C2568"/>
    </row>
    <row r="2569" spans="1:3" x14ac:dyDescent="0.15">
      <c r="C2569"/>
    </row>
    <row r="2570" spans="1:3" x14ac:dyDescent="0.15">
      <c r="C2570"/>
    </row>
    <row r="2571" spans="1:3" x14ac:dyDescent="0.15">
      <c r="C2571"/>
    </row>
    <row r="2572" spans="1:3" x14ac:dyDescent="0.15">
      <c r="C2572"/>
    </row>
    <row r="2573" spans="1:3" x14ac:dyDescent="0.15">
      <c r="C2573"/>
    </row>
    <row r="2574" spans="1:3" x14ac:dyDescent="0.15">
      <c r="C2574"/>
    </row>
    <row r="2575" spans="1:3" x14ac:dyDescent="0.15">
      <c r="C2575"/>
    </row>
    <row r="2576" spans="1:3" x14ac:dyDescent="0.15">
      <c r="C2576"/>
    </row>
    <row r="2577" spans="3:3" x14ac:dyDescent="0.15">
      <c r="C2577"/>
    </row>
    <row r="2578" spans="3:3" x14ac:dyDescent="0.15">
      <c r="C2578"/>
    </row>
    <row r="2579" spans="3:3" x14ac:dyDescent="0.15">
      <c r="C2579"/>
    </row>
    <row r="2580" spans="3:3" x14ac:dyDescent="0.15">
      <c r="C2580"/>
    </row>
    <row r="2581" spans="3:3" x14ac:dyDescent="0.15">
      <c r="C2581"/>
    </row>
    <row r="2582" spans="3:3" x14ac:dyDescent="0.15">
      <c r="C2582"/>
    </row>
    <row r="2583" spans="3:3" x14ac:dyDescent="0.15">
      <c r="C2583"/>
    </row>
    <row r="2584" spans="3:3" x14ac:dyDescent="0.15">
      <c r="C2584"/>
    </row>
    <row r="2585" spans="3:3" x14ac:dyDescent="0.15">
      <c r="C2585"/>
    </row>
    <row r="2586" spans="3:3" x14ac:dyDescent="0.15">
      <c r="C2586"/>
    </row>
    <row r="2587" spans="3:3" x14ac:dyDescent="0.15">
      <c r="C2587"/>
    </row>
    <row r="2588" spans="3:3" x14ac:dyDescent="0.15">
      <c r="C2588"/>
    </row>
    <row r="2589" spans="3:3" x14ac:dyDescent="0.15">
      <c r="C2589"/>
    </row>
    <row r="2590" spans="3:3" x14ac:dyDescent="0.15">
      <c r="C2590"/>
    </row>
    <row r="2591" spans="3:3" x14ac:dyDescent="0.15">
      <c r="C2591"/>
    </row>
    <row r="2592" spans="3:3" x14ac:dyDescent="0.15">
      <c r="C2592"/>
    </row>
    <row r="2593" spans="3:3" x14ac:dyDescent="0.15">
      <c r="C2593"/>
    </row>
    <row r="2594" spans="3:3" x14ac:dyDescent="0.15">
      <c r="C2594"/>
    </row>
    <row r="2595" spans="3:3" x14ac:dyDescent="0.15">
      <c r="C2595"/>
    </row>
    <row r="2596" spans="3:3" x14ac:dyDescent="0.15">
      <c r="C2596"/>
    </row>
    <row r="2597" spans="3:3" x14ac:dyDescent="0.15">
      <c r="C2597"/>
    </row>
    <row r="2598" spans="3:3" x14ac:dyDescent="0.15">
      <c r="C2598"/>
    </row>
    <row r="2599" spans="3:3" x14ac:dyDescent="0.15">
      <c r="C2599"/>
    </row>
    <row r="2600" spans="3:3" x14ac:dyDescent="0.15">
      <c r="C2600"/>
    </row>
    <row r="2601" spans="3:3" x14ac:dyDescent="0.15">
      <c r="C2601"/>
    </row>
    <row r="2602" spans="3:3" x14ac:dyDescent="0.15">
      <c r="C2602"/>
    </row>
    <row r="2603" spans="3:3" x14ac:dyDescent="0.15">
      <c r="C2603"/>
    </row>
    <row r="2604" spans="3:3" x14ac:dyDescent="0.15">
      <c r="C2604"/>
    </row>
    <row r="2605" spans="3:3" x14ac:dyDescent="0.15">
      <c r="C2605"/>
    </row>
    <row r="2606" spans="3:3" x14ac:dyDescent="0.15">
      <c r="C2606"/>
    </row>
    <row r="2607" spans="3:3" x14ac:dyDescent="0.15">
      <c r="C2607"/>
    </row>
    <row r="2608" spans="3:3" x14ac:dyDescent="0.15">
      <c r="C2608"/>
    </row>
    <row r="2609" spans="3:3" x14ac:dyDescent="0.15">
      <c r="C2609"/>
    </row>
    <row r="2610" spans="3:3" x14ac:dyDescent="0.15">
      <c r="C2610"/>
    </row>
    <row r="2611" spans="3:3" x14ac:dyDescent="0.15">
      <c r="C2611"/>
    </row>
    <row r="2612" spans="3:3" x14ac:dyDescent="0.15">
      <c r="C2612"/>
    </row>
    <row r="2613" spans="3:3" x14ac:dyDescent="0.15">
      <c r="C2613"/>
    </row>
    <row r="2614" spans="3:3" x14ac:dyDescent="0.15">
      <c r="C2614"/>
    </row>
    <row r="2615" spans="3:3" x14ac:dyDescent="0.15">
      <c r="C2615"/>
    </row>
    <row r="2616" spans="3:3" x14ac:dyDescent="0.15">
      <c r="C2616"/>
    </row>
    <row r="2617" spans="3:3" x14ac:dyDescent="0.15">
      <c r="C2617"/>
    </row>
    <row r="2618" spans="3:3" x14ac:dyDescent="0.15">
      <c r="C2618"/>
    </row>
    <row r="2619" spans="3:3" x14ac:dyDescent="0.15">
      <c r="C2619"/>
    </row>
    <row r="2620" spans="3:3" x14ac:dyDescent="0.15">
      <c r="C2620"/>
    </row>
    <row r="2621" spans="3:3" x14ac:dyDescent="0.15">
      <c r="C2621"/>
    </row>
    <row r="2622" spans="3:3" x14ac:dyDescent="0.15">
      <c r="C2622"/>
    </row>
    <row r="2623" spans="3:3" x14ac:dyDescent="0.15">
      <c r="C2623"/>
    </row>
    <row r="2624" spans="3:3" x14ac:dyDescent="0.15">
      <c r="C2624"/>
    </row>
    <row r="2625" spans="3:3" x14ac:dyDescent="0.15">
      <c r="C2625"/>
    </row>
    <row r="2626" spans="3:3" x14ac:dyDescent="0.15">
      <c r="C2626"/>
    </row>
    <row r="2627" spans="3:3" x14ac:dyDescent="0.15">
      <c r="C2627"/>
    </row>
    <row r="2628" spans="3:3" x14ac:dyDescent="0.15">
      <c r="C2628"/>
    </row>
    <row r="2629" spans="3:3" x14ac:dyDescent="0.15">
      <c r="C2629"/>
    </row>
    <row r="2630" spans="3:3" x14ac:dyDescent="0.15">
      <c r="C2630"/>
    </row>
    <row r="2631" spans="3:3" x14ac:dyDescent="0.15">
      <c r="C2631"/>
    </row>
    <row r="2632" spans="3:3" x14ac:dyDescent="0.15">
      <c r="C2632"/>
    </row>
    <row r="2633" spans="3:3" x14ac:dyDescent="0.15">
      <c r="C2633"/>
    </row>
    <row r="2634" spans="3:3" x14ac:dyDescent="0.15">
      <c r="C2634"/>
    </row>
    <row r="2635" spans="3:3" x14ac:dyDescent="0.15">
      <c r="C2635"/>
    </row>
    <row r="2636" spans="3:3" x14ac:dyDescent="0.15">
      <c r="C2636"/>
    </row>
    <row r="2637" spans="3:3" x14ac:dyDescent="0.15">
      <c r="C2637"/>
    </row>
    <row r="2638" spans="3:3" x14ac:dyDescent="0.15">
      <c r="C2638"/>
    </row>
    <row r="2639" spans="3:3" x14ac:dyDescent="0.15">
      <c r="C2639"/>
    </row>
    <row r="2640" spans="3:3" x14ac:dyDescent="0.15">
      <c r="C2640"/>
    </row>
    <row r="2641" spans="3:3" x14ac:dyDescent="0.15">
      <c r="C2641"/>
    </row>
    <row r="2642" spans="3:3" x14ac:dyDescent="0.15">
      <c r="C2642"/>
    </row>
    <row r="2643" spans="3:3" x14ac:dyDescent="0.15">
      <c r="C2643"/>
    </row>
    <row r="2644" spans="3:3" x14ac:dyDescent="0.15">
      <c r="C2644"/>
    </row>
    <row r="2645" spans="3:3" x14ac:dyDescent="0.15">
      <c r="C2645"/>
    </row>
    <row r="2646" spans="3:3" x14ac:dyDescent="0.15">
      <c r="C2646"/>
    </row>
    <row r="2647" spans="3:3" x14ac:dyDescent="0.15">
      <c r="C2647"/>
    </row>
    <row r="2648" spans="3:3" x14ac:dyDescent="0.15">
      <c r="C2648"/>
    </row>
    <row r="2649" spans="3:3" x14ac:dyDescent="0.15">
      <c r="C2649"/>
    </row>
    <row r="2650" spans="3:3" x14ac:dyDescent="0.15">
      <c r="C2650"/>
    </row>
    <row r="2651" spans="3:3" x14ac:dyDescent="0.15">
      <c r="C2651"/>
    </row>
    <row r="2652" spans="3:3" x14ac:dyDescent="0.15">
      <c r="C2652"/>
    </row>
    <row r="2653" spans="3:3" x14ac:dyDescent="0.15">
      <c r="C2653"/>
    </row>
    <row r="2654" spans="3:3" x14ac:dyDescent="0.15">
      <c r="C2654"/>
    </row>
    <row r="2655" spans="3:3" x14ac:dyDescent="0.15">
      <c r="C2655"/>
    </row>
    <row r="2656" spans="3:3" x14ac:dyDescent="0.15">
      <c r="C2656"/>
    </row>
    <row r="2657" spans="3:3" x14ac:dyDescent="0.15">
      <c r="C2657"/>
    </row>
    <row r="2658" spans="3:3" x14ac:dyDescent="0.15">
      <c r="C2658"/>
    </row>
    <row r="2659" spans="3:3" x14ac:dyDescent="0.15">
      <c r="C2659"/>
    </row>
    <row r="2660" spans="3:3" x14ac:dyDescent="0.15">
      <c r="C2660"/>
    </row>
    <row r="2661" spans="3:3" x14ac:dyDescent="0.15">
      <c r="C2661"/>
    </row>
    <row r="2662" spans="3:3" x14ac:dyDescent="0.15">
      <c r="C2662"/>
    </row>
    <row r="2663" spans="3:3" x14ac:dyDescent="0.15">
      <c r="C2663"/>
    </row>
    <row r="2664" spans="3:3" x14ac:dyDescent="0.15">
      <c r="C2664"/>
    </row>
    <row r="2665" spans="3:3" x14ac:dyDescent="0.15">
      <c r="C2665"/>
    </row>
    <row r="2666" spans="3:3" x14ac:dyDescent="0.15">
      <c r="C2666"/>
    </row>
    <row r="2667" spans="3:3" x14ac:dyDescent="0.15">
      <c r="C2667"/>
    </row>
    <row r="2668" spans="3:3" x14ac:dyDescent="0.15">
      <c r="C2668"/>
    </row>
    <row r="2669" spans="3:3" x14ac:dyDescent="0.15">
      <c r="C2669"/>
    </row>
    <row r="2670" spans="3:3" x14ac:dyDescent="0.15">
      <c r="C2670"/>
    </row>
    <row r="2671" spans="3:3" x14ac:dyDescent="0.15">
      <c r="C2671"/>
    </row>
    <row r="2672" spans="3:3" x14ac:dyDescent="0.15">
      <c r="C2672"/>
    </row>
    <row r="2673" spans="3:3" x14ac:dyDescent="0.15">
      <c r="C2673"/>
    </row>
    <row r="2674" spans="3:3" x14ac:dyDescent="0.15">
      <c r="C2674"/>
    </row>
    <row r="2675" spans="3:3" x14ac:dyDescent="0.15">
      <c r="C2675"/>
    </row>
    <row r="2676" spans="3:3" x14ac:dyDescent="0.15">
      <c r="C2676"/>
    </row>
    <row r="2677" spans="3:3" x14ac:dyDescent="0.15">
      <c r="C2677"/>
    </row>
    <row r="2678" spans="3:3" x14ac:dyDescent="0.15">
      <c r="C2678"/>
    </row>
    <row r="2679" spans="3:3" x14ac:dyDescent="0.15">
      <c r="C2679"/>
    </row>
    <row r="2680" spans="3:3" x14ac:dyDescent="0.15">
      <c r="C2680"/>
    </row>
    <row r="2681" spans="3:3" x14ac:dyDescent="0.15">
      <c r="C2681"/>
    </row>
    <row r="2682" spans="3:3" x14ac:dyDescent="0.15">
      <c r="C2682"/>
    </row>
    <row r="2683" spans="3:3" x14ac:dyDescent="0.15">
      <c r="C2683"/>
    </row>
    <row r="2684" spans="3:3" x14ac:dyDescent="0.15">
      <c r="C2684"/>
    </row>
    <row r="2685" spans="3:3" x14ac:dyDescent="0.15">
      <c r="C2685"/>
    </row>
    <row r="2686" spans="3:3" x14ac:dyDescent="0.15">
      <c r="C2686"/>
    </row>
    <row r="2687" spans="3:3" x14ac:dyDescent="0.15">
      <c r="C2687"/>
    </row>
    <row r="2688" spans="3:3" x14ac:dyDescent="0.15">
      <c r="C2688"/>
    </row>
    <row r="2689" spans="3:3" x14ac:dyDescent="0.15">
      <c r="C2689"/>
    </row>
    <row r="2690" spans="3:3" x14ac:dyDescent="0.15">
      <c r="C2690"/>
    </row>
    <row r="2691" spans="3:3" x14ac:dyDescent="0.15">
      <c r="C2691"/>
    </row>
    <row r="2692" spans="3:3" x14ac:dyDescent="0.15">
      <c r="C2692"/>
    </row>
    <row r="2693" spans="3:3" x14ac:dyDescent="0.15">
      <c r="C2693"/>
    </row>
    <row r="2694" spans="3:3" x14ac:dyDescent="0.15">
      <c r="C2694"/>
    </row>
    <row r="2695" spans="3:3" x14ac:dyDescent="0.15">
      <c r="C2695"/>
    </row>
    <row r="2696" spans="3:3" x14ac:dyDescent="0.15">
      <c r="C2696"/>
    </row>
    <row r="2697" spans="3:3" x14ac:dyDescent="0.15">
      <c r="C2697"/>
    </row>
    <row r="2698" spans="3:3" x14ac:dyDescent="0.15">
      <c r="C2698"/>
    </row>
    <row r="2699" spans="3:3" x14ac:dyDescent="0.15">
      <c r="C2699"/>
    </row>
    <row r="2700" spans="3:3" x14ac:dyDescent="0.15">
      <c r="C2700"/>
    </row>
    <row r="2701" spans="3:3" x14ac:dyDescent="0.15">
      <c r="C2701"/>
    </row>
    <row r="2702" spans="3:3" x14ac:dyDescent="0.15">
      <c r="C2702"/>
    </row>
    <row r="2703" spans="3:3" x14ac:dyDescent="0.15">
      <c r="C2703"/>
    </row>
    <row r="2704" spans="3:3" x14ac:dyDescent="0.15">
      <c r="C2704"/>
    </row>
    <row r="2705" spans="3:3" x14ac:dyDescent="0.15">
      <c r="C2705"/>
    </row>
    <row r="2706" spans="3:3" x14ac:dyDescent="0.15">
      <c r="C2706"/>
    </row>
    <row r="2707" spans="3:3" x14ac:dyDescent="0.15">
      <c r="C2707"/>
    </row>
    <row r="2708" spans="3:3" x14ac:dyDescent="0.15">
      <c r="C2708"/>
    </row>
    <row r="2709" spans="3:3" x14ac:dyDescent="0.15">
      <c r="C2709"/>
    </row>
    <row r="2710" spans="3:3" x14ac:dyDescent="0.15">
      <c r="C2710"/>
    </row>
    <row r="2711" spans="3:3" x14ac:dyDescent="0.15">
      <c r="C2711"/>
    </row>
    <row r="2712" spans="3:3" x14ac:dyDescent="0.15">
      <c r="C2712"/>
    </row>
    <row r="2713" spans="3:3" x14ac:dyDescent="0.15">
      <c r="C2713"/>
    </row>
    <row r="2714" spans="3:3" x14ac:dyDescent="0.15">
      <c r="C2714"/>
    </row>
    <row r="2715" spans="3:3" x14ac:dyDescent="0.15">
      <c r="C2715"/>
    </row>
    <row r="2716" spans="3:3" x14ac:dyDescent="0.15">
      <c r="C2716"/>
    </row>
    <row r="2717" spans="3:3" x14ac:dyDescent="0.15">
      <c r="C2717"/>
    </row>
    <row r="2718" spans="3:3" x14ac:dyDescent="0.15">
      <c r="C2718"/>
    </row>
    <row r="2719" spans="3:3" x14ac:dyDescent="0.15">
      <c r="C2719"/>
    </row>
    <row r="2720" spans="3:3" x14ac:dyDescent="0.15">
      <c r="C2720"/>
    </row>
    <row r="2721" spans="3:3" x14ac:dyDescent="0.15">
      <c r="C2721"/>
    </row>
    <row r="2722" spans="3:3" x14ac:dyDescent="0.15">
      <c r="C2722"/>
    </row>
    <row r="2723" spans="3:3" x14ac:dyDescent="0.15">
      <c r="C2723"/>
    </row>
    <row r="2724" spans="3:3" x14ac:dyDescent="0.15">
      <c r="C2724"/>
    </row>
    <row r="2725" spans="3:3" x14ac:dyDescent="0.15">
      <c r="C2725"/>
    </row>
    <row r="2726" spans="3:3" x14ac:dyDescent="0.15">
      <c r="C2726"/>
    </row>
    <row r="2727" spans="3:3" x14ac:dyDescent="0.15">
      <c r="C2727"/>
    </row>
    <row r="2728" spans="3:3" x14ac:dyDescent="0.15">
      <c r="C2728"/>
    </row>
    <row r="2729" spans="3:3" x14ac:dyDescent="0.15">
      <c r="C2729"/>
    </row>
    <row r="2730" spans="3:3" x14ac:dyDescent="0.15">
      <c r="C2730"/>
    </row>
    <row r="2731" spans="3:3" x14ac:dyDescent="0.15">
      <c r="C2731"/>
    </row>
    <row r="2732" spans="3:3" x14ac:dyDescent="0.15">
      <c r="C2732"/>
    </row>
    <row r="2733" spans="3:3" x14ac:dyDescent="0.15">
      <c r="C2733"/>
    </row>
    <row r="2734" spans="3:3" x14ac:dyDescent="0.15">
      <c r="C2734"/>
    </row>
    <row r="2735" spans="3:3" x14ac:dyDescent="0.15">
      <c r="C2735"/>
    </row>
    <row r="2736" spans="3:3" x14ac:dyDescent="0.15">
      <c r="C2736"/>
    </row>
    <row r="2737" spans="3:3" x14ac:dyDescent="0.15">
      <c r="C2737"/>
    </row>
    <row r="2738" spans="3:3" x14ac:dyDescent="0.15">
      <c r="C2738"/>
    </row>
    <row r="2739" spans="3:3" x14ac:dyDescent="0.15">
      <c r="C2739"/>
    </row>
    <row r="2740" spans="3:3" x14ac:dyDescent="0.15">
      <c r="C2740"/>
    </row>
    <row r="2741" spans="3:3" x14ac:dyDescent="0.15">
      <c r="C2741"/>
    </row>
    <row r="2742" spans="3:3" x14ac:dyDescent="0.15">
      <c r="C2742"/>
    </row>
    <row r="2743" spans="3:3" x14ac:dyDescent="0.15">
      <c r="C2743"/>
    </row>
    <row r="2744" spans="3:3" x14ac:dyDescent="0.15">
      <c r="C2744"/>
    </row>
    <row r="2745" spans="3:3" x14ac:dyDescent="0.15">
      <c r="C2745"/>
    </row>
    <row r="2746" spans="3:3" x14ac:dyDescent="0.15">
      <c r="C2746"/>
    </row>
    <row r="2747" spans="3:3" x14ac:dyDescent="0.15">
      <c r="C2747"/>
    </row>
    <row r="2748" spans="3:3" x14ac:dyDescent="0.15">
      <c r="C2748"/>
    </row>
    <row r="2749" spans="3:3" x14ac:dyDescent="0.15">
      <c r="C2749"/>
    </row>
    <row r="2750" spans="3:3" x14ac:dyDescent="0.15">
      <c r="C2750"/>
    </row>
    <row r="2751" spans="3:3" x14ac:dyDescent="0.15">
      <c r="C2751"/>
    </row>
    <row r="2752" spans="3:3" x14ac:dyDescent="0.15">
      <c r="C2752"/>
    </row>
    <row r="2753" spans="3:3" x14ac:dyDescent="0.15">
      <c r="C2753"/>
    </row>
    <row r="2754" spans="3:3" x14ac:dyDescent="0.15">
      <c r="C2754"/>
    </row>
    <row r="2755" spans="3:3" x14ac:dyDescent="0.15">
      <c r="C2755"/>
    </row>
    <row r="2756" spans="3:3" x14ac:dyDescent="0.15">
      <c r="C2756"/>
    </row>
    <row r="2757" spans="3:3" x14ac:dyDescent="0.15">
      <c r="C2757"/>
    </row>
    <row r="2758" spans="3:3" x14ac:dyDescent="0.15">
      <c r="C2758"/>
    </row>
    <row r="2759" spans="3:3" x14ac:dyDescent="0.15">
      <c r="C2759"/>
    </row>
    <row r="2760" spans="3:3" x14ac:dyDescent="0.15">
      <c r="C2760"/>
    </row>
    <row r="2761" spans="3:3" x14ac:dyDescent="0.15">
      <c r="C2761"/>
    </row>
    <row r="2762" spans="3:3" x14ac:dyDescent="0.15">
      <c r="C2762"/>
    </row>
    <row r="2763" spans="3:3" x14ac:dyDescent="0.15">
      <c r="C2763"/>
    </row>
    <row r="2764" spans="3:3" x14ac:dyDescent="0.15">
      <c r="C2764"/>
    </row>
    <row r="2765" spans="3:3" x14ac:dyDescent="0.15">
      <c r="C2765"/>
    </row>
    <row r="2766" spans="3:3" x14ac:dyDescent="0.15">
      <c r="C2766"/>
    </row>
    <row r="2767" spans="3:3" x14ac:dyDescent="0.15">
      <c r="C2767"/>
    </row>
    <row r="2768" spans="3:3" x14ac:dyDescent="0.15">
      <c r="C2768"/>
    </row>
    <row r="2769" spans="3:3" x14ac:dyDescent="0.15">
      <c r="C2769"/>
    </row>
    <row r="2770" spans="3:3" x14ac:dyDescent="0.15">
      <c r="C2770"/>
    </row>
    <row r="2771" spans="3:3" x14ac:dyDescent="0.15">
      <c r="C2771"/>
    </row>
    <row r="2772" spans="3:3" x14ac:dyDescent="0.15">
      <c r="C2772"/>
    </row>
    <row r="2773" spans="3:3" x14ac:dyDescent="0.15">
      <c r="C2773"/>
    </row>
    <row r="2774" spans="3:3" x14ac:dyDescent="0.15">
      <c r="C2774"/>
    </row>
    <row r="2775" spans="3:3" x14ac:dyDescent="0.15">
      <c r="C2775"/>
    </row>
    <row r="2776" spans="3:3" x14ac:dyDescent="0.15">
      <c r="C2776"/>
    </row>
    <row r="2777" spans="3:3" x14ac:dyDescent="0.15">
      <c r="C2777"/>
    </row>
    <row r="2778" spans="3:3" x14ac:dyDescent="0.15">
      <c r="C2778"/>
    </row>
    <row r="2779" spans="3:3" x14ac:dyDescent="0.15">
      <c r="C2779"/>
    </row>
    <row r="2780" spans="3:3" x14ac:dyDescent="0.15">
      <c r="C2780"/>
    </row>
    <row r="2781" spans="3:3" x14ac:dyDescent="0.15">
      <c r="C2781"/>
    </row>
    <row r="2782" spans="3:3" x14ac:dyDescent="0.15">
      <c r="C2782"/>
    </row>
    <row r="2783" spans="3:3" x14ac:dyDescent="0.15">
      <c r="C2783"/>
    </row>
    <row r="2784" spans="3:3" x14ac:dyDescent="0.15">
      <c r="C2784"/>
    </row>
    <row r="2785" spans="3:3" x14ac:dyDescent="0.15">
      <c r="C2785"/>
    </row>
    <row r="2786" spans="3:3" x14ac:dyDescent="0.15">
      <c r="C2786"/>
    </row>
    <row r="2787" spans="3:3" x14ac:dyDescent="0.15">
      <c r="C2787"/>
    </row>
    <row r="2788" spans="3:3" x14ac:dyDescent="0.15">
      <c r="C2788"/>
    </row>
    <row r="2789" spans="3:3" x14ac:dyDescent="0.15">
      <c r="C2789"/>
    </row>
    <row r="2790" spans="3:3" x14ac:dyDescent="0.15">
      <c r="C2790"/>
    </row>
    <row r="2791" spans="3:3" x14ac:dyDescent="0.15">
      <c r="C2791"/>
    </row>
    <row r="2792" spans="3:3" x14ac:dyDescent="0.15">
      <c r="C2792"/>
    </row>
    <row r="2793" spans="3:3" x14ac:dyDescent="0.15">
      <c r="C2793"/>
    </row>
    <row r="2794" spans="3:3" x14ac:dyDescent="0.15">
      <c r="C2794"/>
    </row>
    <row r="2795" spans="3:3" x14ac:dyDescent="0.15">
      <c r="C2795"/>
    </row>
    <row r="2796" spans="3:3" x14ac:dyDescent="0.15">
      <c r="C2796"/>
    </row>
    <row r="2797" spans="3:3" x14ac:dyDescent="0.15">
      <c r="C2797"/>
    </row>
    <row r="2798" spans="3:3" x14ac:dyDescent="0.15">
      <c r="C2798"/>
    </row>
    <row r="2799" spans="3:3" x14ac:dyDescent="0.15">
      <c r="C2799"/>
    </row>
    <row r="2800" spans="3:3" x14ac:dyDescent="0.15">
      <c r="C2800"/>
    </row>
    <row r="2801" spans="3:3" x14ac:dyDescent="0.15">
      <c r="C2801"/>
    </row>
    <row r="2802" spans="3:3" x14ac:dyDescent="0.15">
      <c r="C2802"/>
    </row>
    <row r="2803" spans="3:3" x14ac:dyDescent="0.15">
      <c r="C2803"/>
    </row>
    <row r="2804" spans="3:3" x14ac:dyDescent="0.15">
      <c r="C2804"/>
    </row>
    <row r="2805" spans="3:3" x14ac:dyDescent="0.15">
      <c r="C2805"/>
    </row>
    <row r="2806" spans="3:3" x14ac:dyDescent="0.15">
      <c r="C2806"/>
    </row>
    <row r="2807" spans="3:3" x14ac:dyDescent="0.15">
      <c r="C2807"/>
    </row>
    <row r="2808" spans="3:3" x14ac:dyDescent="0.15">
      <c r="C2808"/>
    </row>
    <row r="2809" spans="3:3" x14ac:dyDescent="0.15">
      <c r="C2809"/>
    </row>
    <row r="2810" spans="3:3" x14ac:dyDescent="0.15">
      <c r="C2810"/>
    </row>
    <row r="2811" spans="3:3" x14ac:dyDescent="0.15">
      <c r="C2811"/>
    </row>
    <row r="2812" spans="3:3" x14ac:dyDescent="0.15">
      <c r="C2812"/>
    </row>
    <row r="2813" spans="3:3" x14ac:dyDescent="0.15">
      <c r="C2813"/>
    </row>
    <row r="2814" spans="3:3" x14ac:dyDescent="0.15">
      <c r="C2814"/>
    </row>
    <row r="2815" spans="3:3" x14ac:dyDescent="0.15">
      <c r="C2815"/>
    </row>
    <row r="2816" spans="3:3" x14ac:dyDescent="0.15">
      <c r="C2816"/>
    </row>
    <row r="2817" spans="3:3" x14ac:dyDescent="0.15">
      <c r="C2817"/>
    </row>
    <row r="2818" spans="3:3" x14ac:dyDescent="0.15">
      <c r="C2818"/>
    </row>
    <row r="2819" spans="3:3" x14ac:dyDescent="0.15">
      <c r="C2819"/>
    </row>
    <row r="2820" spans="3:3" x14ac:dyDescent="0.15">
      <c r="C2820"/>
    </row>
    <row r="2821" spans="3:3" x14ac:dyDescent="0.15">
      <c r="C2821"/>
    </row>
    <row r="2822" spans="3:3" x14ac:dyDescent="0.15">
      <c r="C2822"/>
    </row>
    <row r="2823" spans="3:3" x14ac:dyDescent="0.15">
      <c r="C2823"/>
    </row>
    <row r="2824" spans="3:3" x14ac:dyDescent="0.15">
      <c r="C2824"/>
    </row>
    <row r="2825" spans="3:3" x14ac:dyDescent="0.15">
      <c r="C2825"/>
    </row>
    <row r="2826" spans="3:3" x14ac:dyDescent="0.15">
      <c r="C2826"/>
    </row>
    <row r="2827" spans="3:3" x14ac:dyDescent="0.15">
      <c r="C2827"/>
    </row>
    <row r="2828" spans="3:3" x14ac:dyDescent="0.15">
      <c r="C2828"/>
    </row>
    <row r="2829" spans="3:3" x14ac:dyDescent="0.15">
      <c r="C2829"/>
    </row>
    <row r="2830" spans="3:3" x14ac:dyDescent="0.15">
      <c r="C2830"/>
    </row>
    <row r="2831" spans="3:3" x14ac:dyDescent="0.15">
      <c r="C2831"/>
    </row>
    <row r="2832" spans="3:3" x14ac:dyDescent="0.15">
      <c r="C2832"/>
    </row>
    <row r="2833" spans="3:3" x14ac:dyDescent="0.15">
      <c r="C2833"/>
    </row>
    <row r="2834" spans="3:3" x14ac:dyDescent="0.15">
      <c r="C2834"/>
    </row>
    <row r="2835" spans="3:3" x14ac:dyDescent="0.15">
      <c r="C2835"/>
    </row>
    <row r="2836" spans="3:3" x14ac:dyDescent="0.15">
      <c r="C2836"/>
    </row>
    <row r="2837" spans="3:3" x14ac:dyDescent="0.15">
      <c r="C2837"/>
    </row>
    <row r="2838" spans="3:3" x14ac:dyDescent="0.15">
      <c r="C2838"/>
    </row>
    <row r="2839" spans="3:3" x14ac:dyDescent="0.15">
      <c r="C2839"/>
    </row>
    <row r="2840" spans="3:3" x14ac:dyDescent="0.15">
      <c r="C2840"/>
    </row>
    <row r="2841" spans="3:3" x14ac:dyDescent="0.15">
      <c r="C2841"/>
    </row>
    <row r="2842" spans="3:3" x14ac:dyDescent="0.15">
      <c r="C2842"/>
    </row>
    <row r="2843" spans="3:3" x14ac:dyDescent="0.15">
      <c r="C2843"/>
    </row>
    <row r="2844" spans="3:3" x14ac:dyDescent="0.15">
      <c r="C2844"/>
    </row>
    <row r="2845" spans="3:3" x14ac:dyDescent="0.15">
      <c r="C2845"/>
    </row>
    <row r="2846" spans="3:3" x14ac:dyDescent="0.15">
      <c r="C2846"/>
    </row>
    <row r="2847" spans="3:3" x14ac:dyDescent="0.15">
      <c r="C2847"/>
    </row>
    <row r="2848" spans="3:3" x14ac:dyDescent="0.15">
      <c r="C2848"/>
    </row>
    <row r="2849" spans="3:3" x14ac:dyDescent="0.15">
      <c r="C2849"/>
    </row>
    <row r="2850" spans="3:3" x14ac:dyDescent="0.15">
      <c r="C2850"/>
    </row>
    <row r="2851" spans="3:3" x14ac:dyDescent="0.15">
      <c r="C2851"/>
    </row>
    <row r="2852" spans="3:3" x14ac:dyDescent="0.15">
      <c r="C2852"/>
    </row>
    <row r="2853" spans="3:3" x14ac:dyDescent="0.15">
      <c r="C2853"/>
    </row>
    <row r="2854" spans="3:3" x14ac:dyDescent="0.15">
      <c r="C2854"/>
    </row>
    <row r="2855" spans="3:3" x14ac:dyDescent="0.15">
      <c r="C2855"/>
    </row>
    <row r="2856" spans="3:3" x14ac:dyDescent="0.15">
      <c r="C2856"/>
    </row>
    <row r="2857" spans="3:3" x14ac:dyDescent="0.15">
      <c r="C2857"/>
    </row>
    <row r="2858" spans="3:3" x14ac:dyDescent="0.15">
      <c r="C2858"/>
    </row>
    <row r="2859" spans="3:3" x14ac:dyDescent="0.15">
      <c r="C2859"/>
    </row>
    <row r="2860" spans="3:3" x14ac:dyDescent="0.15">
      <c r="C2860"/>
    </row>
    <row r="2861" spans="3:3" x14ac:dyDescent="0.15">
      <c r="C2861"/>
    </row>
    <row r="2862" spans="3:3" x14ac:dyDescent="0.15">
      <c r="C2862"/>
    </row>
    <row r="2863" spans="3:3" x14ac:dyDescent="0.15">
      <c r="C2863"/>
    </row>
    <row r="2864" spans="3:3" x14ac:dyDescent="0.15">
      <c r="C2864"/>
    </row>
    <row r="2865" spans="3:3" x14ac:dyDescent="0.15">
      <c r="C2865"/>
    </row>
    <row r="2866" spans="3:3" x14ac:dyDescent="0.15">
      <c r="C2866"/>
    </row>
    <row r="2867" spans="3:3" x14ac:dyDescent="0.15">
      <c r="C2867"/>
    </row>
    <row r="2868" spans="3:3" x14ac:dyDescent="0.15">
      <c r="C2868"/>
    </row>
    <row r="2869" spans="3:3" x14ac:dyDescent="0.15">
      <c r="C2869"/>
    </row>
    <row r="2870" spans="3:3" x14ac:dyDescent="0.15">
      <c r="C2870"/>
    </row>
    <row r="2871" spans="3:3" x14ac:dyDescent="0.15">
      <c r="C2871"/>
    </row>
    <row r="2872" spans="3:3" x14ac:dyDescent="0.15">
      <c r="C2872"/>
    </row>
    <row r="2873" spans="3:3" x14ac:dyDescent="0.15">
      <c r="C2873"/>
    </row>
    <row r="2874" spans="3:3" x14ac:dyDescent="0.15">
      <c r="C2874"/>
    </row>
    <row r="2875" spans="3:3" x14ac:dyDescent="0.15">
      <c r="C2875"/>
    </row>
    <row r="2876" spans="3:3" x14ac:dyDescent="0.15">
      <c r="C2876"/>
    </row>
    <row r="2877" spans="3:3" x14ac:dyDescent="0.15">
      <c r="C2877"/>
    </row>
    <row r="2878" spans="3:3" x14ac:dyDescent="0.15">
      <c r="C2878"/>
    </row>
    <row r="2879" spans="3:3" x14ac:dyDescent="0.15">
      <c r="C2879"/>
    </row>
    <row r="2880" spans="3:3" x14ac:dyDescent="0.15">
      <c r="C2880"/>
    </row>
    <row r="2881" spans="3:3" x14ac:dyDescent="0.15">
      <c r="C2881"/>
    </row>
    <row r="2882" spans="3:3" x14ac:dyDescent="0.15">
      <c r="C2882"/>
    </row>
    <row r="2883" spans="3:3" x14ac:dyDescent="0.15">
      <c r="C2883"/>
    </row>
    <row r="2884" spans="3:3" x14ac:dyDescent="0.15">
      <c r="C2884"/>
    </row>
    <row r="2885" spans="3:3" x14ac:dyDescent="0.15">
      <c r="C2885"/>
    </row>
    <row r="2886" spans="3:3" x14ac:dyDescent="0.15">
      <c r="C2886"/>
    </row>
    <row r="2887" spans="3:3" x14ac:dyDescent="0.15">
      <c r="C2887"/>
    </row>
    <row r="2888" spans="3:3" x14ac:dyDescent="0.15">
      <c r="C2888"/>
    </row>
    <row r="2889" spans="3:3" x14ac:dyDescent="0.15">
      <c r="C2889"/>
    </row>
    <row r="2890" spans="3:3" x14ac:dyDescent="0.15">
      <c r="C2890"/>
    </row>
    <row r="2891" spans="3:3" x14ac:dyDescent="0.15">
      <c r="C2891"/>
    </row>
    <row r="2892" spans="3:3" x14ac:dyDescent="0.15">
      <c r="C2892"/>
    </row>
    <row r="2893" spans="3:3" x14ac:dyDescent="0.15">
      <c r="C2893"/>
    </row>
    <row r="2894" spans="3:3" x14ac:dyDescent="0.15">
      <c r="C2894"/>
    </row>
    <row r="2895" spans="3:3" x14ac:dyDescent="0.15">
      <c r="C2895"/>
    </row>
    <row r="2896" spans="3:3" x14ac:dyDescent="0.15">
      <c r="C2896"/>
    </row>
    <row r="2897" spans="3:3" x14ac:dyDescent="0.15">
      <c r="C2897"/>
    </row>
    <row r="2898" spans="3:3" x14ac:dyDescent="0.15">
      <c r="C2898"/>
    </row>
    <row r="2899" spans="3:3" x14ac:dyDescent="0.15">
      <c r="C2899"/>
    </row>
    <row r="2900" spans="3:3" x14ac:dyDescent="0.15">
      <c r="C2900"/>
    </row>
    <row r="2901" spans="3:3" x14ac:dyDescent="0.15">
      <c r="C2901"/>
    </row>
    <row r="2902" spans="3:3" x14ac:dyDescent="0.15">
      <c r="C2902"/>
    </row>
    <row r="2903" spans="3:3" x14ac:dyDescent="0.15">
      <c r="C2903"/>
    </row>
    <row r="2904" spans="3:3" x14ac:dyDescent="0.15">
      <c r="C2904"/>
    </row>
    <row r="2905" spans="3:3" x14ac:dyDescent="0.15">
      <c r="C2905"/>
    </row>
    <row r="2906" spans="3:3" x14ac:dyDescent="0.15">
      <c r="C2906"/>
    </row>
    <row r="2907" spans="3:3" x14ac:dyDescent="0.15">
      <c r="C2907"/>
    </row>
    <row r="2908" spans="3:3" x14ac:dyDescent="0.15">
      <c r="C2908"/>
    </row>
    <row r="2909" spans="3:3" x14ac:dyDescent="0.15">
      <c r="C2909"/>
    </row>
    <row r="2910" spans="3:3" x14ac:dyDescent="0.15">
      <c r="C2910"/>
    </row>
    <row r="2911" spans="3:3" x14ac:dyDescent="0.15">
      <c r="C2911"/>
    </row>
    <row r="2912" spans="3:3" x14ac:dyDescent="0.15">
      <c r="C2912"/>
    </row>
    <row r="2913" spans="3:3" x14ac:dyDescent="0.15">
      <c r="C2913"/>
    </row>
    <row r="2914" spans="3:3" x14ac:dyDescent="0.15">
      <c r="C2914"/>
    </row>
    <row r="2915" spans="3:3" x14ac:dyDescent="0.15">
      <c r="C2915"/>
    </row>
    <row r="2916" spans="3:3" x14ac:dyDescent="0.15">
      <c r="C2916"/>
    </row>
    <row r="2917" spans="3:3" x14ac:dyDescent="0.15">
      <c r="C2917"/>
    </row>
    <row r="2918" spans="3:3" x14ac:dyDescent="0.15">
      <c r="C2918"/>
    </row>
    <row r="2919" spans="3:3" x14ac:dyDescent="0.15">
      <c r="C2919"/>
    </row>
    <row r="2920" spans="3:3" x14ac:dyDescent="0.15">
      <c r="C2920"/>
    </row>
    <row r="2921" spans="3:3" x14ac:dyDescent="0.15">
      <c r="C2921"/>
    </row>
    <row r="2922" spans="3:3" x14ac:dyDescent="0.15">
      <c r="C2922"/>
    </row>
    <row r="2923" spans="3:3" x14ac:dyDescent="0.15">
      <c r="C2923"/>
    </row>
    <row r="2924" spans="3:3" x14ac:dyDescent="0.15">
      <c r="C2924"/>
    </row>
    <row r="2925" spans="3:3" x14ac:dyDescent="0.15">
      <c r="C2925"/>
    </row>
    <row r="2926" spans="3:3" x14ac:dyDescent="0.15">
      <c r="C2926"/>
    </row>
    <row r="2927" spans="3:3" x14ac:dyDescent="0.15">
      <c r="C2927"/>
    </row>
    <row r="2928" spans="3:3" x14ac:dyDescent="0.15">
      <c r="C2928"/>
    </row>
    <row r="2929" spans="3:3" x14ac:dyDescent="0.15">
      <c r="C2929"/>
    </row>
    <row r="2930" spans="3:3" x14ac:dyDescent="0.15">
      <c r="C2930"/>
    </row>
    <row r="2931" spans="3:3" x14ac:dyDescent="0.15">
      <c r="C2931"/>
    </row>
    <row r="2932" spans="3:3" x14ac:dyDescent="0.15">
      <c r="C2932"/>
    </row>
    <row r="2933" spans="3:3" x14ac:dyDescent="0.15">
      <c r="C2933"/>
    </row>
    <row r="2934" spans="3:3" x14ac:dyDescent="0.15">
      <c r="C2934"/>
    </row>
    <row r="2935" spans="3:3" x14ac:dyDescent="0.15">
      <c r="C2935"/>
    </row>
    <row r="2936" spans="3:3" x14ac:dyDescent="0.15">
      <c r="C2936"/>
    </row>
    <row r="2937" spans="3:3" x14ac:dyDescent="0.15">
      <c r="C2937"/>
    </row>
    <row r="2938" spans="3:3" x14ac:dyDescent="0.15">
      <c r="C2938"/>
    </row>
    <row r="2939" spans="3:3" x14ac:dyDescent="0.15">
      <c r="C2939"/>
    </row>
    <row r="2940" spans="3:3" x14ac:dyDescent="0.15">
      <c r="C2940"/>
    </row>
    <row r="2941" spans="3:3" x14ac:dyDescent="0.15">
      <c r="C2941"/>
    </row>
    <row r="2942" spans="3:3" x14ac:dyDescent="0.15">
      <c r="C2942"/>
    </row>
    <row r="2943" spans="3:3" x14ac:dyDescent="0.15">
      <c r="C2943"/>
    </row>
    <row r="2944" spans="3:3" x14ac:dyDescent="0.15">
      <c r="C2944"/>
    </row>
    <row r="2945" spans="3:3" x14ac:dyDescent="0.15">
      <c r="C2945"/>
    </row>
    <row r="2946" spans="3:3" x14ac:dyDescent="0.15">
      <c r="C2946"/>
    </row>
    <row r="2947" spans="3:3" x14ac:dyDescent="0.15">
      <c r="C2947"/>
    </row>
    <row r="2948" spans="3:3" x14ac:dyDescent="0.15">
      <c r="C2948"/>
    </row>
    <row r="2949" spans="3:3" x14ac:dyDescent="0.15">
      <c r="C2949"/>
    </row>
    <row r="2950" spans="3:3" x14ac:dyDescent="0.15">
      <c r="C2950"/>
    </row>
    <row r="2951" spans="3:3" x14ac:dyDescent="0.15">
      <c r="C2951"/>
    </row>
    <row r="2952" spans="3:3" x14ac:dyDescent="0.15">
      <c r="C2952"/>
    </row>
    <row r="2953" spans="3:3" x14ac:dyDescent="0.15">
      <c r="C2953"/>
    </row>
    <row r="2954" spans="3:3" x14ac:dyDescent="0.15">
      <c r="C2954"/>
    </row>
    <row r="2955" spans="3:3" x14ac:dyDescent="0.15">
      <c r="C2955"/>
    </row>
    <row r="2956" spans="3:3" x14ac:dyDescent="0.15">
      <c r="C2956"/>
    </row>
    <row r="2957" spans="3:3" x14ac:dyDescent="0.15">
      <c r="C2957"/>
    </row>
    <row r="2958" spans="3:3" x14ac:dyDescent="0.15">
      <c r="C2958"/>
    </row>
    <row r="2959" spans="3:3" x14ac:dyDescent="0.15">
      <c r="C2959"/>
    </row>
    <row r="2960" spans="3:3" x14ac:dyDescent="0.15">
      <c r="C2960"/>
    </row>
    <row r="2961" spans="3:3" x14ac:dyDescent="0.15">
      <c r="C2961"/>
    </row>
    <row r="2962" spans="3:3" x14ac:dyDescent="0.15">
      <c r="C2962"/>
    </row>
    <row r="2963" spans="3:3" x14ac:dyDescent="0.15">
      <c r="C2963"/>
    </row>
    <row r="2964" spans="3:3" x14ac:dyDescent="0.15">
      <c r="C2964"/>
    </row>
    <row r="2965" spans="3:3" x14ac:dyDescent="0.15">
      <c r="C2965"/>
    </row>
    <row r="2966" spans="3:3" x14ac:dyDescent="0.15">
      <c r="C2966"/>
    </row>
    <row r="2967" spans="3:3" x14ac:dyDescent="0.15">
      <c r="C2967"/>
    </row>
    <row r="2968" spans="3:3" x14ac:dyDescent="0.15">
      <c r="C2968"/>
    </row>
    <row r="2969" spans="3:3" x14ac:dyDescent="0.15">
      <c r="C2969"/>
    </row>
    <row r="2970" spans="3:3" x14ac:dyDescent="0.15">
      <c r="C2970"/>
    </row>
    <row r="2971" spans="3:3" x14ac:dyDescent="0.15">
      <c r="C2971"/>
    </row>
    <row r="2972" spans="3:3" x14ac:dyDescent="0.15">
      <c r="C2972"/>
    </row>
    <row r="2973" spans="3:3" x14ac:dyDescent="0.15">
      <c r="C2973"/>
    </row>
    <row r="2974" spans="3:3" x14ac:dyDescent="0.15">
      <c r="C2974"/>
    </row>
    <row r="2975" spans="3:3" x14ac:dyDescent="0.15">
      <c r="C2975"/>
    </row>
    <row r="2976" spans="3:3" x14ac:dyDescent="0.15">
      <c r="C2976"/>
    </row>
    <row r="2977" spans="3:3" x14ac:dyDescent="0.15">
      <c r="C2977"/>
    </row>
    <row r="2978" spans="3:3" x14ac:dyDescent="0.15">
      <c r="C2978"/>
    </row>
    <row r="2979" spans="3:3" x14ac:dyDescent="0.15">
      <c r="C2979"/>
    </row>
    <row r="2980" spans="3:3" x14ac:dyDescent="0.15">
      <c r="C2980"/>
    </row>
    <row r="2981" spans="3:3" x14ac:dyDescent="0.15">
      <c r="C2981"/>
    </row>
    <row r="2982" spans="3:3" x14ac:dyDescent="0.15">
      <c r="C2982"/>
    </row>
    <row r="2983" spans="3:3" x14ac:dyDescent="0.15">
      <c r="C2983"/>
    </row>
    <row r="2984" spans="3:3" x14ac:dyDescent="0.15">
      <c r="C2984"/>
    </row>
    <row r="2985" spans="3:3" x14ac:dyDescent="0.15">
      <c r="C2985"/>
    </row>
    <row r="2986" spans="3:3" x14ac:dyDescent="0.15">
      <c r="C2986"/>
    </row>
    <row r="2987" spans="3:3" x14ac:dyDescent="0.15">
      <c r="C2987"/>
    </row>
    <row r="2988" spans="3:3" x14ac:dyDescent="0.15">
      <c r="C2988"/>
    </row>
    <row r="2989" spans="3:3" x14ac:dyDescent="0.15">
      <c r="C2989"/>
    </row>
    <row r="2990" spans="3:3" x14ac:dyDescent="0.15">
      <c r="C2990"/>
    </row>
    <row r="2991" spans="3:3" x14ac:dyDescent="0.15">
      <c r="C2991"/>
    </row>
    <row r="2992" spans="3:3" x14ac:dyDescent="0.15">
      <c r="C2992"/>
    </row>
    <row r="2993" spans="3:3" x14ac:dyDescent="0.15">
      <c r="C2993"/>
    </row>
    <row r="2994" spans="3:3" x14ac:dyDescent="0.15">
      <c r="C2994"/>
    </row>
    <row r="2995" spans="3:3" x14ac:dyDescent="0.15">
      <c r="C2995"/>
    </row>
    <row r="2996" spans="3:3" x14ac:dyDescent="0.15">
      <c r="C2996"/>
    </row>
    <row r="2997" spans="3:3" x14ac:dyDescent="0.15">
      <c r="C2997"/>
    </row>
    <row r="2998" spans="3:3" x14ac:dyDescent="0.15">
      <c r="C2998"/>
    </row>
    <row r="2999" spans="3:3" x14ac:dyDescent="0.15">
      <c r="C2999"/>
    </row>
    <row r="3000" spans="3:3" x14ac:dyDescent="0.15">
      <c r="C3000"/>
    </row>
    <row r="3001" spans="3:3" x14ac:dyDescent="0.15">
      <c r="C3001"/>
    </row>
    <row r="3002" spans="3:3" x14ac:dyDescent="0.15">
      <c r="C3002"/>
    </row>
    <row r="3003" spans="3:3" x14ac:dyDescent="0.15">
      <c r="C3003"/>
    </row>
    <row r="3004" spans="3:3" x14ac:dyDescent="0.15">
      <c r="C3004"/>
    </row>
    <row r="3005" spans="3:3" x14ac:dyDescent="0.15">
      <c r="C3005"/>
    </row>
    <row r="3006" spans="3:3" x14ac:dyDescent="0.15">
      <c r="C3006"/>
    </row>
    <row r="3007" spans="3:3" x14ac:dyDescent="0.15">
      <c r="C3007"/>
    </row>
    <row r="3008" spans="3:3" x14ac:dyDescent="0.15">
      <c r="C3008"/>
    </row>
    <row r="3009" spans="3:3" x14ac:dyDescent="0.15">
      <c r="C3009"/>
    </row>
    <row r="3010" spans="3:3" x14ac:dyDescent="0.15">
      <c r="C3010"/>
    </row>
    <row r="3011" spans="3:3" x14ac:dyDescent="0.15">
      <c r="C3011"/>
    </row>
    <row r="3012" spans="3:3" x14ac:dyDescent="0.15">
      <c r="C3012"/>
    </row>
    <row r="3013" spans="3:3" x14ac:dyDescent="0.15">
      <c r="C3013"/>
    </row>
    <row r="3014" spans="3:3" x14ac:dyDescent="0.15">
      <c r="C3014"/>
    </row>
    <row r="3015" spans="3:3" x14ac:dyDescent="0.15">
      <c r="C3015"/>
    </row>
    <row r="3016" spans="3:3" x14ac:dyDescent="0.15">
      <c r="C3016"/>
    </row>
    <row r="3017" spans="3:3" x14ac:dyDescent="0.15">
      <c r="C3017"/>
    </row>
    <row r="3018" spans="3:3" x14ac:dyDescent="0.15">
      <c r="C3018"/>
    </row>
    <row r="3019" spans="3:3" x14ac:dyDescent="0.15">
      <c r="C3019"/>
    </row>
    <row r="3020" spans="3:3" x14ac:dyDescent="0.15">
      <c r="C3020"/>
    </row>
    <row r="3021" spans="3:3" x14ac:dyDescent="0.15">
      <c r="C3021"/>
    </row>
    <row r="3022" spans="3:3" x14ac:dyDescent="0.15">
      <c r="C3022"/>
    </row>
    <row r="3023" spans="3:3" x14ac:dyDescent="0.15">
      <c r="C3023"/>
    </row>
    <row r="3024" spans="3:3" x14ac:dyDescent="0.15">
      <c r="C3024"/>
    </row>
    <row r="3025" spans="3:3" x14ac:dyDescent="0.15">
      <c r="C3025"/>
    </row>
    <row r="3026" spans="3:3" x14ac:dyDescent="0.15">
      <c r="C3026"/>
    </row>
    <row r="3027" spans="3:3" x14ac:dyDescent="0.15">
      <c r="C3027"/>
    </row>
    <row r="3028" spans="3:3" x14ac:dyDescent="0.15">
      <c r="C3028"/>
    </row>
    <row r="3029" spans="3:3" x14ac:dyDescent="0.15">
      <c r="C3029"/>
    </row>
    <row r="3030" spans="3:3" x14ac:dyDescent="0.15">
      <c r="C3030"/>
    </row>
    <row r="3031" spans="3:3" x14ac:dyDescent="0.15">
      <c r="C3031"/>
    </row>
    <row r="3032" spans="3:3" x14ac:dyDescent="0.15">
      <c r="C3032"/>
    </row>
    <row r="3033" spans="3:3" x14ac:dyDescent="0.15">
      <c r="C3033"/>
    </row>
    <row r="3034" spans="3:3" x14ac:dyDescent="0.15">
      <c r="C3034"/>
    </row>
    <row r="3035" spans="3:3" x14ac:dyDescent="0.15">
      <c r="C3035"/>
    </row>
    <row r="3036" spans="3:3" x14ac:dyDescent="0.15">
      <c r="C3036"/>
    </row>
    <row r="3037" spans="3:3" x14ac:dyDescent="0.15">
      <c r="C3037"/>
    </row>
    <row r="3038" spans="3:3" x14ac:dyDescent="0.15">
      <c r="C3038"/>
    </row>
    <row r="3039" spans="3:3" x14ac:dyDescent="0.15">
      <c r="C3039"/>
    </row>
    <row r="3040" spans="3:3" x14ac:dyDescent="0.15">
      <c r="C3040"/>
    </row>
    <row r="3041" spans="3:3" x14ac:dyDescent="0.15">
      <c r="C3041"/>
    </row>
    <row r="3042" spans="3:3" x14ac:dyDescent="0.15">
      <c r="C3042"/>
    </row>
    <row r="3043" spans="3:3" x14ac:dyDescent="0.15">
      <c r="C3043"/>
    </row>
    <row r="3044" spans="3:3" x14ac:dyDescent="0.15">
      <c r="C3044"/>
    </row>
    <row r="3045" spans="3:3" x14ac:dyDescent="0.15">
      <c r="C3045"/>
    </row>
    <row r="3046" spans="3:3" x14ac:dyDescent="0.15">
      <c r="C3046"/>
    </row>
    <row r="3047" spans="3:3" x14ac:dyDescent="0.15">
      <c r="C3047"/>
    </row>
    <row r="3048" spans="3:3" x14ac:dyDescent="0.15">
      <c r="C3048"/>
    </row>
    <row r="3049" spans="3:3" x14ac:dyDescent="0.15">
      <c r="C3049"/>
    </row>
    <row r="3050" spans="3:3" x14ac:dyDescent="0.15">
      <c r="C3050"/>
    </row>
    <row r="3051" spans="3:3" x14ac:dyDescent="0.15">
      <c r="C3051"/>
    </row>
    <row r="3052" spans="3:3" x14ac:dyDescent="0.15">
      <c r="C3052"/>
    </row>
    <row r="3053" spans="3:3" x14ac:dyDescent="0.15">
      <c r="C3053"/>
    </row>
    <row r="3054" spans="3:3" x14ac:dyDescent="0.15">
      <c r="C3054"/>
    </row>
    <row r="3055" spans="3:3" x14ac:dyDescent="0.15">
      <c r="C3055"/>
    </row>
    <row r="3056" spans="3:3" x14ac:dyDescent="0.15">
      <c r="C3056"/>
    </row>
    <row r="3057" spans="3:3" x14ac:dyDescent="0.15">
      <c r="C3057"/>
    </row>
    <row r="3058" spans="3:3" x14ac:dyDescent="0.15">
      <c r="C3058"/>
    </row>
    <row r="3059" spans="3:3" x14ac:dyDescent="0.15">
      <c r="C3059"/>
    </row>
    <row r="3060" spans="3:3" x14ac:dyDescent="0.15">
      <c r="C3060"/>
    </row>
    <row r="3061" spans="3:3" x14ac:dyDescent="0.15">
      <c r="C3061"/>
    </row>
    <row r="3062" spans="3:3" x14ac:dyDescent="0.15">
      <c r="C3062"/>
    </row>
    <row r="3063" spans="3:3" x14ac:dyDescent="0.15">
      <c r="C3063"/>
    </row>
    <row r="3064" spans="3:3" x14ac:dyDescent="0.15">
      <c r="C3064"/>
    </row>
    <row r="3065" spans="3:3" x14ac:dyDescent="0.15">
      <c r="C3065"/>
    </row>
    <row r="3066" spans="3:3" x14ac:dyDescent="0.15">
      <c r="C3066"/>
    </row>
    <row r="3067" spans="3:3" x14ac:dyDescent="0.15">
      <c r="C3067"/>
    </row>
    <row r="3068" spans="3:3" x14ac:dyDescent="0.15">
      <c r="C3068"/>
    </row>
    <row r="3069" spans="3:3" x14ac:dyDescent="0.15">
      <c r="C3069"/>
    </row>
    <row r="3070" spans="3:3" x14ac:dyDescent="0.15">
      <c r="C3070"/>
    </row>
    <row r="3071" spans="3:3" x14ac:dyDescent="0.15">
      <c r="C3071"/>
    </row>
    <row r="3072" spans="3:3" x14ac:dyDescent="0.15">
      <c r="C3072"/>
    </row>
    <row r="3073" spans="3:3" x14ac:dyDescent="0.15">
      <c r="C3073"/>
    </row>
    <row r="3074" spans="3:3" x14ac:dyDescent="0.15">
      <c r="C3074"/>
    </row>
    <row r="3075" spans="3:3" x14ac:dyDescent="0.15">
      <c r="C3075"/>
    </row>
    <row r="3076" spans="3:3" x14ac:dyDescent="0.15">
      <c r="C3076"/>
    </row>
    <row r="3077" spans="3:3" x14ac:dyDescent="0.15">
      <c r="C3077"/>
    </row>
    <row r="3078" spans="3:3" x14ac:dyDescent="0.15">
      <c r="C3078"/>
    </row>
    <row r="3079" spans="3:3" x14ac:dyDescent="0.15">
      <c r="C3079"/>
    </row>
    <row r="3080" spans="3:3" x14ac:dyDescent="0.15">
      <c r="C3080"/>
    </row>
    <row r="3081" spans="3:3" x14ac:dyDescent="0.15">
      <c r="C3081"/>
    </row>
    <row r="3082" spans="3:3" x14ac:dyDescent="0.15">
      <c r="C3082"/>
    </row>
    <row r="3083" spans="3:3" x14ac:dyDescent="0.15">
      <c r="C3083"/>
    </row>
    <row r="3084" spans="3:3" x14ac:dyDescent="0.15">
      <c r="C3084"/>
    </row>
    <row r="3085" spans="3:3" x14ac:dyDescent="0.15">
      <c r="C3085"/>
    </row>
    <row r="3086" spans="3:3" x14ac:dyDescent="0.15">
      <c r="C3086"/>
    </row>
    <row r="3087" spans="3:3" x14ac:dyDescent="0.15">
      <c r="C3087"/>
    </row>
    <row r="3088" spans="3:3" x14ac:dyDescent="0.15">
      <c r="C3088"/>
    </row>
    <row r="3089" spans="3:3" x14ac:dyDescent="0.15">
      <c r="C3089"/>
    </row>
    <row r="3090" spans="3:3" x14ac:dyDescent="0.15">
      <c r="C3090"/>
    </row>
    <row r="3091" spans="3:3" x14ac:dyDescent="0.15">
      <c r="C3091"/>
    </row>
    <row r="3092" spans="3:3" x14ac:dyDescent="0.15">
      <c r="C3092"/>
    </row>
    <row r="3093" spans="3:3" x14ac:dyDescent="0.15">
      <c r="C3093"/>
    </row>
    <row r="3094" spans="3:3" x14ac:dyDescent="0.15">
      <c r="C3094"/>
    </row>
    <row r="3095" spans="3:3" x14ac:dyDescent="0.15">
      <c r="C3095"/>
    </row>
    <row r="3096" spans="3:3" x14ac:dyDescent="0.15">
      <c r="C3096"/>
    </row>
    <row r="3097" spans="3:3" x14ac:dyDescent="0.15">
      <c r="C3097"/>
    </row>
    <row r="3098" spans="3:3" x14ac:dyDescent="0.15">
      <c r="C3098"/>
    </row>
    <row r="3099" spans="3:3" x14ac:dyDescent="0.15">
      <c r="C3099"/>
    </row>
    <row r="3100" spans="3:3" x14ac:dyDescent="0.15">
      <c r="C3100"/>
    </row>
    <row r="3101" spans="3:3" x14ac:dyDescent="0.15">
      <c r="C3101"/>
    </row>
    <row r="3102" spans="3:3" x14ac:dyDescent="0.15">
      <c r="C3102"/>
    </row>
    <row r="3103" spans="3:3" x14ac:dyDescent="0.15">
      <c r="C3103"/>
    </row>
    <row r="3104" spans="3:3" x14ac:dyDescent="0.15">
      <c r="C3104"/>
    </row>
    <row r="3105" spans="3:3" x14ac:dyDescent="0.15">
      <c r="C3105"/>
    </row>
    <row r="3106" spans="3:3" x14ac:dyDescent="0.15">
      <c r="C3106"/>
    </row>
    <row r="3107" spans="3:3" x14ac:dyDescent="0.15">
      <c r="C3107"/>
    </row>
    <row r="3108" spans="3:3" x14ac:dyDescent="0.15">
      <c r="C3108"/>
    </row>
    <row r="3109" spans="3:3" x14ac:dyDescent="0.15">
      <c r="C3109"/>
    </row>
    <row r="3110" spans="3:3" x14ac:dyDescent="0.15">
      <c r="C3110"/>
    </row>
    <row r="3111" spans="3:3" x14ac:dyDescent="0.15">
      <c r="C3111"/>
    </row>
    <row r="3112" spans="3:3" x14ac:dyDescent="0.15">
      <c r="C3112"/>
    </row>
    <row r="3113" spans="3:3" x14ac:dyDescent="0.15">
      <c r="C3113"/>
    </row>
    <row r="3114" spans="3:3" x14ac:dyDescent="0.15">
      <c r="C3114"/>
    </row>
    <row r="3115" spans="3:3" x14ac:dyDescent="0.15">
      <c r="C3115"/>
    </row>
    <row r="3116" spans="3:3" x14ac:dyDescent="0.15">
      <c r="C3116"/>
    </row>
    <row r="3117" spans="3:3" x14ac:dyDescent="0.15">
      <c r="C3117"/>
    </row>
    <row r="3118" spans="3:3" x14ac:dyDescent="0.15">
      <c r="C3118"/>
    </row>
    <row r="3119" spans="3:3" x14ac:dyDescent="0.15">
      <c r="C3119"/>
    </row>
    <row r="3120" spans="3:3" x14ac:dyDescent="0.15">
      <c r="C3120"/>
    </row>
    <row r="3121" spans="3:3" x14ac:dyDescent="0.15">
      <c r="C3121"/>
    </row>
    <row r="3122" spans="3:3" x14ac:dyDescent="0.15">
      <c r="C3122"/>
    </row>
    <row r="3123" spans="3:3" x14ac:dyDescent="0.15">
      <c r="C3123"/>
    </row>
    <row r="3124" spans="3:3" x14ac:dyDescent="0.15">
      <c r="C3124"/>
    </row>
    <row r="3125" spans="3:3" x14ac:dyDescent="0.15">
      <c r="C3125"/>
    </row>
    <row r="3126" spans="3:3" x14ac:dyDescent="0.15">
      <c r="C3126"/>
    </row>
    <row r="3127" spans="3:3" x14ac:dyDescent="0.15">
      <c r="C3127"/>
    </row>
    <row r="3128" spans="3:3" x14ac:dyDescent="0.15">
      <c r="C3128"/>
    </row>
    <row r="3129" spans="3:3" x14ac:dyDescent="0.15">
      <c r="C3129"/>
    </row>
    <row r="3130" spans="3:3" x14ac:dyDescent="0.15">
      <c r="C3130"/>
    </row>
    <row r="3131" spans="3:3" x14ac:dyDescent="0.15">
      <c r="C3131"/>
    </row>
    <row r="3132" spans="3:3" x14ac:dyDescent="0.15">
      <c r="C3132"/>
    </row>
    <row r="3133" spans="3:3" x14ac:dyDescent="0.15">
      <c r="C3133"/>
    </row>
    <row r="3134" spans="3:3" x14ac:dyDescent="0.15">
      <c r="C3134"/>
    </row>
    <row r="3135" spans="3:3" x14ac:dyDescent="0.15">
      <c r="C3135"/>
    </row>
    <row r="3136" spans="3:3" x14ac:dyDescent="0.15">
      <c r="C3136"/>
    </row>
    <row r="3137" spans="3:3" x14ac:dyDescent="0.15">
      <c r="C3137"/>
    </row>
    <row r="3138" spans="3:3" x14ac:dyDescent="0.15">
      <c r="C3138"/>
    </row>
    <row r="3139" spans="3:3" x14ac:dyDescent="0.15">
      <c r="C3139"/>
    </row>
    <row r="3140" spans="3:3" x14ac:dyDescent="0.15">
      <c r="C3140"/>
    </row>
    <row r="3141" spans="3:3" x14ac:dyDescent="0.15">
      <c r="C3141"/>
    </row>
    <row r="3142" spans="3:3" x14ac:dyDescent="0.15">
      <c r="C3142"/>
    </row>
    <row r="3143" spans="3:3" x14ac:dyDescent="0.15">
      <c r="C3143"/>
    </row>
    <row r="3144" spans="3:3" x14ac:dyDescent="0.15">
      <c r="C3144"/>
    </row>
    <row r="3145" spans="3:3" x14ac:dyDescent="0.15">
      <c r="C3145"/>
    </row>
    <row r="3146" spans="3:3" x14ac:dyDescent="0.15">
      <c r="C3146"/>
    </row>
    <row r="3147" spans="3:3" x14ac:dyDescent="0.15">
      <c r="C3147"/>
    </row>
    <row r="3148" spans="3:3" x14ac:dyDescent="0.15">
      <c r="C3148"/>
    </row>
    <row r="3149" spans="3:3" x14ac:dyDescent="0.15">
      <c r="C3149"/>
    </row>
    <row r="3150" spans="3:3" x14ac:dyDescent="0.15">
      <c r="C3150"/>
    </row>
    <row r="3151" spans="3:3" x14ac:dyDescent="0.15">
      <c r="C3151"/>
    </row>
    <row r="3152" spans="3:3" x14ac:dyDescent="0.15">
      <c r="C3152"/>
    </row>
    <row r="3153" spans="3:3" x14ac:dyDescent="0.15">
      <c r="C3153"/>
    </row>
    <row r="3154" spans="3:3" x14ac:dyDescent="0.15">
      <c r="C3154"/>
    </row>
    <row r="3155" spans="3:3" x14ac:dyDescent="0.15">
      <c r="C3155"/>
    </row>
    <row r="3156" spans="3:3" x14ac:dyDescent="0.15">
      <c r="C3156"/>
    </row>
    <row r="3157" spans="3:3" x14ac:dyDescent="0.15">
      <c r="C3157"/>
    </row>
    <row r="3158" spans="3:3" x14ac:dyDescent="0.15">
      <c r="C3158"/>
    </row>
    <row r="3159" spans="3:3" x14ac:dyDescent="0.15">
      <c r="C3159"/>
    </row>
    <row r="3160" spans="3:3" x14ac:dyDescent="0.15">
      <c r="C3160"/>
    </row>
    <row r="3161" spans="3:3" x14ac:dyDescent="0.15">
      <c r="C3161"/>
    </row>
    <row r="3162" spans="3:3" x14ac:dyDescent="0.15">
      <c r="C3162"/>
    </row>
    <row r="3163" spans="3:3" x14ac:dyDescent="0.15">
      <c r="C3163"/>
    </row>
    <row r="3164" spans="3:3" x14ac:dyDescent="0.15">
      <c r="C3164"/>
    </row>
    <row r="3165" spans="3:3" x14ac:dyDescent="0.15">
      <c r="C3165"/>
    </row>
    <row r="3166" spans="3:3" x14ac:dyDescent="0.15">
      <c r="C3166"/>
    </row>
    <row r="3167" spans="3:3" x14ac:dyDescent="0.15">
      <c r="C3167"/>
    </row>
    <row r="3168" spans="3:3" x14ac:dyDescent="0.15">
      <c r="C3168"/>
    </row>
    <row r="3169" spans="3:3" x14ac:dyDescent="0.15">
      <c r="C3169"/>
    </row>
    <row r="3170" spans="3:3" x14ac:dyDescent="0.15">
      <c r="C3170"/>
    </row>
    <row r="3171" spans="3:3" x14ac:dyDescent="0.15">
      <c r="C3171"/>
    </row>
    <row r="3172" spans="3:3" x14ac:dyDescent="0.15">
      <c r="C3172"/>
    </row>
    <row r="3173" spans="3:3" x14ac:dyDescent="0.15">
      <c r="C3173"/>
    </row>
    <row r="3174" spans="3:3" x14ac:dyDescent="0.15">
      <c r="C3174"/>
    </row>
    <row r="3175" spans="3:3" x14ac:dyDescent="0.15">
      <c r="C3175"/>
    </row>
    <row r="3176" spans="3:3" x14ac:dyDescent="0.15">
      <c r="C3176"/>
    </row>
    <row r="3177" spans="3:3" x14ac:dyDescent="0.15">
      <c r="C3177"/>
    </row>
    <row r="3178" spans="3:3" x14ac:dyDescent="0.15">
      <c r="C3178"/>
    </row>
    <row r="3179" spans="3:3" x14ac:dyDescent="0.15">
      <c r="C3179"/>
    </row>
    <row r="3180" spans="3:3" x14ac:dyDescent="0.15">
      <c r="C3180"/>
    </row>
    <row r="3181" spans="3:3" x14ac:dyDescent="0.15">
      <c r="C3181"/>
    </row>
    <row r="3182" spans="3:3" x14ac:dyDescent="0.15">
      <c r="C3182"/>
    </row>
    <row r="3183" spans="3:3" x14ac:dyDescent="0.15">
      <c r="C3183"/>
    </row>
    <row r="3184" spans="3:3" x14ac:dyDescent="0.15">
      <c r="C3184"/>
    </row>
    <row r="3185" spans="3:3" x14ac:dyDescent="0.15">
      <c r="C3185"/>
    </row>
    <row r="3186" spans="3:3" x14ac:dyDescent="0.15">
      <c r="C3186"/>
    </row>
    <row r="3187" spans="3:3" x14ac:dyDescent="0.15">
      <c r="C3187"/>
    </row>
    <row r="3188" spans="3:3" x14ac:dyDescent="0.15">
      <c r="C3188"/>
    </row>
    <row r="3189" spans="3:3" x14ac:dyDescent="0.15">
      <c r="C3189"/>
    </row>
    <row r="3190" spans="3:3" x14ac:dyDescent="0.15">
      <c r="C3190"/>
    </row>
    <row r="3191" spans="3:3" x14ac:dyDescent="0.15">
      <c r="C3191"/>
    </row>
    <row r="3192" spans="3:3" x14ac:dyDescent="0.15">
      <c r="C3192"/>
    </row>
    <row r="3193" spans="3:3" x14ac:dyDescent="0.15">
      <c r="C3193"/>
    </row>
    <row r="3194" spans="3:3" x14ac:dyDescent="0.15">
      <c r="C3194"/>
    </row>
    <row r="3195" spans="3:3" x14ac:dyDescent="0.15">
      <c r="C3195"/>
    </row>
    <row r="3196" spans="3:3" x14ac:dyDescent="0.15">
      <c r="C3196"/>
    </row>
    <row r="3197" spans="3:3" x14ac:dyDescent="0.15">
      <c r="C3197"/>
    </row>
    <row r="3198" spans="3:3" x14ac:dyDescent="0.15">
      <c r="C3198"/>
    </row>
    <row r="3199" spans="3:3" x14ac:dyDescent="0.15">
      <c r="C3199"/>
    </row>
    <row r="3200" spans="3:3" x14ac:dyDescent="0.15">
      <c r="C3200"/>
    </row>
    <row r="3201" spans="3:3" x14ac:dyDescent="0.15">
      <c r="C3201"/>
    </row>
    <row r="3202" spans="3:3" x14ac:dyDescent="0.15">
      <c r="C3202"/>
    </row>
    <row r="3203" spans="3:3" x14ac:dyDescent="0.15">
      <c r="C3203"/>
    </row>
    <row r="3204" spans="3:3" x14ac:dyDescent="0.15">
      <c r="C3204"/>
    </row>
    <row r="3205" spans="3:3" x14ac:dyDescent="0.15">
      <c r="C3205"/>
    </row>
    <row r="3206" spans="3:3" x14ac:dyDescent="0.15">
      <c r="C3206"/>
    </row>
    <row r="3207" spans="3:3" x14ac:dyDescent="0.15">
      <c r="C3207"/>
    </row>
    <row r="3208" spans="3:3" x14ac:dyDescent="0.15">
      <c r="C3208"/>
    </row>
    <row r="3209" spans="3:3" x14ac:dyDescent="0.15">
      <c r="C3209"/>
    </row>
    <row r="3210" spans="3:3" x14ac:dyDescent="0.15">
      <c r="C3210"/>
    </row>
    <row r="3211" spans="3:3" x14ac:dyDescent="0.15">
      <c r="C3211"/>
    </row>
    <row r="3212" spans="3:3" x14ac:dyDescent="0.15">
      <c r="C3212"/>
    </row>
    <row r="3213" spans="3:3" x14ac:dyDescent="0.15">
      <c r="C3213"/>
    </row>
    <row r="3214" spans="3:3" x14ac:dyDescent="0.15">
      <c r="C3214"/>
    </row>
    <row r="3215" spans="3:3" x14ac:dyDescent="0.15">
      <c r="C3215"/>
    </row>
    <row r="3216" spans="3:3" x14ac:dyDescent="0.15">
      <c r="C3216"/>
    </row>
    <row r="3217" spans="3:3" x14ac:dyDescent="0.15">
      <c r="C3217"/>
    </row>
    <row r="3218" spans="3:3" x14ac:dyDescent="0.15">
      <c r="C3218"/>
    </row>
    <row r="3219" spans="3:3" x14ac:dyDescent="0.15">
      <c r="C3219"/>
    </row>
    <row r="3220" spans="3:3" x14ac:dyDescent="0.15">
      <c r="C3220"/>
    </row>
    <row r="3221" spans="3:3" x14ac:dyDescent="0.15">
      <c r="C3221"/>
    </row>
    <row r="3222" spans="3:3" x14ac:dyDescent="0.15">
      <c r="C3222"/>
    </row>
    <row r="3223" spans="3:3" x14ac:dyDescent="0.15">
      <c r="C3223"/>
    </row>
    <row r="3224" spans="3:3" x14ac:dyDescent="0.15">
      <c r="C3224"/>
    </row>
    <row r="3225" spans="3:3" x14ac:dyDescent="0.15">
      <c r="C3225"/>
    </row>
    <row r="3226" spans="3:3" x14ac:dyDescent="0.15">
      <c r="C3226"/>
    </row>
    <row r="3227" spans="3:3" x14ac:dyDescent="0.15">
      <c r="C3227"/>
    </row>
    <row r="3228" spans="3:3" x14ac:dyDescent="0.15">
      <c r="C3228"/>
    </row>
    <row r="3229" spans="3:3" x14ac:dyDescent="0.15">
      <c r="C3229"/>
    </row>
    <row r="3230" spans="3:3" x14ac:dyDescent="0.15">
      <c r="C3230"/>
    </row>
    <row r="3231" spans="3:3" x14ac:dyDescent="0.15">
      <c r="C3231"/>
    </row>
    <row r="3232" spans="3:3" x14ac:dyDescent="0.15">
      <c r="C3232"/>
    </row>
    <row r="3233" spans="3:3" x14ac:dyDescent="0.15">
      <c r="C3233"/>
    </row>
    <row r="3234" spans="3:3" x14ac:dyDescent="0.15">
      <c r="C3234"/>
    </row>
    <row r="3235" spans="3:3" x14ac:dyDescent="0.15">
      <c r="C3235"/>
    </row>
    <row r="3236" spans="3:3" x14ac:dyDescent="0.15">
      <c r="C3236"/>
    </row>
    <row r="3237" spans="3:3" x14ac:dyDescent="0.15">
      <c r="C3237"/>
    </row>
    <row r="3238" spans="3:3" x14ac:dyDescent="0.15">
      <c r="C3238"/>
    </row>
    <row r="3239" spans="3:3" x14ac:dyDescent="0.15">
      <c r="C3239"/>
    </row>
    <row r="3240" spans="3:3" x14ac:dyDescent="0.15">
      <c r="C3240"/>
    </row>
    <row r="3241" spans="3:3" x14ac:dyDescent="0.15">
      <c r="C3241"/>
    </row>
    <row r="3242" spans="3:3" x14ac:dyDescent="0.15">
      <c r="C3242"/>
    </row>
    <row r="3243" spans="3:3" x14ac:dyDescent="0.15">
      <c r="C3243"/>
    </row>
    <row r="3244" spans="3:3" x14ac:dyDescent="0.15">
      <c r="C3244"/>
    </row>
    <row r="3245" spans="3:3" x14ac:dyDescent="0.15">
      <c r="C3245"/>
    </row>
    <row r="3246" spans="3:3" x14ac:dyDescent="0.15">
      <c r="C3246"/>
    </row>
    <row r="3247" spans="3:3" x14ac:dyDescent="0.15">
      <c r="C3247"/>
    </row>
    <row r="3248" spans="3:3" x14ac:dyDescent="0.15">
      <c r="C3248"/>
    </row>
    <row r="3249" spans="3:3" x14ac:dyDescent="0.15">
      <c r="C3249"/>
    </row>
    <row r="3250" spans="3:3" x14ac:dyDescent="0.15">
      <c r="C3250"/>
    </row>
    <row r="3251" spans="3:3" x14ac:dyDescent="0.15">
      <c r="C3251"/>
    </row>
    <row r="3252" spans="3:3" x14ac:dyDescent="0.15">
      <c r="C3252"/>
    </row>
    <row r="3253" spans="3:3" x14ac:dyDescent="0.15">
      <c r="C3253"/>
    </row>
    <row r="3254" spans="3:3" x14ac:dyDescent="0.15">
      <c r="C3254"/>
    </row>
    <row r="3255" spans="3:3" x14ac:dyDescent="0.15">
      <c r="C3255"/>
    </row>
    <row r="3256" spans="3:3" x14ac:dyDescent="0.15">
      <c r="C3256"/>
    </row>
    <row r="3257" spans="3:3" x14ac:dyDescent="0.15">
      <c r="C3257"/>
    </row>
    <row r="3258" spans="3:3" x14ac:dyDescent="0.15">
      <c r="C3258"/>
    </row>
    <row r="3259" spans="3:3" x14ac:dyDescent="0.15">
      <c r="C3259"/>
    </row>
    <row r="3260" spans="3:3" x14ac:dyDescent="0.15">
      <c r="C3260"/>
    </row>
    <row r="3261" spans="3:3" x14ac:dyDescent="0.15">
      <c r="C3261"/>
    </row>
    <row r="3262" spans="3:3" x14ac:dyDescent="0.15">
      <c r="C3262"/>
    </row>
    <row r="3263" spans="3:3" x14ac:dyDescent="0.15">
      <c r="C3263"/>
    </row>
    <row r="3264" spans="3:3" x14ac:dyDescent="0.15">
      <c r="C3264"/>
    </row>
    <row r="3265" spans="3:3" x14ac:dyDescent="0.15">
      <c r="C3265"/>
    </row>
    <row r="3266" spans="3:3" x14ac:dyDescent="0.15">
      <c r="C3266"/>
    </row>
    <row r="3267" spans="3:3" x14ac:dyDescent="0.15">
      <c r="C3267"/>
    </row>
    <row r="3268" spans="3:3" x14ac:dyDescent="0.15">
      <c r="C3268"/>
    </row>
    <row r="3269" spans="3:3" x14ac:dyDescent="0.15">
      <c r="C3269"/>
    </row>
    <row r="3270" spans="3:3" x14ac:dyDescent="0.15">
      <c r="C3270"/>
    </row>
    <row r="3271" spans="3:3" x14ac:dyDescent="0.15">
      <c r="C3271"/>
    </row>
    <row r="3272" spans="3:3" x14ac:dyDescent="0.15">
      <c r="C3272"/>
    </row>
    <row r="3273" spans="3:3" x14ac:dyDescent="0.15">
      <c r="C3273"/>
    </row>
    <row r="3274" spans="3:3" x14ac:dyDescent="0.15">
      <c r="C3274"/>
    </row>
    <row r="3275" spans="3:3" x14ac:dyDescent="0.15">
      <c r="C3275"/>
    </row>
    <row r="3276" spans="3:3" x14ac:dyDescent="0.15">
      <c r="C3276"/>
    </row>
    <row r="3277" spans="3:3" x14ac:dyDescent="0.15">
      <c r="C3277"/>
    </row>
    <row r="3278" spans="3:3" x14ac:dyDescent="0.15">
      <c r="C3278"/>
    </row>
    <row r="3279" spans="3:3" x14ac:dyDescent="0.15">
      <c r="C3279"/>
    </row>
    <row r="3280" spans="3:3" x14ac:dyDescent="0.15">
      <c r="C3280"/>
    </row>
    <row r="3281" spans="3:3" x14ac:dyDescent="0.15">
      <c r="C3281"/>
    </row>
    <row r="3282" spans="3:3" x14ac:dyDescent="0.15">
      <c r="C3282"/>
    </row>
    <row r="3283" spans="3:3" x14ac:dyDescent="0.15">
      <c r="C3283"/>
    </row>
    <row r="3284" spans="3:3" x14ac:dyDescent="0.15">
      <c r="C3284"/>
    </row>
    <row r="3285" spans="3:3" x14ac:dyDescent="0.15">
      <c r="C3285"/>
    </row>
    <row r="3286" spans="3:3" x14ac:dyDescent="0.15">
      <c r="C3286"/>
    </row>
    <row r="3287" spans="3:3" x14ac:dyDescent="0.15">
      <c r="C3287"/>
    </row>
    <row r="3288" spans="3:3" x14ac:dyDescent="0.15">
      <c r="C3288"/>
    </row>
    <row r="3289" spans="3:3" x14ac:dyDescent="0.15">
      <c r="C3289"/>
    </row>
    <row r="3290" spans="3:3" x14ac:dyDescent="0.15">
      <c r="C3290"/>
    </row>
    <row r="3291" spans="3:3" x14ac:dyDescent="0.15">
      <c r="C3291"/>
    </row>
    <row r="3292" spans="3:3" x14ac:dyDescent="0.15">
      <c r="C3292"/>
    </row>
    <row r="3293" spans="3:3" x14ac:dyDescent="0.15">
      <c r="C3293"/>
    </row>
    <row r="3294" spans="3:3" x14ac:dyDescent="0.15">
      <c r="C3294"/>
    </row>
    <row r="3295" spans="3:3" x14ac:dyDescent="0.15">
      <c r="C3295"/>
    </row>
    <row r="3296" spans="3:3" x14ac:dyDescent="0.15">
      <c r="C3296"/>
    </row>
    <row r="3297" spans="3:3" x14ac:dyDescent="0.15">
      <c r="C3297"/>
    </row>
    <row r="3298" spans="3:3" x14ac:dyDescent="0.15">
      <c r="C3298"/>
    </row>
    <row r="3299" spans="3:3" x14ac:dyDescent="0.15">
      <c r="C3299"/>
    </row>
    <row r="3300" spans="3:3" x14ac:dyDescent="0.15">
      <c r="C3300"/>
    </row>
    <row r="3301" spans="3:3" x14ac:dyDescent="0.15">
      <c r="C3301"/>
    </row>
    <row r="3302" spans="3:3" x14ac:dyDescent="0.15">
      <c r="C3302"/>
    </row>
    <row r="3303" spans="3:3" x14ac:dyDescent="0.15">
      <c r="C3303"/>
    </row>
    <row r="3304" spans="3:3" x14ac:dyDescent="0.15">
      <c r="C3304"/>
    </row>
    <row r="3305" spans="3:3" x14ac:dyDescent="0.15">
      <c r="C3305"/>
    </row>
    <row r="3306" spans="3:3" x14ac:dyDescent="0.15">
      <c r="C3306"/>
    </row>
    <row r="3307" spans="3:3" x14ac:dyDescent="0.15">
      <c r="C3307"/>
    </row>
    <row r="3308" spans="3:3" x14ac:dyDescent="0.15">
      <c r="C3308"/>
    </row>
    <row r="3309" spans="3:3" x14ac:dyDescent="0.15">
      <c r="C3309"/>
    </row>
    <row r="3310" spans="3:3" x14ac:dyDescent="0.15">
      <c r="C3310"/>
    </row>
    <row r="3311" spans="3:3" x14ac:dyDescent="0.15">
      <c r="C3311"/>
    </row>
    <row r="3312" spans="3:3" x14ac:dyDescent="0.15">
      <c r="C3312"/>
    </row>
    <row r="3313" spans="3:3" x14ac:dyDescent="0.15">
      <c r="C3313"/>
    </row>
    <row r="3314" spans="3:3" x14ac:dyDescent="0.15">
      <c r="C3314"/>
    </row>
    <row r="3315" spans="3:3" x14ac:dyDescent="0.15">
      <c r="C3315"/>
    </row>
    <row r="3316" spans="3:3" x14ac:dyDescent="0.15">
      <c r="C3316"/>
    </row>
    <row r="3317" spans="3:3" x14ac:dyDescent="0.15">
      <c r="C3317"/>
    </row>
    <row r="3318" spans="3:3" x14ac:dyDescent="0.15">
      <c r="C3318"/>
    </row>
    <row r="3319" spans="3:3" x14ac:dyDescent="0.15">
      <c r="C3319"/>
    </row>
    <row r="3320" spans="3:3" x14ac:dyDescent="0.15">
      <c r="C3320"/>
    </row>
    <row r="3321" spans="3:3" x14ac:dyDescent="0.15">
      <c r="C3321"/>
    </row>
    <row r="3322" spans="3:3" x14ac:dyDescent="0.15">
      <c r="C3322"/>
    </row>
    <row r="3323" spans="3:3" x14ac:dyDescent="0.15">
      <c r="C3323"/>
    </row>
    <row r="3324" spans="3:3" x14ac:dyDescent="0.15">
      <c r="C3324"/>
    </row>
    <row r="3325" spans="3:3" x14ac:dyDescent="0.15">
      <c r="C3325"/>
    </row>
    <row r="3326" spans="3:3" x14ac:dyDescent="0.15">
      <c r="C3326"/>
    </row>
    <row r="3327" spans="3:3" x14ac:dyDescent="0.15">
      <c r="C3327"/>
    </row>
    <row r="3328" spans="3:3" x14ac:dyDescent="0.15">
      <c r="C3328"/>
    </row>
    <row r="3329" spans="3:3" x14ac:dyDescent="0.15">
      <c r="C3329"/>
    </row>
    <row r="3330" spans="3:3" x14ac:dyDescent="0.15">
      <c r="C3330"/>
    </row>
    <row r="3331" spans="3:3" x14ac:dyDescent="0.15">
      <c r="C3331"/>
    </row>
    <row r="3332" spans="3:3" x14ac:dyDescent="0.15">
      <c r="C3332"/>
    </row>
    <row r="3333" spans="3:3" x14ac:dyDescent="0.15">
      <c r="C3333"/>
    </row>
    <row r="3334" spans="3:3" x14ac:dyDescent="0.15">
      <c r="C3334"/>
    </row>
    <row r="3335" spans="3:3" x14ac:dyDescent="0.15">
      <c r="C3335"/>
    </row>
    <row r="3336" spans="3:3" x14ac:dyDescent="0.15">
      <c r="C3336"/>
    </row>
    <row r="3337" spans="3:3" x14ac:dyDescent="0.15">
      <c r="C3337"/>
    </row>
    <row r="3338" spans="3:3" x14ac:dyDescent="0.15">
      <c r="C3338"/>
    </row>
    <row r="3339" spans="3:3" x14ac:dyDescent="0.15">
      <c r="C3339"/>
    </row>
    <row r="3340" spans="3:3" x14ac:dyDescent="0.15">
      <c r="C3340"/>
    </row>
    <row r="3341" spans="3:3" x14ac:dyDescent="0.15">
      <c r="C3341"/>
    </row>
    <row r="3342" spans="3:3" x14ac:dyDescent="0.15">
      <c r="C3342"/>
    </row>
    <row r="3343" spans="3:3" x14ac:dyDescent="0.15">
      <c r="C3343"/>
    </row>
    <row r="3344" spans="3:3" x14ac:dyDescent="0.15">
      <c r="C3344"/>
    </row>
    <row r="3345" spans="3:3" x14ac:dyDescent="0.15">
      <c r="C3345"/>
    </row>
    <row r="3346" spans="3:3" x14ac:dyDescent="0.15">
      <c r="C3346"/>
    </row>
    <row r="3347" spans="3:3" x14ac:dyDescent="0.15">
      <c r="C3347"/>
    </row>
    <row r="3348" spans="3:3" x14ac:dyDescent="0.15">
      <c r="C3348"/>
    </row>
    <row r="3349" spans="3:3" x14ac:dyDescent="0.15">
      <c r="C3349"/>
    </row>
    <row r="3350" spans="3:3" x14ac:dyDescent="0.15">
      <c r="C3350"/>
    </row>
    <row r="3351" spans="3:3" x14ac:dyDescent="0.15">
      <c r="C3351"/>
    </row>
    <row r="3352" spans="3:3" x14ac:dyDescent="0.15">
      <c r="C3352"/>
    </row>
    <row r="3353" spans="3:3" x14ac:dyDescent="0.15">
      <c r="C3353"/>
    </row>
    <row r="3354" spans="3:3" x14ac:dyDescent="0.15">
      <c r="C3354"/>
    </row>
    <row r="3355" spans="3:3" x14ac:dyDescent="0.15">
      <c r="C3355"/>
    </row>
    <row r="3356" spans="3:3" x14ac:dyDescent="0.15">
      <c r="C3356"/>
    </row>
    <row r="3357" spans="3:3" x14ac:dyDescent="0.15">
      <c r="C3357"/>
    </row>
    <row r="3358" spans="3:3" x14ac:dyDescent="0.15">
      <c r="C3358"/>
    </row>
    <row r="3359" spans="3:3" x14ac:dyDescent="0.15">
      <c r="C3359"/>
    </row>
    <row r="3360" spans="3:3" x14ac:dyDescent="0.15">
      <c r="C3360"/>
    </row>
    <row r="3361" spans="3:3" x14ac:dyDescent="0.15">
      <c r="C3361"/>
    </row>
    <row r="3362" spans="3:3" x14ac:dyDescent="0.15">
      <c r="C3362"/>
    </row>
    <row r="3363" spans="3:3" x14ac:dyDescent="0.15">
      <c r="C3363"/>
    </row>
    <row r="3364" spans="3:3" x14ac:dyDescent="0.15">
      <c r="C3364"/>
    </row>
    <row r="3365" spans="3:3" x14ac:dyDescent="0.15">
      <c r="C3365"/>
    </row>
    <row r="3366" spans="3:3" x14ac:dyDescent="0.15">
      <c r="C3366"/>
    </row>
    <row r="3367" spans="3:3" x14ac:dyDescent="0.15">
      <c r="C3367"/>
    </row>
    <row r="3368" spans="3:3" x14ac:dyDescent="0.15">
      <c r="C3368"/>
    </row>
    <row r="3369" spans="3:3" x14ac:dyDescent="0.15">
      <c r="C3369"/>
    </row>
    <row r="3370" spans="3:3" x14ac:dyDescent="0.15">
      <c r="C3370"/>
    </row>
    <row r="3371" spans="3:3" x14ac:dyDescent="0.15">
      <c r="C3371"/>
    </row>
    <row r="3372" spans="3:3" x14ac:dyDescent="0.15">
      <c r="C3372"/>
    </row>
    <row r="3373" spans="3:3" x14ac:dyDescent="0.15">
      <c r="C3373"/>
    </row>
    <row r="3374" spans="3:3" x14ac:dyDescent="0.15">
      <c r="C3374"/>
    </row>
    <row r="3375" spans="3:3" x14ac:dyDescent="0.15">
      <c r="C3375"/>
    </row>
    <row r="3376" spans="3:3" x14ac:dyDescent="0.15">
      <c r="C3376"/>
    </row>
    <row r="3377" spans="3:3" x14ac:dyDescent="0.15">
      <c r="C3377"/>
    </row>
    <row r="3378" spans="3:3" x14ac:dyDescent="0.15">
      <c r="C3378"/>
    </row>
    <row r="3379" spans="3:3" x14ac:dyDescent="0.15">
      <c r="C3379"/>
    </row>
    <row r="3380" spans="3:3" x14ac:dyDescent="0.15">
      <c r="C3380"/>
    </row>
    <row r="3381" spans="3:3" x14ac:dyDescent="0.15">
      <c r="C3381"/>
    </row>
    <row r="3382" spans="3:3" x14ac:dyDescent="0.15">
      <c r="C3382"/>
    </row>
    <row r="3383" spans="3:3" x14ac:dyDescent="0.15">
      <c r="C3383"/>
    </row>
    <row r="3384" spans="3:3" x14ac:dyDescent="0.15">
      <c r="C3384"/>
    </row>
    <row r="3385" spans="3:3" x14ac:dyDescent="0.15">
      <c r="C3385"/>
    </row>
    <row r="3386" spans="3:3" x14ac:dyDescent="0.15">
      <c r="C3386"/>
    </row>
    <row r="3387" spans="3:3" x14ac:dyDescent="0.15">
      <c r="C3387"/>
    </row>
    <row r="3388" spans="3:3" x14ac:dyDescent="0.15">
      <c r="C3388"/>
    </row>
    <row r="3389" spans="3:3" x14ac:dyDescent="0.15">
      <c r="C3389"/>
    </row>
    <row r="3390" spans="3:3" x14ac:dyDescent="0.15">
      <c r="C3390"/>
    </row>
    <row r="3391" spans="3:3" x14ac:dyDescent="0.15">
      <c r="C3391"/>
    </row>
    <row r="3392" spans="3:3" x14ac:dyDescent="0.15">
      <c r="C3392"/>
    </row>
    <row r="3393" spans="3:3" x14ac:dyDescent="0.15">
      <c r="C3393"/>
    </row>
    <row r="3394" spans="3:3" x14ac:dyDescent="0.15">
      <c r="C3394"/>
    </row>
    <row r="3395" spans="3:3" x14ac:dyDescent="0.15">
      <c r="C3395"/>
    </row>
    <row r="3396" spans="3:3" x14ac:dyDescent="0.15">
      <c r="C3396"/>
    </row>
    <row r="3397" spans="3:3" x14ac:dyDescent="0.15">
      <c r="C3397"/>
    </row>
    <row r="3398" spans="3:3" x14ac:dyDescent="0.15">
      <c r="C3398"/>
    </row>
    <row r="3399" spans="3:3" x14ac:dyDescent="0.15">
      <c r="C3399"/>
    </row>
    <row r="3400" spans="3:3" x14ac:dyDescent="0.15">
      <c r="C3400"/>
    </row>
    <row r="3401" spans="3:3" x14ac:dyDescent="0.15">
      <c r="C3401"/>
    </row>
    <row r="3402" spans="3:3" x14ac:dyDescent="0.15">
      <c r="C3402"/>
    </row>
    <row r="3403" spans="3:3" x14ac:dyDescent="0.15">
      <c r="C3403"/>
    </row>
    <row r="3404" spans="3:3" x14ac:dyDescent="0.15">
      <c r="C3404"/>
    </row>
    <row r="3405" spans="3:3" x14ac:dyDescent="0.15">
      <c r="C3405"/>
    </row>
    <row r="3406" spans="3:3" x14ac:dyDescent="0.15">
      <c r="C3406"/>
    </row>
    <row r="3407" spans="3:3" x14ac:dyDescent="0.15">
      <c r="C3407"/>
    </row>
    <row r="3408" spans="3:3" x14ac:dyDescent="0.15">
      <c r="C3408"/>
    </row>
    <row r="3409" spans="3:3" x14ac:dyDescent="0.15">
      <c r="C3409"/>
    </row>
    <row r="3410" spans="3:3" x14ac:dyDescent="0.15">
      <c r="C3410"/>
    </row>
    <row r="3411" spans="3:3" x14ac:dyDescent="0.15">
      <c r="C3411"/>
    </row>
    <row r="3412" spans="3:3" x14ac:dyDescent="0.15">
      <c r="C3412"/>
    </row>
    <row r="3413" spans="3:3" x14ac:dyDescent="0.15">
      <c r="C3413"/>
    </row>
    <row r="3414" spans="3:3" x14ac:dyDescent="0.15">
      <c r="C3414"/>
    </row>
    <row r="3415" spans="3:3" x14ac:dyDescent="0.15">
      <c r="C3415"/>
    </row>
    <row r="3416" spans="3:3" x14ac:dyDescent="0.15">
      <c r="C3416"/>
    </row>
    <row r="3417" spans="3:3" x14ac:dyDescent="0.15">
      <c r="C3417"/>
    </row>
    <row r="3418" spans="3:3" x14ac:dyDescent="0.15">
      <c r="C3418"/>
    </row>
    <row r="3419" spans="3:3" x14ac:dyDescent="0.15">
      <c r="C3419"/>
    </row>
    <row r="3420" spans="3:3" x14ac:dyDescent="0.15">
      <c r="C3420"/>
    </row>
    <row r="3421" spans="3:3" x14ac:dyDescent="0.15">
      <c r="C3421"/>
    </row>
    <row r="3422" spans="3:3" x14ac:dyDescent="0.15">
      <c r="C3422"/>
    </row>
    <row r="3423" spans="3:3" x14ac:dyDescent="0.15">
      <c r="C3423"/>
    </row>
    <row r="3424" spans="3:3" x14ac:dyDescent="0.15">
      <c r="C3424"/>
    </row>
    <row r="3425" spans="3:3" x14ac:dyDescent="0.15">
      <c r="C3425"/>
    </row>
    <row r="3426" spans="3:3" x14ac:dyDescent="0.15">
      <c r="C3426"/>
    </row>
    <row r="3427" spans="3:3" x14ac:dyDescent="0.15">
      <c r="C3427"/>
    </row>
    <row r="3428" spans="3:3" x14ac:dyDescent="0.15">
      <c r="C3428"/>
    </row>
    <row r="3429" spans="3:3" x14ac:dyDescent="0.15">
      <c r="C3429"/>
    </row>
    <row r="3430" spans="3:3" x14ac:dyDescent="0.15">
      <c r="C3430"/>
    </row>
    <row r="3431" spans="3:3" x14ac:dyDescent="0.15">
      <c r="C3431"/>
    </row>
    <row r="3432" spans="3:3" x14ac:dyDescent="0.15">
      <c r="C3432"/>
    </row>
    <row r="3433" spans="3:3" x14ac:dyDescent="0.15">
      <c r="C3433"/>
    </row>
    <row r="3434" spans="3:3" x14ac:dyDescent="0.15">
      <c r="C3434"/>
    </row>
    <row r="3435" spans="3:3" x14ac:dyDescent="0.15">
      <c r="C3435"/>
    </row>
    <row r="3436" spans="3:3" x14ac:dyDescent="0.15">
      <c r="C3436"/>
    </row>
    <row r="3437" spans="3:3" x14ac:dyDescent="0.15">
      <c r="C3437"/>
    </row>
    <row r="3438" spans="3:3" x14ac:dyDescent="0.15">
      <c r="C3438"/>
    </row>
    <row r="3439" spans="3:3" x14ac:dyDescent="0.15">
      <c r="C3439"/>
    </row>
    <row r="3440" spans="3:3" x14ac:dyDescent="0.15">
      <c r="C3440"/>
    </row>
    <row r="3441" spans="3:3" x14ac:dyDescent="0.15">
      <c r="C3441"/>
    </row>
    <row r="3442" spans="3:3" x14ac:dyDescent="0.15">
      <c r="C3442"/>
    </row>
    <row r="3443" spans="3:3" x14ac:dyDescent="0.15">
      <c r="C3443"/>
    </row>
    <row r="3444" spans="3:3" x14ac:dyDescent="0.15">
      <c r="C3444"/>
    </row>
    <row r="3445" spans="3:3" x14ac:dyDescent="0.15">
      <c r="C3445"/>
    </row>
    <row r="3446" spans="3:3" x14ac:dyDescent="0.15">
      <c r="C3446"/>
    </row>
    <row r="3447" spans="3:3" x14ac:dyDescent="0.15">
      <c r="C3447"/>
    </row>
    <row r="3448" spans="3:3" x14ac:dyDescent="0.15">
      <c r="C3448"/>
    </row>
    <row r="3449" spans="3:3" x14ac:dyDescent="0.15">
      <c r="C3449"/>
    </row>
    <row r="3450" spans="3:3" x14ac:dyDescent="0.15">
      <c r="C3450"/>
    </row>
    <row r="3451" spans="3:3" x14ac:dyDescent="0.15">
      <c r="C3451"/>
    </row>
    <row r="3452" spans="3:3" x14ac:dyDescent="0.15">
      <c r="C3452"/>
    </row>
    <row r="3453" spans="3:3" x14ac:dyDescent="0.15">
      <c r="C3453"/>
    </row>
    <row r="3454" spans="3:3" x14ac:dyDescent="0.15">
      <c r="C3454"/>
    </row>
    <row r="3455" spans="3:3" x14ac:dyDescent="0.15">
      <c r="C3455"/>
    </row>
    <row r="3456" spans="3:3" x14ac:dyDescent="0.15">
      <c r="C3456"/>
    </row>
    <row r="3457" spans="3:3" x14ac:dyDescent="0.15">
      <c r="C3457"/>
    </row>
    <row r="3458" spans="3:3" x14ac:dyDescent="0.15">
      <c r="C3458"/>
    </row>
    <row r="3459" spans="3:3" x14ac:dyDescent="0.15">
      <c r="C3459"/>
    </row>
    <row r="3460" spans="3:3" x14ac:dyDescent="0.15">
      <c r="C3460"/>
    </row>
    <row r="3461" spans="3:3" x14ac:dyDescent="0.15">
      <c r="C3461"/>
    </row>
    <row r="3462" spans="3:3" x14ac:dyDescent="0.15">
      <c r="C3462"/>
    </row>
    <row r="3463" spans="3:3" x14ac:dyDescent="0.15">
      <c r="C3463"/>
    </row>
    <row r="3464" spans="3:3" x14ac:dyDescent="0.15">
      <c r="C3464"/>
    </row>
    <row r="3465" spans="3:3" x14ac:dyDescent="0.15">
      <c r="C3465"/>
    </row>
    <row r="3466" spans="3:3" x14ac:dyDescent="0.15">
      <c r="C3466"/>
    </row>
    <row r="3467" spans="3:3" x14ac:dyDescent="0.15">
      <c r="C3467"/>
    </row>
    <row r="3468" spans="3:3" x14ac:dyDescent="0.15">
      <c r="C3468"/>
    </row>
    <row r="3469" spans="3:3" x14ac:dyDescent="0.15">
      <c r="C3469"/>
    </row>
    <row r="3470" spans="3:3" x14ac:dyDescent="0.15">
      <c r="C3470"/>
    </row>
    <row r="3471" spans="3:3" x14ac:dyDescent="0.15">
      <c r="C3471"/>
    </row>
    <row r="3472" spans="3:3" x14ac:dyDescent="0.15">
      <c r="C3472"/>
    </row>
    <row r="3473" spans="3:3" x14ac:dyDescent="0.15">
      <c r="C3473"/>
    </row>
    <row r="3474" spans="3:3" x14ac:dyDescent="0.15">
      <c r="C3474"/>
    </row>
    <row r="3475" spans="3:3" x14ac:dyDescent="0.15">
      <c r="C3475"/>
    </row>
    <row r="3476" spans="3:3" x14ac:dyDescent="0.15">
      <c r="C3476"/>
    </row>
    <row r="3477" spans="3:3" x14ac:dyDescent="0.15">
      <c r="C3477"/>
    </row>
    <row r="3478" spans="3:3" x14ac:dyDescent="0.15">
      <c r="C3478"/>
    </row>
    <row r="3479" spans="3:3" x14ac:dyDescent="0.15">
      <c r="C3479"/>
    </row>
    <row r="3480" spans="3:3" x14ac:dyDescent="0.15">
      <c r="C3480"/>
    </row>
    <row r="3481" spans="3:3" x14ac:dyDescent="0.15">
      <c r="C3481"/>
    </row>
    <row r="3482" spans="3:3" x14ac:dyDescent="0.15">
      <c r="C3482"/>
    </row>
    <row r="3483" spans="3:3" x14ac:dyDescent="0.15">
      <c r="C3483"/>
    </row>
    <row r="3484" spans="3:3" x14ac:dyDescent="0.15">
      <c r="C3484"/>
    </row>
    <row r="3485" spans="3:3" x14ac:dyDescent="0.15">
      <c r="C3485"/>
    </row>
    <row r="3486" spans="3:3" x14ac:dyDescent="0.15">
      <c r="C3486"/>
    </row>
    <row r="3487" spans="3:3" x14ac:dyDescent="0.15">
      <c r="C3487"/>
    </row>
    <row r="3488" spans="3:3" x14ac:dyDescent="0.15">
      <c r="C3488"/>
    </row>
    <row r="3489" spans="3:3" x14ac:dyDescent="0.15">
      <c r="C3489"/>
    </row>
    <row r="3490" spans="3:3" x14ac:dyDescent="0.15">
      <c r="C3490"/>
    </row>
    <row r="3491" spans="3:3" x14ac:dyDescent="0.15">
      <c r="C3491"/>
    </row>
    <row r="3492" spans="3:3" x14ac:dyDescent="0.15">
      <c r="C3492"/>
    </row>
    <row r="3493" spans="3:3" x14ac:dyDescent="0.15">
      <c r="C3493"/>
    </row>
    <row r="3494" spans="3:3" x14ac:dyDescent="0.15">
      <c r="C3494"/>
    </row>
    <row r="3495" spans="3:3" x14ac:dyDescent="0.15">
      <c r="C3495"/>
    </row>
    <row r="3496" spans="3:3" x14ac:dyDescent="0.15">
      <c r="C3496"/>
    </row>
    <row r="3497" spans="3:3" x14ac:dyDescent="0.15">
      <c r="C3497"/>
    </row>
    <row r="3498" spans="3:3" x14ac:dyDescent="0.15">
      <c r="C3498"/>
    </row>
    <row r="3499" spans="3:3" x14ac:dyDescent="0.15">
      <c r="C3499"/>
    </row>
    <row r="3500" spans="3:3" x14ac:dyDescent="0.15">
      <c r="C3500"/>
    </row>
    <row r="3501" spans="3:3" x14ac:dyDescent="0.15">
      <c r="C3501"/>
    </row>
    <row r="3502" spans="3:3" x14ac:dyDescent="0.15">
      <c r="C3502"/>
    </row>
    <row r="3503" spans="3:3" x14ac:dyDescent="0.15">
      <c r="C3503"/>
    </row>
    <row r="3504" spans="3:3" x14ac:dyDescent="0.15">
      <c r="C3504"/>
    </row>
    <row r="3505" spans="3:3" x14ac:dyDescent="0.15">
      <c r="C3505"/>
    </row>
    <row r="3506" spans="3:3" x14ac:dyDescent="0.15">
      <c r="C3506"/>
    </row>
    <row r="3507" spans="3:3" x14ac:dyDescent="0.15">
      <c r="C3507"/>
    </row>
    <row r="3508" spans="3:3" x14ac:dyDescent="0.15">
      <c r="C3508"/>
    </row>
    <row r="3509" spans="3:3" x14ac:dyDescent="0.15">
      <c r="C3509"/>
    </row>
    <row r="3510" spans="3:3" x14ac:dyDescent="0.15">
      <c r="C3510"/>
    </row>
    <row r="3511" spans="3:3" x14ac:dyDescent="0.15">
      <c r="C3511"/>
    </row>
    <row r="3512" spans="3:3" x14ac:dyDescent="0.15">
      <c r="C3512"/>
    </row>
    <row r="3513" spans="3:3" x14ac:dyDescent="0.15">
      <c r="C3513"/>
    </row>
    <row r="3514" spans="3:3" x14ac:dyDescent="0.15">
      <c r="C3514"/>
    </row>
    <row r="3515" spans="3:3" x14ac:dyDescent="0.15">
      <c r="C3515"/>
    </row>
    <row r="3516" spans="3:3" x14ac:dyDescent="0.15">
      <c r="C3516"/>
    </row>
    <row r="3517" spans="3:3" x14ac:dyDescent="0.15">
      <c r="C3517"/>
    </row>
    <row r="3518" spans="3:3" x14ac:dyDescent="0.15">
      <c r="C3518"/>
    </row>
    <row r="3519" spans="3:3" x14ac:dyDescent="0.15">
      <c r="C3519"/>
    </row>
    <row r="3520" spans="3:3" x14ac:dyDescent="0.15">
      <c r="C3520"/>
    </row>
    <row r="3521" spans="3:3" x14ac:dyDescent="0.15">
      <c r="C3521"/>
    </row>
    <row r="3522" spans="3:3" x14ac:dyDescent="0.15">
      <c r="C3522"/>
    </row>
    <row r="3523" spans="3:3" x14ac:dyDescent="0.15">
      <c r="C3523"/>
    </row>
    <row r="3524" spans="3:3" x14ac:dyDescent="0.15">
      <c r="C3524"/>
    </row>
    <row r="3525" spans="3:3" x14ac:dyDescent="0.15">
      <c r="C3525"/>
    </row>
    <row r="3526" spans="3:3" x14ac:dyDescent="0.15">
      <c r="C3526"/>
    </row>
    <row r="3527" spans="3:3" x14ac:dyDescent="0.15">
      <c r="C3527"/>
    </row>
    <row r="3528" spans="3:3" x14ac:dyDescent="0.15">
      <c r="C3528"/>
    </row>
    <row r="3529" spans="3:3" x14ac:dyDescent="0.15">
      <c r="C3529"/>
    </row>
    <row r="3530" spans="3:3" x14ac:dyDescent="0.15">
      <c r="C3530"/>
    </row>
    <row r="3531" spans="3:3" x14ac:dyDescent="0.15">
      <c r="C3531"/>
    </row>
    <row r="3532" spans="3:3" x14ac:dyDescent="0.15">
      <c r="C3532"/>
    </row>
    <row r="3533" spans="3:3" x14ac:dyDescent="0.15">
      <c r="C3533"/>
    </row>
    <row r="3534" spans="3:3" x14ac:dyDescent="0.15">
      <c r="C3534"/>
    </row>
    <row r="3535" spans="3:3" x14ac:dyDescent="0.15">
      <c r="C3535"/>
    </row>
    <row r="3536" spans="3:3" x14ac:dyDescent="0.15">
      <c r="C3536"/>
    </row>
    <row r="3537" spans="3:3" x14ac:dyDescent="0.15">
      <c r="C3537"/>
    </row>
    <row r="3538" spans="3:3" x14ac:dyDescent="0.15">
      <c r="C3538"/>
    </row>
    <row r="3539" spans="3:3" x14ac:dyDescent="0.15">
      <c r="C3539"/>
    </row>
    <row r="3540" spans="3:3" x14ac:dyDescent="0.15">
      <c r="C3540"/>
    </row>
    <row r="3541" spans="3:3" x14ac:dyDescent="0.15">
      <c r="C3541"/>
    </row>
    <row r="3542" spans="3:3" x14ac:dyDescent="0.15">
      <c r="C3542"/>
    </row>
    <row r="3543" spans="3:3" x14ac:dyDescent="0.15">
      <c r="C3543"/>
    </row>
    <row r="3544" spans="3:3" x14ac:dyDescent="0.15">
      <c r="C3544"/>
    </row>
    <row r="3545" spans="3:3" x14ac:dyDescent="0.15">
      <c r="C3545"/>
    </row>
    <row r="3546" spans="3:3" x14ac:dyDescent="0.15">
      <c r="C3546"/>
    </row>
    <row r="3547" spans="3:3" x14ac:dyDescent="0.15">
      <c r="C3547"/>
    </row>
    <row r="3548" spans="3:3" x14ac:dyDescent="0.15">
      <c r="C3548"/>
    </row>
    <row r="3549" spans="3:3" x14ac:dyDescent="0.15">
      <c r="C3549"/>
    </row>
    <row r="3550" spans="3:3" x14ac:dyDescent="0.15">
      <c r="C3550"/>
    </row>
    <row r="3551" spans="3:3" x14ac:dyDescent="0.15">
      <c r="C3551"/>
    </row>
    <row r="3552" spans="3:3" x14ac:dyDescent="0.15">
      <c r="C3552"/>
    </row>
    <row r="3553" spans="3:3" x14ac:dyDescent="0.15">
      <c r="C3553"/>
    </row>
    <row r="3554" spans="3:3" x14ac:dyDescent="0.15">
      <c r="C3554"/>
    </row>
    <row r="3555" spans="3:3" x14ac:dyDescent="0.15">
      <c r="C3555"/>
    </row>
    <row r="3556" spans="3:3" x14ac:dyDescent="0.15">
      <c r="C3556"/>
    </row>
    <row r="3557" spans="3:3" x14ac:dyDescent="0.15">
      <c r="C3557"/>
    </row>
    <row r="3558" spans="3:3" x14ac:dyDescent="0.15">
      <c r="C3558"/>
    </row>
    <row r="3559" spans="3:3" x14ac:dyDescent="0.15">
      <c r="C3559"/>
    </row>
    <row r="3560" spans="3:3" x14ac:dyDescent="0.15">
      <c r="C3560"/>
    </row>
    <row r="3561" spans="3:3" x14ac:dyDescent="0.15">
      <c r="C3561"/>
    </row>
    <row r="3562" spans="3:3" x14ac:dyDescent="0.15">
      <c r="C3562"/>
    </row>
    <row r="3563" spans="3:3" x14ac:dyDescent="0.15">
      <c r="C3563"/>
    </row>
    <row r="3564" spans="3:3" x14ac:dyDescent="0.15">
      <c r="C3564"/>
    </row>
    <row r="3565" spans="3:3" x14ac:dyDescent="0.15">
      <c r="C3565"/>
    </row>
    <row r="3566" spans="3:3" x14ac:dyDescent="0.15">
      <c r="C3566"/>
    </row>
    <row r="3567" spans="3:3" x14ac:dyDescent="0.15">
      <c r="C3567"/>
    </row>
    <row r="3568" spans="3:3" x14ac:dyDescent="0.15">
      <c r="C3568"/>
    </row>
    <row r="3569" spans="3:3" x14ac:dyDescent="0.15">
      <c r="C3569"/>
    </row>
    <row r="3570" spans="3:3" x14ac:dyDescent="0.15">
      <c r="C3570"/>
    </row>
    <row r="3571" spans="3:3" x14ac:dyDescent="0.15">
      <c r="C3571"/>
    </row>
    <row r="3572" spans="3:3" x14ac:dyDescent="0.15">
      <c r="C3572"/>
    </row>
    <row r="3573" spans="3:3" x14ac:dyDescent="0.15">
      <c r="C3573"/>
    </row>
    <row r="3574" spans="3:3" x14ac:dyDescent="0.15">
      <c r="C3574"/>
    </row>
    <row r="3575" spans="3:3" x14ac:dyDescent="0.15">
      <c r="C3575"/>
    </row>
    <row r="3576" spans="3:3" x14ac:dyDescent="0.15">
      <c r="C3576"/>
    </row>
    <row r="3577" spans="3:3" x14ac:dyDescent="0.15">
      <c r="C3577"/>
    </row>
    <row r="3578" spans="3:3" x14ac:dyDescent="0.15">
      <c r="C3578"/>
    </row>
    <row r="3579" spans="3:3" x14ac:dyDescent="0.15">
      <c r="C3579"/>
    </row>
    <row r="3580" spans="3:3" x14ac:dyDescent="0.15">
      <c r="C3580"/>
    </row>
    <row r="3581" spans="3:3" x14ac:dyDescent="0.15">
      <c r="C3581"/>
    </row>
    <row r="3582" spans="3:3" x14ac:dyDescent="0.15">
      <c r="C3582"/>
    </row>
    <row r="3583" spans="3:3" x14ac:dyDescent="0.15">
      <c r="C3583"/>
    </row>
    <row r="3584" spans="3:3" x14ac:dyDescent="0.15">
      <c r="C3584"/>
    </row>
    <row r="3585" spans="3:3" x14ac:dyDescent="0.15">
      <c r="C3585"/>
    </row>
    <row r="3586" spans="3:3" x14ac:dyDescent="0.15">
      <c r="C3586"/>
    </row>
    <row r="3587" spans="3:3" x14ac:dyDescent="0.15">
      <c r="C3587"/>
    </row>
    <row r="3588" spans="3:3" x14ac:dyDescent="0.15">
      <c r="C3588"/>
    </row>
    <row r="3589" spans="3:3" x14ac:dyDescent="0.15">
      <c r="C3589"/>
    </row>
    <row r="3590" spans="3:3" x14ac:dyDescent="0.15">
      <c r="C3590"/>
    </row>
    <row r="3591" spans="3:3" x14ac:dyDescent="0.15">
      <c r="C3591"/>
    </row>
    <row r="3592" spans="3:3" x14ac:dyDescent="0.15">
      <c r="C3592"/>
    </row>
    <row r="3593" spans="3:3" x14ac:dyDescent="0.15">
      <c r="C3593"/>
    </row>
    <row r="3594" spans="3:3" x14ac:dyDescent="0.15">
      <c r="C3594"/>
    </row>
    <row r="3595" spans="3:3" x14ac:dyDescent="0.15">
      <c r="C3595"/>
    </row>
    <row r="3596" spans="3:3" x14ac:dyDescent="0.15">
      <c r="C3596"/>
    </row>
    <row r="3597" spans="3:3" x14ac:dyDescent="0.15">
      <c r="C3597"/>
    </row>
    <row r="3598" spans="3:3" x14ac:dyDescent="0.15">
      <c r="C3598"/>
    </row>
    <row r="3599" spans="3:3" x14ac:dyDescent="0.15">
      <c r="C3599"/>
    </row>
    <row r="3600" spans="3:3" x14ac:dyDescent="0.15">
      <c r="C3600"/>
    </row>
    <row r="3601" spans="3:3" x14ac:dyDescent="0.15">
      <c r="C3601"/>
    </row>
    <row r="3602" spans="3:3" x14ac:dyDescent="0.15">
      <c r="C3602"/>
    </row>
    <row r="3603" spans="3:3" x14ac:dyDescent="0.15">
      <c r="C3603"/>
    </row>
    <row r="3604" spans="3:3" x14ac:dyDescent="0.15">
      <c r="C3604"/>
    </row>
    <row r="3605" spans="3:3" x14ac:dyDescent="0.15">
      <c r="C3605"/>
    </row>
    <row r="3606" spans="3:3" x14ac:dyDescent="0.15">
      <c r="C3606"/>
    </row>
    <row r="3607" spans="3:3" x14ac:dyDescent="0.15">
      <c r="C3607"/>
    </row>
    <row r="3608" spans="3:3" x14ac:dyDescent="0.15">
      <c r="C3608"/>
    </row>
    <row r="3609" spans="3:3" x14ac:dyDescent="0.15">
      <c r="C3609"/>
    </row>
    <row r="3610" spans="3:3" x14ac:dyDescent="0.15">
      <c r="C3610"/>
    </row>
    <row r="3611" spans="3:3" x14ac:dyDescent="0.15">
      <c r="C3611"/>
    </row>
    <row r="3612" spans="3:3" x14ac:dyDescent="0.15">
      <c r="C3612"/>
    </row>
    <row r="3613" spans="3:3" x14ac:dyDescent="0.15">
      <c r="C3613"/>
    </row>
    <row r="3614" spans="3:3" x14ac:dyDescent="0.15">
      <c r="C3614"/>
    </row>
    <row r="3615" spans="3:3" x14ac:dyDescent="0.15">
      <c r="C3615"/>
    </row>
    <row r="3616" spans="3:3" x14ac:dyDescent="0.15">
      <c r="C3616"/>
    </row>
    <row r="3617" spans="3:3" x14ac:dyDescent="0.15">
      <c r="C3617"/>
    </row>
    <row r="3618" spans="3:3" x14ac:dyDescent="0.15">
      <c r="C3618"/>
    </row>
    <row r="3619" spans="3:3" x14ac:dyDescent="0.15">
      <c r="C3619"/>
    </row>
    <row r="3620" spans="3:3" x14ac:dyDescent="0.15">
      <c r="C3620"/>
    </row>
    <row r="3621" spans="3:3" x14ac:dyDescent="0.15">
      <c r="C3621"/>
    </row>
    <row r="3622" spans="3:3" x14ac:dyDescent="0.15">
      <c r="C3622"/>
    </row>
    <row r="3623" spans="3:3" x14ac:dyDescent="0.15">
      <c r="C3623"/>
    </row>
    <row r="3624" spans="3:3" x14ac:dyDescent="0.15">
      <c r="C3624"/>
    </row>
    <row r="3625" spans="3:3" x14ac:dyDescent="0.15">
      <c r="C3625"/>
    </row>
    <row r="3626" spans="3:3" x14ac:dyDescent="0.15">
      <c r="C3626"/>
    </row>
    <row r="3627" spans="3:3" x14ac:dyDescent="0.15">
      <c r="C3627"/>
    </row>
    <row r="3628" spans="3:3" x14ac:dyDescent="0.15">
      <c r="C3628"/>
    </row>
    <row r="3629" spans="3:3" x14ac:dyDescent="0.15">
      <c r="C3629"/>
    </row>
    <row r="3630" spans="3:3" x14ac:dyDescent="0.15">
      <c r="C3630"/>
    </row>
    <row r="3631" spans="3:3" x14ac:dyDescent="0.15">
      <c r="C3631"/>
    </row>
    <row r="3632" spans="3:3" x14ac:dyDescent="0.15">
      <c r="C3632"/>
    </row>
    <row r="3633" spans="3:3" x14ac:dyDescent="0.15">
      <c r="C3633"/>
    </row>
    <row r="3634" spans="3:3" x14ac:dyDescent="0.15">
      <c r="C3634"/>
    </row>
    <row r="3635" spans="3:3" x14ac:dyDescent="0.15">
      <c r="C3635"/>
    </row>
    <row r="3636" spans="3:3" x14ac:dyDescent="0.15">
      <c r="C3636"/>
    </row>
    <row r="3637" spans="3:3" x14ac:dyDescent="0.15">
      <c r="C3637"/>
    </row>
    <row r="3638" spans="3:3" x14ac:dyDescent="0.15">
      <c r="C3638"/>
    </row>
    <row r="3639" spans="3:3" x14ac:dyDescent="0.15">
      <c r="C3639"/>
    </row>
    <row r="3640" spans="3:3" x14ac:dyDescent="0.15">
      <c r="C3640"/>
    </row>
    <row r="3641" spans="3:3" x14ac:dyDescent="0.15">
      <c r="C3641"/>
    </row>
    <row r="3642" spans="3:3" x14ac:dyDescent="0.15">
      <c r="C3642"/>
    </row>
    <row r="3643" spans="3:3" x14ac:dyDescent="0.15">
      <c r="C3643"/>
    </row>
    <row r="3644" spans="3:3" x14ac:dyDescent="0.15">
      <c r="C3644"/>
    </row>
    <row r="3645" spans="3:3" x14ac:dyDescent="0.15">
      <c r="C3645"/>
    </row>
    <row r="3646" spans="3:3" x14ac:dyDescent="0.15">
      <c r="C3646"/>
    </row>
    <row r="3647" spans="3:3" x14ac:dyDescent="0.15">
      <c r="C3647"/>
    </row>
    <row r="3648" spans="3:3" x14ac:dyDescent="0.15">
      <c r="C3648"/>
    </row>
    <row r="3649" spans="3:3" x14ac:dyDescent="0.15">
      <c r="C3649"/>
    </row>
    <row r="3650" spans="3:3" x14ac:dyDescent="0.15">
      <c r="C3650"/>
    </row>
    <row r="3651" spans="3:3" x14ac:dyDescent="0.15">
      <c r="C3651"/>
    </row>
    <row r="3652" spans="3:3" x14ac:dyDescent="0.15">
      <c r="C3652"/>
    </row>
    <row r="3653" spans="3:3" x14ac:dyDescent="0.15">
      <c r="C3653"/>
    </row>
    <row r="3654" spans="3:3" x14ac:dyDescent="0.15">
      <c r="C3654"/>
    </row>
    <row r="3655" spans="3:3" x14ac:dyDescent="0.15">
      <c r="C3655"/>
    </row>
    <row r="3656" spans="3:3" x14ac:dyDescent="0.15">
      <c r="C3656"/>
    </row>
    <row r="3657" spans="3:3" x14ac:dyDescent="0.15">
      <c r="C3657"/>
    </row>
    <row r="3658" spans="3:3" x14ac:dyDescent="0.15">
      <c r="C3658"/>
    </row>
    <row r="3659" spans="3:3" x14ac:dyDescent="0.15">
      <c r="C3659"/>
    </row>
    <row r="3660" spans="3:3" x14ac:dyDescent="0.15">
      <c r="C3660"/>
    </row>
    <row r="3661" spans="3:3" x14ac:dyDescent="0.15">
      <c r="C3661"/>
    </row>
    <row r="3662" spans="3:3" x14ac:dyDescent="0.15">
      <c r="C3662"/>
    </row>
    <row r="3663" spans="3:3" x14ac:dyDescent="0.15">
      <c r="C3663"/>
    </row>
    <row r="3664" spans="3:3" x14ac:dyDescent="0.15">
      <c r="C3664"/>
    </row>
    <row r="3665" spans="3:3" x14ac:dyDescent="0.15">
      <c r="C3665"/>
    </row>
    <row r="3666" spans="3:3" x14ac:dyDescent="0.15">
      <c r="C3666"/>
    </row>
    <row r="3667" spans="3:3" x14ac:dyDescent="0.15">
      <c r="C3667"/>
    </row>
    <row r="3668" spans="3:3" x14ac:dyDescent="0.15">
      <c r="C3668"/>
    </row>
    <row r="3669" spans="3:3" x14ac:dyDescent="0.15">
      <c r="C3669"/>
    </row>
    <row r="3670" spans="3:3" x14ac:dyDescent="0.15">
      <c r="C3670"/>
    </row>
    <row r="3671" spans="3:3" x14ac:dyDescent="0.15">
      <c r="C3671"/>
    </row>
    <row r="3672" spans="3:3" x14ac:dyDescent="0.15">
      <c r="C3672"/>
    </row>
    <row r="3673" spans="3:3" x14ac:dyDescent="0.15">
      <c r="C3673"/>
    </row>
    <row r="3674" spans="3:3" x14ac:dyDescent="0.15">
      <c r="C3674"/>
    </row>
    <row r="3675" spans="3:3" x14ac:dyDescent="0.15">
      <c r="C3675"/>
    </row>
    <row r="3676" spans="3:3" x14ac:dyDescent="0.15">
      <c r="C3676"/>
    </row>
    <row r="3677" spans="3:3" x14ac:dyDescent="0.15">
      <c r="C3677"/>
    </row>
    <row r="3678" spans="3:3" x14ac:dyDescent="0.15">
      <c r="C3678"/>
    </row>
    <row r="3679" spans="3:3" x14ac:dyDescent="0.15">
      <c r="C3679"/>
    </row>
    <row r="3680" spans="3:3" x14ac:dyDescent="0.15">
      <c r="C3680"/>
    </row>
    <row r="3681" spans="3:3" x14ac:dyDescent="0.15">
      <c r="C3681"/>
    </row>
    <row r="3682" spans="3:3" x14ac:dyDescent="0.15">
      <c r="C3682"/>
    </row>
    <row r="3683" spans="3:3" x14ac:dyDescent="0.15">
      <c r="C3683"/>
    </row>
    <row r="3684" spans="3:3" x14ac:dyDescent="0.15">
      <c r="C3684"/>
    </row>
    <row r="3685" spans="3:3" x14ac:dyDescent="0.15">
      <c r="C3685"/>
    </row>
    <row r="3686" spans="3:3" x14ac:dyDescent="0.15">
      <c r="C3686"/>
    </row>
    <row r="3687" spans="3:3" x14ac:dyDescent="0.15">
      <c r="C3687"/>
    </row>
    <row r="3688" spans="3:3" x14ac:dyDescent="0.15">
      <c r="C3688"/>
    </row>
    <row r="3689" spans="3:3" x14ac:dyDescent="0.15">
      <c r="C3689"/>
    </row>
    <row r="3690" spans="3:3" x14ac:dyDescent="0.15">
      <c r="C3690"/>
    </row>
    <row r="3691" spans="3:3" x14ac:dyDescent="0.15">
      <c r="C3691"/>
    </row>
    <row r="3692" spans="3:3" x14ac:dyDescent="0.15">
      <c r="C3692"/>
    </row>
    <row r="3693" spans="3:3" x14ac:dyDescent="0.15">
      <c r="C3693"/>
    </row>
    <row r="3694" spans="3:3" x14ac:dyDescent="0.15">
      <c r="C3694"/>
    </row>
    <row r="3695" spans="3:3" x14ac:dyDescent="0.15">
      <c r="C3695"/>
    </row>
    <row r="3696" spans="3:3" x14ac:dyDescent="0.15">
      <c r="C3696"/>
    </row>
    <row r="3697" spans="3:3" x14ac:dyDescent="0.15">
      <c r="C3697"/>
    </row>
    <row r="3698" spans="3:3" x14ac:dyDescent="0.15">
      <c r="C3698"/>
    </row>
    <row r="3699" spans="3:3" x14ac:dyDescent="0.15">
      <c r="C3699"/>
    </row>
    <row r="3700" spans="3:3" x14ac:dyDescent="0.15">
      <c r="C3700"/>
    </row>
    <row r="3701" spans="3:3" x14ac:dyDescent="0.15">
      <c r="C3701"/>
    </row>
    <row r="3702" spans="3:3" x14ac:dyDescent="0.15">
      <c r="C3702"/>
    </row>
    <row r="3703" spans="3:3" x14ac:dyDescent="0.15">
      <c r="C3703"/>
    </row>
    <row r="3704" spans="3:3" x14ac:dyDescent="0.15">
      <c r="C3704"/>
    </row>
    <row r="3705" spans="3:3" x14ac:dyDescent="0.15">
      <c r="C3705"/>
    </row>
    <row r="3706" spans="3:3" x14ac:dyDescent="0.15">
      <c r="C3706"/>
    </row>
    <row r="3707" spans="3:3" x14ac:dyDescent="0.15">
      <c r="C3707"/>
    </row>
    <row r="3708" spans="3:3" x14ac:dyDescent="0.15">
      <c r="C3708"/>
    </row>
    <row r="3709" spans="3:3" x14ac:dyDescent="0.15">
      <c r="C3709"/>
    </row>
    <row r="3710" spans="3:3" x14ac:dyDescent="0.15">
      <c r="C3710"/>
    </row>
    <row r="3711" spans="3:3" x14ac:dyDescent="0.15">
      <c r="C3711"/>
    </row>
    <row r="3712" spans="3:3" x14ac:dyDescent="0.15">
      <c r="C3712"/>
    </row>
    <row r="3713" spans="3:3" x14ac:dyDescent="0.15">
      <c r="C3713"/>
    </row>
    <row r="3714" spans="3:3" x14ac:dyDescent="0.15">
      <c r="C3714"/>
    </row>
    <row r="3715" spans="3:3" x14ac:dyDescent="0.15">
      <c r="C3715"/>
    </row>
    <row r="3716" spans="3:3" x14ac:dyDescent="0.15">
      <c r="C3716"/>
    </row>
    <row r="3717" spans="3:3" x14ac:dyDescent="0.15">
      <c r="C3717"/>
    </row>
    <row r="3718" spans="3:3" x14ac:dyDescent="0.15">
      <c r="C3718"/>
    </row>
    <row r="3719" spans="3:3" x14ac:dyDescent="0.15">
      <c r="C3719"/>
    </row>
    <row r="3720" spans="3:3" x14ac:dyDescent="0.15">
      <c r="C3720"/>
    </row>
    <row r="3721" spans="3:3" x14ac:dyDescent="0.15">
      <c r="C3721"/>
    </row>
    <row r="3722" spans="3:3" x14ac:dyDescent="0.15">
      <c r="C3722"/>
    </row>
    <row r="3723" spans="3:3" x14ac:dyDescent="0.15">
      <c r="C3723"/>
    </row>
    <row r="3724" spans="3:3" x14ac:dyDescent="0.15">
      <c r="C3724"/>
    </row>
    <row r="3725" spans="3:3" x14ac:dyDescent="0.15">
      <c r="C3725"/>
    </row>
    <row r="3726" spans="3:3" x14ac:dyDescent="0.15">
      <c r="C3726"/>
    </row>
    <row r="3727" spans="3:3" x14ac:dyDescent="0.15">
      <c r="C3727"/>
    </row>
    <row r="3728" spans="3:3" x14ac:dyDescent="0.15">
      <c r="C3728"/>
    </row>
    <row r="3729" spans="3:3" x14ac:dyDescent="0.15">
      <c r="C3729"/>
    </row>
    <row r="3730" spans="3:3" x14ac:dyDescent="0.15">
      <c r="C3730"/>
    </row>
    <row r="3731" spans="3:3" x14ac:dyDescent="0.15">
      <c r="C3731"/>
    </row>
    <row r="3732" spans="3:3" x14ac:dyDescent="0.15">
      <c r="C3732"/>
    </row>
    <row r="3733" spans="3:3" x14ac:dyDescent="0.15">
      <c r="C3733"/>
    </row>
    <row r="3734" spans="3:3" x14ac:dyDescent="0.15">
      <c r="C3734"/>
    </row>
    <row r="3735" spans="3:3" x14ac:dyDescent="0.15">
      <c r="C3735"/>
    </row>
    <row r="3736" spans="3:3" x14ac:dyDescent="0.15">
      <c r="C3736"/>
    </row>
    <row r="3737" spans="3:3" x14ac:dyDescent="0.15">
      <c r="C3737"/>
    </row>
    <row r="3738" spans="3:3" x14ac:dyDescent="0.15">
      <c r="C3738"/>
    </row>
    <row r="3739" spans="3:3" x14ac:dyDescent="0.15">
      <c r="C3739"/>
    </row>
    <row r="3740" spans="3:3" x14ac:dyDescent="0.15">
      <c r="C3740"/>
    </row>
    <row r="3741" spans="3:3" x14ac:dyDescent="0.15">
      <c r="C3741"/>
    </row>
    <row r="3742" spans="3:3" x14ac:dyDescent="0.15">
      <c r="C3742"/>
    </row>
    <row r="3743" spans="3:3" x14ac:dyDescent="0.15">
      <c r="C3743"/>
    </row>
    <row r="3744" spans="3:3" x14ac:dyDescent="0.15">
      <c r="C3744"/>
    </row>
    <row r="3745" spans="3:3" x14ac:dyDescent="0.15">
      <c r="C3745"/>
    </row>
    <row r="3746" spans="3:3" x14ac:dyDescent="0.15">
      <c r="C3746"/>
    </row>
    <row r="3747" spans="3:3" x14ac:dyDescent="0.15">
      <c r="C3747"/>
    </row>
    <row r="3748" spans="3:3" x14ac:dyDescent="0.15">
      <c r="C3748"/>
    </row>
    <row r="3749" spans="3:3" x14ac:dyDescent="0.15">
      <c r="C3749"/>
    </row>
    <row r="3750" spans="3:3" x14ac:dyDescent="0.15">
      <c r="C3750"/>
    </row>
    <row r="3751" spans="3:3" x14ac:dyDescent="0.15">
      <c r="C3751"/>
    </row>
    <row r="3752" spans="3:3" x14ac:dyDescent="0.15">
      <c r="C3752"/>
    </row>
    <row r="3753" spans="3:3" x14ac:dyDescent="0.15">
      <c r="C3753"/>
    </row>
    <row r="3754" spans="3:3" x14ac:dyDescent="0.15">
      <c r="C3754"/>
    </row>
    <row r="3755" spans="3:3" x14ac:dyDescent="0.15">
      <c r="C3755"/>
    </row>
    <row r="3756" spans="3:3" x14ac:dyDescent="0.15">
      <c r="C3756"/>
    </row>
    <row r="3757" spans="3:3" x14ac:dyDescent="0.15">
      <c r="C3757"/>
    </row>
    <row r="3758" spans="3:3" x14ac:dyDescent="0.15">
      <c r="C3758"/>
    </row>
    <row r="3759" spans="3:3" x14ac:dyDescent="0.15">
      <c r="C3759"/>
    </row>
    <row r="3760" spans="3:3" x14ac:dyDescent="0.15">
      <c r="C3760"/>
    </row>
    <row r="3761" spans="3:3" x14ac:dyDescent="0.15">
      <c r="C3761"/>
    </row>
    <row r="3762" spans="3:3" x14ac:dyDescent="0.15">
      <c r="C3762"/>
    </row>
    <row r="3763" spans="3:3" x14ac:dyDescent="0.15">
      <c r="C3763"/>
    </row>
    <row r="3764" spans="3:3" x14ac:dyDescent="0.15">
      <c r="C3764"/>
    </row>
    <row r="3765" spans="3:3" x14ac:dyDescent="0.15">
      <c r="C3765"/>
    </row>
    <row r="3766" spans="3:3" x14ac:dyDescent="0.15">
      <c r="C3766"/>
    </row>
    <row r="3767" spans="3:3" x14ac:dyDescent="0.15">
      <c r="C3767"/>
    </row>
    <row r="3768" spans="3:3" x14ac:dyDescent="0.15">
      <c r="C3768"/>
    </row>
    <row r="3769" spans="3:3" x14ac:dyDescent="0.15">
      <c r="C3769"/>
    </row>
    <row r="3770" spans="3:3" x14ac:dyDescent="0.15">
      <c r="C3770"/>
    </row>
    <row r="3771" spans="3:3" x14ac:dyDescent="0.15">
      <c r="C3771"/>
    </row>
    <row r="3772" spans="3:3" x14ac:dyDescent="0.15">
      <c r="C3772"/>
    </row>
    <row r="3773" spans="3:3" x14ac:dyDescent="0.15">
      <c r="C3773"/>
    </row>
    <row r="3774" spans="3:3" x14ac:dyDescent="0.15">
      <c r="C3774"/>
    </row>
    <row r="3775" spans="3:3" x14ac:dyDescent="0.15">
      <c r="C3775"/>
    </row>
    <row r="3776" spans="3:3" x14ac:dyDescent="0.15">
      <c r="C3776"/>
    </row>
    <row r="3777" spans="3:3" x14ac:dyDescent="0.15">
      <c r="C3777"/>
    </row>
    <row r="3778" spans="3:3" x14ac:dyDescent="0.15">
      <c r="C3778"/>
    </row>
    <row r="3779" spans="3:3" x14ac:dyDescent="0.15">
      <c r="C3779"/>
    </row>
    <row r="3780" spans="3:3" x14ac:dyDescent="0.15">
      <c r="C3780"/>
    </row>
    <row r="3781" spans="3:3" x14ac:dyDescent="0.15">
      <c r="C3781"/>
    </row>
    <row r="3782" spans="3:3" x14ac:dyDescent="0.15">
      <c r="C3782"/>
    </row>
    <row r="3783" spans="3:3" x14ac:dyDescent="0.15">
      <c r="C3783"/>
    </row>
    <row r="3784" spans="3:3" x14ac:dyDescent="0.15">
      <c r="C3784"/>
    </row>
    <row r="3785" spans="3:3" x14ac:dyDescent="0.15">
      <c r="C3785"/>
    </row>
    <row r="3786" spans="3:3" x14ac:dyDescent="0.15">
      <c r="C3786"/>
    </row>
    <row r="3787" spans="3:3" x14ac:dyDescent="0.15">
      <c r="C3787"/>
    </row>
    <row r="3788" spans="3:3" x14ac:dyDescent="0.15">
      <c r="C3788"/>
    </row>
    <row r="3789" spans="3:3" x14ac:dyDescent="0.15">
      <c r="C3789"/>
    </row>
    <row r="3790" spans="3:3" x14ac:dyDescent="0.15">
      <c r="C3790"/>
    </row>
    <row r="3791" spans="3:3" x14ac:dyDescent="0.15">
      <c r="C3791"/>
    </row>
    <row r="3792" spans="3:3" x14ac:dyDescent="0.15">
      <c r="C3792"/>
    </row>
    <row r="3793" spans="3:3" x14ac:dyDescent="0.15">
      <c r="C3793"/>
    </row>
    <row r="3794" spans="3:3" x14ac:dyDescent="0.15">
      <c r="C3794"/>
    </row>
    <row r="3795" spans="3:3" x14ac:dyDescent="0.15">
      <c r="C3795"/>
    </row>
    <row r="3796" spans="3:3" x14ac:dyDescent="0.15">
      <c r="C3796"/>
    </row>
    <row r="3797" spans="3:3" x14ac:dyDescent="0.15">
      <c r="C3797"/>
    </row>
    <row r="3798" spans="3:3" x14ac:dyDescent="0.15">
      <c r="C3798"/>
    </row>
    <row r="3799" spans="3:3" x14ac:dyDescent="0.15">
      <c r="C3799"/>
    </row>
    <row r="3800" spans="3:3" x14ac:dyDescent="0.15">
      <c r="C3800"/>
    </row>
    <row r="3801" spans="3:3" x14ac:dyDescent="0.15">
      <c r="C3801"/>
    </row>
    <row r="3802" spans="3:3" x14ac:dyDescent="0.15">
      <c r="C3802"/>
    </row>
    <row r="3803" spans="3:3" x14ac:dyDescent="0.15">
      <c r="C3803"/>
    </row>
    <row r="3804" spans="3:3" x14ac:dyDescent="0.15">
      <c r="C3804"/>
    </row>
    <row r="3805" spans="3:3" x14ac:dyDescent="0.15">
      <c r="C3805"/>
    </row>
    <row r="3806" spans="3:3" x14ac:dyDescent="0.15">
      <c r="C3806"/>
    </row>
    <row r="3807" spans="3:3" x14ac:dyDescent="0.15">
      <c r="C3807"/>
    </row>
    <row r="3808" spans="3:3" x14ac:dyDescent="0.15">
      <c r="C3808"/>
    </row>
    <row r="3809" spans="3:3" x14ac:dyDescent="0.15">
      <c r="C3809"/>
    </row>
    <row r="3810" spans="3:3" x14ac:dyDescent="0.15">
      <c r="C3810"/>
    </row>
    <row r="3811" spans="3:3" x14ac:dyDescent="0.15">
      <c r="C3811"/>
    </row>
    <row r="3812" spans="3:3" x14ac:dyDescent="0.15">
      <c r="C3812"/>
    </row>
    <row r="3813" spans="3:3" x14ac:dyDescent="0.15">
      <c r="C3813"/>
    </row>
    <row r="3814" spans="3:3" x14ac:dyDescent="0.15">
      <c r="C3814"/>
    </row>
    <row r="3815" spans="3:3" x14ac:dyDescent="0.15">
      <c r="C3815"/>
    </row>
    <row r="3816" spans="3:3" x14ac:dyDescent="0.15">
      <c r="C3816"/>
    </row>
    <row r="3817" spans="3:3" x14ac:dyDescent="0.15">
      <c r="C3817"/>
    </row>
    <row r="3818" spans="3:3" x14ac:dyDescent="0.15">
      <c r="C3818"/>
    </row>
    <row r="3819" spans="3:3" x14ac:dyDescent="0.15">
      <c r="C3819"/>
    </row>
    <row r="3820" spans="3:3" x14ac:dyDescent="0.15">
      <c r="C3820"/>
    </row>
    <row r="3821" spans="3:3" x14ac:dyDescent="0.15">
      <c r="C3821"/>
    </row>
    <row r="3822" spans="3:3" x14ac:dyDescent="0.15">
      <c r="C3822"/>
    </row>
    <row r="3823" spans="3:3" x14ac:dyDescent="0.15">
      <c r="C3823"/>
    </row>
    <row r="3824" spans="3:3" x14ac:dyDescent="0.15">
      <c r="C3824"/>
    </row>
    <row r="3825" spans="3:3" x14ac:dyDescent="0.15">
      <c r="C3825"/>
    </row>
    <row r="3826" spans="3:3" x14ac:dyDescent="0.15">
      <c r="C3826"/>
    </row>
    <row r="3827" spans="3:3" x14ac:dyDescent="0.15">
      <c r="C3827"/>
    </row>
    <row r="3828" spans="3:3" x14ac:dyDescent="0.15">
      <c r="C3828"/>
    </row>
    <row r="3829" spans="3:3" x14ac:dyDescent="0.15">
      <c r="C3829"/>
    </row>
    <row r="3830" spans="3:3" x14ac:dyDescent="0.15">
      <c r="C3830"/>
    </row>
    <row r="3831" spans="3:3" x14ac:dyDescent="0.15">
      <c r="C3831"/>
    </row>
    <row r="3832" spans="3:3" x14ac:dyDescent="0.15">
      <c r="C3832"/>
    </row>
    <row r="3833" spans="3:3" x14ac:dyDescent="0.15">
      <c r="C3833"/>
    </row>
    <row r="3834" spans="3:3" x14ac:dyDescent="0.15">
      <c r="C3834"/>
    </row>
    <row r="3835" spans="3:3" x14ac:dyDescent="0.15">
      <c r="C3835"/>
    </row>
    <row r="3836" spans="3:3" x14ac:dyDescent="0.15">
      <c r="C3836"/>
    </row>
    <row r="3837" spans="3:3" x14ac:dyDescent="0.15">
      <c r="C3837"/>
    </row>
    <row r="3838" spans="3:3" x14ac:dyDescent="0.15">
      <c r="C3838"/>
    </row>
    <row r="3839" spans="3:3" x14ac:dyDescent="0.15">
      <c r="C3839"/>
    </row>
    <row r="3840" spans="3:3" x14ac:dyDescent="0.15">
      <c r="C3840"/>
    </row>
    <row r="3841" spans="3:3" x14ac:dyDescent="0.15">
      <c r="C3841"/>
    </row>
    <row r="3842" spans="3:3" x14ac:dyDescent="0.15">
      <c r="C3842"/>
    </row>
    <row r="3843" spans="3:3" x14ac:dyDescent="0.15">
      <c r="C3843"/>
    </row>
    <row r="3844" spans="3:3" x14ac:dyDescent="0.15">
      <c r="C3844"/>
    </row>
    <row r="3845" spans="3:3" x14ac:dyDescent="0.15">
      <c r="C3845"/>
    </row>
    <row r="3846" spans="3:3" x14ac:dyDescent="0.15">
      <c r="C3846"/>
    </row>
    <row r="3847" spans="3:3" x14ac:dyDescent="0.15">
      <c r="C3847"/>
    </row>
    <row r="3848" spans="3:3" x14ac:dyDescent="0.15">
      <c r="C3848"/>
    </row>
    <row r="3849" spans="3:3" x14ac:dyDescent="0.15">
      <c r="C3849"/>
    </row>
    <row r="3850" spans="3:3" x14ac:dyDescent="0.15">
      <c r="C3850"/>
    </row>
    <row r="3851" spans="3:3" x14ac:dyDescent="0.15">
      <c r="C3851"/>
    </row>
    <row r="3852" spans="3:3" x14ac:dyDescent="0.15">
      <c r="C3852"/>
    </row>
    <row r="3853" spans="3:3" x14ac:dyDescent="0.15">
      <c r="C3853"/>
    </row>
    <row r="3854" spans="3:3" x14ac:dyDescent="0.15">
      <c r="C3854"/>
    </row>
    <row r="3855" spans="3:3" x14ac:dyDescent="0.15">
      <c r="C3855"/>
    </row>
    <row r="3856" spans="3:3" x14ac:dyDescent="0.15">
      <c r="C3856"/>
    </row>
    <row r="3857" spans="3:3" x14ac:dyDescent="0.15">
      <c r="C3857"/>
    </row>
    <row r="3858" spans="3:3" x14ac:dyDescent="0.15">
      <c r="C3858"/>
    </row>
    <row r="3859" spans="3:3" x14ac:dyDescent="0.15">
      <c r="C3859"/>
    </row>
    <row r="3860" spans="3:3" x14ac:dyDescent="0.15">
      <c r="C3860"/>
    </row>
    <row r="3861" spans="3:3" x14ac:dyDescent="0.15">
      <c r="C3861"/>
    </row>
    <row r="3862" spans="3:3" x14ac:dyDescent="0.15">
      <c r="C3862"/>
    </row>
    <row r="3863" spans="3:3" x14ac:dyDescent="0.15">
      <c r="C3863"/>
    </row>
    <row r="3864" spans="3:3" x14ac:dyDescent="0.15">
      <c r="C3864"/>
    </row>
    <row r="3865" spans="3:3" x14ac:dyDescent="0.15">
      <c r="C3865"/>
    </row>
    <row r="3866" spans="3:3" x14ac:dyDescent="0.15">
      <c r="C3866"/>
    </row>
    <row r="3867" spans="3:3" x14ac:dyDescent="0.15">
      <c r="C3867"/>
    </row>
    <row r="3868" spans="3:3" x14ac:dyDescent="0.15">
      <c r="C3868"/>
    </row>
    <row r="3869" spans="3:3" x14ac:dyDescent="0.15">
      <c r="C3869"/>
    </row>
    <row r="3870" spans="3:3" x14ac:dyDescent="0.15">
      <c r="C3870"/>
    </row>
    <row r="3871" spans="3:3" x14ac:dyDescent="0.15">
      <c r="C3871"/>
    </row>
    <row r="3872" spans="3:3" x14ac:dyDescent="0.15">
      <c r="C3872"/>
    </row>
    <row r="3873" spans="3:3" x14ac:dyDescent="0.15">
      <c r="C3873"/>
    </row>
    <row r="3874" spans="3:3" x14ac:dyDescent="0.15">
      <c r="C3874"/>
    </row>
    <row r="3875" spans="3:3" x14ac:dyDescent="0.15">
      <c r="C3875"/>
    </row>
    <row r="3876" spans="3:3" x14ac:dyDescent="0.15">
      <c r="C3876"/>
    </row>
    <row r="3877" spans="3:3" x14ac:dyDescent="0.15">
      <c r="C3877"/>
    </row>
    <row r="3878" spans="3:3" x14ac:dyDescent="0.15">
      <c r="C3878"/>
    </row>
    <row r="3879" spans="3:3" x14ac:dyDescent="0.15">
      <c r="C3879"/>
    </row>
    <row r="3880" spans="3:3" x14ac:dyDescent="0.15">
      <c r="C3880"/>
    </row>
    <row r="3881" spans="3:3" x14ac:dyDescent="0.15">
      <c r="C3881"/>
    </row>
    <row r="3882" spans="3:3" x14ac:dyDescent="0.15">
      <c r="C3882"/>
    </row>
    <row r="3883" spans="3:3" x14ac:dyDescent="0.15">
      <c r="C3883"/>
    </row>
    <row r="3884" spans="3:3" x14ac:dyDescent="0.15">
      <c r="C3884"/>
    </row>
    <row r="3885" spans="3:3" x14ac:dyDescent="0.15">
      <c r="C3885"/>
    </row>
    <row r="3886" spans="3:3" x14ac:dyDescent="0.15">
      <c r="C3886"/>
    </row>
    <row r="3887" spans="3:3" x14ac:dyDescent="0.15">
      <c r="C3887"/>
    </row>
    <row r="3888" spans="3:3" x14ac:dyDescent="0.15">
      <c r="C3888"/>
    </row>
    <row r="3889" spans="3:3" x14ac:dyDescent="0.15">
      <c r="C3889"/>
    </row>
    <row r="3890" spans="3:3" x14ac:dyDescent="0.15">
      <c r="C3890"/>
    </row>
    <row r="3891" spans="3:3" x14ac:dyDescent="0.15">
      <c r="C3891"/>
    </row>
    <row r="3892" spans="3:3" x14ac:dyDescent="0.15">
      <c r="C3892"/>
    </row>
    <row r="3893" spans="3:3" x14ac:dyDescent="0.15">
      <c r="C3893"/>
    </row>
    <row r="3894" spans="3:3" x14ac:dyDescent="0.15">
      <c r="C3894"/>
    </row>
    <row r="3895" spans="3:3" x14ac:dyDescent="0.15">
      <c r="C3895"/>
    </row>
    <row r="3896" spans="3:3" x14ac:dyDescent="0.15">
      <c r="C3896"/>
    </row>
    <row r="3897" spans="3:3" x14ac:dyDescent="0.15">
      <c r="C3897"/>
    </row>
    <row r="3898" spans="3:3" x14ac:dyDescent="0.15">
      <c r="C3898"/>
    </row>
    <row r="3899" spans="3:3" x14ac:dyDescent="0.15">
      <c r="C3899"/>
    </row>
    <row r="3900" spans="3:3" x14ac:dyDescent="0.15">
      <c r="C3900"/>
    </row>
    <row r="3901" spans="3:3" x14ac:dyDescent="0.15">
      <c r="C3901"/>
    </row>
    <row r="3902" spans="3:3" x14ac:dyDescent="0.15">
      <c r="C3902"/>
    </row>
    <row r="3903" spans="3:3" x14ac:dyDescent="0.15">
      <c r="C3903"/>
    </row>
    <row r="3904" spans="3:3" x14ac:dyDescent="0.15">
      <c r="C3904"/>
    </row>
    <row r="3905" spans="3:3" x14ac:dyDescent="0.15">
      <c r="C3905"/>
    </row>
    <row r="3906" spans="3:3" x14ac:dyDescent="0.15">
      <c r="C3906"/>
    </row>
    <row r="3907" spans="3:3" x14ac:dyDescent="0.15">
      <c r="C3907"/>
    </row>
    <row r="3908" spans="3:3" x14ac:dyDescent="0.15">
      <c r="C3908"/>
    </row>
    <row r="3909" spans="3:3" x14ac:dyDescent="0.15">
      <c r="C3909"/>
    </row>
    <row r="3910" spans="3:3" x14ac:dyDescent="0.15">
      <c r="C3910"/>
    </row>
    <row r="3911" spans="3:3" x14ac:dyDescent="0.15">
      <c r="C3911"/>
    </row>
    <row r="3912" spans="3:3" x14ac:dyDescent="0.15">
      <c r="C3912"/>
    </row>
    <row r="3913" spans="3:3" x14ac:dyDescent="0.15">
      <c r="C3913"/>
    </row>
    <row r="3914" spans="3:3" x14ac:dyDescent="0.15">
      <c r="C3914"/>
    </row>
    <row r="3915" spans="3:3" x14ac:dyDescent="0.15">
      <c r="C3915"/>
    </row>
    <row r="3916" spans="3:3" x14ac:dyDescent="0.15">
      <c r="C3916"/>
    </row>
    <row r="3917" spans="3:3" x14ac:dyDescent="0.15">
      <c r="C3917"/>
    </row>
    <row r="3918" spans="3:3" x14ac:dyDescent="0.15">
      <c r="C3918"/>
    </row>
    <row r="3919" spans="3:3" x14ac:dyDescent="0.15">
      <c r="C3919"/>
    </row>
    <row r="3920" spans="3:3" x14ac:dyDescent="0.15">
      <c r="C3920"/>
    </row>
    <row r="3921" spans="3:3" x14ac:dyDescent="0.15">
      <c r="C3921"/>
    </row>
    <row r="3922" spans="3:3" x14ac:dyDescent="0.15">
      <c r="C3922"/>
    </row>
    <row r="3923" spans="3:3" x14ac:dyDescent="0.15">
      <c r="C3923"/>
    </row>
    <row r="3924" spans="3:3" x14ac:dyDescent="0.15">
      <c r="C3924"/>
    </row>
    <row r="3925" spans="3:3" x14ac:dyDescent="0.15">
      <c r="C3925"/>
    </row>
    <row r="3926" spans="3:3" x14ac:dyDescent="0.15">
      <c r="C3926"/>
    </row>
    <row r="3927" spans="3:3" x14ac:dyDescent="0.15">
      <c r="C3927"/>
    </row>
    <row r="3928" spans="3:3" x14ac:dyDescent="0.15">
      <c r="C3928"/>
    </row>
    <row r="3929" spans="3:3" x14ac:dyDescent="0.15">
      <c r="C3929"/>
    </row>
    <row r="3930" spans="3:3" x14ac:dyDescent="0.15">
      <c r="C3930"/>
    </row>
    <row r="3931" spans="3:3" x14ac:dyDescent="0.15">
      <c r="C3931"/>
    </row>
    <row r="3932" spans="3:3" x14ac:dyDescent="0.15">
      <c r="C3932"/>
    </row>
    <row r="3933" spans="3:3" x14ac:dyDescent="0.15">
      <c r="C3933"/>
    </row>
    <row r="3934" spans="3:3" x14ac:dyDescent="0.15">
      <c r="C3934"/>
    </row>
    <row r="3935" spans="3:3" x14ac:dyDescent="0.15">
      <c r="C3935"/>
    </row>
    <row r="3936" spans="3:3" x14ac:dyDescent="0.15">
      <c r="C3936"/>
    </row>
    <row r="3937" spans="3:3" x14ac:dyDescent="0.15">
      <c r="C3937"/>
    </row>
    <row r="3938" spans="3:3" x14ac:dyDescent="0.15">
      <c r="C3938"/>
    </row>
    <row r="3939" spans="3:3" x14ac:dyDescent="0.15">
      <c r="C3939"/>
    </row>
    <row r="3940" spans="3:3" x14ac:dyDescent="0.15">
      <c r="C3940"/>
    </row>
    <row r="3941" spans="3:3" x14ac:dyDescent="0.15">
      <c r="C3941"/>
    </row>
    <row r="3942" spans="3:3" x14ac:dyDescent="0.15">
      <c r="C3942"/>
    </row>
    <row r="3943" spans="3:3" x14ac:dyDescent="0.15">
      <c r="C3943"/>
    </row>
    <row r="3944" spans="3:3" x14ac:dyDescent="0.15">
      <c r="C3944"/>
    </row>
    <row r="3945" spans="3:3" x14ac:dyDescent="0.15">
      <c r="C3945"/>
    </row>
    <row r="3946" spans="3:3" x14ac:dyDescent="0.15">
      <c r="C3946"/>
    </row>
    <row r="3947" spans="3:3" x14ac:dyDescent="0.15">
      <c r="C3947"/>
    </row>
    <row r="3948" spans="3:3" x14ac:dyDescent="0.15">
      <c r="C3948"/>
    </row>
    <row r="3949" spans="3:3" x14ac:dyDescent="0.15">
      <c r="C3949"/>
    </row>
    <row r="3950" spans="3:3" x14ac:dyDescent="0.15">
      <c r="C3950"/>
    </row>
    <row r="3951" spans="3:3" x14ac:dyDescent="0.15">
      <c r="C3951"/>
    </row>
    <row r="3952" spans="3:3" x14ac:dyDescent="0.15">
      <c r="C3952"/>
    </row>
    <row r="3953" spans="3:3" x14ac:dyDescent="0.15">
      <c r="C3953"/>
    </row>
    <row r="3954" spans="3:3" x14ac:dyDescent="0.15">
      <c r="C3954"/>
    </row>
    <row r="3955" spans="3:3" x14ac:dyDescent="0.15">
      <c r="C3955"/>
    </row>
    <row r="3956" spans="3:3" x14ac:dyDescent="0.15">
      <c r="C3956"/>
    </row>
    <row r="3957" spans="3:3" x14ac:dyDescent="0.15">
      <c r="C3957"/>
    </row>
    <row r="3958" spans="3:3" x14ac:dyDescent="0.15">
      <c r="C3958"/>
    </row>
    <row r="3959" spans="3:3" x14ac:dyDescent="0.15">
      <c r="C3959"/>
    </row>
    <row r="3960" spans="3:3" x14ac:dyDescent="0.15">
      <c r="C3960"/>
    </row>
    <row r="3961" spans="3:3" x14ac:dyDescent="0.15">
      <c r="C3961"/>
    </row>
    <row r="3962" spans="3:3" x14ac:dyDescent="0.15">
      <c r="C3962"/>
    </row>
    <row r="3963" spans="3:3" x14ac:dyDescent="0.15">
      <c r="C3963"/>
    </row>
    <row r="3964" spans="3:3" x14ac:dyDescent="0.15">
      <c r="C3964"/>
    </row>
    <row r="3965" spans="3:3" x14ac:dyDescent="0.15">
      <c r="C3965"/>
    </row>
    <row r="3966" spans="3:3" x14ac:dyDescent="0.15">
      <c r="C3966"/>
    </row>
    <row r="3967" spans="3:3" x14ac:dyDescent="0.15">
      <c r="C3967"/>
    </row>
    <row r="3968" spans="3:3" x14ac:dyDescent="0.15">
      <c r="C3968"/>
    </row>
    <row r="3969" spans="3:3" x14ac:dyDescent="0.15">
      <c r="C3969"/>
    </row>
    <row r="3970" spans="3:3" x14ac:dyDescent="0.15">
      <c r="C3970"/>
    </row>
    <row r="3971" spans="3:3" x14ac:dyDescent="0.15">
      <c r="C3971"/>
    </row>
    <row r="3972" spans="3:3" x14ac:dyDescent="0.15">
      <c r="C3972"/>
    </row>
    <row r="3973" spans="3:3" x14ac:dyDescent="0.15">
      <c r="C3973"/>
    </row>
    <row r="3974" spans="3:3" x14ac:dyDescent="0.15">
      <c r="C3974"/>
    </row>
    <row r="3975" spans="3:3" x14ac:dyDescent="0.15">
      <c r="C3975"/>
    </row>
    <row r="3976" spans="3:3" x14ac:dyDescent="0.15">
      <c r="C3976"/>
    </row>
    <row r="3977" spans="3:3" x14ac:dyDescent="0.15">
      <c r="C3977"/>
    </row>
    <row r="3978" spans="3:3" x14ac:dyDescent="0.15">
      <c r="C3978"/>
    </row>
    <row r="3979" spans="3:3" x14ac:dyDescent="0.15">
      <c r="C3979"/>
    </row>
    <row r="3980" spans="3:3" x14ac:dyDescent="0.15">
      <c r="C3980"/>
    </row>
    <row r="3981" spans="3:3" x14ac:dyDescent="0.15">
      <c r="C3981"/>
    </row>
    <row r="3982" spans="3:3" x14ac:dyDescent="0.15">
      <c r="C3982"/>
    </row>
    <row r="3983" spans="3:3" x14ac:dyDescent="0.15">
      <c r="C3983"/>
    </row>
    <row r="3984" spans="3:3" x14ac:dyDescent="0.15">
      <c r="C3984"/>
    </row>
    <row r="3985" spans="3:3" x14ac:dyDescent="0.15">
      <c r="C3985"/>
    </row>
    <row r="3986" spans="3:3" x14ac:dyDescent="0.15">
      <c r="C3986"/>
    </row>
    <row r="3987" spans="3:3" x14ac:dyDescent="0.15">
      <c r="C3987"/>
    </row>
    <row r="3988" spans="3:3" x14ac:dyDescent="0.15">
      <c r="C3988"/>
    </row>
    <row r="3989" spans="3:3" x14ac:dyDescent="0.15">
      <c r="C3989"/>
    </row>
    <row r="3990" spans="3:3" x14ac:dyDescent="0.15">
      <c r="C3990"/>
    </row>
    <row r="3991" spans="3:3" x14ac:dyDescent="0.15">
      <c r="C3991"/>
    </row>
    <row r="3992" spans="3:3" x14ac:dyDescent="0.15">
      <c r="C3992"/>
    </row>
    <row r="3993" spans="3:3" x14ac:dyDescent="0.15">
      <c r="C3993"/>
    </row>
    <row r="3994" spans="3:3" x14ac:dyDescent="0.15">
      <c r="C3994"/>
    </row>
    <row r="3995" spans="3:3" x14ac:dyDescent="0.15">
      <c r="C3995"/>
    </row>
    <row r="3996" spans="3:3" x14ac:dyDescent="0.15">
      <c r="C3996"/>
    </row>
    <row r="3997" spans="3:3" x14ac:dyDescent="0.15">
      <c r="C3997"/>
    </row>
    <row r="3998" spans="3:3" x14ac:dyDescent="0.15">
      <c r="C3998"/>
    </row>
    <row r="3999" spans="3:3" x14ac:dyDescent="0.15">
      <c r="C3999"/>
    </row>
    <row r="4000" spans="3:3" x14ac:dyDescent="0.15">
      <c r="C4000"/>
    </row>
    <row r="4001" spans="3:3" x14ac:dyDescent="0.15">
      <c r="C4001"/>
    </row>
    <row r="4002" spans="3:3" x14ac:dyDescent="0.15">
      <c r="C4002"/>
    </row>
    <row r="4003" spans="3:3" x14ac:dyDescent="0.15">
      <c r="C4003"/>
    </row>
    <row r="4004" spans="3:3" x14ac:dyDescent="0.15">
      <c r="C4004"/>
    </row>
    <row r="4005" spans="3:3" x14ac:dyDescent="0.15">
      <c r="C4005"/>
    </row>
    <row r="4006" spans="3:3" x14ac:dyDescent="0.15">
      <c r="C4006"/>
    </row>
    <row r="4007" spans="3:3" x14ac:dyDescent="0.15">
      <c r="C4007"/>
    </row>
    <row r="4008" spans="3:3" x14ac:dyDescent="0.15">
      <c r="C4008"/>
    </row>
    <row r="4009" spans="3:3" x14ac:dyDescent="0.15">
      <c r="C4009"/>
    </row>
    <row r="4010" spans="3:3" x14ac:dyDescent="0.15">
      <c r="C4010"/>
    </row>
    <row r="4011" spans="3:3" x14ac:dyDescent="0.15">
      <c r="C4011"/>
    </row>
    <row r="4012" spans="3:3" x14ac:dyDescent="0.15">
      <c r="C4012"/>
    </row>
    <row r="4013" spans="3:3" x14ac:dyDescent="0.15">
      <c r="C4013"/>
    </row>
    <row r="4014" spans="3:3" x14ac:dyDescent="0.15">
      <c r="C4014"/>
    </row>
    <row r="4015" spans="3:3" x14ac:dyDescent="0.15">
      <c r="C4015"/>
    </row>
    <row r="4016" spans="3:3" x14ac:dyDescent="0.15">
      <c r="C4016"/>
    </row>
    <row r="4017" spans="3:3" x14ac:dyDescent="0.15">
      <c r="C4017"/>
    </row>
    <row r="4018" spans="3:3" x14ac:dyDescent="0.15">
      <c r="C4018"/>
    </row>
    <row r="4019" spans="3:3" x14ac:dyDescent="0.15">
      <c r="C4019"/>
    </row>
    <row r="4020" spans="3:3" x14ac:dyDescent="0.15">
      <c r="C4020"/>
    </row>
    <row r="4021" spans="3:3" x14ac:dyDescent="0.15">
      <c r="C4021"/>
    </row>
    <row r="4022" spans="3:3" x14ac:dyDescent="0.15">
      <c r="C4022"/>
    </row>
    <row r="4023" spans="3:3" x14ac:dyDescent="0.15">
      <c r="C4023"/>
    </row>
    <row r="4024" spans="3:3" x14ac:dyDescent="0.15">
      <c r="C4024"/>
    </row>
    <row r="4025" spans="3:3" x14ac:dyDescent="0.15">
      <c r="C4025"/>
    </row>
    <row r="4026" spans="3:3" x14ac:dyDescent="0.15">
      <c r="C4026"/>
    </row>
    <row r="4027" spans="3:3" x14ac:dyDescent="0.15">
      <c r="C4027"/>
    </row>
    <row r="4028" spans="3:3" x14ac:dyDescent="0.15">
      <c r="C4028"/>
    </row>
    <row r="4029" spans="3:3" x14ac:dyDescent="0.15">
      <c r="C4029"/>
    </row>
    <row r="4030" spans="3:3" x14ac:dyDescent="0.15">
      <c r="C4030"/>
    </row>
    <row r="4031" spans="3:3" x14ac:dyDescent="0.15">
      <c r="C4031"/>
    </row>
    <row r="4032" spans="3:3" x14ac:dyDescent="0.15">
      <c r="C4032"/>
    </row>
    <row r="4033" spans="3:3" x14ac:dyDescent="0.15">
      <c r="C4033"/>
    </row>
    <row r="4034" spans="3:3" x14ac:dyDescent="0.15">
      <c r="C4034"/>
    </row>
    <row r="4035" spans="3:3" x14ac:dyDescent="0.15">
      <c r="C4035"/>
    </row>
    <row r="4036" spans="3:3" x14ac:dyDescent="0.15">
      <c r="C4036"/>
    </row>
    <row r="4037" spans="3:3" x14ac:dyDescent="0.15">
      <c r="C4037"/>
    </row>
    <row r="4038" spans="3:3" x14ac:dyDescent="0.15">
      <c r="C4038"/>
    </row>
    <row r="4039" spans="3:3" x14ac:dyDescent="0.15">
      <c r="C4039"/>
    </row>
    <row r="4040" spans="3:3" x14ac:dyDescent="0.15">
      <c r="C4040"/>
    </row>
    <row r="4041" spans="3:3" x14ac:dyDescent="0.15">
      <c r="C4041"/>
    </row>
    <row r="4042" spans="3:3" x14ac:dyDescent="0.15">
      <c r="C4042"/>
    </row>
    <row r="4043" spans="3:3" x14ac:dyDescent="0.15">
      <c r="C4043"/>
    </row>
    <row r="4044" spans="3:3" x14ac:dyDescent="0.15">
      <c r="C4044"/>
    </row>
    <row r="4045" spans="3:3" x14ac:dyDescent="0.15">
      <c r="C4045"/>
    </row>
    <row r="4046" spans="3:3" x14ac:dyDescent="0.15">
      <c r="C4046"/>
    </row>
    <row r="4047" spans="3:3" x14ac:dyDescent="0.15">
      <c r="C4047"/>
    </row>
    <row r="4048" spans="3:3" x14ac:dyDescent="0.15">
      <c r="C4048"/>
    </row>
    <row r="4049" spans="3:3" x14ac:dyDescent="0.15">
      <c r="C4049"/>
    </row>
    <row r="4050" spans="3:3" x14ac:dyDescent="0.15">
      <c r="C4050"/>
    </row>
    <row r="4051" spans="3:3" x14ac:dyDescent="0.15">
      <c r="C4051"/>
    </row>
    <row r="4052" spans="3:3" x14ac:dyDescent="0.15">
      <c r="C4052"/>
    </row>
    <row r="4053" spans="3:3" x14ac:dyDescent="0.15">
      <c r="C4053"/>
    </row>
    <row r="4054" spans="3:3" x14ac:dyDescent="0.15">
      <c r="C4054"/>
    </row>
    <row r="4055" spans="3:3" x14ac:dyDescent="0.15">
      <c r="C4055"/>
    </row>
    <row r="4056" spans="3:3" x14ac:dyDescent="0.15">
      <c r="C4056"/>
    </row>
    <row r="4057" spans="3:3" x14ac:dyDescent="0.15">
      <c r="C4057"/>
    </row>
    <row r="4058" spans="3:3" x14ac:dyDescent="0.15">
      <c r="C4058"/>
    </row>
    <row r="4059" spans="3:3" x14ac:dyDescent="0.15">
      <c r="C4059"/>
    </row>
    <row r="4060" spans="3:3" x14ac:dyDescent="0.15">
      <c r="C4060"/>
    </row>
    <row r="4061" spans="3:3" x14ac:dyDescent="0.15">
      <c r="C4061"/>
    </row>
    <row r="4062" spans="3:3" x14ac:dyDescent="0.15">
      <c r="C4062"/>
    </row>
    <row r="4063" spans="3:3" x14ac:dyDescent="0.15">
      <c r="C4063"/>
    </row>
    <row r="4064" spans="3:3" x14ac:dyDescent="0.15">
      <c r="C4064"/>
    </row>
    <row r="4065" spans="3:3" x14ac:dyDescent="0.15">
      <c r="C4065"/>
    </row>
    <row r="4066" spans="3:3" x14ac:dyDescent="0.15">
      <c r="C4066"/>
    </row>
    <row r="4067" spans="3:3" x14ac:dyDescent="0.15">
      <c r="C4067"/>
    </row>
    <row r="4068" spans="3:3" x14ac:dyDescent="0.15">
      <c r="C4068"/>
    </row>
    <row r="4069" spans="3:3" x14ac:dyDescent="0.15">
      <c r="C4069"/>
    </row>
    <row r="4070" spans="3:3" x14ac:dyDescent="0.15">
      <c r="C4070"/>
    </row>
    <row r="4071" spans="3:3" x14ac:dyDescent="0.15">
      <c r="C4071"/>
    </row>
    <row r="4072" spans="3:3" x14ac:dyDescent="0.15">
      <c r="C4072"/>
    </row>
    <row r="4073" spans="3:3" x14ac:dyDescent="0.15">
      <c r="C4073"/>
    </row>
    <row r="4074" spans="3:3" x14ac:dyDescent="0.15">
      <c r="C4074"/>
    </row>
    <row r="4075" spans="3:3" x14ac:dyDescent="0.15">
      <c r="C4075"/>
    </row>
    <row r="4076" spans="3:3" x14ac:dyDescent="0.15">
      <c r="C4076"/>
    </row>
    <row r="4077" spans="3:3" x14ac:dyDescent="0.15">
      <c r="C4077"/>
    </row>
    <row r="4078" spans="3:3" x14ac:dyDescent="0.15">
      <c r="C4078"/>
    </row>
    <row r="4079" spans="3:3" x14ac:dyDescent="0.15">
      <c r="C4079"/>
    </row>
    <row r="4080" spans="3:3" x14ac:dyDescent="0.15">
      <c r="C4080"/>
    </row>
    <row r="4081" spans="3:3" x14ac:dyDescent="0.15">
      <c r="C4081"/>
    </row>
    <row r="4082" spans="3:3" x14ac:dyDescent="0.15">
      <c r="C4082"/>
    </row>
    <row r="4083" spans="3:3" x14ac:dyDescent="0.15">
      <c r="C4083"/>
    </row>
    <row r="4084" spans="3:3" x14ac:dyDescent="0.15">
      <c r="C4084"/>
    </row>
    <row r="4085" spans="3:3" x14ac:dyDescent="0.15">
      <c r="C4085"/>
    </row>
    <row r="4086" spans="3:3" x14ac:dyDescent="0.15">
      <c r="C4086"/>
    </row>
    <row r="4087" spans="3:3" x14ac:dyDescent="0.15">
      <c r="C4087"/>
    </row>
    <row r="4088" spans="3:3" x14ac:dyDescent="0.15">
      <c r="C4088"/>
    </row>
    <row r="4089" spans="3:3" x14ac:dyDescent="0.15">
      <c r="C4089"/>
    </row>
    <row r="4090" spans="3:3" x14ac:dyDescent="0.15">
      <c r="C4090"/>
    </row>
    <row r="4091" spans="3:3" x14ac:dyDescent="0.15">
      <c r="C4091"/>
    </row>
    <row r="4092" spans="3:3" x14ac:dyDescent="0.15">
      <c r="C4092"/>
    </row>
    <row r="4093" spans="3:3" x14ac:dyDescent="0.15">
      <c r="C4093"/>
    </row>
    <row r="4094" spans="3:3" x14ac:dyDescent="0.15">
      <c r="C4094"/>
    </row>
    <row r="4095" spans="3:3" x14ac:dyDescent="0.15">
      <c r="C4095"/>
    </row>
    <row r="4096" spans="3:3" x14ac:dyDescent="0.15">
      <c r="C4096"/>
    </row>
    <row r="4097" spans="3:3" x14ac:dyDescent="0.15">
      <c r="C4097"/>
    </row>
    <row r="4098" spans="3:3" x14ac:dyDescent="0.15">
      <c r="C4098"/>
    </row>
    <row r="4099" spans="3:3" x14ac:dyDescent="0.15">
      <c r="C4099"/>
    </row>
    <row r="4100" spans="3:3" x14ac:dyDescent="0.15">
      <c r="C4100"/>
    </row>
    <row r="4101" spans="3:3" x14ac:dyDescent="0.15">
      <c r="C4101"/>
    </row>
    <row r="4102" spans="3:3" x14ac:dyDescent="0.15">
      <c r="C4102"/>
    </row>
    <row r="4103" spans="3:3" x14ac:dyDescent="0.15">
      <c r="C4103"/>
    </row>
    <row r="4104" spans="3:3" x14ac:dyDescent="0.15">
      <c r="C4104"/>
    </row>
    <row r="4105" spans="3:3" x14ac:dyDescent="0.15">
      <c r="C4105"/>
    </row>
    <row r="4106" spans="3:3" x14ac:dyDescent="0.15">
      <c r="C4106"/>
    </row>
    <row r="4107" spans="3:3" x14ac:dyDescent="0.15">
      <c r="C4107"/>
    </row>
    <row r="4108" spans="3:3" x14ac:dyDescent="0.15">
      <c r="C4108"/>
    </row>
    <row r="4109" spans="3:3" x14ac:dyDescent="0.15">
      <c r="C4109"/>
    </row>
    <row r="4110" spans="3:3" x14ac:dyDescent="0.15">
      <c r="C4110"/>
    </row>
    <row r="4111" spans="3:3" x14ac:dyDescent="0.15">
      <c r="C4111"/>
    </row>
    <row r="4112" spans="3:3" x14ac:dyDescent="0.15">
      <c r="C4112"/>
    </row>
    <row r="4113" spans="3:3" x14ac:dyDescent="0.15">
      <c r="C4113"/>
    </row>
    <row r="4114" spans="3:3" x14ac:dyDescent="0.15">
      <c r="C4114"/>
    </row>
    <row r="4115" spans="3:3" x14ac:dyDescent="0.15">
      <c r="C4115"/>
    </row>
    <row r="4116" spans="3:3" x14ac:dyDescent="0.15">
      <c r="C4116"/>
    </row>
    <row r="4117" spans="3:3" x14ac:dyDescent="0.15">
      <c r="C4117"/>
    </row>
    <row r="4118" spans="3:3" x14ac:dyDescent="0.15">
      <c r="C4118"/>
    </row>
    <row r="4119" spans="3:3" x14ac:dyDescent="0.15">
      <c r="C4119"/>
    </row>
    <row r="4120" spans="3:3" x14ac:dyDescent="0.15">
      <c r="C4120"/>
    </row>
    <row r="4121" spans="3:3" x14ac:dyDescent="0.15">
      <c r="C4121"/>
    </row>
    <row r="4122" spans="3:3" x14ac:dyDescent="0.15">
      <c r="C4122"/>
    </row>
    <row r="4123" spans="3:3" x14ac:dyDescent="0.15">
      <c r="C4123"/>
    </row>
    <row r="4124" spans="3:3" x14ac:dyDescent="0.15">
      <c r="C4124"/>
    </row>
    <row r="4125" spans="3:3" x14ac:dyDescent="0.15">
      <c r="C4125"/>
    </row>
    <row r="4126" spans="3:3" x14ac:dyDescent="0.15">
      <c r="C4126"/>
    </row>
    <row r="4127" spans="3:3" x14ac:dyDescent="0.15">
      <c r="C4127"/>
    </row>
    <row r="4128" spans="3:3" x14ac:dyDescent="0.15">
      <c r="C4128"/>
    </row>
    <row r="4129" spans="3:3" x14ac:dyDescent="0.15">
      <c r="C4129"/>
    </row>
    <row r="4130" spans="3:3" x14ac:dyDescent="0.15">
      <c r="C4130"/>
    </row>
    <row r="4131" spans="3:3" x14ac:dyDescent="0.15">
      <c r="C4131"/>
    </row>
    <row r="4132" spans="3:3" x14ac:dyDescent="0.15">
      <c r="C4132"/>
    </row>
    <row r="4133" spans="3:3" x14ac:dyDescent="0.15">
      <c r="C4133"/>
    </row>
    <row r="4134" spans="3:3" x14ac:dyDescent="0.15">
      <c r="C4134"/>
    </row>
    <row r="4135" spans="3:3" x14ac:dyDescent="0.15">
      <c r="C4135"/>
    </row>
    <row r="4136" spans="3:3" x14ac:dyDescent="0.15">
      <c r="C4136"/>
    </row>
    <row r="4137" spans="3:3" x14ac:dyDescent="0.15">
      <c r="C4137"/>
    </row>
    <row r="4138" spans="3:3" x14ac:dyDescent="0.15">
      <c r="C4138"/>
    </row>
    <row r="4139" spans="3:3" x14ac:dyDescent="0.15">
      <c r="C4139"/>
    </row>
    <row r="4140" spans="3:3" x14ac:dyDescent="0.15">
      <c r="C4140"/>
    </row>
    <row r="4141" spans="3:3" x14ac:dyDescent="0.15">
      <c r="C4141"/>
    </row>
    <row r="4142" spans="3:3" x14ac:dyDescent="0.15">
      <c r="C4142"/>
    </row>
    <row r="4143" spans="3:3" x14ac:dyDescent="0.15">
      <c r="C4143"/>
    </row>
    <row r="4144" spans="3:3" x14ac:dyDescent="0.15">
      <c r="C4144"/>
    </row>
    <row r="4145" spans="3:3" x14ac:dyDescent="0.15">
      <c r="C4145"/>
    </row>
    <row r="4146" spans="3:3" x14ac:dyDescent="0.15">
      <c r="C4146"/>
    </row>
    <row r="4147" spans="3:3" x14ac:dyDescent="0.15">
      <c r="C4147"/>
    </row>
    <row r="4148" spans="3:3" x14ac:dyDescent="0.15">
      <c r="C4148"/>
    </row>
    <row r="4149" spans="3:3" x14ac:dyDescent="0.15">
      <c r="C4149"/>
    </row>
    <row r="4150" spans="3:3" x14ac:dyDescent="0.15">
      <c r="C4150"/>
    </row>
    <row r="4151" spans="3:3" x14ac:dyDescent="0.15">
      <c r="C4151"/>
    </row>
    <row r="4152" spans="3:3" x14ac:dyDescent="0.15">
      <c r="C4152"/>
    </row>
    <row r="4153" spans="3:3" x14ac:dyDescent="0.15">
      <c r="C4153"/>
    </row>
    <row r="4154" spans="3:3" x14ac:dyDescent="0.15">
      <c r="C4154"/>
    </row>
    <row r="4155" spans="3:3" x14ac:dyDescent="0.15">
      <c r="C4155"/>
    </row>
    <row r="4156" spans="3:3" x14ac:dyDescent="0.15">
      <c r="C4156"/>
    </row>
    <row r="4157" spans="3:3" x14ac:dyDescent="0.15">
      <c r="C4157"/>
    </row>
    <row r="4158" spans="3:3" x14ac:dyDescent="0.15">
      <c r="C4158"/>
    </row>
    <row r="4159" spans="3:3" x14ac:dyDescent="0.15">
      <c r="C4159"/>
    </row>
    <row r="4160" spans="3:3" x14ac:dyDescent="0.15">
      <c r="C4160"/>
    </row>
    <row r="4161" spans="3:3" x14ac:dyDescent="0.15">
      <c r="C4161"/>
    </row>
    <row r="4162" spans="3:3" x14ac:dyDescent="0.15">
      <c r="C4162"/>
    </row>
    <row r="4163" spans="3:3" x14ac:dyDescent="0.15">
      <c r="C4163"/>
    </row>
    <row r="4164" spans="3:3" x14ac:dyDescent="0.15">
      <c r="C4164"/>
    </row>
    <row r="4165" spans="3:3" x14ac:dyDescent="0.15">
      <c r="C4165"/>
    </row>
    <row r="4166" spans="3:3" x14ac:dyDescent="0.15">
      <c r="C4166"/>
    </row>
    <row r="4167" spans="3:3" x14ac:dyDescent="0.15">
      <c r="C4167"/>
    </row>
    <row r="4168" spans="3:3" x14ac:dyDescent="0.15">
      <c r="C4168"/>
    </row>
    <row r="4169" spans="3:3" x14ac:dyDescent="0.15">
      <c r="C4169"/>
    </row>
    <row r="4170" spans="3:3" x14ac:dyDescent="0.15">
      <c r="C4170"/>
    </row>
    <row r="4171" spans="3:3" x14ac:dyDescent="0.15">
      <c r="C4171"/>
    </row>
    <row r="4172" spans="3:3" x14ac:dyDescent="0.15">
      <c r="C4172"/>
    </row>
    <row r="4173" spans="3:3" x14ac:dyDescent="0.15">
      <c r="C4173"/>
    </row>
    <row r="4174" spans="3:3" x14ac:dyDescent="0.15">
      <c r="C4174"/>
    </row>
    <row r="4175" spans="3:3" x14ac:dyDescent="0.15">
      <c r="C4175"/>
    </row>
    <row r="4176" spans="3:3" x14ac:dyDescent="0.15">
      <c r="C4176"/>
    </row>
    <row r="4177" spans="3:3" x14ac:dyDescent="0.15">
      <c r="C4177"/>
    </row>
    <row r="4178" spans="3:3" x14ac:dyDescent="0.15">
      <c r="C4178"/>
    </row>
    <row r="4179" spans="3:3" x14ac:dyDescent="0.15">
      <c r="C4179"/>
    </row>
    <row r="4180" spans="3:3" x14ac:dyDescent="0.15">
      <c r="C4180"/>
    </row>
    <row r="4181" spans="3:3" x14ac:dyDescent="0.15">
      <c r="C4181"/>
    </row>
    <row r="4182" spans="3:3" x14ac:dyDescent="0.15">
      <c r="C4182"/>
    </row>
    <row r="4183" spans="3:3" x14ac:dyDescent="0.15">
      <c r="C4183"/>
    </row>
    <row r="4184" spans="3:3" x14ac:dyDescent="0.15">
      <c r="C4184"/>
    </row>
    <row r="4185" spans="3:3" x14ac:dyDescent="0.15">
      <c r="C4185"/>
    </row>
    <row r="4186" spans="3:3" x14ac:dyDescent="0.15">
      <c r="C4186"/>
    </row>
    <row r="4187" spans="3:3" x14ac:dyDescent="0.15">
      <c r="C4187"/>
    </row>
    <row r="4188" spans="3:3" x14ac:dyDescent="0.15">
      <c r="C4188"/>
    </row>
    <row r="4189" spans="3:3" x14ac:dyDescent="0.15">
      <c r="C4189"/>
    </row>
    <row r="4190" spans="3:3" x14ac:dyDescent="0.15">
      <c r="C4190"/>
    </row>
    <row r="4191" spans="3:3" x14ac:dyDescent="0.15">
      <c r="C4191"/>
    </row>
    <row r="4192" spans="3:3" x14ac:dyDescent="0.15">
      <c r="C4192"/>
    </row>
    <row r="4193" spans="3:3" x14ac:dyDescent="0.15">
      <c r="C4193"/>
    </row>
    <row r="4194" spans="3:3" x14ac:dyDescent="0.15">
      <c r="C4194"/>
    </row>
    <row r="4195" spans="3:3" x14ac:dyDescent="0.15">
      <c r="C4195"/>
    </row>
    <row r="4196" spans="3:3" x14ac:dyDescent="0.15">
      <c r="C4196"/>
    </row>
    <row r="4197" spans="3:3" x14ac:dyDescent="0.15">
      <c r="C4197"/>
    </row>
    <row r="4198" spans="3:3" x14ac:dyDescent="0.15">
      <c r="C4198"/>
    </row>
    <row r="4199" spans="3:3" x14ac:dyDescent="0.15">
      <c r="C4199"/>
    </row>
    <row r="4200" spans="3:3" x14ac:dyDescent="0.15">
      <c r="C4200"/>
    </row>
    <row r="4201" spans="3:3" x14ac:dyDescent="0.15">
      <c r="C4201"/>
    </row>
    <row r="4202" spans="3:3" x14ac:dyDescent="0.15">
      <c r="C4202"/>
    </row>
    <row r="4203" spans="3:3" x14ac:dyDescent="0.15">
      <c r="C4203"/>
    </row>
    <row r="4204" spans="3:3" x14ac:dyDescent="0.15">
      <c r="C4204"/>
    </row>
    <row r="4205" spans="3:3" x14ac:dyDescent="0.15">
      <c r="C4205"/>
    </row>
    <row r="4206" spans="3:3" x14ac:dyDescent="0.15">
      <c r="C4206"/>
    </row>
    <row r="4207" spans="3:3" x14ac:dyDescent="0.15">
      <c r="C4207"/>
    </row>
    <row r="4208" spans="3:3" x14ac:dyDescent="0.15">
      <c r="C4208"/>
    </row>
    <row r="4209" spans="3:3" x14ac:dyDescent="0.15">
      <c r="C4209"/>
    </row>
    <row r="4210" spans="3:3" x14ac:dyDescent="0.15">
      <c r="C4210"/>
    </row>
    <row r="4211" spans="3:3" x14ac:dyDescent="0.15">
      <c r="C4211"/>
    </row>
    <row r="4212" spans="3:3" x14ac:dyDescent="0.15">
      <c r="C4212"/>
    </row>
    <row r="4213" spans="3:3" x14ac:dyDescent="0.15">
      <c r="C4213"/>
    </row>
    <row r="4214" spans="3:3" x14ac:dyDescent="0.15">
      <c r="C4214"/>
    </row>
    <row r="4215" spans="3:3" x14ac:dyDescent="0.15">
      <c r="C4215"/>
    </row>
    <row r="4216" spans="3:3" x14ac:dyDescent="0.15">
      <c r="C4216"/>
    </row>
    <row r="4217" spans="3:3" x14ac:dyDescent="0.15">
      <c r="C4217"/>
    </row>
    <row r="4218" spans="3:3" x14ac:dyDescent="0.15">
      <c r="C4218"/>
    </row>
    <row r="4219" spans="3:3" x14ac:dyDescent="0.15">
      <c r="C4219"/>
    </row>
    <row r="4220" spans="3:3" x14ac:dyDescent="0.15">
      <c r="C4220"/>
    </row>
    <row r="4221" spans="3:3" x14ac:dyDescent="0.15">
      <c r="C4221"/>
    </row>
    <row r="4222" spans="3:3" x14ac:dyDescent="0.15">
      <c r="C4222"/>
    </row>
    <row r="4223" spans="3:3" x14ac:dyDescent="0.15">
      <c r="C4223"/>
    </row>
    <row r="4224" spans="3:3" x14ac:dyDescent="0.15">
      <c r="C4224"/>
    </row>
    <row r="4225" spans="3:3" x14ac:dyDescent="0.15">
      <c r="C4225"/>
    </row>
    <row r="4226" spans="3:3" x14ac:dyDescent="0.15">
      <c r="C4226"/>
    </row>
    <row r="4227" spans="3:3" x14ac:dyDescent="0.15">
      <c r="C4227"/>
    </row>
    <row r="4228" spans="3:3" x14ac:dyDescent="0.15">
      <c r="C4228"/>
    </row>
    <row r="4229" spans="3:3" x14ac:dyDescent="0.15">
      <c r="C4229"/>
    </row>
    <row r="4230" spans="3:3" x14ac:dyDescent="0.15">
      <c r="C4230"/>
    </row>
    <row r="4231" spans="3:3" x14ac:dyDescent="0.15">
      <c r="C4231"/>
    </row>
    <row r="4232" spans="3:3" x14ac:dyDescent="0.15">
      <c r="C4232"/>
    </row>
    <row r="4233" spans="3:3" x14ac:dyDescent="0.15">
      <c r="C4233"/>
    </row>
    <row r="4234" spans="3:3" x14ac:dyDescent="0.15">
      <c r="C4234"/>
    </row>
    <row r="4235" spans="3:3" x14ac:dyDescent="0.15">
      <c r="C4235"/>
    </row>
    <row r="4236" spans="3:3" x14ac:dyDescent="0.15">
      <c r="C4236"/>
    </row>
    <row r="4237" spans="3:3" x14ac:dyDescent="0.15">
      <c r="C4237"/>
    </row>
    <row r="4238" spans="3:3" x14ac:dyDescent="0.15">
      <c r="C4238"/>
    </row>
    <row r="4239" spans="3:3" x14ac:dyDescent="0.15">
      <c r="C4239"/>
    </row>
    <row r="4240" spans="3:3" x14ac:dyDescent="0.15">
      <c r="C4240"/>
    </row>
    <row r="4241" spans="3:3" x14ac:dyDescent="0.15">
      <c r="C4241"/>
    </row>
    <row r="4242" spans="3:3" x14ac:dyDescent="0.15">
      <c r="C4242"/>
    </row>
    <row r="4243" spans="3:3" x14ac:dyDescent="0.15">
      <c r="C4243"/>
    </row>
    <row r="4244" spans="3:3" x14ac:dyDescent="0.15">
      <c r="C4244"/>
    </row>
    <row r="4245" spans="3:3" x14ac:dyDescent="0.15">
      <c r="C4245"/>
    </row>
    <row r="4246" spans="3:3" x14ac:dyDescent="0.15">
      <c r="C4246"/>
    </row>
    <row r="4247" spans="3:3" x14ac:dyDescent="0.15">
      <c r="C4247"/>
    </row>
    <row r="4248" spans="3:3" x14ac:dyDescent="0.15">
      <c r="C4248"/>
    </row>
    <row r="4249" spans="3:3" x14ac:dyDescent="0.15">
      <c r="C4249"/>
    </row>
    <row r="4250" spans="3:3" x14ac:dyDescent="0.15">
      <c r="C4250"/>
    </row>
    <row r="4251" spans="3:3" x14ac:dyDescent="0.15">
      <c r="C4251"/>
    </row>
    <row r="4252" spans="3:3" x14ac:dyDescent="0.15">
      <c r="C4252"/>
    </row>
    <row r="4253" spans="3:3" x14ac:dyDescent="0.15">
      <c r="C4253"/>
    </row>
    <row r="4254" spans="3:3" x14ac:dyDescent="0.15">
      <c r="C4254"/>
    </row>
    <row r="4255" spans="3:3" x14ac:dyDescent="0.15">
      <c r="C4255"/>
    </row>
    <row r="4256" spans="3:3" x14ac:dyDescent="0.15">
      <c r="C4256"/>
    </row>
    <row r="4257" spans="3:3" x14ac:dyDescent="0.15">
      <c r="C4257"/>
    </row>
    <row r="4258" spans="3:3" x14ac:dyDescent="0.15">
      <c r="C4258"/>
    </row>
    <row r="4259" spans="3:3" x14ac:dyDescent="0.15">
      <c r="C4259"/>
    </row>
    <row r="4260" spans="3:3" x14ac:dyDescent="0.15">
      <c r="C4260"/>
    </row>
    <row r="4261" spans="3:3" x14ac:dyDescent="0.15">
      <c r="C4261"/>
    </row>
    <row r="4262" spans="3:3" x14ac:dyDescent="0.15">
      <c r="C4262"/>
    </row>
    <row r="4263" spans="3:3" x14ac:dyDescent="0.15">
      <c r="C4263"/>
    </row>
    <row r="4264" spans="3:3" x14ac:dyDescent="0.15">
      <c r="C4264"/>
    </row>
    <row r="4265" spans="3:3" x14ac:dyDescent="0.15">
      <c r="C4265"/>
    </row>
    <row r="4266" spans="3:3" x14ac:dyDescent="0.15">
      <c r="C4266"/>
    </row>
    <row r="4267" spans="3:3" x14ac:dyDescent="0.15">
      <c r="C4267"/>
    </row>
    <row r="4268" spans="3:3" x14ac:dyDescent="0.15">
      <c r="C4268"/>
    </row>
    <row r="4269" spans="3:3" x14ac:dyDescent="0.15">
      <c r="C4269"/>
    </row>
    <row r="4270" spans="3:3" x14ac:dyDescent="0.15">
      <c r="C4270"/>
    </row>
    <row r="4271" spans="3:3" x14ac:dyDescent="0.15">
      <c r="C4271"/>
    </row>
    <row r="4272" spans="3:3" x14ac:dyDescent="0.15">
      <c r="C4272"/>
    </row>
    <row r="4273" spans="3:3" x14ac:dyDescent="0.15">
      <c r="C4273"/>
    </row>
    <row r="4274" spans="3:3" x14ac:dyDescent="0.15">
      <c r="C4274"/>
    </row>
    <row r="4275" spans="3:3" x14ac:dyDescent="0.15">
      <c r="C4275"/>
    </row>
    <row r="4276" spans="3:3" x14ac:dyDescent="0.15">
      <c r="C4276"/>
    </row>
    <row r="4277" spans="3:3" x14ac:dyDescent="0.15">
      <c r="C4277"/>
    </row>
    <row r="4278" spans="3:3" x14ac:dyDescent="0.15">
      <c r="C4278"/>
    </row>
    <row r="4279" spans="3:3" x14ac:dyDescent="0.15">
      <c r="C4279"/>
    </row>
    <row r="4280" spans="3:3" x14ac:dyDescent="0.15">
      <c r="C4280"/>
    </row>
    <row r="4281" spans="3:3" x14ac:dyDescent="0.15">
      <c r="C4281"/>
    </row>
    <row r="4282" spans="3:3" x14ac:dyDescent="0.15">
      <c r="C4282"/>
    </row>
    <row r="4283" spans="3:3" x14ac:dyDescent="0.15">
      <c r="C4283"/>
    </row>
    <row r="4284" spans="3:3" x14ac:dyDescent="0.15">
      <c r="C4284"/>
    </row>
    <row r="4285" spans="3:3" x14ac:dyDescent="0.15">
      <c r="C4285"/>
    </row>
    <row r="4286" spans="3:3" x14ac:dyDescent="0.15">
      <c r="C4286"/>
    </row>
    <row r="4287" spans="3:3" x14ac:dyDescent="0.15">
      <c r="C4287"/>
    </row>
    <row r="4288" spans="3:3" x14ac:dyDescent="0.15">
      <c r="C4288"/>
    </row>
    <row r="4289" spans="3:3" x14ac:dyDescent="0.15">
      <c r="C4289"/>
    </row>
    <row r="4290" spans="3:3" x14ac:dyDescent="0.15">
      <c r="C4290"/>
    </row>
    <row r="4291" spans="3:3" x14ac:dyDescent="0.15">
      <c r="C4291"/>
    </row>
    <row r="4292" spans="3:3" x14ac:dyDescent="0.15">
      <c r="C4292"/>
    </row>
    <row r="4293" spans="3:3" x14ac:dyDescent="0.15">
      <c r="C4293"/>
    </row>
    <row r="4294" spans="3:3" x14ac:dyDescent="0.15">
      <c r="C4294"/>
    </row>
    <row r="4295" spans="3:3" x14ac:dyDescent="0.15">
      <c r="C4295"/>
    </row>
    <row r="4296" spans="3:3" x14ac:dyDescent="0.15">
      <c r="C4296"/>
    </row>
    <row r="4297" spans="3:3" x14ac:dyDescent="0.15">
      <c r="C4297"/>
    </row>
    <row r="4298" spans="3:3" x14ac:dyDescent="0.15">
      <c r="C4298"/>
    </row>
    <row r="4299" spans="3:3" x14ac:dyDescent="0.15">
      <c r="C4299"/>
    </row>
    <row r="4300" spans="3:3" x14ac:dyDescent="0.15">
      <c r="C4300"/>
    </row>
    <row r="4301" spans="3:3" x14ac:dyDescent="0.15">
      <c r="C4301"/>
    </row>
    <row r="4302" spans="3:3" x14ac:dyDescent="0.15">
      <c r="C4302"/>
    </row>
    <row r="4303" spans="3:3" x14ac:dyDescent="0.15">
      <c r="C4303"/>
    </row>
    <row r="4304" spans="3:3" x14ac:dyDescent="0.15">
      <c r="C4304"/>
    </row>
    <row r="4305" spans="3:3" x14ac:dyDescent="0.15">
      <c r="C4305"/>
    </row>
    <row r="4306" spans="3:3" x14ac:dyDescent="0.15">
      <c r="C4306"/>
    </row>
    <row r="4307" spans="3:3" x14ac:dyDescent="0.15">
      <c r="C4307"/>
    </row>
    <row r="4308" spans="3:3" x14ac:dyDescent="0.15">
      <c r="C4308"/>
    </row>
    <row r="4309" spans="3:3" x14ac:dyDescent="0.15">
      <c r="C4309"/>
    </row>
    <row r="4310" spans="3:3" x14ac:dyDescent="0.15">
      <c r="C4310"/>
    </row>
    <row r="4311" spans="3:3" x14ac:dyDescent="0.15">
      <c r="C4311"/>
    </row>
    <row r="4312" spans="3:3" x14ac:dyDescent="0.15">
      <c r="C4312"/>
    </row>
    <row r="4313" spans="3:3" x14ac:dyDescent="0.15">
      <c r="C4313"/>
    </row>
    <row r="4314" spans="3:3" x14ac:dyDescent="0.15">
      <c r="C4314"/>
    </row>
    <row r="4315" spans="3:3" x14ac:dyDescent="0.15">
      <c r="C4315"/>
    </row>
    <row r="4316" spans="3:3" x14ac:dyDescent="0.15">
      <c r="C4316"/>
    </row>
    <row r="4317" spans="3:3" x14ac:dyDescent="0.15">
      <c r="C4317"/>
    </row>
    <row r="4318" spans="3:3" x14ac:dyDescent="0.15">
      <c r="C4318"/>
    </row>
    <row r="4319" spans="3:3" x14ac:dyDescent="0.15">
      <c r="C4319"/>
    </row>
    <row r="4320" spans="3:3" x14ac:dyDescent="0.15">
      <c r="C4320"/>
    </row>
    <row r="4321" spans="3:3" x14ac:dyDescent="0.15">
      <c r="C4321"/>
    </row>
    <row r="4322" spans="3:3" x14ac:dyDescent="0.15">
      <c r="C4322"/>
    </row>
    <row r="4323" spans="3:3" x14ac:dyDescent="0.15">
      <c r="C4323"/>
    </row>
    <row r="4324" spans="3:3" x14ac:dyDescent="0.15">
      <c r="C4324"/>
    </row>
    <row r="4325" spans="3:3" x14ac:dyDescent="0.15">
      <c r="C4325"/>
    </row>
    <row r="4326" spans="3:3" x14ac:dyDescent="0.15">
      <c r="C4326"/>
    </row>
    <row r="4327" spans="3:3" x14ac:dyDescent="0.15">
      <c r="C4327"/>
    </row>
    <row r="4328" spans="3:3" x14ac:dyDescent="0.15">
      <c r="C4328"/>
    </row>
    <row r="4329" spans="3:3" x14ac:dyDescent="0.15">
      <c r="C4329"/>
    </row>
    <row r="4330" spans="3:3" x14ac:dyDescent="0.15">
      <c r="C4330"/>
    </row>
    <row r="4331" spans="3:3" x14ac:dyDescent="0.15">
      <c r="C4331"/>
    </row>
    <row r="4332" spans="3:3" x14ac:dyDescent="0.15">
      <c r="C4332"/>
    </row>
    <row r="4333" spans="3:3" x14ac:dyDescent="0.15">
      <c r="C4333"/>
    </row>
    <row r="4334" spans="3:3" x14ac:dyDescent="0.15">
      <c r="C4334"/>
    </row>
    <row r="4335" spans="3:3" x14ac:dyDescent="0.15">
      <c r="C4335"/>
    </row>
    <row r="4336" spans="3:3" x14ac:dyDescent="0.15">
      <c r="C4336"/>
    </row>
    <row r="4337" spans="3:3" x14ac:dyDescent="0.15">
      <c r="C4337"/>
    </row>
    <row r="4338" spans="3:3" x14ac:dyDescent="0.15">
      <c r="C4338"/>
    </row>
    <row r="4339" spans="3:3" x14ac:dyDescent="0.15">
      <c r="C4339"/>
    </row>
    <row r="4340" spans="3:3" x14ac:dyDescent="0.15">
      <c r="C4340"/>
    </row>
    <row r="4341" spans="3:3" x14ac:dyDescent="0.15">
      <c r="C4341"/>
    </row>
    <row r="4342" spans="3:3" x14ac:dyDescent="0.15">
      <c r="C4342"/>
    </row>
    <row r="4343" spans="3:3" x14ac:dyDescent="0.15">
      <c r="C4343"/>
    </row>
    <row r="4344" spans="3:3" x14ac:dyDescent="0.15">
      <c r="C4344"/>
    </row>
    <row r="4345" spans="3:3" x14ac:dyDescent="0.15">
      <c r="C4345"/>
    </row>
    <row r="4346" spans="3:3" x14ac:dyDescent="0.15">
      <c r="C4346"/>
    </row>
    <row r="4347" spans="3:3" x14ac:dyDescent="0.15">
      <c r="C4347"/>
    </row>
    <row r="4348" spans="3:3" x14ac:dyDescent="0.15">
      <c r="C4348"/>
    </row>
    <row r="4349" spans="3:3" x14ac:dyDescent="0.15">
      <c r="C4349"/>
    </row>
    <row r="4350" spans="3:3" x14ac:dyDescent="0.15">
      <c r="C4350"/>
    </row>
    <row r="4351" spans="3:3" x14ac:dyDescent="0.15">
      <c r="C4351"/>
    </row>
    <row r="4352" spans="3:3" x14ac:dyDescent="0.15">
      <c r="C4352"/>
    </row>
    <row r="4353" spans="3:3" x14ac:dyDescent="0.15">
      <c r="C4353"/>
    </row>
    <row r="4354" spans="3:3" x14ac:dyDescent="0.15">
      <c r="C4354"/>
    </row>
    <row r="4355" spans="3:3" x14ac:dyDescent="0.15">
      <c r="C4355"/>
    </row>
    <row r="4356" spans="3:3" x14ac:dyDescent="0.15">
      <c r="C4356"/>
    </row>
    <row r="4357" spans="3:3" x14ac:dyDescent="0.15">
      <c r="C4357"/>
    </row>
    <row r="4358" spans="3:3" x14ac:dyDescent="0.15">
      <c r="C4358"/>
    </row>
    <row r="4359" spans="3:3" x14ac:dyDescent="0.15">
      <c r="C4359"/>
    </row>
    <row r="4360" spans="3:3" x14ac:dyDescent="0.15">
      <c r="C4360"/>
    </row>
    <row r="4361" spans="3:3" x14ac:dyDescent="0.15">
      <c r="C4361"/>
    </row>
    <row r="4362" spans="3:3" x14ac:dyDescent="0.15">
      <c r="C4362"/>
    </row>
    <row r="4363" spans="3:3" x14ac:dyDescent="0.15">
      <c r="C4363"/>
    </row>
    <row r="4364" spans="3:3" x14ac:dyDescent="0.15">
      <c r="C4364"/>
    </row>
    <row r="4365" spans="3:3" x14ac:dyDescent="0.15">
      <c r="C4365"/>
    </row>
    <row r="4366" spans="3:3" x14ac:dyDescent="0.15">
      <c r="C4366"/>
    </row>
    <row r="4367" spans="3:3" x14ac:dyDescent="0.15">
      <c r="C4367"/>
    </row>
    <row r="4368" spans="3:3" x14ac:dyDescent="0.15">
      <c r="C4368"/>
    </row>
    <row r="4369" spans="3:3" x14ac:dyDescent="0.15">
      <c r="C4369"/>
    </row>
    <row r="4370" spans="3:3" x14ac:dyDescent="0.15">
      <c r="C4370"/>
    </row>
    <row r="4371" spans="3:3" x14ac:dyDescent="0.15">
      <c r="C4371"/>
    </row>
    <row r="4372" spans="3:3" x14ac:dyDescent="0.15">
      <c r="C4372"/>
    </row>
    <row r="4373" spans="3:3" x14ac:dyDescent="0.15">
      <c r="C4373"/>
    </row>
    <row r="4374" spans="3:3" x14ac:dyDescent="0.15">
      <c r="C4374"/>
    </row>
    <row r="4375" spans="3:3" x14ac:dyDescent="0.15">
      <c r="C4375"/>
    </row>
    <row r="4376" spans="3:3" x14ac:dyDescent="0.15">
      <c r="C4376"/>
    </row>
    <row r="4377" spans="3:3" x14ac:dyDescent="0.15">
      <c r="C4377"/>
    </row>
    <row r="4378" spans="3:3" x14ac:dyDescent="0.15">
      <c r="C4378"/>
    </row>
    <row r="4379" spans="3:3" x14ac:dyDescent="0.15">
      <c r="C4379"/>
    </row>
    <row r="4380" spans="3:3" x14ac:dyDescent="0.15">
      <c r="C4380"/>
    </row>
    <row r="4381" spans="3:3" x14ac:dyDescent="0.15">
      <c r="C4381"/>
    </row>
    <row r="4382" spans="3:3" x14ac:dyDescent="0.15">
      <c r="C4382"/>
    </row>
    <row r="4383" spans="3:3" x14ac:dyDescent="0.15">
      <c r="C4383"/>
    </row>
    <row r="4384" spans="3:3" x14ac:dyDescent="0.15">
      <c r="C4384"/>
    </row>
    <row r="4385" spans="3:3" x14ac:dyDescent="0.15">
      <c r="C4385"/>
    </row>
    <row r="4386" spans="3:3" x14ac:dyDescent="0.15">
      <c r="C4386"/>
    </row>
    <row r="4387" spans="3:3" x14ac:dyDescent="0.15">
      <c r="C4387"/>
    </row>
    <row r="4388" spans="3:3" x14ac:dyDescent="0.15">
      <c r="C4388"/>
    </row>
    <row r="4389" spans="3:3" x14ac:dyDescent="0.15">
      <c r="C4389"/>
    </row>
    <row r="4390" spans="3:3" x14ac:dyDescent="0.15">
      <c r="C4390"/>
    </row>
    <row r="4391" spans="3:3" x14ac:dyDescent="0.15">
      <c r="C4391"/>
    </row>
    <row r="4392" spans="3:3" x14ac:dyDescent="0.15">
      <c r="C4392"/>
    </row>
    <row r="4393" spans="3:3" x14ac:dyDescent="0.15">
      <c r="C4393"/>
    </row>
    <row r="4394" spans="3:3" x14ac:dyDescent="0.15">
      <c r="C4394"/>
    </row>
    <row r="4395" spans="3:3" x14ac:dyDescent="0.15">
      <c r="C4395"/>
    </row>
    <row r="4396" spans="3:3" x14ac:dyDescent="0.15">
      <c r="C4396"/>
    </row>
    <row r="4397" spans="3:3" x14ac:dyDescent="0.15">
      <c r="C4397"/>
    </row>
    <row r="4398" spans="3:3" x14ac:dyDescent="0.15">
      <c r="C4398"/>
    </row>
    <row r="4399" spans="3:3" x14ac:dyDescent="0.15">
      <c r="C4399"/>
    </row>
    <row r="4400" spans="3:3" x14ac:dyDescent="0.15">
      <c r="C4400"/>
    </row>
    <row r="4401" spans="3:3" x14ac:dyDescent="0.15">
      <c r="C4401"/>
    </row>
    <row r="4402" spans="3:3" x14ac:dyDescent="0.15">
      <c r="C4402"/>
    </row>
    <row r="4403" spans="3:3" x14ac:dyDescent="0.15">
      <c r="C4403"/>
    </row>
    <row r="4404" spans="3:3" x14ac:dyDescent="0.15">
      <c r="C4404"/>
    </row>
    <row r="4405" spans="3:3" x14ac:dyDescent="0.15">
      <c r="C4405"/>
    </row>
    <row r="4406" spans="3:3" x14ac:dyDescent="0.15">
      <c r="C4406"/>
    </row>
    <row r="4407" spans="3:3" x14ac:dyDescent="0.15">
      <c r="C4407"/>
    </row>
    <row r="4408" spans="3:3" x14ac:dyDescent="0.15">
      <c r="C4408"/>
    </row>
    <row r="4409" spans="3:3" x14ac:dyDescent="0.15">
      <c r="C4409"/>
    </row>
    <row r="4410" spans="3:3" x14ac:dyDescent="0.15">
      <c r="C4410"/>
    </row>
    <row r="4411" spans="3:3" x14ac:dyDescent="0.15">
      <c r="C4411"/>
    </row>
    <row r="4412" spans="3:3" x14ac:dyDescent="0.15">
      <c r="C4412"/>
    </row>
    <row r="4413" spans="3:3" x14ac:dyDescent="0.15">
      <c r="C4413"/>
    </row>
    <row r="4414" spans="3:3" x14ac:dyDescent="0.15">
      <c r="C4414"/>
    </row>
    <row r="4415" spans="3:3" x14ac:dyDescent="0.15">
      <c r="C4415"/>
    </row>
    <row r="4416" spans="3:3" x14ac:dyDescent="0.15">
      <c r="C4416"/>
    </row>
    <row r="4417" spans="3:3" x14ac:dyDescent="0.15">
      <c r="C4417"/>
    </row>
    <row r="4418" spans="3:3" x14ac:dyDescent="0.15">
      <c r="C4418"/>
    </row>
    <row r="4419" spans="3:3" x14ac:dyDescent="0.15">
      <c r="C4419"/>
    </row>
    <row r="4420" spans="3:3" x14ac:dyDescent="0.15">
      <c r="C4420"/>
    </row>
    <row r="4421" spans="3:3" x14ac:dyDescent="0.15">
      <c r="C4421"/>
    </row>
    <row r="4422" spans="3:3" x14ac:dyDescent="0.15">
      <c r="C4422"/>
    </row>
    <row r="4423" spans="3:3" x14ac:dyDescent="0.15">
      <c r="C4423"/>
    </row>
    <row r="4424" spans="3:3" x14ac:dyDescent="0.15">
      <c r="C4424"/>
    </row>
    <row r="4425" spans="3:3" x14ac:dyDescent="0.15">
      <c r="C4425"/>
    </row>
    <row r="4426" spans="3:3" x14ac:dyDescent="0.15">
      <c r="C4426"/>
    </row>
    <row r="4427" spans="3:3" x14ac:dyDescent="0.15">
      <c r="C4427"/>
    </row>
    <row r="4428" spans="3:3" x14ac:dyDescent="0.15">
      <c r="C4428"/>
    </row>
    <row r="4429" spans="3:3" x14ac:dyDescent="0.15">
      <c r="C4429"/>
    </row>
    <row r="4430" spans="3:3" x14ac:dyDescent="0.15">
      <c r="C4430"/>
    </row>
    <row r="4431" spans="3:3" x14ac:dyDescent="0.15">
      <c r="C4431"/>
    </row>
    <row r="4432" spans="3:3" x14ac:dyDescent="0.15">
      <c r="C4432"/>
    </row>
    <row r="4433" spans="3:3" x14ac:dyDescent="0.15">
      <c r="C4433"/>
    </row>
    <row r="4434" spans="3:3" x14ac:dyDescent="0.15">
      <c r="C4434"/>
    </row>
    <row r="4435" spans="3:3" x14ac:dyDescent="0.15">
      <c r="C4435"/>
    </row>
    <row r="4436" spans="3:3" x14ac:dyDescent="0.15">
      <c r="C4436"/>
    </row>
    <row r="4437" spans="3:3" x14ac:dyDescent="0.15">
      <c r="C4437"/>
    </row>
    <row r="4438" spans="3:3" x14ac:dyDescent="0.15">
      <c r="C4438"/>
    </row>
    <row r="4439" spans="3:3" x14ac:dyDescent="0.15">
      <c r="C4439"/>
    </row>
    <row r="4440" spans="3:3" x14ac:dyDescent="0.15">
      <c r="C4440"/>
    </row>
    <row r="4441" spans="3:3" x14ac:dyDescent="0.15">
      <c r="C4441"/>
    </row>
    <row r="4442" spans="3:3" x14ac:dyDescent="0.15">
      <c r="C4442"/>
    </row>
    <row r="4443" spans="3:3" x14ac:dyDescent="0.15">
      <c r="C4443"/>
    </row>
    <row r="4444" spans="3:3" x14ac:dyDescent="0.15">
      <c r="C4444"/>
    </row>
    <row r="4445" spans="3:3" x14ac:dyDescent="0.15">
      <c r="C4445"/>
    </row>
    <row r="4446" spans="3:3" x14ac:dyDescent="0.15">
      <c r="C4446"/>
    </row>
    <row r="4447" spans="3:3" x14ac:dyDescent="0.15">
      <c r="C4447"/>
    </row>
    <row r="4448" spans="3:3" x14ac:dyDescent="0.15">
      <c r="C4448"/>
    </row>
    <row r="4449" spans="3:3" x14ac:dyDescent="0.15">
      <c r="C4449"/>
    </row>
    <row r="4450" spans="3:3" x14ac:dyDescent="0.15">
      <c r="C4450"/>
    </row>
    <row r="4451" spans="3:3" x14ac:dyDescent="0.15">
      <c r="C4451"/>
    </row>
    <row r="4452" spans="3:3" x14ac:dyDescent="0.15">
      <c r="C4452"/>
    </row>
    <row r="4453" spans="3:3" x14ac:dyDescent="0.15">
      <c r="C4453"/>
    </row>
    <row r="4454" spans="3:3" x14ac:dyDescent="0.15">
      <c r="C4454"/>
    </row>
    <row r="4455" spans="3:3" x14ac:dyDescent="0.15">
      <c r="C4455"/>
    </row>
    <row r="4456" spans="3:3" x14ac:dyDescent="0.15">
      <c r="C4456"/>
    </row>
    <row r="4457" spans="3:3" x14ac:dyDescent="0.15">
      <c r="C4457"/>
    </row>
    <row r="4458" spans="3:3" x14ac:dyDescent="0.15">
      <c r="C4458"/>
    </row>
    <row r="4459" spans="3:3" x14ac:dyDescent="0.15">
      <c r="C4459"/>
    </row>
    <row r="4460" spans="3:3" x14ac:dyDescent="0.15">
      <c r="C4460"/>
    </row>
    <row r="4461" spans="3:3" x14ac:dyDescent="0.15">
      <c r="C4461"/>
    </row>
    <row r="4462" spans="3:3" x14ac:dyDescent="0.15">
      <c r="C4462"/>
    </row>
    <row r="4463" spans="3:3" x14ac:dyDescent="0.15">
      <c r="C4463"/>
    </row>
    <row r="4464" spans="3:3" x14ac:dyDescent="0.15">
      <c r="C4464"/>
    </row>
    <row r="4465" spans="3:3" x14ac:dyDescent="0.15">
      <c r="C4465"/>
    </row>
    <row r="4466" spans="3:3" x14ac:dyDescent="0.15">
      <c r="C4466"/>
    </row>
    <row r="4467" spans="3:3" x14ac:dyDescent="0.15">
      <c r="C4467"/>
    </row>
    <row r="4468" spans="3:3" x14ac:dyDescent="0.15">
      <c r="C4468"/>
    </row>
    <row r="4469" spans="3:3" x14ac:dyDescent="0.15">
      <c r="C4469"/>
    </row>
    <row r="4470" spans="3:3" x14ac:dyDescent="0.15">
      <c r="C4470"/>
    </row>
    <row r="4471" spans="3:3" x14ac:dyDescent="0.15">
      <c r="C4471"/>
    </row>
    <row r="4472" spans="3:3" x14ac:dyDescent="0.15">
      <c r="C4472"/>
    </row>
    <row r="4473" spans="3:3" x14ac:dyDescent="0.15">
      <c r="C4473"/>
    </row>
    <row r="4474" spans="3:3" x14ac:dyDescent="0.15">
      <c r="C4474"/>
    </row>
    <row r="4475" spans="3:3" x14ac:dyDescent="0.15">
      <c r="C4475"/>
    </row>
    <row r="4476" spans="3:3" x14ac:dyDescent="0.15">
      <c r="C4476"/>
    </row>
    <row r="4477" spans="3:3" x14ac:dyDescent="0.15">
      <c r="C4477"/>
    </row>
    <row r="4478" spans="3:3" x14ac:dyDescent="0.15">
      <c r="C4478"/>
    </row>
    <row r="4479" spans="3:3" x14ac:dyDescent="0.15">
      <c r="C4479"/>
    </row>
    <row r="4480" spans="3:3" x14ac:dyDescent="0.15">
      <c r="C4480"/>
    </row>
    <row r="4481" spans="3:3" x14ac:dyDescent="0.15">
      <c r="C4481"/>
    </row>
    <row r="4482" spans="3:3" x14ac:dyDescent="0.15">
      <c r="C4482"/>
    </row>
    <row r="4483" spans="3:3" x14ac:dyDescent="0.15">
      <c r="C4483"/>
    </row>
    <row r="4484" spans="3:3" x14ac:dyDescent="0.15">
      <c r="C4484"/>
    </row>
    <row r="4485" spans="3:3" x14ac:dyDescent="0.15">
      <c r="C4485"/>
    </row>
    <row r="4486" spans="3:3" x14ac:dyDescent="0.15">
      <c r="C4486"/>
    </row>
    <row r="4487" spans="3:3" x14ac:dyDescent="0.15">
      <c r="C4487"/>
    </row>
    <row r="4488" spans="3:3" x14ac:dyDescent="0.15">
      <c r="C4488"/>
    </row>
    <row r="4489" spans="3:3" x14ac:dyDescent="0.15">
      <c r="C4489"/>
    </row>
    <row r="4490" spans="3:3" x14ac:dyDescent="0.15">
      <c r="C4490"/>
    </row>
    <row r="4491" spans="3:3" x14ac:dyDescent="0.15">
      <c r="C4491"/>
    </row>
    <row r="4492" spans="3:3" x14ac:dyDescent="0.15">
      <c r="C4492"/>
    </row>
    <row r="4493" spans="3:3" x14ac:dyDescent="0.15">
      <c r="C4493"/>
    </row>
    <row r="4494" spans="3:3" x14ac:dyDescent="0.15">
      <c r="C4494"/>
    </row>
    <row r="4495" spans="3:3" x14ac:dyDescent="0.15">
      <c r="C4495"/>
    </row>
    <row r="4496" spans="3:3" x14ac:dyDescent="0.15">
      <c r="C4496"/>
    </row>
    <row r="4497" spans="3:3" x14ac:dyDescent="0.15">
      <c r="C4497"/>
    </row>
    <row r="4498" spans="3:3" x14ac:dyDescent="0.15">
      <c r="C4498"/>
    </row>
    <row r="4499" spans="3:3" x14ac:dyDescent="0.15">
      <c r="C4499"/>
    </row>
    <row r="4500" spans="3:3" x14ac:dyDescent="0.15">
      <c r="C4500"/>
    </row>
    <row r="4501" spans="3:3" x14ac:dyDescent="0.15">
      <c r="C4501"/>
    </row>
    <row r="4502" spans="3:3" x14ac:dyDescent="0.15">
      <c r="C4502"/>
    </row>
    <row r="4503" spans="3:3" x14ac:dyDescent="0.15">
      <c r="C4503"/>
    </row>
    <row r="4504" spans="3:3" x14ac:dyDescent="0.15">
      <c r="C4504"/>
    </row>
    <row r="4505" spans="3:3" x14ac:dyDescent="0.15">
      <c r="C4505"/>
    </row>
    <row r="4506" spans="3:3" x14ac:dyDescent="0.15">
      <c r="C4506"/>
    </row>
    <row r="4507" spans="3:3" x14ac:dyDescent="0.15">
      <c r="C4507"/>
    </row>
    <row r="4508" spans="3:3" x14ac:dyDescent="0.15">
      <c r="C4508"/>
    </row>
    <row r="4509" spans="3:3" x14ac:dyDescent="0.15">
      <c r="C4509"/>
    </row>
    <row r="4510" spans="3:3" x14ac:dyDescent="0.15">
      <c r="C4510"/>
    </row>
    <row r="4511" spans="3:3" x14ac:dyDescent="0.15">
      <c r="C4511"/>
    </row>
    <row r="4512" spans="3:3" x14ac:dyDescent="0.15">
      <c r="C4512"/>
    </row>
    <row r="4513" spans="3:3" x14ac:dyDescent="0.15">
      <c r="C4513"/>
    </row>
    <row r="4514" spans="3:3" x14ac:dyDescent="0.15">
      <c r="C4514"/>
    </row>
    <row r="4515" spans="3:3" x14ac:dyDescent="0.15">
      <c r="C4515"/>
    </row>
    <row r="4516" spans="3:3" x14ac:dyDescent="0.15">
      <c r="C4516"/>
    </row>
    <row r="4517" spans="3:3" x14ac:dyDescent="0.15">
      <c r="C4517"/>
    </row>
    <row r="4518" spans="3:3" x14ac:dyDescent="0.15">
      <c r="C4518"/>
    </row>
    <row r="4519" spans="3:3" x14ac:dyDescent="0.15">
      <c r="C4519"/>
    </row>
    <row r="4520" spans="3:3" x14ac:dyDescent="0.15">
      <c r="C4520"/>
    </row>
    <row r="4521" spans="3:3" x14ac:dyDescent="0.15">
      <c r="C4521"/>
    </row>
    <row r="4522" spans="3:3" x14ac:dyDescent="0.15">
      <c r="C4522"/>
    </row>
    <row r="4523" spans="3:3" x14ac:dyDescent="0.15">
      <c r="C4523"/>
    </row>
    <row r="4524" spans="3:3" x14ac:dyDescent="0.15">
      <c r="C4524"/>
    </row>
    <row r="4525" spans="3:3" x14ac:dyDescent="0.15">
      <c r="C4525"/>
    </row>
    <row r="4526" spans="3:3" x14ac:dyDescent="0.15">
      <c r="C4526"/>
    </row>
    <row r="4527" spans="3:3" x14ac:dyDescent="0.15">
      <c r="C4527"/>
    </row>
    <row r="4528" spans="3:3" x14ac:dyDescent="0.15">
      <c r="C4528"/>
    </row>
    <row r="4529" spans="3:3" x14ac:dyDescent="0.15">
      <c r="C4529"/>
    </row>
    <row r="4530" spans="3:3" x14ac:dyDescent="0.15">
      <c r="C4530"/>
    </row>
    <row r="4531" spans="3:3" x14ac:dyDescent="0.15">
      <c r="C4531"/>
    </row>
    <row r="4532" spans="3:3" x14ac:dyDescent="0.15">
      <c r="C4532"/>
    </row>
    <row r="4533" spans="3:3" x14ac:dyDescent="0.15">
      <c r="C4533"/>
    </row>
    <row r="4534" spans="3:3" x14ac:dyDescent="0.15">
      <c r="C4534"/>
    </row>
    <row r="4535" spans="3:3" x14ac:dyDescent="0.15">
      <c r="C4535"/>
    </row>
    <row r="4536" spans="3:3" x14ac:dyDescent="0.15">
      <c r="C4536"/>
    </row>
    <row r="4537" spans="3:3" x14ac:dyDescent="0.15">
      <c r="C4537"/>
    </row>
    <row r="4538" spans="3:3" x14ac:dyDescent="0.15">
      <c r="C4538"/>
    </row>
    <row r="4539" spans="3:3" x14ac:dyDescent="0.15">
      <c r="C4539"/>
    </row>
    <row r="4540" spans="3:3" x14ac:dyDescent="0.15">
      <c r="C4540"/>
    </row>
    <row r="4541" spans="3:3" x14ac:dyDescent="0.15">
      <c r="C4541"/>
    </row>
    <row r="4542" spans="3:3" x14ac:dyDescent="0.15">
      <c r="C4542"/>
    </row>
    <row r="4543" spans="3:3" x14ac:dyDescent="0.15">
      <c r="C4543"/>
    </row>
    <row r="4544" spans="3:3" x14ac:dyDescent="0.15">
      <c r="C4544"/>
    </row>
    <row r="4545" spans="3:3" x14ac:dyDescent="0.15">
      <c r="C4545"/>
    </row>
    <row r="4546" spans="3:3" x14ac:dyDescent="0.15">
      <c r="C4546"/>
    </row>
    <row r="4547" spans="3:3" x14ac:dyDescent="0.15">
      <c r="C4547"/>
    </row>
    <row r="4548" spans="3:3" x14ac:dyDescent="0.15">
      <c r="C4548"/>
    </row>
    <row r="4549" spans="3:3" x14ac:dyDescent="0.15">
      <c r="C4549"/>
    </row>
    <row r="4550" spans="3:3" x14ac:dyDescent="0.15">
      <c r="C4550"/>
    </row>
    <row r="4551" spans="3:3" x14ac:dyDescent="0.15">
      <c r="C4551"/>
    </row>
    <row r="4552" spans="3:3" x14ac:dyDescent="0.15">
      <c r="C4552"/>
    </row>
    <row r="4553" spans="3:3" x14ac:dyDescent="0.15">
      <c r="C4553"/>
    </row>
    <row r="4554" spans="3:3" x14ac:dyDescent="0.15">
      <c r="C4554"/>
    </row>
    <row r="4555" spans="3:3" x14ac:dyDescent="0.15">
      <c r="C4555"/>
    </row>
    <row r="4556" spans="3:3" x14ac:dyDescent="0.15">
      <c r="C4556"/>
    </row>
    <row r="4557" spans="3:3" x14ac:dyDescent="0.15">
      <c r="C4557"/>
    </row>
    <row r="4558" spans="3:3" x14ac:dyDescent="0.15">
      <c r="C4558"/>
    </row>
    <row r="4559" spans="3:3" x14ac:dyDescent="0.15">
      <c r="C4559"/>
    </row>
    <row r="4560" spans="3:3" x14ac:dyDescent="0.15">
      <c r="C4560"/>
    </row>
    <row r="4561" spans="3:3" x14ac:dyDescent="0.15">
      <c r="C4561"/>
    </row>
    <row r="4562" spans="3:3" x14ac:dyDescent="0.15">
      <c r="C4562"/>
    </row>
    <row r="4563" spans="3:3" x14ac:dyDescent="0.15">
      <c r="C4563"/>
    </row>
    <row r="4564" spans="3:3" x14ac:dyDescent="0.15">
      <c r="C4564"/>
    </row>
    <row r="4565" spans="3:3" x14ac:dyDescent="0.15">
      <c r="C4565"/>
    </row>
    <row r="4566" spans="3:3" x14ac:dyDescent="0.15">
      <c r="C4566"/>
    </row>
    <row r="4567" spans="3:3" x14ac:dyDescent="0.15">
      <c r="C4567"/>
    </row>
    <row r="4568" spans="3:3" x14ac:dyDescent="0.15">
      <c r="C4568"/>
    </row>
    <row r="4569" spans="3:3" x14ac:dyDescent="0.15">
      <c r="C4569"/>
    </row>
    <row r="4570" spans="3:3" x14ac:dyDescent="0.15">
      <c r="C4570"/>
    </row>
    <row r="4571" spans="3:3" x14ac:dyDescent="0.15">
      <c r="C4571"/>
    </row>
    <row r="4572" spans="3:3" x14ac:dyDescent="0.15">
      <c r="C4572"/>
    </row>
    <row r="4573" spans="3:3" x14ac:dyDescent="0.15">
      <c r="C4573"/>
    </row>
    <row r="4574" spans="3:3" x14ac:dyDescent="0.15">
      <c r="C4574"/>
    </row>
    <row r="4575" spans="3:3" x14ac:dyDescent="0.15">
      <c r="C4575"/>
    </row>
    <row r="4576" spans="3:3" x14ac:dyDescent="0.15">
      <c r="C4576"/>
    </row>
    <row r="4577" spans="3:3" x14ac:dyDescent="0.15">
      <c r="C4577"/>
    </row>
    <row r="4578" spans="3:3" x14ac:dyDescent="0.15">
      <c r="C4578"/>
    </row>
    <row r="4579" spans="3:3" x14ac:dyDescent="0.15">
      <c r="C4579"/>
    </row>
    <row r="4580" spans="3:3" x14ac:dyDescent="0.15">
      <c r="C4580"/>
    </row>
    <row r="4581" spans="3:3" x14ac:dyDescent="0.15">
      <c r="C4581"/>
    </row>
    <row r="4582" spans="3:3" x14ac:dyDescent="0.15">
      <c r="C4582"/>
    </row>
    <row r="4583" spans="3:3" x14ac:dyDescent="0.15">
      <c r="C4583"/>
    </row>
    <row r="4584" spans="3:3" x14ac:dyDescent="0.15">
      <c r="C4584"/>
    </row>
    <row r="4585" spans="3:3" x14ac:dyDescent="0.15">
      <c r="C4585"/>
    </row>
    <row r="4586" spans="3:3" x14ac:dyDescent="0.15">
      <c r="C4586"/>
    </row>
    <row r="4587" spans="3:3" x14ac:dyDescent="0.15">
      <c r="C4587"/>
    </row>
    <row r="4588" spans="3:3" x14ac:dyDescent="0.15">
      <c r="C4588"/>
    </row>
    <row r="4589" spans="3:3" x14ac:dyDescent="0.15">
      <c r="C4589"/>
    </row>
    <row r="4590" spans="3:3" x14ac:dyDescent="0.15">
      <c r="C4590"/>
    </row>
    <row r="4591" spans="3:3" x14ac:dyDescent="0.15">
      <c r="C4591"/>
    </row>
    <row r="4592" spans="3:3" x14ac:dyDescent="0.15">
      <c r="C4592"/>
    </row>
    <row r="4593" spans="3:3" x14ac:dyDescent="0.15">
      <c r="C4593"/>
    </row>
    <row r="4594" spans="3:3" x14ac:dyDescent="0.15">
      <c r="C4594"/>
    </row>
    <row r="4595" spans="3:3" x14ac:dyDescent="0.15">
      <c r="C4595"/>
    </row>
    <row r="4596" spans="3:3" x14ac:dyDescent="0.15">
      <c r="C4596"/>
    </row>
    <row r="4597" spans="3:3" x14ac:dyDescent="0.15">
      <c r="C4597"/>
    </row>
    <row r="4598" spans="3:3" x14ac:dyDescent="0.15">
      <c r="C4598"/>
    </row>
    <row r="4599" spans="3:3" x14ac:dyDescent="0.15">
      <c r="C4599"/>
    </row>
    <row r="4600" spans="3:3" x14ac:dyDescent="0.15">
      <c r="C4600"/>
    </row>
    <row r="4601" spans="3:3" x14ac:dyDescent="0.15">
      <c r="C4601"/>
    </row>
    <row r="4602" spans="3:3" x14ac:dyDescent="0.15">
      <c r="C4602"/>
    </row>
    <row r="4603" spans="3:3" x14ac:dyDescent="0.15">
      <c r="C4603"/>
    </row>
    <row r="4604" spans="3:3" x14ac:dyDescent="0.15">
      <c r="C4604"/>
    </row>
    <row r="4605" spans="3:3" x14ac:dyDescent="0.15">
      <c r="C4605"/>
    </row>
    <row r="4606" spans="3:3" x14ac:dyDescent="0.15">
      <c r="C4606"/>
    </row>
    <row r="4607" spans="3:3" x14ac:dyDescent="0.15">
      <c r="C4607"/>
    </row>
    <row r="4608" spans="3:3" x14ac:dyDescent="0.15">
      <c r="C4608"/>
    </row>
    <row r="4609" spans="3:3" x14ac:dyDescent="0.15">
      <c r="C4609"/>
    </row>
    <row r="4610" spans="3:3" x14ac:dyDescent="0.15">
      <c r="C4610"/>
    </row>
    <row r="4611" spans="3:3" x14ac:dyDescent="0.15">
      <c r="C4611"/>
    </row>
    <row r="4612" spans="3:3" x14ac:dyDescent="0.15">
      <c r="C4612"/>
    </row>
    <row r="4613" spans="3:3" x14ac:dyDescent="0.15">
      <c r="C4613"/>
    </row>
    <row r="4614" spans="3:3" x14ac:dyDescent="0.15">
      <c r="C4614"/>
    </row>
    <row r="4615" spans="3:3" x14ac:dyDescent="0.15">
      <c r="C4615"/>
    </row>
    <row r="4616" spans="3:3" x14ac:dyDescent="0.15">
      <c r="C4616"/>
    </row>
    <row r="4617" spans="3:3" x14ac:dyDescent="0.15">
      <c r="C4617"/>
    </row>
    <row r="4618" spans="3:3" x14ac:dyDescent="0.15">
      <c r="C4618"/>
    </row>
    <row r="4619" spans="3:3" x14ac:dyDescent="0.15">
      <c r="C4619"/>
    </row>
    <row r="4620" spans="3:3" x14ac:dyDescent="0.15">
      <c r="C4620"/>
    </row>
    <row r="4621" spans="3:3" x14ac:dyDescent="0.15">
      <c r="C4621"/>
    </row>
    <row r="4622" spans="3:3" x14ac:dyDescent="0.15">
      <c r="C4622"/>
    </row>
    <row r="4623" spans="3:3" x14ac:dyDescent="0.15">
      <c r="C4623"/>
    </row>
    <row r="4624" spans="3:3" x14ac:dyDescent="0.15">
      <c r="C4624"/>
    </row>
    <row r="4625" spans="3:3" x14ac:dyDescent="0.15">
      <c r="C4625"/>
    </row>
    <row r="4626" spans="3:3" x14ac:dyDescent="0.15">
      <c r="C4626"/>
    </row>
    <row r="4627" spans="3:3" x14ac:dyDescent="0.15">
      <c r="C4627"/>
    </row>
    <row r="4628" spans="3:3" x14ac:dyDescent="0.15">
      <c r="C4628"/>
    </row>
    <row r="4629" spans="3:3" x14ac:dyDescent="0.15">
      <c r="C4629"/>
    </row>
    <row r="4630" spans="3:3" x14ac:dyDescent="0.15">
      <c r="C4630"/>
    </row>
    <row r="4631" spans="3:3" x14ac:dyDescent="0.15">
      <c r="C4631"/>
    </row>
    <row r="4632" spans="3:3" x14ac:dyDescent="0.15">
      <c r="C4632"/>
    </row>
    <row r="4633" spans="3:3" x14ac:dyDescent="0.15">
      <c r="C4633"/>
    </row>
    <row r="4634" spans="3:3" x14ac:dyDescent="0.15">
      <c r="C4634"/>
    </row>
    <row r="4635" spans="3:3" x14ac:dyDescent="0.15">
      <c r="C4635"/>
    </row>
    <row r="4636" spans="3:3" x14ac:dyDescent="0.15">
      <c r="C4636"/>
    </row>
    <row r="4637" spans="3:3" x14ac:dyDescent="0.15">
      <c r="C4637"/>
    </row>
    <row r="4638" spans="3:3" x14ac:dyDescent="0.15">
      <c r="C4638"/>
    </row>
    <row r="4639" spans="3:3" x14ac:dyDescent="0.15">
      <c r="C4639"/>
    </row>
    <row r="4640" spans="3:3" x14ac:dyDescent="0.15">
      <c r="C4640"/>
    </row>
    <row r="4641" spans="3:3" x14ac:dyDescent="0.15">
      <c r="C4641"/>
    </row>
    <row r="4642" spans="3:3" x14ac:dyDescent="0.15">
      <c r="C4642"/>
    </row>
    <row r="4643" spans="3:3" x14ac:dyDescent="0.15">
      <c r="C4643"/>
    </row>
    <row r="4644" spans="3:3" x14ac:dyDescent="0.15">
      <c r="C4644"/>
    </row>
    <row r="4645" spans="3:3" x14ac:dyDescent="0.15">
      <c r="C4645"/>
    </row>
    <row r="4646" spans="3:3" x14ac:dyDescent="0.15">
      <c r="C4646"/>
    </row>
    <row r="4647" spans="3:3" x14ac:dyDescent="0.15">
      <c r="C4647"/>
    </row>
    <row r="4648" spans="3:3" x14ac:dyDescent="0.15">
      <c r="C4648"/>
    </row>
    <row r="4649" spans="3:3" x14ac:dyDescent="0.15">
      <c r="C4649"/>
    </row>
    <row r="4650" spans="3:3" x14ac:dyDescent="0.15">
      <c r="C4650"/>
    </row>
    <row r="4651" spans="3:3" x14ac:dyDescent="0.15">
      <c r="C4651"/>
    </row>
    <row r="4652" spans="3:3" x14ac:dyDescent="0.15">
      <c r="C4652"/>
    </row>
    <row r="4653" spans="3:3" x14ac:dyDescent="0.15">
      <c r="C4653"/>
    </row>
    <row r="4654" spans="3:3" x14ac:dyDescent="0.15">
      <c r="C4654"/>
    </row>
    <row r="4655" spans="3:3" x14ac:dyDescent="0.15">
      <c r="C4655"/>
    </row>
    <row r="4656" spans="3:3" x14ac:dyDescent="0.15">
      <c r="C4656"/>
    </row>
    <row r="4657" spans="3:3" x14ac:dyDescent="0.15">
      <c r="C4657"/>
    </row>
    <row r="4658" spans="3:3" x14ac:dyDescent="0.15">
      <c r="C4658"/>
    </row>
    <row r="4659" spans="3:3" x14ac:dyDescent="0.15">
      <c r="C4659"/>
    </row>
    <row r="4660" spans="3:3" x14ac:dyDescent="0.15">
      <c r="C4660"/>
    </row>
    <row r="4661" spans="3:3" x14ac:dyDescent="0.15">
      <c r="C4661"/>
    </row>
    <row r="4662" spans="3:3" x14ac:dyDescent="0.15">
      <c r="C4662"/>
    </row>
    <row r="4663" spans="3:3" x14ac:dyDescent="0.15">
      <c r="C4663"/>
    </row>
    <row r="4664" spans="3:3" x14ac:dyDescent="0.15">
      <c r="C4664"/>
    </row>
    <row r="4665" spans="3:3" x14ac:dyDescent="0.15">
      <c r="C4665"/>
    </row>
    <row r="4666" spans="3:3" x14ac:dyDescent="0.15">
      <c r="C4666"/>
    </row>
    <row r="4667" spans="3:3" x14ac:dyDescent="0.15">
      <c r="C4667"/>
    </row>
    <row r="4668" spans="3:3" x14ac:dyDescent="0.15">
      <c r="C4668"/>
    </row>
    <row r="4669" spans="3:3" x14ac:dyDescent="0.15">
      <c r="C4669"/>
    </row>
    <row r="4670" spans="3:3" x14ac:dyDescent="0.15">
      <c r="C4670"/>
    </row>
    <row r="4671" spans="3:3" x14ac:dyDescent="0.15">
      <c r="C4671"/>
    </row>
    <row r="4672" spans="3:3" x14ac:dyDescent="0.15">
      <c r="C4672"/>
    </row>
    <row r="4673" spans="3:3" x14ac:dyDescent="0.15">
      <c r="C4673"/>
    </row>
    <row r="4674" spans="3:3" x14ac:dyDescent="0.15">
      <c r="C4674"/>
    </row>
    <row r="4675" spans="3:3" x14ac:dyDescent="0.15">
      <c r="C4675"/>
    </row>
    <row r="4676" spans="3:3" x14ac:dyDescent="0.15">
      <c r="C4676"/>
    </row>
    <row r="4677" spans="3:3" x14ac:dyDescent="0.15">
      <c r="C4677"/>
    </row>
    <row r="4678" spans="3:3" x14ac:dyDescent="0.15">
      <c r="C4678"/>
    </row>
    <row r="4679" spans="3:3" x14ac:dyDescent="0.15">
      <c r="C4679"/>
    </row>
    <row r="4680" spans="3:3" x14ac:dyDescent="0.15">
      <c r="C4680"/>
    </row>
    <row r="4681" spans="3:3" x14ac:dyDescent="0.15">
      <c r="C4681"/>
    </row>
    <row r="4682" spans="3:3" x14ac:dyDescent="0.15">
      <c r="C4682"/>
    </row>
    <row r="4683" spans="3:3" x14ac:dyDescent="0.15">
      <c r="C4683"/>
    </row>
    <row r="4684" spans="3:3" x14ac:dyDescent="0.15">
      <c r="C4684"/>
    </row>
    <row r="4685" spans="3:3" x14ac:dyDescent="0.15">
      <c r="C4685"/>
    </row>
    <row r="4686" spans="3:3" x14ac:dyDescent="0.15">
      <c r="C4686"/>
    </row>
    <row r="4687" spans="3:3" x14ac:dyDescent="0.15">
      <c r="C4687"/>
    </row>
    <row r="4688" spans="3:3" x14ac:dyDescent="0.15">
      <c r="C4688"/>
    </row>
    <row r="4689" spans="3:3" x14ac:dyDescent="0.15">
      <c r="C4689"/>
    </row>
    <row r="4690" spans="3:3" x14ac:dyDescent="0.15">
      <c r="C4690"/>
    </row>
    <row r="4691" spans="3:3" x14ac:dyDescent="0.15">
      <c r="C4691"/>
    </row>
    <row r="4692" spans="3:3" x14ac:dyDescent="0.15">
      <c r="C4692"/>
    </row>
    <row r="4693" spans="3:3" x14ac:dyDescent="0.15">
      <c r="C4693"/>
    </row>
    <row r="4694" spans="3:3" x14ac:dyDescent="0.15">
      <c r="C4694"/>
    </row>
    <row r="4695" spans="3:3" x14ac:dyDescent="0.15">
      <c r="C4695"/>
    </row>
    <row r="4696" spans="3:3" x14ac:dyDescent="0.15">
      <c r="C4696"/>
    </row>
    <row r="4697" spans="3:3" x14ac:dyDescent="0.15">
      <c r="C4697"/>
    </row>
    <row r="4698" spans="3:3" x14ac:dyDescent="0.15">
      <c r="C4698"/>
    </row>
    <row r="4699" spans="3:3" x14ac:dyDescent="0.15">
      <c r="C4699"/>
    </row>
    <row r="4700" spans="3:3" x14ac:dyDescent="0.15">
      <c r="C4700"/>
    </row>
    <row r="4701" spans="3:3" x14ac:dyDescent="0.15">
      <c r="C4701"/>
    </row>
    <row r="4702" spans="3:3" x14ac:dyDescent="0.15">
      <c r="C4702"/>
    </row>
    <row r="4703" spans="3:3" x14ac:dyDescent="0.15">
      <c r="C4703"/>
    </row>
    <row r="4704" spans="3:3" x14ac:dyDescent="0.15">
      <c r="C4704"/>
    </row>
    <row r="4705" spans="3:3" x14ac:dyDescent="0.15">
      <c r="C4705"/>
    </row>
    <row r="4706" spans="3:3" x14ac:dyDescent="0.15">
      <c r="C4706"/>
    </row>
    <row r="4707" spans="3:3" x14ac:dyDescent="0.15">
      <c r="C4707"/>
    </row>
    <row r="4708" spans="3:3" x14ac:dyDescent="0.15">
      <c r="C4708"/>
    </row>
    <row r="4709" spans="3:3" x14ac:dyDescent="0.15">
      <c r="C4709"/>
    </row>
    <row r="4710" spans="3:3" x14ac:dyDescent="0.15">
      <c r="C4710"/>
    </row>
    <row r="4711" spans="3:3" x14ac:dyDescent="0.15">
      <c r="C4711"/>
    </row>
    <row r="4712" spans="3:3" x14ac:dyDescent="0.15">
      <c r="C4712"/>
    </row>
    <row r="4713" spans="3:3" x14ac:dyDescent="0.15">
      <c r="C4713"/>
    </row>
    <row r="4714" spans="3:3" x14ac:dyDescent="0.15">
      <c r="C4714"/>
    </row>
    <row r="4715" spans="3:3" x14ac:dyDescent="0.15">
      <c r="C4715"/>
    </row>
    <row r="4716" spans="3:3" x14ac:dyDescent="0.15">
      <c r="C4716"/>
    </row>
    <row r="4717" spans="3:3" x14ac:dyDescent="0.15">
      <c r="C4717"/>
    </row>
    <row r="4718" spans="3:3" x14ac:dyDescent="0.15">
      <c r="C4718"/>
    </row>
    <row r="4719" spans="3:3" x14ac:dyDescent="0.15">
      <c r="C4719"/>
    </row>
    <row r="4720" spans="3:3" x14ac:dyDescent="0.15">
      <c r="C4720"/>
    </row>
    <row r="4721" spans="3:3" x14ac:dyDescent="0.15">
      <c r="C4721"/>
    </row>
    <row r="4722" spans="3:3" x14ac:dyDescent="0.15">
      <c r="C4722"/>
    </row>
    <row r="4723" spans="3:3" x14ac:dyDescent="0.15">
      <c r="C4723"/>
    </row>
    <row r="4724" spans="3:3" x14ac:dyDescent="0.15">
      <c r="C4724"/>
    </row>
    <row r="4725" spans="3:3" x14ac:dyDescent="0.15">
      <c r="C4725"/>
    </row>
    <row r="4726" spans="3:3" x14ac:dyDescent="0.15">
      <c r="C4726"/>
    </row>
    <row r="4727" spans="3:3" x14ac:dyDescent="0.15">
      <c r="C4727"/>
    </row>
    <row r="4728" spans="3:3" x14ac:dyDescent="0.15">
      <c r="C4728"/>
    </row>
    <row r="4729" spans="3:3" x14ac:dyDescent="0.15">
      <c r="C4729"/>
    </row>
    <row r="4730" spans="3:3" x14ac:dyDescent="0.15">
      <c r="C4730"/>
    </row>
    <row r="4731" spans="3:3" x14ac:dyDescent="0.15">
      <c r="C4731"/>
    </row>
    <row r="4732" spans="3:3" x14ac:dyDescent="0.15">
      <c r="C4732"/>
    </row>
    <row r="4733" spans="3:3" x14ac:dyDescent="0.15">
      <c r="C4733"/>
    </row>
    <row r="4734" spans="3:3" x14ac:dyDescent="0.15">
      <c r="C4734"/>
    </row>
    <row r="4735" spans="3:3" x14ac:dyDescent="0.15">
      <c r="C4735"/>
    </row>
    <row r="4736" spans="3:3" x14ac:dyDescent="0.15">
      <c r="C4736"/>
    </row>
    <row r="4737" spans="3:3" x14ac:dyDescent="0.15">
      <c r="C4737"/>
    </row>
    <row r="4738" spans="3:3" x14ac:dyDescent="0.15">
      <c r="C4738"/>
    </row>
    <row r="4739" spans="3:3" x14ac:dyDescent="0.15">
      <c r="C4739"/>
    </row>
    <row r="4740" spans="3:3" x14ac:dyDescent="0.15">
      <c r="C4740"/>
    </row>
    <row r="4741" spans="3:3" x14ac:dyDescent="0.15">
      <c r="C4741"/>
    </row>
    <row r="4742" spans="3:3" x14ac:dyDescent="0.15">
      <c r="C4742"/>
    </row>
    <row r="4743" spans="3:3" x14ac:dyDescent="0.15">
      <c r="C4743"/>
    </row>
    <row r="4744" spans="3:3" x14ac:dyDescent="0.15">
      <c r="C4744"/>
    </row>
    <row r="4745" spans="3:3" x14ac:dyDescent="0.15">
      <c r="C4745"/>
    </row>
    <row r="4746" spans="3:3" x14ac:dyDescent="0.15">
      <c r="C4746"/>
    </row>
    <row r="4747" spans="3:3" x14ac:dyDescent="0.15">
      <c r="C4747"/>
    </row>
    <row r="4748" spans="3:3" x14ac:dyDescent="0.15">
      <c r="C4748"/>
    </row>
    <row r="4749" spans="3:3" x14ac:dyDescent="0.15">
      <c r="C4749"/>
    </row>
    <row r="4750" spans="3:3" x14ac:dyDescent="0.15">
      <c r="C4750"/>
    </row>
    <row r="4751" spans="3:3" x14ac:dyDescent="0.15">
      <c r="C4751"/>
    </row>
    <row r="4752" spans="3:3" x14ac:dyDescent="0.15">
      <c r="C4752"/>
    </row>
    <row r="4753" spans="3:3" x14ac:dyDescent="0.15">
      <c r="C4753"/>
    </row>
    <row r="4754" spans="3:3" x14ac:dyDescent="0.15">
      <c r="C4754"/>
    </row>
    <row r="4755" spans="3:3" x14ac:dyDescent="0.15">
      <c r="C4755"/>
    </row>
    <row r="4756" spans="3:3" x14ac:dyDescent="0.15">
      <c r="C4756"/>
    </row>
    <row r="4757" spans="3:3" x14ac:dyDescent="0.15">
      <c r="C4757"/>
    </row>
    <row r="4758" spans="3:3" x14ac:dyDescent="0.15">
      <c r="C4758"/>
    </row>
    <row r="4759" spans="3:3" x14ac:dyDescent="0.15">
      <c r="C4759"/>
    </row>
    <row r="4760" spans="3:3" x14ac:dyDescent="0.15">
      <c r="C4760"/>
    </row>
    <row r="4761" spans="3:3" x14ac:dyDescent="0.15">
      <c r="C4761"/>
    </row>
    <row r="4762" spans="3:3" x14ac:dyDescent="0.15">
      <c r="C4762"/>
    </row>
    <row r="4763" spans="3:3" x14ac:dyDescent="0.15">
      <c r="C4763"/>
    </row>
    <row r="4764" spans="3:3" x14ac:dyDescent="0.15">
      <c r="C4764"/>
    </row>
    <row r="4765" spans="3:3" x14ac:dyDescent="0.15">
      <c r="C4765"/>
    </row>
    <row r="4766" spans="3:3" x14ac:dyDescent="0.15">
      <c r="C4766"/>
    </row>
    <row r="4767" spans="3:3" x14ac:dyDescent="0.15">
      <c r="C4767"/>
    </row>
    <row r="4768" spans="3:3" x14ac:dyDescent="0.15">
      <c r="C4768"/>
    </row>
    <row r="4769" spans="3:3" x14ac:dyDescent="0.15">
      <c r="C4769"/>
    </row>
    <row r="4770" spans="3:3" x14ac:dyDescent="0.15">
      <c r="C4770"/>
    </row>
    <row r="4771" spans="3:3" x14ac:dyDescent="0.15">
      <c r="C4771"/>
    </row>
    <row r="4772" spans="3:3" x14ac:dyDescent="0.15">
      <c r="C4772"/>
    </row>
    <row r="4773" spans="3:3" x14ac:dyDescent="0.15">
      <c r="C4773"/>
    </row>
    <row r="4774" spans="3:3" x14ac:dyDescent="0.15">
      <c r="C4774"/>
    </row>
    <row r="4775" spans="3:3" x14ac:dyDescent="0.15">
      <c r="C4775"/>
    </row>
    <row r="4776" spans="3:3" x14ac:dyDescent="0.15">
      <c r="C4776"/>
    </row>
    <row r="4777" spans="3:3" x14ac:dyDescent="0.15">
      <c r="C4777"/>
    </row>
    <row r="4778" spans="3:3" x14ac:dyDescent="0.15">
      <c r="C4778"/>
    </row>
    <row r="4779" spans="3:3" x14ac:dyDescent="0.15">
      <c r="C4779"/>
    </row>
    <row r="4780" spans="3:3" x14ac:dyDescent="0.15">
      <c r="C4780"/>
    </row>
    <row r="4781" spans="3:3" x14ac:dyDescent="0.15">
      <c r="C4781"/>
    </row>
    <row r="4782" spans="3:3" x14ac:dyDescent="0.15">
      <c r="C4782"/>
    </row>
    <row r="4783" spans="3:3" x14ac:dyDescent="0.15">
      <c r="C4783"/>
    </row>
    <row r="4784" spans="3:3" x14ac:dyDescent="0.15">
      <c r="C4784"/>
    </row>
    <row r="4785" spans="3:3" x14ac:dyDescent="0.15">
      <c r="C4785"/>
    </row>
    <row r="4786" spans="3:3" x14ac:dyDescent="0.15">
      <c r="C4786"/>
    </row>
    <row r="4787" spans="3:3" x14ac:dyDescent="0.15">
      <c r="C4787"/>
    </row>
    <row r="4788" spans="3:3" x14ac:dyDescent="0.15">
      <c r="C4788"/>
    </row>
    <row r="4789" spans="3:3" x14ac:dyDescent="0.15">
      <c r="C4789"/>
    </row>
    <row r="4790" spans="3:3" x14ac:dyDescent="0.15">
      <c r="C4790"/>
    </row>
    <row r="4791" spans="3:3" x14ac:dyDescent="0.15">
      <c r="C4791"/>
    </row>
    <row r="4792" spans="3:3" x14ac:dyDescent="0.15">
      <c r="C4792"/>
    </row>
    <row r="4793" spans="3:3" x14ac:dyDescent="0.15">
      <c r="C4793"/>
    </row>
    <row r="4794" spans="3:3" x14ac:dyDescent="0.15">
      <c r="C4794"/>
    </row>
    <row r="4795" spans="3:3" x14ac:dyDescent="0.15">
      <c r="C4795"/>
    </row>
    <row r="4796" spans="3:3" x14ac:dyDescent="0.15">
      <c r="C4796"/>
    </row>
    <row r="4797" spans="3:3" x14ac:dyDescent="0.15">
      <c r="C4797"/>
    </row>
    <row r="4798" spans="3:3" x14ac:dyDescent="0.15">
      <c r="C4798"/>
    </row>
    <row r="4799" spans="3:3" x14ac:dyDescent="0.15">
      <c r="C4799"/>
    </row>
    <row r="4800" spans="3:3" x14ac:dyDescent="0.15">
      <c r="C4800"/>
    </row>
    <row r="4801" spans="3:3" x14ac:dyDescent="0.15">
      <c r="C4801"/>
    </row>
    <row r="4802" spans="3:3" x14ac:dyDescent="0.15">
      <c r="C4802"/>
    </row>
    <row r="4803" spans="3:3" x14ac:dyDescent="0.15">
      <c r="C4803"/>
    </row>
    <row r="4804" spans="3:3" x14ac:dyDescent="0.15">
      <c r="C4804"/>
    </row>
    <row r="4805" spans="3:3" x14ac:dyDescent="0.15">
      <c r="C4805"/>
    </row>
    <row r="4806" spans="3:3" x14ac:dyDescent="0.15">
      <c r="C4806"/>
    </row>
    <row r="4807" spans="3:3" x14ac:dyDescent="0.15">
      <c r="C4807"/>
    </row>
    <row r="4808" spans="3:3" x14ac:dyDescent="0.15">
      <c r="C4808"/>
    </row>
    <row r="4809" spans="3:3" x14ac:dyDescent="0.15">
      <c r="C4809"/>
    </row>
    <row r="4810" spans="3:3" x14ac:dyDescent="0.15">
      <c r="C4810"/>
    </row>
    <row r="4811" spans="3:3" x14ac:dyDescent="0.15">
      <c r="C4811"/>
    </row>
    <row r="4812" spans="3:3" x14ac:dyDescent="0.15">
      <c r="C4812"/>
    </row>
    <row r="4813" spans="3:3" x14ac:dyDescent="0.15">
      <c r="C4813"/>
    </row>
    <row r="4814" spans="3:3" x14ac:dyDescent="0.15">
      <c r="C4814"/>
    </row>
    <row r="4815" spans="3:3" x14ac:dyDescent="0.15">
      <c r="C4815"/>
    </row>
    <row r="4816" spans="3:3" x14ac:dyDescent="0.15">
      <c r="C4816"/>
    </row>
    <row r="4817" spans="3:3" x14ac:dyDescent="0.15">
      <c r="C4817"/>
    </row>
    <row r="4818" spans="3:3" x14ac:dyDescent="0.15">
      <c r="C4818"/>
    </row>
    <row r="4819" spans="3:3" x14ac:dyDescent="0.15">
      <c r="C4819"/>
    </row>
    <row r="4820" spans="3:3" x14ac:dyDescent="0.15">
      <c r="C4820"/>
    </row>
    <row r="4821" spans="3:3" x14ac:dyDescent="0.15">
      <c r="C4821"/>
    </row>
    <row r="4822" spans="3:3" x14ac:dyDescent="0.15">
      <c r="C4822"/>
    </row>
    <row r="4823" spans="3:3" x14ac:dyDescent="0.15">
      <c r="C4823"/>
    </row>
    <row r="4824" spans="3:3" x14ac:dyDescent="0.15">
      <c r="C4824"/>
    </row>
    <row r="4825" spans="3:3" x14ac:dyDescent="0.15">
      <c r="C4825"/>
    </row>
    <row r="4826" spans="3:3" x14ac:dyDescent="0.15">
      <c r="C4826"/>
    </row>
    <row r="4827" spans="3:3" x14ac:dyDescent="0.15">
      <c r="C4827"/>
    </row>
    <row r="4828" spans="3:3" x14ac:dyDescent="0.15">
      <c r="C4828"/>
    </row>
    <row r="4829" spans="3:3" x14ac:dyDescent="0.15">
      <c r="C4829"/>
    </row>
    <row r="4830" spans="3:3" x14ac:dyDescent="0.15">
      <c r="C4830"/>
    </row>
    <row r="4831" spans="3:3" x14ac:dyDescent="0.15">
      <c r="C4831"/>
    </row>
    <row r="4832" spans="3:3" x14ac:dyDescent="0.15">
      <c r="C4832"/>
    </row>
    <row r="4833" spans="3:3" x14ac:dyDescent="0.15">
      <c r="C4833"/>
    </row>
    <row r="4834" spans="3:3" x14ac:dyDescent="0.15">
      <c r="C4834"/>
    </row>
    <row r="4835" spans="3:3" x14ac:dyDescent="0.15">
      <c r="C4835"/>
    </row>
    <row r="4836" spans="3:3" x14ac:dyDescent="0.15">
      <c r="C4836"/>
    </row>
    <row r="4837" spans="3:3" x14ac:dyDescent="0.15">
      <c r="C4837"/>
    </row>
    <row r="4838" spans="3:3" x14ac:dyDescent="0.15">
      <c r="C4838"/>
    </row>
    <row r="4839" spans="3:3" x14ac:dyDescent="0.15">
      <c r="C4839"/>
    </row>
    <row r="4840" spans="3:3" x14ac:dyDescent="0.15">
      <c r="C4840"/>
    </row>
    <row r="4841" spans="3:3" x14ac:dyDescent="0.15">
      <c r="C4841"/>
    </row>
    <row r="4842" spans="3:3" x14ac:dyDescent="0.15">
      <c r="C4842"/>
    </row>
    <row r="4843" spans="3:3" x14ac:dyDescent="0.15">
      <c r="C4843"/>
    </row>
    <row r="4844" spans="3:3" x14ac:dyDescent="0.15">
      <c r="C4844"/>
    </row>
    <row r="4845" spans="3:3" x14ac:dyDescent="0.15">
      <c r="C4845"/>
    </row>
    <row r="4846" spans="3:3" x14ac:dyDescent="0.15">
      <c r="C4846"/>
    </row>
    <row r="4847" spans="3:3" x14ac:dyDescent="0.15">
      <c r="C4847"/>
    </row>
    <row r="4848" spans="3:3" x14ac:dyDescent="0.15">
      <c r="C4848"/>
    </row>
    <row r="4849" spans="3:3" x14ac:dyDescent="0.15">
      <c r="C4849"/>
    </row>
    <row r="4850" spans="3:3" x14ac:dyDescent="0.15">
      <c r="C4850"/>
    </row>
    <row r="4851" spans="3:3" x14ac:dyDescent="0.15">
      <c r="C4851"/>
    </row>
    <row r="4852" spans="3:3" x14ac:dyDescent="0.15">
      <c r="C4852"/>
    </row>
    <row r="4853" spans="3:3" x14ac:dyDescent="0.15">
      <c r="C4853"/>
    </row>
    <row r="4854" spans="3:3" x14ac:dyDescent="0.15">
      <c r="C4854"/>
    </row>
    <row r="4855" spans="3:3" x14ac:dyDescent="0.15">
      <c r="C4855"/>
    </row>
    <row r="4856" spans="3:3" x14ac:dyDescent="0.15">
      <c r="C4856"/>
    </row>
    <row r="4857" spans="3:3" x14ac:dyDescent="0.15">
      <c r="C4857"/>
    </row>
    <row r="4858" spans="3:3" x14ac:dyDescent="0.15">
      <c r="C4858"/>
    </row>
    <row r="4859" spans="3:3" x14ac:dyDescent="0.15">
      <c r="C4859"/>
    </row>
    <row r="4860" spans="3:3" x14ac:dyDescent="0.15">
      <c r="C4860"/>
    </row>
    <row r="4861" spans="3:3" x14ac:dyDescent="0.15">
      <c r="C4861"/>
    </row>
    <row r="4862" spans="3:3" x14ac:dyDescent="0.15">
      <c r="C4862"/>
    </row>
    <row r="4863" spans="3:3" x14ac:dyDescent="0.15">
      <c r="C4863"/>
    </row>
    <row r="4864" spans="3:3" x14ac:dyDescent="0.15">
      <c r="C4864"/>
    </row>
    <row r="4865" spans="3:3" x14ac:dyDescent="0.15">
      <c r="C4865"/>
    </row>
    <row r="4866" spans="3:3" x14ac:dyDescent="0.15">
      <c r="C4866"/>
    </row>
    <row r="4867" spans="3:3" x14ac:dyDescent="0.15">
      <c r="C4867"/>
    </row>
    <row r="4868" spans="3:3" x14ac:dyDescent="0.15">
      <c r="C4868"/>
    </row>
    <row r="4869" spans="3:3" x14ac:dyDescent="0.15">
      <c r="C4869"/>
    </row>
    <row r="4870" spans="3:3" x14ac:dyDescent="0.15">
      <c r="C4870"/>
    </row>
    <row r="4871" spans="3:3" x14ac:dyDescent="0.15">
      <c r="C4871"/>
    </row>
    <row r="4872" spans="3:3" x14ac:dyDescent="0.15">
      <c r="C4872"/>
    </row>
    <row r="4873" spans="3:3" x14ac:dyDescent="0.15">
      <c r="C4873"/>
    </row>
    <row r="4874" spans="3:3" x14ac:dyDescent="0.15">
      <c r="C4874"/>
    </row>
    <row r="4875" spans="3:3" x14ac:dyDescent="0.15">
      <c r="C4875"/>
    </row>
    <row r="4876" spans="3:3" x14ac:dyDescent="0.15">
      <c r="C4876"/>
    </row>
    <row r="4877" spans="3:3" x14ac:dyDescent="0.15">
      <c r="C4877"/>
    </row>
    <row r="4878" spans="3:3" x14ac:dyDescent="0.15">
      <c r="C4878"/>
    </row>
    <row r="4879" spans="3:3" x14ac:dyDescent="0.15">
      <c r="C4879"/>
    </row>
    <row r="4880" spans="3:3" x14ac:dyDescent="0.15">
      <c r="C4880"/>
    </row>
    <row r="4881" spans="3:3" x14ac:dyDescent="0.15">
      <c r="C4881"/>
    </row>
    <row r="4882" spans="3:3" x14ac:dyDescent="0.15">
      <c r="C4882"/>
    </row>
    <row r="4883" spans="3:3" x14ac:dyDescent="0.15">
      <c r="C4883"/>
    </row>
    <row r="4884" spans="3:3" x14ac:dyDescent="0.15">
      <c r="C4884"/>
    </row>
    <row r="4885" spans="3:3" x14ac:dyDescent="0.15">
      <c r="C4885"/>
    </row>
    <row r="4886" spans="3:3" x14ac:dyDescent="0.15">
      <c r="C4886"/>
    </row>
    <row r="4887" spans="3:3" x14ac:dyDescent="0.15">
      <c r="C4887"/>
    </row>
    <row r="4888" spans="3:3" x14ac:dyDescent="0.15">
      <c r="C4888"/>
    </row>
    <row r="4889" spans="3:3" x14ac:dyDescent="0.15">
      <c r="C4889"/>
    </row>
    <row r="4890" spans="3:3" x14ac:dyDescent="0.15">
      <c r="C4890"/>
    </row>
    <row r="4891" spans="3:3" x14ac:dyDescent="0.15">
      <c r="C4891"/>
    </row>
    <row r="4892" spans="3:3" x14ac:dyDescent="0.15">
      <c r="C4892"/>
    </row>
    <row r="4893" spans="3:3" x14ac:dyDescent="0.15">
      <c r="C4893"/>
    </row>
    <row r="4894" spans="3:3" x14ac:dyDescent="0.15">
      <c r="C4894"/>
    </row>
    <row r="4895" spans="3:3" x14ac:dyDescent="0.15">
      <c r="C4895"/>
    </row>
    <row r="4896" spans="3:3" x14ac:dyDescent="0.15">
      <c r="C4896"/>
    </row>
    <row r="4897" spans="3:3" x14ac:dyDescent="0.15">
      <c r="C4897"/>
    </row>
    <row r="4898" spans="3:3" x14ac:dyDescent="0.15">
      <c r="C4898"/>
    </row>
    <row r="4899" spans="3:3" x14ac:dyDescent="0.15">
      <c r="C4899"/>
    </row>
    <row r="4900" spans="3:3" x14ac:dyDescent="0.15">
      <c r="C4900"/>
    </row>
    <row r="4901" spans="3:3" x14ac:dyDescent="0.15">
      <c r="C4901"/>
    </row>
    <row r="4902" spans="3:3" x14ac:dyDescent="0.15">
      <c r="C4902"/>
    </row>
    <row r="4903" spans="3:3" x14ac:dyDescent="0.15">
      <c r="C4903"/>
    </row>
    <row r="4904" spans="3:3" x14ac:dyDescent="0.15">
      <c r="C4904"/>
    </row>
    <row r="4905" spans="3:3" x14ac:dyDescent="0.15">
      <c r="C4905"/>
    </row>
    <row r="4906" spans="3:3" x14ac:dyDescent="0.15">
      <c r="C4906"/>
    </row>
    <row r="4907" spans="3:3" x14ac:dyDescent="0.15">
      <c r="C4907"/>
    </row>
    <row r="4908" spans="3:3" x14ac:dyDescent="0.15">
      <c r="C4908"/>
    </row>
    <row r="4909" spans="3:3" x14ac:dyDescent="0.15">
      <c r="C4909"/>
    </row>
    <row r="4910" spans="3:3" x14ac:dyDescent="0.15">
      <c r="C4910"/>
    </row>
    <row r="4911" spans="3:3" x14ac:dyDescent="0.15">
      <c r="C4911"/>
    </row>
    <row r="4912" spans="3:3" x14ac:dyDescent="0.15">
      <c r="C4912"/>
    </row>
    <row r="4913" spans="3:3" x14ac:dyDescent="0.15">
      <c r="C4913"/>
    </row>
    <row r="4914" spans="3:3" x14ac:dyDescent="0.15">
      <c r="C4914"/>
    </row>
    <row r="4915" spans="3:3" x14ac:dyDescent="0.15">
      <c r="C4915"/>
    </row>
    <row r="4916" spans="3:3" x14ac:dyDescent="0.15">
      <c r="C4916"/>
    </row>
    <row r="4917" spans="3:3" x14ac:dyDescent="0.15">
      <c r="C4917"/>
    </row>
    <row r="4918" spans="3:3" x14ac:dyDescent="0.15">
      <c r="C4918"/>
    </row>
    <row r="4919" spans="3:3" x14ac:dyDescent="0.15">
      <c r="C4919"/>
    </row>
    <row r="4920" spans="3:3" x14ac:dyDescent="0.15">
      <c r="C4920"/>
    </row>
    <row r="4921" spans="3:3" x14ac:dyDescent="0.15">
      <c r="C4921"/>
    </row>
    <row r="4922" spans="3:3" x14ac:dyDescent="0.15">
      <c r="C4922"/>
    </row>
    <row r="4923" spans="3:3" x14ac:dyDescent="0.15">
      <c r="C4923"/>
    </row>
    <row r="4924" spans="3:3" x14ac:dyDescent="0.15">
      <c r="C4924"/>
    </row>
    <row r="4925" spans="3:3" x14ac:dyDescent="0.15">
      <c r="C4925"/>
    </row>
    <row r="4926" spans="3:3" x14ac:dyDescent="0.15">
      <c r="C4926"/>
    </row>
    <row r="4927" spans="3:3" x14ac:dyDescent="0.15">
      <c r="C4927"/>
    </row>
    <row r="4928" spans="3:3" x14ac:dyDescent="0.15">
      <c r="C4928"/>
    </row>
    <row r="4929" spans="3:3" x14ac:dyDescent="0.15">
      <c r="C4929"/>
    </row>
    <row r="4930" spans="3:3" x14ac:dyDescent="0.15">
      <c r="C4930"/>
    </row>
    <row r="4931" spans="3:3" x14ac:dyDescent="0.15">
      <c r="C4931"/>
    </row>
    <row r="4932" spans="3:3" x14ac:dyDescent="0.15">
      <c r="C4932"/>
    </row>
    <row r="4933" spans="3:3" x14ac:dyDescent="0.15">
      <c r="C4933"/>
    </row>
    <row r="4934" spans="3:3" x14ac:dyDescent="0.15">
      <c r="C4934"/>
    </row>
    <row r="4935" spans="3:3" x14ac:dyDescent="0.15">
      <c r="C4935"/>
    </row>
    <row r="4936" spans="3:3" x14ac:dyDescent="0.15">
      <c r="C4936"/>
    </row>
    <row r="4937" spans="3:3" x14ac:dyDescent="0.15">
      <c r="C4937"/>
    </row>
    <row r="4938" spans="3:3" x14ac:dyDescent="0.15">
      <c r="C4938"/>
    </row>
    <row r="4939" spans="3:3" x14ac:dyDescent="0.15">
      <c r="C4939"/>
    </row>
    <row r="4940" spans="3:3" x14ac:dyDescent="0.15">
      <c r="C4940"/>
    </row>
    <row r="4941" spans="3:3" x14ac:dyDescent="0.15">
      <c r="C4941"/>
    </row>
    <row r="4942" spans="3:3" x14ac:dyDescent="0.15">
      <c r="C4942"/>
    </row>
    <row r="4943" spans="3:3" x14ac:dyDescent="0.15">
      <c r="C4943"/>
    </row>
    <row r="4944" spans="3:3" x14ac:dyDescent="0.15">
      <c r="C4944"/>
    </row>
    <row r="4945" spans="3:3" x14ac:dyDescent="0.15">
      <c r="C4945"/>
    </row>
    <row r="4946" spans="3:3" x14ac:dyDescent="0.15">
      <c r="C4946"/>
    </row>
    <row r="4947" spans="3:3" x14ac:dyDescent="0.15">
      <c r="C4947"/>
    </row>
    <row r="4948" spans="3:3" x14ac:dyDescent="0.15">
      <c r="C4948"/>
    </row>
    <row r="4949" spans="3:3" x14ac:dyDescent="0.15">
      <c r="C4949"/>
    </row>
    <row r="4950" spans="3:3" x14ac:dyDescent="0.15">
      <c r="C4950"/>
    </row>
    <row r="4951" spans="3:3" x14ac:dyDescent="0.15">
      <c r="C4951"/>
    </row>
    <row r="4952" spans="3:3" x14ac:dyDescent="0.15">
      <c r="C4952"/>
    </row>
    <row r="4953" spans="3:3" x14ac:dyDescent="0.15">
      <c r="C4953"/>
    </row>
    <row r="4954" spans="3:3" x14ac:dyDescent="0.15">
      <c r="C4954"/>
    </row>
    <row r="4955" spans="3:3" x14ac:dyDescent="0.15">
      <c r="C4955"/>
    </row>
    <row r="4956" spans="3:3" x14ac:dyDescent="0.15">
      <c r="C4956"/>
    </row>
    <row r="4957" spans="3:3" x14ac:dyDescent="0.15">
      <c r="C4957"/>
    </row>
    <row r="4958" spans="3:3" x14ac:dyDescent="0.15">
      <c r="C4958"/>
    </row>
    <row r="4959" spans="3:3" x14ac:dyDescent="0.15">
      <c r="C4959"/>
    </row>
    <row r="4960" spans="3:3" x14ac:dyDescent="0.15">
      <c r="C4960"/>
    </row>
    <row r="4961" spans="3:3" x14ac:dyDescent="0.15">
      <c r="C4961"/>
    </row>
    <row r="4962" spans="3:3" x14ac:dyDescent="0.15">
      <c r="C4962"/>
    </row>
    <row r="4963" spans="3:3" x14ac:dyDescent="0.15">
      <c r="C4963"/>
    </row>
    <row r="4964" spans="3:3" x14ac:dyDescent="0.15">
      <c r="C4964"/>
    </row>
    <row r="4965" spans="3:3" x14ac:dyDescent="0.15">
      <c r="C4965"/>
    </row>
    <row r="4966" spans="3:3" x14ac:dyDescent="0.15">
      <c r="C4966"/>
    </row>
    <row r="4967" spans="3:3" x14ac:dyDescent="0.15">
      <c r="C4967"/>
    </row>
    <row r="4968" spans="3:3" x14ac:dyDescent="0.15">
      <c r="C4968"/>
    </row>
    <row r="4969" spans="3:3" x14ac:dyDescent="0.15">
      <c r="C4969"/>
    </row>
    <row r="4970" spans="3:3" x14ac:dyDescent="0.15">
      <c r="C4970"/>
    </row>
    <row r="4971" spans="3:3" x14ac:dyDescent="0.15">
      <c r="C4971"/>
    </row>
    <row r="4972" spans="3:3" x14ac:dyDescent="0.15">
      <c r="C4972"/>
    </row>
    <row r="4973" spans="3:3" x14ac:dyDescent="0.15">
      <c r="C4973"/>
    </row>
    <row r="4974" spans="3:3" x14ac:dyDescent="0.15">
      <c r="C4974"/>
    </row>
    <row r="4975" spans="3:3" x14ac:dyDescent="0.15">
      <c r="C4975"/>
    </row>
    <row r="4976" spans="3:3" x14ac:dyDescent="0.15">
      <c r="C4976"/>
    </row>
    <row r="4977" spans="3:3" x14ac:dyDescent="0.15">
      <c r="C4977"/>
    </row>
    <row r="4978" spans="3:3" x14ac:dyDescent="0.15">
      <c r="C4978"/>
    </row>
    <row r="4979" spans="3:3" x14ac:dyDescent="0.15">
      <c r="C4979"/>
    </row>
    <row r="4980" spans="3:3" x14ac:dyDescent="0.15">
      <c r="C4980"/>
    </row>
    <row r="4981" spans="3:3" x14ac:dyDescent="0.15">
      <c r="C4981"/>
    </row>
    <row r="4982" spans="3:3" x14ac:dyDescent="0.15">
      <c r="C4982"/>
    </row>
    <row r="4983" spans="3:3" x14ac:dyDescent="0.15">
      <c r="C4983"/>
    </row>
    <row r="4984" spans="3:3" x14ac:dyDescent="0.15">
      <c r="C4984"/>
    </row>
    <row r="4985" spans="3:3" x14ac:dyDescent="0.15">
      <c r="C4985"/>
    </row>
    <row r="4986" spans="3:3" x14ac:dyDescent="0.15">
      <c r="C4986"/>
    </row>
    <row r="4987" spans="3:3" x14ac:dyDescent="0.15">
      <c r="C4987"/>
    </row>
    <row r="4988" spans="3:3" x14ac:dyDescent="0.15">
      <c r="C4988"/>
    </row>
    <row r="4989" spans="3:3" x14ac:dyDescent="0.15">
      <c r="C4989"/>
    </row>
    <row r="4990" spans="3:3" x14ac:dyDescent="0.15">
      <c r="C4990"/>
    </row>
    <row r="4991" spans="3:3" x14ac:dyDescent="0.15">
      <c r="C4991"/>
    </row>
    <row r="4992" spans="3:3" x14ac:dyDescent="0.15">
      <c r="C4992"/>
    </row>
    <row r="4993" spans="3:3" x14ac:dyDescent="0.15">
      <c r="C4993"/>
    </row>
    <row r="4994" spans="3:3" x14ac:dyDescent="0.15">
      <c r="C4994"/>
    </row>
    <row r="4995" spans="3:3" x14ac:dyDescent="0.15">
      <c r="C4995"/>
    </row>
    <row r="4996" spans="3:3" x14ac:dyDescent="0.15">
      <c r="C4996"/>
    </row>
    <row r="4997" spans="3:3" x14ac:dyDescent="0.15">
      <c r="C4997"/>
    </row>
    <row r="4998" spans="3:3" x14ac:dyDescent="0.15">
      <c r="C4998"/>
    </row>
    <row r="4999" spans="3:3" x14ac:dyDescent="0.15">
      <c r="C4999"/>
    </row>
    <row r="5000" spans="3:3" x14ac:dyDescent="0.15">
      <c r="C5000"/>
    </row>
    <row r="5001" spans="3:3" x14ac:dyDescent="0.15">
      <c r="C5001"/>
    </row>
    <row r="5002" spans="3:3" x14ac:dyDescent="0.15">
      <c r="C5002"/>
    </row>
    <row r="5003" spans="3:3" x14ac:dyDescent="0.15">
      <c r="C5003"/>
    </row>
    <row r="5004" spans="3:3" x14ac:dyDescent="0.15">
      <c r="C5004"/>
    </row>
    <row r="5005" spans="3:3" x14ac:dyDescent="0.15">
      <c r="C5005"/>
    </row>
    <row r="5006" spans="3:3" x14ac:dyDescent="0.15">
      <c r="C5006"/>
    </row>
    <row r="5007" spans="3:3" x14ac:dyDescent="0.15">
      <c r="C5007"/>
    </row>
    <row r="5008" spans="3:3" x14ac:dyDescent="0.15">
      <c r="C5008"/>
    </row>
    <row r="5009" spans="3:3" x14ac:dyDescent="0.15">
      <c r="C5009"/>
    </row>
    <row r="5010" spans="3:3" x14ac:dyDescent="0.15">
      <c r="C5010"/>
    </row>
    <row r="5011" spans="3:3" x14ac:dyDescent="0.15">
      <c r="C5011"/>
    </row>
    <row r="5012" spans="3:3" x14ac:dyDescent="0.15">
      <c r="C5012"/>
    </row>
    <row r="5013" spans="3:3" x14ac:dyDescent="0.15">
      <c r="C5013"/>
    </row>
    <row r="5014" spans="3:3" x14ac:dyDescent="0.15">
      <c r="C5014"/>
    </row>
    <row r="5015" spans="3:3" x14ac:dyDescent="0.15">
      <c r="C5015"/>
    </row>
    <row r="5016" spans="3:3" x14ac:dyDescent="0.15">
      <c r="C5016"/>
    </row>
    <row r="5017" spans="3:3" x14ac:dyDescent="0.15">
      <c r="C5017"/>
    </row>
    <row r="5018" spans="3:3" x14ac:dyDescent="0.15">
      <c r="C5018"/>
    </row>
  </sheetData>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3</xdr:col>
                    <xdr:colOff>152400</xdr:colOff>
                    <xdr:row>3</xdr:row>
                    <xdr:rowOff>50800</xdr:rowOff>
                  </from>
                  <to>
                    <xdr:col>5</xdr:col>
                    <xdr:colOff>12700</xdr:colOff>
                    <xdr:row>6</xdr:row>
                    <xdr:rowOff>139700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3</xdr:col>
                    <xdr:colOff>152400</xdr:colOff>
                    <xdr:row>8</xdr:row>
                    <xdr:rowOff>50800</xdr:rowOff>
                  </from>
                  <to>
                    <xdr:col>5</xdr:col>
                    <xdr:colOff>12700</xdr:colOff>
                    <xdr:row>11</xdr:row>
                    <xdr:rowOff>50800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3</xdr:col>
                    <xdr:colOff>152400</xdr:colOff>
                    <xdr:row>12</xdr:row>
                    <xdr:rowOff>152400</xdr:rowOff>
                  </from>
                  <to>
                    <xdr:col>5</xdr:col>
                    <xdr:colOff>12700</xdr:colOff>
                    <xdr:row>15</xdr:row>
                    <xdr:rowOff>152400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J17" sqref="J17"/>
    </sheetView>
  </sheetViews>
  <sheetFormatPr baseColWidth="10" defaultColWidth="12.6640625" defaultRowHeight="15" customHeight="1" x14ac:dyDescent="0.15"/>
  <cols>
    <col min="1" max="1" width="9.6640625" customWidth="1"/>
    <col min="2" max="6" width="7.6640625" customWidth="1"/>
    <col min="7" max="7" width="8.5" bestFit="1" customWidth="1"/>
    <col min="8" max="26" width="7.6640625" customWidth="1"/>
  </cols>
  <sheetData>
    <row r="2" spans="1:10" x14ac:dyDescent="0.2">
      <c r="A2" s="52" t="s">
        <v>47</v>
      </c>
      <c r="F2" s="12" t="s">
        <v>48</v>
      </c>
      <c r="G2" s="12" t="s">
        <v>49</v>
      </c>
    </row>
    <row r="3" spans="1:10" x14ac:dyDescent="0.2">
      <c r="A3" s="52" t="s">
        <v>42</v>
      </c>
      <c r="E3" s="12">
        <v>-100</v>
      </c>
      <c r="F3" s="53">
        <f t="shared" ref="F3:F66" si="0">Stock+(E3/100)*Stock</f>
        <v>0</v>
      </c>
      <c r="G3" s="54">
        <f t="shared" ref="G3:G66" si="1">IF(bs_option_type="Call",IF(((F3-Stock-(vba_bs_result/Stock)*Stock))&lt;-(vba_bs_result/Stock)*Stock,-(vba_bs_result/Stock)*Stock,(F3-Stock-(vba_bs_result/Stock)*Stock)*1),IF((Exercise-(vba_bs_result/Stock)*Stock)-F3&lt;-(vba_bs_result/Stock)*Stock,-(vba_bs_result/Stock)*Stock,(Exercise-(vba_bs_result/Stock)*Stock)-F3))</f>
        <v>-5.0171698948859103</v>
      </c>
      <c r="J3" s="57"/>
    </row>
    <row r="4" spans="1:10" x14ac:dyDescent="0.2">
      <c r="A4" s="52" t="s">
        <v>12</v>
      </c>
      <c r="E4" s="12">
        <f t="shared" ref="E4:E203" si="2">E3+1</f>
        <v>-99</v>
      </c>
      <c r="F4" s="53">
        <f t="shared" si="0"/>
        <v>1</v>
      </c>
      <c r="G4" s="54">
        <f t="shared" si="1"/>
        <v>-5.0171698948859103</v>
      </c>
    </row>
    <row r="5" spans="1:10" x14ac:dyDescent="0.2">
      <c r="E5" s="12">
        <f t="shared" si="2"/>
        <v>-98</v>
      </c>
      <c r="F5" s="53">
        <f t="shared" si="0"/>
        <v>2</v>
      </c>
      <c r="G5" s="54">
        <f t="shared" si="1"/>
        <v>-5.0171698948859103</v>
      </c>
    </row>
    <row r="6" spans="1:10" x14ac:dyDescent="0.2">
      <c r="E6" s="12">
        <f t="shared" si="2"/>
        <v>-97</v>
      </c>
      <c r="F6" s="53">
        <f t="shared" si="0"/>
        <v>3</v>
      </c>
      <c r="G6" s="54">
        <f t="shared" si="1"/>
        <v>-5.0171698948859103</v>
      </c>
    </row>
    <row r="7" spans="1:10" x14ac:dyDescent="0.2">
      <c r="E7" s="12">
        <f t="shared" si="2"/>
        <v>-96</v>
      </c>
      <c r="F7" s="53">
        <f t="shared" si="0"/>
        <v>4</v>
      </c>
      <c r="G7" s="54">
        <f t="shared" si="1"/>
        <v>-5.0171698948859103</v>
      </c>
    </row>
    <row r="8" spans="1:10" x14ac:dyDescent="0.2">
      <c r="E8" s="12">
        <f t="shared" si="2"/>
        <v>-95</v>
      </c>
      <c r="F8" s="53">
        <f t="shared" si="0"/>
        <v>5</v>
      </c>
      <c r="G8" s="54">
        <f t="shared" si="1"/>
        <v>-5.0171698948859103</v>
      </c>
    </row>
    <row r="9" spans="1:10" x14ac:dyDescent="0.2">
      <c r="E9" s="12">
        <f t="shared" si="2"/>
        <v>-94</v>
      </c>
      <c r="F9" s="53">
        <f t="shared" si="0"/>
        <v>6</v>
      </c>
      <c r="G9" s="54">
        <f t="shared" si="1"/>
        <v>-5.0171698948859103</v>
      </c>
    </row>
    <row r="10" spans="1:10" x14ac:dyDescent="0.2">
      <c r="E10" s="12">
        <f t="shared" si="2"/>
        <v>-93</v>
      </c>
      <c r="F10" s="53">
        <f t="shared" si="0"/>
        <v>7</v>
      </c>
      <c r="G10" s="54">
        <f t="shared" si="1"/>
        <v>-5.0171698948859103</v>
      </c>
    </row>
    <row r="11" spans="1:10" x14ac:dyDescent="0.2">
      <c r="E11" s="12">
        <f t="shared" si="2"/>
        <v>-92</v>
      </c>
      <c r="F11" s="53">
        <f t="shared" si="0"/>
        <v>8</v>
      </c>
      <c r="G11" s="54">
        <f t="shared" si="1"/>
        <v>-5.0171698948859103</v>
      </c>
    </row>
    <row r="12" spans="1:10" x14ac:dyDescent="0.2">
      <c r="E12" s="12">
        <f t="shared" si="2"/>
        <v>-91</v>
      </c>
      <c r="F12" s="53">
        <f t="shared" si="0"/>
        <v>9</v>
      </c>
      <c r="G12" s="54">
        <f t="shared" si="1"/>
        <v>-5.0171698948859103</v>
      </c>
    </row>
    <row r="13" spans="1:10" x14ac:dyDescent="0.2">
      <c r="E13" s="12">
        <f t="shared" si="2"/>
        <v>-90</v>
      </c>
      <c r="F13" s="53">
        <f t="shared" si="0"/>
        <v>10</v>
      </c>
      <c r="G13" s="54">
        <f t="shared" si="1"/>
        <v>-5.0171698948859103</v>
      </c>
    </row>
    <row r="14" spans="1:10" x14ac:dyDescent="0.2">
      <c r="E14" s="12">
        <f t="shared" si="2"/>
        <v>-89</v>
      </c>
      <c r="F14" s="53">
        <f t="shared" si="0"/>
        <v>11</v>
      </c>
      <c r="G14" s="54">
        <f t="shared" si="1"/>
        <v>-5.0171698948859103</v>
      </c>
    </row>
    <row r="15" spans="1:10" x14ac:dyDescent="0.2">
      <c r="E15" s="12">
        <f t="shared" si="2"/>
        <v>-88</v>
      </c>
      <c r="F15" s="53">
        <f t="shared" si="0"/>
        <v>12</v>
      </c>
      <c r="G15" s="54">
        <f t="shared" si="1"/>
        <v>-5.0171698948859103</v>
      </c>
    </row>
    <row r="16" spans="1:10" x14ac:dyDescent="0.2">
      <c r="E16" s="12">
        <f t="shared" si="2"/>
        <v>-87</v>
      </c>
      <c r="F16" s="53">
        <f t="shared" si="0"/>
        <v>13</v>
      </c>
      <c r="G16" s="54">
        <f t="shared" si="1"/>
        <v>-5.0171698948859103</v>
      </c>
    </row>
    <row r="17" spans="5:7" x14ac:dyDescent="0.2">
      <c r="E17" s="12">
        <f t="shared" si="2"/>
        <v>-86</v>
      </c>
      <c r="F17" s="53">
        <f t="shared" si="0"/>
        <v>14</v>
      </c>
      <c r="G17" s="54">
        <f t="shared" si="1"/>
        <v>-5.0171698948859103</v>
      </c>
    </row>
    <row r="18" spans="5:7" x14ac:dyDescent="0.2">
      <c r="E18" s="12">
        <f t="shared" si="2"/>
        <v>-85</v>
      </c>
      <c r="F18" s="53">
        <f t="shared" si="0"/>
        <v>15</v>
      </c>
      <c r="G18" s="54">
        <f t="shared" si="1"/>
        <v>-5.0171698948859103</v>
      </c>
    </row>
    <row r="19" spans="5:7" x14ac:dyDescent="0.2">
      <c r="E19" s="12">
        <f t="shared" si="2"/>
        <v>-84</v>
      </c>
      <c r="F19" s="53">
        <f t="shared" si="0"/>
        <v>16</v>
      </c>
      <c r="G19" s="54">
        <f t="shared" si="1"/>
        <v>-5.0171698948859103</v>
      </c>
    </row>
    <row r="20" spans="5:7" x14ac:dyDescent="0.2">
      <c r="E20" s="12">
        <f t="shared" si="2"/>
        <v>-83</v>
      </c>
      <c r="F20" s="53">
        <f t="shared" si="0"/>
        <v>17</v>
      </c>
      <c r="G20" s="54">
        <f t="shared" si="1"/>
        <v>-5.0171698948859103</v>
      </c>
    </row>
    <row r="21" spans="5:7" ht="15.75" customHeight="1" x14ac:dyDescent="0.2">
      <c r="E21" s="12">
        <f t="shared" si="2"/>
        <v>-82</v>
      </c>
      <c r="F21" s="53">
        <f t="shared" si="0"/>
        <v>18</v>
      </c>
      <c r="G21" s="54">
        <f t="shared" si="1"/>
        <v>-5.0171698948859103</v>
      </c>
    </row>
    <row r="22" spans="5:7" ht="15.75" customHeight="1" x14ac:dyDescent="0.2">
      <c r="E22" s="12">
        <f t="shared" si="2"/>
        <v>-81</v>
      </c>
      <c r="F22" s="53">
        <f t="shared" si="0"/>
        <v>19</v>
      </c>
      <c r="G22" s="54">
        <f t="shared" si="1"/>
        <v>-5.0171698948859103</v>
      </c>
    </row>
    <row r="23" spans="5:7" ht="15.75" customHeight="1" x14ac:dyDescent="0.2">
      <c r="E23" s="12">
        <f t="shared" si="2"/>
        <v>-80</v>
      </c>
      <c r="F23" s="53">
        <f t="shared" si="0"/>
        <v>20</v>
      </c>
      <c r="G23" s="54">
        <f t="shared" si="1"/>
        <v>-5.0171698948859103</v>
      </c>
    </row>
    <row r="24" spans="5:7" ht="15.75" customHeight="1" x14ac:dyDescent="0.2">
      <c r="E24" s="12">
        <f t="shared" si="2"/>
        <v>-79</v>
      </c>
      <c r="F24" s="53">
        <f t="shared" si="0"/>
        <v>21</v>
      </c>
      <c r="G24" s="54">
        <f t="shared" si="1"/>
        <v>-5.0171698948859103</v>
      </c>
    </row>
    <row r="25" spans="5:7" ht="15.75" customHeight="1" x14ac:dyDescent="0.2">
      <c r="E25" s="12">
        <f t="shared" si="2"/>
        <v>-78</v>
      </c>
      <c r="F25" s="53">
        <f t="shared" si="0"/>
        <v>22</v>
      </c>
      <c r="G25" s="54">
        <f t="shared" si="1"/>
        <v>-5.0171698948859103</v>
      </c>
    </row>
    <row r="26" spans="5:7" ht="15.75" customHeight="1" x14ac:dyDescent="0.2">
      <c r="E26" s="12">
        <f t="shared" si="2"/>
        <v>-77</v>
      </c>
      <c r="F26" s="53">
        <f t="shared" si="0"/>
        <v>23</v>
      </c>
      <c r="G26" s="54">
        <f t="shared" si="1"/>
        <v>-5.0171698948859103</v>
      </c>
    </row>
    <row r="27" spans="5:7" ht="15.75" customHeight="1" x14ac:dyDescent="0.2">
      <c r="E27" s="12">
        <f t="shared" si="2"/>
        <v>-76</v>
      </c>
      <c r="F27" s="53">
        <f t="shared" si="0"/>
        <v>24</v>
      </c>
      <c r="G27" s="54">
        <f t="shared" si="1"/>
        <v>-5.0171698948859103</v>
      </c>
    </row>
    <row r="28" spans="5:7" ht="15.75" customHeight="1" x14ac:dyDescent="0.2">
      <c r="E28" s="12">
        <f t="shared" si="2"/>
        <v>-75</v>
      </c>
      <c r="F28" s="53">
        <f t="shared" si="0"/>
        <v>25</v>
      </c>
      <c r="G28" s="54">
        <f t="shared" si="1"/>
        <v>-5.0171698948859103</v>
      </c>
    </row>
    <row r="29" spans="5:7" ht="15.75" customHeight="1" x14ac:dyDescent="0.2">
      <c r="E29" s="12">
        <f t="shared" si="2"/>
        <v>-74</v>
      </c>
      <c r="F29" s="53">
        <f t="shared" si="0"/>
        <v>26</v>
      </c>
      <c r="G29" s="54">
        <f t="shared" si="1"/>
        <v>-5.0171698948859103</v>
      </c>
    </row>
    <row r="30" spans="5:7" ht="15.75" customHeight="1" x14ac:dyDescent="0.2">
      <c r="E30" s="12">
        <f t="shared" si="2"/>
        <v>-73</v>
      </c>
      <c r="F30" s="53">
        <f t="shared" si="0"/>
        <v>27</v>
      </c>
      <c r="G30" s="54">
        <f t="shared" si="1"/>
        <v>-5.0171698948859103</v>
      </c>
    </row>
    <row r="31" spans="5:7" ht="15.75" customHeight="1" x14ac:dyDescent="0.2">
      <c r="E31" s="12">
        <f t="shared" si="2"/>
        <v>-72</v>
      </c>
      <c r="F31" s="53">
        <f t="shared" si="0"/>
        <v>28</v>
      </c>
      <c r="G31" s="54">
        <f t="shared" si="1"/>
        <v>-5.0171698948859103</v>
      </c>
    </row>
    <row r="32" spans="5:7" ht="15.75" customHeight="1" x14ac:dyDescent="0.2">
      <c r="E32" s="12">
        <f t="shared" si="2"/>
        <v>-71</v>
      </c>
      <c r="F32" s="53">
        <f t="shared" si="0"/>
        <v>29</v>
      </c>
      <c r="G32" s="54">
        <f t="shared" si="1"/>
        <v>-5.0171698948859103</v>
      </c>
    </row>
    <row r="33" spans="5:7" ht="15.75" customHeight="1" x14ac:dyDescent="0.2">
      <c r="E33" s="12">
        <f t="shared" si="2"/>
        <v>-70</v>
      </c>
      <c r="F33" s="53">
        <f t="shared" si="0"/>
        <v>30</v>
      </c>
      <c r="G33" s="54">
        <f t="shared" si="1"/>
        <v>-5.0171698948859103</v>
      </c>
    </row>
    <row r="34" spans="5:7" ht="15.75" customHeight="1" x14ac:dyDescent="0.2">
      <c r="E34" s="12">
        <f t="shared" si="2"/>
        <v>-69</v>
      </c>
      <c r="F34" s="53">
        <f t="shared" si="0"/>
        <v>31</v>
      </c>
      <c r="G34" s="54">
        <f t="shared" si="1"/>
        <v>-5.0171698948859103</v>
      </c>
    </row>
    <row r="35" spans="5:7" ht="15.75" customHeight="1" x14ac:dyDescent="0.2">
      <c r="E35" s="12">
        <f t="shared" si="2"/>
        <v>-68</v>
      </c>
      <c r="F35" s="53">
        <f t="shared" si="0"/>
        <v>32</v>
      </c>
      <c r="G35" s="54">
        <f t="shared" si="1"/>
        <v>-5.0171698948859103</v>
      </c>
    </row>
    <row r="36" spans="5:7" ht="15.75" customHeight="1" x14ac:dyDescent="0.2">
      <c r="E36" s="12">
        <f t="shared" si="2"/>
        <v>-67</v>
      </c>
      <c r="F36" s="53">
        <f t="shared" si="0"/>
        <v>33</v>
      </c>
      <c r="G36" s="54">
        <f t="shared" si="1"/>
        <v>-5.0171698948859103</v>
      </c>
    </row>
    <row r="37" spans="5:7" ht="15.75" customHeight="1" x14ac:dyDescent="0.2">
      <c r="E37" s="12">
        <f t="shared" si="2"/>
        <v>-66</v>
      </c>
      <c r="F37" s="53">
        <f t="shared" si="0"/>
        <v>34</v>
      </c>
      <c r="G37" s="54">
        <f t="shared" si="1"/>
        <v>-5.0171698948859103</v>
      </c>
    </row>
    <row r="38" spans="5:7" ht="15.75" customHeight="1" x14ac:dyDescent="0.2">
      <c r="E38" s="12">
        <f t="shared" si="2"/>
        <v>-65</v>
      </c>
      <c r="F38" s="53">
        <f t="shared" si="0"/>
        <v>35</v>
      </c>
      <c r="G38" s="54">
        <f t="shared" si="1"/>
        <v>-5.0171698948859103</v>
      </c>
    </row>
    <row r="39" spans="5:7" ht="15.75" customHeight="1" x14ac:dyDescent="0.2">
      <c r="E39" s="12">
        <f t="shared" si="2"/>
        <v>-64</v>
      </c>
      <c r="F39" s="53">
        <f t="shared" si="0"/>
        <v>36</v>
      </c>
      <c r="G39" s="54">
        <f t="shared" si="1"/>
        <v>-5.0171698948859103</v>
      </c>
    </row>
    <row r="40" spans="5:7" ht="15.75" customHeight="1" x14ac:dyDescent="0.2">
      <c r="E40" s="12">
        <f t="shared" si="2"/>
        <v>-63</v>
      </c>
      <c r="F40" s="53">
        <f t="shared" si="0"/>
        <v>37</v>
      </c>
      <c r="G40" s="54">
        <f t="shared" si="1"/>
        <v>-5.0171698948859103</v>
      </c>
    </row>
    <row r="41" spans="5:7" ht="15.75" customHeight="1" x14ac:dyDescent="0.2">
      <c r="E41" s="12">
        <f t="shared" si="2"/>
        <v>-62</v>
      </c>
      <c r="F41" s="53">
        <f t="shared" si="0"/>
        <v>38</v>
      </c>
      <c r="G41" s="54">
        <f t="shared" si="1"/>
        <v>-5.0171698948859103</v>
      </c>
    </row>
    <row r="42" spans="5:7" ht="15.75" customHeight="1" x14ac:dyDescent="0.2">
      <c r="E42" s="12">
        <f t="shared" si="2"/>
        <v>-61</v>
      </c>
      <c r="F42" s="53">
        <f t="shared" si="0"/>
        <v>39</v>
      </c>
      <c r="G42" s="54">
        <f t="shared" si="1"/>
        <v>-5.0171698948859103</v>
      </c>
    </row>
    <row r="43" spans="5:7" ht="15.75" customHeight="1" x14ac:dyDescent="0.2">
      <c r="E43" s="12">
        <f t="shared" si="2"/>
        <v>-60</v>
      </c>
      <c r="F43" s="53">
        <f t="shared" si="0"/>
        <v>40</v>
      </c>
      <c r="G43" s="54">
        <f t="shared" si="1"/>
        <v>-5.0171698948859103</v>
      </c>
    </row>
    <row r="44" spans="5:7" ht="15.75" customHeight="1" x14ac:dyDescent="0.2">
      <c r="E44" s="12">
        <f t="shared" si="2"/>
        <v>-59</v>
      </c>
      <c r="F44" s="53">
        <f t="shared" si="0"/>
        <v>41</v>
      </c>
      <c r="G44" s="54">
        <f t="shared" si="1"/>
        <v>-5.0171698948859103</v>
      </c>
    </row>
    <row r="45" spans="5:7" ht="15.75" customHeight="1" x14ac:dyDescent="0.2">
      <c r="E45" s="12">
        <f t="shared" si="2"/>
        <v>-58</v>
      </c>
      <c r="F45" s="53">
        <f t="shared" si="0"/>
        <v>42.000000000000007</v>
      </c>
      <c r="G45" s="54">
        <f t="shared" si="1"/>
        <v>-5.0171698948859103</v>
      </c>
    </row>
    <row r="46" spans="5:7" ht="15.75" customHeight="1" x14ac:dyDescent="0.2">
      <c r="E46" s="12">
        <f t="shared" si="2"/>
        <v>-57</v>
      </c>
      <c r="F46" s="53">
        <f t="shared" si="0"/>
        <v>43.000000000000007</v>
      </c>
      <c r="G46" s="54">
        <f t="shared" si="1"/>
        <v>-5.0171698948859103</v>
      </c>
    </row>
    <row r="47" spans="5:7" ht="15.75" customHeight="1" x14ac:dyDescent="0.2">
      <c r="E47" s="12">
        <f t="shared" si="2"/>
        <v>-56</v>
      </c>
      <c r="F47" s="53">
        <f t="shared" si="0"/>
        <v>43.999999999999993</v>
      </c>
      <c r="G47" s="54">
        <f t="shared" si="1"/>
        <v>-5.0171698948859103</v>
      </c>
    </row>
    <row r="48" spans="5:7" ht="15.75" customHeight="1" x14ac:dyDescent="0.2">
      <c r="E48" s="12">
        <f t="shared" si="2"/>
        <v>-55</v>
      </c>
      <c r="F48" s="53">
        <f t="shared" si="0"/>
        <v>44.999999999999993</v>
      </c>
      <c r="G48" s="54">
        <f t="shared" si="1"/>
        <v>-5.0171698948859103</v>
      </c>
    </row>
    <row r="49" spans="5:7" ht="15.75" customHeight="1" x14ac:dyDescent="0.2">
      <c r="E49" s="12">
        <f t="shared" si="2"/>
        <v>-54</v>
      </c>
      <c r="F49" s="53">
        <f t="shared" si="0"/>
        <v>46</v>
      </c>
      <c r="G49" s="54">
        <f t="shared" si="1"/>
        <v>-5.0171698948859103</v>
      </c>
    </row>
    <row r="50" spans="5:7" ht="15.75" customHeight="1" x14ac:dyDescent="0.2">
      <c r="E50" s="12">
        <f t="shared" si="2"/>
        <v>-53</v>
      </c>
      <c r="F50" s="53">
        <f t="shared" si="0"/>
        <v>47</v>
      </c>
      <c r="G50" s="54">
        <f t="shared" si="1"/>
        <v>-5.0171698948859103</v>
      </c>
    </row>
    <row r="51" spans="5:7" ht="15.75" customHeight="1" x14ac:dyDescent="0.2">
      <c r="E51" s="12">
        <f t="shared" si="2"/>
        <v>-52</v>
      </c>
      <c r="F51" s="53">
        <f t="shared" si="0"/>
        <v>48</v>
      </c>
      <c r="G51" s="54">
        <f t="shared" si="1"/>
        <v>-5.0171698948859103</v>
      </c>
    </row>
    <row r="52" spans="5:7" ht="15.75" customHeight="1" x14ac:dyDescent="0.2">
      <c r="E52" s="12">
        <f t="shared" si="2"/>
        <v>-51</v>
      </c>
      <c r="F52" s="53">
        <f t="shared" si="0"/>
        <v>49</v>
      </c>
      <c r="G52" s="54">
        <f t="shared" si="1"/>
        <v>-5.0171698948859103</v>
      </c>
    </row>
    <row r="53" spans="5:7" ht="15.75" customHeight="1" x14ac:dyDescent="0.2">
      <c r="E53" s="12">
        <f t="shared" si="2"/>
        <v>-50</v>
      </c>
      <c r="F53" s="53">
        <f t="shared" si="0"/>
        <v>50</v>
      </c>
      <c r="G53" s="54">
        <f t="shared" si="1"/>
        <v>-5.0171698948859103</v>
      </c>
    </row>
    <row r="54" spans="5:7" ht="15.75" customHeight="1" x14ac:dyDescent="0.2">
      <c r="E54" s="12">
        <f t="shared" si="2"/>
        <v>-49</v>
      </c>
      <c r="F54" s="53">
        <f t="shared" si="0"/>
        <v>51</v>
      </c>
      <c r="G54" s="54">
        <f t="shared" si="1"/>
        <v>-5.0171698948859103</v>
      </c>
    </row>
    <row r="55" spans="5:7" ht="15.75" customHeight="1" x14ac:dyDescent="0.2">
      <c r="E55" s="12">
        <f t="shared" si="2"/>
        <v>-48</v>
      </c>
      <c r="F55" s="53">
        <f t="shared" si="0"/>
        <v>52</v>
      </c>
      <c r="G55" s="54">
        <f t="shared" si="1"/>
        <v>-5.0171698948859103</v>
      </c>
    </row>
    <row r="56" spans="5:7" ht="15.75" customHeight="1" x14ac:dyDescent="0.2">
      <c r="E56" s="12">
        <f t="shared" si="2"/>
        <v>-47</v>
      </c>
      <c r="F56" s="53">
        <f t="shared" si="0"/>
        <v>53</v>
      </c>
      <c r="G56" s="54">
        <f t="shared" si="1"/>
        <v>-5.0171698948859103</v>
      </c>
    </row>
    <row r="57" spans="5:7" ht="15.75" customHeight="1" x14ac:dyDescent="0.2">
      <c r="E57" s="12">
        <f t="shared" si="2"/>
        <v>-46</v>
      </c>
      <c r="F57" s="53">
        <f t="shared" si="0"/>
        <v>54</v>
      </c>
      <c r="G57" s="54">
        <f t="shared" si="1"/>
        <v>-5.0171698948859103</v>
      </c>
    </row>
    <row r="58" spans="5:7" ht="15.75" customHeight="1" x14ac:dyDescent="0.2">
      <c r="E58" s="12">
        <f t="shared" si="2"/>
        <v>-45</v>
      </c>
      <c r="F58" s="53">
        <f t="shared" si="0"/>
        <v>55</v>
      </c>
      <c r="G58" s="54">
        <f t="shared" si="1"/>
        <v>-5.0171698948859103</v>
      </c>
    </row>
    <row r="59" spans="5:7" ht="15.75" customHeight="1" x14ac:dyDescent="0.2">
      <c r="E59" s="12">
        <f t="shared" si="2"/>
        <v>-44</v>
      </c>
      <c r="F59" s="53">
        <f t="shared" si="0"/>
        <v>56</v>
      </c>
      <c r="G59" s="54">
        <f t="shared" si="1"/>
        <v>-5.0171698948859103</v>
      </c>
    </row>
    <row r="60" spans="5:7" ht="15.75" customHeight="1" x14ac:dyDescent="0.2">
      <c r="E60" s="12">
        <f t="shared" si="2"/>
        <v>-43</v>
      </c>
      <c r="F60" s="53">
        <f t="shared" si="0"/>
        <v>57</v>
      </c>
      <c r="G60" s="54">
        <f t="shared" si="1"/>
        <v>-5.0171698948859103</v>
      </c>
    </row>
    <row r="61" spans="5:7" ht="15.75" customHeight="1" x14ac:dyDescent="0.2">
      <c r="E61" s="12">
        <f t="shared" si="2"/>
        <v>-42</v>
      </c>
      <c r="F61" s="53">
        <f t="shared" si="0"/>
        <v>58</v>
      </c>
      <c r="G61" s="54">
        <f t="shared" si="1"/>
        <v>-5.0171698948859103</v>
      </c>
    </row>
    <row r="62" spans="5:7" ht="15.75" customHeight="1" x14ac:dyDescent="0.2">
      <c r="E62" s="12">
        <f t="shared" si="2"/>
        <v>-41</v>
      </c>
      <c r="F62" s="53">
        <f t="shared" si="0"/>
        <v>59</v>
      </c>
      <c r="G62" s="54">
        <f t="shared" si="1"/>
        <v>-5.0171698948859103</v>
      </c>
    </row>
    <row r="63" spans="5:7" ht="15.75" customHeight="1" x14ac:dyDescent="0.2">
      <c r="E63" s="12">
        <f t="shared" si="2"/>
        <v>-40</v>
      </c>
      <c r="F63" s="53">
        <f t="shared" si="0"/>
        <v>60</v>
      </c>
      <c r="G63" s="54">
        <f t="shared" si="1"/>
        <v>-5.0171698948859103</v>
      </c>
    </row>
    <row r="64" spans="5:7" ht="15.75" customHeight="1" x14ac:dyDescent="0.2">
      <c r="E64" s="12">
        <f t="shared" si="2"/>
        <v>-39</v>
      </c>
      <c r="F64" s="53">
        <f t="shared" si="0"/>
        <v>61</v>
      </c>
      <c r="G64" s="54">
        <f t="shared" si="1"/>
        <v>-5.0171698948859103</v>
      </c>
    </row>
    <row r="65" spans="5:7" ht="15.75" customHeight="1" x14ac:dyDescent="0.2">
      <c r="E65" s="12">
        <f t="shared" si="2"/>
        <v>-38</v>
      </c>
      <c r="F65" s="53">
        <f t="shared" si="0"/>
        <v>62</v>
      </c>
      <c r="G65" s="54">
        <f t="shared" si="1"/>
        <v>-5.0171698948859103</v>
      </c>
    </row>
    <row r="66" spans="5:7" ht="15.75" customHeight="1" x14ac:dyDescent="0.2">
      <c r="E66" s="12">
        <f t="shared" si="2"/>
        <v>-37</v>
      </c>
      <c r="F66" s="53">
        <f t="shared" si="0"/>
        <v>63</v>
      </c>
      <c r="G66" s="54">
        <f t="shared" si="1"/>
        <v>-5.0171698948859103</v>
      </c>
    </row>
    <row r="67" spans="5:7" ht="15.75" customHeight="1" x14ac:dyDescent="0.2">
      <c r="E67" s="12">
        <f t="shared" si="2"/>
        <v>-36</v>
      </c>
      <c r="F67" s="53">
        <f t="shared" ref="F67:F130" si="3">Stock+(E67/100)*Stock</f>
        <v>64</v>
      </c>
      <c r="G67" s="54">
        <f t="shared" ref="G67:G130" si="4">IF(bs_option_type="Call",IF(((F67-Stock-(vba_bs_result/Stock)*Stock))&lt;-(vba_bs_result/Stock)*Stock,-(vba_bs_result/Stock)*Stock,(F67-Stock-(vba_bs_result/Stock)*Stock)*1),IF((Exercise-(vba_bs_result/Stock)*Stock)-F67&lt;-(vba_bs_result/Stock)*Stock,-(vba_bs_result/Stock)*Stock,(Exercise-(vba_bs_result/Stock)*Stock)-F67))</f>
        <v>-5.0171698948859103</v>
      </c>
    </row>
    <row r="68" spans="5:7" ht="15.75" customHeight="1" x14ac:dyDescent="0.2">
      <c r="E68" s="12">
        <f t="shared" si="2"/>
        <v>-35</v>
      </c>
      <c r="F68" s="53">
        <f t="shared" si="3"/>
        <v>65</v>
      </c>
      <c r="G68" s="54">
        <f t="shared" si="4"/>
        <v>-5.0171698948859103</v>
      </c>
    </row>
    <row r="69" spans="5:7" ht="15.75" customHeight="1" x14ac:dyDescent="0.2">
      <c r="E69" s="12">
        <f t="shared" si="2"/>
        <v>-34</v>
      </c>
      <c r="F69" s="53">
        <f t="shared" si="3"/>
        <v>66</v>
      </c>
      <c r="G69" s="54">
        <f t="shared" si="4"/>
        <v>-5.0171698948859103</v>
      </c>
    </row>
    <row r="70" spans="5:7" ht="15.75" customHeight="1" x14ac:dyDescent="0.2">
      <c r="E70" s="12">
        <f t="shared" si="2"/>
        <v>-33</v>
      </c>
      <c r="F70" s="53">
        <f t="shared" si="3"/>
        <v>67</v>
      </c>
      <c r="G70" s="54">
        <f t="shared" si="4"/>
        <v>-5.0171698948859103</v>
      </c>
    </row>
    <row r="71" spans="5:7" ht="15.75" customHeight="1" x14ac:dyDescent="0.2">
      <c r="E71" s="12">
        <f t="shared" si="2"/>
        <v>-32</v>
      </c>
      <c r="F71" s="53">
        <f t="shared" si="3"/>
        <v>68</v>
      </c>
      <c r="G71" s="54">
        <f t="shared" si="4"/>
        <v>-5.0171698948859103</v>
      </c>
    </row>
    <row r="72" spans="5:7" ht="15.75" customHeight="1" x14ac:dyDescent="0.2">
      <c r="E72" s="12">
        <f t="shared" si="2"/>
        <v>-31</v>
      </c>
      <c r="F72" s="53">
        <f t="shared" si="3"/>
        <v>69</v>
      </c>
      <c r="G72" s="54">
        <f t="shared" si="4"/>
        <v>-5.0171698948859103</v>
      </c>
    </row>
    <row r="73" spans="5:7" ht="15.75" customHeight="1" x14ac:dyDescent="0.2">
      <c r="E73" s="12">
        <f t="shared" si="2"/>
        <v>-30</v>
      </c>
      <c r="F73" s="53">
        <f t="shared" si="3"/>
        <v>70</v>
      </c>
      <c r="G73" s="54">
        <f t="shared" si="4"/>
        <v>-5.0171698948859103</v>
      </c>
    </row>
    <row r="74" spans="5:7" ht="15.75" customHeight="1" x14ac:dyDescent="0.2">
      <c r="E74" s="12">
        <f t="shared" si="2"/>
        <v>-29</v>
      </c>
      <c r="F74" s="53">
        <f t="shared" si="3"/>
        <v>71</v>
      </c>
      <c r="G74" s="54">
        <f t="shared" si="4"/>
        <v>-5.0171698948859103</v>
      </c>
    </row>
    <row r="75" spans="5:7" ht="15.75" customHeight="1" x14ac:dyDescent="0.2">
      <c r="E75" s="12">
        <f t="shared" si="2"/>
        <v>-28</v>
      </c>
      <c r="F75" s="53">
        <f t="shared" si="3"/>
        <v>72</v>
      </c>
      <c r="G75" s="54">
        <f t="shared" si="4"/>
        <v>-5.0171698948859103</v>
      </c>
    </row>
    <row r="76" spans="5:7" ht="15.75" customHeight="1" x14ac:dyDescent="0.2">
      <c r="E76" s="12">
        <f t="shared" si="2"/>
        <v>-27</v>
      </c>
      <c r="F76" s="53">
        <f t="shared" si="3"/>
        <v>73</v>
      </c>
      <c r="G76" s="54">
        <f t="shared" si="4"/>
        <v>-5.0171698948859103</v>
      </c>
    </row>
    <row r="77" spans="5:7" ht="15.75" customHeight="1" x14ac:dyDescent="0.2">
      <c r="E77" s="12">
        <f t="shared" si="2"/>
        <v>-26</v>
      </c>
      <c r="F77" s="53">
        <f t="shared" si="3"/>
        <v>74</v>
      </c>
      <c r="G77" s="54">
        <f t="shared" si="4"/>
        <v>-5.0171698948859103</v>
      </c>
    </row>
    <row r="78" spans="5:7" ht="15.75" customHeight="1" x14ac:dyDescent="0.2">
      <c r="E78" s="12">
        <f t="shared" si="2"/>
        <v>-25</v>
      </c>
      <c r="F78" s="53">
        <f t="shared" si="3"/>
        <v>75</v>
      </c>
      <c r="G78" s="54">
        <f t="shared" si="4"/>
        <v>-5.0171698948859103</v>
      </c>
    </row>
    <row r="79" spans="5:7" ht="15.75" customHeight="1" x14ac:dyDescent="0.2">
      <c r="E79" s="12">
        <f t="shared" si="2"/>
        <v>-24</v>
      </c>
      <c r="F79" s="53">
        <f t="shared" si="3"/>
        <v>76</v>
      </c>
      <c r="G79" s="54">
        <f t="shared" si="4"/>
        <v>-5.0171698948859103</v>
      </c>
    </row>
    <row r="80" spans="5:7" ht="15.75" customHeight="1" x14ac:dyDescent="0.2">
      <c r="E80" s="12">
        <f t="shared" si="2"/>
        <v>-23</v>
      </c>
      <c r="F80" s="53">
        <f t="shared" si="3"/>
        <v>77</v>
      </c>
      <c r="G80" s="54">
        <f t="shared" si="4"/>
        <v>-5.0171698948859103</v>
      </c>
    </row>
    <row r="81" spans="5:7" ht="15.75" customHeight="1" x14ac:dyDescent="0.2">
      <c r="E81" s="12">
        <f t="shared" si="2"/>
        <v>-22</v>
      </c>
      <c r="F81" s="53">
        <f t="shared" si="3"/>
        <v>78</v>
      </c>
      <c r="G81" s="54">
        <f t="shared" si="4"/>
        <v>-5.0171698948859103</v>
      </c>
    </row>
    <row r="82" spans="5:7" ht="15.75" customHeight="1" x14ac:dyDescent="0.2">
      <c r="E82" s="12">
        <f t="shared" si="2"/>
        <v>-21</v>
      </c>
      <c r="F82" s="53">
        <f t="shared" si="3"/>
        <v>79</v>
      </c>
      <c r="G82" s="54">
        <f t="shared" si="4"/>
        <v>-5.0171698948859103</v>
      </c>
    </row>
    <row r="83" spans="5:7" ht="15.75" customHeight="1" x14ac:dyDescent="0.2">
      <c r="E83" s="12">
        <f t="shared" si="2"/>
        <v>-20</v>
      </c>
      <c r="F83" s="53">
        <f t="shared" si="3"/>
        <v>80</v>
      </c>
      <c r="G83" s="54">
        <f t="shared" si="4"/>
        <v>-5.0171698948859103</v>
      </c>
    </row>
    <row r="84" spans="5:7" ht="15.75" customHeight="1" x14ac:dyDescent="0.2">
      <c r="E84" s="12">
        <f t="shared" si="2"/>
        <v>-19</v>
      </c>
      <c r="F84" s="53">
        <f t="shared" si="3"/>
        <v>81</v>
      </c>
      <c r="G84" s="54">
        <f t="shared" si="4"/>
        <v>-5.0171698948859103</v>
      </c>
    </row>
    <row r="85" spans="5:7" ht="15.75" customHeight="1" x14ac:dyDescent="0.2">
      <c r="E85" s="12">
        <f t="shared" si="2"/>
        <v>-18</v>
      </c>
      <c r="F85" s="53">
        <f t="shared" si="3"/>
        <v>82</v>
      </c>
      <c r="G85" s="54">
        <f t="shared" si="4"/>
        <v>-5.0171698948859103</v>
      </c>
    </row>
    <row r="86" spans="5:7" ht="15.75" customHeight="1" x14ac:dyDescent="0.2">
      <c r="E86" s="12">
        <f t="shared" si="2"/>
        <v>-17</v>
      </c>
      <c r="F86" s="53">
        <f t="shared" si="3"/>
        <v>83</v>
      </c>
      <c r="G86" s="54">
        <f t="shared" si="4"/>
        <v>-5.0171698948859103</v>
      </c>
    </row>
    <row r="87" spans="5:7" ht="15.75" customHeight="1" x14ac:dyDescent="0.2">
      <c r="E87" s="12">
        <f t="shared" si="2"/>
        <v>-16</v>
      </c>
      <c r="F87" s="53">
        <f t="shared" si="3"/>
        <v>84</v>
      </c>
      <c r="G87" s="54">
        <f t="shared" si="4"/>
        <v>-5.0171698948859103</v>
      </c>
    </row>
    <row r="88" spans="5:7" ht="15.75" customHeight="1" x14ac:dyDescent="0.2">
      <c r="E88" s="12">
        <f t="shared" si="2"/>
        <v>-15</v>
      </c>
      <c r="F88" s="53">
        <f t="shared" si="3"/>
        <v>85</v>
      </c>
      <c r="G88" s="54">
        <f t="shared" si="4"/>
        <v>-5.0171698948859103</v>
      </c>
    </row>
    <row r="89" spans="5:7" ht="15.75" customHeight="1" x14ac:dyDescent="0.2">
      <c r="E89" s="12">
        <f t="shared" si="2"/>
        <v>-14</v>
      </c>
      <c r="F89" s="53">
        <f t="shared" si="3"/>
        <v>86</v>
      </c>
      <c r="G89" s="54">
        <f t="shared" si="4"/>
        <v>-5.0171698948859103</v>
      </c>
    </row>
    <row r="90" spans="5:7" ht="15.75" customHeight="1" x14ac:dyDescent="0.2">
      <c r="E90" s="12">
        <f t="shared" si="2"/>
        <v>-13</v>
      </c>
      <c r="F90" s="53">
        <f t="shared" si="3"/>
        <v>87</v>
      </c>
      <c r="G90" s="54">
        <f t="shared" si="4"/>
        <v>-5.0171698948859103</v>
      </c>
    </row>
    <row r="91" spans="5:7" ht="15.75" customHeight="1" x14ac:dyDescent="0.2">
      <c r="E91" s="12">
        <f t="shared" si="2"/>
        <v>-12</v>
      </c>
      <c r="F91" s="53">
        <f t="shared" si="3"/>
        <v>88</v>
      </c>
      <c r="G91" s="54">
        <f t="shared" si="4"/>
        <v>-5.0171698948859103</v>
      </c>
    </row>
    <row r="92" spans="5:7" ht="15.75" customHeight="1" x14ac:dyDescent="0.2">
      <c r="E92" s="12">
        <f t="shared" si="2"/>
        <v>-11</v>
      </c>
      <c r="F92" s="53">
        <f t="shared" si="3"/>
        <v>89</v>
      </c>
      <c r="G92" s="54">
        <f t="shared" si="4"/>
        <v>-5.0171698948859103</v>
      </c>
    </row>
    <row r="93" spans="5:7" ht="15.75" customHeight="1" x14ac:dyDescent="0.2">
      <c r="E93" s="12">
        <f t="shared" si="2"/>
        <v>-10</v>
      </c>
      <c r="F93" s="53">
        <f t="shared" si="3"/>
        <v>90</v>
      </c>
      <c r="G93" s="54">
        <f t="shared" si="4"/>
        <v>-5.0171698948859103</v>
      </c>
    </row>
    <row r="94" spans="5:7" ht="15.75" customHeight="1" x14ac:dyDescent="0.2">
      <c r="E94" s="12">
        <f t="shared" si="2"/>
        <v>-9</v>
      </c>
      <c r="F94" s="53">
        <f t="shared" si="3"/>
        <v>91</v>
      </c>
      <c r="G94" s="54">
        <f t="shared" si="4"/>
        <v>-5.0171698948859103</v>
      </c>
    </row>
    <row r="95" spans="5:7" ht="15.75" customHeight="1" x14ac:dyDescent="0.2">
      <c r="E95" s="12">
        <f t="shared" si="2"/>
        <v>-8</v>
      </c>
      <c r="F95" s="53">
        <f t="shared" si="3"/>
        <v>92</v>
      </c>
      <c r="G95" s="54">
        <f t="shared" si="4"/>
        <v>-5.0171698948859103</v>
      </c>
    </row>
    <row r="96" spans="5:7" ht="15.75" customHeight="1" x14ac:dyDescent="0.2">
      <c r="E96" s="12">
        <f t="shared" si="2"/>
        <v>-7</v>
      </c>
      <c r="F96" s="53">
        <f t="shared" si="3"/>
        <v>93</v>
      </c>
      <c r="G96" s="54">
        <f t="shared" si="4"/>
        <v>-5.0171698948859103</v>
      </c>
    </row>
    <row r="97" spans="5:7" ht="15.75" customHeight="1" x14ac:dyDescent="0.2">
      <c r="E97" s="12">
        <f t="shared" si="2"/>
        <v>-6</v>
      </c>
      <c r="F97" s="53">
        <f t="shared" si="3"/>
        <v>94</v>
      </c>
      <c r="G97" s="54">
        <f t="shared" si="4"/>
        <v>-5.0171698948859103</v>
      </c>
    </row>
    <row r="98" spans="5:7" ht="15.75" customHeight="1" x14ac:dyDescent="0.2">
      <c r="E98" s="12">
        <f t="shared" si="2"/>
        <v>-5</v>
      </c>
      <c r="F98" s="53">
        <f t="shared" si="3"/>
        <v>95</v>
      </c>
      <c r="G98" s="54">
        <f t="shared" si="4"/>
        <v>-5.0171698948859103</v>
      </c>
    </row>
    <row r="99" spans="5:7" ht="15.75" customHeight="1" x14ac:dyDescent="0.2">
      <c r="E99" s="12">
        <f t="shared" si="2"/>
        <v>-4</v>
      </c>
      <c r="F99" s="53">
        <f t="shared" si="3"/>
        <v>96</v>
      </c>
      <c r="G99" s="54">
        <f t="shared" si="4"/>
        <v>-5.0171698948859103</v>
      </c>
    </row>
    <row r="100" spans="5:7" ht="15.75" customHeight="1" x14ac:dyDescent="0.2">
      <c r="E100" s="12">
        <f t="shared" si="2"/>
        <v>-3</v>
      </c>
      <c r="F100" s="53">
        <f t="shared" si="3"/>
        <v>97</v>
      </c>
      <c r="G100" s="54">
        <f t="shared" si="4"/>
        <v>-5.0171698948859103</v>
      </c>
    </row>
    <row r="101" spans="5:7" ht="15.75" customHeight="1" x14ac:dyDescent="0.2">
      <c r="E101" s="12">
        <f t="shared" si="2"/>
        <v>-2</v>
      </c>
      <c r="F101" s="53">
        <f t="shared" si="3"/>
        <v>98</v>
      </c>
      <c r="G101" s="54">
        <f t="shared" si="4"/>
        <v>-5.0171698948859103</v>
      </c>
    </row>
    <row r="102" spans="5:7" ht="15.75" customHeight="1" x14ac:dyDescent="0.2">
      <c r="E102" s="12">
        <f t="shared" si="2"/>
        <v>-1</v>
      </c>
      <c r="F102" s="53">
        <f t="shared" si="3"/>
        <v>99</v>
      </c>
      <c r="G102" s="54">
        <f t="shared" si="4"/>
        <v>-5.0171698948859103</v>
      </c>
    </row>
    <row r="103" spans="5:7" ht="15.75" customHeight="1" x14ac:dyDescent="0.2">
      <c r="E103" s="12">
        <f t="shared" si="2"/>
        <v>0</v>
      </c>
      <c r="F103" s="53">
        <f t="shared" si="3"/>
        <v>100</v>
      </c>
      <c r="G103" s="54">
        <f t="shared" si="4"/>
        <v>-5.0171698948859103</v>
      </c>
    </row>
    <row r="104" spans="5:7" ht="15.75" customHeight="1" x14ac:dyDescent="0.2">
      <c r="E104" s="12">
        <f t="shared" si="2"/>
        <v>1</v>
      </c>
      <c r="F104" s="53">
        <f t="shared" si="3"/>
        <v>101</v>
      </c>
      <c r="G104" s="54">
        <f t="shared" si="4"/>
        <v>-4.0171698948859103</v>
      </c>
    </row>
    <row r="105" spans="5:7" ht="15.75" customHeight="1" x14ac:dyDescent="0.2">
      <c r="E105" s="12">
        <f t="shared" si="2"/>
        <v>2</v>
      </c>
      <c r="F105" s="53">
        <f t="shared" si="3"/>
        <v>102</v>
      </c>
      <c r="G105" s="54">
        <f t="shared" si="4"/>
        <v>-3.0171698948859103</v>
      </c>
    </row>
    <row r="106" spans="5:7" ht="15.75" customHeight="1" x14ac:dyDescent="0.2">
      <c r="E106" s="12">
        <f t="shared" si="2"/>
        <v>3</v>
      </c>
      <c r="F106" s="53">
        <f t="shared" si="3"/>
        <v>103</v>
      </c>
      <c r="G106" s="54">
        <f t="shared" si="4"/>
        <v>-2.0171698948859103</v>
      </c>
    </row>
    <row r="107" spans="5:7" ht="15.75" customHeight="1" x14ac:dyDescent="0.2">
      <c r="E107" s="12">
        <f t="shared" si="2"/>
        <v>4</v>
      </c>
      <c r="F107" s="53">
        <f t="shared" si="3"/>
        <v>104</v>
      </c>
      <c r="G107" s="54">
        <f t="shared" si="4"/>
        <v>-1.0171698948859103</v>
      </c>
    </row>
    <row r="108" spans="5:7" ht="15.75" customHeight="1" x14ac:dyDescent="0.2">
      <c r="E108" s="12">
        <f t="shared" si="2"/>
        <v>5</v>
      </c>
      <c r="F108" s="53">
        <f t="shared" si="3"/>
        <v>105</v>
      </c>
      <c r="G108" s="54">
        <f t="shared" si="4"/>
        <v>-1.7169894885910253E-2</v>
      </c>
    </row>
    <row r="109" spans="5:7" ht="15.75" customHeight="1" x14ac:dyDescent="0.2">
      <c r="E109" s="12">
        <f t="shared" si="2"/>
        <v>6</v>
      </c>
      <c r="F109" s="53">
        <f t="shared" si="3"/>
        <v>106</v>
      </c>
      <c r="G109" s="54">
        <f t="shared" si="4"/>
        <v>0.98283010511408975</v>
      </c>
    </row>
    <row r="110" spans="5:7" ht="15.75" customHeight="1" x14ac:dyDescent="0.2">
      <c r="E110" s="12">
        <f t="shared" si="2"/>
        <v>7</v>
      </c>
      <c r="F110" s="53">
        <f t="shared" si="3"/>
        <v>107</v>
      </c>
      <c r="G110" s="54">
        <f t="shared" si="4"/>
        <v>1.9828301051140897</v>
      </c>
    </row>
    <row r="111" spans="5:7" ht="15.75" customHeight="1" x14ac:dyDescent="0.2">
      <c r="E111" s="12">
        <f t="shared" si="2"/>
        <v>8</v>
      </c>
      <c r="F111" s="53">
        <f t="shared" si="3"/>
        <v>108</v>
      </c>
      <c r="G111" s="54">
        <f t="shared" si="4"/>
        <v>2.9828301051140897</v>
      </c>
    </row>
    <row r="112" spans="5:7" ht="15.75" customHeight="1" x14ac:dyDescent="0.2">
      <c r="E112" s="12">
        <f t="shared" si="2"/>
        <v>9</v>
      </c>
      <c r="F112" s="53">
        <f t="shared" si="3"/>
        <v>109</v>
      </c>
      <c r="G112" s="54">
        <f t="shared" si="4"/>
        <v>3.9828301051140897</v>
      </c>
    </row>
    <row r="113" spans="5:7" ht="15.75" customHeight="1" x14ac:dyDescent="0.2">
      <c r="E113" s="12">
        <f t="shared" si="2"/>
        <v>10</v>
      </c>
      <c r="F113" s="53">
        <f t="shared" si="3"/>
        <v>110</v>
      </c>
      <c r="G113" s="54">
        <f t="shared" si="4"/>
        <v>4.9828301051140897</v>
      </c>
    </row>
    <row r="114" spans="5:7" ht="15.75" customHeight="1" x14ac:dyDescent="0.2">
      <c r="E114" s="12">
        <f t="shared" si="2"/>
        <v>11</v>
      </c>
      <c r="F114" s="53">
        <f t="shared" si="3"/>
        <v>111</v>
      </c>
      <c r="G114" s="54">
        <f t="shared" si="4"/>
        <v>5.9828301051140897</v>
      </c>
    </row>
    <row r="115" spans="5:7" ht="15.75" customHeight="1" x14ac:dyDescent="0.2">
      <c r="E115" s="12">
        <f t="shared" si="2"/>
        <v>12</v>
      </c>
      <c r="F115" s="53">
        <f t="shared" si="3"/>
        <v>112</v>
      </c>
      <c r="G115" s="54">
        <f t="shared" si="4"/>
        <v>6.9828301051140897</v>
      </c>
    </row>
    <row r="116" spans="5:7" ht="15.75" customHeight="1" x14ac:dyDescent="0.2">
      <c r="E116" s="12">
        <f t="shared" si="2"/>
        <v>13</v>
      </c>
      <c r="F116" s="53">
        <f t="shared" si="3"/>
        <v>113</v>
      </c>
      <c r="G116" s="54">
        <f t="shared" si="4"/>
        <v>7.9828301051140897</v>
      </c>
    </row>
    <row r="117" spans="5:7" ht="15.75" customHeight="1" x14ac:dyDescent="0.2">
      <c r="E117" s="12">
        <f t="shared" si="2"/>
        <v>14</v>
      </c>
      <c r="F117" s="53">
        <f t="shared" si="3"/>
        <v>114</v>
      </c>
      <c r="G117" s="54">
        <f t="shared" si="4"/>
        <v>8.9828301051140897</v>
      </c>
    </row>
    <row r="118" spans="5:7" ht="15.75" customHeight="1" x14ac:dyDescent="0.2">
      <c r="E118" s="12">
        <f t="shared" si="2"/>
        <v>15</v>
      </c>
      <c r="F118" s="53">
        <f t="shared" si="3"/>
        <v>115</v>
      </c>
      <c r="G118" s="54">
        <f t="shared" si="4"/>
        <v>9.9828301051140897</v>
      </c>
    </row>
    <row r="119" spans="5:7" ht="15.75" customHeight="1" x14ac:dyDescent="0.2">
      <c r="E119" s="12">
        <f t="shared" si="2"/>
        <v>16</v>
      </c>
      <c r="F119" s="53">
        <f t="shared" si="3"/>
        <v>116</v>
      </c>
      <c r="G119" s="54">
        <f t="shared" si="4"/>
        <v>10.98283010511409</v>
      </c>
    </row>
    <row r="120" spans="5:7" ht="15.75" customHeight="1" x14ac:dyDescent="0.2">
      <c r="E120" s="12">
        <f t="shared" si="2"/>
        <v>17</v>
      </c>
      <c r="F120" s="53">
        <f t="shared" si="3"/>
        <v>117</v>
      </c>
      <c r="G120" s="54">
        <f t="shared" si="4"/>
        <v>11.98283010511409</v>
      </c>
    </row>
    <row r="121" spans="5:7" ht="15.75" customHeight="1" x14ac:dyDescent="0.2">
      <c r="E121" s="12">
        <f t="shared" si="2"/>
        <v>18</v>
      </c>
      <c r="F121" s="53">
        <f t="shared" si="3"/>
        <v>118</v>
      </c>
      <c r="G121" s="54">
        <f t="shared" si="4"/>
        <v>12.98283010511409</v>
      </c>
    </row>
    <row r="122" spans="5:7" ht="15.75" customHeight="1" x14ac:dyDescent="0.2">
      <c r="E122" s="12">
        <f t="shared" si="2"/>
        <v>19</v>
      </c>
      <c r="F122" s="53">
        <f t="shared" si="3"/>
        <v>119</v>
      </c>
      <c r="G122" s="54">
        <f t="shared" si="4"/>
        <v>13.98283010511409</v>
      </c>
    </row>
    <row r="123" spans="5:7" ht="15.75" customHeight="1" x14ac:dyDescent="0.2">
      <c r="E123" s="12">
        <f t="shared" si="2"/>
        <v>20</v>
      </c>
      <c r="F123" s="53">
        <f t="shared" si="3"/>
        <v>120</v>
      </c>
      <c r="G123" s="54">
        <f t="shared" si="4"/>
        <v>14.98283010511409</v>
      </c>
    </row>
    <row r="124" spans="5:7" ht="15.75" customHeight="1" x14ac:dyDescent="0.2">
      <c r="E124" s="12">
        <f t="shared" si="2"/>
        <v>21</v>
      </c>
      <c r="F124" s="53">
        <f t="shared" si="3"/>
        <v>121</v>
      </c>
      <c r="G124" s="54">
        <f t="shared" si="4"/>
        <v>15.98283010511409</v>
      </c>
    </row>
    <row r="125" spans="5:7" ht="15.75" customHeight="1" x14ac:dyDescent="0.2">
      <c r="E125" s="12">
        <f t="shared" si="2"/>
        <v>22</v>
      </c>
      <c r="F125" s="53">
        <f t="shared" si="3"/>
        <v>122</v>
      </c>
      <c r="G125" s="54">
        <f t="shared" si="4"/>
        <v>16.98283010511409</v>
      </c>
    </row>
    <row r="126" spans="5:7" ht="15.75" customHeight="1" x14ac:dyDescent="0.2">
      <c r="E126" s="12">
        <f t="shared" si="2"/>
        <v>23</v>
      </c>
      <c r="F126" s="53">
        <f t="shared" si="3"/>
        <v>123</v>
      </c>
      <c r="G126" s="54">
        <f t="shared" si="4"/>
        <v>17.98283010511409</v>
      </c>
    </row>
    <row r="127" spans="5:7" ht="15.75" customHeight="1" x14ac:dyDescent="0.2">
      <c r="E127" s="12">
        <f t="shared" si="2"/>
        <v>24</v>
      </c>
      <c r="F127" s="53">
        <f t="shared" si="3"/>
        <v>124</v>
      </c>
      <c r="G127" s="54">
        <f t="shared" si="4"/>
        <v>18.98283010511409</v>
      </c>
    </row>
    <row r="128" spans="5:7" ht="15.75" customHeight="1" x14ac:dyDescent="0.2">
      <c r="E128" s="12">
        <f t="shared" si="2"/>
        <v>25</v>
      </c>
      <c r="F128" s="53">
        <f t="shared" si="3"/>
        <v>125</v>
      </c>
      <c r="G128" s="54">
        <f t="shared" si="4"/>
        <v>19.98283010511409</v>
      </c>
    </row>
    <row r="129" spans="5:7" ht="15.75" customHeight="1" x14ac:dyDescent="0.2">
      <c r="E129" s="12">
        <f t="shared" si="2"/>
        <v>26</v>
      </c>
      <c r="F129" s="53">
        <f t="shared" si="3"/>
        <v>126</v>
      </c>
      <c r="G129" s="54">
        <f t="shared" si="4"/>
        <v>20.98283010511409</v>
      </c>
    </row>
    <row r="130" spans="5:7" ht="15.75" customHeight="1" x14ac:dyDescent="0.2">
      <c r="E130" s="12">
        <f t="shared" si="2"/>
        <v>27</v>
      </c>
      <c r="F130" s="53">
        <f t="shared" si="3"/>
        <v>127</v>
      </c>
      <c r="G130" s="54">
        <f t="shared" si="4"/>
        <v>21.98283010511409</v>
      </c>
    </row>
    <row r="131" spans="5:7" ht="15.75" customHeight="1" x14ac:dyDescent="0.2">
      <c r="E131" s="12">
        <f t="shared" si="2"/>
        <v>28</v>
      </c>
      <c r="F131" s="53">
        <f t="shared" ref="F131:F194" si="5">Stock+(E131/100)*Stock</f>
        <v>128</v>
      </c>
      <c r="G131" s="54">
        <f t="shared" ref="G131:G194" si="6">IF(bs_option_type="Call",IF(((F131-Stock-(vba_bs_result/Stock)*Stock))&lt;-(vba_bs_result/Stock)*Stock,-(vba_bs_result/Stock)*Stock,(F131-Stock-(vba_bs_result/Stock)*Stock)*1),IF((Exercise-(vba_bs_result/Stock)*Stock)-F131&lt;-(vba_bs_result/Stock)*Stock,-(vba_bs_result/Stock)*Stock,(Exercise-(vba_bs_result/Stock)*Stock)-F131))</f>
        <v>22.98283010511409</v>
      </c>
    </row>
    <row r="132" spans="5:7" ht="15.75" customHeight="1" x14ac:dyDescent="0.2">
      <c r="E132" s="12">
        <f t="shared" si="2"/>
        <v>29</v>
      </c>
      <c r="F132" s="53">
        <f t="shared" si="5"/>
        <v>129</v>
      </c>
      <c r="G132" s="54">
        <f t="shared" si="6"/>
        <v>23.98283010511409</v>
      </c>
    </row>
    <row r="133" spans="5:7" ht="15.75" customHeight="1" x14ac:dyDescent="0.2">
      <c r="E133" s="12">
        <f t="shared" si="2"/>
        <v>30</v>
      </c>
      <c r="F133" s="53">
        <f t="shared" si="5"/>
        <v>130</v>
      </c>
      <c r="G133" s="54">
        <f t="shared" si="6"/>
        <v>24.98283010511409</v>
      </c>
    </row>
    <row r="134" spans="5:7" ht="15.75" customHeight="1" x14ac:dyDescent="0.2">
      <c r="E134" s="12">
        <f t="shared" si="2"/>
        <v>31</v>
      </c>
      <c r="F134" s="53">
        <f t="shared" si="5"/>
        <v>131</v>
      </c>
      <c r="G134" s="54">
        <f t="shared" si="6"/>
        <v>25.98283010511409</v>
      </c>
    </row>
    <row r="135" spans="5:7" ht="15.75" customHeight="1" x14ac:dyDescent="0.2">
      <c r="E135" s="12">
        <f t="shared" si="2"/>
        <v>32</v>
      </c>
      <c r="F135" s="53">
        <f t="shared" si="5"/>
        <v>132</v>
      </c>
      <c r="G135" s="54">
        <f t="shared" si="6"/>
        <v>26.98283010511409</v>
      </c>
    </row>
    <row r="136" spans="5:7" ht="15.75" customHeight="1" x14ac:dyDescent="0.2">
      <c r="E136" s="12">
        <f t="shared" si="2"/>
        <v>33</v>
      </c>
      <c r="F136" s="53">
        <f t="shared" si="5"/>
        <v>133</v>
      </c>
      <c r="G136" s="54">
        <f t="shared" si="6"/>
        <v>27.98283010511409</v>
      </c>
    </row>
    <row r="137" spans="5:7" ht="15.75" customHeight="1" x14ac:dyDescent="0.2">
      <c r="E137" s="12">
        <f t="shared" si="2"/>
        <v>34</v>
      </c>
      <c r="F137" s="53">
        <f t="shared" si="5"/>
        <v>134</v>
      </c>
      <c r="G137" s="54">
        <f t="shared" si="6"/>
        <v>28.98283010511409</v>
      </c>
    </row>
    <row r="138" spans="5:7" ht="15.75" customHeight="1" x14ac:dyDescent="0.2">
      <c r="E138" s="12">
        <f t="shared" si="2"/>
        <v>35</v>
      </c>
      <c r="F138" s="53">
        <f t="shared" si="5"/>
        <v>135</v>
      </c>
      <c r="G138" s="54">
        <f t="shared" si="6"/>
        <v>29.98283010511409</v>
      </c>
    </row>
    <row r="139" spans="5:7" ht="15.75" customHeight="1" x14ac:dyDescent="0.2">
      <c r="E139" s="12">
        <f t="shared" si="2"/>
        <v>36</v>
      </c>
      <c r="F139" s="53">
        <f t="shared" si="5"/>
        <v>136</v>
      </c>
      <c r="G139" s="54">
        <f t="shared" si="6"/>
        <v>30.98283010511409</v>
      </c>
    </row>
    <row r="140" spans="5:7" ht="15.75" customHeight="1" x14ac:dyDescent="0.2">
      <c r="E140" s="12">
        <f t="shared" si="2"/>
        <v>37</v>
      </c>
      <c r="F140" s="53">
        <f t="shared" si="5"/>
        <v>137</v>
      </c>
      <c r="G140" s="54">
        <f t="shared" si="6"/>
        <v>31.98283010511409</v>
      </c>
    </row>
    <row r="141" spans="5:7" ht="15.75" customHeight="1" x14ac:dyDescent="0.2">
      <c r="E141" s="12">
        <f t="shared" si="2"/>
        <v>38</v>
      </c>
      <c r="F141" s="53">
        <f t="shared" si="5"/>
        <v>138</v>
      </c>
      <c r="G141" s="54">
        <f t="shared" si="6"/>
        <v>32.98283010511409</v>
      </c>
    </row>
    <row r="142" spans="5:7" ht="15.75" customHeight="1" x14ac:dyDescent="0.2">
      <c r="E142" s="12">
        <f t="shared" si="2"/>
        <v>39</v>
      </c>
      <c r="F142" s="53">
        <f t="shared" si="5"/>
        <v>139</v>
      </c>
      <c r="G142" s="54">
        <f t="shared" si="6"/>
        <v>33.98283010511409</v>
      </c>
    </row>
    <row r="143" spans="5:7" ht="15.75" customHeight="1" x14ac:dyDescent="0.2">
      <c r="E143" s="12">
        <f t="shared" si="2"/>
        <v>40</v>
      </c>
      <c r="F143" s="53">
        <f t="shared" si="5"/>
        <v>140</v>
      </c>
      <c r="G143" s="54">
        <f t="shared" si="6"/>
        <v>34.98283010511409</v>
      </c>
    </row>
    <row r="144" spans="5:7" ht="15.75" customHeight="1" x14ac:dyDescent="0.2">
      <c r="E144" s="12">
        <f t="shared" si="2"/>
        <v>41</v>
      </c>
      <c r="F144" s="53">
        <f t="shared" si="5"/>
        <v>141</v>
      </c>
      <c r="G144" s="54">
        <f t="shared" si="6"/>
        <v>35.98283010511409</v>
      </c>
    </row>
    <row r="145" spans="5:7" ht="15.75" customHeight="1" x14ac:dyDescent="0.2">
      <c r="E145" s="12">
        <f t="shared" si="2"/>
        <v>42</v>
      </c>
      <c r="F145" s="53">
        <f t="shared" si="5"/>
        <v>142</v>
      </c>
      <c r="G145" s="54">
        <f t="shared" si="6"/>
        <v>36.98283010511409</v>
      </c>
    </row>
    <row r="146" spans="5:7" ht="15.75" customHeight="1" x14ac:dyDescent="0.2">
      <c r="E146" s="12">
        <f t="shared" si="2"/>
        <v>43</v>
      </c>
      <c r="F146" s="53">
        <f t="shared" si="5"/>
        <v>143</v>
      </c>
      <c r="G146" s="54">
        <f t="shared" si="6"/>
        <v>37.98283010511409</v>
      </c>
    </row>
    <row r="147" spans="5:7" ht="15.75" customHeight="1" x14ac:dyDescent="0.2">
      <c r="E147" s="12">
        <f t="shared" si="2"/>
        <v>44</v>
      </c>
      <c r="F147" s="53">
        <f t="shared" si="5"/>
        <v>144</v>
      </c>
      <c r="G147" s="54">
        <f t="shared" si="6"/>
        <v>38.98283010511409</v>
      </c>
    </row>
    <row r="148" spans="5:7" ht="15.75" customHeight="1" x14ac:dyDescent="0.2">
      <c r="E148" s="12">
        <f t="shared" si="2"/>
        <v>45</v>
      </c>
      <c r="F148" s="53">
        <f t="shared" si="5"/>
        <v>145</v>
      </c>
      <c r="G148" s="54">
        <f t="shared" si="6"/>
        <v>39.98283010511409</v>
      </c>
    </row>
    <row r="149" spans="5:7" ht="15.75" customHeight="1" x14ac:dyDescent="0.2">
      <c r="E149" s="12">
        <f t="shared" si="2"/>
        <v>46</v>
      </c>
      <c r="F149" s="53">
        <f t="shared" si="5"/>
        <v>146</v>
      </c>
      <c r="G149" s="54">
        <f t="shared" si="6"/>
        <v>40.98283010511409</v>
      </c>
    </row>
    <row r="150" spans="5:7" ht="15.75" customHeight="1" x14ac:dyDescent="0.2">
      <c r="E150" s="12">
        <f t="shared" si="2"/>
        <v>47</v>
      </c>
      <c r="F150" s="53">
        <f t="shared" si="5"/>
        <v>147</v>
      </c>
      <c r="G150" s="54">
        <f t="shared" si="6"/>
        <v>41.98283010511409</v>
      </c>
    </row>
    <row r="151" spans="5:7" ht="15.75" customHeight="1" x14ac:dyDescent="0.2">
      <c r="E151" s="12">
        <f t="shared" si="2"/>
        <v>48</v>
      </c>
      <c r="F151" s="53">
        <f t="shared" si="5"/>
        <v>148</v>
      </c>
      <c r="G151" s="54">
        <f t="shared" si="6"/>
        <v>42.98283010511409</v>
      </c>
    </row>
    <row r="152" spans="5:7" ht="15.75" customHeight="1" x14ac:dyDescent="0.2">
      <c r="E152" s="12">
        <f t="shared" si="2"/>
        <v>49</v>
      </c>
      <c r="F152" s="53">
        <f t="shared" si="5"/>
        <v>149</v>
      </c>
      <c r="G152" s="54">
        <f t="shared" si="6"/>
        <v>43.98283010511409</v>
      </c>
    </row>
    <row r="153" spans="5:7" ht="15.75" customHeight="1" x14ac:dyDescent="0.2">
      <c r="E153" s="12">
        <f t="shared" si="2"/>
        <v>50</v>
      </c>
      <c r="F153" s="53">
        <f t="shared" si="5"/>
        <v>150</v>
      </c>
      <c r="G153" s="54">
        <f t="shared" si="6"/>
        <v>44.98283010511409</v>
      </c>
    </row>
    <row r="154" spans="5:7" ht="15.75" customHeight="1" x14ac:dyDescent="0.2">
      <c r="E154" s="12">
        <f t="shared" si="2"/>
        <v>51</v>
      </c>
      <c r="F154" s="53">
        <f t="shared" si="5"/>
        <v>151</v>
      </c>
      <c r="G154" s="54">
        <f t="shared" si="6"/>
        <v>45.98283010511409</v>
      </c>
    </row>
    <row r="155" spans="5:7" ht="15.75" customHeight="1" x14ac:dyDescent="0.2">
      <c r="E155" s="12">
        <f t="shared" si="2"/>
        <v>52</v>
      </c>
      <c r="F155" s="53">
        <f t="shared" si="5"/>
        <v>152</v>
      </c>
      <c r="G155" s="54">
        <f t="shared" si="6"/>
        <v>46.98283010511409</v>
      </c>
    </row>
    <row r="156" spans="5:7" ht="15.75" customHeight="1" x14ac:dyDescent="0.2">
      <c r="E156" s="12">
        <f t="shared" si="2"/>
        <v>53</v>
      </c>
      <c r="F156" s="53">
        <f t="shared" si="5"/>
        <v>153</v>
      </c>
      <c r="G156" s="54">
        <f t="shared" si="6"/>
        <v>47.98283010511409</v>
      </c>
    </row>
    <row r="157" spans="5:7" ht="15.75" customHeight="1" x14ac:dyDescent="0.2">
      <c r="E157" s="12">
        <f t="shared" si="2"/>
        <v>54</v>
      </c>
      <c r="F157" s="53">
        <f t="shared" si="5"/>
        <v>154</v>
      </c>
      <c r="G157" s="54">
        <f t="shared" si="6"/>
        <v>48.98283010511409</v>
      </c>
    </row>
    <row r="158" spans="5:7" ht="15.75" customHeight="1" x14ac:dyDescent="0.2">
      <c r="E158" s="12">
        <f t="shared" si="2"/>
        <v>55</v>
      </c>
      <c r="F158" s="53">
        <f t="shared" si="5"/>
        <v>155</v>
      </c>
      <c r="G158" s="54">
        <f t="shared" si="6"/>
        <v>49.98283010511409</v>
      </c>
    </row>
    <row r="159" spans="5:7" ht="15.75" customHeight="1" x14ac:dyDescent="0.2">
      <c r="E159" s="12">
        <f t="shared" si="2"/>
        <v>56</v>
      </c>
      <c r="F159" s="53">
        <f t="shared" si="5"/>
        <v>156</v>
      </c>
      <c r="G159" s="54">
        <f t="shared" si="6"/>
        <v>50.98283010511409</v>
      </c>
    </row>
    <row r="160" spans="5:7" ht="15.75" customHeight="1" x14ac:dyDescent="0.2">
      <c r="E160" s="12">
        <f t="shared" si="2"/>
        <v>57</v>
      </c>
      <c r="F160" s="53">
        <f t="shared" si="5"/>
        <v>157</v>
      </c>
      <c r="G160" s="54">
        <f t="shared" si="6"/>
        <v>51.98283010511409</v>
      </c>
    </row>
    <row r="161" spans="5:7" ht="15.75" customHeight="1" x14ac:dyDescent="0.2">
      <c r="E161" s="12">
        <f t="shared" si="2"/>
        <v>58</v>
      </c>
      <c r="F161" s="53">
        <f t="shared" si="5"/>
        <v>158</v>
      </c>
      <c r="G161" s="54">
        <f t="shared" si="6"/>
        <v>52.98283010511409</v>
      </c>
    </row>
    <row r="162" spans="5:7" ht="15.75" customHeight="1" x14ac:dyDescent="0.2">
      <c r="E162" s="12">
        <f t="shared" si="2"/>
        <v>59</v>
      </c>
      <c r="F162" s="53">
        <f t="shared" si="5"/>
        <v>159</v>
      </c>
      <c r="G162" s="54">
        <f t="shared" si="6"/>
        <v>53.98283010511409</v>
      </c>
    </row>
    <row r="163" spans="5:7" ht="15.75" customHeight="1" x14ac:dyDescent="0.2">
      <c r="E163" s="12">
        <f t="shared" si="2"/>
        <v>60</v>
      </c>
      <c r="F163" s="53">
        <f t="shared" si="5"/>
        <v>160</v>
      </c>
      <c r="G163" s="54">
        <f t="shared" si="6"/>
        <v>54.98283010511409</v>
      </c>
    </row>
    <row r="164" spans="5:7" ht="15.75" customHeight="1" x14ac:dyDescent="0.2">
      <c r="E164" s="12">
        <f t="shared" si="2"/>
        <v>61</v>
      </c>
      <c r="F164" s="53">
        <f t="shared" si="5"/>
        <v>161</v>
      </c>
      <c r="G164" s="54">
        <f t="shared" si="6"/>
        <v>55.98283010511409</v>
      </c>
    </row>
    <row r="165" spans="5:7" ht="15.75" customHeight="1" x14ac:dyDescent="0.2">
      <c r="E165" s="12">
        <f t="shared" si="2"/>
        <v>62</v>
      </c>
      <c r="F165" s="53">
        <f t="shared" si="5"/>
        <v>162</v>
      </c>
      <c r="G165" s="54">
        <f t="shared" si="6"/>
        <v>56.98283010511409</v>
      </c>
    </row>
    <row r="166" spans="5:7" ht="15.75" customHeight="1" x14ac:dyDescent="0.2">
      <c r="E166" s="12">
        <f t="shared" si="2"/>
        <v>63</v>
      </c>
      <c r="F166" s="53">
        <f t="shared" si="5"/>
        <v>163</v>
      </c>
      <c r="G166" s="54">
        <f t="shared" si="6"/>
        <v>57.98283010511409</v>
      </c>
    </row>
    <row r="167" spans="5:7" ht="15.75" customHeight="1" x14ac:dyDescent="0.2">
      <c r="E167" s="12">
        <f t="shared" si="2"/>
        <v>64</v>
      </c>
      <c r="F167" s="53">
        <f t="shared" si="5"/>
        <v>164</v>
      </c>
      <c r="G167" s="54">
        <f t="shared" si="6"/>
        <v>58.98283010511409</v>
      </c>
    </row>
    <row r="168" spans="5:7" ht="15.75" customHeight="1" x14ac:dyDescent="0.2">
      <c r="E168" s="12">
        <f t="shared" si="2"/>
        <v>65</v>
      </c>
      <c r="F168" s="53">
        <f t="shared" si="5"/>
        <v>165</v>
      </c>
      <c r="G168" s="54">
        <f t="shared" si="6"/>
        <v>59.98283010511409</v>
      </c>
    </row>
    <row r="169" spans="5:7" ht="15.75" customHeight="1" x14ac:dyDescent="0.2">
      <c r="E169" s="12">
        <f t="shared" si="2"/>
        <v>66</v>
      </c>
      <c r="F169" s="53">
        <f t="shared" si="5"/>
        <v>166</v>
      </c>
      <c r="G169" s="54">
        <f t="shared" si="6"/>
        <v>60.98283010511409</v>
      </c>
    </row>
    <row r="170" spans="5:7" ht="15.75" customHeight="1" x14ac:dyDescent="0.2">
      <c r="E170" s="12">
        <f t="shared" si="2"/>
        <v>67</v>
      </c>
      <c r="F170" s="53">
        <f t="shared" si="5"/>
        <v>167</v>
      </c>
      <c r="G170" s="54">
        <f t="shared" si="6"/>
        <v>61.98283010511409</v>
      </c>
    </row>
    <row r="171" spans="5:7" ht="15.75" customHeight="1" x14ac:dyDescent="0.2">
      <c r="E171" s="12">
        <f t="shared" si="2"/>
        <v>68</v>
      </c>
      <c r="F171" s="53">
        <f t="shared" si="5"/>
        <v>168</v>
      </c>
      <c r="G171" s="54">
        <f t="shared" si="6"/>
        <v>62.98283010511409</v>
      </c>
    </row>
    <row r="172" spans="5:7" ht="15.75" customHeight="1" x14ac:dyDescent="0.2">
      <c r="E172" s="12">
        <f t="shared" si="2"/>
        <v>69</v>
      </c>
      <c r="F172" s="53">
        <f t="shared" si="5"/>
        <v>169</v>
      </c>
      <c r="G172" s="54">
        <f t="shared" si="6"/>
        <v>63.98283010511409</v>
      </c>
    </row>
    <row r="173" spans="5:7" ht="15.75" customHeight="1" x14ac:dyDescent="0.2">
      <c r="E173" s="12">
        <f t="shared" si="2"/>
        <v>70</v>
      </c>
      <c r="F173" s="53">
        <f t="shared" si="5"/>
        <v>170</v>
      </c>
      <c r="G173" s="54">
        <f t="shared" si="6"/>
        <v>64.98283010511409</v>
      </c>
    </row>
    <row r="174" spans="5:7" ht="15.75" customHeight="1" x14ac:dyDescent="0.2">
      <c r="E174" s="12">
        <f t="shared" si="2"/>
        <v>71</v>
      </c>
      <c r="F174" s="53">
        <f t="shared" si="5"/>
        <v>171</v>
      </c>
      <c r="G174" s="54">
        <f t="shared" si="6"/>
        <v>65.98283010511409</v>
      </c>
    </row>
    <row r="175" spans="5:7" ht="15.75" customHeight="1" x14ac:dyDescent="0.2">
      <c r="E175" s="12">
        <f t="shared" si="2"/>
        <v>72</v>
      </c>
      <c r="F175" s="53">
        <f t="shared" si="5"/>
        <v>172</v>
      </c>
      <c r="G175" s="54">
        <f t="shared" si="6"/>
        <v>66.98283010511409</v>
      </c>
    </row>
    <row r="176" spans="5:7" ht="15.75" customHeight="1" x14ac:dyDescent="0.2">
      <c r="E176" s="12">
        <f t="shared" si="2"/>
        <v>73</v>
      </c>
      <c r="F176" s="53">
        <f t="shared" si="5"/>
        <v>173</v>
      </c>
      <c r="G176" s="54">
        <f t="shared" si="6"/>
        <v>67.98283010511409</v>
      </c>
    </row>
    <row r="177" spans="5:7" ht="15.75" customHeight="1" x14ac:dyDescent="0.2">
      <c r="E177" s="12">
        <f t="shared" si="2"/>
        <v>74</v>
      </c>
      <c r="F177" s="53">
        <f t="shared" si="5"/>
        <v>174</v>
      </c>
      <c r="G177" s="54">
        <f t="shared" si="6"/>
        <v>68.98283010511409</v>
      </c>
    </row>
    <row r="178" spans="5:7" ht="15.75" customHeight="1" x14ac:dyDescent="0.2">
      <c r="E178" s="12">
        <f t="shared" si="2"/>
        <v>75</v>
      </c>
      <c r="F178" s="53">
        <f t="shared" si="5"/>
        <v>175</v>
      </c>
      <c r="G178" s="54">
        <f t="shared" si="6"/>
        <v>69.98283010511409</v>
      </c>
    </row>
    <row r="179" spans="5:7" ht="15.75" customHeight="1" x14ac:dyDescent="0.2">
      <c r="E179" s="12">
        <f t="shared" si="2"/>
        <v>76</v>
      </c>
      <c r="F179" s="53">
        <f t="shared" si="5"/>
        <v>176</v>
      </c>
      <c r="G179" s="54">
        <f t="shared" si="6"/>
        <v>70.98283010511409</v>
      </c>
    </row>
    <row r="180" spans="5:7" ht="15.75" customHeight="1" x14ac:dyDescent="0.2">
      <c r="E180" s="12">
        <f t="shared" si="2"/>
        <v>77</v>
      </c>
      <c r="F180" s="53">
        <f t="shared" si="5"/>
        <v>177</v>
      </c>
      <c r="G180" s="54">
        <f t="shared" si="6"/>
        <v>71.98283010511409</v>
      </c>
    </row>
    <row r="181" spans="5:7" ht="15.75" customHeight="1" x14ac:dyDescent="0.2">
      <c r="E181" s="12">
        <f t="shared" si="2"/>
        <v>78</v>
      </c>
      <c r="F181" s="53">
        <f t="shared" si="5"/>
        <v>178</v>
      </c>
      <c r="G181" s="54">
        <f t="shared" si="6"/>
        <v>72.98283010511409</v>
      </c>
    </row>
    <row r="182" spans="5:7" ht="15.75" customHeight="1" x14ac:dyDescent="0.2">
      <c r="E182" s="12">
        <f t="shared" si="2"/>
        <v>79</v>
      </c>
      <c r="F182" s="53">
        <f t="shared" si="5"/>
        <v>179</v>
      </c>
      <c r="G182" s="54">
        <f t="shared" si="6"/>
        <v>73.98283010511409</v>
      </c>
    </row>
    <row r="183" spans="5:7" ht="15.75" customHeight="1" x14ac:dyDescent="0.2">
      <c r="E183" s="12">
        <f t="shared" si="2"/>
        <v>80</v>
      </c>
      <c r="F183" s="53">
        <f t="shared" si="5"/>
        <v>180</v>
      </c>
      <c r="G183" s="54">
        <f t="shared" si="6"/>
        <v>74.98283010511409</v>
      </c>
    </row>
    <row r="184" spans="5:7" ht="15.75" customHeight="1" x14ac:dyDescent="0.2">
      <c r="E184" s="12">
        <f t="shared" si="2"/>
        <v>81</v>
      </c>
      <c r="F184" s="53">
        <f t="shared" si="5"/>
        <v>181</v>
      </c>
      <c r="G184" s="54">
        <f t="shared" si="6"/>
        <v>75.98283010511409</v>
      </c>
    </row>
    <row r="185" spans="5:7" ht="15.75" customHeight="1" x14ac:dyDescent="0.2">
      <c r="E185" s="12">
        <f t="shared" si="2"/>
        <v>82</v>
      </c>
      <c r="F185" s="53">
        <f t="shared" si="5"/>
        <v>182</v>
      </c>
      <c r="G185" s="54">
        <f t="shared" si="6"/>
        <v>76.98283010511409</v>
      </c>
    </row>
    <row r="186" spans="5:7" ht="15.75" customHeight="1" x14ac:dyDescent="0.2">
      <c r="E186" s="12">
        <f t="shared" si="2"/>
        <v>83</v>
      </c>
      <c r="F186" s="53">
        <f t="shared" si="5"/>
        <v>183</v>
      </c>
      <c r="G186" s="54">
        <f t="shared" si="6"/>
        <v>77.98283010511409</v>
      </c>
    </row>
    <row r="187" spans="5:7" ht="15.75" customHeight="1" x14ac:dyDescent="0.2">
      <c r="E187" s="12">
        <f t="shared" si="2"/>
        <v>84</v>
      </c>
      <c r="F187" s="53">
        <f t="shared" si="5"/>
        <v>184</v>
      </c>
      <c r="G187" s="54">
        <f t="shared" si="6"/>
        <v>78.98283010511409</v>
      </c>
    </row>
    <row r="188" spans="5:7" ht="15.75" customHeight="1" x14ac:dyDescent="0.2">
      <c r="E188" s="12">
        <f t="shared" si="2"/>
        <v>85</v>
      </c>
      <c r="F188" s="53">
        <f t="shared" si="5"/>
        <v>185</v>
      </c>
      <c r="G188" s="54">
        <f t="shared" si="6"/>
        <v>79.98283010511409</v>
      </c>
    </row>
    <row r="189" spans="5:7" ht="15.75" customHeight="1" x14ac:dyDescent="0.2">
      <c r="E189" s="12">
        <f t="shared" si="2"/>
        <v>86</v>
      </c>
      <c r="F189" s="53">
        <f t="shared" si="5"/>
        <v>186</v>
      </c>
      <c r="G189" s="54">
        <f t="shared" si="6"/>
        <v>80.98283010511409</v>
      </c>
    </row>
    <row r="190" spans="5:7" ht="15.75" customHeight="1" x14ac:dyDescent="0.2">
      <c r="E190" s="12">
        <f t="shared" si="2"/>
        <v>87</v>
      </c>
      <c r="F190" s="53">
        <f t="shared" si="5"/>
        <v>187</v>
      </c>
      <c r="G190" s="54">
        <f t="shared" si="6"/>
        <v>81.98283010511409</v>
      </c>
    </row>
    <row r="191" spans="5:7" ht="15.75" customHeight="1" x14ac:dyDescent="0.2">
      <c r="E191" s="12">
        <f t="shared" si="2"/>
        <v>88</v>
      </c>
      <c r="F191" s="53">
        <f t="shared" si="5"/>
        <v>188</v>
      </c>
      <c r="G191" s="54">
        <f t="shared" si="6"/>
        <v>82.98283010511409</v>
      </c>
    </row>
    <row r="192" spans="5:7" ht="15.75" customHeight="1" x14ac:dyDescent="0.2">
      <c r="E192" s="12">
        <f t="shared" si="2"/>
        <v>89</v>
      </c>
      <c r="F192" s="53">
        <f t="shared" si="5"/>
        <v>189</v>
      </c>
      <c r="G192" s="54">
        <f t="shared" si="6"/>
        <v>83.98283010511409</v>
      </c>
    </row>
    <row r="193" spans="5:7" ht="15.75" customHeight="1" x14ac:dyDescent="0.2">
      <c r="E193" s="12">
        <f t="shared" si="2"/>
        <v>90</v>
      </c>
      <c r="F193" s="53">
        <f t="shared" si="5"/>
        <v>190</v>
      </c>
      <c r="G193" s="54">
        <f t="shared" si="6"/>
        <v>84.98283010511409</v>
      </c>
    </row>
    <row r="194" spans="5:7" ht="15.75" customHeight="1" x14ac:dyDescent="0.2">
      <c r="E194" s="12">
        <f t="shared" si="2"/>
        <v>91</v>
      </c>
      <c r="F194" s="53">
        <f t="shared" si="5"/>
        <v>191</v>
      </c>
      <c r="G194" s="54">
        <f t="shared" si="6"/>
        <v>85.98283010511409</v>
      </c>
    </row>
    <row r="195" spans="5:7" ht="15.75" customHeight="1" x14ac:dyDescent="0.2">
      <c r="E195" s="12">
        <f t="shared" si="2"/>
        <v>92</v>
      </c>
      <c r="F195" s="53">
        <f t="shared" ref="F195:F203" si="7">Stock+(E195/100)*Stock</f>
        <v>192</v>
      </c>
      <c r="G195" s="54">
        <f t="shared" ref="G195:G203" si="8">IF(bs_option_type="Call",IF(((F195-Stock-(vba_bs_result/Stock)*Stock))&lt;-(vba_bs_result/Stock)*Stock,-(vba_bs_result/Stock)*Stock,(F195-Stock-(vba_bs_result/Stock)*Stock)*1),IF((Exercise-(vba_bs_result/Stock)*Stock)-F195&lt;-(vba_bs_result/Stock)*Stock,-(vba_bs_result/Stock)*Stock,(Exercise-(vba_bs_result/Stock)*Stock)-F195))</f>
        <v>86.98283010511409</v>
      </c>
    </row>
    <row r="196" spans="5:7" ht="15.75" customHeight="1" x14ac:dyDescent="0.2">
      <c r="E196" s="12">
        <f t="shared" si="2"/>
        <v>93</v>
      </c>
      <c r="F196" s="53">
        <f t="shared" si="7"/>
        <v>193</v>
      </c>
      <c r="G196" s="54">
        <f t="shared" si="8"/>
        <v>87.98283010511409</v>
      </c>
    </row>
    <row r="197" spans="5:7" ht="15.75" customHeight="1" x14ac:dyDescent="0.2">
      <c r="E197" s="12">
        <f t="shared" si="2"/>
        <v>94</v>
      </c>
      <c r="F197" s="53">
        <f t="shared" si="7"/>
        <v>194</v>
      </c>
      <c r="G197" s="54">
        <f t="shared" si="8"/>
        <v>88.98283010511409</v>
      </c>
    </row>
    <row r="198" spans="5:7" ht="15.75" customHeight="1" x14ac:dyDescent="0.2">
      <c r="E198" s="12">
        <f t="shared" si="2"/>
        <v>95</v>
      </c>
      <c r="F198" s="53">
        <f t="shared" si="7"/>
        <v>195</v>
      </c>
      <c r="G198" s="54">
        <f t="shared" si="8"/>
        <v>89.98283010511409</v>
      </c>
    </row>
    <row r="199" spans="5:7" ht="15.75" customHeight="1" x14ac:dyDescent="0.2">
      <c r="E199" s="12">
        <f t="shared" si="2"/>
        <v>96</v>
      </c>
      <c r="F199" s="53">
        <f t="shared" si="7"/>
        <v>196</v>
      </c>
      <c r="G199" s="54">
        <f t="shared" si="8"/>
        <v>90.98283010511409</v>
      </c>
    </row>
    <row r="200" spans="5:7" ht="15.75" customHeight="1" x14ac:dyDescent="0.2">
      <c r="E200" s="12">
        <f t="shared" si="2"/>
        <v>97</v>
      </c>
      <c r="F200" s="53">
        <f t="shared" si="7"/>
        <v>197</v>
      </c>
      <c r="G200" s="54">
        <f t="shared" si="8"/>
        <v>91.98283010511409</v>
      </c>
    </row>
    <row r="201" spans="5:7" ht="15.75" customHeight="1" x14ac:dyDescent="0.2">
      <c r="E201" s="12">
        <f t="shared" si="2"/>
        <v>98</v>
      </c>
      <c r="F201" s="53">
        <f t="shared" si="7"/>
        <v>198</v>
      </c>
      <c r="G201" s="54">
        <f t="shared" si="8"/>
        <v>92.98283010511409</v>
      </c>
    </row>
    <row r="202" spans="5:7" ht="15.75" customHeight="1" x14ac:dyDescent="0.2">
      <c r="E202" s="12">
        <f t="shared" si="2"/>
        <v>99</v>
      </c>
      <c r="F202" s="53">
        <f t="shared" si="7"/>
        <v>199</v>
      </c>
      <c r="G202" s="54">
        <f t="shared" si="8"/>
        <v>93.98283010511409</v>
      </c>
    </row>
    <row r="203" spans="5:7" ht="15.75" customHeight="1" x14ac:dyDescent="0.2">
      <c r="E203" s="12">
        <f t="shared" si="2"/>
        <v>100</v>
      </c>
      <c r="F203" s="53">
        <f t="shared" si="7"/>
        <v>200</v>
      </c>
      <c r="G203" s="54">
        <f t="shared" si="8"/>
        <v>94.98283010511409</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27</vt:i4>
      </vt:variant>
    </vt:vector>
  </HeadingPairs>
  <TitlesOfParts>
    <vt:vector size="34" baseType="lpstr">
      <vt:lpstr>ReadMe</vt:lpstr>
      <vt:lpstr>Inputs</vt:lpstr>
      <vt:lpstr>BinomialModel</vt:lpstr>
      <vt:lpstr>Black&amp;Scholes</vt:lpstr>
      <vt:lpstr>Airbus - Market Data</vt:lpstr>
      <vt:lpstr>Current Market Data</vt:lpstr>
      <vt:lpstr>Aux</vt:lpstr>
      <vt:lpstr>Inputs!bs_option_type</vt:lpstr>
      <vt:lpstr>bs_option_type</vt:lpstr>
      <vt:lpstr>d_1</vt:lpstr>
      <vt:lpstr>d_2</vt:lpstr>
      <vt:lpstr>dividend_rate</vt:lpstr>
      <vt:lpstr>down_factor</vt:lpstr>
      <vt:lpstr>Inputs!Exercise</vt:lpstr>
      <vt:lpstr>Exercise</vt:lpstr>
      <vt:lpstr>Inputs!expected_return</vt:lpstr>
      <vt:lpstr>expected_return</vt:lpstr>
      <vt:lpstr>hedge_ratio</vt:lpstr>
      <vt:lpstr>n_periods</vt:lpstr>
      <vt:lpstr>Nd_1</vt:lpstr>
      <vt:lpstr>Nd_2</vt:lpstr>
      <vt:lpstr>Nminusd_1</vt:lpstr>
      <vt:lpstr>Nminusd_2</vt:lpstr>
      <vt:lpstr>Inputs!Rate</vt:lpstr>
      <vt:lpstr>Rate</vt:lpstr>
      <vt:lpstr>RefSymbol</vt:lpstr>
      <vt:lpstr>Inputs!Sigma</vt:lpstr>
      <vt:lpstr>Sigma</vt:lpstr>
      <vt:lpstr>Inputs!Stock</vt:lpstr>
      <vt:lpstr>Stock</vt:lpstr>
      <vt:lpstr>Inputs!Time</vt:lpstr>
      <vt:lpstr>Time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2021-10-24T12:41:59Z</dcterms:modified>
</cp:coreProperties>
</file>